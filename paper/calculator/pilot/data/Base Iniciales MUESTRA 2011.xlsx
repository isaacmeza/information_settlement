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BASE CAPTURISTA" sheetId="1" state="visible" r:id="rId2"/>
  </sheets>
  <definedNames>
    <definedName function="false" hidden="true" localSheetId="0" name="_xlnm._FilterDatabase" vbProcedure="false">'BASE CAPTURISTA'!$A$4:$FI$4</definedName>
    <definedName function="false" hidden="false" localSheetId="0" name="_xlnm._FilterDatabase" vbProcedure="false">'BASE CAPTURISTA'!$A$4:$FI$4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<sst xmlns="http://schemas.openxmlformats.org/spreadsheetml/2006/main" count="34896" uniqueCount="8732">
  <si>
    <t>ABOGADOS</t>
  </si>
  <si>
    <t>CARACTERISTICAS TRABAJADOR</t>
  </si>
  <si>
    <t>Estos son los reclamos / prestaciones pedidos por el trabajador</t>
  </si>
  <si>
    <t>X</t>
  </si>
  <si>
    <t>Fórmula</t>
  </si>
  <si>
    <t>Fecha de recepcion de la JLCAVCT, del incidente de incompetencia de otra junta</t>
  </si>
  <si>
    <t>Dummy: 1= Previene la junta para que el actor aclare la demanda, 0= No previene</t>
  </si>
  <si>
    <t>Fecha en que se realizó el auto de radicación</t>
  </si>
  <si>
    <t>Fecha en la que se programa la 1a audiencia en el auto de radicación</t>
  </si>
  <si>
    <t>Fecha en la que se REALIZA la 1a audiencia de Conciliacion</t>
  </si>
  <si>
    <t>Dummy</t>
  </si>
  <si>
    <t>Demandado 1</t>
  </si>
  <si>
    <t>Demandado 2</t>
  </si>
  <si>
    <t>Demandado 3</t>
  </si>
  <si>
    <t>Demandado 4</t>
  </si>
  <si>
    <t> Demandado 5</t>
  </si>
  <si>
    <t>Demandado 6</t>
  </si>
  <si>
    <r>
      <t>PRIMER ABOGADO        </t>
    </r>
    <r>
      <rPr>
        <sz val="11"/>
        <color rgb="FF000000"/>
        <rFont val="Calibri"/>
        <family val="2"/>
        <charset val="1"/>
      </rPr>
      <t>                                                                                                                                     1=PRIVADO, 2=SINDICATO, 3=PROCURADOR</t>
    </r>
  </si>
  <si>
    <r>
      <t>ÚLTIMO ABOGADO (LLENAR SÓLO SI HUBO CAMBIO CAMBIO DE ABOGADO)</t>
    </r>
    <r>
      <rPr>
        <sz val="11"/>
        <color rgb="FF000000"/>
        <rFont val="Calibri"/>
        <family val="2"/>
        <charset val="1"/>
      </rPr>
      <t>                                                                                                                                     1=PRIVADO, 2=SINDICATO, 3=PROCURADOR</t>
    </r>
  </si>
  <si>
    <t>ultimo despacho de la parte actora</t>
  </si>
  <si>
    <t>ultimo despacho de la parte demandada</t>
  </si>
  <si>
    <t>ultimo apoderado de la parte demandada</t>
  </si>
  <si>
    <t>giro de la empresa que admite relacion. si ninguna admite, giro de la empresa que comparece a juicio. dejar vacio si no se menciona giro.</t>
  </si>
  <si>
    <t>Dummy: 0=base, 1=confianza</t>
  </si>
  <si>
    <t>Descripcion breve del puesto desde el escrito de demanda</t>
  </si>
  <si>
    <t>Se introduce si viene en la lista,en caso de no encontrarse en la lista se pone un punto</t>
  </si>
  <si>
    <t>Dummy:  1=su salario diario es mayor o igual al minimo profesiona, 0=su salario diario esta por debajo del minimo profesional, se deja en blanco si la profesión no esta en la lista</t>
  </si>
  <si>
    <t>Es es la hora del despido</t>
  </si>
  <si>
    <t>Nombre de la persona que despidio segun el escrito de demanda</t>
  </si>
  <si>
    <t>1=sin previo aviso,2=reducción salario, 3=no recibir salario lugar o fecha esp, 4=reducción o cambio horario, 5=otro</t>
  </si>
  <si>
    <t>En caso de que la causa sea 5</t>
  </si>
  <si>
    <t>pd horas 0=diario 1= mensual 2=quincenal 3=semanal</t>
  </si>
  <si>
    <t>Salario Integrado por Conceptos (conceptos mencionados en el escrito)</t>
  </si>
  <si>
    <t>0=HOMBRE, 1=MUJER</t>
  </si>
  <si>
    <t>1=diurna 2=nocturna 3=mixta 4=24*24, *000=NO MENCIONA</t>
  </si>
  <si>
    <t>Llenar si da una cifra en pesos</t>
  </si>
  <si>
    <t>Periodo de vacaciones ( Por periodo de trabajo)</t>
  </si>
  <si>
    <t>Periodo de aguinaldo </t>
  </si>
  <si>
    <t>Número de hora extras a la semana</t>
  </si>
  <si>
    <t>Número de semanas que pide (Llenar sólo si especifica)</t>
  </si>
  <si>
    <t>Cantidad total de dinero que pide por horas extras (Llenar sólo si especifica)</t>
  </si>
  <si>
    <t>Número total de horas extras que pide (Llenar sólo si especifica)</t>
  </si>
  <si>
    <t>(Día Salida - Día Entrada + 1) / 365</t>
  </si>
  <si>
    <t>0 = Si es un expediente NO Terminado (hasta 2015)
1 = Si es un expediente SÍ Terminado (hasta 2015)</t>
  </si>
  <si>
    <t>0 = Si el expediente NO terminó en un periodo de 3 años
1 = Si el expediente SÍ terminó en un periodo de 3 años</t>
  </si>
  <si>
    <t>Clave</t>
  </si>
  <si>
    <t>Capturista_exp</t>
  </si>
  <si>
    <t>Fecha captura_exp</t>
  </si>
  <si>
    <t>Observaciones_exp</t>
  </si>
  <si>
    <t>Junta</t>
  </si>
  <si>
    <t>Exp</t>
  </si>
  <si>
    <t>Anio</t>
  </si>
  <si>
    <t>ID_actor</t>
  </si>
  <si>
    <t>Fecha_incompetencia </t>
  </si>
  <si>
    <t>Fecha_demanda</t>
  </si>
  <si>
    <t>Prevencion </t>
  </si>
  <si>
    <t>Tipo_prevencion</t>
  </si>
  <si>
    <t>Fecha_autoradicacion</t>
  </si>
  <si>
    <t>Fecha_1a_ Audiencia en Auto de radicacion</t>
  </si>
  <si>
    <t>Fecha_1a_Audiencia</t>
  </si>
  <si>
    <t>Fecha_1a_Audiencia en donde se presenta el patron</t>
  </si>
  <si>
    <t>Fech_ultima_Audiencia de Conciliacion</t>
  </si>
  <si>
    <t># de cierres de instruccion a la fecha de captura de exp</t>
  </si>
  <si>
    <t>Fecha de ultimo cierre de instrucción a la fecha de captura de exp</t>
  </si>
  <si>
    <t># audiencias antes del ultimo cierre de instruccion a la fecha de captura de exp</t>
  </si>
  <si>
    <t># diferimientos antes del ultimo cierre de instrucción de exp</t>
  </si>
  <si>
    <t>Número de actores capturados para este expediente</t>
  </si>
  <si>
    <t>Contador Actor (no cambiar fórmulas! Sólo desplácenlas hacia abajo cuando se acaben)</t>
  </si>
  <si>
    <t>Número de actores totales</t>
  </si>
  <si>
    <t>Número de Demandados Totales</t>
  </si>
  <si>
    <t>Nombre Actor</t>
  </si>
  <si>
    <t>Corrección Nombre Actor (Dummy)</t>
  </si>
  <si>
    <t>Calle y NumeroA</t>
  </si>
  <si>
    <t>ColoniaA</t>
  </si>
  <si>
    <t>MunicipioA</t>
  </si>
  <si>
    <t>Corrección Dirección Actor</t>
  </si>
  <si>
    <t>Nombre Demandado 1</t>
  </si>
  <si>
    <t>Moral=0, Físia=1, Nom Comercial=2</t>
  </si>
  <si>
    <t>Calle y numero1</t>
  </si>
  <si>
    <t>Colonia1</t>
  </si>
  <si>
    <t>Municipio1</t>
  </si>
  <si>
    <t>fecha de desistimiento1</t>
  </si>
  <si>
    <t>Nombre Demandado 2</t>
  </si>
  <si>
    <t>Moral=0, FísiCa=1, Nom Comercial=2</t>
  </si>
  <si>
    <t>Calle y numero 2</t>
  </si>
  <si>
    <t>Colonia 2</t>
  </si>
  <si>
    <t>Municipio 2 </t>
  </si>
  <si>
    <t>fecha de desistimiento2</t>
  </si>
  <si>
    <t>Nombre Demandado 3</t>
  </si>
  <si>
    <t>Calle y numero 3</t>
  </si>
  <si>
    <t>Colonia 3</t>
  </si>
  <si>
    <t>Municipio 3</t>
  </si>
  <si>
    <t>fecha de desistimiento3</t>
  </si>
  <si>
    <t>Nombre Demandado 4</t>
  </si>
  <si>
    <t>Calle y numero 4</t>
  </si>
  <si>
    <t>Colonia 4</t>
  </si>
  <si>
    <t>Municipio 4</t>
  </si>
  <si>
    <t>fecha de desistimiento4</t>
  </si>
  <si>
    <t>Nombre Demandado 5</t>
  </si>
  <si>
    <t>Calle y numero 5</t>
  </si>
  <si>
    <t>Colonia 5</t>
  </si>
  <si>
    <t>Municipio 5</t>
  </si>
  <si>
    <t>fecha de desistimiento5</t>
  </si>
  <si>
    <t>Nombre Demandado  6</t>
  </si>
  <si>
    <t>Calle y numero 6</t>
  </si>
  <si>
    <t>Colonia 6</t>
  </si>
  <si>
    <t>Municipio 6</t>
  </si>
  <si>
    <t>fecha de desistimiento6</t>
  </si>
  <si>
    <t>Corrección Nombre Demandado</t>
  </si>
  <si>
    <t>Corrección Dir Demandado</t>
  </si>
  <si>
    <t>Tipo de Abogado</t>
  </si>
  <si>
    <t>Nombre Abogado 1</t>
  </si>
  <si>
    <t>Nombre Abogado 2</t>
  </si>
  <si>
    <t>Nombre Abogado 3</t>
  </si>
  <si>
    <t>Tipo Abogado</t>
  </si>
  <si>
    <t>Cambio de Abogado</t>
  </si>
  <si>
    <t>Despacho Actor</t>
  </si>
  <si>
    <t>Despacho Demandado</t>
  </si>
  <si>
    <t>Apoderado legal Demandado</t>
  </si>
  <si>
    <t>Giro empresa</t>
  </si>
  <si>
    <t>Trab. Base</t>
  </si>
  <si>
    <t>Categoría</t>
  </si>
  <si>
    <t>Profesion</t>
  </si>
  <si>
    <t>salario</t>
  </si>
  <si>
    <t>Fecha Ent t</t>
  </si>
  <si>
    <t>Fecha Sal t</t>
  </si>
  <si>
    <t>Hora de Salida/Despido del Trabajador</t>
  </si>
  <si>
    <t>Persona que despide (si es despido)</t>
  </si>
  <si>
    <t>Periodo t aNos</t>
  </si>
  <si>
    <t>Periodo t meses</t>
  </si>
  <si>
    <t>Periodo t sem</t>
  </si>
  <si>
    <t>Periodo t dIas</t>
  </si>
  <si>
    <t>AcciOn Principal</t>
  </si>
  <si>
    <t>Causa</t>
  </si>
  <si>
    <t>Especifique</t>
  </si>
  <si>
    <t>sueldo base </t>
  </si>
  <si>
    <t>pd t</t>
  </si>
  <si>
    <t>sueldo base d</t>
  </si>
  <si>
    <t>sueldo int t</t>
  </si>
  <si>
    <t>pd int t</t>
  </si>
  <si>
    <t>sueldo int d</t>
  </si>
  <si>
    <t>sueldo diario</t>
  </si>
  <si>
    <t>sueldo hora</t>
  </si>
  <si>
    <t>Concepto1</t>
  </si>
  <si>
    <t>Concepto2</t>
  </si>
  <si>
    <t>Concepto3</t>
  </si>
  <si>
    <t>Concepto4</t>
  </si>
  <si>
    <t>Concepto5</t>
  </si>
  <si>
    <t>Otros</t>
  </si>
  <si>
    <t>trabajo por proyecto</t>
  </si>
  <si>
    <t>SUELDO DIARIO (INTEGRADO)</t>
  </si>
  <si>
    <t># Afiliacion IMSS</t>
  </si>
  <si>
    <t>gen</t>
  </si>
  <si>
    <t>año nac</t>
  </si>
  <si>
    <t>Tipo de Jornada</t>
  </si>
  <si>
    <t>horas</t>
  </si>
  <si>
    <t>pd horas</t>
  </si>
  <si>
    <t>Reinstalacion t</t>
  </si>
  <si>
    <t>Indem Const t</t>
  </si>
  <si>
    <t>Indem C  $</t>
  </si>
  <si>
    <t>Sal Caidos t</t>
  </si>
  <si>
    <t>Sal Caidos t $</t>
  </si>
  <si>
    <t>Prima Antig t</t>
  </si>
  <si>
    <t>Prima Ant $</t>
  </si>
  <si>
    <t>Fecha Inicial Vac </t>
  </si>
  <si>
    <t>Fecha Final Vac </t>
  </si>
  <si>
    <t>días vacaciones</t>
  </si>
  <si>
    <t>Rec Vac t $</t>
  </si>
  <si>
    <t>Prima Vac t</t>
  </si>
  <si>
    <t>Prima Vac t $</t>
  </si>
  <si>
    <t>Fecha Inicial Ag </t>
  </si>
  <si>
    <t>Fecha Final Ag </t>
  </si>
  <si>
    <t>dias aguinaldo</t>
  </si>
  <si>
    <t>Rec Ag t  $</t>
  </si>
  <si>
    <t>Rec Hr Extra</t>
  </si>
  <si>
    <t>X semana</t>
  </si>
  <si>
    <t>horas extra pide_ley</t>
  </si>
  <si>
    <t>horas al doble</t>
  </si>
  <si>
    <t>horas al triple</t>
  </si>
  <si>
    <t>Rec Hr Extra $ t (a la semana)</t>
  </si>
  <si>
    <t>Rec Hr Extra #</t>
  </si>
  <si>
    <t>total horas extra $</t>
  </si>
  <si>
    <t>Total Horas Extra #</t>
  </si>
  <si>
    <t>Rec 20 dIas t</t>
  </si>
  <si>
    <t>Rec 20 $</t>
  </si>
  <si>
    <t>Prima Dominical</t>
  </si>
  <si>
    <t>Prim Dom $</t>
  </si>
  <si>
    <t>Descanso Semanal</t>
  </si>
  <si>
    <t>Desc Sem $</t>
  </si>
  <si>
    <t>Descanso Oblig</t>
  </si>
  <si>
    <t>Descanso Oblig $</t>
  </si>
  <si>
    <t>SARIMSSINFO</t>
  </si>
  <si>
    <t>Utilidades t</t>
  </si>
  <si>
    <t>Monto utilidades</t>
  </si>
  <si>
    <t>Rec Sueldo # t</t>
  </si>
  <si>
    <t>Nulidad</t>
  </si>
  <si>
    <t>FECHA DE TERMINO</t>
  </si>
  <si>
    <t>MODO DE TERMINO</t>
  </si>
  <si>
    <t>LIQ TOTAL</t>
  </si>
  <si>
    <t>Antig_Años</t>
  </si>
  <si>
    <t>ID_EXP_RELACION</t>
  </si>
  <si>
    <t>DUMMY_TERMINADO</t>
  </si>
  <si>
    <t>DUMMY_TERMINADO_3AÑOS</t>
  </si>
  <si>
    <t>LORE</t>
  </si>
  <si>
    <t>JOSE LUIS LIMA VALENCIA</t>
  </si>
  <si>
    <t>MONTECITO 38 PISO 29 OFICINA 5</t>
  </si>
  <si>
    <t>NAPOLES</t>
  </si>
  <si>
    <t>DELEGACION BENITO JUAREZ</t>
  </si>
  <si>
    <t>NACIONAL DE SERVICIOS FUNERARIOS A FUTURO SA DE CV</t>
  </si>
  <si>
    <t>AVENIDA DIVISION DEL NORTE 2566</t>
  </si>
  <si>
    <t>SAN DIEGO CHURUBUSCO</t>
  </si>
  <si>
    <t>DELEGACION COYOACAN</t>
  </si>
  <si>
    <t>MENROL SERVICIOS CORPORATIVOS SA</t>
  </si>
  <si>
    <t>QUIEN RESULTE RESPONSABLE O PROPIETARIO DE LA FUENTE DE TRABAJO</t>
  </si>
  <si>
    <t>AMELIA NORIEGA GUTIERREZ</t>
  </si>
  <si>
    <t>PEDRO NOTARIO GOMEZ</t>
  </si>
  <si>
    <t>NO MENCIONA</t>
  </si>
  <si>
    <t>ANALISTA DE DATOS O AUXILIAR DE PROCESAMIENTO DE DATOS</t>
  </si>
  <si>
    <t>.</t>
  </si>
  <si>
    <t>YESICA MONROY</t>
  </si>
  <si>
    <t>REINSTALACION</t>
  </si>
  <si>
    <t>NO ESPECIFICA</t>
  </si>
  <si>
    <t>CIRCUNTANCIAS DEL DESPIDO</t>
  </si>
  <si>
    <t>MARCO ANTONIO ESTRADA MENESES</t>
  </si>
  <si>
    <t>AVENIDA CUAUHTEMOC 1475 INTERIOR 7</t>
  </si>
  <si>
    <t>SANTA CRUZ ATOYAC </t>
  </si>
  <si>
    <t>ROAD TRACK MEXICO SA DE CV</t>
  </si>
  <si>
    <t>AVENIDA TALLER NUMERO 36 </t>
  </si>
  <si>
    <t>TRANSITO</t>
  </si>
  <si>
    <t>DELEGACION CUAUHTEMOC</t>
  </si>
  <si>
    <t>ADMINISTRADORES RECUH SA DE CV</t>
  </si>
  <si>
    <t>JACOBO CASSAB N</t>
  </si>
  <si>
    <t>OSWALDO ROMERO N</t>
  </si>
  <si>
    <t>HERGO SOLUCIONES EMPRESARIALES SA DE CV</t>
  </si>
  <si>
    <t>MONTECITO 38 PISO 36 OFICINAS 33 Y 36</t>
  </si>
  <si>
    <t>NAPOLES </t>
  </si>
  <si>
    <t>RAUL EUGENI SANCHEZ ANCIRA</t>
  </si>
  <si>
    <t>NORMA ESTHER URUSQUETA CARRANCO</t>
  </si>
  <si>
    <t>INSTALADOR</t>
  </si>
  <si>
    <t>OSALDO ROMERO N</t>
  </si>
  <si>
    <t>INDEMNIZACION CONSTITUCIONAL</t>
  </si>
  <si>
    <t>NO ESPECIFICA LOS DIAS DEL SALARIO DEVENGADO</t>
  </si>
  <si>
    <t>ANTONIO ARGUEÑÑES LOZANO</t>
  </si>
  <si>
    <t>AVENIDA BAJA CALIFORNIA 196 INTERIOR 703</t>
  </si>
  <si>
    <t>ROMA SUR</t>
  </si>
  <si>
    <t>RAUL GONZALEZ</t>
  </si>
  <si>
    <t>FRANCISCO I MADERO Y/O CENICIENTA 367</t>
  </si>
  <si>
    <t>MIGUEL HIALGO </t>
  </si>
  <si>
    <t>DELEGACION TLAHUAC</t>
  </si>
  <si>
    <t>IMSS</t>
  </si>
  <si>
    <t>PASEO DE LA REFORMA 476 QUINTO PISO</t>
  </si>
  <si>
    <t>JUAREZ</t>
  </si>
  <si>
    <t>ROBERTO CARLOS CRUZ RODRIGUEZ</t>
  </si>
  <si>
    <t>ROBERTO CRUZ PEÑA</t>
  </si>
  <si>
    <t>MARIBEL JUANA HERNANDEZ MARTINEZ</t>
  </si>
  <si>
    <t>IPSOS CORPORATIVO</t>
  </si>
  <si>
    <t>SERVICIOS</t>
  </si>
  <si>
    <t>MECANICO</t>
  </si>
  <si>
    <t>PREMIO DE ASISTENCIA</t>
  </si>
  <si>
    <t>PREMIO DE PUNTUALIDAD</t>
  </si>
  <si>
    <t>COMISION POR SERVICIO</t>
  </si>
  <si>
    <t>BONO POR NO FALTANTE</t>
  </si>
  <si>
    <t>PRIMA DE PRODUCTIVIDAD</t>
  </si>
  <si>
    <t>GRATIFICACION POR SERVICIOS PRIMA DE OBJETOS</t>
  </si>
  <si>
    <t>ADAN MORENO CORTEZ</t>
  </si>
  <si>
    <t>SOCIEDAD DE BENEFICENCIA SEDAKA Y MARPE</t>
  </si>
  <si>
    <t>CARLOR ECHANOVE 224</t>
  </si>
  <si>
    <t>LOMAS VISTA HERMOSA</t>
  </si>
  <si>
    <t>DELEGACION CUAJIMALPA</t>
  </si>
  <si>
    <t>VELADOR</t>
  </si>
  <si>
    <t>Velador(a)</t>
  </si>
  <si>
    <t>DENI AMIGA</t>
  </si>
  <si>
    <t>INOCENCIO VALERA GUTIERREZ</t>
  </si>
  <si>
    <t>ISABEL LA CATOLICA 45 DESPACHO 309</t>
  </si>
  <si>
    <t>CENTRO</t>
  </si>
  <si>
    <t>ESTACIONAMIENTOS CORSA SA DE CV</t>
  </si>
  <si>
    <t>NEZA 35</t>
  </si>
  <si>
    <t>GUSTAVO MORALES</t>
  </si>
  <si>
    <t>LIDIA HERNANDEZ</t>
  </si>
  <si>
    <t>MARCOS GUZMAN HERNANDEZ</t>
  </si>
  <si>
    <t>EUSEBIO COZAYATL CUANDO</t>
  </si>
  <si>
    <t>KAREN SANTIAGO CASTAÑEDA</t>
  </si>
  <si>
    <t>COZAYATL</t>
  </si>
  <si>
    <t>VIGILANTE</t>
  </si>
  <si>
    <t>JORNADA, OTRO: SEÑALE SI LO ASENTADO CON TINTA TIENE VALIDEZ </t>
  </si>
  <si>
    <t>EUCLIDES NEY ABUNDIS</t>
  </si>
  <si>
    <t>PROVIDENCIA 1142</t>
  </si>
  <si>
    <t>DEL VALLE</t>
  </si>
  <si>
    <t>VANGENT SERVICIOS DE MEXICO SA DE CV</t>
  </si>
  <si>
    <t>AVENIDA SANTA FE 485 PRIMER PISO </t>
  </si>
  <si>
    <t>CRUZ MANCA</t>
  </si>
  <si>
    <t>VANGENT MEXICO SA DE CV</t>
  </si>
  <si>
    <t>VANGENT INC</t>
  </si>
  <si>
    <t>GUNTER CARRANZA COTA</t>
  </si>
  <si>
    <t>JULIA BONETTU MATEOS</t>
  </si>
  <si>
    <t>FRANCISCO ARTURO SANCHEZ GUZMAN</t>
  </si>
  <si>
    <t>RECLUTAMIENTO</t>
  </si>
  <si>
    <t>ASISTENTE DE RECURSOS HUMANOS</t>
  </si>
  <si>
    <t>CINDY JIMENEZ Y DIEGO ALEJANDRO BUENO ROMO</t>
  </si>
  <si>
    <t>VALES DE DESPENSA</t>
  </si>
  <si>
    <t>FONDO DE AHORRO</t>
  </si>
  <si>
    <t>AGUINALDO</t>
  </si>
  <si>
    <t>VACACIONES</t>
  </si>
  <si>
    <t>PRIMA VACACIONAL</t>
  </si>
  <si>
    <t>INFONAVIT SEGURO DE GASTOS MEDICOS, SEGURO DE VIDA</t>
  </si>
  <si>
    <t>ALEJANDRO GONZALEZ SERRANO</t>
  </si>
  <si>
    <t>AVENIDA DIVISION DEL NORTE 1167 SEGUNDO PISO </t>
  </si>
  <si>
    <t>COORPORACION INTERNACIONAL DEL TRANSPORTE TERRESTRE SA DE CV</t>
  </si>
  <si>
    <t>JAVIER SORONDO 357</t>
  </si>
  <si>
    <t>NATIVITAS </t>
  </si>
  <si>
    <t>JAVIER FUENTES VARGAS</t>
  </si>
  <si>
    <t>JUSTO TRIGUEROS HERNANDEZ</t>
  </si>
  <si>
    <t>JOSE MANUEL DELGADO MORALES</t>
  </si>
  <si>
    <t>OPERADOR DE TRAILER</t>
  </si>
  <si>
    <t>JOSE PAOLOMARES</t>
  </si>
  <si>
    <t>VIAJES</t>
  </si>
  <si>
    <t>JOSE PABLO MORALES SORDO</t>
  </si>
  <si>
    <t>DOCTOR JOSE MARIA VERTIZ 101 DESPACHO 604 Y 605</t>
  </si>
  <si>
    <t>DOCTORES</t>
  </si>
  <si>
    <t>SERMID SA DE CV</t>
  </si>
  <si>
    <t>OMETUSCO 53</t>
  </si>
  <si>
    <t>CONDESA</t>
  </si>
  <si>
    <t>DELEGACION MIGUEL HIDALGO</t>
  </si>
  <si>
    <t>OPERADORA MECANICA AUTOMOTRIZ SA DE CV</t>
  </si>
  <si>
    <t>AINHOA BEORLEGUI VERA</t>
  </si>
  <si>
    <t>OSCAR SEEMAN DE LEON</t>
  </si>
  <si>
    <t>AVENIDA PASEO DE LA REFORMA 476 SEXTO PISO </t>
  </si>
  <si>
    <t>RODOLFO ERNESTO MUÑOZCANO SKIDMORE</t>
  </si>
  <si>
    <t>ALBERTO SANTOYO VELEZ</t>
  </si>
  <si>
    <t>EFRAIN LOPEZ LOPEZ</t>
  </si>
  <si>
    <t>MUÑOZCANO SKIDMORES &amp; ASOCIADOS SC</t>
  </si>
  <si>
    <t>GERENTE DE TALLER AUTOMOTRIZ</t>
  </si>
  <si>
    <t>VENTAS</t>
  </si>
  <si>
    <t>MARCO ANTONIO SARMIENTO SANCHEZ</t>
  </si>
  <si>
    <t>DOCTOR ERAZO 85 DESPACHO 604</t>
  </si>
  <si>
    <t>CIRCUO EXCLUSIVO SA DE CV</t>
  </si>
  <si>
    <t>INSURGENTES SUR NÚMERO 1235</t>
  </si>
  <si>
    <t>EXTREMADURA INSURGENTES</t>
  </si>
  <si>
    <t>AUTOFINANCIAMIENTO MEXICO SA DE CV</t>
  </si>
  <si>
    <t>MARIO ROSSI DEL RIO</t>
  </si>
  <si>
    <t>JUAN ANTONIO HERNANDEZ VENEGAS</t>
  </si>
  <si>
    <t>JUAN ANTONIO HERNANDEZ PARAMO</t>
  </si>
  <si>
    <t>OSCAR ALEJANDRO SANABRIA MACDONALD</t>
  </si>
  <si>
    <t>DIANA GALVEZ PEÑALOZA</t>
  </si>
  <si>
    <t>OLIVA REYES JIMENEZ</t>
  </si>
  <si>
    <t>ADRIANA SALGADO GALVEZ</t>
  </si>
  <si>
    <t>COEDITOR</t>
  </si>
  <si>
    <t>JESUS ENEDINO GARCIA GOMEZ</t>
  </si>
  <si>
    <t>PROCURADURIA</t>
  </si>
  <si>
    <t>E-NETWORK X RISK CONSULTING SC</t>
  </si>
  <si>
    <t>INSURGENTES SUR 1877 OCTAVO PISO</t>
  </si>
  <si>
    <t>GUADALIPE INN</t>
  </si>
  <si>
    <t>DELEGACION ALVARO OBREGON</t>
  </si>
  <si>
    <t>JOSE LUIS HERNANDEZ</t>
  </si>
  <si>
    <t>RENE MESTAS VARGAS</t>
  </si>
  <si>
    <t>CARLOS MAGANA GUTIERREZ</t>
  </si>
  <si>
    <t>MANUEL HERNANDEZ RAMIREZ</t>
  </si>
  <si>
    <t>SERVICIOS PROFESIONALES</t>
  </si>
  <si>
    <t>INVESTIGADOR DE CREDITO</t>
  </si>
  <si>
    <t>JUAN CARLOS ARRIAGA SEGOVIA</t>
  </si>
  <si>
    <t>DOCTOR ERAZO 85 QUINTO PISO DESPACHO 503</t>
  </si>
  <si>
    <t>AUTOCUGA SA DE CV</t>
  </si>
  <si>
    <t>FELIPE ANGELES 22 </t>
  </si>
  <si>
    <t>TOLTECA</t>
  </si>
  <si>
    <t>ENRIQUE GABRIEL CUENCA FIGUEROA</t>
  </si>
  <si>
    <t>OMAR VAZQUEZ MORA</t>
  </si>
  <si>
    <t>LUIS ARTURO ARRIAGA SEGOVIA </t>
  </si>
  <si>
    <t>ARTURO BAZAÑEZ LIMA</t>
  </si>
  <si>
    <t>GUADALUPE CAROLINA CERVANTES ARANDA</t>
  </si>
  <si>
    <t>ARTURO ARRIAGA Y ABOGADOS</t>
  </si>
  <si>
    <t>COMERCIAL</t>
  </si>
  <si>
    <t>AUXILIAR DE ALMACEN</t>
  </si>
  <si>
    <t>PREMIO DE ASISTENCUA</t>
  </si>
  <si>
    <t>BONO MENSUAL</t>
  </si>
  <si>
    <t>AYUDA DE PASAJES</t>
  </si>
  <si>
    <t>AYUDA DE COMIDA CAJA DE AHORRO</t>
  </si>
  <si>
    <t>INCOMPLETA LA DEMANDA</t>
  </si>
  <si>
    <t>HECTOR CRUZ CASTILLO </t>
  </si>
  <si>
    <t>COLL MANAGEMENT GROUOP SA DE CV</t>
  </si>
  <si>
    <t>KELVIN 27 PISO CINCO </t>
  </si>
  <si>
    <t>ANZURES</t>
  </si>
  <si>
    <t>ADMINISTRACION ESPECIALIZADA PROFESIONAL RH SC</t>
  </si>
  <si>
    <t>ADMINISTRACION RRH SC</t>
  </si>
  <si>
    <t>FABIAN HOYO TRNCONIS </t>
  </si>
  <si>
    <t>IRLANDA CASILLAS ALVARADO</t>
  </si>
  <si>
    <t>*000</t>
  </si>
  <si>
    <t>RICARDO NUÑO VARGAS</t>
  </si>
  <si>
    <t>SUSANA VALENCIA GONZALEZ</t>
  </si>
  <si>
    <t>CALZADA DE LOS LEONES 256 PISO 2.-103</t>
  </si>
  <si>
    <t>LOS ALPES</t>
  </si>
  <si>
    <t>SAN JERONIMO MOTORS SA DE CV</t>
  </si>
  <si>
    <t>PERIFERICO SUER 3361</t>
  </si>
  <si>
    <t>SAN JERONIMO LIDICE</t>
  </si>
  <si>
    <t>DELEGACION MAGDALENA CONTRERAS</t>
  </si>
  <si>
    <t>GERARDO SALAZAR CARREON </t>
  </si>
  <si>
    <t>BERNARDPO MARIO ALBERTO RAMOS MADRID</t>
  </si>
  <si>
    <t>JOSE ANTONIO DE COLSA LLANTADA</t>
  </si>
  <si>
    <t>ARTURO BRISEÑO MARTINEZ</t>
  </si>
  <si>
    <t>MARIO ALBERTO RODRIGUEZ VARGAS</t>
  </si>
  <si>
    <t>LUIS ARTURO GONZALEZ RODEA</t>
  </si>
  <si>
    <t>ASISTENTE COMERCIAL</t>
  </si>
  <si>
    <t>JOSE ANTONIO COLSA LLANTADA</t>
  </si>
  <si>
    <t>BONOS POR CUMPLIMIENTOS</t>
  </si>
  <si>
    <t>ARMANDO MUNGIA PIÑA</t>
  </si>
  <si>
    <t>CENTRO HISTORICO</t>
  </si>
  <si>
    <t>SERVICIOS ANALITICOS DE COBRANZA SA DE CV</t>
  </si>
  <si>
    <t>AVENIDA HOLBEIN 217 TERCER PISO OFICINA 302</t>
  </si>
  <si>
    <t>NOCHE BUENA</t>
  </si>
  <si>
    <t>VICTOR GONZALEZ</t>
  </si>
  <si>
    <t>AVENIDA POLITECNICO NACIONAL 5424 EDIFICO 3 PLANTA BAJA</t>
  </si>
  <si>
    <t>MAGDALENA DE LAS SALINAS</t>
  </si>
  <si>
    <t>DELEGACION GUSTAVO A MADERO</t>
  </si>
  <si>
    <t>INFONAVIT</t>
  </si>
  <si>
    <t>AVENIDA BARRANCA DEL MUERTO 286 </t>
  </si>
  <si>
    <t>SAN JOSE INSURGENTE </t>
  </si>
  <si>
    <t>JULIO COZAYATL VARGAS</t>
  </si>
  <si>
    <t>GESTOR DOMICILIARIO RECUPERADOR</t>
  </si>
  <si>
    <t>COMISIONES</t>
  </si>
  <si>
    <t>JOSE EZEQUIEL GONZALEZ SANCHEZ</t>
  </si>
  <si>
    <t>SERVICIOS SANELO SA DE CV</t>
  </si>
  <si>
    <t>INSURENTES NORTE 1290</t>
  </si>
  <si>
    <t>CAPUTITLAN </t>
  </si>
  <si>
    <t>MUEBLES Y MUDANZAS SA DE CV</t>
  </si>
  <si>
    <t>IVAN RODRIGUEZ</t>
  </si>
  <si>
    <t>JHOANA ALCANTARA</t>
  </si>
  <si>
    <t>CARLOS MAGAÑA GUTIERREZ</t>
  </si>
  <si>
    <t>ELFEGO BAUTISTA PRADO</t>
  </si>
  <si>
    <t>AUXILIAR DE PREVENCION Y PERDIDAS</t>
  </si>
  <si>
    <t>OTRO: SEÑALE SI LO ASENTADO CON TINTA TIENE VALIDEZ</t>
  </si>
  <si>
    <t>GREGORIO ARCE CASARREAL</t>
  </si>
  <si>
    <t>BOLETIN LABORAL</t>
  </si>
  <si>
    <t>TECNILLANTAS DE MEXICO SA DE CV</t>
  </si>
  <si>
    <t>PONIENTE CIENTO VEINTIOCHO 470</t>
  </si>
  <si>
    <t>INDUSTRIAL VALLEJO</t>
  </si>
  <si>
    <t>RTECNIRENOVACION DE TOLUCA SA DE CV</t>
  </si>
  <si>
    <t>HECOR FRANCISCO SUAREZ RODILES</t>
  </si>
  <si>
    <t>AVENIDA INSTITUTO POLITECNICO NACIONAL 5421 EDIFICIO TRES PLANTA BAJA</t>
  </si>
  <si>
    <t>BARRANCA DEL MUERTO 280</t>
  </si>
  <si>
    <t>GUADALUPE INN</t>
  </si>
  <si>
    <t>ENRESTO ROSAS VAZQUEZ</t>
  </si>
  <si>
    <t>JOSE ANGEL SANCHEZ MENDEZ</t>
  </si>
  <si>
    <t>GUILLERMO SALINAS CAMACHO</t>
  </si>
  <si>
    <t>GENRENTE DE VENTAS</t>
  </si>
  <si>
    <t>PABLO VIDAL MAESTRE</t>
  </si>
  <si>
    <t>CAS</t>
  </si>
  <si>
    <t>BONOS DE PRODUCTIVIDAD</t>
  </si>
  <si>
    <t>GRISELA ALEJO ROSALES</t>
  </si>
  <si>
    <t>AVENIDA CHAPULTEPEC 153 DESPACHO 308</t>
  </si>
  <si>
    <t>PROMOTORA MAYORISTA DEL CENTRO SA DE CV</t>
  </si>
  <si>
    <t>DOLORES 50 ALTOS 7</t>
  </si>
  <si>
    <t>CENTO HISTORICO</t>
  </si>
  <si>
    <t>AMERICA CABALLERO ALVARADO</t>
  </si>
  <si>
    <t>MIGUEL ANGE CABALLERO ALVARADO</t>
  </si>
  <si>
    <t>JORGE CERVANTES CAPISTRAN</t>
  </si>
  <si>
    <t>ARTURO GUERRERO MINETNEGRO </t>
  </si>
  <si>
    <t>SUSANA ELIZABETH HERNANDEZ NAVARRO</t>
  </si>
  <si>
    <t>BUFETE JURIDICO LABORAL CERVANTES CAPISTRAN</t>
  </si>
  <si>
    <t>AUXILIAR CONTABLE</t>
  </si>
  <si>
    <t>AMERICA CABALLERO ALVARADO Y MIGUEL ANGEL CABALLERO ALVARADO</t>
  </si>
  <si>
    <t>MARIO RAUL QUINTAL SERRANO</t>
  </si>
  <si>
    <t>AVENIDA FERNANDO 99</t>
  </si>
  <si>
    <t>ALAMOS </t>
  </si>
  <si>
    <t>REQUERIMIENTOS JUDICIALES SC</t>
  </si>
  <si>
    <t>AVENIDA REVOLUCION 1181 SEGUNDO PISO</t>
  </si>
  <si>
    <t>MERCED GOMEZ</t>
  </si>
  <si>
    <t>RECUPERACION EXTERNA OPTIMA SC</t>
  </si>
  <si>
    <t>NOE GRAHAM LELO DE LA REA </t>
  </si>
  <si>
    <t>ACACIAS 219</t>
  </si>
  <si>
    <t>TLALTENGO </t>
  </si>
  <si>
    <t>CUERNAVACA</t>
  </si>
  <si>
    <t>MARGARITA GIL CASTAÑEDA</t>
  </si>
  <si>
    <t>MARIA DEL SOCORRO CASTAÑEDA LINCE</t>
  </si>
  <si>
    <t>NUEVA TABACHIN 20</t>
  </si>
  <si>
    <t>NORMA PATRICIA DIAZ TORRES</t>
  </si>
  <si>
    <t>AVENIDA TOLUCA 893 CASA 3</t>
  </si>
  <si>
    <t>OLIVAR DE LOS PADRE</t>
  </si>
  <si>
    <t>ESTRELLA IVETT SOTO HERNANDEZ</t>
  </si>
  <si>
    <t>JOSE LUIS HERNANDEZ ALCANTARA</t>
  </si>
  <si>
    <t>JORGE IVAN MEDINA MARTINEZ</t>
  </si>
  <si>
    <t>ABOGADO</t>
  </si>
  <si>
    <t>SANTA BLANCA TOLEDO ZARATE</t>
  </si>
  <si>
    <t>GONZALEZ DE COSSIO 311</t>
  </si>
  <si>
    <t>ENLACE Y GESTION RH SA DE CV</t>
  </si>
  <si>
    <t>CAMINO DEL RECREO 40-A-1</t>
  </si>
  <si>
    <t>EL RECREO </t>
  </si>
  <si>
    <t>DELEGACION AZCAPOTZALCO</t>
  </si>
  <si>
    <t>UNOMO SA DE CV</t>
  </si>
  <si>
    <t>AUTOMOTRIZ CENTRAL DE MEXICO SA DE CV</t>
  </si>
  <si>
    <t>JORGE A GAUDIANO PEEALTA</t>
  </si>
  <si>
    <t>OSCAR BUSTROS PEREZ</t>
  </si>
  <si>
    <t>JOSE ANTONIO RAMOS LARIOS </t>
  </si>
  <si>
    <t>FRANCISCO DEL TORO HUERTA</t>
  </si>
  <si>
    <t>JEFE DE CREDITO Y COBRANZA</t>
  </si>
  <si>
    <t>JORGE A GAUDIANO PERALTA</t>
  </si>
  <si>
    <t>FRANCISCO RAFAEL QUIROZ</t>
  </si>
  <si>
    <t>TRANSPORTACIONES ESPECIALZADAS DIAZ SA DE CV</t>
  </si>
  <si>
    <t>28 DE AGOSTO 16-A</t>
  </si>
  <si>
    <t>ESCANDON</t>
  </si>
  <si>
    <t>ARMANDO DIAZ A</t>
  </si>
  <si>
    <t>JESUS RAMIREZ GARCIA</t>
  </si>
  <si>
    <t>ELFEGO BAUTISTA PARDO</t>
  </si>
  <si>
    <t>OFELIA GARCIA FLORES</t>
  </si>
  <si>
    <t>AUTOTRANSPORTE</t>
  </si>
  <si>
    <t>CHOFER</t>
  </si>
  <si>
    <t>JOSE JORGE CARMONA DIAZ</t>
  </si>
  <si>
    <t>DONATO GUERRA 1 DESPACHO 201</t>
  </si>
  <si>
    <t>JULIO CARLOS LEON PACHECO</t>
  </si>
  <si>
    <t>CARRILLO PUERTO 395</t>
  </si>
  <si>
    <t>ANAHUAC</t>
  </si>
  <si>
    <t>ARTURO LEON PACHECO</t>
  </si>
  <si>
    <t>MOISES GARCIA CORTES</t>
  </si>
  <si>
    <t>FRANCISCO SALAZAR LUNA</t>
  </si>
  <si>
    <t>ROGELIO GOMEZ CRUZ</t>
  </si>
  <si>
    <t>OPERADOR DE CAMION DE CARGA</t>
  </si>
  <si>
    <t>Chofer de camión de carga en general</t>
  </si>
  <si>
    <t>OSCAR AGUILAR LUNA</t>
  </si>
  <si>
    <t>EFRAIN PEDRO RODRIGUEZ SILVA</t>
  </si>
  <si>
    <t>AVENIDA MORELOS 827 EDIFICIO 13 DEPARTAMENTO 102</t>
  </si>
  <si>
    <t>MAGDALENA MIXIHUCA</t>
  </si>
  <si>
    <t>DELEGACION VENUSTIANO CARRANZA</t>
  </si>
  <si>
    <t>STARCO SA DE CV</t>
  </si>
  <si>
    <t>NORTE 74-A NUMERO 5.109</t>
  </si>
  <si>
    <t>MARTIRES DEL RIO BLANCO </t>
  </si>
  <si>
    <t>COMERCIA STARCO SA DE CV</t>
  </si>
  <si>
    <t>ARTURO REUL JIMENEZ</t>
  </si>
  <si>
    <t>JAVIER VEGA RODRIGUEZ</t>
  </si>
  <si>
    <t>VICTOR MARTINEZ CORONA</t>
  </si>
  <si>
    <t>PROMOTOR</t>
  </si>
  <si>
    <t>NOMBRE DEMANDADO</t>
  </si>
  <si>
    <t>MAYA ARELLANO SIMON</t>
  </si>
  <si>
    <t>TANALA 26 BIS ESQUINA LEON DE LOS ALDAMA</t>
  </si>
  <si>
    <t>ADVERSIZE SA DE CV</t>
  </si>
  <si>
    <t>PABLO USELO 27 </t>
  </si>
  <si>
    <t>CIUDADA D ELOS DEPORTES</t>
  </si>
  <si>
    <t>PLANEACION Y SERVICIOS ESTRATEGICOS SC</t>
  </si>
  <si>
    <t>DEMOSFAST SA </t>
  </si>
  <si>
    <t>FERNANDO GUIZA ORTEGA</t>
  </si>
  <si>
    <t>ANTONIO MENDOZA</t>
  </si>
  <si>
    <t>EDUARDO ALFONSO MORENO HINOJOSA</t>
  </si>
  <si>
    <t>CARMEN JULIA LOPEZ DE LOS COBOS </t>
  </si>
  <si>
    <t>FRANCISCO JAVIER PEREZ ZARAGOZA</t>
  </si>
  <si>
    <t>PZ&amp;D- ABOGADOS</t>
  </si>
  <si>
    <t>GUARDIA DE SEGURIDAD</t>
  </si>
  <si>
    <t>CARMEN GISELA MENDEZ SIORDIA</t>
  </si>
  <si>
    <t>DOCTOR NAVARRO 60</t>
  </si>
  <si>
    <t>ARRENDAUTOS Y PRESTAMOS SA DE CV</t>
  </si>
  <si>
    <t>MINERVA 72</t>
  </si>
  <si>
    <t>CEREDITO CONSTRUCTOR</t>
  </si>
  <si>
    <t>CARLOS LARA OSORIO </t>
  </si>
  <si>
    <t>CARLOS ROSAS MENDEZ</t>
  </si>
  <si>
    <t>MARIA DE LOURDES CONTRERAS BERNAL</t>
  </si>
  <si>
    <t>MARIA DE LOURDES GONZALEZ GARDUÑO</t>
  </si>
  <si>
    <t>JORGE HERNANDEZ CANSECO</t>
  </si>
  <si>
    <t>CESAR PEREZ GARCIA</t>
  </si>
  <si>
    <t>JOSE ALFREDO NIGMO RODRIGUEZ</t>
  </si>
  <si>
    <t>CANSECO, SOL &amp; ASOCIADOS</t>
  </si>
  <si>
    <t>MANUFACTURA</t>
  </si>
  <si>
    <t>CARLOS LARA OSRORNO</t>
  </si>
  <si>
    <t>MARIA ALINA ESPONDA DIAZ DE LEON</t>
  </si>
  <si>
    <t>GUILLERMO GONZALEZ CAMARENA 500 INTERIOR 103</t>
  </si>
  <si>
    <t>CENTRO DE CIUDAD SANTA FE</t>
  </si>
  <si>
    <t>AVENIDA INSURGENTES SUR 1235 TERCER PISO</t>
  </si>
  <si>
    <t>ESXTREMADURA INSURGENTES </t>
  </si>
  <si>
    <t>MOTOS TORO MEXICO SA DE CV</t>
  </si>
  <si>
    <t>ALVARO DIEGO ALCOLEA PROTO</t>
  </si>
  <si>
    <t>FRANCISCO GARCIA CHAVEZ</t>
  </si>
  <si>
    <t>NORMA ANGELICA GARCIA PEREZ</t>
  </si>
  <si>
    <t>GERENTE GENERAL</t>
  </si>
  <si>
    <t>ALVARO DIEGO ALCOLEA</t>
  </si>
  <si>
    <t>AYUDA DE ALIMENTOS</t>
  </si>
  <si>
    <t>NOMBRE DEMANDADO Y CIRCUNSTANCIAS DE DESPIDO</t>
  </si>
  <si>
    <t>LILIANA SOLEDAD SANCHEZ LOPEZ</t>
  </si>
  <si>
    <t>BUCARELI 92 ALTOS</t>
  </si>
  <si>
    <t>GRAPHIEXPRES </t>
  </si>
  <si>
    <t>AVENIDA ISABEL LA CATOLICA 478 ESQUINA HERNANDEZ Y DAVALOS 113 LOCAL A </t>
  </si>
  <si>
    <t>ALGUIN</t>
  </si>
  <si>
    <t>OSCAR JOSE PASCALIS</t>
  </si>
  <si>
    <t>MIGUEL ANGEL LEON LOPEZ</t>
  </si>
  <si>
    <t>JOSE LUIS ANGELES GONZALEZ</t>
  </si>
  <si>
    <t>MARIO ISLAS ROMERO SOTO</t>
  </si>
  <si>
    <t>PATROCINIO Y ASESORIA JURIDICA PERSONAL LAS 24 HORAS</t>
  </si>
  <si>
    <t>MOSTRADOR DE VENTAS Y PATROCINADOR DE PUBLICIDAD</t>
  </si>
  <si>
    <t>CIRCUNATANCIAS DEL DESPIDO</t>
  </si>
  <si>
    <t>MIRIAM ESTELA LEON MONROY</t>
  </si>
  <si>
    <t>MOSTRADOR DE VENTAS Y DISEÑO GRAFICO</t>
  </si>
  <si>
    <t>RICARDO GRANADOS MORALES</t>
  </si>
  <si>
    <t>AVENIDA INSIRGENTES SUR 1673 DESOACHO 501 QUINTO PISO EDIFICIO ATOYAC</t>
  </si>
  <si>
    <t>UNION DE TRABAJADORES DEL VOLANTE RUTA 86 DE CIUDAD NEZAHUALCOYTL SA DE CV</t>
  </si>
  <si>
    <t>FRANCISCO CESAR MORALES 1070 MANZANA 134</t>
  </si>
  <si>
    <t>AMPLIACION SANTA MARTHA ACATITLA NORTE</t>
  </si>
  <si>
    <t>DELEGACION IZTAPALAPA</t>
  </si>
  <si>
    <t>JOSE LUIS HERNANDEZ CHAVEZ</t>
  </si>
  <si>
    <t>VERONICA BARON GARCIA</t>
  </si>
  <si>
    <t>ARNULFO TAMAYO GOMEZ</t>
  </si>
  <si>
    <t>JOSE SALVADOR NOLASCO HERNANDEZ</t>
  </si>
  <si>
    <t>GRICELA RAQUEL LEYVA SANCHEZ</t>
  </si>
  <si>
    <t>GRUPO BERLINKS SA DE CV</t>
  </si>
  <si>
    <t>MANTA 672 INETRIOR 3</t>
  </si>
  <si>
    <t>LINDAVISTA</t>
  </si>
  <si>
    <t>GABRIELA ESPARZA</t>
  </si>
  <si>
    <t>DEMOSTRADORA</t>
  </si>
  <si>
    <t>GABRIEL ESPARZA</t>
  </si>
  <si>
    <t>GUMARO SANTIAGO LUNA</t>
  </si>
  <si>
    <t>LOPEZ 1 DESPACHO 201</t>
  </si>
  <si>
    <t>ASCENCION MACIAS</t>
  </si>
  <si>
    <t>LERDO 111</t>
  </si>
  <si>
    <t>GUERRERO </t>
  </si>
  <si>
    <t>ROSAURA CASTELLANOS PALENCIA</t>
  </si>
  <si>
    <t>JUAN CARLOS FRIAS FARIAS</t>
  </si>
  <si>
    <t>JOSE ANTONIO HINOJOSA RAYA</t>
  </si>
  <si>
    <t>LIC. ROSAURA CASTILLERO PALENCIA BUFETE JURIDICO</t>
  </si>
  <si>
    <t>AYUDANTE GENERAL</t>
  </si>
  <si>
    <t>JUAN CARLOS MONROY </t>
  </si>
  <si>
    <t>DONATO GUERRA 1 DESPACHO 311</t>
  </si>
  <si>
    <t>GRUPO VENTA PROACTIVA MEXICO SA DE CV</t>
  </si>
  <si>
    <t>AVENIDA INSURGENTES SUR 1677 DESPACHO 405</t>
  </si>
  <si>
    <t>GAS NATURA MEXICO SA DE CV</t>
  </si>
  <si>
    <t>JAIME BALMES 8 SEPTIMO PISO </t>
  </si>
  <si>
    <t>LOS MORALES POLANCO</t>
  </si>
  <si>
    <t>COMERCIALIZADORA METROGAS SA DE CV</t>
  </si>
  <si>
    <t>GAS NATURAL SERVICIOS SA DE CV</t>
  </si>
  <si>
    <t>JOSE ANTONIO AROZARENA</t>
  </si>
  <si>
    <t>LAIR MAURICIO ISLAS MONROY</t>
  </si>
  <si>
    <t>EDUARDO CASTAÑEDA HERNANDEZ</t>
  </si>
  <si>
    <t>DIANA ROXEMY MONTOYA RIVERA</t>
  </si>
  <si>
    <t>CASTAÑEDA, ISLAS &amp; BELLO ABOGADOS ASOCIADOS</t>
  </si>
  <si>
    <t>SUPERVISOR DE VENDEDORES</t>
  </si>
  <si>
    <t>AYUDA DE TRANSPORTE</t>
  </si>
  <si>
    <t>GREGORIO CRUZ GARCIA</t>
  </si>
  <si>
    <t>CLAUDIO CHINO LOTE 1 MANZANA 48</t>
  </si>
  <si>
    <t>LAS PEÑAS</t>
  </si>
  <si>
    <t>AUTOMOTRIZ ONTARIO</t>
  </si>
  <si>
    <t>MIGUEL ANGEL DE QUEVEDO 108 ESQUINA 100 METROS</t>
  </si>
  <si>
    <t>SANTIAGO ATEPETLAC</t>
  </si>
  <si>
    <t>JULIO CESAR SANTANA C</t>
  </si>
  <si>
    <t>LETICIA ESCALONA N</t>
  </si>
  <si>
    <t>DANIEL LINO MONTES DE OCA</t>
  </si>
  <si>
    <t>IRENE LIRA GALICIA</t>
  </si>
  <si>
    <t>IRAIS LINO MONTES DE OCA</t>
  </si>
  <si>
    <t>CARROCERO</t>
  </si>
  <si>
    <t>HECTOR IVAN TORRES AGUIRRE</t>
  </si>
  <si>
    <t>GRUPO DE ADMINISTRACION DE BIENES Y SERVICIOS SA</t>
  </si>
  <si>
    <t>EJE 5 SUR AVENIDA EUGENIA 197 PISO 8 Y 9</t>
  </si>
  <si>
    <t>NARVARTE</t>
  </si>
  <si>
    <t>CLAUDIA LUGA</t>
  </si>
  <si>
    <t>GESTOR DE COBRANZA</t>
  </si>
  <si>
    <t>CLAUDIA LUGO</t>
  </si>
  <si>
    <t>MIGUEL ANGEL RODRIGUEZ GARCIA</t>
  </si>
  <si>
    <t>JMS CAPITAL HUMANO SA DE CV</t>
  </si>
  <si>
    <t>BAJA CALIFORNIA 275-6 DESPACHO 601</t>
  </si>
  <si>
    <t>CARLOS VYEIRA</t>
  </si>
  <si>
    <t>VICENTE OLGUIN IBARRA</t>
  </si>
  <si>
    <t>CAPITAN DE MESEROS</t>
  </si>
  <si>
    <t>ALICIA BARRERA ARRIAGA</t>
  </si>
  <si>
    <t>CUAUTLA MANZANA 1 LOTE 8</t>
  </si>
  <si>
    <t>EMILIANO ZAPATA</t>
  </si>
  <si>
    <t>MARIA TERESA SALZAR LOPEZ</t>
  </si>
  <si>
    <t>5 DE MAYO 55</t>
  </si>
  <si>
    <t>PUEBLO SAN PEDRO MARTIR </t>
  </si>
  <si>
    <t>DELEGACION TLALPAN</t>
  </si>
  <si>
    <t>CAPRICORNIO IMPOTADORA AUTOMOTRIZ SA DE CV</t>
  </si>
  <si>
    <t>ISRAEL GONZALEZ TORRES</t>
  </si>
  <si>
    <t>IVAN ROJAS NAJERA</t>
  </si>
  <si>
    <t>RAYMUNDO GUZMAN BRITO</t>
  </si>
  <si>
    <t>ENCARGADA DE DEPARTAMENTO DE CREDITO Y COBRANZA</t>
  </si>
  <si>
    <t>DIEGO JESUS GARDUÑO GONZALEZ</t>
  </si>
  <si>
    <t>AVENIDA HIDALGO 169-3</t>
  </si>
  <si>
    <t>SANTA BARBARA</t>
  </si>
  <si>
    <t>SOLUCIONES INTEGRALES PARA APARCAMIENTOS SA DE CV</t>
  </si>
  <si>
    <t>AVENIDA INSURGENTES SUR 670 OCTAVO PISO </t>
  </si>
  <si>
    <t>HONDA SANTA FE SA DE CV</t>
  </si>
  <si>
    <t>JUAN SALVADOR AGRAZ 50 </t>
  </si>
  <si>
    <t>LOMAS DE SANTA FE</t>
  </si>
  <si>
    <t>FLORINA VELAZQUEZ RIOS</t>
  </si>
  <si>
    <t>MARIA DE LA LUZ MORALES FLORES</t>
  </si>
  <si>
    <t>DANIE OLGUIN RIVAS</t>
  </si>
  <si>
    <t>ACOMODADOR DE AUTOS</t>
  </si>
  <si>
    <t>GUILLERMO VELAZQUEZ</t>
  </si>
  <si>
    <t>FRANCISCO VELAZCO MENDOZA</t>
  </si>
  <si>
    <t>TOPOGRAFOS 7 </t>
  </si>
  <si>
    <t>ESCANDON </t>
  </si>
  <si>
    <t>RECICLAJES LOZA SA</t>
  </si>
  <si>
    <t>AVENIDA EJE 6 SUR NUMERO 79 A-402</t>
  </si>
  <si>
    <t>PARAJE ZACATEPEC</t>
  </si>
  <si>
    <t>JUAN FRANCISCO LOMELI FLORES</t>
  </si>
  <si>
    <t>MARYLYN SELENE ZAVALA CORONA</t>
  </si>
  <si>
    <t>CARLOS HERNANDEZ HERNANDEZ</t>
  </si>
  <si>
    <t>CUATRO 25 EDIFICIO CORPORATIVO LAS AMERICAS</t>
  </si>
  <si>
    <t>ALCE BLANCO</t>
  </si>
  <si>
    <t>NAUCALPAN </t>
  </si>
  <si>
    <t>CANDIDO ESTEBAN CAMPOS DE LOS SANTOS</t>
  </si>
  <si>
    <t>RODOLFO  DOMINGUEZ MENDIOLA </t>
  </si>
  <si>
    <t>JORGE ELIZALDE CASTILLO</t>
  </si>
  <si>
    <t>CHOFER ESTIBADOR</t>
  </si>
  <si>
    <t>FERNANDO DEL RAZO AVILA</t>
  </si>
  <si>
    <t>ABASTECEDORES DE MATERIALES ELECTRICOS SA DE CV</t>
  </si>
  <si>
    <t>ISABEL LA CATOLICA 586</t>
  </si>
  <si>
    <t>ALAMOS</t>
  </si>
  <si>
    <t>GABRIEL GARCIA CORONA</t>
  </si>
  <si>
    <t>VENDEDOR DE PROYECTOS</t>
  </si>
  <si>
    <t>RICARDO CASAS</t>
  </si>
  <si>
    <t>JESUS RIOS MORENO</t>
  </si>
  <si>
    <t>ESTRADOS</t>
  </si>
  <si>
    <t>GRUPO OPERATIVO DE REACCION INMEDIATA SA DE CV</t>
  </si>
  <si>
    <t>RIO PIEDAD 380</t>
  </si>
  <si>
    <t>JAMAICA </t>
  </si>
  <si>
    <t>JOSE ROMARICO CALVA MEJIA</t>
  </si>
  <si>
    <t>YANELY IBET ARACELI CALVA ESQUIVEL</t>
  </si>
  <si>
    <t>MAYRA N</t>
  </si>
  <si>
    <t>MARISOL MORENO TELLEZ</t>
  </si>
  <si>
    <t>DOCTOR OLVERA 159 INTERIOR 7</t>
  </si>
  <si>
    <t>AGENCIA DE PUBLICIDAD GRUPO PROM </t>
  </si>
  <si>
    <t>HAMBURGO 8</t>
  </si>
  <si>
    <t>YOCO MEDINA</t>
  </si>
  <si>
    <t>MLM IDEAS Y PROMOCIONES SA DE CV</t>
  </si>
  <si>
    <t>OCHENTA Y CINCO 68 INTERIOR 2</t>
  </si>
  <si>
    <t>PUEBLA</t>
  </si>
  <si>
    <t>BELMONT PROMOCIONES SA DE CV</t>
  </si>
  <si>
    <t>PRIMERA CERRADA DE ALVARO OBREGON EJIDO CINCO </t>
  </si>
  <si>
    <t>SANTA URSULA </t>
  </si>
  <si>
    <t>XOCHIMILCO</t>
  </si>
  <si>
    <t>RODIMIRO DUARTE ESTRADA</t>
  </si>
  <si>
    <t>JOSE JUAN DIEGO ANTUNEZ</t>
  </si>
  <si>
    <t>MICHELLE BELEM PEREZ ALEJANDRE</t>
  </si>
  <si>
    <t>VISITADOR MEDICO</t>
  </si>
  <si>
    <t>DEMANDA INCOMPLETA</t>
  </si>
  <si>
    <t>MARIA ANTONIETA CORREA VEASCO</t>
  </si>
  <si>
    <t>AJUSCO 59-2</t>
  </si>
  <si>
    <t>FLORIDA</t>
  </si>
  <si>
    <t>MONTACARGAS Y MANEJO DE MATERIALES SA DE CV</t>
  </si>
  <si>
    <t>LAGO CUITZEO 177</t>
  </si>
  <si>
    <t>CARLOS ADOLFO DE LA PORTILLA ESCOTO</t>
  </si>
  <si>
    <t>JORGE EDUARDO GONZALEZ NAVARRO</t>
  </si>
  <si>
    <t>NORA JULIETA RIVERA ZAMUDIO</t>
  </si>
  <si>
    <t>ADRIANA CALVILLO CEDEÑO</t>
  </si>
  <si>
    <t>LORENA DEL ROCIO MIJARES RODRIGUEZ</t>
  </si>
  <si>
    <t>AMIRA SAAD ARCARAZ</t>
  </si>
  <si>
    <t>HUMBERTO MARTINEZ SUAREZ</t>
  </si>
  <si>
    <t>FILBERTO MORENO FUENTES</t>
  </si>
  <si>
    <t>JUAN RODRIGUEZ ENRIQUEZ</t>
  </si>
  <si>
    <t>ANDRADE 23 EDIFICIO B DESPACHO 102</t>
  </si>
  <si>
    <t>JUAN MARTINEZ GARCIA</t>
  </si>
  <si>
    <t>AVENIDA SANTA LUCIA 1238</t>
  </si>
  <si>
    <t>OLIVAR DEL CONDE</t>
  </si>
  <si>
    <t>ENRIQUE MARTINEZ GRACIA</t>
  </si>
  <si>
    <t>AVENIDA INSTITUTO POLITECNICO NACIONAL 5421 EDIFICO 3 PLANTA BAJA</t>
  </si>
  <si>
    <t>EDER JOSUE GONZALEZ GARCIA</t>
  </si>
  <si>
    <t>JERONIMO ALBERTO RICO MARTINEZ</t>
  </si>
  <si>
    <t>ADRIAN ROBERTO MAÑON CAMARGO</t>
  </si>
  <si>
    <t>LIC JERONIMO ALBERTO RICO MARTINEZ</t>
  </si>
  <si>
    <t>MAESTRO HOJALATERO</t>
  </si>
  <si>
    <t>Hojalatero(a) en la reparación de automóviles y camiones, oficial</t>
  </si>
  <si>
    <t>ERIKA RAMIREZ MONROY</t>
  </si>
  <si>
    <t>CANELA 520</t>
  </si>
  <si>
    <t>GRANJAS MEXICO</t>
  </si>
  <si>
    <t>DELEGACION IZTACALCO</t>
  </si>
  <si>
    <t>EXCELLANCE ADECCO SA DE CV</t>
  </si>
  <si>
    <t>MONTECITO 38 PISO 10 INTERIOR 1</t>
  </si>
  <si>
    <t>PFIZER MEXICO SA DE CV</t>
  </si>
  <si>
    <t>PASEO DE TAMARINDOS 40</t>
  </si>
  <si>
    <t>BOSQUES DE LAS LOMAS</t>
  </si>
  <si>
    <t>PFIZER SA DE CV</t>
  </si>
  <si>
    <t>ISABELLE MARIE LISE GIRARD</t>
  </si>
  <si>
    <t>LORENA GOMEZ LOZANO</t>
  </si>
  <si>
    <t>ROSA MARIA RAMOS PALOMO</t>
  </si>
  <si>
    <t>JORGE CHINO POZOS</t>
  </si>
  <si>
    <t>GEMA CELESTE MATIAS GARDUÑO</t>
  </si>
  <si>
    <t>ROBERTO HERNANDEZ BLANCO</t>
  </si>
  <si>
    <t>BUFFET JURIDICO CHINO POSOS &amp; ASOCIADOS</t>
  </si>
  <si>
    <t>JEFE DE DISEÑO GRAFICO </t>
  </si>
  <si>
    <t>LORENA GOMEZ LOZANO </t>
  </si>
  <si>
    <t>BONO</t>
  </si>
  <si>
    <t>AGUSTIN DOMINGUEZ VILLAGOMEZ</t>
  </si>
  <si>
    <t>PLATON 109</t>
  </si>
  <si>
    <t>LOS MORALES SECCION PALMAS</t>
  </si>
  <si>
    <t>AUTOMOTRIZ GEPRI SA DE CV</t>
  </si>
  <si>
    <t>AVENIDA SANTA MARIA 85</t>
  </si>
  <si>
    <t>MAGDALENA ATLAZOLPA</t>
  </si>
  <si>
    <t>JESUS RENOBARTO HERNANDEZ</t>
  </si>
  <si>
    <t>IGNACIO RAMOS ARROYO</t>
  </si>
  <si>
    <t>RODRIGO PEREZ VILLEGAS</t>
  </si>
  <si>
    <t>MANUEL CORNEJO MOSQUEDA</t>
  </si>
  <si>
    <t>MENSAJERO</t>
  </si>
  <si>
    <t>JOSE RENOBATO HERNANDEZ</t>
  </si>
  <si>
    <t>GISEL A ORTA RAMIREZ</t>
  </si>
  <si>
    <t>CALLEJON TETECHICO 1</t>
  </si>
  <si>
    <t>EL MANTO</t>
  </si>
  <si>
    <t>ENRORNO EMPRESARIAL SANTA LUCIA SA DE CV</t>
  </si>
  <si>
    <t>AVENIDA SONORA 86-A</t>
  </si>
  <si>
    <t>ROMA NORTE</t>
  </si>
  <si>
    <t>MARTHA PANUELOS</t>
  </si>
  <si>
    <t>MICHEL ARMANDO CATILLO GARCIA</t>
  </si>
  <si>
    <t>MARCO ANTONIO ROSTRO GARCIA</t>
  </si>
  <si>
    <t>SAUL RIVERA PEREZ</t>
  </si>
  <si>
    <t>RAMIREZ ASESORIA LABORAL</t>
  </si>
  <si>
    <t>SUPERVISORA DE DEMOSTRADORAS</t>
  </si>
  <si>
    <t>MARTHA PANUELO</t>
  </si>
  <si>
    <t>TIEMPO EXTRAORDINARIO</t>
  </si>
  <si>
    <t>OSCAR MIRANDA VILLARREAL</t>
  </si>
  <si>
    <t>DONATO GUERRA 1 DESPACHO 202</t>
  </si>
  <si>
    <t>AMERICA LATINA SERVICIOS EN TECNOLOGIA DE MEXICO SA DE CV</t>
  </si>
  <si>
    <t>MIGUEL LAURENT 15 BIS DESPACHO 103</t>
  </si>
  <si>
    <t>CORPOCRED SA DE CV SOFOM ENR</t>
  </si>
  <si>
    <t>AVENIDA PERIFERICO SUR 2349 SEPTIMO PISO PH</t>
  </si>
  <si>
    <t>ATLAMAYA</t>
  </si>
  <si>
    <t>FINANCIEMIENTO PROGRESEMOS SA DE CV SOFON ENR</t>
  </si>
  <si>
    <t>SERVICIOS ADMINISTRATIVOS PARA MANEJO  DE PERSONAL SA DE CV</t>
  </si>
  <si>
    <t>ADRIAN ISREAL SOTO ORTIZ</t>
  </si>
  <si>
    <t>LUIS MIGUEL RODRIGUEZ OJEDA</t>
  </si>
  <si>
    <t>PEDRO ELEUTERIO MENDOZA GARCIA</t>
  </si>
  <si>
    <t>AGENTE DE COLOCACION DE CREDITO</t>
  </si>
  <si>
    <t>ALMA OSORIO</t>
  </si>
  <si>
    <t>BONO DE COLOCACION DE CREDITOS</t>
  </si>
  <si>
    <t>LUIS ANTONIO RODRIGUEZ MORANTES</t>
  </si>
  <si>
    <t>INDEPENDENCIA 72 DESPACHO 103</t>
  </si>
  <si>
    <t>ARRENDADORA DE VEHICULOS ALFA SA DE CV</t>
  </si>
  <si>
    <t>CEIBA 38</t>
  </si>
  <si>
    <t>SANTA MARIA INSURGANTES</t>
  </si>
  <si>
    <t>OPERADORA Y ARRENDADORA DE VEHICULOS PULY SA DE CV</t>
  </si>
  <si>
    <t>TAXI 4000</t>
  </si>
  <si>
    <t>MARIA DEL CONSUELO QUIROZ ROMERO</t>
  </si>
  <si>
    <t>JAVIER ARRORUO MIRANDA</t>
  </si>
  <si>
    <t>JUAN PABLO SALAZAR CORONA</t>
  </si>
  <si>
    <t>JOSE ZAMORA AGUSTIN</t>
  </si>
  <si>
    <t>BERNARDO MERCADO TACUBA</t>
  </si>
  <si>
    <t>SUPERVISOR DE BASE</t>
  </si>
  <si>
    <t>KARLA ALEJANDRA APANCO RIOS</t>
  </si>
  <si>
    <t>PROVIDENCIA 1220 DESPACHO 904 EDIFICIO A</t>
  </si>
  <si>
    <t>COMPAÑÍA INTERNACIONAL DE DIRECTORIOS SC</t>
  </si>
  <si>
    <t>HORACIO 340 TERCER PISO</t>
  </si>
  <si>
    <t>CHAPULTEPEC MORALES</t>
  </si>
  <si>
    <t>EXPO-GUIDE S DE RL DE CV</t>
  </si>
  <si>
    <t>OSCAR TIENDA GUERRERO</t>
  </si>
  <si>
    <t>ENGA KRUSKOP</t>
  </si>
  <si>
    <t>JAIR ALBERTO PIMENTEL VALENCIA</t>
  </si>
  <si>
    <t>MATEO CRUZ GALVAN </t>
  </si>
  <si>
    <t>ISRAEL CRUZ DE LA TORRE</t>
  </si>
  <si>
    <t>DISEÑADORA DE ANUNCIOS PUBLICITARIOS</t>
  </si>
  <si>
    <t>CIRCUNSTANCIAS DEL DESPIDO</t>
  </si>
  <si>
    <t>JOSE MARIA SANCHEZ MORENO</t>
  </si>
  <si>
    <t>AVENIDA BAJA CALIFORNIA 317 TERCER PISO</t>
  </si>
  <si>
    <t>GECISA INTERNACIONAL SA DE CV</t>
  </si>
  <si>
    <t>CAMERINO 217 DEL INMUEBLE 2 DE LAS CALLES ATLETAS </t>
  </si>
  <si>
    <t>COUNTRY CLUB</t>
  </si>
  <si>
    <t>MARIA LUISA MEDINA PULIDO</t>
  </si>
  <si>
    <t>ROBERTO GARCIA BALLESTEROS</t>
  </si>
  <si>
    <t>RAFAEL TOMAS JOSE DEL SAGRADO CORAZON DE JESUS REYES RETANA VALADEZ</t>
  </si>
  <si>
    <t>REYNALDO REYES RETANA Y MANERO</t>
  </si>
  <si>
    <t>BUFETE REYES RETANA</t>
  </si>
  <si>
    <t>ASESOR</t>
  </si>
  <si>
    <t>JAIME ARCOS AGUDO</t>
  </si>
  <si>
    <t>BONO DE RENDIMIENTO</t>
  </si>
  <si>
    <t>JAVIER ALBERTO DIAZ ZARRAGA</t>
  </si>
  <si>
    <t>COMERCIALIZADORA RCB SA DE CV</t>
  </si>
  <si>
    <t>MARIO ROJAS AVENDAÑO N 66</t>
  </si>
  <si>
    <t>INDEPENDENCIA</t>
  </si>
  <si>
    <t>ANGELICA MELNDEZ REINA</t>
  </si>
  <si>
    <t>RAUL MALDONADO CORTES</t>
  </si>
  <si>
    <t>GUILLERMO VARGAS FLORES</t>
  </si>
  <si>
    <t>MARIA DEL CARMEN PRUD'HOMME ZECUA</t>
  </si>
  <si>
    <t>TORNERO</t>
  </si>
  <si>
    <t>FERNANDO MIRANDA MATA</t>
  </si>
  <si>
    <t>AVENIDA COYOACAN 1878 DESPACHO 102 Y 103</t>
  </si>
  <si>
    <t>GYC MANAGEMENT SC DE CV DE RL</t>
  </si>
  <si>
    <t>AVENIDA DOCTOR JOSE MARIA VERTIZ 1205</t>
  </si>
  <si>
    <t>LETRAN VALLE</t>
  </si>
  <si>
    <t>BUSERDI SA DE CV</t>
  </si>
  <si>
    <t>BELISARIO DOMINGEZ 155</t>
  </si>
  <si>
    <t>DEL CARMEN COYOACAN</t>
  </si>
  <si>
    <t>APP CONSULTORIA DE NEGOCIOS SC DE RL DE CV</t>
  </si>
  <si>
    <t>MONTECITO 38 PISO 39 OFICINA 34</t>
  </si>
  <si>
    <t>HOMERO HORACIO PEÑA HURTADO</t>
  </si>
  <si>
    <t>HOMERO HORACIO PEÑA RODRIGUEZ</t>
  </si>
  <si>
    <t>EDUARDO FRANCISCO MARBAN MURILLO</t>
  </si>
  <si>
    <t>BUFETE PEÑA HURTADO SC</t>
  </si>
  <si>
    <t>AUXILIAR GENERAL</t>
  </si>
  <si>
    <t>ALEJANDRO CEDILLO ROJAS</t>
  </si>
  <si>
    <t>CESAR ELTON DE LA ROSA VIGIL </t>
  </si>
  <si>
    <t>AVENIDA RIO DE LA LOZA 233 DESPACHO 301</t>
  </si>
  <si>
    <t>JOEL CARMONA BOBADILLA</t>
  </si>
  <si>
    <t>CIRCUITO Y CARPIO 37</t>
  </si>
  <si>
    <t>SANTA MARIA LA RIVERA</t>
  </si>
  <si>
    <t>GABRIEL CAMACHO CORTES</t>
  </si>
  <si>
    <t>JOSE LUIS VIDALS VALLE</t>
  </si>
  <si>
    <t>IVAN SERVIS MORALES</t>
  </si>
  <si>
    <t>AUTOSERVICIO</t>
  </si>
  <si>
    <t>LUBRICADOR</t>
  </si>
  <si>
    <t>FRANCISCO FLORES AGUILAR</t>
  </si>
  <si>
    <t>DISTRIBUIDORA LOMAS OBSERVATORIO SA DE CV</t>
  </si>
  <si>
    <t>PLUTARCO ELIAS CALLES 698</t>
  </si>
  <si>
    <t>XICALTONGO</t>
  </si>
  <si>
    <t>MARTIN RUIZ</t>
  </si>
  <si>
    <t>TECNICO MECANICO</t>
  </si>
  <si>
    <t>VERONICA SOTO REYES</t>
  </si>
  <si>
    <t>MARTIN LUIS GUZMAN 296 CASA A</t>
  </si>
  <si>
    <t>VILLA DE CORTES</t>
  </si>
  <si>
    <t>GRUPO DE ADMINISTRACION DE BIENES Y SERVICIOS SA DE CV</t>
  </si>
  <si>
    <t>AVENIDA EUGENIA 197 NOVENO PISO</t>
  </si>
  <si>
    <t>GRUPO DE ADMINISTRACION DE BIENES Y SERVICIOS MONTERREY SA DE CV</t>
  </si>
  <si>
    <t>JESUS HUMBERTO PAYA ORTIZ</t>
  </si>
  <si>
    <t>BRUNO PAYA ORTIZ</t>
  </si>
  <si>
    <t>PEDRO PAYA ORTIZ</t>
  </si>
  <si>
    <t>VICTOR MANUEL MORALES POZO</t>
  </si>
  <si>
    <t>HERMINIO ALBERTO CRIZ BEERRA</t>
  </si>
  <si>
    <t>PEDRO MORALES RUIZ</t>
  </si>
  <si>
    <t>AUDITOR INTERNO</t>
  </si>
  <si>
    <t>PEDRO PAYAN ORTIZ</t>
  </si>
  <si>
    <t>MIGUEL ARTURO VILLEGAS MARTINEZ</t>
  </si>
  <si>
    <t>INDEPENDENCIA 18 INTERIOR 31</t>
  </si>
  <si>
    <t>SAN ANDRES TETEPLICO</t>
  </si>
  <si>
    <t>DEEGACION IZTAPALAPA</t>
  </si>
  <si>
    <t>AVENIDA PASEO DE LA REFORMA 476</t>
  </si>
  <si>
    <t>SERVICIOS PROFESIONALES INTEGRADOS RH SA DE CV</t>
  </si>
  <si>
    <t>ORIENTE CIENTO SETENTA Y OCHO 110-A</t>
  </si>
  <si>
    <t>MOCTEZUMA SEGUNDA SECCION</t>
  </si>
  <si>
    <t>RICARDO HIDAGO </t>
  </si>
  <si>
    <t>GABRIELA HIDALGO NIETO</t>
  </si>
  <si>
    <t>ABRAHAM ALVAREZ HERNANDEZ</t>
  </si>
  <si>
    <t>ROBERTO JULIO CHAVEZ DELGADO</t>
  </si>
  <si>
    <t>JORGE TAPIA LOYO</t>
  </si>
  <si>
    <t>JEFE DE ALMACEN Y TECNICO DE AUDIO</t>
  </si>
  <si>
    <t>RIESGO DE TRABAJO</t>
  </si>
  <si>
    <t>RIEGO DE TRABAJO</t>
  </si>
  <si>
    <t>ALMACEN</t>
  </si>
  <si>
    <t>OPERACIÓN INSTALACION Y RESGUARDO DEL EQUIPO DE AUDIO</t>
  </si>
  <si>
    <t>OCTAVIO IZQUIERDO LIMON</t>
  </si>
  <si>
    <t>FILOSOFOS 45</t>
  </si>
  <si>
    <t>JARDINES DE CHURUBISCO </t>
  </si>
  <si>
    <t>AUTOS Y REFACCIONES MOTOREN ZONA SUR SA DE CV</t>
  </si>
  <si>
    <t>AVENIDA MIGUEL ANGEL DE QUEVEDO 1030-A</t>
  </si>
  <si>
    <t>PARQUE SAN ANDRES</t>
  </si>
  <si>
    <t>JOAQUIN SAEZ SOMOSA GARCILAZO</t>
  </si>
  <si>
    <t>JUAN PABLO SAEZ</t>
  </si>
  <si>
    <t>VICTOR MANUEL RUIZ N</t>
  </si>
  <si>
    <t>HUGO PALACIOS PORRAS</t>
  </si>
  <si>
    <t>AMELIA ROJAS RODRIGUEZ </t>
  </si>
  <si>
    <t>GODOFREDO FRANCO GONZALEZ</t>
  </si>
  <si>
    <t>AUXILIAR VENDEDOR</t>
  </si>
  <si>
    <t>JUAN PABLO SAENZ</t>
  </si>
  <si>
    <t>JOSE GERARDO FERNANDEZ CALZADA</t>
  </si>
  <si>
    <t>OBRERO MUNDIAL 176</t>
  </si>
  <si>
    <t>GRUPO MEXCEL SA DE CV</t>
  </si>
  <si>
    <t>VISTA HERMOSA 4</t>
  </si>
  <si>
    <t>SAN MATEO IXTACALCO</t>
  </si>
  <si>
    <t>CUAUTITLAN IZCALLI</t>
  </si>
  <si>
    <t>MEXCEL CURIEL SA DE CV</t>
  </si>
  <si>
    <t>MARCO ANTONIO LUCAS SALAS</t>
  </si>
  <si>
    <t>AVENIDA INSTITUTO POLITECNICO NACIONAL 5421 ESQUINA CON CALLE JOSEURBANO FONSECA EDIFICIO 3 PLANTA BAJA</t>
  </si>
  <si>
    <t>BARRANCA DEL MUERTO 280 GUADALUPE INN</t>
  </si>
  <si>
    <t>MIGUEL BARBA CORTES</t>
  </si>
  <si>
    <t>SALVADOR BARBA CORTES</t>
  </si>
  <si>
    <t>MAVIK ANEL GARCIA MEJIA</t>
  </si>
  <si>
    <t>UNION DE TAXIS DE REFORMA Y RAMALES 2 AC</t>
  </si>
  <si>
    <t>IGNACIO ALTAMIRANO 27-A</t>
  </si>
  <si>
    <t>SAN RAFAEL </t>
  </si>
  <si>
    <t>GUILLERMO ARRIAGA RUIZ</t>
  </si>
  <si>
    <t>CHECADOR</t>
  </si>
  <si>
    <t>GERARDO CASTILLJOS MUCIÑO</t>
  </si>
  <si>
    <t>AVENIDA CANAL DE TEZONTLE SIN NUMERO EDIFICIO 10 DEPARTAMENTO 304</t>
  </si>
  <si>
    <t>PASEO DE CHURBUSCO</t>
  </si>
  <si>
    <t>ALTAPER SA DE CV</t>
  </si>
  <si>
    <t>LONDRES 188 QUINTO PISO </t>
  </si>
  <si>
    <t>PROMOCIONES INMOBILIARIAS DE REFORMA SA DE CV</t>
  </si>
  <si>
    <t>JOSE ANTONIO RODRIGUEZ LOEZ</t>
  </si>
  <si>
    <t>AVENIDA INSTITUTO POLITECNICO NACIONAL 5421 EDIFICIO 3 PLANTA BAJA</t>
  </si>
  <si>
    <t>FERNANDO RAMIREZ DURAN</t>
  </si>
  <si>
    <t>MARIANO RODRIGUEZ DLORES</t>
  </si>
  <si>
    <t>ALBERTO ROMERO ROMERO</t>
  </si>
  <si>
    <t>SUPERVISOR</t>
  </si>
  <si>
    <t>JOSE ANTONIO RODRIGUEZ LOPEZ</t>
  </si>
  <si>
    <t>EDUARDO VELAZQUEZ MORALES</t>
  </si>
  <si>
    <t>AVENIDA CATORCE 5 A INTERIOR 15</t>
  </si>
  <si>
    <t>UNIDAD CTM CULHUACAN</t>
  </si>
  <si>
    <t>NORMA MORA MALDONADO</t>
  </si>
  <si>
    <t>CUARENTA Y CUATRO A 90</t>
  </si>
  <si>
    <t>SANTA ROSA</t>
  </si>
  <si>
    <t>AVENIDA INSTITUTO POLITECNICO NACIONAL 5421  EDIFICO 3</t>
  </si>
  <si>
    <t>BARRANCA DEL MUERTO 280 </t>
  </si>
  <si>
    <t>EDUARDO CORONA OLVERA </t>
  </si>
  <si>
    <t>MARIA DEL ROSARIO GUERRERO GARCIA</t>
  </si>
  <si>
    <t>CHOFER DE SERVICIO PUBLICO</t>
  </si>
  <si>
    <t>MARIA VICTORIA REYES REYNOSA</t>
  </si>
  <si>
    <t>AUTOS SUPER CHEVROLET SA DE CV</t>
  </si>
  <si>
    <t>DOCTOR LA VISTA 123</t>
  </si>
  <si>
    <t>FEDERICO TREJO</t>
  </si>
  <si>
    <t>JOSE FELIX CAÑAS CRUZ</t>
  </si>
  <si>
    <t>AVENIDA IGNACIO ZARAGOZA 174</t>
  </si>
  <si>
    <t>MOCTEZUMA PRIMERA SECCION</t>
  </si>
  <si>
    <t>HOTEL RADISSON FLAMINGOS </t>
  </si>
  <si>
    <t>REVOLUCION 333 CASI ESQUINA CON TACUBA </t>
  </si>
  <si>
    <t>GIGAS SA DE CV</t>
  </si>
  <si>
    <t>NETZAHUALCOYOTL 26</t>
  </si>
  <si>
    <t>TENAYUCA</t>
  </si>
  <si>
    <t>TLALNEPANTLA</t>
  </si>
  <si>
    <t>JESUS ROJAS HERNANDEZ</t>
  </si>
  <si>
    <t>EFREN GARCIA RODRIGUEZ</t>
  </si>
  <si>
    <t>AVENIDA INSTITUTO POLITECNICO NACIONAL 5421 EDIFICIO 3</t>
  </si>
  <si>
    <t>MAGDALENA DE LAS SALNAS</t>
  </si>
  <si>
    <t>JOSE FELIPE AGUIRRE GONZALEZ</t>
  </si>
  <si>
    <t>MAURICIO CARREÑO BUZANY</t>
  </si>
  <si>
    <t>EUFRACIO RAMIREZ DE LA CRUZ</t>
  </si>
  <si>
    <t>SERVICIOS PUBLICOS</t>
  </si>
  <si>
    <t>SOLDADOR CALIFICADO</t>
  </si>
  <si>
    <t>VIATICOS</t>
  </si>
  <si>
    <t>RAMON ISLAS LUNA</t>
  </si>
  <si>
    <t>SARAI CASTILLO</t>
  </si>
  <si>
    <t>CORDILLERAS 61</t>
  </si>
  <si>
    <t>PILARES AGUILAS </t>
  </si>
  <si>
    <t>ROSAURA CASTILLERO PALENCIA</t>
  </si>
  <si>
    <t>JUAN CARÑLOS FRIAS FARIAS</t>
  </si>
  <si>
    <t>LIC ROSAURA CASTILLERO PALENCIA BUFETTE JURIDICO</t>
  </si>
  <si>
    <t>OPERADOR DE GRUA</t>
  </si>
  <si>
    <t>Chofer operador(a) de vehículos con grúa</t>
  </si>
  <si>
    <t>OSALDO OMAR JIMENEZ ALEMAN</t>
  </si>
  <si>
    <t>AUTOFINANCIAMIENTO TOTAL SA DE CV</t>
  </si>
  <si>
    <t>CALZADA DE LA VIGA 1306-1</t>
  </si>
  <si>
    <t>EL TRIUNFO</t>
  </si>
  <si>
    <t>AUTOFIN TOTAL SA DE CV</t>
  </si>
  <si>
    <t>EJECUTIVO DE VENTAS</t>
  </si>
  <si>
    <t>ALBERTO DA MENDOZA</t>
  </si>
  <si>
    <t>INCENTIVOS</t>
  </si>
  <si>
    <t>BONO POR ASISTENCIA</t>
  </si>
  <si>
    <t>BONO DE PUNTUALIDAD</t>
  </si>
  <si>
    <t>DIOSDADO GRAJEDA RAMSES ANUAR</t>
  </si>
  <si>
    <t>DONATO GUERRA 1 SEGUNDO PISO DESPACHO 202</t>
  </si>
  <si>
    <t>INTERM ADECCO SA DE CV</t>
  </si>
  <si>
    <t>MONTECITO 38 PISO 10 INTERIOR 28</t>
  </si>
  <si>
    <t>ANALISTA DE COBRANZA</t>
  </si>
  <si>
    <t>DULCE GONZALEZ RAB</t>
  </si>
  <si>
    <t>INCENTIVO MENSUAL</t>
  </si>
  <si>
    <t>MARIO RAMIREZ PEREZ</t>
  </si>
  <si>
    <t>AMEYALCO 23 DESPACHO 8</t>
  </si>
  <si>
    <t>LINEA DE AUTOTRANSPORTE RAPIDOS DE NEZAHUALCOYOTL CHIMALHUACAN SA DE CV</t>
  </si>
  <si>
    <t>LAUTEANO ESTUDILLO 120</t>
  </si>
  <si>
    <t>ZONA URBANO EJIDAL MARTHA ACATITLA</t>
  </si>
  <si>
    <t>GERARDO CAZARES LOPEZ</t>
  </si>
  <si>
    <t>GERARDO CAZARES CERON</t>
  </si>
  <si>
    <t>JAVIER CAZAREZ CERON</t>
  </si>
  <si>
    <t>ANDRES GARCIA RAMIREZ</t>
  </si>
  <si>
    <t>JESUS RAMIREZ YUDHO</t>
  </si>
  <si>
    <t>ADAN LOPEZ GONZALEZ</t>
  </si>
  <si>
    <t>GR Y ASOCIADOS</t>
  </si>
  <si>
    <t>DESPACHADOR</t>
  </si>
  <si>
    <t>RAUL EULICES RODRIGUEZ AVILA</t>
  </si>
  <si>
    <t>SOFIA ORTEGA BARRERA</t>
  </si>
  <si>
    <t>PROGRESO 146 LOCAL 2</t>
  </si>
  <si>
    <t>OFICIAL DE VESTIDURAS</t>
  </si>
  <si>
    <t>EVARISTO TORRES GUTIERREZ</t>
  </si>
  <si>
    <t>JUAN CARLOS MORALES HERRERA</t>
  </si>
  <si>
    <t>ALCANFOR MANZANA 45 LOTE 19</t>
  </si>
  <si>
    <t>EL MOLINO </t>
  </si>
  <si>
    <t>PATRICIA GUADALUPE AGUILAR SORIANO</t>
  </si>
  <si>
    <t>JOSE MOISES MONDRAGON HERRERA</t>
  </si>
  <si>
    <t>ESTIBADOR</t>
  </si>
  <si>
    <t>LUIS ALBERTO TORENTINO MORALES</t>
  </si>
  <si>
    <t>NOMBRE DEL DEMANDADO</t>
  </si>
  <si>
    <t>GEORGINA SANCHEZ OLGUIN</t>
  </si>
  <si>
    <t>SANTA MARGARITA 326</t>
  </si>
  <si>
    <t>INSURGENTES SAN BORJA</t>
  </si>
  <si>
    <t>SERVICIOS DE PERSONAL CORPORARTIVO ESPECIALIZADO SA DE CV</t>
  </si>
  <si>
    <t>AVENIDA COPILCO 236</t>
  </si>
  <si>
    <t>CONDOMINIO PARA EMPLEADOS FEDERALES</t>
  </si>
  <si>
    <t>EXCELENCIA AUTOMOTRIZ DE HIDALCO SA DE CV</t>
  </si>
  <si>
    <t>CARRETERA TULA-JOROBAS KILOMETRO 3 </t>
  </si>
  <si>
    <t>EL LLANO PRIMERA SECCION</t>
  </si>
  <si>
    <t>TULA DE ALLENDE</t>
  </si>
  <si>
    <t>SILVIA OBREGON</t>
  </si>
  <si>
    <t>JOSE ARMANDO PINEDO GUERRERO</t>
  </si>
  <si>
    <t>OMAR OLARTE ORTEGA</t>
  </si>
  <si>
    <t>JOSE ANTONIO MARTINEZ GONZALEZ</t>
  </si>
  <si>
    <t>JOSE MATA RIVERA</t>
  </si>
  <si>
    <t>FABIAN MATA RIVERA FRANCISCO</t>
  </si>
  <si>
    <t>ADMINISTRATIVO DE VENTAS</t>
  </si>
  <si>
    <t>BONO ANUAL</t>
  </si>
  <si>
    <t>SEGURO DE VIDA Y AUTOMOVIL</t>
  </si>
  <si>
    <t>BONO PUNTUALIDAD BONO POR BENEFICIOS FONDO DE AHORRO COMISIONES</t>
  </si>
  <si>
    <t>MARIA DE LOURDES ERIKA SOTELO ARROYO</t>
  </si>
  <si>
    <t>CHALCAS 36-A</t>
  </si>
  <si>
    <t>NUEVA TEZOZOMOC</t>
  </si>
  <si>
    <t>HUMBERTO NICOLAS RODRIGUEZ ESQUIVEL</t>
  </si>
  <si>
    <t>TREINTA Y DOS A 19</t>
  </si>
  <si>
    <t>SOFIA MAYA MORALES</t>
  </si>
  <si>
    <t>JESUS ADRIAN RODRIGUEZ MAYA</t>
  </si>
  <si>
    <t>EFRAIN GUTIERREZ ELIZALDE</t>
  </si>
  <si>
    <t>MARCO ANTONIO SOTELO ARROYO</t>
  </si>
  <si>
    <t>PATRICIA MARGARITA SOTELO ARROYO</t>
  </si>
  <si>
    <t>SECRETARIA</t>
  </si>
  <si>
    <t>COMPENSACION MENSUAL</t>
  </si>
  <si>
    <t>ALONDRA RIVERA GONZALEZ</t>
  </si>
  <si>
    <t>LUIS MOYA 50</t>
  </si>
  <si>
    <t>MATERIALES ELECTRONICOS TECNO LASSER SA DE CV</t>
  </si>
  <si>
    <t>FRANCISCO DEL PASO Y TRONCOSO 1090 </t>
  </si>
  <si>
    <t>JOVENTINO ROSAS</t>
  </si>
  <si>
    <t>ERIKA GONZALEZ GARCIA</t>
  </si>
  <si>
    <t>ALEJANDRO FUENTES FLORES</t>
  </si>
  <si>
    <t>ANTONIO YUSTES JIMENEZ</t>
  </si>
  <si>
    <t>LUIS ALBERTO CAMACHO CORTES</t>
  </si>
  <si>
    <t>JOSE ANTONIO MARTINEZ REYES</t>
  </si>
  <si>
    <t>ENCARGADA</t>
  </si>
  <si>
    <t>ERIKA GONZALEZ GARCIA YA LEJANRO FUENTES FLORES</t>
  </si>
  <si>
    <t>ANA LAURA CRUZ ESCOBAR</t>
  </si>
  <si>
    <t>DOCTOR LUCIO 127 DESPACHO 101 Y 102</t>
  </si>
  <si>
    <t>GINA LIZBETH TREJO JIMENEZ</t>
  </si>
  <si>
    <t>AVENIDA BUCARELI 118 LOCAL A</t>
  </si>
  <si>
    <t>ARTURO MORENO MIRANDA</t>
  </si>
  <si>
    <t>MAGDAENA DE LAS SALINAS</t>
  </si>
  <si>
    <t>ALEJANDRO CARDOSO ZAMORA</t>
  </si>
  <si>
    <t>TANIA CARDOSO VERGARA</t>
  </si>
  <si>
    <t>ALEJANDRO CARDOSO ZAMORA ABOGADOS ASOSCIADOS</t>
  </si>
  <si>
    <t>GINA LIZBETH TREJO JIMENEZ Y ARTURO MORENO MIRANDA</t>
  </si>
  <si>
    <t>RAUL VICENTE QUINTANAL</t>
  </si>
  <si>
    <t>DOCTOR ERZO 85-715</t>
  </si>
  <si>
    <t>ANTONIO MARILES N</t>
  </si>
  <si>
    <t>SANTIAGO DE LA VEGA 871 ESQUINA LUIS GARCIA </t>
  </si>
  <si>
    <t>SANTA MARTHA ACATLTLA</t>
  </si>
  <si>
    <t>PAOLA RODRIGUEZ AGUILAR</t>
  </si>
  <si>
    <t>FERNANDO VENEGAS RAMIREZ</t>
  </si>
  <si>
    <t>BASILIO VENEGAS RAMIREZ</t>
  </si>
  <si>
    <t>BUFET E JURIDICO LABOREA: JURES ET DE JURE</t>
  </si>
  <si>
    <t>PRIMA DOMINICAL</t>
  </si>
  <si>
    <t>BONO DE PRODUCTIVIDAD AYUDA PARA COMIDAS AYUDA PARA PASAJES HORAS EXTRAS</t>
  </si>
  <si>
    <t>ROCIO SALAS</t>
  </si>
  <si>
    <t>MONTE PELVOUX 110 DESPACHO 40</t>
  </si>
  <si>
    <t>LOMAS DE CHAPULTEPEC</t>
  </si>
  <si>
    <t>CENTRO DE VERIFICACION ALVARO OBREGON SA DE CV</t>
  </si>
  <si>
    <t>AVENIDA VASCO DE QUIROGA 1552</t>
  </si>
  <si>
    <t>SANTA FE</t>
  </si>
  <si>
    <t>INGENIERIA Y CONTROL VEHICULAR SA DE CV</t>
  </si>
  <si>
    <t>AVENIDA VASCO DE QUIROGA 1494</t>
  </si>
  <si>
    <t>ADRIAN TOLENTINO TEYTUD</t>
  </si>
  <si>
    <t>JOVANY D FLORES MARTINEZ</t>
  </si>
  <si>
    <t>LEONARDO GUZMAN LAGARDE</t>
  </si>
  <si>
    <t>CAPTURISTA</t>
  </si>
  <si>
    <t>MIGUEL ANGEL ROMERO VALLEJO</t>
  </si>
  <si>
    <t>NICOLAS CERON VAZQUEZ</t>
  </si>
  <si>
    <t>JOSE ANTONIO TORRES 792</t>
  </si>
  <si>
    <t>VIADUCTO PIEDAD</t>
  </si>
  <si>
    <t>BULGAS SA DE CV</t>
  </si>
  <si>
    <t>AVENIDA GUADALUPE POSADAS PARCELA 29</t>
  </si>
  <si>
    <t>SANTA CATARINA</t>
  </si>
  <si>
    <t>CHALCO</t>
  </si>
  <si>
    <t>RAUL GONZALEZ MARTELL</t>
  </si>
  <si>
    <t>MARITZA GONZALEZ MARTELL</t>
  </si>
  <si>
    <t>BLANCA MARTINEZ MARTINEZ</t>
  </si>
  <si>
    <t>ALEJANDRO VARELA RIVERA</t>
  </si>
  <si>
    <t>JORGE VARELA ROJAS</t>
  </si>
  <si>
    <t>MIGUEL YANEZ ALCANTARA</t>
  </si>
  <si>
    <t>LIC. ALEJANDRO VARELA RIVERA </t>
  </si>
  <si>
    <t>FILADELFO ORLANDO SANCHEZ GARCIA</t>
  </si>
  <si>
    <t>LOPEZ SANTOS GRUAS Y TRANPORTES SA DE CV</t>
  </si>
  <si>
    <t>AVENIDA TRABAJADORES SOCIAES 1011 </t>
  </si>
  <si>
    <t>BARRIO SAN PEDRO</t>
  </si>
  <si>
    <t>FERNANDO LOPEZ</t>
  </si>
  <si>
    <t>ANTONIO SANCHEZ </t>
  </si>
  <si>
    <t>JOSE LUIS VAZQUEZ PEREZ</t>
  </si>
  <si>
    <t>CONSTRUCCION</t>
  </si>
  <si>
    <t>ANTONIO SANCHEZ</t>
  </si>
  <si>
    <t>CATEGORIA Y CIRCUNSTANCIAS DEL DESPIDO</t>
  </si>
  <si>
    <t>ANTON JOSEPH MUENCH JOSLYN</t>
  </si>
  <si>
    <t>RUIO GUADIANA 9</t>
  </si>
  <si>
    <t>CUAUHTEMOC</t>
  </si>
  <si>
    <t>DESARROLLO UNIVERSAL DE PROYECTOS SA DE CV</t>
  </si>
  <si>
    <t>CLAVEL 224</t>
  </si>
  <si>
    <t>ATLAMPA</t>
  </si>
  <si>
    <t>WILL &amp; BAUMER SA DE CV</t>
  </si>
  <si>
    <t>MARIANO LATAPI RAMIRES</t>
  </si>
  <si>
    <t>RODRIGUEZ LATAPI RAMIREZ</t>
  </si>
  <si>
    <t>JOSE IGNACIO MARQUEZ PERERA</t>
  </si>
  <si>
    <t>RAMON IGNACIO BETETA SORGATO</t>
  </si>
  <si>
    <t>EDUARDO MORENO MEDINA</t>
  </si>
  <si>
    <t>MARIANO LATAPI RAMIREZ</t>
  </si>
  <si>
    <t>SALVADOR GARCIA HERNANDEZ</t>
  </si>
  <si>
    <t>TONALA 26 BIS ESQUINA LEON DE LOS ALDAMA</t>
  </si>
  <si>
    <t>SIIPAE SA DE CV</t>
  </si>
  <si>
    <t>ORIENTE CIENTO SETENTA Y UNO 385</t>
  </si>
  <si>
    <t>AMPLIACION SAN JUAN DE ARAGON</t>
  </si>
  <si>
    <t>HOLDERS SC</t>
  </si>
  <si>
    <t>XOCHICALCO 577</t>
  </si>
  <si>
    <t>VERTIZ</t>
  </si>
  <si>
    <t>MARIO RAMON SALAS BANUET</t>
  </si>
  <si>
    <t>JOSE LUIS MILAN AGUILAR</t>
  </si>
  <si>
    <t>CARMEN JULIA LOPEZ DE LOS COBOS</t>
  </si>
  <si>
    <t>SERGIO RAMON SALAS CRUZ</t>
  </si>
  <si>
    <t>DIEGO ARENAS GUZMAN 178</t>
  </si>
  <si>
    <t>IZTACCIHUATL</t>
  </si>
  <si>
    <t>AGENCIA ADUANAL KN SC</t>
  </si>
  <si>
    <t>MATAMOROS 104</t>
  </si>
  <si>
    <t>PEÑON DE LOS BAÑOS</t>
  </si>
  <si>
    <t>CORPORATIVO ENCISO SC</t>
  </si>
  <si>
    <t>JOSE FLORES PRUNEDA</t>
  </si>
  <si>
    <t>FELIPE MORALES VALDES</t>
  </si>
  <si>
    <t>OMAR MENDOZA GARCIA</t>
  </si>
  <si>
    <t>COORDINADOR DE OPERACIÓN EN ADUANA</t>
  </si>
  <si>
    <t>EDMUNDO OSCAR ENCINO VILLAREAL</t>
  </si>
  <si>
    <t>EFREN DEL AGUA Y CULEBRO GOMEZ</t>
  </si>
  <si>
    <t>JUAN JOSE RUIZ</t>
  </si>
  <si>
    <t>CALZADA IGNACIO ZARAGOZA 192</t>
  </si>
  <si>
    <t>OMAR RUIZ ZAMORANO</t>
  </si>
  <si>
    <t>AIDE HUERTA BALDERRAMA</t>
  </si>
  <si>
    <t>CERRO HUITZILAC 114</t>
  </si>
  <si>
    <t>CAMPESTRE CHURUBUSCO</t>
  </si>
  <si>
    <t>MARIO CENTRAL DE TRANSPORTES ORGANIZADOS SC DE RL DE CV</t>
  </si>
  <si>
    <t>DOCTOR ATL 82</t>
  </si>
  <si>
    <t>SANTA MARIA LA RIBERA</t>
  </si>
  <si>
    <t>MARIO HURTADO VAZQUEZ</t>
  </si>
  <si>
    <t>JAVIER HERNANDEZ SALDAÑA</t>
  </si>
  <si>
    <t>DAVID HURTADO VAZQUEZ</t>
  </si>
  <si>
    <t>ADRIANA MARCELA HERNANDEZ AGULERA</t>
  </si>
  <si>
    <t>RICARDO M SAAVEDRA GUERRRO</t>
  </si>
  <si>
    <t>ARMANDO AMADOR MENDEZ</t>
  </si>
  <si>
    <t>SAAVEDRA GUERRERO ABOGADOS</t>
  </si>
  <si>
    <t>OPERADOR DE RADIO</t>
  </si>
  <si>
    <t>MARIO HURTADO VAZQUEZ Y DAVID HURTADO VAZQUEZ</t>
  </si>
  <si>
    <t>EDGAR GASPAR SEVILLA TREJO</t>
  </si>
  <si>
    <t>VASCO DE QUIROGA 3900 TORRE A PISO 21 SUITE 21-01</t>
  </si>
  <si>
    <t>AUTOSERVICIOS BELEM SA DE CV</t>
  </si>
  <si>
    <t>CALZADA DE TALPAN 424 ESQUINA CORUÑA </t>
  </si>
  <si>
    <t>ROSARIO DE LAS MERCEDES RACHED DE JUAMBELZ</t>
  </si>
  <si>
    <t>IVONNE ZEPEDA SOTO</t>
  </si>
  <si>
    <t>RICARDO POSLANA ANAYA</t>
  </si>
  <si>
    <t>CHISTIAN ANDRES ROMERO JIMENEZ</t>
  </si>
  <si>
    <t>ENCARGADO Y DESPACHADOR DE GASOLINA</t>
  </si>
  <si>
    <t>Gasolinero(a), oficial</t>
  </si>
  <si>
    <t>JULIO CESAR BARBA CALDERON</t>
  </si>
  <si>
    <t>DESPACHADOR DE GASOINA</t>
  </si>
  <si>
    <t>EDMUNDO GONZALO VAZQUEZ FLORES</t>
  </si>
  <si>
    <t>MARIA DE JESUS VILLANUEVA HERNANDEZ</t>
  </si>
  <si>
    <t>REGINA 70 INTERIOR 303</t>
  </si>
  <si>
    <t>GRUPO ORIENTAL SA DE CV</t>
  </si>
  <si>
    <t>VICENTE VILLADA 142</t>
  </si>
  <si>
    <t>VILLA GUSTAVO A MADERO</t>
  </si>
  <si>
    <t>EDGAR CUELLAR FERNANDEZ</t>
  </si>
  <si>
    <t>EDGAR ULISES CUELLAR VERA</t>
  </si>
  <si>
    <t>CLAUDIA CABALLERO HERNANDEZ</t>
  </si>
  <si>
    <t>EDGAR CUELLAR &amp; ASOCIADOS CONSULTORIA LEGAL</t>
  </si>
  <si>
    <t>JEFA DE TALLER</t>
  </si>
  <si>
    <t>CLARA TREJO PLATA</t>
  </si>
  <si>
    <t>CHRISTIAN SELENE MUNGUIA OCHOA</t>
  </si>
  <si>
    <t>DOCTOR RAFAEL LUCIO 232 DESPACHO 5</t>
  </si>
  <si>
    <t>TODOPROMO SA DE CV</t>
  </si>
  <si>
    <t>MIGUEL LOREÑA 39</t>
  </si>
  <si>
    <t>SAN JOSE INSURGENTES</t>
  </si>
  <si>
    <t>JUAN MEDINA STAINES </t>
  </si>
  <si>
    <t>JULIO CESAR VENEGAS HERNANDEZ</t>
  </si>
  <si>
    <t>JUAN MEDINA DOMENZAIN</t>
  </si>
  <si>
    <t>GERMAN LARRINAGA GARCIA</t>
  </si>
  <si>
    <t>ARMANDO REYES GARCIA</t>
  </si>
  <si>
    <t>GERMAN ANIBAL LARRINAGA CASTRO</t>
  </si>
  <si>
    <t>LARRINAGA &amp; VARGAS</t>
  </si>
  <si>
    <t>EJECUTIVO DE CUENTA</t>
  </si>
  <si>
    <t>JULIO CESAR VANEGAS HERNANDEZ</t>
  </si>
  <si>
    <t>JUAN ANTONIO APOLINAR CHAVEZ</t>
  </si>
  <si>
    <t>NICOLAS BRAVO 59</t>
  </si>
  <si>
    <t>LA MORA</t>
  </si>
  <si>
    <t>ECATEPEC DE MORELOS</t>
  </si>
  <si>
    <t>ARTURO VAZQUEZ LOPEZ</t>
  </si>
  <si>
    <t>MINAS DE ARENA 12</t>
  </si>
  <si>
    <t>COVE</t>
  </si>
  <si>
    <t>GUSTAVO PEREZ PADILLA</t>
  </si>
  <si>
    <t>JOSE MANUEL FONSECA SANCHEZ</t>
  </si>
  <si>
    <t>MARIA SOFIA FONSECA SANCHEZ</t>
  </si>
  <si>
    <t>JOSE MANIEL FONSECA SANCHEZ</t>
  </si>
  <si>
    <t>DESPACHO JURIDICO FONSECA Y ABOGADOS</t>
  </si>
  <si>
    <t>MARIA ISABEL SALAS DE SANTIAGO</t>
  </si>
  <si>
    <t>AVENIDA BAJA CALIFORNIA 210 DESPACHO 205</t>
  </si>
  <si>
    <t>PRESTADORA DE SERVICIOS MANZANO SA DE CV</t>
  </si>
  <si>
    <t>LONDRES 161 TORRE A 78</t>
  </si>
  <si>
    <t>INTERMEDIACION Y ADMINISTRACION DE NEGOCIOS SA DE CV</t>
  </si>
  <si>
    <t>JOSE ALDO MOLINA GARCIA</t>
  </si>
  <si>
    <t>OSCAR YUÑEZ </t>
  </si>
  <si>
    <t>VICTOR ANAYA</t>
  </si>
  <si>
    <t>SARA GOMEZ LUGO</t>
  </si>
  <si>
    <t>VERONICA GONZALEZ IBAÑEZ</t>
  </si>
  <si>
    <t>LUIS REYNOSO QUEZADA</t>
  </si>
  <si>
    <t>CONSULTORIA LABORAL</t>
  </si>
  <si>
    <t>SUPERVISORA DE GESTORES</t>
  </si>
  <si>
    <t>JOSE ALDO MILINA GARCIA</t>
  </si>
  <si>
    <t>BONO POR RECUPERACION</t>
  </si>
  <si>
    <t>PORFIRIO HERNANDEZ REYES</t>
  </si>
  <si>
    <t>SERIMERE SA DE CV</t>
  </si>
  <si>
    <t>MEXICO 141</t>
  </si>
  <si>
    <t>VIVEROS</t>
  </si>
  <si>
    <t>MIRNA SOTELO </t>
  </si>
  <si>
    <t>JUAN ANTONIO CASADO</t>
  </si>
  <si>
    <t>ENCARGADO DE MANTENIMIENTO</t>
  </si>
  <si>
    <t>NOMBRE ACTOR</t>
  </si>
  <si>
    <t>MIRANDA HERNANDEZ DIANA ISELA</t>
  </si>
  <si>
    <t>AVENIDA CHAPULTEPEC 57 CUARTO PISO</t>
  </si>
  <si>
    <t>CERTE CONSULTORES SC</t>
  </si>
  <si>
    <t>HERIBERTO FRIAS 1527-401 PRIMER PISO</t>
  </si>
  <si>
    <t>SOLUCIONES ACERTIVAS CERTE SC</t>
  </si>
  <si>
    <t>SERVICIOS TECNICOS DOF SA DE CV</t>
  </si>
  <si>
    <t>AVENIDA INSURGENTES SUR 800 PISO 14</t>
  </si>
  <si>
    <t>PEDRO ARTURO SALCEDO SALINAS </t>
  </si>
  <si>
    <t>ARTURO GARCIA ROQUE </t>
  </si>
  <si>
    <t>OSWALDO NOE GOMEZ ESPINOSA</t>
  </si>
  <si>
    <t>BUFETE SALCEDO &amp; SALINAS ABOGADOS</t>
  </si>
  <si>
    <t>TAGGER DOFISCAL</t>
  </si>
  <si>
    <t>EDGAR HERNANDEZ ROJA</t>
  </si>
  <si>
    <t>ALBERTO ESTANISLAO LOPEZ</t>
  </si>
  <si>
    <t>LOPEZ 43-302</t>
  </si>
  <si>
    <t>EZEQUIEL ROJAS SANCHEZ TRANSPORTE ROJAS SA DE CV</t>
  </si>
  <si>
    <t>CALZADA PUENTE DE GUERRA 82 ENTRE AVENIDA ROSARIO Y HUITZILIN</t>
  </si>
  <si>
    <t>TIERRA NUEVA</t>
  </si>
  <si>
    <t>BERNARDO HORACIO GALICIA ROMERO</t>
  </si>
  <si>
    <t>JUAN REYES RODRIGUEZ </t>
  </si>
  <si>
    <t>VIDAL GALICIA ROMERO</t>
  </si>
  <si>
    <t>GALICIA ROMERO &amp; ASOCIADOS ABOGADOS</t>
  </si>
  <si>
    <t>TRANSPORTE DE CARGA</t>
  </si>
  <si>
    <t>OPERADOR</t>
  </si>
  <si>
    <t>EZEQUIE ROJAS SANCHEZ</t>
  </si>
  <si>
    <t>GREGORIO CEDILLO HERNANDEZ</t>
  </si>
  <si>
    <t>GABINO BARRERA 134</t>
  </si>
  <si>
    <t>SAN RAFAEL</t>
  </si>
  <si>
    <t>AUTO TRANSPORTE SAN PEDRO SANTA CLARA KILOMETRO 20 SA DE CV</t>
  </si>
  <si>
    <t>IXNAHUALTONGO 106</t>
  </si>
  <si>
    <t>LORENZO BOTURINI</t>
  </si>
  <si>
    <t>DELEACION VENUSTIANO CARRANZA</t>
  </si>
  <si>
    <t>AUTOBUSES URBANOS Y SUBURBANOS DE ECATEPEC SA DE CV</t>
  </si>
  <si>
    <t>JOSE ANTONIO FRIAS CASTAÑEDA</t>
  </si>
  <si>
    <t>RAFAEL ROMERO HERNANDEZ</t>
  </si>
  <si>
    <t>JOSE ULISES OSORIO CRUZ</t>
  </si>
  <si>
    <t>KARINA S CARDENAS MURILLO</t>
  </si>
  <si>
    <t>MIGUEL OSORIO CRUZ</t>
  </si>
  <si>
    <t>ANDRES CEDILLO HERNANDEZ</t>
  </si>
  <si>
    <t>AUXILIAR DESPACHADOR</t>
  </si>
  <si>
    <t>JESUS MANUEL OROPEZA RIVERA</t>
  </si>
  <si>
    <t>JELY CREATIVE AGENCY SA DE CV</t>
  </si>
  <si>
    <t>JOSE MARIA RICO N 102 DESPACHO 403</t>
  </si>
  <si>
    <t>LISSETTE A RIVERA DUARTE</t>
  </si>
  <si>
    <t>ISRAEL BERNARDO TORRES COATZIN</t>
  </si>
  <si>
    <t>GUILLERMO VARGAS FLOTES</t>
  </si>
  <si>
    <t>MARIA DEL CARMEN PRD'HOMME ZECUA</t>
  </si>
  <si>
    <t>PROMOTOR DE AUTOSERVICIO</t>
  </si>
  <si>
    <t>OSCAR ADRIAN ZAVALA PULIDO</t>
  </si>
  <si>
    <t>GRUPO CUEVAS SA DE CV</t>
  </si>
  <si>
    <t>NEWTON 16</t>
  </si>
  <si>
    <t>POLANCO </t>
  </si>
  <si>
    <t>AMADEO CUEVAS </t>
  </si>
  <si>
    <t>MANUEL ESCOBAR </t>
  </si>
  <si>
    <t>Chofer acomodador(a) de automóviles en estacionamientos</t>
  </si>
  <si>
    <t>AMADEO CUEVAS</t>
  </si>
  <si>
    <t>FRANCISCO JAVIER RIVERA ALEMAN</t>
  </si>
  <si>
    <t>MAPOWER SA DE CV</t>
  </si>
  <si>
    <t>AVENIDA INSURGENTES 688 TERCER PISO </t>
  </si>
  <si>
    <t>ARACELI OSORIO</t>
  </si>
  <si>
    <t>HUGO ESQUIVEL </t>
  </si>
  <si>
    <t>ITZAL URBAN</t>
  </si>
  <si>
    <t>OPERADOR TELEFONICO</t>
  </si>
  <si>
    <t>ITZEL URBAN</t>
  </si>
  <si>
    <t>JUANA MARIA ELIZONDO IBAÑEZ</t>
  </si>
  <si>
    <t>TEGO SERVICIOS SA DE CV</t>
  </si>
  <si>
    <t>VENADO 31</t>
  </si>
  <si>
    <t>LOS OLIVOS </t>
  </si>
  <si>
    <t>RUFFO EDUARDO FIGUEROA SMUTY</t>
  </si>
  <si>
    <t>SARA ESTHER HERNANDEZ ARIAS</t>
  </si>
  <si>
    <t>METODIO PELAEZ</t>
  </si>
  <si>
    <t>AUXILIAR DE RECURSOS HUMANOS</t>
  </si>
  <si>
    <t>RUFFO EDUARDO FIGUEROA SMUTNY</t>
  </si>
  <si>
    <t>JUAN RAMOS GARCIA</t>
  </si>
  <si>
    <t>ISABEL LA CATOLICA 931 INTERIOR ALTOS 3</t>
  </si>
  <si>
    <t>MIGUEL ALEMAN</t>
  </si>
  <si>
    <t>RENE GOMEZ FARIAS Y AVARADO</t>
  </si>
  <si>
    <t>FRENTE 7 SECCION I EDIFICIO C DEPARTAMENTO 102</t>
  </si>
  <si>
    <t>CHINAMPAC DE JUAREZ</t>
  </si>
  <si>
    <t>CESAR GOMEZ FARIAS CUEVAS</t>
  </si>
  <si>
    <t>MARIA TERESA CUEVAS</t>
  </si>
  <si>
    <t>OSCAR ASCENCIO RETOLAZA</t>
  </si>
  <si>
    <t>JONATHAN SOL ZARZA</t>
  </si>
  <si>
    <t>RENE GOMEZ FARIAS Y ALVARADO</t>
  </si>
  <si>
    <t>ANA LILIA HERNANDEZ  MARTINEZ</t>
  </si>
  <si>
    <t>BELISALIO DOMINGUEZ 64</t>
  </si>
  <si>
    <t>MIGUEL HIDALGO </t>
  </si>
  <si>
    <t>ESTRATEGIA EN PREVISION SA DE CV</t>
  </si>
  <si>
    <t>TIHUATLAN 41 INTERIOR 101</t>
  </si>
  <si>
    <t>SAN JERONIMO ACULCO</t>
  </si>
  <si>
    <t>OBJETIVOS METAS Y RSULTADOS SC</t>
  </si>
  <si>
    <t>PREVISION LABORAL SA DE CV</t>
  </si>
  <si>
    <t>CORPORATIVO ASERH SC DE RL DE CV</t>
  </si>
  <si>
    <t>ALEJANDRO IBARROLA COLLANTES</t>
  </si>
  <si>
    <t>SERGIO RUESGA CARBONELL</t>
  </si>
  <si>
    <t>WILFRIDO HERNANDEZ MARTINEZ </t>
  </si>
  <si>
    <t>ADRIANA HERRERA SALAS</t>
  </si>
  <si>
    <t>OPERADOR IMSS</t>
  </si>
  <si>
    <t>CESAR CRUZ CAMARENA</t>
  </si>
  <si>
    <t>ENRIQUE BETANCOURT TROCONIS</t>
  </si>
  <si>
    <t>ALVARO OBREGON 151 PISO TRECE DESPACHO 1301</t>
  </si>
  <si>
    <t>ROMA </t>
  </si>
  <si>
    <t>CENTRAL CORPORATIVA DE MEDIOS S DE RL DE CV</t>
  </si>
  <si>
    <t>EDGAR ALLAN POE 236 </t>
  </si>
  <si>
    <t>POLANCO REFORMA</t>
  </si>
  <si>
    <t>IVAN DAVID ALMADA PUENTE </t>
  </si>
  <si>
    <t>FERNANDO MACIAS LOVERA</t>
  </si>
  <si>
    <t>ALEJANDRA MORENO RIVERA</t>
  </si>
  <si>
    <t>ALMADA SC</t>
  </si>
  <si>
    <t>DIRECTOR COMERCIAÑ</t>
  </si>
  <si>
    <t>CESAR ADERETE GARCIA</t>
  </si>
  <si>
    <t>EDITH SALTO GUTIERREZ</t>
  </si>
  <si>
    <t>LUZ SAVIÑON 2007 DESPACHO 210</t>
  </si>
  <si>
    <t>NARVARTE </t>
  </si>
  <si>
    <t>CORPORRATIVO DE NEGOCIOS Y RECIRSOS HUMANOS DEL RECREO SCP</t>
  </si>
  <si>
    <t>RESIDENCE L'HERITAGE SC</t>
  </si>
  <si>
    <t>LAGO HIELMAR 96</t>
  </si>
  <si>
    <t>JAIME KABABIE SACAL</t>
  </si>
  <si>
    <t>ALTA INTENSION Y DESARROLLO SA DE CV</t>
  </si>
  <si>
    <t>SAN BERNANRDO 14-B</t>
  </si>
  <si>
    <t>LA CONDESA</t>
  </si>
  <si>
    <t>ATIZAPAN DE ZARAGOZA</t>
  </si>
  <si>
    <t>MAURICIO ALVAREZ CISNEROS</t>
  </si>
  <si>
    <t>DAVID GARCIA MEJIA</t>
  </si>
  <si>
    <t>JOSUE AARON PEGUERO PEREZ</t>
  </si>
  <si>
    <t>ADMINISTRADORA RESERVACIONES EJECUTIVAS DE VENTAS</t>
  </si>
  <si>
    <t>RAUL HERREA ALVAREZ</t>
  </si>
  <si>
    <t>DOCTOR VERTIZ 137</t>
  </si>
  <si>
    <t>ANTONIO CORONA RAMOS </t>
  </si>
  <si>
    <t>CABO CATCHE MANZANA 1 LOTE 2</t>
  </si>
  <si>
    <t>GABRIEL HERNANDEZ</t>
  </si>
  <si>
    <t>LILIA ROJO GONZALEZ</t>
  </si>
  <si>
    <t>JOSUE MANCILLA GUTIERREZ</t>
  </si>
  <si>
    <t>ADMINISTRADOR</t>
  </si>
  <si>
    <t>AMELIA DEL CARMEN OSNAYA CORONA</t>
  </si>
  <si>
    <t>ALEJANDRO SANCHEZ ALVAREZ</t>
  </si>
  <si>
    <t>ABUNDIO LOPEZ FLORES</t>
  </si>
  <si>
    <t>DOCTOR JOSE MARIA VERTIZ 109 INTERIOR 103</t>
  </si>
  <si>
    <t>CARLOS CAMPOS SOLIS</t>
  </si>
  <si>
    <t>C MANZANA 3 NUMERO 43</t>
  </si>
  <si>
    <t>EDUCACION</t>
  </si>
  <si>
    <t>RODOLFO RAMIREZ BASTIDA</t>
  </si>
  <si>
    <t>NOEMI ARCHUNDIA CARREON</t>
  </si>
  <si>
    <t>JOSE ACACIO ZAMORA AGUSTIN</t>
  </si>
  <si>
    <t>MG ABOGADOS</t>
  </si>
  <si>
    <t>COORDINADOR DE SUCURSAL</t>
  </si>
  <si>
    <t>ALAN CHRISTOPHER GARCIA CASTILLO</t>
  </si>
  <si>
    <t>PROMOTOR </t>
  </si>
  <si>
    <t>ELVIA CRUZ JUAREZ</t>
  </si>
  <si>
    <t>ENRIQUE RAMIREZ MENDOZA</t>
  </si>
  <si>
    <t>SALGADO 13 PRIMER PISO</t>
  </si>
  <si>
    <t>BUENAVISTA </t>
  </si>
  <si>
    <t>INMOBILIARIA Y ADMINISTRADORA SAR SA DE CV</t>
  </si>
  <si>
    <t>HAMBURGO 70 DESPACHO 202</t>
  </si>
  <si>
    <t>EZEQUIEL PUNEDA SALCEDO</t>
  </si>
  <si>
    <t>EZEQUIEL PINEDA NAVA</t>
  </si>
  <si>
    <t>MARIA EUGENIA CORONA GARCIA</t>
  </si>
  <si>
    <t>ASESORES DE TRABAJADORES</t>
  </si>
  <si>
    <t>ACOMODADOR DE VEHICULOS</t>
  </si>
  <si>
    <t>EDUARDO SERRANO</t>
  </si>
  <si>
    <t>PROPINAS</t>
  </si>
  <si>
    <t>MAL ESCANEADO, NO SE VE BIEN LA DIRECCION DEL ACTOR</t>
  </si>
  <si>
    <t>LUIS FRANCISCO MUÑOS PALOS</t>
  </si>
  <si>
    <t>TURISMO Y AUTOBUSES MEXICO TOLUCA TRIANGUO FLECHA SA DE CV</t>
  </si>
  <si>
    <t>AVENIDA SUR CIENTO VENTIDOS 232</t>
  </si>
  <si>
    <t>REAL DEL MONTE</t>
  </si>
  <si>
    <t>AMALIA VALDOVIDOS VARGAS</t>
  </si>
  <si>
    <t>AVENIDA PASEO DE LA REFORMA 476 SEXTO PISO DEPARTAMENTO DE LITIGIOS LABORALES</t>
  </si>
  <si>
    <t>MIGUEL F BARBA CORTES</t>
  </si>
  <si>
    <t>JULIO ARROYO FLORES</t>
  </si>
  <si>
    <t>LUIS ENRIQUE SANCHEZ RIVERA</t>
  </si>
  <si>
    <t>SINDICATO DE TRABAJADORES Y EMPLEADOS DE SERVICIO GENERAL TRANSPORTE SEGURIDAD Y RSGUARDO DE VALORES SIMILARES Y CONEXOS DEL DF</t>
  </si>
  <si>
    <t>OPERADOR DE AUTOBUS</t>
  </si>
  <si>
    <t>AMALIA VALDOMINOS VARGAS</t>
  </si>
  <si>
    <t>YAMEL MONSERRAT GARCIA </t>
  </si>
  <si>
    <t>MP MARKETING CROUP SA DE CV</t>
  </si>
  <si>
    <t>AVENIDA MEXICOO 141</t>
  </si>
  <si>
    <t>MPQ ASESORES INTEGRALES SA DE CV</t>
  </si>
  <si>
    <t>GUILLERMINA MERINO BALLINA</t>
  </si>
  <si>
    <t>COMUNICACION</t>
  </si>
  <si>
    <t>COORDINADO DE CUENTAS</t>
  </si>
  <si>
    <t>ROSA DANIELA MARTINEZ URGELL</t>
  </si>
  <si>
    <t>AYUNTAMIENTO 141 PRIMER PISO</t>
  </si>
  <si>
    <t>SHAHIRA ALHELI ESCALANTE FLORES</t>
  </si>
  <si>
    <t>PORVENIR 155 EDIFICIO GLADIOLA DEPARTAMENTO 102</t>
  </si>
  <si>
    <t>VICTOR MANUEL ZENTENO HIDALGO</t>
  </si>
  <si>
    <t>REYNA MARLENE ALVAREZ RAMIREZ</t>
  </si>
  <si>
    <t>MARIIA TERESA ALVAREZ LORENZO</t>
  </si>
  <si>
    <t>JOSE IVAN OROZCO PEÑA</t>
  </si>
  <si>
    <t>AVENIDA DEL TALLER RETORNO CUARENTA Y DOS 21</t>
  </si>
  <si>
    <t>JARDIN BALBUENA</t>
  </si>
  <si>
    <t>TLAHUAC MOTORS SA DE CV</t>
  </si>
  <si>
    <t>AVENIDA TLAHUAC 4799</t>
  </si>
  <si>
    <t>EL VERGEL </t>
  </si>
  <si>
    <t>RED RECURSO ESPECIALIZADO SA DE CV</t>
  </si>
  <si>
    <t>SERVICIOS EMPRESARIALES DE ALTA CALIDAD SA DE CV</t>
  </si>
  <si>
    <t>JORGE ALFEREZ DELGADO</t>
  </si>
  <si>
    <t>JORGE GUERRERO CORONA</t>
  </si>
  <si>
    <t>FERNANDO SALINAS ALMAGUER</t>
  </si>
  <si>
    <t>JUAN DE PAZ SOLIS</t>
  </si>
  <si>
    <t>ASESOR DE VENTAS</t>
  </si>
  <si>
    <t>FILIBERTO GUZMAN MORALES</t>
  </si>
  <si>
    <t>PASEO DE LA REFORMA 322 PRIMER PISO</t>
  </si>
  <si>
    <t>RHS ASESORES SA DE CV</t>
  </si>
  <si>
    <t>DURANGO 263 PISO 4</t>
  </si>
  <si>
    <t>JUAN HERNANDEZ GOMEZ</t>
  </si>
  <si>
    <t>TRANSMISSION SUPERVISOR</t>
  </si>
  <si>
    <t>PAGO DE PRESTACIONES</t>
  </si>
  <si>
    <t>MUERTE</t>
  </si>
  <si>
    <t>MARIBEL CAMACHO RAMON</t>
  </si>
  <si>
    <t>LERDO 272 EDIFICIO FRANCISCO ZARCO ENTRADA A INTERIOR 4 </t>
  </si>
  <si>
    <t>UNIDAD HABITACIONAL NONOALCO TLATELOLCO</t>
  </si>
  <si>
    <t>300 YELLOW CAB AC</t>
  </si>
  <si>
    <t>GUERRA Y MARINA 124</t>
  </si>
  <si>
    <t>CUATRO ARBOLES</t>
  </si>
  <si>
    <t>RAMON ADRIAN SOSA ESCOBAR</t>
  </si>
  <si>
    <t>ENRIQUE RUVALCABA ORDAZ</t>
  </si>
  <si>
    <t>JOSE LUIS ANGUIANO PEREZ</t>
  </si>
  <si>
    <t>RAUL HUERTA LANDIN</t>
  </si>
  <si>
    <t>SERGIO TAPIA PEREZ</t>
  </si>
  <si>
    <t>CARLOS DE JESUS SERRANO CAMARA</t>
  </si>
  <si>
    <t>ROLANDO MIGUEL FERNANDEZ RUIZ</t>
  </si>
  <si>
    <t>CAJERA</t>
  </si>
  <si>
    <t>JOAQUIN ARMANDO LOZANO CARMONA</t>
  </si>
  <si>
    <t>DOCTOR MORONES PRIETO 85 TORREG INTERIOR 602</t>
  </si>
  <si>
    <t>NARANJA MANTENIMIENTO ZOLUZIONA SA DE CV</t>
  </si>
  <si>
    <t>AVENIDA PATRIOTISMO 883</t>
  </si>
  <si>
    <t>INSURGENTES MIXCOAC</t>
  </si>
  <si>
    <t>GENARO NAVA TOMASINI</t>
  </si>
  <si>
    <t>JESSICA LILIANA ORTA ASTUDILLO</t>
  </si>
  <si>
    <t>JAVIER FARFAN MUGICA</t>
  </si>
  <si>
    <t>FERNANDO SANTILLAN GALINDO</t>
  </si>
  <si>
    <t>GERENTE DE OPERACIONES</t>
  </si>
  <si>
    <t>GERARDO NAVA TOMASINI</t>
  </si>
  <si>
    <t>VALES DE GASOLINA</t>
  </si>
  <si>
    <t>JUAN CARLOS LAVARIEGA CERVANTES</t>
  </si>
  <si>
    <t>AVENIDA JUAREZ 97 DESPACHO 603</t>
  </si>
  <si>
    <t>AVENIDA PLUTARCO ELIAS CALLES 698</t>
  </si>
  <si>
    <t>SAN FRANCISCO XICALTENGO</t>
  </si>
  <si>
    <t>SAN FRANCISCO </t>
  </si>
  <si>
    <t>AVENIDA TLAHUAC 5392</t>
  </si>
  <si>
    <t>BEYRUSTI SANCHEZ Y COMPAÑÍA SCS</t>
  </si>
  <si>
    <t>AVENIDA MEXICO 203-601</t>
  </si>
  <si>
    <t>HIPODROMO DE LA CONDESA</t>
  </si>
  <si>
    <t>MARIANELA COLLADO GONZALEZ</t>
  </si>
  <si>
    <t>PARQUE VIA DE REFORMA 1805</t>
  </si>
  <si>
    <t>LOMAS DE REFORMA ESQUINA MONTES APALACHES</t>
  </si>
  <si>
    <t>BERNANRDO PEREZ COLLADO</t>
  </si>
  <si>
    <t>ANGEL VILLA CONTRERAS</t>
  </si>
  <si>
    <t>AARON MUÑOZ ORCAZAS </t>
  </si>
  <si>
    <t>HECTOR VINICIO LECONA MORENO</t>
  </si>
  <si>
    <t>ADMINISTRADOR DE PROCESOS DE CALIDAD</t>
  </si>
  <si>
    <t>ANGEL JAIME ORTIZ CASTILLO</t>
  </si>
  <si>
    <t>JUAN CARLOS VICTORIANO PICHARDO</t>
  </si>
  <si>
    <t>NADIA TORRES JIMENEZ</t>
  </si>
  <si>
    <t>XOCHIQUETZAL MANZANA 5 LOTE 6</t>
  </si>
  <si>
    <t>ESTRELLA DEL SUR</t>
  </si>
  <si>
    <t>PABLO GARCIA RAMIREZ</t>
  </si>
  <si>
    <t>LAGO PONIENTE 16 DESPACHO 114</t>
  </si>
  <si>
    <t>AMERICAS UNIDAD</t>
  </si>
  <si>
    <t>FELIPE NUÑEZ GUERRERO</t>
  </si>
  <si>
    <t>MASSENET 165</t>
  </si>
  <si>
    <t>PERALVILLO </t>
  </si>
  <si>
    <t>FRANCISCO LOZANO VELGARA</t>
  </si>
  <si>
    <t>TOMAS GAYTAN LEMUS</t>
  </si>
  <si>
    <t>GUILLERMO TORRES AQUINO</t>
  </si>
  <si>
    <t>LENY PATRIZIA FRANCO ORTIZ</t>
  </si>
  <si>
    <t>SANDRA ESPERANZA SAAVEDRA FLORES</t>
  </si>
  <si>
    <t>BUFETE JURIDICO TORES OROZCO &amp; ASOCIADOS</t>
  </si>
  <si>
    <t>CHOFER DE MICROBUS</t>
  </si>
  <si>
    <t>JOSEFINA GUADALUPE NAJERA ALVAREZ</t>
  </si>
  <si>
    <t>GODARD 20 ESQUINA DELIBES</t>
  </si>
  <si>
    <t>GUADALUPE VICTORIA</t>
  </si>
  <si>
    <t>MANUEL LUNA ARAGON</t>
  </si>
  <si>
    <t>AVENIDA CUAUHTEMOC 1438</t>
  </si>
  <si>
    <t>SANTA CRUZ ATOYAC</t>
  </si>
  <si>
    <t>EVENTOS CON IMAGEN SA DE CV</t>
  </si>
  <si>
    <t>TOTAL-SHOW DJ</t>
  </si>
  <si>
    <t>ARTURO HERNANDEZ CALZADA</t>
  </si>
  <si>
    <t>CLAUDIA PATRICIA JUAN PINEDA</t>
  </si>
  <si>
    <t>DENNYS CARMEN MORENO RAMIREZ</t>
  </si>
  <si>
    <t>GERENTE OPERATIVO</t>
  </si>
  <si>
    <t>PRIMA DE VACACIONES</t>
  </si>
  <si>
    <t>MIGUEL CHAVEZ ROCIO</t>
  </si>
  <si>
    <t>AVENIDA PASEO DE LA REFORMA 369 DESOACG¿HO 701</t>
  </si>
  <si>
    <t>AUTOTANQUES PETROQUIMICOS CENTRALES SA DE CV</t>
  </si>
  <si>
    <t>VASCO DE QUIROGA 3900 TORREA PISO 2 OFICINA 201</t>
  </si>
  <si>
    <t>JOSE LUIS HUERTA SAMANO</t>
  </si>
  <si>
    <t>JULIETA HUERTA SAMANO</t>
  </si>
  <si>
    <t>CINTHIA HUERTA SAMANO</t>
  </si>
  <si>
    <t>JOSE LUIS HUERTA GUADARRAMA</t>
  </si>
  <si>
    <t>JOSE ANGEL LOPEZ CUELLAR</t>
  </si>
  <si>
    <t>ITZEL ORANTES DEL RIO</t>
  </si>
  <si>
    <t>JONATHAN PINEDA SUAREZ</t>
  </si>
  <si>
    <t>LOPEZ CUELLAR ABOGADO SC</t>
  </si>
  <si>
    <t>SUPERVISOR </t>
  </si>
  <si>
    <t>BONO DE PRODUCTIVIDAD</t>
  </si>
  <si>
    <t>MARIA DEL CARMEN CORIA ROMERO</t>
  </si>
  <si>
    <t>REVOWARE SA DE CV</t>
  </si>
  <si>
    <t>XOCONGO 65</t>
  </si>
  <si>
    <t>RENE BENITEZ SUAREZ</t>
  </si>
  <si>
    <t>EJECUTIVO TELEFONICO</t>
  </si>
  <si>
    <t>RENEW BENITEZ SUAREZ</t>
  </si>
  <si>
    <t>ADRIANA MARGARITA CASTRO GOMEZ</t>
  </si>
  <si>
    <t>AVENIDA REVOLUCION 388 ESQUINA CALLE 3 LOCAL TREK</t>
  </si>
  <si>
    <t>SAN PEDRO DE LOS PINOS</t>
  </si>
  <si>
    <t>SOCIEDAD DEL NORTE SA DE CV</t>
  </si>
  <si>
    <t>RANCHO DE LOS ARCOS 40 DEPARTAMENTO 303</t>
  </si>
  <si>
    <t>LOS GIRASOLES II</t>
  </si>
  <si>
    <t>JORGE EDSON ZUÑIGA FLORES</t>
  </si>
  <si>
    <t>BERNARDO GARCIA GARCIA</t>
  </si>
  <si>
    <t>OMAR VELASCO HERNANDEZ</t>
  </si>
  <si>
    <t>LUZ GUADALUPE RAMIREZ MAR</t>
  </si>
  <si>
    <t>AGENTE DE VENTAS</t>
  </si>
  <si>
    <t>MARIA DE LOS ANGELES JOACHIN GALVAN</t>
  </si>
  <si>
    <t>PS 21 ALARMAS SA DE CV</t>
  </si>
  <si>
    <t>CAFETAL 12</t>
  </si>
  <si>
    <t>TELCO TEXTIL SA DE CV</t>
  </si>
  <si>
    <t>ISRAEL IZCOWISH</t>
  </si>
  <si>
    <t>NOMBRE DEMANDAD0</t>
  </si>
  <si>
    <t>SANDRA JUANA SANDIEGO ROMERO</t>
  </si>
  <si>
    <t>PUERTO CASTILLA 15</t>
  </si>
  <si>
    <t>AMPLIACION PILOTO</t>
  </si>
  <si>
    <t>HUMAN ALLIANCE NEXO ASESORES SC</t>
  </si>
  <si>
    <t>INSURGENTES CENTRO 132 DEPARTAMENTO 210 SEGUNDO PISO EDIFICIO MALLORCA</t>
  </si>
  <si>
    <t>TABACALERA</t>
  </si>
  <si>
    <t>CCMAM SC</t>
  </si>
  <si>
    <t>LIZBETH RAMIREZ CHAPARRO</t>
  </si>
  <si>
    <t>NORMA B ORTIZ SANCHEZ</t>
  </si>
  <si>
    <t>LENIN ALFARO VAZQUEZ</t>
  </si>
  <si>
    <t>CARLOS JUAN CANCINO LICONA</t>
  </si>
  <si>
    <t>MARCOS ALEJANDRO SANDIEGO ROMERO</t>
  </si>
  <si>
    <t>AISTENTE DE TRANSPORTE </t>
  </si>
  <si>
    <t>BECA EDUCACIONAL</t>
  </si>
  <si>
    <t>ACTIVIDAD CULTURAL</t>
  </si>
  <si>
    <t>ALEJANDRO PEREZ RAMOS</t>
  </si>
  <si>
    <t>PROYECCION Y ADMINISTRACION EMPRESARIAL DE MEXICO SA DE CV</t>
  </si>
  <si>
    <t>INSURGENTES SUR 1898 TERCER PISO</t>
  </si>
  <si>
    <t>ESTEBAN FLORES</t>
  </si>
  <si>
    <t>GEORGINA AZCONA CASTILLO</t>
  </si>
  <si>
    <t>MARIA DEL CONSUELO GALINDO AGUILAR</t>
  </si>
  <si>
    <t>EJECUTIVO DE REPRARACIONES SKY</t>
  </si>
  <si>
    <t>LA DEMANDA INICIAL NO ESTA ESCANEADA</t>
  </si>
  <si>
    <t>DIANA</t>
  </si>
  <si>
    <t>NO ESTA ESCANEADO EL AUTO DE RADICACION</t>
  </si>
  <si>
    <t>FRANCISCO FRUTIS VILLAGOMEZ</t>
  </si>
  <si>
    <t>CALZADA DE TLALPAN 489 DESPACHO 100</t>
  </si>
  <si>
    <t>DESARROLLO DIRECTIVO Y ENLACE CORPORATIVO SA DE CV</t>
  </si>
  <si>
    <t>AVENIDA BAJA CALIFORNIA 284</t>
  </si>
  <si>
    <t>HIPODROMO CONDESA</t>
  </si>
  <si>
    <t>ERICK ESTRADA</t>
  </si>
  <si>
    <t>QUIEN RESULTE RESPONSABLE DE LA FUENTE DE TRABAJO</t>
  </si>
  <si>
    <t>MARIO CESAR YAÑEZ ABREGO</t>
  </si>
  <si>
    <t>MIGUEL JOSE YAÑEZ BARROSO</t>
  </si>
  <si>
    <t>ALBERTO YAÑEZ GONZALEZ</t>
  </si>
  <si>
    <t>AUXILIAR DE LIMPIEZA</t>
  </si>
  <si>
    <t>EDGAR DAVID TENORIO ESTRADA</t>
  </si>
  <si>
    <t>BAHIA DE TODOS LOS SANTOS 179-A</t>
  </si>
  <si>
    <t>VERONICA ANZUREZ</t>
  </si>
  <si>
    <t>JWJ COMERCIAL MEXICO SA DE CV</t>
  </si>
  <si>
    <t>ARGENTINA 39 LOCAL A</t>
  </si>
  <si>
    <t>SENLIN ZHAN</t>
  </si>
  <si>
    <t>JAZMIN MATA LOPEZ</t>
  </si>
  <si>
    <t>MARCO ANTONIO PINTADO</t>
  </si>
  <si>
    <t>EMMANUEL LEON LARA</t>
  </si>
  <si>
    <t>VENDEDOR</t>
  </si>
  <si>
    <t>RODRIGO RIVAS LEDESMA</t>
  </si>
  <si>
    <t>CORDOBA 131 DESPACHO 402</t>
  </si>
  <si>
    <t>GABRIELA PERALTA GARCIA</t>
  </si>
  <si>
    <t>NORTE SESENTA Y SEIS A 3716</t>
  </si>
  <si>
    <t>RIO BLANCO</t>
  </si>
  <si>
    <t>REYNALDO DE JESUS OCAMPO RODRIGUEZ</t>
  </si>
  <si>
    <t>PZYD ABOGADOS</t>
  </si>
  <si>
    <t>NANCY GALLEGOS POSADAS</t>
  </si>
  <si>
    <t>CAMPECHE 31</t>
  </si>
  <si>
    <t>ROMA</t>
  </si>
  <si>
    <t>NEWPER GROUP SA DE CV</t>
  </si>
  <si>
    <t>MONTECITO 38 PISO 33 DESPACHO 14;FLORENCIA 57</t>
  </si>
  <si>
    <t>NAPOLES; JUAREZ</t>
  </si>
  <si>
    <t>DELEGACION BENITO JUAREZ; DELEGACION CUAUHTEMOC</t>
  </si>
  <si>
    <t>FRANCISCO SOSA</t>
  </si>
  <si>
    <t>MARTIN TREJO BRISEÑO MARIN</t>
  </si>
  <si>
    <t>JUAN RAMON GARCIA OLVERA</t>
  </si>
  <si>
    <t>ARGEL GUILLEROMO SORIA GUTIERREZ</t>
  </si>
  <si>
    <t>BRISEÑO Y ABOGADOS </t>
  </si>
  <si>
    <t>ASISTENTE DE GERENCIA</t>
  </si>
  <si>
    <t>FRANCISCO JAVIER SOSA</t>
  </si>
  <si>
    <t>JAVIER GARCIA CALDERON</t>
  </si>
  <si>
    <t>NORTE OCHENTA Y SEIS A 4319-7</t>
  </si>
  <si>
    <t>MALINCHE</t>
  </si>
  <si>
    <t>DESARROLLADORA DE SERVICIOS FINATRADE SA DE CV</t>
  </si>
  <si>
    <t>BOULEVARD MANUEL AVILA CAMACHO 37 CUARTO PISO</t>
  </si>
  <si>
    <t>NACIONAL MONTE DE PIEDAD IAP</t>
  </si>
  <si>
    <t>MONTE DE PIEDAD 7</t>
  </si>
  <si>
    <t>JORGE IBAÑEZ PEREA</t>
  </si>
  <si>
    <t>JOSE RAYMUNDO PATIÑO CRUZ MANJARREZ</t>
  </si>
  <si>
    <t>JUAN GABRIEL  PATIÑO CRUZ MANJARREZ</t>
  </si>
  <si>
    <t>GERENTE DE SUCURSAL B</t>
  </si>
  <si>
    <t>EDUARDO REYES VELASCO</t>
  </si>
  <si>
    <t>BENEFICIO SOCIAL</t>
  </si>
  <si>
    <t>SERGIO BALLINAS AVEDAÑO</t>
  </si>
  <si>
    <t>DOCTOR ANDRADE 23 EDIFICIO B DESPACHO 102</t>
  </si>
  <si>
    <t>LUIS ORTEGA MORENO</t>
  </si>
  <si>
    <t>CALZADA ERMITA IZTAPALAPA 392-104</t>
  </si>
  <si>
    <t>AVENIDA INSTITUTO POLITECNICO NACIONAL 5421 EDIFICIO 3 PB</t>
  </si>
  <si>
    <t>INNA OCHOA HIDALGO</t>
  </si>
  <si>
    <t>YOLANDA LAGUNAS HERNANDEZ</t>
  </si>
  <si>
    <t>HORTICULTURA 248</t>
  </si>
  <si>
    <t>VEINTE DE NOVIEMBRE</t>
  </si>
  <si>
    <t>SERVICIOS PROFESIONALES PERC SA DE CV</t>
  </si>
  <si>
    <t>AVENIDA CANELA 34</t>
  </si>
  <si>
    <t>TRANSPERC SA DE CV</t>
  </si>
  <si>
    <t>EDGAR CALDERON JIMENEZ</t>
  </si>
  <si>
    <t>JUAN ZARAGOZA CONTRERAS</t>
  </si>
  <si>
    <t>GERENTE DE ZONA</t>
  </si>
  <si>
    <t>ARTURO AYALA</t>
  </si>
  <si>
    <t>EMILIO TREJO GUEVARA</t>
  </si>
  <si>
    <t>DOCTOR VERTIZ EDIFICIO D DEPARTAMENTO 003</t>
  </si>
  <si>
    <t>CAPSIESA SA DE CV</t>
  </si>
  <si>
    <t>AVENIDA CONGRESO DE LA UNION 5631-C</t>
  </si>
  <si>
    <t>TABLA DE SAN AGUSTIN</t>
  </si>
  <si>
    <t>ORION SERVICIO PROFESIONAL AUTOMOTRIZ SA DE CV</t>
  </si>
  <si>
    <t>CONRADO GUILLERMO RODRIGUEZ GAXIOLA</t>
  </si>
  <si>
    <t>FERNANDO GARDUÑO N</t>
  </si>
  <si>
    <t>LUIS ARROYO ESTRADA</t>
  </si>
  <si>
    <t>RAMON FIGUEROA GALLARDO</t>
  </si>
  <si>
    <t>MECANICO AUTOMOTRIZ EN GENERAL</t>
  </si>
  <si>
    <t>ALBERTO ZAMORA DIAZ</t>
  </si>
  <si>
    <t>NEZAHUALCOYOTL 144 DESPACHO 203</t>
  </si>
  <si>
    <t>FIRST CLASS GROUND TRANSPORTATION SA DE CV</t>
  </si>
  <si>
    <t>HIDALGO 158 INTERIOR 1</t>
  </si>
  <si>
    <t>SERGIO MAURICIO CHAVEZ HERNANDEZ</t>
  </si>
  <si>
    <t>ANA PERLA MARTINEZ CHAVARRIA</t>
  </si>
  <si>
    <t>JW MARRIOT</t>
  </si>
  <si>
    <t>AVENIDA PASEO DE LA REFORMA</t>
  </si>
  <si>
    <t>PRESIDENTE INTERCONTINENTAL</t>
  </si>
  <si>
    <t>CARLOS GARCIA CORDOVA</t>
  </si>
  <si>
    <t>DAVID LOPEZ MAYA</t>
  </si>
  <si>
    <t>CHRISTIAN MADINA GALLEGOS</t>
  </si>
  <si>
    <t>MANUEL ISAAC CIPRES SANTANDER</t>
  </si>
  <si>
    <t>DOCTOR LUCIO 126 DESPACHO 401</t>
  </si>
  <si>
    <t>TRANSPORTES GALICIA</t>
  </si>
  <si>
    <t>AVENIDA MICHOACAN LOTE 26 MANZANA 2</t>
  </si>
  <si>
    <t>PURISIMA</t>
  </si>
  <si>
    <t>FEDERICO GALICIA ROJAS</t>
  </si>
  <si>
    <t>WENDY GALICIA SANTANDER</t>
  </si>
  <si>
    <t>FREDY GALICIA SANTANDER</t>
  </si>
  <si>
    <t>JORGE GIL ZAMBRANO</t>
  </si>
  <si>
    <t>OSCAR DIAZ DE LA CRUZ</t>
  </si>
  <si>
    <t>EDEMIR VAZQUEZ DIAZ</t>
  </si>
  <si>
    <t>BUFETE JURIDICO DIAZ DE LA CRUZ</t>
  </si>
  <si>
    <t>OPERADOR DE CAMION</t>
  </si>
  <si>
    <t>ARTURO FLORES BALDERAS</t>
  </si>
  <si>
    <t>CHRISTIAN JESUS JIMAREZ JACOBO</t>
  </si>
  <si>
    <t>AYUDANTE DEL SEÑOR ARTURO FLORES BALDERAS</t>
  </si>
  <si>
    <t>RICARDO HERRERA CASTILLO</t>
  </si>
  <si>
    <t>SISTEMAS CORPORATIVOS DE PERSONAL SA DE CV</t>
  </si>
  <si>
    <t>ORIENTE CIENTO SETENTA Y CUATRO 427</t>
  </si>
  <si>
    <t>EDUARDO MARTIN JOHNSTONE</t>
  </si>
  <si>
    <t>MARIA DEL ROCIO BUSTAMANTE CALLEJO</t>
  </si>
  <si>
    <t>SALVADOR RIOS MOLINA</t>
  </si>
  <si>
    <t>FRANCISCO NAVARRO</t>
  </si>
  <si>
    <t>GONZALO RUIZ USCANGA</t>
  </si>
  <si>
    <t>EDGAR CUELLAR Y ASOCIADOS</t>
  </si>
  <si>
    <t>JEFE DEL AREA DE PLATAFORMA DE CARGA Y DESCARGA DE EQUIPAJE</t>
  </si>
  <si>
    <t>TRANSPORTACION</t>
  </si>
  <si>
    <t>BONO DE GASTOS ESCOLARES</t>
  </si>
  <si>
    <t>PASAJE VACACIONAL</t>
  </si>
  <si>
    <t>DOMICILIO ACTOR</t>
  </si>
  <si>
    <t>NOE HERNANDEZ PERALTA</t>
  </si>
  <si>
    <t>CRUZ AZUL 228</t>
  </si>
  <si>
    <t>INDUSTRIAL</t>
  </si>
  <si>
    <t>ENTORNO CORPORATIVO Y EMPRESARIAL SC</t>
  </si>
  <si>
    <t>INSURGENTES SUR 1877 PISO 2 DESPACHO 204</t>
  </si>
  <si>
    <t>DIETER IVAN CASTILLO DAVILA</t>
  </si>
  <si>
    <t>DECLARACION DE BENEFICIARIO</t>
  </si>
  <si>
    <t>CARLA SOFIA RODRIGUEZ ZARCO</t>
  </si>
  <si>
    <t>CHONCHOS 41</t>
  </si>
  <si>
    <t>TEZOZOMOC</t>
  </si>
  <si>
    <t>VASA HOLDING COMPANY SA DE CV</t>
  </si>
  <si>
    <t>ALTAVISTA 103 ESQUINA CON REYNA</t>
  </si>
  <si>
    <t>SAN ANGEL INN</t>
  </si>
  <si>
    <t>ALEJANDRO DE JUDAS TADEO ESCUTIA CORONEL</t>
  </si>
  <si>
    <t>LIDIA ELIZABETH GALLEGOS AGUILAR</t>
  </si>
  <si>
    <t>MARELI GARCIA BRAVO</t>
  </si>
  <si>
    <t>LILIANA IVONNE CARRAZCO JUAREZ</t>
  </si>
  <si>
    <t>A Y G DESPACHO JURIDICO SC</t>
  </si>
  <si>
    <t>ANALISTA</t>
  </si>
  <si>
    <t>HUGO SOLIS</t>
  </si>
  <si>
    <t>NA</t>
  </si>
  <si>
    <t>JOSE ANTONIO FLORES BARRERA</t>
  </si>
  <si>
    <t>MOCTEZUMA 97-A</t>
  </si>
  <si>
    <t>CARMEN</t>
  </si>
  <si>
    <t>CONSORCIO RIO CONSULADO SA DE CV</t>
  </si>
  <si>
    <t>AVENIDA RIO CONSULADO 2011</t>
  </si>
  <si>
    <t>VALLE GOMEZ</t>
  </si>
  <si>
    <t>JACOBO FARHI DUSHI</t>
  </si>
  <si>
    <t>SAMUEL FARHI DUSHI</t>
  </si>
  <si>
    <t>MAN POWER SA DE CV</t>
  </si>
  <si>
    <t>MONTES URALES 754 SEGUNDO PISO</t>
  </si>
  <si>
    <t>JUAN JOSE PRECIADO ROLDAN</t>
  </si>
  <si>
    <t>JUAN CARLOS ESCUTIA ROLDAN</t>
  </si>
  <si>
    <t>SERGIO ARELLANO CANALES</t>
  </si>
  <si>
    <t>OFICIAL GASOLINERO</t>
  </si>
  <si>
    <t>ISRAEL SEBASTIAN LOPEZ LOPEZ</t>
  </si>
  <si>
    <t>CHRISTIAN VARGAS FUENTES</t>
  </si>
  <si>
    <t>RUBEN VILLANUEVA ESQUIVEL</t>
  </si>
  <si>
    <t>RIO EBRO 80</t>
  </si>
  <si>
    <t>X PECTA</t>
  </si>
  <si>
    <t>CALLE SIETE EDIFICIO 62-C DEPARTAMENTO 405</t>
  </si>
  <si>
    <t>LOMAS DE SOTELO</t>
  </si>
  <si>
    <t>JOSE LUIS EDUARDO CORONA ROMAN</t>
  </si>
  <si>
    <t>JUAN CARLOS SANTOS GOYZUETA</t>
  </si>
  <si>
    <t>RAFAEL SANTOS GOYZUETA</t>
  </si>
  <si>
    <t>RAFAEL SANTOS GOMEZ</t>
  </si>
  <si>
    <t>MONSERRAT GUADALUPE BRAVO ROJAS</t>
  </si>
  <si>
    <t>MONTERREY 132 DESPACHO 401</t>
  </si>
  <si>
    <t>CORPORATIVO DE ESTRATEGIAS EN RECURSOS HUMANOS SC</t>
  </si>
  <si>
    <t>PASADENA 18</t>
  </si>
  <si>
    <t>GRUPO ESTRATEGAS EMPRESARIALES SA DE CV</t>
  </si>
  <si>
    <t>DAVID HERNANDEZ</t>
  </si>
  <si>
    <t>ELSA MONTIEL</t>
  </si>
  <si>
    <t>JOSEFINA FLORES ORDOÑEZ</t>
  </si>
  <si>
    <t>RAMON LADRON DE GUEVARA</t>
  </si>
  <si>
    <t>COORDINADORA DE VENDEDORAS</t>
  </si>
  <si>
    <t>GUSTAVO ALARCON ALPIDE</t>
  </si>
  <si>
    <t>CALZADA SAN ANTONIO ABAD 122 CUARTO PISO</t>
  </si>
  <si>
    <t>GLOBALIA HANDALING DE MEXICO SA DE CV</t>
  </si>
  <si>
    <t>FRANCISCO PETRARCA 133-301</t>
  </si>
  <si>
    <t>GREGORIO JIMENEZ M</t>
  </si>
  <si>
    <t>MARIA DE LOURDES MUÑOZ ALVAREZ</t>
  </si>
  <si>
    <t>EDGAR ABRAHAM CORONA HERNANDEZ</t>
  </si>
  <si>
    <t>LUIS ANTONIO GARCIA CALDERON</t>
  </si>
  <si>
    <t>MARIA DE LOURDES GUILLEN MORENO</t>
  </si>
  <si>
    <t>DONATO GUERRA 1 DESPACHO 302</t>
  </si>
  <si>
    <t>CONTRATACION INMEDIATA SA DE CV</t>
  </si>
  <si>
    <t>RIO MARNE 17 SEGUNDO PISO</t>
  </si>
  <si>
    <t>SERVICIOS TECNICOS DE COBRANZA SA DE CV</t>
  </si>
  <si>
    <t>AVENIDA BENJAMIN FRANKLIN 98 CUARO PISO</t>
  </si>
  <si>
    <t>AMERCAN EXPRESS SERVICIOS PROFESIONALES SA DE CV</t>
  </si>
  <si>
    <t>AVENIDA PATRIOTISMO 635</t>
  </si>
  <si>
    <t>CIUDAD DE LOS DEPORTES</t>
  </si>
  <si>
    <t>LUZ JENNY FLORES CRUZ</t>
  </si>
  <si>
    <t>MARTIN MARIO RODRIGUEZ MERINO</t>
  </si>
  <si>
    <t>DEMETRIO RODRIGUEZ MERINO</t>
  </si>
  <si>
    <t>ANDRES RODRIGUEZ MERINO</t>
  </si>
  <si>
    <t>RODRIGUEZ MERINO Y ASOCIADOS</t>
  </si>
  <si>
    <t>TIEMPO EXTRA</t>
  </si>
  <si>
    <t>LETICIA HERNANDEZ CHAVEZ</t>
  </si>
  <si>
    <t>SAN ANTONIO ABAD 122 CUARTO PISO</t>
  </si>
  <si>
    <t>PROMOTWIST SC</t>
  </si>
  <si>
    <t>AVENIDA REVOLUCION 768</t>
  </si>
  <si>
    <t>MIXCOAC</t>
  </si>
  <si>
    <t>EDITH SEGOVIANO LARA</t>
  </si>
  <si>
    <t>MANUEL RAMIREZ CABALLERO</t>
  </si>
  <si>
    <t>KARINA HERNANDEZ MEJIA</t>
  </si>
  <si>
    <t>DESPENSA</t>
  </si>
  <si>
    <t>PATRICIA DEL ROSAL GUERRER</t>
  </si>
  <si>
    <t>DOCTOR NAVARRO 60 INTERIOR 502 MANZANA 2</t>
  </si>
  <si>
    <t>JAGUI BUSINESS SA DE CV</t>
  </si>
  <si>
    <t>XOLA 1004</t>
  </si>
  <si>
    <t>TURISMO SIBARITA</t>
  </si>
  <si>
    <t>LOURDES ROBLEDA VELAZQUEZ</t>
  </si>
  <si>
    <t>MARCO ANTONIO ANDERE R</t>
  </si>
  <si>
    <t>AVENIDA POLITECNICO NACIONAL 5421 ANEXO 3</t>
  </si>
  <si>
    <t>JESSICA ALEJANDRA GUERRERO VAZQUEZ</t>
  </si>
  <si>
    <t>BENITO DE LA PAZ YESCAS</t>
  </si>
  <si>
    <t>JULIETA ARREDONDO BENAVIDEZ</t>
  </si>
  <si>
    <t>AGENTE DE VIAJES</t>
  </si>
  <si>
    <t>DIANARF</t>
  </si>
  <si>
    <t>NO HAY AUTO DE RADICACION</t>
  </si>
  <si>
    <t>JOSEFINA TORRES MEDRANO</t>
  </si>
  <si>
    <t>LONDRES 50</t>
  </si>
  <si>
    <t>INDUSTRIAS AUTOMOTRICES RC SA DE CV</t>
  </si>
  <si>
    <t>CANELA 350</t>
  </si>
  <si>
    <t>SERGIO ALBERTO CRUZ SUAREZ</t>
  </si>
  <si>
    <t>OSCAR ALVARDO VILLAREAL</t>
  </si>
  <si>
    <t>MARIA DEL ROCIO JIMENEZ MARQUEZ</t>
  </si>
  <si>
    <t>ENCARGADO DE TORNO</t>
  </si>
  <si>
    <t>JEANNETT OROPEZA, HERON TEJEDA</t>
  </si>
  <si>
    <t>JAZMIN GARCIA BUCIO</t>
  </si>
  <si>
    <t>VILLA ASIS MANZANA 8 LOTE 6</t>
  </si>
  <si>
    <t>DESARROLLO URBANO QUETZALCOATL</t>
  </si>
  <si>
    <t>CENTURY CAR SOLUTIONS</t>
  </si>
  <si>
    <t>BOULEVARD ADOLFO LOPEZ MATEOS 155</t>
  </si>
  <si>
    <t>NONOALCO</t>
  </si>
  <si>
    <t>ELIZABETH SOLIS MENDOZA</t>
  </si>
  <si>
    <t>RECEPCIONISTA</t>
  </si>
  <si>
    <t>MARIO MARTINEZ CHAVEZ</t>
  </si>
  <si>
    <t>AVENIDA SAN ANTONIO ABAD 122 CUARTO PISO</t>
  </si>
  <si>
    <t>TRANSPORTES LOGISTICOS RAMIREZ SA DE CV</t>
  </si>
  <si>
    <t>CERRADA LAZARO CARDENAS UNO SIN NUMERO</t>
  </si>
  <si>
    <t>CUAUTEPEC BARRIO BAJO</t>
  </si>
  <si>
    <t>JORGE CRECENCIANO RAMIREZ DECENTIS</t>
  </si>
  <si>
    <t>QUIEN RESULTE RESPONSABLE</t>
  </si>
  <si>
    <t>ROCIO AGUILAR CABELLO</t>
  </si>
  <si>
    <t>ROSALINDA VARGAS RAMIREZ</t>
  </si>
  <si>
    <t>OPERADOR FORANEO</t>
  </si>
  <si>
    <t>OSCAR</t>
  </si>
  <si>
    <t>ANTONIO SANCHEZ MARTINEZ </t>
  </si>
  <si>
    <t>DONATO GUERRA 1 DESPACHO 201 </t>
  </si>
  <si>
    <t>JUAREZ </t>
  </si>
  <si>
    <t>DELEGACION CUAUHTEMOC </t>
  </si>
  <si>
    <t>ESTACION DE SERVICIO PARA AUTOS CENTRO SA DE CV </t>
  </si>
  <si>
    <t>LUCAS ALAMAN 177 ESQUINA SAN ANTONIO ABAD </t>
  </si>
  <si>
    <t>OBRERO </t>
  </si>
  <si>
    <t>ROGELIO GOMEZ CRUZ </t>
  </si>
  <si>
    <t>FRANCISCO SALAZAR LUNA </t>
  </si>
  <si>
    <t>LUIS JACOBO ALVARADO RAMIREZ </t>
  </si>
  <si>
    <t>NO MENCIONA </t>
  </si>
  <si>
    <t>COORDINADOR DE DESPACHADORES </t>
  </si>
  <si>
    <t>VERONICA MENDEZ </t>
  </si>
  <si>
    <t>INDEMNIZACION CONSTITUCIONAL </t>
  </si>
  <si>
    <t>NO ESPECIFICA </t>
  </si>
  <si>
    <t>FRANCISCO CARMONA MORALES </t>
  </si>
  <si>
    <t>SANTA MARGARITA 518</t>
  </si>
  <si>
    <t>INSURGENTES SAN BORJA </t>
  </si>
  <si>
    <t>DELEGACION BENITO JUAREZ </t>
  </si>
  <si>
    <t>MANIOBRAS ROJAS SA DE CV </t>
  </si>
  <si>
    <t>CEDROS 32</t>
  </si>
  <si>
    <t>BARRIOS DE SAN ANDRES </t>
  </si>
  <si>
    <t>DELEGACION AZCAPOTZALCO </t>
  </si>
  <si>
    <t>OSCAR LOPEZ ROJAS</t>
  </si>
  <si>
    <t>QUIEN RESLUTES RESPONSIBLE </t>
  </si>
  <si>
    <t>KRAFT FOOD SA DE CV </t>
  </si>
  <si>
    <t>CONGRESO DE LA UNION 5840</t>
  </si>
  <si>
    <t>TRES ESTRELLAS</t>
  </si>
  <si>
    <t>ADAMS SA DE CV </t>
  </si>
  <si>
    <t>AVENIDA SANTA FE 485 PISO 6 </t>
  </si>
  <si>
    <t>CRUZ MANCA </t>
  </si>
  <si>
    <t>ADOLFO SAHAGUN LINARES </t>
  </si>
  <si>
    <t>ALEJANDRO SAHAGUN LINARES </t>
  </si>
  <si>
    <t>ABEL ARVIZU BUSTAMANTE </t>
  </si>
  <si>
    <t>SERVICIOS </t>
  </si>
  <si>
    <t>MANIOBRISTA </t>
  </si>
  <si>
    <t>OSCAR LOPEZ ROJAS </t>
  </si>
  <si>
    <t>APARICIO VILLA ALBA CARMEN BELEN </t>
  </si>
  <si>
    <t>CALZADA SAN ANTONIO ABAD 122 PISO 4 </t>
  </si>
  <si>
    <t>TRANSITO </t>
  </si>
  <si>
    <t>JOSE LUIS CASTRO PORTILLO </t>
  </si>
  <si>
    <t>RIO PO 43 </t>
  </si>
  <si>
    <t>CUAUHTEMOC </t>
  </si>
  <si>
    <t>CARRASCOS MARTKETING</t>
  </si>
  <si>
    <t>FERMIN MIXTEGA </t>
  </si>
  <si>
    <t>MARISA DIAZ RAMIREZ </t>
  </si>
  <si>
    <t>QUIEN RESULTE RESPONSABLE </t>
  </si>
  <si>
    <t>JULIO ORTEGA FLORES </t>
  </si>
  <si>
    <t>LUIS ANTONIO GARCIA CALDERON </t>
  </si>
  <si>
    <t>KARINA HERNANDEZ MEJIA </t>
  </si>
  <si>
    <t>PRIMA VACACIONAL </t>
  </si>
  <si>
    <t>JOSEPH ROBERTO AGUILAR CUELLAR </t>
  </si>
  <si>
    <t>NEW PERSONAL Y PROMOCION SA DE CV </t>
  </si>
  <si>
    <t>TUXPAN 6 DEPTO 402 </t>
  </si>
  <si>
    <t>ROMA NORTE </t>
  </si>
  <si>
    <t>GUILLERMO LOPEZ </t>
  </si>
  <si>
    <t>BENITO JUAREZ </t>
  </si>
  <si>
    <t>ARTURO MORALES FELIMON </t>
  </si>
  <si>
    <t>RECLUTAMIENTO </t>
  </si>
  <si>
    <t>REPRESENTANTE DE VENTAS POR TELEFONO </t>
  </si>
  <si>
    <t>AGUINALDO </t>
  </si>
  <si>
    <t>RICARDO HERNANDEZ ORTIZ</t>
  </si>
  <si>
    <t>ESTRADOS DE LA JUNTA </t>
  </si>
  <si>
    <t>GRUAS Y CARGA GLOBAL SA D CV </t>
  </si>
  <si>
    <t>AVENIDA TLAHUAC 5443 </t>
  </si>
  <si>
    <t>DELEGACION TLAHUAC </t>
  </si>
  <si>
    <t>TEGO SERVICIOS SA DE CV </t>
  </si>
  <si>
    <t>SERVICIOS LOGISTICOS TLN SA DE CV </t>
  </si>
  <si>
    <t>RUFFO EDUARDO FIGUEROA SMUTNY </t>
  </si>
  <si>
    <t>RUBEN FIGUEROA ALCOCER </t>
  </si>
  <si>
    <t>RAFAEL ANTONIO JAUREGUI DESVIGNES </t>
  </si>
  <si>
    <t>ERIC FERNANDO REGINO PEREZ </t>
  </si>
  <si>
    <t>JUAN CARLOS REGINO PEREZ </t>
  </si>
  <si>
    <t>LUIS EDUARDO REGINO PEREZ </t>
  </si>
  <si>
    <t>CHOFER </t>
  </si>
  <si>
    <t>VACACIONES </t>
  </si>
  <si>
    <t>MARTHA MIRIAM TINAJERO </t>
  </si>
  <si>
    <t>TEPIC 139 PISO 10 </t>
  </si>
  <si>
    <t>ROMA SUR </t>
  </si>
  <si>
    <t>ATENCION DE PERSONAL Y LABORAL SA DE CV </t>
  </si>
  <si>
    <t>INSURGENTES SUR 605 DESPACHO 1202 </t>
  </si>
  <si>
    <t>CODERE MEXICO SA DE CV </t>
  </si>
  <si>
    <t>BOULEVARD MANUEL AVILA CAMACHO 40 PISO 24 TORRE ESMERALDA 1</t>
  </si>
  <si>
    <t>LOMAS DE CHAPULTEPEC </t>
  </si>
  <si>
    <t>JOSE ANTONIO MARTINEZ SAN PEDRO </t>
  </si>
  <si>
    <t>MARIA DEL ANGEL MANZANO VEGA </t>
  </si>
  <si>
    <t>AVENIDA INSTITUTO POLITECNICO NACIONAL  5421 EDIFICIO 3 PLANTA BAJA</t>
  </si>
  <si>
    <t>DELEGACION GUSTAVO A MADERO </t>
  </si>
  <si>
    <t>JOSE LUIS MUÑPZ MEJIA </t>
  </si>
  <si>
    <t>OMAR GARCIA RODRIGUEZ </t>
  </si>
  <si>
    <t>ALFREDO GARCIA LOPEZ </t>
  </si>
  <si>
    <t>ENTRETENIMIENTO </t>
  </si>
  <si>
    <t>MONITORISTA</t>
  </si>
  <si>
    <t>NO ESPEIFICA </t>
  </si>
  <si>
    <t>ALVARO PEREZ CASTILLO </t>
  </si>
  <si>
    <t>LAGO PONIENTE 16 DESPACHO 206 A </t>
  </si>
  <si>
    <t>AMERICA UNIDAS </t>
  </si>
  <si>
    <t>EUROPREMIUM SA DE CV </t>
  </si>
  <si>
    <t>CARRETERA MEXICO TOLUCA 2709 </t>
  </si>
  <si>
    <t>LOMAS DE PALO ALTO </t>
  </si>
  <si>
    <t>DELEGACION CUAJIMALPA DE MORELOS </t>
  </si>
  <si>
    <t>CUAJIMALPA MOTORS SA DE CV </t>
  </si>
  <si>
    <t>AUTOMOTRIZ TULA DE ALLENDE SA DE CV </t>
  </si>
  <si>
    <t>HUIXQUILUCAN MOTORS SA DE CV </t>
  </si>
  <si>
    <t>INTERLOMAS SPORTS SA DE CV </t>
  </si>
  <si>
    <t>MOTOR PREMIUM SPORTS SA DE CV</t>
  </si>
  <si>
    <t>ALEJANDRO VILCHIS CUELLAR </t>
  </si>
  <si>
    <t>MARIA AZUCENA JIMENEZ DOMINGUEZ </t>
  </si>
  <si>
    <t>MARCO ANTONIO GONZALEZ BELMONT </t>
  </si>
  <si>
    <t>VILCHIS CUELLAR </t>
  </si>
  <si>
    <t>GERENTE DE VENTAS DE AUTOS </t>
  </si>
  <si>
    <t>PEDRO PIDAL GUTIERREZ </t>
  </si>
  <si>
    <t>COMISIONES </t>
  </si>
  <si>
    <t>CARLOS MORENO NAVA </t>
  </si>
  <si>
    <t>GERENTE DE VENTAS DE REFACCIONES</t>
  </si>
  <si>
    <t>EVARISTO ALVARADO ROSALES </t>
  </si>
  <si>
    <t>AVENIDA BAJA CALIFORNIA 210 DEPACHO 205 </t>
  </si>
  <si>
    <t>BASVEC SERVICIOS INTEGRALES SA DE CV </t>
  </si>
  <si>
    <t>AVENIDA UNION 126 </t>
  </si>
  <si>
    <t>AGRICOLA PANTITLAN </t>
  </si>
  <si>
    <t>DELEGACION IZTACALCO </t>
  </si>
  <si>
    <t>IGNACIO HERNANDEZ </t>
  </si>
  <si>
    <t>JAIME BRITO DELGADO </t>
  </si>
  <si>
    <t>SARA GOMEZ LUGO </t>
  </si>
  <si>
    <t>VERONICA GONZALEZ IBAÑEZ </t>
  </si>
  <si>
    <t>WALBERTO CABRERA MARTINEZ </t>
  </si>
  <si>
    <t>PRIMA VACACIONAl</t>
  </si>
  <si>
    <t>PREMIO DE PUNTUALIDAD Y ASISTENCIA </t>
  </si>
  <si>
    <t>MARCO ANTONIO ORTEGA VARGAS</t>
  </si>
  <si>
    <t>DOCTOR OLVERA 159 INTERIOR 1 </t>
  </si>
  <si>
    <t>LOGISTICA PROMOCIONAL SIGMA SA DE CV</t>
  </si>
  <si>
    <t>AVENIDA CLAVERIA 106 </t>
  </si>
  <si>
    <t>CLAVERIA </t>
  </si>
  <si>
    <t>FELIPE SANTAMARIA N </t>
  </si>
  <si>
    <t>DAVID PEÑA GALINDO </t>
  </si>
  <si>
    <t>DIANA PEÑA GALINDO </t>
  </si>
  <si>
    <t>REINSTALACION </t>
  </si>
  <si>
    <t>INCENTIVO </t>
  </si>
  <si>
    <t>PREMIO DE ASISTENCIA </t>
  </si>
  <si>
    <t>FELIPE ESPINOZA GONZALEZ </t>
  </si>
  <si>
    <t>OAXACA 86 DESPACHO 304 </t>
  </si>
  <si>
    <t>JOSE ANTONIO ESTRADA QUEZADA </t>
  </si>
  <si>
    <t>CANAL DEL NORTE 403 ACCESORIA 3 </t>
  </si>
  <si>
    <t>VEINTE DE NOVIEMBRE </t>
  </si>
  <si>
    <t>MODESTA SALINAS CASTRO </t>
  </si>
  <si>
    <t>RUBEN MARRTINEZ HERNANDEZ </t>
  </si>
  <si>
    <t>JAIME RAFAEL VALDES MEZA </t>
  </si>
  <si>
    <t>DANIEL A MENDOZA CASTAÑON</t>
  </si>
  <si>
    <t>JEFE DE MECANICOS </t>
  </si>
  <si>
    <t>JOSE ANTONIO ESTRADA QUEZADA</t>
  </si>
  <si>
    <t>JOSE SANTIAGO SOLORZANO HERNANDEZ</t>
  </si>
  <si>
    <t>DOCTOR CARMONA Y VALLE B-125 EDIFICIO TAURO DESPACHO 4 </t>
  </si>
  <si>
    <t>GRUPO SUZUKA SA DE CV </t>
  </si>
  <si>
    <t>AVENIDA DE LOS CIENMETROS 649</t>
  </si>
  <si>
    <t>NUEVA INDUSTRIAL VALLEJO </t>
  </si>
  <si>
    <t>ANDREA CERVANTES </t>
  </si>
  <si>
    <t>LUIS EMILIO GONZALEZ RIO </t>
  </si>
  <si>
    <t>KARLA PAOLA MORALES CABALLERO </t>
  </si>
  <si>
    <t>EDUARDO FOULKES WOOG</t>
  </si>
  <si>
    <t>ASESOR A VENTA</t>
  </si>
  <si>
    <t>EFREN AGUSTIN DEL RIO HEREDIA</t>
  </si>
  <si>
    <t>HORAS EXTRAS</t>
  </si>
  <si>
    <t>CHRISTIAN ALBERTO RUIZ ALCANTARA</t>
  </si>
  <si>
    <t>DOCTOR LUCIO 127 DESPACHO 203 Y 204 </t>
  </si>
  <si>
    <t>DOCTORES </t>
  </si>
  <si>
    <t>DELEGACION  CUAUHTEMOC</t>
  </si>
  <si>
    <t>SERVA MOK SC</t>
  </si>
  <si>
    <t>INDUSTRIAL VALLEJO 1361 BODEGA F </t>
  </si>
  <si>
    <t>IDUSTRIAL VALLEJO </t>
  </si>
  <si>
    <t>MAX YEDIT NAWI NOAZEB </t>
  </si>
  <si>
    <t>SOLI YEDIT NAWI NOAZEB</t>
  </si>
  <si>
    <t>HENRY YEDIT NAWI NOAZEB</t>
  </si>
  <si>
    <t>QUIEN RESULTE RESPONSIBLE </t>
  </si>
  <si>
    <t>MARIO DIAZ MARIN</t>
  </si>
  <si>
    <t>LUIS SEVERIANO ZUNIGA FLORES</t>
  </si>
  <si>
    <t>ROGELIO BANDA CORDOBA </t>
  </si>
  <si>
    <t>MAX YEDIT NAWI NOAZEB</t>
  </si>
  <si>
    <t>SUBSIDIO AL EMPLEO </t>
  </si>
  <si>
    <t>PUNTUALIDAD</t>
  </si>
  <si>
    <t>MANUEL SANCHEZ SALAZAR </t>
  </si>
  <si>
    <t>LAFAYET 26 </t>
  </si>
  <si>
    <t>NUEVA ANZURES </t>
  </si>
  <si>
    <t>AHORRO DE AHUA SA DE CV </t>
  </si>
  <si>
    <t>MANUEL DUBLAN 37 </t>
  </si>
  <si>
    <t>TACUBAYA </t>
  </si>
  <si>
    <t>DELEGACION MIGUEL HIDALGO </t>
  </si>
  <si>
    <t>OLIVIA MARIEL GONZALEZ PEREZ </t>
  </si>
  <si>
    <t>ERICK GIBRAN GALLARDO ABARCA </t>
  </si>
  <si>
    <t>RESIDENTE DE OBRA</t>
  </si>
  <si>
    <t>NO APLICA </t>
  </si>
  <si>
    <t>MUERTE DEL TRABAJADOR</t>
  </si>
  <si>
    <t>RUBEN MENDE JIMENEZ </t>
  </si>
  <si>
    <t>VMQ SA DE CV </t>
  </si>
  <si>
    <t>RIO USSURI 19 </t>
  </si>
  <si>
    <t>MIRNA OLIVAREZ </t>
  </si>
  <si>
    <t>QUIEN RESULTE RESPONSABLES </t>
  </si>
  <si>
    <t>MARIA DE LA LUZ BARRIENTOS MONTANO</t>
  </si>
  <si>
    <t>SUPERVISORA</t>
  </si>
  <si>
    <t>MIRNA OLIVAREZ</t>
  </si>
  <si>
    <t>ALEJANDRO FLORES ALAMILLA </t>
  </si>
  <si>
    <t>DOCTOR LICEAGA 96 SEGUNDO PISO </t>
  </si>
  <si>
    <t>JORGE GARCIA NOXPANGO </t>
  </si>
  <si>
    <t>AVENIDA MICHOAAN 191 </t>
  </si>
  <si>
    <t>GUADALUPE DEL MORAL</t>
  </si>
  <si>
    <t>MARIA DE LOS ANGELES DIAZ CALDERON </t>
  </si>
  <si>
    <t>ENRIQUE HERTA BARRON </t>
  </si>
  <si>
    <t>ELIZABETH BANOS MARTINEZ</t>
  </si>
  <si>
    <t>OPERADOR GENERAL</t>
  </si>
  <si>
    <t>ALISMA SAMANTA VERA OLMEDO </t>
  </si>
  <si>
    <t>AMBERES 38 DESPACHO 402 </t>
  </si>
  <si>
    <t>PROMOCIONES ESPECIALIZADAS ARO SA DE CV </t>
  </si>
  <si>
    <t>ENRIQUE REBSAMEN 544 </t>
  </si>
  <si>
    <t>PIEDAD NARVARTE </t>
  </si>
  <si>
    <t>JOSE LUIS SANCHEZ CUAZITL</t>
  </si>
  <si>
    <t>VICTOR OLMEDO RUIZ</t>
  </si>
  <si>
    <t>SUPERVISORA DE CAMPO</t>
  </si>
  <si>
    <t>MARIA DEL ROCIO ALARCON MURIA </t>
  </si>
  <si>
    <t>CARLOS RUIZ LARA </t>
  </si>
  <si>
    <t>ZACATECAS 230 CUARTO PISO </t>
  </si>
  <si>
    <t>PARE SA </t>
  </si>
  <si>
    <t>MONTES URALES 751 </t>
  </si>
  <si>
    <t>QUIEN RESULTE PATRON O PROPIETARIO DE LA FUENTE DE TRABAJO</t>
  </si>
  <si>
    <t>AVENIDA INTSITUTO POLITECNICO NACIONAL 1521 EDIFICIO ANEXO </t>
  </si>
  <si>
    <t>MAGDALENA DE LAS SALINAS </t>
  </si>
  <si>
    <t>INFONAVIT </t>
  </si>
  <si>
    <t>AVENIDA BARRANCA DEL MUERTO 280 </t>
  </si>
  <si>
    <t>GUADALUPE INN </t>
  </si>
  <si>
    <t>DELEGACION ALVARO OBREGON </t>
  </si>
  <si>
    <t>GERARDO CUELLAR FERNANDEZ </t>
  </si>
  <si>
    <t>MARTHA PATRICIA ,ORENO RAMIREZ </t>
  </si>
  <si>
    <t>ROMEL DOMINGUEZ SALGADO</t>
  </si>
  <si>
    <t>GERARDO CUELLAR Y ABOGADOS</t>
  </si>
  <si>
    <t>JEFE DE CAJEROS</t>
  </si>
  <si>
    <t>EFREN ONOFRE</t>
  </si>
  <si>
    <t>LUIS</t>
  </si>
  <si>
    <t>RUBEN ROBERTO ACEVEDO MENDEZ</t>
  </si>
  <si>
    <t>ESTRADOS DE LA JUNTA</t>
  </si>
  <si>
    <t>PROTARGET SA DE CV</t>
  </si>
  <si>
    <t>MAR JONIO 42</t>
  </si>
  <si>
    <t>POPOTLA</t>
  </si>
  <si>
    <t>SAID CARRISOZA</t>
  </si>
  <si>
    <t>QUIEN RESULTE RESPONSABLE PATRON O PROPIETARIO DE LA FUENTE DE TRABAJO</t>
  </si>
  <si>
    <t>GEROGINA PIÑA NAVA</t>
  </si>
  <si>
    <t>JUAN ANGEL CISNEROS SANCHEZ</t>
  </si>
  <si>
    <t>CISNEROS &amp; PIÑA</t>
  </si>
  <si>
    <t>NO HAY AUTORADICACION</t>
  </si>
  <si>
    <t>LUIS ANTONIO ABUNDIZ FIGUIEROA</t>
  </si>
  <si>
    <t>LOPEZ 1</t>
  </si>
  <si>
    <t>DELEGACION CUAHUTEMOC</t>
  </si>
  <si>
    <t>GLOBAL EMPLOYMENT SOLUTIONS SA DE CV</t>
  </si>
  <si>
    <t>MONTECITO 38 PISO 21</t>
  </si>
  <si>
    <t>GAS NATURAL SA DE CV</t>
  </si>
  <si>
    <t>AURORA MUÑOZ</t>
  </si>
  <si>
    <t>QUIEN RESULTE RESPONSABLE DUEÑO O PROPIETARIO DE LA FUENTE DE TRABAJO</t>
  </si>
  <si>
    <t>ARTURO GOMEZ FLORES</t>
  </si>
  <si>
    <t>VICTOR MANUEL GOMEZ FLORES</t>
  </si>
  <si>
    <t>JOSE ALBERTO PEREZ CORDOVA</t>
  </si>
  <si>
    <t>ASESORIA JURIDICA GOMEZ FLORES</t>
  </si>
  <si>
    <t>GESTOR DE VENTA</t>
  </si>
  <si>
    <t> </t>
  </si>
  <si>
    <t>NO ES EPECIFICA</t>
  </si>
  <si>
    <t>CLAUDIA GONZALEZ MUCIÑO</t>
  </si>
  <si>
    <t>INSURGENTES SUR 300 DESPACHO 105</t>
  </si>
  <si>
    <t>YAZMIN RAMOS ABRAHAM</t>
  </si>
  <si>
    <t>HERIBERTO FRIAS 1517</t>
  </si>
  <si>
    <t>JOSE MANUEL GONZALEZ RODRIGUEZ</t>
  </si>
  <si>
    <t>ROBERTO ELIAS ORTEGA MENDEZ</t>
  </si>
  <si>
    <t>COORDINADORA DE EVENTOS</t>
  </si>
  <si>
    <t>ALEJANDRO LOPEZ ARAGON</t>
  </si>
  <si>
    <t>MARTIN LOPEZ  ARAGON</t>
  </si>
  <si>
    <t>ROBERTO ALBERTO LOPEZ ARAGON</t>
  </si>
  <si>
    <t>FRANCISCO ROMERO LEONARDO</t>
  </si>
  <si>
    <t>ROSA MARIA VILCHIS ANDRADE</t>
  </si>
  <si>
    <t>ALEJANDRO ROMERO LEONARDO</t>
  </si>
  <si>
    <t>COORDINADOR DE PLAZA</t>
  </si>
  <si>
    <t>LIBORIO SANCHEZ ESTEBAN</t>
  </si>
  <si>
    <t>VESTUARIO</t>
  </si>
  <si>
    <t>JUAN MATEO BENITEZ</t>
  </si>
  <si>
    <t>DE PRESUPUESTOS Y COBRANZA</t>
  </si>
  <si>
    <t>BENITO HU NUÑEZ</t>
  </si>
  <si>
    <t>LOGISTICA</t>
  </si>
  <si>
    <t>DANIEL</t>
  </si>
  <si>
    <t>NO HAY ESCANEO DE AUTO DE RADICACION O PREVENCION</t>
  </si>
  <si>
    <t>IRAN LUIS DIAZ MENDEZ</t>
  </si>
  <si>
    <t>SAN ANTONIO ABAD 112 CUARTO PISO</t>
  </si>
  <si>
    <t>SODEXCO SA DE CV</t>
  </si>
  <si>
    <t>HERODOTO 53</t>
  </si>
  <si>
    <t>MIGUEL HIDALGO</t>
  </si>
  <si>
    <t>VICTOR ZARATE</t>
  </si>
  <si>
    <t>ENRIQUE VALDEZ</t>
  </si>
  <si>
    <t>STAFF AYUDANTES</t>
  </si>
  <si>
    <t>KRYSTAL GONZALEZ CONTRERAS</t>
  </si>
  <si>
    <t>CALEGA MANZANA 263 LOTE 16</t>
  </si>
  <si>
    <t>SEGUNDA AMPLIACION SANTIAGO ACAHUALTEPEC</t>
  </si>
  <si>
    <t>IZTAPALAPA</t>
  </si>
  <si>
    <t>SERVICIOS IN ELIGIENDO SA DE CV</t>
  </si>
  <si>
    <t>BALDERAS 33 PRIMER PISO</t>
  </si>
  <si>
    <t>ARIADNA CARRASCO RODRIGUEZ</t>
  </si>
  <si>
    <t>ISAAC MARTINEZ JACUINDE</t>
  </si>
  <si>
    <t>ABOGADOS ISER</t>
  </si>
  <si>
    <t>ANALISTA CONTABLE</t>
  </si>
  <si>
    <t>AGUINALDO POR DIA</t>
  </si>
  <si>
    <t>PRIMA VACACIONAL POR DIA</t>
  </si>
  <si>
    <t>ROBERTO LAZO GARCIA</t>
  </si>
  <si>
    <t>CAPULIN 46 DESPACHOS 604 Y 605</t>
  </si>
  <si>
    <t>TLACOQUEMECATL DEL VALLE</t>
  </si>
  <si>
    <t>DOMESTIC AIR CARGO SA DE CV</t>
  </si>
  <si>
    <t>ANGELINA 10B</t>
  </si>
  <si>
    <t>SAN ANGEL</t>
  </si>
  <si>
    <t>MIGUEL RAMIREZ</t>
  </si>
  <si>
    <t>JESUS AVALOS</t>
  </si>
  <si>
    <t>MAURO ZAPATA FERNANDEZ</t>
  </si>
  <si>
    <t>MAURO ZAPATA TORREBLANCA</t>
  </si>
  <si>
    <t>ROSARIO ZAPATA FERNANDEZ</t>
  </si>
  <si>
    <t>GERENTE DE OPERACIONES DE CARGA Y RAMPA</t>
  </si>
  <si>
    <t>15 DIAS ANUALES DE VACACIONES</t>
  </si>
  <si>
    <t>50 PORCIENTO DE PRIMA VACACIONAL</t>
  </si>
  <si>
    <t>SEPTIMOS DIAS</t>
  </si>
  <si>
    <t>20 DIAS DE AGUINALDO</t>
  </si>
  <si>
    <t>JESSICA MONSERRAT GUZMAN HERNANDEZ</t>
  </si>
  <si>
    <t>CABELA 520</t>
  </si>
  <si>
    <t>IZTACALCO</t>
  </si>
  <si>
    <t>DIZAR SA DE CV</t>
  </si>
  <si>
    <t>CALZADA IGNACIO ZARAGOZA 1431 ENTRE CALLE CUAUHTEMOC T SANTA TERESA</t>
  </si>
  <si>
    <t>TEPALCATES</t>
  </si>
  <si>
    <t>VOLKSWAGEN DE MEXICO SA DE CV</t>
  </si>
  <si>
    <t>EDGAR CORONA CASTRO</t>
  </si>
  <si>
    <t>BUFFETE JURIDICO CHINO Y ASOCIADOS</t>
  </si>
  <si>
    <t>VENDEDORA</t>
  </si>
  <si>
    <t>ANGELES MONTSERRAT OROPEZA CAMACHO</t>
  </si>
  <si>
    <t>BOSQUES DE DURAZNOS 65 DESPACHO 208</t>
  </si>
  <si>
    <t>HUMAN ACCESS SA DE CV</t>
  </si>
  <si>
    <t>MONTECITO 38 EDIFICIO DEL WORLD TRADE CENTER PISO 38 OFICINA 38</t>
  </si>
  <si>
    <t>BENITO JUAREZ</t>
  </si>
  <si>
    <t>ATENCION DE PERSONAL Y LABORAL SA DE CV</t>
  </si>
  <si>
    <t>CAMINO A SANTA TERESA 187 C SEGUNDO PISO</t>
  </si>
  <si>
    <t>PARQUES DEL PEDREGAL</t>
  </si>
  <si>
    <t>TLALPAN</t>
  </si>
  <si>
    <t>ESPECIALISTAS DE PERSONAL SA DE CV</t>
  </si>
  <si>
    <t>ESPECIALISTAS EN ATENCION PERSONAL SA DE CV</t>
  </si>
  <si>
    <t>TANIA PEREZ VELASCO</t>
  </si>
  <si>
    <t>CECILIA ARMENTA</t>
  </si>
  <si>
    <t>LUIS DE JESUS KRAMSKY LOPEZ</t>
  </si>
  <si>
    <t>VALERIA FERNANDEZ DIAZ</t>
  </si>
  <si>
    <t>LUCERO ORTIZ GUARDIOLA</t>
  </si>
  <si>
    <t>OPERADORA TELEFONICA</t>
  </si>
  <si>
    <t>JUAN BELMONT SANCHEZ</t>
  </si>
  <si>
    <t>DOCTOR LUCIO 103 EDIFICIO A 3 OSA MAYOR DESPACHO 803</t>
  </si>
  <si>
    <t>BOCAR SA DE CV</t>
  </si>
  <si>
    <t>PROFESORA AURORA REZA 255</t>
  </si>
  <si>
    <t>LOS REYES COYOACAN</t>
  </si>
  <si>
    <t>COYOACAN</t>
  </si>
  <si>
    <t>LUCIO TORRES ANTOLINO</t>
  </si>
  <si>
    <t>NANCY PARESS MORALES</t>
  </si>
  <si>
    <t>OLGA GAVIA RIOS</t>
  </si>
  <si>
    <t>OPERADOR CATEGORIA XX</t>
  </si>
  <si>
    <t>JUAN VICENTE MARTINEZ</t>
  </si>
  <si>
    <t>MIGUEL ANGEL MARTINEZ HEREDIA</t>
  </si>
  <si>
    <t>PEREGRINO AGUILAR SERVICIOS SA DE CV</t>
  </si>
  <si>
    <t>VARSOVIA 11</t>
  </si>
  <si>
    <t>BENITO BETANCOURT LINARES</t>
  </si>
  <si>
    <t>LETICIA MARTINEZ VALTIERRA</t>
  </si>
  <si>
    <t>LIDIA AGUIRRE CADENA</t>
  </si>
  <si>
    <t>DANIEL PEREGRINO LEON</t>
  </si>
  <si>
    <t>FABIAN ANTONIO TINOCO BRIONES</t>
  </si>
  <si>
    <t>LOPEZ 43 DESPACHO 501</t>
  </si>
  <si>
    <t>TRANSPORTES ADUANALES Y SERVICIOS SA DE CV</t>
  </si>
  <si>
    <t>QUETZALCOATL 79 A </t>
  </si>
  <si>
    <t>VENUSTIANO CARRANZA</t>
  </si>
  <si>
    <t>FERNANDO CABALLERO</t>
  </si>
  <si>
    <t>PATRICIO CABALLERO</t>
  </si>
  <si>
    <t>LUIS BANDA GONZALEZ</t>
  </si>
  <si>
    <t>ALEJANDRA OLMOS MENDOZA</t>
  </si>
  <si>
    <t>EDGAR ENRIQUE ARROYO RIVERA</t>
  </si>
  <si>
    <t>BANDA Y OLMOS</t>
  </si>
  <si>
    <t>FERNANDO CABALLERO Y PATRICIO CABALLERO</t>
  </si>
  <si>
    <t>SOLO HAY PREVENCION PERO NO AUTO DE RADICACION</t>
  </si>
  <si>
    <t>ERASMO MONROY NIETO</t>
  </si>
  <si>
    <t>AVENIDA FRANCISCO DEL PASO Y TRONCOSO EDIFICIO 100 ENT B DEPARTAMENTO 1</t>
  </si>
  <si>
    <t>MOBIL EXPRESS LUB</t>
  </si>
  <si>
    <t>TIERRA INDOMITA 36 ESQUINA AQUILES SERDAN</t>
  </si>
  <si>
    <t>AZCAPOTZALCO</t>
  </si>
  <si>
    <t>ROBERTO JONATHAN LOPEZ MAGAÑA</t>
  </si>
  <si>
    <t>LORZZA Y ASOCIADOS</t>
  </si>
  <si>
    <t>LAVADOR Y ENGRASADOR</t>
  </si>
  <si>
    <t>SANTIAGO GERALDO MORENO</t>
  </si>
  <si>
    <t>HAMURABI CIPRES RODRIGUEZ</t>
  </si>
  <si>
    <t>DOCTOR MORONES PRIETO 85 TORRE G INTERIOR 602</t>
  </si>
  <si>
    <t>GRUPO LORZA SA DE CV</t>
  </si>
  <si>
    <t>AVENIDA CANAL DE RIO CHURUBUSCO 3 ZONA COMERCIAL PASILLO 2 LOCAL D 44</t>
  </si>
  <si>
    <t>FIDEICOMISO PARA LA CENTRAL DE ABASTOS</t>
  </si>
  <si>
    <t>GRUPO FINANCIERO SANTANDER SERFIN</t>
  </si>
  <si>
    <t>INSTITUCION DE BANCA MULTIPLE</t>
  </si>
  <si>
    <t>ALAN MICHEL NIEVES MATA</t>
  </si>
  <si>
    <t>VALERY DAVID BAHENA VELASQUEZ</t>
  </si>
  <si>
    <t>ROESSANI ABOGADOS</t>
  </si>
  <si>
    <t>REPARTIDOR</t>
  </si>
  <si>
    <t>LUIS PASCUAL</t>
  </si>
  <si>
    <t>AYUDA DE COMIDA</t>
  </si>
  <si>
    <t>OMAR DIONISIO VELAZQUEZ ANDRADE</t>
  </si>
  <si>
    <t>INSTITUTO POLITECNICO NACIONAL 1833 DESPACHO 103</t>
  </si>
  <si>
    <t>LINDAVISTA  </t>
  </si>
  <si>
    <t>ISA CORPORATIVO SA DE CV</t>
  </si>
  <si>
    <t>CULTURAS PREHISPANICAS 172</t>
  </si>
  <si>
    <t>GRANJAS SAN ANTONIO IZTAPALAPA</t>
  </si>
  <si>
    <t>PATRICIA RAMIREZ RODRIGUEZ</t>
  </si>
  <si>
    <t>RAUL CAMOU RODRIGUEZ</t>
  </si>
  <si>
    <t>HUGO RAFAEL CAMOU RODRIGUEZ</t>
  </si>
  <si>
    <t>NURIA GABRIELA INCLAN SOLA</t>
  </si>
  <si>
    <t>ERNESTO LOPEZ VALDEZ</t>
  </si>
  <si>
    <t>PATRICIA PUENTES MENDOZA</t>
  </si>
  <si>
    <t>GONZALO MARDUEÑO LARA</t>
  </si>
  <si>
    <t>MYRNA PALOMEC PINEDA</t>
  </si>
  <si>
    <t>ERNESTO LOPEZ N</t>
  </si>
  <si>
    <t>MARISOL PEÑA SANCHEZ</t>
  </si>
  <si>
    <t>SERVICIO MONCOBE SA DE CV</t>
  </si>
  <si>
    <t>CALZADA DE LA VIGA 175</t>
  </si>
  <si>
    <t>MANUEL GOMEZ</t>
  </si>
  <si>
    <t>JESUS RODRIGUEZ MIRANDA</t>
  </si>
  <si>
    <t>PENELOPE VALENCIA</t>
  </si>
  <si>
    <t>ENCARGADA DE GASOLINERA</t>
  </si>
  <si>
    <t>CAJA DE AHORRO</t>
  </si>
  <si>
    <t>ANDRES ACOSTA INFANTE</t>
  </si>
  <si>
    <t>DOCTOR OLVERA 159 INTERIOR 1</t>
  </si>
  <si>
    <t>JORGE ALFREDO ORTIZ ROJAS</t>
  </si>
  <si>
    <t>RETORNO 8 DE LICENCIADO LAZARO PAVILA 109</t>
  </si>
  <si>
    <t>DAVID RICARDO ESPARZA GARCIA</t>
  </si>
  <si>
    <t>ALFONSO PEÑA RODRIGUEZ</t>
  </si>
  <si>
    <t>DAVID PEÑA GALINDO</t>
  </si>
  <si>
    <t>GERENTE DE VENTAS</t>
  </si>
  <si>
    <t>COMISION</t>
  </si>
  <si>
    <t>JESUS ALFREDO VILLA BELMONT</t>
  </si>
  <si>
    <t>ALVARO OBREGON 186</t>
  </si>
  <si>
    <t>AUTOTRANSPORTES JOAL SA DE CV</t>
  </si>
  <si>
    <t>SAN JUAN BOSCO 47</t>
  </si>
  <si>
    <t>SAN LORENZO HUIPULCO</t>
  </si>
  <si>
    <t>DIRECCION EN ADMINISTRACION CONTABLE SA</t>
  </si>
  <si>
    <t>JOSE ALFONSO DE MARIA LARA GARCIA</t>
  </si>
  <si>
    <t>SERGIO MARTIN MORA CASTRO</t>
  </si>
  <si>
    <t>INGRID PAULINA HERNANDEZ VALVERDE</t>
  </si>
  <si>
    <t>JUAN CARLOS PANIAGUA MORA</t>
  </si>
  <si>
    <t>VALVACION</t>
  </si>
  <si>
    <t>RICARDO AGUILAR ALVAREZ COLUNGA</t>
  </si>
  <si>
    <t>JOSE CARLOS LOZANO NORIEGA</t>
  </si>
  <si>
    <t>JEFE DE TALLER</t>
  </si>
  <si>
    <t>JOSE GAUDENCIO SILVINO LIMA MICHICOL</t>
  </si>
  <si>
    <t>JAVIER MORALES ESPINOSA</t>
  </si>
  <si>
    <t>ELIDIA SILVESTRE CLEMENTE</t>
  </si>
  <si>
    <t>DOCTOR JOSE MARIA VERTIZ 109 INTERIOR 504</t>
  </si>
  <si>
    <t>MANPOWER SA DE CV</t>
  </si>
  <si>
    <t>INSURGENTES SUR 688 TERCER PISO</t>
  </si>
  <si>
    <t>GREGORIO CRUSZALEY</t>
  </si>
  <si>
    <t>SABRITAS S DE RL DE CV</t>
  </si>
  <si>
    <t>PROLONGACION SAN ANTONIO 418</t>
  </si>
  <si>
    <t>MINAS DE CRISTO</t>
  </si>
  <si>
    <t>ALVARO OBREGON</t>
  </si>
  <si>
    <t>ALVARO MUÑOZ NAVARRO</t>
  </si>
  <si>
    <t>CELESTINO VELAZQUEZ RAMIREZ</t>
  </si>
  <si>
    <t>JOSE ALEJANDRO LOPEZ CASTE</t>
  </si>
  <si>
    <t>URI ELIBERT MORALES SOUVERVILLE</t>
  </si>
  <si>
    <t>CAMACHO Y ABOGADOS</t>
  </si>
  <si>
    <t>SURTIDORA</t>
  </si>
  <si>
    <t>MARCELA CASTELLANOS PEÑA</t>
  </si>
  <si>
    <t>JORGE TREJO FRAGOSO</t>
  </si>
  <si>
    <t>AUTOMOTORES TORREON SA DE CV</t>
  </si>
  <si>
    <t>TORREON 49</t>
  </si>
  <si>
    <t>ADRIAN ISRAEL SOTO ORTIZ</t>
  </si>
  <si>
    <t>JEFE DE SERVICIOS</t>
  </si>
  <si>
    <t>JESUS VICARIO</t>
  </si>
  <si>
    <t>TRANSPORTES ADUANALES Y SERVICIOS COMPLEMENTARIOS SA DE CV</t>
  </si>
  <si>
    <t>CARLOS CRUZ CASTILLO</t>
  </si>
  <si>
    <t>COLICA 18 CASA 3 EDIFICIO 14</t>
  </si>
  <si>
    <t>FRACCIONAMIENTO COYUYA</t>
  </si>
  <si>
    <t>JOSE FABIAN HOYO TROCONIS</t>
  </si>
  <si>
    <t>KELVIN 27 PISO 6</t>
  </si>
  <si>
    <t>SANDRA MORENO</t>
  </si>
  <si>
    <t>PRIVADA NICOLAS BRAVO 8</t>
  </si>
  <si>
    <t>AHUEHUETES ANAHUAC</t>
  </si>
  <si>
    <t>COLL MANAGEMENT GROUP SA DE CV</t>
  </si>
  <si>
    <t>ADMIN DE RRH SC</t>
  </si>
  <si>
    <t>JOSEFA ORTIZ DE DOMINGUEZ MANZANA 3 LOTE 15</t>
  </si>
  <si>
    <t>CAMPESTRE POTRERO</t>
  </si>
  <si>
    <t>IGNACIO MARTINEZ DE LA PEÑA</t>
  </si>
  <si>
    <t>JOSE FELIX MARTINEZ DE LA PEÑA</t>
  </si>
  <si>
    <t>ALEJANDRO ALVAREZ CRUZ</t>
  </si>
  <si>
    <t>JEFE DE NOTIFICACIONES Y ENCARGADO DE COBRANZA DE CREDITOS</t>
  </si>
  <si>
    <t>BONO DE ASISTENCIA</t>
  </si>
  <si>
    <t>BONO DE PRODUCTIVIDAD II</t>
  </si>
  <si>
    <t>AYUDA DE GASOLINA</t>
  </si>
  <si>
    <t>MARIO ALVAREZ ARIAS</t>
  </si>
  <si>
    <t>DOCTOR LICEAGA 71 DESPACHO 2</t>
  </si>
  <si>
    <t>JAIME ROJAS SANCHEZ</t>
  </si>
  <si>
    <t>FRESNO MANZANA 54 LOTE 14</t>
  </si>
  <si>
    <t>CONSEJO AGRARISTA</t>
  </si>
  <si>
    <t>IZTALPALAPA</t>
  </si>
  <si>
    <t>OSWALDO CASTRO ROJAS</t>
  </si>
  <si>
    <t>ALBA YOLANDA ROMERO HERNANDEZ</t>
  </si>
  <si>
    <t>RENE MORALES LOPEZ</t>
  </si>
  <si>
    <t>GUSTAVO OCAMPO CUELLAR</t>
  </si>
  <si>
    <t>BUFETE JURIDICO CONTABLE ROMERO</t>
  </si>
  <si>
    <t>MARIA DEL CARMEN ESPINOSA FUENTES</t>
  </si>
  <si>
    <t>INDEPENDENCIA 101 DESPACHO 33</t>
  </si>
  <si>
    <t>GUILLERMO ARTURO OCHOA GARCIA</t>
  </si>
  <si>
    <t>THIERS 380</t>
  </si>
  <si>
    <t>PEDRO MENDOZA GARCIA</t>
  </si>
  <si>
    <t>JOSEFINA SANCHEZ ROA</t>
  </si>
  <si>
    <t>AFANADORA</t>
  </si>
  <si>
    <t>ROSAS</t>
  </si>
  <si>
    <t>SIN AUTO DE RADICACION </t>
  </si>
  <si>
    <t>BISMARK IVAN RIOS CAMPOS</t>
  </si>
  <si>
    <t>AVENIDA VIADUCTO MIGUEL ALEMAN 566, SEPTIMO PISO, ENTRE ALASKA Y MEDELLIN</t>
  </si>
  <si>
    <t>ATENTO SERVICIOS  SA DE CV </t>
  </si>
  <si>
    <t>AVENIDA MONTERREY 100</t>
  </si>
  <si>
    <t>BBVA BANCOMER SA INSTITUCION DE BANCA MULTIPLE GRUPO FINANCIERO BBVA BANCOMER </t>
  </si>
  <si>
    <t>AVENIDA UNIVERSIDAD 1200</t>
  </si>
  <si>
    <t>XOCO</t>
  </si>
  <si>
    <t>JOSE M JUAREZ SANDOVAL</t>
  </si>
  <si>
    <t>JUAN MARIO CALLES SEUR</t>
  </si>
  <si>
    <t>JOSE MIRANDA PALACIOS </t>
  </si>
  <si>
    <t>COORDINADOR EN EL AREA DE FINANCIAMIENTO DE AUTOS</t>
  </si>
  <si>
    <t>MARIBEL SANCHEZ</t>
  </si>
  <si>
    <t>ULISES RUIZ SANCHEZ</t>
  </si>
  <si>
    <t>AVENIDA CUAUHTEMOC 24, DESPACHO SIETE </t>
  </si>
  <si>
    <t>PRADO NORTE 305, INTERIOR 4</t>
  </si>
  <si>
    <t>ASESORIA EN CONTROL DE RECURSOS HUMANOS SC </t>
  </si>
  <si>
    <t>PERALVILLO 4, LOCAL C</t>
  </si>
  <si>
    <t>MORELOS</t>
  </si>
  <si>
    <t>GENERAL METALICA INDUSTRIAL SA DE CV </t>
  </si>
  <si>
    <t>URBINA 56</t>
  </si>
  <si>
    <t>PARQUE INDUSTRIAL NAUCALPAN</t>
  </si>
  <si>
    <t>NAUCALPAN</t>
  </si>
  <si>
    <t>MI BODEGA SEGURA DE MEXICO SA PI DE CV </t>
  </si>
  <si>
    <t>URBINA 56D</t>
  </si>
  <si>
    <t>GRUPO METAL INTRA SA DE CV </t>
  </si>
  <si>
    <t>AVENIDA PASEO DE LA REFORMA 2654, INTERIOR 1001</t>
  </si>
  <si>
    <t>LOMAS ALTAS</t>
  </si>
  <si>
    <t>INTEGRADORA DE SERVICIOS INDEPENDIENTES SA DE CV</t>
  </si>
  <si>
    <t>ROSA MARIA QUINTANA OLMOS </t>
  </si>
  <si>
    <t>JUAN GONZALEZ VAZQUEZ</t>
  </si>
  <si>
    <t>ERNESTO NAVARRO RUIZ </t>
  </si>
  <si>
    <t>SERVICIOS  </t>
  </si>
  <si>
    <t>AUXILIAR DE RESIDENTE</t>
  </si>
  <si>
    <t>MIGUEL ANGEL GARCIA </t>
  </si>
  <si>
    <t>ALMA ROSA EVANGELISTA MIRAFUENTES</t>
  </si>
  <si>
    <t>DONATO GUERRA 1, DESPACHO 202</t>
  </si>
  <si>
    <t>RED PROMOCIONAL MEXICANA SA DE CV </t>
  </si>
  <si>
    <t>YACATAS 342</t>
  </si>
  <si>
    <t>PEDRO ELEUTERIO MENDOZA GARCIA </t>
  </si>
  <si>
    <t>EJECUTIVA DE ATENCION Y SERVICIO AL CLIENTE</t>
  </si>
  <si>
    <t>PATRICIA ALEMAN</t>
  </si>
  <si>
    <t>BONO DE PRODUCTIVIDAD </t>
  </si>
  <si>
    <t>VALES DE DESPENSA </t>
  </si>
  <si>
    <t>MAGALI REYES ZAVALA </t>
  </si>
  <si>
    <t>JOSE ENRIQUE PESTALOZZI 855</t>
  </si>
  <si>
    <t>COSMO LT SA DE CV</t>
  </si>
  <si>
    <t>AVENIDA LA PAZ 58, LOCAL 17</t>
  </si>
  <si>
    <t>JESUS GUILLERMO SALCEDO LOPEZ </t>
  </si>
  <si>
    <t>AMPARO ORTEGA CASTELLANOS </t>
  </si>
  <si>
    <t>EMMANUEL ROBERTO ASCENCIO MARTINEZ</t>
  </si>
  <si>
    <t>SALCEDO TENORIO Y ASCENCIO MARTINEZ</t>
  </si>
  <si>
    <t>LUCIA MELLONE TORRES</t>
  </si>
  <si>
    <t>DAVID CRUZ VARGAS</t>
  </si>
  <si>
    <t>ANUNCIOS EN DIRECTORIOS SA DE CV</t>
  </si>
  <si>
    <t>AVENIDA INSURGENTES SUR 3500, PRIMER PISO</t>
  </si>
  <si>
    <t>BARRIO DE PEÑA POBRE</t>
  </si>
  <si>
    <t>SINDICATO PROGRESISTA JUSTO SIERRA DE TRABAJADORES DE SERVICIOS DE LA REPUBLICA MEXICANA </t>
  </si>
  <si>
    <t>LEON FELIPE 164</t>
  </si>
  <si>
    <t>TLACOPAC</t>
  </si>
  <si>
    <t>JOSE ALFONSO JIMENEZ REYES </t>
  </si>
  <si>
    <t>ANDREA ANTONIETA JIMENEZ TABARES</t>
  </si>
  <si>
    <t>JISELA ESTRADA CEDILLO </t>
  </si>
  <si>
    <t>CESAR ALBERTO BORREGO BERRONES</t>
  </si>
  <si>
    <t>PRESTACIONES</t>
  </si>
  <si>
    <t>RICARDO BUCIO ESLAVA</t>
  </si>
  <si>
    <t>BALDERAS 32, DESPACHO 309</t>
  </si>
  <si>
    <t>CENTRO </t>
  </si>
  <si>
    <t>RA SA </t>
  </si>
  <si>
    <t>DOCTOR ARCE 71</t>
  </si>
  <si>
    <t>MARIA ESTHER MARTINEZ LOPEZ</t>
  </si>
  <si>
    <t>CLAUDIA MARTINEZ LOPEZ</t>
  </si>
  <si>
    <t>FRANCISCO OSORNIO ALMARAZ</t>
  </si>
  <si>
    <t>JAIME GARCIA HINOJOS </t>
  </si>
  <si>
    <t>BARUCH SALVADOR GARCIA ROA</t>
  </si>
  <si>
    <t>G HINOJOS ABOGADOS</t>
  </si>
  <si>
    <t>ADMINISTRACION</t>
  </si>
  <si>
    <t>BONOS</t>
  </si>
  <si>
    <t>GRATIFICACION</t>
  </si>
  <si>
    <t>SALVADOR CUEVAS JIMENEZ</t>
  </si>
  <si>
    <t>A GONZALEZ DE COSSIO 311</t>
  </si>
  <si>
    <t>DESARROLLO DIRECTIVO Y ENLACE CORPORATIVO SA DE CV </t>
  </si>
  <si>
    <t>AVENIDA CAMINO DEL RECREO 40A, INTERIOR 1</t>
  </si>
  <si>
    <t>JUAN MANUEL ROBLES </t>
  </si>
  <si>
    <t>MIRIAM CHACON CORONA</t>
  </si>
  <si>
    <t>JUAN ANTONIO PLATA</t>
  </si>
  <si>
    <t>MAURICIO GOMEZ</t>
  </si>
  <si>
    <t>JULIO YAKA</t>
  </si>
  <si>
    <t>SILVIA SOLEDAD NAVARRO ESTRADA </t>
  </si>
  <si>
    <t>VICTOR HUGO DIAZ CABRERA </t>
  </si>
  <si>
    <t>MARIA DEL CARMEN HERNANDEZ VACA</t>
  </si>
  <si>
    <t>BUFETE MARTINEZ LICONA SC</t>
  </si>
  <si>
    <t>EJECUTIVO  </t>
  </si>
  <si>
    <t>HORAS EXTRA </t>
  </si>
  <si>
    <t>MARIA DOLORES ARCOS RODRIGUEZ </t>
  </si>
  <si>
    <t>TECOYOTITLA 191B</t>
  </si>
  <si>
    <t>PLAN DE AHORRO AUTOMOTRIZ SA DE CV</t>
  </si>
  <si>
    <t>AVENIDA INSURGENTES SUR 553, SEPTIMO PISO </t>
  </si>
  <si>
    <t>PLANFIA AUTOFINANCIAMIENTO CHRYSLER </t>
  </si>
  <si>
    <t>INSTITUTO MEXICANO DEL SEGURO SOCIAL</t>
  </si>
  <si>
    <t>AVENIDA INSTITUTO POLITECNICO NACIONAL 5421, PLANTA BAJA, EDIFICIO 3</t>
  </si>
  <si>
    <t>INSTITUTO DEL FONDO DE LA VIVIENDA PARA LOS TRABAJADORES</t>
  </si>
  <si>
    <t>BARRANCA DEL MUERTO 280, TERCER PISO</t>
  </si>
  <si>
    <t>VERONICA BERISTAIN PEREZ</t>
  </si>
  <si>
    <t>JOSE FERNANDO SANTILLAN GALINDO </t>
  </si>
  <si>
    <t>JEFA DE VENTAS </t>
  </si>
  <si>
    <t>JOSE DE JESUS VENEGAS</t>
  </si>
  <si>
    <t>ROMAN GARCIA MORALES </t>
  </si>
  <si>
    <t>LOPEZ 1, DESPACHO 201</t>
  </si>
  <si>
    <t>UNION DE CHOFERES TAXISTAS DE TRANSPORTACION COLECTIVA RUTA UNO AC</t>
  </si>
  <si>
    <t>AVENIDA ANDRES MOLINA ENRIQUEZ 168, PLANTA BAJA </t>
  </si>
  <si>
    <t>SAN PEDRO </t>
  </si>
  <si>
    <t>MARIA LUIS ESPINOZA AYALA</t>
  </si>
  <si>
    <t>ROSAURA CASTILLERO PALENCIA </t>
  </si>
  <si>
    <t>JUAN CARLOS FRIAS FARIAS </t>
  </si>
  <si>
    <t>CHOFER Y OPERADOR</t>
  </si>
  <si>
    <t>MARIA LUISA ESPINOZA AYALA</t>
  </si>
  <si>
    <t>RAUL MORALES GARCIA </t>
  </si>
  <si>
    <t>SALARIO</t>
  </si>
  <si>
    <t>HEBERT MORALES VELELA </t>
  </si>
  <si>
    <t>ESTACIONAMIENTOS PUMASA SA DE CV</t>
  </si>
  <si>
    <t>AVENIDA PROLONGACION PASEO DE LA REFORMA 115, DESPACHO 1003; AVENIDA PASEO DE LAS PALMAS 755, DESPACHO 501</t>
  </si>
  <si>
    <t>PASEO DE LAS LOMAS DE SANTA FE; LOMAS DE CHAPULTEPEC</t>
  </si>
  <si>
    <t>DELEGACION ALVARO OBREGON ; DELEGACION MIGUEL HIDALGO</t>
  </si>
  <si>
    <t>GALAXIA CRUZ MEJIA </t>
  </si>
  <si>
    <t>MARTIN CAMPUZANO CASTILLO </t>
  </si>
  <si>
    <t>ALEJANDRO GIRON RAMIREZ</t>
  </si>
  <si>
    <t>JEFE DEL TURNO VESPERTINO</t>
  </si>
  <si>
    <t>JUAN MANUEL RINCON MARTINEZ</t>
  </si>
  <si>
    <t>AVENIDA BAJA CALIFORNIA 206, DESPACHO 503</t>
  </si>
  <si>
    <t>DESARROLLO UNIVERSAL DE PROYECTOS SC </t>
  </si>
  <si>
    <t>HERSCHEL 152. PISO 4 </t>
  </si>
  <si>
    <t>CORPORACION DE SOLUCIONES ADMINISTRATIVAS Y DE COBRANZA S DE RL DE CV </t>
  </si>
  <si>
    <t>AVENIDA INSURGENTES SUR 826, PISO 13</t>
  </si>
  <si>
    <t>EZEQUIEL OROZCO MERCADO </t>
  </si>
  <si>
    <t>MARCO AURELIO MELENDEZ BALDERAS </t>
  </si>
  <si>
    <t>CARLOS ORTIZ ESTRELLA </t>
  </si>
  <si>
    <t>ESTIMULO ECONOMICO</t>
  </si>
  <si>
    <t>PUNTUALIDAD </t>
  </si>
  <si>
    <t>PERMANENCIA</t>
  </si>
  <si>
    <t>MONICA JIMENEZ DIAZ</t>
  </si>
  <si>
    <t>DONATO GUERRA 1, DESPACHO 312</t>
  </si>
  <si>
    <t>FONATUR OPERADORA PORTUARIA SA DE CV</t>
  </si>
  <si>
    <t>TECOYOTITLA 100, PRIMER PISO </t>
  </si>
  <si>
    <t>JOSE LUIS CADENA DIAZ</t>
  </si>
  <si>
    <t>ISAAC GARCIA JIMENEZ</t>
  </si>
  <si>
    <t>GRACIELA ARACELI CUAXILOA GONZALEZ</t>
  </si>
  <si>
    <t>LUIS ALFONSO LUGO PLATT</t>
  </si>
  <si>
    <t>MOISES RIOS JUAREZ</t>
  </si>
  <si>
    <t>EDUARDO ALBERTO CASTAÑEDA HERNANDEZ</t>
  </si>
  <si>
    <t>LAIR MAURICIO ISLAS MONROY </t>
  </si>
  <si>
    <t>DIANA ROXEMY MONTOYA</t>
  </si>
  <si>
    <t>CASTAÑEDA ISLAS Y BELLO</t>
  </si>
  <si>
    <t>TURISMO</t>
  </si>
  <si>
    <t>ANALISTA A </t>
  </si>
  <si>
    <t>BONO DE INCREMENTO SALARIAL </t>
  </si>
  <si>
    <t>NO SE ENCUENTRA EL ESCRITO INICIAL DE DEMANDA</t>
  </si>
  <si>
    <t>JUAN MANUEL SOLIS BEJARANO </t>
  </si>
  <si>
    <t>AVENIDA INSTITUTO POLITECNICO NACIONAL 1833, DESPACHO 7 A</t>
  </si>
  <si>
    <t>FLAMAMEX SA DE CV </t>
  </si>
  <si>
    <t>ORIENTE CIENTO SETENTA Y UNO 316</t>
  </si>
  <si>
    <t>FRACCIONAMIENTO INDUSTRIAL SANTA COLETA</t>
  </si>
  <si>
    <t>OCTAVIO JIMENEZ</t>
  </si>
  <si>
    <t>ERACLIO MONTEJANO</t>
  </si>
  <si>
    <t>OSVALDO HERNANDEZ SALGADO</t>
  </si>
  <si>
    <t>MARTHA PATRICIA PEÑA ESTRELLA </t>
  </si>
  <si>
    <t>GAMALIEL VELASCO GODINEZ</t>
  </si>
  <si>
    <t>MARIA DE LOURDES PEÑA ESTRELLA </t>
  </si>
  <si>
    <t>REPARTIDOR DE GAS</t>
  </si>
  <si>
    <t>MARCO ANTONIO MARTINEZ GRANDE </t>
  </si>
  <si>
    <t>DIEZ 239</t>
  </si>
  <si>
    <t>PORVENIR </t>
  </si>
  <si>
    <t>GRUPO WGS SA DE CV </t>
  </si>
  <si>
    <t>ORIENTE DOSCIENTOS CINCUENTA Y CINCO 447</t>
  </si>
  <si>
    <t>AGRICOLA ORIENTAL</t>
  </si>
  <si>
    <t>JAIME VALENCIA MORENO </t>
  </si>
  <si>
    <t>LUIS GONZALEZ SANCHEZ </t>
  </si>
  <si>
    <t>TELESFORO GUADALUPE CEJA </t>
  </si>
  <si>
    <t>ALMA PATRICIA CONTRERAS DIAZ </t>
  </si>
  <si>
    <t>COMERCIAL </t>
  </si>
  <si>
    <t>COORDINADOR DE OPERACIONES DE PROYECTOS ESPECIALES</t>
  </si>
  <si>
    <t>RESCISION </t>
  </si>
  <si>
    <t>PELIGRO QUE SE CORRE EN EL TRABAJO </t>
  </si>
  <si>
    <t>LLUVIA ATENEA TORRES GUAJARDO</t>
  </si>
  <si>
    <t>AVENIDA JESUS LECUONA, MANZANA 127, LOTE 2 B</t>
  </si>
  <si>
    <t>AMPLIACION MIGUEL HIDALGO </t>
  </si>
  <si>
    <t>DELEGACION TLALPAN </t>
  </si>
  <si>
    <t>AUTOMOTORES DEL PEDREGAL SA DE CV </t>
  </si>
  <si>
    <t>PERIFERICO SUR 4100</t>
  </si>
  <si>
    <t>JARDINES DEL PEDREGAL </t>
  </si>
  <si>
    <t>CUBIKA CORPORATE PLANNING SA DE CV </t>
  </si>
  <si>
    <t>MIGUEL ANGEL FLORES GARCIA </t>
  </si>
  <si>
    <t>JOSE LUIS FLORES GARCIA </t>
  </si>
  <si>
    <t>MARIA DE LOS ANGELES USEDA VEGA </t>
  </si>
  <si>
    <t>HOSTESS</t>
  </si>
  <si>
    <t>MONICA LILIAN RODRIGUEZ</t>
  </si>
  <si>
    <t>JOSE DE JESUS ORTIZ IBARRA </t>
  </si>
  <si>
    <t>SALTILLO 37</t>
  </si>
  <si>
    <t>HIPODROMO </t>
  </si>
  <si>
    <t>UNION NACIONAL DE TAXISTAS DEL NOROESTE AC Y RAMALES RUTA 88</t>
  </si>
  <si>
    <t>NORTE OCHENTA Y SEIS A 6215</t>
  </si>
  <si>
    <t>GERTRUDIS SANCHEZ </t>
  </si>
  <si>
    <t>BLOQUE DE AGRUPACIONES DE RUTAS DE TAXIS DE SERVICIOS COLECTIVOS ESPECIALES DEL DF AC</t>
  </si>
  <si>
    <t>MIGUEL PEREZ PEREZ </t>
  </si>
  <si>
    <t>ROANOVA 52</t>
  </si>
  <si>
    <t>ARTURO FERNANDEZ ARRAS </t>
  </si>
  <si>
    <t>ALDO ARTURO FERNANDEZ HERNANDEZ </t>
  </si>
  <si>
    <t>JORGE HUMBERTO FERNANDEZ ARRAS</t>
  </si>
  <si>
    <t>MIGUEL PEREZ PEREZ</t>
  </si>
  <si>
    <t>GONZALO HERNANDEZ PIÑA </t>
  </si>
  <si>
    <t>CALZADA SAN ANTONIO ABAD 122, CUARTO PISO </t>
  </si>
  <si>
    <t>AUTOS BONILLA SA</t>
  </si>
  <si>
    <t>SUR SETENTA Y NUEVE 401</t>
  </si>
  <si>
    <t>VIADUCTO PIEDAD </t>
  </si>
  <si>
    <t>JAIME CASTILLO ESPINOSA</t>
  </si>
  <si>
    <t>JESUS RAMIREZ GARCIA </t>
  </si>
  <si>
    <t>JAIME CASTILLO ESPINOSA </t>
  </si>
  <si>
    <t>MARIA DEL PILAR NEPOMUCENO MARTINEZ</t>
  </si>
  <si>
    <t>PRIMERA PRIVADA DE CAMARONES 18 A</t>
  </si>
  <si>
    <t>DEL RECREO </t>
  </si>
  <si>
    <t>EFRAIN HUGO ALCANTARA RUIZ </t>
  </si>
  <si>
    <t>SAN GABRIEL MANZANA 32, LOTE 3</t>
  </si>
  <si>
    <t>MOLINO DE SANTA DOMINGO </t>
  </si>
  <si>
    <t>IRMA RUIZ N</t>
  </si>
  <si>
    <t>EFRAIN ALAN ALCANTARA RUIZ </t>
  </si>
  <si>
    <t>ARACELI RUIZ MORALES</t>
  </si>
  <si>
    <t>ANA DELIA ESCARCEGA HERRERA</t>
  </si>
  <si>
    <t>ANEL ESTHER VILLALVA SOLARES </t>
  </si>
  <si>
    <t>ZAMARRIPA &amp; HERRO ABOGADOS ASOCIADOS </t>
  </si>
  <si>
    <t>SECRETARIA </t>
  </si>
  <si>
    <t>MARIO ALBERTO MERCADO MATA </t>
  </si>
  <si>
    <t>LUIS CESAR MIRANDA ACOSTA </t>
  </si>
  <si>
    <t>MATAMOROS 135 A </t>
  </si>
  <si>
    <t>SAN NICOLAS TOTOLAPAN </t>
  </si>
  <si>
    <t>DELEGACION MAGDALENA CONTRERAS </t>
  </si>
  <si>
    <t>GERENTE DE OPERACIONES </t>
  </si>
  <si>
    <t>LUIS CESAR MIRANDA ACOSTA</t>
  </si>
  <si>
    <t>RAUL ANGELES MARTINEZ</t>
  </si>
  <si>
    <t>JORGE TRUJILLO RODRIGUEZ</t>
  </si>
  <si>
    <t>MEDELLIN 226</t>
  </si>
  <si>
    <t>ROTULOS TRUJILLO </t>
  </si>
  <si>
    <t>GUILLERMO VARGAS FLORES </t>
  </si>
  <si>
    <t>MARIA DEL CARMEN PRUD HOMME ZECUA </t>
  </si>
  <si>
    <t>TELEOPERADOR </t>
  </si>
  <si>
    <t>JORGE TRUJILLO RODRIGUEZ </t>
  </si>
  <si>
    <t>JUANA PANFILO NATIVIDAD</t>
  </si>
  <si>
    <t>PEDRO ROMERO DE TERREROS 708</t>
  </si>
  <si>
    <t>DEL VALLE </t>
  </si>
  <si>
    <t>SERVICIOS DE CAPITAL HUMANO CADA SA DE CV</t>
  </si>
  <si>
    <t>SEGUNDA CERRADA DE JAVIER ROJO GOMEZ 50; FRANCISCO JAVIER MINA 199</t>
  </si>
  <si>
    <t>BARRIO DE SAN MIGUEL; BARRIO DE SAN MIGUEL</t>
  </si>
  <si>
    <t>DELEGACION IZTAPALAPA; DELEGACION IZTAPALAPA </t>
  </si>
  <si>
    <t>CORPORATIVO DE SERVICIOS SABE SA DE CV </t>
  </si>
  <si>
    <t>JOSE ARMANDO RUEDA CAÑEDO</t>
  </si>
  <si>
    <t>MARIANA RODRIGUEZ ALFARO </t>
  </si>
  <si>
    <t>GABRIEL DE JESUS ORTIZ CAMIRO </t>
  </si>
  <si>
    <t>LUIS ENRIQUE BERVERA LEON </t>
  </si>
  <si>
    <t>ORTIZ CAMIRO Y ASOCIADOS SC</t>
  </si>
  <si>
    <t>COSTURERA </t>
  </si>
  <si>
    <t>DESTAJO</t>
  </si>
  <si>
    <t>JULIO ROJAS MORA </t>
  </si>
  <si>
    <t>SERVICIOS AUTOMOTRICES SIGO XXII S DE RL DE CV </t>
  </si>
  <si>
    <t>VEINTE DE NOVIEMBRE , MANZANA 114, LOTE 8</t>
  </si>
  <si>
    <t>EJIDOS DE SANTA MARIA AZTAHUACAN</t>
  </si>
  <si>
    <t>DELEGACION IZTAPALAPA  </t>
  </si>
  <si>
    <t>SERGIO GARCIA LIMA</t>
  </si>
  <si>
    <t>DIRECCION </t>
  </si>
  <si>
    <t>FELIPE DE JESUS JARQUIN CANO </t>
  </si>
  <si>
    <t>TRACTOPARTES GRUPO TAMJAR DE MEXICO SA DE CV </t>
  </si>
  <si>
    <t>DIECISEIS DE SEPTIEMBRE DE MIL OCHOCIENTOS VEINTITRES 77</t>
  </si>
  <si>
    <t>SAN BARTOLO ATEPEHUACAN </t>
  </si>
  <si>
    <t>FABRICACIONES Y RECONSTRUCCIONES TAMJAR DE MEXICO SA DE CV </t>
  </si>
  <si>
    <t>TRACTOPARTES GRUPO TAMJAR  DE PUEBLA SA DE CV </t>
  </si>
  <si>
    <t>LUCIO JARQUIN CANO </t>
  </si>
  <si>
    <t>RUBEN HECTOR TAMARIZ RUBALCAVA </t>
  </si>
  <si>
    <t>HECTOR TAMARIZ </t>
  </si>
  <si>
    <t>SALVADOR VERDEJA SANTIAGO </t>
  </si>
  <si>
    <t>LIRIO IVONNE URIBE ROGEL </t>
  </si>
  <si>
    <t>CESAR MANUEL YEVERINO GONZALEZ </t>
  </si>
  <si>
    <t>JEFE DE TALLER </t>
  </si>
  <si>
    <t>VICTORIA AGUIRRE MARTINEZ Y JUAN JARQUIN CANO</t>
  </si>
  <si>
    <t>ANGELICA ORTEGA MARTINEZ </t>
  </si>
  <si>
    <t>YADIRA SALAS GARCIA </t>
  </si>
  <si>
    <t>OSA MENOR 171, INTERIOR 3</t>
  </si>
  <si>
    <t>PRADOS CHURUBUSCO </t>
  </si>
  <si>
    <t>DELEGACION COYOACAN </t>
  </si>
  <si>
    <t>SANDRA BELTRAN CARRASCO</t>
  </si>
  <si>
    <t>PROMOTORA </t>
  </si>
  <si>
    <t>ROSA ERIKA QUIROZ SANDOVAL </t>
  </si>
  <si>
    <t>TERESITA DE JESUS CHAN CETINA </t>
  </si>
  <si>
    <t>ERENDIRA JULIETA GONZALEZ RODRIGUEZ </t>
  </si>
  <si>
    <t>MARIA LETICIA VALDES SOLIS </t>
  </si>
  <si>
    <t>ANA IDALI MAGAÑA SALOMO </t>
  </si>
  <si>
    <t>DOCTOR LUCIO 102, EDIFICIO PEGASSO, PISO TRECE, INTERIOR 1304 </t>
  </si>
  <si>
    <t>SISTEMA INTEGRAL DE VIAJES SA DE CV </t>
  </si>
  <si>
    <t>INSURGENTES SUR 105, PISO 14, OFICINA 1432</t>
  </si>
  <si>
    <t>PRODUCTORA LL SA DE CV </t>
  </si>
  <si>
    <t>JULIO CESAR LOPEZ ESCOBAR</t>
  </si>
  <si>
    <t>IVON LARREA N </t>
  </si>
  <si>
    <t>ANGELICA HERNANDEZ CONTRERAS </t>
  </si>
  <si>
    <t>CARLOS ALBERTO ZAMORA HERNANDEZ </t>
  </si>
  <si>
    <t>GREGORIO LAZCANO BOCANEGRA</t>
  </si>
  <si>
    <t>ASESORA COMERCIAL Y COMISIONISTA </t>
  </si>
  <si>
    <t>JULIO CESAR LOPEZ ESCOBAR </t>
  </si>
  <si>
    <t>GABRIEL CAMARGO LUNA </t>
  </si>
  <si>
    <t>DOCTOR CARMONA Y VALLE B 125, EDIFICIO TAURO , DESPACHO 4</t>
  </si>
  <si>
    <t>COSULTORES EMPRESARIALES INCORAXIS SA DE CV </t>
  </si>
  <si>
    <t>PASEO DE LA REOFORMA 115, DESPACHO 802 </t>
  </si>
  <si>
    <t>OPERADORA DE SERVICIOS PROFESIONALES RICHMONT SC </t>
  </si>
  <si>
    <t>GABRIEL SOTELO </t>
  </si>
  <si>
    <t>ARIEL HACHBAG</t>
  </si>
  <si>
    <t>TATA CONSULTANCY SERVICES DE MEXICO SA DE CV </t>
  </si>
  <si>
    <t>INSURGENTES SUR 664, SEGUNDO PISO</t>
  </si>
  <si>
    <t>BERENICE TORRES</t>
  </si>
  <si>
    <t>JESSYCA YARELY ZAMORA LUNA </t>
  </si>
  <si>
    <t>GILBERTO CHAVEZ OROZCO </t>
  </si>
  <si>
    <t>KARLA ERIKA RAMIREZ NAVA </t>
  </si>
  <si>
    <t>CHAVEZ Y CAMPOS ABOGADOS SC</t>
  </si>
  <si>
    <t>PROGRAMADOR MAINFRAME </t>
  </si>
  <si>
    <t>APOYO SALARIO </t>
  </si>
  <si>
    <t>SUBSIDIO </t>
  </si>
  <si>
    <t>OSCAR MARTINEZ ORTIZ</t>
  </si>
  <si>
    <t>RIO LERMA 143, DESPACHO 502</t>
  </si>
  <si>
    <t>PEREGRINO AGUILAR SERVICIO SA DE CV </t>
  </si>
  <si>
    <t>CERRADA DE VARSOVIA 11</t>
  </si>
  <si>
    <t>NORMA PEREZ</t>
  </si>
  <si>
    <t>VIANA DESCUENTOS SA DE CV  </t>
  </si>
  <si>
    <t>EJE CENTRAL LAZARO CARDENAS 10</t>
  </si>
  <si>
    <t>VALENTINA MONDRAGON ANTONIO </t>
  </si>
  <si>
    <t>NANTZUI PATIÑO REAL </t>
  </si>
  <si>
    <t>DANIEL CALDERON LEMUS</t>
  </si>
  <si>
    <t>MONTACARGUISTA</t>
  </si>
  <si>
    <t>UBALDO SEGURA MORALES</t>
  </si>
  <si>
    <t>JARDINES DE CHURUBUSCO </t>
  </si>
  <si>
    <t>MONARQUIA AUTOMOTRIZ SA DE CV </t>
  </si>
  <si>
    <t>INSURGENTES SUR 4017</t>
  </si>
  <si>
    <t>TLALPAN </t>
  </si>
  <si>
    <t>JOSE ARTURO CORONADO QUIJANO </t>
  </si>
  <si>
    <t>MIGUEL ANGEL CORONADO BONILLA </t>
  </si>
  <si>
    <t>AMELIA ROJAS RODRIGUEZ</t>
  </si>
  <si>
    <t>GODOFREDO FRANCO GONZALEZ </t>
  </si>
  <si>
    <t>HUGO PALACIOS PORRAS </t>
  </si>
  <si>
    <t>AUXILIAR DE VENTAS </t>
  </si>
  <si>
    <t>MIGUEL ANGEL CORONADO GARCIA </t>
  </si>
  <si>
    <t>CANO</t>
  </si>
  <si>
    <t>GONZALO SAYAGO GUZMAN</t>
  </si>
  <si>
    <t>FILIPINAS 610 INTERIOR 103</t>
  </si>
  <si>
    <t>PORTALES</t>
  </si>
  <si>
    <t>REMOLQUES EN MOVIMIENTO SA DE CV</t>
  </si>
  <si>
    <t>RISCOS 30</t>
  </si>
  <si>
    <t>ACUEDUCTO DE GUADALUPE</t>
  </si>
  <si>
    <t>JUAN JOSE BECERRA VELA</t>
  </si>
  <si>
    <t>CARLOS REUS ANAYA</t>
  </si>
  <si>
    <t>ROCIO ANGELICA PEREZ MARTINEZ</t>
  </si>
  <si>
    <t>JOSE LUIS RICO MARTINEZ</t>
  </si>
  <si>
    <t>TECNICO EN CONSTRUCCION DE REMOLQUES</t>
  </si>
  <si>
    <t>MARIA DEL ROSARIO ZENDEJAS PEREZ</t>
  </si>
  <si>
    <t>QUERETARO 226 DESPACHO 8</t>
  </si>
  <si>
    <t>EPROMETS SA DE CV</t>
  </si>
  <si>
    <t>MONTECITO 38 PISO 21 OFICINA 3</t>
  </si>
  <si>
    <t>MARTHA HERNANDEZ N</t>
  </si>
  <si>
    <t>JUAN JORGE GONZALEZ ORTEGA</t>
  </si>
  <si>
    <t>ANA GABRIELA PACHECO BUBEROFF</t>
  </si>
  <si>
    <t>MARIA DEL CARMEN HUERTA DE LA CRUZ</t>
  </si>
  <si>
    <t>DIANA LAURA PEREZ GARCIA</t>
  </si>
  <si>
    <t>TAREK MAZLUM ARCEO</t>
  </si>
  <si>
    <t>AVENIDA EJERCITO NACIONAL 423 PISO 8</t>
  </si>
  <si>
    <t>GRANADA</t>
  </si>
  <si>
    <t>5W MEXICO SA DE CV</t>
  </si>
  <si>
    <t>ASISTENTE DE OPERACIONES</t>
  </si>
  <si>
    <t>JULIO CESAR TRINIDAD JUAREZ</t>
  </si>
  <si>
    <t>COORDINADOR DE OPERACIONES</t>
  </si>
  <si>
    <t>MARIA CRISTINA SARA CORNEJO GONZALEZ</t>
  </si>
  <si>
    <t>OUTSOURCING LAFRAP S DE RL DE CV</t>
  </si>
  <si>
    <t>AVENIDA PAYTA 664</t>
  </si>
  <si>
    <t>SERVICIOS ADDREDE S DE RL DE CV</t>
  </si>
  <si>
    <t>PEDRO GARCIA H</t>
  </si>
  <si>
    <t>JULIO ORTEGA FLORES</t>
  </si>
  <si>
    <t>JAHASIEL MALDONADO DIAZ</t>
  </si>
  <si>
    <t>OPERADORA CANTABRIA SA DE CV</t>
  </si>
  <si>
    <t>MANUEL AVILA CAMACHO 40 TORRE ESMERALDA 1 PISO 24</t>
  </si>
  <si>
    <t>GRUPO OCENANO HAMAN SA DE CV</t>
  </si>
  <si>
    <t>CODERE SA DE CV</t>
  </si>
  <si>
    <t>FRANCISCO ANTONIO BECERRA MENDOZA</t>
  </si>
  <si>
    <t>JESUS FERNANDO VELEZ GARCIA</t>
  </si>
  <si>
    <t>ALVAREZ Y GARCIA ABOGADOS</t>
  </si>
  <si>
    <t>CAJERO VENDEDOR</t>
  </si>
  <si>
    <t>RAFAEL LOPEZ NAVARRO</t>
  </si>
  <si>
    <t>CUOTAS PAGADAS POR EL PATRON</t>
  </si>
  <si>
    <t>AYUDA UNIFORME</t>
  </si>
  <si>
    <t>COMPLEMENTO, PERCEPCION</t>
  </si>
  <si>
    <t>ANGELICA HERNANDEZ MUÑOZ</t>
  </si>
  <si>
    <t>CINCO DE MAYO 179</t>
  </si>
  <si>
    <t>RGH SERVICIOS ADMINISTRATIVOS SA DE CV</t>
  </si>
  <si>
    <t>VERTIZ NARVARTE</t>
  </si>
  <si>
    <t>GRUPO CORPORATIVO YAKAAM SA DE CV</t>
  </si>
  <si>
    <t>DANONE DE MEXICO SA DE CV</t>
  </si>
  <si>
    <t>GUILLERMO GONZALEZ CAMARENA ZEDEC</t>
  </si>
  <si>
    <t>SANTA FE </t>
  </si>
  <si>
    <t>OLGA HERNANDEZ MUÑOZ</t>
  </si>
  <si>
    <t>SAUL ANZALDO CASTRO</t>
  </si>
  <si>
    <t>ALEJANDRO DONIS CASTRO</t>
  </si>
  <si>
    <t>PROMOVENDEDORA</t>
  </si>
  <si>
    <t>ROGELIO QUINTAR</t>
  </si>
  <si>
    <t>VICTOR HUGO VELAZQUEZ AYALA</t>
  </si>
  <si>
    <t>AVENIDA INDEPENDENCIA 72 DESPACHO 105</t>
  </si>
  <si>
    <t>KIMBERLY CLARK DE MEXICO SA B DE CV</t>
  </si>
  <si>
    <t>JAIME BALMES 8 NOVENO PISO</t>
  </si>
  <si>
    <t>SIMETRIA PROMOCIONAL SA DE CV</t>
  </si>
  <si>
    <t>AVENIDA CLAVERIA 103</t>
  </si>
  <si>
    <t>CLAVERIA</t>
  </si>
  <si>
    <t>SIGMA PROMOCIONES SA DE CV</t>
  </si>
  <si>
    <t>ASOCIACION MEXICANA DE AGENCIAS DE PROMOCIONES SC</t>
  </si>
  <si>
    <t>MELINA GONZALEZ RIVERA</t>
  </si>
  <si>
    <t>ANDRES FLORES SILVA</t>
  </si>
  <si>
    <t>SARA OSORIO RAMOS</t>
  </si>
  <si>
    <t>ANA MARISOL GONZALEZ OSORIO</t>
  </si>
  <si>
    <t>LORENA REYES SANCHEZ</t>
  </si>
  <si>
    <t>PRIMA DOMINICAL EXENTA</t>
  </si>
  <si>
    <t>PRIMA DOMINICAL GRAVABLE</t>
  </si>
  <si>
    <t>ASISTENCIA</t>
  </si>
  <si>
    <t>GASTOS DE GASOLINA</t>
  </si>
  <si>
    <t>ARMANDO MONZON GONZALEZ</t>
  </si>
  <si>
    <t>OSCAR RODRIGUEZ LOPEZ</t>
  </si>
  <si>
    <t>AVENIDA DE LOS MAESTROS 465 EDIFICIO 20 V</t>
  </si>
  <si>
    <t>NUEVA SANTA MARIA TLATILCO</t>
  </si>
  <si>
    <t>SIVOR VALET PARKING</t>
  </si>
  <si>
    <t>VALET PARKING</t>
  </si>
  <si>
    <t>MARTIN ESTRADA RODRIGUEZ</t>
  </si>
  <si>
    <t>AVENIDA INGENIERO EDUARDO MOLINA 6211</t>
  </si>
  <si>
    <t>GERTRUDIS SANCHEZ SEGUNDA SECCION</t>
  </si>
  <si>
    <t>SERVICIOS TECNICOS PLUS SA DE CV</t>
  </si>
  <si>
    <t>AVENIDA THIERS 248</t>
  </si>
  <si>
    <t>CONSORCIO GASOLINERO PLUS SA DE CV</t>
  </si>
  <si>
    <t>EDUARDO ESPINOZA RAMIREZ</t>
  </si>
  <si>
    <t>GUILLERMO CORTES PLASCENCIA</t>
  </si>
  <si>
    <t>VICTOR RUIZ IRIARTE</t>
  </si>
  <si>
    <t>MARIO BENAVIDEZ RESENDIZ</t>
  </si>
  <si>
    <t>HECTOR HERRERA CORTES</t>
  </si>
  <si>
    <t>DAMARIS VAZQUEZ VELSCO</t>
  </si>
  <si>
    <t>DESPACHADOR GASOLINERO</t>
  </si>
  <si>
    <t>GERARDO CARRILLO</t>
  </si>
  <si>
    <t>PRIMA DE ANTIGÜEDAD</t>
  </si>
  <si>
    <t>JOSE FRANCISCO GOMEZ CASTRO</t>
  </si>
  <si>
    <t>ALVARO CARPIO SANCHEZ</t>
  </si>
  <si>
    <t>AYUDANTE GASOLINERO</t>
  </si>
  <si>
    <t>ISRAEL SANCHEZ ALVAREZ</t>
  </si>
  <si>
    <t>DOCTOR ERAZO 85 DESPACHO 307</t>
  </si>
  <si>
    <t>GRUPO CREATICA SOLUCIONES EN PROMOCION SA DE CV</t>
  </si>
  <si>
    <t>INSURGENTES SUR 1677 INTERIOR 702</t>
  </si>
  <si>
    <t>GERARDO ARAIZA</t>
  </si>
  <si>
    <t>GRUPO SUR PROMOCIONES SA DE CV</t>
  </si>
  <si>
    <t>BUFFON 46 OCTAVO PISO</t>
  </si>
  <si>
    <t>EMANUEL RIVERA HERNANDEZ</t>
  </si>
  <si>
    <t>ALFREDO AVILA CORTES</t>
  </si>
  <si>
    <t>MIGUEL ALBERTO MARTINEZ GARCIA</t>
  </si>
  <si>
    <t>AVILA Y RIVERA ABOGADOS</t>
  </si>
  <si>
    <t>SUPERVISOR DE PROMOTORES</t>
  </si>
  <si>
    <t>KARLA LIZETTE ARAUJO TAPIA</t>
  </si>
  <si>
    <t>TENORIOS 224 EDIFICIO 4 DEPARTAMENTO 2</t>
  </si>
  <si>
    <t>GRANJAS COAPA</t>
  </si>
  <si>
    <t>CORPORATIVO EMPRESARIAL PROPROM SA DE CV</t>
  </si>
  <si>
    <t>MOLLENDO 1019</t>
  </si>
  <si>
    <t>RESIDENCIAL ZACATENCO</t>
  </si>
  <si>
    <t>JOANNA IBARRO</t>
  </si>
  <si>
    <t>VICTOR MANUEL LARA DUEÑAS</t>
  </si>
  <si>
    <t>JOSE FABIAN SANCHEZ RAMIREZ</t>
  </si>
  <si>
    <t>ADRIANA HERNANDEZ GOMEZ</t>
  </si>
  <si>
    <t>SUPERVISORA DE PROMOTORIA</t>
  </si>
  <si>
    <t>MIRNA MARIA ISABEL LOPEZ GRANADOS</t>
  </si>
  <si>
    <t>AVENIDA MUNICIPIO LIBRE 103 PRIMER PISO</t>
  </si>
  <si>
    <t>SERVEST SA DE CV</t>
  </si>
  <si>
    <t>BOULEVARD ADOLFO LOPEZ MATEOS 216</t>
  </si>
  <si>
    <t>FABIAN NICOLAS MORA HERNANDEZ</t>
  </si>
  <si>
    <t>ABEL ABDON MORA PIEDRA</t>
  </si>
  <si>
    <t>ENRIQUE BAUTISTA PAZ</t>
  </si>
  <si>
    <t>COORDINADORA DE CORTES</t>
  </si>
  <si>
    <t>LUIS GERARDO CURIEL HERNANDEZ</t>
  </si>
  <si>
    <t>JOSE ALFONSO BELTRAN BAUTISTA</t>
  </si>
  <si>
    <t>NORBERTO PIÑON BEDOLLA</t>
  </si>
  <si>
    <t>PROLONGACION OPALO 43</t>
  </si>
  <si>
    <t>ESTRELLA</t>
  </si>
  <si>
    <t>MARIA DE LA LUZ BARRIENTOS MONTAÑO</t>
  </si>
  <si>
    <t>OMAR GUISA RAMIREZ</t>
  </si>
  <si>
    <t>DOCTOR RIO DE LA LOZA 233 301</t>
  </si>
  <si>
    <t>W MARKETING SA DE CV</t>
  </si>
  <si>
    <t>HERMENEGILDO GALEANA 2</t>
  </si>
  <si>
    <t>LA JOYA</t>
  </si>
  <si>
    <t>PHILLIPE SAMBERNARDI MINER</t>
  </si>
  <si>
    <t>MARIA DE LOS ANGELES RUTH QUIZAMAN MERINO</t>
  </si>
  <si>
    <t>MAURO GUILLERMO PACHECO CORTES</t>
  </si>
  <si>
    <t>JOSE LUIS MARTINEZ ROMERO</t>
  </si>
  <si>
    <t>DISEÑADOR WEB</t>
  </si>
  <si>
    <t>JAIR MANCILLA MEDINA</t>
  </si>
  <si>
    <t>VENDEMOS PUBLICIDAD SA DE CV</t>
  </si>
  <si>
    <t>AVENIDA INSURGENTES SUR 605</t>
  </si>
  <si>
    <t>CMG SOLUCIONES BTL SA DE CV</t>
  </si>
  <si>
    <t>CLAUDIO MEJAN GANEM</t>
  </si>
  <si>
    <t>CARLOS CRUZ NAJERA</t>
  </si>
  <si>
    <t>MIGUEL ANGEL TIRADO CAMPOS</t>
  </si>
  <si>
    <t>MIGUEL LEONIDES VIVAR HERRERA</t>
  </si>
  <si>
    <t>SONIA MEDINA DE ANDA</t>
  </si>
  <si>
    <t>COORDINADOR ADMINISTRATIVO DE EVENTOS DE MONTAJE</t>
  </si>
  <si>
    <t>RAUL FRIAS SUAREZ</t>
  </si>
  <si>
    <t>LYM SOLUCIONES INTEGRALES EN REINGENIERIA DE NEGOCIOS SC</t>
  </si>
  <si>
    <t>MONTECITO 38 PISO 27 DESPACHO 21 Y 22</t>
  </si>
  <si>
    <t>BEATRIZ ZAVALA</t>
  </si>
  <si>
    <t>ARTURO CHELUIS GUZMAN</t>
  </si>
  <si>
    <t>OPERADOR DE CARRO DE GOLF</t>
  </si>
  <si>
    <t>MARIA ISABEL ROMERO BAZO</t>
  </si>
  <si>
    <t>DOCTOR VERTIZ 109 DESPACHO 8</t>
  </si>
  <si>
    <t>TRANSPORTES ECATEPEC SA DE CV</t>
  </si>
  <si>
    <t>HUITZILIHUITL 63</t>
  </si>
  <si>
    <t>SANTA ISABEL TOLA</t>
  </si>
  <si>
    <t>ROBERTO GOMEZ HUERTA</t>
  </si>
  <si>
    <t>TERESA MACIEL PASCUALLI AMEZCUA</t>
  </si>
  <si>
    <t>PASEO DE LA REFORMA 476 SEXTO PISO DEPARTAMENTO DE LITIGIOS LABORALES</t>
  </si>
  <si>
    <t>SILVINO VAZQUEZ PERETE</t>
  </si>
  <si>
    <t>HECTOR VAZQUEZ PEREZ</t>
  </si>
  <si>
    <t>LIDIO VAZQUEZ PEREZ</t>
  </si>
  <si>
    <t>RECAUDADORA</t>
  </si>
  <si>
    <t>ALEJANDRO MONTES SALMERON</t>
  </si>
  <si>
    <t>AUTOBUSES BALTAZAR SA DE CV</t>
  </si>
  <si>
    <t>ISABEL LA CATOLICA SIN NUMERO</t>
  </si>
  <si>
    <t>SANTA MARIA AJOLOAPAN</t>
  </si>
  <si>
    <t>MUNICIPIO HUEYPOXTLA</t>
  </si>
  <si>
    <t>LEOPOLDO BALTAZAR SANTILLAN</t>
  </si>
  <si>
    <t>JAVIER BALTAZAR SANTILLAN</t>
  </si>
  <si>
    <t>VICTOR MANUEL MORENO PONCE</t>
  </si>
  <si>
    <t>MARIA ALICIA CRUZ GARCIA</t>
  </si>
  <si>
    <t>MAURA LETICIA CRUZ LEAL</t>
  </si>
  <si>
    <t>CHOFER DE TRANSPORTE DE AUTOBUS</t>
  </si>
  <si>
    <t>GARZA</t>
  </si>
  <si>
    <t>LESLIE VIVIANA COBIAN ESTEVEZ</t>
  </si>
  <si>
    <t>PALLARES Y PORTILLO 215 B INTERIOR 6</t>
  </si>
  <si>
    <t>CORPORATIVO INTEGRAL DE DISEÑO EMPREAARIAL SA DE CV</t>
  </si>
  <si>
    <t>PUEBLA 237 </t>
  </si>
  <si>
    <t>ASSETS &amp; GOODS SA DE CV</t>
  </si>
  <si>
    <t>PLANOGRAMACION SA DE CV</t>
  </si>
  <si>
    <t>POP RETAIL SERVICES SA DE CV</t>
  </si>
  <si>
    <t>COMPAÑÍA ESPECIALIZADA EN DISEÑO S DE RL DE CV</t>
  </si>
  <si>
    <t>CONSULTORES DE SERVICIOS B&amp;B SA DE CV</t>
  </si>
  <si>
    <t>PEDRO ELIZALDE MARTINEZ</t>
  </si>
  <si>
    <t>JERONIMO ORDOÑEZ CARRILLO</t>
  </si>
  <si>
    <t>ASISTENTE DE DIRECCION </t>
  </si>
  <si>
    <t>FABIO RAMIREZ RAMIREZ</t>
  </si>
  <si>
    <t>27/05/2011</t>
  </si>
  <si>
    <t>ALBERTO ESCOGIDO AGUILAR</t>
  </si>
  <si>
    <t>CALZADA SAN ANTONIO ABAD 122 4TO PISO</t>
  </si>
  <si>
    <t>MARIANO MARQUEZ MORALES</t>
  </si>
  <si>
    <t>BETHOVEEN 120 </t>
  </si>
  <si>
    <t>PERALVILLO</t>
  </si>
  <si>
    <t>GERARDO GARCIA MONDRAGON</t>
  </si>
  <si>
    <t>MECANICO GENERAL</t>
  </si>
  <si>
    <t>JUAN ALBERTO CUADROS RAMIREZ</t>
  </si>
  <si>
    <t>AVENIDA INSURGENTES CENTRO 114 DESPACHOS 503-504</t>
  </si>
  <si>
    <t>COMPAÑÍA OPERADORA DE ESTACIONES DE SERVICIO SA DE CV</t>
  </si>
  <si>
    <t>THIERS 248 SEXTO PISO</t>
  </si>
  <si>
    <t>DESARROLLADORA DE COMBUSTIBLES SA DE CV</t>
  </si>
  <si>
    <t>WILLIAM KARAM KASSAB</t>
  </si>
  <si>
    <t>GABRIEL KARAM KASSAB</t>
  </si>
  <si>
    <t>ILIANA ROMO MANZANO</t>
  </si>
  <si>
    <t>RAFAEL VALVERDE PATIÑO</t>
  </si>
  <si>
    <t>JORGE ANDRES TREJO REYES</t>
  </si>
  <si>
    <t>AYUDA PARA TRANSPORTE</t>
  </si>
  <si>
    <t>PREMIO DE PUNTIALIDAD Y ASISTENCIA</t>
  </si>
  <si>
    <t>COMPENSACION</t>
  </si>
  <si>
    <t>17/07/2011</t>
  </si>
  <si>
    <t>VICTOR ALFONSO HERREJON MARTINEZ</t>
  </si>
  <si>
    <t>AVENIDA DE LAS GRANJAS 799</t>
  </si>
  <si>
    <t>JARDIN AZPEITIA</t>
  </si>
  <si>
    <t>DAYNER HERNANDEZ PEREZ</t>
  </si>
  <si>
    <t>MONTES URALES 530</t>
  </si>
  <si>
    <t>JOHNSON CONTROLS MEXICO SA DE CV</t>
  </si>
  <si>
    <t>UNILEVER MEXICO SA DE CV</t>
  </si>
  <si>
    <t>PASEO DE LOS TAMARINDO 150</t>
  </si>
  <si>
    <t>VICTOR MANUEL ARISTA CASTILLO</t>
  </si>
  <si>
    <t>SILVIA GONZALEZ DURAN</t>
  </si>
  <si>
    <t>MARCO ANTONIO ZAMORA QUIJANO</t>
  </si>
  <si>
    <t>OFICIAL ELECTRICO</t>
  </si>
  <si>
    <t>27/09/2010</t>
  </si>
  <si>
    <t>OSCAR FLORES SANDOVAL</t>
  </si>
  <si>
    <t>LOZA OLMOS DANA VERONICA</t>
  </si>
  <si>
    <t>CLAVERIA 106</t>
  </si>
  <si>
    <t>RAUL HERNANDEZ</t>
  </si>
  <si>
    <t>ALEJANDRA OLMOS MENDOZ</t>
  </si>
  <si>
    <t>BANDA Y OLMOS ASESORIA JURIDICA LABORAL</t>
  </si>
  <si>
    <t>17/05/2011</t>
  </si>
  <si>
    <t>GUILLERO DANIEL CORTES BENITEZ</t>
  </si>
  <si>
    <t>ZACATECAS 24 DESPACHO 604</t>
  </si>
  <si>
    <t>ASOCIACION DE TAXISTA TOLERADOS RUTA SUR ORIENTE AC</t>
  </si>
  <si>
    <t>MANUEL CAÑAS 49 </t>
  </si>
  <si>
    <t>MIGUEL ANGEL CORTES BENITEZ</t>
  </si>
  <si>
    <t>PEDRO CESAR PEREZ GRANADOS</t>
  </si>
  <si>
    <t>JUAN GALINDO LOPEZ</t>
  </si>
  <si>
    <t>MARTHA PATRICIA GARCIA RAZO</t>
  </si>
  <si>
    <t>LABORUM LEX CONSULTORES EN DERECHO LABORAL</t>
  </si>
  <si>
    <t>PREMIO DE PRODUCTIVIDAD</t>
  </si>
  <si>
    <t>GUILLERMO SANTILLAN MARTINEZ</t>
  </si>
  <si>
    <t>JELL ADMINISTRATIVOS SA DE CV</t>
  </si>
  <si>
    <t>INSURGENTES SUR 1605 </t>
  </si>
  <si>
    <t>DIRECTOR DE TRAFICO</t>
  </si>
  <si>
    <t>MARIA ESTHER HERNANDEZ GONZALEZ</t>
  </si>
  <si>
    <t>AVENIDA INSURGENTES CENTRO 132 DESPACHO 204</t>
  </si>
  <si>
    <t>ILUMINACION TECNICA ILTEC SA DE CV</t>
  </si>
  <si>
    <t>AVENIDA INSURGENTES SUR 512</t>
  </si>
  <si>
    <t>PETER KATZ BACHRUCH</t>
  </si>
  <si>
    <t>ROBERTO KATZ NEUMANN</t>
  </si>
  <si>
    <t>JUAN MANUEL BELTRAN ORDOÑEZ</t>
  </si>
  <si>
    <t>ADRIAN CACERES MENDEZ</t>
  </si>
  <si>
    <t>EUGENIA ELIZABETH ZAMORA SANCHEZ</t>
  </si>
  <si>
    <t>EMPLEADO DE MOSTRADOR</t>
  </si>
  <si>
    <t>HUELGA</t>
  </si>
  <si>
    <t>19/01/1981</t>
  </si>
  <si>
    <t>JORGE LUIS RODRIGUEZ DAVILA</t>
  </si>
  <si>
    <t>LEONCIO JACINTO ESPINOSA OCHOA</t>
  </si>
  <si>
    <t>MARIA MONICA ZARATE VEGA</t>
  </si>
  <si>
    <t>IGNACIO MARISCAL 142</t>
  </si>
  <si>
    <t>GRUPO DE INTERCAMBIO COMERCIAL SA DE CV</t>
  </si>
  <si>
    <t>MARIANO ESCOBEDO 724 DEPSACHO 501</t>
  </si>
  <si>
    <t>NUEVA ANZURES</t>
  </si>
  <si>
    <t>UNITED SHIPPENG INC</t>
  </si>
  <si>
    <t>MONICA OZUNA CASTELAN</t>
  </si>
  <si>
    <t>ROLANDO OZUNA CASTELAN</t>
  </si>
  <si>
    <t>ADRIAN OZUNA CASTELAN</t>
  </si>
  <si>
    <t>GERMAN OZUNA</t>
  </si>
  <si>
    <t>JOSE LUIS BAÑUELOS GUTIERREZ</t>
  </si>
  <si>
    <t>VERONICA PRADO LEMUS</t>
  </si>
  <si>
    <t>LUIS BAÑUELOS RICO</t>
  </si>
  <si>
    <t>GERENTE DE FACTURACION</t>
  </si>
  <si>
    <t>MONICA OZUNA CASTELAN, ROLANDO OZUNA CASTELAN, ADRIANA OZUNA CASTELAN</t>
  </si>
  <si>
    <t>BONO DE PUNTUALIDAD Y ASISTENCIA</t>
  </si>
  <si>
    <t>PRECISAR SI CAR AUTOMOTRIZ ES UNA RAZON SOCIAL O NOMBRE COMERCIAL . TAMBIEN SE PIDE QUE ACLARE LA PERIODICIDAD CON LA QUE RECIBIA SALARIO. ACLARAR EL AÑO EN QUE OCURRIO EL DESPIDO, Y PRECISAR DONDE FUE EL DESPIDO.</t>
  </si>
  <si>
    <t>OSCAR MENDOZA ROJAS</t>
  </si>
  <si>
    <t>PALMA NORTE 335 DESPACHO 404</t>
  </si>
  <si>
    <t>CAR AUTOMOTRIZ</t>
  </si>
  <si>
    <t>ANDRES MOLINA ENRIQUEZ 128</t>
  </si>
  <si>
    <t>SAN PEDRO IZTACALCO</t>
  </si>
  <si>
    <t>GUSTAVO GARCIA</t>
  </si>
  <si>
    <t>BARRANCA DEL MUERTO 280 PRIMER PISO</t>
  </si>
  <si>
    <t>SECRETARIA DE HACIENDA Y CREDITO PUBLICO</t>
  </si>
  <si>
    <t>JESUS URIBE CONTRERAS</t>
  </si>
  <si>
    <t>AMANDO FLORES ALBINO</t>
  </si>
  <si>
    <t>FRANCISCO PONCE JULIA</t>
  </si>
  <si>
    <t>AYUDANTE DE MECANICO AUTOMOTRIZ</t>
  </si>
  <si>
    <t>GUSTAVO GARCIA DE ALBA SANTOS</t>
  </si>
  <si>
    <t>MARIA ESTHER GUTIERREZ MORALES</t>
  </si>
  <si>
    <t>DR ERAZO 85 CUARTO PISO DESPACHO 503</t>
  </si>
  <si>
    <t>SOPORTE CORPORATIVO CUE SA DE CV</t>
  </si>
  <si>
    <t>SIEMPREVIVA 142 </t>
  </si>
  <si>
    <t>JARDINES DE XOTEPINGO </t>
  </si>
  <si>
    <t>GABRIEL CUENCA GOMEZ</t>
  </si>
  <si>
    <t>LUIS ARTURO ARRIAGA SEGOVIA</t>
  </si>
  <si>
    <t>RESPONSABLE DE INVENTARIOS</t>
  </si>
  <si>
    <t>AYUDA DE COMIDA, CAJA DE AHORRO</t>
  </si>
  <si>
    <t>NORMA LIDIA RODRIGUEZ ARAIZA</t>
  </si>
  <si>
    <t>AVENIDA DIAGONAL DE SAN ANTONIO 808 INTERIOR 101</t>
  </si>
  <si>
    <t>FLEX FORCE SA DE CV</t>
  </si>
  <si>
    <t>IGNACIO ESTEVA 54B</t>
  </si>
  <si>
    <t>SAN MIGUEL CHAPULTEPEC</t>
  </si>
  <si>
    <t>HEWLETT-PACKARD MEXICO S DE RL DE CV</t>
  </si>
  <si>
    <t>PROLONGACION REFORMA 700</t>
  </si>
  <si>
    <t>JORGE LEONCIO REYES SEPULVEDA</t>
  </si>
  <si>
    <t>SALVADOR RIVAS TAPIA</t>
  </si>
  <si>
    <t>JORGE LEONCIO REYES HERNANDEZ</t>
  </si>
  <si>
    <t>COMUNICADOR</t>
  </si>
  <si>
    <t>GLORIA CONTRERAS SEGUNDO</t>
  </si>
  <si>
    <t> $366.67</t>
  </si>
  <si>
    <t>CASTAÑEDA MIRANDA ROSA ISELA</t>
  </si>
  <si>
    <t>ELMEX SUEPRIOR SA DE CV</t>
  </si>
  <si>
    <t>ORIENTE 247 A </t>
  </si>
  <si>
    <t>FRACCIONAMIENTO INDUSTRIAL DEL MORAL</t>
  </si>
  <si>
    <t>ALFREDO MERCADO N</t>
  </si>
  <si>
    <t>GABRIEL DE JESUS ORTIZ CAMIRO</t>
  </si>
  <si>
    <t>LUIS ENRIQUE BERVERA LEON</t>
  </si>
  <si>
    <t>GABRIEL DE JESUS ORTIZ GUERRERO</t>
  </si>
  <si>
    <t>AUXILIAR DE MOSTRADOR</t>
  </si>
  <si>
    <t>UGALDE GUTIERREZ LUIS MARTIN</t>
  </si>
  <si>
    <t>EMISIONES LA VIGA SA DE CV</t>
  </si>
  <si>
    <t>CALZADA DE LA VIGA  461</t>
  </si>
  <si>
    <t>TECNICO VERIFICADOR</t>
  </si>
  <si>
    <t>JUAN MANUEL JAIME MONTIEL</t>
  </si>
  <si>
    <t>14/07/2011</t>
  </si>
  <si>
    <t>JAIME FRANCISCO ESPINOSA MARTINEZ</t>
  </si>
  <si>
    <t>NAPOLES 83 PISO 3 DESPACHO 302</t>
  </si>
  <si>
    <t>ITALIA NETWORK SA DE CV</t>
  </si>
  <si>
    <t>PRADO SUR 150 P. B-A</t>
  </si>
  <si>
    <t>JOSE VICENTE FLORES TORRES</t>
  </si>
  <si>
    <t>JOSE GONZALO FLORES TORRES</t>
  </si>
  <si>
    <t>ANA LAURA VARGAS ROMERO</t>
  </si>
  <si>
    <t>COORDINADOR</t>
  </si>
  <si>
    <t>JAIME IVAN GARCIA VIZUET</t>
  </si>
  <si>
    <t>CONSULTORES EN PRODUCTIVIDAD MONTECRISTO SA DE CV</t>
  </si>
  <si>
    <t>KEPLER 59 INTERIOR 102</t>
  </si>
  <si>
    <t>ALEJANDRO CASAS</t>
  </si>
  <si>
    <t>QUIEN RESULTE RESPONSABLE DE L FUENTE DE TRABAJO</t>
  </si>
  <si>
    <t>SUPERVISOR DE OPERACIONES</t>
  </si>
  <si>
    <t>RAMIREZ VILLA GOMEZ LUIS ANTONIO</t>
  </si>
  <si>
    <t>JARDINES SA DE CV</t>
  </si>
  <si>
    <t>BLVD. MANUEL AVILA CAMACHO 3</t>
  </si>
  <si>
    <t>GRUPO GAYOSSO SA DE CV</t>
  </si>
  <si>
    <t>GERENTE COMERCIAL</t>
  </si>
  <si>
    <t>EDUARDO MONTERRUBIO</t>
  </si>
  <si>
    <t>PREMIOS DE ASISTENCIA </t>
  </si>
  <si>
    <t>PREMIOS DE PUNTUALIDAD</t>
  </si>
  <si>
    <t>COMISION POR VENTA</t>
  </si>
  <si>
    <t>BONO DE CALIDAD</t>
  </si>
  <si>
    <t>GRATIFICACION POR SERVICIO, PRIMA POR OBJETIVOS</t>
  </si>
  <si>
    <t>NO HAY AUTO DE RADICACION, LOS ACTORES FISICOS TIENEN DOMICILIO EN HIDALGO</t>
  </si>
  <si>
    <t>ENRIQUE CEDEÑO CORTES</t>
  </si>
  <si>
    <t>RAUL MADERO 32</t>
  </si>
  <si>
    <t>FRANCISCO VILLA</t>
  </si>
  <si>
    <t>DELEGACION FRANCISCO VILLA</t>
  </si>
  <si>
    <t>RAUL SIORDIA CELA</t>
  </si>
  <si>
    <t>GALEANA 1</t>
  </si>
  <si>
    <t>BARRIO ABUNDIO MARTINEZ</t>
  </si>
  <si>
    <t>HUICHAPAN</t>
  </si>
  <si>
    <t>OLIVIA SIORDIA CELA</t>
  </si>
  <si>
    <t>JORGE ALBERTO PEREZ DOMINGUEZ</t>
  </si>
  <si>
    <t>JESSICA RAFAELA PINEDA GONZALEZ</t>
  </si>
  <si>
    <t>LUZ DEL CARMEN SALAS</t>
  </si>
  <si>
    <t>ENCARGADO DE OFICINA</t>
  </si>
  <si>
    <t>RAUL SIORDIA CELA, OLIVIA SIORDIA CELA</t>
  </si>
  <si>
    <t>AYUDA A LA HABITACION</t>
  </si>
  <si>
    <t>AYUDA DE DESPENSA</t>
  </si>
  <si>
    <t>DOMINGO AGUILAR SANCHEZ</t>
  </si>
  <si>
    <t>AVENIDA PLUTARCO ELIAS CALLES 282 EDIFICIO 2 DESPACHO 201</t>
  </si>
  <si>
    <t>TLAZINTLA</t>
  </si>
  <si>
    <t>MONTE ELBRUZ 132 PISO 9 OFICINA 903</t>
  </si>
  <si>
    <t>ALONSO OLVERA RESENDIZ</t>
  </si>
  <si>
    <t>JUAN ROMERO CASTAÑEDA</t>
  </si>
  <si>
    <t>ERNESTO CONTRERAS SANTACRUZ</t>
  </si>
  <si>
    <t>RICARDO MEJIA ROMERO</t>
  </si>
  <si>
    <t>CHOFER VALET</t>
  </si>
  <si>
    <t>ROSALIA ENRIQEUZ MENDEZ</t>
  </si>
  <si>
    <t>DOCTOR LUCIO 102 EDIFICIO PEGASSO PISO 13 INTERIOR 1304</t>
  </si>
  <si>
    <t>ADMINISTRADORA SINGULAR AZORES SA DE CV</t>
  </si>
  <si>
    <t>CALZADA ERMITA IZTAPALAPA 2710</t>
  </si>
  <si>
    <t>SANTA CRUZ MEYEHUALGO</t>
  </si>
  <si>
    <t>GASOLINERA OPERADORA DE OPERACIÓN DE SERVICIOS 2020 SA DE CV</t>
  </si>
  <si>
    <t>TOMAS LESAMA N</t>
  </si>
  <si>
    <t>GUILLERMO CORTEZ N</t>
  </si>
  <si>
    <t>PAUL KARAM KASAB</t>
  </si>
  <si>
    <t>EDUARDO ESPINOZA N</t>
  </si>
  <si>
    <t>CARLOS ALBERTO ZAMORA HERNANDEZ</t>
  </si>
  <si>
    <t>LETICIA YONG JIMENEZ</t>
  </si>
  <si>
    <t>DESPACHADORA</t>
  </si>
  <si>
    <t>HORAS EXTRA</t>
  </si>
  <si>
    <t>MARIA MODESTA ROBLES VAZQUEZ</t>
  </si>
  <si>
    <t>CIHUACOATL 428</t>
  </si>
  <si>
    <t>SANTA ISABLE TOLA</t>
  </si>
  <si>
    <t>CORPORATIVO ERA</t>
  </si>
  <si>
    <t>ANTONIO CASO 66 </t>
  </si>
  <si>
    <t>JOSE FERNANDO MENDOZA</t>
  </si>
  <si>
    <t>JANET VELAZQUEZ HERNANDEZ</t>
  </si>
  <si>
    <t>RODRIGO MICHEL ANDRIANO AYALA</t>
  </si>
  <si>
    <t>CORUÑA 85</t>
  </si>
  <si>
    <t>SAWSA ADELANTE S DE RL</t>
  </si>
  <si>
    <t>AVENIDA JOSE MARIA CASTORENA 47 PRIMER PISO </t>
  </si>
  <si>
    <t>SAN JOSE DE LOS CEDROS</t>
  </si>
  <si>
    <t>BANCO WALMART DE MEXICO ADELANTE SA INSTITUCION DE BANCA MULTIPLE</t>
  </si>
  <si>
    <t>BANCO WALMART SA INSTITUCION DE BANCA MULTIPLE</t>
  </si>
  <si>
    <t>DIANA BECERRIL ESQUIVEL</t>
  </si>
  <si>
    <t>MARINA ARANZA RAMIREZ </t>
  </si>
  <si>
    <t>SR PASCUAL</t>
  </si>
  <si>
    <t>DIANA RAMIREZ ALFARO</t>
  </si>
  <si>
    <t>JORGE ALEJANDRO ORTEGA COLE</t>
  </si>
  <si>
    <t>OSCAR MENDOZA ABURTO</t>
  </si>
  <si>
    <t>GESTOR CALL CENTER COBRANZA JR</t>
  </si>
  <si>
    <t>LAURA GENIS ROSARIO</t>
  </si>
  <si>
    <t>TEHUANTEPEC 183 DESPACHO A</t>
  </si>
  <si>
    <t>MARKET RO SA DE CV</t>
  </si>
  <si>
    <t>RIO GUADALQUIVIR 4 BIS </t>
  </si>
  <si>
    <t>ERWIN GALLARDO URIBE</t>
  </si>
  <si>
    <t>GREGORYSER OSORIO LARIOS</t>
  </si>
  <si>
    <t>RAUL TREJO BERNAL</t>
  </si>
  <si>
    <t>EVELYN DANIELA CARBALLIDO MARIN</t>
  </si>
  <si>
    <t>TREJO Y OSORIO CONSULTORES Y ADMINISTRADORES DE NEGOCIOS SC ABOGADOS</t>
  </si>
  <si>
    <t>COORDINADORA DE VENTAS</t>
  </si>
  <si>
    <t>GOMEZ FIGUEROA OSCAR ARMANDO</t>
  </si>
  <si>
    <t>ISSTEAM SC </t>
  </si>
  <si>
    <t>PATRICIO SANZ 13 </t>
  </si>
  <si>
    <t>JOSE CARLOS CERVANTES ARGUT</t>
  </si>
  <si>
    <t>ANALISTA DE SEGUIMIENTO DE CALIDAD</t>
  </si>
  <si>
    <t> NO ESPECIFICA NO ESPECIFICA</t>
  </si>
  <si>
    <t>EMILIO MORALES GONZALEZ</t>
  </si>
  <si>
    <t>TUXPAN 10 DESPACHO 206</t>
  </si>
  <si>
    <t>FEDERAL COLLECTION BUREAU SA DE CV</t>
  </si>
  <si>
    <t>MIGUEL LAURENT 235 QUINTO PISO</t>
  </si>
  <si>
    <t>ULISES GRANADOS</t>
  </si>
  <si>
    <t>ERICK MONROY</t>
  </si>
  <si>
    <t>DULCE MARIA CEBALLOS GARCIA</t>
  </si>
  <si>
    <t>ANGEL RUBEN ZARATE CHAVEZ</t>
  </si>
  <si>
    <t>JAIME JULIO VEGA POMPA</t>
  </si>
  <si>
    <t>PREMIO DE PUNTIALIDAD</t>
  </si>
  <si>
    <t>VALES DE DESPENSA, FONDO DE AHORRO,HORAS EXTRA</t>
  </si>
  <si>
    <t>BENITO ROSALES GUTIERREZ</t>
  </si>
  <si>
    <t>DR VERTIZ 211</t>
  </si>
  <si>
    <t>AUTOBUSES ESTRELLA ROJA SA DE CV</t>
  </si>
  <si>
    <t>CALZADA IGNACIO ZARAGOZA 104</t>
  </si>
  <si>
    <t>7 DE JULIO</t>
  </si>
  <si>
    <t>EDGAR ROBERTO MONSALVO MEDINA</t>
  </si>
  <si>
    <t>GUSTAVO HERNANDEZ VELA KAKOGUI</t>
  </si>
  <si>
    <t>NIDIA YARERI HERNANDEZ</t>
  </si>
  <si>
    <t>TAQUILLERO</t>
  </si>
  <si>
    <t>SERGIO GUZMAN</t>
  </si>
  <si>
    <t>PRECISAR EL LUGAR DONDE OCURRIO EL DESPIDO</t>
  </si>
  <si>
    <t>PATRICIA ARACELI MANCERA</t>
  </si>
  <si>
    <t>MIER Y PESADO 107 A</t>
  </si>
  <si>
    <t>AUTOS ELEGANTES SA DE CV</t>
  </si>
  <si>
    <t>AVENIDA EJE SEIS SUR ANGEL URRAZA 1311</t>
  </si>
  <si>
    <t>JORGE DAHER VILLAMIL</t>
  </si>
  <si>
    <t>JUAN CARLOS AVILA LOPEZ</t>
  </si>
  <si>
    <t>CARLOS JULIAN AVEDAÑO GARCIA</t>
  </si>
  <si>
    <t>ANTONIO SALAZAR ARAGON</t>
  </si>
  <si>
    <t>VENDEDORA COMISIONISTA</t>
  </si>
  <si>
    <t>GOMOEZ GOMEZ MARTHA</t>
  </si>
  <si>
    <t>ALIO PROMOCIONES SA DE CV</t>
  </si>
  <si>
    <t>HECTOR CADENA MARTINEZ</t>
  </si>
  <si>
    <t>ANTONIO GOMEZ</t>
  </si>
  <si>
    <t>MARCO ANTONIO NAVARRO GELOVER</t>
  </si>
  <si>
    <t>22/12/2010</t>
  </si>
  <si>
    <t>26/06/2011</t>
  </si>
  <si>
    <t>DEMANDA NO ESCANEADA</t>
  </si>
  <si>
    <t>CORTES</t>
  </si>
  <si>
    <t>VERONICA BECERRA RODRIGUEZ</t>
  </si>
  <si>
    <t>RH PLUS SA DE CV</t>
  </si>
  <si>
    <t>AMORES 1145</t>
  </si>
  <si>
    <t>ALEJANDRA MAGAÑEZ</t>
  </si>
  <si>
    <t>IVAN MARTINEZ MELO</t>
  </si>
  <si>
    <t>CONSAR</t>
  </si>
  <si>
    <t>CAMINO SANTA TERESA 1040 SEGUNDO PISO</t>
  </si>
  <si>
    <t>JARDINES EN LA MONTAÑA</t>
  </si>
  <si>
    <t>MARIA GUADALUPE VAZQUEZ HERNANDEZ</t>
  </si>
  <si>
    <t>REYNA PATRICIA VAZQUEZ GARCIA</t>
  </si>
  <si>
    <t>RICARDO ALFONSO QUINTANA GARCIA</t>
  </si>
  <si>
    <t>LETICIA VELAZQUEZ BERNACHI</t>
  </si>
  <si>
    <t>MADRID 21 DESPACHO 201; MADRID 21 DESPACHO 209</t>
  </si>
  <si>
    <t>TABACALERA; TABACALERA</t>
  </si>
  <si>
    <t>DELEGACION CUAUHTEMOC; DELEGACION CUAUHTEMOC</t>
  </si>
  <si>
    <t>MERCADO DIGITAL SA DE CV</t>
  </si>
  <si>
    <t>CAMPOS ELISEOS 98-A</t>
  </si>
  <si>
    <t>BOSQUES DE CHAPULTEPEC</t>
  </si>
  <si>
    <t>ESTACIONAMIENTOS EFICIENTES S DE RL DE CV</t>
  </si>
  <si>
    <t>REFORMA 476</t>
  </si>
  <si>
    <t>RAUL WILFREDO PADILLA</t>
  </si>
  <si>
    <t>JESUS CARMONA MARTINEZ</t>
  </si>
  <si>
    <t>MAURO ALEXANDRO GOMEZ MACIEL</t>
  </si>
  <si>
    <t>DIRECTORA DE ADMINISTRACION Y FINANZAS</t>
  </si>
  <si>
    <t>CARLOS PALOMINO BUCH</t>
  </si>
  <si>
    <t>BEATRIZ BERENICE CABRERA SOSA</t>
  </si>
  <si>
    <t>REFUGIO 144 DEPARTAMENTO 9</t>
  </si>
  <si>
    <t>NATIVITAS</t>
  </si>
  <si>
    <t>ERP SOLUCIONES SA DE CV</t>
  </si>
  <si>
    <t>GUILLERMO GONZALEZ CAMARENA 1600 SEGUNDO PISO</t>
  </si>
  <si>
    <t>CENTRO CIUDAD SANTA FE</t>
  </si>
  <si>
    <t>SERRATO GONZALEZ Y ASOCIADOS PROFESIONALES SC</t>
  </si>
  <si>
    <t>NEOTREGA PROFESIONALES EN ADMINISTRACION SA DE CV</t>
  </si>
  <si>
    <t>JORGE LUIS GARRIDO IBARRA</t>
  </si>
  <si>
    <t>JORGE EDUARDO BOY BANDERA</t>
  </si>
  <si>
    <t>RAFAEL YANES LOPEZ</t>
  </si>
  <si>
    <t>JAIME CABRERA TORRES</t>
  </si>
  <si>
    <t>JEFE DE RECURSOS HUMANOS</t>
  </si>
  <si>
    <t>ENRIQUE HERNANDEZ MELENDEZ</t>
  </si>
  <si>
    <t>XOCHICALCO 134 B </t>
  </si>
  <si>
    <t>CURATIO SA DE CV</t>
  </si>
  <si>
    <t>AVENIDA CALZADA VALLEJO 1849</t>
  </si>
  <si>
    <t>SAN JOSE DE LA ESCALERA</t>
  </si>
  <si>
    <t>JOSE ALEJANDRO MARTINEZ MALDONADO</t>
  </si>
  <si>
    <t>NORMA SIERRA HERNANDEZ</t>
  </si>
  <si>
    <t>MIRIAM IVONNE ESPINOSA CABALLERO</t>
  </si>
  <si>
    <t>MECANICO AUTOMOTRIZ</t>
  </si>
  <si>
    <t>NO TIENE AUTO DE RADICACION</t>
  </si>
  <si>
    <t>JUAN ANTONIO ROSAS ANGEL</t>
  </si>
  <si>
    <t>TALENTO HUMANO EN OUTSOURCING SC</t>
  </si>
  <si>
    <t>EJERCITO NACIONAL 418 PISO 7; EJERCITO NACIONAL 418 PISO 8</t>
  </si>
  <si>
    <t>CHAPULTEPEC MORALES; CHAPULTEPEC MORALES</t>
  </si>
  <si>
    <t>DELEGACION MIGUEL HIDALGO; DELEGACION MIGUEL HIDALGO</t>
  </si>
  <si>
    <t>LUIS DIONISIO BARRERA GONZALEZ</t>
  </si>
  <si>
    <t>ARTURO CHELIUS GUZMAN</t>
  </si>
  <si>
    <t>ARCHIVISTA</t>
  </si>
  <si>
    <t>PEDRO FUENTES GONZALEZ</t>
  </si>
  <si>
    <t>BAJA CALIFORNIA 245</t>
  </si>
  <si>
    <t>ROBERTO JIMENEZ</t>
  </si>
  <si>
    <t>PROLONGACION AHUEJOTES 2 ESQUINA CON MUYUGUARDA; PROLONGACION AHUEJOTES 3 ESQUINA CON MUYUGUARDA</t>
  </si>
  <si>
    <t>AMPLIACION SAN MARCOS NORTE; AMPLIACION SAN MARCOS NORTE</t>
  </si>
  <si>
    <t>DELEGACION XOCHIMILCO; DELEGACION XOCHIMILCO</t>
  </si>
  <si>
    <t>GREGORIO JIMENEZ TORIZ</t>
  </si>
  <si>
    <t>VICENTA FUENTES DE JIMENEZ</t>
  </si>
  <si>
    <t>KAREN ELIZABETH HERNANDEZ RODRIGUEZ</t>
  </si>
  <si>
    <t>RICARDO HERNANDEZ FUENTES</t>
  </si>
  <si>
    <t>JOSE JUAN PEREZ SANCHEZ</t>
  </si>
  <si>
    <t>MECANICO ELECTRICISTA</t>
  </si>
  <si>
    <t>COMPENSACION POR BUEN DESEMPEÑO</t>
  </si>
  <si>
    <t>ERASMO ESPINDOLA VELAZQUEZ</t>
  </si>
  <si>
    <t>MECANICO DE PRIMERA</t>
  </si>
  <si>
    <t>ARMANDO PEREZ DELGADO</t>
  </si>
  <si>
    <t>NO TIENE AUTO DE RADICACION, NO ESPECIFICA JORNADA</t>
  </si>
  <si>
    <t>JOSE ABRAHAM MONTIEL VAZQUEZ</t>
  </si>
  <si>
    <t>AVENIDA CHAPULTEPEC 484 INTERIOR 202</t>
  </si>
  <si>
    <t>TOP PERSONNEL S DE RL DE CV</t>
  </si>
  <si>
    <t>INSURGENTES SUR 1446</t>
  </si>
  <si>
    <t>ACTIPAN</t>
  </si>
  <si>
    <t>ADELA QUEZADA RODRIGUEZ</t>
  </si>
  <si>
    <t>RANDSTAD SA DE CV</t>
  </si>
  <si>
    <t>CAYETANO ASAO SUSUDA MADRIGAL</t>
  </si>
  <si>
    <t>BENJAMIN MASARU SUSUDA MADRIGAL</t>
  </si>
  <si>
    <t>JONATAN GOMEZ VILLALOBOS</t>
  </si>
  <si>
    <t>SUSUDA MADRIGAL Y GOMEZ VILLALOBOS SC ABOGADOS</t>
  </si>
  <si>
    <t>INGENIERO EN SISTEMAS ELECTRONICOS</t>
  </si>
  <si>
    <t>CRESENCIO LOZADA MARTINEZ</t>
  </si>
  <si>
    <t>CAROLINA 100 DESPACHO 402</t>
  </si>
  <si>
    <t>AVENIDA INSURGENTES SUR 688 TERCER PISO</t>
  </si>
  <si>
    <t>CORPORATIVO VITRAVISION SA DE CV</t>
  </si>
  <si>
    <t>BOULEVARD SAN BUENA AVENTURA 38</t>
  </si>
  <si>
    <t>LA VENTA</t>
  </si>
  <si>
    <t>IXTAPALUCA</t>
  </si>
  <si>
    <t>DISTRIBUIDORA DE VIDRIO Y ALUMINIO SA DE CV</t>
  </si>
  <si>
    <t>RUTILIO URIOSTEGUI MARTINEZ</t>
  </si>
  <si>
    <t>ESTEFANIA GONZALEZ ROMO</t>
  </si>
  <si>
    <t>JULIETA CORDERO VAZQUEZ</t>
  </si>
  <si>
    <t>JORGE FARFAN CONSTANDSE</t>
  </si>
  <si>
    <t>HECTOR FARFAN CONSTANDSE</t>
  </si>
  <si>
    <t>EDGAR GIOVANI ABUNDES NORIEGA</t>
  </si>
  <si>
    <t>ATENTO SERVICIOS SA DE CV</t>
  </si>
  <si>
    <t>EJE 2 SUR YUCATAN 15</t>
  </si>
  <si>
    <t>HIPODROMO</t>
  </si>
  <si>
    <t>CONCEPCION GONZALEZ MARTINEZ</t>
  </si>
  <si>
    <t>MARIA DE LOS CIELOS MALLELA RAMOS</t>
  </si>
  <si>
    <t>RICARDO ARRAGA ROJAS</t>
  </si>
  <si>
    <t>ANGELINA HAYDEE ABUNDES ARANDA</t>
  </si>
  <si>
    <t>TELEVENDEDOR</t>
  </si>
  <si>
    <t>RICARDO ARRIAGA ROJAS</t>
  </si>
  <si>
    <t>NO TIENE AUTO DE RADICACION, NO ESPECIFICA FECHA ENTRADA CORRECTAMENTE</t>
  </si>
  <si>
    <t>MIYAKO VAZQUEZ BAEZA</t>
  </si>
  <si>
    <t>MORELOS 32</t>
  </si>
  <si>
    <t>LOMAS DE SAN JUAN IXHUATEPEC</t>
  </si>
  <si>
    <t>TLANEPANTLA DE BAZ</t>
  </si>
  <si>
    <t>CLAUDIA KWON</t>
  </si>
  <si>
    <t>HAMBURGO 70 DESPACHO 206</t>
  </si>
  <si>
    <t>HAEJEONG WONG</t>
  </si>
  <si>
    <t>MARCO ANGEL GUZMAN MIRANDA</t>
  </si>
  <si>
    <t>ANGEL GUZMAN UVALLE</t>
  </si>
  <si>
    <t>OSCAR GUZMAN MIRANDA</t>
  </si>
  <si>
    <t>EJECUTIVA DE IMPORTACION</t>
  </si>
  <si>
    <t>JAQUELIN GUADALUPE REYES TORRES</t>
  </si>
  <si>
    <t>PASEO DEL BOSQUE 26</t>
  </si>
  <si>
    <t>PASEOS DE TAXQUEÑA</t>
  </si>
  <si>
    <t>SERVICIO DE VERIFICACION EXPRESS VEYCA SA DE CV</t>
  </si>
  <si>
    <t>CALZADA DE GUADALUPE 70</t>
  </si>
  <si>
    <t>EX HIPODROMO DE PERALVILLO</t>
  </si>
  <si>
    <t>INCORPORACION PROFESIONAL SC</t>
  </si>
  <si>
    <t>ELIZABETH CALLADO MARCOS</t>
  </si>
  <si>
    <t>ALICIA CALLADO MARCOS</t>
  </si>
  <si>
    <t>JOSE ANTONIO CALLADO MARCOS</t>
  </si>
  <si>
    <t>MARCELO GERARDO CALLADO MARCOS</t>
  </si>
  <si>
    <t>GILBERTO CHAVEZ OROZCO</t>
  </si>
  <si>
    <t>LUCIA CAMPOS SANTAMARIA</t>
  </si>
  <si>
    <t>KARLA ERIKA RAMIREZ NAVA</t>
  </si>
  <si>
    <t>JOSE LUIS AMBRIZ REYES</t>
  </si>
  <si>
    <t>SERVICIOS IN ELIGENDO SA DE CV</t>
  </si>
  <si>
    <t>XOLA 535 </t>
  </si>
  <si>
    <t>JOSE ALDERETE PINEDA</t>
  </si>
  <si>
    <t>MECANICO DE AVIACION</t>
  </si>
  <si>
    <t>LIZETH BARRERA COQUIS</t>
  </si>
  <si>
    <t>PENDULUM SERVICIOS INTEGRALES SA DE CV</t>
  </si>
  <si>
    <t>PASEO DE LA REFORMA 404 PISO 8; PASEO DE LA REFORMA 404 PISO 10</t>
  </si>
  <si>
    <t>JUAREZ; JUAREZ</t>
  </si>
  <si>
    <t>DELEGACION CUAUTEMOC; DELEGACION CUAUHTEMOC</t>
  </si>
  <si>
    <t>ESPERANZA LOPEZ ORTIZ</t>
  </si>
  <si>
    <t>AVENIDA PLUTARCO ELIAS CALLES 1328</t>
  </si>
  <si>
    <t>ERNESTO OTTO BELTRAN CORIA</t>
  </si>
  <si>
    <t>JOSE RUBEN LOPEZ VILLEGAS</t>
  </si>
  <si>
    <t>NORMA ANGELICA OLVERA ALVARADO</t>
  </si>
  <si>
    <t>BYM BELTRAN MORENO Y ASOCIADOS</t>
  </si>
  <si>
    <t>ABOGADO CONTENCIOSO</t>
  </si>
  <si>
    <t>BONO JURIDICO</t>
  </si>
  <si>
    <t>JOSUE LOPEZ BRAVO</t>
  </si>
  <si>
    <t>REFRIGERADOS LIBRA SA DE CV</t>
  </si>
  <si>
    <t>AVENIDA ROJO GOMEZ 1450</t>
  </si>
  <si>
    <t>EL MORAL</t>
  </si>
  <si>
    <t>IGNACIO VARGAS</t>
  </si>
  <si>
    <t>FRANCISCO ZAMUDIO</t>
  </si>
  <si>
    <t>MIGUEL OCHOA</t>
  </si>
  <si>
    <t>EVELYN DANIELA CARBELLIDO MARIN</t>
  </si>
  <si>
    <t>MARIA FERNANDA DOMINGUEZ CHAVEZ</t>
  </si>
  <si>
    <t>LARIOS Y SANCHEZ CONSULTORES ADMINISTRADORES E INTERMEDIARIOS DE NEGOCIOS SC</t>
  </si>
  <si>
    <t>CHOFER-CUSTODIO</t>
  </si>
  <si>
    <t>ALAN RAMIREZ GASPAR</t>
  </si>
  <si>
    <t>AVENIDA ARCOS DE BELEN 37 EDIFICIO I DESPACHO 305</t>
  </si>
  <si>
    <t>PANASONIC DE MEXICO SA DE CV</t>
  </si>
  <si>
    <t>MORA 131</t>
  </si>
  <si>
    <t>GPS MERCADOTECNIA SC</t>
  </si>
  <si>
    <t>COLINA DE LOS ACONITOS 41 INTERIOR 105</t>
  </si>
  <si>
    <t>BULEVARES</t>
  </si>
  <si>
    <t>NAUCALPAN DE JUAREZ</t>
  </si>
  <si>
    <t>CINDI FERRER</t>
  </si>
  <si>
    <t>MORA 131; COLINA DE LOS ACONITOS 41 INTERIOR 105</t>
  </si>
  <si>
    <t>TLACOQUEMECATL DEL VALLE; BULEVARES</t>
  </si>
  <si>
    <t>NO ESPECIFICA; NAUCALPAN DE JUAREZ</t>
  </si>
  <si>
    <t>RAFAEL CORTES SIERRA</t>
  </si>
  <si>
    <t>FABIOLA MENEZ CEDILLO</t>
  </si>
  <si>
    <t>RAFAEL GUERRERO CUEVAS</t>
  </si>
  <si>
    <t>RAFAEL CORTES SIERRA ABOGADOS</t>
  </si>
  <si>
    <t>PROMOTOR TRAINEE DE PANASONIC</t>
  </si>
  <si>
    <t>OSCAR QUIÑONES MEJIA</t>
  </si>
  <si>
    <t>ZACATECAS 230 CUARTO PISO</t>
  </si>
  <si>
    <t>MARCO ANTONIO PEREZ SERRANO</t>
  </si>
  <si>
    <t>TRASIMENO 154</t>
  </si>
  <si>
    <t>GERARDO CUELLAR FERNANDEZ</t>
  </si>
  <si>
    <t>MARTHA PATRICIA MORENO RAMIREZ</t>
  </si>
  <si>
    <t>JEFE AJUSTADOR Y ARMADOR DE MOTORES</t>
  </si>
  <si>
    <t>UNIDADES DE MOTOR AJUSTADAS Y O ARMADAS</t>
  </si>
  <si>
    <t>EL AUTO DE RADICACION NO CORRESPONDE A LA DEMANDA</t>
  </si>
  <si>
    <t>ABRAHAM MENDEZ BADILLO</t>
  </si>
  <si>
    <t>LAGO NESS 25-8</t>
  </si>
  <si>
    <t>PENSIL NORTE</t>
  </si>
  <si>
    <t>SERVICIO FRAM</t>
  </si>
  <si>
    <t>RIO DANUBIO 104</t>
  </si>
  <si>
    <t>FRANCISCO MENDEZ LOPEZ</t>
  </si>
  <si>
    <t>GERARDO RUIZ SAUL</t>
  </si>
  <si>
    <t>CARLOS ALBERTO RUIZ POLANCO</t>
  </si>
  <si>
    <t>ALEJANDRO CAPETILLO MEDINA</t>
  </si>
  <si>
    <t>ELECTROMECANICO AUTOMOTRIZ</t>
  </si>
  <si>
    <t>NO ESPECIFICA FECHA DE ENTRADA CORRECTAMENTE</t>
  </si>
  <si>
    <t>LILIANA FLORES DIAZ</t>
  </si>
  <si>
    <t>DOCTOR VELASCO 193 DESPACHO 104</t>
  </si>
  <si>
    <t>HONDA TEZONTLE CONAUSA CENTRAL DE ABASTO SA DE CV</t>
  </si>
  <si>
    <t>AVENIDA TEZONTLE LOTE 5 MANZANA 9; AVENIDA TEZONTLE LOTE 6 MANZANA 9</t>
  </si>
  <si>
    <t>EJIDOS DEL MORAL; EJIDOS DEL MORAL</t>
  </si>
  <si>
    <t>DELEGACION IZTAPALAPA; DELEGACION IZTAPALAPA</t>
  </si>
  <si>
    <t>JUAN CARLOS JIMENEZ CAMPOS</t>
  </si>
  <si>
    <t>RAYMUNDO BERNABE QUIROZ SANCHEZ</t>
  </si>
  <si>
    <t>JOSE CASTILLO CRUZ</t>
  </si>
  <si>
    <t>SERVICIOS JURIDICOS</t>
  </si>
  <si>
    <t>JUAN CARLOS MONTIEL MARTINEZ</t>
  </si>
  <si>
    <t>CALZADA DE LOS LEONES 256 SEGUNDO PISO INTERIOR 103</t>
  </si>
  <si>
    <t>AUTOBUSES MEXICO PUEBLA ESTRELLA ROJA SA DE CV</t>
  </si>
  <si>
    <t>CALZADA IGNACIO ZARAGOZA 200</t>
  </si>
  <si>
    <t>10 DE MAYO</t>
  </si>
  <si>
    <t>PABLO VICTORIA JARA</t>
  </si>
  <si>
    <t>JOSE ROGELIO MARTINEZ SANCHEZ</t>
  </si>
  <si>
    <t>ELECTRICISTA</t>
  </si>
  <si>
    <t>ALEJANDRO GUZMAN Y GONZALEZ</t>
  </si>
  <si>
    <t>DOCTOR VELASCO 95 EDIFICIO 4 DEPARTAMENTO 303</t>
  </si>
  <si>
    <t>GCIT INFORMATIOIN TECHNOLOGY CONSULTING GROUP SA DE CV</t>
  </si>
  <si>
    <t>MONTERREY 150 DESPACHO 208 </t>
  </si>
  <si>
    <t>JORGE GONZALEZ GONZALEZ</t>
  </si>
  <si>
    <t>JOSUE COBAXIN CASTELLANOS</t>
  </si>
  <si>
    <t>ADRIANA GLORIBEL GARCIA MENDEZ</t>
  </si>
  <si>
    <t>ANALISTA PROGRAMADOR SR</t>
  </si>
  <si>
    <t>IVONNE VANESSA LARA ESCOBAR</t>
  </si>
  <si>
    <t>MARIA DE LA LUZ GONZALEZ SUAREZ</t>
  </si>
  <si>
    <t>CALLE PRIVADA DE LA SOLEDAD 43 INTERIOR 68</t>
  </si>
  <si>
    <t>EL JAGUEY</t>
  </si>
  <si>
    <t>ATENCION EMPRESARIAL ATS SA DE CV</t>
  </si>
  <si>
    <t>PROLONGACION SANCTORUM 100 INTERIOR 5 </t>
  </si>
  <si>
    <t>ISSTEAM SC</t>
  </si>
  <si>
    <t>MATRIX MULTILEVEL SC</t>
  </si>
  <si>
    <t>ISAAC SILVESTRONIC SEEIMBERG</t>
  </si>
  <si>
    <t>RAUL MARTINEZ CABRERA</t>
  </si>
  <si>
    <t>ALEJANDRO ABALOS RAMIREZ</t>
  </si>
  <si>
    <t>TANIA ISLAS GONZALEZ</t>
  </si>
  <si>
    <t>ALEJANDRO OREJEL SANCHEZ AZCONA</t>
  </si>
  <si>
    <t>ALFREDO ARIAS RAMIREZ</t>
  </si>
  <si>
    <t>SUPERVISORA DE MANTENIMIENTO Y LIMPIEZA</t>
  </si>
  <si>
    <t>NO TIENE CARTA PODER, NO TIENE AUTO DE RADICACION</t>
  </si>
  <si>
    <t>HECTOR OLIVER ESPAÑA</t>
  </si>
  <si>
    <t>RIO LERMA 143 DESPACHO 502</t>
  </si>
  <si>
    <t>ARTURO RAMOS DAVALOS</t>
  </si>
  <si>
    <t>ADOLFO LOPEZ MATEOS 2 MANZANA 167 LOTE 2</t>
  </si>
  <si>
    <t>LA PASTORA </t>
  </si>
  <si>
    <t>SANIA RAMOS</t>
  </si>
  <si>
    <t>NANTZUI PATIÑO REAL</t>
  </si>
  <si>
    <t>ENCARGADO CON HABITACION</t>
  </si>
  <si>
    <t>JORGE GUTIERREZ GUTIERREZ</t>
  </si>
  <si>
    <t>AVENIDA TLAHUAC 4549 INETRIOR 21 PLANTA ALTA</t>
  </si>
  <si>
    <t>LOMAS ESTRTELLA</t>
  </si>
  <si>
    <t>ELPIDIO MARTINEZ CRUZ</t>
  </si>
  <si>
    <t>AVENIDA ZIHUATLAN 86 </t>
  </si>
  <si>
    <t>SANTO DOMINGO</t>
  </si>
  <si>
    <t>ROSA CRUZ ROJAS</t>
  </si>
  <si>
    <t>ISRAEL PLATAS YAÑEZ</t>
  </si>
  <si>
    <t>EMILIO VILLASEÑOR DE LA TORRE</t>
  </si>
  <si>
    <t>JOSE DEL CARMEN HERNANDEZ LOPEZ</t>
  </si>
  <si>
    <t>AYUDA DE COMIDAS POR VIAJE</t>
  </si>
  <si>
    <t>COMISIONES POR VIAJE</t>
  </si>
  <si>
    <t>SAID JIMENEZ HEREDIA</t>
  </si>
  <si>
    <t>FRANCISCO J MACIN 269</t>
  </si>
  <si>
    <t>CTM EL RISCO</t>
  </si>
  <si>
    <t>MURATEL SA DE CV</t>
  </si>
  <si>
    <t>ALEJANDRO ALLORI 34</t>
  </si>
  <si>
    <t>ALFONSO XIII</t>
  </si>
  <si>
    <t>MIGAD CONSULTING GROUP SA DE CV</t>
  </si>
  <si>
    <t>MARIO SANCHEZ ARZATE</t>
  </si>
  <si>
    <t>JOSE GERARDO ROJO LOPEZ</t>
  </si>
  <si>
    <t>REBECA ROJO</t>
  </si>
  <si>
    <t>SERGIO RODRIGO MAYO SANDOVAL</t>
  </si>
  <si>
    <t>MARIA ALEJANDRA LORANCA SAMANO</t>
  </si>
  <si>
    <t>SUPERVISOR Y ENCARGADO DE OPERACIONES</t>
  </si>
  <si>
    <t>REBECA ROJO N</t>
  </si>
  <si>
    <t>RAYMUNDO CHEVALIER MARTINEZ</t>
  </si>
  <si>
    <t>RIO VOLGA 89 TERCER PISO</t>
  </si>
  <si>
    <t>COMBUSTIBLES ECOLOGICOS MEXICANOS SA DE CV</t>
  </si>
  <si>
    <t>MONTE ELBRUZ 132 INTERIOR 901</t>
  </si>
  <si>
    <t>CHAPULTEPEC</t>
  </si>
  <si>
    <t>SERVICIOS DE PERSONAL Y ECOLOGICOS SA DE CV</t>
  </si>
  <si>
    <t>SERVICIOS ECOMEX SA DE CV</t>
  </si>
  <si>
    <t>ANDRES ALFONSO BAYONA INSIGNARES</t>
  </si>
  <si>
    <t>LINO DE JESUS PATIÑO DE LA SALA</t>
  </si>
  <si>
    <t>EDGARDO ESPINOSA MARTINEZ</t>
  </si>
  <si>
    <t>JOSE GUADALUPE BORJA CHAVEZ</t>
  </si>
  <si>
    <t>JORGE ISAAC ESPINOZA FLOREZ</t>
  </si>
  <si>
    <t>GERENTE DE PLANEACION FINANCIERA</t>
  </si>
  <si>
    <t>ADRIAN HERNANDEZ SIERRA</t>
  </si>
  <si>
    <t>AUTOMOTRIZ TEPEPAN SA DE CV</t>
  </si>
  <si>
    <t>CARRETERA A SAN PABLO 400</t>
  </si>
  <si>
    <t>SANTIAGO TEPALCATLALPAN</t>
  </si>
  <si>
    <t>DELEGACION XOCHIMILCO</t>
  </si>
  <si>
    <t>BERNARDO PEREZ COLLADO</t>
  </si>
  <si>
    <t>GERENTE DE REFACCIONES</t>
  </si>
  <si>
    <t>CARTA PODER</t>
  </si>
  <si>
    <t>MARIA DEL ROCIO MENDOZA CASTAÑEDA</t>
  </si>
  <si>
    <t>TRANSPORTES LOCK SA DE CV</t>
  </si>
  <si>
    <t>TAMEMES 37</t>
  </si>
  <si>
    <t>ZONA FEDERAL PASEOS DE CHURUBUSCO</t>
  </si>
  <si>
    <t>JOSE LUIS TERRAZAS</t>
  </si>
  <si>
    <t>HECTOR ARTURO FLORES LOPEZ</t>
  </si>
  <si>
    <t>SIXTO DOMINGUEZ</t>
  </si>
  <si>
    <t>SUPERVISORA DE RECOLECTORES EN PUNTO DE EFECTIVO</t>
  </si>
  <si>
    <t>CECILIA CATALINA PEREZ BARAJAS</t>
  </si>
  <si>
    <t>NORTE SETENTA Y DOS A 5218</t>
  </si>
  <si>
    <t>MARTIRES DE RIO BLANCO</t>
  </si>
  <si>
    <t>GUANAJUATO 224 DESPACHO 301; GUANAJUATO 224 DESPACHO 302</t>
  </si>
  <si>
    <t>ROMA; ROMA</t>
  </si>
  <si>
    <t>JUAN MANUEL SALAS MORENO</t>
  </si>
  <si>
    <t>EDGAR OMAR AGUILAR ALCANTARA</t>
  </si>
  <si>
    <t>EMMANUEL MARTINEZ ESPINOZA</t>
  </si>
  <si>
    <t>MARIA GUADALUPE LOPEZ SUAZO</t>
  </si>
  <si>
    <t>ORIZABA 170 DESPACHO 101; ORIZABA 170 DESPACHO 301</t>
  </si>
  <si>
    <t>NO ESPECIFICA; NO ESPECIFICA</t>
  </si>
  <si>
    <t>NUEVA WAL MART DE MEXICO S DE RL DE CV</t>
  </si>
  <si>
    <t>NEXTENGO 78</t>
  </si>
  <si>
    <t>SANTA CRUZ ACAYUCAN</t>
  </si>
  <si>
    <t>HUGO ENRIQUE MAYEN LAGUNAS</t>
  </si>
  <si>
    <t>ATENTO ATENCION Y SERVICIOS SA DE CV</t>
  </si>
  <si>
    <t>RAQUEL VEGA</t>
  </si>
  <si>
    <t>OCTAVIO RUIZ</t>
  </si>
  <si>
    <t>ALEJANDRO MAYIBE </t>
  </si>
  <si>
    <t>LUCILA MARGARITA COVARRUBIAS CARRILLO</t>
  </si>
  <si>
    <t>MIGUEL URIBE FLORES</t>
  </si>
  <si>
    <t>JUANA MARIANA COVARRUBIAS CARRILLO</t>
  </si>
  <si>
    <t>JEFE DE PROMOGESTORES</t>
  </si>
  <si>
    <t>FONDO AHORRO EMPRESA</t>
  </si>
  <si>
    <t>BONO SEMESTRAL</t>
  </si>
  <si>
    <t>JOSE ALFONSO YAÑEZ RESENDIZ</t>
  </si>
  <si>
    <t>SUPER MANZANA 1 MANZANA 34 EDIFICIO 3 LETRA H UNIDAD HABITACIONAL EJERCITIO CONSTITUCIONALISTA</t>
  </si>
  <si>
    <t>FERVI SA DE CV</t>
  </si>
  <si>
    <t>SANTA TERESA 64</t>
  </si>
  <si>
    <t>TRANSPORTES INDUSTRIALES SAN LUIS SA DE CV</t>
  </si>
  <si>
    <t>DINAMICA INTELIGENTE 365 SA DE CV</t>
  </si>
  <si>
    <t>LUIS ENRIQUE VALLEJO RIVAS</t>
  </si>
  <si>
    <t>RAUL MELO GALINDO</t>
  </si>
  <si>
    <t>MONICA</t>
  </si>
  <si>
    <t>PAOLA EDITH AVARADO REYES</t>
  </si>
  <si>
    <t>VOICE DATA COMUNICACIONES SA DE CV</t>
  </si>
  <si>
    <t>PEDRO HENRIQUEZ UREÑA MANZANA 18 LOTE 17 INTERIOR 1 </t>
  </si>
  <si>
    <t>PEDREGAL DE SANTO DOMINGO</t>
  </si>
  <si>
    <t>HUMBERTO TORAL AGUIRRE</t>
  </si>
  <si>
    <t>CRISTIAN SERDAN HERNANDEZ</t>
  </si>
  <si>
    <t>WALBERTO CABRERA MERTINEZ</t>
  </si>
  <si>
    <t>JAKELINE GUADALUPE HERNANDEZ DE LA PEÑA</t>
  </si>
  <si>
    <t>SUPERVISORA DE VENDEDORES POR CAMBACEO</t>
  </si>
  <si>
    <t>FROYLAN GONZALEZ NICOLAS</t>
  </si>
  <si>
    <t>ZACATECAS 206</t>
  </si>
  <si>
    <t>COYOACAN 107;THIERS 248</t>
  </si>
  <si>
    <t>DEL VALLE; ANZURES</t>
  </si>
  <si>
    <t>DELEGACION BENITO JUAREZ; DELEGACION MIGUEL HIDALGO</t>
  </si>
  <si>
    <t>PAUL KARAM ASSAD</t>
  </si>
  <si>
    <t>GUILLERMO CORTES PLACENCIA</t>
  </si>
  <si>
    <t>HECTOR PEDRO MARTINEZ LOPEZ</t>
  </si>
  <si>
    <t>IRVING ALEXIS GONZALEZ MARTINEZ</t>
  </si>
  <si>
    <t>MH ASESORIAL LABORAL</t>
  </si>
  <si>
    <t>ENCARGADO</t>
  </si>
  <si>
    <t>MARIA CRISTINA ZAMORANO ROBLES</t>
  </si>
  <si>
    <t>CATAMARCA 157</t>
  </si>
  <si>
    <t>CRUSAL SERVICIOS AL TURISMO SA DE CV</t>
  </si>
  <si>
    <t>PRADO NORTE 235</t>
  </si>
  <si>
    <t>VACATION WORDL DE MEXICO SA DE CV</t>
  </si>
  <si>
    <t>MARIANO MARISCAL BARROSO</t>
  </si>
  <si>
    <t>MARIANO MARISCAL ASUNSOLO</t>
  </si>
  <si>
    <t>BLANCA ESTELA LLAMAS HARO</t>
  </si>
  <si>
    <t>EDUARDO SAMANO FLORES</t>
  </si>
  <si>
    <t>ELIAS GONZALEZ MASADIEGO</t>
  </si>
  <si>
    <t>NO HAY AUTO DE RADICACION; ESTA DEMANDA ES POR INCUMPLIMIENTO DE CONVENIO PACTADO AL FINALIZAR OTRA DEMANDA POR DESPIDO INJUSTIFICADO</t>
  </si>
  <si>
    <t>NORMA ANGELICA GARCIA BORJAS</t>
  </si>
  <si>
    <t>CALZADA SAN ANTONIO ABAD 122</t>
  </si>
  <si>
    <t>KH SERVICIOS SA DE CV</t>
  </si>
  <si>
    <t>BOSQUE DE RADIATAS 10 INT 102</t>
  </si>
  <si>
    <t>ALICIA DEL AGUILA CRUZ</t>
  </si>
  <si>
    <t>VICTOR HUGO GONZALEZ CASTILLO</t>
  </si>
  <si>
    <t>SUBGERENTE DE ADMINISTRACION</t>
  </si>
  <si>
    <t>PAGO DE CONVENIO</t>
  </si>
  <si>
    <t>INCUMPLIMIENTO DE CONVENIO</t>
  </si>
  <si>
    <t>NO HAY AUTO DE RADICACION; OFRECIMIENTO DE TRABAJO DE MALA FE</t>
  </si>
  <si>
    <t>GERARDO SUAREZ SANTANA</t>
  </si>
  <si>
    <t>LUZ SAVIÑON 13 PH 1001 Y 1002</t>
  </si>
  <si>
    <t>AUTOMOTORES SONI SA DE CV</t>
  </si>
  <si>
    <t>MORAS 446</t>
  </si>
  <si>
    <t>RUBEN GARCIA ALONSO ALONSO</t>
  </si>
  <si>
    <t>FABIOLA PEREZ ESTRADA</t>
  </si>
  <si>
    <t>OSCAR RAUL TRUJILLO CORZA</t>
  </si>
  <si>
    <t>GERVASIO CANO GUTIERREZ</t>
  </si>
  <si>
    <t>CANO DE LA FUENTE PEREZ Y ZUÑIGA CONSULTORES LABORALES Y CORPORATIVOS</t>
  </si>
  <si>
    <t>VENDEDOR DE AUTOS</t>
  </si>
  <si>
    <t>COMISIONES POR VENTA CON CREDITO</t>
  </si>
  <si>
    <t>HORARIO DE TRABAJO</t>
  </si>
  <si>
    <t>SERGIO MORENO CAMBA</t>
  </si>
  <si>
    <t>IGNACIO SHAFINO RAMIREZ</t>
  </si>
  <si>
    <t>PROLONGACION ACUEDUCTO 13</t>
  </si>
  <si>
    <t>LA CONCHA</t>
  </si>
  <si>
    <t>GUSTAVO SHAFINO RANGEL</t>
  </si>
  <si>
    <t>EURODIESEL SA DE CV</t>
  </si>
  <si>
    <t>HECTOR TOLENTINO HERNANDEZ</t>
  </si>
  <si>
    <t>GOBIERNO DEL DISTRINO 37</t>
  </si>
  <si>
    <t>FEDERAL</t>
  </si>
  <si>
    <t>ELECTRONICA SA DE CV</t>
  </si>
  <si>
    <t>AVENIDA RIO CHURUBUSCO 2099</t>
  </si>
  <si>
    <t>RICARDO SOLIS</t>
  </si>
  <si>
    <t>JESUS ARTURO ARROYO FRANCO</t>
  </si>
  <si>
    <t>SUSANA EMILIA VALENCIA CISNEROS</t>
  </si>
  <si>
    <t>CARLOS ESCOBAR PEREZ</t>
  </si>
  <si>
    <t>MARCELO ORTIZ ESCUTIA</t>
  </si>
  <si>
    <t>AYUDANTE DE DOBLADOR</t>
  </si>
  <si>
    <t>ANA MARIA MARTINEZ LOPEZ</t>
  </si>
  <si>
    <t>ANTONIO ANGON BARRAGAN</t>
  </si>
  <si>
    <t>DOBLADOR</t>
  </si>
  <si>
    <t>RAUL ZAMUDIO TREJO</t>
  </si>
  <si>
    <t>DOCTOR JOSE MARIA VERTIZ 109</t>
  </si>
  <si>
    <t>ESTACIONAMIENTOS DE LA CIUDAD SA DE CV</t>
  </si>
  <si>
    <t>NIZA 33</t>
  </si>
  <si>
    <t>GRUPO FIHERS SA DE CV</t>
  </si>
  <si>
    <t>ELIDETH AGUILAR TORRES</t>
  </si>
  <si>
    <t>FERNANDO AGUILAR MEJIA</t>
  </si>
  <si>
    <t>FERNANDO IVAN AGUILAR TORRES</t>
  </si>
  <si>
    <t>AGUILAR Y ASOCIADOS</t>
  </si>
  <si>
    <t>CAJERO</t>
  </si>
  <si>
    <t>GUADALUPE RAZO</t>
  </si>
  <si>
    <t>RAUL ULISES CARMONA LOPEZ</t>
  </si>
  <si>
    <t>DOCTOR ERAZO 85</t>
  </si>
  <si>
    <t>TOP RECURSO CONFIABLE SA DE CV</t>
  </si>
  <si>
    <t>PEDRO MORENO 163</t>
  </si>
  <si>
    <t>GUERRERO</t>
  </si>
  <si>
    <t>DANIEL IVAN SANDOVAL NAVARRETE</t>
  </si>
  <si>
    <t>OSCAR MARTINEZ GALICIA</t>
  </si>
  <si>
    <t>CARMONA Y MARTINEZ ABOGADOS</t>
  </si>
  <si>
    <t>COORDINADOR DE ALMACEN</t>
  </si>
  <si>
    <t>RICARDO TEUTLE TORREZ</t>
  </si>
  <si>
    <t>BONO POR COMPENSACION</t>
  </si>
  <si>
    <t>PAOLA GUERRERO ONTIVEROS</t>
  </si>
  <si>
    <t>SUPERVISOR ALMACENISTA</t>
  </si>
  <si>
    <t>KENIA CARMONA LOPEZ</t>
  </si>
  <si>
    <t>JUAN VALDES Y FRIAS</t>
  </si>
  <si>
    <t>ASESORIA Y SERVICIOS PRIVADOS EN PROTECCION Y CUSTODIA SA DE CV</t>
  </si>
  <si>
    <t>FERNANDO MONTES DE OCA 166</t>
  </si>
  <si>
    <t>JOEL ALVAREZ FONSECA</t>
  </si>
  <si>
    <t>ELEMENTO DE SEGURIDAD</t>
  </si>
  <si>
    <t>IGNACIO FAJARDO MARTINEZ</t>
  </si>
  <si>
    <t>TEPIC NO 139</t>
  </si>
  <si>
    <t>MEDEX MEDIOS EXTERIORES SA DE CV</t>
  </si>
  <si>
    <t>ALBORADA 124 TORRE PERISUR TERCER PISO DESPACHO 302</t>
  </si>
  <si>
    <t>MONTECITO NO 38</t>
  </si>
  <si>
    <t>KHM</t>
  </si>
  <si>
    <t>LUIS MANSO</t>
  </si>
  <si>
    <t>MIGUEL ANGEL FINN</t>
  </si>
  <si>
    <t>JOSE LUIS MUÑOZ MEJIA</t>
  </si>
  <si>
    <t>OMAR GARCIA RODRIGUEZ</t>
  </si>
  <si>
    <t>ALFREDO GARCIA LOPEZ</t>
  </si>
  <si>
    <t>LUIS MANSO; MARCO ANTONIO FINN; MIGUEL ANGEL FINN</t>
  </si>
  <si>
    <t>SERGIO ARENAS VARGAS</t>
  </si>
  <si>
    <t>ALEJO BECERRIL FUENTES</t>
  </si>
  <si>
    <t>CAMINO REAL AL AJUSCO 314</t>
  </si>
  <si>
    <t>AMPLIACION TEPEPAN</t>
  </si>
  <si>
    <t>JULIO CESAR CORONA SANCHEZ</t>
  </si>
  <si>
    <t>MECANICO EN GENERAL EN ALINEACION Y BALANCEO</t>
  </si>
  <si>
    <t>DAVID MORENO AVILA</t>
  </si>
  <si>
    <t>MANAGUA 914 INTERIOR 102</t>
  </si>
  <si>
    <t>LAVADO DE AUTOS EL TIGRE</t>
  </si>
  <si>
    <t>AV CANAL DE MIRAMONTES 2010</t>
  </si>
  <si>
    <t>MARTHA TREJO</t>
  </si>
  <si>
    <t>JOSE LUIS MEZA</t>
  </si>
  <si>
    <t>JESUS MANUEL CASTRO RIOS</t>
  </si>
  <si>
    <t>TOMAS ROLDAN MUÑOZ</t>
  </si>
  <si>
    <t>CONSUELO ANAID ROLDAN</t>
  </si>
  <si>
    <t>BUFETE JURIDICO TOMAS ROLDAN MUÑOZ</t>
  </si>
  <si>
    <t>JOSE LUIS MEZA; MARTHA TREJO</t>
  </si>
  <si>
    <t>DANIEL MARTINEZ MARTINEZ</t>
  </si>
  <si>
    <t>GERARDO ALCANTARA NAVA</t>
  </si>
  <si>
    <t>AQUILES SERDAN 430</t>
  </si>
  <si>
    <t>NEXTENGO</t>
  </si>
  <si>
    <t>CONTADOR</t>
  </si>
  <si>
    <t>MARIA ASUNCION AVENDAÑO ALPIZAR</t>
  </si>
  <si>
    <t>SERVICIOS ADMINISTRATIVOS KATEDRA SA DE CV</t>
  </si>
  <si>
    <t>BOULEVARD ADOLFO LOPEZ MATEOS 202</t>
  </si>
  <si>
    <t>SANPEDRO DE LOS PINOS</t>
  </si>
  <si>
    <t>GRISELDA LOREDO VALERO</t>
  </si>
  <si>
    <t>LIMPIEZA DE OFICINAS</t>
  </si>
  <si>
    <t>DOMINGO RICARDO SERRANO ORTEGA</t>
  </si>
  <si>
    <t>COMUNICACION CORPORATIVA PROFESIONAL SA</t>
  </si>
  <si>
    <t>BENITO FERNANDEZ ARRIETA 24</t>
  </si>
  <si>
    <t>LOS CIPRESES</t>
  </si>
  <si>
    <t>LAURO QUINTANAR SARELLANA</t>
  </si>
  <si>
    <t>MARIO RAMIREZ REGALADO</t>
  </si>
  <si>
    <t>ARMADO ELECTRONICO</t>
  </si>
  <si>
    <t>ARNULFO SUAREZ ALBINO</t>
  </si>
  <si>
    <t>AUTOTRANSPORTES DE PASAJEROS DE SEGUNDA CLASE MEXICO TEPETITLAN SA DE CV</t>
  </si>
  <si>
    <t>PROLONGACION NICOLAS BRAVO 102</t>
  </si>
  <si>
    <t>NIÑOS HERORES</t>
  </si>
  <si>
    <t>TEXCOCO</t>
  </si>
  <si>
    <t>LUIS MIRANDA VELAZQUEZ</t>
  </si>
  <si>
    <t>JORGE MANRIQUEZ CRUCES</t>
  </si>
  <si>
    <t>AVENIDA POLITECNICO NACIONAL 5421 EDIFICIO 3 PLANTA BAJA</t>
  </si>
  <si>
    <t>ADAN LOPEZ DIAZ</t>
  </si>
  <si>
    <t>AUTOTRANSPORTE </t>
  </si>
  <si>
    <t>ENCARGADO DE SISTEMAS</t>
  </si>
  <si>
    <t>SAMARA AYERIM RIVERO MARTINEZ</t>
  </si>
  <si>
    <t>AKSI HERRAMIENTAS SA DE CV</t>
  </si>
  <si>
    <t>AVENIDA DE LOS ANGELES 303 BODEGA 3-A</t>
  </si>
  <si>
    <t>SAN MARTIN XOCHINAHUAC</t>
  </si>
  <si>
    <t>LIDIAROJAS HERNANDEZ</t>
  </si>
  <si>
    <t>PAMELA HERNANDEZ</t>
  </si>
  <si>
    <t>EMPACADORA</t>
  </si>
  <si>
    <t>LIDIA ROJAS HERNANDEZ</t>
  </si>
  <si>
    <t>RAFAEL FRANCISCO PEREZ MORENO</t>
  </si>
  <si>
    <t>JAVEIR HELADIO CRUZ CARTAGENA</t>
  </si>
  <si>
    <t>CAMPO BELLO SN EDIFICIO A-2 DEPARTAMENTO 205</t>
  </si>
  <si>
    <t>ERICK CRUZ GONZALEZ</t>
  </si>
  <si>
    <t>CHOFER DE CAMIONETA DE CARGA</t>
  </si>
  <si>
    <t>JAVIER HELADIO CRUZ CARTAGENA</t>
  </si>
  <si>
    <t>ALE</t>
  </si>
  <si>
    <t>GABRIEL MARTINEZ SARMIENTO</t>
  </si>
  <si>
    <t> AVENIDA EDUARDO MOLINA 3546</t>
  </si>
  <si>
    <t>INGENIERIA DIESEL Y GASOLINA SA DE CV</t>
  </si>
  <si>
    <t>PASEO DE LOS JARDINES 61</t>
  </si>
  <si>
    <t>PASEO DE TAXQUEÑA</t>
  </si>
  <si>
    <t>EDNA MAGNALLY ORTIZ VILLEDA</t>
  </si>
  <si>
    <t>MAURICIO DAVALOS ALONZO </t>
  </si>
  <si>
    <t>DAVID ALEJANDRO GARCIA QUINTANA</t>
  </si>
  <si>
    <t>LUIS SERAFIN FABIAN CASTELLANOS</t>
  </si>
  <si>
    <t>EXTRACTIVA</t>
  </si>
  <si>
    <t>MAESTRO MECÁNICO</t>
  </si>
  <si>
    <t>LUIS SANDOVAL FERNANDEZ</t>
  </si>
  <si>
    <t>BUEN TONO 36 DESPACHO 302</t>
  </si>
  <si>
    <t>TRAVEL AGENCY SA DE CV</t>
  </si>
  <si>
    <t>LOPE DE VEGA 111 CUARTO PISO</t>
  </si>
  <si>
    <t>VIAJES EMPERADOR SA DE CV </t>
  </si>
  <si>
    <t>BURC MUSTAFAANBAK</t>
  </si>
  <si>
    <t>CARLOS GABRIEL AGUILERA RAMIREZ </t>
  </si>
  <si>
    <t>SIMON RAFAEL RAMIREZ PEREZ</t>
  </si>
  <si>
    <t>JESUS SILVA ESCOBEDO </t>
  </si>
  <si>
    <t>JORGE QUIÑONES CHAVEZ</t>
  </si>
  <si>
    <t>JOSE MANUEL MENDOZA FLORES</t>
  </si>
  <si>
    <t>ARIADNA ESPERANZA SANCHEZ DOMINGUEZ</t>
  </si>
  <si>
    <t>HAVRE 28 DESPACHO 104 </t>
  </si>
  <si>
    <t>ADAME VELEZ CONSULTING SA DE CV</t>
  </si>
  <si>
    <t>RIO LERMA 217 TERCER PISO </t>
  </si>
  <si>
    <t>AMINADAB BELTRAN </t>
  </si>
  <si>
    <t>CARLOS HERNANDEZ VALENZUELA </t>
  </si>
  <si>
    <t>LUIS MANUEL OLVERA GARCIA</t>
  </si>
  <si>
    <t>CARLOS VELAZQUEZ MARIN</t>
  </si>
  <si>
    <t>EDUVIN FRANCISCO REYES MENDOZA</t>
  </si>
  <si>
    <t>AMINADAB BELTRAN/ CARLOS HERNANDEZ VALENZUELA</t>
  </si>
  <si>
    <t>VERONICA CAMPOS PEREZ </t>
  </si>
  <si>
    <t>AVENIDA COYOACAN 1878 DESPACHO 102 Y 103 </t>
  </si>
  <si>
    <t>CONSORCIO EMPRESARIAL OPERATIVO STA FE SA DE CV </t>
  </si>
  <si>
    <t>PARQUE LIRA 139 </t>
  </si>
  <si>
    <t>TACUBAYA</t>
  </si>
  <si>
    <t>INGENIERIA DE ACTIVOS SA DE CV </t>
  </si>
  <si>
    <t>MARIA ANGELINA MUÑOZ ALVAREZ</t>
  </si>
  <si>
    <t>HOMERO HORACIO PEÑA HURTADO </t>
  </si>
  <si>
    <t>MANUEL GARCIA/FERNANDO MENDOZA</t>
  </si>
  <si>
    <t>MARIA DEL ROSARIO TORRES MIRANDA</t>
  </si>
  <si>
    <t>AGENTE DE RESERVACIONES</t>
  </si>
  <si>
    <t>JENNY CAMPOS PEREZ</t>
  </si>
  <si>
    <t>PARQUE LIRA 139</t>
  </si>
  <si>
    <t>ROSA MARIA SANTIAGO RODRIGUEZ</t>
  </si>
  <si>
    <t>ANEL LUNA ALCARAZ</t>
  </si>
  <si>
    <t>ADRIANA MARIA DOBLADO FERNANDEZ</t>
  </si>
  <si>
    <t>CHIMALPOPOCA 31 </t>
  </si>
  <si>
    <t>OBRERA </t>
  </si>
  <si>
    <t>SOLUCIONES EN RECURSOS HUMANOS SRH SA DE CV </t>
  </si>
  <si>
    <t>POPOCATEPETL 187 TORRE B 105 </t>
  </si>
  <si>
    <t>CORPORATIVO SLRH SA DE CV </t>
  </si>
  <si>
    <t>GONZALO CERVANTES DEL OSO </t>
  </si>
  <si>
    <t>LISIAN GONZALEZ ESNAURRIZAR</t>
  </si>
  <si>
    <t>CORPORACION HRC SA DE CV</t>
  </si>
  <si>
    <t>AVENIDA JESUS REYES HEROLES 23 PISO 2 </t>
  </si>
  <si>
    <t>FRACCIONAMIENTO INDUSTRIAL TABLAHONDA SAN BARTOLO TENAYUCA </t>
  </si>
  <si>
    <t>FRUITS AND PASSION </t>
  </si>
  <si>
    <t>MARIA LUISA CAMPOS ARAGON</t>
  </si>
  <si>
    <t>ISAAC LEON GARCES</t>
  </si>
  <si>
    <t>JESUS CAMPOS LINAS</t>
  </si>
  <si>
    <t>GONZALO CERVANTES DEL OSO</t>
  </si>
  <si>
    <t>MACEDONIO ABELINO GARCIA PINEDA</t>
  </si>
  <si>
    <t>DR LICEAGA 71 DESPACHO 2 </t>
  </si>
  <si>
    <t>RODRIGO CHAMERY </t>
  </si>
  <si>
    <t>CALZADA ACOXPA 881</t>
  </si>
  <si>
    <t>RESIDENCIAL VILLA COAPA</t>
  </si>
  <si>
    <t>COCO WASH</t>
  </si>
  <si>
    <t>SANDRA LOZANO BERNAL</t>
  </si>
  <si>
    <t>LIZETH ARACELI MORALES CARMONA</t>
  </si>
  <si>
    <t>LAVADOR DE COCHES</t>
  </si>
  <si>
    <t>RODRIGO CHAMERY</t>
  </si>
  <si>
    <t>VICTOR HUGO CARMONA VAZQUEZ</t>
  </si>
  <si>
    <t>PUEBLA 202 DESPACHO 802 </t>
  </si>
  <si>
    <t>AVENIDA INSURGENTES NORTE 1290</t>
  </si>
  <si>
    <t>CAPULTITLAN</t>
  </si>
  <si>
    <t>MUEBLES Y MUDANZAS MYM SA DE CV</t>
  </si>
  <si>
    <t>PROFESIONALES DE SERVICIOS MERCURY SA DE CV</t>
  </si>
  <si>
    <t>ISAIAS SANTOS GARCIA </t>
  </si>
  <si>
    <t>FELIPE GALICIA </t>
  </si>
  <si>
    <t>MARTIN SALGADO R</t>
  </si>
  <si>
    <t>JOSE ANTONIO PINEDA PINEDA</t>
  </si>
  <si>
    <t>ANTONIO ANGUIANO VILLAGOMEZ</t>
  </si>
  <si>
    <t>JORGE ARMANDO MERCADO ABONCE</t>
  </si>
  <si>
    <t>PINEDA ANGUIANO MERCADO CORPORATIVO JURIDICO</t>
  </si>
  <si>
    <t>OPERADOR DE VEHICULOS TIPO TRACTOCAMION</t>
  </si>
  <si>
    <t>ISAIAS SANTOS GARCIA/FELIPE GALICIA /MARTIN SALGADO R</t>
  </si>
  <si>
    <t>ANTONIO PICAZO RODILLA</t>
  </si>
  <si>
    <t>MONROVIA 1001 </t>
  </si>
  <si>
    <t>MANUEL BERNAL </t>
  </si>
  <si>
    <t>CALZADA DE ACOXPA 895</t>
  </si>
  <si>
    <t>ACOXPA</t>
  </si>
  <si>
    <t>SILVERIO PEREZ</t>
  </si>
  <si>
    <t>CARECAR CENTER</t>
  </si>
  <si>
    <t>INTERSERVICIO TRUCK DIESEL</t>
  </si>
  <si>
    <t>ADOLFO ROJAS CASTAÑEDA</t>
  </si>
  <si>
    <t>ALEJANDRO GALVAN RAMIREZ</t>
  </si>
  <si>
    <t>EDMUNDO ZAMORA HERNANDEZ</t>
  </si>
  <si>
    <t>MANUEL BERNAL/ SILVERIO PEREZ</t>
  </si>
  <si>
    <t>MATIAS VUELTIFLOR BURGOS</t>
  </si>
  <si>
    <t>ATISH SA DE CV </t>
  </si>
  <si>
    <t>AVENIDA INSURGENTES NORTE 1478 </t>
  </si>
  <si>
    <t>MONICA GARCIA</t>
  </si>
  <si>
    <t>FERNANDO ARNAUL LELO </t>
  </si>
  <si>
    <t>CONCESIONARIO</t>
  </si>
  <si>
    <t>FERNANDO ARNAUL LELO</t>
  </si>
  <si>
    <t>NO HAY AUTO DE RADICACION, LA PAGINA 2 DE LA DEMANDA INICIAL ESTA EN BLANCO</t>
  </si>
  <si>
    <t>VICTOR MANUEL JURADO HERNANDEZ</t>
  </si>
  <si>
    <t>DR JOSE MA VERTIZ 109 DESPACHO 504 </t>
  </si>
  <si>
    <t>COMERCIALIZADORA ELECTROMECANICA LEO SA DE CV</t>
  </si>
  <si>
    <t>FRANCISCO MORENO 34 </t>
  </si>
  <si>
    <t>HEROE DE NACOZARI/ VALLEJO PONIENTE</t>
  </si>
  <si>
    <t>JAIME VILLAVICENCIO FERNANDEZ </t>
  </si>
  <si>
    <t>GILBERTO ALVAREZ</t>
  </si>
  <si>
    <t>MARTHA ANGUIANO CASAS</t>
  </si>
  <si>
    <t>URI ELIBELET MORALES SOUVERVILLE</t>
  </si>
  <si>
    <t>LACC CAMACHO Y ABOGADOS</t>
  </si>
  <si>
    <t>EMBOBINADOR</t>
  </si>
  <si>
    <t>JAIME VILLAVICENCIO FERNANDEZ</t>
  </si>
  <si>
    <t>ELVIRA HERNANDEZ GONZALEZ</t>
  </si>
  <si>
    <t>GERARDO ROJAS ELIZONDO</t>
  </si>
  <si>
    <t>ANTROPOLOGOS 59 B </t>
  </si>
  <si>
    <t>ILEANA RUIZ GUZMAN</t>
  </si>
  <si>
    <t>ENCARGADA </t>
  </si>
  <si>
    <t>GUADALUPE YADIRA ZACARIAS LARIOS</t>
  </si>
  <si>
    <t>AVENIDA RICARDO FLORES MAGON 44 DESPACHO 401</t>
  </si>
  <si>
    <t>SOCIEDAD INTER DE EMERGENCIAS MEDICAS SA DE CV </t>
  </si>
  <si>
    <t>AVENIDA BAJA CALIFORNIA 166 A </t>
  </si>
  <si>
    <t>SOLUCION INTER DE EMERGENCIAS MEDICAS SA DE CV</t>
  </si>
  <si>
    <t>SOLUCIONES INTEGRALES DE NEGOCIOS SA DE CV</t>
  </si>
  <si>
    <t>CHRISTIAN CIFUENTES ARGUELLO </t>
  </si>
  <si>
    <t>MIRIAM MURUETA CAMPA</t>
  </si>
  <si>
    <t>HERLINDO ALBERTO ROBLES PEREZ</t>
  </si>
  <si>
    <t>JUAN SALAZAR ROCHA </t>
  </si>
  <si>
    <t>MIRIAM GONZALEZ ACEVEDO</t>
  </si>
  <si>
    <t>COS/ CONGRESO DEL TRABAJO</t>
  </si>
  <si>
    <t>SALUD</t>
  </si>
  <si>
    <t>PARAMEDICO</t>
  </si>
  <si>
    <t>CHRISTIAN CIFUENTES ARGUELLO/ MIRIAM MURUETA</t>
  </si>
  <si>
    <t>MAURO FUENTES AMAYO</t>
  </si>
  <si>
    <t>GOBERNACION 21 </t>
  </si>
  <si>
    <t>MULTIPARKING SERVICIOS SA DE CV</t>
  </si>
  <si>
    <t>DIVISION DEL NORTE 2462 </t>
  </si>
  <si>
    <t>PORTALES SUR</t>
  </si>
  <si>
    <t>FEDERICO FUENTES AMAYO</t>
  </si>
  <si>
    <t>CARLOS SANTIAGO MARTINEZ</t>
  </si>
  <si>
    <t>OPERADOR Y LAVACOCHES</t>
  </si>
  <si>
    <t>PREMIOS DE ASISTENCIA Y PUNTUALIDAD</t>
  </si>
  <si>
    <t>ALBERTO JARAMILLO OLMOS </t>
  </si>
  <si>
    <t>AVENIDA COYOACAN 709 </t>
  </si>
  <si>
    <t>TRANSPORTES RAMIREZ SA DE CV</t>
  </si>
  <si>
    <t>AVENIDA SALONICA </t>
  </si>
  <si>
    <t>UNIDAD HABITACIONAL HUITLAHUAC</t>
  </si>
  <si>
    <t>DELEGACION ATZCAPOTZALCO</t>
  </si>
  <si>
    <t>ALEJANDRO RAMIREZ NAVARRO </t>
  </si>
  <si>
    <t>CLAUDIA TREJO N</t>
  </si>
  <si>
    <t>INSTITUTO FONDO NACIONAL PARA LA VIVIENDA DEL TRABAJADOR </t>
  </si>
  <si>
    <t>INSTITUTO MEXICANO DEL SEGURO SOCIAL </t>
  </si>
  <si>
    <t>PASEO DE LA REFORMA 476 PISO 6 </t>
  </si>
  <si>
    <t>YULI ABIGAIL RAMIREZ CRUZ</t>
  </si>
  <si>
    <t>JOSE ANTONIO MARTINEZ DELGADO </t>
  </si>
  <si>
    <t>YAIRD GONZALEZ QUEZADA</t>
  </si>
  <si>
    <t>ALEJANDRO RAMIREZ NAVARRO</t>
  </si>
  <si>
    <t>PATRICIA TREJO RAMIREZ</t>
  </si>
  <si>
    <t>DR LUCIO 127 DESPACHO 101</t>
  </si>
  <si>
    <t>ALONSO RIVERO VALENZUELA </t>
  </si>
  <si>
    <t>AVENIDA EJERCITO NACIONAL 505 DESPACHO 903 </t>
  </si>
  <si>
    <t>EDUARDO JOSE BOJORQUEZ PATRON </t>
  </si>
  <si>
    <t>EUKEN 2 PISO 1 </t>
  </si>
  <si>
    <t>ANZURES </t>
  </si>
  <si>
    <t>VIAJES LIBERACION SA</t>
  </si>
  <si>
    <t>ADELA ALVARADO TORIZ</t>
  </si>
  <si>
    <t>ALEJANDRO CARDOSO ZAMORA ABOGADOS ASOCIADOS</t>
  </si>
  <si>
    <t>AUXILIAR ADMINISTRATIVO</t>
  </si>
  <si>
    <t>ALONSO RIVERO VALENZUELA</t>
  </si>
  <si>
    <t>AYUDA ALIMENTOS</t>
  </si>
  <si>
    <t>ERNESTO MENESES MARTINEZ</t>
  </si>
  <si>
    <t>ALPES 1150</t>
  </si>
  <si>
    <t>VITESSE FINANCING AND TRUST DE MEXICO SA DE CV</t>
  </si>
  <si>
    <t>CALZADA VALLEJO 638 </t>
  </si>
  <si>
    <t>VITESSE MOTORS S DE RL DE CV</t>
  </si>
  <si>
    <t>ESCALANTE GUERRA SELECTORA DE PERSONAL SA DE CV</t>
  </si>
  <si>
    <t>RAUL HERNANDEZ KIM</t>
  </si>
  <si>
    <t>DANIEL GUTIERREZ TOPETE</t>
  </si>
  <si>
    <t>MARIA LUISA ALVAREZ PEREZ</t>
  </si>
  <si>
    <t>VICENTE ANTONIO SILVA HERNANDEZ</t>
  </si>
  <si>
    <t>JOSE ANTONIO PONS ALVAREZ</t>
  </si>
  <si>
    <t>GERENTE DE POST VENTA Y DE CAPACITACION</t>
  </si>
  <si>
    <t>PATRICIA GUERRERO</t>
  </si>
  <si>
    <t>JORGE PADILLA SANTOYO</t>
  </si>
  <si>
    <t>JESUS MANUEL CHAVEZ </t>
  </si>
  <si>
    <t>AVENIDA CALLE DE CONGRESO DE APATZINGAN 266 EDIFICIO 46 DESPACHO 503</t>
  </si>
  <si>
    <t>JOSE MARIA MORELOS Y PAVON</t>
  </si>
  <si>
    <t>PESCAR</t>
  </si>
  <si>
    <t>JESUS MANUEL CHAVEZ</t>
  </si>
  <si>
    <t>JOSE ANTONIO VAZQUEZ ACOSTA</t>
  </si>
  <si>
    <t>AVENIDA BAHIA DE TODOS LOS SANTOS 15 INT 3 </t>
  </si>
  <si>
    <t>VERONICA ANZURES</t>
  </si>
  <si>
    <t>OPERACIONES VERSATILES EN NEGOCIOS MODERNOS SA DE CV</t>
  </si>
  <si>
    <t>AVENIDA BALDERAS 44 </t>
  </si>
  <si>
    <t>FRANCISCO VAZQUEZ ACOSTA </t>
  </si>
  <si>
    <t>VERONICA GARCIA ARRIETA</t>
  </si>
  <si>
    <t>NICOLAS LOPEZ FLORES</t>
  </si>
  <si>
    <t>GERENTE DE PROYECTOS Y METODOLOGIA </t>
  </si>
  <si>
    <t>CARLOS ROCHA</t>
  </si>
  <si>
    <t>IGNACIO RAMIREZ SERVIN </t>
  </si>
  <si>
    <t>MANZANILLO 15 DESPACHO 405 </t>
  </si>
  <si>
    <t>NACIONAL DE ESTACIONAMIENTOS DE MEXICO SA DE CV </t>
  </si>
  <si>
    <t>GOBERNADOR ANTONIO DIEZ DE BONILLA 31</t>
  </si>
  <si>
    <t>SAN MIGUEL CHAPULTEPEC </t>
  </si>
  <si>
    <t>COMERCIALIZACIONES CALEIDOSCOPIO SA DE CV</t>
  </si>
  <si>
    <t>COMERCIALIZADORA CARRUSEL SA DE CV</t>
  </si>
  <si>
    <t>PABLO MARENTES GONZALEZ/PABLO FRANCISCO MARENTES GONZALEZ</t>
  </si>
  <si>
    <t>FRANCISCO MARENTES MARTINEZ</t>
  </si>
  <si>
    <t>FABIAN CELERINO RODRIGUEZ MARTINEZ</t>
  </si>
  <si>
    <t>JESUS MONTERRUBIO RUIZ</t>
  </si>
  <si>
    <t>ASESORIA JURIDICA INTEGRAL</t>
  </si>
  <si>
    <t>GERENTE ADMINISTRATIVO</t>
  </si>
  <si>
    <t>PABLO MARENTES GONZALEZ</t>
  </si>
  <si>
    <t>ADRIAN SANCHEZ GUTIERREZ </t>
  </si>
  <si>
    <t>RIO LERMA 143 DESPACHO 502 </t>
  </si>
  <si>
    <t>CHIMALHUACAN AVIACION CIVIL CARACOL Y COLINAS DEL VASO DE TEXCOCO SA DE CV</t>
  </si>
  <si>
    <t>CALLETANO ANDRADE 20 </t>
  </si>
  <si>
    <t>SANTA MARTHA ACATITLA</t>
  </si>
  <si>
    <t>JORGE SALAZAR ESCOBAR </t>
  </si>
  <si>
    <t>JORGE SALAZAR ESCOBAR</t>
  </si>
  <si>
    <t>GUSTAVO ISAURO VAZQUEZ GUZMAN</t>
  </si>
  <si>
    <t>AVENIDA PASEO DE LA REFORMA 403 PISO 9 </t>
  </si>
  <si>
    <t>ALFRED ROJAS SANCHEZ</t>
  </si>
  <si>
    <t>JOAQUIN TLAUSSELL MANZANA 40 LOTE 36 </t>
  </si>
  <si>
    <t>NUEVA WALMART DE MEXICO S DE RL DE CV </t>
  </si>
  <si>
    <t>BOULEVARD ADOLFO LOPEZ MATEOS  614 </t>
  </si>
  <si>
    <t>PERIODISTAS</t>
  </si>
  <si>
    <t>GERARDO ALBERTO SERVIN DE LA MORA Y MORALES</t>
  </si>
  <si>
    <t>MIGUEL ANGEL FLORES GOMEZ</t>
  </si>
  <si>
    <t>GABRIEL MORENO MIRANDA</t>
  </si>
  <si>
    <t>SERVIN DE LA MORA Y MORALES GARCIA Y ASOCIADOS</t>
  </si>
  <si>
    <t>TECNICO </t>
  </si>
  <si>
    <t>ALFREDO ROJAS SANCHEZ</t>
  </si>
  <si>
    <t>GABRIEL ANGEL INCLAN CHAVEZ</t>
  </si>
  <si>
    <t>DONATO GUERRA 1 DESPACHO 202 </t>
  </si>
  <si>
    <t>IMPERIO AUTOMOTRIZ DEL SUR SA DE CV</t>
  </si>
  <si>
    <t>PROLONGACION DIVISION DEL NORTE 5581 </t>
  </si>
  <si>
    <t>BARRIO SAN MARCOS </t>
  </si>
  <si>
    <t>JOSE ANTONIO CARRILLO ZAMUDIO </t>
  </si>
  <si>
    <t>PRIMA DOMINICAL </t>
  </si>
  <si>
    <t>ISRAEL BENJAMIN COBOS ARANDA</t>
  </si>
  <si>
    <t>ZACATECAS 230 PISO 4 </t>
  </si>
  <si>
    <t>SUAGUE SA DE CV</t>
  </si>
  <si>
    <t>GENERAL VICENTE VILLADA 172 ESQUINA CON AVENIDA FERROCARRIL HIDALGO </t>
  </si>
  <si>
    <t>ARAGON DE LA VILLA</t>
  </si>
  <si>
    <t>AVENIDA INSTITUTO POLITECNICO NACIONAL 5421 EDIFICIO 3 PLANTA BAJA </t>
  </si>
  <si>
    <t>INSTITUTO DEL FONDO NACIONAL DE LA VIVIENDA PARA LOS TRABAJADORES </t>
  </si>
  <si>
    <t>MARTHA PATRICIA MORENO RAMIREZ </t>
  </si>
  <si>
    <t>ROMEL DOMINGUEZ SALGADO </t>
  </si>
  <si>
    <t>ENCARGADO DEL NEGOCIO</t>
  </si>
  <si>
    <t>CARLOS AVILES RODRIGUEZ </t>
  </si>
  <si>
    <t>BLANCA ELIZABETH JIMENEZ SEGURA</t>
  </si>
  <si>
    <t>GIL RELACIONES INDUSTRIALES DE MEXICO SA DE CV </t>
  </si>
  <si>
    <t>AMORES 321 PISO 6 </t>
  </si>
  <si>
    <t>RODRIGO MOLINA</t>
  </si>
  <si>
    <t>ROSAURA CASTILLERO PALENCIA BUFETTE JURIDICO </t>
  </si>
  <si>
    <t>ATENCION A CLIENTES</t>
  </si>
  <si>
    <t>JUAN CARLOS HERNANDEZ NAVA</t>
  </si>
  <si>
    <t>ARTURO TRUJILLO OLVERA </t>
  </si>
  <si>
    <t>ATOTONILCO MZ 159 LT 7 </t>
  </si>
  <si>
    <t>SAN FELIPE DE JESUS </t>
  </si>
  <si>
    <t>CARMEN BARRERA UGARTE </t>
  </si>
  <si>
    <t>ARTURO TRUJILLO OLVERA</t>
  </si>
  <si>
    <t>HUGO ALBERTO ALVAREZ TREJO </t>
  </si>
  <si>
    <t>GUIPUZCOA 32 INTERIOR A 501 </t>
  </si>
  <si>
    <t>JOSEFA ORTIZ DE DOMINGUEZ </t>
  </si>
  <si>
    <t>JUAN JOSE GOMEZ FERRETIZ</t>
  </si>
  <si>
    <t>PITAGORAS 1036 </t>
  </si>
  <si>
    <t>GUILLERMO LEONARDO ZUMAYA PEREZ </t>
  </si>
  <si>
    <t>AIDA IBET FLORES TORRES</t>
  </si>
  <si>
    <t>AARON DE LA ROSA ZUBRAN</t>
  </si>
  <si>
    <t>DECORA VINIL</t>
  </si>
  <si>
    <t>JUAN JOSE GOMEZ FERRETIS</t>
  </si>
  <si>
    <t>JUAN GARZA LOPEZ</t>
  </si>
  <si>
    <t>AVENIDA MONTEVIDEO 659 LOCALES 1 Y 2 </t>
  </si>
  <si>
    <t>LINDAVISTA VALLEJO</t>
  </si>
  <si>
    <t>DISTRIBUIDORA CHEVROLET SA DE CV</t>
  </si>
  <si>
    <t>PERIFERICO SUR 6611 D </t>
  </si>
  <si>
    <t>SAN JUAN DE DIOS TEPEPAN </t>
  </si>
  <si>
    <t>JORGE RANGEL DE ALBA BRUNEL </t>
  </si>
  <si>
    <t>ENCINOS 67 </t>
  </si>
  <si>
    <t>FRACCIONAMIENTO PARQUES DEL PEDREGAL </t>
  </si>
  <si>
    <t>PASEO DE LA REFORMA 476 </t>
  </si>
  <si>
    <t>JOSE LUIS VALLEJO FRUCTUOSO </t>
  </si>
  <si>
    <t>MARCO ANTONIO ARENAS LEON</t>
  </si>
  <si>
    <t>GUADALUPE MEJIA GUZMAN</t>
  </si>
  <si>
    <t>IONA IVETTE VAZQUEZ MORENO</t>
  </si>
  <si>
    <t>SERGIO HERNANDEZ GARCIA</t>
  </si>
  <si>
    <t>LONDRES 216 DESPACHOS 2 Y 5 </t>
  </si>
  <si>
    <t>MARIO ESPEJEL FLORES </t>
  </si>
  <si>
    <t>MOCTEZUMA 5 </t>
  </si>
  <si>
    <t>CANTERA PUENTE DE PIEDRA</t>
  </si>
  <si>
    <t>BRENDA BAÑUELOS </t>
  </si>
  <si>
    <t>JUAN ANTONIO ZARATE CHAVARRIA </t>
  </si>
  <si>
    <t>JAVIER ROSAS CORTES</t>
  </si>
  <si>
    <t>CARLOS ROBERTO TERRAZAS REYES</t>
  </si>
  <si>
    <t>ROSAS Y ZARATE ASOCIADOS BUFETE JURIDICO</t>
  </si>
  <si>
    <t>MAESTRO MECANICO AUTOMOTRIZ</t>
  </si>
  <si>
    <t>MARIO ESPEJEL FLORES</t>
  </si>
  <si>
    <t>MARIO ENRIQUE PEREZ VELAZQUEZ </t>
  </si>
  <si>
    <t>GUERRERO 40 DESPACHO 103 </t>
  </si>
  <si>
    <t>AUTOCAMIONES DE LA LINEA COLONIA PERAVILLO TLALNEPANTLA Y ANEXOS SA DE CV </t>
  </si>
  <si>
    <t>PONIENTE 122 628 </t>
  </si>
  <si>
    <t>ANTONIO PAREDES FAUSTO </t>
  </si>
  <si>
    <t>ANTONIO PAREDES OROZCO </t>
  </si>
  <si>
    <t>ARMANDO AMADOR MENDEZ </t>
  </si>
  <si>
    <t>RAFAEL JOSUE DIAZ</t>
  </si>
  <si>
    <t>ANTONIO PAREDES FAUSTO/ OROZCO </t>
  </si>
  <si>
    <t>MANUEL DAVID HUERTA MONTOYA </t>
  </si>
  <si>
    <t>AVENIDA 547 209</t>
  </si>
  <si>
    <t>UNIDAD HABITACIONAL SAN JUAN DE ARAGON 2DA SECCION </t>
  </si>
  <si>
    <t>ALEJANDRO ROMERO ESPARZA</t>
  </si>
  <si>
    <t>JAIME NUNO 92 </t>
  </si>
  <si>
    <t>LUIS RAZO MENDOZA</t>
  </si>
  <si>
    <t>TRASLADISTA</t>
  </si>
  <si>
    <t>JUAN DE DIOS ESTRADA MORQUECHO </t>
  </si>
  <si>
    <t>RODRIGO ORLANDO HUERTA MONTOYA</t>
  </si>
  <si>
    <t>IRMA SARAID RESENDIZ RAMIREZ</t>
  </si>
  <si>
    <t>EN FECHA DE ENTRADA SOLO DICE 1990 // MENCIONA DOS SALARIOS: 1998 DE 2008 QUINCENALES MAS COMISIONES Y 2005 1600 QUINCENALES; SE DEJA EL RECIENTE // NO DICE CUANTOS DIAS TRABAJABA A LA SEMANA // PIDEN 2 HORAS EXTRAS DIARIAS, PERO NO SE SABE CUÁNTOS DÍAS A LA SEMANA POR LO QUE EN HORAS EXTRAS SEMANALES SE PONE NO ESPECIFICA</t>
  </si>
  <si>
    <t>FERNANDO SORIA GONZALEZ</t>
  </si>
  <si>
    <t>RIO RHIN 22 DESPACHO 704</t>
  </si>
  <si>
    <t>CAYETANO ANDRADE 20</t>
  </si>
  <si>
    <t>VICENTE AGUIRRE SAAVEDRA</t>
  </si>
  <si>
    <t>CARLOS GABRIEL VILLASANA BELTRAN</t>
  </si>
  <si>
    <t>EDUARDO LIMAS GOMEZ</t>
  </si>
  <si>
    <t>EDGAR ADOLFO LUNA MONDRAGON</t>
  </si>
  <si>
    <t>DESPACHADOR DE RUTA SAN AGUSTIN</t>
  </si>
  <si>
    <t>NO DICE CUANTOS DIAS TRABAJABA A LA SEMANA // PIDEN 2 HORAS EXTRAS DIARIAS, PERO NO SE SABE CUÁNTOS DÍAS A LA SEMANA POR LO QUE EN HORAS EXTRAS SEMANALES SE PONE NO ESPECIFICA</t>
  </si>
  <si>
    <t>MARTIN SAN LEON DOMINGUEZ</t>
  </si>
  <si>
    <t>JAVIER CHAVEZ SANTILLAN</t>
  </si>
  <si>
    <t>JOEL ALFARO SANCHEZ</t>
  </si>
  <si>
    <t>FRANCISCO CHAVEZ SANTILLAN</t>
  </si>
  <si>
    <t>MARIA DE LOS ANGELES LEAL LOPEZ</t>
  </si>
  <si>
    <t>JOSE LUIS SANCHEZ MANCILLA</t>
  </si>
  <si>
    <t>AYUDANTE DE DESPACHADOR</t>
  </si>
  <si>
    <t>FEDERICO MORAN PAULINO</t>
  </si>
  <si>
    <t>MARCO ANTONIO RIVERA HERRERA</t>
  </si>
  <si>
    <t>FELIPE MARTINEZ RUBIO</t>
  </si>
  <si>
    <t>SUPERVISOR OPERATIVO</t>
  </si>
  <si>
    <t>AGUSTIN GARNICA LOPEZ</t>
  </si>
  <si>
    <t>JOSE DE JESUS HUITRON GONZALEZ</t>
  </si>
  <si>
    <t>CESAR MEJIA NUÑEZ</t>
  </si>
  <si>
    <t>JESUS GERARDO SORIA MORALES</t>
  </si>
  <si>
    <t>JEFE DE SUPERVISION</t>
  </si>
  <si>
    <t>JOSE ANTONIO HERNANDEZ FIGUEROA</t>
  </si>
  <si>
    <t>ALBERTO FLORES SALAS</t>
  </si>
  <si>
    <t>GESTOR DE LABORES</t>
  </si>
  <si>
    <t>RAUL SALAZAR, ALEJANDRO GARIBAY</t>
  </si>
  <si>
    <t>ALBERTO ISMAEL GARNICA ROMERO</t>
  </si>
  <si>
    <t>GEOVANY DANIEL GARNICA ROMERO</t>
  </si>
  <si>
    <t>ENRIQUE LOPEZ RUIZ</t>
  </si>
  <si>
    <t>ANTONIO TRUJILLO LUIS</t>
  </si>
  <si>
    <t>JUAN GABRIEL MENDOZA LOPEZ</t>
  </si>
  <si>
    <t>LUIS REY HERNANDEZ BELTRAN</t>
  </si>
  <si>
    <t>MARIO RIVERA CASTILLO</t>
  </si>
  <si>
    <t>ROCIO CEDILLO CRUZ</t>
  </si>
  <si>
    <t>LUZ ELENA MONTES VAZQUEZ</t>
  </si>
  <si>
    <t>ROSARIO ALONSO SERRANO</t>
  </si>
  <si>
    <t>EMPLEADA DEL DEPARTAMENTO DE ACCIDENTES</t>
  </si>
  <si>
    <t>GERARDO GUADALUPE ROJAS LOYOLA</t>
  </si>
  <si>
    <t>JUAN CARLOS PEREZ GARCIA</t>
  </si>
  <si>
    <t>BLANCA ELIA RIVAS YAÑEZ</t>
  </si>
  <si>
    <t>SECRETARIA DE RECAUDACION</t>
  </si>
  <si>
    <t>RICARDO VILLALOBOS HERRERA</t>
  </si>
  <si>
    <t>JOSE VALENTIN VEGA GARNICA</t>
  </si>
  <si>
    <t>SUPERVISOR DE RUTAS</t>
  </si>
  <si>
    <t>JAVIER ORTIZ ROJAS</t>
  </si>
  <si>
    <t>GESTOR DE LA EMPRESA</t>
  </si>
  <si>
    <t>CRISTOBAL TORRES MORALES</t>
  </si>
  <si>
    <t>VERONICA CARMEN AGUILAR MARTINEZ</t>
  </si>
  <si>
    <t>SECRETARIA DEL DEPARTAMENTO DE PRESIDENCIA</t>
  </si>
  <si>
    <t>GERARDO LEDEZMA ALVAREZ</t>
  </si>
  <si>
    <t>SARA MIOSOTI SORIA QUEZADA</t>
  </si>
  <si>
    <t>SERGIO RUBEN SORIA</t>
  </si>
  <si>
    <t>JOSE ANGELO SARA SORIA</t>
  </si>
  <si>
    <t>SUPERVISOR Y SEGURIDAD</t>
  </si>
  <si>
    <t>ROGELIO LEON NAVARRO</t>
  </si>
  <si>
    <t>SUPERVISOR GENERAL</t>
  </si>
  <si>
    <t>JOSE DE JESUS GUTIERREZ ZAMORA</t>
  </si>
  <si>
    <t>EL</t>
  </si>
  <si>
    <t>SALARIO, OTRO: FECHA INGRESO</t>
  </si>
  <si>
    <t>OSCAR FEDERICO CONTRERAS JIMENEZ</t>
  </si>
  <si>
    <t>AYUNTAMIENTO 89</t>
  </si>
  <si>
    <t>MARIO OTILIO FALCON TAMEZ</t>
  </si>
  <si>
    <t>TEHUANTEPEC 140</t>
  </si>
  <si>
    <t>ARTURO SANTOS DE LA HERRAN</t>
  </si>
  <si>
    <t>FRANCISCO CORDOVA VILLALOBOS</t>
  </si>
  <si>
    <t>JUAN FRANCISCO CID HURTADO</t>
  </si>
  <si>
    <t>OPERADOR DE LA UNIDAD</t>
  </si>
  <si>
    <t>PREMIO ASISTENCIA</t>
  </si>
  <si>
    <t>YOSAFAT DANIEL MURRIETA TORRES</t>
  </si>
  <si>
    <t>INTERCUVI MEXICANA SA DE CV</t>
  </si>
  <si>
    <t>PASEO DE LA REFORMA 295</t>
  </si>
  <si>
    <t>KARINA GARZA</t>
  </si>
  <si>
    <t>MARGARITA NORMA GONZALEZ CASTILLO</t>
  </si>
  <si>
    <t>NORMA SOSA ECHEVARRIA</t>
  </si>
  <si>
    <t>ELIZABETH ACOSTA MALDONADO</t>
  </si>
  <si>
    <t>EUGENIA 197 EDIFICIO RAFAEL 9NO PISO</t>
  </si>
  <si>
    <t>BRUNO PAYAN ORTIZ</t>
  </si>
  <si>
    <t>ALEJANDRO SALAZAR</t>
  </si>
  <si>
    <t>GRISEL ESPINOSA</t>
  </si>
  <si>
    <t>COORDINADOR DE CAPACITACION</t>
  </si>
  <si>
    <t>JORGE SALAZAR MARTINEZ</t>
  </si>
  <si>
    <t>BOLIVAR 71 LOCAL 10</t>
  </si>
  <si>
    <t>GRUPO DE TRANSFORMACION ANAVY SA DE CV</t>
  </si>
  <si>
    <t>SAN LORENZO 1000</t>
  </si>
  <si>
    <t>CERRO DE LA ESTRELLA</t>
  </si>
  <si>
    <t>RAUL PIÑA RANGEL</t>
  </si>
  <si>
    <t>PASEO DE LA REFORMA 476</t>
  </si>
  <si>
    <t>LUIS ADRIAN ALEMAN RUIZ</t>
  </si>
  <si>
    <t>GERENTE ADMINISTRATIVO Y DE VENTAS</t>
  </si>
  <si>
    <t>IGNACIO GONZAGA MARTINEZ</t>
  </si>
  <si>
    <t>RAFAEL DELGADO 55 BIS INTERIOR 4</t>
  </si>
  <si>
    <t>OBRERA</t>
  </si>
  <si>
    <t>AUTOTRANSPORTES MEXICO MELCHOR OCAMPO SA DE CV</t>
  </si>
  <si>
    <t>AVENIDA CENTENARIO DEL HIMNO NACIONAL 43</t>
  </si>
  <si>
    <t>MELCHOR OCAMPO</t>
  </si>
  <si>
    <t>ESTADO DE MEXICO</t>
  </si>
  <si>
    <t>SERAFIN AGUILAR VIQUEZ</t>
  </si>
  <si>
    <t>ROSALINO QUIROZ BECERRIL</t>
  </si>
  <si>
    <t>DOROTEO BARRETO RODEA</t>
  </si>
  <si>
    <t>VANESSA HERNANDEZ SALAZAR</t>
  </si>
  <si>
    <t>EFREN ZAMORA AGUILAR</t>
  </si>
  <si>
    <t>HECTOR ZAMORA AGUILAR</t>
  </si>
  <si>
    <t>SERAFIN AGUILAR VIQUEZ Y ROSALINO QUIROZ BECERRIL</t>
  </si>
  <si>
    <t>MIRIAM GARCIA DIAZ</t>
  </si>
  <si>
    <t>CONOZCA MEXICO SA DE CV</t>
  </si>
  <si>
    <t>BUCARELI 42-200</t>
  </si>
  <si>
    <t>GESTORA DE CREDITO Y COBRANZA</t>
  </si>
  <si>
    <t>ELIAS KABLY MICHA</t>
  </si>
  <si>
    <t>CREDITO AL SALARIO</t>
  </si>
  <si>
    <t>LEONARDO BASTIDA VAZQUEZ</t>
  </si>
  <si>
    <t>DOCTOR LICEAGA NUMERO 71 DESPACHO 2</t>
  </si>
  <si>
    <t>PEDRO SANCHEZ</t>
  </si>
  <si>
    <t>TEHUANTEPEC 20</t>
  </si>
  <si>
    <t>OPERADORA DE CITY EXPRESS SA DE CV</t>
  </si>
  <si>
    <t>AVENIDA PASEO DE LA REFORMA 334</t>
  </si>
  <si>
    <t>ROMERO BUFETE JURIDICO CONTABLE</t>
  </si>
  <si>
    <t>NO HAY AUTO DE RADICACION; SU HORARIO ERA DE 48X48</t>
  </si>
  <si>
    <t>ERICK JOYA HERNANDEZ</t>
  </si>
  <si>
    <t>JARDINES DE ORIENTE SA DE CV</t>
  </si>
  <si>
    <t>AVENIDA ECONOMIA 176-A</t>
  </si>
  <si>
    <t>AURORA MARTINEZ</t>
  </si>
  <si>
    <t>QUIEN RESULTE SER RESPONSABLE DE LA FUENTE DE TRABAJO</t>
  </si>
  <si>
    <t>VALENTINA MONDRAGON ANTONIO</t>
  </si>
  <si>
    <t>IVAN CRISPIN NAVA</t>
  </si>
  <si>
    <t>ENCARGADO DE SUCURSAL</t>
  </si>
  <si>
    <t>PRIMA POR COMISION</t>
  </si>
  <si>
    <t>NO ESPECIFICA DIA NI MES EN QUE ENTRO A TRABAJAR; PIDE SALARIOS DEVENGADOS PERO NO ESPECIFICA CUANTOS DIAS</t>
  </si>
  <si>
    <t>FECHA INGRESO; DOMICILIO DE LUGAR DE DESPIDO</t>
  </si>
  <si>
    <t>LILIA GUADALUPE GONZALEZ REYES</t>
  </si>
  <si>
    <t>SAN MIGUEL 52 A</t>
  </si>
  <si>
    <t>BARRIO DE SAN LUCAS COYOACAN</t>
  </si>
  <si>
    <t>SECORH SA DE CV</t>
  </si>
  <si>
    <t>AVENIDA VASCO DE QUIROGA 3800</t>
  </si>
  <si>
    <t>FELIPE DAMIAN MAGAÑA</t>
  </si>
  <si>
    <t>JOSE PROSPERO ESPINOSA GONZALEZ</t>
  </si>
  <si>
    <t>CORRESPONSAL DE CREDITO</t>
  </si>
  <si>
    <t>MARTHA SANDOVAL</t>
  </si>
  <si>
    <t>EL DOMICILIO DEL DEMANDADO AUTOMOVILES DEL VALLE SA DE CV ES EN OAXACA DE JUAREZ</t>
  </si>
  <si>
    <t>JOSE PABLO IDELFONSO HERNANDEZ HERNANDEZ</t>
  </si>
  <si>
    <t>AVENIDA PACIFICO 195 DEPARTAMENTO B 301</t>
  </si>
  <si>
    <t>FARRERA INSURGENTES SA DE CV</t>
  </si>
  <si>
    <t>AVENIDA INSURGENTES SUR 4386</t>
  </si>
  <si>
    <t>PROCESOS Y SISTEMAS FARRERA SA DE CV</t>
  </si>
  <si>
    <t>ROMULO FARRERA ESCUDERO</t>
  </si>
  <si>
    <t>AUTOMOTORES COYOACAN SA DE CV</t>
  </si>
  <si>
    <t>AVENIDA MIGUEL ANGEL DE QUEVEDO 531</t>
  </si>
  <si>
    <t>ROMERO DE TERREROS</t>
  </si>
  <si>
    <t>AUTOMOVILES DEL VALLE SA DE CV</t>
  </si>
  <si>
    <t>AVENIDA UNIVERSIDAD 146</t>
  </si>
  <si>
    <t>EX HACIENDA CANDIANI</t>
  </si>
  <si>
    <t>AUTOMOVILES AVENIDA SA DE CV</t>
  </si>
  <si>
    <t>AVENIDA CENTRO PONIENTE 1181</t>
  </si>
  <si>
    <t>TUXTLA GUTIERREZ</t>
  </si>
  <si>
    <t>EMILIO E JIMENEZ ROMERO</t>
  </si>
  <si>
    <t>GUSTAVO CARRANZA LOPEZ</t>
  </si>
  <si>
    <t>ERIC IVAN JIMENEZ RUBIO</t>
  </si>
  <si>
    <t>GERENTE DE POSVENTA</t>
  </si>
  <si>
    <t>EMILIO ANAHUATL Y SALVADOR HERNANDEZ</t>
  </si>
  <si>
    <t>BONO TRIMESTRAL</t>
  </si>
  <si>
    <t>FRANCISCO JAVIER MORALES HERNANDEZ</t>
  </si>
  <si>
    <t>AVENIDA SAN PABLO 5844</t>
  </si>
  <si>
    <t>AMPLIACION LA NORIA</t>
  </si>
  <si>
    <t>SPECIAL OUTSOURCING SERVICE SA DE CV</t>
  </si>
  <si>
    <t>AVENIDA SONORA 85 PRIMER PISO</t>
  </si>
  <si>
    <t>NIDIA MARTINEZ</t>
  </si>
  <si>
    <t>COMERCIALIZADORA DE FRECUENCIAS SATELITALES S DE RL DE CV</t>
  </si>
  <si>
    <t>CALZADA DE TLALPAN 1924</t>
  </si>
  <si>
    <t>CHURUBUSCO COUNTRY CLUB</t>
  </si>
  <si>
    <t>BARRANCA DEL MUERTO 280 TERCER PISO</t>
  </si>
  <si>
    <t>MIGUEL NAVARRO LAGUNAS</t>
  </si>
  <si>
    <t>CARLOS MAURICIO GLEVA RAMIREZ</t>
  </si>
  <si>
    <t>SERGIO EVERT MORALES HERNANDEZ</t>
  </si>
  <si>
    <t>PROMOTOR DE VENTAS</t>
  </si>
  <si>
    <t>MARCO ANTONIO OSNAYA SANCHEZ</t>
  </si>
  <si>
    <t>DOCTOR ERAZO 85-715</t>
  </si>
  <si>
    <t>MIGUEL ANGEL SANCHEZ</t>
  </si>
  <si>
    <t>CRM CULHUACAN X CAFETALES EDIFICIO 11A DEPARTAMENTO 201; AVENIDA CAFETALES EJE 3 SIN NUMERO CASI ESQUINA LAS BOMBAS</t>
  </si>
  <si>
    <t>CULHUACAN; UNIDAD OBRERO HABITACIONAL CTM CULHUACAN X</t>
  </si>
  <si>
    <t>DELEGACION COYOACAN; DELEGACION COYOACAN</t>
  </si>
  <si>
    <t>AUTO BOTIQUE CARS AUDIO</t>
  </si>
  <si>
    <t>QUIEN RESULTE RESPONSABLE PROPIETARIO O PATRON DE LA FUENTE DE TRABAJO</t>
  </si>
  <si>
    <t>GABRIELA JIMENEZ MORALES</t>
  </si>
  <si>
    <t>JURIS ET DE JURE</t>
  </si>
  <si>
    <t>INSTALADOR DE AUDIO</t>
  </si>
  <si>
    <t>MIGUEL ANGEL SANCHEZ RANGEL</t>
  </si>
  <si>
    <t>AYUDA PARA COMIDAS, COMISIONES, HORAS EXTRAS</t>
  </si>
  <si>
    <t>ISMAEL REYES SOLIS</t>
  </si>
  <si>
    <t>CAMINO REAL AL AJUSCO 23</t>
  </si>
  <si>
    <t>LA SUCESION DEL SEÑOR ALFREDO DE LA RIVA ZAMBRANO</t>
  </si>
  <si>
    <t>EDIFICIO SALVADOR DIAZ MIRON ENTRADA 6 PLANTA BAJA DEPARTAMENTO 002</t>
  </si>
  <si>
    <t>UNIDAD DEL ROSARIO</t>
  </si>
  <si>
    <t>QUIEN O QUIENES SUS DERECHOS REPRESENTE</t>
  </si>
  <si>
    <t>MARIA OLGA MARTELL DE LA CRUZ</t>
  </si>
  <si>
    <t>ALFREDO DE LA RIVA MARTELL</t>
  </si>
  <si>
    <t>DE LA PERSONA FISICA O MORAL QUE POSTERIORMENTE RESULTE SER MI VERDADERO PATRON</t>
  </si>
  <si>
    <t>ANA MARIA MONTESINOS RIVAS</t>
  </si>
  <si>
    <t>MARIA DE LOURDES LOPEZ MARCIAL</t>
  </si>
  <si>
    <t>JOSE SALUD FERREL VARGAS</t>
  </si>
  <si>
    <t>AYUDANTE DEL REPARTIDOR DE GAS LP</t>
  </si>
  <si>
    <t>JUAN FRANCISCO ESPINOSA VELAZQUEZ</t>
  </si>
  <si>
    <t>SUR 113-A NUMERO 234</t>
  </si>
  <si>
    <t>ESCUADRON 201</t>
  </si>
  <si>
    <t>MEXICANA DE LUBRICANTES SA DE CV</t>
  </si>
  <si>
    <t>VIA JOSE LOPEZ PORTILLO 10</t>
  </si>
  <si>
    <t>SAN FRANCISCO CHILPAN</t>
  </si>
  <si>
    <t>TULTITLAN</t>
  </si>
  <si>
    <t>RICHARD HEWITT CONTRERAS</t>
  </si>
  <si>
    <t>ALEJANDRO CAMARENA MARTINEZ</t>
  </si>
  <si>
    <t>MARIA DE LORDES ROMERO ORTEGA</t>
  </si>
  <si>
    <t>PERSONA FISICA O MORAL QUE RESULTE PATRON Y PROPIETARIO DE LA FUENTE DE TRABAJO</t>
  </si>
  <si>
    <t>PASEO DE LA REFORMA 476 SEXTO PISO</t>
  </si>
  <si>
    <t>ADRIAN RINCON COLIN</t>
  </si>
  <si>
    <t>MARIA DOLORES GASCA CUEVAS</t>
  </si>
  <si>
    <t>GERARDO FLORES GALLEGOS</t>
  </si>
  <si>
    <t>CONSULTORIA JURIDICA GASCA Y RINCON</t>
  </si>
  <si>
    <t>SUPERVISOR DE ESTACIONES DE SERVICIO</t>
  </si>
  <si>
    <t>INCENTIVO</t>
  </si>
  <si>
    <t>HORA DESPIDO</t>
  </si>
  <si>
    <t>MANUEL GARCIA GUTIERREZ</t>
  </si>
  <si>
    <t>DOCTOR ERAZO 85 DESPACHO 104</t>
  </si>
  <si>
    <t>SISTEMA DE OPERACIÓN DE ESTACIONAMIENTOS SA DE CV</t>
  </si>
  <si>
    <t>SANTA CRUZ ACUYACAN</t>
  </si>
  <si>
    <t>MARICRUZ LAMAS URANGA</t>
  </si>
  <si>
    <t>JAVIER GUERRERO VARELA</t>
  </si>
  <si>
    <t>PRIMITIVO MANUEL BACILIO</t>
  </si>
  <si>
    <t>VICTOR HUGO LARIOS MACIAS</t>
  </si>
  <si>
    <t>ILIANA VACA PANIAGUA</t>
  </si>
  <si>
    <t>ASESORIA LABORAL ESPECIALIZADA</t>
  </si>
  <si>
    <t>ENCARGADO DE ESTACIONAMIENTO</t>
  </si>
  <si>
    <t>MARIA CRUZ LAMAS URANGA</t>
  </si>
  <si>
    <t>BONO MENSUAL POR METAS</t>
  </si>
  <si>
    <t>ADAN CASTILLO CAMPOS</t>
  </si>
  <si>
    <t>CALZADA DE LOS LEONES 256 PISO 2 DESPACHO 103</t>
  </si>
  <si>
    <t>CENTRAL DE FLETES MONTERREY SA DE CV</t>
  </si>
  <si>
    <t>AVENIDA RIO TLALNEPANTLA 83</t>
  </si>
  <si>
    <t>OPERADOR DE TRAYLER</t>
  </si>
  <si>
    <t>JOSE PEREZ GONZALEZ</t>
  </si>
  <si>
    <t>SILVIA GUADALUPE MEJIA ESTRADA</t>
  </si>
  <si>
    <t>CALLEJON DE LA ZANJA 14</t>
  </si>
  <si>
    <t>EXPENDEDORA DE BOLETOS Y SERVICIOS SA DE CV</t>
  </si>
  <si>
    <t>LONDRES 334</t>
  </si>
  <si>
    <t>LAURA SANCHEZ</t>
  </si>
  <si>
    <t>LUIS GOMEZ GONZALEZ</t>
  </si>
  <si>
    <t>VENDEDORA DE BOLETOS DE TAXI</t>
  </si>
  <si>
    <t>PIDE SALARIOS DEVENGADOS PERO NO ESPECIFICA EL NUMERO DE DIAS; NO HAY AUTO DE RADICACION</t>
  </si>
  <si>
    <t>EVELIO SALVADOR LOPEZ ORTEGA</t>
  </si>
  <si>
    <t>SERVICIOS CORPORATIVOS PARA ESTACIONAMIENTOS SA DE CV</t>
  </si>
  <si>
    <t>AVENIDA INSURGENTES SUR 1605</t>
  </si>
  <si>
    <t>VICTOR HUGO GALINDO DEL VALLE</t>
  </si>
  <si>
    <t>ARMANDO AMADOR ROMAN</t>
  </si>
  <si>
    <t>AL RA ABOGADOS</t>
  </si>
  <si>
    <t>CHOFER DE VALET</t>
  </si>
  <si>
    <t>JORGE ARTURO ESTRADA AGUILAR</t>
  </si>
  <si>
    <t>ROMULO RODRIGUEZ SUAREZ</t>
  </si>
  <si>
    <t>CAMINO A SANTIAGUITO 58</t>
  </si>
  <si>
    <t>PROGRESO NACIONAL</t>
  </si>
  <si>
    <t>EMMANUEL NARVAEZ GUZMAN</t>
  </si>
  <si>
    <t>MATLACOATL 60 C EDIFICIO C 13 ORIENTE DEPARTAMENTO 602 QUINTO PISO UNIDAD HABITACIONAL FERRERIA</t>
  </si>
  <si>
    <t>PUEBLO SANTA BARBARA</t>
  </si>
  <si>
    <t>AUTOSERVICIO MEXICANO DE TRANSPORTACION EJECUTIVA SA DE CV</t>
  </si>
  <si>
    <t>AVENIDA JOSE MARIA VERTIZ 1378 PLANTA BAJA</t>
  </si>
  <si>
    <t>TRANSPORTES EJECUTIVOS ALBATROS SA DE CV</t>
  </si>
  <si>
    <t>ATOR SA DE CV</t>
  </si>
  <si>
    <t>MIGUEL ANGEL RAMIREZ VELAZQUEZ</t>
  </si>
  <si>
    <t>JORGE ROJAS SANTANA</t>
  </si>
  <si>
    <t>JUAN NORIA</t>
  </si>
  <si>
    <t>HECTOR A GARCIA ROMERO</t>
  </si>
  <si>
    <t>LEONARDA GUILLERMINA SANDOVAL BAUTISTA</t>
  </si>
  <si>
    <t>ELIGIO ESPINOSA HERNANDEZ</t>
  </si>
  <si>
    <t>CHOFER DE TAXI</t>
  </si>
  <si>
    <t>HILDA ANGELICA RAMIREZ</t>
  </si>
  <si>
    <t>JOSE LUIS SANCHEZ ARIAS</t>
  </si>
  <si>
    <t>ARTURO LUIS ZAMUDIO MARTINEZ</t>
  </si>
  <si>
    <t>JULIO CESAR GARCIA ELIAS</t>
  </si>
  <si>
    <t>JUAN CARLOS ROSALES HERNANDEZ</t>
  </si>
  <si>
    <t>FELIPE ANTONIO SANCHE MARTINEZ</t>
  </si>
  <si>
    <t>SUPERVISOR DE AUDITORIAS</t>
  </si>
  <si>
    <t>MICHAEL GONZALEZ ESPITIA</t>
  </si>
  <si>
    <t>LITOGRAFIA NUMERO 333</t>
  </si>
  <si>
    <t>20 DE NOVIEMBRE</t>
  </si>
  <si>
    <t>INTERIM ADECCO SA DE CV</t>
  </si>
  <si>
    <t>HSBC MEXICO SA</t>
  </si>
  <si>
    <t>PASEO DE LA REFORMA NO 347</t>
  </si>
  <si>
    <t>GRUPO FINANCIERO HSBC</t>
  </si>
  <si>
    <t>ELDA NALLELY PIÑA MARTINEZ</t>
  </si>
  <si>
    <t>ELIAS ZAMORA RODRIGUEZ</t>
  </si>
  <si>
    <t>KARLA PATRICIA TERRON HERNANDEZ</t>
  </si>
  <si>
    <t>SINAI GONZALEZ CARBAJAL</t>
  </si>
  <si>
    <t>JOSE EUGENIO VALLE HERNANDEZ</t>
  </si>
  <si>
    <t>DR ANDRADE NO 23</t>
  </si>
  <si>
    <t>VERSATILIDAD COMERCIAL EN OUTSOURCING SC</t>
  </si>
  <si>
    <t>TEHUANTEPEC NO 205</t>
  </si>
  <si>
    <t>CLUB DE GOLF CHAPULTEPEC</t>
  </si>
  <si>
    <t>SIDFRI FEDOR</t>
  </si>
  <si>
    <t>IRMA BENITEZ</t>
  </si>
  <si>
    <t>AVENIDA INSTITUTO POLITECNICO NACIONAL NO 1522</t>
  </si>
  <si>
    <t>MAGDALENA DE LA SALINAS</t>
  </si>
  <si>
    <t>BERNARDO MERCADO</t>
  </si>
  <si>
    <t>ELIA GONZALEZ</t>
  </si>
  <si>
    <t>ASESORIA LABORAL</t>
  </si>
  <si>
    <t>LAVACOCHES</t>
  </si>
  <si>
    <t>EDGAR HERNANDEZ AYALA</t>
  </si>
  <si>
    <t>NORTE 33 NO 34</t>
  </si>
  <si>
    <t>FINSAGO SA DE CV</t>
  </si>
  <si>
    <t>CAMINO A SANTA DERESA NO 1040</t>
  </si>
  <si>
    <t>JARDINES DE LA MONTAÑA</t>
  </si>
  <si>
    <t>JULIO LLACA X</t>
  </si>
  <si>
    <t>JUAN MANUEL ROBLES</t>
  </si>
  <si>
    <t>ALDO RODRIGO MARTINEZ REYES</t>
  </si>
  <si>
    <t>BUFETE JURIDICO MARTINEZ Y ALDANA ABOGADOS ASOCIADOS</t>
  </si>
  <si>
    <t>EJECUTIVO COMERCIAL</t>
  </si>
  <si>
    <t>AVELINO HILARIO GREGORIO</t>
  </si>
  <si>
    <t>FOMENTO AUTOMOTRIZ Y SERVICIO AL TRANSPORTE SA DE CV</t>
  </si>
  <si>
    <t>AVENIDA EJERCITO NACIONAL NO 109</t>
  </si>
  <si>
    <t>RICARDO MONTES GARCIA</t>
  </si>
  <si>
    <t>LUIS FELIPE DOMINGUEZ MASCARUA</t>
  </si>
  <si>
    <t>ELIZABETH ARMENTA OLVERA</t>
  </si>
  <si>
    <t>LUIS ENRIQUE CAMERAS LOPEZ</t>
  </si>
  <si>
    <t>ENCARGADO DE VENTAS</t>
  </si>
  <si>
    <t>FEDERICO RAFAEL DELGADILLO MENDEZ</t>
  </si>
  <si>
    <t>AVENIDA SANTA CRUZ XOCHITEPEC NO 12BIS</t>
  </si>
  <si>
    <t>SANTA CRUZ XOCHITEPEC</t>
  </si>
  <si>
    <t>NO HAY CAMINO SIN CAMINANTE SA DE CV</t>
  </si>
  <si>
    <t>AVENIDA RIO CHURUBUSCO NO 382</t>
  </si>
  <si>
    <t>DEL CARMEN</t>
  </si>
  <si>
    <t>INMOBILIARIA JOCH SA DE CV</t>
  </si>
  <si>
    <t>GRUPO GASOLINERO ARPABRE SA DE CV</t>
  </si>
  <si>
    <t>ARTURO OBREGON FONSECA</t>
  </si>
  <si>
    <t>ELSA HOCSTRASER ROLDAN</t>
  </si>
  <si>
    <t>NOE ALARCON FUENTES</t>
  </si>
  <si>
    <t>PAULINO SALAZAR MATEOS</t>
  </si>
  <si>
    <t>CESAR PEÑA RANGEL</t>
  </si>
  <si>
    <t>SERGIO GUTIERREZ ESTRADA</t>
  </si>
  <si>
    <t>COORDINADOR DE TRASNPORTE DE CARGA Y OPERACIONES LOGISTICAS</t>
  </si>
  <si>
    <t>CLAUDIA MURILLO RIVAS</t>
  </si>
  <si>
    <t>JOSE PAULINO FLORES PEREZ</t>
  </si>
  <si>
    <t>SAN LUIS POTOSI NO 53</t>
  </si>
  <si>
    <t>GASOLINERAS GRUPO MEXICANO SA DE CV</t>
  </si>
  <si>
    <t>AVENIDA CENTRAL 386-F</t>
  </si>
  <si>
    <t>SAGMEX S DE RL DE CV</t>
  </si>
  <si>
    <t>GREAT EXECUTIVE SA DE CV</t>
  </si>
  <si>
    <t>PEDRO LEOPOLDO VARGAS NAJERA</t>
  </si>
  <si>
    <t>JOSE MARINO MARTINEZ HERNANDEZ</t>
  </si>
  <si>
    <t>VICTOR MANUEL RODRIGUEZ GUTIERREZ</t>
  </si>
  <si>
    <t>RODRIGUEZ Y ASOCIADOS</t>
  </si>
  <si>
    <t>DESPACHADOR NIVEL SENIOR</t>
  </si>
  <si>
    <t>AURORA LIZBETH FLORES ELIAS</t>
  </si>
  <si>
    <t>MONICA RAMIREZ</t>
  </si>
  <si>
    <t>BARRANCA DEL MUERTO NO 280</t>
  </si>
  <si>
    <t>NOE ANAYA</t>
  </si>
  <si>
    <t>PROMOTORA VENDEDORA</t>
  </si>
  <si>
    <t>CELSO MOTA ALONZO</t>
  </si>
  <si>
    <t>DURANGO NO 10</t>
  </si>
  <si>
    <t>NACIONAL DE ESTACIONAMIENTOS DE MEXICO SA DE CV</t>
  </si>
  <si>
    <t>GOBERNADOR ANTONIO DIEZ DE BONILLA</t>
  </si>
  <si>
    <t>EMILIANO MARENTE MARTINEZ</t>
  </si>
  <si>
    <t>JORGE GARCIA</t>
  </si>
  <si>
    <t>ROMAN RESENDIZ</t>
  </si>
  <si>
    <t>LILIA GUDALUPE RAMIREZ LOPEZ</t>
  </si>
  <si>
    <t>LIC MARIO BANDA GONZALEZ LIC LILIA GUADALUPE RAMIREZ LOPEZ</t>
  </si>
  <si>
    <t>EMPLEADO DE MANTENIMIENTO</t>
  </si>
  <si>
    <t>JESUS ANTONIO AVILA GONZALEZ</t>
  </si>
  <si>
    <t>CALZADA DE TLALPAN NO 489</t>
  </si>
  <si>
    <t>PAECC DE MEXICO SA DE CV</t>
  </si>
  <si>
    <t>AVENIDA INSURGENTES SUR NO 1898</t>
  </si>
  <si>
    <t>ERIKA MORA</t>
  </si>
  <si>
    <t>ANALISTA DE SISTEMAS</t>
  </si>
  <si>
    <t>AYUDA DE COMIDAS</t>
  </si>
  <si>
    <t>VALES DE TRANSPORTE</t>
  </si>
  <si>
    <t>JOSE LUIS GARCIA SOLORIO</t>
  </si>
  <si>
    <t>TECOYOTITLA NO 191-B</t>
  </si>
  <si>
    <t>HS PERSONAL SA DE CV</t>
  </si>
  <si>
    <t>GONZALEZ DE COSIO NO 1</t>
  </si>
  <si>
    <t>VICTOR HUGO DIAZ CHAVEZ</t>
  </si>
  <si>
    <t>MARCO ANTONIO GUTIERREZ ALVARADO</t>
  </si>
  <si>
    <t>MONTERREY NO 132</t>
  </si>
  <si>
    <t>TRANSPORTE ESCOLAR Y DE PERSONAL SA DE CV</t>
  </si>
  <si>
    <t>GEORGIA NO 191</t>
  </si>
  <si>
    <t>CECILIA ROMERO</t>
  </si>
  <si>
    <t>HECTOR GUTIEREZ PEREZ</t>
  </si>
  <si>
    <t>DOCTOR LICEAGA NO 71</t>
  </si>
  <si>
    <t>SUNSCOPEMEXICO SA DE CV</t>
  </si>
  <si>
    <t>FERROCARIL DE CUERNAVACA NO 689</t>
  </si>
  <si>
    <t>AMPLIACION GRANADA</t>
  </si>
  <si>
    <t>EDUARDO ORTIZ JUAREZ</t>
  </si>
  <si>
    <t>SOLUCIONES LABORALES Y DE NOMINAS SA DE CV</t>
  </si>
  <si>
    <t>JOSE ERNESTO HERREJON ESPINOSA</t>
  </si>
  <si>
    <t>AV INSTITUTO POLITECNICO NACIONAL NO 1521</t>
  </si>
  <si>
    <t>AV BARRANCA DEL MUERTO NO 280</t>
  </si>
  <si>
    <t>AZUCENA QUIROZ LOZADA</t>
  </si>
  <si>
    <t>IGNACIO CAMPOS GALINDO</t>
  </si>
  <si>
    <t>VICENTE RAMIREZ HERNANDEZ</t>
  </si>
  <si>
    <t>SUPERVISOR DE CONTROL DE CALIDAD</t>
  </si>
  <si>
    <t>UTILIDADES</t>
  </si>
  <si>
    <t>CAPACITACION</t>
  </si>
  <si>
    <t>EMILIANA CALZADA VARGAS</t>
  </si>
  <si>
    <t>GEORGIA 98</t>
  </si>
  <si>
    <t>MARIANO ARANDA </t>
  </si>
  <si>
    <t>SERBANDO CASIMIRO</t>
  </si>
  <si>
    <t>MARIANO ARANDA</t>
  </si>
  <si>
    <t>NO HAY AUTO DE RADICACION, FALTA UNA HOJA</t>
  </si>
  <si>
    <t>ADRIANA ELIZABETH ROMERO AGUILAR</t>
  </si>
  <si>
    <t>MONTECITO 38</t>
  </si>
  <si>
    <t>STAR BUSINESS SUPPORT SC</t>
  </si>
  <si>
    <t>MAR JONICO 42</t>
  </si>
  <si>
    <t>MIGUEL ANGEL TATTO PRIETO</t>
  </si>
  <si>
    <t>HUGO DELGADO SANCHEZ</t>
  </si>
  <si>
    <t>SAT</t>
  </si>
  <si>
    <t>BAHIA DE SANTA BARBARA 23</t>
  </si>
  <si>
    <t>VERONIZA ANZURES</t>
  </si>
  <si>
    <t>PASO DE LA REFORMA 476</t>
  </si>
  <si>
    <t>JOSE ADALBERTO GARCIA ESPINOSA</t>
  </si>
  <si>
    <t>HUMBERTO MUÑOZ ANDRADE</t>
  </si>
  <si>
    <t>FRANCISCO CASTAÑEDA ORTEGA</t>
  </si>
  <si>
    <t>JEFA DE RECURSOS HUMANOS</t>
  </si>
  <si>
    <t>RESCISION DE CONTRATO</t>
  </si>
  <si>
    <t>ROSA MARIA MEDINA ACOSTA</t>
  </si>
  <si>
    <t>ALVARO OBREGON 151</t>
  </si>
  <si>
    <t>SERVICIOS 3STYK SA DE CV</t>
  </si>
  <si>
    <t>ALEJANDRO DUMAS 211</t>
  </si>
  <si>
    <t>IVAN DAVID ALMADA PUENTE</t>
  </si>
  <si>
    <t>MACIAS Y ALMADA SC</t>
  </si>
  <si>
    <t>GERENTE</t>
  </si>
  <si>
    <t>LESLIE MARIBEL PALMA ROJANO</t>
  </si>
  <si>
    <t>PABLO RUFINO MARTINEZ</t>
  </si>
  <si>
    <t>ERNESTO REYNA ESPINOZA</t>
  </si>
  <si>
    <t>YAQUIS 25</t>
  </si>
  <si>
    <t>LA RAZA</t>
  </si>
  <si>
    <t>MARTIN ESPINOZA MARTINEZ</t>
  </si>
  <si>
    <t>OPERADOR DE TAXI</t>
  </si>
  <si>
    <t>GERARDO HERNANDEZ MIRANDA</t>
  </si>
  <si>
    <t>LARESGOITI DIVISION PARABRISAS SA DE CV</t>
  </si>
  <si>
    <t>DR MARTINEZ DEL RIO 209</t>
  </si>
  <si>
    <t>FRANCISCO LARESGOITI HERNANDEZ</t>
  </si>
  <si>
    <t>ANIBAL MORALES</t>
  </si>
  <si>
    <t>ARTURO REYES SUAREZ</t>
  </si>
  <si>
    <t>RIO LERMA 143</t>
  </si>
  <si>
    <t>SERVICIOS FILMICOS A-H-C SA DE CV</t>
  </si>
  <si>
    <t>MORELOS 45</t>
  </si>
  <si>
    <t>ARTURO HERNANDEZ JUAREZ</t>
  </si>
  <si>
    <t>MIGUEL ANGEL MONEDA CORONA</t>
  </si>
  <si>
    <t>RIO MARNE 17</t>
  </si>
  <si>
    <t>JOSE RAMON MARAYON</t>
  </si>
  <si>
    <t>SERTEC SA DE CV</t>
  </si>
  <si>
    <t>BENJAMIN FRANKLIN 98</t>
  </si>
  <si>
    <t>VISITADOR DOMICILIARIO</t>
  </si>
  <si>
    <t>CLAUDIA XOCHITL CRUZ MUÑOZ</t>
  </si>
  <si>
    <t>DR LUCIO 127</t>
  </si>
  <si>
    <t>LEONEL CRAVIOTO GARCIA</t>
  </si>
  <si>
    <t>CIRUELOS 180</t>
  </si>
  <si>
    <t>NORMA ANGELICA VENEGAS</t>
  </si>
  <si>
    <t>MOTIVA RECURSOS SC</t>
  </si>
  <si>
    <t>CRAVIOTO ASESORES EN MERCADOTECNIA SA DE CV</t>
  </si>
  <si>
    <t>GRUPO DE DESARROLLO CRACAT SA DE CV</t>
  </si>
  <si>
    <t>MARCO ANTONIO CARDOSO AVALOS</t>
  </si>
  <si>
    <t>FRANCISCO VERA CAMPUSANO</t>
  </si>
  <si>
    <t>CIRCULO HUMANO SA DE CV</t>
  </si>
  <si>
    <t>AVENIDA SAN ANTONIO 13</t>
  </si>
  <si>
    <t>CAROLA</t>
  </si>
  <si>
    <t>GRUPO INTEGRACIONAL DE RECURSOS HUMANOS SCP</t>
  </si>
  <si>
    <t>EVA BASTIDA ARIAS</t>
  </si>
  <si>
    <t>RICARDO MARTINEZ ZAVALA</t>
  </si>
  <si>
    <t>PEDRO MATIAS CONDE</t>
  </si>
  <si>
    <t>JOHOSAFAT JESUS DOMINGUEZ NUÑEZ</t>
  </si>
  <si>
    <t>TECNICO ELECTROMECANICO</t>
  </si>
  <si>
    <t>ALFONSO GARCIA MEDRANO</t>
  </si>
  <si>
    <t>MANUEL HERNANDEZ</t>
  </si>
  <si>
    <t>DR CARMONA Y VALLE B123-4</t>
  </si>
  <si>
    <t>TROQUELADOS AUTOMOTRICES RC SA DE CV</t>
  </si>
  <si>
    <t>CAFETAL 139</t>
  </si>
  <si>
    <t>SERGIO CRUZ</t>
  </si>
  <si>
    <t>JEANNETTE OROPEZA GONZALEZ</t>
  </si>
  <si>
    <t>MOISES ROMAN</t>
  </si>
  <si>
    <t>ACEROS Y TUBOS VILLALI SA DE CV</t>
  </si>
  <si>
    <t>CARROCERIAS Y ENSAMBLES AUTOMOTRICES SA DE CV</t>
  </si>
  <si>
    <t>AUSENCIO BENITEZ SANCHEZ</t>
  </si>
  <si>
    <t>EDILBERTO SANCHEZ BELTRAN</t>
  </si>
  <si>
    <t>FERNANDO ROSALES CARMONA</t>
  </si>
  <si>
    <t>BENITEZ Y ASOCIADOS</t>
  </si>
  <si>
    <t>SUPERVISOR DEL AREA DE TROQUELADO</t>
  </si>
  <si>
    <t>AYUDA ALIMENTICIA</t>
  </si>
  <si>
    <t>GUSTAVO FLORES MORENO</t>
  </si>
  <si>
    <t>DOCTOR LICEAGA 103</t>
  </si>
  <si>
    <t>SAÑUDO SA DE CV</t>
  </si>
  <si>
    <t>CEDRO 350 B</t>
  </si>
  <si>
    <t>GUADALUPE LOPEZ</t>
  </si>
  <si>
    <t>JAIME GUZMAN MUÑOZ</t>
  </si>
  <si>
    <t>LORENA KARINA ROMERO MARTINEZ</t>
  </si>
  <si>
    <t>VICTOR MANUEL SALGADO RAMIREZ</t>
  </si>
  <si>
    <t>ADRIAN SEVILLA OLVERA</t>
  </si>
  <si>
    <t>ISABEL LA CATOLICA 45</t>
  </si>
  <si>
    <t>ASOCIACION MEXICANA DE DISTRIBUIDORES SC</t>
  </si>
  <si>
    <t>DR RIO DE LA LOZA 43</t>
  </si>
  <si>
    <t>IGNACIO RANGEL</t>
  </si>
  <si>
    <t>EVA ION GOMEZ LOPEZ</t>
  </si>
  <si>
    <t>VIAJES EL CORTE INGLES SA DE CV</t>
  </si>
  <si>
    <t>BOULEVARD MANUEL AVILA CAMACHO 191</t>
  </si>
  <si>
    <t>LOS MORALES</t>
  </si>
  <si>
    <t>DANIEL T CORTES MEZA</t>
  </si>
  <si>
    <t>VERONICA TORRES</t>
  </si>
  <si>
    <t>JULIO DIEGO LOPEZ</t>
  </si>
  <si>
    <t>ANTONIO REYES</t>
  </si>
  <si>
    <t>ASESOR DE VIAJES</t>
  </si>
  <si>
    <t>HORAS EXTRAS CONTINUAS</t>
  </si>
  <si>
    <t>MIGUEL ANGEL ALARCON BELLO</t>
  </si>
  <si>
    <t>DR OLVERA 159</t>
  </si>
  <si>
    <t>DINAMARCA 51</t>
  </si>
  <si>
    <t>JUAN RAMON CAMPOS</t>
  </si>
  <si>
    <t>JOSE FERNANDO SANTILLAN GALINDO</t>
  </si>
  <si>
    <t>AGENTE DE CALIDAD</t>
  </si>
  <si>
    <t>CARLOS FALCON VILCHIS</t>
  </si>
  <si>
    <t>DOCTOR VETRIS 534</t>
  </si>
  <si>
    <t>JUAN MANUEL QUEVEDO AVILA</t>
  </si>
  <si>
    <t>SUR 81 269</t>
  </si>
  <si>
    <t>MERCED BALBUENA</t>
  </si>
  <si>
    <t>HECTOR PEREZ AVILA</t>
  </si>
  <si>
    <t>CARLOS FRANCISCO ZANETTA CASTRO</t>
  </si>
  <si>
    <t>MARCO ANTONIO BERNAL HERNANDEZ</t>
  </si>
  <si>
    <t>ADRIANA HERNANDEZ MENDEZ</t>
  </si>
  <si>
    <t>MELINA GONZALEZ</t>
  </si>
  <si>
    <t>DIEGO RODRIGO COTO CABALLERO</t>
  </si>
  <si>
    <t>CALLE PONIENTE 75 NUMERO 70</t>
  </si>
  <si>
    <t>AMERICA</t>
  </si>
  <si>
    <t>BOULEVARD ADOLFO LOPEZ MATEOS 379</t>
  </si>
  <si>
    <t>SOLUCIONES LABORALES PARA UN MUNDO GLOBAL SA DE CV</t>
  </si>
  <si>
    <t>GUADALUPE PAULIN</t>
  </si>
  <si>
    <t>DANTE RAMASI FIGUEROA</t>
  </si>
  <si>
    <t>MARINA GARCIA</t>
  </si>
  <si>
    <t>BOULEVARD ADOLFO LOPEZ MATEOS 379 ATLAMAYA DELEGACION ALVARO OBREGON</t>
  </si>
  <si>
    <t>JUAN MANUEL DIAZ GUERRERO</t>
  </si>
  <si>
    <t>BONO QUINCENAL</t>
  </si>
  <si>
    <t>MARISOL RIVERA CAMARILLO</t>
  </si>
  <si>
    <t>AVENIDA INSURGENTES SUR 688</t>
  </si>
  <si>
    <t>YULIANA BENITEZ</t>
  </si>
  <si>
    <t>GUILLERO VARGAS FLORES</t>
  </si>
  <si>
    <t>MARIA DEL CARMEN PRUDHOMME ZECUA</t>
  </si>
  <si>
    <t>EJECUTIVO DE RECLUTAMIENTO Y SELECCION</t>
  </si>
  <si>
    <t>MARIA DEL CARMEN FRAGOSO TORRES</t>
  </si>
  <si>
    <t>ANGEL ALBINO CORZO 2914</t>
  </si>
  <si>
    <t>TABLAS DE SAN AGUSTIN</t>
  </si>
  <si>
    <t>PROMOCIONES TURISTICAS RAJOJA SA </t>
  </si>
  <si>
    <t>VIADUCTO MIGUEL ALEMAN 297</t>
  </si>
  <si>
    <t>LA CRUZ</t>
  </si>
  <si>
    <t>HOTEL RIAZOR</t>
  </si>
  <si>
    <t>MANUEL ANGEL N N</t>
  </si>
  <si>
    <t>CARLOS MANZO N</t>
  </si>
  <si>
    <t>GUILLERMO CADENA ESPINOSA</t>
  </si>
  <si>
    <t>IRENE ESCAMILLA NIEVES</t>
  </si>
  <si>
    <t>CAMARISTA</t>
  </si>
  <si>
    <t>ALBERTO GABRIEL VALLE LOMELI</t>
  </si>
  <si>
    <t>LOURDES 161</t>
  </si>
  <si>
    <t>CAROLINA HERNANDEZ GONZALEZ</t>
  </si>
  <si>
    <t>CRUZ ENRIQUE GONZALEZ DIAZ</t>
  </si>
  <si>
    <t>DANIEL CHAVEZ MORALES</t>
  </si>
  <si>
    <t>OSWALDO MERCADO</t>
  </si>
  <si>
    <t>LUIS ANTONIO PERAL LOPEZ</t>
  </si>
  <si>
    <t>AVENIDA MORELOS 827</t>
  </si>
  <si>
    <t>MAGDALENA MIXHUCA</t>
  </si>
  <si>
    <t>SERVICIO DE PERSONAL CORPORATIVO ESPECIALIZADO SA DE CV</t>
  </si>
  <si>
    <t>PRESTACION DE SERVICIOS CORPORATIVOS SA DE CV</t>
  </si>
  <si>
    <t>SERVICIOS CORPORATIVOS ESPECIALIZADOS DE PERSONAL SA DE CV</t>
  </si>
  <si>
    <t>AVENIDA INSURGENTES SUR 1152</t>
  </si>
  <si>
    <t>TLACOQUEMECAL</t>
  </si>
  <si>
    <t>CIRCULO EXCLUSIVO SA DE CV</t>
  </si>
  <si>
    <t>AVENIDA INSURGENTES SUR 1235</t>
  </si>
  <si>
    <t>CLAUDIA ESTIBALIS</t>
  </si>
  <si>
    <t>NORMA HERNANDEZ</t>
  </si>
  <si>
    <t>SANDRA MANCEBO LOPEZ</t>
  </si>
  <si>
    <t>PAZ LOPEZ ZUÑIGA</t>
  </si>
  <si>
    <t>JOSE LUIS ESQUIVEL ZELEDON</t>
  </si>
  <si>
    <t>HECTOR DIAZ HURTADO</t>
  </si>
  <si>
    <t>RIO MARNE 29</t>
  </si>
  <si>
    <t>DAVID RICARDO PAZ ROCHA</t>
  </si>
  <si>
    <t>JOSE MIGUEL MARTINEZ GARCIA</t>
  </si>
  <si>
    <t>GISELA BLANCO BARRIENTOS</t>
  </si>
  <si>
    <t>BONO TIEMPO EXTRAORDINARIO</t>
  </si>
  <si>
    <t>EDGAR CALLEJAS CORNEJO</t>
  </si>
  <si>
    <t>ZACATECAS 230</t>
  </si>
  <si>
    <t>ELMEX SUPERIOR SA DE CV</t>
  </si>
  <si>
    <t>AVENIDA FERROCARRIL DE RIO FRIO 419-A 10</t>
  </si>
  <si>
    <t>AVENIDA INSTITUTO POLITECNICO NACIONAL 5421</t>
  </si>
  <si>
    <t>SHCP</t>
  </si>
  <si>
    <t>PALACIO NACIONAL PLANTA BAJA</t>
  </si>
  <si>
    <t>GERENTE GENERAL DEL DEPARTAMENTO DE SISTEMAS</t>
  </si>
  <si>
    <t>LIDIA MONDRAGON</t>
  </si>
  <si>
    <t>AYUDA DE TRANSPORTACION</t>
  </si>
  <si>
    <t>JAIME GUTIERREZ ARELLANO</t>
  </si>
  <si>
    <t>GRUPO NEOGA SA DE CV</t>
  </si>
  <si>
    <t>AVENIDA JALISCO 301</t>
  </si>
  <si>
    <t>ENCARGADO DEL DEPARTAMENTO DE VENTAS</t>
  </si>
  <si>
    <t>NESTOR OSCAR GUTIERREZ ARELLANO</t>
  </si>
  <si>
    <t>BLANCA AURORA HERNANDEZ LOPEZ</t>
  </si>
  <si>
    <t>CALLE SUR 137 2220</t>
  </si>
  <si>
    <t>TLACOTAL</t>
  </si>
  <si>
    <t>NETISERV SC</t>
  </si>
  <si>
    <t>LATERAL AUTOPISTA MEXICO TOLUCA 1235</t>
  </si>
  <si>
    <t>OPERADORA OMX SA DE CV</t>
  </si>
  <si>
    <t>AVENIDA CANAL DE MIRAMONTES 2886</t>
  </si>
  <si>
    <t>ALIANZA POPULAR REVOLUCIONARIA</t>
  </si>
  <si>
    <t>JOSE LUIS GUISA CARDONA</t>
  </si>
  <si>
    <t>ELIZABETH LAVANA RODRIGUEZ</t>
  </si>
  <si>
    <t>JOEL ARTURO XOLALPA ESTEVEZ</t>
  </si>
  <si>
    <t>LUZ MARIA GONZALEZ LOPEZ</t>
  </si>
  <si>
    <t>ANGELICA MARIA MORENO OROZCO</t>
  </si>
  <si>
    <t>ISABEL MUÑOZ GARCIA</t>
  </si>
  <si>
    <t>SUPERVISORA DE CAJAS</t>
  </si>
  <si>
    <t>ACLARACION TIPO DEMANDADO</t>
  </si>
  <si>
    <t>JACOB MUÑOZ HERNANDEZ</t>
  </si>
  <si>
    <t>QUINTANA ROO 1</t>
  </si>
  <si>
    <t>JUDITH ALAMILLO MERA</t>
  </si>
  <si>
    <t>AVENIDA 555 102</t>
  </si>
  <si>
    <t>UH SAN JUAN DE ARAGON</t>
  </si>
  <si>
    <t>MARTIN SERAFIN CUREÑO JUAREZ</t>
  </si>
  <si>
    <t>TRANSPORTE WOLF LOGISTIK</t>
  </si>
  <si>
    <t>VICTOR CARRILLO ESTRADA</t>
  </si>
  <si>
    <t>EFREN GERARDO ALVAREZ RAMIREZ</t>
  </si>
  <si>
    <t>FRANCISCO JAVIER BENET COLIN</t>
  </si>
  <si>
    <t>GERARDO ORTEGA SILVA</t>
  </si>
  <si>
    <t>ORIENTE 172 224</t>
  </si>
  <si>
    <t>MOCTEZUMA</t>
  </si>
  <si>
    <t>SERVICIOSS OMT SA DE CV</t>
  </si>
  <si>
    <t>AVENIDA POETAS EDIFICIO 6A</t>
  </si>
  <si>
    <t>AVI PUSHKAR REICH</t>
  </si>
  <si>
    <t>OCTAVIO TORRES GALVEZ</t>
  </si>
  <si>
    <t>RICARDO OTER CERVANTES</t>
  </si>
  <si>
    <t>HUGO ORTEGA SILVA</t>
  </si>
  <si>
    <t>JESUS HERNANDEZ ANDRADE</t>
  </si>
  <si>
    <t>FERNADO MUÑOZ NAPOLES</t>
  </si>
  <si>
    <t>AVU DUSHKAR REICH</t>
  </si>
  <si>
    <t>IVAN ENOB URRIETA VARGAS</t>
  </si>
  <si>
    <t>FRESALES 142A</t>
  </si>
  <si>
    <t>VILLA DEL PUENTE</t>
  </si>
  <si>
    <t>PROMOCIONALES EXCLUSIVOS SA DE CV</t>
  </si>
  <si>
    <t>FERNANDO MONTES DE OCA 36</t>
  </si>
  <si>
    <t>JULIO CESAR DE REGIL DAVILA</t>
  </si>
  <si>
    <t>LAURA PATRICIA GONZALEZ MONTOYA</t>
  </si>
  <si>
    <t>GERENTE DE PRODUCCION</t>
  </si>
  <si>
    <t>MARCOS ZONANA TOTAH</t>
  </si>
  <si>
    <t>ISIDORO SANTANA TELLEZ</t>
  </si>
  <si>
    <t>MIGUEL ANGEL ROJAS DIAZ</t>
  </si>
  <si>
    <t>CALZADA MEXICO TACUBA 110</t>
  </si>
  <si>
    <t>MARIA DE LOURDES ROJAS DIAZ</t>
  </si>
  <si>
    <t>ADRIANA GUTIERREZ CARBAJAL</t>
  </si>
  <si>
    <t>DR LUCIO 103</t>
  </si>
  <si>
    <t>PUBLICIDAD Y PROMOCIONES INTERNACIONALES SA DE CV</t>
  </si>
  <si>
    <t>PLUTARCO ELIAS CALLES 21</t>
  </si>
  <si>
    <t>NANCY PAREDES MORALES</t>
  </si>
  <si>
    <t>ELIZABETH VALERIA TREJO GARCIA</t>
  </si>
  <si>
    <t>PROMOTORA</t>
  </si>
  <si>
    <t>LUIS GIL GARCIA</t>
  </si>
  <si>
    <t>NANCY HERNANDEZ DE LA LUZ</t>
  </si>
  <si>
    <t>DOCTOR LUCIO 127 DESPACHO 101</t>
  </si>
  <si>
    <t>VICTORIA AVILA</t>
  </si>
  <si>
    <t>AVENIDA COYOACAN 522 301</t>
  </si>
  <si>
    <t>HUMAN RESOURCES FOR ENTERPRISES SC</t>
  </si>
  <si>
    <t>GESTORA</t>
  </si>
  <si>
    <t>MARIA BEATRIZ SERRANO GONZALEZ</t>
  </si>
  <si>
    <t>CALLEJON TECHICHICO 1</t>
  </si>
  <si>
    <t>COMPAÑIA OPERADORA DE ESTACIONAMIENTOS MEXICANOS SA DE CV</t>
  </si>
  <si>
    <t>QUINTANA ROO 65</t>
  </si>
  <si>
    <t>JORGE MARTINEZ RAMOS</t>
  </si>
  <si>
    <t>MIGUEL SALGUERO MENDOZA</t>
  </si>
  <si>
    <t>OSCAR NOLASCO</t>
  </si>
  <si>
    <t>MARTHA GOMEZ BRAVO</t>
  </si>
  <si>
    <t>JACOBO MARTINEZ RAMOS</t>
  </si>
  <si>
    <t>HERWIN FERIA VAZQUEZ</t>
  </si>
  <si>
    <t>PABLO CESAR MONROY FERIA</t>
  </si>
  <si>
    <t>OFELIA ESTRADA BRAVO</t>
  </si>
  <si>
    <t>AUXILIAR BOLETERO</t>
  </si>
  <si>
    <t>PREMIO DE ASISTENCIA, AYUDA DE DESPENSA, AYUDA HABITACIONAL, SUBSIDIO PARA EL EMPLEO</t>
  </si>
  <si>
    <t>ISAAC ABRAHAN RAMIREZ SANCHEZ</t>
  </si>
  <si>
    <t>EJERCITO DE ORIENTE II EDIFICIO I DEPARTAMENTO 11</t>
  </si>
  <si>
    <t>ARH DE TECNOLOGIA SA DE CV</t>
  </si>
  <si>
    <t>AVENIDA DIVISION DEL NORTE 521 INTERIOR 305</t>
  </si>
  <si>
    <t>TECHNOLOGICAL PROFESIONAL RESOURCE SC</t>
  </si>
  <si>
    <t>AMORES 28</t>
  </si>
  <si>
    <t>BERENICE RODRIGUEZ DUCOIN</t>
  </si>
  <si>
    <t>GABRIEL ORTIZ</t>
  </si>
  <si>
    <t>LILIAN MARTINEZ ARAGON</t>
  </si>
  <si>
    <t>SIMON MARTINEZ ARAGON</t>
  </si>
  <si>
    <t>VICTOR MANUEL MENDIOLA ESCAMILLA</t>
  </si>
  <si>
    <t>AVENIDA CUAUHTEMOC 16 PISO 4</t>
  </si>
  <si>
    <t>TECNICA INTERNACIONAL EN LIMPIEZA SA DE CV</t>
  </si>
  <si>
    <t>BERTHA 347</t>
  </si>
  <si>
    <t>MARCO ANTONIO BELTRAN HERNANDEZ</t>
  </si>
  <si>
    <t>SAMANTHA MARTINEZ VERA</t>
  </si>
  <si>
    <t>MARCOS CHAVEZ OROZCO</t>
  </si>
  <si>
    <t>HERIBERTO MARTINEZ BUSTAMANTE</t>
  </si>
  <si>
    <t>MARCOS CHAVEZ Y ABOGADOS SC</t>
  </si>
  <si>
    <t>OPERADOR DE TRACTOCAMION</t>
  </si>
  <si>
    <t>VIATICOS Y ALIMENTOS</t>
  </si>
  <si>
    <t>TONELADAS</t>
  </si>
  <si>
    <t>DIANA PAMELA ALVAREZ RIVERA</t>
  </si>
  <si>
    <t>DOCTOR ANDRADE 23 EDIFICIO B DEPARTAMENTO 102</t>
  </si>
  <si>
    <t>TRANSPORTACION TERRESTRE NUEVA IMAGEN AC</t>
  </si>
  <si>
    <t>LINO MERINO 632</t>
  </si>
  <si>
    <t>JUAN ESCUTIA</t>
  </si>
  <si>
    <t>VICENTE SOTO</t>
  </si>
  <si>
    <t>LAURA STHEPANIE RENDON</t>
  </si>
  <si>
    <t>CARLOS TEPALE ALONSO</t>
  </si>
  <si>
    <t>REFORMA 476 SEXTO PISO</t>
  </si>
  <si>
    <t>CAJERA DE VENTA DE BOLETOS</t>
  </si>
  <si>
    <t>HECTOR STONE ALEMAN</t>
  </si>
  <si>
    <t>VALLE DE TOLUCA 35</t>
  </si>
  <si>
    <t>FRACCIONAMIENTO EL MIRADOR </t>
  </si>
  <si>
    <t>MAS COMUNICACION SA DE CV</t>
  </si>
  <si>
    <t>CERRADA DE BARTOLOACHE 5A</t>
  </si>
  <si>
    <t>MEXICANOS Y AMERICANOS COMUNICACION SA DE CV</t>
  </si>
  <si>
    <t>CARLOS DE CORDOVA</t>
  </si>
  <si>
    <t>JUAN HUMBERTO VITAL</t>
  </si>
  <si>
    <t>AVENIDA POLITECNICO NACIONAL 5421</t>
  </si>
  <si>
    <t>JONATHAN SALDIVAR VARGAS</t>
  </si>
  <si>
    <t>ROSA CRISTINA SUAREZ HERNANDEZ</t>
  </si>
  <si>
    <t>ROCIO HERNANDEZ GONZALEZ</t>
  </si>
  <si>
    <t>ROSITA JUAREZ SIEBER</t>
  </si>
  <si>
    <t>ON CUE SA DE CV</t>
  </si>
  <si>
    <t>VESUBIO 21</t>
  </si>
  <si>
    <t>ALPES</t>
  </si>
  <si>
    <t>ALEJANDRO MAURICIO BARRETO GARIBAY</t>
  </si>
  <si>
    <t>AVENIDA HIDALGO 77</t>
  </si>
  <si>
    <t>LUIS ALBERTO SANCHEZ PACHECO</t>
  </si>
  <si>
    <t>SUPERVISORA DEL AREA ADMINISTRATIVA</t>
  </si>
  <si>
    <t>JUAN FERNANDEZ FLORES</t>
  </si>
  <si>
    <t>ROGELIO ARELLANO ZAGAL</t>
  </si>
  <si>
    <t>FRANCISCO I MADERO 12</t>
  </si>
  <si>
    <t>EJIDOS DE SANTA URSULA COAPA</t>
  </si>
  <si>
    <t>OPERADOR DE MICROBUS</t>
  </si>
  <si>
    <t>MARIA CANDELARIA RAMIREZ ESPINOZA</t>
  </si>
  <si>
    <t>INGENIERIA EN SERVICIOS DE INFORMATICA SA DE CV</t>
  </si>
  <si>
    <t>CULIACAN 123 PISO 3</t>
  </si>
  <si>
    <t>SONDA MEXICO</t>
  </si>
  <si>
    <t>JOSE LUIS MORENO</t>
  </si>
  <si>
    <t>MARCIAL MIGUEL SARMIENTO LARA</t>
  </si>
  <si>
    <t>ASESOR DE SERVICIO AL CLIENTE</t>
  </si>
  <si>
    <t>JOSE CARLOS PLATA NUÑEZ</t>
  </si>
  <si>
    <t>AMSTERDAM 124 DESPACHO 603 SEXTO PISO</t>
  </si>
  <si>
    <t>SOLUCIONES EMPRESARIALES QUEEN SA DE CV</t>
  </si>
  <si>
    <t>BRETAÑA 178 BIS INTERIOR 1</t>
  </si>
  <si>
    <t>SAN ANDRES TETEPILCO</t>
  </si>
  <si>
    <t>RAFAEL GARCIA</t>
  </si>
  <si>
    <t>JAVIER HERNANDEZ GUTIERREZ</t>
  </si>
  <si>
    <t>SANDRA ELIZABETH LEDESMA ROJAS</t>
  </si>
  <si>
    <t>CARLOS ALBERTO VILLALOBOS REGUEIRA</t>
  </si>
  <si>
    <t>VIOLETA GUADALUPE TELLEZ GARNICA</t>
  </si>
  <si>
    <t>LEDESMA CONSULTORES LEGALES</t>
  </si>
  <si>
    <t>CABO LAVADOR</t>
  </si>
  <si>
    <t>RAFAEL PLATA PILLADO</t>
  </si>
  <si>
    <t>CRISTIAN EDUARDO FLORES GALINDO</t>
  </si>
  <si>
    <t>AVENIDA DE LOS REYES 152 DESPACHO 2</t>
  </si>
  <si>
    <t>FRACCIONAMIENTO RESIDENCIAL EL DORADO</t>
  </si>
  <si>
    <t>TLALNEPANTLA DE BAZ</t>
  </si>
  <si>
    <t>MANPOWER INDUSTRIAL SA DE CV</t>
  </si>
  <si>
    <t>AVENIDA CEYLAN SIN NUMERO AREA DE CARGA Y DESCARGA DE CONTENEDORES DEL PATIO CEYLAN</t>
  </si>
  <si>
    <t>PUEBLO LAS SALINAS</t>
  </si>
  <si>
    <t>GRUPO SLTC SA DE CV</t>
  </si>
  <si>
    <t>ALAN ARON VALENCIA FUENTES</t>
  </si>
  <si>
    <t>NOE JIMENEZ CRUZ</t>
  </si>
  <si>
    <t>ADOLFO CORDOBA MARTINEZ</t>
  </si>
  <si>
    <t>ISRAEL MATAMOROS GARCIA</t>
  </si>
  <si>
    <t>INSPECTOR DE CONTENEDORES</t>
  </si>
  <si>
    <t>ZAZHIL ZAMORA AGUILAR</t>
  </si>
  <si>
    <t>GABRIEL MANCERA 136</t>
  </si>
  <si>
    <t>AYA MEXIBUS SA DE CV</t>
  </si>
  <si>
    <t>MARTE 95 INTERIOR 2</t>
  </si>
  <si>
    <t>MARCO POLO OPERADORES SA DE CV</t>
  </si>
  <si>
    <t>MEXITOURS DMC Y GRAN TOUR OPERATOR BY MARCO POLO TOUR</t>
  </si>
  <si>
    <t>JORGE MEJIA ORTEGA</t>
  </si>
  <si>
    <t>ALICIA MEJIA</t>
  </si>
  <si>
    <t>ELENA MENDEZ</t>
  </si>
  <si>
    <t>GENARO FERNANDEZ JIMENEZ</t>
  </si>
  <si>
    <t>ELEAZAR ROSALES ANAYA</t>
  </si>
  <si>
    <t>JUAN JOSE MARTINEZ ESTRADA</t>
  </si>
  <si>
    <t>RECEPCIONISTA DE OFICINA</t>
  </si>
  <si>
    <t>FRANCISCO JAVIER MENDOZA RODRIGUEZ</t>
  </si>
  <si>
    <t>ATENTO DE MEXICO SA DE CV</t>
  </si>
  <si>
    <t>EJE 1 PONIENTE 44</t>
  </si>
  <si>
    <t>VICTOR JESUS MARTINEZ CERVANTES</t>
  </si>
  <si>
    <t>GERARDO GONZALEZ</t>
  </si>
  <si>
    <t>MIGUEL ANGEL SILVA ESCOBAR</t>
  </si>
  <si>
    <t>GRUPO DE NEGOCIOS AUTOGESTION EN SOLUCIONES SA DE CV</t>
  </si>
  <si>
    <t>CAMINO DEL RECREO 40A INTERIOR 1</t>
  </si>
  <si>
    <t>EL RECREO</t>
  </si>
  <si>
    <t>HARDY CONSULTORES PROFESIONALES SA DE CV</t>
  </si>
  <si>
    <t>PRESA SOLIS 38</t>
  </si>
  <si>
    <t>IRRIGACION</t>
  </si>
  <si>
    <t>GRUPO INTEGRACIONAL DE RECURSOS HUMANOS MYBEY SCP</t>
  </si>
  <si>
    <t>ADALBERTO RAMIREZ LOPEZ</t>
  </si>
  <si>
    <t>RAUL BEYRUTI ESPINOSA</t>
  </si>
  <si>
    <t>MIREYA BEYRUTI ESPINOSA</t>
  </si>
  <si>
    <t>RAFAEL ENRIQUE VIVANCO FLORES</t>
  </si>
  <si>
    <t>VERONICA ROCIO BAEZ MORA</t>
  </si>
  <si>
    <t>DOCTOR CARMONA Y VALLE 126 INTERIOR 105</t>
  </si>
  <si>
    <t>FERROCARRIL DE RIO FRIO 419AC</t>
  </si>
  <si>
    <t>JULIO CESAR HERNADEZ ALVARADO</t>
  </si>
  <si>
    <t>JUAN JOSE HERNANDEZ ALVARADO</t>
  </si>
  <si>
    <t>JESUS ALBERTO CHILIAN NAVA</t>
  </si>
  <si>
    <t>OPERADORA MULTIFUNCIONAL</t>
  </si>
  <si>
    <t>LENNY ADRIANA ORTIZ</t>
  </si>
  <si>
    <t>OBED ESTRADA GONZALEZ</t>
  </si>
  <si>
    <t>REPE CONSULTORES SA DE CV</t>
  </si>
  <si>
    <t>NORTE 1A NUMERO 5028</t>
  </si>
  <si>
    <t>ASTRO LLANTAS SA DE CV</t>
  </si>
  <si>
    <t>PROMOCION Y DESARROLLO ORGANIZACIONAL SA DE CV</t>
  </si>
  <si>
    <t>ANGEL CASILLAS</t>
  </si>
  <si>
    <t>MANUEL ROSAS MALDONADO</t>
  </si>
  <si>
    <t>VALENTINA MONDRAGON ANTOMIO</t>
  </si>
  <si>
    <t>TECNICO LLANTERO</t>
  </si>
  <si>
    <t>NOMBRE DEMANDADO Y OTRO (CARACTER CON EL QUE SE LLAMA A JUICIO A UN DEMANDADO)</t>
  </si>
  <si>
    <t>VERONICA OLMEDO CASTELAN</t>
  </si>
  <si>
    <t>AVENIDA COYOACAN 522 INTERIOR 301</t>
  </si>
  <si>
    <t>BEST COLLECT SA DE CV</t>
  </si>
  <si>
    <t>GABRIEL DIAZ GARZA</t>
  </si>
  <si>
    <t>JESUS AGUILAR JARAMILLO</t>
  </si>
  <si>
    <t>RAFAEL ALONSO CANCHOLA GARCIA</t>
  </si>
  <si>
    <t>ALBORADA 124 PISO 12 DESPACHO 1202</t>
  </si>
  <si>
    <t>ABIGAIL HERNANDEZ MARTINEZ</t>
  </si>
  <si>
    <t>LOGIMEX SA DE CV</t>
  </si>
  <si>
    <t>AVENIDA CULTURA GRIEGA 55 BODEGA 12</t>
  </si>
  <si>
    <t>GABRIEL ALONSO GOMEZ</t>
  </si>
  <si>
    <t>LUIS EDUARDO MONRROY</t>
  </si>
  <si>
    <t>GISELA MALDONADO ABASOLO</t>
  </si>
  <si>
    <t>ARTURO RODRIGUEZ CERVANTES</t>
  </si>
  <si>
    <t>MARISOL MARTINEZ NEGRETE</t>
  </si>
  <si>
    <t>BUFETE JURIDICO MALDONADO</t>
  </si>
  <si>
    <t>JEFE DE PERSONAL ADMINISTRATIVO</t>
  </si>
  <si>
    <t>ABIGAIL MARTINEZ HERNANDEZ</t>
  </si>
  <si>
    <t>INCENTIVOS DE EFICIENCIA</t>
  </si>
  <si>
    <t>MIGUEL ANGEL CASASOLA CAMACHO</t>
  </si>
  <si>
    <t>REVILLAGIGEDO 95 EDIFICIO E INTERIOR 204</t>
  </si>
  <si>
    <t>ESMERALDA SIREZ RAMIREZ</t>
  </si>
  <si>
    <t>CALLE 1A NUMERO 114</t>
  </si>
  <si>
    <t>JORGE JAEZAN RODRIGUEZ</t>
  </si>
  <si>
    <t>SITCOM ELECTRONICS SA DE CV</t>
  </si>
  <si>
    <t>CAROLINA DE LA CRUZ PANTOJA GUZMAN</t>
  </si>
  <si>
    <t>ANALLELY BRISEÑO RUIZ</t>
  </si>
  <si>
    <t>BRISEÑO CERECEDO Y PANTOJA ASOCIADOS</t>
  </si>
  <si>
    <t>COMPRADOR</t>
  </si>
  <si>
    <t>JORGE ARTURO GONZALEZ LARA</t>
  </si>
  <si>
    <t>AVENIDA MANUEL ACUÑA 3 SEGUNDO PISO DESPACHO 5</t>
  </si>
  <si>
    <t>VILLA AZCAPOTZALCO</t>
  </si>
  <si>
    <t>AUTOMOTORES SHENKAIT SA DE CV</t>
  </si>
  <si>
    <t>AVENIDA MARIO COLIN 320 ESQUINA AVENIDA DOCTOR GUSTAVO BAZ</t>
  </si>
  <si>
    <t>INDUSTRIAL TLALNEPANTLA</t>
  </si>
  <si>
    <t>COORPORATIVO DE NEGOCIOS Y RECURSOS HUMANOS DEL RECREO SCP</t>
  </si>
  <si>
    <t>CAMINO DEL RECREO 40A1</t>
  </si>
  <si>
    <t>ESPACIOS Y DISEÑOS RBE DEL SUR SA DE CV</t>
  </si>
  <si>
    <t>JULIANA ABRIL DEL ABREGO AGUILERA</t>
  </si>
  <si>
    <t>LILIANA GONZALEZ CERDA</t>
  </si>
  <si>
    <t>JOSE JONATHAN GARCIA GUTIERREZ</t>
  </si>
  <si>
    <t>JOSE CARLOS PEREZ HERNANDEZ</t>
  </si>
  <si>
    <t>ASESOR COMERCIAL</t>
  </si>
  <si>
    <t>CLAUDIA CARRETO CRUZ</t>
  </si>
  <si>
    <t>GRANJAS</t>
  </si>
  <si>
    <t>ADRIANA RIVERA GUDIÑO</t>
  </si>
  <si>
    <t>IVETTE GARCIA FLORES, ANTONIO LEYVA GONZALEZ</t>
  </si>
  <si>
    <t>COMPENSACIONES QUINCENALES</t>
  </si>
  <si>
    <t>CARLOS CESAR ROSAS MORALES</t>
  </si>
  <si>
    <t>PEDRO ERNESTO SALCEDO CHAVEZ</t>
  </si>
  <si>
    <t>AVENIDA 22 DE FEBRERO 20</t>
  </si>
  <si>
    <t>LOS REYES</t>
  </si>
  <si>
    <t>ARTURO MORALES FELIMON</t>
  </si>
  <si>
    <t>LA PARTE ACTORA NO MENCIONA LA FECHA DE ENTRADA, EL SALARIO NI LA CATEGORIA.</t>
  </si>
  <si>
    <t>VICTOR HUGO ZAMORA NOCHEBUENA</t>
  </si>
  <si>
    <t>PINO 88</t>
  </si>
  <si>
    <t>BARRIO DE SANTA CATARINA</t>
  </si>
  <si>
    <t>IMPLUSO ESTRATEGICO SA DE CV</t>
  </si>
  <si>
    <t>AVENIDA TAMAULIPAS 189</t>
  </si>
  <si>
    <t>FUNDACION CAMPO EDUCACION Y SALUD AC</t>
  </si>
  <si>
    <t>CARLOS ALBERTO CURIS GARCIA</t>
  </si>
  <si>
    <t>ALFREDO MOISES CEJA</t>
  </si>
  <si>
    <t>FLORIA VANESSA PARIS LUCOVICH</t>
  </si>
  <si>
    <t>ALFREDO R WEITZNER SPATZ</t>
  </si>
  <si>
    <t>MANUEL ZAMORA NOCHEBUENA</t>
  </si>
  <si>
    <t>SAMUEL LINARES REYES</t>
  </si>
  <si>
    <t>CARLOS SANCHEZ CIFUENTES</t>
  </si>
  <si>
    <t>MARIA CRISTINA PEÑA BRITO</t>
  </si>
  <si>
    <t>INTEGRACION DE SERVICIOS NACIONALES ISENA SA DE CV</t>
  </si>
  <si>
    <t>DOLORES ACOSTA</t>
  </si>
  <si>
    <t>ELIZABETH NEGRETE</t>
  </si>
  <si>
    <t>BLACK AND DECKER SA DE CV</t>
  </si>
  <si>
    <t>BOSQUE DE RADIATAS 42</t>
  </si>
  <si>
    <t>DELEGACION CUAJIMALPA DE MORELOS</t>
  </si>
  <si>
    <t>FELIPE RAMON DE ANDA ROSAS</t>
  </si>
  <si>
    <t>MARTIN ALTAMIRANO CONTRERAS</t>
  </si>
  <si>
    <t>SAN FRANCISCO 224 PLANTA BAJA</t>
  </si>
  <si>
    <t>TRANSPORTES ADRIAN SA DE CV</t>
  </si>
  <si>
    <t>PUERTO CAMPECHE 133</t>
  </si>
  <si>
    <t>AMPLIACION CASAS ALEMAN</t>
  </si>
  <si>
    <t>JORGE ANTONIO MARTINEZ VELASCO</t>
  </si>
  <si>
    <t>RAFAEL GARCIA BADILLO</t>
  </si>
  <si>
    <t>WALTER BLANCO MARQUEZ</t>
  </si>
  <si>
    <t>CARLOS ALBERTO SAUCEDA GONZALEZ</t>
  </si>
  <si>
    <t>CERRADA DEL NOPAL MANZANA 52 LOTE 5 NUMERO 19</t>
  </si>
  <si>
    <t>XALPA</t>
  </si>
  <si>
    <t>AUTO EXPRESS BALOP SA DE CV</t>
  </si>
  <si>
    <t>HERMINIO CHAVARRIA 491</t>
  </si>
  <si>
    <t>EDIJOS DE SANTA MARIA AZTAHUACAN</t>
  </si>
  <si>
    <t>MARCO ANTONIO ROSAS HERNANDEZ</t>
  </si>
  <si>
    <t>DULCE KARINA SAUCEDO ROSAS</t>
  </si>
  <si>
    <t>GUSTAVO PEREZ CARCAMO</t>
  </si>
  <si>
    <t>NANCY MONTIEL VICENCIO</t>
  </si>
  <si>
    <t>PUENTE DE ALVARADO 42 DESPACHO 101C</t>
  </si>
  <si>
    <t>INSURGENTES SUR 688 PLANTA BAJA</t>
  </si>
  <si>
    <t>CARLOS ALBERTO GOMEZ RIVAS</t>
  </si>
  <si>
    <t>ERICK RAMIREZ DURAN</t>
  </si>
  <si>
    <t>GISAE ABOGADOS SA DE CV</t>
  </si>
  <si>
    <t>CONSEJERA DE BELLEZA</t>
  </si>
  <si>
    <t>ROCIO GODINEZ GARCIA</t>
  </si>
  <si>
    <t>SUBSIDIO PARA EL EMPLEO</t>
  </si>
  <si>
    <t>MARIA TERESA PERALTA MEDINA</t>
  </si>
  <si>
    <t>MUNDO JOVEN TRAVEL SHOP SA DE CV</t>
  </si>
  <si>
    <t>AVENIDA REVOLUCION 633</t>
  </si>
  <si>
    <t>SOEMPZA CONSULTORES SA DE CV</t>
  </si>
  <si>
    <t>PABLO ULISES ORTEGA CHAVEZ</t>
  </si>
  <si>
    <t>ISABEL VON BARTHALIS</t>
  </si>
  <si>
    <t>COORDINADORA GENERAL</t>
  </si>
  <si>
    <t>LUZ MARIA NATALIA SANCHEZ ALTAMIRANO</t>
  </si>
  <si>
    <t>DOCTOR CARMONA Y VALLE B1234</t>
  </si>
  <si>
    <t>GRUPO MJGTM S DE RL DE CV</t>
  </si>
  <si>
    <t>FILADELPHIA 108H INTERIOR 501</t>
  </si>
  <si>
    <t>MOISES SEVILLA MENACHE</t>
  </si>
  <si>
    <t>FANY SURKY</t>
  </si>
  <si>
    <t>JOSE SEVILLA PROFETA</t>
  </si>
  <si>
    <t>GERARDO GARDUÑO GUTIERREZ</t>
  </si>
  <si>
    <t>KARINA REYES APARICIO</t>
  </si>
  <si>
    <t>SOLUCIONES AVANZADAS EN ELECTRONICA SA DE CV</t>
  </si>
  <si>
    <t>AZORES 300</t>
  </si>
  <si>
    <t>CARLOS TINAJERO</t>
  </si>
  <si>
    <t>DAVID GIL FLORES</t>
  </si>
  <si>
    <t>SILVERLINE AMERICA SA DE CV</t>
  </si>
  <si>
    <t>AVENIDA ERMITA IZTAPALAPA 2001</t>
  </si>
  <si>
    <t>LOS ANGELES</t>
  </si>
  <si>
    <t>AUTOPARTES Y REPUESTOS SLP SA DE CV</t>
  </si>
  <si>
    <t>VICTOR HUGO JUAREZ RODRIGUEZ</t>
  </si>
  <si>
    <t>MARCO ANTONIO FERNANDEZ</t>
  </si>
  <si>
    <t>GREGORIO FIGUEROA HERNANDEZ</t>
  </si>
  <si>
    <t>VELOCERO TEJEDOR</t>
  </si>
  <si>
    <t>MARIA SILVIA TORRES RUIZ</t>
  </si>
  <si>
    <t>AVENIDA ARCOS DE BELEN 37 EDICICIO 1 INTERIOR 305</t>
  </si>
  <si>
    <t>AVENIDA INSURGENTES SUR 1898 MEZANINE Y TERCER PISO</t>
  </si>
  <si>
    <t>AUTOMATIZACION DE SERVICIOS PRODUCTIVOS SA DE CV</t>
  </si>
  <si>
    <t>FAUSTO LUIS MUÑIZ PATIÑO</t>
  </si>
  <si>
    <t>ENRIQUETA HERMINIA PATIÑO ÑEAL</t>
  </si>
  <si>
    <t>LAURA ELENA DE LA GARZA BLANCA</t>
  </si>
  <si>
    <t>LUIS LOPEZ PANADERO</t>
  </si>
  <si>
    <t>ANA BETZY CURIEL PARADA</t>
  </si>
  <si>
    <t>DAVID ISSAI CARDOSO SANCHEZ</t>
  </si>
  <si>
    <t>ESCUELA NAVAL MILITAR 180 DESPACHO 102 EDIFICIO 1</t>
  </si>
  <si>
    <t>BARRIO DE LA MAGDALENA CULHUACAN</t>
  </si>
  <si>
    <t>ELECTRONIC PRINT SERVICE SA DE CV</t>
  </si>
  <si>
    <t>REPUBLICA DEL SALVADOR 32 LOCALES 108 Y 109</t>
  </si>
  <si>
    <t>RODRIGO PEREZ ESPINOZA</t>
  </si>
  <si>
    <t>CARLOS ADUNA Y LAGADA</t>
  </si>
  <si>
    <t>RICARDO PRADA RODRIGUEZ</t>
  </si>
  <si>
    <t>VICTOR HUGO DOMINGUEZ</t>
  </si>
  <si>
    <t>TECNICO EN COMPUTACION</t>
  </si>
  <si>
    <t>DULCE FABIOLA GONZALEZ HERRERA</t>
  </si>
  <si>
    <t>LUZ SAVIÑON 13 NOVENO PISO DESPACHO 904</t>
  </si>
  <si>
    <t>GAYOSSO SA DE CV</t>
  </si>
  <si>
    <t>SULLIVAN 71</t>
  </si>
  <si>
    <t>ARMANDO MORALES</t>
  </si>
  <si>
    <t>JOSE LUIS OLIVEROS</t>
  </si>
  <si>
    <t>JORGE DELGADILLO</t>
  </si>
  <si>
    <t>VERONICA WENDY ZAVALA SILVA</t>
  </si>
  <si>
    <t>EDITH BELEM GONZALEZ GARCIA</t>
  </si>
  <si>
    <t>MARISOL LEON MORALES</t>
  </si>
  <si>
    <t>GERENTE DE CAPACITACION Y ENTRENADOR DE CAMPO</t>
  </si>
  <si>
    <t>CONCEPCION AGUILAR GARCIA</t>
  </si>
  <si>
    <t>MONTERREY 132 DESPACHO 301</t>
  </si>
  <si>
    <t>GRANDSONS Y ASOCIADOS SA DE CV</t>
  </si>
  <si>
    <t>VERMONT 34 SEGUNDO PISO INTERIOR 6</t>
  </si>
  <si>
    <t>CORPORATIVO MUFAR S DE RL DE CV</t>
  </si>
  <si>
    <t>BOULEVARD ADOLFO LOPEZ MATEOS 163</t>
  </si>
  <si>
    <t>PEDRO ALFONSO PADIERNA CARDENAS</t>
  </si>
  <si>
    <t>MARIA DE LOURDES SANTIAGO CERON</t>
  </si>
  <si>
    <t>ROBERTO VELAZCO</t>
  </si>
  <si>
    <t>RAMON SALMERON CESPEDES</t>
  </si>
  <si>
    <t>JEFA DE SUPERVISORAS</t>
  </si>
  <si>
    <t>BONO POR GASOLINA</t>
  </si>
  <si>
    <t>JUANA CORONADO TORRES</t>
  </si>
  <si>
    <t>SAN LUIS POTOSI 53</t>
  </si>
  <si>
    <t>GASOLINERA GRUPO MEXICANO SA DE CV</t>
  </si>
  <si>
    <t>AVENIDA CENTRAL 386F</t>
  </si>
  <si>
    <t>GREAT EXECUTIVES SA DE CV</t>
  </si>
  <si>
    <t>ADALBERTO RODRIGUEZ HUERTA</t>
  </si>
  <si>
    <t>ERNESTO MATA DIAZ</t>
  </si>
  <si>
    <t>RODRIGUEZ Y ASOSIADOS BUFETE JURIDICO</t>
  </si>
  <si>
    <t>JEFA DE DESPACHADORES</t>
  </si>
  <si>
    <t>LUIS ARTURO LOPEZ ALONSO</t>
  </si>
  <si>
    <t>SUBSIDIO AL EMPLEO</t>
  </si>
  <si>
    <t>ERICK RAMIREZ SAN VICENTE</t>
  </si>
  <si>
    <t>INSURGENTES NORTE 1290</t>
  </si>
  <si>
    <t>ISAIAS SANTOS</t>
  </si>
  <si>
    <t>VICTOR MORALES PEREZ</t>
  </si>
  <si>
    <t>FRANCISCO PETRARCA 336 DESPACHO 102</t>
  </si>
  <si>
    <t>AUTOTRANSPORTES URBANOS SIGLO NUEVO SA DE CV</t>
  </si>
  <si>
    <t>CALZADA DE LAS BOMBAS 103A</t>
  </si>
  <si>
    <t>RESIDENCIAL CAFETALES</t>
  </si>
  <si>
    <t>CLEMENTE SANTOS CRISOSTOMO</t>
  </si>
  <si>
    <t>HUMBERTO PADILLA CUEMAN</t>
  </si>
  <si>
    <t>ISMAEL RAMIREZ MARTINEZ</t>
  </si>
  <si>
    <t>RICARDO DE JESUS ESPINOZA MORALES</t>
  </si>
  <si>
    <t>DANIEL ESPINOZA MORALES</t>
  </si>
  <si>
    <t>EFRAIN TORRES TAPIA</t>
  </si>
  <si>
    <t>DOCTOR LUCIO 103 ESQUINA DOCTOR LICEAGA EDIFICIO A4 DESPACHO 103</t>
  </si>
  <si>
    <t>UNIGAS SA DE CV</t>
  </si>
  <si>
    <t>AVENIDA MARIANO ESCOBEDO 724 DESPACHO 101 102</t>
  </si>
  <si>
    <t>CLAUDIA ELENA RUIZ MACIEL</t>
  </si>
  <si>
    <t>MANUEL EDUARDO FUENTES MUÑIZ</t>
  </si>
  <si>
    <t>CLAUDIA VILLA ROMERO</t>
  </si>
  <si>
    <t>CORPORATIVO DE ESTUDIOS Y ASESORIA JURIDICA</t>
  </si>
  <si>
    <t>CHOFER TRANSPORTE PERSONAL</t>
  </si>
  <si>
    <t>XOCHITL NAVARRO OLMEDO</t>
  </si>
  <si>
    <t>EDUARDO MANRIQUEZ RODRIGUEZ</t>
  </si>
  <si>
    <t>SISTECNIA SA DE CV</t>
  </si>
  <si>
    <t>BERLIN 326</t>
  </si>
  <si>
    <t>VIRIDIANA SUAREZ</t>
  </si>
  <si>
    <t>GUSTAVO DAVID LOPEZ LOPEZ</t>
  </si>
  <si>
    <t>SONCK PUBLICIDAD SA DE CV</t>
  </si>
  <si>
    <t>WAKE 169</t>
  </si>
  <si>
    <t>LIBERTAD</t>
  </si>
  <si>
    <t>JUAN CARLOS TREJO</t>
  </si>
  <si>
    <t>ROBERTO SONCK LEDESMA</t>
  </si>
  <si>
    <t>CLAUDIA CABALLERO FERNANDEZ</t>
  </si>
  <si>
    <t>JEFE DE AREA DE PUBLICIDAD</t>
  </si>
  <si>
    <t>LUIS GUILLERMO PEREA MEJIA</t>
  </si>
  <si>
    <t>AVENIDA INSURGENTES SUR 300 DESPACHO 318</t>
  </si>
  <si>
    <t>PESSOA SA DE CV</t>
  </si>
  <si>
    <t>HORACIO 340 PISO 4</t>
  </si>
  <si>
    <t>LETS BONUS SERVICIOS MEXICO SA DE CV</t>
  </si>
  <si>
    <t>ANDREU CASADELLA CABALLERIA</t>
  </si>
  <si>
    <t>LEONARDO BETANCOURT V</t>
  </si>
  <si>
    <t>ARTURO BERRONES GONZALEZ</t>
  </si>
  <si>
    <t>MARTHA LUCIA PABELLO MALDONADO</t>
  </si>
  <si>
    <t>ACCOUNT MANAGER</t>
  </si>
  <si>
    <t>ARANTXA</t>
  </si>
  <si>
    <t>MARIA ERENDIRA ORTEGA FERNANDEZ</t>
  </si>
  <si>
    <t>TRANSPORTES LIPO SA DE CV</t>
  </si>
  <si>
    <t>GUTEMBERG 34</t>
  </si>
  <si>
    <t>SOLUCIONES INTEGRALES PARA EL PERONAL SITEPSA SA DE CV</t>
  </si>
  <si>
    <t>SERGIO MITEVISH</t>
  </si>
  <si>
    <t>ADY APUCHI</t>
  </si>
  <si>
    <t>LAURA VARGAS</t>
  </si>
  <si>
    <t>JOSE FERNANDO GONZALEZ ROMERO</t>
  </si>
  <si>
    <t>PREFECTO DE CAMION</t>
  </si>
  <si>
    <t>LAURA VARGAS; SERGIO MITEVISH</t>
  </si>
  <si>
    <t>JAIME MARTINEZ YAÑEZ</t>
  </si>
  <si>
    <t>SAN LUIS POTOSI 110</t>
  </si>
  <si>
    <t>AUGUSTO OCAMPO Y ASOCIADOS SC</t>
  </si>
  <si>
    <t>AVENIDA CUAUHTEMOC 1095 INTERIOR 101</t>
  </si>
  <si>
    <t>SISTEMA DE ADMINISTRACION JURIDICA SC</t>
  </si>
  <si>
    <t>ELIZABETH MENDOZA SOLANO</t>
  </si>
  <si>
    <t>JAVIER HERRERA HERNANDEZ</t>
  </si>
  <si>
    <t>WALTER URBINA SANCHEZ</t>
  </si>
  <si>
    <t>AURELIO SALINAS OLIVO</t>
  </si>
  <si>
    <t>ESTEBAN RODRIGUEZ RODRIGUEZ</t>
  </si>
  <si>
    <t>CORDOBA 42 DESPACHO 104</t>
  </si>
  <si>
    <t>SOHR INTEGRAL SA DE CV</t>
  </si>
  <si>
    <t>SOTO Y GAMA 166-D-8-304</t>
  </si>
  <si>
    <t>PROGRESISTA</t>
  </si>
  <si>
    <t>FRANCISCO JAVIER MORENO RUBIO</t>
  </si>
  <si>
    <t>PEDRO FABIAN MEZA ESTRELLA</t>
  </si>
  <si>
    <t>JOSE LUIS RODRIGUEZ RODRIGUEZ</t>
  </si>
  <si>
    <t>MIGUEL ANGEL FABIAN BLANCO</t>
  </si>
  <si>
    <t>AYUDA DE HABITACION</t>
  </si>
  <si>
    <t>LILIANA FIGUEROA SERVIN</t>
  </si>
  <si>
    <t>YUCATAN 15</t>
  </si>
  <si>
    <t>ALEJANDRA LIMA</t>
  </si>
  <si>
    <t>MARICELA CAMACHO</t>
  </si>
  <si>
    <t>TELEOPERADORA</t>
  </si>
  <si>
    <t>GUILLERMO ELIZONDO JIMENEZ</t>
  </si>
  <si>
    <t>SERVICIO AUTOMOTRIZ WEST SA DE CV CV</t>
  </si>
  <si>
    <t>CALZADA DE LAS AGUILAS 1194</t>
  </si>
  <si>
    <t>SAN CLEMENTE</t>
  </si>
  <si>
    <t>MARIO CASTILLO</t>
  </si>
  <si>
    <t>NO MENCIONA CLARAMENTE LA DIRECCION DE TODOS LOS DEMANDADOS, NO TIENE AUTO DE RADICACION</t>
  </si>
  <si>
    <t>ENRIQUE ESCALANTE VILLAFUERTE</t>
  </si>
  <si>
    <t>LUIS MOYA 50 ALTOS</t>
  </si>
  <si>
    <t>MONTECITO 38 PISO 10 INTERIOR 26</t>
  </si>
  <si>
    <t>CARLOS ARMANDO DUARTE</t>
  </si>
  <si>
    <t>HUAWEI TECHNOLOGIES DE MEXICO SA DE CV</t>
  </si>
  <si>
    <t>BOULEVARD MANUEL AVILA CAMACHO 40 TORRE ESMERALDA 1 PISO 11</t>
  </si>
  <si>
    <t>ARELI GUZMAN FUENTES</t>
  </si>
  <si>
    <t>JOSE JAIME MONTENEGRO ESCALANTE </t>
  </si>
  <si>
    <t>JUAN RUBEN ABARCA BUSTAMANTE</t>
  </si>
  <si>
    <t>OSCAR GONZALEZ GARCIA</t>
  </si>
  <si>
    <t>CONSULTORIA LEGAL MONTENEGRO Y ASOCIADOS</t>
  </si>
  <si>
    <t>TRAINEE</t>
  </si>
  <si>
    <t>VICTOR MANUEL BECERRA MARTINEZ</t>
  </si>
  <si>
    <t>EUGENIA 197 EDIFICIO SAN RAFAEL PISO 9</t>
  </si>
  <si>
    <t>GABRIEL SOTO HERNANDEZ</t>
  </si>
  <si>
    <t>PEDRO JESUS SANCHEZ ALVAREZ</t>
  </si>
  <si>
    <t>BUFETE ALVAREZ Y ASOCIADOS</t>
  </si>
  <si>
    <t>COBRADOR</t>
  </si>
  <si>
    <t>GABRIEL SOTO</t>
  </si>
  <si>
    <t>MARIBEL SIERRA JAIMES</t>
  </si>
  <si>
    <t>AVENIDA CHAPULTEPEC 318 DESPACHO 102</t>
  </si>
  <si>
    <t>TECNOTALENTO SA DE CV</t>
  </si>
  <si>
    <t>AVENIDA EJERCITO NACIONAL 533 DEPARTAMENTO 302</t>
  </si>
  <si>
    <t>GUADALUPE GUARDIANA ESTRADA</t>
  </si>
  <si>
    <t>MARIO SILVA BALBUENA</t>
  </si>
  <si>
    <t>DAVID VELASCO PEREZ</t>
  </si>
  <si>
    <t>LEONARDO STEVENS AVILA</t>
  </si>
  <si>
    <t>ADRIANA CALDERON BRAVO</t>
  </si>
  <si>
    <t>PLUS EXTERIOR SA DE CV</t>
  </si>
  <si>
    <t>JARDIN 20 INTERIOR 102; JARDIN 20 INTERIOR 202</t>
  </si>
  <si>
    <t>ATLANTIDA; ATLANTIDA</t>
  </si>
  <si>
    <t>MARTHA IRENE ARENAS GAMARRA</t>
  </si>
  <si>
    <t>COORDINADOR DE VENTAS</t>
  </si>
  <si>
    <t>CRISTIAN ALEJANDRO GONZALEZ HERNANDEZ</t>
  </si>
  <si>
    <t>LIVERPOOL 98 PLANTA BAJA </t>
  </si>
  <si>
    <t>LETICIA VAZQUEZ CALDERON</t>
  </si>
  <si>
    <t>AHUEJOTE 476</t>
  </si>
  <si>
    <t>SANTO DOMINGO COYOACAN</t>
  </si>
  <si>
    <t>JAIME BALDERRABANO MORENO</t>
  </si>
  <si>
    <t>CARLOS ALBERTO AMARO PEREZ</t>
  </si>
  <si>
    <t>MARIA CRISTINA DEL VALLE NUÑEZ</t>
  </si>
  <si>
    <t>SONIA IMELDA CHAVEZ COPADO</t>
  </si>
  <si>
    <t>MARIELENA MARTINEZ RODRIGUEZ</t>
  </si>
  <si>
    <t>SERVICIOS PROFESIONALES WARRIOR SA DE CV</t>
  </si>
  <si>
    <t>AVENIDA INSURGENTES SUR 540 DESPACHO 502</t>
  </si>
  <si>
    <t>LEONARDO VALLE ARCE</t>
  </si>
  <si>
    <t>ENCARGADA DE MANTENIMIENTO</t>
  </si>
  <si>
    <t>KARLA XELHA MAYA HURTADO</t>
  </si>
  <si>
    <t>JUAN SARABIA 122</t>
  </si>
  <si>
    <t>NUEVA SANTA MARIA</t>
  </si>
  <si>
    <t>SUBASTAS VENTURA SA DE CV</t>
  </si>
  <si>
    <t>PORVENIR 279</t>
  </si>
  <si>
    <t>LOS OLIVOS</t>
  </si>
  <si>
    <t>SERGIO BENITEZ MORENO</t>
  </si>
  <si>
    <t>FERNANDO DAVILA PULIDO</t>
  </si>
  <si>
    <t>VICTOR CRUZ LUEVANO</t>
  </si>
  <si>
    <t>RUBEN BRITO RAMIREZ</t>
  </si>
  <si>
    <t>EMMANUEL VALLEJO MENDEZ</t>
  </si>
  <si>
    <t>RAFAEL PALOMARES VELAZQUEZ</t>
  </si>
  <si>
    <t>BRITO Y PALOMARES ABOGADOS</t>
  </si>
  <si>
    <t>OPERATIVA ADMINISTRATIVA</t>
  </si>
  <si>
    <t>LORENA RODRIGUEZ SANCHEZ</t>
  </si>
  <si>
    <t>CALZADA DE TLALPAN 489 DESPACHO 100 </t>
  </si>
  <si>
    <t>AVENIDA PASEO DE LA REFORMA 295 PISO 9</t>
  </si>
  <si>
    <t>RAUL GUERRA</t>
  </si>
  <si>
    <t>VERONICA GONZALEZ</t>
  </si>
  <si>
    <t>WIRELESS INTELIGENCE SA DE CV</t>
  </si>
  <si>
    <t>INSURGENTES SUR 105 PISO 11</t>
  </si>
  <si>
    <t>EJECUTIVO DE VENTAS INDIRECTAS</t>
  </si>
  <si>
    <t>LOURDES MARTINEZ HERRERA</t>
  </si>
  <si>
    <t>AVENIDA BENJAMIN FRANKLIN 98 CUARTO PISO</t>
  </si>
  <si>
    <t>NORA LILIA MONROY NAVARRO</t>
  </si>
  <si>
    <t>ISRRAEL ROMERO PIÑA</t>
  </si>
  <si>
    <t>JULIO ISRAEL MONROY NAVARRO</t>
  </si>
  <si>
    <t>ASTRID MARCOS N</t>
  </si>
  <si>
    <t>MARLENE MARTINEZ SANCHEZ</t>
  </si>
  <si>
    <t>GRUPO MC TREE SA DE CV</t>
  </si>
  <si>
    <t>AVENIDA FELIX CUEVAS 520 PRIMER PISO </t>
  </si>
  <si>
    <t>ARTURO DIAZ</t>
  </si>
  <si>
    <t>CERVECERIA CUAUHTEMOC MOCTEZUMA SA DE CV</t>
  </si>
  <si>
    <t>BOULEVARD DE LOS FERROCARRILES 247</t>
  </si>
  <si>
    <t>CHRISTIAN JASIEL HERNANDEZ TAPIA</t>
  </si>
  <si>
    <t>FRANCISCO JAVIER GARCIA LAGUNAS</t>
  </si>
  <si>
    <t>OPERADORA CENTRAL DE ESTACIONAMIENTOS SA DE CV</t>
  </si>
  <si>
    <t>AVENIDA INSURGENTES SUR 1605 LOCAL 61</t>
  </si>
  <si>
    <t>JOSE ARCEO</t>
  </si>
  <si>
    <t>GEORGINA PIÑA NAVA</t>
  </si>
  <si>
    <t>AUXILIAR DE AUDITORIA</t>
  </si>
  <si>
    <t>ROSALINO ESPINOZA RODRIGUEZ</t>
  </si>
  <si>
    <t>MULTILLANTAS Y SERVICIOS GRIMALDI SA DE CV</t>
  </si>
  <si>
    <t>ALFONSO CASO 110 </t>
  </si>
  <si>
    <t>ERMITA</t>
  </si>
  <si>
    <t>CONSORCIO EMPRESARIAL OPERATIVO SANTA FE SA DE CV</t>
  </si>
  <si>
    <t>MIGUEL DEANDRES Y VIDAL</t>
  </si>
  <si>
    <t>MARIANA RODRIGUEZ ALFARO</t>
  </si>
  <si>
    <t>ORTIZ CAMIRO Y ASOCIADOS</t>
  </si>
  <si>
    <t>GERENTE DE TIENDA</t>
  </si>
  <si>
    <t>ELIZABETH BELEM GONZALEZ GARCIA</t>
  </si>
  <si>
    <t>INNOVACIONES Y NUEVOS CAMINOS DE LIDERAZGO GAMMA SA DE CV</t>
  </si>
  <si>
    <t>GIOTTO 46</t>
  </si>
  <si>
    <t>NET Y SERVICES TRANTOR SA DE CV</t>
  </si>
  <si>
    <t>GUADALUPE SILVA</t>
  </si>
  <si>
    <t>VIVIANA MILLAN</t>
  </si>
  <si>
    <t>TANIA URBINA</t>
  </si>
  <si>
    <t>LIDIA MACHADO CISNEROS</t>
  </si>
  <si>
    <t>EDGAR CUELLAR Y ASOCIADOS CONSULTORIA LEGAL</t>
  </si>
  <si>
    <t>JEFA DE SOPORTE TECNICO</t>
  </si>
  <si>
    <t>VIVIANA MILLAN, GUADALUPE SILVA</t>
  </si>
  <si>
    <t>EDUARDO GARCIA BELLO</t>
  </si>
  <si>
    <t>TROOP Y COMPAÑIA SA DE CV</t>
  </si>
  <si>
    <t>GOLFO DE TEHUANTEPEC 10 </t>
  </si>
  <si>
    <t>TACUBA</t>
  </si>
  <si>
    <t>SAID MATEOS DAVILA</t>
  </si>
  <si>
    <t>FERNANDO FABIAN GALLARDO </t>
  </si>
  <si>
    <t>JUAN VELASCO</t>
  </si>
  <si>
    <t>ALEXIS RAMOS HERNANDEZ</t>
  </si>
  <si>
    <t>ENCARGADO DE ALMACEN</t>
  </si>
  <si>
    <t>VICTOR FLORES YEBRA</t>
  </si>
  <si>
    <t>SEGUIMIENTO TECNICO AMBIENTAL SA DE CV</t>
  </si>
  <si>
    <t>SUR CIENTO TRES 526 </t>
  </si>
  <si>
    <t>SECTOR POPULAR</t>
  </si>
  <si>
    <t>OPERADOR RECOLECTOR</t>
  </si>
  <si>
    <t>FRANCISCO HERNANDEZ GERARDO</t>
  </si>
  <si>
    <t>JESUS JIMENEZ PEREZ</t>
  </si>
  <si>
    <t>PAYROLING CORPORATION SA DE CV</t>
  </si>
  <si>
    <t>ANICETO ORTEGA 817 PLANTA BAJA D </t>
  </si>
  <si>
    <t>SUPERVISOR DE VENTAS</t>
  </si>
  <si>
    <t>CARLOS NAVARRETE</t>
  </si>
  <si>
    <t>WILFRIDO CAMACHO IZQUIERDO</t>
  </si>
  <si>
    <t>FRANCISCO SANCHEZ 121</t>
  </si>
  <si>
    <t>SANTIAGO AHIZOTLA</t>
  </si>
  <si>
    <t>TELESFORO JUAREZ DOMINGUEZ</t>
  </si>
  <si>
    <t>16 DE SEPTIEMBRE 19 </t>
  </si>
  <si>
    <t>BARRIO LA ASUNCION</t>
  </si>
  <si>
    <t>JOSE LUIS JUAREZ ORTEGA</t>
  </si>
  <si>
    <t>AVENIDA PASEO DE LA REFORMA 476 </t>
  </si>
  <si>
    <t>SAR</t>
  </si>
  <si>
    <t>CAMINO A SANTA TERESA 1040 SEGUNDO PISO</t>
  </si>
  <si>
    <t>ALVARO RAMOS GONZALEZ</t>
  </si>
  <si>
    <t>ANGEL CRUZ GARCIA</t>
  </si>
  <si>
    <t>NICOLAS APARICIO VIVEROS</t>
  </si>
  <si>
    <t>DAVID PONCE CARRASCO</t>
  </si>
  <si>
    <t>CALLE CINCO 259</t>
  </si>
  <si>
    <t>PANTITLAN</t>
  </si>
  <si>
    <t>CONSULTORIA Y SERVICIOS EN TECNOLOGIA HIX SA DE CV</t>
  </si>
  <si>
    <t>GANADEROS 330-4</t>
  </si>
  <si>
    <t>HUGO HUERTA ZARATE</t>
  </si>
  <si>
    <t>CARLOS GUZMAN PONCE</t>
  </si>
  <si>
    <t>CARLOS ALBERTO TORRES MENDEZ</t>
  </si>
  <si>
    <t>VICTOR MANUEL DE ANTUÑANO CELLS</t>
  </si>
  <si>
    <t>AYUDANTE EN GENERAL</t>
  </si>
  <si>
    <t>JULIO ROJAS MORA</t>
  </si>
  <si>
    <t>AVENIDA ROMULO ESCOBAR ZERMAN 152</t>
  </si>
  <si>
    <t>CENTRO AUTOMOTRIZ DEL SUR OCAÑA SA DE CV</t>
  </si>
  <si>
    <t>PROLONGACION EMILIANO ZAPATA 23</t>
  </si>
  <si>
    <t>ROBERTO OCAÑA HERNANDEZ</t>
  </si>
  <si>
    <t>ERIC FERNANDO REGINO PEREZ</t>
  </si>
  <si>
    <t>LUIS EDUARDO REGINO PEREZ</t>
  </si>
  <si>
    <t>JUAN CARLOS REGINO PEREZ</t>
  </si>
  <si>
    <t>REGINO Y ASOCIADOS ASESORIA JURIDICA ESPECIALIZADA EN DERECHO LABORAL</t>
  </si>
  <si>
    <t>ALFREDO VALLESTEROS FELIX</t>
  </si>
  <si>
    <t>ARTURO ANTONIO VIZCAYA CASTRO</t>
  </si>
  <si>
    <t>OSCAR OMAR PADUANO AMADOR</t>
  </si>
  <si>
    <t>EDUARDO VELEZ</t>
  </si>
  <si>
    <t>BEATRIZ VELEZ</t>
  </si>
  <si>
    <t>THANIA GARCIA LUENGAS</t>
  </si>
  <si>
    <t>ALFREDO MARTINEZ LOPEZ</t>
  </si>
  <si>
    <t>KARINA SALAZAR REYES</t>
  </si>
  <si>
    <t>MARIA EUGENIA MARTINEZ LOPEZ</t>
  </si>
  <si>
    <t>DESPACHO JURIDICO MARTINEZ OLGUIN Y ASOCIADOS</t>
  </si>
  <si>
    <t>ALICIA LOPEZ MARQUEZ</t>
  </si>
  <si>
    <t>TENAYUCA 138 INTERIOR 3</t>
  </si>
  <si>
    <t>INBURNET SA DE CV</t>
  </si>
  <si>
    <t>REPUBLICA DE URUGUAY 68</t>
  </si>
  <si>
    <t>ASOCIACION MEXICANA AUTOMOVILISTICA</t>
  </si>
  <si>
    <t>GRUPO FINANCIERO INBURSA</t>
  </si>
  <si>
    <t>CARLOS SLIM HELU</t>
  </si>
  <si>
    <t>CARLOS SLIM DOMITH</t>
  </si>
  <si>
    <t>DORENDY RODOLFO OCAMPO PEREZ</t>
  </si>
  <si>
    <t>ARELI CRUZ VEGA</t>
  </si>
  <si>
    <t>COORDINADOR DE SERVICIOS DE ASISTENCI AVIAL DE EMERGENCIA A CLIENTES CORPORATIVOS</t>
  </si>
  <si>
    <t>AGUSTIN MOLINA QUIROZ</t>
  </si>
  <si>
    <t>ARMANDO LORA RODRIGUEZ</t>
  </si>
  <si>
    <t>SUPERVISOR DE CONTACTO EN EL CENTRO TELEFONICO</t>
  </si>
  <si>
    <t>MOISES SALAS HERNANDEZ</t>
  </si>
  <si>
    <t>MARCOS MIRANDA ROJAS</t>
  </si>
  <si>
    <t>COORDINADOR BILINGÜE DE SERVICIOS DE ASISTENCIA VIAL DE EMERGENCIA A CLIENTES CORPORATIVOS</t>
  </si>
  <si>
    <t>MARCELINO REYES JUARE</t>
  </si>
  <si>
    <t>COORDINADO DE SERVICIOS DE ASISTENCIA VIAL DE EMERGENCIA A CLIENTES CORPORATIVOS</t>
  </si>
  <si>
    <t>ADRIANA GONZALEZ VARGAS</t>
  </si>
  <si>
    <t>OLIVIA VIVEROS ROJAS</t>
  </si>
  <si>
    <t>AVENIDA DE LAS GRANJAS 164 INTERIOR 15</t>
  </si>
  <si>
    <t>AUTOVENTAS VALLEJO SA DE CV</t>
  </si>
  <si>
    <t>AVENIDA 3-A NUMERO 12</t>
  </si>
  <si>
    <t>SANTA RSA</t>
  </si>
  <si>
    <t>JAIME ENRIQUE SANCHEZ CAMPUZANO</t>
  </si>
  <si>
    <t>IVONNE CHAVEZ HERNANDEZ</t>
  </si>
  <si>
    <t>FRANCISCO ALDAIR AGUILAR SALAS</t>
  </si>
  <si>
    <t>JORGE FERNANDO VALENCIA LANDA</t>
  </si>
  <si>
    <t>ERNESTO HERNANDEZ MUNIZ</t>
  </si>
  <si>
    <t>EFRAIN MARTINEZ ARANDA</t>
  </si>
  <si>
    <t>JOSE DANIEL HERNANDEZ MORENO</t>
  </si>
  <si>
    <t>PIPILA MANZANA 106 LOTE 4</t>
  </si>
  <si>
    <t>LOMAS DE ZARAGOZA</t>
  </si>
  <si>
    <t>MARIA GABRIELA ISLAS ARENALDE</t>
  </si>
  <si>
    <t>REFACCIONARIA ESCORPION</t>
  </si>
  <si>
    <t>ALDO ARTURO FERNANDEZ HERNANDEZ</t>
  </si>
  <si>
    <t>MARIBEL ALEJANDRA MARTINEZ ORTIZ</t>
  </si>
  <si>
    <t>JOSE HUMBERTO HERNANDEZ AREVALO</t>
  </si>
  <si>
    <t>CHOFER REPARTIDOR</t>
  </si>
  <si>
    <t>JORNADA, SALARIO, CIRCUNSTANCIAS DEL DESPIDO</t>
  </si>
  <si>
    <t>MIGUEL SALDAÑA RODRIGUEZ</t>
  </si>
  <si>
    <t>ISLOTE 139</t>
  </si>
  <si>
    <t>AMPLIACION LAS AGILES</t>
  </si>
  <si>
    <t>PATRICIA DURAN TELLEZ</t>
  </si>
  <si>
    <t>SILVIA HERNANDEZ MARTINEZ</t>
  </si>
  <si>
    <t>FRANCISCO JAVIER SANTIAGO</t>
  </si>
  <si>
    <t>RAMOS VILLAVICENCIO ESPERANZA</t>
  </si>
  <si>
    <t>SAWSA ADELANTE S RL DE CV</t>
  </si>
  <si>
    <t>AVENIDA UNIVERSIDAD 936-A</t>
  </si>
  <si>
    <t>RAU CAMACHO GUILLEN</t>
  </si>
  <si>
    <t>JEFE DE CREDITO</t>
  </si>
  <si>
    <t>RAUL CAMACHO GUILLEN</t>
  </si>
  <si>
    <t>JAVIER ARRIAGA FLORES</t>
  </si>
  <si>
    <t>ENRIQUE VILLEGAS NORIA</t>
  </si>
  <si>
    <t>MIGUEL ANGEL DE QUEVEDO 371</t>
  </si>
  <si>
    <t>TECNICO AUTOMOTRIZ</t>
  </si>
  <si>
    <t>VICTOR ALFONSO HERNANDEZ VAZQUEZ</t>
  </si>
  <si>
    <t>LINO 186</t>
  </si>
  <si>
    <t>JUAN ESCUTIA </t>
  </si>
  <si>
    <t>DELEGACION IXTAPALAPA</t>
  </si>
  <si>
    <t>MARKET PRO SA DE CV</t>
  </si>
  <si>
    <t>LOMAS DE SOTELO 1102 CUARTO PISO</t>
  </si>
  <si>
    <t>SERGIO MENA FORES</t>
  </si>
  <si>
    <t>MERCEDES MENA SORIANO</t>
  </si>
  <si>
    <t>AYUDANTE DE REPARTO</t>
  </si>
  <si>
    <t>GABRIELA SANCHEZ RODRIGUEZ</t>
  </si>
  <si>
    <t>SERAFIN TENORIO HERNANDEZ</t>
  </si>
  <si>
    <t>FLORENCIO TENORIO HERNANDEZ</t>
  </si>
  <si>
    <t>DOCTOR BALMIS 86 INTERIOR 1</t>
  </si>
  <si>
    <t>TECNICO EN ASISTENCIA VIAL</t>
  </si>
  <si>
    <t>FLORENCIO VILLEDA ESCAMILLA</t>
  </si>
  <si>
    <t>ALFONSO GARCIA LORENZANA</t>
  </si>
  <si>
    <t>TONALA 26 BIS ESQUINA DE LOS ALDAMA</t>
  </si>
  <si>
    <t>TOYOTA SA DE CV</t>
  </si>
  <si>
    <t>AVENIDA FUERZA AEREA MEXICANA 520 F</t>
  </si>
  <si>
    <t>GRUPO PENINSULA MOTORS S DE RL DE CV</t>
  </si>
  <si>
    <t>SERVICIOS TECPAN S DE RL DE CV</t>
  </si>
  <si>
    <t>JAIME PEÑA</t>
  </si>
  <si>
    <t>PZ&amp;D ABOGADOS</t>
  </si>
  <si>
    <t>HOJALATERO</t>
  </si>
  <si>
    <t>ARTURO GAYTAN TISCAREÑO</t>
  </si>
  <si>
    <t>GURSA TRANSPORTES NACIONALES SA DE CV</t>
  </si>
  <si>
    <t>LOUISIANA 169 INTERIOR 1</t>
  </si>
  <si>
    <t>GUSTAVO RODRIGUEZ SANCHEZ</t>
  </si>
  <si>
    <t>QUIEN RESULTE RESPONSABLDE DE LA FUENTE DE TRABAJO</t>
  </si>
  <si>
    <t>FRANCISCO JAVIER GAYTAN TISCAREÑO</t>
  </si>
  <si>
    <t>ARTURO CORCHADO ALVAREZ</t>
  </si>
  <si>
    <t>DOCTOR CARMONA Y VALLE B-123-4</t>
  </si>
  <si>
    <t>EULEN MEXICO DE SERVICIOS SA DE CV</t>
  </si>
  <si>
    <t>SORIA 583</t>
  </si>
  <si>
    <t>MIGUEL ESQUIVEL </t>
  </si>
  <si>
    <t>GRUPO MODELO SAB DE CV</t>
  </si>
  <si>
    <t>LAGO ALBERTO 156</t>
  </si>
  <si>
    <t>CARLOS RESENDIZ</t>
  </si>
  <si>
    <t>DESPENSA O AYUDA ALIMENTICIA</t>
  </si>
  <si>
    <t>GRATIFICACION O COMPENSACION</t>
  </si>
  <si>
    <t>CHRISTIAN</t>
  </si>
  <si>
    <t>RUTH LORA GONZALEZ</t>
  </si>
  <si>
    <t>DOCTOR LUCIO 127 DESPACHO 203 Y 204</t>
  </si>
  <si>
    <t>APIRO INGENIERIA SA DE CV</t>
  </si>
  <si>
    <t>LAURO VILLAR 15</t>
  </si>
  <si>
    <t>PROVIDENCIA</t>
  </si>
  <si>
    <t>INGENIEROS ESPECIALIZADOS EN FLUIDOS SC</t>
  </si>
  <si>
    <t>HECTOR ANGEL GARATE HERNANDEZ</t>
  </si>
  <si>
    <t>VICENTE VAZQUEZ MENDOZA</t>
  </si>
  <si>
    <t>MARIA IDALIA GARATE HERNANDEZ</t>
  </si>
  <si>
    <t>MARIA MAGDALENA TELLEZ MARTINEZ</t>
  </si>
  <si>
    <t>MARIA NATIVIDAD CERECEDO MENESES</t>
  </si>
  <si>
    <t>AVENIDA PASEO DE LA REFORMA 369 DESPACHO 701</t>
  </si>
  <si>
    <t>DEMOS EMPRENDEDORAS MEXICO SA DE CV</t>
  </si>
  <si>
    <t>NAPOLES PISO 25 DESPACHO 22</t>
  </si>
  <si>
    <t>RITA ROXANA BARRERA BERNAL</t>
  </si>
  <si>
    <t>ANAHID TORRENTERA</t>
  </si>
  <si>
    <t>MARCAS DE RENOMBRE SA DE CV</t>
  </si>
  <si>
    <t>MARIANO ESCOBEDO 510 PISO 3 Y 4 DESPACHO 301</t>
  </si>
  <si>
    <t>ANZURE</t>
  </si>
  <si>
    <t>NUEVA WALMART DE MEXICO S DE RL DE CV</t>
  </si>
  <si>
    <t>AVENIDA NEXTENGO 78 </t>
  </si>
  <si>
    <t>LOPEZ CUELLAR ABOGADOS SC</t>
  </si>
  <si>
    <t>YOLANDA GARCIA ROBLES</t>
  </si>
  <si>
    <t>GUERRERO 40 DESPACHO 103</t>
  </si>
  <si>
    <t>TERMINAL CENTRAL DEL NORTE DEL DF SA DE CV</t>
  </si>
  <si>
    <t>EJE CENTRAL LAZARO CARDENAS 4907</t>
  </si>
  <si>
    <t>CARLOS CRUZ CRUZ</t>
  </si>
  <si>
    <t>JOSHEO YODAT LAISECA</t>
  </si>
  <si>
    <t>RAMIRO VARGAS SILVA</t>
  </si>
  <si>
    <t>JOSE JUAN DIEGO ARTUNEZ</t>
  </si>
  <si>
    <t>EDECAN</t>
  </si>
  <si>
    <t>CARLOS CRUZ CRUZ, JOSHEP YODAT LAISECA Y RAMIRO VARGAS SILVA</t>
  </si>
  <si>
    <t>FERNANDO GANTE PALMA</t>
  </si>
  <si>
    <t>AUTOTRANSPORTES VALLE DEL MEZQUITAL SA DE CV</t>
  </si>
  <si>
    <t>EJE CENTRAL LAZARO CARDENAS 4907 (TERMINAL DE AUTOBUSES DEL NORTE SALA 8)</t>
  </si>
  <si>
    <t>ATILANO HERRERA ZARAGOZA</t>
  </si>
  <si>
    <t>ISABEL CORTES SIERRA</t>
  </si>
  <si>
    <t>AVENIDA ARCOS DE BELEN 37 INTERIOR 305</t>
  </si>
  <si>
    <t>SERVICIOS LABORALES Y EJECUTIVOS SA DE CV</t>
  </si>
  <si>
    <t>AVENIDA INSURGENTES SUR 3579</t>
  </si>
  <si>
    <t>TLAPAN LA JOYA</t>
  </si>
  <si>
    <t>DIRECCION ESPECIAL SA DE CV</t>
  </si>
  <si>
    <t>GRUPO ELEKTRA SA DE CV</t>
  </si>
  <si>
    <t>ELEKTRA COMERCIAL SA DE CV</t>
  </si>
  <si>
    <t>LUIS NIÑO DE RIVERA LAJOUS</t>
  </si>
  <si>
    <t>JOSE LUIS RIERA KINKEL</t>
  </si>
  <si>
    <t>LUIS GALVEZ PACHECO</t>
  </si>
  <si>
    <t>ESTADO DE TABASCO 164</t>
  </si>
  <si>
    <t>COPTO PUBLICIDAD SA DE CV</t>
  </si>
  <si>
    <t>AVENIDA 5 DE FEBRERO 745</t>
  </si>
  <si>
    <t>APOLINAR COPTO MARRUFO</t>
  </si>
  <si>
    <t>AVENIDA PASEO DE LA REFORMA 476 SEXTO PISO</t>
  </si>
  <si>
    <t>AVENIDA BARRANCA DEL MUERTO 280</t>
  </si>
  <si>
    <t>IGNACIO CORDERO SOTO</t>
  </si>
  <si>
    <t>ANDRES OLIVARES DEL CASTILLO GARCIA</t>
  </si>
  <si>
    <t>JUAN MARCOS ROSALES PACHECO</t>
  </si>
  <si>
    <t>PUBLICISTA</t>
  </si>
  <si>
    <t>PEDRO ARTURO OROZCO FLORATTI</t>
  </si>
  <si>
    <t>DOCTOR VERTIZ 967</t>
  </si>
  <si>
    <t>BACHER ZOPPI SA DE CV</t>
  </si>
  <si>
    <t>AVENIDA INSURGENTES SUR 670 PISO 6</t>
  </si>
  <si>
    <t>ANA SEVERIANO</t>
  </si>
  <si>
    <t>BECTON DICKINSON SA DE CV</t>
  </si>
  <si>
    <t>MONTE PELVOUX 111 PISO 8, 9 Y 10</t>
  </si>
  <si>
    <t>JORGE AREAGA</t>
  </si>
  <si>
    <t>LEOPOLDO OLVERA VILLA</t>
  </si>
  <si>
    <t>ANDRES MANUEL ITURBE URIBE</t>
  </si>
  <si>
    <t>AMBAR BERENICE JASSO RESELLO</t>
  </si>
  <si>
    <t>TICKETS</t>
  </si>
  <si>
    <t>TRANSFER</t>
  </si>
  <si>
    <t>PRODUCTOS</t>
  </si>
  <si>
    <t>VERONICA DEL SOCORRO SOTELO ORTIZ</t>
  </si>
  <si>
    <t>PUEBLA EDIFICIO 308 DESPACHO 301</t>
  </si>
  <si>
    <t>PREMIER RETAIL NETWORKS SERVICIOS DE MEXICO SA DE CV</t>
  </si>
  <si>
    <t>JORGE ELIOT 12-601</t>
  </si>
  <si>
    <t>CHAPULTEPEC POLANCO</t>
  </si>
  <si>
    <t>OLIVIA BADA</t>
  </si>
  <si>
    <t>JOSE ANTONIO HIDALGO ALVAREZ</t>
  </si>
  <si>
    <t>BARRANCA DEL MUERTO 280 OFICINA 310 3ER PISO</t>
  </si>
  <si>
    <t>AVENIDA INSTITUTO POLITECNICO NACIONAL 5421 PLANTA BAJA EDIFICIO ANEXO</t>
  </si>
  <si>
    <t>JORGE SOTELO MEDINA</t>
  </si>
  <si>
    <t>LAURA ROSSANA SOTELO ORTIZ</t>
  </si>
  <si>
    <t>ANTONIO JAIME EVARISTO ESQUIVEL</t>
  </si>
  <si>
    <t>EDITORA DE COMUNICACION</t>
  </si>
  <si>
    <t>VALES DE RESTAURANTE</t>
  </si>
  <si>
    <t>GUADALUPE TORRES GARCIA</t>
  </si>
  <si>
    <t>INSURGENTES SUR 688 PISO 3</t>
  </si>
  <si>
    <t>JASANIA ROSALES</t>
  </si>
  <si>
    <t>CAMINO SANTA TERESA 1040 2 PISO</t>
  </si>
  <si>
    <t>AUXILIAR DE VENTAS</t>
  </si>
  <si>
    <t>PRIMA VACAIONAL </t>
  </si>
  <si>
    <t>HECTOR LOPEZ MEDINA</t>
  </si>
  <si>
    <t>COATEPEC 8</t>
  </si>
  <si>
    <t>COORDINADOS DE MEXICO NORTE SA DE CV</t>
  </si>
  <si>
    <t>AUTOTRANSPORTES MEXICO TEXCOCO CALPULALPAN APIZACO HUAMANTLA Y ANEXAS SA DE CV</t>
  </si>
  <si>
    <t>JESUS ALBERTO RAMIREZ GARCIA</t>
  </si>
  <si>
    <t>NANCY BERENICE REGALADO LEON</t>
  </si>
  <si>
    <t>HAYDE GALAN GONZALEZ</t>
  </si>
  <si>
    <t>BUFETE RAMIREZ Y ASOCIADOS BRA ABOGADOS</t>
  </si>
  <si>
    <t>INSPECTOR VIAL C</t>
  </si>
  <si>
    <t>MAGDALENA "N"</t>
  </si>
  <si>
    <t>MARTIN JAVIER MATEOS LOPEZ</t>
  </si>
  <si>
    <t>MIGUEL SERRANO 21 DESPACHO 801</t>
  </si>
  <si>
    <t>SERVICIOS ESPECIALIZADOS EN GAS NATURAL SA DE CV</t>
  </si>
  <si>
    <t>BOULEVARD MIGUEL AVILA CAMACHO 36 PISO 16</t>
  </si>
  <si>
    <t>CONSORCIO MEXIGAS SA DE CV</t>
  </si>
  <si>
    <t>GDF SUEZ ENERGIA DE MEXICO SA DE CV</t>
  </si>
  <si>
    <t>GERMAIN MANCHON</t>
  </si>
  <si>
    <t>FELISA ROS</t>
  </si>
  <si>
    <t>RAUL FELIX</t>
  </si>
  <si>
    <t>FRANCISCO E ECHEGARAY GOMEZ</t>
  </si>
  <si>
    <t>FRANCISCO E ECHEGARAY GOMEZ ABOGADO</t>
  </si>
  <si>
    <t>RESPONSABLE DE CONCURSO</t>
  </si>
  <si>
    <t>ENRIQUE HERNANDEZ FERRER</t>
  </si>
  <si>
    <t>AVENIDA DIVISION DEL NORTE 1228 DESPACHO 504</t>
  </si>
  <si>
    <t>WEBTRACK SA DE CV</t>
  </si>
  <si>
    <t>PROLONGACION PASEO DE LA REFORMA 625 5 PISO DESPACHO 502</t>
  </si>
  <si>
    <t>PASEO DE LAS LOMAS</t>
  </si>
  <si>
    <t>GUSTAVO MORALES IRIGARAY</t>
  </si>
  <si>
    <t>BALTAZAR ROMAN VENEGAS</t>
  </si>
  <si>
    <t>DAVID ARTURO VARGAS ROMAN</t>
  </si>
  <si>
    <t>MARIA DEL CARMEN CARRILLO LEDESMA</t>
  </si>
  <si>
    <t>JUAN MANUEL MERLOS PRECIADO</t>
  </si>
  <si>
    <t>BONO COMISION</t>
  </si>
  <si>
    <t>HUGO DANIEL OSORIO GARCIA</t>
  </si>
  <si>
    <t>AVENIDA INSURGENTES CENTRO 114 DESPS 503-504 </t>
  </si>
  <si>
    <t>COMPAÑIA OPERADORA DE ESTACIONES DE SERVICIO SA DE CV</t>
  </si>
  <si>
    <t>THIERS 248 6° PISO</t>
  </si>
  <si>
    <t>CONSORCIO GASOLINERO SA DE CV</t>
  </si>
  <si>
    <t>HIDROSINA SA DE CV</t>
  </si>
  <si>
    <t>SERVICIO GOBERNADORES SA DE CV</t>
  </si>
  <si>
    <t>ENCARGADO DE GASOLINERA</t>
  </si>
  <si>
    <t>RUBEN HERRERA OCAMPO</t>
  </si>
  <si>
    <t>ALICIA CERON CALDERON</t>
  </si>
  <si>
    <t>SUR 87 221</t>
  </si>
  <si>
    <t>CACAMA</t>
  </si>
  <si>
    <t>GN10 USHMANNENN</t>
  </si>
  <si>
    <t>HERCHEL 152 ESQUINA CON KELVIN</t>
  </si>
  <si>
    <t>ANZUREZ</t>
  </si>
  <si>
    <t>PROYECTOS INTEGRALES</t>
  </si>
  <si>
    <t>RHNET</t>
  </si>
  <si>
    <t>BRENDA NAVA CAMACHO</t>
  </si>
  <si>
    <t>ITZEL TORRES</t>
  </si>
  <si>
    <t>DELIA CAMPOS</t>
  </si>
  <si>
    <t>ALBERTO OLVERA RUBIO</t>
  </si>
  <si>
    <t>HECTOR GOMEZ CAMPOS</t>
  </si>
  <si>
    <t>GERENTE DE CUENTAS</t>
  </si>
  <si>
    <t>ANA MARGARITA ZERMEÑO RAMIREZ</t>
  </si>
  <si>
    <t>QUERETARO 266 PISO 3 DESPACHO 5</t>
  </si>
  <si>
    <t>CLAUDIA ISLAS</t>
  </si>
  <si>
    <t>ALMA ALICIA GARCIA RAMIREZ</t>
  </si>
  <si>
    <t>VICTOR MARTINEZ</t>
  </si>
  <si>
    <t>DIEGO GUERRERO GONZALEZ</t>
  </si>
  <si>
    <t>CELSO YONATHAN RODRIGUEZ ZARATE  </t>
  </si>
  <si>
    <t>GRUPO CORPOGAS SERVICIO ECLIPSE SA DE CV</t>
  </si>
  <si>
    <t>AVENIDA VASCO DE QUIROGA 1984</t>
  </si>
  <si>
    <t>GUILLERMO VALDEZ</t>
  </si>
  <si>
    <t>GUSTAVO SANCHEZ VELAZQUEZ</t>
  </si>
  <si>
    <t>AVENIDA UNIVERSIDAD 716 DESPACHO 301 </t>
  </si>
  <si>
    <t>SERVICIO DELORRE SA DE CV</t>
  </si>
  <si>
    <t>AVENIDA H CONGRESO DE LA UNION 22</t>
  </si>
  <si>
    <t>POPULAR RASTRO</t>
  </si>
  <si>
    <t>ROCIO MARTINEZ </t>
  </si>
  <si>
    <t>CESAR ROJAS</t>
  </si>
  <si>
    <t>CESAR J ACOSTA RENDON</t>
  </si>
  <si>
    <t>DESPACHADOR DE GASOLINA</t>
  </si>
  <si>
    <t>ROCIO MARTINEZ</t>
  </si>
  <si>
    <t>URIEL</t>
  </si>
  <si>
    <t>PRECISE LA HORA Y EL LUGAR DEL PRESUNTO DESPIDO DEL CUAL SE QUEJA</t>
  </si>
  <si>
    <t>ZIRAHUEN FLORES ISLAS </t>
  </si>
  <si>
    <t>ALAMO 15</t>
  </si>
  <si>
    <t>FRACCIONAMIENTO ATIZAPAN MODERNO</t>
  </si>
  <si>
    <t>TELESINTEL DE MEXICO SA DE CV </t>
  </si>
  <si>
    <t>PRESA SALINILLAS 370, PISO 10, INTERIOR 1001</t>
  </si>
  <si>
    <t>IRRIGACION </t>
  </si>
  <si>
    <t>LUIS GONZALO MARTIN DEL CAMPO HERRERA</t>
  </si>
  <si>
    <t>QUIEN RESULTE RESPONSABLE DE LA RELACION DE TRABAJO</t>
  </si>
  <si>
    <t>DENISSE GISEL BOCANEGRA TORRE</t>
  </si>
  <si>
    <t>JESSICA MONSERRAT SALAZAR OLMOS</t>
  </si>
  <si>
    <t>AGUSTIN NORIEGA PASTEN</t>
  </si>
  <si>
    <t>GASTOS DE TELEFONIA</t>
  </si>
  <si>
    <t>JOSE EDUARDO LEMUS RODRIGUEZ</t>
  </si>
  <si>
    <t>BSA INGENIERIA EN MOTOCICLISMO DE CV </t>
  </si>
  <si>
    <t>XOLA 124 ENTRE CALLES ISABEL LA CATOLICA Y ANDALUCIA </t>
  </si>
  <si>
    <t>GERMAN BUSTINZAR ALCANTARA</t>
  </si>
  <si>
    <t>ALFREDO BUSTINZAR ALCANTARA</t>
  </si>
  <si>
    <t>ALEJANDRO BUSTINZAR ALCANTARA</t>
  </si>
  <si>
    <t>FRANCISCO JAVIER WILSON MARTINEZ</t>
  </si>
  <si>
    <t>MARIA FERNANDA LEMUS RODRIGUEZ</t>
  </si>
  <si>
    <t>ALFREDO AGUILAR LOPEZ</t>
  </si>
  <si>
    <t>AYUDANTE DE MECANICO</t>
  </si>
  <si>
    <t>GERMAN BUSTINZAR</t>
  </si>
  <si>
    <t>ALEJANDRO VAZQUEZ URIBE</t>
  </si>
  <si>
    <t>CALZADA SAN ANTONIO ABAD 122 4TO</t>
  </si>
  <si>
    <t>JOSE ALBERTO CRUZ GRANADOS</t>
  </si>
  <si>
    <t>FERNANDO RAMIREZ 101</t>
  </si>
  <si>
    <t>VENDEDOR Y REPARTIDOR</t>
  </si>
  <si>
    <t>ANGELICA REYES ESCOBAR</t>
  </si>
  <si>
    <t>DOCTOR LUCIO 127, DESPACHO 401</t>
  </si>
  <si>
    <t>ANDRES TORT</t>
  </si>
  <si>
    <t>SAN JUAN 675</t>
  </si>
  <si>
    <t>GUSTAVO A MADERO</t>
  </si>
  <si>
    <t>GUSTAVO A. MADERO</t>
  </si>
  <si>
    <t>RAFAEL GONZALEZ GALINDO</t>
  </si>
  <si>
    <t>PATRICIA MORALES HERNANDEZ</t>
  </si>
  <si>
    <t>USA/GAS SAN JUAN SA DE CV </t>
  </si>
  <si>
    <t>C&amp;E PERSONNEL ADMINISTRATION SA DE CV </t>
  </si>
  <si>
    <t>MARTHA MARLENE RAMOS ELIZALDE</t>
  </si>
  <si>
    <t>JULIO CESAR HERNANDEZ</t>
  </si>
  <si>
    <t>FALTA AUTO DE RADICACION</t>
  </si>
  <si>
    <t>LUISA MARIA LIRA ANZURES</t>
  </si>
  <si>
    <t>ESTRADOS </t>
  </si>
  <si>
    <t>MANPOWER INDUSTRIAL SA DE CV </t>
  </si>
  <si>
    <t>AVENIDA INSURGENTES SUR 688 TERCER PISO </t>
  </si>
  <si>
    <t>MANPOWER SA DE CV </t>
  </si>
  <si>
    <t>CLAUDIA RIVAS </t>
  </si>
  <si>
    <t>ALEJANDRA TORRES M</t>
  </si>
  <si>
    <t>OPERADORA CHEDRAHUI SA DE CV </t>
  </si>
  <si>
    <t>CARRETERA CUAUTITLAN ZUMPANGO MANZANA 825</t>
  </si>
  <si>
    <t>BARRIO SAN JUAN </t>
  </si>
  <si>
    <t>MUNICIPIO DE CUAUTITLAN ROMERO DE RUBIO</t>
  </si>
  <si>
    <t>JESUS LUJAN PONCE</t>
  </si>
  <si>
    <t>JUAN ARTURO MALDONADO ABASOLO</t>
  </si>
  <si>
    <t>EDITH MALDONADO ABASOLO</t>
  </si>
  <si>
    <t>BUFETE JURIDICO MALDONADO </t>
  </si>
  <si>
    <t>JEFA DE MONTACARGUISTAS</t>
  </si>
  <si>
    <t>CLAUDIA RIVAS</t>
  </si>
  <si>
    <t>PREMIO DE PUNTUALIDAD </t>
  </si>
  <si>
    <t>COMEDOR</t>
  </si>
  <si>
    <t>PARA EL CALCULO DE HORAS EXTRAS SEMANALES RECLAMADAS UTILICE UN PROMEDIO PUESTO QUE EN UN HORARIO TRABAJABA 18 Y EN OTRO 12</t>
  </si>
  <si>
    <t>DANIEL ORTIZ FLORES</t>
  </si>
  <si>
    <t>DOCTOR JOSE MARIA VERTIZ 109, DESPACHO 8</t>
  </si>
  <si>
    <t>SERVICIOS TECNICOS PLUS SA DE CV </t>
  </si>
  <si>
    <t>CONSORCIO GASOLINERO SA DE CV </t>
  </si>
  <si>
    <t>CRISTINA MENESES</t>
  </si>
  <si>
    <t>QUIEN RESULTE SER PROPIETARIO RESPONSABLE DE LA FUENTE DE TRABAJO</t>
  </si>
  <si>
    <t>COLABORADOR Y AYUDANTE GASOLINERO</t>
  </si>
  <si>
    <t>MARCO ANTONIO VARELA</t>
  </si>
  <si>
    <t>PRECISE EL LUGAR DONDE DICE OCURRIO EL PRESUNTO DESPIDO DEL CUAL SE QUEJA</t>
  </si>
  <si>
    <t>HECTOR GONZALEZ RAMIREZ</t>
  </si>
  <si>
    <t>LONDRES 279, SEGUNDO PISO</t>
  </si>
  <si>
    <t>DIRECCION CORPORATIVA RANDAL SA DE CV </t>
  </si>
  <si>
    <t>PERIFERICO SUR 6611-A, DESPACHO 5</t>
  </si>
  <si>
    <t>SAN JUAN DE DIOS TEPEPAN</t>
  </si>
  <si>
    <t>JORGE GONZALEZ RAMIREZ</t>
  </si>
  <si>
    <t>PERSONA FISICA O MORAL QUE RESULTE PROPIETARIA O RESPONSABLE DE LA FUENTE DE TRABAJO</t>
  </si>
  <si>
    <t>CARLOS ROBERTO VENTURA DIAZ ESCOBAR</t>
  </si>
  <si>
    <t>CAROLINA JATZIRI PEREZ BERMUDEZ</t>
  </si>
  <si>
    <t>JESUS EMMANUEL BELTRAN MAYA</t>
  </si>
  <si>
    <t>IVAN MORTERA HUESCA</t>
  </si>
  <si>
    <t>PEDRO SANTACILLA 231</t>
  </si>
  <si>
    <t>AUTOSERVICIO ESPINO SA DE CV </t>
  </si>
  <si>
    <t>ANTONIO MAURA 107 ESQUINA JUANA DE ARCO </t>
  </si>
  <si>
    <t>MODERNA</t>
  </si>
  <si>
    <t>LUIS GARCIA</t>
  </si>
  <si>
    <t>ROGELIO GARCIA MORENO</t>
  </si>
  <si>
    <t>A LA PERSONA FISICA Y/O MORAL QUE A LA POSTRE RESULTE RESPONSABLE Y/O PROPIETARIA DE LA FUENTE DE TRABAJO</t>
  </si>
  <si>
    <t>HUMBERTO ALCAZAR BERNABE</t>
  </si>
  <si>
    <t>RAQUEL SERRANO CRUZ</t>
  </si>
  <si>
    <t>FERNANDO RAMIREZ VELAZQUEZ</t>
  </si>
  <si>
    <t>LUIS GARCIA; ROGELIO GARCIA MORENO</t>
  </si>
  <si>
    <t>VALES DE RESTAURANTE; AYUDA PARA TRANSPORTE; FONDO DE AHORRO</t>
  </si>
  <si>
    <t>ENRIQUE MONDRAGON GARCIA</t>
  </si>
  <si>
    <t>TONALA 26 BIS, ESQUINA LEON DE LOS ALDAMA</t>
  </si>
  <si>
    <t>AUTOFINACIAMIENTO MEXICO SA DE CV</t>
  </si>
  <si>
    <t>INSURGENTES SUR 1235; INSURGENTES SUR 1152</t>
  </si>
  <si>
    <t>EXTREMADURA INSURGENTES; TLACOQUEMECATL DEL VALLE</t>
  </si>
  <si>
    <t>BENITO JUAREZ; BENITO JUAREZ</t>
  </si>
  <si>
    <t>ARRENDOMOVIL SA DE CV </t>
  </si>
  <si>
    <t>ELECTROFACIL DE MEXICO SA DE CV </t>
  </si>
  <si>
    <t>COMERCIAL DE AUTOFINANCIAMIENTO SA DE CV </t>
  </si>
  <si>
    <t>COMPAÑIA MEXICANA DE COMERCIALIZACION SA DE CV </t>
  </si>
  <si>
    <t>DECCORO INMOBILIARIO SA DE CV </t>
  </si>
  <si>
    <t>GUILLERMO SORIA GUTIERREZ</t>
  </si>
  <si>
    <t>INSTITUCIONES FINANCIERAS</t>
  </si>
  <si>
    <t>VENDEDOR COMISIONISTA</t>
  </si>
  <si>
    <t>GRISELDA CISNEROS ZARATE</t>
  </si>
  <si>
    <t>AVENIDA JOSE MARIA RICO 212, DESPACHO 204</t>
  </si>
  <si>
    <t>METALICOS Y PLASTICOS PARA LA INDUSTRIA AUTOMOTRIZ SA DE CV </t>
  </si>
  <si>
    <t>ORIENTE 217 A 13</t>
  </si>
  <si>
    <t>CUCHILLA AGRICOLA ORIENTAL</t>
  </si>
  <si>
    <t>MARIANO RAFAEL BELMONT CORDERO </t>
  </si>
  <si>
    <t>JUANA MARGARITA VAZQUEZ CAÑON</t>
  </si>
  <si>
    <t>VICTOR MANUEL MORATO LORENZO</t>
  </si>
  <si>
    <t>MARCOS LOYO HERNANDEZ</t>
  </si>
  <si>
    <t>DANIEL MENDOZA VILLA</t>
  </si>
  <si>
    <t>MARIANO RAFAEL BELMONT CORDERO</t>
  </si>
  <si>
    <t>FONDO DE AHOROO</t>
  </si>
  <si>
    <t>PARTE DE PRODUCTIVIDAD; DESPENSA</t>
  </si>
  <si>
    <t>JOSE MANUEL JIMENEZ MEZA</t>
  </si>
  <si>
    <t>DOCTOR LUCIO 103, EDIFICIO A-5, DESPACHO 402</t>
  </si>
  <si>
    <t>VAZSERVIS SA DE CV </t>
  </si>
  <si>
    <t>UNIVERSIDAD 2014, TERCER PISO </t>
  </si>
  <si>
    <t>COPILCO UNIVERSIDAD</t>
  </si>
  <si>
    <t>JOSE GABRIEL ARREDONDO FLORES </t>
  </si>
  <si>
    <t>PERSONA FISICA O MORAL QUE RESULTE PATRON Y/O PROPIETARIO DE LA FUENTE DE TRABAJO</t>
  </si>
  <si>
    <t>CORPORACION HERMANOS VAZQUEZ SA DE CV </t>
  </si>
  <si>
    <t>FRESNO 307</t>
  </si>
  <si>
    <t>FIDEL LOPEZ</t>
  </si>
  <si>
    <t>ALEJANDRO GARCIA ORDOÑEZ</t>
  </si>
  <si>
    <t>ALMA LILIA OLIVARES FRANCO</t>
  </si>
  <si>
    <t>BLANCA PIEDAD SANTIAGO ESCALONA</t>
  </si>
  <si>
    <t>GARCIA ORDOÑEZ Y ASOCIADOS SC</t>
  </si>
  <si>
    <t>OSWALDO CUELLAR NAVA</t>
  </si>
  <si>
    <t>CALZADA SAN ANTONIO ABAD 222, 4TO</t>
  </si>
  <si>
    <t>MAXCOM SERVICIOS ADMINISTRATIVOS SA DE CV </t>
  </si>
  <si>
    <t>GUILLERMO GONZALEZ CAMARENA 2000 </t>
  </si>
  <si>
    <t>WILLIAM NAZARET</t>
  </si>
  <si>
    <t>ISMAEL OLVERA SEGURA</t>
  </si>
  <si>
    <t>QUIEN RESULTE RESPONSABLE, PATRON O PROPIETARIO DE LA FUENTE DE TRABAJO</t>
  </si>
  <si>
    <t>FERNANDO FRANCISCO JOSE MORALES Y ROSAS</t>
  </si>
  <si>
    <t>OMAR ENRIQUE CONTRERAS ACOSTA</t>
  </si>
  <si>
    <t>RESORT CONDOMINIUMS INTERNACIONAL DE MEXICO S DE RL DE CV </t>
  </si>
  <si>
    <t>HORACIO 1855 PENHOUSE ENTRE PERIFERICO Y PASCAL</t>
  </si>
  <si>
    <t>LOS MORALES DE POLANCO</t>
  </si>
  <si>
    <t>MIRAVAL SA DE CV </t>
  </si>
  <si>
    <t>GRUPO VELA SA DE CV </t>
  </si>
  <si>
    <t>PALACE RESORT RESERVATION SA DE CV </t>
  </si>
  <si>
    <t>HOTELES PALACE</t>
  </si>
  <si>
    <t>PRADOS CAMELINA SA DE CV </t>
  </si>
  <si>
    <t>GUIA VACACIONA MASTER</t>
  </si>
  <si>
    <t>EDSON JIMENEZ</t>
  </si>
  <si>
    <t>BONO ESPECIAL</t>
  </si>
  <si>
    <t>AYUDA AL TRABAJADOR</t>
  </si>
  <si>
    <t>PRIMA VACACIONAL; AGUINALDO</t>
  </si>
  <si>
    <t>GABRIELA VAZQUEZ REYES</t>
  </si>
  <si>
    <t>AVENIDA SAN BERNABE 113-2</t>
  </si>
  <si>
    <t>MAGDALENA CONTRERAS</t>
  </si>
  <si>
    <t>SERVICIO ADMINISTRATIVO INTEGRAN SA DE CV </t>
  </si>
  <si>
    <t>RELOX 16-C</t>
  </si>
  <si>
    <t>CHIMALISTAC</t>
  </si>
  <si>
    <t>RODOLFO ESPEJEL PEREZ</t>
  </si>
  <si>
    <t>BEATRIZ CRUZ GUZMAN</t>
  </si>
  <si>
    <t>COMUNICART SA DE CV </t>
  </si>
  <si>
    <t>LONDRES 331</t>
  </si>
  <si>
    <t>VERONICA CRUZ RUIZ</t>
  </si>
  <si>
    <t>MARA SERVIN</t>
  </si>
  <si>
    <t>QUIEN RESULTE RESPONSABLE, PROPIETARIO O PATRON DE LA FUENTE DE TRABAJO</t>
  </si>
  <si>
    <t>AVENIDA INSTITUTO POLITECNICO NACIONAL 5421, EDFICIO 3, PLANTA BAJA</t>
  </si>
  <si>
    <t>COMISION NACIONAL DEL SISTEMA DE AHORRO PARA EL RETIRO</t>
  </si>
  <si>
    <t>CAMINO SANTA TERESA 1040, SEGUNDO PISO </t>
  </si>
  <si>
    <t>JORNADA</t>
  </si>
  <si>
    <t>PABLO CESAR SANTAOLAYA MAGAÑA</t>
  </si>
  <si>
    <t>AVENIDA INSURGENTES CENTRO 23, INTERIOR 202</t>
  </si>
  <si>
    <t>JORGE AGUIRRE JUAREZ</t>
  </si>
  <si>
    <t>AVENIDA PROLONGACION DEL NORTE EDIFICIO 28, INTERIOR 403</t>
  </si>
  <si>
    <t>VILLA COAPA </t>
  </si>
  <si>
    <t>QUIEN RESULTE SER EL RESPONSABLE PROPIETARIO O PATRON DE LA FUENTE DE TRABAJO</t>
  </si>
  <si>
    <t>DIEGO ORLANDO CARRASCO HINOJOSA</t>
  </si>
  <si>
    <t>ELBA PATRICIA CADENA BELLO</t>
  </si>
  <si>
    <t>MIGUEL EDUARDO AYALA BALCAZAR</t>
  </si>
  <si>
    <t>INSTALACION DE SISTEMAS</t>
  </si>
  <si>
    <t>MARIA DEL CARMEN ROMERO ROSAS</t>
  </si>
  <si>
    <t>MERCADOTECNIA TEZONTLE SA DE CV </t>
  </si>
  <si>
    <t>FERROCARRIL RIO FRIO 419-AC</t>
  </si>
  <si>
    <t>JULIO CESAR HERNANDEZ ALVARADO</t>
  </si>
  <si>
    <t>EJECUTIVO FINANCIERO</t>
  </si>
  <si>
    <t>JONATHAN RUBIO</t>
  </si>
  <si>
    <t>MARGARITA URIBE TAPIA</t>
  </si>
  <si>
    <t>EDUARDO MOLINA 1720, EDIFICIO 27, DEPARTAMENTO 516</t>
  </si>
  <si>
    <t>SALVADOR DIAZ MIRON</t>
  </si>
  <si>
    <t>MENDOZA IMPERIO AUTOMOTRIZ SA DE CV </t>
  </si>
  <si>
    <t>ORIENTE 145 122</t>
  </si>
  <si>
    <t>ACCION Y EXCELENCIA SA DE CV </t>
  </si>
  <si>
    <t>EDUARDO TAPIA BAÑOS</t>
  </si>
  <si>
    <t>CRISTINA RIGEL RAMIREZ GUTIERREZ</t>
  </si>
  <si>
    <t>ASISTENTE DE GERENCIA DE COMPRAS</t>
  </si>
  <si>
    <t>LEONCIO JUAREZ</t>
  </si>
  <si>
    <t>CARLOS SANTIAGO GUERRA GUZMAN</t>
  </si>
  <si>
    <t>CONGRESO 22</t>
  </si>
  <si>
    <t>CORPORATIVO INDUSTRIAL ALIMENTICIO GRUCIASA SA DE CV </t>
  </si>
  <si>
    <t>MONTECITO 38 PISO 18 OFICINA 27</t>
  </si>
  <si>
    <t>RAICES GUAFA S DE RL DE CV </t>
  </si>
  <si>
    <t>INDUSTRIAS GUMN S DE RL DE CV </t>
  </si>
  <si>
    <t>GERARDO NEGRETE</t>
  </si>
  <si>
    <t>QUIENES RESULTEN RESPONSABLES O PROPIETARIOS DE LA FUENTE DE TRABAJO</t>
  </si>
  <si>
    <t>AMADO GUERRERO MEJIA</t>
  </si>
  <si>
    <t>MARIA DEL CARMEN GUERRERO HERNANDEZ</t>
  </si>
  <si>
    <t>SELENE FRANCO HERNANDEZ</t>
  </si>
  <si>
    <t>GESTOR DEL DEPARTAMENTO DE COBRANZA</t>
  </si>
  <si>
    <t>VERONICA HERNANDEZ RIOS</t>
  </si>
  <si>
    <t>ARTEMIO LOPEZ HERNANDEZ</t>
  </si>
  <si>
    <t>DOCTOR LUCIO 127, DESPACHO 203 Y 204</t>
  </si>
  <si>
    <t>ASOCIACION DE OPERADORES Y PROPIETARIOS Y AUTO TRANSPORTISTAS AC</t>
  </si>
  <si>
    <t>PRIMERA PRIVADA DE LAGO GUIJA 8-1</t>
  </si>
  <si>
    <t>TORRE BLANCA</t>
  </si>
  <si>
    <t>RUTA 99</t>
  </si>
  <si>
    <t>BENJAMIN RODRIGUEZ</t>
  </si>
  <si>
    <t>LUIS ZUÑIGA FLORES</t>
  </si>
  <si>
    <t>MARIO EDUARDO TRUJILLO</t>
  </si>
  <si>
    <t>MIGUEL GUTIERREZ FLORINA</t>
  </si>
  <si>
    <t>MONTERRREY 132, DESPACHO 401</t>
  </si>
  <si>
    <t>VE OUTSOURCING DE RECURSOS HUMANOS SC</t>
  </si>
  <si>
    <t>INSURGENTES SUR 1877, PISO 2</t>
  </si>
  <si>
    <t>EDUARDO GARCIA HIDALGO</t>
  </si>
  <si>
    <t>MARICELA ANTUNEZ CADENAS</t>
  </si>
  <si>
    <t>QUIEN RESULTE RESPONSABLE O PATRON DE LA FUENTE LABORAL</t>
  </si>
  <si>
    <t>ISRAEL ESPINOZA MONTELLANO</t>
  </si>
  <si>
    <t>DOCTOR OLVERA 159 ALTOS</t>
  </si>
  <si>
    <t>LUIS TREJO GARCIA</t>
  </si>
  <si>
    <t>DOCTOR JOSE TRRES 62</t>
  </si>
  <si>
    <t>QUIEN RESULTE RESPONSABLE DEL CENTRO DE TRABAJO</t>
  </si>
  <si>
    <t>ANGEL GONZALEZ GONZALEZ</t>
  </si>
  <si>
    <t>ADRIAN GONZALEZ GUADARRAMA</t>
  </si>
  <si>
    <t>RECTIFICADOR</t>
  </si>
  <si>
    <t>LAURA ANGELICA RENDON LOPEZ</t>
  </si>
  <si>
    <t>ELMEX SUPERIOR SA DE CV </t>
  </si>
  <si>
    <t>MARIA PATRA ARENAS MENA</t>
  </si>
  <si>
    <t>JUAN CARLOS BASAVE HERNANDEZ</t>
  </si>
  <si>
    <t>MARIA DEL CARMEN PRUD´HOMME ZECUA</t>
  </si>
  <si>
    <t>ASESOR DE SERVICIOS</t>
  </si>
  <si>
    <t>MARIA PETRA ARENAS MENA</t>
  </si>
  <si>
    <t>MONICA AIDEE GARDUÑO CHAPINA</t>
  </si>
  <si>
    <t>VIADUCTO MIGUEL ALEMAN 20, PENTHOUSE 802</t>
  </si>
  <si>
    <t>ALSEA SAB DE CV </t>
  </si>
  <si>
    <t>AVENIDA PASEO DE LA REFORMA 222, TORRE 1, PISO 3 </t>
  </si>
  <si>
    <t>SISTEMA INTEGRAL DE ADMINISTRACION SA DE CV </t>
  </si>
  <si>
    <t>ROSARIO HURTADO GARDUÑO </t>
  </si>
  <si>
    <t>OSCAR PRECIADO</t>
  </si>
  <si>
    <t>ARMANDO TORRADO MARTINEZ</t>
  </si>
  <si>
    <t>QUIEN O QUIENES RESULTEN DUEÑOS O PROPIETARIO DE LA FUENTE DE TRABAJO</t>
  </si>
  <si>
    <t>RUBEN REYES MARTINEZ</t>
  </si>
  <si>
    <t>JOSE LUIS GOMEZ HERNANDEZ</t>
  </si>
  <si>
    <t>VANESSA OROPEZA EUGENIO</t>
  </si>
  <si>
    <t>REYES RIOJAS</t>
  </si>
  <si>
    <t>COORDINADORA DE RECLUTAMIENTO Y SELECCION  </t>
  </si>
  <si>
    <t>ROSARIO HURTADO GARCIA</t>
  </si>
  <si>
    <t>HECTOR TIRADO VELAZQUEZ</t>
  </si>
  <si>
    <t>FERROCARRIL RIO FRIO 419 A-10</t>
  </si>
  <si>
    <t>CLAUDIA AVILA ECHEVERRIA</t>
  </si>
  <si>
    <t>JEFE DE ZONA DE COBRANZA</t>
  </si>
  <si>
    <t> MARIA ELVIRA DIAZ Y VALDES PERSONA QUE PROMUEVE LA DEMANDA</t>
  </si>
  <si>
    <t>CARLOS RODRIGUEZ DIAZ</t>
  </si>
  <si>
    <t>ROLLING PERSONNEL S DE RL DE CV </t>
  </si>
  <si>
    <t>VIENA 71-503</t>
  </si>
  <si>
    <t>MUERTE DE TRABAJADOR</t>
  </si>
  <si>
    <t>SANDY IVONNE HURTADO GARCIA</t>
  </si>
  <si>
    <t>IGNACIO L VALLARTA 53</t>
  </si>
  <si>
    <t>JACARANDAS</t>
  </si>
  <si>
    <t>ILUMINACION ISOLUZ SA DE CV </t>
  </si>
  <si>
    <t>ORIENTE 235-C 27</t>
  </si>
  <si>
    <t>RUBEN RIZO HERNANDEZ</t>
  </si>
  <si>
    <t>BARRANCA DEL MUERTO 280 PLANTA BAJA</t>
  </si>
  <si>
    <t>AVENIDA HIDALGO 477</t>
  </si>
  <si>
    <t>ALDO SOMERVILLE CANUDAS </t>
  </si>
  <si>
    <t>RUBEN ARY ARGUMEDO MIRANDA</t>
  </si>
  <si>
    <t>GERARDO MEJIA PLATA</t>
  </si>
  <si>
    <t>CULIACAN 65</t>
  </si>
  <si>
    <t>CAD EMPLEA Y CAPACITA SC</t>
  </si>
  <si>
    <t>PINO 94</t>
  </si>
  <si>
    <t>BARRIO SANTA CATARINA</t>
  </si>
  <si>
    <t>ALBERTO HERNANDEZ CERVANTES</t>
  </si>
  <si>
    <t>NOVA MEDIC SEGUROS DE SALUD SA DE CV </t>
  </si>
  <si>
    <t>ARQUIMIDES 130 PISO 3 </t>
  </si>
  <si>
    <t>POLANCO</t>
  </si>
  <si>
    <t>JOSE DOMINGUEZ HERNANDEZ</t>
  </si>
  <si>
    <t>FELIPE DOMINGUEZ HERNANDEZ</t>
  </si>
  <si>
    <t>KARINA CABAL JIMENEZ</t>
  </si>
  <si>
    <t>NANCY PARRA PEREZ</t>
  </si>
  <si>
    <t>LEANDRO BERMUDEZ PINEDA</t>
  </si>
  <si>
    <t>VIVIANE RAMIREZ AGUILAR</t>
  </si>
  <si>
    <t>ASESOR MEDICO TELEFONICO</t>
  </si>
  <si>
    <t>PAOLA CABAL JIMENEZ</t>
  </si>
  <si>
    <t>JOSE ANTONIO MIRANDA LUNA</t>
  </si>
  <si>
    <t>SUPER TUNE UPS SA DE CV </t>
  </si>
  <si>
    <t>AVENIDA SANTA ANA 354</t>
  </si>
  <si>
    <t>SAN FRANCISCO CULHUACAN </t>
  </si>
  <si>
    <t>ARLETTE ROMO KURI</t>
  </si>
  <si>
    <t>QUIEN O QUIENES RESULTEN RESPONSABLES DE LA RELACION LABORAL</t>
  </si>
  <si>
    <t>FRANCISCO JAVIER QUIROZ TREJO</t>
  </si>
  <si>
    <t>ELVIA MARIA ZARATE NUÑEZ</t>
  </si>
  <si>
    <t>JOSE ISAI APARICIO DE LA LUZ</t>
  </si>
  <si>
    <t>ALEJANDRO MILLER AGUIRRE</t>
  </si>
  <si>
    <t>RIO MISSISSIPI 50</t>
  </si>
  <si>
    <t>SITIO ALAMOS</t>
  </si>
  <si>
    <t>CADIZ SIN NUMERO, ESQUINA CALLE ANDALUCIA</t>
  </si>
  <si>
    <t>SARA RODRIGUEZ A</t>
  </si>
  <si>
    <t>VICTOR MANUEL SILVA SANCHEZ</t>
  </si>
  <si>
    <t>GREGORIO VIRGILIO Y ROCA</t>
  </si>
  <si>
    <t>RODRIGO GRIJALVA SOLANO</t>
  </si>
  <si>
    <t>CASETERO</t>
  </si>
  <si>
    <t>ROQUE FERNANDO FONSECA GONZALEZ</t>
  </si>
  <si>
    <t>PAULA MENDOZA MARTINEZ</t>
  </si>
  <si>
    <t>INSURGENTES CENTRO 114, DESPACHO 503 Y 504</t>
  </si>
  <si>
    <t>SERVICIOS PROFESIONALES PARA INMUEBLES SA DE CV </t>
  </si>
  <si>
    <t>JOSE MARIA CASTORENA 324, OFICINA 208, SEGUNDO PISO</t>
  </si>
  <si>
    <t>CUAJIMALPA</t>
  </si>
  <si>
    <t>CUAJIMALPA DE MORELOS</t>
  </si>
  <si>
    <t>SANEAMIENTO DE INMUEBLES SA DE CV </t>
  </si>
  <si>
    <t>ALDO PEÑA MARTINEZ</t>
  </si>
  <si>
    <t>QUIEN RESULTE PROPIETARIO O RESPONSABLE DE LA FUENTE DE TRABAJO</t>
  </si>
  <si>
    <t>MANUEL ALVAREZ NUÑEZ</t>
  </si>
  <si>
    <t>MANUEL ALVAREZ DURAN</t>
  </si>
  <si>
    <t>MIGUEL ANGEL ALVAREZ NUÑEZ</t>
  </si>
  <si>
    <t>ASESORIA EMPRESARIAL LABORAL SC</t>
  </si>
  <si>
    <t>ROBERTO VAZQUEZ VELAZQUEZ </t>
  </si>
  <si>
    <t>CONSORCIO JURIDICO DE COBRANZA ESPECIALIZADA SA DE CV </t>
  </si>
  <si>
    <t>ANDALUCIA 245</t>
  </si>
  <si>
    <t>CONSORCIO DE PROMOCIONES VENTAS Y SOLUCIONES ADMINISTRATIVAS SC</t>
  </si>
  <si>
    <t>CONSORCIO ESPECIALIZADO EN SERVICIOS DE COBRANZA SA DE CV </t>
  </si>
  <si>
    <t>RICARDO ACOSTA JAIME</t>
  </si>
  <si>
    <t>SERGIO DUEÑAS SUAREZ</t>
  </si>
  <si>
    <t>JOSE LUIS RAMIREZ LUJAN</t>
  </si>
  <si>
    <t>EDILBERTO SANCHE BELTRAN</t>
  </si>
  <si>
    <t>FALTA AUTO DE RADICACION, INES HERNANDEZ SANCHEZ PROMUEVE LA DEMANDA COMO BENIFICIARIA DEL CUJUS</t>
  </si>
  <si>
    <t>ANTONIO CARMONA REYES</t>
  </si>
  <si>
    <t>MULTISOLUCIONES AQUI SA DE CV </t>
  </si>
  <si>
    <t>AVENIDA PATRIOTISMO 117-A</t>
  </si>
  <si>
    <t>ALBERTO DE LA SERNA</t>
  </si>
  <si>
    <t>MARIA IMELDA PEREZ CHAGOLLAN</t>
  </si>
  <si>
    <t>DOCTOR OLVERA 159 , INTERIOR 1</t>
  </si>
  <si>
    <t>SERVI TEMPORAL SA DE CV </t>
  </si>
  <si>
    <t>AVENIDA PASEO DE LA REFORMA 87, INTERIOR 404</t>
  </si>
  <si>
    <t>CESAR ALEJANDRO MORALES TOVAR</t>
  </si>
  <si>
    <t>ANGEL BARCO</t>
  </si>
  <si>
    <t>MARIA MARTHA CHAVEZ</t>
  </si>
  <si>
    <t>RAUL ARELLANO VALENCIA</t>
  </si>
  <si>
    <t>DOCTOR MARTINEZ DEL RIO 150, DESPACHO 103</t>
  </si>
  <si>
    <t>CORPORACION JURIDICA Y ADMINISTRACION DE PERSONAL SA DE CV </t>
  </si>
  <si>
    <t>MONTECITO 38, PISO 38, OFICINA 38</t>
  </si>
  <si>
    <t>HUMAN ACCESS, MR INTELIGENCIA DE CAPITAL HUMANO </t>
  </si>
  <si>
    <t>EDUARDO G ROSENBERG ESTRELLA</t>
  </si>
  <si>
    <t>HORACIO RIVERA OROZCO</t>
  </si>
  <si>
    <t>FERNANDO RIVERA OROZCO</t>
  </si>
  <si>
    <t>CARLOS ABRAHAM AGUILAR JORDAN</t>
  </si>
  <si>
    <t>JESUS CASTELLANOS HERNANDEZ</t>
  </si>
  <si>
    <t>SERAFIN BERNAL ALEJANDRE </t>
  </si>
  <si>
    <t>CRESCENCIANO CRUZ JUAREZ</t>
  </si>
  <si>
    <t>EJECUTIVO DE NOMINA</t>
  </si>
  <si>
    <t>YANIRA ERENDIRA PEREZ DELGADILLO</t>
  </si>
  <si>
    <t>LOPEZ 43, DESPACHO 501</t>
  </si>
  <si>
    <t>MAGNEFIS S DE RL DE CV </t>
  </si>
  <si>
    <t>PONIENTE 128 437, PRIMER PISO</t>
  </si>
  <si>
    <t>NUEVA VALLEJO</t>
  </si>
  <si>
    <t>RODRIGO MOLLINEDO </t>
  </si>
  <si>
    <t>ALMA MOLLINEDO</t>
  </si>
  <si>
    <t>ASISTENTE DE TELEMARKETING</t>
  </si>
  <si>
    <t>RODRIGO MOLLINEDO</t>
  </si>
  <si>
    <t>JONATHAN OLVERA NIEVES</t>
  </si>
  <si>
    <t>MORENO VEGA ABOGADOS SC</t>
  </si>
  <si>
    <t>RIO RHIN 22, DESPACHO 804</t>
  </si>
  <si>
    <t>CESAR CARDONA </t>
  </si>
  <si>
    <t>DANIEL ZAMUDIO</t>
  </si>
  <si>
    <t>CESAR CARDONA</t>
  </si>
  <si>
    <t>GRISELDA ARRATI ORTEGA</t>
  </si>
  <si>
    <t>PENDULUM SERVICIOS INTEGRALES SA DE CV </t>
  </si>
  <si>
    <t>AVENIDA PASEO DE LA REFORMA 404, PISO 8 Y 10</t>
  </si>
  <si>
    <t>KEVIN GUNN MOURE</t>
  </si>
  <si>
    <t>ROBERTO COLLIARD</t>
  </si>
  <si>
    <t>MICHAEL CHARLES SMITHERS JIMENEZ</t>
  </si>
  <si>
    <t>HUGO GONZALEZ CASTILLO</t>
  </si>
  <si>
    <t>CUATRO 25, TERCER PISO</t>
  </si>
  <si>
    <t>OMAR RUBIO CONTRERAS</t>
  </si>
  <si>
    <t>GUILLERMO GASPAR TORRES</t>
  </si>
  <si>
    <t>MAURICIO BUZANY CARREÑO</t>
  </si>
  <si>
    <t>ABOGADO DE INMUEBLES</t>
  </si>
  <si>
    <t>METAS</t>
  </si>
  <si>
    <t>ALMA</t>
  </si>
  <si>
    <t>NAYELI ALEJANDRA CHAVEZ MARTINEZ </t>
  </si>
  <si>
    <t>CALLE DE LA LUZ SAVIÑON 1454 DESPACHO 1</t>
  </si>
  <si>
    <t>AV INSURGENTES SUR NUMERO 1877 ALT 1301 Y 1401</t>
  </si>
  <si>
    <t>MAS INFORMACION CON MAS BENEFICIOS SA DE CV</t>
  </si>
  <si>
    <t>PRESIDENTE MAZARIK NUMERO 169 PLANTA BAJA</t>
  </si>
  <si>
    <t>EDITORIAL PREMIERE SA DE CV</t>
  </si>
  <si>
    <t>GUSTAVO GUZMAN FAVELA</t>
  </si>
  <si>
    <t>QUIEN RESULTE RESPONSABLE  O PROPIETARIO DE LA FUENTE DE TRABAJO</t>
  </si>
  <si>
    <t>RAMON MARTIN LOPEZ TREJO</t>
  </si>
  <si>
    <t>DISEÑADOR GRAFICO</t>
  </si>
  <si>
    <t>DANIEL GALLARDO TOPETE</t>
  </si>
  <si>
    <t>CORDOBA NUMERO 131 DESPACHO 402 </t>
  </si>
  <si>
    <t>COMERCIALIZADORA LLANTERA TLAHUAC SA DE CV</t>
  </si>
  <si>
    <t>AV TLAHUAC TULYEHUALCO NUMERO 4600</t>
  </si>
  <si>
    <t>BOULEVARD LOS REYES TLAHUAC</t>
  </si>
  <si>
    <t>MIGUEL RIVERA PAZ</t>
  </si>
  <si>
    <t>ANGEL RIVERA PAZ</t>
  </si>
  <si>
    <t>PZ Y D_ABOGADOS</t>
  </si>
  <si>
    <t>FABIANA CEDEÑO BEJARANO</t>
  </si>
  <si>
    <t>CALLE SEIS NUMERO 47 DEPARTAMENTO 3 EDIFICIO D BIS</t>
  </si>
  <si>
    <t>INPRESS ADMINISTRADORA DE PERSONAL SA DE CV</t>
  </si>
  <si>
    <t>CALLE HAMBURGO NUMERO 213 PISO 19</t>
  </si>
  <si>
    <t>BLANCA ADRIANA RAZO HERNANDEZ</t>
  </si>
  <si>
    <t>JOSE MANUEL AGUILAR OLIVARES</t>
  </si>
  <si>
    <t>VICTOR RODRIGUEZ LEYVA</t>
  </si>
  <si>
    <t>AR</t>
  </si>
  <si>
    <t>ASISTENTE A</t>
  </si>
  <si>
    <t>JOSE MARIA ESQUIVEL LOZANO</t>
  </si>
  <si>
    <t>JACQUELINE RUIZ CEDEÑO</t>
  </si>
  <si>
    <t>CALLE BAJIO NUMERO 335 DESPACHO 103 </t>
  </si>
  <si>
    <t>DESARROLLO INCORAXIS SA DE CV</t>
  </si>
  <si>
    <t>PROLONGACION PASEO DE LA REFORMA NUMERO 115 DESPACHO 802 </t>
  </si>
  <si>
    <t>MECANICA AMBIENTAL SA DE CV</t>
  </si>
  <si>
    <t>CONSULTORIA PROAMBIENTAL VEHICULAR SA DE CV</t>
  </si>
  <si>
    <t>PRUDENCIO VILLALVA</t>
  </si>
  <si>
    <t>MOISES ORDOÑEZ</t>
  </si>
  <si>
    <t>JOSE LUIS CASTRO FUSTER</t>
  </si>
  <si>
    <t>JOSE DE LA CRUZ GRANADOS VALDEZ</t>
  </si>
  <si>
    <t>ALMA ROXANA GARCIA NATAREN</t>
  </si>
  <si>
    <t>CARLOS LORENZO MONTERO AVILA</t>
  </si>
  <si>
    <t>ESTRATEGIA JURIDICA CORPORATIVA SC</t>
  </si>
  <si>
    <t>NICOLAS ARTURO BALTAZAR PEREZ</t>
  </si>
  <si>
    <t>SAN FRANCISCO NUMERO 224 PLANTA BAJA</t>
  </si>
  <si>
    <t>PIROTE SA DE CV</t>
  </si>
  <si>
    <t>VICENTE GUERRERO NUMERO 2 </t>
  </si>
  <si>
    <t>CHIMALCOYOTL</t>
  </si>
  <si>
    <t>ADMINISTRADORA DE RECURSOS HUMANOS Y DE PERSONAL EL CAMINERO SC DE RL DE CV</t>
  </si>
  <si>
    <t>JOSE ALONSO DOMINGUEZ</t>
  </si>
  <si>
    <t>CARLOS JAVIER ALONSO RODRIGUEZ</t>
  </si>
  <si>
    <t>MARCO ANTONIO HERNANDEZ GARCIA</t>
  </si>
  <si>
    <t>ADRIANA AGUILAR CARRISOZA</t>
  </si>
  <si>
    <t>FRANCISCO DEL PASO Y TRONCOSO NUMERO 349-101</t>
  </si>
  <si>
    <t>ORIENTE 247</t>
  </si>
  <si>
    <t>OSCAR GUSTAVO PEREZ VILLEGAS</t>
  </si>
  <si>
    <t>EMMANUEL MARTINEZ REYES</t>
  </si>
  <si>
    <t>GERENTE  </t>
  </si>
  <si>
    <t>MARIA DE LOURDES ANTUNA RUBIO </t>
  </si>
  <si>
    <t>CALZADA SAN ANTONIO ABAD NUMERO 122 CUARTO PISO</t>
  </si>
  <si>
    <t>CORPORATIVO JURIDICO EMPRESARIAL DE MEXICO SC</t>
  </si>
  <si>
    <t>TEJOCOTES NUMERO 160</t>
  </si>
  <si>
    <t>HUMBERTO FUENTES MARTINEZ</t>
  </si>
  <si>
    <t>QUIEN  RESULTE RESPONSABLE O PROPIETARIO DE LA FUENTE DE TRABAJO</t>
  </si>
  <si>
    <t>GESTORA DE COBRANZA TELEFONICA</t>
  </si>
  <si>
    <t>VICTOR CUARTO DIAZ GUZMAN</t>
  </si>
  <si>
    <t>MULTIPERFILES PROFESIONALES SA DE CV</t>
  </si>
  <si>
    <t>CALLE SAN LORENZO NUMERO 632 </t>
  </si>
  <si>
    <t>ROSA MARIA PONCE</t>
  </si>
  <si>
    <t>QUIEN  RESULTE RESPONSABLE  O PROPIETARIO DE LA FUENTE DE TRABAJO</t>
  </si>
  <si>
    <t>ENTRETENIMIENTO</t>
  </si>
  <si>
    <t>PROMOTOR DE CREDITO</t>
  </si>
  <si>
    <t>JOSE CARMEN GOMEZ SARABIA</t>
  </si>
  <si>
    <t>AVENIDA BAJA CALIFORNIA NUMERO 245 DESPACHO 904</t>
  </si>
  <si>
    <t>EUGENIA NUMERO 197 PISO 8o 9o</t>
  </si>
  <si>
    <t>MIGUEL ANGEL HERRERA ACOSTA</t>
  </si>
  <si>
    <t>MIGUEL LOZADA ROSAS</t>
  </si>
  <si>
    <t>SERVICIOS FINANCIEROS</t>
  </si>
  <si>
    <t>GESTOR DE COBRANZAS</t>
  </si>
  <si>
    <t>VICTOR MANUEL AVILES SANDOVAL</t>
  </si>
  <si>
    <t>VIDAL GONZALEZ RUIZ</t>
  </si>
  <si>
    <t>DOCTOR ENRIQUE GONZALEZ MARTINEZ NUMERO 13 INTERIOR A</t>
  </si>
  <si>
    <t>AVENIDA YUCATAN NUMERO 15 </t>
  </si>
  <si>
    <t>BENJAMIN HUERTA RODRIGUEZ</t>
  </si>
  <si>
    <t>JOSE FRANCISCO SANCHEZ IÑIGUEZ</t>
  </si>
  <si>
    <t>ELSA VERONICA RODRIGUEZ DOMIGUEZ</t>
  </si>
  <si>
    <t>ASESORIA Y REPRESENTACION JURIDICA INTEGRAL </t>
  </si>
  <si>
    <t>ASESOR EN TECNOLOGIA</t>
  </si>
  <si>
    <t>MARIA GUADALUPE MAGAÑA REYES</t>
  </si>
  <si>
    <t>FELEIPE DE JESUS CRUZ ZABALA</t>
  </si>
  <si>
    <t>CALLE LUIS MOYA NUMERO 50 ALTOS </t>
  </si>
  <si>
    <t>BOSQUES DE DURAZNOS NUMERO 187 SOTANO</t>
  </si>
  <si>
    <t>PLATAFORMA HDM TECNOLOGIA SA DE CV</t>
  </si>
  <si>
    <t>CALLE TRES ANEGAS NUMERO 425 BODEGAS 6 7 Y 8</t>
  </si>
  <si>
    <t>NUEVA INDUSTRIAL VALLEJO</t>
  </si>
  <si>
    <t>JAVIER MARTIN "N"</t>
  </si>
  <si>
    <t>JOSE JUAN PEREZ</t>
  </si>
  <si>
    <t>JOEL SAN AGUSTIN TOLENTINO</t>
  </si>
  <si>
    <t>ALMA KARINA PEREZ GOMEZ</t>
  </si>
  <si>
    <t>JOSE JAIME MONTENEGRO ESCALANTE</t>
  </si>
  <si>
    <t>MARGARITA LOPEZ SANTOS</t>
  </si>
  <si>
    <t>SOFTWARE</t>
  </si>
  <si>
    <t>PUNTUALLIDAD</t>
  </si>
  <si>
    <t>LETICIA MARTINEZ RANGEL</t>
  </si>
  <si>
    <t>LAGO MURITZ NUMERO 16</t>
  </si>
  <si>
    <t>SEDCOM DEL CENTRO SA DE CV</t>
  </si>
  <si>
    <t>MONTES URALES NUMERO 455 PISO 4</t>
  </si>
  <si>
    <t>FABIO MASSIMO COVARRUBIAS PIFER</t>
  </si>
  <si>
    <t>JOSE DE JESUS PEREZ XOLALPA</t>
  </si>
  <si>
    <t>PAGO DE UTILIDADES</t>
  </si>
  <si>
    <t>JOSE PEDRO MARTINEZ RANGEL</t>
  </si>
  <si>
    <t>NANCY RUIZ CABALLERO</t>
  </si>
  <si>
    <t>CALLE DE REGINA NUMERO 70 INTERIOR 303</t>
  </si>
  <si>
    <t>MONTECITO NUMERO 38 PISO 10 INTERIOR 28</t>
  </si>
  <si>
    <t>DULCE IZAB</t>
  </si>
  <si>
    <t>ERNESTO GARCIA</t>
  </si>
  <si>
    <t>QUIEN RESULTE  RESPONSABLE O PROPIETARIO DE LA FUENTE DE TRABAJO</t>
  </si>
  <si>
    <t>GERENTE DE GESTORIA Y COBRANZA</t>
  </si>
  <si>
    <t>JORGE ROMERO GALAN</t>
  </si>
  <si>
    <t>CALLE SANCHEZ AZCONA NUMERO 307 B DESPACHO 9</t>
  </si>
  <si>
    <t>NARVERTE</t>
  </si>
  <si>
    <t>PODER CREATIVO NACIONAL SA DE CV</t>
  </si>
  <si>
    <t>BASILIO VADILLO NUMERO 29 PISO 9 Y 10</t>
  </si>
  <si>
    <t>CENTRO DE INFORMACION NACIONAL DE ESTUDIOS TEPEYAC SA DE CV</t>
  </si>
  <si>
    <t>ESPECTACULARES TELEVISIVOS DE ALTA DEFINICION SA DE CV</t>
  </si>
  <si>
    <t>PRISCILA MORENO ACEBAL</t>
  </si>
  <si>
    <t>XAVIER TOLEDO MORENO</t>
  </si>
  <si>
    <t>CCT</t>
  </si>
  <si>
    <t>COMPENSACION </t>
  </si>
  <si>
    <t>ANA BELEN RODRIGUEZ VICTORIA</t>
  </si>
  <si>
    <t>DOCTOR CARMONA Y VALLE NUMERO 126 INTERIOR 105</t>
  </si>
  <si>
    <t>SUITABLE CONSULTANCY SA DE CV</t>
  </si>
  <si>
    <t>YUCATAN NUMERO 23</t>
  </si>
  <si>
    <t>OPERADORA</t>
  </si>
  <si>
    <t>ELIZABETH MORENO</t>
  </si>
  <si>
    <t>DIAS FESTIVOS O DESCANSO</t>
  </si>
  <si>
    <t>JUANA GUDIÑO LOPEZ</t>
  </si>
  <si>
    <t>IVONNE PALACIOS DELGADILLO</t>
  </si>
  <si>
    <t>LA CASA MARCADA CON EL NUMERO CIENTO UNO DE LA CALLE DE INDEPENDENCIA DESPACHO 33</t>
  </si>
  <si>
    <t>GRUPO DE ASMINISTRACION DE BIENES Y SERVICIOS SA DE CV</t>
  </si>
  <si>
    <t>EUGENIA NUMERO 97 PISO 9</t>
  </si>
  <si>
    <t>GABSSA SA DE CV</t>
  </si>
  <si>
    <t>QUIEN RESULTE RESPONSABLE PROPIETARIO O PATRON DE DICHA FUENTE DE TRABAJO</t>
  </si>
  <si>
    <t>RAFAEL RODRIGUEZ FRANCISCO</t>
  </si>
  <si>
    <t>GESTOR TELEFONICO</t>
  </si>
  <si>
    <t>NATALIA LEON</t>
  </si>
  <si>
    <t>CLAUDA MONTES MARQUEZ</t>
  </si>
  <si>
    <t>CALLE COLIMA NUMERO 220 DESPACHO 401 A</t>
  </si>
  <si>
    <t>ORION INTEGRACION DESARROLLO Y TALENTO SA DE CV</t>
  </si>
  <si>
    <t>CALLE MATILDE MARQUEZ 61-J ENTRE QUETZALCOATL Y MATAMOROS</t>
  </si>
  <si>
    <t>BANCO NACIONAL DE MEXICO SA</t>
  </si>
  <si>
    <t>CALLE ROBERTO MEDELLIN NUMERO 800 PLANTA BAJA</t>
  </si>
  <si>
    <t>SALON BEYOND BANAMEX TERMINAL 2 DEL AEROPUERTO INTERNACIONAL DE LA CIUDAD DE MEXICO</t>
  </si>
  <si>
    <t>JUAN SILVERIO VIVEROS</t>
  </si>
  <si>
    <t>DAVID CHELIUS N</t>
  </si>
  <si>
    <t>MARIA ISABEL FLORES BUCIO</t>
  </si>
  <si>
    <t>ISMAEL SOTO TORRES</t>
  </si>
  <si>
    <t>HEMERENCIANA VIRGINIA ROMERO HERNANDEZ</t>
  </si>
  <si>
    <t>JOSE ARTURO ALFARO HERNANDEZ</t>
  </si>
  <si>
    <t>ATENCION A PASAJEROS</t>
  </si>
  <si>
    <t>ANA VALENCIA N</t>
  </si>
  <si>
    <t>EDGAR FLORES GALINDO</t>
  </si>
  <si>
    <t>RIO VOLGA NUMERO 89 TERCER PISO</t>
  </si>
  <si>
    <t>CORTIZO CAMPILLO Y ASOCIADOS SC</t>
  </si>
  <si>
    <t>AVENIDA INSURGENTES SUR NUMERO 724 PISO 2 DESPACHO 201 Y 202</t>
  </si>
  <si>
    <t>ALEJANDRO CORTIZO CAMPILLO</t>
  </si>
  <si>
    <t>GABRIEL BARAJAS HARO</t>
  </si>
  <si>
    <t>RICARDO BOCANEGRA</t>
  </si>
  <si>
    <t>RIVERA REYES Y ASOCIADOS SC</t>
  </si>
  <si>
    <t>ULISES ALLANIZ TORRES</t>
  </si>
  <si>
    <t>ASESOR DE COBRANZA</t>
  </si>
  <si>
    <t>MARCOS BULMARO TAPIA PRADO</t>
  </si>
  <si>
    <t>GUAYMAS NUMERO 6 LETRA C (ALTOS)</t>
  </si>
  <si>
    <t>SERVICIO ROCHA</t>
  </si>
  <si>
    <t>CALLE JUVENTINO ROSAS NUMERO 177</t>
  </si>
  <si>
    <t>GERARDO ROCHA COLIN</t>
  </si>
  <si>
    <t>MARIA MAGDALENA GALAN BALBUENA</t>
  </si>
  <si>
    <t>ERNESTO MARCOS CORDERO PUGA</t>
  </si>
  <si>
    <t>MIGUEL ANGEL ARREOLA SALAZAR</t>
  </si>
  <si>
    <t>JURIDICO GALAN Y ASOCIADOS</t>
  </si>
  <si>
    <t>ASISTENTE ADMINISTRATIVO</t>
  </si>
  <si>
    <t>NO APLICA</t>
  </si>
  <si>
    <t>RESCISION</t>
  </si>
  <si>
    <t>AMBIENTE HOSTIL DE TRABAJO</t>
  </si>
  <si>
    <t>BRENDA HERNANDEZ CAMPOS</t>
  </si>
  <si>
    <t>VMQ CORPORATIVO SA DE CV</t>
  </si>
  <si>
    <t>RIO USSURI NUMERO 19</t>
  </si>
  <si>
    <t>MIRNA OLIVARES</t>
  </si>
  <si>
    <t>QUIEN RESULTE RESPONSABLE PATRON O PROPIETARIO DE LA FUENTE DE TRABAJO DEMANDADA</t>
  </si>
  <si>
    <t>GESTOR DOMICILIARIO</t>
  </si>
  <si>
    <t>RICARDO ESTRADA BARRERA</t>
  </si>
  <si>
    <t>CAMINO A SAN JUAN DE ARAGON NUMERO 113 EDIFICIO A DEPARTAMENTO 301</t>
  </si>
  <si>
    <t>EL OLIVO</t>
  </si>
  <si>
    <t>GRUPO GRIFINCAR DEL VALLE SA DE CV</t>
  </si>
  <si>
    <t>CAMINO DEL RECREO NUMERO 40-A-1</t>
  </si>
  <si>
    <t>SERVICIO VERSATIL EN CAPITAL HUMANO SCP</t>
  </si>
  <si>
    <t>CAPACIDADES ESPECIALES APLICADAS A LA PRODUCCION SA DE CV</t>
  </si>
  <si>
    <t>AVENIDA TEJOCOTES SIN NUMERO</t>
  </si>
  <si>
    <t>FRACCIONAMIENTO INDUSTRIAL SAN MARTIN OBISPO</t>
  </si>
  <si>
    <t>GUSTAVO PEREZ MONTIEL</t>
  </si>
  <si>
    <t>HUGO RAUL GONZALEZ PEREZ</t>
  </si>
  <si>
    <t>LAURA ANGELICA ESTRADA NAVARRO</t>
  </si>
  <si>
    <t>ANALISTA E INVENTARIOS</t>
  </si>
  <si>
    <t>MARIO HIPOLITO HERNANDEZ</t>
  </si>
  <si>
    <t>JAIME JIMENEZ CANCHOLA</t>
  </si>
  <si>
    <t>AVENIDA INDUSTRIA MILITAR</t>
  </si>
  <si>
    <t>AUTO LAVADO ROMA</t>
  </si>
  <si>
    <t>ZACATECAS 236</t>
  </si>
  <si>
    <t>AURELIA SANCHEZ LOZADA</t>
  </si>
  <si>
    <t>ESTACIONAMIENTO ROMA</t>
  </si>
  <si>
    <t>ZACATECAS 229</t>
  </si>
  <si>
    <t>ETELBERTO DIAZ MENDEZ</t>
  </si>
  <si>
    <t>OPERADORA DE UNICENTROS Y LOCALES COMERCIALES SA DE CV</t>
  </si>
  <si>
    <t>INSURGENTES SUR 286 TERCER PISO</t>
  </si>
  <si>
    <t>PROMOTORA Y DESARROLLADORA DE CENTROS COMERCIALES SA DE CV</t>
  </si>
  <si>
    <t>MONICA GARCIA AREVALO</t>
  </si>
  <si>
    <t>GERARDO PARADA MORA</t>
  </si>
  <si>
    <t>RAUL MORALES ROJAS</t>
  </si>
  <si>
    <t>JACQUEZ MOSCONA HASSON</t>
  </si>
  <si>
    <t>BONO DE ACTUACION</t>
  </si>
  <si>
    <t>AYUDA DE CANASTA BASICA</t>
  </si>
  <si>
    <t>BELEN MAGALY BENAVIDES FLORES</t>
  </si>
  <si>
    <t>GRUPO DE ASESORIA ADMINISTRATIVA SC</t>
  </si>
  <si>
    <t>PERIFERICO SUR 5000 8 PISO</t>
  </si>
  <si>
    <t>INSURGENTES CUICUILCO</t>
  </si>
  <si>
    <t>SERIMERC SA DE CV</t>
  </si>
  <si>
    <t>JOSE ALBERTO ARCOS ALVAREZ</t>
  </si>
  <si>
    <t>ARTURO FILIO GONZALEZ</t>
  </si>
  <si>
    <t>ASISTENTE DE DIRECCION</t>
  </si>
  <si>
    <t>JOSE ALBERTO ARCOS ALVAREZ Y ARTURO FILIO GONZALEZ</t>
  </si>
  <si>
    <t>LLAMA COMO TERCEROS INTERESADOS AL IMMS E INFONAVIT; NO HAY AUTO DE RADICACION</t>
  </si>
  <si>
    <t>OSCAR PEREZ MACHADO</t>
  </si>
  <si>
    <t>CALLE JOSE MARIA RICO NUMERO 68 TERCER PISO</t>
  </si>
  <si>
    <t>MABE INTEGRA SA DE CV</t>
  </si>
  <si>
    <t>PROLONGACION INGENIEROS MILITARES NUMERO 156</t>
  </si>
  <si>
    <t>SAN LORENZO TLALTENANGO</t>
  </si>
  <si>
    <t>MABE MEXICO S DE RL DE CV</t>
  </si>
  <si>
    <t>PALMAS NUMERO 100</t>
  </si>
  <si>
    <t>MABE SA DE CV</t>
  </si>
  <si>
    <t>MABE MEXICO SA DE CV</t>
  </si>
  <si>
    <t>LEONARDO BERRUECO GARNICA</t>
  </si>
  <si>
    <t>DANTE ARIZMENDI MILLAN</t>
  </si>
  <si>
    <t>AIDEE YANEZ NUÑEZ</t>
  </si>
  <si>
    <t>MARIO ALBERTO CERON LOPEZ</t>
  </si>
  <si>
    <t>MARIO CERON SANCHEZ</t>
  </si>
  <si>
    <t>JEFE DE CAPACITACION TECNICA</t>
  </si>
  <si>
    <t>FONDO AHORRO</t>
  </si>
  <si>
    <t>BONO PLAN 10</t>
  </si>
  <si>
    <t>ROSALBA GONZALEZ RICO</t>
  </si>
  <si>
    <t>CALLE MARSELLA NUMERO 74 SEGUNDO PISO</t>
  </si>
  <si>
    <t>CALLA LA MARTINE NUMERO 238 PISO 6</t>
  </si>
  <si>
    <t>LIZBETH LARA</t>
  </si>
  <si>
    <t>BAUHAUS DE MEXICO SA DE CV</t>
  </si>
  <si>
    <t>AVENIDA SAN ANTONIO NUMERO 13 PRIMER PISO</t>
  </si>
  <si>
    <t>JORGE ALBERTO ALFARO MOLINA</t>
  </si>
  <si>
    <t>ANDRES SANCHEZ MORA</t>
  </si>
  <si>
    <t>SERGIO CARLOS GOMEZ RODRIGUEZ</t>
  </si>
  <si>
    <t>BRUNO DIAZ FLORES</t>
  </si>
  <si>
    <t>AVENIDA AMSTERDAM NUMERO 85</t>
  </si>
  <si>
    <t>SERVICIOS DE ADMINISTRACION Y PROMOTORIA RICAB SA DE CV</t>
  </si>
  <si>
    <t>ANAHUAC 86</t>
  </si>
  <si>
    <t>MARIAL DEL ROCIO TORRES CASTAÑEDA</t>
  </si>
  <si>
    <t>ANTONIO MIGUEL MONTERRUBIO NORIEGA</t>
  </si>
  <si>
    <t>CRISTHIAN THESCA LOPEZ</t>
  </si>
  <si>
    <t>LABORATORIOS BUSTILLOS SA DE CV</t>
  </si>
  <si>
    <t>MANUEL DUBLAN NUMERO 40</t>
  </si>
  <si>
    <t>JUAN ANTONIO HERNANDEZ PASTRANA</t>
  </si>
  <si>
    <t>CECILIA GUADALUPE ZAMUDIO GRAVE</t>
  </si>
  <si>
    <t>LUIS GUILLERMO KAITEN MARTINEZ</t>
  </si>
  <si>
    <t>DANIE</t>
  </si>
  <si>
    <t>FRANCISCO MARCELINO CORTES</t>
  </si>
  <si>
    <t>FELIPA BALLESTEROS DURAN</t>
  </si>
  <si>
    <t>AVENIDA LUIS CABRERA 480</t>
  </si>
  <si>
    <t>BARRIO DE SAN FRANCISCO</t>
  </si>
  <si>
    <t>LAVADOR DE AUTOS</t>
  </si>
  <si>
    <t>JUAN ELIGIO JUAREZ GARCIA</t>
  </si>
  <si>
    <t>AUTOBUSES RAPIDOS DE ZACATLAN SA DE CV</t>
  </si>
  <si>
    <t>ARTILLEROS 31</t>
  </si>
  <si>
    <t>SIETE DE JULIO</t>
  </si>
  <si>
    <t>VICTOR CORTES MELO</t>
  </si>
  <si>
    <t>GERARDO PASTRANA</t>
  </si>
  <si>
    <t>CHOFER DE AUTOBUS</t>
  </si>
  <si>
    <t>BENJAMIN BENITO BARRETO RANGEL</t>
  </si>
  <si>
    <t>TELEMARKETING</t>
  </si>
  <si>
    <t>JOSE BERTIN ISLAS HERNANDEZ</t>
  </si>
  <si>
    <t>RAMSA MOTORS SA DE CV</t>
  </si>
  <si>
    <t>PERIFERICO SUR 6611</t>
  </si>
  <si>
    <t>SUPERVISOR DE HOJALATEROS</t>
  </si>
  <si>
    <t>SERGIO DIAZ</t>
  </si>
  <si>
    <t>JORGE MENDEZ CRUZ</t>
  </si>
  <si>
    <t>REFACCIONARIA HIDALGO SA DE CV</t>
  </si>
  <si>
    <t>AVENIDA PLUTARCO ELIAS CALLES 754</t>
  </si>
  <si>
    <t>QUIEN RESULTE RESPONSABLE PATRON O PROPIETARIO DE LA RELACION Y CENTRO DE TRABAJO</t>
  </si>
  <si>
    <t>ELISEO ANTONIO GOMEZ NICOLAS</t>
  </si>
  <si>
    <t>ROSA DEL RIO CARRILLO</t>
  </si>
  <si>
    <t>VICENTE SOCRATES CRUZ </t>
  </si>
  <si>
    <t>VENDEDOR DE MOSTRADOR</t>
  </si>
  <si>
    <t>ENRIQUE MARTINEZ RAMIREZ</t>
  </si>
  <si>
    <t>LUIS ANTONIO AHUMADA DOMINGUEZ</t>
  </si>
  <si>
    <t>SALVADOR MORA MACEDO</t>
  </si>
  <si>
    <t>AVENIDA SAN JERONIMO 575 PLANTA ALTA</t>
  </si>
  <si>
    <t>TIZAPAN</t>
  </si>
  <si>
    <t>JOSE ERICK NAJERA JIMENEZ</t>
  </si>
  <si>
    <t>DULCE MARIA ESTRADA</t>
  </si>
  <si>
    <t>CHOFER DE PRODUCTOS</t>
  </si>
  <si>
    <t>BONO EMPLEADO</t>
  </si>
  <si>
    <t>BONO SEMANAL</t>
  </si>
  <si>
    <t>SUPLENCIA</t>
  </si>
  <si>
    <t>BONO VARIABLE</t>
  </si>
  <si>
    <t>BONO PERIODICO</t>
  </si>
  <si>
    <t>BONO ASISTENCIA</t>
  </si>
  <si>
    <t>SUSANA CRUZ GONGORA</t>
  </si>
  <si>
    <t>PROYECCION Y ADMINISTRACION EMPRESARIAL CC DE MEXICO SA DE CV</t>
  </si>
  <si>
    <t>AVENIDA INSURGENTES SUR 1898 TERCER PISO</t>
  </si>
  <si>
    <t>JUAN CARLOS DOMINGUEZ</t>
  </si>
  <si>
    <t>JOSE LUIS GUERRERO PACHECO</t>
  </si>
  <si>
    <t>PUJATO 54</t>
  </si>
  <si>
    <t>INSURGENTES SUR 3500 PRIMER PISO</t>
  </si>
  <si>
    <t>BARRIO PEÑA POBRE</t>
  </si>
  <si>
    <t>FERMIN GOMEZ SAN JUAN</t>
  </si>
  <si>
    <t>ADELA GOMEZ SAN JUAN</t>
  </si>
  <si>
    <t>JOSE DE JESUS GOMEZ SAN JUAN</t>
  </si>
  <si>
    <t>GERENTE DE DISEÑO Y PRODUCCION SUR Y/O GERENTE DE GESTION DE CALIDAD Y PRODUCTOS ESPECIALES</t>
  </si>
  <si>
    <t>VICTOR MANUEL SANCHEZ BERNAL</t>
  </si>
  <si>
    <t>AYUDA PARA LA RENTA</t>
  </si>
  <si>
    <t>AYUDA TRANSPORTE</t>
  </si>
  <si>
    <t>CLAUDIO ADRIAN ROMERO CORREA</t>
  </si>
  <si>
    <t>PUERTO ALISAS SA DE CV</t>
  </si>
  <si>
    <t>TIANGUIS 16</t>
  </si>
  <si>
    <t>PASEOS DEL CHURUBUSCO</t>
  </si>
  <si>
    <t>OMAR OYARZABAL LOPEZ</t>
  </si>
  <si>
    <t>QUIEN RESULTE SER PROPIETARIO O RESPONSABLE DE LA FUENTE DE TRABAJO</t>
  </si>
  <si>
    <t>BUFETE VENEGAS ABOGADOS SC</t>
  </si>
  <si>
    <t>AYUDA PARA ALIMENTOS; AYUDA PARA TRANSPORTE; VALES DE DESPENSA; FONDO DE AHORRO</t>
  </si>
  <si>
    <t>MARTHA MARLENE MENDEZ MARQUEZ</t>
  </si>
  <si>
    <t>AXON DISEÑO Y COMUNICACIONES SC</t>
  </si>
  <si>
    <t>AMSTERDAM 101 PRIMER PISO</t>
  </si>
  <si>
    <t>GILBERTO HERNANDEZ SANTOS</t>
  </si>
  <si>
    <t>VENTAS DE ESPACIOS PUBLICITARIOS</t>
  </si>
  <si>
    <t>ROXANA ADID IZQUIERDO SALAS</t>
  </si>
  <si>
    <t>DE CACHETE SA DE CV</t>
  </si>
  <si>
    <t>MONTE ELBRUZ 132 PRIMER PISO DESPACHO 102</t>
  </si>
  <si>
    <t>VICTOR NAHUN NAJJAR</t>
  </si>
  <si>
    <t>OMAR SAAVEDRA BOODY</t>
  </si>
  <si>
    <t>MAGDALENA DE LAS SALINAS O CAPULTITLAN</t>
  </si>
  <si>
    <t>BARRANCA DEL MUERTO 250</t>
  </si>
  <si>
    <t>JUANA ISABEL VAZQUEZ TORRES</t>
  </si>
  <si>
    <t>JORGE ANTONIO LLOP FRANCO</t>
  </si>
  <si>
    <t>JOSE MANUEL GOMEZ PEREZ</t>
  </si>
  <si>
    <t>JEFE DEL DEPARTAMENTO DE COBRANZA</t>
  </si>
  <si>
    <t>CVICTOR NAHUN NAJJAR</t>
  </si>
  <si>
    <t>JOSE ANTONIO NOLASCO SANCHEZ</t>
  </si>
  <si>
    <t>RIO ATOYAC 17-I</t>
  </si>
  <si>
    <t>REGIO GAS SA DE CV</t>
  </si>
  <si>
    <t>AVENIDA PROLONGACION INGENIEROS MILITARES 146</t>
  </si>
  <si>
    <t>FELIX RICARDO LOPEZ SOTO</t>
  </si>
  <si>
    <t>LOURDES IVETHE PALOMINO CONTRERAS</t>
  </si>
  <si>
    <t>MARIO JESUS CARRILLO ROJO</t>
  </si>
  <si>
    <t>AYUDANTE DE REPARTO DE GAS</t>
  </si>
  <si>
    <t>HUGO MORA</t>
  </si>
  <si>
    <t>LANDY BALTAZAR LOPEZ</t>
  </si>
  <si>
    <t>OUTSOURCING INBURNET SA DE CV</t>
  </si>
  <si>
    <t>AVENIDA INSURGENTES SUR 3500 (PLAZA CUICUILCO)</t>
  </si>
  <si>
    <t>PEÑA POBRE</t>
  </si>
  <si>
    <t>GRUPO FINANCIERO INBURSA SA DE CV</t>
  </si>
  <si>
    <t>MARIA DE LA LUZ REJON</t>
  </si>
  <si>
    <t>DOLORES TREJO CERRILLO</t>
  </si>
  <si>
    <t>LUIS GONZALEZ AGUILAR</t>
  </si>
  <si>
    <t>RUBEN VALENCIA SOLORIO</t>
  </si>
  <si>
    <t>DAVID GONZALEZ AGUILAR</t>
  </si>
  <si>
    <t>ASESOR FINANCIERO</t>
  </si>
  <si>
    <t>MONICA RUBI OBREGON BRAVO</t>
  </si>
  <si>
    <t>COMISIONES; BONO MENSUAL; PRIMA DOMINICAL</t>
  </si>
  <si>
    <t>RENATA CASTILLO RIOFRIO</t>
  </si>
  <si>
    <t>LUIS MOYA 50 PRIMER PISO</t>
  </si>
  <si>
    <t>CONSULTORES EN MERCADOTECNIA Y PUBLICIDAD SC</t>
  </si>
  <si>
    <t>AVENIDA PASEO DE LAS PALMAS 405-504</t>
  </si>
  <si>
    <t>HUMBERTO ZESATI</t>
  </si>
  <si>
    <t>EILEEN DAVILA</t>
  </si>
  <si>
    <t>NISSAN MEXICANA SA DE CV</t>
  </si>
  <si>
    <t>AVENIDA INSURGENTES SUR 1958</t>
  </si>
  <si>
    <t>PATRICIA LEDESMA NAVARRETE</t>
  </si>
  <si>
    <t>ALEJANDRO GARCIA LOPEZ</t>
  </si>
  <si>
    <t>GL ABOGADOS SC</t>
  </si>
  <si>
    <t>DISEÑADOR PAGINAS WEB</t>
  </si>
  <si>
    <t>AYUDA PARA PASAJES</t>
  </si>
  <si>
    <t>PREMIO DE ANTIGÜEDAD</t>
  </si>
  <si>
    <t>JAVIER ANTONIO RAMIREZ ITURBE</t>
  </si>
  <si>
    <t>CAPITAL ESENCIAL PARA LAS ORGANIZACIONES SA DE CV</t>
  </si>
  <si>
    <t>MONTES URALES 425 PISO 3</t>
  </si>
  <si>
    <t>INNCOM PROFESIONAL DE MEXICO SA DE CV</t>
  </si>
  <si>
    <t>GRUPO AERONAUTICO AFA SA DE CV</t>
  </si>
  <si>
    <t>ALEJANDRO PUENTE CORDOVA</t>
  </si>
  <si>
    <t>JORGE HERNANDEZ MAGRO CISNEROS</t>
  </si>
  <si>
    <t>COORDINADOR DE MENSAJEROS</t>
  </si>
  <si>
    <t>ALEJANDRO PUENTE CORDOBA</t>
  </si>
  <si>
    <t>LA PARTE ACTORA NO MENCIONA CUANTOS DIAS TRABAJABA A LA SEMANA POR LO QUE LA JORNADA ESTA CAPTURADA COMO DIARIA</t>
  </si>
  <si>
    <t>IXCHEL DIAZ BAUTISTA</t>
  </si>
  <si>
    <t>AVENIDA COYOACAN 133 DESPACHO 5</t>
  </si>
  <si>
    <t>CRISTINO RAMIREZ LOPEZ</t>
  </si>
  <si>
    <t>RAQUEL RAMIREZ BENITEZ</t>
  </si>
  <si>
    <t>MARIA DE LOURDES RAMIREZ BENITEZ</t>
  </si>
  <si>
    <t>BELEN SILVA TERAN</t>
  </si>
  <si>
    <t>EL AÑO DE DESPIDO CAPTURADO ES EL AÑO DEL EXPEDIENTE PUES LOS ACTORES SEÑALAN UN AÑO (2010) QUE LES DARIA ANTIGÜEDADES NEGATIVAS. ESTE ERROR NO SE PREVIENE EN EL EXPEDIENTE; NO ESTA ESCANEADO EL AUTO DE RADICACION</t>
  </si>
  <si>
    <t>DORA LUZ BENHUMEA MANCILLA</t>
  </si>
  <si>
    <t>AVENIDA DOCTOR JOSE MARIA VERTIZ 109 INTERIOR 103</t>
  </si>
  <si>
    <t>PROMO CONCEPTOS SA DE CV</t>
  </si>
  <si>
    <t>AVENIDA INSURGENTES SUR 1814 INTERIOR 201</t>
  </si>
  <si>
    <t>SALVADOR TORRES GOMEZ</t>
  </si>
  <si>
    <t>DEMOSTRADOR</t>
  </si>
  <si>
    <t>CECILIA GARDUÑO</t>
  </si>
  <si>
    <t>OMAR CONTRERAS GARCIA</t>
  </si>
  <si>
    <t>AVENIDA MONTERREY 132 DESPACHO 301</t>
  </si>
  <si>
    <t>AUTO CUGA SA DE CV</t>
  </si>
  <si>
    <t>FELIPE ANGELES 22</t>
  </si>
  <si>
    <t>SOPORTE CORPORATIVO CUE SA</t>
  </si>
  <si>
    <t>GABRIEL CUENCA FIGUEROA</t>
  </si>
  <si>
    <t>OMAR VAZQUEZ</t>
  </si>
  <si>
    <t>JOSE ZAMORA AGUISTIN</t>
  </si>
  <si>
    <t>JEFE DE CHOFERES</t>
  </si>
  <si>
    <t>LA PARTE ACTORA SEÑALA QUE GANABA 5000 DIARIOS PERO EN OTRAS PARTES HABLA DE 166.66 DIARIOS. PARECE UN ERROR DEL ESCRITO, POR LO QUE SE TOMA EL SALARIO DE 5000 MENSUALES O 166.66 DIARIOS; NO ESTA ESCANEADO EL AUTO DE RADICACION</t>
  </si>
  <si>
    <t>ABRAHAM HERRERA TORRES</t>
  </si>
  <si>
    <t>SANTA LUCIA 104 INTERIOR 61 EDIFICIO DURANGO TLATOQUE</t>
  </si>
  <si>
    <t>COBRANZA Y RECUPERACION SA DE CV</t>
  </si>
  <si>
    <t>ADOLFO PRIETO 623 SEXTO PISO </t>
  </si>
  <si>
    <t>FRANCISCO RAFAEL GARCIA GARCIA</t>
  </si>
  <si>
    <t>ANA MARIA FLORES</t>
  </si>
  <si>
    <t>RICARDO IBARRA PEÑA</t>
  </si>
  <si>
    <t>PRIMERA CERRADA AQUILES ELORDUY 9 INTERIOR 201</t>
  </si>
  <si>
    <t>PRESTADORA DE EMPLEOS Y SERVICIOS SA DE CV</t>
  </si>
  <si>
    <t>MONTES URALES 770 OFICINA 2 PLANTA DE ACCESO</t>
  </si>
  <si>
    <t>ANA PAOLA CASTILLO CUEVAS</t>
  </si>
  <si>
    <t>DANIEL VELASCO MARTINEZ</t>
  </si>
  <si>
    <t>PEDRO RODRIGUEZ SIERRA</t>
  </si>
  <si>
    <t>PEDRO RODRIGUEZ FIERRO</t>
  </si>
  <si>
    <t>REYNA GARCIA ROJO</t>
  </si>
  <si>
    <t>KARLA NALLELI MEZA BAUTISTA</t>
  </si>
  <si>
    <t>CYNTHIA MAYELI CABRAL GUERRERO</t>
  </si>
  <si>
    <t>PREMIOS DE ASISTENCIA</t>
  </si>
  <si>
    <t>EDGAR LEONARDO RUIZ HERNANDEZ</t>
  </si>
  <si>
    <t>BOULEVARD ADOLFO LOPEZ MATEOS 2349 PISO 7 PH</t>
  </si>
  <si>
    <t>EL PALACIO DE HIERRO SA DE CV</t>
  </si>
  <si>
    <t>DURANGO 230</t>
  </si>
  <si>
    <t>LUIS EDGARDO LOPEZ CASARIN</t>
  </si>
  <si>
    <t>MARCO ANTONIO MORALES MEDELLIN</t>
  </si>
  <si>
    <t>MARCO ANTONIO SERVIN ESQUIVEL</t>
  </si>
  <si>
    <t>VERONICA MENDOZA</t>
  </si>
  <si>
    <t>MARIA SUSANA LIMON REYES</t>
  </si>
  <si>
    <t>DISTRIBUIDORA DE GENERADORES SA DE CV</t>
  </si>
  <si>
    <t>MANUEL JOSE OTHON 185</t>
  </si>
  <si>
    <t>JUAN MANUEL COLIN CARTAMIN</t>
  </si>
  <si>
    <t>MIGUEL ANGEL PERALTA MARTINEZ</t>
  </si>
  <si>
    <t>TARGET MKT SA DE CV</t>
  </si>
  <si>
    <t>AMORES 1614</t>
  </si>
  <si>
    <t>OSCAR ARELLANO</t>
  </si>
  <si>
    <t>MARIA MICHELLE CORTES RAMIREZ</t>
  </si>
  <si>
    <t>HOMERO 136 NOVENO PISO OFICINA 903</t>
  </si>
  <si>
    <t>CACTO ARTE E IDEAS SA DE CV</t>
  </si>
  <si>
    <t>AVENIDA PASEO DE LAS PALMAS 405 INTERIOR 504</t>
  </si>
  <si>
    <t>FRAY SERVANDO TERESA DE MIER 836 INTERIOR 202</t>
  </si>
  <si>
    <t>QUIEN RESULTE RESPONSABLE DE LA RELACION LABORAL Y O PROPIETARIA DE LA FUENTE DE TRABAJO</t>
  </si>
  <si>
    <t>ADOLFO ROMAN FLORES</t>
  </si>
  <si>
    <t>ANDRES LUNA RANGEL</t>
  </si>
  <si>
    <t>JUAN CARLOS PEREZ RANGEL</t>
  </si>
  <si>
    <t>LUNA DAGDUG PEREZ Y ASOCIADOS SC</t>
  </si>
  <si>
    <t>CRM MARKETING DE RELACION CON EL CLIENTE</t>
  </si>
  <si>
    <t>MARC FOLANGE TERY</t>
  </si>
  <si>
    <t>EL ULTIMO DEMANDADO ES QUIEN RESULTE PROPIETARIO O RESPONSABLE DE LA RELACION LABORAL; NO ESTA ESCANEADO EL AUTO DE RADICACION</t>
  </si>
  <si>
    <t>KARLA IVONNE RUIZ RODRIGUEZ</t>
  </si>
  <si>
    <t>MORELIA 38 INTERIOR 101</t>
  </si>
  <si>
    <t>SERVICIO EJECUTIVO CIUDAD SANTA FE AC</t>
  </si>
  <si>
    <t>MATAMOROS 54 LOCAL 1</t>
  </si>
  <si>
    <t>JOSE GUADALUPE HERNANDEZ JARA</t>
  </si>
  <si>
    <t>DAVID RUIZ FLORES</t>
  </si>
  <si>
    <t>ARMANDO PIZENO ARREOLA</t>
  </si>
  <si>
    <t>JUAN MANUEL GOMEZ ECO</t>
  </si>
  <si>
    <t>ALBERTO GONZALEZ MEZA</t>
  </si>
  <si>
    <t>BEATRIZ MEDINA JIMENEZ</t>
  </si>
  <si>
    <t>GUSTAVO MEDINA JIMENEZ</t>
  </si>
  <si>
    <t>MARIA ESTHER VILLARREAL CAMPOS</t>
  </si>
  <si>
    <t>SECRETARIA TELEFONISTA</t>
  </si>
  <si>
    <t>SERGIO ARENAS BARRERA</t>
  </si>
  <si>
    <t>MONTECITO 38 PISO 37 OFICINA 31</t>
  </si>
  <si>
    <t>FUNERARIA GAYOSSO SA DE CV</t>
  </si>
  <si>
    <t>ROSAS MORENO 151 PRIMER PISO EDIFICIO MAUSOLEO GAYOSSO</t>
  </si>
  <si>
    <t>ARMANDO MORALES N</t>
  </si>
  <si>
    <t>GUSTAVO ULISES ALVAREZ RAMIREZ</t>
  </si>
  <si>
    <t>ALEJANDRO ALVAREZ TECUA</t>
  </si>
  <si>
    <t>ESTEBAN ANGELES LEDESMA</t>
  </si>
  <si>
    <t>DESPACHO JURIDICO ALVAREZ TECUA Y ASOCIADOS SC</t>
  </si>
  <si>
    <t>CLAUDIA GABRIELA RAMIREZ PEDRAZA</t>
  </si>
  <si>
    <t>ASEMSA MEXICANA S DE RL DE CV</t>
  </si>
  <si>
    <t>ALFONSO TRECE 129</t>
  </si>
  <si>
    <t>VERONICA SANDOVAL</t>
  </si>
  <si>
    <t>LIDER DE PROYECTO</t>
  </si>
  <si>
    <t>MAYRA GABRIELA GARCIA BALCAZAR</t>
  </si>
  <si>
    <t>CELISTICS ELECTRONICS SA DE CV</t>
  </si>
  <si>
    <t>EDUARDO MORENO</t>
  </si>
  <si>
    <t>FACTURISTA</t>
  </si>
  <si>
    <t>VERONICA LUCIA BALCAZAR SANCHEZ</t>
  </si>
  <si>
    <t>ANA LUISA NUÑEZ SOLANA</t>
  </si>
  <si>
    <t>PASEO DE LOS TAMARINDOS 400 TORRE B PISO 17</t>
  </si>
  <si>
    <t>TRANSIMEX SA DE CV</t>
  </si>
  <si>
    <t>AVENIDA SAN JERONIMO 424</t>
  </si>
  <si>
    <t>LA OTRA BANDA</t>
  </si>
  <si>
    <t>AUTOMOTRIZ LOMAS ANAHUAC SA DE CV</t>
  </si>
  <si>
    <t>BOULEVARD MAGNOCENTRO 03</t>
  </si>
  <si>
    <t>SAN FERNANDO LA HERRADURA</t>
  </si>
  <si>
    <t>HUIXQUILUCAN</t>
  </si>
  <si>
    <t>ARTURO JIMENEZ PEÑA</t>
  </si>
  <si>
    <t>ARTURO JIMENEZ GUTIERREZ</t>
  </si>
  <si>
    <t>LORENZO OMAR JIMENEZ GUTIERREZ</t>
  </si>
  <si>
    <t>CRISTIAN GRAJALES ALVAREZ</t>
  </si>
  <si>
    <t>GUARDIAS</t>
  </si>
  <si>
    <t>VALES DE COMIDA</t>
  </si>
  <si>
    <t>ALFREDO EDGAR ARGUMEDO DE DIOS</t>
  </si>
  <si>
    <t>AVENIDA INSURGENTES SUR 1261 DESPCAHO 205</t>
  </si>
  <si>
    <t>PICACHO AUTOMOTRIZ SA DE CV</t>
  </si>
  <si>
    <t>PERIFERICO SUR 3017</t>
  </si>
  <si>
    <t>EDUARDO SAENZ HIRSCHFIELD</t>
  </si>
  <si>
    <t>ROBERTO ROA ALONSO</t>
  </si>
  <si>
    <t>GERARDO ALVAREZ GOMEZ</t>
  </si>
  <si>
    <t>JAIME RUBEN LOPEZ MARINES</t>
  </si>
  <si>
    <t>SALVADOR ARIAS YEPEZ</t>
  </si>
  <si>
    <t>GERARDO ALVAREZ GOMEZ ABOGADOS</t>
  </si>
  <si>
    <t>ASESOR DE SERVICIO</t>
  </si>
  <si>
    <t>DIEGO EDUARDO SANDOVAL BAUTISTA</t>
  </si>
  <si>
    <t>AUTOMOTRIZ CUICUILCO SA DE CV</t>
  </si>
  <si>
    <t>INSURGENTES SUR 3195</t>
  </si>
  <si>
    <t>JOSE VAZQUEZ URESTI</t>
  </si>
  <si>
    <t>JORGE MONTAÑO</t>
  </si>
  <si>
    <t>ALEJANDRO CISNEROS</t>
  </si>
  <si>
    <t>SUPERVISOR DE ASESORES PROFESIONALES DE VENTAS EN EL AREA DE AUTOMOVILES SEMINUEVOS</t>
  </si>
  <si>
    <t>MARCO ANTONIO YEPEZ HIDALGO</t>
  </si>
  <si>
    <t>MIRZA LETICIA ONTIVEROS VELASCO</t>
  </si>
  <si>
    <t>GRASS ROOTS PROMOTIONS SA DE CV</t>
  </si>
  <si>
    <t>RIO SAN JOAQUIN 80</t>
  </si>
  <si>
    <t>KRAFT FOODS SA DE CV</t>
  </si>
  <si>
    <t>ROSA MARA LOPEZ GONZALEZ</t>
  </si>
  <si>
    <t>FRANCISCO SOLANO</t>
  </si>
  <si>
    <t>EDUARDO ENCISO</t>
  </si>
  <si>
    <t>JESUS OLIVA</t>
  </si>
  <si>
    <t>IVAN SERVIN MORALES</t>
  </si>
  <si>
    <t>ROSA MARIA LOPEZ GONZALEZ</t>
  </si>
  <si>
    <t>JAIME LOPEZ RAZO</t>
  </si>
  <si>
    <t>JOARA TUTULI SA DE CV</t>
  </si>
  <si>
    <t>GRANJAS SAN ANTONIO</t>
  </si>
  <si>
    <t>LUIS JORGE MEDINA FLORES</t>
  </si>
  <si>
    <t>FIDEL NAJERA SALAZAR</t>
  </si>
  <si>
    <t>ORIENTE 106 MANZANA 2 LOTE 17</t>
  </si>
  <si>
    <t>JUVENTINO ROSAS</t>
  </si>
  <si>
    <t>EULALIA GUZMAN 333 ESQUINA CON CIPRES</t>
  </si>
  <si>
    <t>AVENIDA INSTITUTO POLITECNICO NACIONAL 1521 EDIFICIO ANEXO</t>
  </si>
  <si>
    <t>MIRYAM YOKO MORQUECHO NAVARRO</t>
  </si>
  <si>
    <t>RUBI ADRIANA GUTIERREZ</t>
  </si>
  <si>
    <t>VICTOR MANUEL TAPIA PINEDA</t>
  </si>
  <si>
    <t>ANDRES BUSTAMANTE</t>
  </si>
  <si>
    <t>NO HAY AUTO DE RADICACION // PIDE $7,394.40 POR CONCEPTO DE 18 DIAS DE VACACIONES Y EL 25% DE PRIMA PERO SE ENTIENDE QUE ESA CANTIDAD ES POR AÑO PORQUE LO SOLICITA POR TODO EL TIEMPO, POR LO QUE NO SE CAPTURA EN Vac $ // PIDE DOS DIFERENTES DIFERENCIAS SALARIALES CORRESPONDIENTES AL MISMO PERIODO, UNA EN LA PARTE DE PRESTACIONES Y OTRA EN LA PARTE DE HECHOS, SE DEJA LA DE HECHOS DE $12,073.90 QUE ES LA MEJOR EXPLICADA</t>
  </si>
  <si>
    <t>RAUL LAISECA GONZALEZ</t>
  </si>
  <si>
    <t>CAMPO COBO 13</t>
  </si>
  <si>
    <t>SAN ANTONIO</t>
  </si>
  <si>
    <t>NS SISTEMAS INTEGRADOS DE SOPORTE TERRESTRE EN MEXICO SA DE CV</t>
  </si>
  <si>
    <t>ORIENTE CIENTO SETENTA Y CUATRO 435 SEGUNDA SECCION</t>
  </si>
  <si>
    <t>SISTEMA CORPORATIVO DE PERSONAL SA DE CV</t>
  </si>
  <si>
    <t>JOSE ARTURO MONTERRUBIO NAJERA</t>
  </si>
  <si>
    <t>EMPLEADO GENERAL HABILITADO</t>
  </si>
  <si>
    <t>MARIA EL ROCIO BUSTAMANTE CALLEJO</t>
  </si>
  <si>
    <t>NO HAY AUTO DE RADICACION // NO SE PUSIERON LOS 28 DIAS DE VACACIONES PORQUE DICE QUE NUNCA DISFRUTO DE VACACIONES DURANTE TODO EL TIEMPO LABORADO Y DE SER ASI EL TOTAL MINIMO DE LEY RESULTA MAYOR A 28 DIAS POR LO QUE DEBE REFERIRSE A UNA RAZON</t>
  </si>
  <si>
    <t>GLORIA DEL CARMEN PLACENCIA RAMIREZ</t>
  </si>
  <si>
    <t>EDIFICIO 5008 DESPACHO 7</t>
  </si>
  <si>
    <t>MAXIMINO AVILA CAMACHO</t>
  </si>
  <si>
    <t>MOTO AZCAPOTZALCO SA</t>
  </si>
  <si>
    <t>ESPERANZA 11</t>
  </si>
  <si>
    <t>PORFIRIO ABIGAEL GARCIA CLIMENT</t>
  </si>
  <si>
    <t>ENCARGADA DE VENTAS</t>
  </si>
  <si>
    <t>CARLOS EDUARDO VALLEJO CINTURA</t>
  </si>
  <si>
    <t>DOCTOR VELASCO 162 DESPACHO 18 SEGUNDO PISO</t>
  </si>
  <si>
    <t>CETELEM SERVICIOS SA DE CV</t>
  </si>
  <si>
    <t>AVENIDA PASEO DE LA REFORMA 2693</t>
  </si>
  <si>
    <t>LOMAS DE BESARAS</t>
  </si>
  <si>
    <t>LUIS JOAQUIN MENA ALCANTATRA</t>
  </si>
  <si>
    <t>ANTONIO COLIN LARA</t>
  </si>
  <si>
    <t>GABRIEL TEODOSIO PACHECO RAMIREZ</t>
  </si>
  <si>
    <t>RICARDO GONZALEZ MARTINEZ</t>
  </si>
  <si>
    <t>NO HAY AUTO DE RADICACION // HAY CORRECCION EN LA DIRECCION DEL DEMANDADO</t>
  </si>
  <si>
    <t>ANGELICA MENDOZA GARCIA</t>
  </si>
  <si>
    <t>NAPOLES CONSORCIO LABORAL SA DE CV</t>
  </si>
  <si>
    <t>CAPTACION CAPACITACION Y COLOCACION DE PERSONAL PARA EMPRESAS SA DE CV</t>
  </si>
  <si>
    <t>INNOVA</t>
  </si>
  <si>
    <t>MGK COMERCIAL SA DE CV</t>
  </si>
  <si>
    <t>SERVANDO BARRERA RODRIGUEZ</t>
  </si>
  <si>
    <t>FRANCISCO JAVIER PADRON ESTRADA</t>
  </si>
  <si>
    <t>IRMA KARINA VIVEROS TAPIA</t>
  </si>
  <si>
    <t>BUFETE JURIDICO BARRERA Y ASOCIADOS</t>
  </si>
  <si>
    <t>ADRIAN MOLINA</t>
  </si>
  <si>
    <t>SALARIO, NOMBRE DEMANDADO</t>
  </si>
  <si>
    <t>PEDRO TRUJILLO LOPEZ</t>
  </si>
  <si>
    <t>DOCTOR ERAZO 85 DESPACHO 503</t>
  </si>
  <si>
    <t>ALEJANDRO ROJAS B</t>
  </si>
  <si>
    <t>PRINCIPAL 61</t>
  </si>
  <si>
    <t>SANTA CRUZ AVIACION</t>
  </si>
  <si>
    <t>ALEJANDRO ROJAS TRUJILLO</t>
  </si>
  <si>
    <t>TALLER MECANICO ABITA</t>
  </si>
  <si>
    <t>EDUARDO JOSE LOPEZ</t>
  </si>
  <si>
    <t>JESSICA ARROYO NAVA</t>
  </si>
  <si>
    <t>MARIA DEL PILAR PINA CARDENAS</t>
  </si>
  <si>
    <t>JUAN CARLOS GUTIERREZ LICONA</t>
  </si>
  <si>
    <t>BEEN BEST MEXICO SA DE CV</t>
  </si>
  <si>
    <t>AVENIDA CHAPULTEPEC 596</t>
  </si>
  <si>
    <t>JAVIER ROMERO</t>
  </si>
  <si>
    <t>COORDINADOR DE RECLUTADORES</t>
  </si>
  <si>
    <t>NO HAY AUTO DE RADICACION // GIRO DE LA EMPRESA SE DEFINIRIA COMO SERVICIOS PERO SE SABE QUE ATENTO ES UNA BPO POR LO QUE SE PONE RECLUTAMIENTO</t>
  </si>
  <si>
    <t>PABLO ARMANDO HERNANDEZ LEON</t>
  </si>
  <si>
    <t>CONCEPCION GONZALEZ</t>
  </si>
  <si>
    <t>TELEOPERADOR TECNICO</t>
  </si>
  <si>
    <t>SE TOMO EL ULTIMO HORARIO QUE TUVO Y EN EL QUE SUCEDIERON LOS HECHOS DEL DESPIDO PERO NO SE SABE POR CUANTOS DIAS A LA SEMANA ERA // SE TOMO COMO SALARIO BASE EL SUELDO CONSTANTE QUE APARECE EN SUS TABLAS Y COMO SALARIO INTEGRADO EL PROMEDIO QUE EL MENCIONA</t>
  </si>
  <si>
    <t>MARCO ANTONIO HERNANDEZ LIZARDI</t>
  </si>
  <si>
    <t>AMEYALCO 10 DESPACHO 316</t>
  </si>
  <si>
    <t>TMPDE MEXICO SA DE CV</t>
  </si>
  <si>
    <t>HORACIO 1855 PEN HOUSE</t>
  </si>
  <si>
    <t>RESORT CONDOMINIUMS INTERNATIONAL DE MEXICO S DE RL DE CV</t>
  </si>
  <si>
    <t>EDSON ALEJANDRO JIMENEZ GONZALEZ</t>
  </si>
  <si>
    <t>ERASMO VILLALOBOS</t>
  </si>
  <si>
    <t>MIGUEL ANGEL ORTEGA MORALES</t>
  </si>
  <si>
    <t>MARISOL VIVIANA ANDRADE IBARRA</t>
  </si>
  <si>
    <t>PEDRO CASTELLANOS CORONA</t>
  </si>
  <si>
    <t>DESPACHO JURIDICO OMA ABOGADOS</t>
  </si>
  <si>
    <t>CONSEJERO VACACIONAL</t>
  </si>
  <si>
    <t>JAIME GALVAN LINO</t>
  </si>
  <si>
    <t>SOMAR HUMANA SA DE CV</t>
  </si>
  <si>
    <t>ADOLFO PRIETO 1427-C</t>
  </si>
  <si>
    <t>VIPUL TIMBADIA</t>
  </si>
  <si>
    <t>JOSE LUIS ROSAS MARTELL</t>
  </si>
  <si>
    <t>GULLERMO VARGAS FLORES</t>
  </si>
  <si>
    <t>SUPERVISOR DE MANTENIMIENTO</t>
  </si>
  <si>
    <t>ALEJANDRO ROBLES MEDINA</t>
  </si>
  <si>
    <t>NISSAN ZARAGOZA SA DE CV</t>
  </si>
  <si>
    <t>CALZADA IGNACIO ZARAGOZA 866</t>
  </si>
  <si>
    <t>AGRICOLA PANTITLAN</t>
  </si>
  <si>
    <t>MARIO GONZALEZ CORREA</t>
  </si>
  <si>
    <t>Hojalatero(a) en la reparaciOn de automOviles y camiones, oficial</t>
  </si>
  <si>
    <t>SANDRA BEATRIZ ALVARADO CRUZ</t>
  </si>
  <si>
    <t>DOROTEO ARANGO 80 EDIFICIO G 102</t>
  </si>
  <si>
    <t>UNIDAD HABITACIONAL FRANCISCO VILLA</t>
  </si>
  <si>
    <t>PLANEACION DE RECURSOS HUMANOS SA DE CV</t>
  </si>
  <si>
    <t>PASEO DE LA REFORMA 390 PISO 15</t>
  </si>
  <si>
    <t>GRUPO FINANCIERO BANAMEX SA DE CV</t>
  </si>
  <si>
    <t>ABRAHAM LEON SOTO</t>
  </si>
  <si>
    <t>KAREN ARELI ISLAS </t>
  </si>
  <si>
    <t>ALMA DE JESUS SALVATIERRA CACIQUE</t>
  </si>
  <si>
    <t>MARIA DEL CARMEN MORENO GAYTAN</t>
  </si>
  <si>
    <t>ROBERTO RAMIREZ TENORIO </t>
  </si>
  <si>
    <t>ARTURO REYES CORONEL</t>
  </si>
  <si>
    <t>JOSE LUIS BARRIOS NAVA</t>
  </si>
  <si>
    <t>COLLECTOR 2 COMERCIAL</t>
  </si>
  <si>
    <t>AUREA BERENICE ARANDA HERNANDEZ</t>
  </si>
  <si>
    <t>SESTERCIO OPERACIONES SC</t>
  </si>
  <si>
    <t>ANICETO ORTEGA 730</t>
  </si>
  <si>
    <t>CUESTION ORGANIZATIVA DEL CENTRO SA DE CV</t>
  </si>
  <si>
    <t>EDITH RAMIREZ</t>
  </si>
  <si>
    <t>EJECUTIVO DE OPERACIONES</t>
  </si>
  <si>
    <t>DOCTOR JOSE MA VERTIZ 109 DESPACHO 504</t>
  </si>
  <si>
    <t>AVENIDA PASEO DE LA REFORMA 347</t>
  </si>
  <si>
    <t>BRUNO RAYAN</t>
  </si>
  <si>
    <t>MARCOS BERNAL</t>
  </si>
  <si>
    <t>HUGO RIRIK LEDEZMA C</t>
  </si>
  <si>
    <t>GERSON GARCIA FALCON</t>
  </si>
  <si>
    <t>VICTOR ALVARADO</t>
  </si>
  <si>
    <t>ARISTEO RIVAS BETANCOURT</t>
  </si>
  <si>
    <t>ROCO AUTOMOTRIZ DEL VALLE  SA DE CV</t>
  </si>
  <si>
    <t>BUFALO 6 ESQUINA CON JOSE MARIA RICO</t>
  </si>
  <si>
    <t>MARCOS VILLEGAS CONTRERAS</t>
  </si>
  <si>
    <t>FEDERICO ZARATE HERNANDEZ</t>
  </si>
  <si>
    <t>AVENIDA JOSE MARIA RICO EJE 8 SUR 212 DESPACHO 805</t>
  </si>
  <si>
    <t>CARCONTROL SA DE CV</t>
  </si>
  <si>
    <t>AVENIDA COYOACAN 1246</t>
  </si>
  <si>
    <t>EDUARDO BORGES</t>
  </si>
  <si>
    <t>ELEAZAR AMAYO ARRIAGA</t>
  </si>
  <si>
    <t>ARIEL ACOSTA PEREZ</t>
  </si>
  <si>
    <t>LETICIA ELIZABETH LEON RAMIREZ</t>
  </si>
  <si>
    <t>IVAN QUINTANAR GUILLERN</t>
  </si>
  <si>
    <t>MECANICO B</t>
  </si>
  <si>
    <t>ADRIANA FELIPE FARRERA GONZALEZ</t>
  </si>
  <si>
    <t>DOCTOR LUCIO 102 DESPACHO 202 EDIFICIO C-12 ISLA REVILLAGIGEDO</t>
  </si>
  <si>
    <t>CORPORACION NOVAIMAGEN S DE RL DE CV</t>
  </si>
  <si>
    <t>AVENIDA INSURGENTES SUR 674 PISO 8</t>
  </si>
  <si>
    <t>ERNESTO ZORRILLA RAMIREZ CORZO</t>
  </si>
  <si>
    <t>GUILLERMO ZORRILLA RAMIREZ CORZO</t>
  </si>
  <si>
    <t>ALFREDO RUBIO RUBIO</t>
  </si>
  <si>
    <t>ZORRILLA &amp; ZORRILLA ABOGADOS</t>
  </si>
  <si>
    <t>ESPECIALISTA DE INSTALACIONES</t>
  </si>
  <si>
    <t>LIZZETTE CONSUELO CACERES GUTIERREZ</t>
  </si>
  <si>
    <t>LUIS MANUEL VICARIO HERNANDEZ</t>
  </si>
  <si>
    <t>SERVICIOS EXTERNOS DE APOYO EMPRESARIAL SA DE CV</t>
  </si>
  <si>
    <t>SAN FELIPE 1689</t>
  </si>
  <si>
    <t>JULIO CESAR CONTRERAS SANCHEZ</t>
  </si>
  <si>
    <t>EJECUTIVO DE SUCURSAL</t>
  </si>
  <si>
    <t>OSCAR </t>
  </si>
  <si>
    <t>LUIS RICARDO GUEVARA RODRIGUEZ </t>
  </si>
  <si>
    <t>DOCTOR CARMONA Y VALLE 126 INTERIOR 105 </t>
  </si>
  <si>
    <t>C Y E PERSONNEL ADMINISTRATION SA DE CV </t>
  </si>
  <si>
    <t>AVENIDA PROLONGACION PASEO DE LA REFORMA 625 TERCER PISO O CUARTO PISO </t>
  </si>
  <si>
    <t>PASEO DE LAS LOMAS </t>
  </si>
  <si>
    <t>ALVARO OBREGON </t>
  </si>
  <si>
    <t>4 X 4 PROMOTION AND PUBLICITY SA DE CV </t>
  </si>
  <si>
    <t>JULIO CESAR HERNANDEZ ALVARADO </t>
  </si>
  <si>
    <t>JUAN JOSE HERNANDEZ ALVARADO </t>
  </si>
  <si>
    <t>JESUS ALBERTO CHILIANA NAVA </t>
  </si>
  <si>
    <t>HIPOLITO RUIZ</t>
  </si>
  <si>
    <t>JORGE ALBERTO MEJIA LOZA </t>
  </si>
  <si>
    <t>MEDIO DE TRANSPORTES WA SA DE CV </t>
  </si>
  <si>
    <t>AVENIDA TAMAULIPAS 1068 BIS </t>
  </si>
  <si>
    <t>SANTA LUCIA </t>
  </si>
  <si>
    <t>ASESORES Y CONSULTORES COPACABANA SA DE CV </t>
  </si>
  <si>
    <t>SOLUCIONES INTEGRALES DE TRANSPORTE SA DE CV </t>
  </si>
  <si>
    <t>ALFREDO GUTIERREZ </t>
  </si>
  <si>
    <t>OFELIA GARCIA FLORES </t>
  </si>
  <si>
    <t>ANA MARIA LOPEZ ESPINOSA </t>
  </si>
  <si>
    <t>GENARO FRANCO SANTILLAN </t>
  </si>
  <si>
    <t>TUXPAN 10 DESPACHO 701 </t>
  </si>
  <si>
    <t>ESTETICA MARONAS SA DE CV </t>
  </si>
  <si>
    <t>CALZADA MEXICO TACUBA 536 </t>
  </si>
  <si>
    <t>POPOTLA </t>
  </si>
  <si>
    <t>ANDRES MARONAS </t>
  </si>
  <si>
    <t>QUIEN RESULTE SER PROPIETARIO O RESPONSIBLE DE LA FUENTE DE TRABAJO </t>
  </si>
  <si>
    <t>DULCE MARIA CEBALLOS GARCIA </t>
  </si>
  <si>
    <t>FERNANDO VENEGAS RAMIREZ </t>
  </si>
  <si>
    <t>BASILIO VENEGAS RAMIREZ </t>
  </si>
  <si>
    <t>PINTOR AUTOMOTRIZ </t>
  </si>
  <si>
    <t>ANDRES MARONAS</t>
  </si>
  <si>
    <t>AYUDA DE PASAJES </t>
  </si>
  <si>
    <t>AYUDA DE UTILES </t>
  </si>
  <si>
    <t>FONDO DE AHORRO </t>
  </si>
  <si>
    <t>MARION AXEL DOMINGUEZ PINA </t>
  </si>
  <si>
    <t>BOLIVAR 21 SEXTO PISO DESPACHO 612 </t>
  </si>
  <si>
    <t>AMERICAS MOTORS SA DE CV </t>
  </si>
  <si>
    <t>TLALPAN 1027 </t>
  </si>
  <si>
    <t>AMERICAS UNIDAS </t>
  </si>
  <si>
    <t>LUIS MIGUEL DELGADILLO </t>
  </si>
  <si>
    <t>ROCIO GARCIA JIMENEZ</t>
  </si>
  <si>
    <t>JANET ANTONIA MAY CHAVARRIA </t>
  </si>
  <si>
    <t>YOLANDA NUNEZ MARTINEZ </t>
  </si>
  <si>
    <t>ENCARGADO DE SEMINUEVOS Y PREPARADOR </t>
  </si>
  <si>
    <t>LUIS MIGUEL DELGADILL</t>
  </si>
  <si>
    <t>EL HORARIO DE TRABAJO NO ESTA CLARO, ASI QUE LE SUME A 48 HORAS LAS 12 HORAS EXTRAS QUE PIDE</t>
  </si>
  <si>
    <t>MIGUEL ANGEL GUERRERO MIRANDA </t>
  </si>
  <si>
    <t>MIGUEL LAURENT 909 TORRE C 204 </t>
  </si>
  <si>
    <t>COMPAÑIA OPERADORA DE ESTACIONAMIENTOS MEXICANOS SA DE CV </t>
  </si>
  <si>
    <t>QUINTANA ROO 65 </t>
  </si>
  <si>
    <t>QUIEN RESULTE ER EL RESPONSIBLE DE LA FUENTE DE TRABAJO </t>
  </si>
  <si>
    <t>FRANCISCO GONZALEZ VILLEGAS </t>
  </si>
  <si>
    <t>MARIA GUADALUPE RAMIREZ ROJAS </t>
  </si>
  <si>
    <t>OSCAR NOLASCO PEREZ </t>
  </si>
  <si>
    <t>MONICA GONZALEZ PINEDA </t>
  </si>
  <si>
    <t>PROMOTECNICAS Y VENTAS SA DE CV </t>
  </si>
  <si>
    <t>TLACOTLALPAN 112 </t>
  </si>
  <si>
    <t>ROMA UR </t>
  </si>
  <si>
    <t>EDGAR MAGAYON </t>
  </si>
  <si>
    <t>GUADALUPE GONZALEZ SALAS </t>
  </si>
  <si>
    <t>AVENIDA LA VEREDA 16 DESPACHO 1 </t>
  </si>
  <si>
    <t>CUAHTEMOC </t>
  </si>
  <si>
    <t>JACOBO MARTINEZ RAMOS </t>
  </si>
  <si>
    <t>JAJOMAR SA DE CV </t>
  </si>
  <si>
    <t>JORGE MARTINEZ RAMOS </t>
  </si>
  <si>
    <t>MARIANO MARTINEZ RAMOS </t>
  </si>
  <si>
    <t>MIGUEL SALGUERO </t>
  </si>
  <si>
    <t>VICTOR HUGO LARIOS MACIAS </t>
  </si>
  <si>
    <t>IMELDA MIRIAM MUÑOZ ACOSTA </t>
  </si>
  <si>
    <t>CARLOS GERMAN PINEDA AYERDY </t>
  </si>
  <si>
    <t>ASESORIA LABORAL ESPECIALIZADA </t>
  </si>
  <si>
    <t>CAJERA </t>
  </si>
  <si>
    <t>BONO MENSUAL POR METAS </t>
  </si>
  <si>
    <t>BONO DE PUNTUALIDAD </t>
  </si>
  <si>
    <t>BONO DE ASISTENCIA </t>
  </si>
  <si>
    <t>BONO SANBORNS COMEDOR </t>
  </si>
  <si>
    <t>DIAS DE DESCANSO </t>
  </si>
  <si>
    <t>ALFONSO SANCHEZ PEREZ </t>
  </si>
  <si>
    <t>FRANCISCO I MADERO 35 DESPACHO 401 </t>
  </si>
  <si>
    <t>CENTRO HISTORICO </t>
  </si>
  <si>
    <t>ESTACIONAMIENTO CORSA SA DE CV </t>
  </si>
  <si>
    <t>HAMBURGO 70 10 </t>
  </si>
  <si>
    <t>EMILIO SANCHEZ SARQUIS </t>
  </si>
  <si>
    <t>MARIO IBARRA </t>
  </si>
  <si>
    <t>JUAN ANTONIO CORONA VALLE </t>
  </si>
  <si>
    <t>MARIA LUISA GARCIA PEREZ </t>
  </si>
  <si>
    <t>MAXIMINO RAMIREZ MORALES </t>
  </si>
  <si>
    <t>ABOGADOS ASOCIADOS </t>
  </si>
  <si>
    <t>MINICA BORJA LARA </t>
  </si>
  <si>
    <t>CENTRO DE SOLUCIONES EN INFORMATICA SA DE CV </t>
  </si>
  <si>
    <t>RIO CHURUBUSCO 522 </t>
  </si>
  <si>
    <t>EL RETOÑO </t>
  </si>
  <si>
    <t>IZTAPALAPA </t>
  </si>
  <si>
    <t>GERARDO CUELLAR Y ABOGADOS </t>
  </si>
  <si>
    <t>SUPERVISORA DE OPERADORES TELEFONICOS </t>
  </si>
  <si>
    <t>JOSE LUIS RODRIGUEZ ROJAS</t>
  </si>
  <si>
    <t>ALEJANDRO PONCE GONZALEZ </t>
  </si>
  <si>
    <t>SAN FRANCISCO 224 PLANTA BAJA </t>
  </si>
  <si>
    <t>TARGET MKT SA DE CV </t>
  </si>
  <si>
    <t>AMORES 1614 </t>
  </si>
  <si>
    <t>LETICIA BRISENO GUERRERO </t>
  </si>
  <si>
    <t>QUIEN REULTE PROPIETARIO PATRON O RESPONSIBLE DE LA FUENTE DE TRABAJO </t>
  </si>
  <si>
    <t>FRANCISCO JAVIER WILSON MARTINEZ </t>
  </si>
  <si>
    <t>MARIA FERNANDA LEMUS RODRIGUEZ </t>
  </si>
  <si>
    <t>ROBERTO WILSON MARTINEZ </t>
  </si>
  <si>
    <t>STOCK AGENT </t>
  </si>
  <si>
    <t>LETICIA BRISEÑO GUERRERO </t>
  </si>
  <si>
    <t>TOMAS DARIO LARIOS MARTINEZ </t>
  </si>
  <si>
    <t>CECILIO ROBELO </t>
  </si>
  <si>
    <t>SERVICIOS TECNICOS Y PROFESIONALES DEL BRAVO SC </t>
  </si>
  <si>
    <t>JALAPA 129 A </t>
  </si>
  <si>
    <t>COMPAÑIA DE GAS DEL CENTRO SA DE CV </t>
  </si>
  <si>
    <t>GRUPO ZETA SA DE CV </t>
  </si>
  <si>
    <t>QUIEN RESULTE RESPONSABLE DE LA RELACION LABORAL</t>
  </si>
  <si>
    <t>JOSEFINA SOFIA GIL SUAREZ </t>
  </si>
  <si>
    <t>MANUEL LOPEZ GARCIA </t>
  </si>
  <si>
    <t>LIZETTE LAVARADO MORENO </t>
  </si>
  <si>
    <t>GUSTAVO F ALANIS JURADO </t>
  </si>
  <si>
    <t>RAUL BERNAL ROSAS </t>
  </si>
  <si>
    <t>REGINA 70 INTERIOR 303 </t>
  </si>
  <si>
    <t>GRUPO DE ADMINISTRACION DE BIENES Y SERVICIOS SA DE CV </t>
  </si>
  <si>
    <t>EUGENIA 197 EDIFICIO SAN RAFAEL PISO 8 Y 9</t>
  </si>
  <si>
    <t>HUGO RURIK LEDESMA </t>
  </si>
  <si>
    <t>PEDRO PAYAN</t>
  </si>
  <si>
    <t>MARCO BERNAL </t>
  </si>
  <si>
    <t>QUIEN RESULTE RESPONSABLE O PROPIETARIO DE LA FUENTE DE TRABAJO </t>
  </si>
  <si>
    <t>EDGAR CUELLAR FERNANDEZ </t>
  </si>
  <si>
    <t>CLAUDIA CABALLERO HERNANDEZ </t>
  </si>
  <si>
    <t>EDGAR CUELLAR Y ASOCIADOS </t>
  </si>
  <si>
    <t>SUPERVISOR DE GESTORES DE COBRANZA DE LA CARTERA VENCIDA NEXTEL </t>
  </si>
  <si>
    <t>RECUPERACION DE CARTERA VENCIDA DE NEXTEL</t>
  </si>
  <si>
    <t>VICTOR MANUEL RODRIGUEZ OREA </t>
  </si>
  <si>
    <t>ANA GABRIELA CHABAT SANCHEZ </t>
  </si>
  <si>
    <t>TIEPOLO 12 </t>
  </si>
  <si>
    <t>CIUDAD DE LOS DEPORTES </t>
  </si>
  <si>
    <t>INTERCUVI MEXICANA SA DE CV </t>
  </si>
  <si>
    <t>AVENIDA RIO MIXCOAC 36 PISO 3 DEPARTAMENTO 302 </t>
  </si>
  <si>
    <t>ACTIPAN </t>
  </si>
  <si>
    <t>GROUPALIA SA DE CV </t>
  </si>
  <si>
    <t>VICENTE EGUIA 8</t>
  </si>
  <si>
    <t>ALEJANDRO MUNOZ BOTELLO </t>
  </si>
  <si>
    <t>ELISA RODRIGUEZ GUERRERO </t>
  </si>
  <si>
    <t>GENARO GARCIA IGUINIZ MARTIN B ROBLES MENDOZA </t>
  </si>
  <si>
    <t>MARTIN B ROBLES MENDOZA </t>
  </si>
  <si>
    <t>HUGO ZAMIR CASAB MARRUFO </t>
  </si>
  <si>
    <t>EJECUTIVO COMERCIAL </t>
  </si>
  <si>
    <t>COMBUSTIBLE Y GASTOS </t>
  </si>
  <si>
    <t>LETICIA VELEZ HERNANDEZ </t>
  </si>
  <si>
    <t>AMEYALCO 10 DESPACHO 213 </t>
  </si>
  <si>
    <t>AUTOMOTORES PEDEGRAL SA DE CV </t>
  </si>
  <si>
    <t>PERIFERICO SUR 4100 </t>
  </si>
  <si>
    <t>MARCHANDES POUR AFFAIRS SA DE CV </t>
  </si>
  <si>
    <t>DAVID ANTONIO HERNANDEZ RUVALCABA </t>
  </si>
  <si>
    <t>SALVADOR ARANA DIAZ </t>
  </si>
  <si>
    <t>AVENIDA INSTITUTO POLITECNICO NACIONAL 5421 ESQUINA CON JOSE URBANO FONSECA EDIFICIO 3 PLANTA BAJA </t>
  </si>
  <si>
    <t>ALEJANDRO GARCIA ROMAN</t>
  </si>
  <si>
    <t>YASMIN MARTINEZ JIMENEZ </t>
  </si>
  <si>
    <t>ADRIANA MORA GUTIERREZ </t>
  </si>
  <si>
    <t>SUPERVISORA DE VENTAS VW</t>
  </si>
  <si>
    <t>LUIS JAIMEZ RODRIGUEZ </t>
  </si>
  <si>
    <t>CORDOBA 131 DESPACHO 402 CUARTO PISO </t>
  </si>
  <si>
    <t>AUTOFINANCIAMIENTO DE AUTOMOVILE MONTERREY SA DE CV </t>
  </si>
  <si>
    <t>BOULEVARD MELCHOR OCAMPO 193 LOCAL E 14 PLANTA BAJA </t>
  </si>
  <si>
    <t>VERONICA ANZUREZ </t>
  </si>
  <si>
    <t>ARMANDO VEJAR CORTES</t>
  </si>
  <si>
    <t>MARIBEL ROJAS ZEPEDA </t>
  </si>
  <si>
    <t>MAURICIO JIMENEZ </t>
  </si>
  <si>
    <t>QUIEN RESULTE PATRON O RESPONSIBLE DE LA FUENTE DE TRABAJO </t>
  </si>
  <si>
    <t>EDUARDO ALFONSO MORENO HINOJOSA </t>
  </si>
  <si>
    <t>FRANCISCO JAVIER PEREZ ZARAGOZA </t>
  </si>
  <si>
    <t>VENDEDOR </t>
  </si>
  <si>
    <t>ARMANDO VEJAR CORTES </t>
  </si>
  <si>
    <t>CESAR SALVADOR RAMIREZ </t>
  </si>
  <si>
    <t>TOP PERSONNEL S DE RL DE CV </t>
  </si>
  <si>
    <t>AVENIDA INSURGENTES SUR 1446 PISO 1 </t>
  </si>
  <si>
    <t>ELSA CORNELIA ANZALDO MARTINEZ </t>
  </si>
  <si>
    <t>VICTOR HUGO DIAZ CHAVEZ </t>
  </si>
  <si>
    <t>LUIS RICARDO HERNANDEZ RODRIGUEZ </t>
  </si>
  <si>
    <t>AUXILIAR ADMINISTRATIVO </t>
  </si>
  <si>
    <t>JUAN CARLOS TORRES PEREZ </t>
  </si>
  <si>
    <t>DOCTOR ENRIQUE GONZALEZ MARTINEZ 13 A </t>
  </si>
  <si>
    <t>SANTA MARIA LA RIBERA </t>
  </si>
  <si>
    <t>ROGER SISTEMAS EXTERIORES S DE RL DE CV </t>
  </si>
  <si>
    <t>LAGO MASK 129 </t>
  </si>
  <si>
    <t>ANAHUAC </t>
  </si>
  <si>
    <t>ROGELIO RAMOS MARTINEZ </t>
  </si>
  <si>
    <t>KARELIA SILVA RODRIGUEZ </t>
  </si>
  <si>
    <t>JOSE LUIS HERNANDEZ GALVAN </t>
  </si>
  <si>
    <t>QUIEN RESULTE RESPONSIBLE DE LA FUENTE DE TRABAJO </t>
  </si>
  <si>
    <t>BENJAMIN HUERTA RODRIGUEZ </t>
  </si>
  <si>
    <t>JOSE FRANCISCO SANCHEZ BENITEZ </t>
  </si>
  <si>
    <t>CARLOS GERARDO SEGURA ROSALES </t>
  </si>
  <si>
    <t>CHOFER DE CAMIONETA </t>
  </si>
  <si>
    <t>SALIR FUERA DE LA CIUDAD DE MEXICO </t>
  </si>
  <si>
    <t>RUTH ELIZABETH BAEHNA SAMANO </t>
  </si>
  <si>
    <t>LOTERIA NACIONAL 7 DESPACHO 11 </t>
  </si>
  <si>
    <t>A Y N CONSULTORIA SA DE CV </t>
  </si>
  <si>
    <t>AVENIDA CUITLAHUAC 3323 PRIMER PISO </t>
  </si>
  <si>
    <t>QUIEN RESULTE DUENA O RESPONSIBLE DE LA FUENTE DE TRABAJO DEMANDADA </t>
  </si>
  <si>
    <t>ALEJANDRO FRANCISCO ESTRADA REYES </t>
  </si>
  <si>
    <t>JAIME ARTURO JIMENEZ ARREOLA </t>
  </si>
  <si>
    <t>LORENA RAMOS ALFARO</t>
  </si>
  <si>
    <t>JIMENEZ ARREOLA Y ASOCS SC </t>
  </si>
  <si>
    <t>GESTORA DE COBRANZA </t>
  </si>
  <si>
    <t>JOSE ANTONIO PEREYA PEREZ </t>
  </si>
  <si>
    <t>EDGAR ARTURO CASTRO RUIZ </t>
  </si>
  <si>
    <t>LOPEZ 1 DESPACHO 206 </t>
  </si>
  <si>
    <t>ATENTO SERVICIOS SA DE CV </t>
  </si>
  <si>
    <t>PUEBLA 277 </t>
  </si>
  <si>
    <t>QUIEN RESULTE RESPONSIBLE O PATRON </t>
  </si>
  <si>
    <t>LUIS ALBERTO RANGEL MENDEZ </t>
  </si>
  <si>
    <t>MARISELA VAZQUEZ GAMEZ </t>
  </si>
  <si>
    <t>FEDERICO EDUARDO CHAVEZ </t>
  </si>
  <si>
    <t>JESUS OCTAVIO CAMPOS PINEDA </t>
  </si>
  <si>
    <t>BONO MENSUAL </t>
  </si>
  <si>
    <t>ALEJANDRO VERGARA GARCIA </t>
  </si>
  <si>
    <t>LUIS MOYA 50 </t>
  </si>
  <si>
    <t>POLYLLANTAS Y SERVICIOS SA DE CV </t>
  </si>
  <si>
    <t>PLUTARCO ELIAS CALLES </t>
  </si>
  <si>
    <t>SAN ANDRES TETEPILCO </t>
  </si>
  <si>
    <t>ALEJANDRO SAUCEDO PEREZ </t>
  </si>
  <si>
    <t>EVANGELINA ZAMORA FLORES </t>
  </si>
  <si>
    <t>QUIEN RESLUTE SER PROPIETARIO Y RESPONSIBLE DE LA FUENTE DE TRAAJO </t>
  </si>
  <si>
    <t>GUADALUE INN </t>
  </si>
  <si>
    <t>LUIS ALBERTO CAMACHO CORTEZ </t>
  </si>
  <si>
    <t>JOSE MARTINEZ REYES </t>
  </si>
  <si>
    <t>ALEJANDRO SAUCEDO </t>
  </si>
  <si>
    <t>ANA ROSA CARBAJAL CARBAJAL </t>
  </si>
  <si>
    <t>CINCINNATI 40 303</t>
  </si>
  <si>
    <t>NOCHE BUENA </t>
  </si>
  <si>
    <t>AVENIDA RIO CHURUBUSCO 522 </t>
  </si>
  <si>
    <t>EL TETONO </t>
  </si>
  <si>
    <t>SOLUCIONES AGROPECUARIAS EN RH Y EMPRESARIALES SA DE CV </t>
  </si>
  <si>
    <t>BBVA BANCOMER SA </t>
  </si>
  <si>
    <t>XOCO </t>
  </si>
  <si>
    <t>INSTITUCION DE BANCA MULTIPLE </t>
  </si>
  <si>
    <t>GRUPO FINANCIERO BBVA BANCOMER </t>
  </si>
  <si>
    <t>ARMANDO ROSAS TLAXCANO</t>
  </si>
  <si>
    <t>IVONNE LETICIA GALARZA RANGEL </t>
  </si>
  <si>
    <t>DANICA FABIOLA CHAVERO RAMIREZ </t>
  </si>
  <si>
    <t>JOSUE ISRAEL IBARRA MARTIN </t>
  </si>
  <si>
    <t>AYUDA DE TRANSPORTE </t>
  </si>
  <si>
    <t>TIEMPO EXTRAORDINARIO </t>
  </si>
  <si>
    <t>JULIO CESAR REYES ORTIZ</t>
  </si>
  <si>
    <t>ALVARO VENEGAS PEREZ</t>
  </si>
  <si>
    <t>PLAYA AZUL 260</t>
  </si>
  <si>
    <t>REFORMA IZTACIHUATL</t>
  </si>
  <si>
    <t>BUFETE JURIDICO-CONTABLE</t>
  </si>
  <si>
    <t>ALVARO VANEGAS PEREZ</t>
  </si>
  <si>
    <t>MOISES FLORES MIRELES</t>
  </si>
  <si>
    <t>DOCTOR VELASCO 193 DESPACHO 103</t>
  </si>
  <si>
    <t>PUBLICIDAD VAL HERMANOS SA DE CV</t>
  </si>
  <si>
    <t>JOSE MARIA MORELOS 9</t>
  </si>
  <si>
    <t>FERNANDO VELAZQUEZ </t>
  </si>
  <si>
    <t>YOLANDA MORALES GARCIA</t>
  </si>
  <si>
    <t>GABRIELA HERNANDEZ</t>
  </si>
  <si>
    <t>MITZI NAYELY SOTO ORTIZ</t>
  </si>
  <si>
    <t>CESAR PEREZ FUENTES</t>
  </si>
  <si>
    <t>JONATAN TORIZ BELTRAN</t>
  </si>
  <si>
    <t>PEREZFUENTES ABOGADOS</t>
  </si>
  <si>
    <t>GERARDO JUAREZ JUAREZ</t>
  </si>
  <si>
    <t>MARCELO 22 INTERIOR 2</t>
  </si>
  <si>
    <t>SERRTO GONZALEZ Y ASOCIADOS S DE NC</t>
  </si>
  <si>
    <t>AVENIDA CENTRAL 206</t>
  </si>
  <si>
    <t>SAN PEDRO DE LOS PINOS </t>
  </si>
  <si>
    <t>ASESORIA EMPRESARIALL CUESTA SC</t>
  </si>
  <si>
    <t>EMERSON 148 DESPACHO 802</t>
  </si>
  <si>
    <t>PROMOSION EMPRESARIAL ZAGUN SA DE CV</t>
  </si>
  <si>
    <t>BVIADUCTO MIGUEL ALEMAN 15 PISO 1-11</t>
  </si>
  <si>
    <t>COMERCIALIZADORA Y CONSTRUCTORA DE SERVICIOS SA DE CV</t>
  </si>
  <si>
    <t>AVENIDA AZCAPOTZALCO 451 INTERIOR E</t>
  </si>
  <si>
    <t>CONSTRUCTORA ARSENA SA DE CV</t>
  </si>
  <si>
    <t>PARQUE DE GRANADA 35</t>
  </si>
  <si>
    <t>SAN FERNANDO  LA HERRADURA</t>
  </si>
  <si>
    <t>HILDA ANGELICA ARIAS ARIAS</t>
  </si>
  <si>
    <t>ISIDRO ARIAS RUBIO</t>
  </si>
  <si>
    <t>RICARDO PABLO OCAMPO CABALLERO</t>
  </si>
  <si>
    <t>CONTADOR GENERAL</t>
  </si>
  <si>
    <t>JAVIER PEREZ ANGULO</t>
  </si>
  <si>
    <t>HUGO WARNHOLTZ JIMENEZ</t>
  </si>
  <si>
    <t>VIENA 279 LETRA B</t>
  </si>
  <si>
    <t>DEL VALLE CARMEN COYOACAN</t>
  </si>
  <si>
    <t>UNIVERSA MUSIC LATINO</t>
  </si>
  <si>
    <t>HEGEL 721</t>
  </si>
  <si>
    <t>UNIVERSAL MUSIC GROUP </t>
  </si>
  <si>
    <t>KHRISTIAN SEANZ CASTRO</t>
  </si>
  <si>
    <t>MIGUEL GARCIA</t>
  </si>
  <si>
    <t>PASEO DE LA REFORMA 476 PRIMER PISO</t>
  </si>
  <si>
    <t>DELEGACION CUAUHTEMC</t>
  </si>
  <si>
    <t>FERNANDO OCTAVIO FLORES ROMERO</t>
  </si>
  <si>
    <t>JOSE LUIS RPSTRO</t>
  </si>
  <si>
    <t>ALEJANDRO MOCTEZUMA CALDERON</t>
  </si>
  <si>
    <t>DIRECTOR MUSICAL</t>
  </si>
  <si>
    <t>IGNACIO JIMENEZ OLVERA</t>
  </si>
  <si>
    <t>DOCTOR NAVARRO 161 EDIFICIO C-5 DEPACHO 302</t>
  </si>
  <si>
    <t>DOLPHIN SERVICES OF TRANSPORTATION AND LOGISTICS SA DE CV</t>
  </si>
  <si>
    <t>AVENIDA CAFETALES 1800 INTERIOR DOS</t>
  </si>
  <si>
    <t>HACIENDA COYOACAN</t>
  </si>
  <si>
    <t>RAYMUNDO NAJERA</t>
  </si>
  <si>
    <t>KARLA MARTINEZ GARCIA</t>
  </si>
  <si>
    <t>VIRGINIA MONDRAGON CORELLA</t>
  </si>
  <si>
    <t>JUANA INES CHAVARRIA CASTORENA</t>
  </si>
  <si>
    <t>VERONICA JIMENEZ ANDRADE</t>
  </si>
  <si>
    <t>LAURA EDITH REYNOSO ALVAREZ</t>
  </si>
  <si>
    <t>AVENIDA CUAUHTEMOC 16 CUARTO PISO</t>
  </si>
  <si>
    <t>OUT SOURCING INBURNET SA DE CV</t>
  </si>
  <si>
    <t>PASEO DE LAS PALMAS 736 D-1</t>
  </si>
  <si>
    <t>JOSE SERGIO LOPEZ ROSAS</t>
  </si>
  <si>
    <t>ASESOR CALL CENTER</t>
  </si>
  <si>
    <t>RICARDO GARCIA LOPEZ</t>
  </si>
  <si>
    <t>NORTE 72-B 6116</t>
  </si>
  <si>
    <t>GERTUDIS SANCHEZ PRIMERA SECCION</t>
  </si>
  <si>
    <t>VIDEO OMEGA SA DE CV</t>
  </si>
  <si>
    <t>ANATOLE FRANCE 310</t>
  </si>
  <si>
    <t>CASANDRA BERENICE MARTINEZ MONTES</t>
  </si>
  <si>
    <t>ANA LAURA VELAZQUEZ BERMUDEZ</t>
  </si>
  <si>
    <t>AYUDA PARA DESPENSA</t>
  </si>
  <si>
    <t>SILVIA ROSARIO NAVARRETE JUAREZ</t>
  </si>
  <si>
    <t>TUXPAN NÚMERO 10 DESPACHO 803</t>
  </si>
  <si>
    <t>COSMIC PROMOCIONES, SA DE CV</t>
  </si>
  <si>
    <t>AVENIDA POPOCATEPETL 257</t>
  </si>
  <si>
    <t>JORGE ARRIAGA </t>
  </si>
  <si>
    <t>ADALBERTO TORRES ARMINIO</t>
  </si>
  <si>
    <t>DULCE MARIA CEBALLOS </t>
  </si>
  <si>
    <t>CEBALLOS &amp; TORRES ABOGADOS</t>
  </si>
  <si>
    <t>JORGE ARTEAGA</t>
  </si>
  <si>
    <t>BONOS DE VENTAS</t>
  </si>
  <si>
    <t>ROBERTO CARLOS CABRERA RAMOS</t>
  </si>
  <si>
    <t>DOCTOR ENRIQUE GONZALEZ MARTINEZ 195-C</t>
  </si>
  <si>
    <t>SANTA MARIA DE LA RIBERA</t>
  </si>
  <si>
    <t>BETT HILL SERVICE SA DE CV</t>
  </si>
  <si>
    <t>AVENIDA COLONIA DEL VALLE 528 INTERIOR 602</t>
  </si>
  <si>
    <t>LINDA LILIBET TORRES BALLINAS</t>
  </si>
  <si>
    <t>MIGUEL MORALES MARTINEZ</t>
  </si>
  <si>
    <t>LETICIA PATIÑO GIRON</t>
  </si>
  <si>
    <t>YASEG PROMOCIONES SA DE CV</t>
  </si>
  <si>
    <t>MARIO ROJAS AVENDAÑO 45 CASA 2</t>
  </si>
  <si>
    <t>YOLANDA AIDA GALVAN VALVERDE</t>
  </si>
  <si>
    <t>SALVADOR VILLEGAS PACHECO</t>
  </si>
  <si>
    <t>CRISTOPHER EMMANUEL VILLEGAS CABRERA</t>
  </si>
  <si>
    <t>MIGUEL SUBIAS ALCANTARA</t>
  </si>
  <si>
    <t>GRUPO ELECTROMECANICO EN MANTENIMIENTOS SA DE CV</t>
  </si>
  <si>
    <t>JUVENTINO ROSAS 9</t>
  </si>
  <si>
    <t>HERLINDA HERNANDEZ</t>
  </si>
  <si>
    <t>ERIKA FLORES</t>
  </si>
  <si>
    <t>JEFE DE ASESORES DE SERVICIOS</t>
  </si>
  <si>
    <t>PABLO SUAREZ MONRAZ</t>
  </si>
  <si>
    <t>GRUPO DINIZ SAPI DE CV</t>
  </si>
  <si>
    <t>BOULEVARD ADOLFO LOPEZ MATEOS 183 Y 183-2</t>
  </si>
  <si>
    <t>LOMAS DE SAN ANGEL INN</t>
  </si>
  <si>
    <t>RECREFAM SA DE CV</t>
  </si>
  <si>
    <t>FRANQUICIAS RECORCHOLIS SA DE CV</t>
  </si>
  <si>
    <t>VENTAS, SERVICIOS Y ESPECTACULOS RECREATIVOS SA DE CV</t>
  </si>
  <si>
    <t>CONSORCIO MERCANTIL Y ENTREGAS FISCALES GM SA DE CV</t>
  </si>
  <si>
    <t>HECTOR DAVID RAFAEL SANTOS GOYZUETA</t>
  </si>
  <si>
    <t>FERNANDO AARON LATZU SANTOS SALGADO</t>
  </si>
  <si>
    <t>SANTOS &amp; SANTOS GOYZUETA SC ABOGADOS</t>
  </si>
  <si>
    <t>DIRECTOR COMERCIAL</t>
  </si>
  <si>
    <t>JOSE LUIS ALONSO OCHOA Y JOSE CARLOS MORENO PADILLA</t>
  </si>
  <si>
    <t>PEDRO HERNANDEZ MOLINA</t>
  </si>
  <si>
    <t>CASTILLA 362 INTERIOR 5</t>
  </si>
  <si>
    <t>POSTAL</t>
  </si>
  <si>
    <t>LOPEZ SANTOS GRUAS Y TRANSPORTES SA DE CV</t>
  </si>
  <si>
    <t>AVENIDA TRABAJADORAS SOCIALES 1011</t>
  </si>
  <si>
    <t>FERNANDO LOPEZ HERNANDEZ</t>
  </si>
  <si>
    <t>INPALA LOBATO SA DE CV</t>
  </si>
  <si>
    <t>FRANCISCO VILLA 136 A DESPACHO D</t>
  </si>
  <si>
    <t>ZONA ESCOLAR</t>
  </si>
  <si>
    <t>DELEGAICON GUSTAVO A MADERO</t>
  </si>
  <si>
    <t>JOSE MANUEL PIÑEDA PAEZ</t>
  </si>
  <si>
    <t>LUCIANO GULLERMO MARTINEZ Y TAPIA</t>
  </si>
  <si>
    <t>JOSE JUAN DIEGO ANTUNEZ </t>
  </si>
  <si>
    <t>PIÑERA PAEZ BUFETTE JURIDICO LABORAL</t>
  </si>
  <si>
    <t>NO ESPECIFICA LA PERIODICIDAD DEL LOS SALARIOS DEVENGADOS</t>
  </si>
  <si>
    <t>ADULFO GILBERTO DIAZ SILVA</t>
  </si>
  <si>
    <t>AVENIDA CHAPULTEPEC 40 ALTOS</t>
  </si>
  <si>
    <t>LIENZOS Y PARTES SA DE CV</t>
  </si>
  <si>
    <t>HIDALGO MANZANA 45 LOTE 495</t>
  </si>
  <si>
    <t>ROCIO TREJO GONZALEZ</t>
  </si>
  <si>
    <t>FIDEL RAMON MARTINEZ</t>
  </si>
  <si>
    <t>MIRIAM ENRIQUETA MONTES DE OCA RODRIGUEZ</t>
  </si>
  <si>
    <t>MARTHA ESPINOSA DE LOS MONTEROS BERNAL</t>
  </si>
  <si>
    <t>MIRIAM ENRIQUETA MONTES DE OCA</t>
  </si>
  <si>
    <t>JEFE DE OFICIALES</t>
  </si>
  <si>
    <t>VICTOR OSCAR AREVALO PEREZ</t>
  </si>
  <si>
    <t>BALDERAS 44 TERCER PISO DESPACHO 306</t>
  </si>
  <si>
    <t>ATENCION Y SERVICIOS SA DE CV</t>
  </si>
  <si>
    <t>ALEJANDRO SANCHEZ MARTINEZ</t>
  </si>
  <si>
    <t>PEDRO JOSE DOMINGUEZ AGUILAR</t>
  </si>
  <si>
    <t>OSCAR MARTINEZ BECERRIL</t>
  </si>
  <si>
    <t>COORDINADOR DE CREDITO</t>
  </si>
  <si>
    <t>MARTIN VAZQUEZ ROJAS</t>
  </si>
  <si>
    <t>DOCTOR VELASCO 95 EDIFICIO 4 DESPACHO 404</t>
  </si>
  <si>
    <t>LUIS ANTONIO TREJO GUILLERN</t>
  </si>
  <si>
    <t>AVENIDA AFRICA 23</t>
  </si>
  <si>
    <t>ROMERO RUBIO</t>
  </si>
  <si>
    <t>INSTITUTO POLITECNICO NACIONAL 5421</t>
  </si>
  <si>
    <t>CAPUTITLAN</t>
  </si>
  <si>
    <t>ENGELBERTO LOPEZ MARTINEZ</t>
  </si>
  <si>
    <t>CHOFER DE TRAILER</t>
  </si>
  <si>
    <t>LUIS ANTONIO TREJO GUILLEN</t>
  </si>
  <si>
    <t>ADMIR ARMANDO MARTIN VAZQUEZ SIERRA</t>
  </si>
  <si>
    <t>RENATO GONZALEZ RAMOS</t>
  </si>
  <si>
    <t>PASEO DE LA REFORMA 403 </t>
  </si>
  <si>
    <t>AMK HEALTHCARE MEXICO SA DE CV</t>
  </si>
  <si>
    <t>PATRICIO SANZ 1513 CUARTO PISO DEPARTAMENTO 7-B</t>
  </si>
  <si>
    <t>JUAN DIEGO PUENTES CORTES</t>
  </si>
  <si>
    <t>DIANA PEÑA</t>
  </si>
  <si>
    <t>ALBERTO MONTES GAONA</t>
  </si>
  <si>
    <t>JOSUE HERNANDEZ VEGA</t>
  </si>
  <si>
    <t>JUAN MARIO VALDIVIA TOVAR</t>
  </si>
  <si>
    <t>DIRETCOR CREATIVO</t>
  </si>
  <si>
    <t>BONO DE PRODUTIVIDAD</t>
  </si>
  <si>
    <t>JOSUE OCTAVIO GARCIA AGUIÑAGA</t>
  </si>
  <si>
    <t>AZNETWORK SC</t>
  </si>
  <si>
    <t>AVENIDA REVOLUCION 1909 PISO 3</t>
  </si>
  <si>
    <t>JOSE JUAN SANTOS ANDUEZA</t>
  </si>
  <si>
    <t>BEATRIZ SANDOVAL </t>
  </si>
  <si>
    <t>MAQUILLISTA Y PEINADOR</t>
  </si>
  <si>
    <t>CLAUDIA SARA GARCIA LOPEZ</t>
  </si>
  <si>
    <t>GUAYMAS 3 DESPACHO 401</t>
  </si>
  <si>
    <t>GRUPO DE ADMINISTRACION DE BIENES Y SERVICIOS SA DE C</t>
  </si>
  <si>
    <t>EUGENIA 197 PISO 9</t>
  </si>
  <si>
    <t>NAVARRETE </t>
  </si>
  <si>
    <t>MARCO ALBERTO BERNAL BELMORT</t>
  </si>
  <si>
    <t>RAFAEL TRUJILLO GONZALEZ</t>
  </si>
  <si>
    <t>MARCO ANTONIO TRUJILLO ARGUELLO</t>
  </si>
  <si>
    <t>OSCAR MARCELO BAUTISTA GONZALEZ</t>
  </si>
  <si>
    <t>MARCO ALBERTO BERNAL BELMONT</t>
  </si>
  <si>
    <t>DANIEL GARCIA RIVERA</t>
  </si>
  <si>
    <t>MERDIANO SA DE CV</t>
  </si>
  <si>
    <t>TUXPAN 89 INTERIOR 104</t>
  </si>
  <si>
    <t>SERVICIOS INMOBILIARIOS Y AUTOMOVILISTICOS INTEGRALES SA DE CV</t>
  </si>
  <si>
    <t>ELCA ZARAGOZA</t>
  </si>
  <si>
    <t>ANALISTA DE TESORERIA</t>
  </si>
  <si>
    <t>DANIEL ALAMO GALEAZZI</t>
  </si>
  <si>
    <t>ALVARO OBREGON 151 DESPACHO 1301</t>
  </si>
  <si>
    <t>IET IMPULSORA ELECTROTERMICA SA DE CV</t>
  </si>
  <si>
    <t>RICARTE 390-5</t>
  </si>
  <si>
    <t>JORGE IZAGUIRRE MONTIEL</t>
  </si>
  <si>
    <t>BEATRIZ HIGAREDA SAULES</t>
  </si>
  <si>
    <t>JORGE IZAGUIRRE </t>
  </si>
  <si>
    <t>PREMIO DE PUNTUALIDAD Y ASISTENCIA</t>
  </si>
  <si>
    <t>ARIANNA MORA ZAMORANO</t>
  </si>
  <si>
    <t>DOCTOR MARTINEZ DEL RIO 150 PISO DOS DESPACHO 302</t>
  </si>
  <si>
    <t>FELIX CUEVAS 520 </t>
  </si>
  <si>
    <t>JEZABEÑ GUTIERREZ RODRIGUEZ</t>
  </si>
  <si>
    <t>RAYMUNDO MORALES ROJAS </t>
  </si>
  <si>
    <t>VICTOR MANUEL GAYTAN RAMIREZ</t>
  </si>
  <si>
    <t>EDUARDO</t>
  </si>
  <si>
    <t>GERRADO RANGEL GUZMAN</t>
  </si>
  <si>
    <t>FLAVIO GUERRERO PICHARDO</t>
  </si>
  <si>
    <t>CIRCUITO INTERIOR AVENIDA RIO CHURUBISCO 307</t>
  </si>
  <si>
    <t>PRADO CHURUBUSCO</t>
  </si>
  <si>
    <t>BARBARA LANJE KLADT</t>
  </si>
  <si>
    <t>CIRCUNSTANCIAS DEL DESPIDO, NOMBRE DEMANDADO</t>
  </si>
  <si>
    <t>MARCO ANTONIO LOPEZ LOPEZ</t>
  </si>
  <si>
    <t>SERVICIOS DE PERSONAL CORPORATIVO ESPECIALIZADO SA DE CV</t>
  </si>
  <si>
    <t>CONDOMINIO </t>
  </si>
  <si>
    <t>INSURGENTES SUR 1152</t>
  </si>
  <si>
    <t>TLACOQUEMECTL</t>
  </si>
  <si>
    <t>SERVICIOS CORPORATIVOS ESPECIALIZADOS SA DE CV</t>
  </si>
  <si>
    <t>EXCELENCIA AUTOMOTRIZ DE HIDALGO SA DE CV</t>
  </si>
  <si>
    <t>CARRETERA TULA-JOROBAS KILOMETRO 3 LLANO PRIMERA SECCION</t>
  </si>
  <si>
    <t>HIDALGO</t>
  </si>
  <si>
    <t>OMAR OLARTE ORTEGA SA DE CV</t>
  </si>
  <si>
    <t>FABIAN MATA RIVERA</t>
  </si>
  <si>
    <t>FRANCISCO GUTIERREZ ROSAS</t>
  </si>
  <si>
    <t>GERENTE DE VENTAS DE AUTOS SEMINUEVOS</t>
  </si>
  <si>
    <t>ANDREE</t>
  </si>
  <si>
    <t>LAURA YAEL LEON TRUJILLO</t>
  </si>
  <si>
    <t>ORGANIZACION Y PROMOCION MAG SA DE CV</t>
  </si>
  <si>
    <t>AVENIDA SAN JERONIMO 150</t>
  </si>
  <si>
    <t>JARDINES DEL PEDREGAL</t>
  </si>
  <si>
    <t>ETIQUETADORA</t>
  </si>
  <si>
    <t>KAREN SUAREZ</t>
  </si>
  <si>
    <t>SUBSIDIO</t>
  </si>
  <si>
    <t>ENRIQUE ORTEGA ALVAREZ</t>
  </si>
  <si>
    <t>AUTOTRANSPORTES AGUILA SA DE CV</t>
  </si>
  <si>
    <t>SUR 122 SIN NUMERO ESQUINA RIO TACUBA</t>
  </si>
  <si>
    <t>QUIEN RESULTE PATRON PROPIETARIO DE LA FUENTE DE TRABAJO</t>
  </si>
  <si>
    <t>CHOFER OPERADOR</t>
  </si>
  <si>
    <t>ENRIQUE RUIZ</t>
  </si>
  <si>
    <t>SALARIO, JORNADA, CIRCUNSTANCIAS DEL DESPIDO</t>
  </si>
  <si>
    <t>JOSE LUIS PEREZ ARIAS</t>
  </si>
  <si>
    <t>DOCTOR NAVARRO 161 EDIFICIO C1 DEPARTAMENTO DOS DESPACHO DOS</t>
  </si>
  <si>
    <t>SERVICIOS SSI INTEGRALES S DE RL DE CV</t>
  </si>
  <si>
    <t>PLAZA DE LA REPUBLICA 43</t>
  </si>
  <si>
    <t>EDUARDO GARNICA</t>
  </si>
  <si>
    <t>ALEJANDRO MAYA MOSCO</t>
  </si>
  <si>
    <t>QUIEN O QUIENES RESULTEN PROPIETARIOS DE LA FUENTE DE TRABAJO</t>
  </si>
  <si>
    <t>ISAIAS RODRIGUEZ TRUJILLO</t>
  </si>
  <si>
    <t>MARTIN NICOLAS LEON ALMAGUER</t>
  </si>
  <si>
    <t>JOSE RODRIGUEZ ROBLES</t>
  </si>
  <si>
    <t>GESTOR DE COBRANZAS BILINGÜE</t>
  </si>
  <si>
    <t>RAUL COSS Y LEON CALERA</t>
  </si>
  <si>
    <t>TECNOLOGIAS DSC SA DE CV</t>
  </si>
  <si>
    <t>PENNSYLVANIA 30 PRIMER PISO</t>
  </si>
  <si>
    <t>OPCIONES ALTERNAS DE SERVICIOS SA DE CV</t>
  </si>
  <si>
    <t>FERNANDO DE LARRAÑAGA MATIZ</t>
  </si>
  <si>
    <t>PILAR DE LARRAÑAGA</t>
  </si>
  <si>
    <t>ERNESTO SANCHEZ CASTELLO</t>
  </si>
  <si>
    <t>HOMERO VILLAR CASTELLO</t>
  </si>
  <si>
    <t>MAURICIO ALEJANDRO SOHLE AVITIA</t>
  </si>
  <si>
    <t>DIRECTOR DE SISTEMAS</t>
  </si>
  <si>
    <t>SERVIOUT DE MEXICO SA DE CV</t>
  </si>
  <si>
    <t>AVENIDA EUGENIA 197 QUINTO PISO LETRA A</t>
  </si>
  <si>
    <t>KONECTA S DE RL DE CV</t>
  </si>
  <si>
    <t>KONECTA SA DE CV</t>
  </si>
  <si>
    <t>JOSE MARIA PACHECO GUARDIOLA</t>
  </si>
  <si>
    <t>ENRIQUE GARCIA GUILLON</t>
  </si>
  <si>
    <t>QUIENES RESULTEN RESPONSABLES PROPIETARIOS O PATRONES DE LA FUENTE DE TRABAJO</t>
  </si>
  <si>
    <t>OSCAR ALEJANDRO SALCEDO SALINAS</t>
  </si>
  <si>
    <t>MARIO RANGEL SOLIS</t>
  </si>
  <si>
    <t>EJECUTIVO DE VENTAS VIA TELEFONICA</t>
  </si>
  <si>
    <t>JOSE MARIA PACHECO GUARDIOLA, ENRIQUE GARCIA GULLON</t>
  </si>
  <si>
    <t>AGUINALDO DIARIO</t>
  </si>
  <si>
    <t>JOSE JUAN OLVERA IBARRA</t>
  </si>
  <si>
    <t>PLUTARCO ELIAS CALLES 698, CARRETERA A SAN PABLO 400</t>
  </si>
  <si>
    <t>SAN FRANCISCO XICALTONGO, SANTIAGO TEPALCATLALPAN</t>
  </si>
  <si>
    <t>DELEGACION IZTACALCO, DELEGACION XOCHIMILCO</t>
  </si>
  <si>
    <t>BEYS PLANEACION DINAMICA DE SELECCION DE CAPITAL SA DE CV</t>
  </si>
  <si>
    <t>LAFAYETTE 137</t>
  </si>
  <si>
    <t>MARTHA BAEZ PEÑA</t>
  </si>
  <si>
    <t>ADALBERTO CRUZ</t>
  </si>
  <si>
    <t>MARIA DE LOS ANGELES GONZALEZ RIVAS</t>
  </si>
  <si>
    <t>AVENIDA MARIANO ESCOBEDO 491 INTERIOR 103</t>
  </si>
  <si>
    <t>TEK ALEMANA SA DE CV</t>
  </si>
  <si>
    <t>AVENIDA UNIVERSIDAD 1943 INTERIOR 1</t>
  </si>
  <si>
    <t>OXTOPULCO</t>
  </si>
  <si>
    <t>HERMANN FUCH OJEDA</t>
  </si>
  <si>
    <t>ANTONIO JORGE LETAYF TREJO</t>
  </si>
  <si>
    <t>RAQUEL JAQUELINE DIAZ MARTINEZ</t>
  </si>
  <si>
    <t>DAVID EDGAR GUEVARA CORDERO</t>
  </si>
  <si>
    <t>JOSE EDUARDO BRAVO SERRALDE</t>
  </si>
  <si>
    <t>MARIA GRISELDA TRIMMER SILICEO</t>
  </si>
  <si>
    <t>NOHEMI CARRIZALES PEREZ</t>
  </si>
  <si>
    <t>SERGIO SOLARES RAMOS</t>
  </si>
  <si>
    <t>DAVID GUEVARA, JORGE EDUARDO SERRALDE BRAVO</t>
  </si>
  <si>
    <t>PREMIO DE ASISTENCIA Y PUNTUALIDAD</t>
  </si>
  <si>
    <t>ARTURO VAZQUEZ CORNEJO</t>
  </si>
  <si>
    <t>GUILLERMO GONZALEZ CAMARENA 1450 PISO OCHO</t>
  </si>
  <si>
    <t>CENTRO SANTA FE</t>
  </si>
  <si>
    <t>RODOLFO GOMORA SOLIS</t>
  </si>
  <si>
    <t>MARIO ALBERTO ESPINOSA RAMIREZ</t>
  </si>
  <si>
    <t>ADRIANA SALDAÑA FLORES</t>
  </si>
  <si>
    <t>CANDADERO 2</t>
  </si>
  <si>
    <t>JESUS URISTA</t>
  </si>
  <si>
    <t>JUAN CARLOS PALACIOS MORALES</t>
  </si>
  <si>
    <t>DANIEL LOPEZ HERNANDEZ</t>
  </si>
  <si>
    <t>ACEITES SUPERFINOS SA DE CV</t>
  </si>
  <si>
    <t>AVENIDA PRESIDENTE MASARYK 29 PISO TRES OFICINA A</t>
  </si>
  <si>
    <t>ALFONSO ARELLANO MARTINEZ</t>
  </si>
  <si>
    <t>AUXILIAR DE MERCADOTECNIA</t>
  </si>
  <si>
    <t>MARIA ELENA GARCIA GARCIA</t>
  </si>
  <si>
    <t>EVERARDO AGUILAR CASTRO</t>
  </si>
  <si>
    <t>AVENIDA CAMINO A SANTA FE 410 LOCAL A</t>
  </si>
  <si>
    <t>ARTURO MARTINEZ</t>
  </si>
  <si>
    <t>ENRIQUE AGUILAR CASTRO</t>
  </si>
  <si>
    <t>JAZMIN JIMENEZ CORTES</t>
  </si>
  <si>
    <t>ADMINSTRADORA</t>
  </si>
  <si>
    <t>FRANCISCO JAVIER LOPEZ TREJO</t>
  </si>
  <si>
    <t>RECURSOS Y ASESORIA SA DE CV</t>
  </si>
  <si>
    <t>AVENIDA YUCATAN 24</t>
  </si>
  <si>
    <t>FELIPE AHUMADA</t>
  </si>
  <si>
    <t>GUSTAVO RESENDEZ</t>
  </si>
  <si>
    <t>HASHA PULIDO</t>
  </si>
  <si>
    <t>ALBERTO REGINO CRUZ</t>
  </si>
  <si>
    <t>STEPHANIE REYES RUIZ</t>
  </si>
  <si>
    <t>BENIGNO BOLAÑOS MORALES</t>
  </si>
  <si>
    <t>ASESORES JURIDICO REGINO Y ASOCIADOS SC</t>
  </si>
  <si>
    <t>ANALISTA DE CUENTA MAESTRA</t>
  </si>
  <si>
    <t>ALIMENTACION, BONO TRIMESTRAL</t>
  </si>
  <si>
    <t>JORGE OSCAR CERVANTES ACEVES</t>
  </si>
  <si>
    <t>CRISANTO RODRIGUEZ LOPEZ</t>
  </si>
  <si>
    <t>ABELARDO L RODRIGUEZ MANZANA 9 LOTE 2</t>
  </si>
  <si>
    <t>JALALPA AMPLIACION</t>
  </si>
  <si>
    <t>MARTIN RODRIGUEZ LOPEZ</t>
  </si>
  <si>
    <t>MARIA LUISA HUITRON JIMENEZ</t>
  </si>
  <si>
    <t>CRISTIAN SARAHI ROSAS RAMIREZ</t>
  </si>
  <si>
    <t>BUEN TONO 36 DESPACHO 301</t>
  </si>
  <si>
    <t>ALEJANDRO MEDRANO</t>
  </si>
  <si>
    <t>CARLOS DURAN SANCHEZ</t>
  </si>
  <si>
    <t>ROGELIO AVILA GARCIA</t>
  </si>
  <si>
    <t>ERENDIRA MEDINA MENDEZ</t>
  </si>
  <si>
    <t>BUFETE GARCIA GOMEZ Y ASOCIADOS</t>
  </si>
  <si>
    <t>ASISTENCIA Y PUNTUALIDAD</t>
  </si>
  <si>
    <t>EN LA AUDICENCIA DEL 11 DE JULIO DEL 2011 SE DECLARA QUE EL ÚLTIMO SALARIO QUE SE LE CUBRIÓ FUE DE 6,000 MENSUALES</t>
  </si>
  <si>
    <t>LUIS MANUEL GARCUA RUBIO</t>
  </si>
  <si>
    <t>COLIMA 220 DESPACHO 501</t>
  </si>
  <si>
    <t>OPERATIVO EVENPLAN SC</t>
  </si>
  <si>
    <t>PROLONGACION PETEN 901</t>
  </si>
  <si>
    <t>EMPERADORES</t>
  </si>
  <si>
    <t>PHILLIPS MORRIS</t>
  </si>
  <si>
    <t>CIGATAM PRODUCTOS Y SERVICIOS S DE RL DE CV</t>
  </si>
  <si>
    <t>GUILLERMO OLVERA</t>
  </si>
  <si>
    <t>ANGELICA SANDRIA</t>
  </si>
  <si>
    <t>ROSA MARIA SOTO</t>
  </si>
  <si>
    <t>SALVADOR BECERRIL MORENO</t>
  </si>
  <si>
    <t>GRISEL RAMIREZ VARGAS</t>
  </si>
  <si>
    <t>PATRICIA SALCEDO VARGAS</t>
  </si>
  <si>
    <t>ASISTENTE DE FACTURACION</t>
  </si>
  <si>
    <t>VICTOR BUEN ESTRADA JARAMILLO</t>
  </si>
  <si>
    <t>CARRIL 3 EDIFICIO C3 DEPARTAMENTO 202</t>
  </si>
  <si>
    <t>SAN JUAN XALPA</t>
  </si>
  <si>
    <t>IACMEX CONTRATACIONES SA DE CV</t>
  </si>
  <si>
    <t>XOLA 613</t>
  </si>
  <si>
    <t>INDUSTRIAS DEL AGUA DE LA CIUDAD DE MEXICO SA DE CV</t>
  </si>
  <si>
    <t>JOSE GARRIDO GUZMAN</t>
  </si>
  <si>
    <t>FRANCISCO BARCENAS</t>
  </si>
  <si>
    <t>RUI SOBRAL</t>
  </si>
  <si>
    <t>SISTEMAS DE AGUA DE LA CIUDAD DE MEXICO</t>
  </si>
  <si>
    <t>AVENIDA NEZAHUALCOYOTL 109</t>
  </si>
  <si>
    <t>VICTOR HUGO SANCHEZ VARGAS</t>
  </si>
  <si>
    <t>PABLO ENRIQUE SANCHEZ VARGAS</t>
  </si>
  <si>
    <t>JENNY LAURA ORNELAS RAMIREZ</t>
  </si>
  <si>
    <t>TECNICO DE CAMPO B</t>
  </si>
  <si>
    <t>VALES DE DESPENSA, COMPENSACION ECONOMICA, BONO PARA GASTOS ESCOLARES,COMPENSACION POR VACACIONES</t>
  </si>
  <si>
    <t>BENJAMIN CHICO ESTEVEZ</t>
  </si>
  <si>
    <t>SOCIEDAD COOPERATIVA DE AUTOTRANSPORTES MIYA SCL</t>
  </si>
  <si>
    <t>PROLONGACION DE NORTE CINCO 60</t>
  </si>
  <si>
    <t>SAN JUAN BAUTISTA</t>
  </si>
  <si>
    <t>IXHUATLANCILLO VERACRUZ</t>
  </si>
  <si>
    <t>TOMAS TORRES MARTINESZ</t>
  </si>
  <si>
    <t>JESUS PEREZ HERNANDEZ</t>
  </si>
  <si>
    <t>OSIRIS ANAYA PEÑUELA</t>
  </si>
  <si>
    <t>PEREZ FUENTES ABOGADOS</t>
  </si>
  <si>
    <t>TOMAS TORRES MARTINEZ</t>
  </si>
  <si>
    <t>SEGUNDO MARTINEZ CELSO</t>
  </si>
  <si>
    <t>MORELOS 70 INTERIOR 102</t>
  </si>
  <si>
    <t>PLANEACION DINAMICO INTEGRAL SA DE CV</t>
  </si>
  <si>
    <t>AVENIDA GABRIEL MANCERA 1537 INTERIOR 104</t>
  </si>
  <si>
    <t>ACE SEGUROS SA</t>
  </si>
  <si>
    <t>INSURGENTES SUR 605 DESPACHO 203</t>
  </si>
  <si>
    <t>CESAR LEONARDO ARGUMEDO NOGUEZ</t>
  </si>
  <si>
    <t>GALINDO GARCIA ABOGADOS</t>
  </si>
  <si>
    <t>MARCO ANTONIO ORIHUELA QUINTERO</t>
  </si>
  <si>
    <t>LORE (EDGAR V)</t>
  </si>
  <si>
    <t>MELISSA JOCELYN MARTINEZ VAZQUEZ</t>
  </si>
  <si>
    <t>DIBUJANTES 135</t>
  </si>
  <si>
    <t>MONTERREY 100</t>
  </si>
  <si>
    <t>LUIS ANTONIO AGUILAR SUAREZ</t>
  </si>
  <si>
    <t>LIZETH ALICIA GRAJALES VILLALOBOS</t>
  </si>
  <si>
    <t>EDWIN ALEJANDRO PORTILLO VAZQUEZ</t>
  </si>
  <si>
    <t>BENITO NOE FROYLAN PORTILLO RODRIGUEZ</t>
  </si>
  <si>
    <t>IRIS YASMIN MARTINEZ GARCIA</t>
  </si>
  <si>
    <t>PORTILLO TABOADA Y ASOCIADOS</t>
  </si>
  <si>
    <t>AGENTE TELEOPERADOR DE ATENCION A CLIENTES</t>
  </si>
  <si>
    <t>FERNANDO MINGUELA QUIROGA</t>
  </si>
  <si>
    <t>GANTE 7 DESPACHO 104 PRIMER PISO</t>
  </si>
  <si>
    <t>ERIKA CORIA</t>
  </si>
  <si>
    <t>AVENIDA NUEVO LEON 213 DESPACHO 102</t>
  </si>
  <si>
    <t>JADE GARCIA</t>
  </si>
  <si>
    <t>ROGELIO QUIROGA CALDERON</t>
  </si>
  <si>
    <t>BEATRIZ OLALDE OBRAJERO</t>
  </si>
  <si>
    <t>ADRIANA ZAMORA ZARATE</t>
  </si>
  <si>
    <t>MAURICIO GONZALEZ BERMUDEZ</t>
  </si>
  <si>
    <t>DR CARMONA Y VALLE 126 INTERIOR 105</t>
  </si>
  <si>
    <t>AVENIDA INSURGENTES 688 TERCER PISO</t>
  </si>
  <si>
    <t>ASESOR TELEFONICO</t>
  </si>
  <si>
    <t>FRANCISCO GONZALEZ</t>
  </si>
  <si>
    <t>MARIA DEL CARMEN ALVARADO ESPINOZA</t>
  </si>
  <si>
    <t>EJE CENTRAL LAZARO CARDENAS 13 DESPACHO 607 SEXTO PISO</t>
  </si>
  <si>
    <t>GROBER CONSULTORES SA DE CV</t>
  </si>
  <si>
    <t>SAN FRANCISCO 321</t>
  </si>
  <si>
    <t>GAT ADMINISTRACION Y SERVICIOS SC</t>
  </si>
  <si>
    <t>TUGLOC SA DE CV</t>
  </si>
  <si>
    <t>ROBERTO ORTIZ GONZALEZ</t>
  </si>
  <si>
    <t>CLEOTILDE ALPIZAR ALVAREZ</t>
  </si>
  <si>
    <t>ALEX SAUL CASTILLO ARROYO</t>
  </si>
  <si>
    <t>EDUARDO AVILA GARCIA</t>
  </si>
  <si>
    <t>SERGIO ARTURO CONSTANTE CASTRO</t>
  </si>
  <si>
    <t>DOCTOR LUCIO 103 EDIFICIO ORION ENTRADA A-4 INTERIOR 1202</t>
  </si>
  <si>
    <t>SAMSUNG ELECTRONICS MEXICO SA DE CV</t>
  </si>
  <si>
    <t>SEVILLA 40 PISO 9</t>
  </si>
  <si>
    <t>MUN SHU SO</t>
  </si>
  <si>
    <t>JAVIER NAVARRO ALMARES</t>
  </si>
  <si>
    <t>CARLOS ALBERTO SEGURA ALVARADO</t>
  </si>
  <si>
    <t>RICARDO RAMOS MARIN</t>
  </si>
  <si>
    <t>ASESORIA JURIDICA PROFESIONAL</t>
  </si>
  <si>
    <t>INGENIERO DE PROYECTO</t>
  </si>
  <si>
    <t>JAVIER NAVARRO ALMARAS</t>
  </si>
  <si>
    <t>RIVAS MATA AINE</t>
  </si>
  <si>
    <t>FLORICULTORES 21-2</t>
  </si>
  <si>
    <t>SANTA CRUZ IZTACALCO</t>
  </si>
  <si>
    <t>PRO MERC DF SUR SA DE CV</t>
  </si>
  <si>
    <t>SEGUNDA CERRADA DE ALFREDO V BONFIL MZ 9 LT 17 NO 102</t>
  </si>
  <si>
    <t>PRESIDENTES EJIDALES SEGUNDA SECCION</t>
  </si>
  <si>
    <t>CECILIA CAMARGO RIOS</t>
  </si>
  <si>
    <t>LETICIA OJEDA</t>
  </si>
  <si>
    <t>JOSE DE JESUS TROYA ORTEGA</t>
  </si>
  <si>
    <t>SINAX CORPORATION SA DE CV</t>
  </si>
  <si>
    <t>PASEO DE LOS TAMARINDOS 400 LOCAL 106</t>
  </si>
  <si>
    <t>JAIME CASES</t>
  </si>
  <si>
    <t>MANUEL DIAZ GALLARDO</t>
  </si>
  <si>
    <t>MIGUEL SILVESTRE VAZQUEZ LOPEZ</t>
  </si>
  <si>
    <t>JUAN FERNANDO VAZQUEZ ROSALES</t>
  </si>
  <si>
    <t>LEVI LUNA GONZALEZ</t>
  </si>
  <si>
    <t>RIO SAN ANGEL 13</t>
  </si>
  <si>
    <t>ZENDERE MEXICO SERVICIOS DE PERSONAL SA DE CV</t>
  </si>
  <si>
    <t>JAIME BALMES 11 TORRE A PISO 7</t>
  </si>
  <si>
    <t>ROXANA AVILES</t>
  </si>
  <si>
    <t>ALFREDO DE JESUS CONRIQUE PULGAR</t>
  </si>
  <si>
    <t>DANIEL OLGUIN RIVAS</t>
  </si>
  <si>
    <t>JORGE JAVIER ORTIZ RODRIGUEZ</t>
  </si>
  <si>
    <t>REPRESENTACION JURIDICA ESPECIALIZADA SC</t>
  </si>
  <si>
    <t>TANIA VELAZQUEZ</t>
  </si>
  <si>
    <t>ELIZABETH GARCIA ZARAGOZA</t>
  </si>
  <si>
    <t>AZAMAR CONSULTORES ASOCIADOS SC</t>
  </si>
  <si>
    <t>CAMINO CAMPESTRE 114</t>
  </si>
  <si>
    <t>CAMPESTRE ARAGON</t>
  </si>
  <si>
    <t>AVENIDA INSTITUO POLITECNICO NACIONAL 5421 EDIFICIO 3 PLANTA BAJA</t>
  </si>
  <si>
    <t>BARRANCA DEL MUERTO  280</t>
  </si>
  <si>
    <t>PALACIO NACIONAL PANTA BAJA</t>
  </si>
  <si>
    <t>MARISA LOPEZ CASTILLO</t>
  </si>
  <si>
    <t>HUMBERTO URBINA ESPINOSA</t>
  </si>
  <si>
    <t>CALLE DIEZ-A 29</t>
  </si>
  <si>
    <t>AMPLIACION PROGRESO NACIONAL</t>
  </si>
  <si>
    <t>RANVER SA DE CV</t>
  </si>
  <si>
    <t>EXTREMADURA 72 CUARTO PISO</t>
  </si>
  <si>
    <t>GUSTAVO N N</t>
  </si>
  <si>
    <t>CESAR N N</t>
  </si>
  <si>
    <t>JORGE LAGUNES</t>
  </si>
  <si>
    <t>JUAN ARTEMIO NOYOLA VENTURA</t>
  </si>
  <si>
    <t>MUÑOZ ARIZMENDI MARIA JIMENA</t>
  </si>
  <si>
    <t>CENTRAL DE ALARMAS DE MEXICO SA DE CV</t>
  </si>
  <si>
    <t>CINCO DE FEBRERO 283</t>
  </si>
  <si>
    <t>RAFAEL GARCIA MARIN</t>
  </si>
  <si>
    <t>DAVID MIRANDA</t>
  </si>
  <si>
    <t>EJECUTIVO DE COBRANZA</t>
  </si>
  <si>
    <t>ANTONIO ORTIZ SOTO</t>
  </si>
  <si>
    <t>MARCO ANTONIO LUNA GUTIERREZ</t>
  </si>
  <si>
    <t>AVENIDA INSURGENTES NORTE 1894 CUARTO PISO</t>
  </si>
  <si>
    <t>JOSE MORALES GONZALEZ</t>
  </si>
  <si>
    <t>CARLOS ALFONSO CUEVAS MARIN</t>
  </si>
  <si>
    <t>FRANCISCO SALASAR LUNA</t>
  </si>
  <si>
    <t>AYUDANTE PORTATIL</t>
  </si>
  <si>
    <t>ANTONIO MORALES ROMERO</t>
  </si>
  <si>
    <t>GRUPO ESTRATEGICO DEL BAJIO SA DE CV</t>
  </si>
  <si>
    <t>AVENIDA MEXICO XOCHIMILCO 14-B</t>
  </si>
  <si>
    <t>MARIO GARCIA ALONSO</t>
  </si>
  <si>
    <t>NEGOCIADOR</t>
  </si>
  <si>
    <t>NEFTALI MILTON ADUNA MOLINA</t>
  </si>
  <si>
    <t>TERSITA DE JESUS GONZALEZ GALLARDO</t>
  </si>
  <si>
    <t>SACALUM MANZANA 67 LOTE 4</t>
  </si>
  <si>
    <t>HEROES DE PADIERNA</t>
  </si>
  <si>
    <t>LLANTERA DEL SUR</t>
  </si>
  <si>
    <t>TERESITA DE JESUS GONZALEZ GALLARDO</t>
  </si>
  <si>
    <t>JUAN CARLOS SANTOS JIMENEZ</t>
  </si>
  <si>
    <t>ENRIQUE REBSAMEN 241 DESPACHO 201</t>
  </si>
  <si>
    <t>JUAN MANUEL RODRIGUEZ CANTERO</t>
  </si>
  <si>
    <t>GENOVA 20 DEPARTAMENTO 6</t>
  </si>
  <si>
    <t>JESUS HECTOR FERNANDO DELGADO HERNANDEZ</t>
  </si>
  <si>
    <t>NOEMI ESCOBAR RIOS</t>
  </si>
  <si>
    <t>JACINTO GALICIA HERNANDEZ</t>
  </si>
  <si>
    <t>MARTIN BRICEÑO VAZQUEZ</t>
  </si>
  <si>
    <t>AUTOPARTS Y LIENZOS ESPECIALIZADOS SA DE CV</t>
  </si>
  <si>
    <t>MIGUEL HIDALGO MANZANA 45 LOTE 495</t>
  </si>
  <si>
    <t>SANTA MARIA AZTAHUACAN</t>
  </si>
  <si>
    <t>CHRISTIAN A GUTIERREZ P</t>
  </si>
  <si>
    <t>ROCIO TREJO</t>
  </si>
  <si>
    <t>MIRIAM ELIZABETH URIBE VAZQUEZ</t>
  </si>
  <si>
    <t>MADRID 21 DESPACHO 213</t>
  </si>
  <si>
    <t>AVENIDA CHAPULTEPEC 596 PLANTA BAJA</t>
  </si>
  <si>
    <t>TANIA FLORES</t>
  </si>
  <si>
    <t>CIPRIANO URIBE SALINAS</t>
  </si>
  <si>
    <t>EDGAR SUAREZ VERA</t>
  </si>
  <si>
    <t>JORGE FERNANDO</t>
  </si>
  <si>
    <t>EJECUTIVA DE CUENTA</t>
  </si>
  <si>
    <t>233.33</t>
  </si>
  <si>
    <t>LUIS ANTONIO VARGAS CHAPINA</t>
  </si>
  <si>
    <t>CORPORATIVO MUÑOZ Y ASOCIADOS SA DE CV</t>
  </si>
  <si>
    <t>GABRIEL MANCERA 1022</t>
  </si>
  <si>
    <t>ADMINISTRADORA DE PERSONAL EMPRESARIAL SA DE CV</t>
  </si>
  <si>
    <t>VERONICA VELAZQUEZ</t>
  </si>
  <si>
    <t>FONDO DE AHORRO PATRON</t>
  </si>
  <si>
    <t>SUBSIDIO IMSS</t>
  </si>
  <si>
    <t>BONO DE DESPENSA</t>
  </si>
  <si>
    <t>GREGORIO MARTINEZ NIETO</t>
  </si>
  <si>
    <t>PLIB TOUR SA DE CV</t>
  </si>
  <si>
    <t>MONTIEL 62</t>
  </si>
  <si>
    <t>JOSE LUIS IÑIGUEZ BEDOLLA</t>
  </si>
  <si>
    <t>VANESSA LOPEZ</t>
  </si>
  <si>
    <t>OPERADOR MASTER</t>
  </si>
  <si>
    <t>AYUDA PARA COMIDA</t>
  </si>
  <si>
    <t>VERONICA CASTAÑEDA CATALAN</t>
  </si>
  <si>
    <t>DOCTOR FORTUNATO GONZALEZ ARCE 8 INTERIOR 5</t>
  </si>
  <si>
    <t>PROMOCIONES ESPECIALIZADAS ARO SA DE CV</t>
  </si>
  <si>
    <t>ENRIQUE REBSAMEN 544</t>
  </si>
  <si>
    <t>PIEDAD NARVARTE</t>
  </si>
  <si>
    <t>JESUS BARRON CASTAÑEDA</t>
  </si>
  <si>
    <t>LUZ MARIA BAUTISTA </t>
  </si>
  <si>
    <t>LUIS JULIO BARRON CASTAÑEDA</t>
  </si>
  <si>
    <t>MERCEDES LUNA</t>
  </si>
  <si>
    <t>DIANA HERNANDEZ LARA</t>
  </si>
  <si>
    <t>ROBERTO SANTIAGO MOLINA MENDEZ</t>
  </si>
  <si>
    <t>CAYETANO ANDRADE 2</t>
  </si>
  <si>
    <t>JORGE ANTONIO PATIÑO ANGUIANO</t>
  </si>
  <si>
    <t>JOSE LUIS SANTIAGO MARROQUIN</t>
  </si>
  <si>
    <t>ROBERTO SANTIAGO MOLINA MELENDEZ</t>
  </si>
  <si>
    <t>CHRISTIAN (EDGAR V)</t>
  </si>
  <si>
    <t>ADRIANA CATALINA TORRES PORTILLO</t>
  </si>
  <si>
    <t>DE VID 314</t>
  </si>
  <si>
    <t>SERVIGEISHA SA DE CV</t>
  </si>
  <si>
    <t>AVENIDA CUITLAHUAC 3395</t>
  </si>
  <si>
    <t>BARRIO SAN BERNABE</t>
  </si>
  <si>
    <t>JORGE CHAMLATI SALEM</t>
  </si>
  <si>
    <t>JORGE PEREZ MORENO</t>
  </si>
  <si>
    <t>JUAN CARLOS RUIZ MEJIA</t>
  </si>
  <si>
    <t>CRISTIAN GONZALEZ Y VERA</t>
  </si>
  <si>
    <t>VIOLETA PATRICIA NAVA SOTERO</t>
  </si>
  <si>
    <t>IVAN QUINTANAR GUILLEN</t>
  </si>
  <si>
    <t>EMILIO SANCHEZ RENTERIA</t>
  </si>
  <si>
    <t>INTERNATIONAL FOAM MEX SA DE CV</t>
  </si>
  <si>
    <t>FERROCARRIL SAN RAFAEL ATLIXCO 26</t>
  </si>
  <si>
    <t>RUPED INTERNACIONAL Y ASOCIADOS SC</t>
  </si>
  <si>
    <t>ARMANDO RUIZ ROSALES</t>
  </si>
  <si>
    <t>ARMANDO RUIZ PEDRERO</t>
  </si>
  <si>
    <t>AUDITOR DE CALIDAD</t>
  </si>
  <si>
    <t>ARTURO BERISTAIN DIONICIO</t>
  </si>
  <si>
    <t>DOCTOR LUCIO 103 EDIFICIO A-5 DESPACHO 402</t>
  </si>
  <si>
    <t>REFACCIONARIAS MENDOZA SA DE CV</t>
  </si>
  <si>
    <t>MARINA NACIONAL 60</t>
  </si>
  <si>
    <t>ACCION Y EXCELENCIA SA DE CV</t>
  </si>
  <si>
    <t>ORIENTE CIENTO CUARENTA Y SEIS 127</t>
  </si>
  <si>
    <t>JEFE DE ALMACEN</t>
  </si>
  <si>
    <t>MIGUEL ANGEL SALOMON CORTES</t>
  </si>
  <si>
    <t>HOMAR HERNANDEZ PEREZ</t>
  </si>
  <si>
    <t>AVENIDA CHAPULTEPEC 136 INTERIOR 4</t>
  </si>
  <si>
    <t>RAFAEL HERNANDEZ LOPEZ</t>
  </si>
  <si>
    <t>CALZADA DE LA VIGA 798</t>
  </si>
  <si>
    <t>SAN MIGUEL IZTACALCO</t>
  </si>
  <si>
    <t>GILBERTO MACIAS N</t>
  </si>
  <si>
    <t>GREGORIO LAZCANO PEREZ</t>
  </si>
  <si>
    <t>FABIOLA LAZCANO TORRES</t>
  </si>
  <si>
    <t>PATRICIA LAZCANO TORRES</t>
  </si>
  <si>
    <t>GILBERTO MACIAS</t>
  </si>
  <si>
    <t>AARON ROBERTO RODRIGUEZ DIAZ</t>
  </si>
  <si>
    <t>ATISCH SA DE CV</t>
  </si>
  <si>
    <t>AVENIDA INSURGENTES NORTE 1478</t>
  </si>
  <si>
    <t>NORMA SALAZAR</t>
  </si>
  <si>
    <t>AMADO GUTIERREZ</t>
  </si>
  <si>
    <t>PEDRO PEREIDA</t>
  </si>
  <si>
    <t>PROMOVENDEDOR</t>
  </si>
  <si>
    <t>CAROLINA ALEJANDRA ROJAS LOPEZ</t>
  </si>
  <si>
    <t>AVENIDA INSURGENTES SUR 1898</t>
  </si>
  <si>
    <t>CESAR MOAS</t>
  </si>
  <si>
    <t>RAFAEL TRUJANO</t>
  </si>
  <si>
    <t>KARINA SILVA</t>
  </si>
  <si>
    <t>CONTROLADOR DE PERMISOS</t>
  </si>
  <si>
    <t>IGNACIO DOMINGUEZ TOLEDANO OLIVELIA</t>
  </si>
  <si>
    <t>AVENIDA SAN FRANCISCO 657-A DESPACHO 13-B</t>
  </si>
  <si>
    <t>PUBLICIDAD SOBRE RIELES DE MEXICO SA DE CV</t>
  </si>
  <si>
    <t>VALENCIA 9 INTERIORES 101, 201 Y 203</t>
  </si>
  <si>
    <t>PUBLICIDAD SOBRE RIELES SA DE CV</t>
  </si>
  <si>
    <t>FERNANDO RAYMUNDO PRIEGO CUERVO</t>
  </si>
  <si>
    <t>RAYMUNDO VARGAS GARCIA</t>
  </si>
  <si>
    <t>MAXIMILIANO PRIEGO POUCEL</t>
  </si>
  <si>
    <t>VICTOR MANUEL GONZALEZ GONZALEZ</t>
  </si>
  <si>
    <t>EDUARDO CORTES BEDOLLA</t>
  </si>
  <si>
    <t>JUAN ANTONIO LOREDO GUTIERREZ</t>
  </si>
  <si>
    <t>DIRECTOR</t>
  </si>
  <si>
    <t>FERNANDO RAYMUNDO VARGAS GARCIA</t>
  </si>
  <si>
    <t>ARGUELLO LUNA VICTOR</t>
  </si>
  <si>
    <t>MANTENIMIENTO INTEGRAL ESTRELLA SA DE CV</t>
  </si>
  <si>
    <t>HOMERO 1933 INTERIOR 902</t>
  </si>
  <si>
    <t>ALBERTO RIOS</t>
  </si>
  <si>
    <t>ANA MARIA REYES</t>
  </si>
  <si>
    <t>MARIA DE LA LUZ MONTES MARTINEZ</t>
  </si>
  <si>
    <t>PASEO DE LA REFORMA 403 PISO 14</t>
  </si>
  <si>
    <t>OSIRIS PROMOCIONES Y VENTAS SA DE CV</t>
  </si>
  <si>
    <t>GENERAL JUAN JOSE EGUIARA Y EGURCA 140 SEGUNDO PISO DEPARTAMENTO 201</t>
  </si>
  <si>
    <t>OSIRIS SERVICIOS INTEGRALES PUCEJ SA DE CV</t>
  </si>
  <si>
    <t>MERCALI SA DE CV</t>
  </si>
  <si>
    <t>VICENTE OSORIO LUVANO</t>
  </si>
  <si>
    <t>CIRA OSORIO LUVIANO</t>
  </si>
  <si>
    <t>VIVIANA OSORIO MACIAS</t>
  </si>
  <si>
    <t>GERENTE DE PROMOCIONES</t>
  </si>
  <si>
    <t>VICENTE OSORIO LUVIANO</t>
  </si>
  <si>
    <t>OLIVIA MONTAÑO HERNANDEZ</t>
  </si>
  <si>
    <t>CESAR IVAN PEREZ RIVERA</t>
  </si>
  <si>
    <t>EJE CENTRAL LAZARO CARDENAS 280 DESPACHO 202</t>
  </si>
  <si>
    <t>IKON ADVERTISING GROUP SA DE CV</t>
  </si>
  <si>
    <t>GASODUCTO 706</t>
  </si>
  <si>
    <t>SANTA INES AZCAPOTZALCO</t>
  </si>
  <si>
    <t>RUBEN ORIHUELA SANTOS</t>
  </si>
  <si>
    <t>MATILDE ARELI CAMACHO SANTOS</t>
  </si>
  <si>
    <t>QUIEN RESULTE RESPONSABLE O PRPIETARIO DE LA FUENTE DE TRABAJO</t>
  </si>
  <si>
    <t>ROMAN ABEL CORIA FERNANDEZ</t>
  </si>
  <si>
    <t>DULCE ESTRADA MARTINEZ</t>
  </si>
  <si>
    <t>EDGAR FABIAN SANCHEZ PEREYRA</t>
  </si>
  <si>
    <t>RG ABOGADOS</t>
  </si>
  <si>
    <t>OPERADOR DE IMPRESIÓN DIGITAL</t>
  </si>
  <si>
    <t>ISABEL MARTELL MORENO</t>
  </si>
  <si>
    <t>SERVICIOS TECNICO DE COBRANZA SA DE CV</t>
  </si>
  <si>
    <t>AVENIDA BENJAMIN FRANKLIN 98 PLANTA BAJA</t>
  </si>
  <si>
    <t>MARCO ANTONIO CASTILLO G</t>
  </si>
  <si>
    <t>VERONICA CRUZ</t>
  </si>
  <si>
    <t>COORDINADORA DE ANALISTAS DE COBRANZA</t>
  </si>
  <si>
    <t>VALES DE DESPENSA, AYUDA DE TRANSPORTE</t>
  </si>
  <si>
    <t>MIRNA BELEM PONCE FONSECA</t>
  </si>
  <si>
    <t>SARA PINTLE</t>
  </si>
  <si>
    <t>ANGEL ALARCON POZOS</t>
  </si>
  <si>
    <t>QUIEN RESUTE RESPONSABLE O PROPIETARIO DE LA FUENTE DE TRABAJO</t>
  </si>
  <si>
    <t>GILBERTO RAMIREZ HERNANDEZ</t>
  </si>
  <si>
    <t>CORDOBA NUMERO 131 DESPACHO 402 CUARTO PISO</t>
  </si>
  <si>
    <t>MCE LOGISTICS Y REFURBISHED SA DE CV</t>
  </si>
  <si>
    <t>MALAGON NUMERO 56</t>
  </si>
  <si>
    <t>DELEGACION IZTAPALAPA </t>
  </si>
  <si>
    <t>ACERTIVIDAD EN DIRECCION CONTROL Y ADMINISTRACION SA DE CV</t>
  </si>
  <si>
    <t>BEYRUTI Y COMPAÑÍA S C P</t>
  </si>
  <si>
    <t>AV EJERCITO NACIONAL NUMERO 728</t>
  </si>
  <si>
    <t>BEY´S PLANEACION DINAMICA DE SELECCIÓN DE CAPITAL HUMANO SA DE CV</t>
  </si>
  <si>
    <t>LEFAYETTE NUMERO 137</t>
  </si>
  <si>
    <t>POLANCO ANZUREZ</t>
  </si>
  <si>
    <t>ALBERTO OVIEDO</t>
  </si>
  <si>
    <t>MARCO ANTONIO CASTRO BANDALA</t>
  </si>
  <si>
    <t>TECNICO</t>
  </si>
  <si>
    <t>MARIA DE LA LUZ CHAVEZ</t>
  </si>
  <si>
    <t>DOCTOR VERTIZ NUMERO 534 102</t>
  </si>
  <si>
    <t>VERTIZ NARVERTE</t>
  </si>
  <si>
    <t>CONDUCTORES Y AISLAMIENTOS ESTRELLA SA DE CV</t>
  </si>
  <si>
    <t>BRILLANTE NUMERO 96</t>
  </si>
  <si>
    <t>ANA IRENE CAMPOS FERNANDEZ CANO</t>
  </si>
  <si>
    <t>MARGARITA IRMA PAREDES VEGA</t>
  </si>
  <si>
    <t>JESUS ANDRES GONZALEZ CHIRINOS</t>
  </si>
  <si>
    <t>MARTHA ANGELICA RAMIREZ URIBE</t>
  </si>
  <si>
    <t>AUXILIAR ADMINISTRATIVO CONTABLE</t>
  </si>
  <si>
    <t>ANA IRENE CAMPOS FERNANDEZCANO</t>
  </si>
  <si>
    <t>CLAUDIA NOEMI ARRIAGA ARROYO</t>
  </si>
  <si>
    <t>CALLE LUZ SAVIÑON NUMERO 13 PH 1001 Y 1002</t>
  </si>
  <si>
    <t>COMERCIALIZADORA NAJA SA DE CV</t>
  </si>
  <si>
    <t>ZEMPOALA NUMERO 298 INTERIOR 3</t>
  </si>
  <si>
    <t>PIEDAD NARVERTE</t>
  </si>
  <si>
    <t>JUAN CARLOS LOPEZNAVA VAZQUEZ</t>
  </si>
  <si>
    <t>CANO DE LA FUENTE PEREZ Y ZUÑIGA</t>
  </si>
  <si>
    <t>ADMINISTRADORA</t>
  </si>
  <si>
    <t>HECTOR CRUZ RESENDIZ</t>
  </si>
  <si>
    <t>AVENIDA SAN ANTONIO ABAD NUMERO 122 4TO PISO</t>
  </si>
  <si>
    <t>MERCADERES SERVICIOS LABORALES Y ADMINISTRATIVOS SA DE CV</t>
  </si>
  <si>
    <t>MERCADERES NUMERO 134</t>
  </si>
  <si>
    <t>ASOCIACION MEXICANA DE DISTRIBUIDORES DE AUTOMOTORES A C</t>
  </si>
  <si>
    <t>FERNANDO LASCURIAN FERELL</t>
  </si>
  <si>
    <t>QUIEN RESULTE RESPONSABLE O PROPIETARIO  DE LA FUENTE DE TRABAJO</t>
  </si>
  <si>
    <t>ARACELI PATRICIA ROBLES GONZALEZ</t>
  </si>
  <si>
    <t>OPERADOR DE MODULO</t>
  </si>
  <si>
    <t>FERNANDO LASCURAIN FARELL</t>
  </si>
  <si>
    <t>JULIO CESAR CERVANTES LOZANO</t>
  </si>
  <si>
    <t>ISABELA LA CATOLICA NUMERO 45 DESPACHO 309</t>
  </si>
  <si>
    <t>ELSA BECERRIL SOTO</t>
  </si>
  <si>
    <t>ROSA ROJA NUMERO 134</t>
  </si>
  <si>
    <t>MOLINO DE ROSAS</t>
  </si>
  <si>
    <t>FRANCISCO GOMEZ CASTRO</t>
  </si>
  <si>
    <t>JUAN CRUZ CASTILLO</t>
  </si>
  <si>
    <t>AVENIDA DE LOS REMEDIOS UNIDAD HABITACIONAL LA SELVITA EDIFICIO A 3 DEPARTAMENTO 502</t>
  </si>
  <si>
    <t>PROGRESO NACIONAL </t>
  </si>
  <si>
    <t>MARCO ANTONIO FLORES ORTEGA</t>
  </si>
  <si>
    <t>GRUAS HERMES SA DE CV</t>
  </si>
  <si>
    <t>MINA NUMERO 165</t>
  </si>
  <si>
    <t>BUENAVISTA</t>
  </si>
  <si>
    <t>DALIA RUIZ</t>
  </si>
  <si>
    <t>QUIEN RESULTE RESPONSABLE O PROPIETARIO DE LA FUENTE DE  TRABAJO</t>
  </si>
  <si>
    <t>OPERADOR DE GRUAS</t>
  </si>
  <si>
    <t>DALIA CRUZ</t>
  </si>
  <si>
    <t>EVIR CRISOSTOMO GODINEZ</t>
  </si>
  <si>
    <t>MONTERREY NUMERO 100</t>
  </si>
  <si>
    <t>ADRIANA ORTIZ GODINEZ</t>
  </si>
  <si>
    <t>CLARA GABRIELA RIOS MENDEZ</t>
  </si>
  <si>
    <t>QUIEN RESULTE  RESPONSABLE O PROPIETARIO DE LA FUENTE  DE TRABAJO</t>
  </si>
  <si>
    <t>SEVICIOS PROFESIONALES</t>
  </si>
  <si>
    <t>CLARA GABRIELA MENDEZ</t>
  </si>
  <si>
    <t>STEFANNY SOLANO HERNANDEZ</t>
  </si>
  <si>
    <t>MASSAGUA NUMERO 14 INTERIOR 5</t>
  </si>
  <si>
    <t>SAN BARTOLO ATEPEHUACAN</t>
  </si>
  <si>
    <t>VENIDA FFCC DE RIO FRIO NUMERO 419 A 11</t>
  </si>
  <si>
    <t>RUBEN JIMENEZ GUTIERREZ </t>
  </si>
  <si>
    <t>IVAN EVARISTO SARABIA</t>
  </si>
  <si>
    <t>TECNOLOGIA DINAMICA EMPRESARIAL FELF SC</t>
  </si>
  <si>
    <t>TORRES ADALID NUMERO 205 INTERIOR 202 </t>
  </si>
  <si>
    <t>QUIEN RESULTE RESPONSABLE  O PROPIETARIO DE LA FUENTE DETRABAJO</t>
  </si>
  <si>
    <t>GUADALUPE ALAVARADO PIÑA</t>
  </si>
  <si>
    <t>ELIZABETH HERNANDEZ HERNANDEZ</t>
  </si>
  <si>
    <t>ESMIRNA BERENICE MAYA</t>
  </si>
  <si>
    <t>IVAN EVARISTO GONZALEZ SARABIA</t>
  </si>
  <si>
    <t>VIRIDIANA OLGUIN TORRES</t>
  </si>
  <si>
    <t>ZACATECAS NUMERO 206 PLANTA BAJA A</t>
  </si>
  <si>
    <t>PROMOTORES ADMINISTRADORES Y ACTUARIOS SA</t>
  </si>
  <si>
    <t>MONTES URALES NUMERO 632</t>
  </si>
  <si>
    <t>VICTOR FUENTES "N"</t>
  </si>
  <si>
    <t>JUAN PABLO NUÑEZ RAMOS</t>
  </si>
  <si>
    <t>EDUARDO ALFONSO HINOJOSA</t>
  </si>
  <si>
    <t>MH ASESORIA LABORAL</t>
  </si>
  <si>
    <t>PROMOTORA DE VENTAS</t>
  </si>
  <si>
    <t>ALEJANDRA MEDINA SERRANO </t>
  </si>
  <si>
    <t>PROFESIONALES Y ESPECIALISTAS EN SERVICIOS CORPORATIVOS SA E CV</t>
  </si>
  <si>
    <t>ARBOL DEL FUEGO NUMERO 19</t>
  </si>
  <si>
    <t>VALLE DEL SUR</t>
  </si>
  <si>
    <t>JUAN LUIS SILVA RODRIGUEZ</t>
  </si>
  <si>
    <t>MARIA ANGELICA JUAREZ ROLDAN</t>
  </si>
  <si>
    <t>FRANCISCO JAVIER MAYEN BANDA</t>
  </si>
  <si>
    <t>DOCTOR LUCIO 127 DESPACHO 401</t>
  </si>
  <si>
    <t>OMAR ARELLANO LOPEZ </t>
  </si>
  <si>
    <t>RIO MARNE 17 2 PISO</t>
  </si>
  <si>
    <t>JENNY FLORES CRUZ</t>
  </si>
  <si>
    <t>CARLOS JIMENEZ </t>
  </si>
  <si>
    <t>AVENIDA BENJAMIN FRANKLIN 98</t>
  </si>
  <si>
    <t>ADRIANA MIGUEL SANDOVAL</t>
  </si>
  <si>
    <t>CARLOS JIMENEZ</t>
  </si>
  <si>
    <t>SERGIO IVAN MORALES RODRIGUEZ</t>
  </si>
  <si>
    <t>EJE CENTRAL LAZARO CARDENAS 280</t>
  </si>
  <si>
    <t>AVENIDA INSURGENTES SUR 688 PISO 3 ENTRE LUZ SAVIÑON Y ROMERO DE TERRENOS</t>
  </si>
  <si>
    <t>BH EXERCYCLE DE MEXICO SA DE CV</t>
  </si>
  <si>
    <t>MARINA NACIONAL 64</t>
  </si>
  <si>
    <t>ALEJANDRO SORIA</t>
  </si>
  <si>
    <t>ALFREDO GARCIA TORRES</t>
  </si>
  <si>
    <t>GONZALO ALVARADO SOLIS</t>
  </si>
  <si>
    <t>ENLACES TERRESTRES NACIONALES SA DE CV</t>
  </si>
  <si>
    <t>SATURNO 59</t>
  </si>
  <si>
    <t>ARACELI SILVERIO CORTES</t>
  </si>
  <si>
    <t>LETICIA ALVARADOSILVERIO</t>
  </si>
  <si>
    <t>MARTIN MARTINEZ MUÑOZ</t>
  </si>
  <si>
    <t>AVIADERO CASA 124</t>
  </si>
  <si>
    <t>FELIPE ANGELES</t>
  </si>
  <si>
    <t>SERVICIO META SA DE CV</t>
  </si>
  <si>
    <t>LAGO ALBERTO 319</t>
  </si>
  <si>
    <t>GRANADA POLANCO</t>
  </si>
  <si>
    <t>PABLO CERON LOPEZ</t>
  </si>
  <si>
    <t>MARGARITA ALVARADO ALONZO</t>
  </si>
  <si>
    <t>ESTELI CLAUDIA RIVAS ALVAREZ</t>
  </si>
  <si>
    <t>HOJALATERO REPARADOR</t>
  </si>
  <si>
    <t>ARTURO RUFINO ROA JACOME </t>
  </si>
  <si>
    <t>NOESPECIFICA</t>
  </si>
  <si>
    <t>ALEJANDRO IVAN ESTRADA FLORES</t>
  </si>
  <si>
    <t>PITAGORAS 1312 DESPACHO 201 </t>
  </si>
  <si>
    <t>DISEÑOS CREATIVO COMUNICACIÓN Y PUBLICIDAD SA DE CV</t>
  </si>
  <si>
    <t>AVENIDA SAN JERONIMO 424 INTERIOR 201 </t>
  </si>
  <si>
    <t>MARIO GONZALEZ DIAZ</t>
  </si>
  <si>
    <t>LUIS MANUEL FERNANDEZ PEÑA</t>
  </si>
  <si>
    <t>FERNANDA ANGELICA MENENDEZ ALVAREZ</t>
  </si>
  <si>
    <t>LUIS MANNUEL FERNANDEZ PEÑA</t>
  </si>
  <si>
    <t>JOSE DE LA LUZ ALVAREZ MENDOZA</t>
  </si>
  <si>
    <t>MANUEL CABALLERO 87</t>
  </si>
  <si>
    <t>COMUNICACIÓN TECNICA INTEGRADA SA DE CV</t>
  </si>
  <si>
    <t>CRUZ DEL SUR 76</t>
  </si>
  <si>
    <t>GRACIELA LOPEZ POO</t>
  </si>
  <si>
    <t>PEDRO LEONARDO MEDINA LOPEZ</t>
  </si>
  <si>
    <t>GERARDO ROBERTO AGUILERA VAZQUEZ</t>
  </si>
  <si>
    <t>ALBERTO IBARRA ESPINOSA</t>
  </si>
  <si>
    <t>RAUL CORREA ABAD</t>
  </si>
  <si>
    <t>HUGO BALCAZAR PEREZ</t>
  </si>
  <si>
    <t>GRUPO CYCLO SA DE CV</t>
  </si>
  <si>
    <t>LAMARTINE 311 LOCAL</t>
  </si>
  <si>
    <t>CYCLO POLANCO SA DE CV</t>
  </si>
  <si>
    <t>MARIO SAMUEL GONZALEZ VILLAR</t>
  </si>
  <si>
    <t>ALFONSO CARDENAS NICOLAS</t>
  </si>
  <si>
    <t>CARLOS FEDERICO FLORES GRIJALBA</t>
  </si>
  <si>
    <t>FLORESTA 29-BIS</t>
  </si>
  <si>
    <t>TAXI PRESTIGE SA DE CV</t>
  </si>
  <si>
    <t>JAIME BALMES ESQUINA EJERCITO NACIONAL</t>
  </si>
  <si>
    <t>RICARDO MURCIA PEREZ</t>
  </si>
  <si>
    <t>RICARDO NUÑEZ SANCHEZ</t>
  </si>
  <si>
    <t>DEBORA ARIAS LEON</t>
  </si>
  <si>
    <t>JOSE OCTAVIO ARIAS SANCHEZ</t>
  </si>
  <si>
    <t>ULISES ARIAS LEON</t>
  </si>
  <si>
    <t>ABOGADOS ARIAS LEON</t>
  </si>
  <si>
    <t>RICARCO  MURCIA PEREZ</t>
  </si>
  <si>
    <t>CARLOS ALBERTO PEREZ CANALES</t>
  </si>
  <si>
    <t>JUAN JOSE EGUIARA Y EGUREN 140 DESPACHO 402</t>
  </si>
  <si>
    <t>SEDINA SA DE CV</t>
  </si>
  <si>
    <t>SARATOGA 36</t>
  </si>
  <si>
    <t>PORTLES</t>
  </si>
  <si>
    <t>CORPORACION RAMA S DE RL DE CV</t>
  </si>
  <si>
    <t>CENTRO DE DISTRIBUCION ORIENTE SA DE CV</t>
  </si>
  <si>
    <t>REFACCIONES Y AUTOPERTES SANTA CRUZ SA DE CV</t>
  </si>
  <si>
    <t>MARGARITA QUINTANA RUIZ</t>
  </si>
  <si>
    <t>ISMAEL HERNANDEZ CASTILLO</t>
  </si>
  <si>
    <t>DAVID GARCES GARCIA</t>
  </si>
  <si>
    <t>HORACIO GARCES GARCIA</t>
  </si>
  <si>
    <t>JEFE DE MOSTRADOR</t>
  </si>
  <si>
    <t>MARGARITA QUINTERO RUIZ</t>
  </si>
  <si>
    <t>AYUDA DE COMEDOR</t>
  </si>
  <si>
    <t>JUDITH BERENICE SANTOS PEREZ</t>
  </si>
  <si>
    <t>PRIMER ANDADOR DE SANTO TOMAS EDIFICIO 7-B INT 401</t>
  </si>
  <si>
    <t>CTM X</t>
  </si>
  <si>
    <t>DELEACION COYOACAN</t>
  </si>
  <si>
    <t>PAYMENT SERVICES SA DE CV</t>
  </si>
  <si>
    <t>DE VALLE</t>
  </si>
  <si>
    <t>MARTIN FUENTES RODRIGUEZ</t>
  </si>
  <si>
    <t>IVAN PEDRAZA</t>
  </si>
  <si>
    <t>ALEJANDRO HERNANDEZ CORONEL</t>
  </si>
  <si>
    <t>GABRIELA BARRON JUAREZ</t>
  </si>
  <si>
    <t>JUAN ANTONIO AVILA CERVANTES</t>
  </si>
  <si>
    <t>EJECUTIVA DE ATENCION DE CLIENTES</t>
  </si>
  <si>
    <t>EVA AGUILAR LOPEZ</t>
  </si>
  <si>
    <t>ADVERTISING AND PROMOTION SA DE CV</t>
  </si>
  <si>
    <t>AUGUSTO RODIN 135</t>
  </si>
  <si>
    <t>NOCHEBUENA</t>
  </si>
  <si>
    <t>PAULINA ARTEAGA</t>
  </si>
  <si>
    <t>ERIKA MARTINEZ</t>
  </si>
  <si>
    <t>CARLOS RAMIREZ SOTO</t>
  </si>
  <si>
    <t>SODEXHO MEXICO SERVICIOS DE PERSONAL SA DE CV</t>
  </si>
  <si>
    <t>CORDOBA 42B</t>
  </si>
  <si>
    <t>ANGEL LOZANO</t>
  </si>
  <si>
    <t>LEONOR FLORES DELGADO</t>
  </si>
  <si>
    <t>ADESI SA</t>
  </si>
  <si>
    <t>CUATRO 215 BODEGA 3</t>
  </si>
  <si>
    <t>FRANCISCO MATABUENA PELAEZ</t>
  </si>
  <si>
    <t>GUILLERMO ABEDOY LOPEZ</t>
  </si>
  <si>
    <t>ASISTENTE DEL AREA DE VENTAS</t>
  </si>
  <si>
    <t>VICTOR CARBAJAL MORALES </t>
  </si>
  <si>
    <t>DANTE 36 DESPACHO 204 </t>
  </si>
  <si>
    <t>TRANSPORTES URBANOS NUEVO MILENIO SA DE CV </t>
  </si>
  <si>
    <t>AVENIDA PUERTO DE MAZATLAN 269 </t>
  </si>
  <si>
    <t>GUSTAVO A MADERO </t>
  </si>
  <si>
    <t>DANIEL IVAN SANDOVAL </t>
  </si>
  <si>
    <t>JESUS GERARDO MORALES SERVIN </t>
  </si>
  <si>
    <t>OSCAR MARTINEZ GALICIA </t>
  </si>
  <si>
    <t>OPERADOR </t>
  </si>
  <si>
    <t>MELCHOR OCAMPO </t>
  </si>
  <si>
    <t>YAVARI PALAFOX VARGAS </t>
  </si>
  <si>
    <t>GEMELOS 28 PLANTA BAJA </t>
  </si>
  <si>
    <t>PRADO CHURUBUSCO </t>
  </si>
  <si>
    <t>SOLUCIONES AGROPECUARIAS EN RECURSOS HUMANOS Y EMPRESARIALES SA DE CV </t>
  </si>
  <si>
    <t>JOSE ALBERTO PEREZ GARCIA </t>
  </si>
  <si>
    <t>QUIEN RESULTE PATREON O PROPIETARIO DE LA FUENTE DE TRABAJO </t>
  </si>
  <si>
    <t>AVENIDA INSTITUTO POLITECNICO NACIONAL 521 EDIFICIO TRES PANTA BAJA </t>
  </si>
  <si>
    <t>GUADALUOE INN </t>
  </si>
  <si>
    <t>SHCP </t>
  </si>
  <si>
    <t>INSURGENTES SUR 790 </t>
  </si>
  <si>
    <t>RODOLFO GAONA CHAVEZ </t>
  </si>
  <si>
    <t>AGUSTIN ROMERO PEREZ </t>
  </si>
  <si>
    <t>PROMOTOR DE TARJETAS DE CREDITO VIA TELEFONICA </t>
  </si>
  <si>
    <t>VACACIONESDD7:DG7 ANUALES </t>
  </si>
  <si>
    <t>ALFONSO JAVIER AGUILAR GARCIA </t>
  </si>
  <si>
    <t>AVENIDA BALDERAS 44 INTERIRO 516 </t>
  </si>
  <si>
    <t>FRANCISCO HERNANDEZ RANGEL </t>
  </si>
  <si>
    <t>JUAN DE OCHOA MANZANA 47 LOTE 6 </t>
  </si>
  <si>
    <t>FUEGO NUEVO </t>
  </si>
  <si>
    <t>MOISES RUIZ LUIS</t>
  </si>
  <si>
    <t>GUSTAVO RESENDIZ MONROY</t>
  </si>
  <si>
    <t>MAYTE GONZALEZ CRUZ </t>
  </si>
  <si>
    <t>IVAN FERNANDEZ MEDEL </t>
  </si>
  <si>
    <t>LAGO TANGANICA 59 INTERIOR 201 </t>
  </si>
  <si>
    <t>GRANADA </t>
  </si>
  <si>
    <t>MARIO FERNANDEZ MEDEL </t>
  </si>
  <si>
    <t>NAYADE FERNANDEZ MEDEL </t>
  </si>
  <si>
    <t>BLANCO PUBLICIDAD DE MEXICO SA DE CV </t>
  </si>
  <si>
    <t>MARCO ANTONIO CARDOSO AVALOS </t>
  </si>
  <si>
    <t>FRANCISCO IVAN IBANEZ SANCHEZ </t>
  </si>
  <si>
    <t>JORGE RAMIREZ SANCHEZ </t>
  </si>
  <si>
    <t>ASISTENTE EJECUTIVO </t>
  </si>
  <si>
    <t>ALFREDO BIZUET GONZALEZ </t>
  </si>
  <si>
    <t>MATIAS ROMERO  425 DESPACHO 9 </t>
  </si>
  <si>
    <t>SISTECNIA SA DE CV </t>
  </si>
  <si>
    <t>BERLIN 326; DURANGO 81 SEGUNDO PISO INTERIOR 204  </t>
  </si>
  <si>
    <t>EL CARMEN; ROMA NORTE </t>
  </si>
  <si>
    <t>DELEGACION COYOACAN; DELEGACION CUAUGTEMOC </t>
  </si>
  <si>
    <t>QUIEN RESULTE SER PROPIETARIO </t>
  </si>
  <si>
    <t>JUAN FRANCISCO CARRILLO SANPEDRO </t>
  </si>
  <si>
    <t>MANUEL MARTINEZ MEDINA </t>
  </si>
  <si>
    <t>LAURA PEREZ MORENO </t>
  </si>
  <si>
    <t>ASESORIA JURIDICA ESPECIALIZADA </t>
  </si>
  <si>
    <t>CHOFER VENDEDOR </t>
  </si>
  <si>
    <t>HECTOR GONZALEZ </t>
  </si>
  <si>
    <t>BONO </t>
  </si>
  <si>
    <t>BLANCA ESTELA GUZMAN LOPEZ </t>
  </si>
  <si>
    <t>FRANCISCO BALLESTEROS </t>
  </si>
  <si>
    <t>FRANCISCO DIAZ COVARRUBIAS 54 </t>
  </si>
  <si>
    <t>TAXI RADIO AC </t>
  </si>
  <si>
    <t>JUAN JOSE HERNANDEZ ALVARAO </t>
  </si>
  <si>
    <t>JESUS ALBERTO CHILIAN NAVA </t>
  </si>
  <si>
    <t>TELEFONISTA</t>
  </si>
  <si>
    <t>RAUL CARRENO ALBA </t>
  </si>
  <si>
    <t>AVENIDA VERACRUZ 109 DESPACHO 701 </t>
  </si>
  <si>
    <t>CONDESA </t>
  </si>
  <si>
    <t>DOCUMENTADORA Y TRANSPORTADORA ESPECIALIZADA DE CARGA SA DE CV </t>
  </si>
  <si>
    <t>CALLE CINCO 1617 </t>
  </si>
  <si>
    <t>DEL GAS</t>
  </si>
  <si>
    <t>BRENDA LECHUGA </t>
  </si>
  <si>
    <t>FRANCISCO LECHUGA </t>
  </si>
  <si>
    <t>LILIANA CERVANTES RIOS </t>
  </si>
  <si>
    <t>EDUARDO VELASCO CARRENO </t>
  </si>
  <si>
    <t>MAURICIO GABIAN RUBIO FLORES </t>
  </si>
  <si>
    <t>TRANSPORTE DE CARGA </t>
  </si>
  <si>
    <t>VICTOR GAMA PALACIOS </t>
  </si>
  <si>
    <t>MANPOWERINDUSTRIAL SA DE CV </t>
  </si>
  <si>
    <t>MANPOWE SA DE CV </t>
  </si>
  <si>
    <t>DANIEL LOPEZ </t>
  </si>
  <si>
    <t>GISELA MALDONADO ABASOLO </t>
  </si>
  <si>
    <t>JUAN ARTURO MALDONADO ABASOLO </t>
  </si>
  <si>
    <t>EDITH MALDONADO ABASOLO </t>
  </si>
  <si>
    <t>ENCARGADO DE BODEGA </t>
  </si>
  <si>
    <t>COMEDOR </t>
  </si>
  <si>
    <t>JOSE PEDRO FERNANDEZ CUETOS </t>
  </si>
  <si>
    <t>YACATAS 325 </t>
  </si>
  <si>
    <t>SERVICIO AUTOMOTRIZ WEST SA DE CV </t>
  </si>
  <si>
    <t>CALZADA DE LAS AGUILAS 1194 </t>
  </si>
  <si>
    <t>SAN CLEMENTE </t>
  </si>
  <si>
    <t>MARIO CASTILLO SHMITZ </t>
  </si>
  <si>
    <t>IMSS REFORMA 746 </t>
  </si>
  <si>
    <t>INSURGENTES SUR 1971 TORRE 3 PISO </t>
  </si>
  <si>
    <t>GUADALUPEINN </t>
  </si>
  <si>
    <t>JUAN JOSE ARCONADA ORTIZ </t>
  </si>
  <si>
    <t>WALTER MARTIN PINEIRO MUNIZ </t>
  </si>
  <si>
    <t>ALFREDO TEMEZ MARIN </t>
  </si>
  <si>
    <t>DIRECTOR GENERAL DEL TALLER </t>
  </si>
  <si>
    <t>MARIO CASTILLO SCHMITZ </t>
  </si>
  <si>
    <t>AUTOMOVIL </t>
  </si>
  <si>
    <t>SEGURO DE VIDA </t>
  </si>
  <si>
    <t>TELEFONO CELULAR</t>
  </si>
  <si>
    <t>NO TRAE AUTO DE RADICACION </t>
  </si>
  <si>
    <t>EDGAR GERARDO CRUZ MARTINEZ </t>
  </si>
  <si>
    <t>DOCTOR LICEAGA 71-2 </t>
  </si>
  <si>
    <t>CIPRES 333</t>
  </si>
  <si>
    <t>ATLAMPA </t>
  </si>
  <si>
    <t>SINDICATO DE OBREROS Y EMPLEADOS DE TRANSPORTE COMUNICACIONES Y SIMILARES DE LA REPUBLICA MEXICANA </t>
  </si>
  <si>
    <t>AVENIDA INSURGENTES NORTE 618 </t>
  </si>
  <si>
    <t>COCA COLA FEMSA SA DE CV </t>
  </si>
  <si>
    <t>LEÑADORES 101 </t>
  </si>
  <si>
    <t>PROGRESO DEL SUR ESQUINA CON EJE ORIENTE </t>
  </si>
  <si>
    <t>MAPFRE TEPEYAC SA </t>
  </si>
  <si>
    <t>AVENIDA MAGNO CENTRO 5 </t>
  </si>
  <si>
    <t>CENTRO URBANO INTERLOMAS</t>
  </si>
  <si>
    <t>AVENIDA INSTITUTO POLITECNICO NACIONAL 5421 EDIFICIO 3 </t>
  </si>
  <si>
    <t>EDGAR GERARDO CRUZ MARTINEZ</t>
  </si>
  <si>
    <t>SANDRA LOZANO BERNAL </t>
  </si>
  <si>
    <t>RAFAEL LAZCANO PEREZ </t>
  </si>
  <si>
    <t>ELIZA DE LEON </t>
  </si>
  <si>
    <t>JOAQUIN PEÑA GONZALEZ </t>
  </si>
  <si>
    <t>INSURGENTES CENTRO 114 DESPACHO 503 Y 504 </t>
  </si>
  <si>
    <t>TABACALERA </t>
  </si>
  <si>
    <t>DELEGACION CUAHUTEMOC </t>
  </si>
  <si>
    <t>JORGE ITURBE ALFAN </t>
  </si>
  <si>
    <t>JOSE MARIA CATORENA 156 CASA 1 </t>
  </si>
  <si>
    <t>DELEGACION CUAJIMALPA </t>
  </si>
  <si>
    <t>GURAS CASTORENA </t>
  </si>
  <si>
    <t>MANUEL ALVAREZ NUÑEZ </t>
  </si>
  <si>
    <t>MANUEL ALVAREZ DURAN </t>
  </si>
  <si>
    <t>MIGUEL ANGEL ALVAREZ NUÑEZ </t>
  </si>
  <si>
    <t>ASESORIA EMPRESARIAL LABORAL SC </t>
  </si>
  <si>
    <t>CHOFER DE GRUA </t>
  </si>
  <si>
    <t>VICTOR MANUEL GARCIA GOMEZ </t>
  </si>
  <si>
    <t>CALZADA SAN JUAN DE ARAGON 439  CONDOMINIO B DEPARTAMENTO 501 A RINCONADA DE VILLA DE ARAGON DEL CONJUNTO CONDOMINAL DENOMINADO ARCOS DE ARAGON </t>
  </si>
  <si>
    <t>DM NACIONAL </t>
  </si>
  <si>
    <t>SUPER TRANSPORTES Y MUDANZAS ALBATROS S DE RL DE CV </t>
  </si>
  <si>
    <t>FERROCARRIL DE MONTE ALTO 4 </t>
  </si>
  <si>
    <t>SAN JUAN DE LA ESCALERA </t>
  </si>
  <si>
    <t>MARIA DE LOS ANGELES MARTINEZ GONZALEZ </t>
  </si>
  <si>
    <t>LINO MARTINEZ GONZALEZ </t>
  </si>
  <si>
    <t>INSTITUTO POLITECICO NACIONAL EDIFICIO 3 PLANTA BAJA </t>
  </si>
  <si>
    <t>INSTITUTO NACIONAL DE LA VIVIENDA PARA LOS TRABAJADORES </t>
  </si>
  <si>
    <t>ARTURO RIVERA MARTINEZ </t>
  </si>
  <si>
    <t>FERNANDO SOLORIO HERNANDEZ </t>
  </si>
  <si>
    <t>VIRGILIO ANDRADE RODRIGUEZ </t>
  </si>
  <si>
    <t>OPERADOR DE CAMION TORTON </t>
  </si>
  <si>
    <t>ALBERTO BOJORQUEZ DIEGO </t>
  </si>
  <si>
    <t>DOCTOR OLVERA 159 INTERIOR 6 </t>
  </si>
  <si>
    <t>VIAJES LIBERACION SA </t>
  </si>
  <si>
    <t>EUCKEN 2 PRIMER PISO </t>
  </si>
  <si>
    <t>CASA BLANCA </t>
  </si>
  <si>
    <t>ROGELIO RODIGUEZ VAZQUEZ </t>
  </si>
  <si>
    <t>ADRIAN TORIBIO GONZALEZ GUADARRAMA </t>
  </si>
  <si>
    <t>ANGEL GONZALEZ GONZALEZ </t>
  </si>
  <si>
    <t>LABORALIA ASESORIA INTEGRAL Y ACTIVA LABORAL </t>
  </si>
  <si>
    <t>TURISMO </t>
  </si>
  <si>
    <t>GERENTE COMERCIAL </t>
  </si>
  <si>
    <t>EDUARDO BOJORQUEZ PATRON </t>
  </si>
  <si>
    <t>SALVADOR GUERRERO RESENDIZ </t>
  </si>
  <si>
    <t>RIO NEVA 16 PRIMER PISO OFICINA COMISIONADOS </t>
  </si>
  <si>
    <t>CISA </t>
  </si>
  <si>
    <t>IGNACIO MANUEL ALTAMIRANO </t>
  </si>
  <si>
    <t>CORREDOR INSURGENTES SA DE CV </t>
  </si>
  <si>
    <t>JESUS PADILLA CENTENO </t>
  </si>
  <si>
    <t>EDUARDO ORTIZ SORIA </t>
  </si>
  <si>
    <t>NOE LOPEZ CORANGUEZ </t>
  </si>
  <si>
    <t>HECTOR BARBA GARCIA </t>
  </si>
  <si>
    <t>JOSE SALVADOR RODRIGUEZ FLORES </t>
  </si>
  <si>
    <t>CARLOS ROBERTO MENDOZA MENDOZA </t>
  </si>
  <si>
    <t>OPERADOR DE AUTOBUS C </t>
  </si>
  <si>
    <t>MIGUEL ANGEL VIVEROS PONCE </t>
  </si>
  <si>
    <t>MARTHA VERNOICA MORENO HERNANDEZ </t>
  </si>
  <si>
    <t>MONTERREY 132 DESPACHO 401 </t>
  </si>
  <si>
    <t>PROLONGACION PASEO DE LA REFORMA 625  TERCER PISO TORRE NEXUS </t>
  </si>
  <si>
    <t>JADIT FLORES </t>
  </si>
  <si>
    <t>LETICIA AGUILAR </t>
  </si>
  <si>
    <t>MIGUEL ANGEL MADERO Y BLANCA AVILA </t>
  </si>
  <si>
    <t>BANCO WALMART SA DE CV </t>
  </si>
  <si>
    <t>NEXTENGO 78 </t>
  </si>
  <si>
    <t>SANTA CRUZ ACAYUCA </t>
  </si>
  <si>
    <t>RAMON SALMERON CESPEDES </t>
  </si>
  <si>
    <t>RAMON LADRON DE GUEVARA LADRON DE GUEVARA </t>
  </si>
  <si>
    <t>JOSE ZAMORA AGUSTIN </t>
  </si>
  <si>
    <t>SUPERVISORA DE CAPTURISTAS </t>
  </si>
  <si>
    <t>BLANCA AVILA </t>
  </si>
  <si>
    <t>MAREVNA ISABEL ENCISO GARCIA </t>
  </si>
  <si>
    <t>ISAAC AGUSTIN REYES MOLINA </t>
  </si>
  <si>
    <t>DOCTOR LUCIO 103 EDIFICIO A-5 ANDROMEDA DESPACHO 402 </t>
  </si>
  <si>
    <t>COMPAÑÍA OPERADORA DE ESTACIONAMIENTOS MEXICANOS SA DE CV </t>
  </si>
  <si>
    <t>MARTHA GOMEZ BRAVO </t>
  </si>
  <si>
    <t>ZEFERINO LOYOLA HERNANDEZ </t>
  </si>
  <si>
    <t>ALEJANDRO GARCIA ORDOÑEZ </t>
  </si>
  <si>
    <t>ALMA LILIA OLIVARES FRANCO </t>
  </si>
  <si>
    <t>GARCIA ORDOÑEZ Y ASOCIADOS SC BUFETE JURIDICO </t>
  </si>
  <si>
    <t>VALET PARKING </t>
  </si>
  <si>
    <t>PREMIO DE AYUDA HABITACIONAL </t>
  </si>
  <si>
    <t>SUBSIDIO PARA EL EMPLEO </t>
  </si>
  <si>
    <t>OSCAR LOPEZ HERNANDEZ </t>
  </si>
  <si>
    <t>PRESA 70 </t>
  </si>
  <si>
    <t>JUAN SARQUIS LANDIS </t>
  </si>
  <si>
    <t>HAMBURGO 70 INTERIOR 202 </t>
  </si>
  <si>
    <t>CORSA SA DE CV </t>
  </si>
  <si>
    <t>GUILLERMO CESAR SANTIAGO JIMENEZ </t>
  </si>
  <si>
    <t>CESAR DEL OLMO BAUTISTA </t>
  </si>
  <si>
    <t>GABRIEL AUPART ACEVEDO </t>
  </si>
  <si>
    <t>OFICIAL GASOLINERO </t>
  </si>
  <si>
    <t>MARIA REBECA RODRIGUEZ PICAZO </t>
  </si>
  <si>
    <t>ISABELA LA CATOLICA 45 DESPACO 309 </t>
  </si>
  <si>
    <t>GRUPO DE ADMINISTRACIO DE BIENES Y SERVICIOS SA </t>
  </si>
  <si>
    <t>EJE 5 SUR AVENIDA EUGENIA 197 NOVENO PISO EDIFICIO RAFAEL </t>
  </si>
  <si>
    <t>EDUARDO RUIZ PEREZ </t>
  </si>
  <si>
    <t>MARCOS GUZMAN HERNANDEZ </t>
  </si>
  <si>
    <t>KAREN SANTIAGO CASTANEDA </t>
  </si>
  <si>
    <t>GESTOR DE COBRANZA </t>
  </si>
  <si>
    <t>ALEJANDRO ARAGON DEL RIVERO </t>
  </si>
  <si>
    <t>PEDRO ROMERO DE TERREROS </t>
  </si>
  <si>
    <t>LOGISTICA EJECUTIVA VIP SA DE CV </t>
  </si>
  <si>
    <t>SEGUROS POSTALES 23 ENTRE AHORRO POSTAL Y GIROS POSTALES </t>
  </si>
  <si>
    <t>POSTAL </t>
  </si>
  <si>
    <t>SERVICIOS EJECUTIVOS SIETE ESTRELLAS SA DE CV </t>
  </si>
  <si>
    <t>OSCAR RAAGO MARTIN </t>
  </si>
  <si>
    <t>MARCELA RABAGO MENDOZA </t>
  </si>
  <si>
    <t>OSCAR DANIEL RABAGO MENDOZA </t>
  </si>
  <si>
    <t>RODOLFO MIRANDA RENTERIA </t>
  </si>
  <si>
    <t>MARIA ANGELA OSORIO GOMEZ </t>
  </si>
  <si>
    <t>SUSANA TREJO REYES </t>
  </si>
  <si>
    <t>JORGE ANDRES TREJO REYES </t>
  </si>
  <si>
    <t>COMPENSACON </t>
  </si>
  <si>
    <t>HONORARIOS </t>
  </si>
  <si>
    <t>NBONO DE ACTUACION </t>
  </si>
  <si>
    <t>MARTHA ESTHER GALAN </t>
  </si>
  <si>
    <t>DOCTOR ANDRADE 23 EDIFICIO B DESPACHO 102 </t>
  </si>
  <si>
    <t>SUSANA SASOLA AGUIRRE </t>
  </si>
  <si>
    <t>EJE CENTRAL LAZARO CARDENAS  899 </t>
  </si>
  <si>
    <t>VERTIZ NARVARTE </t>
  </si>
  <si>
    <t>AVENIDA INSTITUTO POLITECNICO NACIONAL 5421 EDIFICIO 3 PB </t>
  </si>
  <si>
    <t>JERONIMO ALBERTO RICO MARTINEZ </t>
  </si>
  <si>
    <t>ANA ISABEL RICO MORAN </t>
  </si>
  <si>
    <t>ADRIAN ROBERTO MANON CAMARGO </t>
  </si>
  <si>
    <t>LIC JERONIMO ALBERTO RICO MARTINEZ </t>
  </si>
  <si>
    <t>DEGUSTADORA</t>
  </si>
  <si>
    <t>SUSANA CASASOLA AGUIRRE</t>
  </si>
  <si>
    <t>RAMON MENDOZA DE LIRA </t>
  </si>
  <si>
    <t>DOCTOR LUCIO 103 EDIFICIO ORION ENTRADA A-4 DESPACHO 103 </t>
  </si>
  <si>
    <t>GIES CONSULTING SC </t>
  </si>
  <si>
    <t>HOLBEIN 217 TORRE B DESPACHO 503-504 </t>
  </si>
  <si>
    <t>NOCHEBUENA </t>
  </si>
  <si>
    <t>GRUPO INTEGRAL EMPRESARIAL EMPRESARIAL DE SERICIOS SC </t>
  </si>
  <si>
    <t>GRUPO INTEGRAL EMPRESARIAL DE SERICIOS BENITES SC </t>
  </si>
  <si>
    <t>INSTITUTO NACIONAL DE LA VIVIENDA DE LOS TRABAJADORES </t>
  </si>
  <si>
    <t>BARRANCA DEL MUERTO 280 PRIMER PISO </t>
  </si>
  <si>
    <t>SISTEMA DE ADMINISTRACION TRIBUTARIA </t>
  </si>
  <si>
    <t>MANUEL EDUARDO FUENTES MUNIZ </t>
  </si>
  <si>
    <t>CLAUDIA ELENA RUIZ MACIEL </t>
  </si>
  <si>
    <t>CLAUDIA VILLA ROMERO </t>
  </si>
  <si>
    <t>SUPERVISOR DE CONTABILIDAD</t>
  </si>
  <si>
    <t>MARIA ANTONIA BENITES PEREZ</t>
  </si>
  <si>
    <t>MARIA DEL CARMEN TORRES MARTINEZ </t>
  </si>
  <si>
    <t>ROCIO GONZALEZ RODRIGUEZ </t>
  </si>
  <si>
    <t>AVENIDA INSURGENTES SUR 3821</t>
  </si>
  <si>
    <t>LA FAMA </t>
  </si>
  <si>
    <t>AVIAREPS S DE RL DE CV </t>
  </si>
  <si>
    <t>BOSQUES DE DURAZNOS 61 PISO 1 OFICINA B </t>
  </si>
  <si>
    <t>BOSQUE DE LAS LOMAS </t>
  </si>
  <si>
    <t>HECTOR FUENTES MAGALLANES </t>
  </si>
  <si>
    <t>MICHAEL GAEBLER </t>
  </si>
  <si>
    <t>OLIVER KUCHLER </t>
  </si>
  <si>
    <t>ELIZABETH FRANCO FLORES </t>
  </si>
  <si>
    <t>MONICA REYES DE LA ROSA </t>
  </si>
  <si>
    <t>ANAYANTZIN LARA PEDROZA </t>
  </si>
  <si>
    <t>AGENTE DE RESERVACIONES </t>
  </si>
  <si>
    <t>ERIKA YANET TORRES GUERRA</t>
  </si>
  <si>
    <t>CALLE ARTES 201</t>
  </si>
  <si>
    <t>ESTANZUELA</t>
  </si>
  <si>
    <t>MULTICONT SA DE CV</t>
  </si>
  <si>
    <t>INSURGENTES SUR 813 PISO 14</t>
  </si>
  <si>
    <t>MONTE PELVOUX 111 8 9 PH</t>
  </si>
  <si>
    <t>EDUARDO FAUSTINO TORRES CARRILLO</t>
  </si>
  <si>
    <t>JULIO CESAR TORRES GUERRA</t>
  </si>
  <si>
    <t>JESUS TRAPAGA REYES</t>
  </si>
  <si>
    <t>PROMOTOR Y SOPORTE CLINICO PAS</t>
  </si>
  <si>
    <t>OSCAR SANCHEZ</t>
  </si>
  <si>
    <t>DIANA NAJERA FOURNIER</t>
  </si>
  <si>
    <t>CALLE TECOYOTITLA NUMERO 191-8</t>
  </si>
  <si>
    <t>AUTOMOTRIZ PERICOAPA SA DE CV</t>
  </si>
  <si>
    <t>PERIFERICO SUR NUMERO 6611-C</t>
  </si>
  <si>
    <t>JAVIER SALAS FLORES</t>
  </si>
  <si>
    <t>AVENIDA INSTITUTO POLITECNICO NACIONAL NUMERO 5421 EDIFICIO TRES PLANTA BAJA </t>
  </si>
  <si>
    <t>QUIEN O QUIENES RESULTEN PROPIETARIOS Y/O RESPONSABLES Y/O DUEÑOS Y/O PATRONES DEL DOMICILIO</t>
  </si>
  <si>
    <t>OSCAR REA SANCHEZ</t>
  </si>
  <si>
    <t>ENCARGADA DE RECEPCION</t>
  </si>
  <si>
    <t>SUBSIDIO AL EMPLEO SEMANAL</t>
  </si>
  <si>
    <t>LETICIA MOLINERO GUTIERREZ</t>
  </si>
  <si>
    <t>CALLE INDEPENDENCIA NUMERO 101 TERCER PISO DESPACHO 33-A</t>
  </si>
  <si>
    <t>FUNERARIAS J GARCIA LOPEZ SA DE CV</t>
  </si>
  <si>
    <t>CALLE GENERAL PRIM NUMERO 57 ESQUINA VERSALLES</t>
  </si>
  <si>
    <t>MARGARITA GARCIA BRAVO</t>
  </si>
  <si>
    <t>JULIETA GARCIA LOPEZ</t>
  </si>
  <si>
    <t>ROMAN ALVAREZ</t>
  </si>
  <si>
    <t>GABRIELA SALCEDO PHILLIPS</t>
  </si>
  <si>
    <t>SERVICIOS ADMINISTRATIVOS IBEROAMERICANOS SA DE CV</t>
  </si>
  <si>
    <t>CALLE VERSALLES NUMERO 43</t>
  </si>
  <si>
    <t>OSWALDO ERWIN RIOS ROBLES</t>
  </si>
  <si>
    <t>GABRIEL ROJAS CATARINO</t>
  </si>
  <si>
    <t>CARLOS RUIZ ROJAS</t>
  </si>
  <si>
    <t>PERSONAL DE INTENDENCIA</t>
  </si>
  <si>
    <t>MARCO ANTONIO CONTRERAS GUADARRAMA</t>
  </si>
  <si>
    <t>MARTHA FLORES MARBAN</t>
  </si>
  <si>
    <t>ALFREDO CHAVERO NUMERO 42</t>
  </si>
  <si>
    <t>ARMANDO ARREDONDE MARQUEZ</t>
  </si>
  <si>
    <t>CALLE LOPEZ NUMERO UNO DESPACHO 201</t>
  </si>
  <si>
    <t>DISTRITO FEDERAL</t>
  </si>
  <si>
    <t>VALLEJO CURVA Y RAMALES RUTA 3 AC</t>
  </si>
  <si>
    <t>MASSENET NUMERO 165</t>
  </si>
  <si>
    <t>ARTURO LOZANO VERGARA</t>
  </si>
  <si>
    <t>FRANCISCO LOZANO VERGARA</t>
  </si>
  <si>
    <t>ALICIA LOZANO VERGARA</t>
  </si>
  <si>
    <t>JUAN CARLOS FRIAS FRIAS</t>
  </si>
  <si>
    <t>ESTEPHANIA PARADA GONZALEZ</t>
  </si>
  <si>
    <t>CALLE NAPOLES NUMERO 83 PISO 3 DESPACHO 302</t>
  </si>
  <si>
    <t>SAS EMPRESARIAL DE MEXICO SA DE CV</t>
  </si>
  <si>
    <t>CALLE HOMERO NUMERO 229 MASTER SUITE 3</t>
  </si>
  <si>
    <t>MURILLO MALDONADO ARREDONDO</t>
  </si>
  <si>
    <t>JOSE GILBERTO FLORES TORRES</t>
  </si>
  <si>
    <t>CARLOS RAFAEL MURILLO RIVAS</t>
  </si>
  <si>
    <t>CORTES MIGUEL MIGUEL</t>
  </si>
  <si>
    <t>MAJIGAS SA DE CV</t>
  </si>
  <si>
    <t>MAJARITAS NUMERO 39</t>
  </si>
  <si>
    <t>ARACELI GONZALEZ</t>
  </si>
  <si>
    <t>JOSE LUIS VAZQUEZ</t>
  </si>
  <si>
    <t>ANGEL SANTOS ANAYA</t>
  </si>
  <si>
    <t>CALZADA SAN ANTONIO ABAD NUMERO 122 CUARTO</t>
  </si>
  <si>
    <t>SERVICIOS ADMINISTRATIVOS PARA LA INDUSTRIA DEL CHOCOLATE S DE RL DE CV</t>
  </si>
  <si>
    <t>CALZADA DE GUADALUPE NUMERO 402</t>
  </si>
  <si>
    <t>RODOLFO SALDAÑA</t>
  </si>
  <si>
    <t>QUIEN RESULTE RESPONSABLE O PROPIETARIO DE LA FUENTE DE TRABAJO DEMANDADA</t>
  </si>
  <si>
    <t>DIANAP</t>
  </si>
  <si>
    <t>MIGUEL ANGEL SANCHEZ PEREZ</t>
  </si>
  <si>
    <t>MORELIA 38 DESPACHO 304</t>
  </si>
  <si>
    <t>SERVICIO SAN NICOLAS SA DE CV</t>
  </si>
  <si>
    <t>AVENIDA TETIZ 280</t>
  </si>
  <si>
    <t>PEDREGAL DE SAN NICOLAS</t>
  </si>
  <si>
    <t>HECTOR MANUEL TOSTADO</t>
  </si>
  <si>
    <t>MARIO RODRIGUEZ VERGARA</t>
  </si>
  <si>
    <t>SERVICIOS DE ASESORIA Y REPRESENTACION JURIDICA PARA TRABAJADORES Y SERVIDORES PUBLICOS</t>
  </si>
  <si>
    <t>HECTOR MANUEL TOSTADO HERNANDEZ</t>
  </si>
  <si>
    <t>SALVADOR PICHARDO MARTINEZ</t>
  </si>
  <si>
    <t>EMBOBINADOS Y SUMINISTROS INDUSTRIALES SA DE CV</t>
  </si>
  <si>
    <t>VALDEZ FRAGA 30</t>
  </si>
  <si>
    <t>VALLEJO</t>
  </si>
  <si>
    <t>RICARDO RESENDIS BECERRA</t>
  </si>
  <si>
    <t>ISRAEL PLATA YAÑEZ</t>
  </si>
  <si>
    <t>TECNICO INDUSTRIAL</t>
  </si>
  <si>
    <t>RICARDO RESENDIS BECERR</t>
  </si>
  <si>
    <t>LLAMA CONO TERCER INTERESADO AL IMSS Y AL INFONAVIT</t>
  </si>
  <si>
    <t>FECHA INGRESO</t>
  </si>
  <si>
    <t>ALEJANDRO VALLADOLID CISNEROS</t>
  </si>
  <si>
    <t>ALFONSO XIII 143</t>
  </si>
  <si>
    <t>BENJAMIN FRANKLIN 98;RIO MARNE 17 SEGUNDO PISO</t>
  </si>
  <si>
    <t>ESCANDON; CUAUHTEMOC</t>
  </si>
  <si>
    <t>SERTEC MEXICO SA DE CV</t>
  </si>
  <si>
    <t>AMERICAN EXPRESS SA DE CV</t>
  </si>
  <si>
    <t>ERIKA CARMONA</t>
  </si>
  <si>
    <t>MONTSERRAT SALINAS</t>
  </si>
  <si>
    <t>ADOLFO ENRIQUE LEYVA FRANCO</t>
  </si>
  <si>
    <t>ADRIAN MIRANDA MARTINEZ</t>
  </si>
  <si>
    <t>LEOPOLDO CARMONA GONZALEZ</t>
  </si>
  <si>
    <t>LEYVA FRANCO Y ASOCIADOS SC</t>
  </si>
  <si>
    <t>JUANA ARACELI RODRIGUEZ MEJIA</t>
  </si>
  <si>
    <t>CORPORATIVO DE SERVICIOS PROFESIONALES GIZA SC</t>
  </si>
  <si>
    <t>AVENIDA VASCO DE QUIROGA 300 TORRE B PISO 3 INTERIOR 302</t>
  </si>
  <si>
    <t>TLAXALA</t>
  </si>
  <si>
    <t>ENRIQUE GALEANA HERRRERA</t>
  </si>
  <si>
    <t>BLANCA RODRIGUEZ CORONA</t>
  </si>
  <si>
    <t>LUISA ISABEL RUIZ BECERRIL</t>
  </si>
  <si>
    <t>CALZADA SAN ANTONIO 122 CUARTO PISO</t>
  </si>
  <si>
    <t>C Y E PERSONNEL ADMINISTRATION SA DE CV</t>
  </si>
  <si>
    <t>LOMAS DE BAZARES</t>
  </si>
  <si>
    <t>FABIAN GUTIERREZ NARANJO</t>
  </si>
  <si>
    <t>JESUS ROMERO ARREDONDO</t>
  </si>
  <si>
    <t>EJE CENTRAL LAZARO CARDENAS 13 DESPACHO 1804 ESQUINA CON INDEPENDENCIA</t>
  </si>
  <si>
    <t>JORGE ADOLFO SUAREZ OROZCO</t>
  </si>
  <si>
    <t>AVENIDA PADRE HIDALGO 44</t>
  </si>
  <si>
    <t>BARRIO NORTE</t>
  </si>
  <si>
    <t>JUAN CARLOS DIAZ MORALES</t>
  </si>
  <si>
    <t>YAZMIN HERNANDEZ GARFIAS</t>
  </si>
  <si>
    <t>JAVIER SALOMON BOLAÑOS COSSIO</t>
  </si>
  <si>
    <t>CHOFER PARTICULAR</t>
  </si>
  <si>
    <t>MARCELO ORTIZ CASTELAN</t>
  </si>
  <si>
    <t>LAGO NESS 25 INTERIOR 8</t>
  </si>
  <si>
    <t>FLAMAMEX SA DE CV</t>
  </si>
  <si>
    <t>INDUSTRIAL SANTA COLETA</t>
  </si>
  <si>
    <t>OSWALDO HERNANDEZ SALGADO</t>
  </si>
  <si>
    <t>ALEJANDRA CAPETILLO DZIB</t>
  </si>
  <si>
    <t>JAIME CISNEROS DE LA VEGA</t>
  </si>
  <si>
    <t>ROSELIA COLIN ESQUIVEL</t>
  </si>
  <si>
    <t>SERVICIO DE TRANSPORTE SA DE CV</t>
  </si>
  <si>
    <t>CALLE SUR 101 MANZANA 3 LOTE 7</t>
  </si>
  <si>
    <t>GUSTAVO RUEDA MORALES</t>
  </si>
  <si>
    <t>ANGEL HERNANDEZ RODRIGUEZ</t>
  </si>
  <si>
    <t>NADIA ISABEL ESPINDOLA FLORES</t>
  </si>
  <si>
    <t>GENOVEVA VICTORIA BARRON</t>
  </si>
  <si>
    <t>ANDREA JOSEFINA ALEMAN ALVIRDE</t>
  </si>
  <si>
    <t>GUIPUZCOA 32 INTERIOR A501</t>
  </si>
  <si>
    <t>JOSEFA ORTIZ DE DOMINGUEZ</t>
  </si>
  <si>
    <t>AVENIDA INSURGENTES SUR 274 DESPACHO 201 ESQUINA MIGUEL LAURENTE</t>
  </si>
  <si>
    <t>CORTIZO CAMPILLO Y ASOCIADOS SC </t>
  </si>
  <si>
    <t>GUILLERMO LEONARDO ZUMAYA PEREZ</t>
  </si>
  <si>
    <t>MIGUEL ANDRES PEREZ ELO</t>
  </si>
  <si>
    <t>CONTADOR INTERNO</t>
  </si>
  <si>
    <t>NORMA ANGELICA MARTINEZ SANTILLAN</t>
  </si>
  <si>
    <t>GREGORIO VARGAS GUERRERO</t>
  </si>
  <si>
    <t>VERSALLES 16 MEZZANINNE B</t>
  </si>
  <si>
    <t>MAQINDI SA DE CV</t>
  </si>
  <si>
    <t>AVENIDA PARQUE LIRA 79 DEPARTAMENTO 304; AVENIDA PASEO DE LA REFORMA 122 PRIMER PISO</t>
  </si>
  <si>
    <t>SAN MIGUEL CHAPULTEPEC; JUAREZ</t>
  </si>
  <si>
    <t>DELEGACION MIGUEL HIDALGO; DELEGACION CUAUHTEMOC</t>
  </si>
  <si>
    <t>ENRIQUE PEREZ RANGEL</t>
  </si>
  <si>
    <t>CARLOS ENRIQUE PEREZ LEON</t>
  </si>
  <si>
    <t>PEREZ RANGEL ABOGADOS</t>
  </si>
  <si>
    <t>OFICIAL FIERRERO</t>
  </si>
  <si>
    <t>SILVIO GARCIA MONJE</t>
  </si>
  <si>
    <t>JOSE LUIS MARTINEZ GARCIA</t>
  </si>
  <si>
    <t>AURELIO VALENTIN VILLAREAL</t>
  </si>
  <si>
    <t>CALZADA AL DESIERTO DE LOS LEONES SN KILOMETRO 28.5</t>
  </si>
  <si>
    <t>SANTA ROSA XOCHIAC</t>
  </si>
  <si>
    <t>FRANCISCO JAVIER ZALDIVAR NAVA</t>
  </si>
  <si>
    <t>VICENTE MAYA ZUMAYA</t>
  </si>
  <si>
    <t>JUAN GARCIA</t>
  </si>
  <si>
    <t>BASILIO LUNA</t>
  </si>
  <si>
    <t>RUTA 43-2 SAN ANGEL-SANTA ROSA XOCHIAC</t>
  </si>
  <si>
    <t>BUFETE JURIDICO LABORAL JURES ET DE JURE</t>
  </si>
  <si>
    <t>AYUDA PARA COMIDAS, UNIFORMES, HORAS EXTRAS DOBLES, HORAS EXTRAS TRIPLES</t>
  </si>
  <si>
    <t>EDUARDO MUNGUIA CRUZ</t>
  </si>
  <si>
    <t>RIVERA DE SAN COSME 22 DESPACHO 202</t>
  </si>
  <si>
    <t>SERVICIOS CORPORATIVOS SA DE CV</t>
  </si>
  <si>
    <t>REFORMA 155 PISO 8 DESPACHO 802</t>
  </si>
  <si>
    <t>PROMOCION URBANA SA DE CV</t>
  </si>
  <si>
    <t>RAUL ISABELA</t>
  </si>
  <si>
    <t>ELBA SANTOYO</t>
  </si>
  <si>
    <t>JOSE ANTONIO SANCHEZ MARIN</t>
  </si>
  <si>
    <t>GUADALUPE CLEMENTE DOMINGUEZ</t>
  </si>
  <si>
    <t>ERIC SANCHEZ HERNANDEZ</t>
  </si>
  <si>
    <t>MARIO ZABUDIO</t>
  </si>
  <si>
    <t>NOMBRE DEMANDADO, SALARIO, CIRCUNSTANCIAS DEL DESPIDO</t>
  </si>
  <si>
    <t>JULIO IRVIN HURTADO RAMIREZ</t>
  </si>
  <si>
    <t>INSURGENTES SUR 1855-901</t>
  </si>
  <si>
    <t>BONAVENTURA SA </t>
  </si>
  <si>
    <t>RIO NILO 90 PISO 7 </t>
  </si>
  <si>
    <t>CORPOGAS</t>
  </si>
  <si>
    <t>INMOBILIARIA LIRCA SA DE CV</t>
  </si>
  <si>
    <t>CANAL DE MIRAMONTES 2762</t>
  </si>
  <si>
    <t>ESTACION DE SERVICIO DIVISION SA DE CV</t>
  </si>
  <si>
    <t>CALZADA DE LAS BOMBAS 87</t>
  </si>
  <si>
    <t>EX HACIENDA COAPA</t>
  </si>
  <si>
    <t>ESTACION DE SERVICIO ADMINISTRADORA BOTURINI</t>
  </si>
  <si>
    <t>LORENZO BOTURINI 362 ESQUINA LA VIGA</t>
  </si>
  <si>
    <t>ESTACION  DE SERVICIO AGUA BRAVA SA DE CV</t>
  </si>
  <si>
    <t>CALZADA DE LAS BOMBAS 77 ESQUINA DIVISION DEL NORTE</t>
  </si>
  <si>
    <t>MIGUEL ANGEL XOLALPA SANCHEZ</t>
  </si>
  <si>
    <t>ROGELIO GARCIA ALVAREZ</t>
  </si>
  <si>
    <t>FEDERICO GARCIA RODRIGUEZ</t>
  </si>
  <si>
    <t>LUIS CARLOS MARTINEZ</t>
  </si>
  <si>
    <t>ANTONIO CID VAZQUEZ</t>
  </si>
  <si>
    <t>HUMAN WORLD SA DE CV</t>
  </si>
  <si>
    <t>HERSHEL 79</t>
  </si>
  <si>
    <t>LAURA GUADALUPE MARUN VAZQUEZ</t>
  </si>
  <si>
    <t>MARIA ELENA VAZQUEZ</t>
  </si>
  <si>
    <t>CHOFER ESCOLTA</t>
  </si>
  <si>
    <t>JOSE ERIC OLMOS VILLEGAS</t>
  </si>
  <si>
    <t>BUCARELI 189-A ESQUINA TURIN</t>
  </si>
  <si>
    <t>INSTALLMARK SA DE CV</t>
  </si>
  <si>
    <t>CARLOS SOLIS</t>
  </si>
  <si>
    <t>JORGE HERNANDEZ ESQUIVEL</t>
  </si>
  <si>
    <t>LUIS ALVARO HERNANDEZ ESQUIVEL</t>
  </si>
  <si>
    <t>DANIEL ESQUIVEL SILVA</t>
  </si>
  <si>
    <t>PERLA MARISOL GARCIA LOPEZ</t>
  </si>
  <si>
    <t>TABASCO 262 CUARTO PISO DESPACHO 401</t>
  </si>
  <si>
    <t>GASTRONOMICA LIGERITAS SA DE CV</t>
  </si>
  <si>
    <t>BONDOJITO 340 </t>
  </si>
  <si>
    <t>LAS AMERICAS </t>
  </si>
  <si>
    <t>EDUARDO GARCIA MONROY</t>
  </si>
  <si>
    <t>ARMANDO RAYA N</t>
  </si>
  <si>
    <t>CALZADA IGNACIO ZARAGOZA 58</t>
  </si>
  <si>
    <t>BONDOJITO 340; CALZADA IGNACIO ZARAGOZA 58</t>
  </si>
  <si>
    <t>LAS AMERICAS; FEDERAL</t>
  </si>
  <si>
    <t>DELEGACION ALVARO OBREGON; NO ESPECIFICA</t>
  </si>
  <si>
    <t>CARLOS ALFONSO SORIANO MARTINEZ</t>
  </si>
  <si>
    <t>JUAN JOSE SALDAÑA PASCUAL</t>
  </si>
  <si>
    <t>MONICA GRAGEDA JIMENEZ</t>
  </si>
  <si>
    <t>KARLA IVETT PERALTA TELLEZ</t>
  </si>
  <si>
    <t>PESTALOZZI 855</t>
  </si>
  <si>
    <t>SAVING SA DE CV</t>
  </si>
  <si>
    <t>BOSQUES DE RADIATAS 32 PISO 2 DESPACHO 205</t>
  </si>
  <si>
    <t>JESUS GUILLERMO SALCEDO LOPEZ</t>
  </si>
  <si>
    <t>ALBERTO AVIGDOR GREZENKOVSKI</t>
  </si>
  <si>
    <t>SALCEDO TENORIO Y ASCENCIO MARTINEZ ABOGADOS</t>
  </si>
  <si>
    <t>DIRECTORA DE COMUNICACIÓN</t>
  </si>
  <si>
    <t>VICTORINA CORTAZAR WATERHAUSE</t>
  </si>
  <si>
    <t>JUDITH BARON GERMAN</t>
  </si>
  <si>
    <t>DOCTOR LICEAGA 180 EDIFICIO A-5 DEPARTAMENTO 601</t>
  </si>
  <si>
    <t>EL TREBOL AUTOMOTRIZ ERMITA SA DE CV</t>
  </si>
  <si>
    <t>CALZADA ERMITA IZTAPALAPA 1739</t>
  </si>
  <si>
    <t>PEDRO SANCHEZ SOLER</t>
  </si>
  <si>
    <t>CHRISTIAN HERNANDEZ GONZALEZ</t>
  </si>
  <si>
    <t>JOSE MANUEL FLORES MARTINEZ</t>
  </si>
  <si>
    <t>JAVIER GARCIA REYES</t>
  </si>
  <si>
    <t>ARMANDO PEREZ VAZQUEZ</t>
  </si>
  <si>
    <t>ROBERTO GORDILLO MEZA</t>
  </si>
  <si>
    <t>DAVID SIVERIO SOLTERO NAVARRO</t>
  </si>
  <si>
    <t>CHALCO 26-2</t>
  </si>
  <si>
    <t>EL CONDE</t>
  </si>
  <si>
    <t>JOSE FELIX TARIN NAVARRO</t>
  </si>
  <si>
    <t>MOLIERE 330 SEPTIMO PISO </t>
  </si>
  <si>
    <t>PERIODICO SOLO OFERTAS MEXICO </t>
  </si>
  <si>
    <t>FLAVIANO MONTOYA CARDENAS</t>
  </si>
  <si>
    <t>MARIA DE LOS ANGELES ZAMORA VELAZQUEZ</t>
  </si>
  <si>
    <t>CLOTILDE TERESA UGALDE UGALDE</t>
  </si>
  <si>
    <t>ASISTENTE DE LA DIRECCION GENERAL</t>
  </si>
  <si>
    <t>ROBERTO ROJAS PEREZ</t>
  </si>
  <si>
    <t>PAOLA MONSERRAT MANJARREZ CISTERNAS</t>
  </si>
  <si>
    <t>AMACUZAC 12 DEPARTAMENTO 5</t>
  </si>
  <si>
    <t>AMPLIACION SINATEL</t>
  </si>
  <si>
    <t>AVENIDA EUGENIA EJE 5 SUR 197 EDIFICIO RAFAEL NOVENO PISO</t>
  </si>
  <si>
    <t>MARCO ALBERTO BERNAL BELMONT </t>
  </si>
  <si>
    <t>OSCAR OMAR HERNANDEZ BAZAN</t>
  </si>
  <si>
    <t>HUGO RURIK LEDESMA CRUZ</t>
  </si>
  <si>
    <t>DELIA ANDREA LOPEZ VEGA</t>
  </si>
  <si>
    <t>LINO DANIEL CASTILLO FLORES</t>
  </si>
  <si>
    <t>HECTOR SEGOVIA TAVERA COTA</t>
  </si>
  <si>
    <t>MARCO ALBERTO BERNAL</t>
  </si>
  <si>
    <t>JONATHAN SILVA AGUILAR</t>
  </si>
  <si>
    <t>MIGUEL ANGEL DE QUEVEDO 8 DESPACHO 302</t>
  </si>
  <si>
    <t>EX HACIENDA DE CHIMALISTAC</t>
  </si>
  <si>
    <t>CORPORATIVO QPS SA DE CV</t>
  </si>
  <si>
    <t>RODRIGO CIFUENTES 10 INTERIOR 201; INSURGENTES SUR 1931</t>
  </si>
  <si>
    <t>SAN JOSE INSURGENTES; GUADALUPE INN</t>
  </si>
  <si>
    <t>DELEGACION BENITO JUAREZ; DELEGACION ALVARO OBREGON</t>
  </si>
  <si>
    <t>ANABELL VALENCIA SALAS</t>
  </si>
  <si>
    <t>SERGIO JOSAFATH SILVA AGUILAR</t>
  </si>
  <si>
    <t>TERESA RUELAS OLGUIN</t>
  </si>
  <si>
    <t>LAURA MARIA CARRILLO HERRERA</t>
  </si>
  <si>
    <t>DOCTOR ERAZO 85 DESPACHO 715</t>
  </si>
  <si>
    <t>GRUPO FINANCIERON INBURSA SA DE CV</t>
  </si>
  <si>
    <t>AVENIDA INSURGENTES SUR 3500</t>
  </si>
  <si>
    <t>DAVID NAVARRO OCADIZ</t>
  </si>
  <si>
    <t>YOLANDA LOPEZ VILLANA</t>
  </si>
  <si>
    <t>LUCILA EVELYN MORENO MUNGUIA</t>
  </si>
  <si>
    <t>DONATO GUERRA 1 DESPACHO 401</t>
  </si>
  <si>
    <t>AMERICAN EXPRESS COMPANY MEXICO SA DE CV</t>
  </si>
  <si>
    <t>MARIANO ESCOBEDO 700</t>
  </si>
  <si>
    <t>CINTHIA IDALIA HERNANDEZ SOTO</t>
  </si>
  <si>
    <t>JOSE LUIS ROSTRO</t>
  </si>
  <si>
    <t>ASESOR DE TARJETAS Y EJECUTIVO DE VENTAS</t>
  </si>
  <si>
    <t>MARIA FERNANDA SANDOVAL</t>
  </si>
  <si>
    <t>GASOLINA</t>
  </si>
  <si>
    <t>TICKET RESTAURANTE</t>
  </si>
  <si>
    <t>BONO POR VENTA DE TARJETAS</t>
  </si>
  <si>
    <t>LUIS ENRIQUE RUEDA MARTINEZ</t>
  </si>
  <si>
    <t>BOULEVARD ADOLFO LOPEZ MATEOS 20</t>
  </si>
  <si>
    <t>AVENIDA ORIENTE CIENTO SETENTA Y UNO 316</t>
  </si>
  <si>
    <t>SANTA COLETA</t>
  </si>
  <si>
    <t>ESTHER MIRANDA</t>
  </si>
  <si>
    <t>WALTER VICTORIO CARLOS</t>
  </si>
  <si>
    <t>EDUARDO MATA DIAZ</t>
  </si>
  <si>
    <t>GERARDO MAREZ MAGAÑA</t>
  </si>
  <si>
    <t>HECTOR ISRAEL MIRANDA GONZALEZ</t>
  </si>
  <si>
    <t>ANDRES BRAVO CARRERA</t>
  </si>
  <si>
    <t>ANTONIA LOPEZ CHAVERO</t>
  </si>
  <si>
    <t>OSWALDO HERNANDEZ</t>
  </si>
  <si>
    <t>JOSE CABRERA GUADARRAMA</t>
  </si>
  <si>
    <t>JOSE HILARIO VAZQUEZ GONZALEZ</t>
  </si>
  <si>
    <t>SUPERVISOR DE MECANICA DE VEHICULOS</t>
  </si>
  <si>
    <t>DIANA NALLELY PADRON JUAREZ</t>
  </si>
  <si>
    <t>CJA MILLA Y ASOCIADOS SC </t>
  </si>
  <si>
    <t>INSURGENTES CENTRO 56 SEGUNDO PISO</t>
  </si>
  <si>
    <t>ARNOLDO MILLA</t>
  </si>
  <si>
    <t>JOSE MANUEL MARTINEZ</t>
  </si>
  <si>
    <t>JUAN JOSE CRUZ ESQUIVEL</t>
  </si>
  <si>
    <t>AGENTIA SA DE CV</t>
  </si>
  <si>
    <t>AVENIDA COLONIA DEL VALLE 416</t>
  </si>
  <si>
    <t>CORPORATIVO CIMENTO CICARELLI SA DE CV</t>
  </si>
  <si>
    <t>MIRIAM SALAZAR</t>
  </si>
  <si>
    <t>OSWALDO LOZA</t>
  </si>
  <si>
    <t>WALBERTO CABRERA MARTINEZ</t>
  </si>
  <si>
    <t>SUPERVISOR DEL DEPARTAMENTO DE RECURSOS HUMANOS</t>
  </si>
  <si>
    <t>ARTURO VELASCO CANTELLAN</t>
  </si>
  <si>
    <t>RAFAEL DELGADO 55 BIS</t>
  </si>
  <si>
    <t>JESUS CERVANTES REYES</t>
  </si>
  <si>
    <t>BARCELONA 3 LETRA E</t>
  </si>
  <si>
    <t>ADRIAN MARQUEZ AGUILAR</t>
  </si>
  <si>
    <t>BONO DE DESEMPEÑO</t>
  </si>
  <si>
    <t>OSCAR EDUARDO JIMENEZ LUGO</t>
  </si>
  <si>
    <t>AVENIDA CHAPULTEPEC 157 DESPACHO 301</t>
  </si>
  <si>
    <t>AGENCIA EUSEBIO GAYOSSO SA DE CV</t>
  </si>
  <si>
    <t>ISIDRO CORTES SIERRA</t>
  </si>
  <si>
    <t>JOSE LUIS FLORES</t>
  </si>
  <si>
    <t>LEOPOLDO RODRIGUEZ HERNANDEZ</t>
  </si>
  <si>
    <t>CORTES SIERRA Y ASOCIADOS</t>
  </si>
  <si>
    <t>EMPLEADO DE SERVICIOS DE CAPILLAS</t>
  </si>
  <si>
    <t>SERGIO RENE GONZALEZ</t>
  </si>
  <si>
    <t>SERVICIO REALIZADO</t>
  </si>
  <si>
    <t>LAURA CORAL TOVAR GUTIERREZ</t>
  </si>
  <si>
    <t>DARWIN 68 PISO 8</t>
  </si>
  <si>
    <t>SODEXO MOTIVATION SOLUTIONS MEXICO SA DE CV</t>
  </si>
  <si>
    <t>PASEO DE LA REFORMA 115 PISO 3</t>
  </si>
  <si>
    <t>ALFONSO RODRIGUEZ ARANA</t>
  </si>
  <si>
    <t>ALFREDO BARBERI CARNALLA</t>
  </si>
  <si>
    <t>MIGUEL EDUARDO AVENDAÑO AMAYA</t>
  </si>
  <si>
    <t>LEGALMEX</t>
  </si>
  <si>
    <t>COORDINADOR DE EGRESOS</t>
  </si>
  <si>
    <t>MARIANA SALDAÑA MARTINEZ</t>
  </si>
  <si>
    <t>PRIMA VACACIONAL, SEGURO DE GASTOS MEDICOS MAYORES, SEGURO DE VIDA</t>
  </si>
  <si>
    <t>ANA LUISA REYES LUCERO</t>
  </si>
  <si>
    <t>ALEJANDRA DEL ROSARIO GARCIA</t>
  </si>
  <si>
    <t>AVENIDA SUR DOCE 64 </t>
  </si>
  <si>
    <t>CESAR RIVAS RIVERA</t>
  </si>
  <si>
    <t>JESUS MOISES ROLDAN SAMUANO</t>
  </si>
  <si>
    <t>MARIA ELIZABETH CUEVAS MONROY</t>
  </si>
  <si>
    <t>YESENIA VARGAS MENDOZA</t>
  </si>
  <si>
    <t>SECRETARIA EJECUTIVA</t>
  </si>
  <si>
    <t>ALEJANDRA DEL ROSARIO GARCIA RODRIGUEZ</t>
  </si>
  <si>
    <t>JORGE HERNANDEZ PEREZ</t>
  </si>
  <si>
    <t>RIO NEVA 16 PRIMER PISO OFICINA DE COMISIONADOS</t>
  </si>
  <si>
    <t>CISA CORREDOR INSURGENTES SA DE CV</t>
  </si>
  <si>
    <t>IGNACIO MANUEL ALTAMIRANO 27-A </t>
  </si>
  <si>
    <t>JESUS PADILLA ZENTENO</t>
  </si>
  <si>
    <t>EDUARDO ORTIZ SORIA</t>
  </si>
  <si>
    <t>NOE LOPEZ CORANGUEZ</t>
  </si>
  <si>
    <t>HECTOR SOLANO CID</t>
  </si>
  <si>
    <t>HECTOR BARBA GARCIA</t>
  </si>
  <si>
    <t>JOSE SALVADOR RODRIGUEZ FLOREZ</t>
  </si>
  <si>
    <t>OPERADOR DE AUTOBUS C</t>
  </si>
  <si>
    <t>MARIBEL ARIADNA SANCHEZ VIVAS</t>
  </si>
  <si>
    <t>SUR SESENTA Y SIETE A 3039</t>
  </si>
  <si>
    <t>AMPLIACION ASTURIAS</t>
  </si>
  <si>
    <t>AUTO SERVICIO ESPINO SA</t>
  </si>
  <si>
    <t>ANTONIO MAURA 197</t>
  </si>
  <si>
    <t>ALBERTO COSME JUAREZ GARCIA</t>
  </si>
  <si>
    <t>MARIO EDUARDO RIVERA CARRERA</t>
  </si>
  <si>
    <t>AVENIDA COYOACAN 1878 DESPACHO 102</t>
  </si>
  <si>
    <t>GRUPO SAPER SA DE CV</t>
  </si>
  <si>
    <t>DOCTOR LUCIO 21</t>
  </si>
  <si>
    <t>RAMON CEDEÑO</t>
  </si>
  <si>
    <t>COMISIONES SOBRE VENTA</t>
  </si>
  <si>
    <t>CARLOS NUÑEZ GOMEZ</t>
  </si>
  <si>
    <t>YSELA GUEVARA JUGO</t>
  </si>
  <si>
    <t>GABRIEL ALONSO ALVAREZ</t>
  </si>
  <si>
    <t>ESTACIONAMIENTOS Y VALET PARKING DE MEXICO SA DE CV</t>
  </si>
  <si>
    <t>PEDRO NERI</t>
  </si>
  <si>
    <t>CRISTINA NERI</t>
  </si>
  <si>
    <t>MARINA GUADALUPE VICENTEÑO LOPEZ</t>
  </si>
  <si>
    <t>RESORTES ASOCIADOS Y COMPAÑÍA SA DE CV</t>
  </si>
  <si>
    <t>AVENIDA SEIS 245</t>
  </si>
  <si>
    <t>IGNACIO ZARAGOZA</t>
  </si>
  <si>
    <t>MARIA DEL CARMEN ALVAREZ</t>
  </si>
  <si>
    <t>AVENIDA INSTITUTO POLITECNICO NACIONAL 5421 CONJUNTO JOSE URBANO EDIFICIO 3 PLANTA BAJA JEFATURA DE SERVICIOS JURIDICOS COORDINACION LABORAL</t>
  </si>
  <si>
    <t>ANTONIO GUTIERREZ BLANCAS</t>
  </si>
  <si>
    <t>VMQ SA DE CV</t>
  </si>
  <si>
    <t>RIO USURI 19</t>
  </si>
  <si>
    <t>JUAN EMILIO MARTINEZ</t>
  </si>
  <si>
    <t>NAYELI QUINTERO</t>
  </si>
  <si>
    <t>NOTIFICADOR EJECUTOR</t>
  </si>
  <si>
    <t>CESAR ALEJANDRO AGUILAR DE LA TORRE</t>
  </si>
  <si>
    <t>RAQUEL CRUZ MONDRAGON</t>
  </si>
  <si>
    <t>ALBERTO MANUEL ANELL SILVA</t>
  </si>
  <si>
    <t>LAFAYETTE 26</t>
  </si>
  <si>
    <t>SGFL MEXICO SA DE CV</t>
  </si>
  <si>
    <t>HORACIO 340 QUINTO PISO</t>
  </si>
  <si>
    <t>HORACIO HERNANDEZ VERDEJO</t>
  </si>
  <si>
    <t>NORA CEREZO RAMIREZ</t>
  </si>
  <si>
    <t>JOCELYNE IXHEL IGLESIAS SANCHEZ</t>
  </si>
  <si>
    <t>JOSE DE LA LUZ PEREZ CAMINO</t>
  </si>
  <si>
    <t>INGENIERO DE DRIVE TEST JUNIOR</t>
  </si>
  <si>
    <t>HORACIO HERNANDEZ VERDEJO, NORA CEREZO RAMIREZ</t>
  </si>
  <si>
    <t>JUAN HILARIO HERNANDEZ GOROSTIETA</t>
  </si>
  <si>
    <t>REPUBLICA DE URUGUAY 94 DESPACHO 110</t>
  </si>
  <si>
    <t>AVENIDA JOSE GUADALUPE POSADAS PARCELA 29</t>
  </si>
  <si>
    <t>VALLE DE CHALCO SOLIDARIDAD</t>
  </si>
  <si>
    <t>IZTAPAGAS SA DE CV</t>
  </si>
  <si>
    <t>AGRIGAS SA DE CV</t>
  </si>
  <si>
    <t>CLAUDIA SERRANO ESPINDOLA</t>
  </si>
  <si>
    <t>ELIAS SANCHEZ MENDOZA</t>
  </si>
  <si>
    <t>ANDREE (OSCAR)</t>
  </si>
  <si>
    <t>MARIA DE LOURDES DEGANTE MILLAN</t>
  </si>
  <si>
    <t>MUNICIPIO LIBRE 48</t>
  </si>
  <si>
    <t>PORTALES ORIENTE</t>
  </si>
  <si>
    <t>CALENTAMIENTO Y CONTROL ELECTRICO SA DE CV</t>
  </si>
  <si>
    <t>MANUEL MARQUEZ STERLING 33 PLANTA BAJA Y PRIMER PISO</t>
  </si>
  <si>
    <t>DELEGACION VCUAUHTEMOC</t>
  </si>
  <si>
    <t>CACELEC SA DE CV</t>
  </si>
  <si>
    <t>SALBER SA DE CV</t>
  </si>
  <si>
    <t>CARLOS ALBERTO CASILLAS COROMINAS</t>
  </si>
  <si>
    <t>JORGE CASILLAS COROMINAS</t>
  </si>
  <si>
    <t>PAULO CESAR JIMENEZ JIMENEZ</t>
  </si>
  <si>
    <t>HUMBERTO GUDIÑO MARTINEZ</t>
  </si>
  <si>
    <t>FRANCISCO JAVIER JIMENEZ JIMENEZ</t>
  </si>
  <si>
    <t>ADRIANA JIMENEZ MONDRAGON</t>
  </si>
  <si>
    <t>DOCTOR CARMONA Y VALLE 15 DESPACHO 301</t>
  </si>
  <si>
    <t>MEXPROUD SHIPPING SA DE CV</t>
  </si>
  <si>
    <t>JORGE ELIOT 12 QUINTO PISO DESPACHO 501</t>
  </si>
  <si>
    <t>POLANCO CHAPULTEPEC</t>
  </si>
  <si>
    <t>VARME SERVICIOS CORPORATIVOS SC</t>
  </si>
  <si>
    <t>ANTONIO VARGAS VAZQUEZ</t>
  </si>
  <si>
    <t>VICTOR GALICIA LOPEZ</t>
  </si>
  <si>
    <t>QUIN RESULTE RESPONSABLE PATRON O PROPIETARIO DE LAS FUENTES DE TRABAJO</t>
  </si>
  <si>
    <t>MIGUEL PALACIOS BARCENAS</t>
  </si>
  <si>
    <t>CARLOS GUTIERREZ SANCHEZ</t>
  </si>
  <si>
    <t>ROGELIO SANCHEZ ESTRADA</t>
  </si>
  <si>
    <t>BUFETE PALACIOS</t>
  </si>
  <si>
    <t>SALES AND PRICING CHIEF</t>
  </si>
  <si>
    <t>JOSE LUIS MARTINEZ PEREZ</t>
  </si>
  <si>
    <t>RIO VOLGA 80 TERCER PISO</t>
  </si>
  <si>
    <t>DELEGACION CUAUHTEMOS</t>
  </si>
  <si>
    <t>EUGENIA 197 EDIFICIO RAFAEL NOVENO PISO</t>
  </si>
  <si>
    <t>HECTOR HUGO ZAMORA AGUILAR</t>
  </si>
  <si>
    <t>NO ESTÁ ESCANEADO EL AUTO DE RADICACIÓN</t>
  </si>
  <si>
    <t>LILIA ESTRADA FIGUEROA</t>
  </si>
  <si>
    <t>ORIZABA 170 INTERIORES 101 Y O 301</t>
  </si>
  <si>
    <t>GRUPO LLANTICREDIT SA DE CV</t>
  </si>
  <si>
    <t>RIO CONSULADO 730</t>
  </si>
  <si>
    <t>TLATILCO</t>
  </si>
  <si>
    <t>JUAN IGNACIO LECUMBERRI URQUIZA</t>
  </si>
  <si>
    <t>JUAN IGNACIO LECUMBERRI SERRANO</t>
  </si>
  <si>
    <t>QUIEN RESULTE PROPIETARIO Y RESPONSABLE DE LA FUENTE DE TRABAJO</t>
  </si>
  <si>
    <t>ROBERTO COVARRUBIAS CARRILLO</t>
  </si>
  <si>
    <t>CONSORCIO URIBE COVARRUBIAS ASESORES LABORALES SC</t>
  </si>
  <si>
    <t>JEFE DE SUPERVISION Y VENTAS</t>
  </si>
  <si>
    <t>PREMIO POR VENTAS</t>
  </si>
  <si>
    <t>JUAN MANUEL HERNANDEZ TORRES</t>
  </si>
  <si>
    <t>JORGE ALQUICIRA RAMIREZ</t>
  </si>
  <si>
    <t>AVENIDA TAMAULIPAS 2801</t>
  </si>
  <si>
    <t>PUEBLO SANTA LUCIA</t>
  </si>
  <si>
    <t>ARACELI BASTIDA MAYA</t>
  </si>
  <si>
    <t>QUIEN RESULTE SER RESPONSABLE O PROPIETARIO DE LA FUENTE DE TRABAJO</t>
  </si>
  <si>
    <t>LAVADOR</t>
  </si>
  <si>
    <t>OSCAR ERNESTO ZUBIETA ARROYO</t>
  </si>
  <si>
    <t>ALFREDO CHAVERO 195 INTERIOR 301 A</t>
  </si>
  <si>
    <t>AVENIDA CHAPULTEPEC 408</t>
  </si>
  <si>
    <t>OCTAVIO RUIZ N </t>
  </si>
  <si>
    <t>BBVA BANCOMER SA DE CV</t>
  </si>
  <si>
    <t>SERGIO SILICEO MUÑOZ</t>
  </si>
  <si>
    <t>FRANCISCO BRAVO MOCTEZUMA</t>
  </si>
  <si>
    <t>FRANCISCO ANTONIO DOMINGUEZ HERNANDEZ</t>
  </si>
  <si>
    <t>KARINA ISELA HERNANDEZ VARGAS</t>
  </si>
  <si>
    <t>WILFRIDO HERNANDEZ ANDRADE</t>
  </si>
  <si>
    <t>EJECUTIVO DE RECUPERACION DE CARTERA HIPOTECARIA</t>
  </si>
  <si>
    <t>FRANCISCO ANTONIO DOMINGUEZ</t>
  </si>
  <si>
    <t>IVONNE STEPHANIE PEÑA GARDUÑO</t>
  </si>
  <si>
    <t>TOPOGRAFOS 7 SEGUNDO PISO</t>
  </si>
  <si>
    <t>COLOR VOX COMUNICACION SA DE CV</t>
  </si>
  <si>
    <t>SEVILLA 920</t>
  </si>
  <si>
    <t>HECTOR CALDERA ARELLANO</t>
  </si>
  <si>
    <t>WALTER CAMPOS BUSTOS</t>
  </si>
  <si>
    <t>ALEJANDRA DEL CARMEN CORZO BARRERA</t>
  </si>
  <si>
    <t>ANA MARIA GONZALEZ GUZMAN</t>
  </si>
  <si>
    <t>H Y W EMPRESARIAL SA DE CV</t>
  </si>
  <si>
    <t>TRIGO 46</t>
  </si>
  <si>
    <t>GRANJAS ESMERALDA</t>
  </si>
  <si>
    <t>ALEJANDRO ANIBAL LAZARINI JASSO</t>
  </si>
  <si>
    <t>RODOLFO DOMINGUEZ MENDIOLA</t>
  </si>
  <si>
    <t>ENCARGADA DE PRODUCCION</t>
  </si>
  <si>
    <t>HUGO MIGUEL HERNANDEZ CAMARGO</t>
  </si>
  <si>
    <t>CORDOBA 131 DESPACHO 402 CUARTO PISO</t>
  </si>
  <si>
    <t>TRANSMICIONES AUTOMATICAS MONTERO SA DE CV</t>
  </si>
  <si>
    <t>AVENIDA TLAHUAC 7396</t>
  </si>
  <si>
    <t>SANTA CECILIA</t>
  </si>
  <si>
    <t>TLAHUAC</t>
  </si>
  <si>
    <t>OSCAR ARTURO MONTERO SALDAÑA</t>
  </si>
  <si>
    <t>FRANCISCO MONTERO SALDAÑA</t>
  </si>
  <si>
    <t>FRANCISCO PASTRANA MARTINEZ</t>
  </si>
  <si>
    <t>PZ Y D ABOGADOS</t>
  </si>
  <si>
    <t>REPARTIDOR ENCARGADO</t>
  </si>
  <si>
    <t>MLL (ELISA)</t>
  </si>
  <si>
    <t>NO CONTIENE AUTO DE RADICACION</t>
  </si>
  <si>
    <t>GERARDO HERNANDEZ FRAGA</t>
  </si>
  <si>
    <t>CALZADA SAN ANTONIO ABAD NUMERO 122 CUARTO PISO  </t>
  </si>
  <si>
    <t>YUCATAN NUMERO 15</t>
  </si>
  <si>
    <t>HIPODROMO CONDESA </t>
  </si>
  <si>
    <t>LILIANA ARMORA MAÑANA </t>
  </si>
  <si>
    <t>PROCURADURIA DE LA DEFENSA DEL TRABAJO DEL DF</t>
  </si>
  <si>
    <t>TELEOPERADOR</t>
  </si>
  <si>
    <t>GUSTAVO CELIO AGUILERA</t>
  </si>
  <si>
    <t>BEATRIZ MOLINA SIGALA</t>
  </si>
  <si>
    <t>JOSE ALBERTO MARTINEZ PARDO</t>
  </si>
  <si>
    <t>ALEJANDRO RIVOROSA</t>
  </si>
  <si>
    <t>EDURDO MATA FLORES</t>
  </si>
  <si>
    <t>LUIS VARGAS MZ 72 LT 1 </t>
  </si>
  <si>
    <t>AMPLIACION GABRIEL HERNANDEZ</t>
  </si>
  <si>
    <t>PROMOCIONES Y MERCADEO SA DE CV </t>
  </si>
  <si>
    <t>GOMEZ PALACIO 147 </t>
  </si>
  <si>
    <t>PUNTO AZUL PROMOCIONES SA DE CV </t>
  </si>
  <si>
    <t>RICARDO VERUMEN </t>
  </si>
  <si>
    <t>JOAQUIN TUÑON FRANCISCO </t>
  </si>
  <si>
    <t>QUIEN RESULTE SER PROPIETARIO PATRON O RESPONSABLE DE LA FUENTE DE TRABAJO  </t>
  </si>
  <si>
    <t>JORGE JUAREZ HERNANDEZ</t>
  </si>
  <si>
    <t>ROSALBA BERENICE JURADO URIBE</t>
  </si>
  <si>
    <t>TANYA AIDA JURADO URIBE </t>
  </si>
  <si>
    <t>JUAREZ Y JURADO ABOGADOS </t>
  </si>
  <si>
    <t>JOAQUIN TUÑON FANCISCO</t>
  </si>
  <si>
    <t>JAIME SERVIN VILLA</t>
  </si>
  <si>
    <t>SHELVI CORPORATIVO SA DE CV </t>
  </si>
  <si>
    <t>MONTERREY NUMERO 149 ESQ GUANAJUATO </t>
  </si>
  <si>
    <t>ANGEL OSVALDO IBAÑEZ </t>
  </si>
  <si>
    <t>ANA MARIA LOEZA ESPINOZA</t>
  </si>
  <si>
    <t>PROMOTORIA</t>
  </si>
  <si>
    <t>ANGEL OSVALDO IBAÑEZ</t>
  </si>
  <si>
    <t>SILVIA RAMIREZ RODRIGUEZ</t>
  </si>
  <si>
    <t>DONATO GUERRA NUMERO 1 DESPACHO 204 </t>
  </si>
  <si>
    <t>PROMOCION Y OPERACION SA DE CV </t>
  </si>
  <si>
    <t>BAHIA DE CHACHALACAS NUMERO 7 </t>
  </si>
  <si>
    <t>VERONICA ANZURES </t>
  </si>
  <si>
    <t>CONTACTO Y COMUNICACIONES SA DE CV</t>
  </si>
  <si>
    <t>AMORES NUMERO 28</t>
  </si>
  <si>
    <t>QUIEN RESULTE RESPONSABLE PROPIETARIO O PATRON DE DICHA FUENTE DE TRABAJO </t>
  </si>
  <si>
    <t>NAYELI SOTO ORTIZ </t>
  </si>
  <si>
    <t>OPERADORA DE TELE MARKETING Y VENTAS </t>
  </si>
  <si>
    <t>ERIKA PATRICIA ZAMBRANO HERNANDEZ</t>
  </si>
  <si>
    <t>COMISIONES TARJETA DE CREDITO </t>
  </si>
  <si>
    <t>JONATHAN MARTINEZ SANTOS</t>
  </si>
  <si>
    <t>AVENIDA CHAPULTEPEC 444 DESPACHO 501</t>
  </si>
  <si>
    <t>AUTOTRANSPORTES COVA SA DE CV</t>
  </si>
  <si>
    <t>COLTONGO 175</t>
  </si>
  <si>
    <t>FABIAN CUAUHTEMOC RAMIREZ IBAÑEZ</t>
  </si>
  <si>
    <t>ANA LAURA GARDUÑO LOPEZ</t>
  </si>
  <si>
    <t>JONATHAN PEREZ CHAVEZ</t>
  </si>
  <si>
    <t>GASTOS Y LIQUIDACIONES</t>
  </si>
  <si>
    <t>GERARDO EDMUNDO AGUILAR</t>
  </si>
  <si>
    <t>COMPENSACIONES</t>
  </si>
  <si>
    <t>DESCUENTO AYUDA FUNERAL</t>
  </si>
  <si>
    <t>HORAS EXTRAS LABORADAS</t>
  </si>
  <si>
    <t>EN PRESTACIONES RECLAMA SALARIOS DEVENGADOS PERO SU ESPECIFICACION EN LOS HECHOS SE REFIERE A SALARIOS CAIDOS; NO HAY AUTO DE RADICACION</t>
  </si>
  <si>
    <t>SANDRA VELASCO SORIANO</t>
  </si>
  <si>
    <t>AVENIDA EDUARDO MOLINA 8018 LOCAL COMERCIAL REPECSAC</t>
  </si>
  <si>
    <t>CONDUCTORES ORGANIZADOS GRUPO CONDOR AC</t>
  </si>
  <si>
    <t>CONDOR 9</t>
  </si>
  <si>
    <t>CONDOR 9 BASE DE TAXIS</t>
  </si>
  <si>
    <t>JUAN JOSE JIMENEZ</t>
  </si>
  <si>
    <t>OCTAVIO ROSAS OCEGUERA</t>
  </si>
  <si>
    <t>ANDRES ITURBIDE COCA</t>
  </si>
  <si>
    <t>SONIA CELIS GIRON</t>
  </si>
  <si>
    <t>FRANCISCO JAVIER MENESES BENITEZ</t>
  </si>
  <si>
    <t>DONATO GUERRA 01 DESPACHO 312</t>
  </si>
  <si>
    <t>GAS NATURAL MEXICO SA DE CV</t>
  </si>
  <si>
    <t>JAIME BALMES 08 SEPTIMO PISO</t>
  </si>
  <si>
    <t>CASTAÑEDA ISLAS Y BELLO ABOGADOS ASOCIADOS</t>
  </si>
  <si>
    <t>TIPO DE DEMANDADO</t>
  </si>
  <si>
    <t>JAIME ZARATE TRONCOSO</t>
  </si>
  <si>
    <t>PRIMER ANDADOR ELVIRA VARGAS NUMERO 180-A</t>
  </si>
  <si>
    <t>SECCION IX</t>
  </si>
  <si>
    <t>ONE DIGIT SA DE CV</t>
  </si>
  <si>
    <t>AVENIDA REVOLUCION 1181 PRIMER PISO</t>
  </si>
  <si>
    <t>LOGICA DE ADMINISTRACION APLICADA SA DE CV</t>
  </si>
  <si>
    <t>LUZWARE SOFTWARE AND HARDWARE SA DE CV</t>
  </si>
  <si>
    <t>DESARROLLO Y CAPACITACION DE PERSONAL EM</t>
  </si>
  <si>
    <t>STAFFING SOLUTIONS SA DE CV</t>
  </si>
  <si>
    <t>STAFF ESTRATEGICO SA DE CV</t>
  </si>
  <si>
    <t>ENRIQUE ROMERO VILLEGAS</t>
  </si>
  <si>
    <t>MARIA ENRIQUETA MENDOZA ZARAZUA</t>
  </si>
  <si>
    <t>RUTH GABRIELA LORENZO RESENDIZ</t>
  </si>
  <si>
    <t>ROMERO VILLEGAS Y ASOCIADOS</t>
  </si>
  <si>
    <t>EJECUTIVO ADMINISTRATIVO</t>
  </si>
  <si>
    <t>ANTONIO MARTIN LUZ RODRIGUEZ</t>
  </si>
  <si>
    <t>ANDRIK ESLI MILLAN MARTINEZ</t>
  </si>
  <si>
    <t>EUGENIA 197 EDIFICIO RAFAEL PISO 9</t>
  </si>
  <si>
    <t>OSCAR OMAR HERNANDEZ</t>
  </si>
  <si>
    <t>BANAMEX SA </t>
  </si>
  <si>
    <t>TACUBA 549</t>
  </si>
  <si>
    <t>POPTLA</t>
  </si>
  <si>
    <t>QUIEN RESULTE PATRON Y/O PROPIETARIO Y/O RESPONSABLE DE LAS FUENTES DE TRABAJO</t>
  </si>
  <si>
    <t>LOURDES DALIA ALVAREZ PEREZ</t>
  </si>
  <si>
    <t>BONO DE COMPENSACION</t>
  </si>
  <si>
    <t>ROGELIO FELICIANO FLORES PINZON</t>
  </si>
  <si>
    <t>TENAYUCA 80</t>
  </si>
  <si>
    <t>DESARROLLO DE IMAGEN URBANA SA DE CV</t>
  </si>
  <si>
    <t>BOULEVARD MANUEL AVILA CAMACHO 32 OFICINA 401</t>
  </si>
  <si>
    <t>OSWALDO ROSAS FLORES</t>
  </si>
  <si>
    <t>OSCAR JAVIER HUAMANCHE</t>
  </si>
  <si>
    <t>QUIEN RESULTE PROPIETARIO RESPONSABLE Y/O PATRON FINAL DEL ESTABLECIMIENTO</t>
  </si>
  <si>
    <t>RIO TOTOLICA 25</t>
  </si>
  <si>
    <t>JOSE DE JESUS HERNANDEZ VAZQUEZ</t>
  </si>
  <si>
    <t>FRANCISCO GARDUÑO ACEVEDO</t>
  </si>
  <si>
    <t>JOSE DE JESUS HERNANDEZ GARDUÑO</t>
  </si>
  <si>
    <t>TECNICO ELECTRICISTA B</t>
  </si>
  <si>
    <t>DESPENSA ANUAL</t>
  </si>
  <si>
    <t>EDGAR V</t>
  </si>
  <si>
    <t>OLIVIA MEJIA APODACA</t>
  </si>
  <si>
    <t>NICOLAS SAN JUAN 842 ALTOS</t>
  </si>
  <si>
    <t>CRESTA DEL VALLE SA DE CV</t>
  </si>
  <si>
    <t>AVENIDA DIVISION DEL NORTE 1917</t>
  </si>
  <si>
    <t>RESIDENCIAL EMPERADORES</t>
  </si>
  <si>
    <t>SERVICIOS CORPORATIVOS EMPERADORES SA DE CV</t>
  </si>
  <si>
    <t>FERNANDO MARQUEZ DURAN</t>
  </si>
  <si>
    <t>GISELA CRUZ MANZANO</t>
  </si>
  <si>
    <t>CARLOS PINEDA SALGADO</t>
  </si>
  <si>
    <t>BOLIVAR 21 SEXTO PISO DESPACHO 612</t>
  </si>
  <si>
    <t>MISAEL NAVARRETE RIVERA</t>
  </si>
  <si>
    <t>POCHTECAS 64</t>
  </si>
  <si>
    <t>ZONA RESIDENCIAL PASEOS DE CHURUBUSCO</t>
  </si>
  <si>
    <t>CARLOS PEREZ RIVERA</t>
  </si>
  <si>
    <t>JANET ANTONIA MAY CHAVARRIA</t>
  </si>
  <si>
    <t>LUIS ACEVES SAVAGE</t>
  </si>
  <si>
    <t>ACEVES MAY ABOGADOS</t>
  </si>
  <si>
    <t>DIANA KAREN GOMEZ RODRIGUEZ</t>
  </si>
  <si>
    <t>CORPORATI</t>
  </si>
  <si>
    <t>AVENIDA YUCATAN 23</t>
  </si>
  <si>
    <t>MAURICIO IVAN MONDRAGON MARTINEZ</t>
  </si>
  <si>
    <t>GERARDO HERNANDEZ QUIROZ</t>
  </si>
  <si>
    <t>TEPIC 88 DESPACHO 102 PRIMER PISO</t>
  </si>
  <si>
    <t>INSURGENTES SUR 1446 PRIMER PISO</t>
  </si>
  <si>
    <t>JOSE LUIS VERA</t>
  </si>
  <si>
    <t>MANUEL CORNEJO</t>
  </si>
  <si>
    <t>DAVID DIAZ</t>
  </si>
  <si>
    <t>VIRIDIANA PEREZ</t>
  </si>
  <si>
    <t>DAVID FLORES</t>
  </si>
  <si>
    <t>YAHAIRA YANIN HURTADO LOPEZ</t>
  </si>
  <si>
    <t>ASESORIA CONSULTORIA Y DEFENSA LEGAL</t>
  </si>
  <si>
    <t>ANA MARIA ARENAS PORTUGUEZ</t>
  </si>
  <si>
    <t>GAS ACATITLA SA DE CV</t>
  </si>
  <si>
    <t>CALZADA IGNACIO ZARAGOZA 2995</t>
  </si>
  <si>
    <t>OMAR PEREZ</t>
  </si>
  <si>
    <t>JEFA DE ISLA Y PROPINERA</t>
  </si>
  <si>
    <t>CLEMENTE MENDOZA REYES</t>
  </si>
  <si>
    <t>ZACATECAS 106 PLANTA BAJA A</t>
  </si>
  <si>
    <t>GAS FLAMA AZUL SA DE CV</t>
  </si>
  <si>
    <t>INGENIERO EDUARDO MOLINA 6640</t>
  </si>
  <si>
    <t>ARAGON INGUARAN</t>
  </si>
  <si>
    <t>RODRIGO VIDAL BAÑOS</t>
  </si>
  <si>
    <t>ETHELBERTO MENDOZA SENDEJAS</t>
  </si>
  <si>
    <t>RED TAG LINE SA DE CV</t>
  </si>
  <si>
    <t>BOLIVAR 159</t>
  </si>
  <si>
    <t>ALGARIN</t>
  </si>
  <si>
    <t>BLUE RHINO SA DE CV</t>
  </si>
  <si>
    <t>JORGE ARGUELLES</t>
  </si>
  <si>
    <t>OMAR AGUILAR NAIN</t>
  </si>
  <si>
    <t>ANGELES NAIN</t>
  </si>
  <si>
    <t>RODRIGO LOYA SANROMAN</t>
  </si>
  <si>
    <t>CRISANTEMO 13 CONDOMINIO CE DEPARTAMENTO 403 NUMERO 9</t>
  </si>
  <si>
    <t>OUTSOURCING OPERADORA DE PERSONAL SA DE CV</t>
  </si>
  <si>
    <t>GUILLERMO GONZALEZ CAMARENA 2000 PISO 2</t>
  </si>
  <si>
    <t>JOSE ANTONIO GONZALEZ OROZCO</t>
  </si>
  <si>
    <t>CUAUHTEMOC RAMIREZ RODRIGUEZ</t>
  </si>
  <si>
    <t>MARTIN BAUTISTA</t>
  </si>
  <si>
    <t>RICARDO MONTERDE</t>
  </si>
  <si>
    <t>ALEJANDRA COSS RIVERA</t>
  </si>
  <si>
    <t>SUPERVISOR DE EJECUTIVOS DE ATENCION A CLIENTES</t>
  </si>
  <si>
    <t>ELENA ESTADA MARTINEZ</t>
  </si>
  <si>
    <t>SERVICIOS RODASA SA DE CV</t>
  </si>
  <si>
    <t>AVENIDA DIVISION DEL NORTE 3101</t>
  </si>
  <si>
    <t>EL ROSEDAL</t>
  </si>
  <si>
    <t>JOSE ENRIQUE ALFARO MARTINEZ</t>
  </si>
  <si>
    <t>CORPO GAS</t>
  </si>
  <si>
    <t>JEFE DE ISLA</t>
  </si>
  <si>
    <t>MARCO ANTONIO ZEPEDA ORDAZ</t>
  </si>
  <si>
    <t>SUR CIENTO NUEVE 612 INTERIOR 1</t>
  </si>
  <si>
    <t>NEOTAX SA DE CV</t>
  </si>
  <si>
    <t>CALZADA DE LA VIGA 1403</t>
  </si>
  <si>
    <t>EL RETOÑO</t>
  </si>
  <si>
    <t>RICARDO GUERRERO VEGA</t>
  </si>
  <si>
    <t>NESTOR DOMINGUEZ OSORIO</t>
  </si>
  <si>
    <t>TECNICO INSTALADOR</t>
  </si>
  <si>
    <t>ENRIQUE LUGO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</si>
</sst>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\$* #,##0.00_-;&quot;-$&quot;* #,##0.00_-;_-\$* \-??_-;_-@_-"/>
    <numFmt numFmtId="166" formatCode="M/D/YYYY"/>
    <numFmt numFmtId="167" formatCode="H:MM;@"/>
    <numFmt numFmtId="168" formatCode="DD/MM/YYYY;@"/>
    <numFmt numFmtId="169" formatCode="0"/>
    <numFmt numFmtId="170" formatCode="0.00"/>
    <numFmt numFmtId="171" formatCode="\$#,##0.00"/>
    <numFmt numFmtId="172" formatCode="@"/>
    <numFmt numFmtId="173" formatCode="\$#,##0.00"/>
    <numFmt numFmtId="174" formatCode="_(\$* #,##0.00_);_(\$* \(#,##0.00\);_(\$* \-??_);_(@_)"/>
    <numFmt numFmtId="175" formatCode="H:MM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9C65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0"/>
      <name val="Arial"/>
      <family val="2"/>
      <charset val="1"/>
    </font>
    <font>
      <sz val="11"/>
      <color rgb="FFFF0000"/>
      <name val="Calibri"/>
      <family val="2"/>
      <charset val="1"/>
    </font>
    <font>
      <sz val="22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sz val="26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i val="true"/>
      <u val="single"/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b val="true"/>
      <sz val="11"/>
      <color rgb="FFC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EB9C"/>
        <bgColor rgb="FFFBE5D6"/>
      </patternFill>
    </fill>
    <fill>
      <patternFill patternType="solid">
        <fgColor rgb="FFBFBFBF"/>
        <bgColor rgb="FFC9C9C9"/>
      </patternFill>
    </fill>
    <fill>
      <patternFill patternType="solid">
        <fgColor rgb="FFDAE3F3"/>
        <bgColor rgb="FFEDEDED"/>
      </patternFill>
    </fill>
    <fill>
      <patternFill patternType="solid">
        <fgColor rgb="FFF4B183"/>
        <bgColor rgb="FFF8CBAD"/>
      </patternFill>
    </fill>
    <fill>
      <patternFill patternType="solid">
        <fgColor rgb="FF9DC3E6"/>
        <bgColor rgb="FF95B3D7"/>
      </patternFill>
    </fill>
    <fill>
      <patternFill patternType="solid">
        <fgColor rgb="FF5B9BD5"/>
        <bgColor rgb="FF95B3D7"/>
      </patternFill>
    </fill>
    <fill>
      <patternFill patternType="solid">
        <fgColor rgb="FFC9C9C9"/>
        <bgColor rgb="FFBFBFBF"/>
      </patternFill>
    </fill>
    <fill>
      <patternFill patternType="solid">
        <fgColor rgb="FF977FB3"/>
        <bgColor rgb="FF666699"/>
      </patternFill>
    </fill>
    <fill>
      <patternFill patternType="solid">
        <fgColor rgb="FFFF9900"/>
        <bgColor rgb="FFED7D31"/>
      </patternFill>
    </fill>
    <fill>
      <patternFill patternType="solid">
        <fgColor rgb="FFFBE5D6"/>
        <bgColor rgb="FFEDEDED"/>
      </patternFill>
    </fill>
    <fill>
      <patternFill patternType="solid">
        <fgColor rgb="FFF8CBAD"/>
        <bgColor rgb="FFFBE5D6"/>
      </patternFill>
    </fill>
    <fill>
      <patternFill patternType="solid">
        <fgColor rgb="FFEDEDED"/>
        <bgColor rgb="FFFBE5D6"/>
      </patternFill>
    </fill>
    <fill>
      <patternFill patternType="solid">
        <fgColor rgb="FFFFD966"/>
        <bgColor rgb="FFFFEB9C"/>
      </patternFill>
    </fill>
    <fill>
      <patternFill patternType="solid">
        <fgColor rgb="FF95B3D7"/>
        <bgColor rgb="FF9DC3E6"/>
      </patternFill>
    </fill>
    <fill>
      <patternFill patternType="solid">
        <fgColor rgb="FFC2D69A"/>
        <bgColor rgb="FFC9C9C9"/>
      </patternFill>
    </fill>
    <fill>
      <patternFill patternType="solid">
        <fgColor rgb="FF92D050"/>
        <bgColor rgb="FFC2D69A"/>
      </patternFill>
    </fill>
    <fill>
      <patternFill patternType="solid">
        <fgColor rgb="FFFF0066"/>
        <bgColor rgb="FFFF0000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0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6" fillId="0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0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6" fillId="0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0" fontId="8" fillId="0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1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13" fillId="3" borderId="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6" fillId="0" borderId="3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0" fontId="11" fillId="0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0" fontId="14" fillId="0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0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0" xfId="17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1" fillId="0" borderId="0" xfId="17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6" fillId="0" borderId="0" xfId="17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1" fontId="6" fillId="0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1" fontId="15" fillId="0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8" fillId="0" borderId="0" xfId="17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9" fontId="6" fillId="0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5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5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5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5" fillId="7" borderId="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2" fontId="15" fillId="7" borderId="5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5" fillId="7" borderId="5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5" fillId="7" borderId="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5" fillId="8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8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8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15" fillId="3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2" fontId="15" fillId="9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2" fontId="7" fillId="3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2" fontId="7" fillId="9" borderId="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2" fontId="15" fillId="3" borderId="6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6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11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6" fillId="11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6" fontId="16" fillId="12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7" fontId="16" fillId="12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5" fillId="12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9" fontId="15" fillId="12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7" fillId="12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6" fontId="15" fillId="12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15" fillId="11" borderId="0" xfId="1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5" fillId="11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16" fillId="12" borderId="0" xfId="1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6" fillId="12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16" fillId="12" borderId="0" xfId="1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15" fillId="12" borderId="0" xfId="1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6" fillId="12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5" fillId="13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15" fillId="14" borderId="0" xfId="1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9" fontId="15" fillId="4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12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9" fontId="15" fillId="15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5" fillId="15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15" fillId="15" borderId="0" xfId="1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4" fontId="15" fillId="15" borderId="0" xfId="1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5" fillId="15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6" fontId="15" fillId="8" borderId="0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15" fillId="15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5" fillId="15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5" fillId="8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5" fillId="16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5" fillId="17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5" fillId="15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15" fillId="15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15" fillId="15" borderId="0" xfId="1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5" fillId="18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5" fillId="1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2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2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Moneda 2" xfId="20" builtinId="53" customBuiltin="true"/>
    <cellStyle name="Moneda 3" xfId="21" builtinId="53" customBuiltin="true"/>
    <cellStyle name="Moneda 4" xfId="22" builtinId="53" customBuiltin="true"/>
    <cellStyle name="Neutral 2" xfId="23" builtinId="53" customBuiltin="true"/>
    <cellStyle name="Normal 2" xfId="24" builtinId="53" customBuiltin="true"/>
    <cellStyle name="Normal 3" xfId="25" builtinId="53" customBuiltin="true"/>
  </cellStyles>
  <colors>
    <indexedColors>
      <rgbColor rgb="FF000000"/>
      <rgbColor rgb="FFEDEDED"/>
      <rgbColor rgb="FFFF0000"/>
      <rgbColor rgb="FF00FF00"/>
      <rgbColor rgb="FF0000FF"/>
      <rgbColor rgb="FFFFD966"/>
      <rgbColor rgb="FFFF0066"/>
      <rgbColor rgb="FF00FFFF"/>
      <rgbColor rgb="FFC00000"/>
      <rgbColor rgb="FF008000"/>
      <rgbColor rgb="FF000080"/>
      <rgbColor rgb="FF9C6500"/>
      <rgbColor rgb="FF800080"/>
      <rgbColor rgb="FF008080"/>
      <rgbColor rgb="FFBFBFBF"/>
      <rgbColor rgb="FF5B9BD5"/>
      <rgbColor rgb="FF95B3D7"/>
      <rgbColor rgb="FF993366"/>
      <rgbColor rgb="FFFBE5D6"/>
      <rgbColor rgb="FFDAE3F3"/>
      <rgbColor rgb="FF660066"/>
      <rgbColor rgb="FFFF8080"/>
      <rgbColor rgb="FF0066CC"/>
      <rgbColor rgb="FFC9C9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D69A"/>
      <rgbColor rgb="FFFFEB9C"/>
      <rgbColor rgb="FF9DC3E6"/>
      <rgbColor rgb="FFF4B183"/>
      <rgbColor rgb="FFCC99FF"/>
      <rgbColor rgb="FFF8CBAD"/>
      <rgbColor rgb="FF3366FF"/>
      <rgbColor rgb="FF33CCCC"/>
      <rgbColor rgb="FF92D050"/>
      <rgbColor rgb="FFFFC000"/>
      <rgbColor rgb="FFFF9900"/>
      <rgbColor rgb="FFED7D31"/>
      <rgbColor rgb="FF666699"/>
      <rgbColor rgb="FF977FB3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I955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8" ySplit="4" topLeftCell="CL5" activePane="bottomRight" state="frozen"/>
      <selection pane="topLeft" activeCell="A1" activeCellId="0" sqref="A1"/>
      <selection pane="topRight" activeCell="CL1" activeCellId="0" sqref="CL1"/>
      <selection pane="bottomLeft" activeCell="A5" activeCellId="0" sqref="A5"/>
      <selection pane="bottomRight" activeCell="CQ4" activeCellId="0" sqref="CQ4"/>
    </sheetView>
  </sheetViews>
  <sheetFormatPr defaultRowHeight="15"/>
  <cols>
    <col collapsed="false" hidden="false" max="2" min="1" style="0" width="11.4183673469388"/>
    <col collapsed="false" hidden="false" max="3" min="3" style="0" width="14.280612244898"/>
    <col collapsed="false" hidden="false" max="4" min="4" style="0" width="11.4183673469388"/>
    <col collapsed="false" hidden="false" max="5" min="5" style="0" width="6.71428571428571"/>
    <col collapsed="false" hidden="false" max="6" min="6" style="0" width="7.14795918367347"/>
    <col collapsed="false" hidden="false" max="7" min="7" style="0" width="7.71428571428571"/>
    <col collapsed="false" hidden="false" max="8" min="8" style="0" width="11.4183673469388"/>
    <col collapsed="false" hidden="false" max="10" min="9" style="1" width="11.5714285714286"/>
    <col collapsed="false" hidden="false" max="12" min="11" style="0" width="11.4183673469388"/>
    <col collapsed="false" hidden="false" max="14" min="13" style="0" width="11.5714285714286"/>
    <col collapsed="false" hidden="true" max="21" min="15" style="0" width="0"/>
    <col collapsed="false" hidden="false" max="36" min="22" style="0" width="11.4183673469388"/>
    <col collapsed="false" hidden="true" max="37" min="37" style="0" width="0"/>
    <col collapsed="false" hidden="false" max="42" min="38" style="0" width="11.4183673469388"/>
    <col collapsed="false" hidden="true" max="43" min="43" style="0" width="0"/>
    <col collapsed="false" hidden="false" max="48" min="44" style="0" width="11.4183673469388"/>
    <col collapsed="false" hidden="true" max="49" min="49" style="0" width="0"/>
    <col collapsed="false" hidden="false" max="54" min="50" style="0" width="11.4183673469388"/>
    <col collapsed="false" hidden="true" max="55" min="55" style="0" width="0"/>
    <col collapsed="false" hidden="false" max="60" min="56" style="0" width="11.4183673469388"/>
    <col collapsed="false" hidden="true" max="61" min="61" style="0" width="0"/>
    <col collapsed="false" hidden="false" max="66" min="62" style="0" width="11.4183673469388"/>
    <col collapsed="false" hidden="true" max="67" min="67" style="0" width="0"/>
    <col collapsed="false" hidden="false" max="73" min="68" style="0" width="11.4183673469388"/>
    <col collapsed="false" hidden="true" max="77" min="74" style="0" width="0"/>
    <col collapsed="false" hidden="false" max="79" min="78" style="0" width="11.4183673469388"/>
    <col collapsed="false" hidden="true" max="81" min="80" style="0" width="0"/>
    <col collapsed="false" hidden="false" max="86" min="82" style="0" width="11.4183673469388"/>
    <col collapsed="false" hidden="false" max="88" min="87" style="1" width="11.5714285714286"/>
    <col collapsed="false" hidden="false" max="89" min="89" style="2" width="15.7142857142857"/>
    <col collapsed="false" hidden="false" max="97" min="90" style="0" width="11.4183673469388"/>
    <col collapsed="false" hidden="false" max="98" min="98" style="3" width="11.4183673469388"/>
    <col collapsed="false" hidden="false" max="100" min="99" style="0" width="11.4183673469388"/>
    <col collapsed="false" hidden="false" max="101" min="101" style="3" width="12.4183673469388"/>
    <col collapsed="false" hidden="false" max="112" min="102" style="0" width="11.4183673469388"/>
    <col collapsed="false" hidden="false" max="113" min="113" style="3" width="11.9948979591837"/>
    <col collapsed="false" hidden="false" max="114" min="114" style="0" width="14.8571428571429"/>
    <col collapsed="false" hidden="false" max="121" min="115" style="0" width="11.4183673469388"/>
    <col collapsed="false" hidden="false" max="122" min="122" style="3" width="12.4183673469388"/>
    <col collapsed="false" hidden="false" max="126" min="123" style="0" width="11.4183673469388"/>
    <col collapsed="false" hidden="false" max="128" min="127" style="1" width="11.5714285714286"/>
    <col collapsed="false" hidden="false" max="129" min="129" style="0" width="11.4183673469388"/>
    <col collapsed="false" hidden="false" max="130" min="130" style="3" width="11.4183673469388"/>
    <col collapsed="false" hidden="false" max="132" min="131" style="0" width="11.4183673469388"/>
    <col collapsed="false" hidden="false" max="134" min="133" style="1" width="11.5714285714286"/>
    <col collapsed="false" hidden="false" max="135" min="135" style="0" width="11.4183673469388"/>
    <col collapsed="false" hidden="false" max="136" min="136" style="3" width="11.4183673469388"/>
    <col collapsed="false" hidden="false" max="146" min="137" style="0" width="11.4183673469388"/>
    <col collapsed="false" hidden="false" max="147" min="147" style="3" width="11.4183673469388"/>
    <col collapsed="false" hidden="false" max="155" min="148" style="0" width="11.4183673469388"/>
    <col collapsed="false" hidden="false" max="156" min="156" style="4" width="12.2857142857143"/>
    <col collapsed="false" hidden="false" max="157" min="157" style="4" width="13.4285714285714"/>
    <col collapsed="false" hidden="false" max="1025" min="158" style="0" width="11.4183673469388"/>
  </cols>
  <sheetData>
    <row r="1" s="9" customFormat="true" ht="11.25" hidden="false" customHeight="true" outlineLevel="0" collapsed="false">
      <c r="A1" s="5"/>
      <c r="B1" s="5"/>
      <c r="C1" s="6"/>
      <c r="D1" s="5"/>
      <c r="E1" s="5"/>
      <c r="F1" s="5"/>
      <c r="G1" s="5"/>
      <c r="H1" s="5"/>
      <c r="I1" s="6"/>
      <c r="J1" s="6"/>
      <c r="K1" s="5"/>
      <c r="L1" s="5"/>
      <c r="M1" s="5"/>
      <c r="N1" s="5"/>
      <c r="O1" s="5"/>
      <c r="P1" s="5"/>
      <c r="Q1" s="5"/>
      <c r="R1" s="5"/>
      <c r="S1" s="5"/>
      <c r="T1" s="7"/>
      <c r="U1" s="7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8"/>
      <c r="BW1" s="8"/>
      <c r="BX1" s="8"/>
      <c r="BY1" s="8"/>
      <c r="BZ1" s="5"/>
      <c r="CE1" s="5"/>
      <c r="CF1" s="5"/>
      <c r="CG1" s="5"/>
      <c r="CH1" s="5"/>
      <c r="CI1" s="6"/>
      <c r="CJ1" s="6"/>
      <c r="CK1" s="10"/>
      <c r="CL1" s="5"/>
      <c r="CM1" s="5"/>
      <c r="CN1" s="5"/>
      <c r="CO1" s="5"/>
      <c r="CP1" s="5"/>
      <c r="CQ1" s="5"/>
      <c r="CR1" s="5"/>
      <c r="CS1" s="5"/>
      <c r="CT1" s="11"/>
      <c r="CU1" s="5"/>
      <c r="CV1" s="5"/>
      <c r="CW1" s="12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11"/>
      <c r="DJ1" s="5"/>
      <c r="DK1" s="5"/>
      <c r="DL1" s="5"/>
      <c r="DM1" s="5"/>
      <c r="DN1" s="5"/>
      <c r="DO1" s="5"/>
      <c r="DP1" s="5"/>
      <c r="DQ1" s="5"/>
      <c r="DR1" s="11"/>
      <c r="DS1" s="5"/>
      <c r="DT1" s="5"/>
      <c r="DU1" s="5"/>
      <c r="DV1" s="5"/>
      <c r="DW1" s="6"/>
      <c r="DX1" s="6"/>
      <c r="DY1" s="5"/>
      <c r="DZ1" s="11"/>
      <c r="EA1" s="5"/>
      <c r="EB1" s="5"/>
      <c r="EC1" s="6"/>
      <c r="ED1" s="6"/>
      <c r="EE1" s="5"/>
      <c r="EF1" s="11"/>
      <c r="EG1" s="5"/>
      <c r="EH1" s="5"/>
      <c r="EI1" s="5"/>
      <c r="EJ1" s="5"/>
      <c r="EK1" s="5"/>
      <c r="EL1" s="5"/>
      <c r="EM1" s="5"/>
      <c r="EN1" s="5"/>
      <c r="EO1" s="5"/>
      <c r="EP1" s="5"/>
      <c r="EQ1" s="11"/>
      <c r="ER1" s="5"/>
      <c r="ES1" s="5"/>
      <c r="ET1" s="5"/>
      <c r="EU1" s="5"/>
      <c r="EV1" s="5"/>
      <c r="EW1" s="5"/>
      <c r="EX1" s="5"/>
      <c r="EY1" s="5"/>
      <c r="EZ1" s="13"/>
      <c r="FA1" s="13"/>
      <c r="FB1" s="5"/>
    </row>
    <row r="2" s="18" customFormat="true" ht="8.25" hidden="false" customHeight="true" outlineLevel="0" collapsed="false">
      <c r="A2" s="14"/>
      <c r="B2" s="14"/>
      <c r="C2" s="15"/>
      <c r="D2" s="14"/>
      <c r="E2" s="14"/>
      <c r="F2" s="14"/>
      <c r="G2" s="14"/>
      <c r="H2" s="14"/>
      <c r="I2" s="15"/>
      <c r="J2" s="15"/>
      <c r="K2" s="14"/>
      <c r="L2" s="14"/>
      <c r="M2" s="14"/>
      <c r="N2" s="14"/>
      <c r="O2" s="14"/>
      <c r="P2" s="14"/>
      <c r="Q2" s="14"/>
      <c r="R2" s="14"/>
      <c r="S2" s="14"/>
      <c r="T2" s="16"/>
      <c r="U2" s="16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 t="s">
        <v>0</v>
      </c>
      <c r="BS2" s="14"/>
      <c r="BT2" s="14"/>
      <c r="BU2" s="14"/>
      <c r="BV2" s="17"/>
      <c r="BW2" s="17"/>
      <c r="BX2" s="17"/>
      <c r="BY2" s="17"/>
      <c r="BZ2" s="14"/>
      <c r="CB2" s="14"/>
      <c r="CC2" s="14"/>
      <c r="CD2" s="14"/>
      <c r="CE2" s="14" t="s">
        <v>1</v>
      </c>
      <c r="CF2" s="14"/>
      <c r="CG2" s="14"/>
      <c r="CH2" s="14"/>
      <c r="CI2" s="15"/>
      <c r="CJ2" s="15"/>
      <c r="CK2" s="19"/>
      <c r="CL2" s="14"/>
      <c r="CM2" s="14"/>
      <c r="CN2" s="14"/>
      <c r="CO2" s="14"/>
      <c r="CP2" s="14"/>
      <c r="CQ2" s="14"/>
      <c r="CR2" s="14"/>
      <c r="CS2" s="14"/>
      <c r="CT2" s="20"/>
      <c r="CU2" s="14"/>
      <c r="CV2" s="14"/>
      <c r="CW2" s="21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20"/>
      <c r="DJ2" s="14"/>
      <c r="DK2" s="14"/>
      <c r="DL2" s="14"/>
      <c r="DM2" s="14"/>
      <c r="DN2" s="14"/>
      <c r="DO2" s="14"/>
      <c r="DP2" s="22" t="s">
        <v>2</v>
      </c>
      <c r="DQ2" s="14"/>
      <c r="DR2" s="20"/>
      <c r="DS2" s="14"/>
      <c r="DT2" s="14"/>
      <c r="DU2" s="14"/>
      <c r="DV2" s="14"/>
      <c r="DW2" s="15"/>
      <c r="DX2" s="15"/>
      <c r="DY2" s="14"/>
      <c r="DZ2" s="20"/>
      <c r="EA2" s="14"/>
      <c r="EB2" s="14"/>
      <c r="EC2" s="23"/>
      <c r="ED2" s="23"/>
      <c r="EE2" s="14"/>
      <c r="EF2" s="2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20"/>
      <c r="ER2" s="14"/>
      <c r="ES2" s="14"/>
      <c r="ET2" s="14"/>
      <c r="EU2" s="14"/>
      <c r="EV2" s="14"/>
      <c r="EW2" s="14"/>
      <c r="EX2" s="14"/>
      <c r="EY2" s="14"/>
      <c r="EZ2" s="25"/>
      <c r="FA2" s="25"/>
      <c r="FB2" s="14" t="s">
        <v>3</v>
      </c>
    </row>
    <row r="3" s="56" customFormat="true" ht="54.75" hidden="false" customHeight="true" outlineLevel="0" collapsed="false">
      <c r="A3" s="26" t="s">
        <v>4</v>
      </c>
      <c r="B3" s="27"/>
      <c r="C3" s="28"/>
      <c r="D3" s="27"/>
      <c r="E3" s="27"/>
      <c r="F3" s="27"/>
      <c r="G3" s="29"/>
      <c r="H3" s="26" t="s">
        <v>4</v>
      </c>
      <c r="I3" s="30" t="s">
        <v>5</v>
      </c>
      <c r="J3" s="31"/>
      <c r="K3" s="32" t="s">
        <v>6</v>
      </c>
      <c r="L3" s="33"/>
      <c r="M3" s="33" t="s">
        <v>7</v>
      </c>
      <c r="N3" s="33" t="s">
        <v>8</v>
      </c>
      <c r="O3" s="33" t="s">
        <v>9</v>
      </c>
      <c r="P3" s="33"/>
      <c r="Q3" s="34"/>
      <c r="R3" s="34"/>
      <c r="S3" s="35"/>
      <c r="T3" s="34"/>
      <c r="U3" s="34"/>
      <c r="V3" s="36" t="s">
        <v>4</v>
      </c>
      <c r="W3" s="36" t="s">
        <v>4</v>
      </c>
      <c r="X3" s="37"/>
      <c r="Y3" s="33"/>
      <c r="Z3" s="33"/>
      <c r="AA3" s="33"/>
      <c r="AB3" s="33"/>
      <c r="AC3" s="33"/>
      <c r="AD3" s="33"/>
      <c r="AE3" s="33" t="s">
        <v>10</v>
      </c>
      <c r="AF3" s="38" t="s">
        <v>11</v>
      </c>
      <c r="AG3" s="38"/>
      <c r="AH3" s="38"/>
      <c r="AI3" s="38"/>
      <c r="AJ3" s="38"/>
      <c r="AK3" s="38"/>
      <c r="AL3" s="38" t="s">
        <v>12</v>
      </c>
      <c r="AM3" s="38"/>
      <c r="AN3" s="38"/>
      <c r="AO3" s="38"/>
      <c r="AP3" s="38"/>
      <c r="AQ3" s="38"/>
      <c r="AR3" s="38" t="s">
        <v>13</v>
      </c>
      <c r="AS3" s="38"/>
      <c r="AT3" s="38"/>
      <c r="AU3" s="38"/>
      <c r="AV3" s="38"/>
      <c r="AW3" s="38"/>
      <c r="AX3" s="38" t="s">
        <v>14</v>
      </c>
      <c r="AY3" s="38"/>
      <c r="AZ3" s="38"/>
      <c r="BA3" s="38"/>
      <c r="BB3" s="38"/>
      <c r="BC3" s="38"/>
      <c r="BD3" s="38" t="s">
        <v>15</v>
      </c>
      <c r="BE3" s="38"/>
      <c r="BF3" s="38"/>
      <c r="BG3" s="38"/>
      <c r="BH3" s="38"/>
      <c r="BI3" s="38"/>
      <c r="BJ3" s="38" t="s">
        <v>16</v>
      </c>
      <c r="BK3" s="38"/>
      <c r="BL3" s="38"/>
      <c r="BM3" s="38"/>
      <c r="BN3" s="38"/>
      <c r="BO3" s="38"/>
      <c r="BP3" s="33" t="s">
        <v>10</v>
      </c>
      <c r="BQ3" s="33" t="s">
        <v>10</v>
      </c>
      <c r="BR3" s="39" t="s">
        <v>17</v>
      </c>
      <c r="BS3" s="39"/>
      <c r="BT3" s="39"/>
      <c r="BU3" s="39"/>
      <c r="BV3" s="39" t="s">
        <v>18</v>
      </c>
      <c r="BW3" s="39"/>
      <c r="BX3" s="39"/>
      <c r="BY3" s="39"/>
      <c r="BZ3" s="40" t="s">
        <v>10</v>
      </c>
      <c r="CA3" s="41" t="s">
        <v>19</v>
      </c>
      <c r="CB3" s="41" t="s">
        <v>20</v>
      </c>
      <c r="CC3" s="41" t="s">
        <v>21</v>
      </c>
      <c r="CD3" s="41" t="s">
        <v>22</v>
      </c>
      <c r="CE3" s="34" t="s">
        <v>23</v>
      </c>
      <c r="CF3" s="34" t="s">
        <v>24</v>
      </c>
      <c r="CG3" s="34" t="s">
        <v>25</v>
      </c>
      <c r="CH3" s="34" t="s">
        <v>26</v>
      </c>
      <c r="CI3" s="31"/>
      <c r="CJ3" s="31"/>
      <c r="CK3" s="42" t="s">
        <v>27</v>
      </c>
      <c r="CL3" s="34" t="s">
        <v>28</v>
      </c>
      <c r="CM3" s="43" t="s">
        <v>4</v>
      </c>
      <c r="CN3" s="43" t="s">
        <v>4</v>
      </c>
      <c r="CO3" s="43" t="s">
        <v>4</v>
      </c>
      <c r="CP3" s="43" t="s">
        <v>4</v>
      </c>
      <c r="CQ3" s="44"/>
      <c r="CR3" s="45" t="s">
        <v>29</v>
      </c>
      <c r="CS3" s="34" t="s">
        <v>30</v>
      </c>
      <c r="CT3" s="46"/>
      <c r="CU3" s="47" t="s">
        <v>31</v>
      </c>
      <c r="CV3" s="48" t="s">
        <v>4</v>
      </c>
      <c r="CW3" s="49"/>
      <c r="CX3" s="47" t="s">
        <v>31</v>
      </c>
      <c r="CY3" s="48" t="s">
        <v>4</v>
      </c>
      <c r="CZ3" s="48" t="s">
        <v>4</v>
      </c>
      <c r="DA3" s="48" t="s">
        <v>4</v>
      </c>
      <c r="DB3" s="50" t="s">
        <v>32</v>
      </c>
      <c r="DC3" s="51"/>
      <c r="DD3" s="51"/>
      <c r="DE3" s="51"/>
      <c r="DF3" s="51"/>
      <c r="DG3" s="51"/>
      <c r="DH3" s="34" t="s">
        <v>10</v>
      </c>
      <c r="DI3" s="52"/>
      <c r="DJ3" s="34"/>
      <c r="DK3" s="34" t="s">
        <v>33</v>
      </c>
      <c r="DL3" s="34"/>
      <c r="DM3" s="34" t="s">
        <v>34</v>
      </c>
      <c r="DN3" s="34"/>
      <c r="DO3" s="47" t="s">
        <v>31</v>
      </c>
      <c r="DP3" s="53" t="s">
        <v>10</v>
      </c>
      <c r="DQ3" s="53" t="s">
        <v>10</v>
      </c>
      <c r="DR3" s="46" t="s">
        <v>35</v>
      </c>
      <c r="DS3" s="53" t="s">
        <v>10</v>
      </c>
      <c r="DT3" s="34" t="s">
        <v>35</v>
      </c>
      <c r="DU3" s="53" t="s">
        <v>10</v>
      </c>
      <c r="DV3" s="34" t="s">
        <v>35</v>
      </c>
      <c r="DW3" s="31" t="s">
        <v>36</v>
      </c>
      <c r="DX3" s="31"/>
      <c r="DY3" s="46"/>
      <c r="DZ3" s="46" t="s">
        <v>35</v>
      </c>
      <c r="EA3" s="53" t="s">
        <v>10</v>
      </c>
      <c r="EB3" s="34" t="s">
        <v>35</v>
      </c>
      <c r="EC3" s="31" t="s">
        <v>37</v>
      </c>
      <c r="ED3" s="31"/>
      <c r="EE3" s="34"/>
      <c r="EF3" s="46" t="s">
        <v>35</v>
      </c>
      <c r="EG3" s="53" t="s">
        <v>10</v>
      </c>
      <c r="EH3" s="34" t="s">
        <v>38</v>
      </c>
      <c r="EI3" s="54" t="s">
        <v>4</v>
      </c>
      <c r="EJ3" s="54" t="s">
        <v>4</v>
      </c>
      <c r="EK3" s="54" t="s">
        <v>4</v>
      </c>
      <c r="EL3" s="54" t="s">
        <v>4</v>
      </c>
      <c r="EM3" s="34" t="s">
        <v>39</v>
      </c>
      <c r="EN3" s="46" t="s">
        <v>40</v>
      </c>
      <c r="EO3" s="34" t="s">
        <v>41</v>
      </c>
      <c r="EP3" s="53" t="s">
        <v>10</v>
      </c>
      <c r="EQ3" s="46" t="s">
        <v>35</v>
      </c>
      <c r="ER3" s="53" t="s">
        <v>10</v>
      </c>
      <c r="ES3" s="34" t="s">
        <v>35</v>
      </c>
      <c r="ET3" s="53" t="s">
        <v>10</v>
      </c>
      <c r="EU3" s="34" t="s">
        <v>35</v>
      </c>
      <c r="EV3" s="53" t="s">
        <v>10</v>
      </c>
      <c r="EW3" s="34" t="s">
        <v>35</v>
      </c>
      <c r="EX3" s="53" t="s">
        <v>10</v>
      </c>
      <c r="EY3" s="53" t="s">
        <v>10</v>
      </c>
      <c r="EZ3" s="55" t="s">
        <v>35</v>
      </c>
      <c r="FA3" s="49"/>
      <c r="FB3" s="53" t="s">
        <v>10</v>
      </c>
      <c r="FF3" s="56" t="s">
        <v>42</v>
      </c>
      <c r="FH3" s="56" t="s">
        <v>43</v>
      </c>
      <c r="FI3" s="56" t="s">
        <v>44</v>
      </c>
    </row>
    <row r="4" s="120" customFormat="true" ht="55.5" hidden="false" customHeight="true" outlineLevel="0" collapsed="false">
      <c r="A4" s="57" t="s">
        <v>45</v>
      </c>
      <c r="B4" s="58" t="s">
        <v>46</v>
      </c>
      <c r="C4" s="59" t="s">
        <v>47</v>
      </c>
      <c r="D4" s="60" t="s">
        <v>48</v>
      </c>
      <c r="E4" s="61" t="s">
        <v>49</v>
      </c>
      <c r="F4" s="61" t="s">
        <v>50</v>
      </c>
      <c r="G4" s="61" t="s">
        <v>51</v>
      </c>
      <c r="H4" s="62" t="s">
        <v>52</v>
      </c>
      <c r="I4" s="63" t="s">
        <v>53</v>
      </c>
      <c r="J4" s="64" t="s">
        <v>54</v>
      </c>
      <c r="K4" s="65" t="s">
        <v>55</v>
      </c>
      <c r="L4" s="66" t="s">
        <v>56</v>
      </c>
      <c r="M4" s="67" t="s">
        <v>57</v>
      </c>
      <c r="N4" s="68" t="s">
        <v>58</v>
      </c>
      <c r="O4" s="68" t="s">
        <v>59</v>
      </c>
      <c r="P4" s="68" t="s">
        <v>60</v>
      </c>
      <c r="Q4" s="68" t="s">
        <v>61</v>
      </c>
      <c r="R4" s="69" t="s">
        <v>62</v>
      </c>
      <c r="S4" s="70" t="s">
        <v>63</v>
      </c>
      <c r="T4" s="71" t="s">
        <v>64</v>
      </c>
      <c r="U4" s="72" t="s">
        <v>65</v>
      </c>
      <c r="V4" s="73" t="s">
        <v>66</v>
      </c>
      <c r="W4" s="73" t="s">
        <v>67</v>
      </c>
      <c r="X4" s="74" t="s">
        <v>68</v>
      </c>
      <c r="Y4" s="75" t="s">
        <v>69</v>
      </c>
      <c r="Z4" s="76" t="s">
        <v>70</v>
      </c>
      <c r="AA4" s="74" t="s">
        <v>71</v>
      </c>
      <c r="AB4" s="74" t="s">
        <v>72</v>
      </c>
      <c r="AC4" s="74" t="s">
        <v>73</v>
      </c>
      <c r="AD4" s="74" t="s">
        <v>74</v>
      </c>
      <c r="AE4" s="74" t="s">
        <v>75</v>
      </c>
      <c r="AF4" s="76" t="s">
        <v>76</v>
      </c>
      <c r="AG4" s="74" t="s">
        <v>77</v>
      </c>
      <c r="AH4" s="74" t="s">
        <v>78</v>
      </c>
      <c r="AI4" s="74" t="s">
        <v>79</v>
      </c>
      <c r="AJ4" s="74" t="s">
        <v>80</v>
      </c>
      <c r="AK4" s="75" t="s">
        <v>81</v>
      </c>
      <c r="AL4" s="76" t="s">
        <v>82</v>
      </c>
      <c r="AM4" s="74" t="s">
        <v>83</v>
      </c>
      <c r="AN4" s="74" t="s">
        <v>84</v>
      </c>
      <c r="AO4" s="74" t="s">
        <v>85</v>
      </c>
      <c r="AP4" s="74" t="s">
        <v>86</v>
      </c>
      <c r="AQ4" s="75" t="s">
        <v>87</v>
      </c>
      <c r="AR4" s="76" t="s">
        <v>88</v>
      </c>
      <c r="AS4" s="74" t="s">
        <v>77</v>
      </c>
      <c r="AT4" s="74" t="s">
        <v>89</v>
      </c>
      <c r="AU4" s="74" t="s">
        <v>90</v>
      </c>
      <c r="AV4" s="74" t="s">
        <v>91</v>
      </c>
      <c r="AW4" s="75" t="s">
        <v>92</v>
      </c>
      <c r="AX4" s="76" t="s">
        <v>93</v>
      </c>
      <c r="AY4" s="74" t="s">
        <v>77</v>
      </c>
      <c r="AZ4" s="74" t="s">
        <v>94</v>
      </c>
      <c r="BA4" s="74" t="s">
        <v>95</v>
      </c>
      <c r="BB4" s="74" t="s">
        <v>96</v>
      </c>
      <c r="BC4" s="75" t="s">
        <v>97</v>
      </c>
      <c r="BD4" s="76" t="s">
        <v>98</v>
      </c>
      <c r="BE4" s="74" t="s">
        <v>77</v>
      </c>
      <c r="BF4" s="74" t="s">
        <v>99</v>
      </c>
      <c r="BG4" s="74" t="s">
        <v>100</v>
      </c>
      <c r="BH4" s="74" t="s">
        <v>101</v>
      </c>
      <c r="BI4" s="75" t="s">
        <v>102</v>
      </c>
      <c r="BJ4" s="76" t="s">
        <v>103</v>
      </c>
      <c r="BK4" s="74" t="s">
        <v>77</v>
      </c>
      <c r="BL4" s="74" t="s">
        <v>104</v>
      </c>
      <c r="BM4" s="74" t="s">
        <v>105</v>
      </c>
      <c r="BN4" s="74" t="s">
        <v>106</v>
      </c>
      <c r="BO4" s="75" t="s">
        <v>107</v>
      </c>
      <c r="BP4" s="76" t="s">
        <v>108</v>
      </c>
      <c r="BQ4" s="74" t="s">
        <v>109</v>
      </c>
      <c r="BR4" s="77" t="s">
        <v>110</v>
      </c>
      <c r="BS4" s="78" t="s">
        <v>111</v>
      </c>
      <c r="BT4" s="78" t="s">
        <v>112</v>
      </c>
      <c r="BU4" s="78" t="s">
        <v>113</v>
      </c>
      <c r="BV4" s="79" t="s">
        <v>114</v>
      </c>
      <c r="BW4" s="80" t="s">
        <v>111</v>
      </c>
      <c r="BX4" s="80" t="s">
        <v>112</v>
      </c>
      <c r="BY4" s="80" t="s">
        <v>113</v>
      </c>
      <c r="BZ4" s="81" t="s">
        <v>115</v>
      </c>
      <c r="CA4" s="82" t="s">
        <v>116</v>
      </c>
      <c r="CB4" s="82" t="s">
        <v>117</v>
      </c>
      <c r="CC4" s="82" t="s">
        <v>118</v>
      </c>
      <c r="CD4" s="82" t="s">
        <v>119</v>
      </c>
      <c r="CE4" s="83" t="s">
        <v>120</v>
      </c>
      <c r="CF4" s="84" t="s">
        <v>121</v>
      </c>
      <c r="CG4" s="83" t="s">
        <v>122</v>
      </c>
      <c r="CH4" s="83" t="s">
        <v>123</v>
      </c>
      <c r="CI4" s="85" t="s">
        <v>124</v>
      </c>
      <c r="CJ4" s="85" t="s">
        <v>125</v>
      </c>
      <c r="CK4" s="86" t="s">
        <v>126</v>
      </c>
      <c r="CL4" s="85" t="s">
        <v>127</v>
      </c>
      <c r="CM4" s="87" t="s">
        <v>128</v>
      </c>
      <c r="CN4" s="87" t="s">
        <v>129</v>
      </c>
      <c r="CO4" s="87" t="s">
        <v>130</v>
      </c>
      <c r="CP4" s="88" t="s">
        <v>131</v>
      </c>
      <c r="CQ4" s="89" t="s">
        <v>132</v>
      </c>
      <c r="CR4" s="87" t="s">
        <v>133</v>
      </c>
      <c r="CS4" s="90" t="s">
        <v>134</v>
      </c>
      <c r="CT4" s="91" t="s">
        <v>135</v>
      </c>
      <c r="CU4" s="92" t="s">
        <v>136</v>
      </c>
      <c r="CV4" s="91" t="s">
        <v>137</v>
      </c>
      <c r="CW4" s="93" t="s">
        <v>138</v>
      </c>
      <c r="CX4" s="94" t="s">
        <v>139</v>
      </c>
      <c r="CY4" s="95" t="s">
        <v>140</v>
      </c>
      <c r="CZ4" s="96" t="s">
        <v>141</v>
      </c>
      <c r="DA4" s="96" t="s">
        <v>142</v>
      </c>
      <c r="DB4" s="97" t="s">
        <v>143</v>
      </c>
      <c r="DC4" s="97" t="s">
        <v>144</v>
      </c>
      <c r="DD4" s="97" t="s">
        <v>145</v>
      </c>
      <c r="DE4" s="97" t="s">
        <v>146</v>
      </c>
      <c r="DF4" s="97" t="s">
        <v>147</v>
      </c>
      <c r="DG4" s="97" t="s">
        <v>148</v>
      </c>
      <c r="DH4" s="98" t="s">
        <v>149</v>
      </c>
      <c r="DI4" s="99" t="s">
        <v>150</v>
      </c>
      <c r="DJ4" s="100" t="s">
        <v>151</v>
      </c>
      <c r="DK4" s="101" t="s">
        <v>152</v>
      </c>
      <c r="DL4" s="101" t="s">
        <v>153</v>
      </c>
      <c r="DM4" s="101" t="s">
        <v>154</v>
      </c>
      <c r="DN4" s="101" t="s">
        <v>155</v>
      </c>
      <c r="DO4" s="88" t="s">
        <v>156</v>
      </c>
      <c r="DP4" s="102" t="s">
        <v>157</v>
      </c>
      <c r="DQ4" s="103" t="s">
        <v>158</v>
      </c>
      <c r="DR4" s="104" t="s">
        <v>159</v>
      </c>
      <c r="DS4" s="102" t="s">
        <v>160</v>
      </c>
      <c r="DT4" s="105" t="s">
        <v>161</v>
      </c>
      <c r="DU4" s="102" t="s">
        <v>162</v>
      </c>
      <c r="DV4" s="106" t="s">
        <v>163</v>
      </c>
      <c r="DW4" s="107" t="s">
        <v>164</v>
      </c>
      <c r="DX4" s="107" t="s">
        <v>165</v>
      </c>
      <c r="DY4" s="108" t="s">
        <v>166</v>
      </c>
      <c r="DZ4" s="104" t="s">
        <v>167</v>
      </c>
      <c r="EA4" s="103" t="s">
        <v>168</v>
      </c>
      <c r="EB4" s="106" t="s">
        <v>169</v>
      </c>
      <c r="EC4" s="107" t="s">
        <v>170</v>
      </c>
      <c r="ED4" s="107" t="s">
        <v>171</v>
      </c>
      <c r="EE4" s="109" t="s">
        <v>172</v>
      </c>
      <c r="EF4" s="104" t="s">
        <v>173</v>
      </c>
      <c r="EG4" s="103" t="s">
        <v>174</v>
      </c>
      <c r="EH4" s="110" t="s">
        <v>175</v>
      </c>
      <c r="EI4" s="111" t="s">
        <v>176</v>
      </c>
      <c r="EJ4" s="111" t="s">
        <v>177</v>
      </c>
      <c r="EK4" s="111" t="s">
        <v>178</v>
      </c>
      <c r="EL4" s="106" t="s">
        <v>179</v>
      </c>
      <c r="EM4" s="110" t="s">
        <v>180</v>
      </c>
      <c r="EN4" s="104" t="s">
        <v>181</v>
      </c>
      <c r="EO4" s="112" t="s">
        <v>182</v>
      </c>
      <c r="EP4" s="113" t="s">
        <v>183</v>
      </c>
      <c r="EQ4" s="104" t="s">
        <v>184</v>
      </c>
      <c r="ER4" s="102" t="s">
        <v>185</v>
      </c>
      <c r="ES4" s="106" t="s">
        <v>186</v>
      </c>
      <c r="ET4" s="102" t="s">
        <v>187</v>
      </c>
      <c r="EU4" s="106" t="s">
        <v>188</v>
      </c>
      <c r="EV4" s="113" t="s">
        <v>189</v>
      </c>
      <c r="EW4" s="104" t="s">
        <v>190</v>
      </c>
      <c r="EX4" s="103" t="s">
        <v>191</v>
      </c>
      <c r="EY4" s="103" t="s">
        <v>192</v>
      </c>
      <c r="EZ4" s="114" t="s">
        <v>193</v>
      </c>
      <c r="FA4" s="115" t="s">
        <v>194</v>
      </c>
      <c r="FB4" s="106" t="s">
        <v>195</v>
      </c>
      <c r="FC4" s="116" t="s">
        <v>196</v>
      </c>
      <c r="FD4" s="116" t="s">
        <v>197</v>
      </c>
      <c r="FE4" s="116" t="s">
        <v>198</v>
      </c>
      <c r="FF4" s="117" t="s">
        <v>199</v>
      </c>
      <c r="FG4" s="118" t="s">
        <v>200</v>
      </c>
      <c r="FH4" s="119" t="s">
        <v>201</v>
      </c>
      <c r="FI4" s="119" t="s">
        <v>202</v>
      </c>
    </row>
    <row r="5" customFormat="false" ht="15" hidden="false" customHeight="false" outlineLevel="0" collapsed="false">
      <c r="A5" s="5" t="str">
        <f aca="false">E5&amp;G5&amp;F5</f>
        <v>720112</v>
      </c>
      <c r="B5" s="0" t="s">
        <v>203</v>
      </c>
      <c r="C5" s="1" t="n">
        <v>42408</v>
      </c>
      <c r="E5" s="0" t="n">
        <v>7</v>
      </c>
      <c r="F5" s="0" t="n">
        <v>2</v>
      </c>
      <c r="G5" s="0" t="n">
        <v>2011</v>
      </c>
      <c r="H5" s="0" t="str">
        <f aca="false">"J"&amp;E5&amp;"\"&amp;F5&amp;"\"&amp;G5&amp;"\"&amp;W5</f>
        <v>J7\2\2011\1</v>
      </c>
      <c r="I5" s="0"/>
      <c r="J5" s="1" t="n">
        <v>40546</v>
      </c>
      <c r="K5" s="0" t="n">
        <v>0</v>
      </c>
      <c r="M5" s="1" t="n">
        <v>40546</v>
      </c>
      <c r="N5" s="1" t="n">
        <v>40602</v>
      </c>
      <c r="O5" s="1"/>
      <c r="P5" s="1"/>
      <c r="Q5" s="1"/>
      <c r="T5" s="121"/>
      <c r="U5" s="121"/>
      <c r="V5" s="122" t="n">
        <f aca="false">IF(AND(E5&gt;0,F5&gt;0,G5&gt;0),COUNTIFS($E:$E,E5,$F:$F,F5,$G:$G,G5),"")</f>
        <v>1</v>
      </c>
      <c r="W5" s="122" t="n">
        <f aca="false">IF(V5="","",IF(V5=1,1,IF(AND(E4=E5,F4=F5,G4=G5),W4+1,1)))</f>
        <v>1</v>
      </c>
      <c r="X5" s="0" t="n">
        <v>1</v>
      </c>
      <c r="Y5" s="0" t="n">
        <v>3</v>
      </c>
      <c r="Z5" s="0" t="s">
        <v>204</v>
      </c>
      <c r="AA5" s="0" t="n">
        <v>0</v>
      </c>
      <c r="AB5" s="0" t="s">
        <v>205</v>
      </c>
      <c r="AC5" s="0" t="s">
        <v>206</v>
      </c>
      <c r="AD5" s="0" t="s">
        <v>207</v>
      </c>
      <c r="AE5" s="0" t="n">
        <v>0</v>
      </c>
      <c r="AF5" s="0" t="s">
        <v>208</v>
      </c>
      <c r="AG5" s="0" t="n">
        <v>0</v>
      </c>
      <c r="AH5" s="0" t="s">
        <v>209</v>
      </c>
      <c r="AI5" s="0" t="s">
        <v>210</v>
      </c>
      <c r="AJ5" s="0" t="s">
        <v>211</v>
      </c>
      <c r="AL5" s="0" t="s">
        <v>212</v>
      </c>
      <c r="AM5" s="0" t="n">
        <v>0</v>
      </c>
      <c r="AN5" s="0" t="s">
        <v>209</v>
      </c>
      <c r="AO5" s="0" t="s">
        <v>210</v>
      </c>
      <c r="AP5" s="0" t="s">
        <v>211</v>
      </c>
      <c r="AR5" s="0" t="s">
        <v>213</v>
      </c>
      <c r="AS5" s="0" t="n">
        <v>1</v>
      </c>
      <c r="AT5" s="0" t="s">
        <v>209</v>
      </c>
      <c r="AU5" s="0" t="s">
        <v>210</v>
      </c>
      <c r="AV5" s="0" t="s">
        <v>211</v>
      </c>
      <c r="BP5" s="0" t="n">
        <v>0</v>
      </c>
      <c r="BQ5" s="0" t="n">
        <v>0</v>
      </c>
      <c r="BR5" s="0" t="n">
        <v>1</v>
      </c>
      <c r="BS5" s="0" t="s">
        <v>214</v>
      </c>
      <c r="BT5" s="0" t="s">
        <v>215</v>
      </c>
      <c r="BU5" s="0" t="s">
        <v>216</v>
      </c>
      <c r="BV5" s="123"/>
      <c r="BW5" s="123"/>
      <c r="BX5" s="123"/>
      <c r="BY5" s="123"/>
      <c r="BZ5" s="0" t="n">
        <v>0</v>
      </c>
      <c r="CA5" s="0" t="s">
        <v>216</v>
      </c>
      <c r="CD5" s="0" t="s">
        <v>216</v>
      </c>
      <c r="CE5" s="0" t="n">
        <v>0</v>
      </c>
      <c r="CF5" s="0" t="s">
        <v>217</v>
      </c>
      <c r="CG5" s="0" t="s">
        <v>218</v>
      </c>
      <c r="CI5" s="1" t="n">
        <v>37965</v>
      </c>
      <c r="CJ5" s="1" t="n">
        <v>40492</v>
      </c>
      <c r="CK5" s="124" t="n">
        <v>0.375</v>
      </c>
      <c r="CL5" s="0" t="s">
        <v>219</v>
      </c>
      <c r="CM5" s="0" t="n">
        <f aca="false">IF(OR(CI5="",CJ5=""),"",DAYS360(CI5,CJ5)/360)</f>
        <v>6.91666666666667</v>
      </c>
      <c r="CN5" s="0" t="n">
        <f aca="false">IF(OR(CI5="",CJ5=""),"",DAYS360(CI5,CJ5)/30)</f>
        <v>83</v>
      </c>
      <c r="CO5" s="0" t="n">
        <f aca="false">IF(OR(CI5="",CJ5=""),"",DAYS360(CI5,CJ5)/7)</f>
        <v>355.714285714286</v>
      </c>
      <c r="CP5" s="0" t="n">
        <f aca="false">IF(OR(CI5="",CJ5=""),"",DAYS360(CI5,CJ5))</f>
        <v>2490</v>
      </c>
      <c r="CQ5" s="0" t="s">
        <v>220</v>
      </c>
      <c r="CR5" s="0" t="n">
        <v>1</v>
      </c>
      <c r="CT5" s="0" t="s">
        <v>221</v>
      </c>
      <c r="CU5" s="0" t="s">
        <v>221</v>
      </c>
      <c r="CV5" s="0" t="str">
        <f aca="false">IF(OR(CT5="",CT5="NO ESPECIFICA",CT5="NO MENCIONA"),"",IF(CU5=0,CT5,IF(CU5=1,CT5/30,IF(CU5=2,CT5/15,IF(CU5=3,CT5/7,"")))))</f>
        <v/>
      </c>
      <c r="CW5" s="125" t="n">
        <v>308.65</v>
      </c>
      <c r="CX5" s="0" t="n">
        <v>0</v>
      </c>
      <c r="CY5" s="0" t="n">
        <f aca="false">IF(CW5="","",IF(CX5=0,CW5,IF(CX5=1,CW5/30,IF(CX5=2,CW5/15,IF(CX5=3,CW5/7,CW5)))))</f>
        <v>308.65</v>
      </c>
      <c r="CZ5" s="0" t="n">
        <f aca="false">IF(DI5&gt;0,DI5,IF(CY5&gt;0,CY5,IF(CV5&gt;0,CV5,"")))</f>
        <v>308.65</v>
      </c>
      <c r="DA5" s="0" t="n">
        <f aca="false">IF(DM5=1,CZ5/8,IF(OR(DM5=2,DM5=4),CZ5/7,IF(DM5=3,CZ5/7.5,"")))</f>
        <v>38.58125</v>
      </c>
      <c r="DB5" s="0" t="s">
        <v>216</v>
      </c>
      <c r="DC5" s="0" t="s">
        <v>216</v>
      </c>
      <c r="DD5" s="0" t="s">
        <v>216</v>
      </c>
      <c r="DE5" s="0" t="s">
        <v>216</v>
      </c>
      <c r="DF5" s="0" t="s">
        <v>216</v>
      </c>
      <c r="DG5" s="0" t="s">
        <v>216</v>
      </c>
      <c r="DH5" s="0" t="n">
        <v>0</v>
      </c>
      <c r="DI5" s="126" t="n">
        <v>308.65</v>
      </c>
      <c r="DK5" s="0" t="n">
        <v>0</v>
      </c>
      <c r="DM5" s="0" t="n">
        <v>1</v>
      </c>
      <c r="DN5" s="0" t="n">
        <v>50</v>
      </c>
      <c r="DO5" s="0" t="n">
        <v>3</v>
      </c>
      <c r="DP5" s="0" t="n">
        <v>1</v>
      </c>
      <c r="DQ5" s="0" t="n">
        <v>0</v>
      </c>
      <c r="DR5" s="0"/>
      <c r="DS5" s="0" t="n">
        <v>1</v>
      </c>
      <c r="DU5" s="0" t="n">
        <v>0</v>
      </c>
      <c r="DW5" s="1" t="n">
        <v>40157</v>
      </c>
      <c r="DX5" s="1" t="n">
        <v>40492</v>
      </c>
      <c r="DZ5" s="0"/>
      <c r="EA5" s="0" t="n">
        <v>1</v>
      </c>
      <c r="EC5" s="1" t="n">
        <v>40179</v>
      </c>
      <c r="ED5" s="1" t="n">
        <v>40492</v>
      </c>
      <c r="EF5" s="0"/>
      <c r="EG5" s="0" t="n">
        <v>0</v>
      </c>
      <c r="EI5" s="0" t="n">
        <f aca="false">IF(AND(DM5=1,DN5&lt;=48),"",IF(AND(DM5=2,DN5&lt;=42),"",IF(AND(DM5=3,DN5&lt;=45),"",EH5)))</f>
        <v>0</v>
      </c>
      <c r="EJ5" s="0" t="n">
        <f aca="false">IF(EI5="","",IF(EI5&lt;9,EI5,9))</f>
        <v>0</v>
      </c>
      <c r="EK5" s="0" t="n">
        <f aca="false">IF(EI5="","",IF(EI5&gt;9,EI5-EJ5,0))</f>
        <v>0</v>
      </c>
      <c r="EL5" s="0" t="n">
        <f aca="false">IF(EI5="","",EJ5*DA5*2+EK5*DA5*3)</f>
        <v>0</v>
      </c>
      <c r="EP5" s="0" t="n">
        <v>0</v>
      </c>
      <c r="EQ5" s="0"/>
      <c r="ER5" s="0" t="n">
        <v>0</v>
      </c>
      <c r="ET5" s="0" t="n">
        <v>0</v>
      </c>
      <c r="EV5" s="0" t="n">
        <v>0</v>
      </c>
      <c r="EX5" s="0" t="n">
        <v>1</v>
      </c>
      <c r="EY5" s="0" t="n">
        <v>0</v>
      </c>
      <c r="EZ5" s="0"/>
      <c r="FA5" s="0"/>
      <c r="FB5" s="0" t="n">
        <v>0</v>
      </c>
      <c r="FF5" s="120" t="n">
        <f aca="false">(CJ5-CI5+1)/365</f>
        <v>6.92602739726027</v>
      </c>
      <c r="FG5" s="0" t="str">
        <f aca="false">CONCATENATE(F5,"/",G5)</f>
        <v>2/2011</v>
      </c>
      <c r="FH5" s="0" t="n">
        <v>0</v>
      </c>
      <c r="FI5" s="0" t="n">
        <v>0</v>
      </c>
    </row>
    <row r="6" customFormat="false" ht="15" hidden="false" customHeight="false" outlineLevel="0" collapsed="false">
      <c r="A6" s="5" t="str">
        <f aca="false">E6&amp;G6&amp;F6</f>
        <v>7201110</v>
      </c>
      <c r="B6" s="0" t="s">
        <v>203</v>
      </c>
      <c r="C6" s="1" t="n">
        <v>42408</v>
      </c>
      <c r="E6" s="0" t="n">
        <v>7</v>
      </c>
      <c r="F6" s="0" t="n">
        <v>10</v>
      </c>
      <c r="G6" s="0" t="n">
        <v>2011</v>
      </c>
      <c r="H6" s="0" t="str">
        <f aca="false">"J"&amp;E6&amp;"\"&amp;F6&amp;"\"&amp;G6&amp;"\"&amp;W6</f>
        <v>J7\10\2011\1</v>
      </c>
      <c r="I6" s="0"/>
      <c r="J6" s="1" t="n">
        <v>40546</v>
      </c>
      <c r="K6" s="0" t="n">
        <v>1</v>
      </c>
      <c r="L6" s="0" t="s">
        <v>222</v>
      </c>
      <c r="M6" s="1" t="n">
        <v>40546</v>
      </c>
      <c r="N6" s="1" t="n">
        <v>40598</v>
      </c>
      <c r="O6" s="1"/>
      <c r="P6" s="1"/>
      <c r="Q6" s="1"/>
      <c r="T6" s="121"/>
      <c r="U6" s="121"/>
      <c r="V6" s="122" t="n">
        <f aca="false">IF(AND(E6&gt;0,F6&gt;0,G6&gt;0),COUNTIFS($E:$E,E6,$F:$F,F6,$G:$G,G6),"")</f>
        <v>1</v>
      </c>
      <c r="W6" s="122" t="n">
        <f aca="false">IF(V6="","",IF(V6=1,1,IF(AND(E5=E6,F5=F6,G5=G6),W5+1,1)))</f>
        <v>1</v>
      </c>
      <c r="X6" s="0" t="n">
        <v>1</v>
      </c>
      <c r="Y6" s="0" t="n">
        <v>8</v>
      </c>
      <c r="Z6" s="0" t="s">
        <v>223</v>
      </c>
      <c r="AA6" s="0" t="n">
        <v>0</v>
      </c>
      <c r="AB6" s="0" t="s">
        <v>224</v>
      </c>
      <c r="AC6" s="0" t="s">
        <v>225</v>
      </c>
      <c r="AD6" s="0" t="s">
        <v>207</v>
      </c>
      <c r="AE6" s="0" t="n">
        <v>0</v>
      </c>
      <c r="AF6" s="0" t="s">
        <v>226</v>
      </c>
      <c r="AG6" s="0" t="n">
        <v>0</v>
      </c>
      <c r="AH6" s="0" t="s">
        <v>227</v>
      </c>
      <c r="AI6" s="0" t="s">
        <v>228</v>
      </c>
      <c r="AJ6" s="0" t="s">
        <v>229</v>
      </c>
      <c r="AL6" s="0" t="s">
        <v>230</v>
      </c>
      <c r="AM6" s="0" t="n">
        <v>0</v>
      </c>
      <c r="AN6" s="0" t="s">
        <v>227</v>
      </c>
      <c r="AO6" s="0" t="s">
        <v>228</v>
      </c>
      <c r="AP6" s="0" t="s">
        <v>229</v>
      </c>
      <c r="AR6" s="0" t="s">
        <v>231</v>
      </c>
      <c r="AS6" s="0" t="n">
        <v>1</v>
      </c>
      <c r="AT6" s="0" t="s">
        <v>227</v>
      </c>
      <c r="AU6" s="0" t="s">
        <v>228</v>
      </c>
      <c r="AV6" s="0" t="s">
        <v>229</v>
      </c>
      <c r="AX6" s="0" t="s">
        <v>232</v>
      </c>
      <c r="AY6" s="0" t="n">
        <v>1</v>
      </c>
      <c r="AZ6" s="0" t="s">
        <v>227</v>
      </c>
      <c r="BA6" s="0" t="s">
        <v>228</v>
      </c>
      <c r="BB6" s="0" t="s">
        <v>229</v>
      </c>
      <c r="BD6" s="0" t="s">
        <v>213</v>
      </c>
      <c r="BE6" s="0" t="n">
        <v>1</v>
      </c>
      <c r="BF6" s="0" t="s">
        <v>227</v>
      </c>
      <c r="BG6" s="0" t="s">
        <v>228</v>
      </c>
      <c r="BH6" s="0" t="s">
        <v>229</v>
      </c>
      <c r="BJ6" s="0" t="s">
        <v>233</v>
      </c>
      <c r="BK6" s="0" t="n">
        <v>0</v>
      </c>
      <c r="BL6" s="0" t="s">
        <v>234</v>
      </c>
      <c r="BM6" s="0" t="s">
        <v>235</v>
      </c>
      <c r="BN6" s="0" t="s">
        <v>216</v>
      </c>
      <c r="BP6" s="0" t="n">
        <v>0</v>
      </c>
      <c r="BQ6" s="0" t="n">
        <v>0</v>
      </c>
      <c r="BR6" s="0" t="n">
        <v>1</v>
      </c>
      <c r="BS6" s="0" t="s">
        <v>236</v>
      </c>
      <c r="BT6" s="0" t="s">
        <v>237</v>
      </c>
      <c r="BU6" s="0" t="s">
        <v>216</v>
      </c>
      <c r="BV6" s="123"/>
      <c r="BW6" s="123"/>
      <c r="BX6" s="123"/>
      <c r="BY6" s="123"/>
      <c r="BZ6" s="0" t="n">
        <v>0</v>
      </c>
      <c r="CA6" s="0" t="s">
        <v>216</v>
      </c>
      <c r="CD6" s="0" t="s">
        <v>216</v>
      </c>
      <c r="CE6" s="0" t="n">
        <v>0</v>
      </c>
      <c r="CF6" s="0" t="s">
        <v>238</v>
      </c>
      <c r="CG6" s="0" t="s">
        <v>218</v>
      </c>
      <c r="CI6" s="1" t="n">
        <v>39608</v>
      </c>
      <c r="CJ6" s="1" t="n">
        <v>40473</v>
      </c>
      <c r="CK6" s="124" t="n">
        <v>0.333333333333333</v>
      </c>
      <c r="CL6" s="0" t="s">
        <v>239</v>
      </c>
      <c r="CM6" s="0" t="n">
        <f aca="false">IF(OR(CI6="",CJ6=""),"",DAYS360(CI6,CJ6)/360)</f>
        <v>2.36944444444444</v>
      </c>
      <c r="CN6" s="0" t="n">
        <f aca="false">IF(OR(CI6="",CJ6=""),"",DAYS360(CI6,CJ6)/30)</f>
        <v>28.4333333333333</v>
      </c>
      <c r="CO6" s="0" t="n">
        <f aca="false">IF(OR(CI6="",CJ6=""),"",DAYS360(CI6,CJ6)/7)</f>
        <v>121.857142857143</v>
      </c>
      <c r="CP6" s="0" t="n">
        <f aca="false">IF(OR(CI6="",CJ6=""),"",DAYS360(CI6,CJ6))</f>
        <v>853</v>
      </c>
      <c r="CQ6" s="0" t="s">
        <v>240</v>
      </c>
      <c r="CR6" s="0" t="n">
        <v>1</v>
      </c>
      <c r="CT6" s="0" t="s">
        <v>221</v>
      </c>
      <c r="CU6" s="0" t="s">
        <v>221</v>
      </c>
      <c r="CV6" s="0" t="str">
        <f aca="false">IF(OR(CT6="",CT6="NO ESPECIFICA",CT6="NO MENCIONA"),"",IF(CU6=0,CT6,IF(CU6=1,CT6/30,IF(CU6=2,CT6/15,IF(CU6=3,CT6/7,"")))))</f>
        <v/>
      </c>
      <c r="CW6" s="125" t="n">
        <v>8000</v>
      </c>
      <c r="CX6" s="0" t="n">
        <v>1</v>
      </c>
      <c r="CY6" s="0" t="n">
        <f aca="false">IF(CW6="","",IF(CX6=0,CW6,IF(CX6=1,CW6/30,IF(CX6=2,CW6/15,IF(CX6=3,CW6/7,CW6)))))</f>
        <v>266.666666666667</v>
      </c>
      <c r="CZ6" s="0" t="n">
        <f aca="false">IF(DI6&gt;0,DI6,IF(CY6&gt;0,CY6,IF(CV6&gt;0,CV6,"")))</f>
        <v>266.666666666667</v>
      </c>
      <c r="DA6" s="0" t="n">
        <f aca="false">IF(DM6=1,CZ6/8,IF(OR(DM6=2,DM6=4),CZ6/7,IF(DM6=3,CZ6/7.5,"")))</f>
        <v>33.3333333333333</v>
      </c>
      <c r="DB6" s="0" t="s">
        <v>216</v>
      </c>
      <c r="DC6" s="0" t="s">
        <v>216</v>
      </c>
      <c r="DD6" s="0" t="s">
        <v>216</v>
      </c>
      <c r="DE6" s="0" t="s">
        <v>216</v>
      </c>
      <c r="DF6" s="0" t="s">
        <v>216</v>
      </c>
      <c r="DG6" s="0" t="s">
        <v>216</v>
      </c>
      <c r="DH6" s="0" t="n">
        <v>0</v>
      </c>
      <c r="DI6" s="126" t="n">
        <v>266.666666666667</v>
      </c>
      <c r="DK6" s="0" t="n">
        <v>0</v>
      </c>
      <c r="DM6" s="0" t="n">
        <v>1</v>
      </c>
      <c r="DN6" s="0" t="n">
        <v>57</v>
      </c>
      <c r="DO6" s="0" t="n">
        <v>3</v>
      </c>
      <c r="DP6" s="0" t="n">
        <v>0</v>
      </c>
      <c r="DQ6" s="0" t="n">
        <v>1</v>
      </c>
      <c r="DR6" s="0"/>
      <c r="DS6" s="0" t="n">
        <v>1</v>
      </c>
      <c r="DU6" s="0" t="n">
        <v>1</v>
      </c>
      <c r="DW6" s="1" t="n">
        <v>39973</v>
      </c>
      <c r="DX6" s="1" t="n">
        <v>40473</v>
      </c>
      <c r="DZ6" s="0"/>
      <c r="EA6" s="0" t="n">
        <v>1</v>
      </c>
      <c r="EC6" s="1" t="n">
        <v>39814</v>
      </c>
      <c r="ED6" s="1" t="n">
        <v>40473</v>
      </c>
      <c r="EF6" s="0"/>
      <c r="EG6" s="0" t="n">
        <v>1</v>
      </c>
      <c r="EH6" s="0" t="n">
        <v>13</v>
      </c>
      <c r="EI6" s="0" t="n">
        <f aca="false">IF(AND(DM6=1,DN6&lt;=48),"",IF(AND(DM6=2,DN6&lt;=42),"",IF(AND(DM6=3,DN6&lt;=45),"",EH6)))</f>
        <v>13</v>
      </c>
      <c r="EJ6" s="0" t="n">
        <f aca="false">IF(EI6="","",IF(EI6&lt;9,EI6,9))</f>
        <v>9</v>
      </c>
      <c r="EK6" s="0" t="n">
        <f aca="false">IF(EI6="","",IF(EI6&gt;9,EI6-EJ6,0))</f>
        <v>4</v>
      </c>
      <c r="EL6" s="0" t="n">
        <f aca="false">IF(EI6="","",EJ6*DA6*2+EK6*DA6*3)</f>
        <v>1000</v>
      </c>
      <c r="EP6" s="0" t="n">
        <v>0</v>
      </c>
      <c r="EQ6" s="0"/>
      <c r="ER6" s="0" t="n">
        <v>0</v>
      </c>
      <c r="ET6" s="0" t="n">
        <v>0</v>
      </c>
      <c r="EV6" s="0" t="n">
        <v>0</v>
      </c>
      <c r="EX6" s="0" t="n">
        <v>0</v>
      </c>
      <c r="EY6" s="0" t="n">
        <v>1</v>
      </c>
      <c r="EZ6" s="0"/>
      <c r="FA6" s="0"/>
      <c r="FB6" s="0" t="n">
        <v>0</v>
      </c>
      <c r="FF6" s="120" t="n">
        <f aca="false">(CJ6-CI6+1)/365</f>
        <v>2.37260273972603</v>
      </c>
      <c r="FG6" s="0" t="str">
        <f aca="false">CONCATENATE(F6,"/",G6)</f>
        <v>10/2011</v>
      </c>
      <c r="FH6" s="0" t="n">
        <v>0</v>
      </c>
      <c r="FI6" s="0" t="n">
        <v>0</v>
      </c>
    </row>
    <row r="7" customFormat="false" ht="15" hidden="false" customHeight="false" outlineLevel="0" collapsed="false">
      <c r="A7" s="5" t="str">
        <f aca="false">E7&amp;G7&amp;F7</f>
        <v>7201113</v>
      </c>
      <c r="B7" s="0" t="s">
        <v>203</v>
      </c>
      <c r="C7" s="1" t="n">
        <v>42405</v>
      </c>
      <c r="D7" s="0" t="s">
        <v>241</v>
      </c>
      <c r="E7" s="0" t="n">
        <v>7</v>
      </c>
      <c r="F7" s="0" t="n">
        <v>13</v>
      </c>
      <c r="G7" s="0" t="n">
        <v>2011</v>
      </c>
      <c r="H7" s="0" t="str">
        <f aca="false">"J"&amp;E7&amp;"\"&amp;F7&amp;"\"&amp;G7&amp;"\"&amp;W7</f>
        <v>J7\13\2011\1</v>
      </c>
      <c r="I7" s="0"/>
      <c r="J7" s="1" t="n">
        <v>40546</v>
      </c>
      <c r="K7" s="0" t="n">
        <v>0</v>
      </c>
      <c r="M7" s="1" t="n">
        <v>40546</v>
      </c>
      <c r="N7" s="1" t="n">
        <v>40598</v>
      </c>
      <c r="O7" s="1"/>
      <c r="P7" s="1"/>
      <c r="Q7" s="1"/>
      <c r="T7" s="121"/>
      <c r="U7" s="121"/>
      <c r="V7" s="122" t="n">
        <f aca="false">IF(AND(E7&gt;0,F7&gt;0,G7&gt;0),COUNTIFS($E:$E,E7,$F:$F,F7,$G:$G,G7),"")</f>
        <v>1</v>
      </c>
      <c r="W7" s="122" t="n">
        <f aca="false">IF(V7="","",IF(V7=1,1,IF(AND(E6=E7,F6=F7,G6=G7),W6+1,1)))</f>
        <v>1</v>
      </c>
      <c r="X7" s="0" t="n">
        <v>1</v>
      </c>
      <c r="Y7" s="0" t="n">
        <v>3</v>
      </c>
      <c r="Z7" s="0" t="s">
        <v>242</v>
      </c>
      <c r="AA7" s="0" t="n">
        <v>0</v>
      </c>
      <c r="AB7" s="0" t="s">
        <v>243</v>
      </c>
      <c r="AC7" s="0" t="s">
        <v>244</v>
      </c>
      <c r="AD7" s="0" t="s">
        <v>229</v>
      </c>
      <c r="AE7" s="0" t="n">
        <v>0</v>
      </c>
      <c r="AF7" s="0" t="s">
        <v>245</v>
      </c>
      <c r="AG7" s="0" t="n">
        <v>1</v>
      </c>
      <c r="AH7" s="0" t="s">
        <v>246</v>
      </c>
      <c r="AI7" s="0" t="s">
        <v>247</v>
      </c>
      <c r="AJ7" s="0" t="s">
        <v>248</v>
      </c>
      <c r="AL7" s="0" t="s">
        <v>213</v>
      </c>
      <c r="AM7" s="0" t="n">
        <v>1</v>
      </c>
      <c r="AN7" s="0" t="s">
        <v>246</v>
      </c>
      <c r="AO7" s="0" t="s">
        <v>247</v>
      </c>
      <c r="AP7" s="0" t="s">
        <v>248</v>
      </c>
      <c r="AR7" s="0" t="s">
        <v>249</v>
      </c>
      <c r="AS7" s="0" t="n">
        <v>0</v>
      </c>
      <c r="AT7" s="0" t="s">
        <v>250</v>
      </c>
      <c r="AU7" s="0" t="s">
        <v>251</v>
      </c>
      <c r="AV7" s="0" t="s">
        <v>229</v>
      </c>
      <c r="BP7" s="0" t="n">
        <v>0</v>
      </c>
      <c r="BQ7" s="0" t="n">
        <v>0</v>
      </c>
      <c r="BR7" s="0" t="n">
        <v>1</v>
      </c>
      <c r="BS7" s="0" t="s">
        <v>252</v>
      </c>
      <c r="BT7" s="0" t="s">
        <v>253</v>
      </c>
      <c r="BU7" s="0" t="s">
        <v>254</v>
      </c>
      <c r="BV7" s="123"/>
      <c r="BW7" s="123"/>
      <c r="BX7" s="123"/>
      <c r="BY7" s="123"/>
      <c r="BZ7" s="0" t="n">
        <v>0</v>
      </c>
      <c r="CA7" s="0" t="s">
        <v>255</v>
      </c>
      <c r="CD7" s="0" t="s">
        <v>256</v>
      </c>
      <c r="CE7" s="0" t="n">
        <v>0</v>
      </c>
      <c r="CF7" s="0" t="s">
        <v>257</v>
      </c>
      <c r="CG7" s="0" t="s">
        <v>218</v>
      </c>
      <c r="CI7" s="1" t="n">
        <v>40179</v>
      </c>
      <c r="CJ7" s="1" t="n">
        <v>40472</v>
      </c>
      <c r="CK7" s="124" t="n">
        <v>0.333333333333333</v>
      </c>
      <c r="CL7" s="0" t="s">
        <v>245</v>
      </c>
      <c r="CM7" s="0" t="n">
        <f aca="false">IF(OR(CI7="",CJ7=""),"",DAYS360(CI7,CJ7)/360)</f>
        <v>0.805555555555556</v>
      </c>
      <c r="CN7" s="0" t="n">
        <f aca="false">IF(OR(CI7="",CJ7=""),"",DAYS360(CI7,CJ7)/30)</f>
        <v>9.66666666666667</v>
      </c>
      <c r="CO7" s="0" t="n">
        <f aca="false">IF(OR(CI7="",CJ7=""),"",DAYS360(CI7,CJ7)/7)</f>
        <v>41.4285714285714</v>
      </c>
      <c r="CP7" s="0" t="n">
        <f aca="false">IF(OR(CI7="",CJ7=""),"",DAYS360(CI7,CJ7))</f>
        <v>290</v>
      </c>
      <c r="CQ7" s="0" t="s">
        <v>220</v>
      </c>
      <c r="CR7" s="0" t="n">
        <v>1</v>
      </c>
      <c r="CT7" s="0" t="n">
        <v>3750</v>
      </c>
      <c r="CU7" s="0" t="n">
        <v>2</v>
      </c>
      <c r="CV7" s="0" t="n">
        <f aca="false">IF(OR(CT7="",CT7="NO ESPECIFICA",CT7="NO MENCIONA"),"",IF(CU7=0,CT7,IF(CU7=1,CT7/30,IF(CU7=2,CT7/15,IF(CU7=3,CT7/7,"")))))</f>
        <v>250</v>
      </c>
      <c r="CW7" s="125" t="n">
        <v>9004.68</v>
      </c>
      <c r="CX7" s="0" t="n">
        <v>2</v>
      </c>
      <c r="CY7" s="0" t="n">
        <f aca="false">IF(CW7="","",IF(CX7=0,CW7,IF(CX7=1,CW7/30,IF(CX7=2,CW7/15,IF(CX7=3,CW7/7,CW7)))))</f>
        <v>600.312</v>
      </c>
      <c r="CZ7" s="0" t="n">
        <f aca="false">IF(DI7&gt;0,DI7,IF(CY7&gt;0,CY7,IF(CV7&gt;0,CV7,"")))</f>
        <v>600.31</v>
      </c>
      <c r="DA7" s="0" t="n">
        <f aca="false">IF(DM7=1,CZ7/8,IF(OR(DM7=2,DM7=4),CZ7/7,IF(DM7=3,CZ7/7.5,"")))</f>
        <v>80.0413333333333</v>
      </c>
      <c r="DB7" s="0" t="s">
        <v>258</v>
      </c>
      <c r="DC7" s="0" t="s">
        <v>259</v>
      </c>
      <c r="DD7" s="0" t="s">
        <v>260</v>
      </c>
      <c r="DE7" s="0" t="s">
        <v>261</v>
      </c>
      <c r="DF7" s="0" t="s">
        <v>262</v>
      </c>
      <c r="DG7" s="0" t="s">
        <v>263</v>
      </c>
      <c r="DH7" s="0" t="n">
        <v>0</v>
      </c>
      <c r="DI7" s="126" t="n">
        <v>600.31</v>
      </c>
      <c r="DK7" s="0" t="n">
        <v>0</v>
      </c>
      <c r="DM7" s="0" t="n">
        <v>3</v>
      </c>
      <c r="DN7" s="0" t="n">
        <v>15</v>
      </c>
      <c r="DO7" s="0" t="n">
        <v>3</v>
      </c>
      <c r="DP7" s="0" t="n">
        <v>1</v>
      </c>
      <c r="DQ7" s="0" t="n">
        <v>1</v>
      </c>
      <c r="DR7" s="0"/>
      <c r="DS7" s="0" t="n">
        <v>1</v>
      </c>
      <c r="DU7" s="0" t="n">
        <v>1</v>
      </c>
      <c r="DW7" s="1" t="n">
        <v>40179</v>
      </c>
      <c r="DX7" s="1" t="n">
        <v>40472</v>
      </c>
      <c r="DZ7" s="0"/>
      <c r="EA7" s="0" t="n">
        <v>1</v>
      </c>
      <c r="EC7" s="1" t="n">
        <v>40179</v>
      </c>
      <c r="ED7" s="1" t="n">
        <v>40472</v>
      </c>
      <c r="EF7" s="0"/>
      <c r="EG7" s="0" t="n">
        <v>0</v>
      </c>
      <c r="EI7" s="0" t="str">
        <f aca="false">IF(AND(DM7=1,DN7&lt;=48),"",IF(AND(DM7=2,DN7&lt;=42),"",IF(AND(DM7=3,DN7&lt;=45),"",EH7)))</f>
        <v/>
      </c>
      <c r="EJ7" s="0" t="str">
        <f aca="false">IF(EI7="","",IF(EI7&lt;9,EI7,9))</f>
        <v/>
      </c>
      <c r="EK7" s="0" t="str">
        <f aca="false">IF(EI7="","",IF(EI7&gt;9,EI7-EJ7,0))</f>
        <v/>
      </c>
      <c r="EL7" s="0" t="str">
        <f aca="false">IF(EI7="","",EJ7*DA7*2+EK7*DA7*3)</f>
        <v/>
      </c>
      <c r="EP7" s="0" t="n">
        <v>0</v>
      </c>
      <c r="EQ7" s="0"/>
      <c r="ER7" s="0" t="n">
        <v>1</v>
      </c>
      <c r="ET7" s="0" t="n">
        <v>0</v>
      </c>
      <c r="EV7" s="0" t="n">
        <v>1</v>
      </c>
      <c r="EX7" s="0" t="n">
        <v>0</v>
      </c>
      <c r="EY7" s="0" t="n">
        <v>0</v>
      </c>
      <c r="EZ7" s="0"/>
      <c r="FA7" s="0"/>
      <c r="FB7" s="0" t="n">
        <v>1</v>
      </c>
      <c r="FF7" s="120" t="n">
        <f aca="false">(CJ7-CI7+1)/365</f>
        <v>0.805479452054795</v>
      </c>
      <c r="FG7" s="0" t="str">
        <f aca="false">CONCATENATE(F7,"/",G7)</f>
        <v>13/2011</v>
      </c>
      <c r="FH7" s="0" t="n">
        <v>0</v>
      </c>
      <c r="FI7" s="0" t="n">
        <v>0</v>
      </c>
    </row>
    <row r="8" customFormat="false" ht="15" hidden="false" customHeight="false" outlineLevel="0" collapsed="false">
      <c r="A8" s="5" t="str">
        <f aca="false">E8&amp;G8&amp;F8</f>
        <v>7201116</v>
      </c>
      <c r="B8" s="0" t="s">
        <v>203</v>
      </c>
      <c r="C8" s="1" t="n">
        <v>42408</v>
      </c>
      <c r="E8" s="0" t="n">
        <v>7</v>
      </c>
      <c r="F8" s="0" t="n">
        <v>16</v>
      </c>
      <c r="G8" s="0" t="n">
        <v>2011</v>
      </c>
      <c r="H8" s="0" t="str">
        <f aca="false">"J"&amp;E8&amp;"\"&amp;F8&amp;"\"&amp;G8&amp;"\"&amp;W8</f>
        <v>J7\16\2011\1</v>
      </c>
      <c r="I8" s="0"/>
      <c r="J8" s="1" t="n">
        <v>40546</v>
      </c>
      <c r="K8" s="0" t="n">
        <v>0</v>
      </c>
      <c r="M8" s="1" t="n">
        <v>40546</v>
      </c>
      <c r="N8" s="1" t="n">
        <v>40598</v>
      </c>
      <c r="O8" s="1"/>
      <c r="P8" s="1"/>
      <c r="Q8" s="1"/>
      <c r="T8" s="121"/>
      <c r="U8" s="121"/>
      <c r="V8" s="122" t="n">
        <f aca="false">IF(AND(E8&gt;0,F8&gt;0,G8&gt;0),COUNTIFS($E:$E,E8,$F:$F,F8,$G:$G,G8),"")</f>
        <v>1</v>
      </c>
      <c r="W8" s="122" t="n">
        <f aca="false">IF(V8="","",IF(V8=1,1,IF(AND(E7=E8,F7=F8,G7=G8),W7+1,1)))</f>
        <v>1</v>
      </c>
      <c r="X8" s="0" t="n">
        <v>1</v>
      </c>
      <c r="Y8" s="0" t="n">
        <v>3</v>
      </c>
      <c r="Z8" s="0" t="s">
        <v>264</v>
      </c>
      <c r="AA8" s="0" t="n">
        <v>0</v>
      </c>
      <c r="AB8" s="0" t="s">
        <v>243</v>
      </c>
      <c r="AC8" s="0" t="s">
        <v>244</v>
      </c>
      <c r="AD8" s="0" t="s">
        <v>229</v>
      </c>
      <c r="AE8" s="0" t="n">
        <v>0</v>
      </c>
      <c r="AF8" s="0" t="s">
        <v>265</v>
      </c>
      <c r="AG8" s="0" t="n">
        <v>2</v>
      </c>
      <c r="AH8" s="0" t="s">
        <v>266</v>
      </c>
      <c r="AI8" s="0" t="s">
        <v>267</v>
      </c>
      <c r="AJ8" s="0" t="s">
        <v>268</v>
      </c>
      <c r="AL8" s="0" t="s">
        <v>213</v>
      </c>
      <c r="AM8" s="0" t="n">
        <v>1</v>
      </c>
      <c r="AN8" s="0" t="s">
        <v>266</v>
      </c>
      <c r="AO8" s="0" t="s">
        <v>267</v>
      </c>
      <c r="AP8" s="0" t="s">
        <v>268</v>
      </c>
      <c r="AR8" s="0" t="s">
        <v>249</v>
      </c>
      <c r="AS8" s="0" t="n">
        <v>0</v>
      </c>
      <c r="AT8" s="0" t="s">
        <v>250</v>
      </c>
      <c r="AU8" s="0" t="s">
        <v>251</v>
      </c>
      <c r="AV8" s="0" t="s">
        <v>229</v>
      </c>
      <c r="BP8" s="0" t="n">
        <v>0</v>
      </c>
      <c r="BQ8" s="0" t="n">
        <v>0</v>
      </c>
      <c r="BR8" s="0" t="n">
        <v>1</v>
      </c>
      <c r="BS8" s="0" t="s">
        <v>252</v>
      </c>
      <c r="BT8" s="0" t="s">
        <v>253</v>
      </c>
      <c r="BU8" s="0" t="s">
        <v>254</v>
      </c>
      <c r="BV8" s="123"/>
      <c r="BW8" s="123"/>
      <c r="BX8" s="123"/>
      <c r="BY8" s="123"/>
      <c r="BZ8" s="0" t="n">
        <v>0</v>
      </c>
      <c r="CA8" s="0" t="s">
        <v>255</v>
      </c>
      <c r="CD8" s="0" t="s">
        <v>256</v>
      </c>
      <c r="CE8" s="0" t="n">
        <v>0</v>
      </c>
      <c r="CF8" s="0" t="s">
        <v>269</v>
      </c>
      <c r="CG8" s="0" t="s">
        <v>270</v>
      </c>
      <c r="CH8" s="0" t="n">
        <v>1</v>
      </c>
      <c r="CI8" s="1" t="n">
        <v>35834</v>
      </c>
      <c r="CJ8" s="1" t="n">
        <v>40473</v>
      </c>
      <c r="CK8" s="124" t="n">
        <v>0.833333333333333</v>
      </c>
      <c r="CL8" s="0" t="s">
        <v>271</v>
      </c>
      <c r="CM8" s="0" t="n">
        <f aca="false">IF(OR(CI8="",CJ8=""),"",DAYS360(CI8,CJ8)/360)</f>
        <v>12.7055555555556</v>
      </c>
      <c r="CN8" s="0" t="n">
        <f aca="false">IF(OR(CI8="",CJ8=""),"",DAYS360(CI8,CJ8)/30)</f>
        <v>152.466666666667</v>
      </c>
      <c r="CO8" s="0" t="n">
        <f aca="false">IF(OR(CI8="",CJ8=""),"",DAYS360(CI8,CJ8)/7)</f>
        <v>653.428571428572</v>
      </c>
      <c r="CP8" s="0" t="n">
        <f aca="false">IF(OR(CI8="",CJ8=""),"",DAYS360(CI8,CJ8))</f>
        <v>4574</v>
      </c>
      <c r="CQ8" s="0" t="s">
        <v>220</v>
      </c>
      <c r="CR8" s="0" t="n">
        <v>1</v>
      </c>
      <c r="CT8" s="0" t="n">
        <v>4913</v>
      </c>
      <c r="CU8" s="0" t="n">
        <v>2</v>
      </c>
      <c r="CV8" s="0" t="n">
        <f aca="false">IF(OR(CT8="",CT8="NO ESPECIFICA",CT8="NO MENCIONA"),"",IF(CU8=0,CT8,IF(CU8=1,CT8/30,IF(CU8=2,CT8/15,IF(CU8=3,CT8/7,"")))))</f>
        <v>327.533333333333</v>
      </c>
      <c r="CW8" s="125" t="n">
        <v>6939.51</v>
      </c>
      <c r="CX8" s="0" t="n">
        <v>2</v>
      </c>
      <c r="CY8" s="0" t="n">
        <f aca="false">IF(CW8="","",IF(CX8=0,CW8,IF(CX8=1,CW8/30,IF(CX8=2,CW8/15,IF(CX8=3,CW8/7,CW8)))))</f>
        <v>462.634</v>
      </c>
      <c r="CZ8" s="0" t="n">
        <f aca="false">IF(DI8&gt;0,DI8,IF(CY8&gt;0,CY8,IF(CV8&gt;0,CV8,"")))</f>
        <v>462.64</v>
      </c>
      <c r="DA8" s="0" t="n">
        <f aca="false">IF(DM8=1,CZ8/8,IF(OR(DM8=2,DM8=4),CZ8/7,IF(DM8=3,CZ8/7.5,"")))</f>
        <v>66.0914285714286</v>
      </c>
      <c r="DB8" s="0" t="s">
        <v>258</v>
      </c>
      <c r="DC8" s="0" t="s">
        <v>259</v>
      </c>
      <c r="DD8" s="0" t="s">
        <v>260</v>
      </c>
      <c r="DE8" s="0" t="s">
        <v>261</v>
      </c>
      <c r="DF8" s="0" t="s">
        <v>262</v>
      </c>
      <c r="DG8" s="0" t="s">
        <v>263</v>
      </c>
      <c r="DH8" s="0" t="n">
        <v>0</v>
      </c>
      <c r="DI8" s="126" t="n">
        <v>462.64</v>
      </c>
      <c r="DK8" s="0" t="n">
        <v>0</v>
      </c>
      <c r="DM8" s="0" t="n">
        <v>2</v>
      </c>
      <c r="DN8" s="0" t="n">
        <v>25</v>
      </c>
      <c r="DO8" s="0" t="n">
        <v>3</v>
      </c>
      <c r="DP8" s="0" t="n">
        <v>1</v>
      </c>
      <c r="DQ8" s="0" t="n">
        <v>1</v>
      </c>
      <c r="DR8" s="0"/>
      <c r="DS8" s="0" t="n">
        <v>1</v>
      </c>
      <c r="DU8" s="0" t="n">
        <v>1</v>
      </c>
      <c r="DW8" s="1" t="n">
        <v>35834</v>
      </c>
      <c r="DX8" s="1" t="n">
        <v>40473</v>
      </c>
      <c r="DZ8" s="0"/>
      <c r="EA8" s="0" t="n">
        <v>1</v>
      </c>
      <c r="EC8" s="1" t="n">
        <v>35834</v>
      </c>
      <c r="ED8" s="1" t="n">
        <v>40473</v>
      </c>
      <c r="EF8" s="0"/>
      <c r="EG8" s="0" t="n">
        <v>0</v>
      </c>
      <c r="EI8" s="0" t="str">
        <f aca="false">IF(AND(DM8=1,DN8&lt;=48),"",IF(AND(DM8=2,DN8&lt;=42),"",IF(AND(DM8=3,DN8&lt;=45),"",EH8)))</f>
        <v/>
      </c>
      <c r="EJ8" s="0" t="str">
        <f aca="false">IF(EI8="","",IF(EI8&lt;9,EI8,9))</f>
        <v/>
      </c>
      <c r="EK8" s="0" t="str">
        <f aca="false">IF(EI8="","",IF(EI8&gt;9,EI8-EJ8,0))</f>
        <v/>
      </c>
      <c r="EL8" s="0" t="str">
        <f aca="false">IF(EI8="","",EJ8*DA8*2+EK8*DA8*3)</f>
        <v/>
      </c>
      <c r="EP8" s="0" t="n">
        <v>0</v>
      </c>
      <c r="EQ8" s="0"/>
      <c r="ER8" s="0" t="n">
        <v>1</v>
      </c>
      <c r="ET8" s="0" t="n">
        <v>0</v>
      </c>
      <c r="EV8" s="0" t="n">
        <v>1</v>
      </c>
      <c r="EX8" s="0" t="n">
        <v>0</v>
      </c>
      <c r="EY8" s="0" t="n">
        <v>0</v>
      </c>
      <c r="EZ8" s="0"/>
      <c r="FA8" s="0"/>
      <c r="FB8" s="0" t="n">
        <v>1</v>
      </c>
      <c r="FF8" s="120" t="n">
        <f aca="false">(CJ8-CI8+1)/365</f>
        <v>12.7123287671233</v>
      </c>
      <c r="FG8" s="0" t="str">
        <f aca="false">CONCATENATE(F8,"/",G8)</f>
        <v>16/2011</v>
      </c>
      <c r="FH8" s="0" t="n">
        <v>0</v>
      </c>
      <c r="FI8" s="0" t="n">
        <v>0</v>
      </c>
    </row>
    <row r="9" customFormat="false" ht="15" hidden="false" customHeight="false" outlineLevel="0" collapsed="false">
      <c r="A9" s="5" t="str">
        <f aca="false">E9&amp;G9&amp;F9</f>
        <v>7201118</v>
      </c>
      <c r="B9" s="0" t="s">
        <v>203</v>
      </c>
      <c r="C9" s="1" t="n">
        <v>42408</v>
      </c>
      <c r="E9" s="0" t="n">
        <v>7</v>
      </c>
      <c r="F9" s="0" t="n">
        <v>18</v>
      </c>
      <c r="G9" s="0" t="n">
        <v>2011</v>
      </c>
      <c r="H9" s="0" t="str">
        <f aca="false">"J"&amp;E9&amp;"\"&amp;F9&amp;"\"&amp;G9&amp;"\"&amp;W9</f>
        <v>J7\18\2011\1</v>
      </c>
      <c r="I9" s="0"/>
      <c r="J9" s="1" t="n">
        <v>40547</v>
      </c>
      <c r="K9" s="0" t="n">
        <v>0</v>
      </c>
      <c r="M9" s="1" t="n">
        <v>40547</v>
      </c>
      <c r="N9" s="1" t="n">
        <v>40599</v>
      </c>
      <c r="O9" s="1"/>
      <c r="P9" s="1"/>
      <c r="Q9" s="1"/>
      <c r="T9" s="121"/>
      <c r="U9" s="121"/>
      <c r="V9" s="122" t="n">
        <f aca="false">IF(AND(E9&gt;0,F9&gt;0,G9&gt;0),COUNTIFS($E:$E,E9,$F:$F,F9,$G:$G,G9),"")</f>
        <v>1</v>
      </c>
      <c r="W9" s="122" t="n">
        <f aca="false">IF(V9="","",IF(V9=1,1,IF(AND(E8=E9,F8=F9,G8=G9),W8+1,1)))</f>
        <v>1</v>
      </c>
      <c r="X9" s="0" t="n">
        <v>1</v>
      </c>
      <c r="Y9" s="0" t="n">
        <v>4</v>
      </c>
      <c r="Z9" s="0" t="s">
        <v>272</v>
      </c>
      <c r="AA9" s="0" t="n">
        <v>0</v>
      </c>
      <c r="AB9" s="0" t="s">
        <v>273</v>
      </c>
      <c r="AC9" s="0" t="s">
        <v>274</v>
      </c>
      <c r="AD9" s="0" t="s">
        <v>221</v>
      </c>
      <c r="AE9" s="0" t="n">
        <v>0</v>
      </c>
      <c r="AF9" s="0" t="s">
        <v>275</v>
      </c>
      <c r="AG9" s="0" t="n">
        <v>0</v>
      </c>
      <c r="AH9" s="0" t="s">
        <v>276</v>
      </c>
      <c r="AI9" s="0" t="s">
        <v>251</v>
      </c>
      <c r="AJ9" s="0" t="s">
        <v>229</v>
      </c>
      <c r="AL9" s="0" t="s">
        <v>277</v>
      </c>
      <c r="AM9" s="0" t="n">
        <v>1</v>
      </c>
      <c r="AN9" s="0" t="s">
        <v>276</v>
      </c>
      <c r="AO9" s="0" t="s">
        <v>251</v>
      </c>
      <c r="AP9" s="0" t="s">
        <v>229</v>
      </c>
      <c r="AR9" s="0" t="s">
        <v>278</v>
      </c>
      <c r="AS9" s="0" t="n">
        <v>1</v>
      </c>
      <c r="AT9" s="0" t="s">
        <v>276</v>
      </c>
      <c r="AU9" s="0" t="s">
        <v>251</v>
      </c>
      <c r="AV9" s="0" t="s">
        <v>229</v>
      </c>
      <c r="AX9" s="0" t="s">
        <v>213</v>
      </c>
      <c r="AY9" s="0" t="n">
        <v>1</v>
      </c>
      <c r="AZ9" s="0" t="s">
        <v>276</v>
      </c>
      <c r="BA9" s="0" t="s">
        <v>251</v>
      </c>
      <c r="BB9" s="0" t="s">
        <v>229</v>
      </c>
      <c r="BP9" s="0" t="n">
        <v>0</v>
      </c>
      <c r="BQ9" s="0" t="n">
        <v>0</v>
      </c>
      <c r="BR9" s="0" t="n">
        <v>1</v>
      </c>
      <c r="BS9" s="0" t="s">
        <v>279</v>
      </c>
      <c r="BT9" s="0" t="s">
        <v>280</v>
      </c>
      <c r="BU9" s="0" t="s">
        <v>281</v>
      </c>
      <c r="BV9" s="123"/>
      <c r="BW9" s="123"/>
      <c r="BX9" s="123"/>
      <c r="BY9" s="123"/>
      <c r="BZ9" s="0" t="n">
        <v>0</v>
      </c>
      <c r="CA9" s="0" t="s">
        <v>282</v>
      </c>
      <c r="CD9" s="0" t="s">
        <v>256</v>
      </c>
      <c r="CE9" s="0" t="n">
        <v>0</v>
      </c>
      <c r="CF9" s="0" t="s">
        <v>283</v>
      </c>
      <c r="CI9" s="1" t="n">
        <v>39601</v>
      </c>
      <c r="CJ9" s="1" t="n">
        <v>40490</v>
      </c>
      <c r="CK9" s="124" t="n">
        <v>0.291666666666667</v>
      </c>
      <c r="CL9" s="0" t="s">
        <v>277</v>
      </c>
      <c r="CM9" s="0" t="n">
        <f aca="false">IF(OR(CI9="",CJ9=""),"",DAYS360(CI9,CJ9)/360)</f>
        <v>2.43333333333333</v>
      </c>
      <c r="CN9" s="0" t="n">
        <f aca="false">IF(OR(CI9="",CJ9=""),"",DAYS360(CI9,CJ9)/30)</f>
        <v>29.2</v>
      </c>
      <c r="CO9" s="0" t="n">
        <f aca="false">IF(OR(CI9="",CJ9=""),"",DAYS360(CI9,CJ9)/7)</f>
        <v>125.142857142857</v>
      </c>
      <c r="CP9" s="0" t="n">
        <f aca="false">IF(OR(CI9="",CJ9=""),"",DAYS360(CI9,CJ9))</f>
        <v>876</v>
      </c>
      <c r="CQ9" s="0" t="s">
        <v>240</v>
      </c>
      <c r="CR9" s="0" t="n">
        <v>1</v>
      </c>
      <c r="CT9" s="0" t="s">
        <v>221</v>
      </c>
      <c r="CU9" s="0" t="s">
        <v>221</v>
      </c>
      <c r="CV9" s="0" t="str">
        <f aca="false">IF(OR(CT9="",CT9="NO ESPECIFICA",CT9="NO MENCIONA"),"",IF(CU9=0,CT9,IF(CU9=1,CT9/30,IF(CU9=2,CT9/15,IF(CU9=3,CT9/7,"")))))</f>
        <v/>
      </c>
      <c r="CW9" s="125" t="n">
        <v>480</v>
      </c>
      <c r="CX9" s="0" t="n">
        <v>3</v>
      </c>
      <c r="CY9" s="0" t="n">
        <f aca="false">IF(CW9="","",IF(CX9=0,CW9,IF(CX9=1,CW9/30,IF(CX9=2,CW9/15,IF(CX9=3,CW9/7,CW9)))))</f>
        <v>68.5714285714286</v>
      </c>
      <c r="CZ9" s="0" t="n">
        <f aca="false">IF(DI9&gt;0,DI9,IF(CY9&gt;0,CY9,IF(CV9&gt;0,CV9,"")))</f>
        <v>68.57</v>
      </c>
      <c r="DA9" s="0" t="n">
        <f aca="false">IF(DM9=1,CZ9/8,IF(OR(DM9=2,DM9=4),CZ9/7,IF(DM9=3,CZ9/7.5,"")))</f>
        <v>8.57125</v>
      </c>
      <c r="DB9" s="0" t="s">
        <v>216</v>
      </c>
      <c r="DC9" s="0" t="s">
        <v>216</v>
      </c>
      <c r="DD9" s="0" t="s">
        <v>216</v>
      </c>
      <c r="DE9" s="0" t="s">
        <v>216</v>
      </c>
      <c r="DF9" s="0" t="s">
        <v>216</v>
      </c>
      <c r="DG9" s="0" t="s">
        <v>216</v>
      </c>
      <c r="DH9" s="0" t="n">
        <v>0</v>
      </c>
      <c r="DI9" s="126" t="n">
        <v>68.57</v>
      </c>
      <c r="DK9" s="0" t="n">
        <v>0</v>
      </c>
      <c r="DM9" s="0" t="n">
        <v>1</v>
      </c>
      <c r="DN9" s="0" t="n">
        <v>84</v>
      </c>
      <c r="DO9" s="0" t="n">
        <v>3</v>
      </c>
      <c r="DP9" s="0" t="n">
        <v>0</v>
      </c>
      <c r="DQ9" s="0" t="n">
        <v>1</v>
      </c>
      <c r="DR9" s="0"/>
      <c r="DS9" s="0" t="n">
        <v>1</v>
      </c>
      <c r="DU9" s="0" t="n">
        <v>1</v>
      </c>
      <c r="DW9" s="1" t="n">
        <v>39601</v>
      </c>
      <c r="DX9" s="1" t="n">
        <v>40490</v>
      </c>
      <c r="DZ9" s="0"/>
      <c r="EA9" s="0" t="n">
        <v>1</v>
      </c>
      <c r="EC9" s="1" t="n">
        <v>39814</v>
      </c>
      <c r="ED9" s="1" t="n">
        <v>40490</v>
      </c>
      <c r="EF9" s="0"/>
      <c r="EG9" s="0" t="n">
        <v>1</v>
      </c>
      <c r="EH9" s="0" t="n">
        <v>28</v>
      </c>
      <c r="EI9" s="0" t="n">
        <f aca="false">IF(AND(DM9=1,DN9&lt;=48),"",IF(AND(DM9=2,DN9&lt;=42),"",IF(AND(DM9=3,DN9&lt;=45),"",EH9)))</f>
        <v>28</v>
      </c>
      <c r="EJ9" s="0" t="n">
        <f aca="false">IF(EI9="","",IF(EI9&lt;9,EI9,9))</f>
        <v>9</v>
      </c>
      <c r="EK9" s="0" t="n">
        <f aca="false">IF(EI9="","",IF(EI9&gt;9,EI9-EJ9,0))</f>
        <v>19</v>
      </c>
      <c r="EL9" s="0" t="n">
        <f aca="false">IF(EI9="","",EJ9*DA9*2+EK9*DA9*3)</f>
        <v>642.84375</v>
      </c>
      <c r="EP9" s="0" t="n">
        <v>0</v>
      </c>
      <c r="EQ9" s="0"/>
      <c r="ER9" s="0" t="n">
        <v>0</v>
      </c>
      <c r="ET9" s="0" t="n">
        <v>0</v>
      </c>
      <c r="EV9" s="0" t="n">
        <v>0</v>
      </c>
      <c r="EX9" s="0" t="n">
        <v>0</v>
      </c>
      <c r="EY9" s="0" t="n">
        <v>0</v>
      </c>
      <c r="EZ9" s="0"/>
      <c r="FA9" s="4" t="n">
        <v>1851.39</v>
      </c>
      <c r="FB9" s="0" t="n">
        <v>0</v>
      </c>
      <c r="FF9" s="120" t="n">
        <f aca="false">(CJ9-CI9+1)/365</f>
        <v>2.43835616438356</v>
      </c>
      <c r="FG9" s="0" t="str">
        <f aca="false">CONCATENATE(F9,"/",G9)</f>
        <v>18/2011</v>
      </c>
      <c r="FH9" s="0" t="n">
        <v>0</v>
      </c>
      <c r="FI9" s="0" t="n">
        <v>0</v>
      </c>
    </row>
    <row r="10" customFormat="false" ht="15" hidden="false" customHeight="false" outlineLevel="0" collapsed="false">
      <c r="A10" s="5" t="str">
        <f aca="false">E10&amp;G10&amp;F10</f>
        <v>7201119</v>
      </c>
      <c r="B10" s="0" t="s">
        <v>203</v>
      </c>
      <c r="C10" s="1" t="n">
        <v>42408</v>
      </c>
      <c r="E10" s="0" t="n">
        <v>7</v>
      </c>
      <c r="F10" s="0" t="n">
        <v>19</v>
      </c>
      <c r="G10" s="0" t="n">
        <v>2011</v>
      </c>
      <c r="H10" s="0" t="str">
        <f aca="false">"J"&amp;E10&amp;"\"&amp;F10&amp;"\"&amp;G10&amp;"\"&amp;W10</f>
        <v>J7\19\2011\1</v>
      </c>
      <c r="I10" s="0"/>
      <c r="J10" s="1" t="n">
        <v>40547</v>
      </c>
      <c r="K10" s="0" t="n">
        <v>1</v>
      </c>
      <c r="L10" s="0" t="s">
        <v>284</v>
      </c>
      <c r="M10" s="1" t="n">
        <v>40547</v>
      </c>
      <c r="N10" s="1" t="n">
        <v>40599</v>
      </c>
      <c r="O10" s="1"/>
      <c r="P10" s="1"/>
      <c r="Q10" s="1"/>
      <c r="T10" s="121"/>
      <c r="U10" s="121"/>
      <c r="V10" s="122" t="n">
        <f aca="false">IF(AND(E10&gt;0,F10&gt;0,G10&gt;0),COUNTIFS($E:$E,E10,$F:$F,F10,$G:$G,G10),"")</f>
        <v>1</v>
      </c>
      <c r="W10" s="122" t="n">
        <f aca="false">IF(V10="","",IF(V10=1,1,IF(AND(E9=E10,F9=F10,G9=G10),W9+1,1)))</f>
        <v>1</v>
      </c>
      <c r="X10" s="0" t="n">
        <v>1</v>
      </c>
      <c r="Y10" s="0" t="n">
        <v>3</v>
      </c>
      <c r="Z10" s="0" t="s">
        <v>285</v>
      </c>
      <c r="AA10" s="0" t="n">
        <v>0</v>
      </c>
      <c r="AB10" s="0" t="s">
        <v>286</v>
      </c>
      <c r="AC10" s="0" t="s">
        <v>287</v>
      </c>
      <c r="AD10" s="0" t="s">
        <v>221</v>
      </c>
      <c r="AE10" s="0" t="n">
        <v>0</v>
      </c>
      <c r="AF10" s="0" t="s">
        <v>288</v>
      </c>
      <c r="AG10" s="0" t="n">
        <v>0</v>
      </c>
      <c r="AH10" s="0" t="s">
        <v>289</v>
      </c>
      <c r="AI10" s="0" t="s">
        <v>290</v>
      </c>
      <c r="AJ10" s="0" t="s">
        <v>268</v>
      </c>
      <c r="AL10" s="0" t="s">
        <v>291</v>
      </c>
      <c r="AM10" s="0" t="n">
        <v>0</v>
      </c>
      <c r="AN10" s="0" t="s">
        <v>289</v>
      </c>
      <c r="AO10" s="0" t="s">
        <v>290</v>
      </c>
      <c r="AP10" s="0" t="s">
        <v>268</v>
      </c>
      <c r="AR10" s="0" t="s">
        <v>292</v>
      </c>
      <c r="AS10" s="0" t="n">
        <v>2</v>
      </c>
      <c r="AT10" s="0" t="s">
        <v>289</v>
      </c>
      <c r="AU10" s="0" t="s">
        <v>290</v>
      </c>
      <c r="AV10" s="0" t="s">
        <v>268</v>
      </c>
      <c r="BP10" s="0" t="n">
        <v>0</v>
      </c>
      <c r="BQ10" s="0" t="n">
        <v>0</v>
      </c>
      <c r="BR10" s="0" t="n">
        <v>1</v>
      </c>
      <c r="BS10" s="0" t="s">
        <v>293</v>
      </c>
      <c r="BT10" s="0" t="s">
        <v>294</v>
      </c>
      <c r="BU10" s="0" t="s">
        <v>295</v>
      </c>
      <c r="BV10" s="123"/>
      <c r="BW10" s="123"/>
      <c r="BX10" s="123"/>
      <c r="BY10" s="123"/>
      <c r="BZ10" s="0" t="n">
        <v>0</v>
      </c>
      <c r="CA10" s="0" t="s">
        <v>216</v>
      </c>
      <c r="CD10" s="0" t="s">
        <v>296</v>
      </c>
      <c r="CE10" s="0" t="n">
        <v>0</v>
      </c>
      <c r="CF10" s="0" t="s">
        <v>297</v>
      </c>
      <c r="CG10" s="0" t="s">
        <v>218</v>
      </c>
      <c r="CI10" s="1" t="n">
        <v>38322</v>
      </c>
      <c r="CJ10" s="1" t="n">
        <v>40493</v>
      </c>
      <c r="CK10" s="124" t="s">
        <v>216</v>
      </c>
      <c r="CL10" s="0" t="s">
        <v>298</v>
      </c>
      <c r="CM10" s="0" t="n">
        <f aca="false">IF(OR(CI10="",CJ10=""),"",DAYS360(CI10,CJ10)/360)</f>
        <v>5.94444444444444</v>
      </c>
      <c r="CN10" s="0" t="n">
        <f aca="false">IF(OR(CI10="",CJ10=""),"",DAYS360(CI10,CJ10)/30)</f>
        <v>71.3333333333333</v>
      </c>
      <c r="CO10" s="0" t="n">
        <f aca="false">IF(OR(CI10="",CJ10=""),"",DAYS360(CI10,CJ10)/7)</f>
        <v>305.714285714286</v>
      </c>
      <c r="CP10" s="0" t="n">
        <f aca="false">IF(OR(CI10="",CJ10=""),"",DAYS360(CI10,CJ10))</f>
        <v>2140</v>
      </c>
      <c r="CQ10" s="0" t="s">
        <v>240</v>
      </c>
      <c r="CR10" s="0" t="n">
        <v>1</v>
      </c>
      <c r="CT10" s="0" t="n">
        <v>1066.67</v>
      </c>
      <c r="CU10" s="0" t="n">
        <v>0</v>
      </c>
      <c r="CV10" s="0" t="n">
        <f aca="false">IF(OR(CT10="",CT10="NO ESPECIFICA",CT10="NO MENCIONA"),"",IF(CU10=0,CT10,IF(CU10=1,CT10/30,IF(CU10=2,CT10/15,IF(CU10=3,CT10/7,"")))))</f>
        <v>1066.67</v>
      </c>
      <c r="CW10" s="125" t="n">
        <v>1476.67</v>
      </c>
      <c r="CX10" s="0" t="n">
        <v>0</v>
      </c>
      <c r="CY10" s="0" t="n">
        <f aca="false">IF(CW10="","",IF(CX10=0,CW10,IF(CX10=1,CW10/30,IF(CX10=2,CW10/15,IF(CX10=3,CW10/7,CW10)))))</f>
        <v>1476.67</v>
      </c>
      <c r="CZ10" s="0" t="n">
        <f aca="false">IF(DI10&gt;0,DI10,IF(CY10&gt;0,CY10,IF(CV10&gt;0,CV10,"")))</f>
        <v>1476.67</v>
      </c>
      <c r="DA10" s="0" t="n">
        <f aca="false">IF(DM10=1,CZ10/8,IF(OR(DM10=2,DM10=4),CZ10/7,IF(DM10=3,CZ10/7.5,"")))</f>
        <v>184.58375</v>
      </c>
      <c r="DB10" s="0" t="s">
        <v>299</v>
      </c>
      <c r="DC10" s="0" t="s">
        <v>300</v>
      </c>
      <c r="DD10" s="0" t="s">
        <v>301</v>
      </c>
      <c r="DE10" s="0" t="s">
        <v>302</v>
      </c>
      <c r="DF10" s="0" t="s">
        <v>303</v>
      </c>
      <c r="DG10" s="0" t="s">
        <v>304</v>
      </c>
      <c r="DH10" s="0" t="n">
        <v>0</v>
      </c>
      <c r="DI10" s="126" t="n">
        <v>1476.67</v>
      </c>
      <c r="DK10" s="0" t="n">
        <v>0</v>
      </c>
      <c r="DM10" s="0" t="n">
        <v>1</v>
      </c>
      <c r="DN10" s="0" t="n">
        <v>40</v>
      </c>
      <c r="DO10" s="0" t="n">
        <v>3</v>
      </c>
      <c r="DP10" s="0" t="n">
        <v>0</v>
      </c>
      <c r="DQ10" s="0" t="n">
        <v>1</v>
      </c>
      <c r="DR10" s="0"/>
      <c r="DS10" s="0" t="n">
        <v>1</v>
      </c>
      <c r="DU10" s="0" t="n">
        <v>1</v>
      </c>
      <c r="DW10" s="1" t="s">
        <v>221</v>
      </c>
      <c r="DX10" s="1" t="s">
        <v>221</v>
      </c>
      <c r="DY10" s="0" t="s">
        <v>221</v>
      </c>
      <c r="DZ10" s="0" t="s">
        <v>221</v>
      </c>
      <c r="EA10" s="0" t="n">
        <v>1</v>
      </c>
      <c r="EC10" s="1" t="s">
        <v>221</v>
      </c>
      <c r="ED10" s="1" t="s">
        <v>221</v>
      </c>
      <c r="EE10" s="0" t="s">
        <v>221</v>
      </c>
      <c r="EF10" s="0" t="s">
        <v>221</v>
      </c>
      <c r="EG10" s="0" t="n">
        <v>1</v>
      </c>
      <c r="EH10" s="0" t="n">
        <v>10</v>
      </c>
      <c r="EI10" s="0" t="str">
        <f aca="false">IF(AND(DM10=1,DN10&lt;=48),"",IF(AND(DM10=2,DN10&lt;=42),"",IF(AND(DM10=3,DN10&lt;=45),"",EH10)))</f>
        <v/>
      </c>
      <c r="EJ10" s="0" t="str">
        <f aca="false">IF(EI10="","",IF(EI10&lt;9,EI10,9))</f>
        <v/>
      </c>
      <c r="EK10" s="0" t="str">
        <f aca="false">IF(EI10="","",IF(EI10&gt;9,EI10-EJ10,0))</f>
        <v/>
      </c>
      <c r="EL10" s="0" t="str">
        <f aca="false">IF(EI10="","",EJ10*DA10*2+EK10*DA10*3)</f>
        <v/>
      </c>
      <c r="EP10" s="0" t="n">
        <v>1</v>
      </c>
      <c r="EQ10" s="0"/>
      <c r="ER10" s="0" t="n">
        <v>0</v>
      </c>
      <c r="ET10" s="0" t="n">
        <v>0</v>
      </c>
      <c r="EV10" s="0" t="n">
        <v>1</v>
      </c>
      <c r="EX10" s="0" t="n">
        <v>1</v>
      </c>
      <c r="EY10" s="0" t="n">
        <v>0</v>
      </c>
      <c r="EZ10" s="0"/>
      <c r="FA10" s="0"/>
      <c r="FB10" s="0" t="n">
        <v>0</v>
      </c>
      <c r="FF10" s="120" t="n">
        <f aca="false">(CJ10-CI10+1)/365</f>
        <v>5.95068493150685</v>
      </c>
      <c r="FG10" s="0" t="str">
        <f aca="false">CONCATENATE(F10,"/",G10)</f>
        <v>19/2011</v>
      </c>
      <c r="FH10" s="0" t="n">
        <v>0</v>
      </c>
      <c r="FI10" s="0" t="n">
        <v>0</v>
      </c>
    </row>
    <row r="11" customFormat="false" ht="15" hidden="false" customHeight="false" outlineLevel="0" collapsed="false">
      <c r="A11" s="5" t="str">
        <f aca="false">E11&amp;G11&amp;F11</f>
        <v>7201128</v>
      </c>
      <c r="B11" s="0" t="s">
        <v>203</v>
      </c>
      <c r="C11" s="1" t="n">
        <v>42408</v>
      </c>
      <c r="E11" s="0" t="n">
        <v>7</v>
      </c>
      <c r="F11" s="0" t="n">
        <v>28</v>
      </c>
      <c r="G11" s="0" t="n">
        <v>2011</v>
      </c>
      <c r="H11" s="0" t="str">
        <f aca="false">"J"&amp;E11&amp;"\"&amp;F11&amp;"\"&amp;G11&amp;"\"&amp;W11</f>
        <v>J7\28\2011\1</v>
      </c>
      <c r="I11" s="0"/>
      <c r="J11" s="1" t="n">
        <v>40548</v>
      </c>
      <c r="K11" s="0" t="n">
        <v>0</v>
      </c>
      <c r="M11" s="1" t="n">
        <v>40548</v>
      </c>
      <c r="N11" s="1" t="n">
        <v>40603</v>
      </c>
      <c r="O11" s="1"/>
      <c r="P11" s="1"/>
      <c r="Q11" s="1"/>
      <c r="T11" s="121"/>
      <c r="U11" s="121"/>
      <c r="V11" s="122" t="n">
        <f aca="false">IF(AND(E11&gt;0,F11&gt;0,G11&gt;0),COUNTIFS($E:$E,E11,$F:$F,F11,$G:$G,G11),"")</f>
        <v>1</v>
      </c>
      <c r="W11" s="122" t="n">
        <f aca="false">IF(V11="","",IF(V11=1,1,IF(AND(E10=E11,F10=F11,G10=G11),W10+1,1)))</f>
        <v>1</v>
      </c>
      <c r="X11" s="0" t="n">
        <v>1</v>
      </c>
      <c r="Y11" s="0" t="n">
        <v>2</v>
      </c>
      <c r="Z11" s="0" t="s">
        <v>305</v>
      </c>
      <c r="AA11" s="0" t="n">
        <v>0</v>
      </c>
      <c r="AB11" s="0" t="s">
        <v>306</v>
      </c>
      <c r="AC11" s="0" t="s">
        <v>287</v>
      </c>
      <c r="AD11" s="0" t="s">
        <v>221</v>
      </c>
      <c r="AE11" s="0" t="n">
        <v>0</v>
      </c>
      <c r="AF11" s="0" t="s">
        <v>307</v>
      </c>
      <c r="AG11" s="0" t="n">
        <v>0</v>
      </c>
      <c r="AH11" s="0" t="s">
        <v>308</v>
      </c>
      <c r="AI11" s="0" t="s">
        <v>309</v>
      </c>
      <c r="AJ11" s="0" t="s">
        <v>207</v>
      </c>
      <c r="AL11" s="0" t="s">
        <v>213</v>
      </c>
      <c r="AM11" s="0" t="n">
        <v>1</v>
      </c>
      <c r="AN11" s="0" t="s">
        <v>308</v>
      </c>
      <c r="AO11" s="0" t="s">
        <v>309</v>
      </c>
      <c r="AP11" s="0" t="s">
        <v>207</v>
      </c>
      <c r="BP11" s="0" t="n">
        <v>0</v>
      </c>
      <c r="BQ11" s="0" t="n">
        <v>0</v>
      </c>
      <c r="BR11" s="0" t="n">
        <v>1</v>
      </c>
      <c r="BS11" s="0" t="s">
        <v>310</v>
      </c>
      <c r="BT11" s="0" t="s">
        <v>311</v>
      </c>
      <c r="BU11" s="0" t="s">
        <v>312</v>
      </c>
      <c r="BV11" s="123"/>
      <c r="BW11" s="123"/>
      <c r="BX11" s="123"/>
      <c r="BY11" s="123"/>
      <c r="BZ11" s="0" t="n">
        <v>0</v>
      </c>
      <c r="CA11" s="0" t="s">
        <v>216</v>
      </c>
      <c r="CD11" s="0" t="s">
        <v>216</v>
      </c>
      <c r="CE11" s="0" t="n">
        <v>0</v>
      </c>
      <c r="CF11" s="0" t="s">
        <v>313</v>
      </c>
      <c r="CG11" s="0" t="s">
        <v>218</v>
      </c>
      <c r="CI11" s="1" t="n">
        <v>38500</v>
      </c>
      <c r="CJ11" s="1" t="n">
        <v>40508</v>
      </c>
      <c r="CK11" s="124" t="n">
        <v>0.295138888888889</v>
      </c>
      <c r="CL11" s="0" t="s">
        <v>314</v>
      </c>
      <c r="CM11" s="0" t="n">
        <f aca="false">IF(OR(CI11="",CJ11=""),"",DAYS360(CI11,CJ11)/360)</f>
        <v>5.49444444444444</v>
      </c>
      <c r="CN11" s="0" t="n">
        <f aca="false">IF(OR(CI11="",CJ11=""),"",DAYS360(CI11,CJ11)/30)</f>
        <v>65.9333333333333</v>
      </c>
      <c r="CO11" s="0" t="n">
        <f aca="false">IF(OR(CI11="",CJ11=""),"",DAYS360(CI11,CJ11)/7)</f>
        <v>282.571428571429</v>
      </c>
      <c r="CP11" s="0" t="n">
        <f aca="false">IF(OR(CI11="",CJ11=""),"",DAYS360(CI11,CJ11))</f>
        <v>1978</v>
      </c>
      <c r="CQ11" s="0" t="s">
        <v>240</v>
      </c>
      <c r="CR11" s="0" t="n">
        <v>1</v>
      </c>
      <c r="CT11" s="0" t="n">
        <v>8000</v>
      </c>
      <c r="CU11" s="0" t="n">
        <v>1</v>
      </c>
      <c r="CV11" s="0" t="n">
        <f aca="false">IF(OR(CT11="",CT11="NO ESPECIFICA",CT11="NO MENCIONA"),"",IF(CU11=0,CT11,IF(CU11=1,CT11/30,IF(CU11=2,CT11/15,IF(CU11=3,CT11/7,"")))))</f>
        <v>266.666666666667</v>
      </c>
      <c r="CW11" s="125" t="n">
        <v>1120</v>
      </c>
      <c r="CX11" s="0" t="n">
        <v>0</v>
      </c>
      <c r="CY11" s="0" t="n">
        <f aca="false">IF(CW11="","",IF(CX11=0,CW11,IF(CX11=1,CW11/30,IF(CX11=2,CW11/15,IF(CX11=3,CW11/7,CW11)))))</f>
        <v>1120</v>
      </c>
      <c r="CZ11" s="0" t="n">
        <f aca="false">IF(DI11&gt;0,DI11,IF(CY11&gt;0,CY11,IF(CV11&gt;0,CV11,"")))</f>
        <v>1120</v>
      </c>
      <c r="DA11" s="0" t="n">
        <f aca="false">IF(DM11=1,CZ11/8,IF(OR(DM11=2,DM11=4),CZ11/7,IF(DM11=3,CZ11/7.5,"")))</f>
        <v>140</v>
      </c>
      <c r="DB11" s="0" t="s">
        <v>315</v>
      </c>
      <c r="DC11" s="0" t="s">
        <v>216</v>
      </c>
      <c r="DD11" s="0" t="s">
        <v>216</v>
      </c>
      <c r="DE11" s="0" t="s">
        <v>216</v>
      </c>
      <c r="DF11" s="0" t="s">
        <v>216</v>
      </c>
      <c r="DG11" s="0" t="s">
        <v>216</v>
      </c>
      <c r="DH11" s="0" t="n">
        <v>0</v>
      </c>
      <c r="DI11" s="126" t="n">
        <v>1120</v>
      </c>
      <c r="DK11" s="0" t="n">
        <v>0</v>
      </c>
      <c r="DM11" s="0" t="n">
        <v>1</v>
      </c>
      <c r="DN11" s="0" t="n">
        <v>66</v>
      </c>
      <c r="DO11" s="0" t="n">
        <v>3</v>
      </c>
      <c r="DP11" s="0" t="n">
        <v>0</v>
      </c>
      <c r="DQ11" s="0" t="n">
        <v>1</v>
      </c>
      <c r="DR11" s="0"/>
      <c r="DS11" s="0" t="n">
        <v>1</v>
      </c>
      <c r="DU11" s="0" t="n">
        <v>1</v>
      </c>
      <c r="DW11" s="1" t="s">
        <v>221</v>
      </c>
      <c r="DX11" s="1" t="s">
        <v>221</v>
      </c>
      <c r="DY11" s="0" t="s">
        <v>221</v>
      </c>
      <c r="DZ11" s="0" t="s">
        <v>221</v>
      </c>
      <c r="EA11" s="0" t="n">
        <v>1</v>
      </c>
      <c r="EC11" s="1" t="s">
        <v>221</v>
      </c>
      <c r="ED11" s="1" t="s">
        <v>221</v>
      </c>
      <c r="EE11" s="0" t="s">
        <v>221</v>
      </c>
      <c r="EF11" s="0" t="s">
        <v>221</v>
      </c>
      <c r="EG11" s="0" t="n">
        <v>1</v>
      </c>
      <c r="EH11" s="0" t="s">
        <v>221</v>
      </c>
      <c r="EI11" s="0" t="str">
        <f aca="false">IF(AND(DM11=1,DN11&lt;=48),"",IF(AND(DM11=2,DN11&lt;=42),"",IF(AND(DM11=3,DN11&lt;=45),"",EH11)))</f>
        <v>NO ESPECIFICA</v>
      </c>
      <c r="EJ11" s="0" t="n">
        <f aca="false">IF(EI11="","",IF(EI11&lt;9,EI11,9))</f>
        <v>9</v>
      </c>
      <c r="EK11" s="0" t="e">
        <f aca="false">IF(EI11="","",IF(EI11&gt;9,EI11-EJ11,0))</f>
        <v>#VALUE!</v>
      </c>
      <c r="EL11" s="0" t="e">
        <f aca="false">IF(EI11="","",EJ11*DA11*2+EK11*DA11*3)</f>
        <v>#VALUE!</v>
      </c>
      <c r="EP11" s="0" t="n">
        <v>0</v>
      </c>
      <c r="EQ11" s="0"/>
      <c r="ER11" s="0" t="n">
        <v>0</v>
      </c>
      <c r="ET11" s="0" t="n">
        <v>0</v>
      </c>
      <c r="EV11" s="0" t="n">
        <v>0</v>
      </c>
      <c r="EX11" s="0" t="n">
        <v>1</v>
      </c>
      <c r="EY11" s="0" t="n">
        <v>1</v>
      </c>
      <c r="EZ11" s="4" t="n">
        <v>38000</v>
      </c>
      <c r="FA11" s="4" t="n">
        <v>12600</v>
      </c>
      <c r="FB11" s="0" t="n">
        <v>1</v>
      </c>
      <c r="FF11" s="120" t="n">
        <f aca="false">(CJ11-CI11+1)/365</f>
        <v>5.5041095890411</v>
      </c>
      <c r="FG11" s="0" t="str">
        <f aca="false">CONCATENATE(F11,"/",G11)</f>
        <v>28/2011</v>
      </c>
      <c r="FH11" s="0" t="n">
        <v>0</v>
      </c>
      <c r="FI11" s="0" t="n">
        <v>0</v>
      </c>
    </row>
    <row r="12" customFormat="false" ht="15" hidden="false" customHeight="false" outlineLevel="0" collapsed="false">
      <c r="A12" s="5" t="str">
        <f aca="false">E12&amp;G12&amp;F12</f>
        <v>7201129</v>
      </c>
      <c r="B12" s="0" t="s">
        <v>203</v>
      </c>
      <c r="C12" s="1" t="n">
        <v>42405</v>
      </c>
      <c r="E12" s="0" t="n">
        <v>7</v>
      </c>
      <c r="F12" s="0" t="n">
        <v>29</v>
      </c>
      <c r="G12" s="0" t="n">
        <v>2011</v>
      </c>
      <c r="H12" s="0" t="str">
        <f aca="false">"J"&amp;E12&amp;"\"&amp;F12&amp;"\"&amp;G12&amp;"\"&amp;W12</f>
        <v>J7\29\2011\1</v>
      </c>
      <c r="I12" s="0"/>
      <c r="J12" s="1" t="n">
        <v>40548</v>
      </c>
      <c r="K12" s="0" t="n">
        <v>0</v>
      </c>
      <c r="M12" s="1" t="n">
        <v>40548</v>
      </c>
      <c r="N12" s="1" t="n">
        <v>40603</v>
      </c>
      <c r="O12" s="1"/>
      <c r="P12" s="1"/>
      <c r="Q12" s="1"/>
      <c r="T12" s="121"/>
      <c r="U12" s="121"/>
      <c r="V12" s="122" t="n">
        <f aca="false">IF(AND(E12&gt;0,F12&gt;0,G12&gt;0),COUNTIFS($E:$E,E12,$F:$F,F12,$G:$G,G12),"")</f>
        <v>1</v>
      </c>
      <c r="W12" s="122" t="n">
        <f aca="false">IF(V12="","",IF(V12=1,1,IF(AND(E11=E12,F11=F12,G11=G12),W11+1,1)))</f>
        <v>1</v>
      </c>
      <c r="X12" s="0" t="n">
        <v>1</v>
      </c>
      <c r="Y12" s="0" t="n">
        <v>8</v>
      </c>
      <c r="Z12" s="0" t="s">
        <v>316</v>
      </c>
      <c r="AA12" s="0" t="n">
        <v>0</v>
      </c>
      <c r="AB12" s="0" t="s">
        <v>317</v>
      </c>
      <c r="AC12" s="0" t="s">
        <v>318</v>
      </c>
      <c r="AD12" s="0" t="s">
        <v>229</v>
      </c>
      <c r="AE12" s="0" t="n">
        <v>0</v>
      </c>
      <c r="AF12" s="0" t="s">
        <v>319</v>
      </c>
      <c r="AG12" s="0" t="n">
        <v>0</v>
      </c>
      <c r="AH12" s="0" t="s">
        <v>320</v>
      </c>
      <c r="AI12" s="0" t="s">
        <v>321</v>
      </c>
      <c r="AJ12" s="0" t="s">
        <v>322</v>
      </c>
      <c r="AL12" s="0" t="s">
        <v>323</v>
      </c>
      <c r="AM12" s="0" t="n">
        <v>0</v>
      </c>
      <c r="AN12" s="0" t="s">
        <v>320</v>
      </c>
      <c r="AO12" s="0" t="s">
        <v>321</v>
      </c>
      <c r="AP12" s="0" t="s">
        <v>322</v>
      </c>
      <c r="AR12" s="0" t="s">
        <v>324</v>
      </c>
      <c r="AS12" s="0" t="n">
        <v>1</v>
      </c>
      <c r="AT12" s="0" t="s">
        <v>320</v>
      </c>
      <c r="AU12" s="0" t="s">
        <v>321</v>
      </c>
      <c r="AV12" s="0" t="s">
        <v>322</v>
      </c>
      <c r="AX12" s="0" t="s">
        <v>325</v>
      </c>
      <c r="AY12" s="0" t="n">
        <v>1</v>
      </c>
      <c r="AZ12" s="0" t="s">
        <v>320</v>
      </c>
      <c r="BA12" s="0" t="s">
        <v>321</v>
      </c>
      <c r="BB12" s="0" t="s">
        <v>322</v>
      </c>
      <c r="BD12" s="0" t="s">
        <v>213</v>
      </c>
      <c r="BE12" s="0" t="n">
        <v>1</v>
      </c>
      <c r="BF12" s="0" t="s">
        <v>320</v>
      </c>
      <c r="BG12" s="0" t="s">
        <v>321</v>
      </c>
      <c r="BH12" s="0" t="s">
        <v>322</v>
      </c>
      <c r="BJ12" s="0" t="s">
        <v>249</v>
      </c>
      <c r="BK12" s="0" t="n">
        <v>0</v>
      </c>
      <c r="BL12" s="0" t="s">
        <v>326</v>
      </c>
      <c r="BM12" s="0" t="s">
        <v>251</v>
      </c>
      <c r="BN12" s="0" t="s">
        <v>229</v>
      </c>
      <c r="BP12" s="0" t="n">
        <v>0</v>
      </c>
      <c r="BQ12" s="0" t="n">
        <v>0</v>
      </c>
      <c r="BR12" s="0" t="n">
        <v>1</v>
      </c>
      <c r="BS12" s="0" t="s">
        <v>327</v>
      </c>
      <c r="BT12" s="0" t="s">
        <v>328</v>
      </c>
      <c r="BU12" s="0" t="s">
        <v>329</v>
      </c>
      <c r="BV12" s="123"/>
      <c r="BW12" s="123"/>
      <c r="BX12" s="123"/>
      <c r="BY12" s="123"/>
      <c r="BZ12" s="0" t="n">
        <v>0</v>
      </c>
      <c r="CA12" s="0" t="s">
        <v>330</v>
      </c>
      <c r="CD12" s="0" t="s">
        <v>216</v>
      </c>
      <c r="CE12" s="0" t="n">
        <v>0</v>
      </c>
      <c r="CF12" s="0" t="s">
        <v>331</v>
      </c>
      <c r="CG12" s="0" t="s">
        <v>218</v>
      </c>
      <c r="CI12" s="1" t="n">
        <v>40163</v>
      </c>
      <c r="CJ12" s="1" t="n">
        <v>40509</v>
      </c>
      <c r="CK12" s="124" t="n">
        <v>0.333333333333333</v>
      </c>
      <c r="CL12" s="0" t="s">
        <v>324</v>
      </c>
      <c r="CM12" s="0" t="n">
        <f aca="false">IF(OR(CI12="",CJ12=""),"",DAYS360(CI12,CJ12)/360)</f>
        <v>0.947222222222222</v>
      </c>
      <c r="CN12" s="0" t="n">
        <f aca="false">IF(OR(CI12="",CJ12=""),"",DAYS360(CI12,CJ12)/30)</f>
        <v>11.3666666666667</v>
      </c>
      <c r="CO12" s="0" t="n">
        <f aca="false">IF(OR(CI12="",CJ12=""),"",DAYS360(CI12,CJ12)/7)</f>
        <v>48.7142857142857</v>
      </c>
      <c r="CP12" s="0" t="n">
        <f aca="false">IF(OR(CI12="",CJ12=""),"",DAYS360(CI12,CJ12))</f>
        <v>341</v>
      </c>
      <c r="CQ12" s="0" t="s">
        <v>240</v>
      </c>
      <c r="CR12" s="0" t="n">
        <v>1</v>
      </c>
      <c r="CT12" s="0" t="s">
        <v>221</v>
      </c>
      <c r="CU12" s="0" t="s">
        <v>221</v>
      </c>
      <c r="CV12" s="0" t="str">
        <f aca="false">IF(OR(CT12="",CT12="NO ESPECIFICA",CT12="NO MENCIONA"),"",IF(CU12=0,CT12,IF(CU12=1,CT12/30,IF(CU12=2,CT12/15,IF(CU12=3,CT12/7,"")))))</f>
        <v/>
      </c>
      <c r="CW12" s="125" t="n">
        <v>15000</v>
      </c>
      <c r="CX12" s="0" t="n">
        <v>1</v>
      </c>
      <c r="CY12" s="0" t="n">
        <f aca="false">IF(CW12="","",IF(CX12=0,CW12,IF(CX12=1,CW12/30,IF(CX12=2,CW12/15,IF(CX12=3,CW12/7,CW12)))))</f>
        <v>500</v>
      </c>
      <c r="CZ12" s="0" t="n">
        <f aca="false">IF(DI12&gt;0,DI12,IF(CY12&gt;0,CY12,IF(CV12&gt;0,CV12,"")))</f>
        <v>500</v>
      </c>
      <c r="DA12" s="0" t="n">
        <f aca="false">IF(DM12=1,CZ12/8,IF(OR(DM12=2,DM12=4),CZ12/7,IF(DM12=3,CZ12/7.5,"")))</f>
        <v>62.5</v>
      </c>
      <c r="DB12" s="0" t="s">
        <v>332</v>
      </c>
      <c r="DC12" s="0" t="s">
        <v>216</v>
      </c>
      <c r="DD12" s="0" t="s">
        <v>216</v>
      </c>
      <c r="DE12" s="0" t="s">
        <v>216</v>
      </c>
      <c r="DF12" s="0" t="s">
        <v>216</v>
      </c>
      <c r="DG12" s="0" t="s">
        <v>216</v>
      </c>
      <c r="DH12" s="0" t="n">
        <v>0</v>
      </c>
      <c r="DI12" s="126" t="n">
        <v>500</v>
      </c>
      <c r="DK12" s="0" t="n">
        <v>0</v>
      </c>
      <c r="DM12" s="0" t="n">
        <v>1</v>
      </c>
      <c r="DN12" s="0" t="n">
        <v>56</v>
      </c>
      <c r="DO12" s="0" t="n">
        <v>3</v>
      </c>
      <c r="DP12" s="0" t="n">
        <v>0</v>
      </c>
      <c r="DQ12" s="0" t="n">
        <v>1</v>
      </c>
      <c r="DR12" s="0"/>
      <c r="DS12" s="0" t="n">
        <v>1</v>
      </c>
      <c r="DU12" s="0" t="n">
        <v>1</v>
      </c>
      <c r="DW12" s="1" t="n">
        <v>40163</v>
      </c>
      <c r="DX12" s="1" t="n">
        <v>40509</v>
      </c>
      <c r="DZ12" s="0"/>
      <c r="EA12" s="0" t="n">
        <v>1</v>
      </c>
      <c r="EC12" s="1" t="n">
        <v>40163</v>
      </c>
      <c r="ED12" s="1" t="n">
        <v>40509</v>
      </c>
      <c r="EF12" s="0"/>
      <c r="EG12" s="0" t="n">
        <v>1</v>
      </c>
      <c r="EH12" s="0" t="n">
        <v>12</v>
      </c>
      <c r="EI12" s="0" t="n">
        <f aca="false">IF(AND(DM12=1,DN12&lt;=48),"",IF(AND(DM12=2,DN12&lt;=42),"",IF(AND(DM12=3,DN12&lt;=45),"",EH12)))</f>
        <v>12</v>
      </c>
      <c r="EJ12" s="0" t="n">
        <f aca="false">IF(EI12="","",IF(EI12&lt;9,EI12,9))</f>
        <v>9</v>
      </c>
      <c r="EK12" s="0" t="n">
        <f aca="false">IF(EI12="","",IF(EI12&gt;9,EI12-EJ12,0))</f>
        <v>3</v>
      </c>
      <c r="EL12" s="0" t="n">
        <f aca="false">IF(EI12="","",EJ12*DA12*2+EK12*DA12*3)</f>
        <v>1687.5</v>
      </c>
      <c r="EP12" s="0" t="n">
        <v>0</v>
      </c>
      <c r="EQ12" s="0"/>
      <c r="ER12" s="0" t="n">
        <v>0</v>
      </c>
      <c r="ET12" s="0" t="n">
        <v>0</v>
      </c>
      <c r="EV12" s="0" t="n">
        <v>0</v>
      </c>
      <c r="EX12" s="0" t="n">
        <v>1</v>
      </c>
      <c r="EY12" s="0" t="n">
        <v>0</v>
      </c>
      <c r="EZ12" s="0"/>
      <c r="FA12" s="4" t="n">
        <v>5000</v>
      </c>
      <c r="FB12" s="0" t="n">
        <v>0</v>
      </c>
      <c r="FF12" s="120" t="n">
        <f aca="false">(CJ12-CI12+1)/365</f>
        <v>0.950684931506849</v>
      </c>
      <c r="FG12" s="0" t="str">
        <f aca="false">CONCATENATE(F12,"/",G12)</f>
        <v>29/2011</v>
      </c>
      <c r="FH12" s="0" t="n">
        <v>0</v>
      </c>
      <c r="FI12" s="0" t="n">
        <v>0</v>
      </c>
    </row>
    <row r="13" customFormat="false" ht="15" hidden="false" customHeight="false" outlineLevel="0" collapsed="false">
      <c r="A13" s="5" t="str">
        <f aca="false">E13&amp;G13&amp;F13</f>
        <v>7201132</v>
      </c>
      <c r="B13" s="0" t="s">
        <v>203</v>
      </c>
      <c r="C13" s="1" t="n">
        <v>42408</v>
      </c>
      <c r="E13" s="0" t="n">
        <v>7</v>
      </c>
      <c r="F13" s="0" t="n">
        <v>32</v>
      </c>
      <c r="G13" s="0" t="n">
        <v>2011</v>
      </c>
      <c r="H13" s="0" t="str">
        <f aca="false">"J"&amp;E13&amp;"\"&amp;F13&amp;"\"&amp;G13&amp;"\"&amp;W13</f>
        <v>J7\32\2011\1</v>
      </c>
      <c r="I13" s="0"/>
      <c r="J13" s="1" t="n">
        <v>40548</v>
      </c>
      <c r="K13" s="0" t="n">
        <v>0</v>
      </c>
      <c r="M13" s="1" t="n">
        <v>40548</v>
      </c>
      <c r="N13" s="1" t="n">
        <v>40602</v>
      </c>
      <c r="O13" s="1"/>
      <c r="P13" s="1"/>
      <c r="Q13" s="1"/>
      <c r="T13" s="121"/>
      <c r="U13" s="121"/>
      <c r="V13" s="122" t="n">
        <f aca="false">IF(AND(E13&gt;0,F13&gt;0,G13&gt;0),COUNTIFS($E:$E,E13,$F:$F,F13,$G:$G,G13),"")</f>
        <v>1</v>
      </c>
      <c r="W13" s="122" t="n">
        <f aca="false">IF(V13="","",IF(V13=1,1,IF(AND(E12=E13,F12=F13,G12=G13),W12+1,1)))</f>
        <v>1</v>
      </c>
      <c r="X13" s="0" t="n">
        <v>1</v>
      </c>
      <c r="Y13" s="0" t="n">
        <v>8</v>
      </c>
      <c r="Z13" s="0" t="s">
        <v>333</v>
      </c>
      <c r="AA13" s="0" t="n">
        <v>0</v>
      </c>
      <c r="AB13" s="0" t="s">
        <v>334</v>
      </c>
      <c r="AC13" s="0" t="s">
        <v>318</v>
      </c>
      <c r="AD13" s="0" t="s">
        <v>229</v>
      </c>
      <c r="AE13" s="0" t="n">
        <v>0</v>
      </c>
      <c r="AF13" s="0" t="s">
        <v>335</v>
      </c>
      <c r="AG13" s="0" t="n">
        <v>0</v>
      </c>
      <c r="AH13" s="0" t="s">
        <v>336</v>
      </c>
      <c r="AI13" s="0" t="s">
        <v>337</v>
      </c>
      <c r="AJ13" s="0" t="s">
        <v>207</v>
      </c>
      <c r="AL13" s="0" t="s">
        <v>338</v>
      </c>
      <c r="AM13" s="0" t="n">
        <v>0</v>
      </c>
      <c r="AN13" s="0" t="s">
        <v>336</v>
      </c>
      <c r="AO13" s="0" t="s">
        <v>337</v>
      </c>
      <c r="AP13" s="0" t="s">
        <v>207</v>
      </c>
      <c r="AR13" s="0" t="s">
        <v>339</v>
      </c>
      <c r="AS13" s="0" t="n">
        <v>1</v>
      </c>
      <c r="AT13" s="0" t="s">
        <v>336</v>
      </c>
      <c r="AU13" s="0" t="s">
        <v>337</v>
      </c>
      <c r="AV13" s="0" t="s">
        <v>207</v>
      </c>
      <c r="AX13" s="0" t="s">
        <v>340</v>
      </c>
      <c r="AY13" s="0" t="n">
        <v>1</v>
      </c>
      <c r="AZ13" s="0" t="s">
        <v>336</v>
      </c>
      <c r="BA13" s="0" t="s">
        <v>337</v>
      </c>
      <c r="BB13" s="0" t="s">
        <v>207</v>
      </c>
      <c r="BD13" s="0" t="s">
        <v>341</v>
      </c>
      <c r="BE13" s="0" t="n">
        <v>1</v>
      </c>
      <c r="BF13" s="0" t="s">
        <v>336</v>
      </c>
      <c r="BG13" s="0" t="s">
        <v>337</v>
      </c>
      <c r="BH13" s="0" t="s">
        <v>207</v>
      </c>
      <c r="BJ13" s="0" t="s">
        <v>342</v>
      </c>
      <c r="BK13" s="0" t="n">
        <v>1</v>
      </c>
      <c r="BL13" s="0" t="s">
        <v>336</v>
      </c>
      <c r="BM13" s="0" t="s">
        <v>337</v>
      </c>
      <c r="BN13" s="0" t="s">
        <v>207</v>
      </c>
      <c r="BP13" s="0" t="n">
        <v>0</v>
      </c>
      <c r="BQ13" s="0" t="n">
        <v>0</v>
      </c>
      <c r="BR13" s="0" t="n">
        <v>1</v>
      </c>
      <c r="BS13" s="0" t="s">
        <v>343</v>
      </c>
      <c r="BT13" s="0" t="s">
        <v>344</v>
      </c>
      <c r="BU13" s="0" t="s">
        <v>345</v>
      </c>
      <c r="BV13" s="123"/>
      <c r="BW13" s="123"/>
      <c r="BX13" s="123"/>
      <c r="BY13" s="123"/>
      <c r="BZ13" s="0" t="n">
        <v>0</v>
      </c>
      <c r="CA13" s="0" t="s">
        <v>216</v>
      </c>
      <c r="CD13" s="0" t="s">
        <v>216</v>
      </c>
      <c r="CE13" s="0" t="n">
        <v>0</v>
      </c>
      <c r="CF13" s="0" t="s">
        <v>346</v>
      </c>
      <c r="CG13" s="0" t="s">
        <v>218</v>
      </c>
      <c r="CI13" s="1" t="n">
        <v>38286</v>
      </c>
      <c r="CJ13" s="1" t="n">
        <v>40485</v>
      </c>
      <c r="CK13" s="124" t="n">
        <v>0.416666666666667</v>
      </c>
      <c r="CL13" s="0" t="s">
        <v>340</v>
      </c>
      <c r="CM13" s="0" t="n">
        <f aca="false">IF(OR(CI13="",CJ13=""),"",DAYS360(CI13,CJ13)/360)</f>
        <v>6.01944444444445</v>
      </c>
      <c r="CN13" s="0" t="n">
        <f aca="false">IF(OR(CI13="",CJ13=""),"",DAYS360(CI13,CJ13)/30)</f>
        <v>72.2333333333333</v>
      </c>
      <c r="CO13" s="0" t="n">
        <f aca="false">IF(OR(CI13="",CJ13=""),"",DAYS360(CI13,CJ13)/7)</f>
        <v>309.571428571429</v>
      </c>
      <c r="CP13" s="0" t="n">
        <f aca="false">IF(OR(CI13="",CJ13=""),"",DAYS360(CI13,CJ13))</f>
        <v>2167</v>
      </c>
      <c r="CQ13" s="0" t="s">
        <v>240</v>
      </c>
      <c r="CR13" s="0" t="n">
        <v>1</v>
      </c>
      <c r="CT13" s="0" t="s">
        <v>221</v>
      </c>
      <c r="CU13" s="0" t="s">
        <v>221</v>
      </c>
      <c r="CV13" s="0" t="str">
        <f aca="false">IF(OR(CT13="",CT13="NO ESPECIFICA",CT13="NO MENCIONA"),"",IF(CU13=0,CT13,IF(CU13=1,CT13/30,IF(CU13=2,CT13/15,IF(CU13=3,CT13/7,"")))))</f>
        <v/>
      </c>
      <c r="CW13" s="125" t="n">
        <v>484.54</v>
      </c>
      <c r="CX13" s="0" t="n">
        <v>0</v>
      </c>
      <c r="CY13" s="0" t="n">
        <f aca="false">IF(CW13="","",IF(CX13=0,CW13,IF(CX13=1,CW13/30,IF(CX13=2,CW13/15,IF(CX13=3,CW13/7,CW13)))))</f>
        <v>484.54</v>
      </c>
      <c r="CZ13" s="0" t="n">
        <f aca="false">IF(DI13&gt;0,DI13,IF(CY13&gt;0,CY13,IF(CV13&gt;0,CV13,"")))</f>
        <v>484.54</v>
      </c>
      <c r="DA13" s="0" t="n">
        <f aca="false">IF(DM13=1,CZ13/8,IF(OR(DM13=2,DM13=4),CZ13/7,IF(DM13=3,CZ13/7.5,"")))</f>
        <v>60.5675</v>
      </c>
      <c r="DB13" s="0" t="s">
        <v>216</v>
      </c>
      <c r="DC13" s="0" t="s">
        <v>216</v>
      </c>
      <c r="DD13" s="0" t="s">
        <v>216</v>
      </c>
      <c r="DE13" s="0" t="s">
        <v>216</v>
      </c>
      <c r="DF13" s="0" t="s">
        <v>216</v>
      </c>
      <c r="DG13" s="0" t="s">
        <v>216</v>
      </c>
      <c r="DH13" s="0" t="n">
        <v>0</v>
      </c>
      <c r="DI13" s="126" t="n">
        <v>484.54</v>
      </c>
      <c r="DK13" s="0" t="n">
        <v>0</v>
      </c>
      <c r="DM13" s="0" t="n">
        <v>1</v>
      </c>
      <c r="DN13" s="0" t="n">
        <v>49</v>
      </c>
      <c r="DO13" s="0" t="n">
        <v>3</v>
      </c>
      <c r="DP13" s="0" t="n">
        <v>0</v>
      </c>
      <c r="DQ13" s="0" t="n">
        <v>1</v>
      </c>
      <c r="DR13" s="0"/>
      <c r="DS13" s="0" t="n">
        <v>1</v>
      </c>
      <c r="DU13" s="0" t="n">
        <v>1</v>
      </c>
      <c r="DW13" s="1" t="n">
        <v>40112</v>
      </c>
      <c r="DX13" s="1" t="n">
        <v>40485</v>
      </c>
      <c r="DZ13" s="0"/>
      <c r="EA13" s="0" t="n">
        <v>1</v>
      </c>
      <c r="EC13" s="1" t="n">
        <v>40179</v>
      </c>
      <c r="ED13" s="1" t="n">
        <v>40485</v>
      </c>
      <c r="EF13" s="0"/>
      <c r="EG13" s="0" t="n">
        <v>1</v>
      </c>
      <c r="EH13" s="0" t="s">
        <v>221</v>
      </c>
      <c r="EI13" s="0" t="str">
        <f aca="false">IF(AND(DM13=1,DN13&lt;=48),"",IF(AND(DM13=2,DN13&lt;=42),"",IF(AND(DM13=3,DN13&lt;=45),"",EH13)))</f>
        <v>NO ESPECIFICA</v>
      </c>
      <c r="EJ13" s="0" t="n">
        <f aca="false">IF(EI13="","",IF(EI13&lt;9,EI13,9))</f>
        <v>9</v>
      </c>
      <c r="EK13" s="0" t="e">
        <f aca="false">IF(EI13="","",IF(EI13&gt;9,EI13-EJ13,0))</f>
        <v>#VALUE!</v>
      </c>
      <c r="EL13" s="0" t="e">
        <f aca="false">IF(EI13="","",EJ13*DA13*2+EK13*DA13*3)</f>
        <v>#VALUE!</v>
      </c>
      <c r="EP13" s="0" t="n">
        <v>0</v>
      </c>
      <c r="EQ13" s="0"/>
      <c r="ER13" s="0" t="n">
        <v>0</v>
      </c>
      <c r="ET13" s="0" t="n">
        <v>0</v>
      </c>
      <c r="EV13" s="0" t="n">
        <v>0</v>
      </c>
      <c r="EX13" s="0" t="n">
        <v>0</v>
      </c>
      <c r="EY13" s="0" t="n">
        <v>1</v>
      </c>
      <c r="EZ13" s="0"/>
      <c r="FA13" s="4" t="n">
        <v>8721.72</v>
      </c>
      <c r="FB13" s="0" t="n">
        <v>0</v>
      </c>
      <c r="FF13" s="120" t="n">
        <f aca="false">(CJ13-CI13+1)/365</f>
        <v>6.02739726027397</v>
      </c>
      <c r="FG13" s="0" t="str">
        <f aca="false">CONCATENATE(F13,"/",G13)</f>
        <v>32/2011</v>
      </c>
      <c r="FH13" s="0" t="n">
        <v>0</v>
      </c>
      <c r="FI13" s="0" t="n">
        <v>0</v>
      </c>
    </row>
    <row r="14" customFormat="false" ht="15" hidden="false" customHeight="false" outlineLevel="0" collapsed="false">
      <c r="A14" s="5" t="str">
        <f aca="false">E14&amp;G14&amp;F14</f>
        <v>7201135</v>
      </c>
      <c r="B14" s="0" t="s">
        <v>203</v>
      </c>
      <c r="C14" s="1" t="n">
        <v>42408</v>
      </c>
      <c r="E14" s="0" t="n">
        <v>7</v>
      </c>
      <c r="F14" s="0" t="n">
        <v>35</v>
      </c>
      <c r="G14" s="0" t="n">
        <v>2011</v>
      </c>
      <c r="H14" s="0" t="str">
        <f aca="false">"J"&amp;E14&amp;"\"&amp;F14&amp;"\"&amp;G14&amp;"\"&amp;W14</f>
        <v>J7\35\2011\1</v>
      </c>
      <c r="I14" s="0"/>
      <c r="J14" s="1" t="n">
        <v>40548</v>
      </c>
      <c r="K14" s="0" t="n">
        <v>0</v>
      </c>
      <c r="M14" s="1" t="n">
        <v>40548</v>
      </c>
      <c r="N14" s="1" t="n">
        <v>40603</v>
      </c>
      <c r="O14" s="1"/>
      <c r="P14" s="1"/>
      <c r="Q14" s="1"/>
      <c r="T14" s="121"/>
      <c r="U14" s="121"/>
      <c r="V14" s="122" t="n">
        <f aca="false">IF(AND(E14&gt;0,F14&gt;0,G14&gt;0),COUNTIFS($E:$E,E14,$F:$F,F14,$G:$G,G14),"")</f>
        <v>1</v>
      </c>
      <c r="W14" s="122" t="n">
        <f aca="false">IF(V14="","",IF(V14=1,1,IF(AND(E13=E14,F13=F14,G13=G14),W13+1,1)))</f>
        <v>1</v>
      </c>
      <c r="X14" s="0" t="n">
        <v>1</v>
      </c>
      <c r="Y14" s="0" t="n">
        <v>3</v>
      </c>
      <c r="Z14" s="0" t="s">
        <v>347</v>
      </c>
      <c r="AA14" s="0" t="n">
        <v>0</v>
      </c>
      <c r="AB14" s="0" t="s">
        <v>348</v>
      </c>
      <c r="AC14" s="0" t="s">
        <v>216</v>
      </c>
      <c r="AD14" s="0" t="s">
        <v>216</v>
      </c>
      <c r="AE14" s="0" t="n">
        <v>0</v>
      </c>
      <c r="AF14" s="0" t="s">
        <v>349</v>
      </c>
      <c r="AG14" s="0" t="n">
        <v>0</v>
      </c>
      <c r="AH14" s="0" t="s">
        <v>350</v>
      </c>
      <c r="AI14" s="0" t="s">
        <v>351</v>
      </c>
      <c r="AJ14" s="0" t="s">
        <v>352</v>
      </c>
      <c r="AL14" s="0" t="s">
        <v>353</v>
      </c>
      <c r="AM14" s="0" t="n">
        <v>1</v>
      </c>
      <c r="AN14" s="0" t="s">
        <v>350</v>
      </c>
      <c r="AO14" s="0" t="s">
        <v>351</v>
      </c>
      <c r="AP14" s="0" t="s">
        <v>352</v>
      </c>
      <c r="AR14" s="0" t="s">
        <v>213</v>
      </c>
      <c r="AS14" s="0" t="n">
        <v>1</v>
      </c>
      <c r="AT14" s="0" t="s">
        <v>350</v>
      </c>
      <c r="AU14" s="0" t="s">
        <v>351</v>
      </c>
      <c r="AV14" s="0" t="s">
        <v>352</v>
      </c>
      <c r="BP14" s="0" t="n">
        <v>0</v>
      </c>
      <c r="BQ14" s="0" t="n">
        <v>0</v>
      </c>
      <c r="BR14" s="0" t="n">
        <v>3</v>
      </c>
      <c r="BS14" s="0" t="s">
        <v>354</v>
      </c>
      <c r="BT14" s="0" t="s">
        <v>355</v>
      </c>
      <c r="BU14" s="0" t="s">
        <v>356</v>
      </c>
      <c r="BV14" s="123"/>
      <c r="BW14" s="123"/>
      <c r="BX14" s="123"/>
      <c r="BY14" s="123"/>
      <c r="BZ14" s="0" t="n">
        <v>0</v>
      </c>
      <c r="CA14" s="0" t="s">
        <v>348</v>
      </c>
      <c r="CD14" s="0" t="s">
        <v>357</v>
      </c>
      <c r="CE14" s="0" t="n">
        <v>0</v>
      </c>
      <c r="CF14" s="0" t="s">
        <v>358</v>
      </c>
      <c r="CG14" s="0" t="s">
        <v>218</v>
      </c>
      <c r="CI14" s="1" t="n">
        <v>40452</v>
      </c>
      <c r="CJ14" s="1" t="n">
        <v>40487</v>
      </c>
      <c r="CK14" s="124" t="n">
        <v>0.5</v>
      </c>
      <c r="CL14" s="0" t="s">
        <v>353</v>
      </c>
      <c r="CM14" s="0" t="n">
        <f aca="false">IF(OR(CI14="",CJ14=""),"",DAYS360(CI14,CJ14)/360)</f>
        <v>0.0944444444444444</v>
      </c>
      <c r="CN14" s="0" t="n">
        <f aca="false">IF(OR(CI14="",CJ14=""),"",DAYS360(CI14,CJ14)/30)</f>
        <v>1.13333333333333</v>
      </c>
      <c r="CO14" s="0" t="n">
        <f aca="false">IF(OR(CI14="",CJ14=""),"",DAYS360(CI14,CJ14)/7)</f>
        <v>4.85714285714286</v>
      </c>
      <c r="CP14" s="0" t="n">
        <f aca="false">IF(OR(CI14="",CJ14=""),"",DAYS360(CI14,CJ14))</f>
        <v>34</v>
      </c>
      <c r="CQ14" s="0" t="s">
        <v>240</v>
      </c>
      <c r="CR14" s="0" t="n">
        <v>1</v>
      </c>
      <c r="CT14" s="0" t="n">
        <v>200</v>
      </c>
      <c r="CU14" s="0" t="n">
        <v>0</v>
      </c>
      <c r="CV14" s="0" t="n">
        <f aca="false">IF(OR(CT14="",CT14="NO ESPECIFICA",CT14="NO MENCIONA"),"",IF(CU14=0,CT14,IF(CU14=1,CT14/30,IF(CU14=2,CT14/15,IF(CU14=3,CT14/7,"")))))</f>
        <v>200</v>
      </c>
      <c r="CW14" s="125" t="n">
        <v>209.04</v>
      </c>
      <c r="CX14" s="0" t="n">
        <v>0</v>
      </c>
      <c r="CY14" s="0" t="n">
        <f aca="false">IF(CW14="","",IF(CX14=0,CW14,IF(CX14=1,CW14/30,IF(CX14=2,CW14/15,IF(CX14=3,CW14/7,CW14)))))</f>
        <v>209.04</v>
      </c>
      <c r="CZ14" s="0" t="n">
        <f aca="false">IF(DI14&gt;0,DI14,IF(CY14&gt;0,CY14,IF(CV14&gt;0,CV14,"")))</f>
        <v>209.04</v>
      </c>
      <c r="DA14" s="0" t="n">
        <f aca="false">IF(DM14=1,CZ14/8,IF(OR(DM14=2,DM14=4),CZ14/7,IF(DM14=3,CZ14/7.5,"")))</f>
        <v>26.13</v>
      </c>
      <c r="DB14" s="0" t="s">
        <v>303</v>
      </c>
      <c r="DC14" s="0" t="s">
        <v>301</v>
      </c>
      <c r="DD14" s="0" t="s">
        <v>216</v>
      </c>
      <c r="DE14" s="0" t="s">
        <v>216</v>
      </c>
      <c r="DF14" s="0" t="s">
        <v>216</v>
      </c>
      <c r="DG14" s="0" t="s">
        <v>216</v>
      </c>
      <c r="DH14" s="0" t="n">
        <v>0</v>
      </c>
      <c r="DI14" s="126" t="n">
        <v>209.04</v>
      </c>
      <c r="DK14" s="0" t="n">
        <v>0</v>
      </c>
      <c r="DM14" s="0" t="n">
        <v>1</v>
      </c>
      <c r="DN14" s="0" t="n">
        <v>45</v>
      </c>
      <c r="DO14" s="0" t="n">
        <v>3</v>
      </c>
      <c r="DP14" s="0" t="n">
        <v>0</v>
      </c>
      <c r="DQ14" s="0" t="n">
        <v>1</v>
      </c>
      <c r="DR14" s="0"/>
      <c r="DS14" s="0" t="n">
        <v>1</v>
      </c>
      <c r="DU14" s="0" t="n">
        <v>1</v>
      </c>
      <c r="DW14" s="1" t="n">
        <v>40452</v>
      </c>
      <c r="DX14" s="1" t="n">
        <v>40487</v>
      </c>
      <c r="DZ14" s="0"/>
      <c r="EA14" s="0" t="n">
        <v>1</v>
      </c>
      <c r="EC14" s="1" t="n">
        <v>40452</v>
      </c>
      <c r="ED14" s="1" t="n">
        <v>40487</v>
      </c>
      <c r="EF14" s="0"/>
      <c r="EG14" s="0" t="n">
        <v>0</v>
      </c>
      <c r="EI14" s="0" t="str">
        <f aca="false">IF(AND(DM14=1,DN14&lt;=48),"",IF(AND(DM14=2,DN14&lt;=42),"",IF(AND(DM14=3,DN14&lt;=45),"",EH14)))</f>
        <v/>
      </c>
      <c r="EJ14" s="0" t="str">
        <f aca="false">IF(EI14="","",IF(EI14&lt;9,EI14,9))</f>
        <v/>
      </c>
      <c r="EK14" s="0" t="str">
        <f aca="false">IF(EI14="","",IF(EI14&gt;9,EI14-EJ14,0))</f>
        <v/>
      </c>
      <c r="EL14" s="0" t="str">
        <f aca="false">IF(EI14="","",EJ14*DA14*2+EK14*DA14*3)</f>
        <v/>
      </c>
      <c r="EP14" s="0" t="n">
        <v>0</v>
      </c>
      <c r="EQ14" s="0"/>
      <c r="ER14" s="0" t="n">
        <v>0</v>
      </c>
      <c r="ET14" s="0" t="n">
        <v>0</v>
      </c>
      <c r="EV14" s="0" t="n">
        <v>0</v>
      </c>
      <c r="EX14" s="0" t="n">
        <v>1</v>
      </c>
      <c r="EY14" s="0" t="n">
        <v>0</v>
      </c>
      <c r="EZ14" s="0"/>
      <c r="FA14" s="0"/>
      <c r="FB14" s="0" t="n">
        <v>0</v>
      </c>
      <c r="FF14" s="120" t="n">
        <f aca="false">(CJ14-CI14+1)/365</f>
        <v>0.0986301369863014</v>
      </c>
      <c r="FG14" s="0" t="str">
        <f aca="false">CONCATENATE(F14,"/",G14)</f>
        <v>35/2011</v>
      </c>
      <c r="FH14" s="0" t="n">
        <v>0</v>
      </c>
      <c r="FI14" s="0" t="n">
        <v>0</v>
      </c>
    </row>
    <row r="15" customFormat="false" ht="15" hidden="false" customHeight="false" outlineLevel="0" collapsed="false">
      <c r="A15" s="5" t="str">
        <f aca="false">E15&amp;G15&amp;F15</f>
        <v>7201137</v>
      </c>
      <c r="B15" s="0" t="s">
        <v>203</v>
      </c>
      <c r="C15" s="1" t="n">
        <v>42408</v>
      </c>
      <c r="E15" s="0" t="n">
        <v>7</v>
      </c>
      <c r="F15" s="0" t="n">
        <v>37</v>
      </c>
      <c r="G15" s="0" t="n">
        <v>2011</v>
      </c>
      <c r="H15" s="0" t="str">
        <f aca="false">"J"&amp;E15&amp;"\"&amp;F15&amp;"\"&amp;G15&amp;"\"&amp;W15</f>
        <v>J7\37\2011\1</v>
      </c>
      <c r="I15" s="0"/>
      <c r="J15" s="1" t="n">
        <v>40549</v>
      </c>
      <c r="K15" s="0" t="n">
        <v>0</v>
      </c>
      <c r="M15" s="1"/>
      <c r="N15" s="1"/>
      <c r="O15" s="1"/>
      <c r="P15" s="1"/>
      <c r="Q15" s="1"/>
      <c r="T15" s="121"/>
      <c r="U15" s="121"/>
      <c r="V15" s="122" t="n">
        <f aca="false">IF(AND(E15&gt;0,F15&gt;0,G15&gt;0),COUNTIFS($E:$E,E15,$F:$F,F15,$G:$G,G15),"")</f>
        <v>1</v>
      </c>
      <c r="W15" s="122" t="n">
        <f aca="false">IF(V15="","",IF(V15=1,1,IF(AND(E14=E15,F14=F15,G14=G15),W14+1,1)))</f>
        <v>1</v>
      </c>
      <c r="X15" s="0" t="n">
        <v>1</v>
      </c>
      <c r="Y15" s="0" t="n">
        <v>3</v>
      </c>
      <c r="Z15" s="0" t="s">
        <v>359</v>
      </c>
      <c r="AA15" s="0" t="n">
        <v>0</v>
      </c>
      <c r="AB15" s="0" t="s">
        <v>360</v>
      </c>
      <c r="AC15" s="0" t="s">
        <v>318</v>
      </c>
      <c r="AD15" s="0" t="s">
        <v>229</v>
      </c>
      <c r="AE15" s="0" t="n">
        <v>0</v>
      </c>
      <c r="AF15" s="0" t="s">
        <v>361</v>
      </c>
      <c r="AG15" s="0" t="n">
        <v>0</v>
      </c>
      <c r="AH15" s="0" t="s">
        <v>362</v>
      </c>
      <c r="AI15" s="0" t="s">
        <v>363</v>
      </c>
      <c r="AJ15" s="0" t="s">
        <v>352</v>
      </c>
      <c r="AL15" s="0" t="s">
        <v>364</v>
      </c>
      <c r="AM15" s="0" t="n">
        <v>1</v>
      </c>
      <c r="AN15" s="0" t="s">
        <v>362</v>
      </c>
      <c r="AO15" s="0" t="s">
        <v>363</v>
      </c>
      <c r="AP15" s="0" t="s">
        <v>352</v>
      </c>
      <c r="AR15" s="0" t="s">
        <v>365</v>
      </c>
      <c r="AS15" s="0" t="n">
        <v>1</v>
      </c>
      <c r="AT15" s="0" t="s">
        <v>362</v>
      </c>
      <c r="AU15" s="0" t="s">
        <v>363</v>
      </c>
      <c r="AV15" s="0" t="s">
        <v>352</v>
      </c>
      <c r="BP15" s="0" t="n">
        <v>0</v>
      </c>
      <c r="BQ15" s="0" t="n">
        <v>0</v>
      </c>
      <c r="BR15" s="0" t="n">
        <v>1</v>
      </c>
      <c r="BS15" s="0" t="s">
        <v>366</v>
      </c>
      <c r="BT15" s="0" t="s">
        <v>367</v>
      </c>
      <c r="BU15" s="0" t="s">
        <v>368</v>
      </c>
      <c r="BV15" s="123"/>
      <c r="BW15" s="123"/>
      <c r="BX15" s="123"/>
      <c r="BY15" s="123"/>
      <c r="BZ15" s="0" t="n">
        <v>0</v>
      </c>
      <c r="CA15" s="0" t="s">
        <v>369</v>
      </c>
      <c r="CD15" s="0" t="s">
        <v>370</v>
      </c>
      <c r="CE15" s="0" t="n">
        <v>0</v>
      </c>
      <c r="CF15" s="0" t="s">
        <v>371</v>
      </c>
      <c r="CG15" s="0" t="s">
        <v>218</v>
      </c>
      <c r="CI15" s="1" t="n">
        <v>38900</v>
      </c>
      <c r="CJ15" s="1" t="n">
        <v>40518</v>
      </c>
      <c r="CK15" s="124" t="n">
        <v>0.458333333333333</v>
      </c>
      <c r="CL15" s="0" t="s">
        <v>364</v>
      </c>
      <c r="CM15" s="0" t="n">
        <f aca="false">IF(OR(CI15="",CJ15=""),"",DAYS360(CI15,CJ15)/360)</f>
        <v>4.42777777777778</v>
      </c>
      <c r="CN15" s="0" t="n">
        <f aca="false">IF(OR(CI15="",CJ15=""),"",DAYS360(CI15,CJ15)/30)</f>
        <v>53.1333333333333</v>
      </c>
      <c r="CO15" s="0" t="n">
        <f aca="false">IF(OR(CI15="",CJ15=""),"",DAYS360(CI15,CJ15)/7)</f>
        <v>227.714285714286</v>
      </c>
      <c r="CP15" s="0" t="n">
        <f aca="false">IF(OR(CI15="",CJ15=""),"",DAYS360(CI15,CJ15))</f>
        <v>1594</v>
      </c>
      <c r="CQ15" s="0" t="s">
        <v>220</v>
      </c>
      <c r="CR15" s="0" t="n">
        <v>1</v>
      </c>
      <c r="CT15" s="0" t="s">
        <v>221</v>
      </c>
      <c r="CU15" s="0" t="s">
        <v>221</v>
      </c>
      <c r="CV15" s="0" t="str">
        <f aca="false">IF(OR(CT15="",CT15="NO ESPECIFICA",CT15="NO MENCIONA"),"",IF(CU15=0,CT15,IF(CU15=1,CT15/30,IF(CU15=2,CT15/15,IF(CU15=3,CT15/7,"")))))</f>
        <v/>
      </c>
      <c r="CW15" s="125" t="n">
        <v>3000</v>
      </c>
      <c r="CX15" s="0" t="n">
        <v>2</v>
      </c>
      <c r="CY15" s="0" t="n">
        <f aca="false">IF(CW15="","",IF(CX15=0,CW15,IF(CX15=1,CW15/30,IF(CX15=2,CW15/15,IF(CX15=3,CW15/7,CW15)))))</f>
        <v>200</v>
      </c>
      <c r="CZ15" s="0" t="n">
        <f aca="false">IF(DI15&gt;0,DI15,IF(CY15&gt;0,CY15,IF(CV15&gt;0,CV15,"")))</f>
        <v>333.33</v>
      </c>
      <c r="DA15" s="0" t="n">
        <f aca="false">IF(DM15=1,CZ15/8,IF(OR(DM15=2,DM15=4),CZ15/7,IF(DM15=3,CZ15/7.5,"")))</f>
        <v>41.66625</v>
      </c>
      <c r="DB15" s="0" t="s">
        <v>259</v>
      </c>
      <c r="DC15" s="0" t="s">
        <v>372</v>
      </c>
      <c r="DD15" s="0" t="s">
        <v>373</v>
      </c>
      <c r="DE15" s="0" t="s">
        <v>299</v>
      </c>
      <c r="DF15" s="0" t="s">
        <v>374</v>
      </c>
      <c r="DG15" s="0" t="s">
        <v>375</v>
      </c>
      <c r="DH15" s="0" t="n">
        <v>0</v>
      </c>
      <c r="DI15" s="126" t="n">
        <v>333.33</v>
      </c>
      <c r="DK15" s="0" t="n">
        <v>0</v>
      </c>
      <c r="DM15" s="0" t="n">
        <v>1</v>
      </c>
      <c r="DN15" s="0" t="n">
        <v>40</v>
      </c>
      <c r="DO15" s="0" t="n">
        <v>3</v>
      </c>
      <c r="DP15" s="0" t="n">
        <v>1</v>
      </c>
      <c r="DQ15" s="0" t="n">
        <v>1</v>
      </c>
      <c r="DR15" s="0"/>
      <c r="DS15" s="0" t="n">
        <v>1</v>
      </c>
      <c r="DU15" s="0" t="n">
        <v>1</v>
      </c>
      <c r="DW15" s="1" t="n">
        <v>38900</v>
      </c>
      <c r="DX15" s="1" t="n">
        <v>40518</v>
      </c>
      <c r="DZ15" s="0"/>
      <c r="EA15" s="0" t="n">
        <v>1</v>
      </c>
      <c r="EC15" s="1" t="n">
        <v>38900</v>
      </c>
      <c r="ED15" s="1" t="n">
        <v>40518</v>
      </c>
      <c r="EF15" s="0"/>
      <c r="EG15" s="0" t="n">
        <v>1</v>
      </c>
      <c r="EH15" s="0" t="n">
        <v>10</v>
      </c>
      <c r="EI15" s="0" t="str">
        <f aca="false">IF(AND(DM15=1,DN15&lt;=48),"",IF(AND(DM15=2,DN15&lt;=42),"",IF(AND(DM15=3,DN15&lt;=45),"",EH15)))</f>
        <v/>
      </c>
      <c r="EJ15" s="0" t="str">
        <f aca="false">IF(EI15="","",IF(EI15&lt;9,EI15,9))</f>
        <v/>
      </c>
      <c r="EK15" s="0" t="str">
        <f aca="false">IF(EI15="","",IF(EI15&gt;9,EI15-EJ15,0))</f>
        <v/>
      </c>
      <c r="EL15" s="0" t="str">
        <f aca="false">IF(EI15="","",EJ15*DA15*2+EK15*DA15*3)</f>
        <v/>
      </c>
      <c r="EP15" s="0" t="n">
        <v>0</v>
      </c>
      <c r="EQ15" s="0"/>
      <c r="ER15" s="0" t="n">
        <v>0</v>
      </c>
      <c r="ET15" s="0" t="n">
        <v>0</v>
      </c>
      <c r="EV15" s="0" t="n">
        <v>0</v>
      </c>
      <c r="EX15" s="0" t="n">
        <v>1</v>
      </c>
      <c r="EY15" s="0" t="n">
        <v>0</v>
      </c>
      <c r="EZ15" s="0"/>
      <c r="FA15" s="0"/>
      <c r="FB15" s="0" t="n">
        <v>1</v>
      </c>
      <c r="FF15" s="120" t="n">
        <f aca="false">(CJ15-CI15+1)/365</f>
        <v>4.43561643835616</v>
      </c>
      <c r="FG15" s="0" t="str">
        <f aca="false">CONCATENATE(F15,"/",G15)</f>
        <v>37/2011</v>
      </c>
      <c r="FH15" s="0" t="n">
        <v>0</v>
      </c>
      <c r="FI15" s="0" t="n">
        <v>0</v>
      </c>
    </row>
    <row r="16" customFormat="false" ht="15" hidden="false" customHeight="false" outlineLevel="0" collapsed="false">
      <c r="A16" s="5" t="str">
        <f aca="false">E16&amp;G16&amp;F16</f>
        <v>7201139</v>
      </c>
      <c r="B16" s="0" t="s">
        <v>203</v>
      </c>
      <c r="C16" s="1" t="n">
        <v>42408</v>
      </c>
      <c r="D16" s="0" t="s">
        <v>376</v>
      </c>
      <c r="E16" s="0" t="n">
        <v>7</v>
      </c>
      <c r="F16" s="0" t="n">
        <v>39</v>
      </c>
      <c r="G16" s="0" t="n">
        <v>2011</v>
      </c>
      <c r="H16" s="0" t="str">
        <f aca="false">"J"&amp;E16&amp;"\"&amp;F16&amp;"\"&amp;G16&amp;"\"&amp;W16</f>
        <v>J7\39\2011\1</v>
      </c>
      <c r="I16" s="0"/>
      <c r="J16" s="1" t="n">
        <v>40549</v>
      </c>
      <c r="K16" s="0" t="n">
        <v>0</v>
      </c>
      <c r="M16" s="1" t="n">
        <v>40549</v>
      </c>
      <c r="N16" s="1" t="n">
        <v>40604</v>
      </c>
      <c r="O16" s="1"/>
      <c r="P16" s="1"/>
      <c r="Q16" s="1"/>
      <c r="T16" s="121"/>
      <c r="U16" s="121"/>
      <c r="V16" s="122" t="n">
        <f aca="false">IF(AND(E16&gt;0,F16&gt;0,G16&gt;0),COUNTIFS($E:$E,E16,$F:$F,F16,$G:$G,G16),"")</f>
        <v>2</v>
      </c>
      <c r="W16" s="122" t="n">
        <f aca="false">IF(V16="","",IF(V16=1,1,IF(AND(E15=E16,F15=F16,G15=G16),W15+1,1)))</f>
        <v>1</v>
      </c>
      <c r="X16" s="0" t="n">
        <v>2</v>
      </c>
      <c r="Y16" s="0" t="n">
        <v>6</v>
      </c>
      <c r="Z16" s="0" t="s">
        <v>377</v>
      </c>
      <c r="AA16" s="0" t="n">
        <v>0</v>
      </c>
      <c r="AB16" s="0" t="s">
        <v>273</v>
      </c>
      <c r="AC16" s="0" t="s">
        <v>318</v>
      </c>
      <c r="AD16" s="0" t="s">
        <v>221</v>
      </c>
      <c r="AE16" s="0" t="n">
        <v>0</v>
      </c>
      <c r="AF16" s="0" t="s">
        <v>378</v>
      </c>
      <c r="AG16" s="0" t="n">
        <v>0</v>
      </c>
      <c r="AH16" s="0" t="s">
        <v>379</v>
      </c>
      <c r="AI16" s="0" t="s">
        <v>380</v>
      </c>
      <c r="AJ16" s="0" t="s">
        <v>322</v>
      </c>
      <c r="AL16" s="0" t="s">
        <v>381</v>
      </c>
      <c r="AM16" s="0" t="n">
        <v>1</v>
      </c>
      <c r="AN16" s="0" t="s">
        <v>379</v>
      </c>
      <c r="AO16" s="0" t="s">
        <v>380</v>
      </c>
      <c r="AP16" s="0" t="s">
        <v>322</v>
      </c>
      <c r="AR16" s="0" t="s">
        <v>382</v>
      </c>
      <c r="AS16" s="0" t="n">
        <v>0</v>
      </c>
      <c r="AT16" s="0" t="s">
        <v>379</v>
      </c>
      <c r="AU16" s="0" t="s">
        <v>380</v>
      </c>
      <c r="AV16" s="0" t="s">
        <v>322</v>
      </c>
      <c r="AX16" s="0" t="s">
        <v>383</v>
      </c>
      <c r="AY16" s="0" t="n">
        <v>1</v>
      </c>
      <c r="AZ16" s="0" t="s">
        <v>379</v>
      </c>
      <c r="BA16" s="0" t="s">
        <v>380</v>
      </c>
      <c r="BB16" s="0" t="s">
        <v>322</v>
      </c>
      <c r="BD16" s="0" t="s">
        <v>384</v>
      </c>
      <c r="BE16" s="0" t="n">
        <v>1</v>
      </c>
      <c r="BF16" s="0" t="s">
        <v>379</v>
      </c>
      <c r="BG16" s="0" t="s">
        <v>380</v>
      </c>
      <c r="BH16" s="0" t="s">
        <v>322</v>
      </c>
      <c r="BJ16" s="0" t="s">
        <v>213</v>
      </c>
      <c r="BK16" s="0" t="n">
        <v>1</v>
      </c>
      <c r="BL16" s="0" t="s">
        <v>379</v>
      </c>
      <c r="BM16" s="0" t="s">
        <v>380</v>
      </c>
      <c r="BN16" s="0" t="s">
        <v>322</v>
      </c>
      <c r="BP16" s="0" t="n">
        <v>0</v>
      </c>
      <c r="BQ16" s="0" t="n">
        <v>0</v>
      </c>
      <c r="BR16" s="0" t="n">
        <v>1</v>
      </c>
      <c r="BS16" s="0" t="s">
        <v>279</v>
      </c>
      <c r="BT16" s="0" t="s">
        <v>280</v>
      </c>
      <c r="BU16" s="0" t="s">
        <v>281</v>
      </c>
      <c r="BV16" s="123"/>
      <c r="BW16" s="123"/>
      <c r="BX16" s="123"/>
      <c r="BY16" s="123"/>
      <c r="BZ16" s="0" t="n">
        <v>0</v>
      </c>
      <c r="CA16" s="0" t="s">
        <v>282</v>
      </c>
      <c r="CD16" s="0" t="s">
        <v>357</v>
      </c>
      <c r="CE16" s="0" t="s">
        <v>216</v>
      </c>
      <c r="CF16" s="0" t="s">
        <v>216</v>
      </c>
      <c r="CG16" s="0" t="s">
        <v>218</v>
      </c>
      <c r="CI16" s="1" t="s">
        <v>216</v>
      </c>
      <c r="CJ16" s="1" t="s">
        <v>216</v>
      </c>
      <c r="CK16" s="124" t="s">
        <v>216</v>
      </c>
      <c r="CL16" s="0" t="s">
        <v>216</v>
      </c>
      <c r="CM16" s="0" t="e">
        <f aca="false">IF(OR(CI16="",CJ16=""),"",DAYS360(CI16,CJ16)/360)</f>
        <v>#VALUE!</v>
      </c>
      <c r="CN16" s="0" t="e">
        <f aca="false">IF(OR(CI16="",CJ16=""),"",DAYS360(CI16,CJ16)/30)</f>
        <v>#VALUE!</v>
      </c>
      <c r="CO16" s="0" t="e">
        <f aca="false">IF(OR(CI16="",CJ16=""),"",DAYS360(CI16,CJ16)/7)</f>
        <v>#VALUE!</v>
      </c>
      <c r="CP16" s="0" t="e">
        <f aca="false">IF(OR(CI16="",CJ16=""),"",DAYS360(CI16,CJ16))</f>
        <v>#VALUE!</v>
      </c>
      <c r="CQ16" s="0" t="s">
        <v>240</v>
      </c>
      <c r="CR16" s="0" t="n">
        <v>5</v>
      </c>
      <c r="CS16" s="0" t="s">
        <v>216</v>
      </c>
      <c r="CT16" s="0" t="s">
        <v>221</v>
      </c>
      <c r="CU16" s="0" t="s">
        <v>221</v>
      </c>
      <c r="CV16" s="0" t="str">
        <f aca="false">IF(OR(CT16="",CT16="NO ESPECIFICA",CT16="NO MENCIONA"),"",IF(CU16=0,CT16,IF(CU16=1,CT16/30,IF(CU16=2,CT16/15,IF(CU16=3,CT16/7,"")))))</f>
        <v/>
      </c>
      <c r="CW16" s="125" t="s">
        <v>216</v>
      </c>
      <c r="CX16" s="0" t="s">
        <v>216</v>
      </c>
      <c r="CY16" s="0" t="str">
        <f aca="false">IF(CW16="","",IF(CX16=0,CW16,IF(CX16=1,CW16/30,IF(CX16=2,CW16/15,IF(CX16=3,CW16/7,CW16)))))</f>
        <v>NO MENCIONA</v>
      </c>
      <c r="CZ16" s="0" t="str">
        <f aca="false">IF(DI16&gt;0,DI16,IF(CY16&gt;0,CY16,IF(CV16&gt;0,CV16,"")))</f>
        <v>NO MENCIONA</v>
      </c>
      <c r="DA16" s="0" t="str">
        <f aca="false">IF(DM16=1,CZ16/8,IF(OR(DM16=2,DM16=4),CZ16/7,IF(DM16=3,CZ16/7.5,"")))</f>
        <v/>
      </c>
      <c r="DB16" s="0" t="s">
        <v>216</v>
      </c>
      <c r="DC16" s="0" t="s">
        <v>216</v>
      </c>
      <c r="DD16" s="0" t="s">
        <v>216</v>
      </c>
      <c r="DE16" s="0" t="s">
        <v>216</v>
      </c>
      <c r="DF16" s="0" t="s">
        <v>216</v>
      </c>
      <c r="DG16" s="0" t="s">
        <v>216</v>
      </c>
      <c r="DH16" s="0" t="n">
        <v>0</v>
      </c>
      <c r="DI16" s="126" t="s">
        <v>216</v>
      </c>
      <c r="DK16" s="0" t="n">
        <v>0</v>
      </c>
      <c r="DM16" s="0" t="s">
        <v>385</v>
      </c>
      <c r="DN16" s="0" t="s">
        <v>216</v>
      </c>
      <c r="DO16" s="0" t="s">
        <v>216</v>
      </c>
      <c r="DP16" s="0" t="n">
        <v>0</v>
      </c>
      <c r="DQ16" s="0" t="n">
        <v>1</v>
      </c>
      <c r="DR16" s="0"/>
      <c r="DS16" s="0" t="n">
        <v>1</v>
      </c>
      <c r="DU16" s="0" t="n">
        <v>1</v>
      </c>
      <c r="DW16" s="1" t="n">
        <v>39675</v>
      </c>
      <c r="DX16" s="1" t="n">
        <v>40546</v>
      </c>
      <c r="DZ16" s="0"/>
      <c r="EA16" s="0" t="n">
        <v>1</v>
      </c>
      <c r="EC16" s="1" t="n">
        <v>40179</v>
      </c>
      <c r="ED16" s="1" t="n">
        <v>40546</v>
      </c>
      <c r="EF16" s="0"/>
      <c r="EG16" s="0" t="n">
        <v>0</v>
      </c>
      <c r="EI16" s="0" t="n">
        <f aca="false">IF(AND(DM16=1,DN16&lt;=48),"",IF(AND(DM16=2,DN16&lt;=42),"",IF(AND(DM16=3,DN16&lt;=45),"",EH16)))</f>
        <v>0</v>
      </c>
      <c r="EJ16" s="0" t="str">
        <f aca="false">IF(EI16="","",IF(EI16&lt;9,EI16,9))</f>
        <v/>
      </c>
      <c r="EK16" s="0" t="str">
        <f aca="false">IF(EI16="","",IF(EI16&gt;9,EI16-EJ16,0))</f>
        <v/>
      </c>
      <c r="EL16" s="0" t="str">
        <f aca="false">IF(EI16="","",EJ16*DA16*2+EK16*DA16*3)</f>
        <v/>
      </c>
      <c r="EP16" s="0" t="n">
        <v>0</v>
      </c>
      <c r="EQ16" s="0"/>
      <c r="ER16" s="0" t="n">
        <v>0</v>
      </c>
      <c r="ET16" s="0" t="n">
        <v>0</v>
      </c>
      <c r="EV16" s="0" t="n">
        <v>0</v>
      </c>
      <c r="EX16" s="0" t="n">
        <v>0</v>
      </c>
      <c r="EY16" s="0" t="n">
        <v>0</v>
      </c>
      <c r="EZ16" s="0"/>
      <c r="FA16" s="0"/>
      <c r="FB16" s="0" t="n">
        <v>0</v>
      </c>
      <c r="FF16" s="120" t="e">
        <f aca="false">(CJ16-CI16+1)/365</f>
        <v>#VALUE!</v>
      </c>
      <c r="FG16" s="0" t="str">
        <f aca="false">CONCATENATE(F16,"/",G16)</f>
        <v>39/2011</v>
      </c>
      <c r="FH16" s="0" t="n">
        <v>0</v>
      </c>
      <c r="FI16" s="0" t="n">
        <v>0</v>
      </c>
    </row>
    <row r="17" customFormat="false" ht="15" hidden="false" customHeight="false" outlineLevel="0" collapsed="false">
      <c r="A17" s="5" t="str">
        <f aca="false">E17&amp;G17&amp;F17</f>
        <v>7201139</v>
      </c>
      <c r="B17" s="0" t="s">
        <v>203</v>
      </c>
      <c r="C17" s="1" t="n">
        <v>42408</v>
      </c>
      <c r="D17" s="0" t="s">
        <v>376</v>
      </c>
      <c r="E17" s="0" t="n">
        <v>7</v>
      </c>
      <c r="F17" s="0" t="n">
        <v>39</v>
      </c>
      <c r="G17" s="0" t="n">
        <v>2011</v>
      </c>
      <c r="H17" s="0" t="str">
        <f aca="false">"J"&amp;E17&amp;"\"&amp;F17&amp;"\"&amp;G17&amp;"\"&amp;W17</f>
        <v>J7\39\2011\2</v>
      </c>
      <c r="I17" s="0"/>
      <c r="J17" s="1" t="n">
        <v>40549</v>
      </c>
      <c r="K17" s="0" t="n">
        <v>0</v>
      </c>
      <c r="M17" s="1" t="n">
        <v>40549</v>
      </c>
      <c r="N17" s="1" t="n">
        <v>40604</v>
      </c>
      <c r="O17" s="1"/>
      <c r="P17" s="1"/>
      <c r="Q17" s="1"/>
      <c r="T17" s="121"/>
      <c r="U17" s="121"/>
      <c r="V17" s="122" t="n">
        <f aca="false">IF(AND(E17&gt;0,F17&gt;0,G17&gt;0),COUNTIFS($E:$E,E17,$F:$F,F17,$G:$G,G17),"")</f>
        <v>2</v>
      </c>
      <c r="W17" s="122" t="n">
        <f aca="false">IF(V17="","",IF(V17=1,1,IF(AND(E16=E17,F16=F17,G16=G17),W16+1,1)))</f>
        <v>2</v>
      </c>
      <c r="X17" s="0" t="n">
        <v>2</v>
      </c>
      <c r="Y17" s="0" t="n">
        <v>6</v>
      </c>
      <c r="Z17" s="0" t="s">
        <v>386</v>
      </c>
      <c r="AA17" s="0" t="n">
        <v>0</v>
      </c>
      <c r="AB17" s="0" t="s">
        <v>273</v>
      </c>
      <c r="AC17" s="0" t="s">
        <v>318</v>
      </c>
      <c r="AD17" s="0" t="s">
        <v>221</v>
      </c>
      <c r="AE17" s="0" t="n">
        <v>0</v>
      </c>
      <c r="AF17" s="0" t="s">
        <v>378</v>
      </c>
      <c r="AG17" s="0" t="n">
        <v>0</v>
      </c>
      <c r="AH17" s="0" t="s">
        <v>379</v>
      </c>
      <c r="AI17" s="0" t="s">
        <v>380</v>
      </c>
      <c r="AJ17" s="0" t="s">
        <v>322</v>
      </c>
      <c r="AL17" s="0" t="s">
        <v>381</v>
      </c>
      <c r="AM17" s="0" t="n">
        <v>1</v>
      </c>
      <c r="AN17" s="0" t="s">
        <v>379</v>
      </c>
      <c r="AO17" s="0" t="s">
        <v>380</v>
      </c>
      <c r="AP17" s="0" t="s">
        <v>322</v>
      </c>
      <c r="AR17" s="0" t="s">
        <v>382</v>
      </c>
      <c r="AS17" s="0" t="n">
        <v>0</v>
      </c>
      <c r="AT17" s="0" t="s">
        <v>379</v>
      </c>
      <c r="AU17" s="0" t="s">
        <v>380</v>
      </c>
      <c r="AV17" s="0" t="s">
        <v>322</v>
      </c>
      <c r="AX17" s="0" t="s">
        <v>383</v>
      </c>
      <c r="AY17" s="0" t="n">
        <v>1</v>
      </c>
      <c r="AZ17" s="0" t="s">
        <v>379</v>
      </c>
      <c r="BA17" s="0" t="s">
        <v>380</v>
      </c>
      <c r="BB17" s="0" t="s">
        <v>322</v>
      </c>
      <c r="BD17" s="0" t="s">
        <v>384</v>
      </c>
      <c r="BE17" s="0" t="n">
        <v>1</v>
      </c>
      <c r="BF17" s="0" t="s">
        <v>379</v>
      </c>
      <c r="BG17" s="0" t="s">
        <v>380</v>
      </c>
      <c r="BH17" s="0" t="s">
        <v>322</v>
      </c>
      <c r="BJ17" s="0" t="s">
        <v>213</v>
      </c>
      <c r="BK17" s="0" t="n">
        <v>1</v>
      </c>
      <c r="BL17" s="0" t="s">
        <v>379</v>
      </c>
      <c r="BM17" s="0" t="s">
        <v>380</v>
      </c>
      <c r="BN17" s="0" t="s">
        <v>322</v>
      </c>
      <c r="BP17" s="0" t="n">
        <v>0</v>
      </c>
      <c r="BQ17" s="0" t="n">
        <v>0</v>
      </c>
      <c r="BR17" s="0" t="n">
        <v>1</v>
      </c>
      <c r="BS17" s="0" t="s">
        <v>279</v>
      </c>
      <c r="BT17" s="0" t="s">
        <v>280</v>
      </c>
      <c r="BU17" s="0" t="s">
        <v>281</v>
      </c>
      <c r="BV17" s="123"/>
      <c r="BW17" s="123"/>
      <c r="BX17" s="123"/>
      <c r="BY17" s="123"/>
      <c r="BZ17" s="0" t="n">
        <v>0</v>
      </c>
      <c r="CA17" s="0" t="s">
        <v>282</v>
      </c>
      <c r="CD17" s="0" t="s">
        <v>357</v>
      </c>
      <c r="CE17" s="0" t="s">
        <v>216</v>
      </c>
      <c r="CF17" s="0" t="s">
        <v>216</v>
      </c>
      <c r="CG17" s="0" t="s">
        <v>218</v>
      </c>
      <c r="CI17" s="1" t="s">
        <v>216</v>
      </c>
      <c r="CJ17" s="1" t="s">
        <v>216</v>
      </c>
      <c r="CK17" s="124" t="s">
        <v>216</v>
      </c>
      <c r="CL17" s="0" t="s">
        <v>216</v>
      </c>
      <c r="CM17" s="0" t="e">
        <f aca="false">IF(OR(CI17="",CJ17=""),"",DAYS360(CI17,CJ17)/360)</f>
        <v>#VALUE!</v>
      </c>
      <c r="CN17" s="0" t="e">
        <f aca="false">IF(OR(CI17="",CJ17=""),"",DAYS360(CI17,CJ17)/30)</f>
        <v>#VALUE!</v>
      </c>
      <c r="CO17" s="0" t="e">
        <f aca="false">IF(OR(CI17="",CJ17=""),"",DAYS360(CI17,CJ17)/7)</f>
        <v>#VALUE!</v>
      </c>
      <c r="CP17" s="0" t="e">
        <f aca="false">IF(OR(CI17="",CJ17=""),"",DAYS360(CI17,CJ17))</f>
        <v>#VALUE!</v>
      </c>
      <c r="CQ17" s="0" t="s">
        <v>240</v>
      </c>
      <c r="CR17" s="0" t="n">
        <v>5</v>
      </c>
      <c r="CS17" s="0" t="s">
        <v>216</v>
      </c>
      <c r="CT17" s="0" t="s">
        <v>221</v>
      </c>
      <c r="CU17" s="0" t="s">
        <v>221</v>
      </c>
      <c r="CV17" s="0" t="str">
        <f aca="false">IF(OR(CT17="",CT17="NO ESPECIFICA",CT17="NO MENCIONA"),"",IF(CU17=0,CT17,IF(CU17=1,CT17/30,IF(CU17=2,CT17/15,IF(CU17=3,CT17/7,"")))))</f>
        <v/>
      </c>
      <c r="CW17" s="125" t="s">
        <v>216</v>
      </c>
      <c r="CX17" s="0" t="s">
        <v>216</v>
      </c>
      <c r="CY17" s="0" t="str">
        <f aca="false">IF(CW17="","",IF(CX17=0,CW17,IF(CX17=1,CW17/30,IF(CX17=2,CW17/15,IF(CX17=3,CW17/7,CW17)))))</f>
        <v>NO MENCIONA</v>
      </c>
      <c r="CZ17" s="0" t="str">
        <f aca="false">IF(DI17&gt;0,DI17,IF(CY17&gt;0,CY17,IF(CV17&gt;0,CV17,"")))</f>
        <v>NO MENCIONA</v>
      </c>
      <c r="DA17" s="0" t="str">
        <f aca="false">IF(DM17=1,CZ17/8,IF(OR(DM17=2,DM17=4),CZ17/7,IF(DM17=3,CZ17/7.5,"")))</f>
        <v/>
      </c>
      <c r="DB17" s="0" t="s">
        <v>216</v>
      </c>
      <c r="DC17" s="0" t="s">
        <v>216</v>
      </c>
      <c r="DD17" s="0" t="s">
        <v>216</v>
      </c>
      <c r="DE17" s="0" t="s">
        <v>216</v>
      </c>
      <c r="DF17" s="0" t="s">
        <v>216</v>
      </c>
      <c r="DG17" s="0" t="s">
        <v>216</v>
      </c>
      <c r="DH17" s="0" t="n">
        <v>0</v>
      </c>
      <c r="DI17" s="126" t="s">
        <v>216</v>
      </c>
      <c r="DK17" s="0" t="n">
        <v>0</v>
      </c>
      <c r="DM17" s="0" t="s">
        <v>385</v>
      </c>
      <c r="DN17" s="0" t="s">
        <v>216</v>
      </c>
      <c r="DO17" s="0" t="s">
        <v>216</v>
      </c>
      <c r="DP17" s="0" t="n">
        <v>0</v>
      </c>
      <c r="DQ17" s="0" t="n">
        <v>1</v>
      </c>
      <c r="DR17" s="0"/>
      <c r="DS17" s="0" t="n">
        <v>1</v>
      </c>
      <c r="DU17" s="0" t="n">
        <v>1</v>
      </c>
      <c r="DW17" s="1" t="n">
        <v>39462</v>
      </c>
      <c r="DX17" s="1" t="n">
        <v>40546</v>
      </c>
      <c r="DZ17" s="0"/>
      <c r="EA17" s="0" t="n">
        <v>1</v>
      </c>
      <c r="EC17" s="1" t="n">
        <v>40179</v>
      </c>
      <c r="ED17" s="1" t="n">
        <v>40546</v>
      </c>
      <c r="EF17" s="0"/>
      <c r="EG17" s="0" t="n">
        <v>0</v>
      </c>
      <c r="EI17" s="0" t="n">
        <f aca="false">IF(AND(DM17=1,DN17&lt;=48),"",IF(AND(DM17=2,DN17&lt;=42),"",IF(AND(DM17=3,DN17&lt;=45),"",EH17)))</f>
        <v>0</v>
      </c>
      <c r="EJ17" s="0" t="str">
        <f aca="false">IF(EI17="","",IF(EI17&lt;9,EI17,9))</f>
        <v/>
      </c>
      <c r="EK17" s="0" t="str">
        <f aca="false">IF(EI17="","",IF(EI17&gt;9,EI17-EJ17,0))</f>
        <v/>
      </c>
      <c r="EL17" s="0" t="str">
        <f aca="false">IF(EI17="","",EJ17*DA17*2+EK17*DA17*3)</f>
        <v/>
      </c>
      <c r="EP17" s="0" t="n">
        <v>0</v>
      </c>
      <c r="EQ17" s="0"/>
      <c r="ER17" s="0" t="n">
        <v>0</v>
      </c>
      <c r="ET17" s="0" t="n">
        <v>0</v>
      </c>
      <c r="EV17" s="0" t="n">
        <v>0</v>
      </c>
      <c r="EX17" s="0" t="n">
        <v>0</v>
      </c>
      <c r="EY17" s="0" t="n">
        <v>0</v>
      </c>
      <c r="EZ17" s="0"/>
      <c r="FA17" s="0"/>
      <c r="FB17" s="0" t="n">
        <v>0</v>
      </c>
      <c r="FF17" s="120" t="e">
        <f aca="false">(CJ17-CI17+1)/365</f>
        <v>#VALUE!</v>
      </c>
      <c r="FG17" s="0" t="str">
        <f aca="false">CONCATENATE(F17,"/",G17)</f>
        <v>39/2011</v>
      </c>
      <c r="FH17" s="0" t="n">
        <v>0</v>
      </c>
      <c r="FI17" s="0" t="n">
        <v>0</v>
      </c>
    </row>
    <row r="18" customFormat="false" ht="15" hidden="false" customHeight="false" outlineLevel="0" collapsed="false">
      <c r="A18" s="5" t="str">
        <f aca="false">E18&amp;G18&amp;F18</f>
        <v>7201143</v>
      </c>
      <c r="B18" s="0" t="s">
        <v>203</v>
      </c>
      <c r="C18" s="1" t="n">
        <v>42408</v>
      </c>
      <c r="E18" s="0" t="n">
        <v>7</v>
      </c>
      <c r="F18" s="0" t="n">
        <v>43</v>
      </c>
      <c r="G18" s="0" t="n">
        <v>2011</v>
      </c>
      <c r="H18" s="0" t="str">
        <f aca="false">"J"&amp;E18&amp;"\"&amp;F18&amp;"\"&amp;G18&amp;"\"&amp;W18</f>
        <v>J7\43\2011\1</v>
      </c>
      <c r="I18" s="0"/>
      <c r="J18" s="1" t="n">
        <v>40550</v>
      </c>
      <c r="K18" s="0" t="n">
        <v>0</v>
      </c>
      <c r="M18" s="1" t="n">
        <v>40550</v>
      </c>
      <c r="N18" s="1" t="n">
        <v>40605</v>
      </c>
      <c r="O18" s="1"/>
      <c r="P18" s="1"/>
      <c r="Q18" s="1"/>
      <c r="T18" s="121"/>
      <c r="U18" s="121"/>
      <c r="V18" s="122" t="n">
        <f aca="false">IF(AND(E18&gt;0,F18&gt;0,G18&gt;0),COUNTIFS($E:$E,E18,$F:$F,F18,$G:$G,G18),"")</f>
        <v>1</v>
      </c>
      <c r="W18" s="122" t="n">
        <f aca="false">IF(V18="","",IF(V18=1,1,IF(AND(E17=E18,F17=F18,G17=G18),W17+1,1)))</f>
        <v>1</v>
      </c>
      <c r="X18" s="0" t="n">
        <v>1</v>
      </c>
      <c r="Y18" s="0" t="n">
        <v>5</v>
      </c>
      <c r="Z18" s="0" t="s">
        <v>387</v>
      </c>
      <c r="AA18" s="0" t="n">
        <v>0</v>
      </c>
      <c r="AB18" s="0" t="s">
        <v>388</v>
      </c>
      <c r="AC18" s="0" t="s">
        <v>389</v>
      </c>
      <c r="AD18" s="0" t="s">
        <v>352</v>
      </c>
      <c r="AE18" s="0" t="n">
        <v>0</v>
      </c>
      <c r="AF18" s="0" t="s">
        <v>390</v>
      </c>
      <c r="AG18" s="0" t="n">
        <v>0</v>
      </c>
      <c r="AH18" s="0" t="s">
        <v>391</v>
      </c>
      <c r="AI18" s="0" t="s">
        <v>392</v>
      </c>
      <c r="AJ18" s="0" t="s">
        <v>393</v>
      </c>
      <c r="AL18" s="0" t="s">
        <v>394</v>
      </c>
      <c r="AM18" s="0" t="n">
        <v>1</v>
      </c>
      <c r="AN18" s="0" t="s">
        <v>391</v>
      </c>
      <c r="AO18" s="0" t="s">
        <v>392</v>
      </c>
      <c r="AP18" s="0" t="s">
        <v>393</v>
      </c>
      <c r="AR18" s="0" t="s">
        <v>395</v>
      </c>
      <c r="AS18" s="0" t="n">
        <v>1</v>
      </c>
      <c r="AT18" s="0" t="s">
        <v>391</v>
      </c>
      <c r="AU18" s="0" t="s">
        <v>392</v>
      </c>
      <c r="AV18" s="0" t="s">
        <v>393</v>
      </c>
      <c r="AX18" s="0" t="s">
        <v>396</v>
      </c>
      <c r="AY18" s="0" t="n">
        <v>1</v>
      </c>
      <c r="AZ18" s="0" t="s">
        <v>391</v>
      </c>
      <c r="BA18" s="0" t="s">
        <v>392</v>
      </c>
      <c r="BB18" s="0" t="s">
        <v>393</v>
      </c>
      <c r="BD18" s="0" t="s">
        <v>213</v>
      </c>
      <c r="BE18" s="0" t="n">
        <v>1</v>
      </c>
      <c r="BF18" s="0" t="s">
        <v>391</v>
      </c>
      <c r="BG18" s="0" t="s">
        <v>392</v>
      </c>
      <c r="BH18" s="0" t="s">
        <v>393</v>
      </c>
      <c r="BP18" s="0" t="n">
        <v>0</v>
      </c>
      <c r="BQ18" s="0" t="n">
        <v>0</v>
      </c>
      <c r="BR18" s="0" t="n">
        <v>1</v>
      </c>
      <c r="BS18" s="0" t="s">
        <v>397</v>
      </c>
      <c r="BT18" s="0" t="s">
        <v>398</v>
      </c>
      <c r="BU18" s="0" t="s">
        <v>399</v>
      </c>
      <c r="BV18" s="123"/>
      <c r="BW18" s="123"/>
      <c r="BX18" s="123"/>
      <c r="BY18" s="123"/>
      <c r="BZ18" s="0" t="n">
        <v>0</v>
      </c>
      <c r="CA18" s="0" t="s">
        <v>0</v>
      </c>
      <c r="CD18" s="0" t="s">
        <v>256</v>
      </c>
      <c r="CE18" s="0" t="n">
        <v>0</v>
      </c>
      <c r="CF18" s="0" t="s">
        <v>400</v>
      </c>
      <c r="CG18" s="0" t="s">
        <v>218</v>
      </c>
      <c r="CI18" s="1" t="n">
        <v>39932</v>
      </c>
      <c r="CJ18" s="1" t="n">
        <v>40494</v>
      </c>
      <c r="CK18" s="124" t="n">
        <v>0.333333333333333</v>
      </c>
      <c r="CL18" s="0" t="s">
        <v>401</v>
      </c>
      <c r="CM18" s="0" t="n">
        <f aca="false">IF(OR(CI18="",CJ18=""),"",DAYS360(CI18,CJ18)/360)</f>
        <v>1.53611111111111</v>
      </c>
      <c r="CN18" s="0" t="n">
        <f aca="false">IF(OR(CI18="",CJ18=""),"",DAYS360(CI18,CJ18)/30)</f>
        <v>18.4333333333333</v>
      </c>
      <c r="CO18" s="0" t="n">
        <f aca="false">IF(OR(CI18="",CJ18=""),"",DAYS360(CI18,CJ18)/7)</f>
        <v>79</v>
      </c>
      <c r="CP18" s="0" t="n">
        <f aca="false">IF(OR(CI18="",CJ18=""),"",DAYS360(CI18,CJ18))</f>
        <v>553</v>
      </c>
      <c r="CQ18" s="0" t="s">
        <v>240</v>
      </c>
      <c r="CR18" s="0" t="n">
        <v>1</v>
      </c>
      <c r="CT18" s="0" t="s">
        <v>221</v>
      </c>
      <c r="CU18" s="0" t="s">
        <v>221</v>
      </c>
      <c r="CV18" s="0" t="str">
        <f aca="false">IF(OR(CT18="",CT18="NO ESPECIFICA",CT18="NO MENCIONA"),"",IF(CU18=0,CT18,IF(CU18=1,CT18/30,IF(CU18=2,CT18/15,IF(CU18=3,CT18/7,"")))))</f>
        <v/>
      </c>
      <c r="CW18" s="125" t="n">
        <v>382.4</v>
      </c>
      <c r="CX18" s="0" t="n">
        <v>1</v>
      </c>
      <c r="CY18" s="0" t="n">
        <f aca="false">IF(CW18="","",IF(CX18=0,CW18,IF(CX18=1,CW18/30,IF(CX18=2,CW18/15,IF(CX18=3,CW18/7,CW18)))))</f>
        <v>12.7466666666667</v>
      </c>
      <c r="CZ18" s="0" t="n">
        <f aca="false">IF(DI18&gt;0,DI18,IF(CY18&gt;0,CY18,IF(CV18&gt;0,CV18,"")))</f>
        <v>382.4</v>
      </c>
      <c r="DA18" s="0" t="n">
        <f aca="false">IF(DM18=1,CZ18/8,IF(OR(DM18=2,DM18=4),CZ18/7,IF(DM18=3,CZ18/7.5,"")))</f>
        <v>47.8</v>
      </c>
      <c r="DB18" s="0" t="s">
        <v>402</v>
      </c>
      <c r="DC18" s="0" t="s">
        <v>216</v>
      </c>
      <c r="DD18" s="0" t="s">
        <v>216</v>
      </c>
      <c r="DE18" s="0" t="s">
        <v>216</v>
      </c>
      <c r="DF18" s="0" t="s">
        <v>216</v>
      </c>
      <c r="DG18" s="0" t="s">
        <v>216</v>
      </c>
      <c r="DH18" s="0" t="n">
        <v>0</v>
      </c>
      <c r="DI18" s="126" t="n">
        <v>382.4</v>
      </c>
      <c r="DK18" s="0" t="n">
        <v>1</v>
      </c>
      <c r="DM18" s="0" t="n">
        <v>1</v>
      </c>
      <c r="DN18" s="0" t="n">
        <v>48</v>
      </c>
      <c r="DO18" s="0" t="n">
        <v>3</v>
      </c>
      <c r="DP18" s="0" t="n">
        <v>0</v>
      </c>
      <c r="DQ18" s="0" t="n">
        <v>1</v>
      </c>
      <c r="DR18" s="0" t="n">
        <v>34416</v>
      </c>
      <c r="DS18" s="0" t="n">
        <v>1</v>
      </c>
      <c r="DU18" s="0" t="n">
        <v>1</v>
      </c>
      <c r="DW18" s="1" t="n">
        <v>40297</v>
      </c>
      <c r="DX18" s="1" t="n">
        <v>40494</v>
      </c>
      <c r="DZ18" s="0" t="n">
        <v>1529.6</v>
      </c>
      <c r="EA18" s="0" t="n">
        <v>1</v>
      </c>
      <c r="EB18" s="0" t="n">
        <v>382.4</v>
      </c>
      <c r="EC18" s="1" t="n">
        <v>40179</v>
      </c>
      <c r="ED18" s="1" t="n">
        <v>40494</v>
      </c>
      <c r="EF18" s="0" t="n">
        <v>4780</v>
      </c>
      <c r="EG18" s="0" t="n">
        <v>1</v>
      </c>
      <c r="EH18" s="0" t="n">
        <v>12</v>
      </c>
      <c r="EI18" s="0" t="str">
        <f aca="false">IF(AND(DM18=1,DN18&lt;=48),"",IF(AND(DM18=2,DN18&lt;=42),"",IF(AND(DM18=3,DN18&lt;=45),"",EH18)))</f>
        <v/>
      </c>
      <c r="EJ18" s="0" t="str">
        <f aca="false">IF(EI18="","",IF(EI18&lt;9,EI18,9))</f>
        <v/>
      </c>
      <c r="EK18" s="0" t="str">
        <f aca="false">IF(EI18="","",IF(EI18&gt;9,EI18-EJ18,0))</f>
        <v/>
      </c>
      <c r="EL18" s="0" t="str">
        <f aca="false">IF(EI18="","",EJ18*DA18*2+EK18*DA18*3)</f>
        <v/>
      </c>
      <c r="EP18" s="0" t="n">
        <v>0</v>
      </c>
      <c r="EQ18" s="0"/>
      <c r="ER18" s="0" t="n">
        <v>0</v>
      </c>
      <c r="ET18" s="0" t="n">
        <v>0</v>
      </c>
      <c r="EV18" s="0" t="n">
        <v>0</v>
      </c>
      <c r="EX18" s="0" t="n">
        <v>1</v>
      </c>
      <c r="EY18" s="0" t="n">
        <v>1</v>
      </c>
      <c r="EZ18" s="0"/>
      <c r="FA18" s="4" t="n">
        <v>20416.63</v>
      </c>
      <c r="FB18" s="0" t="n">
        <v>1</v>
      </c>
      <c r="FF18" s="120" t="n">
        <f aca="false">(CJ18-CI18+1)/365</f>
        <v>1.54246575342466</v>
      </c>
      <c r="FG18" s="0" t="str">
        <f aca="false">CONCATENATE(F18,"/",G18)</f>
        <v>43/2011</v>
      </c>
      <c r="FH18" s="0" t="n">
        <v>0</v>
      </c>
      <c r="FI18" s="0" t="n">
        <v>0</v>
      </c>
    </row>
    <row r="19" customFormat="false" ht="15" hidden="false" customHeight="false" outlineLevel="0" collapsed="false">
      <c r="A19" s="5" t="str">
        <f aca="false">E19&amp;G19&amp;F19</f>
        <v>7201144</v>
      </c>
      <c r="B19" s="0" t="s">
        <v>203</v>
      </c>
      <c r="C19" s="1" t="n">
        <v>42408</v>
      </c>
      <c r="E19" s="0" t="n">
        <v>7</v>
      </c>
      <c r="F19" s="0" t="n">
        <v>44</v>
      </c>
      <c r="G19" s="0" t="n">
        <v>2011</v>
      </c>
      <c r="H19" s="0" t="str">
        <f aca="false">"J"&amp;E19&amp;"\"&amp;F19&amp;"\"&amp;G19&amp;"\"&amp;W19</f>
        <v>J7\44\2011\1</v>
      </c>
      <c r="I19" s="0"/>
      <c r="J19" s="1" t="n">
        <v>40550</v>
      </c>
      <c r="K19" s="0" t="n">
        <v>0</v>
      </c>
      <c r="M19" s="1" t="n">
        <v>40550</v>
      </c>
      <c r="N19" s="1" t="n">
        <v>40602</v>
      </c>
      <c r="O19" s="1"/>
      <c r="P19" s="1"/>
      <c r="Q19" s="1"/>
      <c r="T19" s="121"/>
      <c r="U19" s="121"/>
      <c r="V19" s="122" t="n">
        <f aca="false">IF(AND(E19&gt;0,F19&gt;0,G19&gt;0),COUNTIFS($E:$E,E19,$F:$F,F19,$G:$G,G19),"")</f>
        <v>1</v>
      </c>
      <c r="W19" s="122" t="n">
        <f aca="false">IF(V19="","",IF(V19=1,1,IF(AND(E18=E19,F18=F19,G18=G19),W18+1,1)))</f>
        <v>1</v>
      </c>
      <c r="X19" s="0" t="n">
        <v>1</v>
      </c>
      <c r="Y19" s="0" t="n">
        <v>5</v>
      </c>
      <c r="Z19" s="0" t="s">
        <v>403</v>
      </c>
      <c r="AA19" s="0" t="n">
        <v>0</v>
      </c>
      <c r="AB19" s="0" t="s">
        <v>273</v>
      </c>
      <c r="AC19" s="0" t="s">
        <v>404</v>
      </c>
      <c r="AD19" s="0" t="s">
        <v>229</v>
      </c>
      <c r="AE19" s="0" t="n">
        <v>0</v>
      </c>
      <c r="AF19" s="0" t="s">
        <v>405</v>
      </c>
      <c r="AG19" s="0" t="n">
        <v>0</v>
      </c>
      <c r="AH19" s="0" t="s">
        <v>406</v>
      </c>
      <c r="AI19" s="0" t="s">
        <v>407</v>
      </c>
      <c r="AJ19" s="0" t="s">
        <v>207</v>
      </c>
      <c r="AL19" s="0" t="s">
        <v>408</v>
      </c>
      <c r="AM19" s="0" t="n">
        <v>1</v>
      </c>
      <c r="AN19" s="0" t="s">
        <v>406</v>
      </c>
      <c r="AO19" s="0" t="s">
        <v>407</v>
      </c>
      <c r="AP19" s="0" t="s">
        <v>207</v>
      </c>
      <c r="AR19" s="0" t="s">
        <v>213</v>
      </c>
      <c r="AS19" s="0" t="n">
        <v>1</v>
      </c>
      <c r="AT19" s="0" t="s">
        <v>406</v>
      </c>
      <c r="AU19" s="0" t="s">
        <v>407</v>
      </c>
      <c r="AV19" s="0" t="s">
        <v>207</v>
      </c>
      <c r="AX19" s="0" t="s">
        <v>249</v>
      </c>
      <c r="AY19" s="0" t="n">
        <v>0</v>
      </c>
      <c r="AZ19" s="0" t="s">
        <v>409</v>
      </c>
      <c r="BA19" s="0" t="s">
        <v>410</v>
      </c>
      <c r="BB19" s="0" t="s">
        <v>411</v>
      </c>
      <c r="BD19" s="0" t="s">
        <v>412</v>
      </c>
      <c r="BE19" s="0" t="n">
        <v>0</v>
      </c>
      <c r="BF19" s="0" t="s">
        <v>413</v>
      </c>
      <c r="BG19" s="0" t="s">
        <v>414</v>
      </c>
      <c r="BH19" s="0" t="s">
        <v>207</v>
      </c>
      <c r="BP19" s="0" t="n">
        <v>0</v>
      </c>
      <c r="BQ19" s="0" t="n">
        <v>0</v>
      </c>
      <c r="BR19" s="0" t="n">
        <v>1</v>
      </c>
      <c r="BS19" s="0" t="s">
        <v>415</v>
      </c>
      <c r="BT19" s="0" t="s">
        <v>280</v>
      </c>
      <c r="BU19" s="0" t="s">
        <v>281</v>
      </c>
      <c r="BV19" s="123"/>
      <c r="BW19" s="123"/>
      <c r="BX19" s="123"/>
      <c r="BY19" s="123"/>
      <c r="BZ19" s="0" t="n">
        <v>0</v>
      </c>
      <c r="CA19" s="0" t="s">
        <v>282</v>
      </c>
      <c r="CD19" s="0" t="s">
        <v>370</v>
      </c>
      <c r="CE19" s="0" t="n">
        <v>0</v>
      </c>
      <c r="CF19" s="0" t="s">
        <v>416</v>
      </c>
      <c r="CG19" s="0" t="s">
        <v>218</v>
      </c>
      <c r="CI19" s="1" t="n">
        <v>40422</v>
      </c>
      <c r="CJ19" s="1" t="n">
        <v>40519</v>
      </c>
      <c r="CK19" s="124" t="n">
        <v>0.333333333333333</v>
      </c>
      <c r="CL19" s="0" t="s">
        <v>408</v>
      </c>
      <c r="CM19" s="0" t="n">
        <f aca="false">IF(OR(CI19="",CJ19=""),"",DAYS360(CI19,CJ19)/360)</f>
        <v>0.266666666666667</v>
      </c>
      <c r="CN19" s="0" t="n">
        <f aca="false">IF(OR(CI19="",CJ19=""),"",DAYS360(CI19,CJ19)/30)</f>
        <v>3.2</v>
      </c>
      <c r="CO19" s="0" t="n">
        <f aca="false">IF(OR(CI19="",CJ19=""),"",DAYS360(CI19,CJ19)/7)</f>
        <v>13.7142857142857</v>
      </c>
      <c r="CP19" s="0" t="n">
        <f aca="false">IF(OR(CI19="",CJ19=""),"",DAYS360(CI19,CJ19))</f>
        <v>96</v>
      </c>
      <c r="CQ19" s="0" t="s">
        <v>240</v>
      </c>
      <c r="CR19" s="0" t="n">
        <v>1</v>
      </c>
      <c r="CT19" s="0" t="s">
        <v>221</v>
      </c>
      <c r="CU19" s="0" t="s">
        <v>221</v>
      </c>
      <c r="CV19" s="0" t="str">
        <f aca="false">IF(OR(CT19="",CT19="NO ESPECIFICA",CT19="NO MENCIONA"),"",IF(CU19=0,CT19,IF(CU19=1,CT19/30,IF(CU19=2,CT19/15,IF(CU19=3,CT19/7,"")))))</f>
        <v/>
      </c>
      <c r="CW19" s="125" t="n">
        <v>3000</v>
      </c>
      <c r="CX19" s="0" t="n">
        <v>1</v>
      </c>
      <c r="CY19" s="0" t="n">
        <f aca="false">IF(CW19="","",IF(CX19=0,CW19,IF(CX19=1,CW19/30,IF(CX19=2,CW19/15,IF(CX19=3,CW19/7,CW19)))))</f>
        <v>100</v>
      </c>
      <c r="CZ19" s="0" t="n">
        <f aca="false">IF(DI19&gt;0,DI19,IF(CY19&gt;0,CY19,IF(CV19&gt;0,CV19,"")))</f>
        <v>133.33</v>
      </c>
      <c r="DA19" s="0" t="n">
        <f aca="false">IF(DM19=1,CZ19/8,IF(OR(DM19=2,DM19=4),CZ19/7,IF(DM19=3,CZ19/7.5,"")))</f>
        <v>16.66625</v>
      </c>
      <c r="DB19" s="0" t="s">
        <v>417</v>
      </c>
      <c r="DC19" s="0" t="s">
        <v>216</v>
      </c>
      <c r="DD19" s="0" t="s">
        <v>216</v>
      </c>
      <c r="DE19" s="0" t="s">
        <v>216</v>
      </c>
      <c r="DF19" s="0" t="s">
        <v>216</v>
      </c>
      <c r="DG19" s="0" t="s">
        <v>216</v>
      </c>
      <c r="DH19" s="0" t="n">
        <v>0</v>
      </c>
      <c r="DI19" s="126" t="n">
        <v>133.33</v>
      </c>
      <c r="DK19" s="0" t="n">
        <v>0</v>
      </c>
      <c r="DM19" s="0" t="n">
        <v>1</v>
      </c>
      <c r="DN19" s="0" t="n">
        <v>72</v>
      </c>
      <c r="DO19" s="0" t="n">
        <v>3</v>
      </c>
      <c r="DP19" s="0" t="n">
        <v>0</v>
      </c>
      <c r="DQ19" s="0" t="n">
        <v>1</v>
      </c>
      <c r="DR19" s="0"/>
      <c r="DS19" s="0" t="n">
        <v>1</v>
      </c>
      <c r="DU19" s="0" t="n">
        <v>1</v>
      </c>
      <c r="DW19" s="1" t="n">
        <v>40422</v>
      </c>
      <c r="DX19" s="1" t="n">
        <v>40519</v>
      </c>
      <c r="DZ19" s="0"/>
      <c r="EA19" s="0" t="n">
        <v>1</v>
      </c>
      <c r="EC19" s="1" t="n">
        <v>40422</v>
      </c>
      <c r="ED19" s="1" t="n">
        <v>40519</v>
      </c>
      <c r="EF19" s="0"/>
      <c r="EG19" s="0" t="n">
        <v>1</v>
      </c>
      <c r="EH19" s="0" t="n">
        <v>24</v>
      </c>
      <c r="EI19" s="0" t="n">
        <f aca="false">IF(AND(DM19=1,DN19&lt;=48),"",IF(AND(DM19=2,DN19&lt;=42),"",IF(AND(DM19=3,DN19&lt;=45),"",EH19)))</f>
        <v>24</v>
      </c>
      <c r="EJ19" s="0" t="n">
        <f aca="false">IF(EI19="","",IF(EI19&lt;9,EI19,9))</f>
        <v>9</v>
      </c>
      <c r="EK19" s="0" t="n">
        <f aca="false">IF(EI19="","",IF(EI19&gt;9,EI19-EJ19,0))</f>
        <v>15</v>
      </c>
      <c r="EL19" s="0" t="n">
        <f aca="false">IF(EI19="","",EJ19*DA19*2+EK19*DA19*3)</f>
        <v>1049.97375</v>
      </c>
      <c r="EP19" s="0" t="n">
        <v>0</v>
      </c>
      <c r="EQ19" s="0"/>
      <c r="ER19" s="0" t="n">
        <v>0</v>
      </c>
      <c r="ET19" s="0" t="n">
        <v>0</v>
      </c>
      <c r="EV19" s="0" t="n">
        <v>1</v>
      </c>
      <c r="EX19" s="0" t="n">
        <v>0</v>
      </c>
      <c r="EY19" s="0" t="n">
        <v>0</v>
      </c>
      <c r="EZ19" s="0"/>
      <c r="FA19" s="4" t="n">
        <v>1599.96</v>
      </c>
      <c r="FB19" s="0" t="n">
        <v>0</v>
      </c>
      <c r="FF19" s="120" t="n">
        <f aca="false">(CJ19-CI19+1)/365</f>
        <v>0.268493150684932</v>
      </c>
      <c r="FG19" s="0" t="str">
        <f aca="false">CONCATENATE(F19,"/",G19)</f>
        <v>44/2011</v>
      </c>
      <c r="FH19" s="0" t="n">
        <v>0</v>
      </c>
      <c r="FI19" s="0" t="n">
        <v>0</v>
      </c>
    </row>
    <row r="20" customFormat="false" ht="15" hidden="false" customHeight="false" outlineLevel="0" collapsed="false">
      <c r="A20" s="5" t="str">
        <f aca="false">E20&amp;G20&amp;F20</f>
        <v>7201145</v>
      </c>
      <c r="B20" s="0" t="s">
        <v>203</v>
      </c>
      <c r="C20" s="1" t="n">
        <v>42408</v>
      </c>
      <c r="E20" s="0" t="n">
        <v>7</v>
      </c>
      <c r="F20" s="0" t="n">
        <v>45</v>
      </c>
      <c r="G20" s="0" t="n">
        <v>2011</v>
      </c>
      <c r="H20" s="0" t="str">
        <f aca="false">"J"&amp;E20&amp;"\"&amp;F20&amp;"\"&amp;G20&amp;"\"&amp;W20</f>
        <v>J7\45\2011\1</v>
      </c>
      <c r="I20" s="0"/>
      <c r="J20" s="1" t="n">
        <v>40550</v>
      </c>
      <c r="K20" s="0" t="n">
        <v>0</v>
      </c>
      <c r="M20" s="1" t="n">
        <v>40550</v>
      </c>
      <c r="N20" s="1" t="n">
        <v>40605</v>
      </c>
      <c r="O20" s="1"/>
      <c r="P20" s="1"/>
      <c r="Q20" s="1"/>
      <c r="T20" s="121"/>
      <c r="U20" s="121"/>
      <c r="V20" s="122" t="n">
        <f aca="false">IF(AND(E20&gt;0,F20&gt;0,G20&gt;0),COUNTIFS($E:$E,E20,$F:$F,F20,$G:$G,G20),"")</f>
        <v>1</v>
      </c>
      <c r="W20" s="122" t="n">
        <f aca="false">IF(V20="","",IF(V20=1,1,IF(AND(E19=E20,F19=F20,G19=G20),W19+1,1)))</f>
        <v>1</v>
      </c>
      <c r="X20" s="0" t="n">
        <v>1</v>
      </c>
      <c r="Y20" s="0" t="n">
        <v>5</v>
      </c>
      <c r="Z20" s="0" t="s">
        <v>418</v>
      </c>
      <c r="AA20" s="0" t="n">
        <v>0</v>
      </c>
      <c r="AB20" s="0" t="s">
        <v>348</v>
      </c>
      <c r="AC20" s="0" t="s">
        <v>216</v>
      </c>
      <c r="AD20" s="0" t="s">
        <v>216</v>
      </c>
      <c r="AE20" s="0" t="n">
        <v>0</v>
      </c>
      <c r="AF20" s="0" t="s">
        <v>419</v>
      </c>
      <c r="AG20" s="0" t="n">
        <v>0</v>
      </c>
      <c r="AH20" s="0" t="s">
        <v>420</v>
      </c>
      <c r="AI20" s="0" t="s">
        <v>421</v>
      </c>
      <c r="AJ20" s="0" t="s">
        <v>411</v>
      </c>
      <c r="AL20" s="0" t="s">
        <v>422</v>
      </c>
      <c r="AM20" s="0" t="n">
        <v>0</v>
      </c>
      <c r="AN20" s="0" t="s">
        <v>420</v>
      </c>
      <c r="AO20" s="0" t="s">
        <v>421</v>
      </c>
      <c r="AP20" s="0" t="s">
        <v>411</v>
      </c>
      <c r="AR20" s="0" t="s">
        <v>423</v>
      </c>
      <c r="AS20" s="0" t="n">
        <v>1</v>
      </c>
      <c r="AT20" s="0" t="s">
        <v>420</v>
      </c>
      <c r="AU20" s="0" t="s">
        <v>421</v>
      </c>
      <c r="AV20" s="0" t="s">
        <v>411</v>
      </c>
      <c r="AX20" s="0" t="s">
        <v>424</v>
      </c>
      <c r="AY20" s="0" t="n">
        <v>1</v>
      </c>
      <c r="AZ20" s="0" t="s">
        <v>420</v>
      </c>
      <c r="BA20" s="0" t="s">
        <v>421</v>
      </c>
      <c r="BB20" s="0" t="s">
        <v>411</v>
      </c>
      <c r="BD20" s="0" t="s">
        <v>213</v>
      </c>
      <c r="BE20" s="0" t="n">
        <v>1</v>
      </c>
      <c r="BF20" s="0" t="s">
        <v>420</v>
      </c>
      <c r="BG20" s="0" t="s">
        <v>421</v>
      </c>
      <c r="BH20" s="0" t="s">
        <v>411</v>
      </c>
      <c r="BP20" s="0" t="n">
        <v>0</v>
      </c>
      <c r="BQ20" s="0" t="n">
        <v>0</v>
      </c>
      <c r="BR20" s="0" t="n">
        <v>3</v>
      </c>
      <c r="BS20" s="0" t="s">
        <v>425</v>
      </c>
      <c r="BT20" s="0" t="s">
        <v>356</v>
      </c>
      <c r="BU20" s="0" t="s">
        <v>426</v>
      </c>
      <c r="BV20" s="123"/>
      <c r="BW20" s="123"/>
      <c r="BX20" s="123"/>
      <c r="BY20" s="123"/>
      <c r="BZ20" s="0" t="n">
        <v>0</v>
      </c>
      <c r="CA20" s="0" t="s">
        <v>348</v>
      </c>
      <c r="CD20" s="0" t="s">
        <v>357</v>
      </c>
      <c r="CE20" s="0" t="n">
        <v>0</v>
      </c>
      <c r="CF20" s="0" t="s">
        <v>427</v>
      </c>
      <c r="CG20" s="0" t="s">
        <v>218</v>
      </c>
      <c r="CI20" s="1" t="n">
        <v>40050</v>
      </c>
      <c r="CJ20" s="1" t="n">
        <v>40526</v>
      </c>
      <c r="CK20" s="124" t="n">
        <v>0.416666666666667</v>
      </c>
      <c r="CL20" s="0" t="s">
        <v>423</v>
      </c>
      <c r="CM20" s="0" t="n">
        <f aca="false">IF(OR(CI20="",CJ20=""),"",DAYS360(CI20,CJ20)/360)</f>
        <v>1.30277777777778</v>
      </c>
      <c r="CN20" s="0" t="n">
        <f aca="false">IF(OR(CI20="",CJ20=""),"",DAYS360(CI20,CJ20)/30)</f>
        <v>15.6333333333333</v>
      </c>
      <c r="CO20" s="0" t="n">
        <f aca="false">IF(OR(CI20="",CJ20=""),"",DAYS360(CI20,CJ20)/7)</f>
        <v>67</v>
      </c>
      <c r="CP20" s="0" t="n">
        <f aca="false">IF(OR(CI20="",CJ20=""),"",DAYS360(CI20,CJ20))</f>
        <v>469</v>
      </c>
      <c r="CQ20" s="0" t="s">
        <v>240</v>
      </c>
      <c r="CR20" s="0" t="n">
        <v>1</v>
      </c>
      <c r="CT20" s="0" t="n">
        <v>150</v>
      </c>
      <c r="CU20" s="0" t="n">
        <v>0</v>
      </c>
      <c r="CV20" s="0" t="n">
        <f aca="false">IF(OR(CT20="",CT20="NO ESPECIFICA",CT20="NO MENCIONA"),"",IF(CU20=0,CT20,IF(CU20=1,CT20/30,IF(CU20=2,CT20/15,IF(CU20=3,CT20/7,"")))))</f>
        <v>150</v>
      </c>
      <c r="CW20" s="125" t="n">
        <v>156.99</v>
      </c>
      <c r="CX20" s="0" t="n">
        <v>0</v>
      </c>
      <c r="CY20" s="0" t="n">
        <f aca="false">IF(CW20="","",IF(CX20=0,CW20,IF(CX20=1,CW20/30,IF(CX20=2,CW20/15,IF(CX20=3,CW20/7,CW20)))))</f>
        <v>156.99</v>
      </c>
      <c r="CZ20" s="0" t="n">
        <f aca="false">IF(DI20&gt;0,DI20,IF(CY20&gt;0,CY20,IF(CV20&gt;0,CV20,"")))</f>
        <v>156.99</v>
      </c>
      <c r="DA20" s="0" t="n">
        <f aca="false">IF(DM20=1,CZ20/8,IF(OR(DM20=2,DM20=4),CZ20/7,IF(DM20=3,CZ20/7.5,"")))</f>
        <v>19.62375</v>
      </c>
      <c r="DB20" s="0" t="s">
        <v>303</v>
      </c>
      <c r="DC20" s="0" t="s">
        <v>301</v>
      </c>
      <c r="DD20" s="0" t="s">
        <v>216</v>
      </c>
      <c r="DE20" s="0" t="s">
        <v>216</v>
      </c>
      <c r="DF20" s="0" t="s">
        <v>216</v>
      </c>
      <c r="DG20" s="0" t="s">
        <v>216</v>
      </c>
      <c r="DH20" s="0" t="n">
        <v>0</v>
      </c>
      <c r="DI20" s="126" t="n">
        <v>156.99</v>
      </c>
      <c r="DK20" s="0" t="n">
        <v>0</v>
      </c>
      <c r="DM20" s="0" t="n">
        <v>1</v>
      </c>
      <c r="DN20" s="0" t="n">
        <v>50</v>
      </c>
      <c r="DO20" s="0" t="n">
        <v>3</v>
      </c>
      <c r="DP20" s="0" t="n">
        <v>0</v>
      </c>
      <c r="DQ20" s="0" t="n">
        <v>1</v>
      </c>
      <c r="DR20" s="0"/>
      <c r="DS20" s="0" t="n">
        <v>1</v>
      </c>
      <c r="DU20" s="0" t="n">
        <v>1</v>
      </c>
      <c r="DW20" s="1" t="n">
        <v>40050</v>
      </c>
      <c r="DX20" s="1" t="n">
        <v>40415</v>
      </c>
      <c r="DZ20" s="0"/>
      <c r="EA20" s="0" t="n">
        <v>1</v>
      </c>
      <c r="EC20" s="1" t="n">
        <v>40179</v>
      </c>
      <c r="ED20" s="1" t="n">
        <v>40526</v>
      </c>
      <c r="EF20" s="0"/>
      <c r="EG20" s="0" t="n">
        <v>0</v>
      </c>
      <c r="EI20" s="0" t="n">
        <f aca="false">IF(AND(DM20=1,DN20&lt;=48),"",IF(AND(DM20=2,DN20&lt;=42),"",IF(AND(DM20=3,DN20&lt;=45),"",EH20)))</f>
        <v>0</v>
      </c>
      <c r="EJ20" s="0" t="str">
        <f aca="false">IF(EI20="","",IF(EI20&lt;9,EI20,9))</f>
        <v/>
      </c>
      <c r="EK20" s="0" t="str">
        <f aca="false">IF(EI20="","",IF(EI20&gt;9,EI20-EJ20,0))</f>
        <v/>
      </c>
      <c r="EL20" s="0" t="str">
        <f aca="false">IF(EI20="","",EJ20*DA20*2+EK20*DA20*3)</f>
        <v/>
      </c>
      <c r="EP20" s="0" t="n">
        <v>0</v>
      </c>
      <c r="EQ20" s="0"/>
      <c r="ER20" s="0" t="n">
        <v>0</v>
      </c>
      <c r="ET20" s="0" t="n">
        <v>0</v>
      </c>
      <c r="EV20" s="0" t="n">
        <v>0</v>
      </c>
      <c r="EX20" s="0" t="n">
        <v>0</v>
      </c>
      <c r="EY20" s="0" t="n">
        <v>0</v>
      </c>
      <c r="EZ20" s="0"/>
      <c r="FA20" s="0"/>
      <c r="FB20" s="0" t="n">
        <v>1</v>
      </c>
      <c r="FF20" s="120" t="n">
        <f aca="false">(CJ20-CI20+1)/365</f>
        <v>1.30684931506849</v>
      </c>
      <c r="FG20" s="0" t="str">
        <f aca="false">CONCATENATE(F20,"/",G20)</f>
        <v>45/2011</v>
      </c>
      <c r="FH20" s="0" t="n">
        <v>0</v>
      </c>
      <c r="FI20" s="0" t="n">
        <v>0</v>
      </c>
    </row>
    <row r="21" customFormat="false" ht="15" hidden="false" customHeight="false" outlineLevel="0" collapsed="false">
      <c r="A21" s="5" t="str">
        <f aca="false">E21&amp;G21&amp;F21</f>
        <v>7201154</v>
      </c>
      <c r="B21" s="0" t="s">
        <v>203</v>
      </c>
      <c r="C21" s="1" t="n">
        <v>42408</v>
      </c>
      <c r="E21" s="0" t="n">
        <v>7</v>
      </c>
      <c r="F21" s="0" t="n">
        <v>54</v>
      </c>
      <c r="G21" s="0" t="n">
        <v>2011</v>
      </c>
      <c r="H21" s="0" t="str">
        <f aca="false">"J"&amp;E21&amp;"\"&amp;F21&amp;"\"&amp;G21&amp;"\"&amp;W21</f>
        <v>J7\54\2011\1</v>
      </c>
      <c r="I21" s="0"/>
      <c r="J21" s="1" t="n">
        <v>40553</v>
      </c>
      <c r="K21" s="0" t="n">
        <v>1</v>
      </c>
      <c r="L21" s="0" t="s">
        <v>428</v>
      </c>
      <c r="M21" s="1" t="n">
        <v>40553</v>
      </c>
      <c r="N21" s="1" t="n">
        <v>40606</v>
      </c>
      <c r="O21" s="1"/>
      <c r="P21" s="1"/>
      <c r="Q21" s="1"/>
      <c r="T21" s="121"/>
      <c r="U21" s="121"/>
      <c r="V21" s="122" t="n">
        <f aca="false">IF(AND(E21&gt;0,F21&gt;0,G21&gt;0),COUNTIFS($E:$E,E21,$F:$F,F21,$G:$G,G21),"")</f>
        <v>1</v>
      </c>
      <c r="W21" s="122" t="n">
        <f aca="false">IF(V21="","",IF(V21=1,1,IF(AND(E20=E21,F20=F21,G20=G21),W20+1,1)))</f>
        <v>1</v>
      </c>
      <c r="X21" s="0" t="n">
        <v>1</v>
      </c>
      <c r="Y21" s="0" t="n">
        <v>6</v>
      </c>
      <c r="Z21" s="0" t="s">
        <v>429</v>
      </c>
      <c r="AA21" s="0" t="n">
        <v>0</v>
      </c>
      <c r="AB21" s="0" t="s">
        <v>430</v>
      </c>
      <c r="AC21" s="0" t="s">
        <v>216</v>
      </c>
      <c r="AD21" s="0" t="s">
        <v>216</v>
      </c>
      <c r="AE21" s="0" t="n">
        <v>0</v>
      </c>
      <c r="AF21" s="0" t="s">
        <v>431</v>
      </c>
      <c r="AG21" s="0" t="n">
        <v>0</v>
      </c>
      <c r="AH21" s="0" t="s">
        <v>432</v>
      </c>
      <c r="AI21" s="0" t="s">
        <v>433</v>
      </c>
      <c r="AJ21" s="0" t="s">
        <v>221</v>
      </c>
      <c r="AL21" s="0" t="s">
        <v>434</v>
      </c>
      <c r="AM21" s="0" t="n">
        <v>0</v>
      </c>
      <c r="AN21" s="0" t="s">
        <v>432</v>
      </c>
      <c r="AO21" s="0" t="s">
        <v>433</v>
      </c>
      <c r="AP21" s="0" t="s">
        <v>221</v>
      </c>
      <c r="AR21" s="0" t="s">
        <v>435</v>
      </c>
      <c r="AS21" s="0" t="n">
        <v>1</v>
      </c>
      <c r="AT21" s="0" t="s">
        <v>432</v>
      </c>
      <c r="AU21" s="0" t="s">
        <v>433</v>
      </c>
      <c r="AV21" s="0" t="s">
        <v>221</v>
      </c>
      <c r="AX21" s="0" t="s">
        <v>213</v>
      </c>
      <c r="AY21" s="0" t="n">
        <v>1</v>
      </c>
      <c r="AZ21" s="0" t="s">
        <v>432</v>
      </c>
      <c r="BA21" s="0" t="s">
        <v>433</v>
      </c>
      <c r="BB21" s="0" t="s">
        <v>221</v>
      </c>
      <c r="BD21" s="0" t="s">
        <v>249</v>
      </c>
      <c r="BE21" s="0" t="n">
        <v>0</v>
      </c>
      <c r="BF21" s="0" t="s">
        <v>436</v>
      </c>
      <c r="BG21" s="0" t="s">
        <v>410</v>
      </c>
      <c r="BH21" s="0" t="s">
        <v>411</v>
      </c>
      <c r="BJ21" s="0" t="s">
        <v>412</v>
      </c>
      <c r="BK21" s="0" t="n">
        <v>0</v>
      </c>
      <c r="BL21" s="0" t="s">
        <v>437</v>
      </c>
      <c r="BM21" s="0" t="s">
        <v>438</v>
      </c>
      <c r="BN21" s="0" t="s">
        <v>352</v>
      </c>
      <c r="BP21" s="0" t="n">
        <v>0</v>
      </c>
      <c r="BQ21" s="0" t="n">
        <v>0</v>
      </c>
      <c r="BR21" s="0" t="n">
        <v>1</v>
      </c>
      <c r="BS21" s="0" t="s">
        <v>439</v>
      </c>
      <c r="BT21" s="0" t="s">
        <v>440</v>
      </c>
      <c r="BU21" s="0" t="s">
        <v>441</v>
      </c>
      <c r="BV21" s="123"/>
      <c r="BW21" s="123"/>
      <c r="BX21" s="123"/>
      <c r="BY21" s="123"/>
      <c r="BZ21" s="0" t="n">
        <v>0</v>
      </c>
      <c r="CA21" s="0" t="s">
        <v>216</v>
      </c>
      <c r="CD21" s="0" t="s">
        <v>370</v>
      </c>
      <c r="CE21" s="0" t="n">
        <v>0</v>
      </c>
      <c r="CF21" s="0" t="s">
        <v>442</v>
      </c>
      <c r="CG21" s="0" t="s">
        <v>218</v>
      </c>
      <c r="CI21" s="1" t="n">
        <v>39204</v>
      </c>
      <c r="CJ21" s="1" t="n">
        <v>40513</v>
      </c>
      <c r="CK21" s="124" t="n">
        <v>0.375</v>
      </c>
      <c r="CL21" s="0" t="s">
        <v>443</v>
      </c>
      <c r="CM21" s="0" t="n">
        <f aca="false">IF(OR(CI21="",CJ21=""),"",DAYS360(CI21,CJ21)/360)</f>
        <v>3.58055555555556</v>
      </c>
      <c r="CN21" s="0" t="n">
        <f aca="false">IF(OR(CI21="",CJ21=""),"",DAYS360(CI21,CJ21)/30)</f>
        <v>42.9666666666667</v>
      </c>
      <c r="CO21" s="0" t="n">
        <f aca="false">IF(OR(CI21="",CJ21=""),"",DAYS360(CI21,CJ21)/7)</f>
        <v>184.142857142857</v>
      </c>
      <c r="CP21" s="0" t="n">
        <f aca="false">IF(OR(CI21="",CJ21=""),"",DAYS360(CI21,CJ21))</f>
        <v>1289</v>
      </c>
      <c r="CQ21" s="0" t="s">
        <v>240</v>
      </c>
      <c r="CR21" s="0" t="n">
        <v>1</v>
      </c>
      <c r="CT21" s="0" t="n">
        <v>7098.07</v>
      </c>
      <c r="CU21" s="0" t="n">
        <v>2</v>
      </c>
      <c r="CV21" s="0" t="n">
        <f aca="false">IF(OR(CT21="",CT21="NO ESPECIFICA",CT21="NO MENCIONA"),"",IF(CU21=0,CT21,IF(CU21=1,CT21/30,IF(CU21=2,CT21/15,IF(CU21=3,CT21/7,"")))))</f>
        <v>473.204666666667</v>
      </c>
      <c r="CW21" s="125" t="n">
        <v>805.66</v>
      </c>
      <c r="CX21" s="0" t="n">
        <v>0</v>
      </c>
      <c r="CY21" s="0" t="n">
        <f aca="false">IF(CW21="","",IF(CX21=0,CW21,IF(CX21=1,CW21/30,IF(CX21=2,CW21/15,IF(CX21=3,CW21/7,CW21)))))</f>
        <v>805.66</v>
      </c>
      <c r="CZ21" s="0" t="n">
        <f aca="false">IF(DI21&gt;0,DI21,IF(CY21&gt;0,CY21,IF(CV21&gt;0,CV21,"")))</f>
        <v>805.66</v>
      </c>
      <c r="DA21" s="0" t="n">
        <f aca="false">IF(DM21=1,CZ21/8,IF(OR(DM21=2,DM21=4),CZ21/7,IF(DM21=3,CZ21/7.5,"")))</f>
        <v>100.7075</v>
      </c>
      <c r="DB21" s="0" t="s">
        <v>444</v>
      </c>
      <c r="DC21" s="0" t="s">
        <v>445</v>
      </c>
      <c r="DD21" s="0" t="s">
        <v>260</v>
      </c>
      <c r="DE21" s="0" t="s">
        <v>216</v>
      </c>
      <c r="DF21" s="0" t="s">
        <v>216</v>
      </c>
      <c r="DG21" s="0" t="s">
        <v>216</v>
      </c>
      <c r="DH21" s="0" t="n">
        <v>0</v>
      </c>
      <c r="DI21" s="126" t="n">
        <v>805.66</v>
      </c>
      <c r="DK21" s="0" t="n">
        <v>0</v>
      </c>
      <c r="DM21" s="0" t="n">
        <v>1</v>
      </c>
      <c r="DN21" s="0" t="n">
        <v>55</v>
      </c>
      <c r="DO21" s="0" t="n">
        <v>3</v>
      </c>
      <c r="DP21" s="0" t="n">
        <v>0</v>
      </c>
      <c r="DQ21" s="0" t="n">
        <v>1</v>
      </c>
      <c r="DR21" s="0"/>
      <c r="DS21" s="0" t="n">
        <v>1</v>
      </c>
      <c r="DU21" s="0" t="n">
        <v>1</v>
      </c>
      <c r="DW21" s="1" t="n">
        <v>39204</v>
      </c>
      <c r="DX21" s="1" t="n">
        <v>40513</v>
      </c>
      <c r="DZ21" s="0"/>
      <c r="EA21" s="0" t="n">
        <v>1</v>
      </c>
      <c r="EC21" s="1" t="n">
        <v>39204</v>
      </c>
      <c r="ED21" s="1" t="n">
        <v>40513</v>
      </c>
      <c r="EF21" s="0"/>
      <c r="EG21" s="0" t="n">
        <v>1</v>
      </c>
      <c r="EH21" s="0" t="n">
        <v>18</v>
      </c>
      <c r="EI21" s="0" t="n">
        <f aca="false">IF(AND(DM21=1,DN21&lt;=48),"",IF(AND(DM21=2,DN21&lt;=42),"",IF(AND(DM21=3,DN21&lt;=45),"",EH21)))</f>
        <v>18</v>
      </c>
      <c r="EJ21" s="0" t="n">
        <f aca="false">IF(EI21="","",IF(EI21&lt;9,EI21,9))</f>
        <v>9</v>
      </c>
      <c r="EK21" s="0" t="n">
        <f aca="false">IF(EI21="","",IF(EI21&gt;9,EI21-EJ21,0))</f>
        <v>9</v>
      </c>
      <c r="EL21" s="0" t="n">
        <f aca="false">IF(EI21="","",EJ21*DA21*2+EK21*DA21*3)</f>
        <v>4531.8375</v>
      </c>
      <c r="EP21" s="0" t="n">
        <v>1</v>
      </c>
      <c r="EQ21" s="0"/>
      <c r="ER21" s="0" t="n">
        <v>0</v>
      </c>
      <c r="ET21" s="0" t="n">
        <v>0</v>
      </c>
      <c r="EV21" s="0" t="n">
        <v>1</v>
      </c>
      <c r="EX21" s="0" t="n">
        <v>1</v>
      </c>
      <c r="EY21" s="0" t="n">
        <v>1</v>
      </c>
      <c r="EZ21" s="4" t="n">
        <v>20000</v>
      </c>
      <c r="FA21" s="0"/>
      <c r="FB21" s="0" t="n">
        <v>0</v>
      </c>
      <c r="FF21" s="120" t="n">
        <f aca="false">(CJ21-CI21+1)/365</f>
        <v>3.58904109589041</v>
      </c>
      <c r="FG21" s="0" t="str">
        <f aca="false">CONCATENATE(F21,"/",G21)</f>
        <v>54/2011</v>
      </c>
      <c r="FH21" s="0" t="n">
        <v>0</v>
      </c>
      <c r="FI21" s="0" t="n">
        <v>0</v>
      </c>
    </row>
    <row r="22" customFormat="false" ht="15" hidden="false" customHeight="false" outlineLevel="0" collapsed="false">
      <c r="A22" s="5" t="str">
        <f aca="false">E22&amp;G22&amp;F22</f>
        <v>7201155</v>
      </c>
      <c r="B22" s="0" t="s">
        <v>203</v>
      </c>
      <c r="C22" s="1" t="n">
        <v>42408</v>
      </c>
      <c r="E22" s="0" t="n">
        <v>7</v>
      </c>
      <c r="F22" s="0" t="n">
        <v>55</v>
      </c>
      <c r="G22" s="0" t="n">
        <v>2011</v>
      </c>
      <c r="H22" s="0" t="str">
        <f aca="false">"J"&amp;E22&amp;"\"&amp;F22&amp;"\"&amp;G22&amp;"\"&amp;W22</f>
        <v>J7\55\2011\1</v>
      </c>
      <c r="I22" s="0"/>
      <c r="J22" s="1" t="n">
        <v>40553</v>
      </c>
      <c r="K22" s="0" t="n">
        <v>0</v>
      </c>
      <c r="M22" s="1" t="n">
        <v>40553</v>
      </c>
      <c r="N22" s="1" t="n">
        <v>40606</v>
      </c>
      <c r="O22" s="1"/>
      <c r="P22" s="1"/>
      <c r="Q22" s="1"/>
      <c r="T22" s="121"/>
      <c r="U22" s="121"/>
      <c r="V22" s="122" t="n">
        <f aca="false">IF(AND(E22&gt;0,F22&gt;0,G22&gt;0),COUNTIFS($E:$E,E22,$F:$F,F22,$G:$G,G22),"")</f>
        <v>1</v>
      </c>
      <c r="W22" s="122" t="n">
        <f aca="false">IF(V22="","",IF(V22=1,1,IF(AND(E21=E22,F21=F22,G21=G22),W21+1,1)))</f>
        <v>1</v>
      </c>
      <c r="X22" s="0" t="n">
        <v>1</v>
      </c>
      <c r="Y22" s="0" t="n">
        <v>6</v>
      </c>
      <c r="Z22" s="0" t="s">
        <v>446</v>
      </c>
      <c r="AA22" s="0" t="n">
        <v>0</v>
      </c>
      <c r="AB22" s="0" t="s">
        <v>447</v>
      </c>
      <c r="AC22" s="0" t="s">
        <v>251</v>
      </c>
      <c r="AD22" s="0" t="s">
        <v>229</v>
      </c>
      <c r="AE22" s="0" t="n">
        <v>0</v>
      </c>
      <c r="AF22" s="0" t="s">
        <v>448</v>
      </c>
      <c r="AG22" s="0" t="n">
        <v>0</v>
      </c>
      <c r="AH22" s="0" t="s">
        <v>449</v>
      </c>
      <c r="AI22" s="0" t="s">
        <v>450</v>
      </c>
      <c r="AJ22" s="0" t="s">
        <v>229</v>
      </c>
      <c r="AL22" s="0" t="s">
        <v>451</v>
      </c>
      <c r="AM22" s="0" t="n">
        <v>1</v>
      </c>
      <c r="AN22" s="0" t="s">
        <v>449</v>
      </c>
      <c r="AO22" s="0" t="s">
        <v>450</v>
      </c>
      <c r="AP22" s="0" t="s">
        <v>229</v>
      </c>
      <c r="AR22" s="0" t="s">
        <v>452</v>
      </c>
      <c r="AS22" s="0" t="n">
        <v>1</v>
      </c>
      <c r="AT22" s="0" t="s">
        <v>449</v>
      </c>
      <c r="AU22" s="0" t="s">
        <v>450</v>
      </c>
      <c r="AV22" s="0" t="s">
        <v>229</v>
      </c>
      <c r="AX22" s="0" t="s">
        <v>213</v>
      </c>
      <c r="AY22" s="0" t="n">
        <v>1</v>
      </c>
      <c r="AZ22" s="0" t="s">
        <v>449</v>
      </c>
      <c r="BA22" s="0" t="s">
        <v>450</v>
      </c>
      <c r="BB22" s="0" t="s">
        <v>229</v>
      </c>
      <c r="BD22" s="0" t="s">
        <v>249</v>
      </c>
      <c r="BE22" s="0" t="n">
        <v>0</v>
      </c>
      <c r="BF22" s="0" t="s">
        <v>436</v>
      </c>
      <c r="BG22" s="0" t="s">
        <v>410</v>
      </c>
      <c r="BH22" s="0" t="s">
        <v>411</v>
      </c>
      <c r="BJ22" s="0" t="s">
        <v>412</v>
      </c>
      <c r="BK22" s="0" t="n">
        <v>0</v>
      </c>
      <c r="BL22" s="0" t="s">
        <v>437</v>
      </c>
      <c r="BM22" s="0" t="s">
        <v>438</v>
      </c>
      <c r="BN22" s="0" t="s">
        <v>352</v>
      </c>
      <c r="BP22" s="0" t="n">
        <v>0</v>
      </c>
      <c r="BQ22" s="0" t="n">
        <v>0</v>
      </c>
      <c r="BR22" s="0" t="n">
        <v>1</v>
      </c>
      <c r="BS22" s="0" t="s">
        <v>453</v>
      </c>
      <c r="BT22" s="0" t="s">
        <v>454</v>
      </c>
      <c r="BU22" s="0" t="s">
        <v>455</v>
      </c>
      <c r="BV22" s="123"/>
      <c r="BW22" s="123"/>
      <c r="BX22" s="123"/>
      <c r="BY22" s="123"/>
      <c r="BZ22" s="0" t="n">
        <v>0</v>
      </c>
      <c r="CA22" s="0" t="s">
        <v>456</v>
      </c>
      <c r="CD22" s="0" t="s">
        <v>370</v>
      </c>
      <c r="CE22" s="0" t="n">
        <v>0</v>
      </c>
      <c r="CF22" s="0" t="s">
        <v>457</v>
      </c>
      <c r="CG22" s="0" t="s">
        <v>218</v>
      </c>
      <c r="CI22" s="1" t="n">
        <v>39699</v>
      </c>
      <c r="CJ22" s="1" t="n">
        <v>40509</v>
      </c>
      <c r="CK22" s="124" t="n">
        <v>0.625</v>
      </c>
      <c r="CL22" s="0" t="s">
        <v>458</v>
      </c>
      <c r="CM22" s="0" t="n">
        <f aca="false">IF(OR(CI22="",CJ22=""),"",DAYS360(CI22,CJ22)/360)</f>
        <v>2.21944444444444</v>
      </c>
      <c r="CN22" s="0" t="n">
        <f aca="false">IF(OR(CI22="",CJ22=""),"",DAYS360(CI22,CJ22)/30)</f>
        <v>26.6333333333333</v>
      </c>
      <c r="CO22" s="0" t="n">
        <f aca="false">IF(OR(CI22="",CJ22=""),"",DAYS360(CI22,CJ22)/7)</f>
        <v>114.142857142857</v>
      </c>
      <c r="CP22" s="0" t="n">
        <f aca="false">IF(OR(CI22="",CJ22=""),"",DAYS360(CI22,CJ22))</f>
        <v>799</v>
      </c>
      <c r="CQ22" s="0" t="s">
        <v>240</v>
      </c>
      <c r="CR22" s="0" t="n">
        <v>1</v>
      </c>
      <c r="CT22" s="0" t="s">
        <v>221</v>
      </c>
      <c r="CU22" s="0" t="s">
        <v>221</v>
      </c>
      <c r="CV22" s="0" t="str">
        <f aca="false">IF(OR(CT22="",CT22="NO ESPECIFICA",CT22="NO MENCIONA"),"",IF(CU22=0,CT22,IF(CU22=1,CT22/30,IF(CU22=2,CT22/15,IF(CU22=3,CT22/7,"")))))</f>
        <v/>
      </c>
      <c r="CW22" s="125" t="n">
        <v>330</v>
      </c>
      <c r="CX22" s="0" t="n">
        <v>0</v>
      </c>
      <c r="CY22" s="0" t="n">
        <f aca="false">IF(CW22="","",IF(CX22=0,CW22,IF(CX22=1,CW22/30,IF(CX22=2,CW22/15,IF(CX22=3,CW22/7,CW22)))))</f>
        <v>330</v>
      </c>
      <c r="CZ22" s="0" t="n">
        <f aca="false">IF(DI22&gt;0,DI22,IF(CY22&gt;0,CY22,IF(CV22&gt;0,CV22,"")))</f>
        <v>330</v>
      </c>
      <c r="DA22" s="0" t="n">
        <f aca="false">IF(DM22=1,CZ22/8,IF(OR(DM22=2,DM22=4),CZ22/7,IF(DM22=3,CZ22/7.5,"")))</f>
        <v>41.25</v>
      </c>
      <c r="DB22" s="0" t="s">
        <v>216</v>
      </c>
      <c r="DC22" s="0" t="s">
        <v>216</v>
      </c>
      <c r="DD22" s="0" t="s">
        <v>216</v>
      </c>
      <c r="DE22" s="0" t="s">
        <v>216</v>
      </c>
      <c r="DF22" s="0" t="s">
        <v>216</v>
      </c>
      <c r="DG22" s="0" t="s">
        <v>216</v>
      </c>
      <c r="DH22" s="0" t="n">
        <v>0</v>
      </c>
      <c r="DI22" s="126" t="n">
        <v>330</v>
      </c>
      <c r="DK22" s="0" t="n">
        <v>1</v>
      </c>
      <c r="DM22" s="0" t="n">
        <v>1</v>
      </c>
      <c r="DN22" s="0" t="n">
        <v>56</v>
      </c>
      <c r="DO22" s="0" t="n">
        <v>3</v>
      </c>
      <c r="DP22" s="0" t="n">
        <v>0</v>
      </c>
      <c r="DQ22" s="0" t="n">
        <v>1</v>
      </c>
      <c r="DR22" s="0"/>
      <c r="DS22" s="0" t="n">
        <v>1</v>
      </c>
      <c r="DU22" s="0" t="n">
        <v>1</v>
      </c>
      <c r="DW22" s="1" t="n">
        <v>39699</v>
      </c>
      <c r="DX22" s="1" t="n">
        <v>40509</v>
      </c>
      <c r="DZ22" s="0"/>
      <c r="EA22" s="0" t="n">
        <v>1</v>
      </c>
      <c r="EC22" s="1" t="n">
        <v>39699</v>
      </c>
      <c r="ED22" s="1" t="n">
        <v>40509</v>
      </c>
      <c r="EF22" s="0"/>
      <c r="EG22" s="0" t="n">
        <v>0</v>
      </c>
      <c r="EI22" s="0" t="n">
        <f aca="false">IF(AND(DM22=1,DN22&lt;=48),"",IF(AND(DM22=2,DN22&lt;=42),"",IF(AND(DM22=3,DN22&lt;=45),"",EH22)))</f>
        <v>0</v>
      </c>
      <c r="EJ22" s="0" t="str">
        <f aca="false">IF(EI22="","",IF(EI22&lt;9,EI22,9))</f>
        <v/>
      </c>
      <c r="EK22" s="0" t="str">
        <f aca="false">IF(EI22="","",IF(EI22&gt;9,EI22-EJ22,0))</f>
        <v/>
      </c>
      <c r="EL22" s="0" t="str">
        <f aca="false">IF(EI22="","",EJ22*DA22*2+EK22*DA22*3)</f>
        <v/>
      </c>
      <c r="EP22" s="0" t="n">
        <v>0</v>
      </c>
      <c r="EQ22" s="0"/>
      <c r="ER22" s="0" t="n">
        <v>0</v>
      </c>
      <c r="ET22" s="0" t="n">
        <v>0</v>
      </c>
      <c r="EV22" s="0" t="n">
        <v>0</v>
      </c>
      <c r="EX22" s="0" t="n">
        <v>1</v>
      </c>
      <c r="EY22" s="0" t="n">
        <v>0</v>
      </c>
      <c r="EZ22" s="0"/>
      <c r="FA22" s="4" t="n">
        <v>4290</v>
      </c>
      <c r="FB22" s="0" t="n">
        <v>0</v>
      </c>
      <c r="FF22" s="120" t="n">
        <f aca="false">(CJ22-CI22+1)/365</f>
        <v>2.22191780821918</v>
      </c>
      <c r="FG22" s="0" t="str">
        <f aca="false">CONCATENATE(F22,"/",G22)</f>
        <v>55/2011</v>
      </c>
      <c r="FH22" s="0" t="n">
        <v>0</v>
      </c>
      <c r="FI22" s="0" t="n">
        <v>0</v>
      </c>
    </row>
    <row r="23" customFormat="false" ht="15" hidden="false" customHeight="false" outlineLevel="0" collapsed="false">
      <c r="A23" s="5" t="str">
        <f aca="false">E23&amp;G23&amp;F23</f>
        <v>7201158</v>
      </c>
      <c r="B23" s="0" t="s">
        <v>203</v>
      </c>
      <c r="C23" s="1" t="n">
        <v>42408</v>
      </c>
      <c r="E23" s="0" t="n">
        <v>7</v>
      </c>
      <c r="F23" s="0" t="n">
        <v>58</v>
      </c>
      <c r="G23" s="0" t="n">
        <v>2011</v>
      </c>
      <c r="H23" s="0" t="str">
        <f aca="false">"J"&amp;E23&amp;"\"&amp;F23&amp;"\"&amp;G23&amp;"\"&amp;W23</f>
        <v>J7\58\2011\1</v>
      </c>
      <c r="I23" s="0"/>
      <c r="J23" s="1" t="n">
        <v>40553</v>
      </c>
      <c r="K23" s="0" t="n">
        <v>1</v>
      </c>
      <c r="L23" s="0" t="s">
        <v>428</v>
      </c>
      <c r="M23" s="1" t="n">
        <v>40553</v>
      </c>
      <c r="N23" s="1" t="n">
        <v>40606</v>
      </c>
      <c r="O23" s="1"/>
      <c r="P23" s="1"/>
      <c r="Q23" s="1"/>
      <c r="T23" s="121"/>
      <c r="U23" s="121"/>
      <c r="V23" s="122" t="n">
        <f aca="false">IF(AND(E23&gt;0,F23&gt;0,G23&gt;0),COUNTIFS($E:$E,E23,$F:$F,F23,$G:$G,G23),"")</f>
        <v>1</v>
      </c>
      <c r="W23" s="122" t="n">
        <f aca="false">IF(V23="","",IF(V23=1,1,IF(AND(E22=E23,F22=F23,G22=G23),W22+1,1)))</f>
        <v>1</v>
      </c>
      <c r="X23" s="0" t="n">
        <v>1</v>
      </c>
      <c r="Y23" s="0" t="n">
        <v>5</v>
      </c>
      <c r="Z23" s="0" t="s">
        <v>459</v>
      </c>
      <c r="AA23" s="0" t="n">
        <v>0</v>
      </c>
      <c r="AB23" s="0" t="s">
        <v>460</v>
      </c>
      <c r="AC23" s="0" t="s">
        <v>461</v>
      </c>
      <c r="AD23" s="0" t="s">
        <v>207</v>
      </c>
      <c r="AE23" s="0" t="n">
        <v>0</v>
      </c>
      <c r="AF23" s="0" t="s">
        <v>462</v>
      </c>
      <c r="AG23" s="0" t="n">
        <v>0</v>
      </c>
      <c r="AH23" s="0" t="s">
        <v>463</v>
      </c>
      <c r="AI23" s="0" t="s">
        <v>464</v>
      </c>
      <c r="AJ23" s="0" t="s">
        <v>207</v>
      </c>
      <c r="AL23" s="0" t="s">
        <v>465</v>
      </c>
      <c r="AM23" s="0" t="n">
        <v>0</v>
      </c>
      <c r="AN23" s="0" t="s">
        <v>463</v>
      </c>
      <c r="AO23" s="0" t="s">
        <v>464</v>
      </c>
      <c r="AP23" s="0" t="s">
        <v>207</v>
      </c>
      <c r="AR23" s="0" t="s">
        <v>466</v>
      </c>
      <c r="AS23" s="0" t="n">
        <v>1</v>
      </c>
      <c r="AT23" s="0" t="s">
        <v>467</v>
      </c>
      <c r="AU23" s="0" t="s">
        <v>468</v>
      </c>
      <c r="AV23" s="0" t="s">
        <v>469</v>
      </c>
      <c r="AX23" s="0" t="s">
        <v>470</v>
      </c>
      <c r="AY23" s="0" t="n">
        <v>1</v>
      </c>
      <c r="AZ23" s="0" t="s">
        <v>467</v>
      </c>
      <c r="BA23" s="0" t="s">
        <v>468</v>
      </c>
      <c r="BB23" s="0" t="s">
        <v>469</v>
      </c>
      <c r="BD23" s="0" t="s">
        <v>471</v>
      </c>
      <c r="BE23" s="0" t="n">
        <v>1</v>
      </c>
      <c r="BF23" s="0" t="s">
        <v>472</v>
      </c>
      <c r="BG23" s="0" t="s">
        <v>468</v>
      </c>
      <c r="BH23" s="0" t="s">
        <v>469</v>
      </c>
      <c r="BJ23" s="0" t="s">
        <v>473</v>
      </c>
      <c r="BK23" s="0" t="n">
        <v>1</v>
      </c>
      <c r="BL23" s="0" t="s">
        <v>474</v>
      </c>
      <c r="BM23" s="0" t="s">
        <v>475</v>
      </c>
      <c r="BN23" s="0" t="s">
        <v>352</v>
      </c>
      <c r="BP23" s="0" t="n">
        <v>0</v>
      </c>
      <c r="BQ23" s="0" t="n">
        <v>0</v>
      </c>
      <c r="BR23" s="0" t="n">
        <v>1</v>
      </c>
      <c r="BS23" s="0" t="s">
        <v>476</v>
      </c>
      <c r="BT23" s="0" t="s">
        <v>477</v>
      </c>
      <c r="BU23" s="0" t="s">
        <v>478</v>
      </c>
      <c r="BV23" s="123"/>
      <c r="BW23" s="123"/>
      <c r="BX23" s="123"/>
      <c r="BY23" s="123"/>
      <c r="BZ23" s="0" t="n">
        <v>0</v>
      </c>
      <c r="CA23" s="0" t="s">
        <v>216</v>
      </c>
      <c r="CD23" s="0" t="s">
        <v>357</v>
      </c>
      <c r="CE23" s="0" t="n">
        <v>0</v>
      </c>
      <c r="CF23" s="0" t="s">
        <v>479</v>
      </c>
      <c r="CG23" s="0" t="s">
        <v>218</v>
      </c>
      <c r="CI23" s="1" t="n">
        <v>40394</v>
      </c>
      <c r="CJ23" s="1" t="n">
        <v>40522</v>
      </c>
      <c r="CK23" s="124" t="n">
        <v>0.375</v>
      </c>
      <c r="CL23" s="0" t="s">
        <v>221</v>
      </c>
      <c r="CM23" s="0" t="n">
        <f aca="false">IF(OR(CI23="",CJ23=""),"",DAYS360(CI23,CJ23)/360)</f>
        <v>0.35</v>
      </c>
      <c r="CN23" s="0" t="n">
        <f aca="false">IF(OR(CI23="",CJ23=""),"",DAYS360(CI23,CJ23)/30)</f>
        <v>4.2</v>
      </c>
      <c r="CO23" s="0" t="n">
        <f aca="false">IF(OR(CI23="",CJ23=""),"",DAYS360(CI23,CJ23)/7)</f>
        <v>18</v>
      </c>
      <c r="CP23" s="0" t="n">
        <f aca="false">IF(OR(CI23="",CJ23=""),"",DAYS360(CI23,CJ23))</f>
        <v>126</v>
      </c>
      <c r="CQ23" s="0" t="s">
        <v>240</v>
      </c>
      <c r="CR23" s="0" t="n">
        <v>1</v>
      </c>
      <c r="CT23" s="0" t="s">
        <v>221</v>
      </c>
      <c r="CU23" s="0" t="s">
        <v>221</v>
      </c>
      <c r="CV23" s="0" t="str">
        <f aca="false">IF(OR(CT23="",CT23="NO ESPECIFICA",CT23="NO MENCIONA"),"",IF(CU23=0,CT23,IF(CU23=1,CT23/30,IF(CU23=2,CT23/15,IF(CU23=3,CT23/7,"")))))</f>
        <v/>
      </c>
      <c r="CW23" s="125" t="n">
        <v>133.34</v>
      </c>
      <c r="CX23" s="0" t="n">
        <v>0</v>
      </c>
      <c r="CY23" s="0" t="n">
        <f aca="false">IF(CW23="","",IF(CX23=0,CW23,IF(CX23=1,CW23/30,IF(CX23=2,CW23/15,IF(CX23=3,CW23/7,CW23)))))</f>
        <v>133.34</v>
      </c>
      <c r="CZ23" s="0" t="n">
        <f aca="false">IF(DI23&gt;0,DI23,IF(CY23&gt;0,CY23,IF(CV23&gt;0,CV23,"")))</f>
        <v>133.34</v>
      </c>
      <c r="DA23" s="0" t="n">
        <f aca="false">IF(DM23=1,CZ23/8,IF(OR(DM23=2,DM23=4),CZ23/7,IF(DM23=3,CZ23/7.5,"")))</f>
        <v>16.6675</v>
      </c>
      <c r="DB23" s="0" t="s">
        <v>216</v>
      </c>
      <c r="DC23" s="0" t="s">
        <v>216</v>
      </c>
      <c r="DD23" s="0" t="s">
        <v>216</v>
      </c>
      <c r="DE23" s="0" t="s">
        <v>216</v>
      </c>
      <c r="DF23" s="0" t="s">
        <v>216</v>
      </c>
      <c r="DG23" s="0" t="s">
        <v>216</v>
      </c>
      <c r="DH23" s="0" t="n">
        <v>0</v>
      </c>
      <c r="DI23" s="126" t="n">
        <v>133.34</v>
      </c>
      <c r="DK23" s="0" t="n">
        <v>0</v>
      </c>
      <c r="DM23" s="0" t="n">
        <v>1</v>
      </c>
      <c r="DN23" s="0" t="n">
        <v>55</v>
      </c>
      <c r="DO23" s="0" t="n">
        <v>3</v>
      </c>
      <c r="DP23" s="0" t="n">
        <v>0</v>
      </c>
      <c r="DQ23" s="0" t="n">
        <v>1</v>
      </c>
      <c r="DR23" s="0" t="n">
        <v>12000</v>
      </c>
      <c r="DS23" s="0" t="n">
        <v>1</v>
      </c>
      <c r="DU23" s="0" t="n">
        <v>1</v>
      </c>
      <c r="DW23" s="1" t="s">
        <v>221</v>
      </c>
      <c r="DX23" s="1" t="s">
        <v>221</v>
      </c>
      <c r="DY23" s="0" t="s">
        <v>221</v>
      </c>
      <c r="DZ23" s="0" t="n">
        <v>800</v>
      </c>
      <c r="EA23" s="0" t="n">
        <v>1</v>
      </c>
      <c r="EC23" s="1" t="s">
        <v>221</v>
      </c>
      <c r="ED23" s="1" t="s">
        <v>221</v>
      </c>
      <c r="EE23" s="0" t="s">
        <v>221</v>
      </c>
      <c r="EF23" s="0" t="n">
        <v>2000</v>
      </c>
      <c r="EG23" s="0" t="n">
        <v>0</v>
      </c>
      <c r="EI23" s="0" t="n">
        <f aca="false">IF(AND(DM23=1,DN23&lt;=48),"",IF(AND(DM23=2,DN23&lt;=42),"",IF(AND(DM23=3,DN23&lt;=45),"",EH23)))</f>
        <v>0</v>
      </c>
      <c r="EJ23" s="0" t="str">
        <f aca="false">IF(EI23="","",IF(EI23&lt;9,EI23,9))</f>
        <v/>
      </c>
      <c r="EK23" s="0" t="str">
        <f aca="false">IF(EI23="","",IF(EI23&gt;9,EI23-EJ23,0))</f>
        <v/>
      </c>
      <c r="EL23" s="0" t="str">
        <f aca="false">IF(EI23="","",EJ23*DA23*2+EK23*DA23*3)</f>
        <v/>
      </c>
      <c r="EP23" s="0" t="n">
        <v>0</v>
      </c>
      <c r="EQ23" s="0"/>
      <c r="ER23" s="0" t="n">
        <v>0</v>
      </c>
      <c r="ET23" s="0" t="n">
        <v>0</v>
      </c>
      <c r="EV23" s="0" t="n">
        <v>0</v>
      </c>
      <c r="EX23" s="0" t="n">
        <v>1</v>
      </c>
      <c r="EY23" s="0" t="n">
        <v>0</v>
      </c>
      <c r="EZ23" s="0"/>
      <c r="FA23" s="4" t="n">
        <v>8000</v>
      </c>
      <c r="FB23" s="0" t="n">
        <v>1</v>
      </c>
      <c r="FF23" s="120" t="n">
        <f aca="false">(CJ23-CI23+1)/365</f>
        <v>0.353424657534247</v>
      </c>
      <c r="FG23" s="0" t="str">
        <f aca="false">CONCATENATE(F23,"/",G23)</f>
        <v>58/2011</v>
      </c>
      <c r="FH23" s="0" t="n">
        <v>0</v>
      </c>
      <c r="FI23" s="0" t="n">
        <v>0</v>
      </c>
    </row>
    <row r="24" customFormat="false" ht="15" hidden="false" customHeight="false" outlineLevel="0" collapsed="false">
      <c r="A24" s="5" t="str">
        <f aca="false">E24&amp;G24&amp;F24</f>
        <v>7201161</v>
      </c>
      <c r="B24" s="0" t="s">
        <v>203</v>
      </c>
      <c r="C24" s="1" t="n">
        <v>42408</v>
      </c>
      <c r="E24" s="0" t="n">
        <v>7</v>
      </c>
      <c r="F24" s="0" t="n">
        <v>61</v>
      </c>
      <c r="G24" s="0" t="n">
        <v>2011</v>
      </c>
      <c r="H24" s="0" t="str">
        <f aca="false">"J"&amp;E24&amp;"\"&amp;F24&amp;"\"&amp;G24&amp;"\"&amp;W24</f>
        <v>J7\61\2011\1</v>
      </c>
      <c r="I24" s="0"/>
      <c r="J24" s="1" t="n">
        <v>40553</v>
      </c>
      <c r="K24" s="0" t="n">
        <v>0</v>
      </c>
      <c r="M24" s="1" t="n">
        <v>40554</v>
      </c>
      <c r="N24" s="1" t="n">
        <v>40609</v>
      </c>
      <c r="O24" s="1"/>
      <c r="P24" s="1"/>
      <c r="Q24" s="1"/>
      <c r="T24" s="121"/>
      <c r="U24" s="121"/>
      <c r="V24" s="122" t="n">
        <f aca="false">IF(AND(E24&gt;0,F24&gt;0,G24&gt;0),COUNTIFS($E:$E,E24,$F:$F,F24,$G:$G,G24),"")</f>
        <v>1</v>
      </c>
      <c r="W24" s="122" t="n">
        <f aca="false">IF(V24="","",IF(V24=1,1,IF(AND(E23=E24,F23=F24,G23=G24),W23+1,1)))</f>
        <v>1</v>
      </c>
      <c r="X24" s="0" t="n">
        <v>1</v>
      </c>
      <c r="Y24" s="0" t="n">
        <v>4</v>
      </c>
      <c r="Z24" s="0" t="s">
        <v>480</v>
      </c>
      <c r="AA24" s="0" t="n">
        <v>0</v>
      </c>
      <c r="AB24" s="0" t="s">
        <v>481</v>
      </c>
      <c r="AC24" s="0" t="s">
        <v>287</v>
      </c>
      <c r="AD24" s="0" t="s">
        <v>207</v>
      </c>
      <c r="AE24" s="0" t="n">
        <v>0</v>
      </c>
      <c r="AF24" s="0" t="s">
        <v>482</v>
      </c>
      <c r="AG24" s="0" t="n">
        <v>0</v>
      </c>
      <c r="AH24" s="0" t="s">
        <v>483</v>
      </c>
      <c r="AI24" s="0" t="s">
        <v>484</v>
      </c>
      <c r="AJ24" s="0" t="s">
        <v>485</v>
      </c>
      <c r="AL24" s="0" t="s">
        <v>486</v>
      </c>
      <c r="AM24" s="0" t="n">
        <v>0</v>
      </c>
      <c r="AN24" s="0" t="s">
        <v>483</v>
      </c>
      <c r="AO24" s="0" t="s">
        <v>484</v>
      </c>
      <c r="AP24" s="0" t="s">
        <v>485</v>
      </c>
      <c r="AR24" s="0" t="s">
        <v>487</v>
      </c>
      <c r="AS24" s="0" t="n">
        <v>0</v>
      </c>
      <c r="AT24" s="0" t="s">
        <v>483</v>
      </c>
      <c r="AU24" s="0" t="s">
        <v>484</v>
      </c>
      <c r="AV24" s="0" t="s">
        <v>485</v>
      </c>
      <c r="AX24" s="0" t="s">
        <v>488</v>
      </c>
      <c r="AY24" s="0" t="n">
        <v>1</v>
      </c>
      <c r="AZ24" s="0" t="s">
        <v>483</v>
      </c>
      <c r="BA24" s="0" t="s">
        <v>484</v>
      </c>
      <c r="BB24" s="0" t="s">
        <v>485</v>
      </c>
      <c r="BP24" s="0" t="n">
        <v>0</v>
      </c>
      <c r="BQ24" s="0" t="n">
        <v>0</v>
      </c>
      <c r="BR24" s="0" t="n">
        <v>1</v>
      </c>
      <c r="BS24" s="0" t="s">
        <v>489</v>
      </c>
      <c r="BT24" s="0" t="s">
        <v>490</v>
      </c>
      <c r="BU24" s="0" t="s">
        <v>491</v>
      </c>
      <c r="BV24" s="123"/>
      <c r="BW24" s="123"/>
      <c r="BX24" s="123"/>
      <c r="BY24" s="123"/>
      <c r="BZ24" s="0" t="n">
        <v>0</v>
      </c>
      <c r="CA24" s="0" t="s">
        <v>216</v>
      </c>
      <c r="CD24" s="0" t="s">
        <v>296</v>
      </c>
      <c r="CE24" s="0" t="n">
        <v>0</v>
      </c>
      <c r="CF24" s="0" t="s">
        <v>492</v>
      </c>
      <c r="CG24" s="0" t="s">
        <v>218</v>
      </c>
      <c r="CI24" s="1" t="n">
        <v>38862</v>
      </c>
      <c r="CJ24" s="1" t="n">
        <v>40492</v>
      </c>
      <c r="CK24" s="124" t="n">
        <v>0.375</v>
      </c>
      <c r="CL24" s="0" t="s">
        <v>493</v>
      </c>
      <c r="CM24" s="0" t="n">
        <f aca="false">IF(OR(CI24="",CJ24=""),"",DAYS360(CI24,CJ24)/360)</f>
        <v>4.45833333333333</v>
      </c>
      <c r="CN24" s="0" t="n">
        <f aca="false">IF(OR(CI24="",CJ24=""),"",DAYS360(CI24,CJ24)/30)</f>
        <v>53.5</v>
      </c>
      <c r="CO24" s="0" t="n">
        <f aca="false">IF(OR(CI24="",CJ24=""),"",DAYS360(CI24,CJ24)/7)</f>
        <v>229.285714285714</v>
      </c>
      <c r="CP24" s="0" t="n">
        <f aca="false">IF(OR(CI24="",CJ24=""),"",DAYS360(CI24,CJ24))</f>
        <v>1605</v>
      </c>
      <c r="CQ24" s="0" t="s">
        <v>220</v>
      </c>
      <c r="CR24" s="0" t="n">
        <v>1</v>
      </c>
      <c r="CT24" s="0" t="s">
        <v>221</v>
      </c>
      <c r="CU24" s="0" t="s">
        <v>221</v>
      </c>
      <c r="CV24" s="0" t="str">
        <f aca="false">IF(OR(CT24="",CT24="NO ESPECIFICA",CT24="NO MENCIONA"),"",IF(CU24=0,CT24,IF(CU24=1,CT24/30,IF(CU24=2,CT24/15,IF(CU24=3,CT24/7,"")))))</f>
        <v/>
      </c>
      <c r="CW24" s="125" t="n">
        <v>500</v>
      </c>
      <c r="CX24" s="0" t="n">
        <v>0</v>
      </c>
      <c r="CY24" s="0" t="n">
        <f aca="false">IF(CW24="","",IF(CX24=0,CW24,IF(CX24=1,CW24/30,IF(CX24=2,CW24/15,IF(CX24=3,CW24/7,CW24)))))</f>
        <v>500</v>
      </c>
      <c r="CZ24" s="0" t="n">
        <f aca="false">IF(DI24&gt;0,DI24,IF(CY24&gt;0,CY24,IF(CV24&gt;0,CV24,"")))</f>
        <v>500</v>
      </c>
      <c r="DA24" s="0" t="n">
        <f aca="false">IF(DM24=1,CZ24/8,IF(OR(DM24=2,DM24=4),CZ24/7,IF(DM24=3,CZ24/7.5,"")))</f>
        <v>62.5</v>
      </c>
      <c r="DB24" s="0" t="s">
        <v>216</v>
      </c>
      <c r="DC24" s="0" t="s">
        <v>216</v>
      </c>
      <c r="DD24" s="0" t="s">
        <v>216</v>
      </c>
      <c r="DE24" s="0" t="s">
        <v>216</v>
      </c>
      <c r="DF24" s="0" t="s">
        <v>216</v>
      </c>
      <c r="DG24" s="0" t="s">
        <v>216</v>
      </c>
      <c r="DH24" s="0" t="n">
        <v>0</v>
      </c>
      <c r="DI24" s="126" t="n">
        <v>500</v>
      </c>
      <c r="DK24" s="0" t="n">
        <v>1</v>
      </c>
      <c r="DM24" s="0" t="n">
        <v>1</v>
      </c>
      <c r="DN24" s="0" t="n">
        <v>54.5</v>
      </c>
      <c r="DO24" s="0" t="n">
        <v>3</v>
      </c>
      <c r="DP24" s="0" t="n">
        <v>1</v>
      </c>
      <c r="DQ24" s="0" t="n">
        <v>1</v>
      </c>
      <c r="DR24" s="0"/>
      <c r="DS24" s="0" t="n">
        <v>1</v>
      </c>
      <c r="DU24" s="0" t="n">
        <v>1</v>
      </c>
      <c r="DW24" s="1" t="n">
        <v>38862</v>
      </c>
      <c r="DX24" s="1" t="n">
        <v>40492</v>
      </c>
      <c r="DZ24" s="0"/>
      <c r="EA24" s="0" t="n">
        <v>1</v>
      </c>
      <c r="EC24" s="1" t="n">
        <v>38862</v>
      </c>
      <c r="ED24" s="1" t="n">
        <v>40492</v>
      </c>
      <c r="EF24" s="0"/>
      <c r="EG24" s="0" t="n">
        <v>0</v>
      </c>
      <c r="EI24" s="0" t="n">
        <f aca="false">IF(AND(DM24=1,DN24&lt;=48),"",IF(AND(DM24=2,DN24&lt;=42),"",IF(AND(DM24=3,DN24&lt;=45),"",EH24)))</f>
        <v>0</v>
      </c>
      <c r="EJ24" s="0" t="str">
        <f aca="false">IF(EI24="","",IF(EI24&lt;9,EI24,9))</f>
        <v/>
      </c>
      <c r="EK24" s="0" t="str">
        <f aca="false">IF(EI24="","",IF(EI24&gt;9,EI24-EJ24,0))</f>
        <v/>
      </c>
      <c r="EL24" s="0" t="str">
        <f aca="false">IF(EI24="","",EJ24*DA24*2+EK24*DA24*3)</f>
        <v/>
      </c>
      <c r="EP24" s="0" t="n">
        <v>0</v>
      </c>
      <c r="EQ24" s="0"/>
      <c r="ER24" s="0" t="n">
        <v>0</v>
      </c>
      <c r="ET24" s="0" t="n">
        <v>0</v>
      </c>
      <c r="EV24" s="0" t="n">
        <v>0</v>
      </c>
      <c r="EX24" s="0" t="n">
        <v>0</v>
      </c>
      <c r="EY24" s="0" t="n">
        <v>0</v>
      </c>
      <c r="EZ24" s="0"/>
      <c r="FA24" s="0"/>
      <c r="FB24" s="0" t="n">
        <v>0</v>
      </c>
      <c r="FF24" s="120" t="n">
        <f aca="false">(CJ24-CI24+1)/365</f>
        <v>4.46849315068493</v>
      </c>
      <c r="FG24" s="0" t="str">
        <f aca="false">CONCATENATE(F24,"/",G24)</f>
        <v>61/2011</v>
      </c>
      <c r="FH24" s="0" t="n">
        <v>0</v>
      </c>
      <c r="FI24" s="0" t="n">
        <v>0</v>
      </c>
    </row>
    <row r="25" customFormat="false" ht="15" hidden="false" customHeight="false" outlineLevel="0" collapsed="false">
      <c r="A25" s="5" t="str">
        <f aca="false">E25&amp;G25&amp;F25</f>
        <v>7201181</v>
      </c>
      <c r="B25" s="0" t="s">
        <v>203</v>
      </c>
      <c r="C25" s="1" t="n">
        <v>42408</v>
      </c>
      <c r="E25" s="0" t="n">
        <v>7</v>
      </c>
      <c r="F25" s="0" t="n">
        <v>81</v>
      </c>
      <c r="G25" s="0" t="n">
        <v>2011</v>
      </c>
      <c r="H25" s="0" t="str">
        <f aca="false">"J"&amp;E25&amp;"\"&amp;F25&amp;"\"&amp;G25&amp;"\"&amp;W25</f>
        <v>J7\81\2011\1</v>
      </c>
      <c r="I25" s="0"/>
      <c r="J25" s="1" t="n">
        <v>40553</v>
      </c>
      <c r="K25" s="0" t="n">
        <v>0</v>
      </c>
      <c r="M25" s="1" t="n">
        <v>40556</v>
      </c>
      <c r="N25" s="1" t="n">
        <v>40612</v>
      </c>
      <c r="O25" s="1"/>
      <c r="P25" s="1"/>
      <c r="Q25" s="1"/>
      <c r="T25" s="121"/>
      <c r="U25" s="121"/>
      <c r="V25" s="122" t="n">
        <f aca="false">IF(AND(E25&gt;0,F25&gt;0,G25&gt;0),COUNTIFS($E:$E,E25,$F:$F,F25,$G:$G,G25),"")</f>
        <v>1</v>
      </c>
      <c r="W25" s="122" t="n">
        <f aca="false">IF(V25="","",IF(V25=1,1,IF(AND(E24=E25,F24=F25,G24=G25),W24+1,1)))</f>
        <v>1</v>
      </c>
      <c r="X25" s="0" t="n">
        <v>1</v>
      </c>
      <c r="Y25" s="0" t="n">
        <v>3</v>
      </c>
      <c r="Z25" s="0" t="s">
        <v>494</v>
      </c>
      <c r="AA25" s="0" t="n">
        <v>0</v>
      </c>
      <c r="AB25" s="0" t="s">
        <v>348</v>
      </c>
      <c r="AC25" s="0" t="s">
        <v>216</v>
      </c>
      <c r="AD25" s="0" t="s">
        <v>216</v>
      </c>
      <c r="AE25" s="0" t="n">
        <v>0</v>
      </c>
      <c r="AF25" s="0" t="s">
        <v>495</v>
      </c>
      <c r="AG25" s="0" t="n">
        <v>0</v>
      </c>
      <c r="AH25" s="0" t="s">
        <v>496</v>
      </c>
      <c r="AI25" s="0" t="s">
        <v>497</v>
      </c>
      <c r="AJ25" s="0" t="s">
        <v>322</v>
      </c>
      <c r="AL25" s="0" t="s">
        <v>498</v>
      </c>
      <c r="AM25" s="0" t="n">
        <v>1</v>
      </c>
      <c r="AN25" s="0" t="s">
        <v>496</v>
      </c>
      <c r="AO25" s="0" t="s">
        <v>497</v>
      </c>
      <c r="AP25" s="0" t="s">
        <v>322</v>
      </c>
      <c r="AR25" s="0" t="s">
        <v>213</v>
      </c>
      <c r="AS25" s="0" t="n">
        <v>1</v>
      </c>
      <c r="AT25" s="0" t="s">
        <v>496</v>
      </c>
      <c r="AU25" s="0" t="s">
        <v>497</v>
      </c>
      <c r="AV25" s="0" t="s">
        <v>322</v>
      </c>
      <c r="BP25" s="0" t="n">
        <v>0</v>
      </c>
      <c r="BQ25" s="0" t="n">
        <v>0</v>
      </c>
      <c r="BR25" s="0" t="n">
        <v>3</v>
      </c>
      <c r="BS25" s="0" t="s">
        <v>499</v>
      </c>
      <c r="BT25" s="0" t="s">
        <v>500</v>
      </c>
      <c r="BU25" s="0" t="s">
        <v>501</v>
      </c>
      <c r="BV25" s="123"/>
      <c r="BW25" s="123"/>
      <c r="BX25" s="123"/>
      <c r="BY25" s="123"/>
      <c r="BZ25" s="0" t="n">
        <v>0</v>
      </c>
      <c r="CA25" s="0" t="s">
        <v>348</v>
      </c>
      <c r="CD25" s="0" t="s">
        <v>502</v>
      </c>
      <c r="CE25" s="0" t="n">
        <v>0</v>
      </c>
      <c r="CF25" s="0" t="s">
        <v>503</v>
      </c>
      <c r="CG25" s="0" t="s">
        <v>218</v>
      </c>
      <c r="CI25" s="1" t="n">
        <v>36661</v>
      </c>
      <c r="CJ25" s="1" t="n">
        <v>40498</v>
      </c>
      <c r="CK25" s="124" t="n">
        <v>0.416666666666667</v>
      </c>
      <c r="CL25" s="0" t="s">
        <v>498</v>
      </c>
      <c r="CM25" s="0" t="n">
        <f aca="false">IF(OR(CI25="",CJ25=""),"",DAYS360(CI25,CJ25)/360)</f>
        <v>10.5027777777778</v>
      </c>
      <c r="CN25" s="0" t="n">
        <f aca="false">IF(OR(CI25="",CJ25=""),"",DAYS360(CI25,CJ25)/30)</f>
        <v>126.033333333333</v>
      </c>
      <c r="CO25" s="0" t="n">
        <f aca="false">IF(OR(CI25="",CJ25=""),"",DAYS360(CI25,CJ25)/7)</f>
        <v>540.142857142857</v>
      </c>
      <c r="CP25" s="0" t="n">
        <f aca="false">IF(OR(CI25="",CJ25=""),"",DAYS360(CI25,CJ25))</f>
        <v>3781</v>
      </c>
      <c r="CQ25" s="0" t="s">
        <v>240</v>
      </c>
      <c r="CR25" s="0" t="n">
        <v>1</v>
      </c>
      <c r="CT25" s="0" t="n">
        <v>87.19</v>
      </c>
      <c r="CU25" s="0" t="n">
        <v>0</v>
      </c>
      <c r="CV25" s="0" t="n">
        <f aca="false">IF(OR(CT25="",CT25="NO ESPECIFICA",CT25="NO MENCIONA"),"",IF(CU25=0,CT25,IF(CU25=1,CT25/30,IF(CU25=2,CT25/15,IF(CU25=3,CT25/7,"")))))</f>
        <v>87.19</v>
      </c>
      <c r="CW25" s="125" t="n">
        <v>91.72</v>
      </c>
      <c r="CX25" s="0" t="n">
        <v>0</v>
      </c>
      <c r="CY25" s="0" t="n">
        <f aca="false">IF(CW25="","",IF(CX25=0,CW25,IF(CX25=1,CW25/30,IF(CX25=2,CW25/15,IF(CX25=3,CW25/7,CW25)))))</f>
        <v>91.72</v>
      </c>
      <c r="CZ25" s="0" t="n">
        <f aca="false">IF(DI25&gt;0,DI25,IF(CY25&gt;0,CY25,IF(CV25&gt;0,CV25,"")))</f>
        <v>91.72</v>
      </c>
      <c r="DA25" s="0" t="n">
        <f aca="false">IF(DM25=1,CZ25/8,IF(OR(DM25=2,DM25=4),CZ25/7,IF(DM25=3,CZ25/7.5,"")))</f>
        <v>11.465</v>
      </c>
      <c r="DB25" s="0" t="s">
        <v>303</v>
      </c>
      <c r="DC25" s="0" t="s">
        <v>301</v>
      </c>
      <c r="DD25" s="0" t="s">
        <v>216</v>
      </c>
      <c r="DE25" s="0" t="s">
        <v>216</v>
      </c>
      <c r="DF25" s="0" t="s">
        <v>216</v>
      </c>
      <c r="DG25" s="0" t="s">
        <v>216</v>
      </c>
      <c r="DH25" s="0" t="n">
        <v>0</v>
      </c>
      <c r="DI25" s="126" t="n">
        <v>91.72</v>
      </c>
      <c r="DK25" s="0" t="n">
        <v>0</v>
      </c>
      <c r="DM25" s="0" t="n">
        <v>1</v>
      </c>
      <c r="DN25" s="0" t="n">
        <v>60</v>
      </c>
      <c r="DO25" s="0" t="n">
        <v>3</v>
      </c>
      <c r="DP25" s="0" t="n">
        <v>0</v>
      </c>
      <c r="DQ25" s="0" t="n">
        <v>1</v>
      </c>
      <c r="DR25" s="0"/>
      <c r="DS25" s="0" t="n">
        <v>1</v>
      </c>
      <c r="DU25" s="0" t="n">
        <v>1</v>
      </c>
      <c r="DW25" s="1" t="n">
        <v>36661</v>
      </c>
      <c r="DX25" s="1" t="n">
        <v>40498</v>
      </c>
      <c r="DZ25" s="0"/>
      <c r="EA25" s="0" t="n">
        <v>1</v>
      </c>
      <c r="EC25" s="1" t="n">
        <v>36661</v>
      </c>
      <c r="ED25" s="1" t="n">
        <v>40498</v>
      </c>
      <c r="EF25" s="0"/>
      <c r="EG25" s="0" t="n">
        <v>0</v>
      </c>
      <c r="EI25" s="0" t="n">
        <f aca="false">IF(AND(DM25=1,DN25&lt;=48),"",IF(AND(DM25=2,DN25&lt;=42),"",IF(AND(DM25=3,DN25&lt;=45),"",EH25)))</f>
        <v>0</v>
      </c>
      <c r="EJ25" s="0" t="str">
        <f aca="false">IF(EI25="","",IF(EI25&lt;9,EI25,9))</f>
        <v/>
      </c>
      <c r="EK25" s="0" t="str">
        <f aca="false">IF(EI25="","",IF(EI25&gt;9,EI25-EJ25,0))</f>
        <v/>
      </c>
      <c r="EL25" s="0" t="str">
        <f aca="false">IF(EI25="","",EJ25*DA25*2+EK25*DA25*3)</f>
        <v/>
      </c>
      <c r="EP25" s="0" t="n">
        <v>0</v>
      </c>
      <c r="EQ25" s="0"/>
      <c r="ER25" s="0" t="n">
        <v>0</v>
      </c>
      <c r="ET25" s="0" t="n">
        <v>0</v>
      </c>
      <c r="EV25" s="0" t="n">
        <v>0</v>
      </c>
      <c r="EX25" s="0" t="n">
        <v>0</v>
      </c>
      <c r="EY25" s="0" t="n">
        <v>0</v>
      </c>
      <c r="EZ25" s="0"/>
      <c r="FA25" s="0"/>
      <c r="FB25" s="0" t="n">
        <v>0</v>
      </c>
      <c r="FF25" s="120" t="n">
        <f aca="false">(CJ25-CI25+1)/365</f>
        <v>10.5150684931507</v>
      </c>
      <c r="FG25" s="0" t="str">
        <f aca="false">CONCATENATE(F25,"/",G25)</f>
        <v>81/2011</v>
      </c>
      <c r="FH25" s="0" t="n">
        <v>0</v>
      </c>
      <c r="FI25" s="0" t="n">
        <v>0</v>
      </c>
    </row>
    <row r="26" customFormat="false" ht="15" hidden="false" customHeight="false" outlineLevel="0" collapsed="false">
      <c r="A26" s="5" t="str">
        <f aca="false">E26&amp;G26&amp;F26</f>
        <v>7201186</v>
      </c>
      <c r="B26" s="0" t="s">
        <v>203</v>
      </c>
      <c r="C26" s="1" t="n">
        <v>42408</v>
      </c>
      <c r="E26" s="0" t="n">
        <v>7</v>
      </c>
      <c r="F26" s="0" t="n">
        <v>86</v>
      </c>
      <c r="G26" s="0" t="n">
        <v>2011</v>
      </c>
      <c r="H26" s="0" t="str">
        <f aca="false">"J"&amp;E26&amp;"\"&amp;F26&amp;"\"&amp;G26&amp;"\"&amp;W26</f>
        <v>J7\86\2011\1</v>
      </c>
      <c r="I26" s="0" t="n">
        <v>40557</v>
      </c>
      <c r="J26" s="1" t="n">
        <v>39700</v>
      </c>
      <c r="K26" s="0" t="n">
        <v>0</v>
      </c>
      <c r="M26" s="1"/>
      <c r="N26" s="1"/>
      <c r="O26" s="1"/>
      <c r="P26" s="1"/>
      <c r="Q26" s="1"/>
      <c r="T26" s="121"/>
      <c r="U26" s="121"/>
      <c r="V26" s="122" t="n">
        <f aca="false">IF(AND(E26&gt;0,F26&gt;0,G26&gt;0),COUNTIFS($E:$E,E26,$F:$F,F26,$G:$G,G26),"")</f>
        <v>2</v>
      </c>
      <c r="W26" s="122" t="n">
        <f aca="false">IF(V26="","",IF(V26=1,1,IF(AND(E25=E26,F25=F26,G25=G26),W25+1,1)))</f>
        <v>1</v>
      </c>
      <c r="X26" s="0" t="n">
        <v>2</v>
      </c>
      <c r="Y26" s="0" t="n">
        <v>2</v>
      </c>
      <c r="Z26" s="0" t="s">
        <v>504</v>
      </c>
      <c r="AA26" s="0" t="n">
        <v>0</v>
      </c>
      <c r="AB26" s="0" t="s">
        <v>505</v>
      </c>
      <c r="AC26" s="0" t="s">
        <v>251</v>
      </c>
      <c r="AD26" s="0" t="s">
        <v>229</v>
      </c>
      <c r="AE26" s="0" t="n">
        <v>0</v>
      </c>
      <c r="AF26" s="0" t="s">
        <v>506</v>
      </c>
      <c r="AG26" s="0" t="n">
        <v>1</v>
      </c>
      <c r="AH26" s="0" t="s">
        <v>507</v>
      </c>
      <c r="AI26" s="0" t="s">
        <v>508</v>
      </c>
      <c r="AJ26" s="0" t="s">
        <v>322</v>
      </c>
      <c r="AL26" s="0" t="s">
        <v>509</v>
      </c>
      <c r="AM26" s="0" t="n">
        <v>1</v>
      </c>
      <c r="AN26" s="0" t="s">
        <v>507</v>
      </c>
      <c r="AO26" s="0" t="s">
        <v>508</v>
      </c>
      <c r="AP26" s="0" t="s">
        <v>322</v>
      </c>
      <c r="BP26" s="0" t="n">
        <v>0</v>
      </c>
      <c r="BQ26" s="0" t="n">
        <v>0</v>
      </c>
      <c r="BR26" s="0" t="n">
        <v>1</v>
      </c>
      <c r="BS26" s="0" t="s">
        <v>510</v>
      </c>
      <c r="BT26" s="0" t="s">
        <v>511</v>
      </c>
      <c r="BU26" s="0" t="s">
        <v>512</v>
      </c>
      <c r="BV26" s="123"/>
      <c r="BW26" s="123"/>
      <c r="BX26" s="123"/>
      <c r="BY26" s="123"/>
      <c r="BZ26" s="0" t="n">
        <v>0</v>
      </c>
      <c r="CA26" s="0" t="s">
        <v>216</v>
      </c>
      <c r="CD26" s="0" t="s">
        <v>502</v>
      </c>
      <c r="CE26" s="0" t="n">
        <v>0</v>
      </c>
      <c r="CF26" s="0" t="s">
        <v>513</v>
      </c>
      <c r="CG26" s="0" t="s">
        <v>514</v>
      </c>
      <c r="CH26" s="0" t="n">
        <v>1</v>
      </c>
      <c r="CI26" s="1" t="n">
        <v>37039</v>
      </c>
      <c r="CJ26" s="1" t="n">
        <v>39666</v>
      </c>
      <c r="CK26" s="124" t="n">
        <v>0.333333333333333</v>
      </c>
      <c r="CL26" s="0" t="s">
        <v>509</v>
      </c>
      <c r="CM26" s="0" t="n">
        <f aca="false">IF(OR(CI26="",CJ26=""),"",DAYS360(CI26,CJ26)/360)</f>
        <v>7.18888888888889</v>
      </c>
      <c r="CN26" s="0" t="n">
        <f aca="false">IF(OR(CI26="",CJ26=""),"",DAYS360(CI26,CJ26)/30)</f>
        <v>86.2666666666667</v>
      </c>
      <c r="CO26" s="0" t="n">
        <f aca="false">IF(OR(CI26="",CJ26=""),"",DAYS360(CI26,CJ26)/7)</f>
        <v>369.714285714286</v>
      </c>
      <c r="CP26" s="0" t="n">
        <f aca="false">IF(OR(CI26="",CJ26=""),"",DAYS360(CI26,CJ26))</f>
        <v>2588</v>
      </c>
      <c r="CQ26" s="0" t="s">
        <v>240</v>
      </c>
      <c r="CR26" s="0" t="n">
        <v>1</v>
      </c>
      <c r="CT26" s="0" t="s">
        <v>221</v>
      </c>
      <c r="CU26" s="0" t="s">
        <v>221</v>
      </c>
      <c r="CV26" s="0" t="str">
        <f aca="false">IF(OR(CT26="",CT26="NO ESPECIFICA",CT26="NO MENCIONA"),"",IF(CU26=0,CT26,IF(CU26=1,CT26/30,IF(CU26=2,CT26/15,IF(CU26=3,CT26/7,"")))))</f>
        <v/>
      </c>
      <c r="CW26" s="125" t="n">
        <v>900</v>
      </c>
      <c r="CX26" s="0" t="n">
        <v>0</v>
      </c>
      <c r="CY26" s="0" t="n">
        <f aca="false">IF(CW26="","",IF(CX26=0,CW26,IF(CX26=1,CW26/30,IF(CX26=2,CW26/15,IF(CX26=3,CW26/7,CW26)))))</f>
        <v>900</v>
      </c>
      <c r="CZ26" s="0" t="n">
        <f aca="false">IF(DI26&gt;0,DI26,IF(CY26&gt;0,CY26,IF(CV26&gt;0,CV26,"")))</f>
        <v>900</v>
      </c>
      <c r="DA26" s="0" t="n">
        <f aca="false">IF(DM26=1,CZ26/8,IF(OR(DM26=2,DM26=4),CZ26/7,IF(DM26=3,CZ26/7.5,"")))</f>
        <v>112.5</v>
      </c>
      <c r="DB26" s="0" t="s">
        <v>216</v>
      </c>
      <c r="DC26" s="0" t="s">
        <v>216</v>
      </c>
      <c r="DD26" s="0" t="s">
        <v>216</v>
      </c>
      <c r="DE26" s="0" t="s">
        <v>216</v>
      </c>
      <c r="DF26" s="0" t="s">
        <v>216</v>
      </c>
      <c r="DG26" s="0" t="s">
        <v>216</v>
      </c>
      <c r="DH26" s="0" t="n">
        <v>0</v>
      </c>
      <c r="DI26" s="126" t="n">
        <v>900</v>
      </c>
      <c r="DK26" s="0" t="n">
        <v>0</v>
      </c>
      <c r="DM26" s="0" t="n">
        <v>1</v>
      </c>
      <c r="DN26" s="0" t="n">
        <v>72</v>
      </c>
      <c r="DO26" s="0" t="n">
        <v>3</v>
      </c>
      <c r="DP26" s="0" t="n">
        <v>0</v>
      </c>
      <c r="DQ26" s="0" t="n">
        <v>1</v>
      </c>
      <c r="DR26" s="0"/>
      <c r="DS26" s="0" t="n">
        <v>1</v>
      </c>
      <c r="DU26" s="0" t="n">
        <v>1</v>
      </c>
      <c r="DW26" s="1" t="n">
        <v>37039</v>
      </c>
      <c r="DX26" s="1" t="n">
        <v>39666</v>
      </c>
      <c r="DZ26" s="0"/>
      <c r="EA26" s="0" t="n">
        <v>1</v>
      </c>
      <c r="EC26" s="1" t="n">
        <v>37039</v>
      </c>
      <c r="ED26" s="1" t="n">
        <v>39666</v>
      </c>
      <c r="EF26" s="0"/>
      <c r="EG26" s="0" t="n">
        <v>0</v>
      </c>
      <c r="EI26" s="0" t="n">
        <f aca="false">IF(AND(DM26=1,DN26&lt;=48),"",IF(AND(DM26=2,DN26&lt;=42),"",IF(AND(DM26=3,DN26&lt;=45),"",EH26)))</f>
        <v>0</v>
      </c>
      <c r="EJ26" s="0" t="str">
        <f aca="false">IF(EI26="","",IF(EI26&lt;9,EI26,9))</f>
        <v/>
      </c>
      <c r="EK26" s="0" t="str">
        <f aca="false">IF(EI26="","",IF(EI26&gt;9,EI26-EJ26,0))</f>
        <v/>
      </c>
      <c r="EL26" s="0" t="str">
        <f aca="false">IF(EI26="","",EJ26*DA26*2+EK26*DA26*3)</f>
        <v/>
      </c>
      <c r="EP26" s="0" t="n">
        <v>0</v>
      </c>
      <c r="EQ26" s="0"/>
      <c r="ER26" s="0" t="n">
        <v>1</v>
      </c>
      <c r="ET26" s="0" t="n">
        <v>1</v>
      </c>
      <c r="EV26" s="0" t="n">
        <v>0</v>
      </c>
      <c r="EX26" s="0" t="n">
        <v>0</v>
      </c>
      <c r="EY26" s="0" t="n">
        <v>0</v>
      </c>
      <c r="EZ26" s="0"/>
      <c r="FA26" s="4" t="n">
        <v>32400</v>
      </c>
      <c r="FB26" s="0" t="n">
        <v>0</v>
      </c>
      <c r="FF26" s="120" t="n">
        <f aca="false">(CJ26-CI26+1)/365</f>
        <v>7.2</v>
      </c>
      <c r="FG26" s="0" t="str">
        <f aca="false">CONCATENATE(F26,"/",G26)</f>
        <v>86/2011</v>
      </c>
      <c r="FH26" s="0" t="n">
        <v>0</v>
      </c>
      <c r="FI26" s="0" t="n">
        <v>0</v>
      </c>
    </row>
    <row r="27" customFormat="false" ht="15" hidden="false" customHeight="false" outlineLevel="0" collapsed="false">
      <c r="A27" s="5" t="str">
        <f aca="false">E27&amp;G27&amp;F27</f>
        <v>7201186</v>
      </c>
      <c r="B27" s="0" t="s">
        <v>203</v>
      </c>
      <c r="C27" s="1" t="n">
        <v>42408</v>
      </c>
      <c r="E27" s="0" t="n">
        <v>7</v>
      </c>
      <c r="F27" s="0" t="n">
        <v>86</v>
      </c>
      <c r="G27" s="0" t="n">
        <v>2011</v>
      </c>
      <c r="H27" s="0" t="str">
        <f aca="false">"J"&amp;E27&amp;"\"&amp;F27&amp;"\"&amp;G27&amp;"\"&amp;W27</f>
        <v>J7\86\2011\2</v>
      </c>
      <c r="I27" s="0" t="n">
        <v>40557</v>
      </c>
      <c r="J27" s="1" t="n">
        <v>39700</v>
      </c>
      <c r="K27" s="0" t="n">
        <v>0</v>
      </c>
      <c r="M27" s="1"/>
      <c r="N27" s="1"/>
      <c r="O27" s="1"/>
      <c r="P27" s="1"/>
      <c r="Q27" s="1"/>
      <c r="T27" s="121"/>
      <c r="U27" s="121"/>
      <c r="V27" s="122" t="n">
        <f aca="false">IF(AND(E27&gt;0,F27&gt;0,G27&gt;0),COUNTIFS($E:$E,E27,$F:$F,F27,$G:$G,G27),"")</f>
        <v>2</v>
      </c>
      <c r="W27" s="122" t="n">
        <f aca="false">IF(V27="","",IF(V27=1,1,IF(AND(E26=E27,F26=F27,G26=G27),W26+1,1)))</f>
        <v>2</v>
      </c>
      <c r="X27" s="0" t="n">
        <v>2</v>
      </c>
      <c r="Y27" s="0" t="n">
        <v>2</v>
      </c>
      <c r="Z27" s="0" t="s">
        <v>515</v>
      </c>
      <c r="AA27" s="0" t="n">
        <v>0</v>
      </c>
      <c r="AB27" s="0" t="s">
        <v>505</v>
      </c>
      <c r="AC27" s="0" t="s">
        <v>251</v>
      </c>
      <c r="AD27" s="0" t="s">
        <v>229</v>
      </c>
      <c r="AE27" s="0" t="n">
        <v>0</v>
      </c>
      <c r="AF27" s="0" t="s">
        <v>506</v>
      </c>
      <c r="AG27" s="0" t="n">
        <v>1</v>
      </c>
      <c r="AH27" s="0" t="s">
        <v>507</v>
      </c>
      <c r="AI27" s="0" t="s">
        <v>508</v>
      </c>
      <c r="AJ27" s="0" t="s">
        <v>322</v>
      </c>
      <c r="AL27" s="0" t="s">
        <v>509</v>
      </c>
      <c r="AM27" s="0" t="n">
        <v>1</v>
      </c>
      <c r="AN27" s="0" t="s">
        <v>507</v>
      </c>
      <c r="AO27" s="0" t="s">
        <v>508</v>
      </c>
      <c r="AP27" s="0" t="s">
        <v>322</v>
      </c>
      <c r="BP27" s="0" t="n">
        <v>0</v>
      </c>
      <c r="BQ27" s="0" t="n">
        <v>0</v>
      </c>
      <c r="BR27" s="0" t="n">
        <v>1</v>
      </c>
      <c r="BS27" s="0" t="s">
        <v>510</v>
      </c>
      <c r="BT27" s="0" t="s">
        <v>511</v>
      </c>
      <c r="BU27" s="0" t="s">
        <v>512</v>
      </c>
      <c r="BV27" s="123"/>
      <c r="BW27" s="123"/>
      <c r="BX27" s="123"/>
      <c r="BY27" s="123"/>
      <c r="BZ27" s="0" t="n">
        <v>0</v>
      </c>
      <c r="CA27" s="0" t="s">
        <v>216</v>
      </c>
      <c r="CD27" s="0" t="s">
        <v>502</v>
      </c>
      <c r="CE27" s="0" t="n">
        <v>0</v>
      </c>
      <c r="CF27" s="0" t="s">
        <v>513</v>
      </c>
      <c r="CG27" s="0" t="s">
        <v>514</v>
      </c>
      <c r="CH27" s="0" t="n">
        <v>1</v>
      </c>
      <c r="CI27" s="1" t="n">
        <v>37039</v>
      </c>
      <c r="CJ27" s="1" t="n">
        <v>39666</v>
      </c>
      <c r="CK27" s="124" t="n">
        <v>0.333333333333333</v>
      </c>
      <c r="CL27" s="0" t="s">
        <v>509</v>
      </c>
      <c r="CM27" s="0" t="n">
        <f aca="false">IF(OR(CI27="",CJ27=""),"",DAYS360(CI27,CJ27)/360)</f>
        <v>7.18888888888889</v>
      </c>
      <c r="CN27" s="0" t="n">
        <f aca="false">IF(OR(CI27="",CJ27=""),"",DAYS360(CI27,CJ27)/30)</f>
        <v>86.2666666666667</v>
      </c>
      <c r="CO27" s="0" t="n">
        <f aca="false">IF(OR(CI27="",CJ27=""),"",DAYS360(CI27,CJ27)/7)</f>
        <v>369.714285714286</v>
      </c>
      <c r="CP27" s="0" t="n">
        <f aca="false">IF(OR(CI27="",CJ27=""),"",DAYS360(CI27,CJ27))</f>
        <v>2588</v>
      </c>
      <c r="CQ27" s="0" t="s">
        <v>240</v>
      </c>
      <c r="CR27" s="0" t="n">
        <v>1</v>
      </c>
      <c r="CT27" s="0" t="s">
        <v>221</v>
      </c>
      <c r="CU27" s="0" t="s">
        <v>221</v>
      </c>
      <c r="CV27" s="0" t="str">
        <f aca="false">IF(OR(CT27="",CT27="NO ESPECIFICA",CT27="NO MENCIONA"),"",IF(CU27=0,CT27,IF(CU27=1,CT27/30,IF(CU27=2,CT27/15,IF(CU27=3,CT27/7,"")))))</f>
        <v/>
      </c>
      <c r="CW27" s="125" t="n">
        <v>900</v>
      </c>
      <c r="CX27" s="0" t="n">
        <v>0</v>
      </c>
      <c r="CY27" s="0" t="n">
        <f aca="false">IF(CW27="","",IF(CX27=0,CW27,IF(CX27=1,CW27/30,IF(CX27=2,CW27/15,IF(CX27=3,CW27/7,CW27)))))</f>
        <v>900</v>
      </c>
      <c r="CZ27" s="0" t="n">
        <f aca="false">IF(DI27&gt;0,DI27,IF(CY27&gt;0,CY27,IF(CV27&gt;0,CV27,"")))</f>
        <v>900</v>
      </c>
      <c r="DA27" s="0" t="n">
        <f aca="false">IF(DM27=1,CZ27/8,IF(OR(DM27=2,DM27=4),CZ27/7,IF(DM27=3,CZ27/7.5,"")))</f>
        <v>112.5</v>
      </c>
      <c r="DB27" s="0" t="s">
        <v>216</v>
      </c>
      <c r="DC27" s="0" t="s">
        <v>216</v>
      </c>
      <c r="DD27" s="0" t="s">
        <v>216</v>
      </c>
      <c r="DE27" s="0" t="s">
        <v>216</v>
      </c>
      <c r="DF27" s="0" t="s">
        <v>216</v>
      </c>
      <c r="DG27" s="0" t="s">
        <v>216</v>
      </c>
      <c r="DH27" s="0" t="n">
        <v>0</v>
      </c>
      <c r="DI27" s="126" t="n">
        <v>900</v>
      </c>
      <c r="DK27" s="0" t="n">
        <v>0</v>
      </c>
      <c r="DM27" s="0" t="n">
        <v>1</v>
      </c>
      <c r="DN27" s="0" t="n">
        <v>72</v>
      </c>
      <c r="DO27" s="0" t="n">
        <v>3</v>
      </c>
      <c r="DP27" s="0" t="n">
        <v>0</v>
      </c>
      <c r="DQ27" s="0" t="n">
        <v>1</v>
      </c>
      <c r="DR27" s="0"/>
      <c r="DS27" s="0" t="n">
        <v>1</v>
      </c>
      <c r="DU27" s="0" t="n">
        <v>1</v>
      </c>
      <c r="DW27" s="1" t="n">
        <v>37039</v>
      </c>
      <c r="DX27" s="1" t="n">
        <v>39666</v>
      </c>
      <c r="DZ27" s="0"/>
      <c r="EA27" s="0" t="n">
        <v>1</v>
      </c>
      <c r="EC27" s="1" t="n">
        <v>37039</v>
      </c>
      <c r="ED27" s="1" t="n">
        <v>39666</v>
      </c>
      <c r="EF27" s="0"/>
      <c r="EG27" s="0" t="n">
        <v>0</v>
      </c>
      <c r="EI27" s="0" t="n">
        <f aca="false">IF(AND(DM27=1,DN27&lt;=48),"",IF(AND(DM27=2,DN27&lt;=42),"",IF(AND(DM27=3,DN27&lt;=45),"",EH27)))</f>
        <v>0</v>
      </c>
      <c r="EJ27" s="0" t="str">
        <f aca="false">IF(EI27="","",IF(EI27&lt;9,EI27,9))</f>
        <v/>
      </c>
      <c r="EK27" s="0" t="str">
        <f aca="false">IF(EI27="","",IF(EI27&gt;9,EI27-EJ27,0))</f>
        <v/>
      </c>
      <c r="EL27" s="0" t="str">
        <f aca="false">IF(EI27="","",EJ27*DA27*2+EK27*DA27*3)</f>
        <v/>
      </c>
      <c r="EP27" s="0" t="n">
        <v>0</v>
      </c>
      <c r="EQ27" s="0"/>
      <c r="ER27" s="0" t="n">
        <v>1</v>
      </c>
      <c r="ET27" s="0" t="n">
        <v>1</v>
      </c>
      <c r="EV27" s="0" t="n">
        <v>0</v>
      </c>
      <c r="EX27" s="0" t="n">
        <v>0</v>
      </c>
      <c r="EY27" s="0" t="n">
        <v>0</v>
      </c>
      <c r="EZ27" s="0"/>
      <c r="FA27" s="4" t="n">
        <v>32400</v>
      </c>
      <c r="FB27" s="0" t="n">
        <v>0</v>
      </c>
      <c r="FF27" s="120" t="n">
        <f aca="false">(CJ27-CI27+1)/365</f>
        <v>7.2</v>
      </c>
      <c r="FG27" s="0" t="str">
        <f aca="false">CONCATENATE(F27,"/",G27)</f>
        <v>86/2011</v>
      </c>
      <c r="FH27" s="0" t="n">
        <v>0</v>
      </c>
      <c r="FI27" s="0" t="n">
        <v>0</v>
      </c>
    </row>
    <row r="28" customFormat="false" ht="15" hidden="false" customHeight="false" outlineLevel="0" collapsed="false">
      <c r="A28" s="5" t="str">
        <f aca="false">E28&amp;G28&amp;F28</f>
        <v>7201198</v>
      </c>
      <c r="B28" s="0" t="s">
        <v>203</v>
      </c>
      <c r="C28" s="1" t="n">
        <v>42408</v>
      </c>
      <c r="E28" s="0" t="n">
        <v>7</v>
      </c>
      <c r="F28" s="0" t="n">
        <v>98</v>
      </c>
      <c r="G28" s="0" t="n">
        <v>2011</v>
      </c>
      <c r="H28" s="0" t="str">
        <f aca="false">"J"&amp;E28&amp;"\"&amp;F28&amp;"\"&amp;G28&amp;"\"&amp;W28</f>
        <v>J7\98\2011\1</v>
      </c>
      <c r="I28" s="0"/>
      <c r="J28" s="1" t="n">
        <v>40557</v>
      </c>
      <c r="K28" s="0" t="n">
        <v>0</v>
      </c>
      <c r="L28" s="0" t="s">
        <v>284</v>
      </c>
      <c r="M28" s="1" t="n">
        <v>40557</v>
      </c>
      <c r="N28" s="1" t="n">
        <v>40618</v>
      </c>
      <c r="O28" s="1"/>
      <c r="P28" s="1"/>
      <c r="Q28" s="1"/>
      <c r="T28" s="121"/>
      <c r="U28" s="121"/>
      <c r="V28" s="122" t="n">
        <f aca="false">IF(AND(E28&gt;0,F28&gt;0,G28&gt;0),COUNTIFS($E:$E,E28,$F:$F,F28,$G:$G,G28),"")</f>
        <v>1</v>
      </c>
      <c r="W28" s="122" t="n">
        <f aca="false">IF(V28="","",IF(V28=1,1,IF(AND(E27=E28,F27=F28,G27=G28),W27+1,1)))</f>
        <v>1</v>
      </c>
      <c r="X28" s="0" t="n">
        <v>1</v>
      </c>
      <c r="Y28" s="0" t="n">
        <v>4</v>
      </c>
      <c r="Z28" s="0" t="s">
        <v>516</v>
      </c>
      <c r="AA28" s="0" t="n">
        <v>0</v>
      </c>
      <c r="AB28" s="0" t="s">
        <v>517</v>
      </c>
      <c r="AC28" s="0" t="s">
        <v>518</v>
      </c>
      <c r="AD28" s="0" t="s">
        <v>519</v>
      </c>
      <c r="AE28" s="0" t="n">
        <v>0</v>
      </c>
      <c r="AF28" s="0" t="s">
        <v>520</v>
      </c>
      <c r="AG28" s="0" t="n">
        <v>0</v>
      </c>
      <c r="AH28" s="0" t="s">
        <v>521</v>
      </c>
      <c r="AI28" s="0" t="s">
        <v>522</v>
      </c>
      <c r="AJ28" s="0" t="s">
        <v>411</v>
      </c>
      <c r="AL28" s="0" t="s">
        <v>523</v>
      </c>
      <c r="AM28" s="0" t="n">
        <v>0</v>
      </c>
      <c r="AN28" s="0" t="s">
        <v>521</v>
      </c>
      <c r="AO28" s="0" t="s">
        <v>522</v>
      </c>
      <c r="AP28" s="0" t="s">
        <v>411</v>
      </c>
      <c r="AR28" s="0" t="s">
        <v>524</v>
      </c>
      <c r="AS28" s="0" t="n">
        <v>1</v>
      </c>
      <c r="AT28" s="0" t="s">
        <v>521</v>
      </c>
      <c r="AU28" s="0" t="s">
        <v>522</v>
      </c>
      <c r="AV28" s="0" t="s">
        <v>411</v>
      </c>
      <c r="AX28" s="0" t="s">
        <v>213</v>
      </c>
      <c r="AY28" s="0" t="n">
        <v>1</v>
      </c>
      <c r="AZ28" s="0" t="s">
        <v>521</v>
      </c>
      <c r="BA28" s="0" t="s">
        <v>522</v>
      </c>
      <c r="BB28" s="0" t="s">
        <v>411</v>
      </c>
      <c r="BP28" s="0" t="n">
        <v>0</v>
      </c>
      <c r="BQ28" s="0" t="n">
        <v>0</v>
      </c>
      <c r="BR28" s="0" t="n">
        <v>1</v>
      </c>
      <c r="BS28" s="0" t="s">
        <v>525</v>
      </c>
      <c r="BT28" s="0" t="s">
        <v>526</v>
      </c>
      <c r="BU28" s="0" t="s">
        <v>216</v>
      </c>
      <c r="BV28" s="123"/>
      <c r="BW28" s="123"/>
      <c r="BX28" s="123"/>
      <c r="BY28" s="123"/>
      <c r="BZ28" s="0" t="n">
        <v>0</v>
      </c>
      <c r="CA28" s="0" t="s">
        <v>216</v>
      </c>
      <c r="CD28" s="0" t="s">
        <v>256</v>
      </c>
      <c r="CE28" s="0" t="n">
        <v>0</v>
      </c>
      <c r="CF28" s="0" t="s">
        <v>527</v>
      </c>
      <c r="CG28" s="0" t="s">
        <v>218</v>
      </c>
      <c r="CI28" s="1" t="n">
        <v>32926</v>
      </c>
      <c r="CJ28" s="1" t="n">
        <v>40497</v>
      </c>
      <c r="CK28" s="124" t="n">
        <v>0.375</v>
      </c>
      <c r="CL28" s="0" t="s">
        <v>524</v>
      </c>
      <c r="CM28" s="0" t="n">
        <f aca="false">IF(OR(CI28="",CJ28=""),"",DAYS360(CI28,CJ28)/360)</f>
        <v>20.7305555555556</v>
      </c>
      <c r="CN28" s="0" t="n">
        <f aca="false">IF(OR(CI28="",CJ28=""),"",DAYS360(CI28,CJ28)/30)</f>
        <v>248.766666666667</v>
      </c>
      <c r="CO28" s="0" t="n">
        <f aca="false">IF(OR(CI28="",CJ28=""),"",DAYS360(CI28,CJ28)/7)</f>
        <v>1066.14285714286</v>
      </c>
      <c r="CP28" s="0" t="n">
        <f aca="false">IF(OR(CI28="",CJ28=""),"",DAYS360(CI28,CJ28))</f>
        <v>7463</v>
      </c>
      <c r="CQ28" s="0" t="s">
        <v>220</v>
      </c>
      <c r="CR28" s="0" t="n">
        <v>1</v>
      </c>
      <c r="CT28" s="0" t="s">
        <v>216</v>
      </c>
      <c r="CU28" s="0" t="s">
        <v>216</v>
      </c>
      <c r="CV28" s="0" t="str">
        <f aca="false">IF(OR(CT28="",CT28="NO ESPECIFICA",CT28="NO MENCIONA"),"",IF(CU28=0,CT28,IF(CU28=1,CT28/30,IF(CU28=2,CT28/15,IF(CU28=3,CT28/7,"")))))</f>
        <v/>
      </c>
      <c r="CW28" s="125" t="n">
        <v>15000</v>
      </c>
      <c r="CX28" s="0" t="n">
        <v>1</v>
      </c>
      <c r="CY28" s="0" t="n">
        <f aca="false">IF(CW28="","",IF(CX28=0,CW28,IF(CX28=1,CW28/30,IF(CX28=2,CW28/15,IF(CX28=3,CW28/7,CW28)))))</f>
        <v>500</v>
      </c>
      <c r="CZ28" s="0" t="n">
        <f aca="false">IF(DI28&gt;0,DI28,IF(CY28&gt;0,CY28,IF(CV28&gt;0,CV28,"")))</f>
        <v>500</v>
      </c>
      <c r="DA28" s="0" t="str">
        <f aca="false">IF(DM28=1,CZ28/8,IF(OR(DM28=2,DM28=4),CZ28/7,IF(DM28=3,CZ28/7.5,"")))</f>
        <v/>
      </c>
      <c r="DB28" s="0" t="s">
        <v>216</v>
      </c>
      <c r="DC28" s="0" t="s">
        <v>216</v>
      </c>
      <c r="DD28" s="0" t="s">
        <v>216</v>
      </c>
      <c r="DE28" s="0" t="s">
        <v>216</v>
      </c>
      <c r="DF28" s="0" t="s">
        <v>216</v>
      </c>
      <c r="DG28" s="0" t="s">
        <v>216</v>
      </c>
      <c r="DH28" s="0" t="n">
        <v>0</v>
      </c>
      <c r="DI28" s="126" t="n">
        <v>500</v>
      </c>
      <c r="DK28" s="0" t="n">
        <v>0</v>
      </c>
      <c r="DM28" s="0" t="s">
        <v>385</v>
      </c>
      <c r="DN28" s="0" t="s">
        <v>216</v>
      </c>
      <c r="DO28" s="0" t="s">
        <v>216</v>
      </c>
      <c r="DP28" s="0" t="n">
        <v>1</v>
      </c>
      <c r="DQ28" s="0" t="n">
        <v>1</v>
      </c>
      <c r="DR28" s="0"/>
      <c r="DS28" s="0" t="n">
        <v>1</v>
      </c>
      <c r="DU28" s="0" t="n">
        <v>1</v>
      </c>
      <c r="DW28" s="1" t="n">
        <v>32926</v>
      </c>
      <c r="DX28" s="1" t="n">
        <v>40497</v>
      </c>
      <c r="DZ28" s="0"/>
      <c r="EA28" s="0" t="n">
        <v>1</v>
      </c>
      <c r="EC28" s="1" t="n">
        <v>32926</v>
      </c>
      <c r="ED28" s="1" t="n">
        <v>40497</v>
      </c>
      <c r="EF28" s="0"/>
      <c r="EG28" s="0" t="n">
        <v>1</v>
      </c>
      <c r="EH28" s="0" t="s">
        <v>221</v>
      </c>
      <c r="EI28" s="0" t="str">
        <f aca="false">IF(AND(DM28=1,DN28&lt;=48),"",IF(AND(DM28=2,DN28&lt;=42),"",IF(AND(DM28=3,DN28&lt;=45),"",EH28)))</f>
        <v>NO ESPECIFICA</v>
      </c>
      <c r="EJ28" s="0" t="n">
        <f aca="false">IF(EI28="","",IF(EI28&lt;9,EI28,9))</f>
        <v>9</v>
      </c>
      <c r="EK28" s="0" t="e">
        <f aca="false">IF(EI28="","",IF(EI28&gt;9,EI28-EJ28,0))</f>
        <v>#VALUE!</v>
      </c>
      <c r="EL28" s="0" t="e">
        <f aca="false">IF(EI28="","",EJ28*DA28*2+EK28*DA28*3)</f>
        <v>#VALUE!</v>
      </c>
      <c r="EP28" s="0" t="n">
        <v>0</v>
      </c>
      <c r="EQ28" s="0"/>
      <c r="ER28" s="0" t="n">
        <v>0</v>
      </c>
      <c r="ET28" s="0" t="n">
        <v>0</v>
      </c>
      <c r="EV28" s="0" t="n">
        <v>0</v>
      </c>
      <c r="EX28" s="0" t="n">
        <v>0</v>
      </c>
      <c r="EY28" s="0" t="n">
        <v>1</v>
      </c>
      <c r="EZ28" s="0"/>
      <c r="FA28" s="0"/>
      <c r="FB28" s="0" t="n">
        <v>0</v>
      </c>
      <c r="FF28" s="120" t="n">
        <f aca="false">(CJ28-CI28+1)/365</f>
        <v>20.7452054794521</v>
      </c>
      <c r="FG28" s="0" t="str">
        <f aca="false">CONCATENATE(F28,"/",G28)</f>
        <v>98/2011</v>
      </c>
      <c r="FH28" s="0" t="n">
        <v>0</v>
      </c>
      <c r="FI28" s="0" t="n">
        <v>0</v>
      </c>
    </row>
    <row r="29" customFormat="false" ht="15" hidden="false" customHeight="false" outlineLevel="0" collapsed="false">
      <c r="A29" s="5" t="str">
        <f aca="false">E29&amp;G29&amp;F29</f>
        <v>72011100</v>
      </c>
      <c r="B29" s="0" t="s">
        <v>203</v>
      </c>
      <c r="C29" s="1" t="n">
        <v>42408</v>
      </c>
      <c r="E29" s="0" t="n">
        <v>7</v>
      </c>
      <c r="F29" s="0" t="n">
        <v>100</v>
      </c>
      <c r="G29" s="0" t="n">
        <v>2011</v>
      </c>
      <c r="H29" s="0" t="str">
        <f aca="false">"J"&amp;E29&amp;"\"&amp;F29&amp;"\"&amp;G29&amp;"\"&amp;W29</f>
        <v>J7\100\2011\1</v>
      </c>
      <c r="I29" s="0"/>
      <c r="J29" s="1" t="n">
        <v>40560</v>
      </c>
      <c r="K29" s="0" t="n">
        <v>1</v>
      </c>
      <c r="L29" s="0" t="s">
        <v>528</v>
      </c>
      <c r="M29" s="1" t="n">
        <v>40560</v>
      </c>
      <c r="N29" s="1" t="n">
        <v>40618</v>
      </c>
      <c r="O29" s="1"/>
      <c r="P29" s="1"/>
      <c r="Q29" s="1"/>
      <c r="T29" s="121"/>
      <c r="U29" s="121"/>
      <c r="V29" s="122" t="n">
        <f aca="false">IF(AND(E29&gt;0,F29&gt;0,G29&gt;0),COUNTIFS($E:$E,E29,$F:$F,F29,$G:$G,G29),"")</f>
        <v>1</v>
      </c>
      <c r="W29" s="122" t="n">
        <f aca="false">IF(V29="","",IF(V29=1,1,IF(AND(E28=E29,F28=F29,G28=G29),W28+1,1)))</f>
        <v>1</v>
      </c>
      <c r="X29" s="0" t="n">
        <v>1</v>
      </c>
      <c r="Y29" s="0" t="n">
        <v>6</v>
      </c>
      <c r="Z29" s="0" t="s">
        <v>529</v>
      </c>
      <c r="AA29" s="0" t="n">
        <v>0</v>
      </c>
      <c r="AB29" s="0" t="s">
        <v>530</v>
      </c>
      <c r="AC29" s="0" t="s">
        <v>244</v>
      </c>
      <c r="AD29" s="0" t="s">
        <v>229</v>
      </c>
      <c r="AE29" s="0" t="n">
        <v>0</v>
      </c>
      <c r="AF29" s="0" t="s">
        <v>531</v>
      </c>
      <c r="AG29" s="0" t="n">
        <v>0</v>
      </c>
      <c r="AH29" s="0" t="s">
        <v>532</v>
      </c>
      <c r="AI29" s="0" t="s">
        <v>533</v>
      </c>
      <c r="AJ29" s="0" t="s">
        <v>207</v>
      </c>
      <c r="AL29" s="0" t="s">
        <v>534</v>
      </c>
      <c r="AM29" s="0" t="n">
        <v>0</v>
      </c>
      <c r="AN29" s="0" t="s">
        <v>532</v>
      </c>
      <c r="AO29" s="0" t="s">
        <v>533</v>
      </c>
      <c r="AP29" s="0" t="s">
        <v>207</v>
      </c>
      <c r="AR29" s="0" t="s">
        <v>535</v>
      </c>
      <c r="AS29" s="0" t="n">
        <v>0</v>
      </c>
      <c r="AT29" s="0" t="s">
        <v>532</v>
      </c>
      <c r="AU29" s="0" t="s">
        <v>533</v>
      </c>
      <c r="AV29" s="0" t="s">
        <v>207</v>
      </c>
      <c r="AX29" s="0" t="s">
        <v>536</v>
      </c>
      <c r="AY29" s="0" t="n">
        <v>1</v>
      </c>
      <c r="AZ29" s="0" t="s">
        <v>532</v>
      </c>
      <c r="BA29" s="0" t="s">
        <v>533</v>
      </c>
      <c r="BB29" s="0" t="s">
        <v>207</v>
      </c>
      <c r="BD29" s="0" t="s">
        <v>537</v>
      </c>
      <c r="BE29" s="0" t="n">
        <v>1</v>
      </c>
      <c r="BF29" s="0" t="s">
        <v>532</v>
      </c>
      <c r="BG29" s="0" t="s">
        <v>533</v>
      </c>
      <c r="BH29" s="0" t="s">
        <v>207</v>
      </c>
      <c r="BJ29" s="0" t="s">
        <v>213</v>
      </c>
      <c r="BK29" s="0" t="n">
        <v>1</v>
      </c>
      <c r="BL29" s="0" t="s">
        <v>532</v>
      </c>
      <c r="BM29" s="0" t="s">
        <v>533</v>
      </c>
      <c r="BN29" s="0" t="s">
        <v>207</v>
      </c>
      <c r="BP29" s="0" t="n">
        <v>0</v>
      </c>
      <c r="BQ29" s="0" t="n">
        <v>0</v>
      </c>
      <c r="BR29" s="0" t="n">
        <v>1</v>
      </c>
      <c r="BS29" s="0" t="s">
        <v>538</v>
      </c>
      <c r="BT29" s="0" t="s">
        <v>539</v>
      </c>
      <c r="BU29" s="0" t="s">
        <v>540</v>
      </c>
      <c r="BV29" s="123"/>
      <c r="BW29" s="123"/>
      <c r="BX29" s="123"/>
      <c r="BY29" s="123"/>
      <c r="BZ29" s="0" t="n">
        <v>0</v>
      </c>
      <c r="CA29" s="0" t="s">
        <v>541</v>
      </c>
      <c r="CD29" s="0" t="s">
        <v>256</v>
      </c>
      <c r="CE29" s="0" t="n">
        <v>0</v>
      </c>
      <c r="CF29" s="0" t="s">
        <v>542</v>
      </c>
      <c r="CG29" s="0" t="s">
        <v>218</v>
      </c>
      <c r="CI29" s="1" t="n">
        <v>35683</v>
      </c>
      <c r="CJ29" s="1" t="n">
        <v>40506</v>
      </c>
      <c r="CK29" s="124" t="n">
        <v>0.333333333333333</v>
      </c>
      <c r="CL29" s="0" t="s">
        <v>536</v>
      </c>
      <c r="CM29" s="0" t="n">
        <f aca="false">IF(OR(CI29="",CJ29=""),"",DAYS360(CI29,CJ29)/360)</f>
        <v>13.2055555555556</v>
      </c>
      <c r="CN29" s="0" t="n">
        <f aca="false">IF(OR(CI29="",CJ29=""),"",DAYS360(CI29,CJ29)/30)</f>
        <v>158.466666666667</v>
      </c>
      <c r="CO29" s="0" t="n">
        <f aca="false">IF(OR(CI29="",CJ29=""),"",DAYS360(CI29,CJ29)/7)</f>
        <v>679.142857142857</v>
      </c>
      <c r="CP29" s="0" t="n">
        <f aca="false">IF(OR(CI29="",CJ29=""),"",DAYS360(CI29,CJ29))</f>
        <v>4754</v>
      </c>
      <c r="CQ29" s="0" t="s">
        <v>220</v>
      </c>
      <c r="CR29" s="0" t="n">
        <v>1</v>
      </c>
      <c r="CT29" s="0" t="n">
        <v>242.85</v>
      </c>
      <c r="CU29" s="0" t="n">
        <v>0</v>
      </c>
      <c r="CV29" s="0" t="n">
        <f aca="false">IF(OR(CT29="",CT29="NO ESPECIFICA",CT29="NO MENCIONA"),"",IF(CU29=0,CT29,IF(CU29=1,CT29/30,IF(CU29=2,CT29/15,IF(CU29=3,CT29/7,"")))))</f>
        <v>242.85</v>
      </c>
      <c r="CW29" s="125" t="n">
        <v>266.13</v>
      </c>
      <c r="CX29" s="0" t="n">
        <v>0</v>
      </c>
      <c r="CY29" s="0" t="n">
        <f aca="false">IF(CW29="","",IF(CX29=0,CW29,IF(CX29=1,CW29/30,IF(CX29=2,CW29/15,IF(CX29=3,CW29/7,CW29)))))</f>
        <v>266.13</v>
      </c>
      <c r="CZ29" s="0" t="n">
        <f aca="false">IF(DI29&gt;0,DI29,IF(CY29&gt;0,CY29,IF(CV29&gt;0,CV29,"")))</f>
        <v>266.13</v>
      </c>
      <c r="DA29" s="0" t="n">
        <f aca="false">IF(DM29=1,CZ29/8,IF(OR(DM29=2,DM29=4),CZ29/7,IF(DM29=3,CZ29/7.5,"")))</f>
        <v>38.0185714285714</v>
      </c>
      <c r="DB29" s="0" t="s">
        <v>302</v>
      </c>
      <c r="DC29" s="0" t="s">
        <v>303</v>
      </c>
      <c r="DD29" s="0" t="s">
        <v>301</v>
      </c>
      <c r="DE29" s="0" t="s">
        <v>216</v>
      </c>
      <c r="DF29" s="0" t="s">
        <v>216</v>
      </c>
      <c r="DG29" s="0" t="s">
        <v>216</v>
      </c>
      <c r="DH29" s="0" t="n">
        <v>0</v>
      </c>
      <c r="DI29" s="126" t="n">
        <v>266.13</v>
      </c>
      <c r="DK29" s="0" t="n">
        <v>1</v>
      </c>
      <c r="DM29" s="0" t="n">
        <v>4</v>
      </c>
      <c r="DN29" s="0" t="n">
        <v>94</v>
      </c>
      <c r="DO29" s="0" t="n">
        <v>3</v>
      </c>
      <c r="DP29" s="0" t="n">
        <v>1</v>
      </c>
      <c r="DQ29" s="0" t="n">
        <v>1</v>
      </c>
      <c r="DR29" s="0"/>
      <c r="DS29" s="0" t="n">
        <v>1</v>
      </c>
      <c r="DU29" s="0" t="n">
        <v>1</v>
      </c>
      <c r="DW29" s="1" t="n">
        <v>35683</v>
      </c>
      <c r="DX29" s="1" t="n">
        <v>40506</v>
      </c>
      <c r="DZ29" s="0"/>
      <c r="EA29" s="0" t="n">
        <v>1</v>
      </c>
      <c r="EC29" s="1" t="n">
        <v>35683</v>
      </c>
      <c r="ED29" s="1" t="n">
        <v>40506</v>
      </c>
      <c r="EF29" s="0"/>
      <c r="EG29" s="0" t="n">
        <v>1</v>
      </c>
      <c r="EH29" s="0" t="n">
        <v>16</v>
      </c>
      <c r="EI29" s="0" t="n">
        <f aca="false">IF(AND(DM29=1,DN29&lt;=48),"",IF(AND(DM29=2,DN29&lt;=42),"",IF(AND(DM29=3,DN29&lt;=45),"",EH29)))</f>
        <v>16</v>
      </c>
      <c r="EJ29" s="0" t="n">
        <f aca="false">IF(EI29="","",IF(EI29&lt;9,EI29,9))</f>
        <v>9</v>
      </c>
      <c r="EK29" s="0" t="n">
        <f aca="false">IF(EI29="","",IF(EI29&gt;9,EI29-EJ29,0))</f>
        <v>7</v>
      </c>
      <c r="EL29" s="0" t="n">
        <f aca="false">IF(EI29="","",EJ29*DA29*2+EK29*DA29*3)</f>
        <v>1482.72428571429</v>
      </c>
      <c r="EP29" s="0" t="n">
        <v>1</v>
      </c>
      <c r="EQ29" s="0"/>
      <c r="ER29" s="0" t="n">
        <v>0</v>
      </c>
      <c r="ET29" s="0" t="n">
        <v>0</v>
      </c>
      <c r="EV29" s="0" t="n">
        <v>0</v>
      </c>
      <c r="EX29" s="0" t="n">
        <v>1</v>
      </c>
      <c r="EY29" s="0" t="n">
        <v>0</v>
      </c>
      <c r="EZ29" s="0"/>
      <c r="FA29" s="0"/>
      <c r="FB29" s="0" t="n">
        <v>0</v>
      </c>
      <c r="FF29" s="120" t="n">
        <f aca="false">(CJ29-CI29+1)/365</f>
        <v>13.2164383561644</v>
      </c>
      <c r="FG29" s="0" t="str">
        <f aca="false">CONCATENATE(F29,"/",G29)</f>
        <v>100/2011</v>
      </c>
      <c r="FH29" s="0" t="n">
        <v>0</v>
      </c>
      <c r="FI29" s="0" t="n">
        <v>0</v>
      </c>
    </row>
    <row r="30" customFormat="false" ht="15" hidden="false" customHeight="false" outlineLevel="0" collapsed="false">
      <c r="A30" s="5" t="str">
        <f aca="false">E30&amp;G30&amp;F30</f>
        <v>72011106</v>
      </c>
      <c r="B30" s="0" t="s">
        <v>203</v>
      </c>
      <c r="C30" s="1" t="n">
        <v>42408</v>
      </c>
      <c r="E30" s="0" t="n">
        <v>7</v>
      </c>
      <c r="F30" s="0" t="n">
        <v>106</v>
      </c>
      <c r="G30" s="0" t="n">
        <v>2011</v>
      </c>
      <c r="H30" s="0" t="str">
        <f aca="false">"J"&amp;E30&amp;"\"&amp;F30&amp;"\"&amp;G30&amp;"\"&amp;W30</f>
        <v>J7\106\2011\1</v>
      </c>
      <c r="I30" s="0"/>
      <c r="J30" s="1" t="n">
        <v>40561</v>
      </c>
      <c r="K30" s="0" t="n">
        <v>0</v>
      </c>
      <c r="M30" s="1" t="n">
        <v>40561</v>
      </c>
      <c r="N30" s="1" t="n">
        <v>40619</v>
      </c>
      <c r="O30" s="1"/>
      <c r="P30" s="1"/>
      <c r="Q30" s="1"/>
      <c r="T30" s="121"/>
      <c r="U30" s="121"/>
      <c r="V30" s="122" t="n">
        <f aca="false">IF(AND(E30&gt;0,F30&gt;0,G30&gt;0),COUNTIFS($E:$E,E30,$F:$F,F30,$G:$G,G30),"")</f>
        <v>1</v>
      </c>
      <c r="W30" s="122" t="n">
        <f aca="false">IF(V30="","",IF(V30=1,1,IF(AND(E29=E30,F29=F30,G29=G30),W29+1,1)))</f>
        <v>1</v>
      </c>
      <c r="X30" s="0" t="n">
        <v>1</v>
      </c>
      <c r="Y30" s="0" t="n">
        <v>5</v>
      </c>
      <c r="Z30" s="0" t="s">
        <v>543</v>
      </c>
      <c r="AA30" s="0" t="n">
        <v>0</v>
      </c>
      <c r="AB30" s="0" t="s">
        <v>544</v>
      </c>
      <c r="AC30" s="0" t="s">
        <v>318</v>
      </c>
      <c r="AD30" s="0" t="s">
        <v>229</v>
      </c>
      <c r="AE30" s="0" t="n">
        <v>0</v>
      </c>
      <c r="AF30" s="0" t="s">
        <v>545</v>
      </c>
      <c r="AG30" s="0" t="n">
        <v>0</v>
      </c>
      <c r="AH30" s="0" t="s">
        <v>546</v>
      </c>
      <c r="AI30" s="0" t="s">
        <v>547</v>
      </c>
      <c r="AJ30" s="0" t="s">
        <v>207</v>
      </c>
      <c r="AL30" s="0" t="s">
        <v>548</v>
      </c>
      <c r="AM30" s="0" t="n">
        <v>1</v>
      </c>
      <c r="AN30" s="0" t="s">
        <v>546</v>
      </c>
      <c r="AO30" s="0" t="s">
        <v>547</v>
      </c>
      <c r="AP30" s="0" t="s">
        <v>207</v>
      </c>
      <c r="AR30" s="0" t="s">
        <v>549</v>
      </c>
      <c r="AS30" s="0" t="n">
        <v>1</v>
      </c>
      <c r="AT30" s="0" t="s">
        <v>546</v>
      </c>
      <c r="AU30" s="0" t="s">
        <v>547</v>
      </c>
      <c r="AV30" s="0" t="s">
        <v>207</v>
      </c>
      <c r="AX30" s="0" t="s">
        <v>550</v>
      </c>
      <c r="AY30" s="0" t="n">
        <v>1</v>
      </c>
      <c r="AZ30" s="0" t="s">
        <v>546</v>
      </c>
      <c r="BA30" s="0" t="s">
        <v>547</v>
      </c>
      <c r="BB30" s="0" t="s">
        <v>207</v>
      </c>
      <c r="BD30" s="0" t="s">
        <v>551</v>
      </c>
      <c r="BE30" s="0" t="n">
        <v>1</v>
      </c>
      <c r="BF30" s="0" t="s">
        <v>546</v>
      </c>
      <c r="BG30" s="0" t="s">
        <v>547</v>
      </c>
      <c r="BH30" s="0" t="s">
        <v>207</v>
      </c>
      <c r="BP30" s="0" t="n">
        <v>0</v>
      </c>
      <c r="BQ30" s="0" t="n">
        <v>0</v>
      </c>
      <c r="BR30" s="0" t="n">
        <v>1</v>
      </c>
      <c r="BS30" s="0" t="s">
        <v>552</v>
      </c>
      <c r="BT30" s="0" t="s">
        <v>553</v>
      </c>
      <c r="BU30" s="0" t="s">
        <v>554</v>
      </c>
      <c r="BV30" s="123"/>
      <c r="BW30" s="123"/>
      <c r="BX30" s="123"/>
      <c r="BY30" s="123"/>
      <c r="BZ30" s="0" t="n">
        <v>0</v>
      </c>
      <c r="CA30" s="0" t="s">
        <v>555</v>
      </c>
      <c r="CD30" s="0" t="s">
        <v>556</v>
      </c>
      <c r="CE30" s="0" t="n">
        <v>0</v>
      </c>
      <c r="CF30" s="0" t="s">
        <v>457</v>
      </c>
      <c r="CG30" s="0" t="s">
        <v>218</v>
      </c>
      <c r="CI30" s="1" t="n">
        <v>39995</v>
      </c>
      <c r="CJ30" s="1" t="n">
        <v>40511</v>
      </c>
      <c r="CK30" s="124" t="n">
        <v>0.416666666666667</v>
      </c>
      <c r="CL30" s="0" t="s">
        <v>557</v>
      </c>
      <c r="CM30" s="0" t="n">
        <f aca="false">IF(OR(CI30="",CJ30=""),"",DAYS360(CI30,CJ30)/360)</f>
        <v>1.41111111111111</v>
      </c>
      <c r="CN30" s="0" t="n">
        <f aca="false">IF(OR(CI30="",CJ30=""),"",DAYS360(CI30,CJ30)/30)</f>
        <v>16.9333333333333</v>
      </c>
      <c r="CO30" s="0" t="n">
        <f aca="false">IF(OR(CI30="",CJ30=""),"",DAYS360(CI30,CJ30)/7)</f>
        <v>72.5714285714286</v>
      </c>
      <c r="CP30" s="0" t="n">
        <f aca="false">IF(OR(CI30="",CJ30=""),"",DAYS360(CI30,CJ30))</f>
        <v>508</v>
      </c>
      <c r="CQ30" s="0" t="s">
        <v>220</v>
      </c>
      <c r="CR30" s="0" t="n">
        <v>1</v>
      </c>
      <c r="CT30" s="0" t="s">
        <v>221</v>
      </c>
      <c r="CU30" s="0" t="s">
        <v>221</v>
      </c>
      <c r="CV30" s="0" t="str">
        <f aca="false">IF(OR(CT30="",CT30="NO ESPECIFICA",CT30="NO MENCIONA"),"",IF(CU30=0,CT30,IF(CU30=1,CT30/30,IF(CU30=2,CT30/15,IF(CU30=3,CT30/7,"")))))</f>
        <v/>
      </c>
      <c r="CW30" s="125" t="n">
        <v>500</v>
      </c>
      <c r="CX30" s="0" t="n">
        <v>0</v>
      </c>
      <c r="CY30" s="0" t="n">
        <f aca="false">IF(CW30="","",IF(CX30=0,CW30,IF(CX30=1,CW30/30,IF(CX30=2,CW30/15,IF(CX30=3,CW30/7,CW30)))))</f>
        <v>500</v>
      </c>
      <c r="CZ30" s="0" t="n">
        <f aca="false">IF(DI30&gt;0,DI30,IF(CY30&gt;0,CY30,IF(CV30&gt;0,CV30,"")))</f>
        <v>500</v>
      </c>
      <c r="DA30" s="0" t="n">
        <f aca="false">IF(DM30=1,CZ30/8,IF(OR(DM30=2,DM30=4),CZ30/7,IF(DM30=3,CZ30/7.5,"")))</f>
        <v>62.5</v>
      </c>
      <c r="DB30" s="0" t="s">
        <v>216</v>
      </c>
      <c r="DC30" s="0" t="s">
        <v>216</v>
      </c>
      <c r="DD30" s="0" t="s">
        <v>216</v>
      </c>
      <c r="DE30" s="0" t="s">
        <v>216</v>
      </c>
      <c r="DF30" s="0" t="s">
        <v>216</v>
      </c>
      <c r="DG30" s="0" t="s">
        <v>216</v>
      </c>
      <c r="DH30" s="0" t="n">
        <v>0</v>
      </c>
      <c r="DI30" s="126" t="n">
        <v>500</v>
      </c>
      <c r="DK30" s="0" t="n">
        <v>1</v>
      </c>
      <c r="DM30" s="0" t="n">
        <v>1</v>
      </c>
      <c r="DN30" s="0" t="n">
        <v>50</v>
      </c>
      <c r="DO30" s="0" t="n">
        <v>3</v>
      </c>
      <c r="DP30" s="0" t="n">
        <v>1</v>
      </c>
      <c r="DQ30" s="0" t="n">
        <v>0</v>
      </c>
      <c r="DR30" s="0"/>
      <c r="DS30" s="0" t="n">
        <v>1</v>
      </c>
      <c r="DU30" s="0" t="n">
        <v>0</v>
      </c>
      <c r="DW30" s="1" t="n">
        <v>39995</v>
      </c>
      <c r="DX30" s="1" t="n">
        <v>40511</v>
      </c>
      <c r="DZ30" s="0"/>
      <c r="EA30" s="0" t="n">
        <v>1</v>
      </c>
      <c r="EC30" s="1" t="n">
        <v>39995</v>
      </c>
      <c r="ED30" s="1" t="n">
        <v>40511</v>
      </c>
      <c r="EF30" s="0"/>
      <c r="EG30" s="0" t="n">
        <v>1</v>
      </c>
      <c r="EH30" s="0" t="n">
        <v>12</v>
      </c>
      <c r="EI30" s="0" t="n">
        <f aca="false">IF(AND(DM30=1,DN30&lt;=48),"",IF(AND(DM30=2,DN30&lt;=42),"",IF(AND(DM30=3,DN30&lt;=45),"",EH30)))</f>
        <v>12</v>
      </c>
      <c r="EJ30" s="0" t="n">
        <f aca="false">IF(EI30="","",IF(EI30&lt;9,EI30,9))</f>
        <v>9</v>
      </c>
      <c r="EK30" s="0" t="n">
        <f aca="false">IF(EI30="","",IF(EI30&gt;9,EI30-EJ30,0))</f>
        <v>3</v>
      </c>
      <c r="EL30" s="0" t="n">
        <f aca="false">IF(EI30="","",EJ30*DA30*2+EK30*DA30*3)</f>
        <v>1687.5</v>
      </c>
      <c r="EP30" s="0" t="n">
        <v>0</v>
      </c>
      <c r="EQ30" s="0"/>
      <c r="ER30" s="0" t="n">
        <v>0</v>
      </c>
      <c r="ET30" s="0" t="n">
        <v>0</v>
      </c>
      <c r="EV30" s="0" t="n">
        <v>0</v>
      </c>
      <c r="EX30" s="0" t="n">
        <v>0</v>
      </c>
      <c r="EY30" s="0" t="n">
        <v>0</v>
      </c>
      <c r="EZ30" s="0"/>
      <c r="FA30" s="4" t="n">
        <v>29500</v>
      </c>
      <c r="FB30" s="0" t="n">
        <v>1</v>
      </c>
      <c r="FF30" s="120" t="n">
        <f aca="false">(CJ30-CI30+1)/365</f>
        <v>1.41643835616438</v>
      </c>
      <c r="FG30" s="0" t="str">
        <f aca="false">CONCATENATE(F30,"/",G30)</f>
        <v>106/2011</v>
      </c>
      <c r="FH30" s="0" t="n">
        <v>0</v>
      </c>
      <c r="FI30" s="0" t="n">
        <v>0</v>
      </c>
    </row>
    <row r="31" customFormat="false" ht="15" hidden="false" customHeight="false" outlineLevel="0" collapsed="false">
      <c r="A31" s="5" t="str">
        <f aca="false">E31&amp;G31&amp;F31</f>
        <v>72011107</v>
      </c>
      <c r="B31" s="0" t="s">
        <v>203</v>
      </c>
      <c r="C31" s="1" t="n">
        <v>42408</v>
      </c>
      <c r="E31" s="0" t="n">
        <v>7</v>
      </c>
      <c r="F31" s="0" t="n">
        <v>107</v>
      </c>
      <c r="G31" s="0" t="n">
        <v>2011</v>
      </c>
      <c r="H31" s="0" t="str">
        <f aca="false">"J"&amp;E31&amp;"\"&amp;F31&amp;"\"&amp;G31&amp;"\"&amp;W31</f>
        <v>J7\107\2011\1</v>
      </c>
      <c r="I31" s="0"/>
      <c r="J31" s="1" t="n">
        <v>40561</v>
      </c>
      <c r="K31" s="0" t="n">
        <v>0</v>
      </c>
      <c r="M31" s="1"/>
      <c r="N31" s="1"/>
      <c r="O31" s="1"/>
      <c r="P31" s="1"/>
      <c r="Q31" s="1"/>
      <c r="T31" s="121"/>
      <c r="U31" s="121"/>
      <c r="V31" s="122" t="n">
        <f aca="false">IF(AND(E31&gt;0,F31&gt;0,G31&gt;0),COUNTIFS($E:$E,E31,$F:$F,F31,$G:$G,G31),"")</f>
        <v>1</v>
      </c>
      <c r="W31" s="122" t="n">
        <f aca="false">IF(V31="","",IF(V31=1,1,IF(AND(E30=E31,F30=F31,G30=G31),W30+1,1)))</f>
        <v>1</v>
      </c>
      <c r="X31" s="0" t="n">
        <v>1</v>
      </c>
      <c r="Y31" s="0" t="n">
        <v>8</v>
      </c>
      <c r="Z31" s="0" t="s">
        <v>558</v>
      </c>
      <c r="AA31" s="0" t="n">
        <v>0</v>
      </c>
      <c r="AB31" s="0" t="s">
        <v>559</v>
      </c>
      <c r="AC31" s="0" t="s">
        <v>560</v>
      </c>
      <c r="AD31" s="0" t="s">
        <v>352</v>
      </c>
      <c r="AE31" s="0" t="n">
        <v>0</v>
      </c>
      <c r="AF31" s="0" t="s">
        <v>338</v>
      </c>
      <c r="AG31" s="0" t="n">
        <v>0</v>
      </c>
      <c r="AH31" s="0" t="s">
        <v>561</v>
      </c>
      <c r="AI31" s="0" t="s">
        <v>562</v>
      </c>
      <c r="AJ31" s="0" t="s">
        <v>207</v>
      </c>
      <c r="AL31" s="0" t="s">
        <v>563</v>
      </c>
      <c r="AM31" s="0" t="n">
        <v>0</v>
      </c>
      <c r="AN31" s="0" t="s">
        <v>561</v>
      </c>
      <c r="AO31" s="0" t="s">
        <v>562</v>
      </c>
      <c r="AP31" s="0" t="s">
        <v>207</v>
      </c>
      <c r="AR31" s="0" t="s">
        <v>340</v>
      </c>
      <c r="AS31" s="0" t="n">
        <v>1</v>
      </c>
      <c r="AT31" s="0" t="s">
        <v>561</v>
      </c>
      <c r="AU31" s="0" t="s">
        <v>562</v>
      </c>
      <c r="AV31" s="0" t="s">
        <v>207</v>
      </c>
      <c r="AX31" s="0" t="s">
        <v>564</v>
      </c>
      <c r="AY31" s="0" t="n">
        <v>1</v>
      </c>
      <c r="AZ31" s="0" t="s">
        <v>561</v>
      </c>
      <c r="BA31" s="0" t="s">
        <v>562</v>
      </c>
      <c r="BB31" s="0" t="s">
        <v>207</v>
      </c>
      <c r="BD31" s="0" t="s">
        <v>213</v>
      </c>
      <c r="BE31" s="0" t="n">
        <v>1</v>
      </c>
      <c r="BF31" s="0" t="s">
        <v>561</v>
      </c>
      <c r="BG31" s="0" t="s">
        <v>562</v>
      </c>
      <c r="BH31" s="0" t="s">
        <v>207</v>
      </c>
      <c r="BJ31" s="0" t="s">
        <v>249</v>
      </c>
      <c r="BK31" s="0" t="n">
        <v>0</v>
      </c>
      <c r="BL31" s="0" t="s">
        <v>436</v>
      </c>
      <c r="BM31" s="0" t="s">
        <v>410</v>
      </c>
      <c r="BN31" s="0" t="s">
        <v>411</v>
      </c>
      <c r="BP31" s="0" t="n">
        <v>0</v>
      </c>
      <c r="BQ31" s="0" t="n">
        <v>0</v>
      </c>
      <c r="BR31" s="0" t="n">
        <v>1</v>
      </c>
      <c r="BS31" s="0" t="s">
        <v>565</v>
      </c>
      <c r="BT31" s="0" t="s">
        <v>566</v>
      </c>
      <c r="BU31" s="0" t="s">
        <v>216</v>
      </c>
      <c r="BV31" s="123"/>
      <c r="BW31" s="123"/>
      <c r="BX31" s="123"/>
      <c r="BY31" s="123"/>
      <c r="BZ31" s="0" t="n">
        <v>0</v>
      </c>
      <c r="CA31" s="0" t="s">
        <v>216</v>
      </c>
      <c r="CD31" s="0" t="s">
        <v>216</v>
      </c>
      <c r="CE31" s="0" t="n">
        <v>0</v>
      </c>
      <c r="CF31" s="0" t="s">
        <v>567</v>
      </c>
      <c r="CG31" s="0" t="s">
        <v>218</v>
      </c>
      <c r="CI31" s="1" t="n">
        <v>36540</v>
      </c>
      <c r="CJ31" s="1" t="n">
        <v>40528</v>
      </c>
      <c r="CK31" s="124" t="n">
        <v>0.458333333333333</v>
      </c>
      <c r="CL31" s="0" t="s">
        <v>568</v>
      </c>
      <c r="CM31" s="0" t="n">
        <f aca="false">IF(OR(CI31="",CJ31=""),"",DAYS360(CI31,CJ31)/360)</f>
        <v>10.9194444444444</v>
      </c>
      <c r="CN31" s="0" t="n">
        <f aca="false">IF(OR(CI31="",CJ31=""),"",DAYS360(CI31,CJ31)/30)</f>
        <v>131.033333333333</v>
      </c>
      <c r="CO31" s="0" t="n">
        <f aca="false">IF(OR(CI31="",CJ31=""),"",DAYS360(CI31,CJ31)/7)</f>
        <v>561.571428571429</v>
      </c>
      <c r="CP31" s="0" t="n">
        <f aca="false">IF(OR(CI31="",CJ31=""),"",DAYS360(CI31,CJ31))</f>
        <v>3931</v>
      </c>
      <c r="CQ31" s="0" t="s">
        <v>220</v>
      </c>
      <c r="CR31" s="0" t="n">
        <v>1</v>
      </c>
      <c r="CT31" s="0" t="n">
        <v>1000</v>
      </c>
      <c r="CU31" s="0" t="n">
        <v>0</v>
      </c>
      <c r="CV31" s="0" t="n">
        <f aca="false">IF(OR(CT31="",CT31="NO ESPECIFICA",CT31="NO MENCIONA"),"",IF(CU31=0,CT31,IF(CU31=1,CT31/30,IF(CU31=2,CT31/15,IF(CU31=3,CT31/7,"")))))</f>
        <v>1000</v>
      </c>
      <c r="CW31" s="125" t="n">
        <v>133.33</v>
      </c>
      <c r="CX31" s="0" t="n">
        <v>0</v>
      </c>
      <c r="CY31" s="0" t="n">
        <f aca="false">IF(CW31="","",IF(CX31=0,CW31,IF(CX31=1,CW31/30,IF(CX31=2,CW31/15,IF(CX31=3,CW31/7,CW31)))))</f>
        <v>133.33</v>
      </c>
      <c r="CZ31" s="0" t="n">
        <f aca="false">IF(DI31&gt;0,DI31,IF(CY31&gt;0,CY31,IF(CV31&gt;0,CV31,"")))</f>
        <v>1333.33</v>
      </c>
      <c r="DA31" s="0" t="n">
        <f aca="false">IF(DM31=1,CZ31/8,IF(OR(DM31=2,DM31=4),CZ31/7,IF(DM31=3,CZ31/7.5,"")))</f>
        <v>166.66625</v>
      </c>
      <c r="DB31" s="0" t="s">
        <v>299</v>
      </c>
      <c r="DC31" s="0" t="s">
        <v>569</v>
      </c>
      <c r="DD31" s="0" t="s">
        <v>216</v>
      </c>
      <c r="DE31" s="0" t="s">
        <v>216</v>
      </c>
      <c r="DF31" s="0" t="s">
        <v>216</v>
      </c>
      <c r="DG31" s="0" t="s">
        <v>216</v>
      </c>
      <c r="DH31" s="0" t="n">
        <v>0</v>
      </c>
      <c r="DI31" s="126" t="n">
        <v>1333.33</v>
      </c>
      <c r="DK31" s="0" t="n">
        <v>1</v>
      </c>
      <c r="DM31" s="0" t="n">
        <v>1</v>
      </c>
      <c r="DN31" s="0" t="n">
        <v>60</v>
      </c>
      <c r="DO31" s="0" t="n">
        <v>3</v>
      </c>
      <c r="DP31" s="0" t="n">
        <v>1</v>
      </c>
      <c r="DQ31" s="0" t="n">
        <v>1</v>
      </c>
      <c r="DR31" s="0"/>
      <c r="DS31" s="0" t="n">
        <v>1</v>
      </c>
      <c r="DU31" s="0" t="n">
        <v>1</v>
      </c>
      <c r="DW31" s="1" t="n">
        <v>39828</v>
      </c>
      <c r="DX31" s="1" t="n">
        <v>40193</v>
      </c>
      <c r="DZ31" s="0"/>
      <c r="EA31" s="0" t="n">
        <v>1</v>
      </c>
      <c r="EC31" s="1" t="n">
        <v>39814</v>
      </c>
      <c r="ED31" s="1" t="n">
        <v>40178</v>
      </c>
      <c r="EF31" s="0"/>
      <c r="EG31" s="0" t="n">
        <v>1</v>
      </c>
      <c r="EH31" s="0" t="n">
        <v>12</v>
      </c>
      <c r="EI31" s="0" t="n">
        <f aca="false">IF(AND(DM31=1,DN31&lt;=48),"",IF(AND(DM31=2,DN31&lt;=42),"",IF(AND(DM31=3,DN31&lt;=45),"",EH31)))</f>
        <v>12</v>
      </c>
      <c r="EJ31" s="0" t="n">
        <f aca="false">IF(EI31="","",IF(EI31&lt;9,EI31,9))</f>
        <v>9</v>
      </c>
      <c r="EK31" s="0" t="n">
        <f aca="false">IF(EI31="","",IF(EI31&gt;9,EI31-EJ31,0))</f>
        <v>3</v>
      </c>
      <c r="EL31" s="0" t="n">
        <f aca="false">IF(EI31="","",EJ31*DA31*2+EK31*DA31*3)</f>
        <v>4499.98875</v>
      </c>
      <c r="EP31" s="0" t="n">
        <v>1</v>
      </c>
      <c r="EQ31" s="0"/>
      <c r="ER31" s="0" t="n">
        <v>0</v>
      </c>
      <c r="ET31" s="0" t="n">
        <v>0</v>
      </c>
      <c r="EV31" s="0" t="n">
        <v>0</v>
      </c>
      <c r="EX31" s="0" t="n">
        <v>1</v>
      </c>
      <c r="EY31" s="0" t="n">
        <v>0</v>
      </c>
      <c r="EZ31" s="0"/>
      <c r="FA31" s="0"/>
      <c r="FB31" s="0" t="n">
        <v>1</v>
      </c>
      <c r="FF31" s="120" t="n">
        <f aca="false">(CJ31-CI31+1)/365</f>
        <v>10.9287671232877</v>
      </c>
      <c r="FG31" s="0" t="str">
        <f aca="false">CONCATENATE(F31,"/",G31)</f>
        <v>107/2011</v>
      </c>
      <c r="FH31" s="0" t="n">
        <v>0</v>
      </c>
      <c r="FI31" s="0" t="n">
        <v>0</v>
      </c>
    </row>
    <row r="32" customFormat="false" ht="15" hidden="false" customHeight="false" outlineLevel="0" collapsed="false">
      <c r="A32" s="5" t="str">
        <f aca="false">E32&amp;G32&amp;F32</f>
        <v>72011110</v>
      </c>
      <c r="B32" s="0" t="s">
        <v>203</v>
      </c>
      <c r="C32" s="1" t="n">
        <v>42405</v>
      </c>
      <c r="E32" s="0" t="n">
        <v>7</v>
      </c>
      <c r="F32" s="0" t="n">
        <v>110</v>
      </c>
      <c r="G32" s="0" t="n">
        <v>2011</v>
      </c>
      <c r="H32" s="0" t="str">
        <f aca="false">"J"&amp;E32&amp;"\"&amp;F32&amp;"\"&amp;G32&amp;"\"&amp;W32</f>
        <v>J7\110\2011\1</v>
      </c>
      <c r="I32" s="0"/>
      <c r="J32" s="1" t="n">
        <v>40561</v>
      </c>
      <c r="K32" s="0" t="n">
        <v>1</v>
      </c>
      <c r="L32" s="0" t="s">
        <v>570</v>
      </c>
      <c r="M32" s="1" t="n">
        <v>40561</v>
      </c>
      <c r="N32" s="1" t="n">
        <v>40620</v>
      </c>
      <c r="O32" s="1"/>
      <c r="P32" s="1"/>
      <c r="Q32" s="1"/>
      <c r="T32" s="121"/>
      <c r="U32" s="121"/>
      <c r="V32" s="122" t="n">
        <f aca="false">IF(AND(E32&gt;0,F32&gt;0,G32&gt;0),COUNTIFS($E:$E,E32,$F:$F,F32,$G:$G,G32),"")</f>
        <v>1</v>
      </c>
      <c r="W32" s="122" t="n">
        <f aca="false">IF(V32="","",IF(V32=1,1,IF(AND(E31=E32,F31=F32,G31=G32),W31+1,1)))</f>
        <v>1</v>
      </c>
      <c r="X32" s="0" t="n">
        <v>1</v>
      </c>
      <c r="Y32" s="0" t="n">
        <v>2</v>
      </c>
      <c r="Z32" s="0" t="s">
        <v>571</v>
      </c>
      <c r="AA32" s="0" t="n">
        <v>0</v>
      </c>
      <c r="AB32" s="0" t="s">
        <v>572</v>
      </c>
      <c r="AC32" s="0" t="s">
        <v>274</v>
      </c>
      <c r="AD32" s="0" t="s">
        <v>229</v>
      </c>
      <c r="AE32" s="0" t="n">
        <v>0</v>
      </c>
      <c r="AF32" s="0" t="s">
        <v>573</v>
      </c>
      <c r="AG32" s="0" t="n">
        <v>2</v>
      </c>
      <c r="AH32" s="0" t="s">
        <v>574</v>
      </c>
      <c r="AI32" s="0" t="s">
        <v>575</v>
      </c>
      <c r="AJ32" s="0" t="s">
        <v>229</v>
      </c>
      <c r="AL32" s="0" t="s">
        <v>576</v>
      </c>
      <c r="AM32" s="0" t="n">
        <v>1</v>
      </c>
      <c r="AN32" s="0" t="s">
        <v>574</v>
      </c>
      <c r="AO32" s="0" t="s">
        <v>575</v>
      </c>
      <c r="AP32" s="0" t="s">
        <v>229</v>
      </c>
      <c r="BP32" s="0" t="n">
        <v>0</v>
      </c>
      <c r="BQ32" s="0" t="n">
        <v>0</v>
      </c>
      <c r="BR32" s="0" t="n">
        <v>1</v>
      </c>
      <c r="BS32" s="0" t="s">
        <v>577</v>
      </c>
      <c r="BT32" s="0" t="s">
        <v>578</v>
      </c>
      <c r="BU32" s="0" t="s">
        <v>579</v>
      </c>
      <c r="BV32" s="123"/>
      <c r="BW32" s="123"/>
      <c r="BX32" s="123"/>
      <c r="BY32" s="123"/>
      <c r="BZ32" s="0" t="n">
        <v>0</v>
      </c>
      <c r="CA32" s="0" t="s">
        <v>580</v>
      </c>
      <c r="CD32" s="0" t="s">
        <v>256</v>
      </c>
      <c r="CE32" s="0" t="n">
        <v>0</v>
      </c>
      <c r="CF32" s="0" t="s">
        <v>581</v>
      </c>
      <c r="CG32" s="0" t="s">
        <v>218</v>
      </c>
      <c r="CI32" s="1" t="n">
        <v>40325</v>
      </c>
      <c r="CJ32" s="1" t="n">
        <v>40473</v>
      </c>
      <c r="CK32" s="124" t="n">
        <v>0.416666666666667</v>
      </c>
      <c r="CL32" s="0" t="s">
        <v>216</v>
      </c>
      <c r="CM32" s="0" t="n">
        <f aca="false">IF(OR(CI32="",CJ32=""),"",DAYS360(CI32,CJ32)/360)</f>
        <v>0.402777777777778</v>
      </c>
      <c r="CN32" s="0" t="n">
        <f aca="false">IF(OR(CI32="",CJ32=""),"",DAYS360(CI32,CJ32)/30)</f>
        <v>4.83333333333333</v>
      </c>
      <c r="CO32" s="0" t="n">
        <f aca="false">IF(OR(CI32="",CJ32=""),"",DAYS360(CI32,CJ32)/7)</f>
        <v>20.7142857142857</v>
      </c>
      <c r="CP32" s="0" t="n">
        <f aca="false">IF(OR(CI32="",CJ32=""),"",DAYS360(CI32,CJ32))</f>
        <v>145</v>
      </c>
      <c r="CQ32" s="0" t="s">
        <v>240</v>
      </c>
      <c r="CR32" s="0" t="n">
        <v>1</v>
      </c>
      <c r="CT32" s="0" t="n">
        <v>160</v>
      </c>
      <c r="CU32" s="0" t="n">
        <v>0</v>
      </c>
      <c r="CV32" s="0" t="n">
        <f aca="false">IF(OR(CT32="",CT32="NO ESPECIFICA",CT32="NO MENCIONA"),"",IF(CU32=0,CT32,IF(CU32=1,CT32/30,IF(CU32=2,CT32/15,IF(CU32=3,CT32/7,"")))))</f>
        <v>160</v>
      </c>
      <c r="CW32" s="125" t="s">
        <v>216</v>
      </c>
      <c r="CX32" s="0" t="s">
        <v>216</v>
      </c>
      <c r="CY32" s="0" t="str">
        <f aca="false">IF(CW32="","",IF(CX32=0,CW32,IF(CX32=1,CW32/30,IF(CX32=2,CW32/15,IF(CX32=3,CW32/7,CW32)))))</f>
        <v>NO MENCIONA</v>
      </c>
      <c r="CZ32" s="0" t="n">
        <f aca="false">IF(DI32&gt;0,DI32,IF(CY32&gt;0,CY32,IF(CV32&gt;0,CV32,"")))</f>
        <v>160</v>
      </c>
      <c r="DA32" s="0" t="n">
        <f aca="false">IF(DM32=1,CZ32/8,IF(OR(DM32=2,DM32=4),CZ32/7,IF(DM32=3,CZ32/7.5,"")))</f>
        <v>20</v>
      </c>
      <c r="DB32" s="0" t="s">
        <v>216</v>
      </c>
      <c r="DC32" s="0" t="s">
        <v>216</v>
      </c>
      <c r="DD32" s="0" t="s">
        <v>216</v>
      </c>
      <c r="DE32" s="0" t="s">
        <v>216</v>
      </c>
      <c r="DF32" s="0" t="s">
        <v>216</v>
      </c>
      <c r="DG32" s="0" t="s">
        <v>216</v>
      </c>
      <c r="DH32" s="0" t="n">
        <v>0</v>
      </c>
      <c r="DI32" s="126" t="n">
        <v>160</v>
      </c>
      <c r="DK32" s="0" t="n">
        <v>1</v>
      </c>
      <c r="DM32" s="0" t="n">
        <v>1</v>
      </c>
      <c r="DN32" s="0" t="n">
        <v>60</v>
      </c>
      <c r="DO32" s="0" t="n">
        <v>3</v>
      </c>
      <c r="DP32" s="0" t="n">
        <v>0</v>
      </c>
      <c r="DQ32" s="0" t="n">
        <v>1</v>
      </c>
      <c r="DR32" s="0"/>
      <c r="DS32" s="0" t="n">
        <v>1</v>
      </c>
      <c r="DU32" s="0" t="n">
        <v>1</v>
      </c>
      <c r="DW32" s="1" t="n">
        <v>40325</v>
      </c>
      <c r="DX32" s="1" t="n">
        <v>40473</v>
      </c>
      <c r="DZ32" s="0"/>
      <c r="EA32" s="0" t="n">
        <v>1</v>
      </c>
      <c r="EC32" s="1" t="n">
        <v>40325</v>
      </c>
      <c r="ED32" s="1" t="n">
        <v>40473</v>
      </c>
      <c r="EF32" s="0"/>
      <c r="EG32" s="0" t="n">
        <v>1</v>
      </c>
      <c r="EH32" s="0" t="s">
        <v>221</v>
      </c>
      <c r="EI32" s="0" t="str">
        <f aca="false">IF(AND(DM32=1,DN32&lt;=48),"",IF(AND(DM32=2,DN32&lt;=42),"",IF(AND(DM32=3,DN32&lt;=45),"",EH32)))</f>
        <v>NO ESPECIFICA</v>
      </c>
      <c r="EJ32" s="0" t="n">
        <f aca="false">IF(EI32="","",IF(EI32&lt;9,EI32,9))</f>
        <v>9</v>
      </c>
      <c r="EK32" s="0" t="e">
        <f aca="false">IF(EI32="","",IF(EI32&gt;9,EI32-EJ32,0))</f>
        <v>#VALUE!</v>
      </c>
      <c r="EL32" s="0" t="e">
        <f aca="false">IF(EI32="","",EJ32*DA32*2+EK32*DA32*3)</f>
        <v>#VALUE!</v>
      </c>
      <c r="EP32" s="0" t="n">
        <v>0</v>
      </c>
      <c r="EQ32" s="0"/>
      <c r="ER32" s="0" t="n">
        <v>0</v>
      </c>
      <c r="ET32" s="0" t="n">
        <v>0</v>
      </c>
      <c r="EV32" s="0" t="n">
        <v>0</v>
      </c>
      <c r="EX32" s="0" t="n">
        <v>1</v>
      </c>
      <c r="EY32" s="0" t="n">
        <v>0</v>
      </c>
      <c r="EZ32" s="0"/>
      <c r="FA32" s="0"/>
      <c r="FB32" s="0" t="n">
        <v>1</v>
      </c>
      <c r="FF32" s="120" t="n">
        <f aca="false">(CJ32-CI32+1)/365</f>
        <v>0.408219178082192</v>
      </c>
      <c r="FG32" s="0" t="str">
        <f aca="false">CONCATENATE(F32,"/",G32)</f>
        <v>110/2011</v>
      </c>
      <c r="FH32" s="0" t="n">
        <v>0</v>
      </c>
      <c r="FI32" s="0" t="n">
        <v>0</v>
      </c>
    </row>
    <row r="33" customFormat="false" ht="15" hidden="false" customHeight="false" outlineLevel="0" collapsed="false">
      <c r="A33" s="5" t="str">
        <f aca="false">E33&amp;G33&amp;F33</f>
        <v>72011111</v>
      </c>
      <c r="B33" s="0" t="s">
        <v>203</v>
      </c>
      <c r="C33" s="1" t="n">
        <v>42405</v>
      </c>
      <c r="E33" s="0" t="n">
        <v>7</v>
      </c>
      <c r="F33" s="0" t="n">
        <v>111</v>
      </c>
      <c r="G33" s="0" t="n">
        <v>2011</v>
      </c>
      <c r="H33" s="0" t="str">
        <f aca="false">"J"&amp;E33&amp;"\"&amp;F33&amp;"\"&amp;G33&amp;"\"&amp;W33</f>
        <v>J7\111\2011\1</v>
      </c>
      <c r="I33" s="0"/>
      <c r="J33" s="1" t="n">
        <v>40561</v>
      </c>
      <c r="K33" s="0" t="n">
        <v>1</v>
      </c>
      <c r="L33" s="0" t="s">
        <v>582</v>
      </c>
      <c r="M33" s="1" t="n">
        <v>40561</v>
      </c>
      <c r="N33" s="1" t="n">
        <v>40620</v>
      </c>
      <c r="O33" s="1"/>
      <c r="P33" s="1"/>
      <c r="Q33" s="1"/>
      <c r="T33" s="121"/>
      <c r="U33" s="121"/>
      <c r="V33" s="122" t="n">
        <f aca="false">IF(AND(E33&gt;0,F33&gt;0,G33&gt;0),COUNTIFS($E:$E,E33,$F:$F,F33,$G:$G,G33),"")</f>
        <v>1</v>
      </c>
      <c r="W33" s="122" t="n">
        <f aca="false">IF(V33="","",IF(V33=1,1,IF(AND(E32=E33,F32=F33,G32=G33),W32+1,1)))</f>
        <v>1</v>
      </c>
      <c r="X33" s="0" t="n">
        <v>1</v>
      </c>
      <c r="Y33" s="0" t="n">
        <v>2</v>
      </c>
      <c r="Z33" s="0" t="s">
        <v>583</v>
      </c>
      <c r="AA33" s="0" t="n">
        <v>0</v>
      </c>
      <c r="AB33" s="0" t="s">
        <v>572</v>
      </c>
      <c r="AC33" s="0" t="s">
        <v>274</v>
      </c>
      <c r="AD33" s="0" t="s">
        <v>229</v>
      </c>
      <c r="AE33" s="0" t="n">
        <v>0</v>
      </c>
      <c r="AF33" s="0" t="s">
        <v>573</v>
      </c>
      <c r="AG33" s="0" t="n">
        <v>2</v>
      </c>
      <c r="AH33" s="0" t="s">
        <v>574</v>
      </c>
      <c r="AI33" s="0" t="s">
        <v>575</v>
      </c>
      <c r="AJ33" s="0" t="s">
        <v>229</v>
      </c>
      <c r="AL33" s="0" t="s">
        <v>576</v>
      </c>
      <c r="AM33" s="0" t="n">
        <v>1</v>
      </c>
      <c r="AN33" s="0" t="s">
        <v>574</v>
      </c>
      <c r="AO33" s="0" t="s">
        <v>575</v>
      </c>
      <c r="AP33" s="0" t="s">
        <v>229</v>
      </c>
      <c r="BP33" s="0" t="n">
        <v>0</v>
      </c>
      <c r="BQ33" s="0" t="n">
        <v>0</v>
      </c>
      <c r="BR33" s="0" t="n">
        <v>1</v>
      </c>
      <c r="BS33" s="0" t="s">
        <v>577</v>
      </c>
      <c r="BT33" s="0" t="s">
        <v>578</v>
      </c>
      <c r="BU33" s="0" t="s">
        <v>579</v>
      </c>
      <c r="BV33" s="123"/>
      <c r="BW33" s="123"/>
      <c r="BX33" s="123"/>
      <c r="BY33" s="123"/>
      <c r="BZ33" s="0" t="n">
        <v>0</v>
      </c>
      <c r="CA33" s="0" t="s">
        <v>580</v>
      </c>
      <c r="CD33" s="0" t="s">
        <v>256</v>
      </c>
      <c r="CE33" s="0" t="n">
        <v>0</v>
      </c>
      <c r="CF33" s="0" t="s">
        <v>584</v>
      </c>
      <c r="CG33" s="0" t="s">
        <v>218</v>
      </c>
      <c r="CI33" s="1" t="n">
        <v>40169</v>
      </c>
      <c r="CJ33" s="1" t="n">
        <v>40539</v>
      </c>
      <c r="CK33" s="124" t="s">
        <v>216</v>
      </c>
      <c r="CL33" s="0" t="s">
        <v>216</v>
      </c>
      <c r="CM33" s="0" t="n">
        <f aca="false">IF(OR(CI33="",CJ33=""),"",DAYS360(CI33,CJ33)/360)</f>
        <v>1.01388888888889</v>
      </c>
      <c r="CN33" s="0" t="n">
        <f aca="false">IF(OR(CI33="",CJ33=""),"",DAYS360(CI33,CJ33)/30)</f>
        <v>12.1666666666667</v>
      </c>
      <c r="CO33" s="0" t="n">
        <f aca="false">IF(OR(CI33="",CJ33=""),"",DAYS360(CI33,CJ33)/7)</f>
        <v>52.1428571428571</v>
      </c>
      <c r="CP33" s="0" t="n">
        <f aca="false">IF(OR(CI33="",CJ33=""),"",DAYS360(CI33,CJ33))</f>
        <v>365</v>
      </c>
      <c r="CQ33" s="0" t="s">
        <v>240</v>
      </c>
      <c r="CR33" s="0" t="n">
        <v>1</v>
      </c>
      <c r="CT33" s="0" t="n">
        <v>266.66</v>
      </c>
      <c r="CU33" s="0" t="n">
        <v>0</v>
      </c>
      <c r="CV33" s="0" t="n">
        <f aca="false">IF(OR(CT33="",CT33="NO ESPECIFICA",CT33="NO MENCIONA"),"",IF(CU33=0,CT33,IF(CU33=1,CT33/30,IF(CU33=2,CT33/15,IF(CU33=3,CT33/7,"")))))</f>
        <v>266.66</v>
      </c>
      <c r="CW33" s="125" t="s">
        <v>216</v>
      </c>
      <c r="CX33" s="0" t="s">
        <v>216</v>
      </c>
      <c r="CY33" s="0" t="str">
        <f aca="false">IF(CW33="","",IF(CX33=0,CW33,IF(CX33=1,CW33/30,IF(CX33=2,CW33/15,IF(CX33=3,CW33/7,CW33)))))</f>
        <v>NO MENCIONA</v>
      </c>
      <c r="CZ33" s="0" t="n">
        <f aca="false">IF(DI33&gt;0,DI33,IF(CY33&gt;0,CY33,IF(CV33&gt;0,CV33,"")))</f>
        <v>266.66</v>
      </c>
      <c r="DA33" s="0" t="n">
        <f aca="false">IF(DM33=1,CZ33/8,IF(OR(DM33=2,DM33=4),CZ33/7,IF(DM33=3,CZ33/7.5,"")))</f>
        <v>33.3325</v>
      </c>
      <c r="DB33" s="0" t="s">
        <v>216</v>
      </c>
      <c r="DC33" s="0" t="s">
        <v>216</v>
      </c>
      <c r="DD33" s="0" t="s">
        <v>216</v>
      </c>
      <c r="DE33" s="0" t="s">
        <v>216</v>
      </c>
      <c r="DF33" s="0" t="s">
        <v>216</v>
      </c>
      <c r="DG33" s="0" t="s">
        <v>216</v>
      </c>
      <c r="DH33" s="0" t="n">
        <v>0</v>
      </c>
      <c r="DI33" s="126" t="n">
        <v>266.66</v>
      </c>
      <c r="DK33" s="0" t="n">
        <v>1</v>
      </c>
      <c r="DM33" s="0" t="n">
        <v>1</v>
      </c>
      <c r="DN33" s="0" t="n">
        <v>60</v>
      </c>
      <c r="DO33" s="0" t="n">
        <v>3</v>
      </c>
      <c r="DP33" s="0" t="n">
        <v>0</v>
      </c>
      <c r="DQ33" s="0" t="n">
        <v>1</v>
      </c>
      <c r="DR33" s="0"/>
      <c r="DS33" s="0" t="n">
        <v>1</v>
      </c>
      <c r="DU33" s="0" t="n">
        <v>1</v>
      </c>
      <c r="DW33" s="1" t="n">
        <v>40169</v>
      </c>
      <c r="DX33" s="1" t="n">
        <v>40539</v>
      </c>
      <c r="DZ33" s="0"/>
      <c r="EA33" s="0" t="n">
        <v>1</v>
      </c>
      <c r="EC33" s="1" t="n">
        <v>40169</v>
      </c>
      <c r="ED33" s="1" t="n">
        <v>40539</v>
      </c>
      <c r="EF33" s="0"/>
      <c r="EG33" s="0" t="n">
        <v>1</v>
      </c>
      <c r="EH33" s="0" t="s">
        <v>221</v>
      </c>
      <c r="EI33" s="0" t="str">
        <f aca="false">IF(AND(DM33=1,DN33&lt;=48),"",IF(AND(DM33=2,DN33&lt;=42),"",IF(AND(DM33=3,DN33&lt;=45),"",EH33)))</f>
        <v>NO ESPECIFICA</v>
      </c>
      <c r="EJ33" s="0" t="n">
        <f aca="false">IF(EI33="","",IF(EI33&lt;9,EI33,9))</f>
        <v>9</v>
      </c>
      <c r="EK33" s="0" t="e">
        <f aca="false">IF(EI33="","",IF(EI33&gt;9,EI33-EJ33,0))</f>
        <v>#VALUE!</v>
      </c>
      <c r="EL33" s="0" t="e">
        <f aca="false">IF(EI33="","",EJ33*DA33*2+EK33*DA33*3)</f>
        <v>#VALUE!</v>
      </c>
      <c r="EP33" s="0" t="n">
        <v>0</v>
      </c>
      <c r="EQ33" s="0"/>
      <c r="ER33" s="0" t="n">
        <v>0</v>
      </c>
      <c r="ET33" s="0" t="n">
        <v>0</v>
      </c>
      <c r="EV33" s="0" t="n">
        <v>0</v>
      </c>
      <c r="EX33" s="0" t="n">
        <v>1</v>
      </c>
      <c r="EY33" s="0" t="n">
        <v>0</v>
      </c>
      <c r="EZ33" s="0"/>
      <c r="FA33" s="0"/>
      <c r="FB33" s="0" t="n">
        <v>1</v>
      </c>
      <c r="FF33" s="120" t="n">
        <f aca="false">(CJ33-CI33+1)/365</f>
        <v>1.01643835616438</v>
      </c>
      <c r="FG33" s="0" t="str">
        <f aca="false">CONCATENATE(F33,"/",G33)</f>
        <v>111/2011</v>
      </c>
      <c r="FH33" s="0" t="n">
        <v>0</v>
      </c>
      <c r="FI33" s="0" t="n">
        <v>0</v>
      </c>
    </row>
    <row r="34" customFormat="false" ht="15" hidden="false" customHeight="false" outlineLevel="0" collapsed="false">
      <c r="A34" s="5" t="str">
        <f aca="false">E34&amp;G34&amp;F34</f>
        <v>72011116</v>
      </c>
      <c r="B34" s="0" t="s">
        <v>203</v>
      </c>
      <c r="C34" s="1" t="n">
        <v>42408</v>
      </c>
      <c r="E34" s="0" t="n">
        <v>7</v>
      </c>
      <c r="F34" s="0" t="n">
        <v>116</v>
      </c>
      <c r="G34" s="0" t="n">
        <v>2011</v>
      </c>
      <c r="H34" s="0" t="str">
        <f aca="false">"J"&amp;E34&amp;"\"&amp;F34&amp;"\"&amp;G34&amp;"\"&amp;W34</f>
        <v>J7\116\2011\1</v>
      </c>
      <c r="I34" s="0"/>
      <c r="J34" s="1" t="n">
        <v>40562</v>
      </c>
      <c r="K34" s="0" t="n">
        <v>0</v>
      </c>
      <c r="M34" s="1" t="n">
        <v>40562</v>
      </c>
      <c r="N34" s="1" t="n">
        <v>40624</v>
      </c>
      <c r="O34" s="1"/>
      <c r="P34" s="1"/>
      <c r="Q34" s="1"/>
      <c r="T34" s="121"/>
      <c r="U34" s="121"/>
      <c r="V34" s="122" t="n">
        <f aca="false">IF(AND(E34&gt;0,F34&gt;0,G34&gt;0),COUNTIFS($E:$E,E34,$F:$F,F34,$G:$G,G34),"")</f>
        <v>1</v>
      </c>
      <c r="W34" s="122" t="n">
        <f aca="false">IF(V34="","",IF(V34=1,1,IF(AND(E33=E34,F33=F34,G33=G34),W33+1,1)))</f>
        <v>1</v>
      </c>
      <c r="X34" s="0" t="n">
        <v>1</v>
      </c>
      <c r="Y34" s="0" t="n">
        <v>2</v>
      </c>
      <c r="Z34" s="0" t="s">
        <v>585</v>
      </c>
      <c r="AA34" s="0" t="n">
        <v>0</v>
      </c>
      <c r="AB34" s="0" t="s">
        <v>586</v>
      </c>
      <c r="AC34" s="0" t="s">
        <v>438</v>
      </c>
      <c r="AD34" s="0" t="s">
        <v>352</v>
      </c>
      <c r="AE34" s="0" t="n">
        <v>0</v>
      </c>
      <c r="AF34" s="0" t="s">
        <v>587</v>
      </c>
      <c r="AG34" s="0" t="n">
        <v>0</v>
      </c>
      <c r="AH34" s="0" t="s">
        <v>588</v>
      </c>
      <c r="AI34" s="0" t="s">
        <v>589</v>
      </c>
      <c r="AJ34" s="0" t="s">
        <v>590</v>
      </c>
      <c r="AL34" s="0" t="s">
        <v>591</v>
      </c>
      <c r="AM34" s="0" t="n">
        <v>1</v>
      </c>
      <c r="AN34" s="0" t="s">
        <v>588</v>
      </c>
      <c r="AO34" s="0" t="s">
        <v>589</v>
      </c>
      <c r="AP34" s="0" t="s">
        <v>590</v>
      </c>
      <c r="BP34" s="0" t="n">
        <v>0</v>
      </c>
      <c r="BQ34" s="0" t="n">
        <v>0</v>
      </c>
      <c r="BR34" s="0" t="n">
        <v>1</v>
      </c>
      <c r="BS34" s="0" t="s">
        <v>592</v>
      </c>
      <c r="BT34" s="0" t="s">
        <v>593</v>
      </c>
      <c r="BU34" s="0" t="s">
        <v>594</v>
      </c>
      <c r="BV34" s="123"/>
      <c r="BW34" s="123"/>
      <c r="BX34" s="123"/>
      <c r="BY34" s="123"/>
      <c r="BZ34" s="0" t="n">
        <v>0</v>
      </c>
      <c r="CA34" s="0" t="s">
        <v>216</v>
      </c>
      <c r="CD34" s="0" t="s">
        <v>502</v>
      </c>
      <c r="CE34" s="0" t="n">
        <v>0</v>
      </c>
      <c r="CF34" s="0" t="s">
        <v>503</v>
      </c>
      <c r="CG34" s="0" t="s">
        <v>218</v>
      </c>
      <c r="CI34" s="1" t="n">
        <v>34740</v>
      </c>
      <c r="CJ34" s="1" t="n">
        <v>40526</v>
      </c>
      <c r="CK34" s="124" t="n">
        <v>0.625</v>
      </c>
      <c r="CL34" s="0" t="s">
        <v>591</v>
      </c>
      <c r="CM34" s="0" t="n">
        <f aca="false">IF(OR(CI34="",CJ34=""),"",DAYS360(CI34,CJ34)/360)</f>
        <v>15.8444444444444</v>
      </c>
      <c r="CN34" s="0" t="n">
        <f aca="false">IF(OR(CI34="",CJ34=""),"",DAYS360(CI34,CJ34)/30)</f>
        <v>190.133333333333</v>
      </c>
      <c r="CO34" s="0" t="n">
        <f aca="false">IF(OR(CI34="",CJ34=""),"",DAYS360(CI34,CJ34)/7)</f>
        <v>814.857142857143</v>
      </c>
      <c r="CP34" s="0" t="n">
        <f aca="false">IF(OR(CI34="",CJ34=""),"",DAYS360(CI34,CJ34))</f>
        <v>5704</v>
      </c>
      <c r="CQ34" s="0" t="s">
        <v>240</v>
      </c>
      <c r="CR34" s="0" t="n">
        <v>1</v>
      </c>
      <c r="CT34" s="0" t="s">
        <v>221</v>
      </c>
      <c r="CU34" s="0" t="s">
        <v>221</v>
      </c>
      <c r="CV34" s="0" t="str">
        <f aca="false">IF(OR(CT34="",CT34="NO ESPECIFICA",CT34="NO MENCIONA"),"",IF(CU34=0,CT34,IF(CU34=1,CT34/30,IF(CU34=2,CT34/15,IF(CU34=3,CT34/7,"")))))</f>
        <v/>
      </c>
      <c r="CW34" s="125" t="n">
        <v>15000</v>
      </c>
      <c r="CX34" s="0" t="n">
        <v>1</v>
      </c>
      <c r="CY34" s="0" t="n">
        <f aca="false">IF(CW34="","",IF(CX34=0,CW34,IF(CX34=1,CW34/30,IF(CX34=2,CW34/15,IF(CX34=3,CW34/7,CW34)))))</f>
        <v>500</v>
      </c>
      <c r="CZ34" s="0" t="n">
        <f aca="false">IF(DI34&gt;0,DI34,IF(CY34&gt;0,CY34,IF(CV34&gt;0,CV34,"")))</f>
        <v>500</v>
      </c>
      <c r="DA34" s="0" t="n">
        <f aca="false">IF(DM34=1,CZ34/8,IF(OR(DM34=2,DM34=4),CZ34/7,IF(DM34=3,CZ34/7.5,"")))</f>
        <v>62.5</v>
      </c>
      <c r="DB34" s="0" t="s">
        <v>216</v>
      </c>
      <c r="DC34" s="0" t="s">
        <v>216</v>
      </c>
      <c r="DD34" s="0" t="s">
        <v>216</v>
      </c>
      <c r="DE34" s="0" t="s">
        <v>216</v>
      </c>
      <c r="DF34" s="0" t="s">
        <v>216</v>
      </c>
      <c r="DG34" s="0" t="s">
        <v>216</v>
      </c>
      <c r="DH34" s="0" t="n">
        <v>0</v>
      </c>
      <c r="DI34" s="126" t="n">
        <v>500</v>
      </c>
      <c r="DK34" s="0" t="n">
        <v>0</v>
      </c>
      <c r="DM34" s="0" t="n">
        <v>1</v>
      </c>
      <c r="DN34" s="0" t="n">
        <v>96</v>
      </c>
      <c r="DO34" s="0" t="n">
        <v>3</v>
      </c>
      <c r="DP34" s="0" t="n">
        <v>0</v>
      </c>
      <c r="DQ34" s="0" t="n">
        <v>1</v>
      </c>
      <c r="DR34" s="0" t="n">
        <v>45000</v>
      </c>
      <c r="DS34" s="0" t="n">
        <v>1</v>
      </c>
      <c r="DU34" s="0" t="n">
        <v>1</v>
      </c>
      <c r="DW34" s="1" t="n">
        <v>39854</v>
      </c>
      <c r="DX34" s="1" t="n">
        <v>40526</v>
      </c>
      <c r="DZ34" s="0"/>
      <c r="EA34" s="0" t="n">
        <v>1</v>
      </c>
      <c r="EC34" s="1" t="n">
        <v>40179</v>
      </c>
      <c r="ED34" s="1" t="n">
        <v>40525</v>
      </c>
      <c r="EF34" s="0"/>
      <c r="EG34" s="0" t="n">
        <v>1</v>
      </c>
      <c r="EH34" s="0" t="s">
        <v>221</v>
      </c>
      <c r="EI34" s="0" t="str">
        <f aca="false">IF(AND(DM34=1,DN34&lt;=48),"",IF(AND(DM34=2,DN34&lt;=42),"",IF(AND(DM34=3,DN34&lt;=45),"",EH34)))</f>
        <v>NO ESPECIFICA</v>
      </c>
      <c r="EJ34" s="0" t="n">
        <f aca="false">IF(EI34="","",IF(EI34&lt;9,EI34,9))</f>
        <v>9</v>
      </c>
      <c r="EK34" s="0" t="e">
        <f aca="false">IF(EI34="","",IF(EI34&gt;9,EI34-EJ34,0))</f>
        <v>#VALUE!</v>
      </c>
      <c r="EL34" s="0" t="e">
        <f aca="false">IF(EI34="","",EJ34*DA34*2+EK34*DA34*3)</f>
        <v>#VALUE!</v>
      </c>
      <c r="EP34" s="0" t="n">
        <v>1</v>
      </c>
      <c r="EQ34" s="0"/>
      <c r="ER34" s="0" t="n">
        <v>1</v>
      </c>
      <c r="ET34" s="0" t="n">
        <v>0</v>
      </c>
      <c r="EV34" s="0" t="n">
        <v>0</v>
      </c>
      <c r="EX34" s="0" t="n">
        <v>0</v>
      </c>
      <c r="EY34" s="0" t="n">
        <v>1</v>
      </c>
      <c r="EZ34" s="0"/>
      <c r="FA34" s="0"/>
      <c r="FB34" s="0" t="n">
        <v>1</v>
      </c>
      <c r="FF34" s="120" t="n">
        <f aca="false">(CJ34-CI34+1)/365</f>
        <v>15.8547945205479</v>
      </c>
      <c r="FG34" s="0" t="str">
        <f aca="false">CONCATENATE(F34,"/",G34)</f>
        <v>116/2011</v>
      </c>
      <c r="FH34" s="0" t="n">
        <v>0</v>
      </c>
      <c r="FI34" s="0" t="n">
        <v>0</v>
      </c>
    </row>
    <row r="35" customFormat="false" ht="15" hidden="false" customHeight="false" outlineLevel="0" collapsed="false">
      <c r="A35" s="5" t="str">
        <f aca="false">E35&amp;G35&amp;F35</f>
        <v>72011120</v>
      </c>
      <c r="B35" s="0" t="s">
        <v>203</v>
      </c>
      <c r="C35" s="1" t="n">
        <v>42408</v>
      </c>
      <c r="E35" s="0" t="n">
        <v>7</v>
      </c>
      <c r="F35" s="0" t="n">
        <v>120</v>
      </c>
      <c r="G35" s="0" t="n">
        <v>2011</v>
      </c>
      <c r="H35" s="0" t="str">
        <f aca="false">"J"&amp;E35&amp;"\"&amp;F35&amp;"\"&amp;G35&amp;"\"&amp;W35</f>
        <v>J7\120\2011\1</v>
      </c>
      <c r="I35" s="0"/>
      <c r="J35" s="1" t="n">
        <v>40562</v>
      </c>
      <c r="K35" s="0" t="n">
        <v>0</v>
      </c>
      <c r="M35" s="1" t="n">
        <v>40562</v>
      </c>
      <c r="N35" s="1" t="n">
        <v>40625</v>
      </c>
      <c r="O35" s="1"/>
      <c r="P35" s="1"/>
      <c r="Q35" s="1"/>
      <c r="T35" s="121"/>
      <c r="U35" s="121"/>
      <c r="V35" s="122" t="n">
        <f aca="false">IF(AND(E35&gt;0,F35&gt;0,G35&gt;0),COUNTIFS($E:$E,E35,$F:$F,F35,$G:$G,G35),"")</f>
        <v>1</v>
      </c>
      <c r="W35" s="122" t="n">
        <f aca="false">IF(V35="","",IF(V35=1,1,IF(AND(E34=E35,F34=F35,G34=G35),W34+1,1)))</f>
        <v>1</v>
      </c>
      <c r="X35" s="0" t="n">
        <v>1</v>
      </c>
      <c r="Y35" s="0" t="n">
        <v>3</v>
      </c>
      <c r="Z35" s="0" t="s">
        <v>595</v>
      </c>
      <c r="AA35" s="0" t="n">
        <v>0</v>
      </c>
      <c r="AB35" s="0" t="s">
        <v>273</v>
      </c>
      <c r="AC35" s="0" t="s">
        <v>274</v>
      </c>
      <c r="AD35" s="0" t="s">
        <v>216</v>
      </c>
      <c r="AE35" s="0" t="n">
        <v>0</v>
      </c>
      <c r="AF35" s="0" t="s">
        <v>596</v>
      </c>
      <c r="AG35" s="0" t="n">
        <v>0</v>
      </c>
      <c r="AH35" s="0" t="s">
        <v>597</v>
      </c>
      <c r="AI35" s="0" t="s">
        <v>598</v>
      </c>
      <c r="AJ35" s="0" t="s">
        <v>411</v>
      </c>
      <c r="AL35" s="0" t="s">
        <v>599</v>
      </c>
      <c r="AM35" s="0" t="n">
        <v>1</v>
      </c>
      <c r="AN35" s="0" t="s">
        <v>597</v>
      </c>
      <c r="AO35" s="0" t="s">
        <v>598</v>
      </c>
      <c r="AP35" s="0" t="s">
        <v>411</v>
      </c>
      <c r="AR35" s="0" t="s">
        <v>213</v>
      </c>
      <c r="AS35" s="0" t="n">
        <v>1</v>
      </c>
      <c r="AT35" s="0" t="s">
        <v>597</v>
      </c>
      <c r="AU35" s="0" t="s">
        <v>598</v>
      </c>
      <c r="AV35" s="0" t="s">
        <v>411</v>
      </c>
      <c r="BP35" s="0" t="n">
        <v>0</v>
      </c>
      <c r="BQ35" s="0" t="n">
        <v>0</v>
      </c>
      <c r="BR35" s="0" t="n">
        <v>1</v>
      </c>
      <c r="BS35" s="0" t="s">
        <v>279</v>
      </c>
      <c r="BT35" s="0" t="s">
        <v>280</v>
      </c>
      <c r="BU35" s="0" t="s">
        <v>281</v>
      </c>
      <c r="BV35" s="123"/>
      <c r="BW35" s="123"/>
      <c r="BX35" s="123"/>
      <c r="BY35" s="123"/>
      <c r="BZ35" s="0" t="n">
        <v>0</v>
      </c>
      <c r="CA35" s="0" t="s">
        <v>282</v>
      </c>
      <c r="CD35" s="0" t="s">
        <v>296</v>
      </c>
      <c r="CE35" s="0" t="n">
        <v>0</v>
      </c>
      <c r="CF35" s="0" t="s">
        <v>600</v>
      </c>
      <c r="CG35" s="0" t="s">
        <v>218</v>
      </c>
      <c r="CI35" s="1" t="n">
        <v>40515</v>
      </c>
      <c r="CJ35" s="1" t="n">
        <v>40546</v>
      </c>
      <c r="CK35" s="124" t="n">
        <v>0.5</v>
      </c>
      <c r="CL35" s="0" t="s">
        <v>601</v>
      </c>
      <c r="CM35" s="0" t="n">
        <f aca="false">IF(OR(CI35="",CJ35=""),"",DAYS360(CI35,CJ35)/360)</f>
        <v>0.0833333333333333</v>
      </c>
      <c r="CN35" s="0" t="n">
        <f aca="false">IF(OR(CI35="",CJ35=""),"",DAYS360(CI35,CJ35)/30)</f>
        <v>1</v>
      </c>
      <c r="CO35" s="0" t="n">
        <f aca="false">IF(OR(CI35="",CJ35=""),"",DAYS360(CI35,CJ35)/7)</f>
        <v>4.28571428571429</v>
      </c>
      <c r="CP35" s="0" t="n">
        <f aca="false">IF(OR(CI35="",CJ35=""),"",DAYS360(CI35,CJ35))</f>
        <v>30</v>
      </c>
      <c r="CQ35" s="0" t="s">
        <v>240</v>
      </c>
      <c r="CR35" s="0" t="n">
        <v>1</v>
      </c>
      <c r="CT35" s="0" t="s">
        <v>221</v>
      </c>
      <c r="CU35" s="0" t="s">
        <v>221</v>
      </c>
      <c r="CV35" s="0" t="str">
        <f aca="false">IF(OR(CT35="",CT35="NO ESPECIFICA",CT35="NO MENCIONA"),"",IF(CU35=0,CT35,IF(CU35=1,CT35/30,IF(CU35=2,CT35/15,IF(CU35=3,CT35/7,"")))))</f>
        <v/>
      </c>
      <c r="CW35" s="125" t="n">
        <v>210</v>
      </c>
      <c r="CX35" s="0" t="n">
        <v>0</v>
      </c>
      <c r="CY35" s="0" t="n">
        <f aca="false">IF(CW35="","",IF(CX35=0,CW35,IF(CX35=1,CW35/30,IF(CX35=2,CW35/15,IF(CX35=3,CW35/7,CW35)))))</f>
        <v>210</v>
      </c>
      <c r="CZ35" s="0" t="n">
        <f aca="false">IF(DI35&gt;0,DI35,IF(CY35&gt;0,CY35,IF(CV35&gt;0,CV35,"")))</f>
        <v>210</v>
      </c>
      <c r="DA35" s="0" t="n">
        <f aca="false">IF(DM35=1,CZ35/8,IF(OR(DM35=2,DM35=4),CZ35/7,IF(DM35=3,CZ35/7.5,"")))</f>
        <v>26.25</v>
      </c>
      <c r="DB35" s="0" t="s">
        <v>216</v>
      </c>
      <c r="DC35" s="0" t="s">
        <v>216</v>
      </c>
      <c r="DD35" s="0" t="s">
        <v>216</v>
      </c>
      <c r="DE35" s="0" t="s">
        <v>216</v>
      </c>
      <c r="DF35" s="0" t="s">
        <v>216</v>
      </c>
      <c r="DG35" s="0" t="s">
        <v>216</v>
      </c>
      <c r="DH35" s="0" t="n">
        <v>0</v>
      </c>
      <c r="DI35" s="126" t="n">
        <v>210</v>
      </c>
      <c r="DK35" s="0" t="n">
        <v>1</v>
      </c>
      <c r="DM35" s="0" t="n">
        <v>1</v>
      </c>
      <c r="DN35" s="0" t="n">
        <v>60</v>
      </c>
      <c r="DO35" s="0" t="n">
        <v>3</v>
      </c>
      <c r="DP35" s="0" t="n">
        <v>0</v>
      </c>
      <c r="DQ35" s="0" t="n">
        <v>1</v>
      </c>
      <c r="DR35" s="0"/>
      <c r="DS35" s="0" t="n">
        <v>1</v>
      </c>
      <c r="DU35" s="0" t="n">
        <v>1</v>
      </c>
      <c r="DW35" s="1" t="n">
        <v>40515</v>
      </c>
      <c r="DX35" s="1" t="n">
        <v>40546</v>
      </c>
      <c r="DZ35" s="0"/>
      <c r="EA35" s="0" t="n">
        <v>1</v>
      </c>
      <c r="EC35" s="1" t="n">
        <v>40515</v>
      </c>
      <c r="ED35" s="1" t="n">
        <v>40546</v>
      </c>
      <c r="EF35" s="0"/>
      <c r="EG35" s="0" t="n">
        <v>1</v>
      </c>
      <c r="EH35" s="0" t="n">
        <v>12</v>
      </c>
      <c r="EI35" s="0" t="n">
        <f aca="false">IF(AND(DM35=1,DN35&lt;=48),"",IF(AND(DM35=2,DN35&lt;=42),"",IF(AND(DM35=3,DN35&lt;=45),"",EH35)))</f>
        <v>12</v>
      </c>
      <c r="EJ35" s="0" t="n">
        <f aca="false">IF(EI35="","",IF(EI35&lt;9,EI35,9))</f>
        <v>9</v>
      </c>
      <c r="EK35" s="0" t="n">
        <f aca="false">IF(EI35="","",IF(EI35&gt;9,EI35-EJ35,0))</f>
        <v>3</v>
      </c>
      <c r="EL35" s="0" t="n">
        <f aca="false">IF(EI35="","",EJ35*DA35*2+EK35*DA35*3)</f>
        <v>708.75</v>
      </c>
      <c r="EP35" s="0" t="n">
        <v>0</v>
      </c>
      <c r="EQ35" s="0"/>
      <c r="ER35" s="0" t="n">
        <v>0</v>
      </c>
      <c r="ET35" s="0" t="n">
        <v>0</v>
      </c>
      <c r="EV35" s="0" t="n">
        <v>0</v>
      </c>
      <c r="EX35" s="0" t="n">
        <v>0</v>
      </c>
      <c r="EY35" s="0" t="n">
        <v>0</v>
      </c>
      <c r="EZ35" s="0"/>
      <c r="FA35" s="4" t="n">
        <v>3570</v>
      </c>
      <c r="FB35" s="0" t="n">
        <v>1</v>
      </c>
      <c r="FF35" s="120" t="n">
        <f aca="false">(CJ35-CI35+1)/365</f>
        <v>0.0876712328767123</v>
      </c>
      <c r="FG35" s="0" t="str">
        <f aca="false">CONCATENATE(F35,"/",G35)</f>
        <v>120/2011</v>
      </c>
      <c r="FH35" s="0" t="n">
        <v>0</v>
      </c>
      <c r="FI35" s="0" t="n">
        <v>0</v>
      </c>
    </row>
    <row r="36" customFormat="false" ht="15" hidden="false" customHeight="false" outlineLevel="0" collapsed="false">
      <c r="A36" s="5" t="str">
        <f aca="false">E36&amp;G36&amp;F36</f>
        <v>72011137</v>
      </c>
      <c r="B36" s="0" t="s">
        <v>203</v>
      </c>
      <c r="C36" s="1" t="n">
        <v>42408</v>
      </c>
      <c r="E36" s="0" t="n">
        <v>7</v>
      </c>
      <c r="F36" s="0" t="n">
        <v>137</v>
      </c>
      <c r="G36" s="0" t="n">
        <v>2011</v>
      </c>
      <c r="H36" s="0" t="str">
        <f aca="false">"J"&amp;E36&amp;"\"&amp;F36&amp;"\"&amp;G36&amp;"\"&amp;W36</f>
        <v>J7\137\2011\1</v>
      </c>
      <c r="I36" s="0"/>
      <c r="J36" s="1" t="n">
        <v>40564</v>
      </c>
      <c r="K36" s="0" t="n">
        <v>0</v>
      </c>
      <c r="M36" s="1"/>
      <c r="N36" s="1"/>
      <c r="O36" s="1"/>
      <c r="P36" s="1"/>
      <c r="Q36" s="1"/>
      <c r="T36" s="121"/>
      <c r="U36" s="121"/>
      <c r="V36" s="122" t="n">
        <f aca="false">IF(AND(E36&gt;0,F36&gt;0,G36&gt;0),COUNTIFS($E:$E,E36,$F:$F,F36,$G:$G,G36),"")</f>
        <v>1</v>
      </c>
      <c r="W36" s="122" t="n">
        <f aca="false">IF(V36="","",IF(V36=1,1,IF(AND(E35=E36,F35=F36,G35=G36),W35+1,1)))</f>
        <v>1</v>
      </c>
      <c r="X36" s="0" t="n">
        <v>1</v>
      </c>
      <c r="Y36" s="0" t="n">
        <v>2</v>
      </c>
      <c r="Z36" s="0" t="s">
        <v>602</v>
      </c>
      <c r="AA36" s="0" t="n">
        <v>0</v>
      </c>
      <c r="AB36" s="0" t="s">
        <v>603</v>
      </c>
      <c r="AC36" s="0" t="s">
        <v>274</v>
      </c>
      <c r="AD36" s="0" t="s">
        <v>221</v>
      </c>
      <c r="AE36" s="0" t="n">
        <v>0</v>
      </c>
      <c r="AF36" s="0" t="s">
        <v>604</v>
      </c>
      <c r="AG36" s="0" t="n">
        <v>1</v>
      </c>
      <c r="AH36" s="0" t="s">
        <v>605</v>
      </c>
      <c r="AI36" s="0" t="s">
        <v>606</v>
      </c>
      <c r="AJ36" s="0" t="s">
        <v>229</v>
      </c>
      <c r="AL36" s="0" t="s">
        <v>213</v>
      </c>
      <c r="AM36" s="0" t="n">
        <v>1</v>
      </c>
      <c r="AN36" s="0" t="s">
        <v>605</v>
      </c>
      <c r="AO36" s="0" t="s">
        <v>606</v>
      </c>
      <c r="AP36" s="0" t="s">
        <v>229</v>
      </c>
      <c r="BP36" s="0" t="n">
        <v>0</v>
      </c>
      <c r="BQ36" s="0" t="n">
        <v>0</v>
      </c>
      <c r="BR36" s="0" t="n">
        <v>1</v>
      </c>
      <c r="BS36" s="0" t="s">
        <v>607</v>
      </c>
      <c r="BT36" s="0" t="s">
        <v>608</v>
      </c>
      <c r="BU36" s="0" t="s">
        <v>609</v>
      </c>
      <c r="BV36" s="123"/>
      <c r="BW36" s="123"/>
      <c r="BX36" s="123"/>
      <c r="BY36" s="123"/>
      <c r="BZ36" s="0" t="n">
        <v>0</v>
      </c>
      <c r="CA36" s="0" t="s">
        <v>610</v>
      </c>
      <c r="CD36" s="0" t="s">
        <v>256</v>
      </c>
      <c r="CE36" s="0" t="n">
        <v>0</v>
      </c>
      <c r="CF36" s="0" t="s">
        <v>611</v>
      </c>
      <c r="CG36" s="0" t="s">
        <v>218</v>
      </c>
      <c r="CI36" s="1" t="n">
        <v>38453</v>
      </c>
      <c r="CJ36" s="1" t="n">
        <v>40525</v>
      </c>
      <c r="CK36" s="124" t="n">
        <v>0.5625</v>
      </c>
      <c r="CL36" s="0" t="s">
        <v>604</v>
      </c>
      <c r="CM36" s="0" t="n">
        <f aca="false">IF(OR(CI36="",CJ36=""),"",DAYS360(CI36,CJ36)/360)</f>
        <v>5.67222222222222</v>
      </c>
      <c r="CN36" s="0" t="n">
        <f aca="false">IF(OR(CI36="",CJ36=""),"",DAYS360(CI36,CJ36)/30)</f>
        <v>68.0666666666667</v>
      </c>
      <c r="CO36" s="0" t="n">
        <f aca="false">IF(OR(CI36="",CJ36=""),"",DAYS360(CI36,CJ36)/7)</f>
        <v>291.714285714286</v>
      </c>
      <c r="CP36" s="0" t="n">
        <f aca="false">IF(OR(CI36="",CJ36=""),"",DAYS360(CI36,CJ36))</f>
        <v>2042</v>
      </c>
      <c r="CQ36" s="0" t="s">
        <v>240</v>
      </c>
      <c r="CR36" s="0" t="n">
        <v>1</v>
      </c>
      <c r="CT36" s="0" t="s">
        <v>221</v>
      </c>
      <c r="CU36" s="0" t="s">
        <v>221</v>
      </c>
      <c r="CV36" s="0" t="str">
        <f aca="false">IF(OR(CT36="",CT36="NO ESPECIFICA",CT36="NO MENCIONA"),"",IF(CU36=0,CT36,IF(CU36=1,CT36/30,IF(CU36=2,CT36/15,IF(CU36=3,CT36/7,"")))))</f>
        <v/>
      </c>
      <c r="CW36" s="125" t="n">
        <v>190</v>
      </c>
      <c r="CX36" s="0" t="n">
        <v>0</v>
      </c>
      <c r="CY36" s="0" t="n">
        <f aca="false">IF(CW36="","",IF(CX36=0,CW36,IF(CX36=1,CW36/30,IF(CX36=2,CW36/15,IF(CX36=3,CW36/7,CW36)))))</f>
        <v>190</v>
      </c>
      <c r="CZ36" s="0" t="n">
        <f aca="false">IF(DI36&gt;0,DI36,IF(CY36&gt;0,CY36,IF(CV36&gt;0,CV36,"")))</f>
        <v>190</v>
      </c>
      <c r="DA36" s="0" t="n">
        <f aca="false">IF(DM36=1,CZ36/8,IF(OR(DM36=2,DM36=4),CZ36/7,IF(DM36=3,CZ36/7.5,"")))</f>
        <v>23.75</v>
      </c>
      <c r="DB36" s="0" t="s">
        <v>216</v>
      </c>
      <c r="DC36" s="0" t="s">
        <v>216</v>
      </c>
      <c r="DD36" s="0" t="s">
        <v>216</v>
      </c>
      <c r="DE36" s="0" t="s">
        <v>216</v>
      </c>
      <c r="DF36" s="0" t="s">
        <v>216</v>
      </c>
      <c r="DG36" s="0" t="s">
        <v>216</v>
      </c>
      <c r="DH36" s="0" t="n">
        <v>0</v>
      </c>
      <c r="DI36" s="126" t="n">
        <v>190</v>
      </c>
      <c r="DK36" s="0" t="n">
        <v>0</v>
      </c>
      <c r="DM36" s="0" t="n">
        <v>1</v>
      </c>
      <c r="DN36" s="0" t="n">
        <v>66</v>
      </c>
      <c r="DO36" s="0" t="n">
        <v>3</v>
      </c>
      <c r="DP36" s="0" t="n">
        <v>0</v>
      </c>
      <c r="DQ36" s="0" t="n">
        <v>1</v>
      </c>
      <c r="DR36" s="0"/>
      <c r="DS36" s="0" t="n">
        <v>1</v>
      </c>
      <c r="DU36" s="0" t="n">
        <v>1</v>
      </c>
      <c r="DW36" s="1" t="n">
        <v>38453</v>
      </c>
      <c r="DX36" s="1" t="n">
        <v>40525</v>
      </c>
      <c r="DZ36" s="0"/>
      <c r="EA36" s="0" t="n">
        <v>1</v>
      </c>
      <c r="EC36" s="1" t="n">
        <v>38453</v>
      </c>
      <c r="ED36" s="1" t="n">
        <v>40525</v>
      </c>
      <c r="EF36" s="0"/>
      <c r="EG36" s="0" t="n">
        <v>1</v>
      </c>
      <c r="EH36" s="0" t="n">
        <v>18</v>
      </c>
      <c r="EI36" s="0" t="n">
        <f aca="false">IF(AND(DM36=1,DN36&lt;=48),"",IF(AND(DM36=2,DN36&lt;=42),"",IF(AND(DM36=3,DN36&lt;=45),"",EH36)))</f>
        <v>18</v>
      </c>
      <c r="EJ36" s="0" t="n">
        <f aca="false">IF(EI36="","",IF(EI36&lt;9,EI36,9))</f>
        <v>9</v>
      </c>
      <c r="EK36" s="0" t="n">
        <f aca="false">IF(EI36="","",IF(EI36&gt;9,EI36-EJ36,0))</f>
        <v>9</v>
      </c>
      <c r="EL36" s="0" t="n">
        <f aca="false">IF(EI36="","",EJ36*DA36*2+EK36*DA36*3)</f>
        <v>1068.75</v>
      </c>
      <c r="EP36" s="0" t="n">
        <v>0</v>
      </c>
      <c r="EQ36" s="0"/>
      <c r="ER36" s="0" t="n">
        <v>0</v>
      </c>
      <c r="ET36" s="0" t="n">
        <v>1</v>
      </c>
      <c r="EV36" s="0" t="n">
        <v>1</v>
      </c>
      <c r="EX36" s="0" t="n">
        <v>0</v>
      </c>
      <c r="EY36" s="0" t="n">
        <v>0</v>
      </c>
      <c r="EZ36" s="0"/>
      <c r="FA36" s="0"/>
      <c r="FB36" s="0" t="n">
        <v>0</v>
      </c>
      <c r="FF36" s="120" t="n">
        <f aca="false">(CJ36-CI36+1)/365</f>
        <v>5.67945205479452</v>
      </c>
      <c r="FG36" s="0" t="str">
        <f aca="false">CONCATENATE(F36,"/",G36)</f>
        <v>137/2011</v>
      </c>
      <c r="FH36" s="0" t="n">
        <v>0</v>
      </c>
      <c r="FI36" s="0" t="n">
        <v>0</v>
      </c>
    </row>
    <row r="37" customFormat="false" ht="15" hidden="false" customHeight="false" outlineLevel="0" collapsed="false">
      <c r="A37" s="5" t="str">
        <f aca="false">E37&amp;G37&amp;F37</f>
        <v>72011146</v>
      </c>
      <c r="B37" s="0" t="s">
        <v>203</v>
      </c>
      <c r="C37" s="1" t="n">
        <v>42408</v>
      </c>
      <c r="E37" s="0" t="n">
        <v>7</v>
      </c>
      <c r="F37" s="0" t="n">
        <v>146</v>
      </c>
      <c r="G37" s="0" t="n">
        <v>2011</v>
      </c>
      <c r="H37" s="0" t="str">
        <f aca="false">"J"&amp;E37&amp;"\"&amp;F37&amp;"\"&amp;G37&amp;"\"&amp;W37</f>
        <v>J7\146\2011\1</v>
      </c>
      <c r="I37" s="0"/>
      <c r="J37" s="1" t="n">
        <v>40564</v>
      </c>
      <c r="K37" s="0" t="n">
        <v>0</v>
      </c>
      <c r="M37" s="1"/>
      <c r="N37" s="1"/>
      <c r="O37" s="1"/>
      <c r="P37" s="1"/>
      <c r="Q37" s="1"/>
      <c r="T37" s="121"/>
      <c r="U37" s="121"/>
      <c r="V37" s="122" t="n">
        <f aca="false">IF(AND(E37&gt;0,F37&gt;0,G37&gt;0),COUNTIFS($E:$E,E37,$F:$F,F37,$G:$G,G37),"")</f>
        <v>1</v>
      </c>
      <c r="W37" s="122" t="n">
        <f aca="false">IF(V37="","",IF(V37=1,1,IF(AND(E36=E37,F36=F37,G36=G37),W36+1,1)))</f>
        <v>1</v>
      </c>
      <c r="X37" s="0" t="n">
        <v>1</v>
      </c>
      <c r="Y37" s="0" t="n">
        <v>5</v>
      </c>
      <c r="Z37" s="0" t="s">
        <v>612</v>
      </c>
      <c r="AA37" s="0" t="n">
        <v>0</v>
      </c>
      <c r="AB37" s="0" t="s">
        <v>613</v>
      </c>
      <c r="AC37" s="0" t="s">
        <v>251</v>
      </c>
      <c r="AD37" s="0" t="s">
        <v>229</v>
      </c>
      <c r="AE37" s="0" t="n">
        <v>0</v>
      </c>
      <c r="AF37" s="0" t="s">
        <v>614</v>
      </c>
      <c r="AG37" s="0" t="n">
        <v>0</v>
      </c>
      <c r="AH37" s="0" t="s">
        <v>615</v>
      </c>
      <c r="AI37" s="0" t="s">
        <v>438</v>
      </c>
      <c r="AJ37" s="0" t="s">
        <v>352</v>
      </c>
      <c r="AL37" s="0" t="s">
        <v>616</v>
      </c>
      <c r="AM37" s="0" t="n">
        <v>0</v>
      </c>
      <c r="AN37" s="0" t="s">
        <v>617</v>
      </c>
      <c r="AO37" s="0" t="s">
        <v>618</v>
      </c>
      <c r="AP37" s="0" t="s">
        <v>322</v>
      </c>
      <c r="AR37" s="0" t="s">
        <v>619</v>
      </c>
      <c r="AS37" s="0" t="n">
        <v>0</v>
      </c>
      <c r="AT37" s="0" t="s">
        <v>617</v>
      </c>
      <c r="AU37" s="0" t="s">
        <v>618</v>
      </c>
      <c r="AV37" s="0" t="s">
        <v>322</v>
      </c>
      <c r="AX37" s="0" t="s">
        <v>620</v>
      </c>
      <c r="AY37" s="0" t="n">
        <v>0</v>
      </c>
      <c r="AZ37" s="0" t="s">
        <v>617</v>
      </c>
      <c r="BA37" s="0" t="s">
        <v>618</v>
      </c>
      <c r="BB37" s="0" t="s">
        <v>322</v>
      </c>
      <c r="BD37" s="0" t="s">
        <v>621</v>
      </c>
      <c r="BE37" s="0" t="n">
        <v>1</v>
      </c>
      <c r="BF37" s="0" t="s">
        <v>615</v>
      </c>
      <c r="BG37" s="0" t="s">
        <v>438</v>
      </c>
      <c r="BH37" s="0" t="s">
        <v>352</v>
      </c>
      <c r="BP37" s="0" t="n">
        <v>0</v>
      </c>
      <c r="BQ37" s="0" t="n">
        <v>0</v>
      </c>
      <c r="BR37" s="0" t="n">
        <v>1</v>
      </c>
      <c r="BS37" s="0" t="s">
        <v>622</v>
      </c>
      <c r="BT37" s="0" t="s">
        <v>623</v>
      </c>
      <c r="BU37" s="0" t="s">
        <v>624</v>
      </c>
      <c r="BV37" s="123"/>
      <c r="BW37" s="123"/>
      <c r="BX37" s="123"/>
      <c r="BY37" s="123"/>
      <c r="BZ37" s="0" t="n">
        <v>0</v>
      </c>
      <c r="CA37" s="0" t="s">
        <v>625</v>
      </c>
      <c r="CD37" s="0" t="s">
        <v>256</v>
      </c>
      <c r="CE37" s="0" t="n">
        <v>0</v>
      </c>
      <c r="CF37" s="0" t="s">
        <v>626</v>
      </c>
      <c r="CG37" s="0" t="s">
        <v>218</v>
      </c>
      <c r="CI37" s="1" t="n">
        <v>40483</v>
      </c>
      <c r="CJ37" s="1" t="n">
        <v>40534</v>
      </c>
      <c r="CK37" s="124" t="n">
        <v>0.854166666666667</v>
      </c>
      <c r="CL37" s="0" t="s">
        <v>621</v>
      </c>
      <c r="CM37" s="0" t="n">
        <f aca="false">IF(OR(CI37="",CJ37=""),"",DAYS360(CI37,CJ37)/360)</f>
        <v>0.141666666666667</v>
      </c>
      <c r="CN37" s="0" t="n">
        <f aca="false">IF(OR(CI37="",CJ37=""),"",DAYS360(CI37,CJ37)/30)</f>
        <v>1.7</v>
      </c>
      <c r="CO37" s="0" t="n">
        <f aca="false">IF(OR(CI37="",CJ37=""),"",DAYS360(CI37,CJ37)/7)</f>
        <v>7.28571428571429</v>
      </c>
      <c r="CP37" s="0" t="n">
        <f aca="false">IF(OR(CI37="",CJ37=""),"",DAYS360(CI37,CJ37))</f>
        <v>51</v>
      </c>
      <c r="CQ37" s="0" t="s">
        <v>220</v>
      </c>
      <c r="CR37" s="0" t="n">
        <v>1</v>
      </c>
      <c r="CT37" s="0" t="n">
        <v>600</v>
      </c>
      <c r="CU37" s="0" t="n">
        <v>2</v>
      </c>
      <c r="CV37" s="0" t="n">
        <f aca="false">IF(OR(CT37="",CT37="NO ESPECIFICA",CT37="NO MENCIONA"),"",IF(CU37=0,CT37,IF(CU37=1,CT37/30,IF(CU37=2,CT37/15,IF(CU37=3,CT37/7,"")))))</f>
        <v>40</v>
      </c>
      <c r="CW37" s="125" t="n">
        <v>610.93</v>
      </c>
      <c r="CX37" s="0" t="n">
        <v>0</v>
      </c>
      <c r="CY37" s="0" t="n">
        <f aca="false">IF(CW37="","",IF(CX37=0,CW37,IF(CX37=1,CW37/30,IF(CX37=2,CW37/15,IF(CX37=3,CW37/7,CW37)))))</f>
        <v>610.93</v>
      </c>
      <c r="CZ37" s="0" t="n">
        <f aca="false">IF(DI37&gt;0,DI37,IF(CY37&gt;0,CY37,IF(CV37&gt;0,CV37,"")))</f>
        <v>610.93</v>
      </c>
      <c r="DA37" s="0" t="n">
        <f aca="false">IF(DM37=1,CZ37/8,IF(OR(DM37=2,DM37=4),CZ37/7,IF(DM37=3,CZ37/7.5,"")))</f>
        <v>76.36625</v>
      </c>
      <c r="DB37" s="0" t="s">
        <v>303</v>
      </c>
      <c r="DC37" s="0" t="s">
        <v>301</v>
      </c>
      <c r="DD37" s="0" t="s">
        <v>627</v>
      </c>
      <c r="DE37" s="0" t="s">
        <v>417</v>
      </c>
      <c r="DF37" s="0" t="s">
        <v>216</v>
      </c>
      <c r="DG37" s="0" t="s">
        <v>216</v>
      </c>
      <c r="DH37" s="0" t="n">
        <v>0</v>
      </c>
      <c r="DI37" s="126" t="n">
        <v>610.93</v>
      </c>
      <c r="DK37" s="0" t="n">
        <v>0</v>
      </c>
      <c r="DM37" s="0" t="n">
        <v>1</v>
      </c>
      <c r="DN37" s="0" t="n">
        <v>60</v>
      </c>
      <c r="DO37" s="0" t="n">
        <v>3</v>
      </c>
      <c r="DP37" s="0" t="n">
        <v>1</v>
      </c>
      <c r="DQ37" s="0" t="n">
        <v>1</v>
      </c>
      <c r="DR37" s="0"/>
      <c r="DS37" s="0" t="n">
        <v>1</v>
      </c>
      <c r="DU37" s="0" t="n">
        <v>1</v>
      </c>
      <c r="DW37" s="1" t="n">
        <v>40483</v>
      </c>
      <c r="DX37" s="1" t="n">
        <v>40534</v>
      </c>
      <c r="DZ37" s="0"/>
      <c r="EA37" s="0" t="n">
        <v>1</v>
      </c>
      <c r="EC37" s="1" t="n">
        <v>40483</v>
      </c>
      <c r="ED37" s="1" t="n">
        <v>40534</v>
      </c>
      <c r="EF37" s="0"/>
      <c r="EG37" s="0" t="n">
        <v>1</v>
      </c>
      <c r="EH37" s="0" t="n">
        <v>21</v>
      </c>
      <c r="EI37" s="0" t="n">
        <f aca="false">IF(AND(DM37=1,DN37&lt;=48),"",IF(AND(DM37=2,DN37&lt;=42),"",IF(AND(DM37=3,DN37&lt;=45),"",EH37)))</f>
        <v>21</v>
      </c>
      <c r="EJ37" s="0" t="n">
        <f aca="false">IF(EI37="","",IF(EI37&lt;9,EI37,9))</f>
        <v>9</v>
      </c>
      <c r="EK37" s="0" t="n">
        <f aca="false">IF(EI37="","",IF(EI37&gt;9,EI37-EJ37,0))</f>
        <v>12</v>
      </c>
      <c r="EL37" s="0" t="n">
        <f aca="false">IF(EI37="","",EJ37*DA37*2+EK37*DA37*3)</f>
        <v>4123.7775</v>
      </c>
      <c r="EP37" s="0" t="n">
        <v>0</v>
      </c>
      <c r="EQ37" s="0"/>
      <c r="ER37" s="0" t="n">
        <v>0</v>
      </c>
      <c r="ET37" s="0" t="n">
        <v>0</v>
      </c>
      <c r="EV37" s="0" t="n">
        <v>0</v>
      </c>
      <c r="EX37" s="0" t="n">
        <v>1</v>
      </c>
      <c r="EY37" s="0" t="n">
        <v>0</v>
      </c>
      <c r="EZ37" s="0"/>
      <c r="FA37" s="4" t="n">
        <v>4887.44</v>
      </c>
      <c r="FB37" s="0" t="n">
        <v>0</v>
      </c>
      <c r="FF37" s="120" t="n">
        <f aca="false">(CJ37-CI37+1)/365</f>
        <v>0.142465753424658</v>
      </c>
      <c r="FG37" s="0" t="str">
        <f aca="false">CONCATENATE(F37,"/",G37)</f>
        <v>146/2011</v>
      </c>
      <c r="FH37" s="0" t="n">
        <v>0</v>
      </c>
      <c r="FI37" s="0" t="n">
        <v>0</v>
      </c>
    </row>
    <row r="38" customFormat="false" ht="15" hidden="false" customHeight="false" outlineLevel="0" collapsed="false">
      <c r="A38" s="5" t="str">
        <f aca="false">E38&amp;G38&amp;F38</f>
        <v>72011153</v>
      </c>
      <c r="B38" s="0" t="s">
        <v>203</v>
      </c>
      <c r="C38" s="1" t="n">
        <v>42405</v>
      </c>
      <c r="E38" s="0" t="n">
        <v>7</v>
      </c>
      <c r="F38" s="0" t="n">
        <v>153</v>
      </c>
      <c r="G38" s="0" t="n">
        <v>2011</v>
      </c>
      <c r="H38" s="0" t="str">
        <f aca="false">"J"&amp;E38&amp;"\"&amp;F38&amp;"\"&amp;G38&amp;"\"&amp;W38</f>
        <v>J7\153\2011\1</v>
      </c>
      <c r="I38" s="0"/>
      <c r="J38" s="1" t="n">
        <v>40567</v>
      </c>
      <c r="K38" s="0" t="n">
        <v>1</v>
      </c>
      <c r="L38" s="0" t="s">
        <v>582</v>
      </c>
      <c r="M38" s="1" t="n">
        <v>40567</v>
      </c>
      <c r="N38" s="1" t="n">
        <v>40634</v>
      </c>
      <c r="O38" s="1"/>
      <c r="P38" s="1"/>
      <c r="Q38" s="1"/>
      <c r="T38" s="121"/>
      <c r="U38" s="121"/>
      <c r="V38" s="122" t="n">
        <f aca="false">IF(AND(E38&gt;0,F38&gt;0,G38&gt;0),COUNTIFS($E:$E,E38,$F:$F,F38,$G:$G,G38),"")</f>
        <v>1</v>
      </c>
      <c r="W38" s="122" t="n">
        <f aca="false">IF(V38="","",IF(V38=1,1,IF(AND(E37=E38,F37=F38,G37=G38),W37+1,1)))</f>
        <v>1</v>
      </c>
      <c r="X38" s="0" t="n">
        <v>1</v>
      </c>
      <c r="Y38" s="0" t="n">
        <v>4</v>
      </c>
      <c r="Z38" s="0" t="s">
        <v>628</v>
      </c>
      <c r="AA38" s="0" t="n">
        <v>0</v>
      </c>
      <c r="AB38" s="0" t="s">
        <v>629</v>
      </c>
      <c r="AC38" s="0" t="s">
        <v>630</v>
      </c>
      <c r="AD38" s="0" t="s">
        <v>590</v>
      </c>
      <c r="AE38" s="0" t="n">
        <v>0</v>
      </c>
      <c r="AF38" s="0" t="s">
        <v>631</v>
      </c>
      <c r="AG38" s="0" t="n">
        <v>2</v>
      </c>
      <c r="AH38" s="0" t="s">
        <v>632</v>
      </c>
      <c r="AI38" s="0" t="s">
        <v>633</v>
      </c>
      <c r="AJ38" s="0" t="s">
        <v>411</v>
      </c>
      <c r="AL38" s="0" t="s">
        <v>634</v>
      </c>
      <c r="AM38" s="0" t="n">
        <v>1</v>
      </c>
      <c r="AN38" s="0" t="s">
        <v>632</v>
      </c>
      <c r="AO38" s="0" t="s">
        <v>633</v>
      </c>
      <c r="AP38" s="0" t="s">
        <v>411</v>
      </c>
      <c r="AR38" s="0" t="s">
        <v>635</v>
      </c>
      <c r="AS38" s="0" t="n">
        <v>1</v>
      </c>
      <c r="AT38" s="0" t="s">
        <v>632</v>
      </c>
      <c r="AU38" s="0" t="s">
        <v>633</v>
      </c>
      <c r="AV38" s="0" t="s">
        <v>411</v>
      </c>
      <c r="AX38" s="0" t="s">
        <v>213</v>
      </c>
      <c r="AY38" s="0" t="n">
        <v>1</v>
      </c>
      <c r="AZ38" s="0" t="s">
        <v>632</v>
      </c>
      <c r="BA38" s="0" t="s">
        <v>633</v>
      </c>
      <c r="BB38" s="0" t="s">
        <v>411</v>
      </c>
      <c r="BP38" s="0" t="n">
        <v>0</v>
      </c>
      <c r="BQ38" s="0" t="n">
        <v>0</v>
      </c>
      <c r="BR38" s="0" t="n">
        <v>1</v>
      </c>
      <c r="BS38" s="0" t="s">
        <v>636</v>
      </c>
      <c r="BT38" s="0" t="s">
        <v>637</v>
      </c>
      <c r="BU38" s="0" t="s">
        <v>638</v>
      </c>
      <c r="BV38" s="123"/>
      <c r="BW38" s="123"/>
      <c r="BX38" s="123"/>
      <c r="BY38" s="123"/>
      <c r="BZ38" s="0" t="n">
        <v>0</v>
      </c>
      <c r="CA38" s="0" t="s">
        <v>216</v>
      </c>
      <c r="CD38" s="0" t="s">
        <v>256</v>
      </c>
      <c r="CE38" s="0" t="n">
        <v>0</v>
      </c>
      <c r="CF38" s="0" t="s">
        <v>639</v>
      </c>
      <c r="CG38" s="0" t="s">
        <v>218</v>
      </c>
      <c r="CI38" s="1" t="n">
        <v>40361</v>
      </c>
      <c r="CJ38" s="1" t="n">
        <v>40557</v>
      </c>
      <c r="CK38" s="124" t="n">
        <v>0.333333333333333</v>
      </c>
      <c r="CL38" s="0" t="s">
        <v>635</v>
      </c>
      <c r="CM38" s="0" t="n">
        <f aca="false">IF(OR(CI38="",CJ38=""),"",DAYS360(CI38,CJ38)/360)</f>
        <v>0.533333333333333</v>
      </c>
      <c r="CN38" s="0" t="n">
        <f aca="false">IF(OR(CI38="",CJ38=""),"",DAYS360(CI38,CJ38)/30)</f>
        <v>6.4</v>
      </c>
      <c r="CO38" s="0" t="n">
        <f aca="false">IF(OR(CI38="",CJ38=""),"",DAYS360(CI38,CJ38)/7)</f>
        <v>27.4285714285714</v>
      </c>
      <c r="CP38" s="0" t="n">
        <f aca="false">IF(OR(CI38="",CJ38=""),"",DAYS360(CI38,CJ38))</f>
        <v>192</v>
      </c>
      <c r="CQ38" s="0" t="s">
        <v>220</v>
      </c>
      <c r="CR38" s="0" t="n">
        <v>1</v>
      </c>
      <c r="CT38" s="0" t="n">
        <v>171.33</v>
      </c>
      <c r="CU38" s="0" t="n">
        <v>0</v>
      </c>
      <c r="CV38" s="0" t="n">
        <f aca="false">IF(OR(CT38="",CT38="NO ESPECIFICA",CT38="NO MENCIONA"),"",IF(CU38=0,CT38,IF(CU38=1,CT38/30,IF(CU38=2,CT38/15,IF(CU38=3,CT38/7,"")))))</f>
        <v>171.33</v>
      </c>
      <c r="CW38" s="125" t="n">
        <v>200</v>
      </c>
      <c r="CX38" s="0" t="n">
        <v>0</v>
      </c>
      <c r="CY38" s="0" t="n">
        <f aca="false">IF(CW38="","",IF(CX38=0,CW38,IF(CX38=1,CW38/30,IF(CX38=2,CW38/15,IF(CX38=3,CW38/7,CW38)))))</f>
        <v>200</v>
      </c>
      <c r="CZ38" s="0" t="n">
        <f aca="false">IF(DI38&gt;0,DI38,IF(CY38&gt;0,CY38,IF(CV38&gt;0,CV38,"")))</f>
        <v>200</v>
      </c>
      <c r="DA38" s="0" t="n">
        <f aca="false">IF(DM38=1,CZ38/8,IF(OR(DM38=2,DM38=4),CZ38/7,IF(DM38=3,CZ38/7.5,"")))</f>
        <v>25</v>
      </c>
      <c r="DB38" s="0" t="s">
        <v>216</v>
      </c>
      <c r="DC38" s="0" t="s">
        <v>216</v>
      </c>
      <c r="DD38" s="0" t="s">
        <v>216</v>
      </c>
      <c r="DE38" s="0" t="s">
        <v>216</v>
      </c>
      <c r="DF38" s="0" t="s">
        <v>216</v>
      </c>
      <c r="DG38" s="0" t="s">
        <v>216</v>
      </c>
      <c r="DH38" s="0" t="n">
        <v>0</v>
      </c>
      <c r="DI38" s="126" t="n">
        <v>200</v>
      </c>
      <c r="DK38" s="0" t="n">
        <v>0</v>
      </c>
      <c r="DM38" s="0" t="n">
        <v>1</v>
      </c>
      <c r="DN38" s="0" t="n">
        <v>57.5</v>
      </c>
      <c r="DO38" s="0" t="n">
        <v>3</v>
      </c>
      <c r="DP38" s="0" t="n">
        <v>1</v>
      </c>
      <c r="DQ38" s="0" t="n">
        <v>1</v>
      </c>
      <c r="DR38" s="0"/>
      <c r="DS38" s="0" t="n">
        <v>1</v>
      </c>
      <c r="DU38" s="0" t="n">
        <v>1</v>
      </c>
      <c r="DW38" s="1" t="n">
        <v>40361</v>
      </c>
      <c r="DX38" s="1" t="n">
        <v>40557</v>
      </c>
      <c r="DZ38" s="0"/>
      <c r="EA38" s="0" t="n">
        <v>1</v>
      </c>
      <c r="EC38" s="1" t="n">
        <v>40361</v>
      </c>
      <c r="ED38" s="1" t="n">
        <v>40557</v>
      </c>
      <c r="EF38" s="0"/>
      <c r="EG38" s="0" t="n">
        <v>0</v>
      </c>
      <c r="EI38" s="0" t="n">
        <f aca="false">IF(AND(DM38=1,DN38&lt;=48),"",IF(AND(DM38=2,DN38&lt;=42),"",IF(AND(DM38=3,DN38&lt;=45),"",EH38)))</f>
        <v>0</v>
      </c>
      <c r="EJ38" s="0" t="str">
        <f aca="false">IF(EI38="","",IF(EI38&lt;9,EI38,9))</f>
        <v/>
      </c>
      <c r="EK38" s="0" t="str">
        <f aca="false">IF(EI38="","",IF(EI38&gt;9,EI38-EJ38,0))</f>
        <v/>
      </c>
      <c r="EL38" s="0" t="str">
        <f aca="false">IF(EI38="","",EJ38*DA38*2+EK38*DA38*3)</f>
        <v/>
      </c>
      <c r="EP38" s="0" t="n">
        <v>0</v>
      </c>
      <c r="EQ38" s="0"/>
      <c r="ER38" s="0" t="n">
        <v>0</v>
      </c>
      <c r="ET38" s="0" t="n">
        <v>0</v>
      </c>
      <c r="EV38" s="0" t="n">
        <v>0</v>
      </c>
      <c r="EX38" s="0" t="n">
        <v>1</v>
      </c>
      <c r="EY38" s="0" t="n">
        <v>0</v>
      </c>
      <c r="EZ38" s="0"/>
      <c r="FA38" s="4" t="n">
        <v>800</v>
      </c>
      <c r="FB38" s="0" t="n">
        <v>1</v>
      </c>
      <c r="FF38" s="120" t="n">
        <f aca="false">(CJ38-CI38+1)/365</f>
        <v>0.53972602739726</v>
      </c>
      <c r="FG38" s="0" t="str">
        <f aca="false">CONCATENATE(F38,"/",G38)</f>
        <v>153/2011</v>
      </c>
      <c r="FH38" s="0" t="n">
        <v>0</v>
      </c>
      <c r="FI38" s="0" t="n">
        <v>0</v>
      </c>
    </row>
    <row r="39" customFormat="false" ht="15" hidden="false" customHeight="false" outlineLevel="0" collapsed="false">
      <c r="A39" s="5" t="str">
        <f aca="false">E39&amp;G39&amp;F39</f>
        <v>72011161</v>
      </c>
      <c r="B39" s="0" t="s">
        <v>203</v>
      </c>
      <c r="C39" s="1" t="n">
        <v>42408</v>
      </c>
      <c r="E39" s="0" t="n">
        <v>7</v>
      </c>
      <c r="F39" s="0" t="n">
        <v>161</v>
      </c>
      <c r="G39" s="0" t="n">
        <v>2011</v>
      </c>
      <c r="H39" s="0" t="str">
        <f aca="false">"J"&amp;E39&amp;"\"&amp;F39&amp;"\"&amp;G39&amp;"\"&amp;W39</f>
        <v>J7\161\2011\1</v>
      </c>
      <c r="I39" s="0"/>
      <c r="J39" s="1" t="n">
        <v>40568</v>
      </c>
      <c r="K39" s="0" t="n">
        <v>0</v>
      </c>
      <c r="M39" s="1" t="n">
        <v>40568</v>
      </c>
      <c r="N39" s="1" t="n">
        <v>40638</v>
      </c>
      <c r="O39" s="1"/>
      <c r="P39" s="1"/>
      <c r="Q39" s="1"/>
      <c r="T39" s="121"/>
      <c r="U39" s="121"/>
      <c r="V39" s="122" t="n">
        <f aca="false">IF(AND(E39&gt;0,F39&gt;0,G39&gt;0),COUNTIFS($E:$E,E39,$F:$F,F39,$G:$G,G39),"")</f>
        <v>1</v>
      </c>
      <c r="W39" s="122" t="n">
        <f aca="false">IF(V39="","",IF(V39=1,1,IF(AND(E38=E39,F38=F39,G38=G39),W38+1,1)))</f>
        <v>1</v>
      </c>
      <c r="X39" s="0" t="n">
        <v>1</v>
      </c>
      <c r="Y39" s="0" t="n">
        <v>3</v>
      </c>
      <c r="Z39" s="0" t="s">
        <v>640</v>
      </c>
      <c r="AA39" s="0" t="n">
        <v>0</v>
      </c>
      <c r="AB39" s="0" t="s">
        <v>273</v>
      </c>
      <c r="AC39" s="0" t="s">
        <v>274</v>
      </c>
      <c r="AD39" s="0" t="s">
        <v>216</v>
      </c>
      <c r="AE39" s="0" t="n">
        <v>0</v>
      </c>
      <c r="AF39" s="0" t="s">
        <v>641</v>
      </c>
      <c r="AG39" s="0" t="n">
        <v>0</v>
      </c>
      <c r="AH39" s="0" t="s">
        <v>642</v>
      </c>
      <c r="AI39" s="0" t="s">
        <v>643</v>
      </c>
      <c r="AJ39" s="0" t="s">
        <v>207</v>
      </c>
      <c r="AL39" s="0" t="s">
        <v>644</v>
      </c>
      <c r="AM39" s="0" t="n">
        <v>1</v>
      </c>
      <c r="AN39" s="0" t="s">
        <v>642</v>
      </c>
      <c r="AO39" s="0" t="s">
        <v>643</v>
      </c>
      <c r="AP39" s="0" t="s">
        <v>207</v>
      </c>
      <c r="AR39" s="0" t="s">
        <v>213</v>
      </c>
      <c r="AS39" s="0" t="n">
        <v>1</v>
      </c>
      <c r="AT39" s="0" t="s">
        <v>642</v>
      </c>
      <c r="AU39" s="0" t="s">
        <v>643</v>
      </c>
      <c r="AV39" s="0" t="s">
        <v>207</v>
      </c>
      <c r="BP39" s="0" t="n">
        <v>0</v>
      </c>
      <c r="BQ39" s="0" t="n">
        <v>0</v>
      </c>
      <c r="BR39" s="0" t="n">
        <v>1</v>
      </c>
      <c r="BS39" s="0" t="s">
        <v>279</v>
      </c>
      <c r="BT39" s="0" t="s">
        <v>280</v>
      </c>
      <c r="BU39" s="0" t="s">
        <v>281</v>
      </c>
      <c r="BV39" s="123"/>
      <c r="BW39" s="123"/>
      <c r="BX39" s="123"/>
      <c r="BY39" s="123"/>
      <c r="BZ39" s="0" t="n">
        <v>0</v>
      </c>
      <c r="CA39" s="0" t="s">
        <v>282</v>
      </c>
      <c r="CD39" s="0" t="s">
        <v>357</v>
      </c>
      <c r="CE39" s="0" t="n">
        <v>0</v>
      </c>
      <c r="CF39" s="0" t="s">
        <v>645</v>
      </c>
      <c r="CG39" s="0" t="s">
        <v>218</v>
      </c>
      <c r="CI39" s="1" t="n">
        <v>40456</v>
      </c>
      <c r="CJ39" s="1" t="n">
        <v>40562</v>
      </c>
      <c r="CK39" s="124" t="n">
        <v>0.625</v>
      </c>
      <c r="CL39" s="0" t="s">
        <v>646</v>
      </c>
      <c r="CM39" s="0" t="n">
        <f aca="false">IF(OR(CI39="",CJ39=""),"",DAYS360(CI39,CJ39)/360)</f>
        <v>0.288888888888889</v>
      </c>
      <c r="CN39" s="0" t="n">
        <f aca="false">IF(OR(CI39="",CJ39=""),"",DAYS360(CI39,CJ39)/30)</f>
        <v>3.46666666666667</v>
      </c>
      <c r="CO39" s="0" t="n">
        <f aca="false">IF(OR(CI39="",CJ39=""),"",DAYS360(CI39,CJ39)/7)</f>
        <v>14.8571428571429</v>
      </c>
      <c r="CP39" s="0" t="n">
        <f aca="false">IF(OR(CI39="",CJ39=""),"",DAYS360(CI39,CJ39))</f>
        <v>104</v>
      </c>
      <c r="CQ39" s="0" t="s">
        <v>240</v>
      </c>
      <c r="CR39" s="0" t="n">
        <v>1</v>
      </c>
      <c r="CT39" s="0" t="s">
        <v>221</v>
      </c>
      <c r="CU39" s="0" t="s">
        <v>221</v>
      </c>
      <c r="CV39" s="0" t="str">
        <f aca="false">IF(OR(CT39="",CT39="NO ESPECIFICA",CT39="NO MENCIONA"),"",IF(CU39=0,CT39,IF(CU39=1,CT39/30,IF(CU39=2,CT39/15,IF(CU39=3,CT39/7,"")))))</f>
        <v/>
      </c>
      <c r="CW39" s="125" t="n">
        <v>3000</v>
      </c>
      <c r="CX39" s="0" t="n">
        <v>2</v>
      </c>
      <c r="CY39" s="0" t="n">
        <f aca="false">IF(CW39="","",IF(CX39=0,CW39,IF(CX39=1,CW39/30,IF(CX39=2,CW39/15,IF(CX39=3,CW39/7,CW39)))))</f>
        <v>200</v>
      </c>
      <c r="CZ39" s="0" t="n">
        <f aca="false">IF(DI39&gt;0,DI39,IF(CY39&gt;0,CY39,IF(CV39&gt;0,CV39,"")))</f>
        <v>200</v>
      </c>
      <c r="DA39" s="0" t="n">
        <f aca="false">IF(DM39=1,CZ39/8,IF(OR(DM39=2,DM39=4),CZ39/7,IF(DM39=3,CZ39/7.5,"")))</f>
        <v>25</v>
      </c>
      <c r="DB39" s="0" t="s">
        <v>216</v>
      </c>
      <c r="DC39" s="0" t="s">
        <v>216</v>
      </c>
      <c r="DD39" s="0" t="s">
        <v>216</v>
      </c>
      <c r="DE39" s="0" t="s">
        <v>216</v>
      </c>
      <c r="DF39" s="0" t="s">
        <v>216</v>
      </c>
      <c r="DG39" s="0" t="s">
        <v>216</v>
      </c>
      <c r="DH39" s="0" t="n">
        <v>0</v>
      </c>
      <c r="DI39" s="126" t="n">
        <v>200</v>
      </c>
      <c r="DK39" s="0" t="n">
        <v>0</v>
      </c>
      <c r="DM39" s="0" t="n">
        <v>1</v>
      </c>
      <c r="DN39" s="0" t="n">
        <v>63</v>
      </c>
      <c r="DO39" s="0" t="n">
        <v>3</v>
      </c>
      <c r="DP39" s="0" t="n">
        <v>0</v>
      </c>
      <c r="DQ39" s="0" t="n">
        <v>1</v>
      </c>
      <c r="DR39" s="0"/>
      <c r="DS39" s="0" t="n">
        <v>1</v>
      </c>
      <c r="DU39" s="0" t="n">
        <v>1</v>
      </c>
      <c r="DW39" s="1" t="n">
        <v>40456</v>
      </c>
      <c r="DX39" s="1" t="n">
        <v>40562</v>
      </c>
      <c r="DZ39" s="0"/>
      <c r="EA39" s="0" t="n">
        <v>1</v>
      </c>
      <c r="EC39" s="1" t="n">
        <v>40456</v>
      </c>
      <c r="ED39" s="1" t="n">
        <v>40562</v>
      </c>
      <c r="EF39" s="0"/>
      <c r="EG39" s="0" t="n">
        <v>1</v>
      </c>
      <c r="EH39" s="0" t="n">
        <v>7</v>
      </c>
      <c r="EI39" s="0" t="n">
        <f aca="false">IF(AND(DM39=1,DN39&lt;=48),"",IF(AND(DM39=2,DN39&lt;=42),"",IF(AND(DM39=3,DN39&lt;=45),"",EH39)))</f>
        <v>7</v>
      </c>
      <c r="EJ39" s="0" t="n">
        <f aca="false">IF(EI39="","",IF(EI39&lt;9,EI39,9))</f>
        <v>7</v>
      </c>
      <c r="EK39" s="0" t="n">
        <f aca="false">IF(EI39="","",IF(EI39&gt;9,EI39-EJ39,0))</f>
        <v>0</v>
      </c>
      <c r="EL39" s="0" t="n">
        <f aca="false">IF(EI39="","",EJ39*DA39*2+EK39*DA39*3)</f>
        <v>350</v>
      </c>
      <c r="EP39" s="0" t="n">
        <v>0</v>
      </c>
      <c r="EQ39" s="0"/>
      <c r="ER39" s="0" t="n">
        <v>0</v>
      </c>
      <c r="ET39" s="0" t="n">
        <v>0</v>
      </c>
      <c r="EV39" s="0" t="n">
        <v>0</v>
      </c>
      <c r="EX39" s="0" t="n">
        <v>0</v>
      </c>
      <c r="EY39" s="0" t="n">
        <v>0</v>
      </c>
      <c r="EZ39" s="0"/>
      <c r="FA39" s="4" t="n">
        <v>15800</v>
      </c>
      <c r="FB39" s="0" t="n">
        <v>1</v>
      </c>
      <c r="FF39" s="120" t="n">
        <f aca="false">(CJ39-CI39+1)/365</f>
        <v>0.293150684931507</v>
      </c>
      <c r="FG39" s="0" t="str">
        <f aca="false">CONCATENATE(F39,"/",G39)</f>
        <v>161/2011</v>
      </c>
      <c r="FH39" s="0" t="n">
        <v>0</v>
      </c>
      <c r="FI39" s="0" t="n">
        <v>0</v>
      </c>
    </row>
    <row r="40" customFormat="false" ht="15" hidden="false" customHeight="false" outlineLevel="0" collapsed="false">
      <c r="A40" s="5" t="str">
        <f aca="false">E40&amp;G40&amp;F40</f>
        <v>72011162</v>
      </c>
      <c r="B40" s="0" t="s">
        <v>203</v>
      </c>
      <c r="C40" s="1" t="n">
        <v>42408</v>
      </c>
      <c r="E40" s="0" t="n">
        <v>7</v>
      </c>
      <c r="F40" s="0" t="n">
        <v>162</v>
      </c>
      <c r="G40" s="0" t="n">
        <v>2011</v>
      </c>
      <c r="H40" s="0" t="str">
        <f aca="false">"J"&amp;E40&amp;"\"&amp;F40&amp;"\"&amp;G40&amp;"\"&amp;W40</f>
        <v>J7\162\2011\1</v>
      </c>
      <c r="I40" s="0"/>
      <c r="J40" s="1" t="n">
        <v>40568</v>
      </c>
      <c r="K40" s="0" t="n">
        <v>0</v>
      </c>
      <c r="M40" s="1" t="n">
        <v>40568</v>
      </c>
      <c r="N40" s="1" t="n">
        <v>40638</v>
      </c>
      <c r="O40" s="1"/>
      <c r="P40" s="1"/>
      <c r="Q40" s="1"/>
      <c r="T40" s="121"/>
      <c r="U40" s="121"/>
      <c r="V40" s="122" t="n">
        <f aca="false">IF(AND(E40&gt;0,F40&gt;0,G40&gt;0),COUNTIFS($E:$E,E40,$F:$F,F40,$G:$G,G40),"")</f>
        <v>1</v>
      </c>
      <c r="W40" s="122" t="n">
        <f aca="false">IF(V40="","",IF(V40=1,1,IF(AND(E39=E40,F39=F40,G39=G40),W39+1,1)))</f>
        <v>1</v>
      </c>
      <c r="X40" s="0" t="n">
        <v>1</v>
      </c>
      <c r="Y40" s="0" t="n">
        <v>3</v>
      </c>
      <c r="Z40" s="0" t="s">
        <v>647</v>
      </c>
      <c r="AA40" s="0" t="n">
        <v>0</v>
      </c>
      <c r="AB40" s="0" t="s">
        <v>348</v>
      </c>
      <c r="AC40" s="0" t="s">
        <v>216</v>
      </c>
      <c r="AD40" s="0" t="s">
        <v>216</v>
      </c>
      <c r="AE40" s="0" t="n">
        <v>0</v>
      </c>
      <c r="AF40" s="0" t="s">
        <v>648</v>
      </c>
      <c r="AG40" s="0" t="n">
        <v>0</v>
      </c>
      <c r="AH40" s="0" t="s">
        <v>649</v>
      </c>
      <c r="AI40" s="0" t="s">
        <v>321</v>
      </c>
      <c r="AJ40" s="0" t="s">
        <v>229</v>
      </c>
      <c r="AL40" s="0" t="s">
        <v>650</v>
      </c>
      <c r="AM40" s="0" t="n">
        <v>1</v>
      </c>
      <c r="AN40" s="0" t="s">
        <v>649</v>
      </c>
      <c r="AO40" s="0" t="s">
        <v>321</v>
      </c>
      <c r="AP40" s="0" t="s">
        <v>229</v>
      </c>
      <c r="AR40" s="0" t="s">
        <v>213</v>
      </c>
      <c r="AS40" s="0" t="n">
        <v>1</v>
      </c>
      <c r="AT40" s="0" t="s">
        <v>649</v>
      </c>
      <c r="AU40" s="0" t="s">
        <v>321</v>
      </c>
      <c r="AV40" s="0" t="s">
        <v>229</v>
      </c>
      <c r="BP40" s="0" t="n">
        <v>0</v>
      </c>
      <c r="BQ40" s="0" t="n">
        <v>0</v>
      </c>
      <c r="BR40" s="0" t="n">
        <v>3</v>
      </c>
      <c r="BS40" s="0" t="s">
        <v>651</v>
      </c>
      <c r="BT40" s="0" t="s">
        <v>500</v>
      </c>
      <c r="BU40" s="0" t="s">
        <v>501</v>
      </c>
      <c r="BV40" s="123"/>
      <c r="BW40" s="123"/>
      <c r="BX40" s="123"/>
      <c r="BY40" s="123"/>
      <c r="BZ40" s="0" t="n">
        <v>0</v>
      </c>
      <c r="CA40" s="0" t="s">
        <v>348</v>
      </c>
      <c r="CD40" s="0" t="s">
        <v>296</v>
      </c>
      <c r="CE40" s="0" t="n">
        <v>0</v>
      </c>
      <c r="CF40" s="0" t="s">
        <v>652</v>
      </c>
      <c r="CG40" s="0" t="s">
        <v>218</v>
      </c>
      <c r="CI40" s="1" t="n">
        <v>40252</v>
      </c>
      <c r="CJ40" s="1" t="n">
        <v>40507</v>
      </c>
      <c r="CK40" s="124" t="n">
        <v>0.166666666666667</v>
      </c>
      <c r="CL40" s="0" t="s">
        <v>650</v>
      </c>
      <c r="CM40" s="0" t="n">
        <f aca="false">IF(OR(CI40="",CJ40=""),"",DAYS360(CI40,CJ40)/360)</f>
        <v>0.694444444444444</v>
      </c>
      <c r="CN40" s="0" t="n">
        <f aca="false">IF(OR(CI40="",CJ40=""),"",DAYS360(CI40,CJ40)/30)</f>
        <v>8.33333333333333</v>
      </c>
      <c r="CO40" s="0" t="n">
        <f aca="false">IF(OR(CI40="",CJ40=""),"",DAYS360(CI40,CJ40)/7)</f>
        <v>35.7142857142857</v>
      </c>
      <c r="CP40" s="0" t="n">
        <f aca="false">IF(OR(CI40="",CJ40=""),"",DAYS360(CI40,CJ40))</f>
        <v>250</v>
      </c>
      <c r="CQ40" s="0" t="s">
        <v>240</v>
      </c>
      <c r="CR40" s="0" t="n">
        <v>1</v>
      </c>
      <c r="CT40" s="0" t="n">
        <v>59.82</v>
      </c>
      <c r="CU40" s="0" t="n">
        <v>0</v>
      </c>
      <c r="CV40" s="0" t="n">
        <f aca="false">IF(OR(CT40="",CT40="NO ESPECIFICA",CT40="NO MENCIONA"),"",IF(CU40=0,CT40,IF(CU40=1,CT40/30,IF(CU40=2,CT40/15,IF(CU40=3,CT40/7,"")))))</f>
        <v>59.82</v>
      </c>
      <c r="CW40" s="125" t="n">
        <v>62.52</v>
      </c>
      <c r="CX40" s="0" t="n">
        <v>0</v>
      </c>
      <c r="CY40" s="0" t="n">
        <f aca="false">IF(CW40="","",IF(CX40=0,CW40,IF(CX40=1,CW40/30,IF(CX40=2,CW40/15,IF(CX40=3,CW40/7,CW40)))))</f>
        <v>62.52</v>
      </c>
      <c r="CZ40" s="0" t="n">
        <f aca="false">IF(DI40&gt;0,DI40,IF(CY40&gt;0,CY40,IF(CV40&gt;0,CV40,"")))</f>
        <v>62.52</v>
      </c>
      <c r="DA40" s="0" t="n">
        <f aca="false">IF(DM40=1,CZ40/8,IF(OR(DM40=2,DM40=4),CZ40/7,IF(DM40=3,CZ40/7.5,"")))</f>
        <v>8.93142857142857</v>
      </c>
      <c r="DB40" s="0" t="s">
        <v>303</v>
      </c>
      <c r="DC40" s="0" t="s">
        <v>301</v>
      </c>
      <c r="DD40" s="0" t="s">
        <v>216</v>
      </c>
      <c r="DE40" s="0" t="s">
        <v>216</v>
      </c>
      <c r="DF40" s="0" t="s">
        <v>216</v>
      </c>
      <c r="DG40" s="0" t="s">
        <v>216</v>
      </c>
      <c r="DH40" s="0" t="n">
        <v>0</v>
      </c>
      <c r="DI40" s="126" t="n">
        <v>62.52</v>
      </c>
      <c r="DK40" s="0" t="n">
        <v>0</v>
      </c>
      <c r="DM40" s="0" t="n">
        <v>2</v>
      </c>
      <c r="DN40" s="0" t="n">
        <v>60</v>
      </c>
      <c r="DO40" s="0" t="n">
        <v>3</v>
      </c>
      <c r="DP40" s="0" t="n">
        <v>0</v>
      </c>
      <c r="DQ40" s="0" t="n">
        <v>1</v>
      </c>
      <c r="DR40" s="0"/>
      <c r="DS40" s="0" t="n">
        <v>1</v>
      </c>
      <c r="DU40" s="0" t="n">
        <v>1</v>
      </c>
      <c r="DW40" s="1" t="n">
        <v>40252</v>
      </c>
      <c r="DX40" s="1" t="n">
        <v>40507</v>
      </c>
      <c r="DZ40" s="0"/>
      <c r="EA40" s="0" t="n">
        <v>1</v>
      </c>
      <c r="EC40" s="1" t="n">
        <v>40252</v>
      </c>
      <c r="ED40" s="1" t="n">
        <v>40507</v>
      </c>
      <c r="EF40" s="0"/>
      <c r="EG40" s="0" t="n">
        <v>0</v>
      </c>
      <c r="EI40" s="0" t="n">
        <f aca="false">IF(AND(DM40=1,DN40&lt;=48),"",IF(AND(DM40=2,DN40&lt;=42),"",IF(AND(DM40=3,DN40&lt;=45),"",EH40)))</f>
        <v>0</v>
      </c>
      <c r="EJ40" s="0" t="str">
        <f aca="false">IF(EI40="","",IF(EI40&lt;9,EI40,9))</f>
        <v/>
      </c>
      <c r="EK40" s="0" t="str">
        <f aca="false">IF(EI40="","",IF(EI40&gt;9,EI40-EJ40,0))</f>
        <v/>
      </c>
      <c r="EL40" s="0" t="str">
        <f aca="false">IF(EI40="","",EJ40*DA40*2+EK40*DA40*3)</f>
        <v/>
      </c>
      <c r="EP40" s="0" t="n">
        <v>0</v>
      </c>
      <c r="EQ40" s="0"/>
      <c r="ER40" s="0" t="n">
        <v>0</v>
      </c>
      <c r="ET40" s="0" t="n">
        <v>0</v>
      </c>
      <c r="EV40" s="0" t="n">
        <v>0</v>
      </c>
      <c r="EX40" s="0" t="n">
        <v>0</v>
      </c>
      <c r="EY40" s="0" t="n">
        <v>0</v>
      </c>
      <c r="EZ40" s="0"/>
      <c r="FA40" s="0"/>
      <c r="FB40" s="0" t="n">
        <v>1</v>
      </c>
      <c r="FF40" s="120" t="n">
        <f aca="false">(CJ40-CI40+1)/365</f>
        <v>0.701369863013699</v>
      </c>
      <c r="FG40" s="0" t="str">
        <f aca="false">CONCATENATE(F40,"/",G40)</f>
        <v>162/2011</v>
      </c>
      <c r="FH40" s="0" t="n">
        <v>0</v>
      </c>
      <c r="FI40" s="0" t="n">
        <v>0</v>
      </c>
    </row>
    <row r="41" customFormat="false" ht="15" hidden="false" customHeight="false" outlineLevel="0" collapsed="false">
      <c r="A41" s="5" t="str">
        <f aca="false">E41&amp;G41&amp;F41</f>
        <v>72011172</v>
      </c>
      <c r="B41" s="0" t="s">
        <v>203</v>
      </c>
      <c r="C41" s="1" t="n">
        <v>42405</v>
      </c>
      <c r="E41" s="0" t="n">
        <v>7</v>
      </c>
      <c r="F41" s="0" t="n">
        <v>172</v>
      </c>
      <c r="G41" s="0" t="n">
        <v>2011</v>
      </c>
      <c r="H41" s="0" t="str">
        <f aca="false">"J"&amp;E41&amp;"\"&amp;F41&amp;"\"&amp;G41&amp;"\"&amp;W41</f>
        <v>J7\172\2011\1</v>
      </c>
      <c r="I41" s="0"/>
      <c r="J41" s="1" t="n">
        <v>40567</v>
      </c>
      <c r="K41" s="0" t="n">
        <v>0</v>
      </c>
      <c r="M41" s="1" t="n">
        <v>40567</v>
      </c>
      <c r="N41" s="1" t="n">
        <v>40984</v>
      </c>
      <c r="O41" s="1"/>
      <c r="P41" s="1"/>
      <c r="Q41" s="1"/>
      <c r="T41" s="121"/>
      <c r="U41" s="121"/>
      <c r="V41" s="122" t="n">
        <f aca="false">IF(AND(E41&gt;0,F41&gt;0,G41&gt;0),COUNTIFS($E:$E,E41,$F:$F,F41,$G:$G,G41),"")</f>
        <v>1</v>
      </c>
      <c r="W41" s="122" t="n">
        <f aca="false">IF(V41="","",IF(V41=1,1,IF(AND(E40=E41,F40=F41,G40=G41),W40+1,1)))</f>
        <v>1</v>
      </c>
      <c r="X41" s="0" t="n">
        <v>1</v>
      </c>
      <c r="Y41" s="0" t="n">
        <v>2</v>
      </c>
      <c r="Z41" s="0" t="s">
        <v>653</v>
      </c>
      <c r="AA41" s="0" t="n">
        <v>0</v>
      </c>
      <c r="AB41" s="0" t="s">
        <v>654</v>
      </c>
      <c r="AC41" s="0" t="s">
        <v>655</v>
      </c>
      <c r="AD41" s="0" t="s">
        <v>211</v>
      </c>
      <c r="AE41" s="0" t="n">
        <v>0</v>
      </c>
      <c r="AF41" s="0" t="s">
        <v>656</v>
      </c>
      <c r="AG41" s="0" t="n">
        <v>1</v>
      </c>
      <c r="AH41" s="0" t="s">
        <v>657</v>
      </c>
      <c r="AI41" s="0" t="s">
        <v>658</v>
      </c>
      <c r="AJ41" s="0" t="s">
        <v>659</v>
      </c>
      <c r="AL41" s="0" t="s">
        <v>660</v>
      </c>
      <c r="AM41" s="0" t="n">
        <v>0</v>
      </c>
      <c r="AN41" s="0" t="s">
        <v>657</v>
      </c>
      <c r="AO41" s="0" t="s">
        <v>658</v>
      </c>
      <c r="AP41" s="0" t="s">
        <v>659</v>
      </c>
      <c r="BP41" s="0" t="n">
        <v>0</v>
      </c>
      <c r="BQ41" s="0" t="n">
        <v>0</v>
      </c>
      <c r="BR41" s="0" t="n">
        <v>1</v>
      </c>
      <c r="BS41" s="0" t="s">
        <v>661</v>
      </c>
      <c r="BT41" s="0" t="s">
        <v>662</v>
      </c>
      <c r="BU41" s="0" t="s">
        <v>663</v>
      </c>
      <c r="BV41" s="123"/>
      <c r="BW41" s="123"/>
      <c r="BX41" s="123"/>
      <c r="BY41" s="123"/>
      <c r="BZ41" s="0" t="n">
        <v>0</v>
      </c>
      <c r="CA41" s="0" t="s">
        <v>216</v>
      </c>
      <c r="CD41" s="0" t="s">
        <v>216</v>
      </c>
      <c r="CE41" s="0" t="n">
        <v>0</v>
      </c>
      <c r="CF41" s="0" t="s">
        <v>664</v>
      </c>
      <c r="CG41" s="0" t="s">
        <v>218</v>
      </c>
      <c r="CI41" s="1" t="n">
        <v>37756</v>
      </c>
      <c r="CJ41" s="1" t="n">
        <v>40876</v>
      </c>
      <c r="CK41" s="124" t="n">
        <v>0.375</v>
      </c>
      <c r="CL41" s="0" t="s">
        <v>656</v>
      </c>
      <c r="CM41" s="0" t="n">
        <f aca="false">IF(OR(CI41="",CJ41=""),"",DAYS360(CI41,CJ41)/360)</f>
        <v>8.53888888888889</v>
      </c>
      <c r="CN41" s="0" t="n">
        <f aca="false">IF(OR(CI41="",CJ41=""),"",DAYS360(CI41,CJ41)/30)</f>
        <v>102.466666666667</v>
      </c>
      <c r="CO41" s="0" t="n">
        <f aca="false">IF(OR(CI41="",CJ41=""),"",DAYS360(CI41,CJ41)/7)</f>
        <v>439.142857142857</v>
      </c>
      <c r="CP41" s="0" t="n">
        <f aca="false">IF(OR(CI41="",CJ41=""),"",DAYS360(CI41,CJ41))</f>
        <v>3074</v>
      </c>
      <c r="CQ41" s="0" t="s">
        <v>240</v>
      </c>
      <c r="CR41" s="0" t="n">
        <v>1</v>
      </c>
      <c r="CT41" s="0" t="n">
        <v>466.66</v>
      </c>
      <c r="CU41" s="0" t="n">
        <v>0</v>
      </c>
      <c r="CV41" s="0" t="n">
        <f aca="false">IF(OR(CT41="",CT41="NO ESPECIFICA",CT41="NO MENCIONA"),"",IF(CU41=0,CT41,IF(CU41=1,CT41/30,IF(CU41=2,CT41/15,IF(CU41=3,CT41/7,"")))))</f>
        <v>466.66</v>
      </c>
      <c r="CW41" s="125" t="n">
        <v>501.17</v>
      </c>
      <c r="CX41" s="0" t="n">
        <v>2</v>
      </c>
      <c r="CY41" s="0" t="n">
        <f aca="false">IF(CW41="","",IF(CX41=0,CW41,IF(CX41=1,CW41/30,IF(CX41=2,CW41/15,IF(CX41=3,CW41/7,CW41)))))</f>
        <v>33.4113333333333</v>
      </c>
      <c r="CZ41" s="0" t="n">
        <f aca="false">IF(DI41&gt;0,DI41,IF(CY41&gt;0,CY41,IF(CV41&gt;0,CV41,"")))</f>
        <v>501.17</v>
      </c>
      <c r="DA41" s="0" t="n">
        <f aca="false">IF(DM41=1,CZ41/8,IF(OR(DM41=2,DM41=4),CZ41/7,IF(DM41=3,CZ41/7.5,"")))</f>
        <v>62.64625</v>
      </c>
      <c r="DB41" s="0" t="s">
        <v>301</v>
      </c>
      <c r="DC41" s="0" t="s">
        <v>303</v>
      </c>
      <c r="DD41" s="0" t="s">
        <v>216</v>
      </c>
      <c r="DE41" s="0" t="s">
        <v>216</v>
      </c>
      <c r="DF41" s="0" t="s">
        <v>216</v>
      </c>
      <c r="DG41" s="0" t="s">
        <v>216</v>
      </c>
      <c r="DH41" s="0" t="n">
        <v>0</v>
      </c>
      <c r="DI41" s="126" t="n">
        <v>501.17</v>
      </c>
      <c r="DK41" s="0" t="n">
        <v>1</v>
      </c>
      <c r="DM41" s="0" t="n">
        <v>1</v>
      </c>
      <c r="DN41" s="0" t="n">
        <v>45</v>
      </c>
      <c r="DO41" s="0" t="n">
        <v>3</v>
      </c>
      <c r="DP41" s="0" t="n">
        <v>0</v>
      </c>
      <c r="DQ41" s="0" t="n">
        <v>1</v>
      </c>
      <c r="DR41" s="0" t="n">
        <v>45105.3</v>
      </c>
      <c r="DS41" s="0" t="n">
        <v>1</v>
      </c>
      <c r="DU41" s="0" t="n">
        <v>1</v>
      </c>
      <c r="DW41" s="1" t="n">
        <v>40313</v>
      </c>
      <c r="DX41" s="1" t="n">
        <v>40876</v>
      </c>
      <c r="DZ41" s="0"/>
      <c r="EA41" s="0" t="n">
        <v>1</v>
      </c>
      <c r="EC41" s="1" t="n">
        <v>40544</v>
      </c>
      <c r="ED41" s="1" t="n">
        <v>40876</v>
      </c>
      <c r="EF41" s="0"/>
      <c r="EG41" s="0" t="n">
        <v>0</v>
      </c>
      <c r="EI41" s="0" t="str">
        <f aca="false">IF(AND(DM41=1,DN41&lt;=48),"",IF(AND(DM41=2,DN41&lt;=42),"",IF(AND(DM41=3,DN41&lt;=45),"",EH41)))</f>
        <v/>
      </c>
      <c r="EJ41" s="0" t="str">
        <f aca="false">IF(EI41="","",IF(EI41&lt;9,EI41,9))</f>
        <v/>
      </c>
      <c r="EK41" s="0" t="str">
        <f aca="false">IF(EI41="","",IF(EI41&gt;9,EI41-EJ41,0))</f>
        <v/>
      </c>
      <c r="EL41" s="0" t="str">
        <f aca="false">IF(EI41="","",EJ41*DA41*2+EK41*DA41*3)</f>
        <v/>
      </c>
      <c r="EP41" s="0" t="n">
        <v>0</v>
      </c>
      <c r="EQ41" s="0"/>
      <c r="ER41" s="0" t="n">
        <v>0</v>
      </c>
      <c r="ET41" s="0" t="n">
        <v>0</v>
      </c>
      <c r="EV41" s="0" t="n">
        <v>0</v>
      </c>
      <c r="EX41" s="0" t="n">
        <v>0</v>
      </c>
      <c r="EY41" s="0" t="n">
        <v>0</v>
      </c>
      <c r="EZ41" s="0"/>
      <c r="FA41" s="4" t="n">
        <v>14032.76</v>
      </c>
      <c r="FB41" s="0" t="n">
        <v>1</v>
      </c>
      <c r="FF41" s="120" t="n">
        <f aca="false">(CJ41-CI41+1)/365</f>
        <v>8.55068493150685</v>
      </c>
      <c r="FG41" s="0" t="str">
        <f aca="false">CONCATENATE(F41,"/",G41)</f>
        <v>172/2011</v>
      </c>
      <c r="FH41" s="0" t="n">
        <v>0</v>
      </c>
      <c r="FI41" s="0" t="n">
        <v>0</v>
      </c>
    </row>
    <row r="42" customFormat="false" ht="15" hidden="false" customHeight="false" outlineLevel="0" collapsed="false">
      <c r="A42" s="5" t="str">
        <f aca="false">E42&amp;G42&amp;F42</f>
        <v>72011173</v>
      </c>
      <c r="B42" s="0" t="s">
        <v>203</v>
      </c>
      <c r="C42" s="1" t="n">
        <v>42408</v>
      </c>
      <c r="E42" s="0" t="n">
        <v>7</v>
      </c>
      <c r="F42" s="0" t="n">
        <v>173</v>
      </c>
      <c r="G42" s="0" t="n">
        <v>2011</v>
      </c>
      <c r="H42" s="0" t="str">
        <f aca="false">"J"&amp;E42&amp;"\"&amp;F42&amp;"\"&amp;G42&amp;"\"&amp;W42</f>
        <v>J7\173\2011\1</v>
      </c>
      <c r="I42" s="0"/>
      <c r="J42" s="1" t="n">
        <v>40569</v>
      </c>
      <c r="K42" s="0" t="n">
        <v>0</v>
      </c>
      <c r="M42" s="1" t="n">
        <v>40569</v>
      </c>
      <c r="N42" s="1" t="n">
        <v>40640</v>
      </c>
      <c r="O42" s="1"/>
      <c r="P42" s="1"/>
      <c r="Q42" s="1"/>
      <c r="T42" s="121"/>
      <c r="U42" s="121"/>
      <c r="V42" s="122" t="n">
        <f aca="false">IF(AND(E42&gt;0,F42&gt;0,G42&gt;0),COUNTIFS($E:$E,E42,$F:$F,F42,$G:$G,G42),"")</f>
        <v>1</v>
      </c>
      <c r="W42" s="122" t="n">
        <f aca="false">IF(V42="","",IF(V42=1,1,IF(AND(E41=E42,F41=F42,G41=G42),W41+1,1)))</f>
        <v>1</v>
      </c>
      <c r="X42" s="0" t="n">
        <v>1</v>
      </c>
      <c r="Y42" s="0" t="n">
        <v>3</v>
      </c>
      <c r="Z42" s="0" t="s">
        <v>665</v>
      </c>
      <c r="AA42" s="0" t="n">
        <v>0</v>
      </c>
      <c r="AB42" s="0" t="s">
        <v>666</v>
      </c>
      <c r="AC42" s="0" t="s">
        <v>667</v>
      </c>
      <c r="AD42" s="0" t="s">
        <v>485</v>
      </c>
      <c r="AE42" s="0" t="n">
        <v>0</v>
      </c>
      <c r="AF42" s="0" t="s">
        <v>668</v>
      </c>
      <c r="AG42" s="0" t="n">
        <v>0</v>
      </c>
      <c r="AH42" s="0" t="s">
        <v>669</v>
      </c>
      <c r="AI42" s="0" t="s">
        <v>287</v>
      </c>
      <c r="AJ42" s="0" t="s">
        <v>207</v>
      </c>
      <c r="AL42" s="0" t="s">
        <v>213</v>
      </c>
      <c r="AM42" s="0" t="n">
        <v>1</v>
      </c>
      <c r="AN42" s="0" t="s">
        <v>669</v>
      </c>
      <c r="AO42" s="0" t="s">
        <v>287</v>
      </c>
      <c r="AP42" s="0" t="s">
        <v>207</v>
      </c>
      <c r="AR42" s="0" t="s">
        <v>670</v>
      </c>
      <c r="AS42" s="0" t="n">
        <v>0</v>
      </c>
      <c r="AT42" s="0" t="s">
        <v>671</v>
      </c>
      <c r="AU42" s="0" t="s">
        <v>672</v>
      </c>
      <c r="AV42" s="0" t="s">
        <v>352</v>
      </c>
      <c r="BP42" s="0" t="n">
        <v>0</v>
      </c>
      <c r="BQ42" s="0" t="n">
        <v>0</v>
      </c>
      <c r="BR42" s="0" t="n">
        <v>1</v>
      </c>
      <c r="BS42" s="0" t="s">
        <v>673</v>
      </c>
      <c r="BT42" s="0" t="s">
        <v>674</v>
      </c>
      <c r="BU42" s="0" t="s">
        <v>675</v>
      </c>
      <c r="BV42" s="123"/>
      <c r="BW42" s="123"/>
      <c r="BX42" s="123"/>
      <c r="BY42" s="123"/>
      <c r="BZ42" s="0" t="n">
        <v>0</v>
      </c>
      <c r="CA42" s="0" t="s">
        <v>216</v>
      </c>
      <c r="CD42" s="0" t="s">
        <v>370</v>
      </c>
      <c r="CE42" s="0" t="n">
        <v>0</v>
      </c>
      <c r="CF42" s="0" t="s">
        <v>676</v>
      </c>
      <c r="CG42" s="0" t="s">
        <v>218</v>
      </c>
      <c r="CI42" s="1" t="n">
        <v>40336</v>
      </c>
      <c r="CJ42" s="1" t="n">
        <v>40564</v>
      </c>
      <c r="CK42" s="124" t="n">
        <v>0.833333333333333</v>
      </c>
      <c r="CL42" s="0" t="s">
        <v>677</v>
      </c>
      <c r="CM42" s="0" t="n">
        <f aca="false">IF(OR(CI42="",CJ42=""),"",DAYS360(CI42,CJ42)/360)</f>
        <v>0.622222222222222</v>
      </c>
      <c r="CN42" s="0" t="n">
        <f aca="false">IF(OR(CI42="",CJ42=""),"",DAYS360(CI42,CJ42)/30)</f>
        <v>7.46666666666667</v>
      </c>
      <c r="CO42" s="0" t="n">
        <f aca="false">IF(OR(CI42="",CJ42=""),"",DAYS360(CI42,CJ42)/7)</f>
        <v>32</v>
      </c>
      <c r="CP42" s="0" t="n">
        <f aca="false">IF(OR(CI42="",CJ42=""),"",DAYS360(CI42,CJ42))</f>
        <v>224</v>
      </c>
      <c r="CQ42" s="0" t="s">
        <v>240</v>
      </c>
      <c r="CR42" s="0" t="n">
        <v>1</v>
      </c>
      <c r="CT42" s="0" t="s">
        <v>221</v>
      </c>
      <c r="CU42" s="0" t="s">
        <v>221</v>
      </c>
      <c r="CV42" s="0" t="str">
        <f aca="false">IF(OR(CT42="",CT42="NO ESPECIFICA",CT42="NO MENCIONA"),"",IF(CU42=0,CT42,IF(CU42=1,CT42/30,IF(CU42=2,CT42/15,IF(CU42=3,CT42/7,"")))))</f>
        <v/>
      </c>
      <c r="CW42" s="125" t="n">
        <v>2000</v>
      </c>
      <c r="CX42" s="0" t="n">
        <v>2</v>
      </c>
      <c r="CY42" s="0" t="n">
        <f aca="false">IF(CW42="","",IF(CX42=0,CW42,IF(CX42=1,CW42/30,IF(CX42=2,CW42/15,IF(CX42=3,CW42/7,CW42)))))</f>
        <v>133.333333333333</v>
      </c>
      <c r="CZ42" s="0" t="n">
        <f aca="false">IF(DI42&gt;0,DI42,IF(CY42&gt;0,CY42,IF(CV42&gt;0,CV42,"")))</f>
        <v>133.33</v>
      </c>
      <c r="DA42" s="0" t="n">
        <f aca="false">IF(DM42=1,CZ42/8,IF(OR(DM42=2,DM42=4),CZ42/7,IF(DM42=3,CZ42/7.5,"")))</f>
        <v>16.66625</v>
      </c>
      <c r="DB42" s="0" t="s">
        <v>216</v>
      </c>
      <c r="DC42" s="0" t="s">
        <v>216</v>
      </c>
      <c r="DD42" s="0" t="s">
        <v>216</v>
      </c>
      <c r="DE42" s="0" t="s">
        <v>216</v>
      </c>
      <c r="DF42" s="0" t="s">
        <v>216</v>
      </c>
      <c r="DG42" s="0" t="s">
        <v>216</v>
      </c>
      <c r="DH42" s="0" t="n">
        <v>0</v>
      </c>
      <c r="DI42" s="126" t="n">
        <v>133.33</v>
      </c>
      <c r="DK42" s="0" t="n">
        <v>0</v>
      </c>
      <c r="DM42" s="0" t="n">
        <v>1</v>
      </c>
      <c r="DN42" s="0" t="n">
        <v>65</v>
      </c>
      <c r="DO42" s="0" t="n">
        <v>3</v>
      </c>
      <c r="DP42" s="0" t="n">
        <v>0</v>
      </c>
      <c r="DQ42" s="0" t="n">
        <v>1</v>
      </c>
      <c r="DR42" s="0"/>
      <c r="DS42" s="0" t="n">
        <v>1</v>
      </c>
      <c r="DU42" s="0" t="n">
        <v>1</v>
      </c>
      <c r="DW42" s="1" t="n">
        <v>40336</v>
      </c>
      <c r="DX42" s="1" t="n">
        <v>40564</v>
      </c>
      <c r="DZ42" s="0"/>
      <c r="EA42" s="0" t="n">
        <v>1</v>
      </c>
      <c r="EC42" s="1" t="n">
        <v>40544</v>
      </c>
      <c r="ED42" s="1" t="n">
        <v>40564</v>
      </c>
      <c r="EF42" s="0"/>
      <c r="EG42" s="0" t="n">
        <v>1</v>
      </c>
      <c r="EH42" s="0" t="n">
        <v>17</v>
      </c>
      <c r="EI42" s="0" t="n">
        <f aca="false">IF(AND(DM42=1,DN42&lt;=48),"",IF(AND(DM42=2,DN42&lt;=42),"",IF(AND(DM42=3,DN42&lt;=45),"",EH42)))</f>
        <v>17</v>
      </c>
      <c r="EJ42" s="0" t="n">
        <f aca="false">IF(EI42="","",IF(EI42&lt;9,EI42,9))</f>
        <v>9</v>
      </c>
      <c r="EK42" s="0" t="n">
        <f aca="false">IF(EI42="","",IF(EI42&gt;9,EI42-EJ42,0))</f>
        <v>8</v>
      </c>
      <c r="EL42" s="0" t="n">
        <f aca="false">IF(EI42="","",EJ42*DA42*2+EK42*DA42*3)</f>
        <v>699.9825</v>
      </c>
      <c r="EP42" s="0" t="n">
        <v>0</v>
      </c>
      <c r="EQ42" s="0"/>
      <c r="ER42" s="0" t="n">
        <v>0</v>
      </c>
      <c r="ET42" s="0" t="n">
        <v>0</v>
      </c>
      <c r="EV42" s="0" t="n">
        <v>0</v>
      </c>
      <c r="EX42" s="0" t="n">
        <v>0</v>
      </c>
      <c r="EY42" s="0" t="n">
        <v>0</v>
      </c>
      <c r="EZ42" s="0"/>
      <c r="FA42" s="4" t="n">
        <v>2799.93</v>
      </c>
      <c r="FB42" s="0" t="n">
        <v>1</v>
      </c>
      <c r="FF42" s="120" t="n">
        <f aca="false">(CJ42-CI42+1)/365</f>
        <v>0.627397260273973</v>
      </c>
      <c r="FG42" s="0" t="str">
        <f aca="false">CONCATENATE(F42,"/",G42)</f>
        <v>173/2011</v>
      </c>
      <c r="FH42" s="0" t="n">
        <v>0</v>
      </c>
      <c r="FI42" s="0" t="n">
        <v>0</v>
      </c>
    </row>
    <row r="43" customFormat="false" ht="15" hidden="false" customHeight="false" outlineLevel="0" collapsed="false">
      <c r="A43" s="5" t="str">
        <f aca="false">E43&amp;G43&amp;F43</f>
        <v>72011177</v>
      </c>
      <c r="B43" s="0" t="s">
        <v>203</v>
      </c>
      <c r="C43" s="1" t="n">
        <v>42408</v>
      </c>
      <c r="E43" s="0" t="n">
        <v>7</v>
      </c>
      <c r="F43" s="0" t="n">
        <v>177</v>
      </c>
      <c r="G43" s="0" t="n">
        <v>2011</v>
      </c>
      <c r="H43" s="0" t="str">
        <f aca="false">"J"&amp;E43&amp;"\"&amp;F43&amp;"\"&amp;G43&amp;"\"&amp;W43</f>
        <v>J7\177\2011\1</v>
      </c>
      <c r="I43" s="0"/>
      <c r="J43" s="1" t="n">
        <v>40569</v>
      </c>
      <c r="K43" s="0" t="n">
        <v>0</v>
      </c>
      <c r="M43" s="1" t="n">
        <v>40569</v>
      </c>
      <c r="N43" s="1" t="n">
        <v>40640</v>
      </c>
      <c r="O43" s="1"/>
      <c r="P43" s="1"/>
      <c r="Q43" s="1"/>
      <c r="T43" s="121"/>
      <c r="U43" s="121"/>
      <c r="V43" s="122" t="n">
        <f aca="false">IF(AND(E43&gt;0,F43&gt;0,G43&gt;0),COUNTIFS($E:$E,E43,$F:$F,F43,$G:$G,G43),"")</f>
        <v>1</v>
      </c>
      <c r="W43" s="122" t="n">
        <f aca="false">IF(V43="","",IF(V43=1,1,IF(AND(E42=E43,F42=F43,G42=G43),W42+1,1)))</f>
        <v>1</v>
      </c>
      <c r="X43" s="0" t="n">
        <v>1</v>
      </c>
      <c r="Y43" s="0" t="n">
        <v>6</v>
      </c>
      <c r="Z43" s="0" t="s">
        <v>678</v>
      </c>
      <c r="AA43" s="0" t="n">
        <v>0</v>
      </c>
      <c r="AB43" s="0" t="s">
        <v>679</v>
      </c>
      <c r="AC43" s="0" t="s">
        <v>680</v>
      </c>
      <c r="AD43" s="0" t="s">
        <v>322</v>
      </c>
      <c r="AE43" s="0" t="n">
        <v>0</v>
      </c>
      <c r="AF43" s="0" t="s">
        <v>681</v>
      </c>
      <c r="AG43" s="0" t="n">
        <v>0</v>
      </c>
      <c r="AH43" s="0" t="s">
        <v>682</v>
      </c>
      <c r="AI43" s="0" t="s">
        <v>683</v>
      </c>
      <c r="AJ43" s="0" t="s">
        <v>590</v>
      </c>
      <c r="AL43" s="0" t="s">
        <v>684</v>
      </c>
      <c r="AM43" s="0" t="n">
        <v>1</v>
      </c>
      <c r="AN43" s="0" t="s">
        <v>682</v>
      </c>
      <c r="AO43" s="0" t="s">
        <v>683</v>
      </c>
      <c r="AP43" s="0" t="s">
        <v>590</v>
      </c>
      <c r="AR43" s="0" t="s">
        <v>685</v>
      </c>
      <c r="AS43" s="0" t="n">
        <v>1</v>
      </c>
      <c r="AT43" s="0" t="s">
        <v>682</v>
      </c>
      <c r="AU43" s="0" t="s">
        <v>683</v>
      </c>
      <c r="AV43" s="0" t="s">
        <v>590</v>
      </c>
      <c r="AX43" s="0" t="s">
        <v>686</v>
      </c>
      <c r="AY43" s="0" t="n">
        <v>1</v>
      </c>
      <c r="AZ43" s="0" t="s">
        <v>682</v>
      </c>
      <c r="BA43" s="0" t="s">
        <v>683</v>
      </c>
      <c r="BB43" s="0" t="s">
        <v>590</v>
      </c>
      <c r="BD43" s="0" t="s">
        <v>213</v>
      </c>
      <c r="BE43" s="0" t="n">
        <v>1</v>
      </c>
      <c r="BF43" s="0" t="s">
        <v>682</v>
      </c>
      <c r="BG43" s="0" t="s">
        <v>683</v>
      </c>
      <c r="BH43" s="0" t="s">
        <v>590</v>
      </c>
      <c r="BJ43" s="0" t="s">
        <v>249</v>
      </c>
      <c r="BK43" s="0" t="n">
        <v>0</v>
      </c>
      <c r="BL43" s="0" t="s">
        <v>687</v>
      </c>
      <c r="BM43" s="0" t="s">
        <v>688</v>
      </c>
      <c r="BN43" s="0" t="s">
        <v>689</v>
      </c>
      <c r="BP43" s="0" t="n">
        <v>0</v>
      </c>
      <c r="BQ43" s="0" t="n">
        <v>0</v>
      </c>
      <c r="BR43" s="0" t="n">
        <v>1</v>
      </c>
      <c r="BS43" s="0" t="s">
        <v>690</v>
      </c>
      <c r="BT43" s="0" t="s">
        <v>691</v>
      </c>
      <c r="BU43" s="0" t="s">
        <v>692</v>
      </c>
      <c r="BV43" s="123"/>
      <c r="BW43" s="123"/>
      <c r="BX43" s="123"/>
      <c r="BY43" s="123"/>
      <c r="BZ43" s="0" t="n">
        <v>0</v>
      </c>
      <c r="CA43" s="0" t="s">
        <v>216</v>
      </c>
      <c r="CD43" s="0" t="s">
        <v>216</v>
      </c>
      <c r="CE43" s="0" t="n">
        <v>0</v>
      </c>
      <c r="CF43" s="0" t="s">
        <v>693</v>
      </c>
      <c r="CG43" s="0" t="s">
        <v>218</v>
      </c>
      <c r="CI43" s="1" t="n">
        <v>37756</v>
      </c>
      <c r="CJ43" s="1" t="n">
        <v>40515</v>
      </c>
      <c r="CK43" s="124" t="n">
        <v>0.666666666666667</v>
      </c>
      <c r="CL43" s="0" t="s">
        <v>684</v>
      </c>
      <c r="CM43" s="0" t="n">
        <f aca="false">IF(OR(CI43="",CJ43=""),"",DAYS360(CI43,CJ43)/360)</f>
        <v>7.55</v>
      </c>
      <c r="CN43" s="0" t="n">
        <f aca="false">IF(OR(CI43="",CJ43=""),"",DAYS360(CI43,CJ43)/30)</f>
        <v>90.6</v>
      </c>
      <c r="CO43" s="0" t="n">
        <f aca="false">IF(OR(CI43="",CJ43=""),"",DAYS360(CI43,CJ43)/7)</f>
        <v>388.285714285714</v>
      </c>
      <c r="CP43" s="0" t="n">
        <f aca="false">IF(OR(CI43="",CJ43=""),"",DAYS360(CI43,CJ43))</f>
        <v>2718</v>
      </c>
      <c r="CQ43" s="0" t="s">
        <v>240</v>
      </c>
      <c r="CR43" s="0" t="n">
        <v>1</v>
      </c>
      <c r="CT43" s="0" t="n">
        <v>300</v>
      </c>
      <c r="CU43" s="0" t="n">
        <v>0</v>
      </c>
      <c r="CV43" s="0" t="n">
        <f aca="false">IF(OR(CT43="",CT43="NO ESPECIFICA",CT43="NO MENCIONA"),"",IF(CU43=0,CT43,IF(CU43=1,CT43/30,IF(CU43=2,CT43/15,IF(CU43=3,CT43/7,"")))))</f>
        <v>300</v>
      </c>
      <c r="CW43" s="125" t="n">
        <v>392.72</v>
      </c>
      <c r="CX43" s="0" t="n">
        <v>0</v>
      </c>
      <c r="CY43" s="0" t="n">
        <f aca="false">IF(CW43="","",IF(CX43=0,CW43,IF(CX43=1,CW43/30,IF(CX43=2,CW43/15,IF(CX43=3,CW43/7,CW43)))))</f>
        <v>392.72</v>
      </c>
      <c r="CZ43" s="0" t="n">
        <f aca="false">IF(DI43&gt;0,DI43,IF(CY43&gt;0,CY43,IF(CV43&gt;0,CV43,"")))</f>
        <v>392.72</v>
      </c>
      <c r="DA43" s="0" t="n">
        <f aca="false">IF(DM43=1,CZ43/8,IF(OR(DM43=2,DM43=4),CZ43/7,IF(DM43=3,CZ43/7.5,"")))</f>
        <v>52.3626666666667</v>
      </c>
      <c r="DB43" s="0" t="s">
        <v>627</v>
      </c>
      <c r="DC43" s="0" t="s">
        <v>303</v>
      </c>
      <c r="DD43" s="0" t="s">
        <v>301</v>
      </c>
      <c r="DE43" s="0" t="s">
        <v>216</v>
      </c>
      <c r="DF43" s="0" t="s">
        <v>216</v>
      </c>
      <c r="DG43" s="0" t="s">
        <v>216</v>
      </c>
      <c r="DH43" s="0" t="n">
        <v>0</v>
      </c>
      <c r="DI43" s="126" t="n">
        <v>392.72</v>
      </c>
      <c r="DK43" s="0" t="n">
        <v>0</v>
      </c>
      <c r="DM43" s="0" t="n">
        <v>3</v>
      </c>
      <c r="DN43" s="0" t="n">
        <v>72</v>
      </c>
      <c r="DO43" s="0" t="n">
        <v>3</v>
      </c>
      <c r="DP43" s="0" t="n">
        <v>0</v>
      </c>
      <c r="DQ43" s="0" t="n">
        <v>1</v>
      </c>
      <c r="DR43" s="0"/>
      <c r="DS43" s="0" t="n">
        <v>1</v>
      </c>
      <c r="DU43" s="0" t="n">
        <v>1</v>
      </c>
      <c r="DW43" s="1" t="n">
        <v>37756</v>
      </c>
      <c r="DX43" s="1" t="n">
        <v>40515</v>
      </c>
      <c r="DZ43" s="0"/>
      <c r="EA43" s="0" t="n">
        <v>1</v>
      </c>
      <c r="EC43" s="1" t="n">
        <v>37756</v>
      </c>
      <c r="ED43" s="1" t="n">
        <v>40515</v>
      </c>
      <c r="EF43" s="0"/>
      <c r="EG43" s="0" t="n">
        <v>1</v>
      </c>
      <c r="EH43" s="0" t="s">
        <v>221</v>
      </c>
      <c r="EI43" s="0" t="str">
        <f aca="false">IF(AND(DM43=1,DN43&lt;=48),"",IF(AND(DM43=2,DN43&lt;=42),"",IF(AND(DM43=3,DN43&lt;=45),"",EH43)))</f>
        <v>NO ESPECIFICA</v>
      </c>
      <c r="EJ43" s="0" t="n">
        <f aca="false">IF(EI43="","",IF(EI43&lt;9,EI43,9))</f>
        <v>9</v>
      </c>
      <c r="EK43" s="0" t="e">
        <f aca="false">IF(EI43="","",IF(EI43&gt;9,EI43-EJ43,0))</f>
        <v>#VALUE!</v>
      </c>
      <c r="EL43" s="0" t="e">
        <f aca="false">IF(EI43="","",EJ43*DA43*2+EK43*DA43*3)</f>
        <v>#VALUE!</v>
      </c>
      <c r="EP43" s="0" t="n">
        <v>0</v>
      </c>
      <c r="EQ43" s="0"/>
      <c r="ER43" s="0" t="n">
        <v>0</v>
      </c>
      <c r="ET43" s="0" t="n">
        <v>0</v>
      </c>
      <c r="EV43" s="0" t="n">
        <v>1</v>
      </c>
      <c r="EX43" s="0" t="n">
        <v>1</v>
      </c>
      <c r="EY43" s="0" t="n">
        <v>1</v>
      </c>
      <c r="EZ43" s="0"/>
      <c r="FA43" s="0"/>
      <c r="FB43" s="0" t="n">
        <v>0</v>
      </c>
      <c r="FF43" s="120" t="n">
        <f aca="false">(CJ43-CI43+1)/365</f>
        <v>7.56164383561644</v>
      </c>
      <c r="FG43" s="0" t="str">
        <f aca="false">CONCATENATE(F43,"/",G43)</f>
        <v>177/2011</v>
      </c>
      <c r="FH43" s="0" t="n">
        <v>0</v>
      </c>
      <c r="FI43" s="0" t="n">
        <v>0</v>
      </c>
    </row>
    <row r="44" customFormat="false" ht="15" hidden="false" customHeight="false" outlineLevel="0" collapsed="false">
      <c r="A44" s="5" t="str">
        <f aca="false">E44&amp;G44&amp;F44</f>
        <v>72011195</v>
      </c>
      <c r="B44" s="0" t="s">
        <v>203</v>
      </c>
      <c r="C44" s="1" t="n">
        <v>42408</v>
      </c>
      <c r="E44" s="0" t="n">
        <v>7</v>
      </c>
      <c r="F44" s="0" t="n">
        <v>195</v>
      </c>
      <c r="G44" s="0" t="n">
        <v>2011</v>
      </c>
      <c r="H44" s="0" t="str">
        <f aca="false">"J"&amp;E44&amp;"\"&amp;F44&amp;"\"&amp;G44&amp;"\"&amp;W44</f>
        <v>J7\195\2011\1</v>
      </c>
      <c r="I44" s="0"/>
      <c r="J44" s="1" t="n">
        <v>40574</v>
      </c>
      <c r="K44" s="0" t="n">
        <v>0</v>
      </c>
      <c r="M44" s="1" t="n">
        <v>40574</v>
      </c>
      <c r="N44" s="1" t="n">
        <v>40648</v>
      </c>
      <c r="O44" s="1"/>
      <c r="P44" s="1"/>
      <c r="Q44" s="1"/>
      <c r="T44" s="121"/>
      <c r="U44" s="121"/>
      <c r="V44" s="122" t="n">
        <f aca="false">IF(AND(E44&gt;0,F44&gt;0,G44&gt;0),COUNTIFS($E:$E,E44,$F:$F,F44,$G:$G,G44),"")</f>
        <v>1</v>
      </c>
      <c r="W44" s="122" t="n">
        <f aca="false">IF(V44="","",IF(V44=1,1,IF(AND(E43=E44,F43=F44,G43=G44),W43+1,1)))</f>
        <v>1</v>
      </c>
      <c r="X44" s="0" t="n">
        <v>1</v>
      </c>
      <c r="Y44" s="0" t="n">
        <v>3</v>
      </c>
      <c r="Z44" s="0" t="s">
        <v>694</v>
      </c>
      <c r="AA44" s="0" t="n">
        <v>0</v>
      </c>
      <c r="AB44" s="0" t="s">
        <v>348</v>
      </c>
      <c r="AC44" s="0" t="s">
        <v>216</v>
      </c>
      <c r="AD44" s="0" t="s">
        <v>216</v>
      </c>
      <c r="AE44" s="0" t="n">
        <v>0</v>
      </c>
      <c r="AF44" s="0" t="s">
        <v>695</v>
      </c>
      <c r="AG44" s="0" t="n">
        <v>0</v>
      </c>
      <c r="AH44" s="0" t="s">
        <v>696</v>
      </c>
      <c r="AI44" s="0" t="s">
        <v>697</v>
      </c>
      <c r="AJ44" s="0" t="s">
        <v>229</v>
      </c>
      <c r="AL44" s="0" t="s">
        <v>698</v>
      </c>
      <c r="AM44" s="0" t="n">
        <v>1</v>
      </c>
      <c r="AN44" s="0" t="s">
        <v>696</v>
      </c>
      <c r="AO44" s="0" t="s">
        <v>697</v>
      </c>
      <c r="AP44" s="0" t="s">
        <v>229</v>
      </c>
      <c r="AR44" s="0" t="s">
        <v>213</v>
      </c>
      <c r="AS44" s="0" t="n">
        <v>1</v>
      </c>
      <c r="AT44" s="0" t="s">
        <v>696</v>
      </c>
      <c r="AU44" s="0" t="s">
        <v>697</v>
      </c>
      <c r="AV44" s="0" t="s">
        <v>229</v>
      </c>
      <c r="BP44" s="0" t="n">
        <v>0</v>
      </c>
      <c r="BQ44" s="0" t="n">
        <v>0</v>
      </c>
      <c r="BR44" s="0" t="n">
        <v>3</v>
      </c>
      <c r="BS44" s="0" t="s">
        <v>651</v>
      </c>
      <c r="BT44" s="0" t="s">
        <v>500</v>
      </c>
      <c r="BU44" s="0" t="s">
        <v>501</v>
      </c>
      <c r="BV44" s="123"/>
      <c r="BW44" s="123"/>
      <c r="BX44" s="123"/>
      <c r="BY44" s="123"/>
      <c r="BZ44" s="0" t="n">
        <v>0</v>
      </c>
      <c r="CA44" s="0" t="s">
        <v>348</v>
      </c>
      <c r="CD44" s="0" t="s">
        <v>370</v>
      </c>
      <c r="CE44" s="0" t="n">
        <v>0</v>
      </c>
      <c r="CF44" s="0" t="s">
        <v>699</v>
      </c>
      <c r="CG44" s="0" t="s">
        <v>218</v>
      </c>
      <c r="CI44" s="1" t="n">
        <v>40406</v>
      </c>
      <c r="CJ44" s="1" t="n">
        <v>40513</v>
      </c>
      <c r="CK44" s="124" t="n">
        <v>0.416666666666667</v>
      </c>
      <c r="CL44" s="0" t="s">
        <v>700</v>
      </c>
      <c r="CM44" s="0" t="n">
        <f aca="false">IF(OR(CI44="",CJ44=""),"",DAYS360(CI44,CJ44)/360)</f>
        <v>0.291666666666667</v>
      </c>
      <c r="CN44" s="0" t="n">
        <f aca="false">IF(OR(CI44="",CJ44=""),"",DAYS360(CI44,CJ44)/30)</f>
        <v>3.5</v>
      </c>
      <c r="CO44" s="0" t="n">
        <f aca="false">IF(OR(CI44="",CJ44=""),"",DAYS360(CI44,CJ44)/7)</f>
        <v>15</v>
      </c>
      <c r="CP44" s="0" t="n">
        <f aca="false">IF(OR(CI44="",CJ44=""),"",DAYS360(CI44,CJ44))</f>
        <v>105</v>
      </c>
      <c r="CQ44" s="0" t="s">
        <v>240</v>
      </c>
      <c r="CR44" s="0" t="n">
        <v>1</v>
      </c>
      <c r="CT44" s="0" t="n">
        <v>133.33</v>
      </c>
      <c r="CU44" s="0" t="n">
        <v>0</v>
      </c>
      <c r="CV44" s="0" t="n">
        <f aca="false">IF(OR(CT44="",CT44="NO ESPECIFICA",CT44="NO MENCIONA"),"",IF(CU44=0,CT44,IF(CU44=1,CT44/30,IF(CU44=2,CT44/15,IF(CU44=3,CT44/7,"")))))</f>
        <v>133.33</v>
      </c>
      <c r="CW44" s="125" t="n">
        <v>139.36</v>
      </c>
      <c r="CX44" s="0" t="n">
        <v>0</v>
      </c>
      <c r="CY44" s="0" t="n">
        <f aca="false">IF(CW44="","",IF(CX44=0,CW44,IF(CX44=1,CW44/30,IF(CX44=2,CW44/15,IF(CX44=3,CW44/7,CW44)))))</f>
        <v>139.36</v>
      </c>
      <c r="CZ44" s="0" t="n">
        <f aca="false">IF(DI44&gt;0,DI44,IF(CY44&gt;0,CY44,IF(CV44&gt;0,CV44,"")))</f>
        <v>139.36</v>
      </c>
      <c r="DA44" s="0" t="n">
        <f aca="false">IF(DM44=1,CZ44/8,IF(OR(DM44=2,DM44=4),CZ44/7,IF(DM44=3,CZ44/7.5,"")))</f>
        <v>17.42</v>
      </c>
      <c r="DB44" s="0" t="s">
        <v>303</v>
      </c>
      <c r="DC44" s="0" t="s">
        <v>301</v>
      </c>
      <c r="DD44" s="0" t="s">
        <v>216</v>
      </c>
      <c r="DE44" s="0" t="s">
        <v>216</v>
      </c>
      <c r="DF44" s="0" t="s">
        <v>216</v>
      </c>
      <c r="DG44" s="0" t="s">
        <v>216</v>
      </c>
      <c r="DH44" s="0" t="n">
        <v>0</v>
      </c>
      <c r="DI44" s="126" t="n">
        <v>139.36</v>
      </c>
      <c r="DK44" s="0" t="n">
        <v>0</v>
      </c>
      <c r="DM44" s="0" t="n">
        <v>1</v>
      </c>
      <c r="DN44" s="0" t="n">
        <v>50</v>
      </c>
      <c r="DO44" s="0" t="n">
        <v>3</v>
      </c>
      <c r="DP44" s="0" t="n">
        <v>0</v>
      </c>
      <c r="DQ44" s="0" t="n">
        <v>1</v>
      </c>
      <c r="DR44" s="0"/>
      <c r="DS44" s="0" t="n">
        <v>1</v>
      </c>
      <c r="DU44" s="0" t="n">
        <v>1</v>
      </c>
      <c r="DW44" s="1" t="n">
        <v>40406</v>
      </c>
      <c r="DX44" s="1" t="n">
        <v>40513</v>
      </c>
      <c r="DZ44" s="0"/>
      <c r="EA44" s="0" t="n">
        <v>1</v>
      </c>
      <c r="EC44" s="1" t="n">
        <v>40406</v>
      </c>
      <c r="ED44" s="1" t="n">
        <v>40513</v>
      </c>
      <c r="EF44" s="0"/>
      <c r="EG44" s="0" t="n">
        <v>0</v>
      </c>
      <c r="EI44" s="0" t="n">
        <f aca="false">IF(AND(DM44=1,DN44&lt;=48),"",IF(AND(DM44=2,DN44&lt;=42),"",IF(AND(DM44=3,DN44&lt;=45),"",EH44)))</f>
        <v>0</v>
      </c>
      <c r="EJ44" s="0" t="str">
        <f aca="false">IF(EI44="","",IF(EI44&lt;9,EI44,9))</f>
        <v/>
      </c>
      <c r="EK44" s="0" t="str">
        <f aca="false">IF(EI44="","",IF(EI44&gt;9,EI44-EJ44,0))</f>
        <v/>
      </c>
      <c r="EL44" s="0" t="str">
        <f aca="false">IF(EI44="","",EJ44*DA44*2+EK44*DA44*3)</f>
        <v/>
      </c>
      <c r="EP44" s="0" t="n">
        <v>0</v>
      </c>
      <c r="EQ44" s="0"/>
      <c r="ER44" s="0" t="n">
        <v>0</v>
      </c>
      <c r="ET44" s="0" t="n">
        <v>0</v>
      </c>
      <c r="EV44" s="0" t="n">
        <v>0</v>
      </c>
      <c r="EX44" s="0" t="n">
        <v>0</v>
      </c>
      <c r="EY44" s="0" t="n">
        <v>0</v>
      </c>
      <c r="EZ44" s="0"/>
      <c r="FA44" s="4" t="n">
        <v>696.8</v>
      </c>
      <c r="FB44" s="0" t="n">
        <v>1</v>
      </c>
      <c r="FF44" s="120" t="n">
        <f aca="false">(CJ44-CI44+1)/365</f>
        <v>0.295890410958904</v>
      </c>
      <c r="FG44" s="0" t="str">
        <f aca="false">CONCATENATE(F44,"/",G44)</f>
        <v>195/2011</v>
      </c>
      <c r="FH44" s="0" t="n">
        <v>0</v>
      </c>
      <c r="FI44" s="0" t="n">
        <v>0</v>
      </c>
    </row>
    <row r="45" customFormat="false" ht="15" hidden="false" customHeight="false" outlineLevel="0" collapsed="false">
      <c r="A45" s="5" t="str">
        <f aca="false">E45&amp;G45&amp;F45</f>
        <v>72011199</v>
      </c>
      <c r="B45" s="0" t="s">
        <v>203</v>
      </c>
      <c r="C45" s="1" t="n">
        <v>42408</v>
      </c>
      <c r="D45" s="0" t="s">
        <v>241</v>
      </c>
      <c r="E45" s="0" t="n">
        <v>7</v>
      </c>
      <c r="F45" s="0" t="n">
        <v>199</v>
      </c>
      <c r="G45" s="0" t="n">
        <v>2011</v>
      </c>
      <c r="H45" s="0" t="str">
        <f aca="false">"J"&amp;E45&amp;"\"&amp;F45&amp;"\"&amp;G45&amp;"\"&amp;W45</f>
        <v>J7\199\2011\1</v>
      </c>
      <c r="I45" s="0"/>
      <c r="J45" s="1" t="n">
        <v>40574</v>
      </c>
      <c r="K45" s="0" t="n">
        <v>0</v>
      </c>
      <c r="M45" s="1" t="n">
        <v>40574</v>
      </c>
      <c r="N45" s="1" t="n">
        <v>40651</v>
      </c>
      <c r="O45" s="1"/>
      <c r="P45" s="1"/>
      <c r="Q45" s="1"/>
      <c r="T45" s="121"/>
      <c r="U45" s="121"/>
      <c r="V45" s="122" t="n">
        <f aca="false">IF(AND(E45&gt;0,F45&gt;0,G45&gt;0),COUNTIFS($E:$E,E45,$F:$F,F45,$G:$G,G45),"")</f>
        <v>1</v>
      </c>
      <c r="W45" s="122" t="n">
        <f aca="false">IF(V45="","",IF(V45=1,1,IF(AND(E44=E45,F44=F45,G44=G45),W44+1,1)))</f>
        <v>1</v>
      </c>
      <c r="X45" s="0" t="n">
        <v>1</v>
      </c>
      <c r="Y45" s="0" t="n">
        <v>2</v>
      </c>
      <c r="Z45" s="0" t="s">
        <v>701</v>
      </c>
      <c r="AA45" s="0" t="n">
        <v>0</v>
      </c>
      <c r="AB45" s="0" t="s">
        <v>702</v>
      </c>
      <c r="AC45" s="0" t="s">
        <v>216</v>
      </c>
      <c r="AD45" s="0" t="s">
        <v>216</v>
      </c>
      <c r="AE45" s="0" t="n">
        <v>0</v>
      </c>
      <c r="AF45" s="0" t="s">
        <v>703</v>
      </c>
      <c r="AG45" s="0" t="n">
        <v>0</v>
      </c>
      <c r="AH45" s="0" t="s">
        <v>704</v>
      </c>
      <c r="AI45" s="0" t="s">
        <v>705</v>
      </c>
      <c r="AJ45" s="0" t="s">
        <v>519</v>
      </c>
      <c r="AL45" s="0" t="s">
        <v>213</v>
      </c>
      <c r="AM45" s="0" t="n">
        <v>1</v>
      </c>
      <c r="AN45" s="0" t="s">
        <v>704</v>
      </c>
      <c r="AO45" s="0" t="s">
        <v>705</v>
      </c>
      <c r="AP45" s="0" t="s">
        <v>519</v>
      </c>
      <c r="BP45" s="0" t="n">
        <v>0</v>
      </c>
      <c r="BQ45" s="0" t="n">
        <v>0</v>
      </c>
      <c r="BR45" s="0" t="n">
        <v>1</v>
      </c>
      <c r="BS45" s="0" t="s">
        <v>706</v>
      </c>
      <c r="BT45" s="0" t="s">
        <v>707</v>
      </c>
      <c r="BU45" s="0" t="s">
        <v>216</v>
      </c>
      <c r="BV45" s="123"/>
      <c r="BW45" s="123"/>
      <c r="BX45" s="123"/>
      <c r="BY45" s="123"/>
      <c r="BZ45" s="0" t="n">
        <v>0</v>
      </c>
      <c r="CA45" s="0" t="s">
        <v>216</v>
      </c>
      <c r="CD45" s="0" t="s">
        <v>296</v>
      </c>
      <c r="CE45" s="0" t="n">
        <v>0</v>
      </c>
      <c r="CF45" s="0" t="s">
        <v>542</v>
      </c>
      <c r="CG45" s="0" t="s">
        <v>218</v>
      </c>
      <c r="CI45" s="1" t="n">
        <v>39456</v>
      </c>
      <c r="CJ45" s="1" t="n">
        <v>40557</v>
      </c>
      <c r="CK45" s="124" t="n">
        <v>0.645833333333333</v>
      </c>
      <c r="CL45" s="0" t="s">
        <v>708</v>
      </c>
      <c r="CM45" s="0" t="n">
        <f aca="false">IF(OR(CI45="",CJ45=""),"",DAYS360(CI45,CJ45)/360)</f>
        <v>3.01388888888889</v>
      </c>
      <c r="CN45" s="0" t="n">
        <f aca="false">IF(OR(CI45="",CJ45=""),"",DAYS360(CI45,CJ45)/30)</f>
        <v>36.1666666666667</v>
      </c>
      <c r="CO45" s="0" t="n">
        <f aca="false">IF(OR(CI45="",CJ45=""),"",DAYS360(CI45,CJ45)/7)</f>
        <v>155</v>
      </c>
      <c r="CP45" s="0" t="n">
        <f aca="false">IF(OR(CI45="",CJ45=""),"",DAYS360(CI45,CJ45))</f>
        <v>1085</v>
      </c>
      <c r="CQ45" s="0" t="s">
        <v>240</v>
      </c>
      <c r="CR45" s="0" t="n">
        <v>1</v>
      </c>
      <c r="CT45" s="0" t="s">
        <v>221</v>
      </c>
      <c r="CU45" s="0" t="s">
        <v>221</v>
      </c>
      <c r="CV45" s="0" t="str">
        <f aca="false">IF(OR(CT45="",CT45="NO ESPECIFICA",CT45="NO MENCIONA"),"",IF(CU45=0,CT45,IF(CU45=1,CT45/30,IF(CU45=2,CT45/15,IF(CU45=3,CT45/7,"")))))</f>
        <v/>
      </c>
      <c r="CW45" s="125" t="n">
        <v>160</v>
      </c>
      <c r="CX45" s="0" t="n">
        <v>0</v>
      </c>
      <c r="CY45" s="0" t="n">
        <f aca="false">IF(CW45="","",IF(CX45=0,CW45,IF(CX45=1,CW45/30,IF(CX45=2,CW45/15,IF(CX45=3,CW45/7,CW45)))))</f>
        <v>160</v>
      </c>
      <c r="CZ45" s="0" t="n">
        <f aca="false">IF(DI45&gt;0,DI45,IF(CY45&gt;0,CY45,IF(CV45&gt;0,CV45,"")))</f>
        <v>160</v>
      </c>
      <c r="DA45" s="0" t="n">
        <f aca="false">IF(DM45=1,CZ45/8,IF(OR(DM45=2,DM45=4),CZ45/7,IF(DM45=3,CZ45/7.5,"")))</f>
        <v>20</v>
      </c>
      <c r="DB45" s="0" t="s">
        <v>216</v>
      </c>
      <c r="DC45" s="0" t="s">
        <v>216</v>
      </c>
      <c r="DD45" s="0" t="s">
        <v>216</v>
      </c>
      <c r="DE45" s="0" t="s">
        <v>216</v>
      </c>
      <c r="DF45" s="0" t="s">
        <v>216</v>
      </c>
      <c r="DG45" s="0" t="s">
        <v>216</v>
      </c>
      <c r="DH45" s="0" t="n">
        <v>0</v>
      </c>
      <c r="DI45" s="126" t="n">
        <v>160</v>
      </c>
      <c r="DK45" s="0" t="n">
        <v>0</v>
      </c>
      <c r="DM45" s="0" t="n">
        <v>1</v>
      </c>
      <c r="DN45" s="0" t="n">
        <v>84</v>
      </c>
      <c r="DO45" s="0" t="n">
        <v>3</v>
      </c>
      <c r="DP45" s="0" t="n">
        <v>0</v>
      </c>
      <c r="DQ45" s="0" t="n">
        <v>1</v>
      </c>
      <c r="DR45" s="0"/>
      <c r="DS45" s="0" t="n">
        <v>1</v>
      </c>
      <c r="DU45" s="0" t="n">
        <v>1</v>
      </c>
      <c r="DW45" s="1" t="n">
        <v>39456</v>
      </c>
      <c r="DX45" s="1" t="n">
        <v>40557</v>
      </c>
      <c r="DZ45" s="0"/>
      <c r="EA45" s="0" t="n">
        <v>1</v>
      </c>
      <c r="EC45" s="1" t="n">
        <v>39456</v>
      </c>
      <c r="ED45" s="1" t="n">
        <v>40557</v>
      </c>
      <c r="EF45" s="0"/>
      <c r="EG45" s="0" t="n">
        <v>0</v>
      </c>
      <c r="EI45" s="0" t="n">
        <f aca="false">IF(AND(DM45=1,DN45&lt;=48),"",IF(AND(DM45=2,DN45&lt;=42),"",IF(AND(DM45=3,DN45&lt;=45),"",EH45)))</f>
        <v>0</v>
      </c>
      <c r="EJ45" s="0" t="str">
        <f aca="false">IF(EI45="","",IF(EI45&lt;9,EI45,9))</f>
        <v/>
      </c>
      <c r="EK45" s="0" t="str">
        <f aca="false">IF(EI45="","",IF(EI45&gt;9,EI45-EJ45,0))</f>
        <v/>
      </c>
      <c r="EL45" s="0" t="str">
        <f aca="false">IF(EI45="","",EJ45*DA45*2+EK45*DA45*3)</f>
        <v/>
      </c>
      <c r="EP45" s="0" t="n">
        <v>0</v>
      </c>
      <c r="EQ45" s="0"/>
      <c r="ER45" s="0" t="n">
        <v>0</v>
      </c>
      <c r="ET45" s="0" t="n">
        <v>0</v>
      </c>
      <c r="EV45" s="0" t="n">
        <v>0</v>
      </c>
      <c r="EX45" s="0" t="n">
        <v>0</v>
      </c>
      <c r="EY45" s="0" t="n">
        <v>0</v>
      </c>
      <c r="EZ45" s="0"/>
      <c r="FA45" s="0"/>
      <c r="FB45" s="0" t="n">
        <v>0</v>
      </c>
      <c r="FF45" s="120" t="n">
        <f aca="false">(CJ45-CI45+1)/365</f>
        <v>3.01917808219178</v>
      </c>
      <c r="FG45" s="0" t="str">
        <f aca="false">CONCATENATE(F45,"/",G45)</f>
        <v>199/2011</v>
      </c>
      <c r="FH45" s="0" t="n">
        <v>0</v>
      </c>
      <c r="FI45" s="0" t="n">
        <v>0</v>
      </c>
    </row>
    <row r="46" customFormat="false" ht="15" hidden="false" customHeight="false" outlineLevel="0" collapsed="false">
      <c r="A46" s="5" t="str">
        <f aca="false">E46&amp;G46&amp;F46</f>
        <v>72011200</v>
      </c>
      <c r="B46" s="0" t="s">
        <v>203</v>
      </c>
      <c r="C46" s="1" t="n">
        <v>42409</v>
      </c>
      <c r="E46" s="0" t="n">
        <v>7</v>
      </c>
      <c r="F46" s="0" t="n">
        <v>200</v>
      </c>
      <c r="G46" s="0" t="n">
        <v>2011</v>
      </c>
      <c r="H46" s="0" t="str">
        <f aca="false">"J"&amp;E46&amp;"\"&amp;F46&amp;"\"&amp;G46&amp;"\"&amp;W46</f>
        <v>J7\200\2011\1</v>
      </c>
      <c r="I46" s="0"/>
      <c r="J46" s="1" t="n">
        <v>40574</v>
      </c>
      <c r="K46" s="0" t="n">
        <v>0</v>
      </c>
      <c r="M46" s="1" t="n">
        <v>40574</v>
      </c>
      <c r="N46" s="1" t="n">
        <v>40651</v>
      </c>
      <c r="O46" s="1"/>
      <c r="P46" s="1"/>
      <c r="Q46" s="1"/>
      <c r="T46" s="121"/>
      <c r="U46" s="121"/>
      <c r="V46" s="122" t="n">
        <f aca="false">IF(AND(E46&gt;0,F46&gt;0,G46&gt;0),COUNTIFS($E:$E,E46,$F:$F,F46,$G:$G,G46),"")</f>
        <v>1</v>
      </c>
      <c r="W46" s="122" t="n">
        <f aca="false">IF(V46="","",IF(V46=1,1,IF(AND(E45=E46,F45=F46,G45=G46),W45+1,1)))</f>
        <v>1</v>
      </c>
      <c r="X46" s="0" t="n">
        <v>1</v>
      </c>
      <c r="Y46" s="0" t="n">
        <v>4</v>
      </c>
      <c r="Z46" s="0" t="s">
        <v>709</v>
      </c>
      <c r="AA46" s="0" t="n">
        <v>0</v>
      </c>
      <c r="AB46" s="0" t="s">
        <v>710</v>
      </c>
      <c r="AC46" s="0" t="s">
        <v>318</v>
      </c>
      <c r="AD46" s="0" t="s">
        <v>229</v>
      </c>
      <c r="AE46" s="0" t="n">
        <v>0</v>
      </c>
      <c r="AF46" s="0" t="s">
        <v>711</v>
      </c>
      <c r="AG46" s="0" t="n">
        <v>2</v>
      </c>
      <c r="AH46" s="0" t="s">
        <v>712</v>
      </c>
      <c r="AI46" s="0" t="s">
        <v>251</v>
      </c>
      <c r="AJ46" s="0" t="s">
        <v>229</v>
      </c>
      <c r="AL46" s="0" t="s">
        <v>713</v>
      </c>
      <c r="AM46" s="0" t="n">
        <v>1</v>
      </c>
      <c r="AN46" s="0" t="s">
        <v>712</v>
      </c>
      <c r="AO46" s="0" t="s">
        <v>251</v>
      </c>
      <c r="AP46" s="0" t="s">
        <v>229</v>
      </c>
      <c r="AR46" s="0" t="s">
        <v>714</v>
      </c>
      <c r="AS46" s="0" t="n">
        <v>0</v>
      </c>
      <c r="AT46" s="0" t="s">
        <v>715</v>
      </c>
      <c r="AU46" s="0" t="s">
        <v>716</v>
      </c>
      <c r="AV46" s="0" t="s">
        <v>519</v>
      </c>
      <c r="AX46" s="0" t="s">
        <v>717</v>
      </c>
      <c r="AY46" s="0" t="n">
        <v>0</v>
      </c>
      <c r="AZ46" s="0" t="s">
        <v>718</v>
      </c>
      <c r="BA46" s="0" t="s">
        <v>719</v>
      </c>
      <c r="BB46" s="0" t="s">
        <v>720</v>
      </c>
      <c r="BP46" s="0" t="n">
        <v>0</v>
      </c>
      <c r="BQ46" s="0" t="n">
        <v>0</v>
      </c>
      <c r="BR46" s="0" t="n">
        <v>1</v>
      </c>
      <c r="BS46" s="0" t="s">
        <v>721</v>
      </c>
      <c r="BT46" s="0" t="s">
        <v>722</v>
      </c>
      <c r="BU46" s="0" t="s">
        <v>723</v>
      </c>
      <c r="BV46" s="123"/>
      <c r="BW46" s="123"/>
      <c r="BX46" s="123"/>
      <c r="BY46" s="123"/>
      <c r="BZ46" s="0" t="n">
        <v>0</v>
      </c>
      <c r="CA46" s="0" t="s">
        <v>216</v>
      </c>
      <c r="CD46" s="0" t="s">
        <v>216</v>
      </c>
      <c r="CE46" s="0" t="n">
        <v>0</v>
      </c>
      <c r="CF46" s="0" t="s">
        <v>724</v>
      </c>
      <c r="CG46" s="0" t="s">
        <v>218</v>
      </c>
      <c r="CI46" s="1" t="n">
        <v>39531</v>
      </c>
      <c r="CJ46" s="1" t="n">
        <v>40887</v>
      </c>
      <c r="CK46" s="124" t="n">
        <v>0.416666666666667</v>
      </c>
      <c r="CL46" s="0" t="s">
        <v>713</v>
      </c>
      <c r="CM46" s="0" t="n">
        <f aca="false">IF(OR(CI46="",CJ46=""),"",DAYS360(CI46,CJ46)/360)</f>
        <v>3.71111111111111</v>
      </c>
      <c r="CN46" s="0" t="n">
        <f aca="false">IF(OR(CI46="",CJ46=""),"",DAYS360(CI46,CJ46)/30)</f>
        <v>44.5333333333333</v>
      </c>
      <c r="CO46" s="0" t="n">
        <f aca="false">IF(OR(CI46="",CJ46=""),"",DAYS360(CI46,CJ46)/7)</f>
        <v>190.857142857143</v>
      </c>
      <c r="CP46" s="0" t="n">
        <f aca="false">IF(OR(CI46="",CJ46=""),"",DAYS360(CI46,CJ46))</f>
        <v>1336</v>
      </c>
      <c r="CQ46" s="0" t="s">
        <v>240</v>
      </c>
      <c r="CR46" s="0" t="n">
        <v>1</v>
      </c>
      <c r="CT46" s="0" t="s">
        <v>221</v>
      </c>
      <c r="CU46" s="0" t="s">
        <v>221</v>
      </c>
      <c r="CV46" s="0" t="str">
        <f aca="false">IF(OR(CT46="",CT46="NO ESPECIFICA",CT46="NO MENCIONA"),"",IF(CU46=0,CT46,IF(CU46=1,CT46/30,IF(CU46=2,CT46/15,IF(CU46=3,CT46/7,"")))))</f>
        <v/>
      </c>
      <c r="CW46" s="125" t="n">
        <v>10000</v>
      </c>
      <c r="CX46" s="0" t="n">
        <v>1</v>
      </c>
      <c r="CY46" s="0" t="n">
        <f aca="false">IF(CW46="","",IF(CX46=0,CW46,IF(CX46=1,CW46/30,IF(CX46=2,CW46/15,IF(CX46=3,CW46/7,CW46)))))</f>
        <v>333.333333333333</v>
      </c>
      <c r="CZ46" s="0" t="n">
        <f aca="false">IF(DI46&gt;0,DI46,IF(CY46&gt;0,CY46,IF(CV46&gt;0,CV46,"")))</f>
        <v>333.33</v>
      </c>
      <c r="DA46" s="0" t="n">
        <f aca="false">IF(DM46=1,CZ46/8,IF(OR(DM46=2,DM46=4),CZ46/7,IF(DM46=3,CZ46/7.5,"")))</f>
        <v>41.66625</v>
      </c>
      <c r="DB46" s="0" t="s">
        <v>216</v>
      </c>
      <c r="DC46" s="0" t="s">
        <v>216</v>
      </c>
      <c r="DD46" s="0" t="s">
        <v>216</v>
      </c>
      <c r="DE46" s="0" t="s">
        <v>216</v>
      </c>
      <c r="DF46" s="0" t="s">
        <v>216</v>
      </c>
      <c r="DG46" s="0" t="s">
        <v>216</v>
      </c>
      <c r="DH46" s="0" t="n">
        <v>0</v>
      </c>
      <c r="DI46" s="126" t="n">
        <v>333.33</v>
      </c>
      <c r="DK46" s="0" t="n">
        <v>1</v>
      </c>
      <c r="DM46" s="0" t="n">
        <v>1</v>
      </c>
      <c r="DN46" s="0" t="n">
        <v>40</v>
      </c>
      <c r="DO46" s="0" t="n">
        <v>3</v>
      </c>
      <c r="DP46" s="0" t="n">
        <v>0</v>
      </c>
      <c r="DQ46" s="0" t="n">
        <v>1</v>
      </c>
      <c r="DR46" s="0"/>
      <c r="DS46" s="0" t="n">
        <v>1</v>
      </c>
      <c r="DU46" s="0" t="n">
        <v>1</v>
      </c>
      <c r="DW46" s="1" t="n">
        <v>39531</v>
      </c>
      <c r="DX46" s="1" t="n">
        <v>40887</v>
      </c>
      <c r="DZ46" s="0"/>
      <c r="EA46" s="0" t="n">
        <v>1</v>
      </c>
      <c r="EC46" s="1" t="n">
        <v>39531</v>
      </c>
      <c r="ED46" s="1" t="n">
        <v>40887</v>
      </c>
      <c r="EF46" s="0"/>
      <c r="EG46" s="0" t="n">
        <v>0</v>
      </c>
      <c r="EI46" s="0" t="str">
        <f aca="false">IF(AND(DM46=1,DN46&lt;=48),"",IF(AND(DM46=2,DN46&lt;=42),"",IF(AND(DM46=3,DN46&lt;=45),"",EH46)))</f>
        <v/>
      </c>
      <c r="EJ46" s="0" t="str">
        <f aca="false">IF(EI46="","",IF(EI46&lt;9,EI46,9))</f>
        <v/>
      </c>
      <c r="EK46" s="0" t="str">
        <f aca="false">IF(EI46="","",IF(EI46&gt;9,EI46-EJ46,0))</f>
        <v/>
      </c>
      <c r="EL46" s="0" t="str">
        <f aca="false">IF(EI46="","",EJ46*DA46*2+EK46*DA46*3)</f>
        <v/>
      </c>
      <c r="EP46" s="0" t="n">
        <v>0</v>
      </c>
      <c r="EQ46" s="0"/>
      <c r="ER46" s="0" t="n">
        <v>0</v>
      </c>
      <c r="ET46" s="0" t="n">
        <v>0</v>
      </c>
      <c r="EV46" s="0" t="n">
        <v>0</v>
      </c>
      <c r="EX46" s="0" t="n">
        <v>0</v>
      </c>
      <c r="EY46" s="0" t="n">
        <v>0</v>
      </c>
      <c r="EZ46" s="0"/>
      <c r="FA46" s="0"/>
      <c r="FB46" s="0" t="n">
        <v>1</v>
      </c>
      <c r="FF46" s="120" t="n">
        <f aca="false">(CJ46-CI46+1)/365</f>
        <v>3.71780821917808</v>
      </c>
      <c r="FG46" s="0" t="str">
        <f aca="false">CONCATENATE(F46,"/",G46)</f>
        <v>200/2011</v>
      </c>
      <c r="FH46" s="0" t="n">
        <v>0</v>
      </c>
      <c r="FI46" s="0" t="n">
        <v>0</v>
      </c>
    </row>
    <row r="47" customFormat="false" ht="15" hidden="false" customHeight="false" outlineLevel="0" collapsed="false">
      <c r="A47" s="5" t="str">
        <f aca="false">E47&amp;G47&amp;F47</f>
        <v>72011211</v>
      </c>
      <c r="B47" s="0" t="s">
        <v>203</v>
      </c>
      <c r="C47" s="1" t="n">
        <v>42409</v>
      </c>
      <c r="D47" s="0" t="s">
        <v>725</v>
      </c>
      <c r="E47" s="0" t="n">
        <v>7</v>
      </c>
      <c r="F47" s="0" t="n">
        <v>211</v>
      </c>
      <c r="G47" s="0" t="n">
        <v>2011</v>
      </c>
      <c r="H47" s="0" t="str">
        <f aca="false">"J"&amp;E47&amp;"\"&amp;F47&amp;"\"&amp;G47&amp;"\"&amp;W47</f>
        <v>J7\211\2011\1</v>
      </c>
      <c r="I47" s="0"/>
      <c r="J47" s="1" t="n">
        <v>40575</v>
      </c>
      <c r="K47" s="0" t="n">
        <v>0</v>
      </c>
      <c r="M47" s="1" t="n">
        <v>40575</v>
      </c>
      <c r="N47" s="1" t="n">
        <v>40644</v>
      </c>
      <c r="O47" s="1"/>
      <c r="P47" s="1"/>
      <c r="Q47" s="1"/>
      <c r="T47" s="121"/>
      <c r="U47" s="121"/>
      <c r="V47" s="122" t="n">
        <f aca="false">IF(AND(E47&gt;0,F47&gt;0,G47&gt;0),COUNTIFS($E:$E,E47,$F:$F,F47,$G:$G,G47),"")</f>
        <v>1</v>
      </c>
      <c r="W47" s="122" t="n">
        <f aca="false">IF(V47="","",IF(V47=1,1,IF(AND(E46=E47,F46=F47,G46=G47),W46+1,1)))</f>
        <v>1</v>
      </c>
      <c r="X47" s="0" t="n">
        <v>1</v>
      </c>
      <c r="Y47" s="0" t="n">
        <v>8</v>
      </c>
      <c r="Z47" s="0" t="s">
        <v>726</v>
      </c>
      <c r="AA47" s="0" t="n">
        <v>0</v>
      </c>
      <c r="AB47" s="0" t="s">
        <v>727</v>
      </c>
      <c r="AC47" s="0" t="s">
        <v>728</v>
      </c>
      <c r="AD47" s="0" t="s">
        <v>352</v>
      </c>
      <c r="AE47" s="0" t="n">
        <v>0</v>
      </c>
      <c r="AF47" s="0" t="s">
        <v>729</v>
      </c>
      <c r="AG47" s="0" t="n">
        <v>0</v>
      </c>
      <c r="AH47" s="0" t="s">
        <v>730</v>
      </c>
      <c r="AI47" s="0" t="s">
        <v>508</v>
      </c>
      <c r="AJ47" s="0" t="s">
        <v>322</v>
      </c>
      <c r="AL47" s="0" t="s">
        <v>731</v>
      </c>
      <c r="AM47" s="0" t="n">
        <v>1</v>
      </c>
      <c r="AN47" s="0" t="s">
        <v>730</v>
      </c>
      <c r="AO47" s="0" t="s">
        <v>508</v>
      </c>
      <c r="AP47" s="0" t="s">
        <v>322</v>
      </c>
      <c r="AR47" s="0" t="s">
        <v>732</v>
      </c>
      <c r="AS47" s="0" t="n">
        <v>1</v>
      </c>
      <c r="AT47" s="0" t="s">
        <v>730</v>
      </c>
      <c r="AU47" s="0" t="s">
        <v>508</v>
      </c>
      <c r="AV47" s="0" t="s">
        <v>322</v>
      </c>
      <c r="AX47" s="0" t="s">
        <v>733</v>
      </c>
      <c r="AY47" s="0" t="n">
        <v>1</v>
      </c>
      <c r="AZ47" s="0" t="s">
        <v>730</v>
      </c>
      <c r="BA47" s="0" t="s">
        <v>508</v>
      </c>
      <c r="BB47" s="0" t="s">
        <v>322</v>
      </c>
      <c r="BD47" s="0" t="s">
        <v>734</v>
      </c>
      <c r="BE47" s="0" t="n">
        <v>1</v>
      </c>
      <c r="BF47" s="0" t="s">
        <v>730</v>
      </c>
      <c r="BG47" s="0" t="s">
        <v>508</v>
      </c>
      <c r="BH47" s="0" t="s">
        <v>322</v>
      </c>
      <c r="BJ47" s="0" t="s">
        <v>735</v>
      </c>
      <c r="BK47" s="0" t="n">
        <v>1</v>
      </c>
      <c r="BL47" s="0" t="s">
        <v>730</v>
      </c>
      <c r="BM47" s="0" t="s">
        <v>508</v>
      </c>
      <c r="BN47" s="0" t="s">
        <v>322</v>
      </c>
      <c r="BP47" s="0" t="n">
        <v>0</v>
      </c>
      <c r="BQ47" s="0" t="n">
        <v>0</v>
      </c>
      <c r="BR47" s="0" t="n">
        <v>1</v>
      </c>
      <c r="BS47" s="0" t="s">
        <v>736</v>
      </c>
      <c r="BT47" s="0" t="s">
        <v>737</v>
      </c>
      <c r="BU47" s="0" t="s">
        <v>738</v>
      </c>
      <c r="BV47" s="123"/>
      <c r="BW47" s="123"/>
      <c r="BX47" s="123"/>
      <c r="BY47" s="123"/>
      <c r="BZ47" s="0" t="n">
        <v>0</v>
      </c>
      <c r="CA47" s="0" t="s">
        <v>216</v>
      </c>
      <c r="CD47" s="0" t="s">
        <v>370</v>
      </c>
      <c r="CE47" s="0" t="n">
        <v>0</v>
      </c>
      <c r="CF47" s="0" t="s">
        <v>216</v>
      </c>
      <c r="CG47" s="0" t="s">
        <v>218</v>
      </c>
      <c r="CI47" s="1" t="s">
        <v>216</v>
      </c>
      <c r="CJ47" s="1" t="s">
        <v>216</v>
      </c>
      <c r="CK47" s="124" t="s">
        <v>216</v>
      </c>
      <c r="CL47" s="0" t="s">
        <v>216</v>
      </c>
      <c r="CM47" s="0" t="e">
        <f aca="false">IF(OR(CI47="",CJ47=""),"",DAYS360(CI47,CJ47)/360)</f>
        <v>#VALUE!</v>
      </c>
      <c r="CN47" s="0" t="e">
        <f aca="false">IF(OR(CI47="",CJ47=""),"",DAYS360(CI47,CJ47)/30)</f>
        <v>#VALUE!</v>
      </c>
      <c r="CO47" s="0" t="e">
        <f aca="false">IF(OR(CI47="",CJ47=""),"",DAYS360(CI47,CJ47)/7)</f>
        <v>#VALUE!</v>
      </c>
      <c r="CP47" s="0" t="e">
        <f aca="false">IF(OR(CI47="",CJ47=""),"",DAYS360(CI47,CJ47))</f>
        <v>#VALUE!</v>
      </c>
      <c r="CQ47" s="0" t="s">
        <v>240</v>
      </c>
      <c r="CR47" s="0" t="n">
        <v>5</v>
      </c>
      <c r="CS47" s="0" t="s">
        <v>216</v>
      </c>
      <c r="CT47" s="0" t="s">
        <v>216</v>
      </c>
      <c r="CU47" s="0" t="s">
        <v>216</v>
      </c>
      <c r="CV47" s="0" t="str">
        <f aca="false">IF(OR(CT47="",CT47="NO ESPECIFICA",CT47="NO MENCIONA"),"",IF(CU47=0,CT47,IF(CU47=1,CT47/30,IF(CU47=2,CT47/15,IF(CU47=3,CT47/7,"")))))</f>
        <v/>
      </c>
      <c r="CW47" s="125" t="s">
        <v>216</v>
      </c>
      <c r="CX47" s="0" t="s">
        <v>216</v>
      </c>
      <c r="CY47" s="0" t="str">
        <f aca="false">IF(CW47="","",IF(CX47=0,CW47,IF(CX47=1,CW47/30,IF(CX47=2,CW47/15,IF(CX47=3,CW47/7,CW47)))))</f>
        <v>NO MENCIONA</v>
      </c>
      <c r="CZ47" s="0" t="str">
        <f aca="false">IF(DI47&gt;0,DI47,IF(CY47&gt;0,CY47,IF(CV47&gt;0,CV47,"")))</f>
        <v>NO MENCIONA</v>
      </c>
      <c r="DA47" s="0" t="str">
        <f aca="false">IF(DM47=1,CZ47/8,IF(OR(DM47=2,DM47=4),CZ47/7,IF(DM47=3,CZ47/7.5,"")))</f>
        <v/>
      </c>
      <c r="DB47" s="0" t="s">
        <v>216</v>
      </c>
      <c r="DC47" s="0" t="s">
        <v>216</v>
      </c>
      <c r="DD47" s="0" t="s">
        <v>216</v>
      </c>
      <c r="DE47" s="0" t="s">
        <v>216</v>
      </c>
      <c r="DF47" s="0" t="s">
        <v>216</v>
      </c>
      <c r="DG47" s="0" t="s">
        <v>216</v>
      </c>
      <c r="DH47" s="0" t="n">
        <v>0</v>
      </c>
      <c r="DI47" s="126" t="s">
        <v>216</v>
      </c>
      <c r="DK47" s="0" t="n">
        <v>1</v>
      </c>
      <c r="DM47" s="0" t="s">
        <v>385</v>
      </c>
      <c r="DN47" s="0" t="s">
        <v>216</v>
      </c>
      <c r="DO47" s="0" t="s">
        <v>216</v>
      </c>
      <c r="DP47" s="0" t="n">
        <v>0</v>
      </c>
      <c r="DQ47" s="0" t="n">
        <v>1</v>
      </c>
      <c r="DR47" s="0"/>
      <c r="DS47" s="0" t="n">
        <v>1</v>
      </c>
      <c r="DU47" s="0" t="n">
        <v>1</v>
      </c>
      <c r="DW47" s="1" t="s">
        <v>221</v>
      </c>
      <c r="DX47" s="1" t="s">
        <v>221</v>
      </c>
      <c r="DZ47" s="0"/>
      <c r="EA47" s="0" t="n">
        <v>1</v>
      </c>
      <c r="EC47" s="1" t="s">
        <v>221</v>
      </c>
      <c r="ED47" s="1" t="s">
        <v>221</v>
      </c>
      <c r="EF47" s="0"/>
      <c r="EG47" s="0" t="n">
        <v>0</v>
      </c>
      <c r="EI47" s="0" t="n">
        <f aca="false">IF(AND(DM47=1,DN47&lt;=48),"",IF(AND(DM47=2,DN47&lt;=42),"",IF(AND(DM47=3,DN47&lt;=45),"",EH47)))</f>
        <v>0</v>
      </c>
      <c r="EJ47" s="0" t="str">
        <f aca="false">IF(EI47="","",IF(EI47&lt;9,EI47,9))</f>
        <v/>
      </c>
      <c r="EK47" s="0" t="str">
        <f aca="false">IF(EI47="","",IF(EI47&gt;9,EI47-EJ47,0))</f>
        <v/>
      </c>
      <c r="EL47" s="0" t="str">
        <f aca="false">IF(EI47="","",EJ47*DA47*2+EK47*DA47*3)</f>
        <v/>
      </c>
      <c r="EP47" s="0" t="n">
        <v>0</v>
      </c>
      <c r="EQ47" s="0"/>
      <c r="ER47" s="0" t="n">
        <v>0</v>
      </c>
      <c r="ET47" s="0" t="n">
        <v>0</v>
      </c>
      <c r="EV47" s="0" t="n">
        <v>0</v>
      </c>
      <c r="EX47" s="0" t="n">
        <v>1</v>
      </c>
      <c r="EY47" s="0" t="n">
        <v>1</v>
      </c>
      <c r="EZ47" s="4" t="n">
        <v>81972.6</v>
      </c>
      <c r="FA47" s="4" t="n">
        <v>18000</v>
      </c>
      <c r="FB47" s="0" t="n">
        <v>0</v>
      </c>
      <c r="FF47" s="120" t="e">
        <f aca="false">(CJ47-CI47+1)/365</f>
        <v>#VALUE!</v>
      </c>
      <c r="FG47" s="0" t="str">
        <f aca="false">CONCATENATE(F47,"/",G47)</f>
        <v>211/2011</v>
      </c>
      <c r="FH47" s="0" t="n">
        <v>0</v>
      </c>
      <c r="FI47" s="0" t="n">
        <v>0</v>
      </c>
    </row>
    <row r="48" customFormat="false" ht="15" hidden="false" customHeight="false" outlineLevel="0" collapsed="false">
      <c r="A48" s="5" t="str">
        <f aca="false">E48&amp;G48&amp;F48</f>
        <v>72011213</v>
      </c>
      <c r="B48" s="0" t="s">
        <v>203</v>
      </c>
      <c r="C48" s="1" t="n">
        <v>42409</v>
      </c>
      <c r="E48" s="0" t="n">
        <v>7</v>
      </c>
      <c r="F48" s="0" t="n">
        <v>213</v>
      </c>
      <c r="G48" s="0" t="n">
        <v>2011</v>
      </c>
      <c r="H48" s="0" t="str">
        <f aca="false">"J"&amp;E48&amp;"\"&amp;F48&amp;"\"&amp;G48&amp;"\"&amp;W48</f>
        <v>J7\213\2011\1</v>
      </c>
      <c r="I48" s="0"/>
      <c r="J48" s="1" t="n">
        <v>40577</v>
      </c>
      <c r="K48" s="0" t="n">
        <v>0</v>
      </c>
      <c r="M48" s="1" t="n">
        <v>40576</v>
      </c>
      <c r="N48" s="1" t="n">
        <v>40644</v>
      </c>
      <c r="O48" s="1"/>
      <c r="P48" s="1"/>
      <c r="Q48" s="1"/>
      <c r="T48" s="121"/>
      <c r="U48" s="121"/>
      <c r="V48" s="122" t="n">
        <f aca="false">IF(AND(E48&gt;0,F48&gt;0,G48&gt;0),COUNTIFS($E:$E,E48,$F:$F,F48,$G:$G,G48),"")</f>
        <v>1</v>
      </c>
      <c r="W48" s="122" t="n">
        <f aca="false">IF(V48="","",IF(V48=1,1,IF(AND(E47=E48,F47=F48,G47=G48),W47+1,1)))</f>
        <v>1</v>
      </c>
      <c r="X48" s="0" t="n">
        <v>1</v>
      </c>
      <c r="Y48" s="0" t="n">
        <v>4</v>
      </c>
      <c r="Z48" s="0" t="s">
        <v>739</v>
      </c>
      <c r="AA48" s="0" t="n">
        <v>0</v>
      </c>
      <c r="AB48" s="0" t="s">
        <v>740</v>
      </c>
      <c r="AC48" s="0" t="s">
        <v>318</v>
      </c>
      <c r="AD48" s="0" t="s">
        <v>229</v>
      </c>
      <c r="AE48" s="0" t="n">
        <v>0</v>
      </c>
      <c r="AF48" s="0" t="s">
        <v>741</v>
      </c>
      <c r="AG48" s="0" t="n">
        <v>1</v>
      </c>
      <c r="AH48" s="0" t="s">
        <v>742</v>
      </c>
      <c r="AI48" s="0" t="s">
        <v>743</v>
      </c>
      <c r="AJ48" s="0" t="s">
        <v>352</v>
      </c>
      <c r="AL48" s="0" t="s">
        <v>744</v>
      </c>
      <c r="AM48" s="0" t="n">
        <v>1</v>
      </c>
      <c r="AN48" s="0" t="s">
        <v>742</v>
      </c>
      <c r="AO48" s="0" t="s">
        <v>743</v>
      </c>
      <c r="AP48" s="0" t="s">
        <v>352</v>
      </c>
      <c r="AR48" s="0" t="s">
        <v>213</v>
      </c>
      <c r="AS48" s="0" t="n">
        <v>1</v>
      </c>
      <c r="AT48" s="0" t="s">
        <v>742</v>
      </c>
      <c r="AU48" s="0" t="s">
        <v>743</v>
      </c>
      <c r="AV48" s="0" t="s">
        <v>352</v>
      </c>
      <c r="AX48" s="0" t="s">
        <v>249</v>
      </c>
      <c r="AY48" s="0" t="n">
        <v>0</v>
      </c>
      <c r="AZ48" s="0" t="s">
        <v>745</v>
      </c>
      <c r="BA48" s="0" t="s">
        <v>410</v>
      </c>
      <c r="BB48" s="0" t="s">
        <v>411</v>
      </c>
      <c r="BP48" s="0" t="n">
        <v>0</v>
      </c>
      <c r="BQ48" s="0" t="n">
        <v>0</v>
      </c>
      <c r="BR48" s="0" t="n">
        <v>1</v>
      </c>
      <c r="BS48" s="0" t="s">
        <v>746</v>
      </c>
      <c r="BT48" s="0" t="s">
        <v>747</v>
      </c>
      <c r="BU48" s="0" t="s">
        <v>748</v>
      </c>
      <c r="BV48" s="123"/>
      <c r="BW48" s="123"/>
      <c r="BX48" s="123"/>
      <c r="BY48" s="123"/>
      <c r="BZ48" s="0" t="n">
        <v>0</v>
      </c>
      <c r="CA48" s="0" t="s">
        <v>749</v>
      </c>
      <c r="CD48" s="0" t="s">
        <v>256</v>
      </c>
      <c r="CE48" s="0" t="n">
        <v>0</v>
      </c>
      <c r="CF48" s="0" t="s">
        <v>750</v>
      </c>
      <c r="CG48" s="0" t="s">
        <v>751</v>
      </c>
      <c r="CI48" s="1" t="n">
        <v>40374</v>
      </c>
      <c r="CJ48" s="1" t="n">
        <v>40570</v>
      </c>
      <c r="CK48" s="124" t="n">
        <v>0.583333333333333</v>
      </c>
      <c r="CL48" s="0" t="s">
        <v>741</v>
      </c>
      <c r="CM48" s="0" t="n">
        <f aca="false">IF(OR(CI48="",CJ48=""),"",DAYS360(CI48,CJ48)/360)</f>
        <v>0.533333333333333</v>
      </c>
      <c r="CN48" s="0" t="n">
        <f aca="false">IF(OR(CI48="",CJ48=""),"",DAYS360(CI48,CJ48)/30)</f>
        <v>6.4</v>
      </c>
      <c r="CO48" s="0" t="n">
        <f aca="false">IF(OR(CI48="",CJ48=""),"",DAYS360(CI48,CJ48)/7)</f>
        <v>27.4285714285714</v>
      </c>
      <c r="CP48" s="0" t="n">
        <f aca="false">IF(OR(CI48="",CJ48=""),"",DAYS360(CI48,CJ48))</f>
        <v>192</v>
      </c>
      <c r="CQ48" s="0" t="s">
        <v>240</v>
      </c>
      <c r="CR48" s="0" t="n">
        <v>1</v>
      </c>
      <c r="CT48" s="0" t="s">
        <v>221</v>
      </c>
      <c r="CU48" s="0" t="s">
        <v>221</v>
      </c>
      <c r="CV48" s="0" t="str">
        <f aca="false">IF(OR(CT48="",CT48="NO ESPECIFICA",CT48="NO MENCIONA"),"",IF(CU48=0,CT48,IF(CU48=1,CT48/30,IF(CU48=2,CT48/15,IF(CU48=3,CT48/7,"")))))</f>
        <v/>
      </c>
      <c r="CW48" s="125" t="n">
        <v>1800</v>
      </c>
      <c r="CX48" s="0" t="n">
        <v>3</v>
      </c>
      <c r="CY48" s="0" t="n">
        <f aca="false">IF(CW48="","",IF(CX48=0,CW48,IF(CX48=1,CW48/30,IF(CX48=2,CW48/15,IF(CX48=3,CW48/7,CW48)))))</f>
        <v>257.142857142857</v>
      </c>
      <c r="CZ48" s="0" t="n">
        <f aca="false">IF(DI48&gt;0,DI48,IF(CY48&gt;0,CY48,IF(CV48&gt;0,CV48,"")))</f>
        <v>257.14</v>
      </c>
      <c r="DA48" s="0" t="n">
        <f aca="false">IF(DM48=1,CZ48/8,IF(OR(DM48=2,DM48=4),CZ48/7,IF(DM48=3,CZ48/7.5,"")))</f>
        <v>32.1425</v>
      </c>
      <c r="DB48" s="0" t="s">
        <v>216</v>
      </c>
      <c r="DC48" s="0" t="s">
        <v>216</v>
      </c>
      <c r="DD48" s="0" t="s">
        <v>216</v>
      </c>
      <c r="DE48" s="0" t="s">
        <v>216</v>
      </c>
      <c r="DF48" s="0" t="s">
        <v>216</v>
      </c>
      <c r="DG48" s="0" t="s">
        <v>216</v>
      </c>
      <c r="DH48" s="0" t="n">
        <v>0</v>
      </c>
      <c r="DI48" s="126" t="n">
        <v>257.14</v>
      </c>
      <c r="DK48" s="0" t="n">
        <v>0</v>
      </c>
      <c r="DM48" s="0" t="n">
        <v>1</v>
      </c>
      <c r="DN48" s="0" t="n">
        <v>60</v>
      </c>
      <c r="DO48" s="0" t="n">
        <v>3</v>
      </c>
      <c r="DP48" s="0" t="n">
        <v>0</v>
      </c>
      <c r="DQ48" s="0" t="n">
        <v>1</v>
      </c>
      <c r="DR48" s="0"/>
      <c r="DS48" s="0" t="n">
        <v>1</v>
      </c>
      <c r="DU48" s="0" t="n">
        <v>1</v>
      </c>
      <c r="DW48" s="1" t="n">
        <v>40374</v>
      </c>
      <c r="DX48" s="1" t="n">
        <v>40570</v>
      </c>
      <c r="DZ48" s="0"/>
      <c r="EA48" s="0" t="n">
        <v>1</v>
      </c>
      <c r="EC48" s="1" t="n">
        <v>40374</v>
      </c>
      <c r="ED48" s="1" t="n">
        <v>40570</v>
      </c>
      <c r="EF48" s="0"/>
      <c r="EG48" s="0" t="n">
        <v>1</v>
      </c>
      <c r="EH48" s="0" t="n">
        <v>12</v>
      </c>
      <c r="EI48" s="0" t="n">
        <f aca="false">IF(AND(DM48=1,DN48&lt;=48),"",IF(AND(DM48=2,DN48&lt;=42),"",IF(AND(DM48=3,DN48&lt;=45),"",EH48)))</f>
        <v>12</v>
      </c>
      <c r="EJ48" s="0" t="n">
        <f aca="false">IF(EI48="","",IF(EI48&lt;9,EI48,9))</f>
        <v>9</v>
      </c>
      <c r="EK48" s="0" t="n">
        <f aca="false">IF(EI48="","",IF(EI48&gt;9,EI48-EJ48,0))</f>
        <v>3</v>
      </c>
      <c r="EL48" s="0" t="n">
        <f aca="false">IF(EI48="","",EJ48*DA48*2+EK48*DA48*3)</f>
        <v>867.8475</v>
      </c>
      <c r="EP48" s="0" t="n">
        <v>0</v>
      </c>
      <c r="EQ48" s="0"/>
      <c r="ER48" s="0" t="n">
        <v>0</v>
      </c>
      <c r="ET48" s="0" t="n">
        <v>0</v>
      </c>
      <c r="EV48" s="0" t="n">
        <v>0</v>
      </c>
      <c r="EX48" s="0" t="n">
        <v>1</v>
      </c>
      <c r="EY48" s="0" t="n">
        <v>0</v>
      </c>
      <c r="EZ48" s="0"/>
      <c r="FA48" s="4" t="n">
        <v>800</v>
      </c>
      <c r="FB48" s="0" t="n">
        <v>0</v>
      </c>
      <c r="FF48" s="120" t="n">
        <f aca="false">(CJ48-CI48+1)/365</f>
        <v>0.53972602739726</v>
      </c>
      <c r="FG48" s="0" t="str">
        <f aca="false">CONCATENATE(F48,"/",G48)</f>
        <v>213/2011</v>
      </c>
      <c r="FH48" s="0" t="n">
        <v>0</v>
      </c>
      <c r="FI48" s="0" t="n">
        <v>0</v>
      </c>
    </row>
    <row r="49" customFormat="false" ht="15" hidden="false" customHeight="false" outlineLevel="0" collapsed="false">
      <c r="A49" s="5" t="str">
        <f aca="false">E49&amp;G49&amp;F49</f>
        <v>72011225</v>
      </c>
      <c r="B49" s="0" t="s">
        <v>203</v>
      </c>
      <c r="C49" s="1" t="n">
        <v>42409</v>
      </c>
      <c r="E49" s="0" t="n">
        <v>7</v>
      </c>
      <c r="F49" s="0" t="n">
        <v>225</v>
      </c>
      <c r="G49" s="0" t="n">
        <v>2011</v>
      </c>
      <c r="H49" s="0" t="str">
        <f aca="false">"J"&amp;E49&amp;"\"&amp;F49&amp;"\"&amp;G49&amp;"\"&amp;W49</f>
        <v>J7\225\2011\1</v>
      </c>
      <c r="I49" s="0"/>
      <c r="J49" s="1" t="n">
        <v>40577</v>
      </c>
      <c r="K49" s="0" t="n">
        <v>0</v>
      </c>
      <c r="M49" s="1" t="n">
        <v>40577</v>
      </c>
      <c r="N49" s="1" t="n">
        <v>40646</v>
      </c>
      <c r="O49" s="1"/>
      <c r="P49" s="1"/>
      <c r="Q49" s="1"/>
      <c r="T49" s="121"/>
      <c r="U49" s="121"/>
      <c r="V49" s="122" t="n">
        <f aca="false">IF(AND(E49&gt;0,F49&gt;0,G49&gt;0),COUNTIFS($E:$E,E49,$F:$F,F49,$G:$G,G49),"")</f>
        <v>1</v>
      </c>
      <c r="W49" s="122" t="n">
        <f aca="false">IF(V49="","",IF(V49=1,1,IF(AND(E48=E49,F48=F49,G48=G49),W48+1,1)))</f>
        <v>1</v>
      </c>
      <c r="X49" s="0" t="n">
        <v>1</v>
      </c>
      <c r="Y49" s="0" t="n">
        <v>7</v>
      </c>
      <c r="Z49" s="0" t="s">
        <v>752</v>
      </c>
      <c r="AA49" s="0" t="n">
        <v>0</v>
      </c>
      <c r="AB49" s="0" t="s">
        <v>753</v>
      </c>
      <c r="AC49" s="0" t="s">
        <v>754</v>
      </c>
      <c r="AD49" s="0" t="s">
        <v>755</v>
      </c>
      <c r="AE49" s="0" t="n">
        <v>0</v>
      </c>
      <c r="AF49" s="0" t="s">
        <v>756</v>
      </c>
      <c r="AG49" s="0" t="n">
        <v>0</v>
      </c>
      <c r="AH49" s="0" t="s">
        <v>757</v>
      </c>
      <c r="AI49" s="0" t="s">
        <v>206</v>
      </c>
      <c r="AJ49" s="0" t="s">
        <v>207</v>
      </c>
      <c r="AL49" s="0" t="s">
        <v>758</v>
      </c>
      <c r="AM49" s="0" t="n">
        <v>0</v>
      </c>
      <c r="AN49" s="0" t="s">
        <v>759</v>
      </c>
      <c r="AO49" s="0" t="s">
        <v>760</v>
      </c>
      <c r="AP49" s="0" t="s">
        <v>268</v>
      </c>
      <c r="AR49" s="0" t="s">
        <v>761</v>
      </c>
      <c r="AS49" s="0" t="n">
        <v>0</v>
      </c>
      <c r="AT49" s="0" t="s">
        <v>759</v>
      </c>
      <c r="AU49" s="0" t="s">
        <v>760</v>
      </c>
      <c r="AV49" s="0" t="s">
        <v>268</v>
      </c>
      <c r="AX49" s="0" t="s">
        <v>762</v>
      </c>
      <c r="AY49" s="0" t="n">
        <v>1</v>
      </c>
      <c r="AZ49" s="0" t="s">
        <v>759</v>
      </c>
      <c r="BA49" s="0" t="s">
        <v>760</v>
      </c>
      <c r="BB49" s="0" t="s">
        <v>268</v>
      </c>
      <c r="BD49" s="0" t="s">
        <v>763</v>
      </c>
      <c r="BE49" s="0" t="n">
        <v>1</v>
      </c>
      <c r="BF49" s="0" t="s">
        <v>759</v>
      </c>
      <c r="BG49" s="0" t="s">
        <v>760</v>
      </c>
      <c r="BH49" s="0" t="s">
        <v>268</v>
      </c>
      <c r="BJ49" s="0" t="s">
        <v>764</v>
      </c>
      <c r="BK49" s="0" t="n">
        <v>1</v>
      </c>
      <c r="BL49" s="0" t="s">
        <v>759</v>
      </c>
      <c r="BM49" s="0" t="s">
        <v>760</v>
      </c>
      <c r="BN49" s="0" t="s">
        <v>268</v>
      </c>
      <c r="BP49" s="0" t="n">
        <v>0</v>
      </c>
      <c r="BQ49" s="0" t="n">
        <v>0</v>
      </c>
      <c r="BR49" s="0" t="n">
        <v>1</v>
      </c>
      <c r="BS49" s="0" t="s">
        <v>765</v>
      </c>
      <c r="BT49" s="0" t="s">
        <v>766</v>
      </c>
      <c r="BU49" s="0" t="s">
        <v>767</v>
      </c>
      <c r="BV49" s="123"/>
      <c r="BW49" s="123"/>
      <c r="BX49" s="123"/>
      <c r="BY49" s="123"/>
      <c r="BZ49" s="0" t="n">
        <v>0</v>
      </c>
      <c r="CA49" s="0" t="s">
        <v>768</v>
      </c>
      <c r="CD49" s="0" t="s">
        <v>296</v>
      </c>
      <c r="CE49" s="0" t="n">
        <v>0</v>
      </c>
      <c r="CF49" s="0" t="s">
        <v>769</v>
      </c>
      <c r="CG49" s="0" t="s">
        <v>218</v>
      </c>
      <c r="CI49" s="1" t="n">
        <v>37330</v>
      </c>
      <c r="CJ49" s="1" t="n">
        <v>40528</v>
      </c>
      <c r="CK49" s="124" t="n">
        <v>0.333333333333333</v>
      </c>
      <c r="CL49" s="0" t="s">
        <v>770</v>
      </c>
      <c r="CM49" s="0" t="n">
        <f aca="false">IF(OR(CI49="",CJ49=""),"",DAYS360(CI49,CJ49)/360)</f>
        <v>8.75277777777778</v>
      </c>
      <c r="CN49" s="0" t="n">
        <f aca="false">IF(OR(CI49="",CJ49=""),"",DAYS360(CI49,CJ49)/30)</f>
        <v>105.033333333333</v>
      </c>
      <c r="CO49" s="0" t="n">
        <f aca="false">IF(OR(CI49="",CJ49=""),"",DAYS360(CI49,CJ49)/7)</f>
        <v>450.142857142857</v>
      </c>
      <c r="CP49" s="0" t="n">
        <f aca="false">IF(OR(CI49="",CJ49=""),"",DAYS360(CI49,CJ49))</f>
        <v>3151</v>
      </c>
      <c r="CQ49" s="0" t="s">
        <v>240</v>
      </c>
      <c r="CR49" s="0" t="n">
        <v>1</v>
      </c>
      <c r="CT49" s="0" t="n">
        <v>30855.07</v>
      </c>
      <c r="CU49" s="0" t="n">
        <v>2</v>
      </c>
      <c r="CV49" s="0" t="n">
        <f aca="false">IF(OR(CT49="",CT49="NO ESPECIFICA",CT49="NO MENCIONA"),"",IF(CU49=0,CT49,IF(CU49=1,CT49/30,IF(CU49=2,CT49/15,IF(CU49=3,CT49/7,"")))))</f>
        <v>2057.00466666667</v>
      </c>
      <c r="CW49" s="125" t="n">
        <v>3518.06</v>
      </c>
      <c r="CX49" s="0" t="n">
        <v>0</v>
      </c>
      <c r="CY49" s="0" t="n">
        <f aca="false">IF(CW49="","",IF(CX49=0,CW49,IF(CX49=1,CW49/30,IF(CX49=2,CW49/15,IF(CX49=3,CW49/7,CW49)))))</f>
        <v>3518.06</v>
      </c>
      <c r="CZ49" s="0" t="n">
        <f aca="false">IF(DI49&gt;0,DI49,IF(CY49&gt;0,CY49,IF(CV49&gt;0,CV49,"")))</f>
        <v>3518.06</v>
      </c>
      <c r="DA49" s="0" t="n">
        <f aca="false">IF(DM49=1,CZ49/8,IF(OR(DM49=2,DM49=4),CZ49/7,IF(DM49=3,CZ49/7.5,"")))</f>
        <v>439.7575</v>
      </c>
      <c r="DB49" s="0" t="s">
        <v>771</v>
      </c>
      <c r="DC49" s="0" t="s">
        <v>301</v>
      </c>
      <c r="DD49" s="0" t="s">
        <v>303</v>
      </c>
      <c r="DE49" s="0" t="s">
        <v>216</v>
      </c>
      <c r="DF49" s="0" t="s">
        <v>216</v>
      </c>
      <c r="DG49" s="0" t="s">
        <v>216</v>
      </c>
      <c r="DH49" s="0" t="n">
        <v>0</v>
      </c>
      <c r="DI49" s="126" t="n">
        <v>3518.06</v>
      </c>
      <c r="DK49" s="0" t="n">
        <v>1</v>
      </c>
      <c r="DM49" s="0" t="n">
        <v>1</v>
      </c>
      <c r="DN49" s="0" t="n">
        <v>63</v>
      </c>
      <c r="DO49" s="0" t="n">
        <v>3</v>
      </c>
      <c r="DP49" s="0" t="n">
        <v>0</v>
      </c>
      <c r="DQ49" s="0" t="n">
        <v>1</v>
      </c>
      <c r="DR49" s="0"/>
      <c r="DS49" s="0" t="n">
        <v>1</v>
      </c>
      <c r="DU49" s="0" t="n">
        <v>1</v>
      </c>
      <c r="DW49" s="1" t="n">
        <v>40179</v>
      </c>
      <c r="DX49" s="1" t="n">
        <v>40527</v>
      </c>
      <c r="DZ49" s="0"/>
      <c r="EA49" s="0" t="n">
        <v>1</v>
      </c>
      <c r="EC49" s="1" t="n">
        <v>40179</v>
      </c>
      <c r="ED49" s="1" t="n">
        <v>40527</v>
      </c>
      <c r="EF49" s="0"/>
      <c r="EG49" s="0" t="n">
        <v>1</v>
      </c>
      <c r="EH49" s="0" t="n">
        <v>18</v>
      </c>
      <c r="EI49" s="0" t="n">
        <f aca="false">IF(AND(DM49=1,DN49&lt;=48),"",IF(AND(DM49=2,DN49&lt;=42),"",IF(AND(DM49=3,DN49&lt;=45),"",EH49)))</f>
        <v>18</v>
      </c>
      <c r="EJ49" s="0" t="n">
        <f aca="false">IF(EI49="","",IF(EI49&lt;9,EI49,9))</f>
        <v>9</v>
      </c>
      <c r="EK49" s="0" t="n">
        <f aca="false">IF(EI49="","",IF(EI49&gt;9,EI49-EJ49,0))</f>
        <v>9</v>
      </c>
      <c r="EL49" s="0" t="n">
        <f aca="false">IF(EI49="","",EJ49*DA49*2+EK49*DA49*3)</f>
        <v>19789.0875</v>
      </c>
      <c r="EP49" s="0" t="n">
        <v>0</v>
      </c>
      <c r="EQ49" s="0"/>
      <c r="ER49" s="0" t="n">
        <v>1</v>
      </c>
      <c r="ET49" s="0" t="n">
        <v>1</v>
      </c>
      <c r="EV49" s="0" t="n">
        <v>0</v>
      </c>
      <c r="EX49" s="0" t="n">
        <v>1</v>
      </c>
      <c r="EY49" s="0" t="n">
        <v>0</v>
      </c>
      <c r="EZ49" s="0"/>
      <c r="FA49" s="4" t="n">
        <v>316625.4</v>
      </c>
      <c r="FB49" s="0" t="n">
        <v>0</v>
      </c>
      <c r="FF49" s="120" t="n">
        <f aca="false">(CJ49-CI49+1)/365</f>
        <v>8.76438356164384</v>
      </c>
      <c r="FG49" s="0" t="str">
        <f aca="false">CONCATENATE(F49,"/",G49)</f>
        <v>225/2011</v>
      </c>
      <c r="FH49" s="0" t="n">
        <v>0</v>
      </c>
      <c r="FI49" s="0" t="n">
        <v>0</v>
      </c>
    </row>
    <row r="50" customFormat="false" ht="15" hidden="false" customHeight="false" outlineLevel="0" collapsed="false">
      <c r="A50" s="5" t="str">
        <f aca="false">E50&amp;G50&amp;F50</f>
        <v>72011228</v>
      </c>
      <c r="B50" s="0" t="s">
        <v>203</v>
      </c>
      <c r="C50" s="1" t="n">
        <v>42409</v>
      </c>
      <c r="E50" s="0" t="n">
        <v>7</v>
      </c>
      <c r="F50" s="0" t="n">
        <v>228</v>
      </c>
      <c r="G50" s="0" t="n">
        <v>2011</v>
      </c>
      <c r="H50" s="0" t="str">
        <f aca="false">"J"&amp;E50&amp;"\"&amp;F50&amp;"\"&amp;G50&amp;"\"&amp;W50</f>
        <v>J7\228\2011\1</v>
      </c>
      <c r="I50" s="0"/>
      <c r="J50" s="1" t="n">
        <v>40577</v>
      </c>
      <c r="K50" s="0" t="n">
        <v>0</v>
      </c>
      <c r="M50" s="1" t="n">
        <v>40577</v>
      </c>
      <c r="N50" s="1" t="n">
        <v>40646</v>
      </c>
      <c r="O50" s="1"/>
      <c r="P50" s="1"/>
      <c r="Q50" s="1"/>
      <c r="T50" s="121"/>
      <c r="U50" s="121"/>
      <c r="V50" s="122" t="n">
        <f aca="false">IF(AND(E50&gt;0,F50&gt;0,G50&gt;0),COUNTIFS($E:$E,E50,$F:$F,F50,$G:$G,G50),"")</f>
        <v>1</v>
      </c>
      <c r="W50" s="122" t="n">
        <f aca="false">IF(V50="","",IF(V50=1,1,IF(AND(E49=E50,F49=F50,G49=G50),W49+1,1)))</f>
        <v>1</v>
      </c>
      <c r="X50" s="0" t="n">
        <v>1</v>
      </c>
      <c r="Y50" s="0" t="n">
        <v>3</v>
      </c>
      <c r="Z50" s="0" t="s">
        <v>772</v>
      </c>
      <c r="AA50" s="0" t="n">
        <v>0</v>
      </c>
      <c r="AB50" s="0" t="s">
        <v>773</v>
      </c>
      <c r="AC50" s="0" t="s">
        <v>774</v>
      </c>
      <c r="AD50" s="0" t="s">
        <v>221</v>
      </c>
      <c r="AE50" s="0" t="n">
        <v>0</v>
      </c>
      <c r="AF50" s="0" t="s">
        <v>775</v>
      </c>
      <c r="AG50" s="0" t="n">
        <v>0</v>
      </c>
      <c r="AH50" s="0" t="s">
        <v>776</v>
      </c>
      <c r="AI50" s="0" t="s">
        <v>777</v>
      </c>
      <c r="AJ50" s="0" t="s">
        <v>590</v>
      </c>
      <c r="AL50" s="0" t="s">
        <v>778</v>
      </c>
      <c r="AM50" s="0" t="n">
        <v>1</v>
      </c>
      <c r="AN50" s="0" t="s">
        <v>776</v>
      </c>
      <c r="AO50" s="0" t="s">
        <v>777</v>
      </c>
      <c r="AP50" s="0" t="s">
        <v>590</v>
      </c>
      <c r="AR50" s="0" t="s">
        <v>213</v>
      </c>
      <c r="AS50" s="0" t="n">
        <v>1</v>
      </c>
      <c r="AT50" s="0" t="s">
        <v>776</v>
      </c>
      <c r="AU50" s="0" t="s">
        <v>777</v>
      </c>
      <c r="AV50" s="0" t="s">
        <v>590</v>
      </c>
      <c r="BP50" s="0" t="n">
        <v>0</v>
      </c>
      <c r="BQ50" s="0" t="n">
        <v>0</v>
      </c>
      <c r="BR50" s="0" t="n">
        <v>1</v>
      </c>
      <c r="BS50" s="0" t="s">
        <v>779</v>
      </c>
      <c r="BT50" s="0" t="s">
        <v>780</v>
      </c>
      <c r="BU50" s="0" t="s">
        <v>781</v>
      </c>
      <c r="BV50" s="123"/>
      <c r="BW50" s="123"/>
      <c r="BX50" s="123"/>
      <c r="BY50" s="123"/>
      <c r="BZ50" s="0" t="n">
        <v>0</v>
      </c>
      <c r="CA50" s="0" t="s">
        <v>216</v>
      </c>
      <c r="CD50" s="0" t="s">
        <v>556</v>
      </c>
      <c r="CE50" s="0" t="n">
        <v>0</v>
      </c>
      <c r="CF50" s="0" t="s">
        <v>782</v>
      </c>
      <c r="CG50" s="0" t="s">
        <v>218</v>
      </c>
      <c r="CI50" s="1" t="n">
        <v>31301</v>
      </c>
      <c r="CJ50" s="1" t="n">
        <v>40514</v>
      </c>
      <c r="CK50" s="124" t="n">
        <v>0.5</v>
      </c>
      <c r="CL50" s="0" t="s">
        <v>783</v>
      </c>
      <c r="CM50" s="0" t="n">
        <f aca="false">IF(OR(CI50="",CJ50=""),"",DAYS360(CI50,CJ50)/360)</f>
        <v>25.225</v>
      </c>
      <c r="CN50" s="0" t="n">
        <f aca="false">IF(OR(CI50="",CJ50=""),"",DAYS360(CI50,CJ50)/30)</f>
        <v>302.7</v>
      </c>
      <c r="CO50" s="0" t="n">
        <f aca="false">IF(OR(CI50="",CJ50=""),"",DAYS360(CI50,CJ50)/7)</f>
        <v>1297.28571428571</v>
      </c>
      <c r="CP50" s="0" t="n">
        <f aca="false">IF(OR(CI50="",CJ50=""),"",DAYS360(CI50,CJ50))</f>
        <v>9081</v>
      </c>
      <c r="CQ50" s="0" t="s">
        <v>240</v>
      </c>
      <c r="CR50" s="0" t="n">
        <v>1</v>
      </c>
      <c r="CT50" s="0" t="s">
        <v>216</v>
      </c>
      <c r="CU50" s="0" t="s">
        <v>216</v>
      </c>
      <c r="CV50" s="0" t="str">
        <f aca="false">IF(OR(CT50="",CT50="NO ESPECIFICA",CT50="NO MENCIONA"),"",IF(CU50=0,CT50,IF(CU50=1,CT50/30,IF(CU50=2,CT50/15,IF(CU50=3,CT50/7,"")))))</f>
        <v/>
      </c>
      <c r="CW50" s="125" t="n">
        <v>1250</v>
      </c>
      <c r="CX50" s="0" t="n">
        <v>0</v>
      </c>
      <c r="CY50" s="0" t="n">
        <f aca="false">IF(CW50="","",IF(CX50=0,CW50,IF(CX50=1,CW50/30,IF(CX50=2,CW50/15,IF(CX50=3,CW50/7,CW50)))))</f>
        <v>1250</v>
      </c>
      <c r="CZ50" s="0" t="n">
        <f aca="false">IF(DI50&gt;0,DI50,IF(CY50&gt;0,CY50,IF(CV50&gt;0,CV50,"")))</f>
        <v>1250</v>
      </c>
      <c r="DA50" s="0" t="n">
        <f aca="false">IF(DM50=1,CZ50/8,IF(OR(DM50=2,DM50=4),CZ50/7,IF(DM50=3,CZ50/7.5,"")))</f>
        <v>156.25</v>
      </c>
      <c r="DB50" s="0" t="s">
        <v>216</v>
      </c>
      <c r="DC50" s="0" t="s">
        <v>216</v>
      </c>
      <c r="DD50" s="0" t="s">
        <v>216</v>
      </c>
      <c r="DE50" s="0" t="s">
        <v>216</v>
      </c>
      <c r="DF50" s="0" t="s">
        <v>216</v>
      </c>
      <c r="DG50" s="0" t="s">
        <v>216</v>
      </c>
      <c r="DH50" s="0" t="n">
        <v>0</v>
      </c>
      <c r="DI50" s="126" t="n">
        <v>1250</v>
      </c>
      <c r="DK50" s="0" t="n">
        <v>0</v>
      </c>
      <c r="DM50" s="0" t="n">
        <v>1</v>
      </c>
      <c r="DN50" s="0" t="n">
        <v>52.5</v>
      </c>
      <c r="DO50" s="0" t="n">
        <v>3</v>
      </c>
      <c r="DP50" s="0" t="n">
        <v>0</v>
      </c>
      <c r="DQ50" s="0" t="n">
        <v>1</v>
      </c>
      <c r="DR50" s="0"/>
      <c r="DS50" s="0" t="n">
        <v>1</v>
      </c>
      <c r="DU50" s="0" t="n">
        <v>1</v>
      </c>
      <c r="DW50" s="1" t="n">
        <v>40179</v>
      </c>
      <c r="DX50" s="1" t="n">
        <v>40514</v>
      </c>
      <c r="DZ50" s="0"/>
      <c r="EA50" s="0" t="n">
        <v>1</v>
      </c>
      <c r="EC50" s="1" t="n">
        <v>40179</v>
      </c>
      <c r="ED50" s="1" t="n">
        <v>40514</v>
      </c>
      <c r="EF50" s="0"/>
      <c r="EG50" s="0" t="n">
        <v>1</v>
      </c>
      <c r="EH50" s="0" t="n">
        <v>36</v>
      </c>
      <c r="EI50" s="0" t="n">
        <f aca="false">IF(AND(DM50=1,DN50&lt;=48),"",IF(AND(DM50=2,DN50&lt;=42),"",IF(AND(DM50=3,DN50&lt;=45),"",EH50)))</f>
        <v>36</v>
      </c>
      <c r="EJ50" s="0" t="n">
        <f aca="false">IF(EI50="","",IF(EI50&lt;9,EI50,9))</f>
        <v>9</v>
      </c>
      <c r="EK50" s="0" t="n">
        <f aca="false">IF(EI50="","",IF(EI50&gt;9,EI50-EJ50,0))</f>
        <v>27</v>
      </c>
      <c r="EL50" s="0" t="n">
        <f aca="false">IF(EI50="","",EJ50*DA50*2+EK50*DA50*3)</f>
        <v>15468.75</v>
      </c>
      <c r="EP50" s="0" t="n">
        <v>0</v>
      </c>
      <c r="EQ50" s="0"/>
      <c r="ER50" s="0" t="n">
        <v>0</v>
      </c>
      <c r="ET50" s="0" t="n">
        <v>0</v>
      </c>
      <c r="EV50" s="0" t="n">
        <v>0</v>
      </c>
      <c r="EX50" s="0" t="n">
        <v>0</v>
      </c>
      <c r="EY50" s="0" t="n">
        <v>1</v>
      </c>
      <c r="EZ50" s="0"/>
      <c r="FA50" s="0"/>
      <c r="FB50" s="0" t="n">
        <v>0</v>
      </c>
      <c r="FF50" s="120" t="n">
        <f aca="false">(CJ50-CI50+1)/365</f>
        <v>25.2438356164384</v>
      </c>
      <c r="FG50" s="0" t="str">
        <f aca="false">CONCATENATE(F50,"/",G50)</f>
        <v>228/2011</v>
      </c>
      <c r="FH50" s="0" t="n">
        <v>0</v>
      </c>
      <c r="FI50" s="0" t="n">
        <v>0</v>
      </c>
    </row>
    <row r="51" customFormat="false" ht="15" hidden="false" customHeight="false" outlineLevel="0" collapsed="false">
      <c r="A51" s="5" t="str">
        <f aca="false">E51&amp;G51&amp;F51</f>
        <v>72011241</v>
      </c>
      <c r="B51" s="0" t="s">
        <v>203</v>
      </c>
      <c r="C51" s="1" t="n">
        <v>42409</v>
      </c>
      <c r="E51" s="0" t="n">
        <v>7</v>
      </c>
      <c r="F51" s="0" t="n">
        <v>241</v>
      </c>
      <c r="G51" s="0" t="n">
        <v>2011</v>
      </c>
      <c r="H51" s="0" t="str">
        <f aca="false">"J"&amp;E51&amp;"\"&amp;F51&amp;"\"&amp;G51&amp;"\"&amp;W51</f>
        <v>J7\241\2011\1</v>
      </c>
      <c r="I51" s="0"/>
      <c r="J51" s="1" t="n">
        <v>40582</v>
      </c>
      <c r="K51" s="0" t="n">
        <v>0</v>
      </c>
      <c r="M51" s="1" t="n">
        <v>40582</v>
      </c>
      <c r="N51" s="1" t="n">
        <v>40648</v>
      </c>
      <c r="O51" s="1"/>
      <c r="P51" s="1"/>
      <c r="Q51" s="1"/>
      <c r="T51" s="121"/>
      <c r="U51" s="121"/>
      <c r="V51" s="122" t="n">
        <f aca="false">IF(AND(E51&gt;0,F51&gt;0,G51&gt;0),COUNTIFS($E:$E,E51,$F:$F,F51,$G:$G,G51),"")</f>
        <v>1</v>
      </c>
      <c r="W51" s="122" t="n">
        <f aca="false">IF(V51="","",IF(V51=1,1,IF(AND(E50=E51,F50=F51,G50=G51),W50+1,1)))</f>
        <v>1</v>
      </c>
      <c r="X51" s="0" t="n">
        <v>1</v>
      </c>
      <c r="Y51" s="0" t="n">
        <v>2</v>
      </c>
      <c r="Z51" s="0" t="s">
        <v>784</v>
      </c>
      <c r="AA51" s="0" t="n">
        <v>0</v>
      </c>
      <c r="AB51" s="0" t="s">
        <v>785</v>
      </c>
      <c r="AC51" s="0" t="s">
        <v>786</v>
      </c>
      <c r="AD51" s="0" t="s">
        <v>590</v>
      </c>
      <c r="AE51" s="0" t="n">
        <v>0</v>
      </c>
      <c r="AF51" s="0" t="s">
        <v>787</v>
      </c>
      <c r="AG51" s="0" t="n">
        <v>0</v>
      </c>
      <c r="AH51" s="0" t="s">
        <v>788</v>
      </c>
      <c r="AI51" s="0" t="s">
        <v>789</v>
      </c>
      <c r="AJ51" s="0" t="s">
        <v>229</v>
      </c>
      <c r="AL51" s="0" t="s">
        <v>790</v>
      </c>
      <c r="AM51" s="0" t="n">
        <v>1</v>
      </c>
      <c r="AN51" s="0" t="s">
        <v>788</v>
      </c>
      <c r="AO51" s="0" t="s">
        <v>789</v>
      </c>
      <c r="AP51" s="0" t="s">
        <v>229</v>
      </c>
      <c r="BP51" s="0" t="n">
        <v>0</v>
      </c>
      <c r="BQ51" s="0" t="n">
        <v>0</v>
      </c>
      <c r="BR51" s="0" t="n">
        <v>1</v>
      </c>
      <c r="BS51" s="0" t="s">
        <v>791</v>
      </c>
      <c r="BT51" s="0" t="s">
        <v>792</v>
      </c>
      <c r="BU51" s="0" t="s">
        <v>793</v>
      </c>
      <c r="BV51" s="123"/>
      <c r="BW51" s="123"/>
      <c r="BX51" s="123"/>
      <c r="BY51" s="123"/>
      <c r="BZ51" s="0" t="n">
        <v>0</v>
      </c>
      <c r="CA51" s="0" t="s">
        <v>794</v>
      </c>
      <c r="CD51" s="0" t="s">
        <v>296</v>
      </c>
      <c r="CE51" s="0" t="n">
        <v>0</v>
      </c>
      <c r="CF51" s="0" t="s">
        <v>795</v>
      </c>
      <c r="CG51" s="0" t="s">
        <v>218</v>
      </c>
      <c r="CI51" s="1" t="n">
        <v>40477</v>
      </c>
      <c r="CJ51" s="1" t="n">
        <v>40526</v>
      </c>
      <c r="CK51" s="124" t="n">
        <v>0.479166666666667</v>
      </c>
      <c r="CL51" s="0" t="s">
        <v>796</v>
      </c>
      <c r="CM51" s="0" t="n">
        <f aca="false">IF(OR(CI51="",CJ51=""),"",DAYS360(CI51,CJ51)/360)</f>
        <v>0.133333333333333</v>
      </c>
      <c r="CN51" s="0" t="n">
        <f aca="false">IF(OR(CI51="",CJ51=""),"",DAYS360(CI51,CJ51)/30)</f>
        <v>1.6</v>
      </c>
      <c r="CO51" s="0" t="n">
        <f aca="false">IF(OR(CI51="",CJ51=""),"",DAYS360(CI51,CJ51)/7)</f>
        <v>6.85714285714286</v>
      </c>
      <c r="CP51" s="0" t="n">
        <f aca="false">IF(OR(CI51="",CJ51=""),"",DAYS360(CI51,CJ51))</f>
        <v>48</v>
      </c>
      <c r="CQ51" s="0" t="s">
        <v>220</v>
      </c>
      <c r="CR51" s="0" t="n">
        <v>1</v>
      </c>
      <c r="CT51" s="0" t="n">
        <v>250</v>
      </c>
      <c r="CU51" s="0" t="n">
        <v>0</v>
      </c>
      <c r="CV51" s="0" t="n">
        <f aca="false">IF(OR(CT51="",CT51="NO ESPECIFICA",CT51="NO MENCIONA"),"",IF(CU51=0,CT51,IF(CU51=1,CT51/30,IF(CU51=2,CT51/15,IF(CU51=3,CT51/7,"")))))</f>
        <v>250</v>
      </c>
      <c r="CW51" s="125" t="n">
        <v>376.55</v>
      </c>
      <c r="CX51" s="0" t="n">
        <v>0</v>
      </c>
      <c r="CY51" s="0" t="n">
        <f aca="false">IF(CW51="","",IF(CX51=0,CW51,IF(CX51=1,CW51/30,IF(CX51=2,CW51/15,IF(CX51=3,CW51/7,CW51)))))</f>
        <v>376.55</v>
      </c>
      <c r="CZ51" s="0" t="n">
        <f aca="false">IF(DI51&gt;0,DI51,IF(CY51&gt;0,CY51,IF(CV51&gt;0,CV51,"")))</f>
        <v>376.55</v>
      </c>
      <c r="DA51" s="0" t="n">
        <f aca="false">IF(DM51=1,CZ51/8,IF(OR(DM51=2,DM51=4),CZ51/7,IF(DM51=3,CZ51/7.5,"")))</f>
        <v>47.06875</v>
      </c>
      <c r="DB51" s="0" t="s">
        <v>301</v>
      </c>
      <c r="DC51" s="0" t="s">
        <v>303</v>
      </c>
      <c r="DD51" s="0" t="s">
        <v>797</v>
      </c>
      <c r="DE51" s="0" t="s">
        <v>216</v>
      </c>
      <c r="DF51" s="0" t="s">
        <v>216</v>
      </c>
      <c r="DG51" s="0" t="s">
        <v>216</v>
      </c>
      <c r="DH51" s="0" t="n">
        <v>0</v>
      </c>
      <c r="DI51" s="126" t="n">
        <v>376.55</v>
      </c>
      <c r="DK51" s="0" t="n">
        <v>1</v>
      </c>
      <c r="DM51" s="0" t="n">
        <v>1</v>
      </c>
      <c r="DN51" s="0" t="n">
        <v>60</v>
      </c>
      <c r="DO51" s="0" t="n">
        <v>3</v>
      </c>
      <c r="DP51" s="0" t="n">
        <v>1</v>
      </c>
      <c r="DQ51" s="0" t="n">
        <v>1</v>
      </c>
      <c r="DR51" s="0"/>
      <c r="DS51" s="0" t="n">
        <v>1</v>
      </c>
      <c r="DU51" s="0" t="n">
        <v>1</v>
      </c>
      <c r="DW51" s="1" t="n">
        <v>40477</v>
      </c>
      <c r="DX51" s="1" t="n">
        <v>40526</v>
      </c>
      <c r="DZ51" s="0"/>
      <c r="EA51" s="0" t="n">
        <v>1</v>
      </c>
      <c r="EC51" s="1" t="n">
        <v>40477</v>
      </c>
      <c r="ED51" s="1" t="n">
        <v>40526</v>
      </c>
      <c r="EF51" s="0"/>
      <c r="EG51" s="0" t="n">
        <v>1</v>
      </c>
      <c r="EH51" s="0" t="n">
        <v>12</v>
      </c>
      <c r="EI51" s="0" t="n">
        <f aca="false">IF(AND(DM51=1,DN51&lt;=48),"",IF(AND(DM51=2,DN51&lt;=42),"",IF(AND(DM51=3,DN51&lt;=45),"",EH51)))</f>
        <v>12</v>
      </c>
      <c r="EJ51" s="0" t="n">
        <f aca="false">IF(EI51="","",IF(EI51&lt;9,EI51,9))</f>
        <v>9</v>
      </c>
      <c r="EK51" s="0" t="n">
        <f aca="false">IF(EI51="","",IF(EI51&gt;9,EI51-EJ51,0))</f>
        <v>3</v>
      </c>
      <c r="EL51" s="0" t="n">
        <f aca="false">IF(EI51="","",EJ51*DA51*2+EK51*DA51*3)</f>
        <v>1270.85625</v>
      </c>
      <c r="EP51" s="0" t="n">
        <v>1</v>
      </c>
      <c r="EQ51" s="0"/>
      <c r="ER51" s="0" t="n">
        <v>0</v>
      </c>
      <c r="ET51" s="0" t="n">
        <v>0</v>
      </c>
      <c r="EV51" s="0" t="n">
        <v>1</v>
      </c>
      <c r="EX51" s="0" t="n">
        <v>0</v>
      </c>
      <c r="EY51" s="0" t="n">
        <v>0</v>
      </c>
      <c r="EZ51" s="0"/>
      <c r="FA51" s="0"/>
      <c r="FB51" s="0" t="n">
        <v>0</v>
      </c>
      <c r="FF51" s="120" t="n">
        <f aca="false">(CJ51-CI51+1)/365</f>
        <v>0.136986301369863</v>
      </c>
      <c r="FG51" s="0" t="str">
        <f aca="false">CONCATENATE(F51,"/",G51)</f>
        <v>241/2011</v>
      </c>
      <c r="FH51" s="0" t="n">
        <v>0</v>
      </c>
      <c r="FI51" s="0" t="n">
        <v>0</v>
      </c>
    </row>
    <row r="52" customFormat="false" ht="15" hidden="false" customHeight="false" outlineLevel="0" collapsed="false">
      <c r="A52" s="5" t="str">
        <f aca="false">E52&amp;G52&amp;F52</f>
        <v>72011247</v>
      </c>
      <c r="B52" s="0" t="s">
        <v>203</v>
      </c>
      <c r="C52" s="1" t="n">
        <v>42409</v>
      </c>
      <c r="E52" s="0" t="n">
        <v>7</v>
      </c>
      <c r="F52" s="0" t="n">
        <v>247</v>
      </c>
      <c r="G52" s="0" t="n">
        <v>2011</v>
      </c>
      <c r="H52" s="0" t="str">
        <f aca="false">"J"&amp;E52&amp;"\"&amp;F52&amp;"\"&amp;G52&amp;"\"&amp;W52</f>
        <v>J7\247\2011\1</v>
      </c>
      <c r="I52" s="0"/>
      <c r="J52" s="1" t="n">
        <v>40583</v>
      </c>
      <c r="K52" s="0" t="n">
        <v>0</v>
      </c>
      <c r="M52" s="1" t="n">
        <v>40583</v>
      </c>
      <c r="N52" s="1" t="n">
        <v>40647</v>
      </c>
      <c r="O52" s="1"/>
      <c r="P52" s="1"/>
      <c r="Q52" s="1"/>
      <c r="T52" s="121"/>
      <c r="U52" s="121"/>
      <c r="V52" s="122" t="n">
        <f aca="false">IF(AND(E52&gt;0,F52&gt;0,G52&gt;0),COUNTIFS($E:$E,E52,$F:$F,F52,$G:$G,G52),"")</f>
        <v>1</v>
      </c>
      <c r="W52" s="122" t="n">
        <f aca="false">IF(V52="","",IF(V52=1,1,IF(AND(E51=E52,F51=F52,G51=G52),W51+1,1)))</f>
        <v>1</v>
      </c>
      <c r="X52" s="0" t="n">
        <v>1</v>
      </c>
      <c r="Y52" s="0" t="n">
        <v>4</v>
      </c>
      <c r="Z52" s="0" t="s">
        <v>798</v>
      </c>
      <c r="AA52" s="0" t="n">
        <v>0</v>
      </c>
      <c r="AB52" s="0" t="s">
        <v>799</v>
      </c>
      <c r="AC52" s="0" t="s">
        <v>251</v>
      </c>
      <c r="AD52" s="0" t="s">
        <v>229</v>
      </c>
      <c r="AE52" s="0" t="n">
        <v>0</v>
      </c>
      <c r="AF52" s="0" t="s">
        <v>800</v>
      </c>
      <c r="AG52" s="0" t="n">
        <v>0</v>
      </c>
      <c r="AH52" s="0" t="s">
        <v>801</v>
      </c>
      <c r="AI52" s="0" t="s">
        <v>287</v>
      </c>
      <c r="AJ52" s="0" t="s">
        <v>207</v>
      </c>
      <c r="AL52" s="0" t="s">
        <v>802</v>
      </c>
      <c r="AM52" s="0" t="n">
        <v>1</v>
      </c>
      <c r="AN52" s="0" t="s">
        <v>803</v>
      </c>
      <c r="AO52" s="0" t="s">
        <v>804</v>
      </c>
      <c r="AP52" s="0" t="s">
        <v>352</v>
      </c>
      <c r="AR52" s="0" t="s">
        <v>805</v>
      </c>
      <c r="AS52" s="0" t="n">
        <v>0</v>
      </c>
      <c r="AT52" s="0" t="s">
        <v>801</v>
      </c>
      <c r="AU52" s="0" t="s">
        <v>287</v>
      </c>
      <c r="AV52" s="0" t="s">
        <v>207</v>
      </c>
      <c r="AX52" s="0" t="s">
        <v>806</v>
      </c>
      <c r="AY52" s="0" t="n">
        <v>0</v>
      </c>
      <c r="AZ52" s="0" t="s">
        <v>803</v>
      </c>
      <c r="BA52" s="0" t="s">
        <v>804</v>
      </c>
      <c r="BB52" s="0" t="s">
        <v>352</v>
      </c>
      <c r="BP52" s="0" t="n">
        <v>0</v>
      </c>
      <c r="BQ52" s="0" t="n">
        <v>0</v>
      </c>
      <c r="BR52" s="0" t="n">
        <v>1</v>
      </c>
      <c r="BS52" s="0" t="s">
        <v>807</v>
      </c>
      <c r="BT52" s="0" t="s">
        <v>808</v>
      </c>
      <c r="BU52" s="0" t="s">
        <v>809</v>
      </c>
      <c r="BV52" s="123"/>
      <c r="BW52" s="123"/>
      <c r="BX52" s="123"/>
      <c r="BY52" s="123"/>
      <c r="BZ52" s="0" t="n">
        <v>0</v>
      </c>
      <c r="CA52" s="0" t="s">
        <v>216</v>
      </c>
      <c r="CD52" s="0" t="s">
        <v>296</v>
      </c>
      <c r="CE52" s="0" t="n">
        <v>0</v>
      </c>
      <c r="CF52" s="0" t="s">
        <v>810</v>
      </c>
      <c r="CG52" s="0" t="s">
        <v>218</v>
      </c>
      <c r="CI52" s="1" t="n">
        <v>40479</v>
      </c>
      <c r="CJ52" s="1" t="n">
        <v>40557</v>
      </c>
      <c r="CK52" s="124" t="n">
        <v>0.375</v>
      </c>
      <c r="CL52" s="0" t="s">
        <v>811</v>
      </c>
      <c r="CM52" s="0" t="n">
        <f aca="false">IF(OR(CI52="",CJ52=""),"",DAYS360(CI52,CJ52)/360)</f>
        <v>0.211111111111111</v>
      </c>
      <c r="CN52" s="0" t="n">
        <f aca="false">IF(OR(CI52="",CJ52=""),"",DAYS360(CI52,CJ52)/30)</f>
        <v>2.53333333333333</v>
      </c>
      <c r="CO52" s="0" t="n">
        <f aca="false">IF(OR(CI52="",CJ52=""),"",DAYS360(CI52,CJ52)/7)</f>
        <v>10.8571428571429</v>
      </c>
      <c r="CP52" s="0" t="n">
        <f aca="false">IF(OR(CI52="",CJ52=""),"",DAYS360(CI52,CJ52))</f>
        <v>76</v>
      </c>
      <c r="CQ52" s="0" t="s">
        <v>240</v>
      </c>
      <c r="CR52" s="0" t="n">
        <v>1</v>
      </c>
      <c r="CT52" s="0" t="n">
        <v>150</v>
      </c>
      <c r="CU52" s="0" t="n">
        <v>0</v>
      </c>
      <c r="CV52" s="0" t="n">
        <f aca="false">IF(OR(CT52="",CT52="NO ESPECIFICA",CT52="NO MENCIONA"),"",IF(CU52=0,CT52,IF(CU52=1,CT52/30,IF(CU52=2,CT52/15,IF(CU52=3,CT52/7,"")))))</f>
        <v>150</v>
      </c>
      <c r="CW52" s="125" t="n">
        <v>536.36</v>
      </c>
      <c r="CX52" s="0" t="n">
        <v>0</v>
      </c>
      <c r="CY52" s="0" t="n">
        <f aca="false">IF(CW52="","",IF(CX52=0,CW52,IF(CX52=1,CW52/30,IF(CX52=2,CW52/15,IF(CX52=3,CW52/7,CW52)))))</f>
        <v>536.36</v>
      </c>
      <c r="CZ52" s="0" t="n">
        <f aca="false">IF(DI52&gt;0,DI52,IF(CY52&gt;0,CY52,IF(CV52&gt;0,CV52,"")))</f>
        <v>536.36</v>
      </c>
      <c r="DA52" s="0" t="n">
        <f aca="false">IF(DM52=1,CZ52/8,IF(OR(DM52=2,DM52=4),CZ52/7,IF(DM52=3,CZ52/7.5,"")))</f>
        <v>67.045</v>
      </c>
      <c r="DB52" s="0" t="s">
        <v>301</v>
      </c>
      <c r="DC52" s="0" t="s">
        <v>303</v>
      </c>
      <c r="DD52" s="0" t="s">
        <v>299</v>
      </c>
      <c r="DE52" s="0" t="s">
        <v>259</v>
      </c>
      <c r="DF52" s="0" t="s">
        <v>300</v>
      </c>
      <c r="DG52" s="0" t="s">
        <v>812</v>
      </c>
      <c r="DH52" s="0" t="n">
        <v>0</v>
      </c>
      <c r="DI52" s="126" t="n">
        <v>536.36</v>
      </c>
      <c r="DK52" s="0" t="n">
        <v>0</v>
      </c>
      <c r="DM52" s="0" t="n">
        <v>1</v>
      </c>
      <c r="DN52" s="0" t="n">
        <v>72</v>
      </c>
      <c r="DO52" s="0" t="n">
        <v>3</v>
      </c>
      <c r="DP52" s="0" t="n">
        <v>0</v>
      </c>
      <c r="DQ52" s="0" t="n">
        <v>1</v>
      </c>
      <c r="DR52" s="0"/>
      <c r="DS52" s="0" t="n">
        <v>1</v>
      </c>
      <c r="DU52" s="0" t="n">
        <v>1</v>
      </c>
      <c r="DW52" s="1" t="n">
        <v>40479</v>
      </c>
      <c r="DX52" s="1" t="n">
        <v>40556</v>
      </c>
      <c r="DZ52" s="0"/>
      <c r="EA52" s="0" t="n">
        <v>1</v>
      </c>
      <c r="EC52" s="1" t="n">
        <v>40479</v>
      </c>
      <c r="ED52" s="1" t="n">
        <v>40556</v>
      </c>
      <c r="EF52" s="0"/>
      <c r="EG52" s="0" t="n">
        <v>1</v>
      </c>
      <c r="EH52" s="0" t="n">
        <v>18</v>
      </c>
      <c r="EI52" s="0" t="n">
        <f aca="false">IF(AND(DM52=1,DN52&lt;=48),"",IF(AND(DM52=2,DN52&lt;=42),"",IF(AND(DM52=3,DN52&lt;=45),"",EH52)))</f>
        <v>18</v>
      </c>
      <c r="EJ52" s="0" t="n">
        <f aca="false">IF(EI52="","",IF(EI52&lt;9,EI52,9))</f>
        <v>9</v>
      </c>
      <c r="EK52" s="0" t="n">
        <f aca="false">IF(EI52="","",IF(EI52&gt;9,EI52-EJ52,0))</f>
        <v>9</v>
      </c>
      <c r="EL52" s="0" t="n">
        <f aca="false">IF(EI52="","",EJ52*DA52*2+EK52*DA52*3)</f>
        <v>3017.025</v>
      </c>
      <c r="EP52" s="0" t="n">
        <v>0</v>
      </c>
      <c r="EQ52" s="0"/>
      <c r="ER52" s="0" t="n">
        <v>0</v>
      </c>
      <c r="ET52" s="0" t="n">
        <v>1</v>
      </c>
      <c r="EV52" s="0" t="n">
        <v>0</v>
      </c>
      <c r="EX52" s="0" t="n">
        <v>0</v>
      </c>
      <c r="EY52" s="0" t="n">
        <v>1</v>
      </c>
      <c r="EZ52" s="4" t="n">
        <v>734</v>
      </c>
      <c r="FA52" s="0"/>
      <c r="FB52" s="0" t="n">
        <v>1</v>
      </c>
      <c r="FF52" s="120" t="n">
        <f aca="false">(CJ52-CI52+1)/365</f>
        <v>0.216438356164384</v>
      </c>
      <c r="FG52" s="0" t="str">
        <f aca="false">CONCATENATE(F52,"/",G52)</f>
        <v>247/2011</v>
      </c>
      <c r="FH52" s="0" t="n">
        <v>0</v>
      </c>
      <c r="FI52" s="0" t="n">
        <v>0</v>
      </c>
    </row>
    <row r="53" customFormat="false" ht="15" hidden="false" customHeight="false" outlineLevel="0" collapsed="false">
      <c r="A53" s="5" t="str">
        <f aca="false">E53&amp;G53&amp;F53</f>
        <v>72011248</v>
      </c>
      <c r="B53" s="0" t="s">
        <v>203</v>
      </c>
      <c r="C53" s="1" t="n">
        <v>42409</v>
      </c>
      <c r="E53" s="0" t="n">
        <v>7</v>
      </c>
      <c r="F53" s="0" t="n">
        <v>248</v>
      </c>
      <c r="G53" s="0" t="n">
        <v>2011</v>
      </c>
      <c r="H53" s="0" t="str">
        <f aca="false">"J"&amp;E53&amp;"\"&amp;F53&amp;"\"&amp;G53&amp;"\"&amp;W53</f>
        <v>J7\248\2011\1</v>
      </c>
      <c r="I53" s="0"/>
      <c r="J53" s="1" t="n">
        <v>40583</v>
      </c>
      <c r="K53" s="0" t="n">
        <v>0</v>
      </c>
      <c r="M53" s="1"/>
      <c r="N53" s="1"/>
      <c r="O53" s="1"/>
      <c r="P53" s="1"/>
      <c r="Q53" s="1"/>
      <c r="T53" s="121"/>
      <c r="U53" s="121"/>
      <c r="V53" s="122" t="n">
        <f aca="false">IF(AND(E53&gt;0,F53&gt;0,G53&gt;0),COUNTIFS($E:$E,E53,$F:$F,F53,$G:$G,G53),"")</f>
        <v>1</v>
      </c>
      <c r="W53" s="122" t="n">
        <f aca="false">IF(V53="","",IF(V53=1,1,IF(AND(E52=E53,F52=F53,G52=G53),W52+1,1)))</f>
        <v>1</v>
      </c>
      <c r="X53" s="0" t="n">
        <v>1</v>
      </c>
      <c r="Y53" s="0" t="n">
        <v>7</v>
      </c>
      <c r="Z53" s="0" t="s">
        <v>813</v>
      </c>
      <c r="AA53" s="0" t="n">
        <v>0</v>
      </c>
      <c r="AB53" s="0" t="s">
        <v>814</v>
      </c>
      <c r="AC53" s="0" t="s">
        <v>274</v>
      </c>
      <c r="AD53" s="0" t="s">
        <v>221</v>
      </c>
      <c r="AE53" s="0" t="n">
        <v>0</v>
      </c>
      <c r="AF53" s="0" t="s">
        <v>815</v>
      </c>
      <c r="AG53" s="0" t="n">
        <v>0</v>
      </c>
      <c r="AH53" s="0" t="s">
        <v>816</v>
      </c>
      <c r="AI53" s="0" t="s">
        <v>817</v>
      </c>
      <c r="AJ53" s="0" t="s">
        <v>229</v>
      </c>
      <c r="AL53" s="0" t="s">
        <v>818</v>
      </c>
      <c r="AM53" s="0" t="n">
        <v>0</v>
      </c>
      <c r="AN53" s="0" t="s">
        <v>816</v>
      </c>
      <c r="AO53" s="0" t="s">
        <v>817</v>
      </c>
      <c r="AP53" s="0" t="s">
        <v>229</v>
      </c>
      <c r="AR53" s="0" t="s">
        <v>819</v>
      </c>
      <c r="AS53" s="0" t="n">
        <v>2</v>
      </c>
      <c r="AT53" s="0" t="s">
        <v>816</v>
      </c>
      <c r="AU53" s="0" t="s">
        <v>817</v>
      </c>
      <c r="AV53" s="0" t="s">
        <v>229</v>
      </c>
      <c r="AX53" s="0" t="s">
        <v>820</v>
      </c>
      <c r="AY53" s="0" t="n">
        <v>1</v>
      </c>
      <c r="AZ53" s="0" t="s">
        <v>816</v>
      </c>
      <c r="BA53" s="0" t="s">
        <v>817</v>
      </c>
      <c r="BB53" s="0" t="s">
        <v>229</v>
      </c>
      <c r="BD53" s="0" t="s">
        <v>821</v>
      </c>
      <c r="BE53" s="0" t="n">
        <v>1</v>
      </c>
      <c r="BF53" s="0" t="s">
        <v>816</v>
      </c>
      <c r="BG53" s="0" t="s">
        <v>817</v>
      </c>
      <c r="BH53" s="0" t="s">
        <v>229</v>
      </c>
      <c r="BP53" s="0" t="n">
        <v>0</v>
      </c>
      <c r="BQ53" s="0" t="n">
        <v>0</v>
      </c>
      <c r="BR53" s="0" t="n">
        <v>1</v>
      </c>
      <c r="BS53" s="0" t="s">
        <v>822</v>
      </c>
      <c r="BT53" s="0" t="s">
        <v>823</v>
      </c>
      <c r="BU53" s="0" t="s">
        <v>824</v>
      </c>
      <c r="BV53" s="123"/>
      <c r="BW53" s="123"/>
      <c r="BX53" s="123"/>
      <c r="BY53" s="123"/>
      <c r="BZ53" s="0" t="n">
        <v>0</v>
      </c>
      <c r="CA53" s="0" t="s">
        <v>216</v>
      </c>
      <c r="CD53" s="0" t="s">
        <v>502</v>
      </c>
      <c r="CE53" s="0" t="n">
        <v>0</v>
      </c>
      <c r="CF53" s="0" t="s">
        <v>825</v>
      </c>
      <c r="CG53" s="0" t="s">
        <v>218</v>
      </c>
      <c r="CI53" s="1" t="n">
        <v>40159</v>
      </c>
      <c r="CJ53" s="1" t="n">
        <v>40550</v>
      </c>
      <c r="CK53" s="124" t="n">
        <v>0.458333333333333</v>
      </c>
      <c r="CL53" s="0" t="s">
        <v>820</v>
      </c>
      <c r="CM53" s="0" t="n">
        <f aca="false">IF(OR(CI53="",CJ53=""),"",DAYS360(CI53,CJ53)/360)</f>
        <v>1.06944444444444</v>
      </c>
      <c r="CN53" s="0" t="n">
        <f aca="false">IF(OR(CI53="",CJ53=""),"",DAYS360(CI53,CJ53)/30)</f>
        <v>12.8333333333333</v>
      </c>
      <c r="CO53" s="0" t="n">
        <f aca="false">IF(OR(CI53="",CJ53=""),"",DAYS360(CI53,CJ53)/7)</f>
        <v>55</v>
      </c>
      <c r="CP53" s="0" t="n">
        <f aca="false">IF(OR(CI53="",CJ53=""),"",DAYS360(CI53,CJ53))</f>
        <v>385</v>
      </c>
      <c r="CQ53" s="0" t="s">
        <v>240</v>
      </c>
      <c r="CR53" s="0" t="n">
        <v>1</v>
      </c>
      <c r="CT53" s="0" t="s">
        <v>216</v>
      </c>
      <c r="CU53" s="0" t="s">
        <v>216</v>
      </c>
      <c r="CV53" s="0" t="str">
        <f aca="false">IF(OR(CT53="",CT53="NO ESPECIFICA",CT53="NO MENCIONA"),"",IF(CU53=0,CT53,IF(CU53=1,CT53/30,IF(CU53=2,CT53/15,IF(CU53=3,CT53/7,"")))))</f>
        <v/>
      </c>
      <c r="CW53" s="125" t="n">
        <v>300</v>
      </c>
      <c r="CX53" s="0" t="n">
        <v>0</v>
      </c>
      <c r="CY53" s="0" t="n">
        <f aca="false">IF(CW53="","",IF(CX53=0,CW53,IF(CX53=1,CW53/30,IF(CX53=2,CW53/15,IF(CX53=3,CW53/7,CW53)))))</f>
        <v>300</v>
      </c>
      <c r="CZ53" s="0" t="n">
        <f aca="false">IF(DI53&gt;0,DI53,IF(CY53&gt;0,CY53,IF(CV53&gt;0,CV53,"")))</f>
        <v>300</v>
      </c>
      <c r="DA53" s="0" t="n">
        <f aca="false">IF(DM53=1,CZ53/8,IF(OR(DM53=2,DM53=4),CZ53/7,IF(DM53=3,CZ53/7.5,"")))</f>
        <v>37.5</v>
      </c>
      <c r="DB53" s="0" t="s">
        <v>216</v>
      </c>
      <c r="DC53" s="0" t="s">
        <v>216</v>
      </c>
      <c r="DD53" s="0" t="s">
        <v>216</v>
      </c>
      <c r="DE53" s="0" t="s">
        <v>216</v>
      </c>
      <c r="DF53" s="0" t="s">
        <v>216</v>
      </c>
      <c r="DG53" s="0" t="s">
        <v>216</v>
      </c>
      <c r="DH53" s="0" t="n">
        <v>0</v>
      </c>
      <c r="DI53" s="126" t="n">
        <v>300</v>
      </c>
      <c r="DK53" s="0" t="n">
        <v>0</v>
      </c>
      <c r="DM53" s="0" t="n">
        <v>1</v>
      </c>
      <c r="DN53" s="0" t="n">
        <v>63</v>
      </c>
      <c r="DO53" s="0" t="n">
        <v>3</v>
      </c>
      <c r="DP53" s="0" t="n">
        <v>0</v>
      </c>
      <c r="DQ53" s="0" t="n">
        <v>1</v>
      </c>
      <c r="DR53" s="0"/>
      <c r="DS53" s="0" t="n">
        <v>1</v>
      </c>
      <c r="DU53" s="0" t="n">
        <v>1</v>
      </c>
      <c r="DW53" s="1" t="n">
        <v>40159</v>
      </c>
      <c r="DX53" s="1" t="n">
        <v>40550</v>
      </c>
      <c r="DZ53" s="0"/>
      <c r="EA53" s="0" t="n">
        <v>1</v>
      </c>
      <c r="EC53" s="1" t="n">
        <v>40179</v>
      </c>
      <c r="ED53" s="1" t="n">
        <v>40550</v>
      </c>
      <c r="EF53" s="0"/>
      <c r="EG53" s="0" t="n">
        <v>1</v>
      </c>
      <c r="EH53" s="0" t="n">
        <v>7</v>
      </c>
      <c r="EI53" s="0" t="n">
        <f aca="false">IF(AND(DM53=1,DN53&lt;=48),"",IF(AND(DM53=2,DN53&lt;=42),"",IF(AND(DM53=3,DN53&lt;=45),"",EH53)))</f>
        <v>7</v>
      </c>
      <c r="EJ53" s="0" t="n">
        <f aca="false">IF(EI53="","",IF(EI53&lt;9,EI53,9))</f>
        <v>7</v>
      </c>
      <c r="EK53" s="0" t="n">
        <f aca="false">IF(EI53="","",IF(EI53&gt;9,EI53-EJ53,0))</f>
        <v>0</v>
      </c>
      <c r="EL53" s="0" t="n">
        <f aca="false">IF(EI53="","",EJ53*DA53*2+EK53*DA53*3)</f>
        <v>525</v>
      </c>
      <c r="EP53" s="0" t="n">
        <v>0</v>
      </c>
      <c r="EQ53" s="0"/>
      <c r="ER53" s="0" t="n">
        <v>0</v>
      </c>
      <c r="ET53" s="0" t="n">
        <v>0</v>
      </c>
      <c r="EV53" s="0" t="n">
        <v>0</v>
      </c>
      <c r="EX53" s="0" t="n">
        <v>1</v>
      </c>
      <c r="EY53" s="0" t="n">
        <v>0</v>
      </c>
      <c r="EZ53" s="0"/>
      <c r="FA53" s="4" t="n">
        <v>2100</v>
      </c>
      <c r="FB53" s="0" t="n">
        <v>0</v>
      </c>
      <c r="FF53" s="120" t="n">
        <f aca="false">(CJ53-CI53+1)/365</f>
        <v>1.07397260273973</v>
      </c>
      <c r="FG53" s="0" t="str">
        <f aca="false">CONCATENATE(F53,"/",G53)</f>
        <v>248/2011</v>
      </c>
      <c r="FH53" s="0" t="n">
        <v>0</v>
      </c>
      <c r="FI53" s="0" t="n">
        <v>0</v>
      </c>
    </row>
    <row r="54" customFormat="false" ht="15" hidden="false" customHeight="false" outlineLevel="0" collapsed="false">
      <c r="A54" s="5" t="str">
        <f aca="false">E54&amp;G54&amp;F54</f>
        <v>72011256</v>
      </c>
      <c r="B54" s="0" t="s">
        <v>203</v>
      </c>
      <c r="C54" s="1" t="n">
        <v>42409</v>
      </c>
      <c r="E54" s="0" t="n">
        <v>7</v>
      </c>
      <c r="F54" s="0" t="n">
        <v>256</v>
      </c>
      <c r="G54" s="0" t="n">
        <v>2011</v>
      </c>
      <c r="H54" s="0" t="str">
        <f aca="false">"J"&amp;E54&amp;"\"&amp;F54&amp;"\"&amp;G54&amp;"\"&amp;W54</f>
        <v>J7\256\2011\1</v>
      </c>
      <c r="I54" s="0"/>
      <c r="J54" s="1" t="n">
        <v>40584</v>
      </c>
      <c r="K54" s="0" t="n">
        <v>0</v>
      </c>
      <c r="M54" s="1" t="n">
        <v>40584</v>
      </c>
      <c r="N54" s="1" t="n">
        <v>40652</v>
      </c>
      <c r="O54" s="1"/>
      <c r="P54" s="1"/>
      <c r="Q54" s="1"/>
      <c r="T54" s="121"/>
      <c r="U54" s="121"/>
      <c r="V54" s="122" t="n">
        <f aca="false">IF(AND(E54&gt;0,F54&gt;0,G54&gt;0),COUNTIFS($E:$E,E54,$F:$F,F54,$G:$G,G54),"")</f>
        <v>1</v>
      </c>
      <c r="W54" s="122" t="n">
        <f aca="false">IF(V54="","",IF(V54=1,1,IF(AND(E53=E54,F53=F54,G53=G54),W53+1,1)))</f>
        <v>1</v>
      </c>
      <c r="X54" s="0" t="n">
        <v>1</v>
      </c>
      <c r="Y54" s="0" t="n">
        <v>4</v>
      </c>
      <c r="Z54" s="0" t="s">
        <v>826</v>
      </c>
      <c r="AA54" s="0" t="n">
        <v>0</v>
      </c>
      <c r="AB54" s="0" t="s">
        <v>827</v>
      </c>
      <c r="AC54" s="0" t="s">
        <v>287</v>
      </c>
      <c r="AD54" s="0" t="s">
        <v>207</v>
      </c>
      <c r="AE54" s="0" t="n">
        <v>0</v>
      </c>
      <c r="AF54" s="0" t="s">
        <v>828</v>
      </c>
      <c r="AG54" s="0" t="n">
        <v>0</v>
      </c>
      <c r="AH54" s="0" t="s">
        <v>829</v>
      </c>
      <c r="AI54" s="0" t="s">
        <v>830</v>
      </c>
      <c r="AJ54" s="0" t="s">
        <v>322</v>
      </c>
      <c r="AL54" s="0" t="s">
        <v>831</v>
      </c>
      <c r="AM54" s="0" t="n">
        <v>0</v>
      </c>
      <c r="AN54" s="0" t="s">
        <v>829</v>
      </c>
      <c r="AO54" s="0" t="s">
        <v>830</v>
      </c>
      <c r="AP54" s="0" t="s">
        <v>322</v>
      </c>
      <c r="AR54" s="0" t="s">
        <v>832</v>
      </c>
      <c r="AS54" s="0" t="n">
        <v>1</v>
      </c>
      <c r="AT54" s="0" t="s">
        <v>829</v>
      </c>
      <c r="AU54" s="0" t="s">
        <v>830</v>
      </c>
      <c r="AV54" s="0" t="s">
        <v>322</v>
      </c>
      <c r="AX54" s="0" t="s">
        <v>833</v>
      </c>
      <c r="AY54" s="0" t="n">
        <v>1</v>
      </c>
      <c r="AZ54" s="0" t="s">
        <v>829</v>
      </c>
      <c r="BA54" s="0" t="s">
        <v>830</v>
      </c>
      <c r="BB54" s="0" t="s">
        <v>322</v>
      </c>
      <c r="BP54" s="0" t="n">
        <v>0</v>
      </c>
      <c r="BQ54" s="0" t="n">
        <v>0</v>
      </c>
      <c r="BR54" s="0" t="n">
        <v>1</v>
      </c>
      <c r="BS54" s="0" t="s">
        <v>834</v>
      </c>
      <c r="BT54" s="0" t="s">
        <v>835</v>
      </c>
      <c r="BU54" s="0" t="s">
        <v>836</v>
      </c>
      <c r="BV54" s="123"/>
      <c r="BW54" s="123"/>
      <c r="BX54" s="123"/>
      <c r="BY54" s="123"/>
      <c r="BZ54" s="0" t="n">
        <v>0</v>
      </c>
      <c r="CA54" s="0" t="s">
        <v>216</v>
      </c>
      <c r="CD54" s="0" t="s">
        <v>256</v>
      </c>
      <c r="CE54" s="0" t="n">
        <v>0</v>
      </c>
      <c r="CF54" s="0" t="s">
        <v>837</v>
      </c>
      <c r="CG54" s="0" t="s">
        <v>218</v>
      </c>
      <c r="CI54" s="1" t="n">
        <v>39860</v>
      </c>
      <c r="CJ54" s="1" t="n">
        <v>40564</v>
      </c>
      <c r="CK54" s="124" t="n">
        <v>0.5</v>
      </c>
      <c r="CL54" s="0" t="s">
        <v>832</v>
      </c>
      <c r="CM54" s="0" t="n">
        <f aca="false">IF(OR(CI54="",CJ54=""),"",DAYS360(CI54,CJ54)/360)</f>
        <v>1.93055555555556</v>
      </c>
      <c r="CN54" s="0" t="n">
        <f aca="false">IF(OR(CI54="",CJ54=""),"",DAYS360(CI54,CJ54)/30)</f>
        <v>23.1666666666667</v>
      </c>
      <c r="CO54" s="0" t="n">
        <f aca="false">IF(OR(CI54="",CJ54=""),"",DAYS360(CI54,CJ54)/7)</f>
        <v>99.2857142857143</v>
      </c>
      <c r="CP54" s="0" t="n">
        <f aca="false">IF(OR(CI54="",CJ54=""),"",DAYS360(CI54,CJ54))</f>
        <v>695</v>
      </c>
      <c r="CQ54" s="0" t="s">
        <v>220</v>
      </c>
      <c r="CR54" s="0" t="n">
        <v>1</v>
      </c>
      <c r="CT54" s="0" t="s">
        <v>216</v>
      </c>
      <c r="CU54" s="0" t="s">
        <v>216</v>
      </c>
      <c r="CV54" s="0" t="str">
        <f aca="false">IF(OR(CT54="",CT54="NO ESPECIFICA",CT54="NO MENCIONA"),"",IF(CU54=0,CT54,IF(CU54=1,CT54/30,IF(CU54=2,CT54/15,IF(CU54=3,CT54/7,"")))))</f>
        <v/>
      </c>
      <c r="CW54" s="125" t="n">
        <v>18000</v>
      </c>
      <c r="CX54" s="0" t="n">
        <v>1</v>
      </c>
      <c r="CY54" s="0" t="n">
        <f aca="false">IF(CW54="","",IF(CX54=0,CW54,IF(CX54=1,CW54/30,IF(CX54=2,CW54/15,IF(CX54=3,CW54/7,CW54)))))</f>
        <v>600</v>
      </c>
      <c r="CZ54" s="0" t="n">
        <f aca="false">IF(DI54&gt;0,DI54,IF(CY54&gt;0,CY54,IF(CV54&gt;0,CV54,"")))</f>
        <v>600</v>
      </c>
      <c r="DA54" s="0" t="n">
        <f aca="false">IF(DM54=1,CZ54/8,IF(OR(DM54=2,DM54=4),CZ54/7,IF(DM54=3,CZ54/7.5,"")))</f>
        <v>75</v>
      </c>
      <c r="DB54" s="0" t="s">
        <v>216</v>
      </c>
      <c r="DC54" s="0" t="s">
        <v>216</v>
      </c>
      <c r="DD54" s="0" t="s">
        <v>216</v>
      </c>
      <c r="DE54" s="0" t="s">
        <v>216</v>
      </c>
      <c r="DF54" s="0" t="s">
        <v>216</v>
      </c>
      <c r="DG54" s="0" t="s">
        <v>216</v>
      </c>
      <c r="DH54" s="0" t="n">
        <v>0</v>
      </c>
      <c r="DI54" s="126" t="n">
        <v>600</v>
      </c>
      <c r="DK54" s="0" t="n">
        <v>1</v>
      </c>
      <c r="DM54" s="0" t="n">
        <v>1</v>
      </c>
      <c r="DN54" s="0" t="n">
        <v>45</v>
      </c>
      <c r="DO54" s="0" t="n">
        <v>3</v>
      </c>
      <c r="DP54" s="0" t="n">
        <v>1</v>
      </c>
      <c r="DQ54" s="0" t="n">
        <v>1</v>
      </c>
      <c r="DR54" s="0"/>
      <c r="DS54" s="0" t="n">
        <v>1</v>
      </c>
      <c r="DU54" s="0" t="n">
        <v>1</v>
      </c>
      <c r="DW54" s="1" t="n">
        <v>40225</v>
      </c>
      <c r="DX54" s="1" t="n">
        <v>40564</v>
      </c>
      <c r="DZ54" s="0"/>
      <c r="EA54" s="0" t="n">
        <v>1</v>
      </c>
      <c r="EC54" s="1" t="n">
        <v>40544</v>
      </c>
      <c r="ED54" s="1" t="n">
        <v>40564</v>
      </c>
      <c r="EF54" s="0"/>
      <c r="EG54" s="0" t="n">
        <v>1</v>
      </c>
      <c r="EH54" s="0" t="n">
        <v>5</v>
      </c>
      <c r="EI54" s="0" t="str">
        <f aca="false">IF(AND(DM54=1,DN54&lt;=48),"",IF(AND(DM54=2,DN54&lt;=42),"",IF(AND(DM54=3,DN54&lt;=45),"",EH54)))</f>
        <v/>
      </c>
      <c r="EJ54" s="0" t="str">
        <f aca="false">IF(EI54="","",IF(EI54&lt;9,EI54,9))</f>
        <v/>
      </c>
      <c r="EK54" s="0" t="str">
        <f aca="false">IF(EI54="","",IF(EI54&gt;9,EI54-EJ54,0))</f>
        <v/>
      </c>
      <c r="EL54" s="0" t="str">
        <f aca="false">IF(EI54="","",EJ54*DA54*2+EK54*DA54*3)</f>
        <v/>
      </c>
      <c r="EP54" s="0" t="n">
        <v>0</v>
      </c>
      <c r="EQ54" s="0"/>
      <c r="ER54" s="0" t="n">
        <v>0</v>
      </c>
      <c r="ET54" s="0" t="n">
        <v>0</v>
      </c>
      <c r="EV54" s="0" t="n">
        <v>0</v>
      </c>
      <c r="EX54" s="0" t="n">
        <v>0</v>
      </c>
      <c r="EY54" s="0" t="n">
        <v>0</v>
      </c>
      <c r="EZ54" s="0"/>
      <c r="FA54" s="0"/>
      <c r="FB54" s="0" t="n">
        <v>1</v>
      </c>
      <c r="FF54" s="120" t="n">
        <f aca="false">(CJ54-CI54+1)/365</f>
        <v>1.93150684931507</v>
      </c>
      <c r="FG54" s="0" t="str">
        <f aca="false">CONCATENATE(F54,"/",G54)</f>
        <v>256/2011</v>
      </c>
      <c r="FH54" s="0" t="n">
        <v>0</v>
      </c>
      <c r="FI54" s="0" t="n">
        <v>0</v>
      </c>
    </row>
    <row r="55" customFormat="false" ht="15" hidden="false" customHeight="false" outlineLevel="0" collapsed="false">
      <c r="A55" s="5" t="str">
        <f aca="false">E55&amp;G55&amp;F55</f>
        <v>72011258</v>
      </c>
      <c r="B55" s="0" t="s">
        <v>203</v>
      </c>
      <c r="C55" s="1" t="n">
        <v>42409</v>
      </c>
      <c r="E55" s="0" t="n">
        <v>7</v>
      </c>
      <c r="F55" s="0" t="n">
        <v>258</v>
      </c>
      <c r="G55" s="0" t="n">
        <v>2011</v>
      </c>
      <c r="H55" s="0" t="str">
        <f aca="false">"J"&amp;E55&amp;"\"&amp;F55&amp;"\"&amp;G55&amp;"\"&amp;W55</f>
        <v>J7\258\2011\1</v>
      </c>
      <c r="I55" s="0"/>
      <c r="J55" s="1" t="n">
        <v>40584</v>
      </c>
      <c r="K55" s="0" t="n">
        <v>1</v>
      </c>
      <c r="L55" s="0" t="s">
        <v>838</v>
      </c>
      <c r="M55" s="1" t="n">
        <v>40584</v>
      </c>
      <c r="N55" s="1" t="n">
        <v>40652</v>
      </c>
      <c r="O55" s="1"/>
      <c r="P55" s="1"/>
      <c r="Q55" s="1"/>
      <c r="T55" s="121"/>
      <c r="U55" s="121"/>
      <c r="V55" s="122" t="n">
        <f aca="false">IF(AND(E55&gt;0,F55&gt;0,G55&gt;0),COUNTIFS($E:$E,E55,$F:$F,F55,$G:$G,G55),"")</f>
        <v>1</v>
      </c>
      <c r="W55" s="122" t="n">
        <f aca="false">IF(V55="","",IF(V55=1,1,IF(AND(E54=E55,F54=F55,G54=G55),W54+1,1)))</f>
        <v>1</v>
      </c>
      <c r="X55" s="0" t="n">
        <v>1</v>
      </c>
      <c r="Y55" s="0" t="n">
        <v>3</v>
      </c>
      <c r="Z55" s="0" t="s">
        <v>839</v>
      </c>
      <c r="AA55" s="0" t="n">
        <v>0</v>
      </c>
      <c r="AB55" s="0" t="s">
        <v>840</v>
      </c>
      <c r="AC55" s="0" t="s">
        <v>321</v>
      </c>
      <c r="AD55" s="0" t="s">
        <v>229</v>
      </c>
      <c r="AE55" s="0" t="n">
        <v>0</v>
      </c>
      <c r="AF55" s="0" t="s">
        <v>841</v>
      </c>
      <c r="AG55" s="0" t="n">
        <v>0</v>
      </c>
      <c r="AH55" s="0" t="s">
        <v>842</v>
      </c>
      <c r="AI55" s="0" t="s">
        <v>843</v>
      </c>
      <c r="AJ55" s="0" t="s">
        <v>211</v>
      </c>
      <c r="AL55" s="0" t="s">
        <v>844</v>
      </c>
      <c r="AM55" s="0" t="n">
        <v>1</v>
      </c>
      <c r="AN55" s="0" t="s">
        <v>842</v>
      </c>
      <c r="AO55" s="0" t="s">
        <v>843</v>
      </c>
      <c r="AP55" s="0" t="s">
        <v>211</v>
      </c>
      <c r="AR55" s="0" t="s">
        <v>213</v>
      </c>
      <c r="AS55" s="0" t="n">
        <v>1</v>
      </c>
      <c r="AT55" s="0" t="s">
        <v>842</v>
      </c>
      <c r="AU55" s="0" t="s">
        <v>843</v>
      </c>
      <c r="AV55" s="0" t="s">
        <v>211</v>
      </c>
      <c r="BP55" s="0" t="n">
        <v>0</v>
      </c>
      <c r="BQ55" s="0" t="n">
        <v>0</v>
      </c>
      <c r="BR55" s="0" t="n">
        <v>1</v>
      </c>
      <c r="BS55" s="0" t="s">
        <v>845</v>
      </c>
      <c r="BT55" s="0" t="s">
        <v>846</v>
      </c>
      <c r="BU55" s="0" t="s">
        <v>847</v>
      </c>
      <c r="BV55" s="123"/>
      <c r="BW55" s="123"/>
      <c r="BX55" s="123"/>
      <c r="BY55" s="123"/>
      <c r="BZ55" s="0" t="n">
        <v>0</v>
      </c>
      <c r="CA55" s="0" t="s">
        <v>848</v>
      </c>
      <c r="CD55" s="0" t="s">
        <v>256</v>
      </c>
      <c r="CE55" s="0" t="n">
        <v>0</v>
      </c>
      <c r="CF55" s="0" t="s">
        <v>849</v>
      </c>
      <c r="CG55" s="0" t="s">
        <v>218</v>
      </c>
      <c r="CI55" s="1" t="n">
        <v>33462</v>
      </c>
      <c r="CJ55" s="1" t="n">
        <v>40532</v>
      </c>
      <c r="CK55" s="124" t="n">
        <v>0.416666666666667</v>
      </c>
      <c r="CL55" s="0" t="s">
        <v>850</v>
      </c>
      <c r="CM55" s="0" t="n">
        <f aca="false">IF(OR(CI55="",CJ55=""),"",DAYS360(CI55,CJ55)/360)</f>
        <v>19.3555555555556</v>
      </c>
      <c r="CN55" s="0" t="n">
        <f aca="false">IF(OR(CI55="",CJ55=""),"",DAYS360(CI55,CJ55)/30)</f>
        <v>232.266666666667</v>
      </c>
      <c r="CO55" s="0" t="n">
        <f aca="false">IF(OR(CI55="",CJ55=""),"",DAYS360(CI55,CJ55)/7)</f>
        <v>995.428571428571</v>
      </c>
      <c r="CP55" s="0" t="n">
        <f aca="false">IF(OR(CI55="",CJ55=""),"",DAYS360(CI55,CJ55))</f>
        <v>6968</v>
      </c>
      <c r="CQ55" s="0" t="s">
        <v>240</v>
      </c>
      <c r="CR55" s="0" t="n">
        <v>1</v>
      </c>
      <c r="CT55" s="0" t="s">
        <v>221</v>
      </c>
      <c r="CU55" s="0" t="s">
        <v>221</v>
      </c>
      <c r="CV55" s="0" t="str">
        <f aca="false">IF(OR(CT55="",CT55="NO ESPECIFICA",CT55="NO MENCIONA"),"",IF(CU55=0,CT55,IF(CU55=1,CT55/30,IF(CU55=2,CT55/15,IF(CU55=3,CT55/7,"")))))</f>
        <v/>
      </c>
      <c r="CW55" s="125" t="n">
        <v>29062.8</v>
      </c>
      <c r="CX55" s="0" t="n">
        <v>1</v>
      </c>
      <c r="CY55" s="0" t="n">
        <f aca="false">IF(CW55="","",IF(CX55=0,CW55,IF(CX55=1,CW55/30,IF(CX55=2,CW55/15,IF(CX55=3,CW55/7,CW55)))))</f>
        <v>968.76</v>
      </c>
      <c r="CZ55" s="0" t="n">
        <f aca="false">IF(DI55&gt;0,DI55,IF(CY55&gt;0,CY55,IF(CV55&gt;0,CV55,"")))</f>
        <v>968.76</v>
      </c>
      <c r="DA55" s="0" t="n">
        <f aca="false">IF(DM55=1,CZ55/8,IF(OR(DM55=2,DM55=4),CZ55/7,IF(DM55=3,CZ55/7.5,"")))</f>
        <v>121.095</v>
      </c>
      <c r="DB55" s="0" t="s">
        <v>301</v>
      </c>
      <c r="DC55" s="0" t="s">
        <v>303</v>
      </c>
      <c r="DD55" s="0" t="s">
        <v>302</v>
      </c>
      <c r="DE55" s="0" t="s">
        <v>851</v>
      </c>
      <c r="DF55" s="0" t="s">
        <v>216</v>
      </c>
      <c r="DG55" s="0" t="s">
        <v>216</v>
      </c>
      <c r="DH55" s="0" t="n">
        <v>0</v>
      </c>
      <c r="DI55" s="126" t="n">
        <v>968.76</v>
      </c>
      <c r="DK55" s="0" t="n">
        <v>0</v>
      </c>
      <c r="DM55" s="0" t="n">
        <v>1</v>
      </c>
      <c r="DN55" s="0" t="n">
        <v>60</v>
      </c>
      <c r="DO55" s="0" t="n">
        <v>3</v>
      </c>
      <c r="DP55" s="0" t="n">
        <v>0</v>
      </c>
      <c r="DQ55" s="0" t="n">
        <v>1</v>
      </c>
      <c r="DR55" s="0"/>
      <c r="DS55" s="0" t="n">
        <v>1</v>
      </c>
      <c r="DU55" s="0" t="n">
        <v>1</v>
      </c>
      <c r="DW55" s="1" t="n">
        <v>39814</v>
      </c>
      <c r="DX55" s="1" t="n">
        <v>40178</v>
      </c>
      <c r="DZ55" s="0" t="n">
        <v>22000</v>
      </c>
      <c r="EA55" s="0" t="n">
        <v>0</v>
      </c>
      <c r="EC55" s="1" t="n">
        <v>39814</v>
      </c>
      <c r="ED55" s="1" t="n">
        <v>40178</v>
      </c>
      <c r="EF55" s="0" t="n">
        <v>28000</v>
      </c>
      <c r="EG55" s="0" t="n">
        <v>1</v>
      </c>
      <c r="EH55" s="0" t="n">
        <v>11</v>
      </c>
      <c r="EI55" s="0" t="n">
        <f aca="false">IF(AND(DM55=1,DN55&lt;=48),"",IF(AND(DM55=2,DN55&lt;=42),"",IF(AND(DM55=3,DN55&lt;=45),"",EH55)))</f>
        <v>11</v>
      </c>
      <c r="EJ55" s="0" t="n">
        <f aca="false">IF(EI55="","",IF(EI55&lt;9,EI55,9))</f>
        <v>9</v>
      </c>
      <c r="EK55" s="0" t="n">
        <f aca="false">IF(EI55="","",IF(EI55&gt;9,EI55-EJ55,0))</f>
        <v>2</v>
      </c>
      <c r="EL55" s="0" t="n">
        <f aca="false">IF(EI55="","",EJ55*DA55*2+EK55*DA55*3)</f>
        <v>2906.28</v>
      </c>
      <c r="EP55" s="0" t="n">
        <v>0</v>
      </c>
      <c r="EQ55" s="0"/>
      <c r="ER55" s="0" t="n">
        <v>0</v>
      </c>
      <c r="ET55" s="0" t="n">
        <v>0</v>
      </c>
      <c r="EV55" s="0" t="n">
        <v>0</v>
      </c>
      <c r="EX55" s="0" t="n">
        <v>1</v>
      </c>
      <c r="EY55" s="0" t="n">
        <v>0</v>
      </c>
      <c r="EZ55" s="0"/>
      <c r="FA55" s="4" t="n">
        <v>146150.08</v>
      </c>
      <c r="FB55" s="0" t="n">
        <v>0</v>
      </c>
      <c r="FF55" s="120" t="n">
        <f aca="false">(CJ55-CI55+1)/365</f>
        <v>19.372602739726</v>
      </c>
      <c r="FG55" s="0" t="str">
        <f aca="false">CONCATENATE(F55,"/",G55)</f>
        <v>258/2011</v>
      </c>
      <c r="FH55" s="0" t="n">
        <v>0</v>
      </c>
      <c r="FI55" s="0" t="n">
        <v>0</v>
      </c>
    </row>
    <row r="56" customFormat="false" ht="15" hidden="false" customHeight="false" outlineLevel="0" collapsed="false">
      <c r="A56" s="5" t="str">
        <f aca="false">E56&amp;G56&amp;F56</f>
        <v>72011260</v>
      </c>
      <c r="B56" s="0" t="s">
        <v>203</v>
      </c>
      <c r="C56" s="1" t="n">
        <v>42409</v>
      </c>
      <c r="E56" s="0" t="n">
        <v>7</v>
      </c>
      <c r="F56" s="0" t="n">
        <v>260</v>
      </c>
      <c r="G56" s="0" t="n">
        <v>2011</v>
      </c>
      <c r="H56" s="0" t="str">
        <f aca="false">"J"&amp;E56&amp;"\"&amp;F56&amp;"\"&amp;G56&amp;"\"&amp;W56</f>
        <v>J7\260\2011\1</v>
      </c>
      <c r="I56" s="0"/>
      <c r="J56" s="1" t="n">
        <v>40584</v>
      </c>
      <c r="K56" s="0" t="n">
        <v>1</v>
      </c>
      <c r="L56" s="0" t="s">
        <v>528</v>
      </c>
      <c r="M56" s="1" t="n">
        <v>40584</v>
      </c>
      <c r="N56" s="1" t="n">
        <v>40658</v>
      </c>
      <c r="O56" s="1"/>
      <c r="P56" s="1"/>
      <c r="Q56" s="1"/>
      <c r="T56" s="121"/>
      <c r="U56" s="121"/>
      <c r="V56" s="122" t="n">
        <f aca="false">IF(AND(E56&gt;0,F56&gt;0,G56&gt;0),COUNTIFS($E:$E,E56,$F:$F,F56,$G:$G,G56),"")</f>
        <v>1</v>
      </c>
      <c r="W56" s="122" t="n">
        <f aca="false">IF(V56="","",IF(V56=1,1,IF(AND(E55=E56,F55=F56,G55=G56),W55+1,1)))</f>
        <v>1</v>
      </c>
      <c r="X56" s="0" t="n">
        <v>1</v>
      </c>
      <c r="Y56" s="0" t="n">
        <v>4</v>
      </c>
      <c r="Z56" s="0" t="s">
        <v>852</v>
      </c>
      <c r="AA56" s="0" t="n">
        <v>0</v>
      </c>
      <c r="AB56" s="0" t="s">
        <v>348</v>
      </c>
      <c r="AC56" s="0" t="s">
        <v>216</v>
      </c>
      <c r="AD56" s="0" t="s">
        <v>216</v>
      </c>
      <c r="AE56" s="0" t="n">
        <v>0</v>
      </c>
      <c r="AF56" s="0" t="s">
        <v>853</v>
      </c>
      <c r="AG56" s="0" t="n">
        <v>0</v>
      </c>
      <c r="AH56" s="0" t="s">
        <v>854</v>
      </c>
      <c r="AI56" s="0" t="s">
        <v>855</v>
      </c>
      <c r="AJ56" s="0" t="s">
        <v>207</v>
      </c>
      <c r="AL56" s="0" t="s">
        <v>856</v>
      </c>
      <c r="AM56" s="0" t="n">
        <v>1</v>
      </c>
      <c r="AN56" s="0" t="s">
        <v>854</v>
      </c>
      <c r="AO56" s="0" t="s">
        <v>855</v>
      </c>
      <c r="AP56" s="0" t="s">
        <v>207</v>
      </c>
      <c r="AR56" s="0" t="s">
        <v>857</v>
      </c>
      <c r="AS56" s="0" t="n">
        <v>1</v>
      </c>
      <c r="AT56" s="0" t="s">
        <v>854</v>
      </c>
      <c r="AU56" s="0" t="s">
        <v>855</v>
      </c>
      <c r="AV56" s="0" t="s">
        <v>207</v>
      </c>
      <c r="AX56" s="0" t="s">
        <v>213</v>
      </c>
      <c r="AY56" s="0" t="n">
        <v>1</v>
      </c>
      <c r="AZ56" s="0" t="s">
        <v>854</v>
      </c>
      <c r="BA56" s="0" t="s">
        <v>855</v>
      </c>
      <c r="BB56" s="0" t="s">
        <v>207</v>
      </c>
      <c r="BP56" s="0" t="n">
        <v>0</v>
      </c>
      <c r="BQ56" s="0" t="n">
        <v>0</v>
      </c>
      <c r="BR56" s="0" t="n">
        <v>3</v>
      </c>
      <c r="BS56" s="0" t="s">
        <v>858</v>
      </c>
      <c r="BT56" s="0" t="s">
        <v>859</v>
      </c>
      <c r="BU56" s="0" t="s">
        <v>426</v>
      </c>
      <c r="BV56" s="123"/>
      <c r="BW56" s="123"/>
      <c r="BX56" s="123"/>
      <c r="BY56" s="123"/>
      <c r="BZ56" s="0" t="n">
        <v>0</v>
      </c>
      <c r="CA56" s="0" t="s">
        <v>348</v>
      </c>
      <c r="CD56" s="0" t="s">
        <v>370</v>
      </c>
      <c r="CE56" s="0" t="n">
        <v>0</v>
      </c>
      <c r="CF56" s="0" t="s">
        <v>860</v>
      </c>
      <c r="CG56" s="0" t="s">
        <v>218</v>
      </c>
      <c r="CI56" s="1" t="n">
        <v>40120</v>
      </c>
      <c r="CJ56" s="1" t="n">
        <v>40534</v>
      </c>
      <c r="CK56" s="124" t="n">
        <v>0.458333333333333</v>
      </c>
      <c r="CL56" s="0" t="s">
        <v>857</v>
      </c>
      <c r="CM56" s="0" t="n">
        <f aca="false">IF(OR(CI56="",CJ56=""),"",DAYS360(CI56,CJ56)/360)</f>
        <v>1.13611111111111</v>
      </c>
      <c r="CN56" s="0" t="n">
        <f aca="false">IF(OR(CI56="",CJ56=""),"",DAYS360(CI56,CJ56)/30)</f>
        <v>13.6333333333333</v>
      </c>
      <c r="CO56" s="0" t="n">
        <f aca="false">IF(OR(CI56="",CJ56=""),"",DAYS360(CI56,CJ56)/7)</f>
        <v>58.4285714285714</v>
      </c>
      <c r="CP56" s="0" t="n">
        <f aca="false">IF(OR(CI56="",CJ56=""),"",DAYS360(CI56,CJ56))</f>
        <v>409</v>
      </c>
      <c r="CQ56" s="0" t="s">
        <v>240</v>
      </c>
      <c r="CR56" s="0" t="n">
        <v>1</v>
      </c>
      <c r="CT56" s="0" t="n">
        <v>550</v>
      </c>
      <c r="CU56" s="0" t="n">
        <v>0</v>
      </c>
      <c r="CV56" s="0" t="n">
        <f aca="false">IF(OR(CT56="",CT56="NO ESPECIFICA",CT56="NO MENCIONA"),"",IF(CU56=0,CT56,IF(CU56=1,CT56/30,IF(CU56=2,CT56/15,IF(CU56=3,CT56/7,"")))))</f>
        <v>550</v>
      </c>
      <c r="CW56" s="125" t="n">
        <v>575.61</v>
      </c>
      <c r="CX56" s="0" t="n">
        <v>0</v>
      </c>
      <c r="CY56" s="0" t="n">
        <f aca="false">IF(CW56="","",IF(CX56=0,CW56,IF(CX56=1,CW56/30,IF(CX56=2,CW56/15,IF(CX56=3,CW56/7,CW56)))))</f>
        <v>575.61</v>
      </c>
      <c r="CZ56" s="0" t="n">
        <f aca="false">IF(DI56&gt;0,DI56,IF(CY56&gt;0,CY56,IF(CV56&gt;0,CV56,"")))</f>
        <v>575.61</v>
      </c>
      <c r="DA56" s="0" t="n">
        <f aca="false">IF(DM56=1,CZ56/8,IF(OR(DM56=2,DM56=4),CZ56/7,IF(DM56=3,CZ56/7.5,"")))</f>
        <v>71.95125</v>
      </c>
      <c r="DB56" s="0" t="s">
        <v>303</v>
      </c>
      <c r="DC56" s="0" t="s">
        <v>301</v>
      </c>
      <c r="DD56" s="0" t="s">
        <v>216</v>
      </c>
      <c r="DE56" s="0" t="s">
        <v>216</v>
      </c>
      <c r="DF56" s="0" t="s">
        <v>216</v>
      </c>
      <c r="DG56" s="0" t="s">
        <v>216</v>
      </c>
      <c r="DH56" s="0" t="n">
        <v>0</v>
      </c>
      <c r="DI56" s="126" t="n">
        <v>575.61</v>
      </c>
      <c r="DK56" s="0" t="n">
        <v>0</v>
      </c>
      <c r="DM56" s="0" t="n">
        <v>1</v>
      </c>
      <c r="DN56" s="0" t="n">
        <v>65</v>
      </c>
      <c r="DO56" s="0" t="n">
        <v>3</v>
      </c>
      <c r="DP56" s="0" t="n">
        <v>0</v>
      </c>
      <c r="DQ56" s="0" t="n">
        <v>1</v>
      </c>
      <c r="DR56" s="0"/>
      <c r="DS56" s="0" t="n">
        <v>1</v>
      </c>
      <c r="DU56" s="0" t="n">
        <v>1</v>
      </c>
      <c r="DW56" s="1" t="n">
        <v>40120</v>
      </c>
      <c r="DX56" s="1" t="n">
        <v>40534</v>
      </c>
      <c r="DZ56" s="0"/>
      <c r="EA56" s="0" t="n">
        <v>1</v>
      </c>
      <c r="EC56" s="1" t="n">
        <v>40179</v>
      </c>
      <c r="ED56" s="1" t="n">
        <v>40534</v>
      </c>
      <c r="EF56" s="0"/>
      <c r="EG56" s="0" t="n">
        <v>0</v>
      </c>
      <c r="EI56" s="0" t="n">
        <f aca="false">IF(AND(DM56=1,DN56&lt;=48),"",IF(AND(DM56=2,DN56&lt;=42),"",IF(AND(DM56=3,DN56&lt;=45),"",EH56)))</f>
        <v>0</v>
      </c>
      <c r="EJ56" s="0" t="str">
        <f aca="false">IF(EI56="","",IF(EI56&lt;9,EI56,9))</f>
        <v/>
      </c>
      <c r="EK56" s="0" t="str">
        <f aca="false">IF(EI56="","",IF(EI56&gt;9,EI56-EJ56,0))</f>
        <v/>
      </c>
      <c r="EL56" s="0" t="str">
        <f aca="false">IF(EI56="","",EJ56*DA56*2+EK56*DA56*3)</f>
        <v/>
      </c>
      <c r="EP56" s="0" t="n">
        <v>0</v>
      </c>
      <c r="EQ56" s="0"/>
      <c r="ER56" s="0" t="n">
        <v>0</v>
      </c>
      <c r="ET56" s="0" t="n">
        <v>0</v>
      </c>
      <c r="EV56" s="0" t="n">
        <v>0</v>
      </c>
      <c r="EX56" s="0" t="n">
        <v>0</v>
      </c>
      <c r="EY56" s="0" t="n">
        <v>0</v>
      </c>
      <c r="EZ56" s="0"/>
      <c r="FA56" s="0"/>
      <c r="FB56" s="0" t="n">
        <v>1</v>
      </c>
      <c r="FF56" s="120" t="n">
        <f aca="false">(CJ56-CI56+1)/365</f>
        <v>1.13698630136986</v>
      </c>
      <c r="FG56" s="0" t="str">
        <f aca="false">CONCATENATE(F56,"/",G56)</f>
        <v>260/2011</v>
      </c>
      <c r="FH56" s="0" t="n">
        <v>0</v>
      </c>
      <c r="FI56" s="0" t="n">
        <v>0</v>
      </c>
    </row>
    <row r="57" customFormat="false" ht="15" hidden="false" customHeight="false" outlineLevel="0" collapsed="false">
      <c r="A57" s="5" t="str">
        <f aca="false">E57&amp;G57&amp;F57</f>
        <v>72011267</v>
      </c>
      <c r="B57" s="0" t="s">
        <v>203</v>
      </c>
      <c r="C57" s="1" t="n">
        <v>42409</v>
      </c>
      <c r="E57" s="0" t="n">
        <v>7</v>
      </c>
      <c r="F57" s="0" t="n">
        <v>267</v>
      </c>
      <c r="G57" s="0" t="n">
        <v>2011</v>
      </c>
      <c r="H57" s="0" t="str">
        <f aca="false">"J"&amp;E57&amp;"\"&amp;F57&amp;"\"&amp;G57&amp;"\"&amp;W57</f>
        <v>J7\267\2011\1</v>
      </c>
      <c r="I57" s="0"/>
      <c r="J57" s="1" t="n">
        <v>40585</v>
      </c>
      <c r="K57" s="0" t="n">
        <v>0</v>
      </c>
      <c r="M57" s="1" t="n">
        <v>40585</v>
      </c>
      <c r="N57" s="1" t="n">
        <v>40658</v>
      </c>
      <c r="O57" s="1"/>
      <c r="P57" s="1"/>
      <c r="Q57" s="1"/>
      <c r="T57" s="121"/>
      <c r="U57" s="121"/>
      <c r="V57" s="122" t="n">
        <f aca="false">IF(AND(E57&gt;0,F57&gt;0,G57&gt;0),COUNTIFS($E:$E,E57,$F:$F,F57,$G:$G,G57),"")</f>
        <v>1</v>
      </c>
      <c r="W57" s="122" t="n">
        <f aca="false">IF(V57="","",IF(V57=1,1,IF(AND(E56=E57,F56=F57,G56=G57),W56+1,1)))</f>
        <v>1</v>
      </c>
      <c r="X57" s="0" t="n">
        <v>1</v>
      </c>
      <c r="Y57" s="0" t="n">
        <v>3</v>
      </c>
      <c r="Z57" s="0" t="s">
        <v>861</v>
      </c>
      <c r="AA57" s="0" t="n">
        <v>0</v>
      </c>
      <c r="AB57" s="0" t="s">
        <v>862</v>
      </c>
      <c r="AC57" s="0" t="s">
        <v>287</v>
      </c>
      <c r="AD57" s="0" t="s">
        <v>207</v>
      </c>
      <c r="AE57" s="0" t="n">
        <v>0</v>
      </c>
      <c r="AF57" s="0" t="s">
        <v>863</v>
      </c>
      <c r="AG57" s="0" t="n">
        <v>0</v>
      </c>
      <c r="AH57" s="0" t="s">
        <v>864</v>
      </c>
      <c r="AI57" s="0" t="s">
        <v>865</v>
      </c>
      <c r="AJ57" s="0" t="s">
        <v>221</v>
      </c>
      <c r="AL57" s="0" t="s">
        <v>866</v>
      </c>
      <c r="AM57" s="0" t="n">
        <v>0</v>
      </c>
      <c r="AN57" s="0" t="s">
        <v>867</v>
      </c>
      <c r="AO57" s="0" t="s">
        <v>868</v>
      </c>
      <c r="AP57" s="0" t="s">
        <v>221</v>
      </c>
      <c r="AR57" s="0" t="s">
        <v>869</v>
      </c>
      <c r="AS57" s="0" t="n">
        <v>0</v>
      </c>
      <c r="AT57" s="0" t="s">
        <v>870</v>
      </c>
      <c r="AU57" s="0" t="s">
        <v>206</v>
      </c>
      <c r="AV57" s="0" t="s">
        <v>221</v>
      </c>
      <c r="BP57" s="0" t="n">
        <v>0</v>
      </c>
      <c r="BQ57" s="0" t="n">
        <v>0</v>
      </c>
      <c r="BR57" s="0" t="n">
        <v>1</v>
      </c>
      <c r="BS57" s="0" t="s">
        <v>871</v>
      </c>
      <c r="BT57" s="0" t="s">
        <v>872</v>
      </c>
      <c r="BU57" s="0" t="s">
        <v>873</v>
      </c>
      <c r="BV57" s="123"/>
      <c r="BW57" s="123"/>
      <c r="BX57" s="123"/>
      <c r="BY57" s="123"/>
      <c r="BZ57" s="0" t="n">
        <v>0</v>
      </c>
      <c r="CA57" s="0" t="s">
        <v>874</v>
      </c>
      <c r="CD57" s="0" t="s">
        <v>296</v>
      </c>
      <c r="CE57" s="0" t="n">
        <v>0</v>
      </c>
      <c r="CF57" s="0" t="s">
        <v>875</v>
      </c>
      <c r="CG57" s="0" t="s">
        <v>218</v>
      </c>
      <c r="CI57" s="1" t="n">
        <v>40441</v>
      </c>
      <c r="CJ57" s="1" t="n">
        <v>40543</v>
      </c>
      <c r="CK57" s="124" t="n">
        <v>0.625</v>
      </c>
      <c r="CL57" s="0" t="s">
        <v>876</v>
      </c>
      <c r="CM57" s="0" t="n">
        <f aca="false">IF(OR(CI57="",CJ57=""),"",DAYS360(CI57,CJ57)/360)</f>
        <v>0.280555555555556</v>
      </c>
      <c r="CN57" s="0" t="n">
        <f aca="false">IF(OR(CI57="",CJ57=""),"",DAYS360(CI57,CJ57)/30)</f>
        <v>3.36666666666667</v>
      </c>
      <c r="CO57" s="0" t="n">
        <f aca="false">IF(OR(CI57="",CJ57=""),"",DAYS360(CI57,CJ57)/7)</f>
        <v>14.4285714285714</v>
      </c>
      <c r="CP57" s="0" t="n">
        <f aca="false">IF(OR(CI57="",CJ57=""),"",DAYS360(CI57,CJ57))</f>
        <v>101</v>
      </c>
      <c r="CQ57" s="0" t="s">
        <v>220</v>
      </c>
      <c r="CR57" s="0" t="n">
        <v>1</v>
      </c>
      <c r="CT57" s="0" t="n">
        <v>1800</v>
      </c>
      <c r="CU57" s="0" t="n">
        <v>2</v>
      </c>
      <c r="CV57" s="0" t="n">
        <f aca="false">IF(OR(CT57="",CT57="NO ESPECIFICA",CT57="NO MENCIONA"),"",IF(CU57=0,CT57,IF(CU57=1,CT57/30,IF(CU57=2,CT57/15,IF(CU57=3,CT57/7,"")))))</f>
        <v>120</v>
      </c>
      <c r="CW57" s="125" t="n">
        <v>123.33</v>
      </c>
      <c r="CX57" s="0" t="n">
        <v>0</v>
      </c>
      <c r="CY57" s="0" t="n">
        <f aca="false">IF(CW57="","",IF(CX57=0,CW57,IF(CX57=1,CW57/30,IF(CX57=2,CW57/15,IF(CX57=3,CW57/7,CW57)))))</f>
        <v>123.33</v>
      </c>
      <c r="CZ57" s="0" t="n">
        <f aca="false">IF(DI57&gt;0,DI57,IF(CY57&gt;0,CY57,IF(CV57&gt;0,CV57,"")))</f>
        <v>123.33</v>
      </c>
      <c r="DA57" s="0" t="n">
        <f aca="false">IF(DM57=1,CZ57/8,IF(OR(DM57=2,DM57=4),CZ57/7,IF(DM57=3,CZ57/7.5,"")))</f>
        <v>16.444</v>
      </c>
      <c r="DB57" s="0" t="s">
        <v>301</v>
      </c>
      <c r="DC57" s="0" t="s">
        <v>303</v>
      </c>
      <c r="DD57" s="0" t="s">
        <v>216</v>
      </c>
      <c r="DE57" s="0" t="s">
        <v>216</v>
      </c>
      <c r="DF57" s="0" t="s">
        <v>216</v>
      </c>
      <c r="DG57" s="0" t="s">
        <v>216</v>
      </c>
      <c r="DH57" s="0" t="n">
        <v>0</v>
      </c>
      <c r="DI57" s="126" t="n">
        <v>123.33</v>
      </c>
      <c r="DK57" s="0" t="n">
        <v>0</v>
      </c>
      <c r="DM57" s="0" t="n">
        <v>3</v>
      </c>
      <c r="DN57" s="0" t="n">
        <v>42</v>
      </c>
      <c r="DO57" s="0" t="n">
        <v>3</v>
      </c>
      <c r="DP57" s="0" t="n">
        <v>1</v>
      </c>
      <c r="DQ57" s="0" t="n">
        <v>1</v>
      </c>
      <c r="DR57" s="0"/>
      <c r="DS57" s="0" t="n">
        <v>1</v>
      </c>
      <c r="DU57" s="0" t="n">
        <v>1</v>
      </c>
      <c r="DW57" s="1" t="n">
        <v>40441</v>
      </c>
      <c r="DX57" s="1" t="n">
        <v>40543</v>
      </c>
      <c r="DZ57" s="0"/>
      <c r="EA57" s="0" t="n">
        <v>1</v>
      </c>
      <c r="EC57" s="1" t="n">
        <v>40441</v>
      </c>
      <c r="ED57" s="1" t="n">
        <v>40543</v>
      </c>
      <c r="EF57" s="0"/>
      <c r="EG57" s="0" t="n">
        <v>0</v>
      </c>
      <c r="EI57" s="0" t="str">
        <f aca="false">IF(AND(DM57=1,DN57&lt;=48),"",IF(AND(DM57=2,DN57&lt;=42),"",IF(AND(DM57=3,DN57&lt;=45),"",EH57)))</f>
        <v/>
      </c>
      <c r="EJ57" s="0" t="str">
        <f aca="false">IF(EI57="","",IF(EI57&lt;9,EI57,9))</f>
        <v/>
      </c>
      <c r="EK57" s="0" t="str">
        <f aca="false">IF(EI57="","",IF(EI57&gt;9,EI57-EJ57,0))</f>
        <v/>
      </c>
      <c r="EL57" s="0" t="str">
        <f aca="false">IF(EI57="","",EJ57*DA57*2+EK57*DA57*3)</f>
        <v/>
      </c>
      <c r="EP57" s="0" t="n">
        <v>1</v>
      </c>
      <c r="EQ57" s="0"/>
      <c r="ER57" s="0" t="n">
        <v>0</v>
      </c>
      <c r="ET57" s="0" t="n">
        <v>0</v>
      </c>
      <c r="EV57" s="0" t="n">
        <v>0</v>
      </c>
      <c r="EX57" s="0" t="n">
        <v>0</v>
      </c>
      <c r="EY57" s="0" t="n">
        <v>0</v>
      </c>
      <c r="EZ57" s="0"/>
      <c r="FA57" s="0"/>
      <c r="FB57" s="0" t="n">
        <v>1</v>
      </c>
      <c r="FF57" s="120" t="n">
        <f aca="false">(CJ57-CI57+1)/365</f>
        <v>0.282191780821918</v>
      </c>
      <c r="FG57" s="0" t="str">
        <f aca="false">CONCATENATE(F57,"/",G57)</f>
        <v>267/2011</v>
      </c>
      <c r="FH57" s="0" t="n">
        <v>0</v>
      </c>
      <c r="FI57" s="0" t="n">
        <v>0</v>
      </c>
    </row>
    <row r="58" customFormat="false" ht="15" hidden="false" customHeight="false" outlineLevel="0" collapsed="false">
      <c r="A58" s="5" t="str">
        <f aca="false">E58&amp;G58&amp;F58</f>
        <v>72011269</v>
      </c>
      <c r="B58" s="0" t="s">
        <v>203</v>
      </c>
      <c r="C58" s="1" t="n">
        <v>42409</v>
      </c>
      <c r="E58" s="0" t="n">
        <v>7</v>
      </c>
      <c r="F58" s="0" t="n">
        <v>269</v>
      </c>
      <c r="G58" s="0" t="n">
        <v>2011</v>
      </c>
      <c r="H58" s="0" t="str">
        <f aca="false">"J"&amp;E58&amp;"\"&amp;F58&amp;"\"&amp;G58&amp;"\"&amp;W58</f>
        <v>J7\269\2011\1</v>
      </c>
      <c r="I58" s="0"/>
      <c r="J58" s="1" t="n">
        <v>40585</v>
      </c>
      <c r="K58" s="0" t="n">
        <v>1</v>
      </c>
      <c r="L58" s="0" t="s">
        <v>838</v>
      </c>
      <c r="M58" s="1" t="n">
        <v>40585</v>
      </c>
      <c r="N58" s="1" t="n">
        <v>40659</v>
      </c>
      <c r="O58" s="1"/>
      <c r="P58" s="1"/>
      <c r="Q58" s="1"/>
      <c r="T58" s="121"/>
      <c r="U58" s="121"/>
      <c r="V58" s="122" t="n">
        <f aca="false">IF(AND(E58&gt;0,F58&gt;0,G58&gt;0),COUNTIFS($E:$E,E58,$F:$F,F58,$G:$G,G58),"")</f>
        <v>1</v>
      </c>
      <c r="W58" s="122" t="n">
        <f aca="false">IF(V58="","",IF(V58=1,1,IF(AND(E57=E58,F57=F58,G57=G58),W57+1,1)))</f>
        <v>1</v>
      </c>
      <c r="X58" s="0" t="n">
        <v>1</v>
      </c>
      <c r="Y58" s="0" t="n">
        <v>2</v>
      </c>
      <c r="Z58" s="0" t="s">
        <v>877</v>
      </c>
      <c r="AA58" s="0" t="n">
        <v>0</v>
      </c>
      <c r="AB58" s="0" t="s">
        <v>878</v>
      </c>
      <c r="AC58" s="0" t="s">
        <v>318</v>
      </c>
      <c r="AD58" s="0" t="s">
        <v>229</v>
      </c>
      <c r="AE58" s="0" t="n">
        <v>0</v>
      </c>
      <c r="AF58" s="0" t="s">
        <v>879</v>
      </c>
      <c r="AG58" s="0" t="n">
        <v>1</v>
      </c>
      <c r="AH58" s="0" t="s">
        <v>880</v>
      </c>
      <c r="AI58" s="0" t="s">
        <v>881</v>
      </c>
      <c r="AJ58" s="0" t="s">
        <v>229</v>
      </c>
      <c r="AL58" s="0" t="s">
        <v>213</v>
      </c>
      <c r="AM58" s="0" t="n">
        <v>1</v>
      </c>
      <c r="AN58" s="0" t="s">
        <v>880</v>
      </c>
      <c r="AO58" s="0" t="s">
        <v>881</v>
      </c>
      <c r="AP58" s="0" t="s">
        <v>229</v>
      </c>
      <c r="BP58" s="0" t="n">
        <v>0</v>
      </c>
      <c r="BQ58" s="0" t="n">
        <v>0</v>
      </c>
      <c r="BR58" s="0" t="n">
        <v>1</v>
      </c>
      <c r="BS58" s="0" t="s">
        <v>882</v>
      </c>
      <c r="BT58" s="0" t="s">
        <v>883</v>
      </c>
      <c r="BU58" s="0" t="s">
        <v>884</v>
      </c>
      <c r="BV58" s="123"/>
      <c r="BW58" s="123"/>
      <c r="BX58" s="123"/>
      <c r="BY58" s="123"/>
      <c r="BZ58" s="0" t="n">
        <v>0</v>
      </c>
      <c r="CA58" s="0" t="s">
        <v>216</v>
      </c>
      <c r="CD58" s="0" t="s">
        <v>885</v>
      </c>
      <c r="CE58" s="0" t="n">
        <v>0</v>
      </c>
      <c r="CF58" s="0" t="s">
        <v>886</v>
      </c>
      <c r="CG58" s="0" t="s">
        <v>218</v>
      </c>
      <c r="CI58" s="1" t="n">
        <v>40330</v>
      </c>
      <c r="CJ58" s="1" t="n">
        <v>40583</v>
      </c>
      <c r="CK58" s="124" t="n">
        <v>0.333333333333333</v>
      </c>
      <c r="CL58" s="0" t="s">
        <v>879</v>
      </c>
      <c r="CM58" s="0" t="n">
        <f aca="false">IF(OR(CI58="",CJ58=""),"",DAYS360(CI58,CJ58)/360)</f>
        <v>0.688888888888889</v>
      </c>
      <c r="CN58" s="0" t="n">
        <f aca="false">IF(OR(CI58="",CJ58=""),"",DAYS360(CI58,CJ58)/30)</f>
        <v>8.26666666666667</v>
      </c>
      <c r="CO58" s="0" t="n">
        <f aca="false">IF(OR(CI58="",CJ58=""),"",DAYS360(CI58,CJ58)/7)</f>
        <v>35.4285714285714</v>
      </c>
      <c r="CP58" s="0" t="n">
        <f aca="false">IF(OR(CI58="",CJ58=""),"",DAYS360(CI58,CJ58))</f>
        <v>248</v>
      </c>
      <c r="CQ58" s="0" t="s">
        <v>240</v>
      </c>
      <c r="CR58" s="0" t="n">
        <v>1</v>
      </c>
      <c r="CT58" s="0" t="s">
        <v>221</v>
      </c>
      <c r="CU58" s="0" t="s">
        <v>221</v>
      </c>
      <c r="CV58" s="0" t="str">
        <f aca="false">IF(OR(CT58="",CT58="NO ESPECIFICA",CT58="NO MENCIONA"),"",IF(CU58=0,CT58,IF(CU58=1,CT58/30,IF(CU58=2,CT58/15,IF(CU58=3,CT58/7,"")))))</f>
        <v/>
      </c>
      <c r="CW58" s="125" t="n">
        <v>1050</v>
      </c>
      <c r="CX58" s="0" t="n">
        <v>3</v>
      </c>
      <c r="CY58" s="0" t="n">
        <f aca="false">IF(CW58="","",IF(CX58=0,CW58,IF(CX58=1,CW58/30,IF(CX58=2,CW58/15,IF(CX58=3,CW58/7,CW58)))))</f>
        <v>150</v>
      </c>
      <c r="CZ58" s="0" t="n">
        <f aca="false">IF(DI58&gt;0,DI58,IF(CY58&gt;0,CY58,IF(CV58&gt;0,CV58,"")))</f>
        <v>150</v>
      </c>
      <c r="DA58" s="0" t="n">
        <f aca="false">IF(DM58=1,CZ58/8,IF(OR(DM58=2,DM58=4),CZ58/7,IF(DM58=3,CZ58/7.5,"")))</f>
        <v>18.75</v>
      </c>
      <c r="DB58" s="0" t="s">
        <v>216</v>
      </c>
      <c r="DC58" s="0" t="s">
        <v>216</v>
      </c>
      <c r="DD58" s="0" t="s">
        <v>216</v>
      </c>
      <c r="DE58" s="0" t="s">
        <v>216</v>
      </c>
      <c r="DF58" s="0" t="s">
        <v>216</v>
      </c>
      <c r="DG58" s="0" t="s">
        <v>216</v>
      </c>
      <c r="DH58" s="0" t="n">
        <v>0</v>
      </c>
      <c r="DI58" s="126" t="n">
        <v>150</v>
      </c>
      <c r="DK58" s="0" t="n">
        <v>0</v>
      </c>
      <c r="DM58" s="0" t="n">
        <v>1</v>
      </c>
      <c r="DN58" s="0" t="n">
        <v>72</v>
      </c>
      <c r="DO58" s="0" t="n">
        <v>3</v>
      </c>
      <c r="DP58" s="0" t="n">
        <v>0</v>
      </c>
      <c r="DQ58" s="0" t="n">
        <v>1</v>
      </c>
      <c r="DR58" s="0"/>
      <c r="DS58" s="0" t="n">
        <v>1</v>
      </c>
      <c r="DU58" s="0" t="n">
        <v>1</v>
      </c>
      <c r="DW58" s="1" t="n">
        <v>40330</v>
      </c>
      <c r="DX58" s="1" t="n">
        <v>40583</v>
      </c>
      <c r="DZ58" s="0"/>
      <c r="EA58" s="0" t="n">
        <v>1</v>
      </c>
      <c r="EC58" s="1" t="n">
        <v>40330</v>
      </c>
      <c r="ED58" s="1" t="n">
        <v>40583</v>
      </c>
      <c r="EF58" s="0"/>
      <c r="EG58" s="0" t="n">
        <v>1</v>
      </c>
      <c r="EH58" s="0" t="n">
        <v>24</v>
      </c>
      <c r="EI58" s="0" t="n">
        <f aca="false">IF(AND(DM58=1,DN58&lt;=48),"",IF(AND(DM58=2,DN58&lt;=42),"",IF(AND(DM58=3,DN58&lt;=45),"",EH58)))</f>
        <v>24</v>
      </c>
      <c r="EJ58" s="0" t="n">
        <f aca="false">IF(EI58="","",IF(EI58&lt;9,EI58,9))</f>
        <v>9</v>
      </c>
      <c r="EK58" s="0" t="n">
        <f aca="false">IF(EI58="","",IF(EI58&gt;9,EI58-EJ58,0))</f>
        <v>15</v>
      </c>
      <c r="EL58" s="0" t="n">
        <f aca="false">IF(EI58="","",EJ58*DA58*2+EK58*DA58*3)</f>
        <v>1181.25</v>
      </c>
      <c r="EP58" s="0" t="n">
        <v>0</v>
      </c>
      <c r="EQ58" s="0"/>
      <c r="ER58" s="0" t="n">
        <v>1</v>
      </c>
      <c r="ET58" s="0" t="n">
        <v>1</v>
      </c>
      <c r="EV58" s="0" t="n">
        <v>0</v>
      </c>
      <c r="EX58" s="0" t="n">
        <v>0</v>
      </c>
      <c r="EY58" s="0" t="n">
        <v>0</v>
      </c>
      <c r="EZ58" s="0"/>
      <c r="FA58" s="4" t="n">
        <v>600</v>
      </c>
      <c r="FB58" s="0" t="n">
        <v>0</v>
      </c>
      <c r="FF58" s="120" t="n">
        <f aca="false">(CJ58-CI58+1)/365</f>
        <v>0.695890410958904</v>
      </c>
      <c r="FG58" s="0" t="str">
        <f aca="false">CONCATENATE(F58,"/",G58)</f>
        <v>269/2011</v>
      </c>
      <c r="FH58" s="0" t="n">
        <v>0</v>
      </c>
      <c r="FI58" s="0" t="n">
        <v>0</v>
      </c>
    </row>
    <row r="59" customFormat="false" ht="15" hidden="false" customHeight="false" outlineLevel="0" collapsed="false">
      <c r="A59" s="5" t="str">
        <f aca="false">E59&amp;G59&amp;F59</f>
        <v>72011270</v>
      </c>
      <c r="B59" s="0" t="s">
        <v>203</v>
      </c>
      <c r="C59" s="1" t="n">
        <v>42409</v>
      </c>
      <c r="E59" s="0" t="n">
        <v>7</v>
      </c>
      <c r="F59" s="0" t="n">
        <v>270</v>
      </c>
      <c r="G59" s="0" t="n">
        <v>2011</v>
      </c>
      <c r="H59" s="0" t="str">
        <f aca="false">"J"&amp;E59&amp;"\"&amp;F59&amp;"\"&amp;G59&amp;"\"&amp;W59</f>
        <v>J7\270\2011\1</v>
      </c>
      <c r="I59" s="0"/>
      <c r="J59" s="1" t="n">
        <v>40585</v>
      </c>
      <c r="K59" s="0" t="n">
        <v>0</v>
      </c>
      <c r="M59" s="1" t="n">
        <v>40585</v>
      </c>
      <c r="N59" s="1" t="n">
        <v>40659</v>
      </c>
      <c r="O59" s="1"/>
      <c r="P59" s="1"/>
      <c r="Q59" s="1"/>
      <c r="T59" s="121"/>
      <c r="U59" s="121"/>
      <c r="V59" s="122" t="n">
        <f aca="false">IF(AND(E59&gt;0,F59&gt;0,G59&gt;0),COUNTIFS($E:$E,E59,$F:$F,F59,$G:$G,G59),"")</f>
        <v>1</v>
      </c>
      <c r="W59" s="122" t="n">
        <f aca="false">IF(V59="","",IF(V59=1,1,IF(AND(E58=E59,F58=F59,G58=G59),W58+1,1)))</f>
        <v>1</v>
      </c>
      <c r="X59" s="0" t="n">
        <v>1</v>
      </c>
      <c r="Y59" s="0" t="n">
        <v>3</v>
      </c>
      <c r="Z59" s="0" t="s">
        <v>887</v>
      </c>
      <c r="AA59" s="0" t="n">
        <v>0</v>
      </c>
      <c r="AB59" s="0" t="s">
        <v>348</v>
      </c>
      <c r="AC59" s="0" t="s">
        <v>216</v>
      </c>
      <c r="AD59" s="0" t="s">
        <v>216</v>
      </c>
      <c r="AE59" s="0" t="n">
        <v>0</v>
      </c>
      <c r="AF59" s="0" t="s">
        <v>888</v>
      </c>
      <c r="AG59" s="0" t="n">
        <v>0</v>
      </c>
      <c r="AH59" s="0" t="s">
        <v>889</v>
      </c>
      <c r="AI59" s="0" t="s">
        <v>890</v>
      </c>
      <c r="AJ59" s="0" t="s">
        <v>755</v>
      </c>
      <c r="AL59" s="0" t="s">
        <v>891</v>
      </c>
      <c r="AM59" s="0" t="n">
        <v>1</v>
      </c>
      <c r="AN59" s="0" t="s">
        <v>889</v>
      </c>
      <c r="AO59" s="0" t="s">
        <v>890</v>
      </c>
      <c r="AP59" s="0" t="s">
        <v>755</v>
      </c>
      <c r="AR59" s="0" t="s">
        <v>213</v>
      </c>
      <c r="AS59" s="0" t="n">
        <v>1</v>
      </c>
      <c r="AT59" s="0" t="s">
        <v>889</v>
      </c>
      <c r="AU59" s="0" t="s">
        <v>890</v>
      </c>
      <c r="AV59" s="0" t="s">
        <v>755</v>
      </c>
      <c r="BP59" s="0" t="n">
        <v>0</v>
      </c>
      <c r="BQ59" s="0" t="n">
        <v>0</v>
      </c>
      <c r="BR59" s="0" t="n">
        <v>3</v>
      </c>
      <c r="BS59" s="0" t="s">
        <v>651</v>
      </c>
      <c r="BT59" s="0" t="s">
        <v>500</v>
      </c>
      <c r="BU59" s="0" t="s">
        <v>501</v>
      </c>
      <c r="BV59" s="123"/>
      <c r="BW59" s="123"/>
      <c r="BX59" s="123"/>
      <c r="BY59" s="123"/>
      <c r="BZ59" s="0" t="n">
        <v>0</v>
      </c>
      <c r="CA59" s="0" t="s">
        <v>348</v>
      </c>
      <c r="CD59" s="0" t="s">
        <v>370</v>
      </c>
      <c r="CE59" s="0" t="n">
        <v>0</v>
      </c>
      <c r="CF59" s="0" t="s">
        <v>892</v>
      </c>
      <c r="CG59" s="0" t="s">
        <v>218</v>
      </c>
      <c r="CI59" s="1" t="n">
        <v>37338</v>
      </c>
      <c r="CJ59" s="1" t="n">
        <v>40529</v>
      </c>
      <c r="CK59" s="124" t="n">
        <v>0.354166666666667</v>
      </c>
      <c r="CL59" s="0" t="s">
        <v>891</v>
      </c>
      <c r="CM59" s="0" t="n">
        <f aca="false">IF(OR(CI59="",CJ59=""),"",DAYS360(CI59,CJ59)/360)</f>
        <v>8.73333333333333</v>
      </c>
      <c r="CN59" s="0" t="n">
        <f aca="false">IF(OR(CI59="",CJ59=""),"",DAYS360(CI59,CJ59)/30)</f>
        <v>104.8</v>
      </c>
      <c r="CO59" s="0" t="n">
        <f aca="false">IF(OR(CI59="",CJ59=""),"",DAYS360(CI59,CJ59)/7)</f>
        <v>449.142857142857</v>
      </c>
      <c r="CP59" s="0" t="n">
        <f aca="false">IF(OR(CI59="",CJ59=""),"",DAYS360(CI59,CJ59))</f>
        <v>3144</v>
      </c>
      <c r="CQ59" s="0" t="s">
        <v>240</v>
      </c>
      <c r="CR59" s="0" t="n">
        <v>1</v>
      </c>
      <c r="CT59" s="0" t="n">
        <v>160</v>
      </c>
      <c r="CU59" s="0" t="n">
        <v>0</v>
      </c>
      <c r="CV59" s="0" t="n">
        <f aca="false">IF(OR(CT59="",CT59="NO ESPECIFICA",CT59="NO MENCIONA"),"",IF(CU59=0,CT59,IF(CU59=1,CT59/30,IF(CU59=2,CT59/15,IF(CU59=3,CT59/7,"")))))</f>
        <v>160</v>
      </c>
      <c r="CW59" s="125" t="n">
        <v>167.23</v>
      </c>
      <c r="CX59" s="0" t="n">
        <v>0</v>
      </c>
      <c r="CY59" s="0" t="n">
        <f aca="false">IF(CW59="","",IF(CX59=0,CW59,IF(CX59=1,CW59/30,IF(CX59=2,CW59/15,IF(CX59=3,CW59/7,CW59)))))</f>
        <v>167.23</v>
      </c>
      <c r="CZ59" s="0" t="n">
        <f aca="false">IF(DI59&gt;0,DI59,IF(CY59&gt;0,CY59,IF(CV59&gt;0,CV59,"")))</f>
        <v>167.23</v>
      </c>
      <c r="DA59" s="0" t="n">
        <f aca="false">IF(DM59=1,CZ59/8,IF(OR(DM59=2,DM59=4),CZ59/7,IF(DM59=3,CZ59/7.5,"")))</f>
        <v>20.90375</v>
      </c>
      <c r="DB59" s="0" t="s">
        <v>303</v>
      </c>
      <c r="DC59" s="0" t="s">
        <v>301</v>
      </c>
      <c r="DD59" s="0" t="s">
        <v>216</v>
      </c>
      <c r="DE59" s="0" t="s">
        <v>216</v>
      </c>
      <c r="DF59" s="0" t="s">
        <v>216</v>
      </c>
      <c r="DG59" s="0" t="s">
        <v>216</v>
      </c>
      <c r="DH59" s="0" t="n">
        <v>0</v>
      </c>
      <c r="DI59" s="126" t="n">
        <v>167.23</v>
      </c>
      <c r="DK59" s="0" t="n">
        <v>0</v>
      </c>
      <c r="DM59" s="0" t="n">
        <v>1</v>
      </c>
      <c r="DN59" s="0" t="n">
        <v>57</v>
      </c>
      <c r="DO59" s="0" t="n">
        <v>3</v>
      </c>
      <c r="DP59" s="0" t="n">
        <v>0</v>
      </c>
      <c r="DQ59" s="0" t="n">
        <v>1</v>
      </c>
      <c r="DR59" s="0"/>
      <c r="DS59" s="0" t="n">
        <v>1</v>
      </c>
      <c r="DU59" s="0" t="n">
        <v>1</v>
      </c>
      <c r="DW59" s="1" t="n">
        <v>39895</v>
      </c>
      <c r="DX59" s="1" t="n">
        <v>40529</v>
      </c>
      <c r="DZ59" s="0"/>
      <c r="EA59" s="0" t="n">
        <v>1</v>
      </c>
      <c r="EC59" s="1" t="n">
        <v>39814</v>
      </c>
      <c r="ED59" s="1" t="n">
        <v>40529</v>
      </c>
      <c r="EF59" s="0"/>
      <c r="EG59" s="0" t="n">
        <v>0</v>
      </c>
      <c r="EI59" s="0" t="n">
        <f aca="false">IF(AND(DM59=1,DN59&lt;=48),"",IF(AND(DM59=2,DN59&lt;=42),"",IF(AND(DM59=3,DN59&lt;=45),"",EH59)))</f>
        <v>0</v>
      </c>
      <c r="EJ59" s="0" t="str">
        <f aca="false">IF(EI59="","",IF(EI59&lt;9,EI59,9))</f>
        <v/>
      </c>
      <c r="EK59" s="0" t="str">
        <f aca="false">IF(EI59="","",IF(EI59&gt;9,EI59-EJ59,0))</f>
        <v/>
      </c>
      <c r="EL59" s="0" t="str">
        <f aca="false">IF(EI59="","",EJ59*DA59*2+EK59*DA59*3)</f>
        <v/>
      </c>
      <c r="EP59" s="0" t="n">
        <v>0</v>
      </c>
      <c r="EQ59" s="0"/>
      <c r="ER59" s="0" t="n">
        <v>0</v>
      </c>
      <c r="ET59" s="0" t="n">
        <v>0</v>
      </c>
      <c r="EV59" s="0" t="n">
        <v>0</v>
      </c>
      <c r="EX59" s="0" t="n">
        <v>0</v>
      </c>
      <c r="EY59" s="0" t="n">
        <v>0</v>
      </c>
      <c r="EZ59" s="0"/>
      <c r="FA59" s="0"/>
      <c r="FB59" s="0" t="n">
        <v>1</v>
      </c>
      <c r="FF59" s="120" t="n">
        <f aca="false">(CJ59-CI59+1)/365</f>
        <v>8.74520547945206</v>
      </c>
      <c r="FG59" s="0" t="str">
        <f aca="false">CONCATENATE(F59,"/",G59)</f>
        <v>270/2011</v>
      </c>
      <c r="FH59" s="0" t="n">
        <v>0</v>
      </c>
      <c r="FI59" s="0" t="n">
        <v>0</v>
      </c>
    </row>
    <row r="60" customFormat="false" ht="15" hidden="false" customHeight="false" outlineLevel="0" collapsed="false">
      <c r="A60" s="5" t="str">
        <f aca="false">E60&amp;G60&amp;F60</f>
        <v>72011271</v>
      </c>
      <c r="B60" s="0" t="s">
        <v>203</v>
      </c>
      <c r="C60" s="1" t="n">
        <v>42409</v>
      </c>
      <c r="E60" s="0" t="n">
        <v>7</v>
      </c>
      <c r="F60" s="0" t="n">
        <v>271</v>
      </c>
      <c r="G60" s="0" t="n">
        <v>2011</v>
      </c>
      <c r="H60" s="0" t="str">
        <f aca="false">"J"&amp;E60&amp;"\"&amp;F60&amp;"\"&amp;G60&amp;"\"&amp;W60</f>
        <v>J7\271\2011\1</v>
      </c>
      <c r="I60" s="0"/>
      <c r="J60" s="1" t="n">
        <v>40585</v>
      </c>
      <c r="K60" s="0" t="n">
        <v>0</v>
      </c>
      <c r="M60" s="1"/>
      <c r="N60" s="1"/>
      <c r="O60" s="1"/>
      <c r="P60" s="1"/>
      <c r="Q60" s="1"/>
      <c r="T60" s="121"/>
      <c r="U60" s="121"/>
      <c r="V60" s="122" t="n">
        <f aca="false">IF(AND(E60&gt;0,F60&gt;0,G60&gt;0),COUNTIFS($E:$E,E60,$F:$F,F60,$G:$G,G60),"")</f>
        <v>1</v>
      </c>
      <c r="W60" s="122" t="n">
        <f aca="false">IF(V60="","",IF(V60=1,1,IF(AND(E59=E60,F59=F60,G59=G60),W59+1,1)))</f>
        <v>1</v>
      </c>
      <c r="X60" s="0" t="n">
        <v>1</v>
      </c>
      <c r="Y60" s="0" t="n">
        <v>6</v>
      </c>
      <c r="Z60" s="0" t="s">
        <v>893</v>
      </c>
      <c r="AA60" s="0" t="n">
        <v>0</v>
      </c>
      <c r="AB60" s="0" t="s">
        <v>894</v>
      </c>
      <c r="AC60" s="0" t="s">
        <v>895</v>
      </c>
      <c r="AD60" s="0" t="s">
        <v>207</v>
      </c>
      <c r="AE60" s="0" t="n">
        <v>0</v>
      </c>
      <c r="AF60" s="0" t="s">
        <v>896</v>
      </c>
      <c r="AG60" s="0" t="n">
        <v>0</v>
      </c>
      <c r="AH60" s="0" t="s">
        <v>897</v>
      </c>
      <c r="AI60" s="0" t="s">
        <v>643</v>
      </c>
      <c r="AJ60" s="0" t="s">
        <v>221</v>
      </c>
      <c r="AL60" s="0" t="s">
        <v>898</v>
      </c>
      <c r="AM60" s="0" t="n">
        <v>0</v>
      </c>
      <c r="AN60" s="0" t="s">
        <v>897</v>
      </c>
      <c r="AO60" s="0" t="s">
        <v>643</v>
      </c>
      <c r="AP60" s="0" t="s">
        <v>221</v>
      </c>
      <c r="AR60" s="0" t="s">
        <v>899</v>
      </c>
      <c r="AS60" s="0" t="n">
        <v>1</v>
      </c>
      <c r="AT60" s="0" t="s">
        <v>897</v>
      </c>
      <c r="AU60" s="0" t="s">
        <v>643</v>
      </c>
      <c r="AV60" s="0" t="s">
        <v>221</v>
      </c>
      <c r="AX60" s="0" t="s">
        <v>900</v>
      </c>
      <c r="AY60" s="0" t="n">
        <v>1</v>
      </c>
      <c r="AZ60" s="0" t="s">
        <v>897</v>
      </c>
      <c r="BA60" s="0" t="s">
        <v>643</v>
      </c>
      <c r="BB60" s="0" t="s">
        <v>221</v>
      </c>
      <c r="BD60" s="0" t="s">
        <v>901</v>
      </c>
      <c r="BE60" s="0" t="n">
        <v>1</v>
      </c>
      <c r="BF60" s="0" t="s">
        <v>897</v>
      </c>
      <c r="BG60" s="0" t="s">
        <v>643</v>
      </c>
      <c r="BH60" s="0" t="s">
        <v>221</v>
      </c>
      <c r="BJ60" s="0" t="s">
        <v>213</v>
      </c>
      <c r="BK60" s="0" t="n">
        <v>1</v>
      </c>
      <c r="BL60" s="0" t="s">
        <v>897</v>
      </c>
      <c r="BM60" s="0" t="s">
        <v>643</v>
      </c>
      <c r="BN60" s="0" t="s">
        <v>221</v>
      </c>
      <c r="BP60" s="0" t="n">
        <v>0</v>
      </c>
      <c r="BQ60" s="0" t="n">
        <v>0</v>
      </c>
      <c r="BR60" s="0" t="n">
        <v>1</v>
      </c>
      <c r="BS60" s="0" t="s">
        <v>902</v>
      </c>
      <c r="BT60" s="0" t="s">
        <v>903</v>
      </c>
      <c r="BU60" s="0" t="s">
        <v>904</v>
      </c>
      <c r="BV60" s="123"/>
      <c r="BW60" s="123"/>
      <c r="BX60" s="123"/>
      <c r="BY60" s="123"/>
      <c r="BZ60" s="0" t="n">
        <v>0</v>
      </c>
      <c r="CA60" s="0" t="s">
        <v>216</v>
      </c>
      <c r="CD60" s="0" t="s">
        <v>357</v>
      </c>
      <c r="CE60" s="0" t="n">
        <v>0</v>
      </c>
      <c r="CF60" s="0" t="s">
        <v>905</v>
      </c>
      <c r="CG60" s="0" t="s">
        <v>218</v>
      </c>
      <c r="CI60" s="1" t="n">
        <v>39793</v>
      </c>
      <c r="CJ60" s="1" t="n">
        <v>40529</v>
      </c>
      <c r="CK60" s="124" t="n">
        <v>0.5</v>
      </c>
      <c r="CL60" s="0" t="s">
        <v>906</v>
      </c>
      <c r="CM60" s="0" t="n">
        <f aca="false">IF(OR(CI60="",CJ60=""),"",DAYS360(CI60,CJ60)/360)</f>
        <v>2.01666666666667</v>
      </c>
      <c r="CN60" s="0" t="n">
        <f aca="false">IF(OR(CI60="",CJ60=""),"",DAYS360(CI60,CJ60)/30)</f>
        <v>24.2</v>
      </c>
      <c r="CO60" s="0" t="n">
        <f aca="false">IF(OR(CI60="",CJ60=""),"",DAYS360(CI60,CJ60)/7)</f>
        <v>103.714285714286</v>
      </c>
      <c r="CP60" s="0" t="n">
        <f aca="false">IF(OR(CI60="",CJ60=""),"",DAYS360(CI60,CJ60))</f>
        <v>726</v>
      </c>
      <c r="CQ60" s="0" t="s">
        <v>240</v>
      </c>
      <c r="CR60" s="0" t="n">
        <v>1</v>
      </c>
      <c r="CT60" s="0" t="s">
        <v>221</v>
      </c>
      <c r="CU60" s="0" t="s">
        <v>221</v>
      </c>
      <c r="CV60" s="0" t="str">
        <f aca="false">IF(OR(CT60="",CT60="NO ESPECIFICA",CT60="NO MENCIONA"),"",IF(CU60=0,CT60,IF(CU60=1,CT60/30,IF(CU60=2,CT60/15,IF(CU60=3,CT60/7,"")))))</f>
        <v/>
      </c>
      <c r="CW60" s="125" t="n">
        <v>15000</v>
      </c>
      <c r="CX60" s="0" t="n">
        <v>1</v>
      </c>
      <c r="CY60" s="0" t="n">
        <f aca="false">IF(CW60="","",IF(CX60=0,CW60,IF(CX60=1,CW60/30,IF(CX60=2,CW60/15,IF(CX60=3,CW60/7,CW60)))))</f>
        <v>500</v>
      </c>
      <c r="CZ60" s="0" t="n">
        <f aca="false">IF(DI60&gt;0,DI60,IF(CY60&gt;0,CY60,IF(CV60&gt;0,CV60,"")))</f>
        <v>150</v>
      </c>
      <c r="DA60" s="0" t="n">
        <f aca="false">IF(DM60=1,CZ60/8,IF(OR(DM60=2,DM60=4),CZ60/7,IF(DM60=3,CZ60/7.5,"")))</f>
        <v>18.75</v>
      </c>
      <c r="DB60" s="0" t="s">
        <v>216</v>
      </c>
      <c r="DC60" s="0" t="s">
        <v>216</v>
      </c>
      <c r="DD60" s="0" t="s">
        <v>216</v>
      </c>
      <c r="DE60" s="0" t="s">
        <v>216</v>
      </c>
      <c r="DF60" s="0" t="s">
        <v>216</v>
      </c>
      <c r="DG60" s="0" t="s">
        <v>216</v>
      </c>
      <c r="DH60" s="0" t="n">
        <v>0</v>
      </c>
      <c r="DI60" s="126" t="n">
        <v>150</v>
      </c>
      <c r="DK60" s="0" t="n">
        <v>1</v>
      </c>
      <c r="DM60" s="0" t="n">
        <v>1</v>
      </c>
      <c r="DN60" s="0" t="n">
        <v>66</v>
      </c>
      <c r="DO60" s="0" t="n">
        <v>3</v>
      </c>
      <c r="DP60" s="0" t="n">
        <v>0</v>
      </c>
      <c r="DQ60" s="0" t="n">
        <v>1</v>
      </c>
      <c r="DR60" s="0"/>
      <c r="DS60" s="0" t="n">
        <v>1</v>
      </c>
      <c r="DU60" s="0" t="n">
        <v>1</v>
      </c>
      <c r="DW60" s="1" t="n">
        <v>39793</v>
      </c>
      <c r="DX60" s="1" t="n">
        <v>40529</v>
      </c>
      <c r="DZ60" s="0"/>
      <c r="EA60" s="0" t="n">
        <v>1</v>
      </c>
      <c r="EC60" s="1" t="n">
        <v>39793</v>
      </c>
      <c r="ED60" s="1" t="n">
        <v>40529</v>
      </c>
      <c r="EF60" s="0"/>
      <c r="EG60" s="0" t="n">
        <v>1</v>
      </c>
      <c r="EH60" s="0" t="n">
        <v>18</v>
      </c>
      <c r="EI60" s="0" t="n">
        <f aca="false">IF(AND(DM60=1,DN60&lt;=48),"",IF(AND(DM60=2,DN60&lt;=42),"",IF(AND(DM60=3,DN60&lt;=45),"",EH60)))</f>
        <v>18</v>
      </c>
      <c r="EJ60" s="0" t="n">
        <f aca="false">IF(EI60="","",IF(EI60&lt;9,EI60,9))</f>
        <v>9</v>
      </c>
      <c r="EK60" s="0" t="n">
        <f aca="false">IF(EI60="","",IF(EI60&gt;9,EI60-EJ60,0))</f>
        <v>9</v>
      </c>
      <c r="EL60" s="0" t="n">
        <f aca="false">IF(EI60="","",EJ60*DA60*2+EK60*DA60*3)</f>
        <v>843.75</v>
      </c>
      <c r="EP60" s="0" t="n">
        <v>0</v>
      </c>
      <c r="EQ60" s="0"/>
      <c r="ER60" s="0" t="n">
        <v>0</v>
      </c>
      <c r="ET60" s="0" t="n">
        <v>0</v>
      </c>
      <c r="EV60" s="0" t="n">
        <v>1</v>
      </c>
      <c r="EX60" s="0" t="n">
        <v>0</v>
      </c>
      <c r="EY60" s="0" t="n">
        <v>1</v>
      </c>
      <c r="EZ60" s="0"/>
      <c r="FA60" s="4" t="n">
        <v>21000</v>
      </c>
      <c r="FB60" s="0" t="n">
        <v>1</v>
      </c>
      <c r="FF60" s="120" t="n">
        <f aca="false">(CJ60-CI60+1)/365</f>
        <v>2.01917808219178</v>
      </c>
      <c r="FG60" s="0" t="str">
        <f aca="false">CONCATENATE(F60,"/",G60)</f>
        <v>271/2011</v>
      </c>
      <c r="FH60" s="0" t="n">
        <v>0</v>
      </c>
      <c r="FI60" s="0" t="n">
        <v>0</v>
      </c>
    </row>
    <row r="61" customFormat="false" ht="15" hidden="false" customHeight="false" outlineLevel="0" collapsed="false">
      <c r="A61" s="5" t="str">
        <f aca="false">E61&amp;G61&amp;F61</f>
        <v>72011275</v>
      </c>
      <c r="B61" s="0" t="s">
        <v>203</v>
      </c>
      <c r="C61" s="1" t="n">
        <v>42409</v>
      </c>
      <c r="E61" s="0" t="n">
        <v>7</v>
      </c>
      <c r="F61" s="0" t="n">
        <v>275</v>
      </c>
      <c r="G61" s="0" t="n">
        <v>2011</v>
      </c>
      <c r="H61" s="0" t="str">
        <f aca="false">"J"&amp;E61&amp;"\"&amp;F61&amp;"\"&amp;G61&amp;"\"&amp;W61</f>
        <v>J7\275\2011\1</v>
      </c>
      <c r="I61" s="0"/>
      <c r="J61" s="1" t="n">
        <v>40585</v>
      </c>
      <c r="K61" s="0" t="n">
        <v>0</v>
      </c>
      <c r="M61" s="1"/>
      <c r="N61" s="1"/>
      <c r="O61" s="1"/>
      <c r="P61" s="1"/>
      <c r="Q61" s="1"/>
      <c r="T61" s="121"/>
      <c r="U61" s="121"/>
      <c r="V61" s="122" t="n">
        <f aca="false">IF(AND(E61&gt;0,F61&gt;0,G61&gt;0),COUNTIFS($E:$E,E61,$F:$F,F61,$G:$G,G61),"")</f>
        <v>1</v>
      </c>
      <c r="W61" s="122" t="n">
        <f aca="false">IF(V61="","",IF(V61=1,1,IF(AND(E60=E61,F60=F61,G60=G61),W60+1,1)))</f>
        <v>1</v>
      </c>
      <c r="X61" s="0" t="n">
        <v>1</v>
      </c>
      <c r="Y61" s="0" t="n">
        <v>5</v>
      </c>
      <c r="Z61" s="0" t="s">
        <v>907</v>
      </c>
      <c r="AA61" s="0" t="n">
        <v>0</v>
      </c>
      <c r="AB61" s="0" t="s">
        <v>908</v>
      </c>
      <c r="AC61" s="0" t="s">
        <v>909</v>
      </c>
      <c r="AD61" s="0" t="s">
        <v>910</v>
      </c>
      <c r="AE61" s="0" t="n">
        <v>0</v>
      </c>
      <c r="AF61" s="0" t="s">
        <v>249</v>
      </c>
      <c r="AG61" s="0" t="n">
        <v>0</v>
      </c>
      <c r="AH61" s="0" t="s">
        <v>911</v>
      </c>
      <c r="AI61" s="0" t="s">
        <v>251</v>
      </c>
      <c r="AJ61" s="0" t="s">
        <v>229</v>
      </c>
      <c r="AL61" s="0" t="s">
        <v>912</v>
      </c>
      <c r="AM61" s="0" t="n">
        <v>0</v>
      </c>
      <c r="AN61" s="0" t="s">
        <v>913</v>
      </c>
      <c r="AO61" s="0" t="s">
        <v>914</v>
      </c>
      <c r="AP61" s="0" t="s">
        <v>519</v>
      </c>
      <c r="AR61" s="0" t="s">
        <v>915</v>
      </c>
      <c r="AS61" s="0" t="n">
        <v>1</v>
      </c>
      <c r="AT61" s="0" t="s">
        <v>913</v>
      </c>
      <c r="AU61" s="0" t="s">
        <v>914</v>
      </c>
      <c r="AV61" s="0" t="s">
        <v>519</v>
      </c>
      <c r="AX61" s="0" t="s">
        <v>916</v>
      </c>
      <c r="AY61" s="0" t="n">
        <v>1</v>
      </c>
      <c r="AZ61" s="0" t="s">
        <v>913</v>
      </c>
      <c r="BA61" s="0" t="s">
        <v>914</v>
      </c>
      <c r="BB61" s="0" t="s">
        <v>519</v>
      </c>
      <c r="BD61" s="0" t="s">
        <v>213</v>
      </c>
      <c r="BE61" s="0" t="n">
        <v>1</v>
      </c>
      <c r="BF61" s="0" t="s">
        <v>913</v>
      </c>
      <c r="BG61" s="0" t="s">
        <v>914</v>
      </c>
      <c r="BH61" s="0" t="s">
        <v>519</v>
      </c>
      <c r="BP61" s="0" t="n">
        <v>0</v>
      </c>
      <c r="BQ61" s="0" t="n">
        <v>0</v>
      </c>
      <c r="BR61" s="0" t="n">
        <v>1</v>
      </c>
      <c r="BS61" s="0" t="s">
        <v>917</v>
      </c>
      <c r="BT61" s="0" t="s">
        <v>918</v>
      </c>
      <c r="BU61" s="0" t="s">
        <v>919</v>
      </c>
      <c r="BV61" s="123"/>
      <c r="BW61" s="123"/>
      <c r="BX61" s="123"/>
      <c r="BY61" s="123"/>
      <c r="BZ61" s="0" t="n">
        <v>0</v>
      </c>
      <c r="CA61" s="0" t="s">
        <v>216</v>
      </c>
      <c r="CD61" s="0" t="s">
        <v>256</v>
      </c>
      <c r="CE61" s="0" t="n">
        <v>0</v>
      </c>
      <c r="CF61" s="0" t="s">
        <v>920</v>
      </c>
      <c r="CG61" s="0" t="s">
        <v>218</v>
      </c>
      <c r="CI61" s="1" t="n">
        <v>39274</v>
      </c>
      <c r="CJ61" s="1" t="n">
        <v>40473</v>
      </c>
      <c r="CK61" s="124" t="s">
        <v>216</v>
      </c>
      <c r="CL61" s="0" t="s">
        <v>216</v>
      </c>
      <c r="CM61" s="0" t="n">
        <f aca="false">IF(OR(CI61="",CJ61=""),"",DAYS360(CI61,CJ61)/360)</f>
        <v>3.28055555555556</v>
      </c>
      <c r="CN61" s="0" t="n">
        <f aca="false">IF(OR(CI61="",CJ61=""),"",DAYS360(CI61,CJ61)/30)</f>
        <v>39.3666666666667</v>
      </c>
      <c r="CO61" s="0" t="n">
        <f aca="false">IF(OR(CI61="",CJ61=""),"",DAYS360(CI61,CJ61)/7)</f>
        <v>168.714285714286</v>
      </c>
      <c r="CP61" s="0" t="n">
        <f aca="false">IF(OR(CI61="",CJ61=""),"",DAYS360(CI61,CJ61))</f>
        <v>1181</v>
      </c>
      <c r="CQ61" s="0" t="s">
        <v>921</v>
      </c>
      <c r="CR61" s="0" t="n">
        <v>5</v>
      </c>
      <c r="CS61" s="0" t="s">
        <v>922</v>
      </c>
      <c r="CT61" s="0" t="s">
        <v>221</v>
      </c>
      <c r="CU61" s="0" t="s">
        <v>221</v>
      </c>
      <c r="CV61" s="0" t="str">
        <f aca="false">IF(OR(CT61="",CT61="NO ESPECIFICA",CT61="NO MENCIONA"),"",IF(CU61=0,CT61,IF(CU61=1,CT61/30,IF(CU61=2,CT61/15,IF(CU61=3,CT61/7,"")))))</f>
        <v/>
      </c>
      <c r="CW61" s="125" t="n">
        <v>2500</v>
      </c>
      <c r="CX61" s="0" t="n">
        <v>3</v>
      </c>
      <c r="CY61" s="0" t="n">
        <f aca="false">IF(CW61="","",IF(CX61=0,CW61,IF(CX61=1,CW61/30,IF(CX61=2,CW61/15,IF(CX61=3,CW61/7,CW61)))))</f>
        <v>357.142857142857</v>
      </c>
      <c r="CZ61" s="0" t="n">
        <f aca="false">IF(DI61&gt;0,DI61,IF(CY61&gt;0,CY61,IF(CV61&gt;0,CV61,"")))</f>
        <v>1157.14</v>
      </c>
      <c r="DA61" s="0" t="n">
        <f aca="false">IF(DM61=1,CZ61/8,IF(OR(DM61=2,DM61=4),CZ61/7,IF(DM61=3,CZ61/7.5,"")))</f>
        <v>144.6425</v>
      </c>
      <c r="DB61" s="0" t="s">
        <v>923</v>
      </c>
      <c r="DC61" s="0" t="s">
        <v>924</v>
      </c>
      <c r="DD61" s="0" t="s">
        <v>216</v>
      </c>
      <c r="DE61" s="0" t="s">
        <v>216</v>
      </c>
      <c r="DF61" s="0" t="s">
        <v>216</v>
      </c>
      <c r="DG61" s="0" t="s">
        <v>216</v>
      </c>
      <c r="DH61" s="0" t="n">
        <v>0</v>
      </c>
      <c r="DI61" s="126" t="n">
        <v>1157.14</v>
      </c>
      <c r="DK61" s="0" t="n">
        <v>0</v>
      </c>
      <c r="DM61" s="0" t="n">
        <v>1</v>
      </c>
      <c r="DN61" s="0" t="n">
        <v>60</v>
      </c>
      <c r="DO61" s="0" t="n">
        <v>3</v>
      </c>
      <c r="DP61" s="0" t="n">
        <v>0</v>
      </c>
      <c r="DQ61" s="0" t="n">
        <v>0</v>
      </c>
      <c r="DR61" s="0"/>
      <c r="DS61" s="0" t="n">
        <v>0</v>
      </c>
      <c r="DU61" s="0" t="n">
        <v>0</v>
      </c>
      <c r="DW61" s="1" t="s">
        <v>216</v>
      </c>
      <c r="DX61" s="1" t="s">
        <v>216</v>
      </c>
      <c r="DY61" s="0" t="s">
        <v>216</v>
      </c>
      <c r="DZ61" s="0" t="s">
        <v>216</v>
      </c>
      <c r="EA61" s="0" t="n">
        <v>0</v>
      </c>
      <c r="EC61" s="1" t="s">
        <v>216</v>
      </c>
      <c r="ED61" s="1" t="s">
        <v>216</v>
      </c>
      <c r="EE61" s="0" t="s">
        <v>216</v>
      </c>
      <c r="EF61" s="0" t="s">
        <v>216</v>
      </c>
      <c r="EG61" s="0" t="n">
        <v>0</v>
      </c>
      <c r="EI61" s="0" t="n">
        <f aca="false">IF(AND(DM61=1,DN61&lt;=48),"",IF(AND(DM61=2,DN61&lt;=42),"",IF(AND(DM61=3,DN61&lt;=45),"",EH61)))</f>
        <v>0</v>
      </c>
      <c r="EJ61" s="0" t="str">
        <f aca="false">IF(EI61="","",IF(EI61&lt;9,EI61,9))</f>
        <v/>
      </c>
      <c r="EK61" s="0" t="str">
        <f aca="false">IF(EI61="","",IF(EI61&gt;9,EI61-EJ61,0))</f>
        <v/>
      </c>
      <c r="EL61" s="0" t="str">
        <f aca="false">IF(EI61="","",EJ61*DA61*2+EK61*DA61*3)</f>
        <v/>
      </c>
      <c r="EP61" s="0" t="n">
        <v>0</v>
      </c>
      <c r="EQ61" s="0"/>
      <c r="ER61" s="0" t="n">
        <v>0</v>
      </c>
      <c r="ET61" s="0" t="n">
        <v>0</v>
      </c>
      <c r="EV61" s="0" t="n">
        <v>0</v>
      </c>
      <c r="EX61" s="0" t="n">
        <v>1</v>
      </c>
      <c r="EY61" s="0" t="n">
        <v>0</v>
      </c>
      <c r="EZ61" s="0"/>
      <c r="FA61" s="0"/>
      <c r="FB61" s="0" t="n">
        <v>0</v>
      </c>
      <c r="FF61" s="120" t="n">
        <f aca="false">(CJ61-CI61+1)/365</f>
        <v>3.28767123287671</v>
      </c>
      <c r="FG61" s="0" t="str">
        <f aca="false">CONCATENATE(F61,"/",G61)</f>
        <v>275/2011</v>
      </c>
      <c r="FH61" s="0" t="n">
        <v>0</v>
      </c>
      <c r="FI61" s="0" t="n">
        <v>0</v>
      </c>
    </row>
    <row r="62" customFormat="false" ht="15" hidden="false" customHeight="false" outlineLevel="0" collapsed="false">
      <c r="A62" s="5" t="str">
        <f aca="false">E62&amp;G62&amp;F62</f>
        <v>72011277</v>
      </c>
      <c r="B62" s="0" t="s">
        <v>203</v>
      </c>
      <c r="C62" s="1" t="n">
        <v>42409</v>
      </c>
      <c r="E62" s="0" t="n">
        <v>7</v>
      </c>
      <c r="F62" s="0" t="n">
        <v>277</v>
      </c>
      <c r="G62" s="0" t="n">
        <v>2011</v>
      </c>
      <c r="H62" s="0" t="str">
        <f aca="false">"J"&amp;E62&amp;"\"&amp;F62&amp;"\"&amp;G62&amp;"\"&amp;W62</f>
        <v>J7\277\2011\1</v>
      </c>
      <c r="I62" s="0"/>
      <c r="J62" s="1" t="n">
        <v>40588</v>
      </c>
      <c r="K62" s="0" t="n">
        <v>0</v>
      </c>
      <c r="M62" s="1" t="n">
        <v>40588</v>
      </c>
      <c r="N62" s="1" t="n">
        <v>40660</v>
      </c>
      <c r="O62" s="1"/>
      <c r="P62" s="1"/>
      <c r="Q62" s="1"/>
      <c r="T62" s="121"/>
      <c r="U62" s="121"/>
      <c r="V62" s="122" t="n">
        <f aca="false">IF(AND(E62&gt;0,F62&gt;0,G62&gt;0),COUNTIFS($E:$E,E62,$F:$F,F62,$G:$G,G62),"")</f>
        <v>1</v>
      </c>
      <c r="W62" s="122" t="n">
        <f aca="false">IF(V62="","",IF(V62=1,1,IF(AND(E61=E62,F61=F62,G61=G62),W61+1,1)))</f>
        <v>1</v>
      </c>
      <c r="X62" s="0" t="n">
        <v>1</v>
      </c>
      <c r="Y62" s="0" t="n">
        <v>7</v>
      </c>
      <c r="Z62" s="0" t="s">
        <v>813</v>
      </c>
      <c r="AA62" s="0" t="n">
        <v>0</v>
      </c>
      <c r="AB62" s="0" t="s">
        <v>814</v>
      </c>
      <c r="AC62" s="0" t="s">
        <v>274</v>
      </c>
      <c r="AD62" s="0" t="s">
        <v>221</v>
      </c>
      <c r="AE62" s="0" t="n">
        <v>0</v>
      </c>
      <c r="AF62" s="0" t="s">
        <v>815</v>
      </c>
      <c r="AG62" s="0" t="n">
        <v>0</v>
      </c>
      <c r="AH62" s="0" t="s">
        <v>816</v>
      </c>
      <c r="AI62" s="0" t="s">
        <v>817</v>
      </c>
      <c r="AJ62" s="0" t="s">
        <v>229</v>
      </c>
      <c r="AL62" s="0" t="s">
        <v>818</v>
      </c>
      <c r="AM62" s="0" t="n">
        <v>0</v>
      </c>
      <c r="AN62" s="0" t="s">
        <v>816</v>
      </c>
      <c r="AO62" s="0" t="s">
        <v>817</v>
      </c>
      <c r="AP62" s="0" t="s">
        <v>229</v>
      </c>
      <c r="AR62" s="0" t="s">
        <v>819</v>
      </c>
      <c r="AS62" s="0" t="n">
        <v>2</v>
      </c>
      <c r="AT62" s="0" t="s">
        <v>816</v>
      </c>
      <c r="AU62" s="0" t="s">
        <v>817</v>
      </c>
      <c r="AV62" s="0" t="s">
        <v>229</v>
      </c>
      <c r="AX62" s="0" t="s">
        <v>820</v>
      </c>
      <c r="AY62" s="0" t="n">
        <v>1</v>
      </c>
      <c r="AZ62" s="0" t="s">
        <v>816</v>
      </c>
      <c r="BA62" s="0" t="s">
        <v>817</v>
      </c>
      <c r="BB62" s="0" t="s">
        <v>229</v>
      </c>
      <c r="BD62" s="0" t="s">
        <v>821</v>
      </c>
      <c r="BE62" s="0" t="n">
        <v>1</v>
      </c>
      <c r="BF62" s="0" t="s">
        <v>816</v>
      </c>
      <c r="BG62" s="0" t="s">
        <v>817</v>
      </c>
      <c r="BH62" s="0" t="s">
        <v>229</v>
      </c>
      <c r="BP62" s="0" t="n">
        <v>0</v>
      </c>
      <c r="BQ62" s="0" t="n">
        <v>0</v>
      </c>
      <c r="BR62" s="0" t="n">
        <v>1</v>
      </c>
      <c r="BS62" s="0" t="s">
        <v>822</v>
      </c>
      <c r="BT62" s="0" t="s">
        <v>823</v>
      </c>
      <c r="BU62" s="0" t="s">
        <v>824</v>
      </c>
      <c r="BV62" s="123"/>
      <c r="BW62" s="123"/>
      <c r="BX62" s="123"/>
      <c r="BY62" s="123"/>
      <c r="BZ62" s="0" t="n">
        <v>0</v>
      </c>
      <c r="CA62" s="0" t="s">
        <v>216</v>
      </c>
      <c r="CD62" s="0" t="s">
        <v>502</v>
      </c>
      <c r="CE62" s="0" t="n">
        <v>0</v>
      </c>
      <c r="CF62" s="0" t="s">
        <v>825</v>
      </c>
      <c r="CG62" s="0" t="s">
        <v>218</v>
      </c>
      <c r="CI62" s="1" t="n">
        <v>40159</v>
      </c>
      <c r="CJ62" s="1" t="n">
        <v>40550</v>
      </c>
      <c r="CK62" s="124" t="n">
        <v>0.458333333333333</v>
      </c>
      <c r="CL62" s="0" t="s">
        <v>820</v>
      </c>
      <c r="CM62" s="0" t="n">
        <f aca="false">IF(OR(CI62="",CJ62=""),"",DAYS360(CI62,CJ62)/360)</f>
        <v>1.06944444444444</v>
      </c>
      <c r="CN62" s="0" t="n">
        <f aca="false">IF(OR(CI62="",CJ62=""),"",DAYS360(CI62,CJ62)/30)</f>
        <v>12.8333333333333</v>
      </c>
      <c r="CO62" s="0" t="n">
        <f aca="false">IF(OR(CI62="",CJ62=""),"",DAYS360(CI62,CJ62)/7)</f>
        <v>55</v>
      </c>
      <c r="CP62" s="0" t="n">
        <f aca="false">IF(OR(CI62="",CJ62=""),"",DAYS360(CI62,CJ62))</f>
        <v>385</v>
      </c>
      <c r="CQ62" s="0" t="s">
        <v>240</v>
      </c>
      <c r="CR62" s="0" t="n">
        <v>1</v>
      </c>
      <c r="CT62" s="0" t="s">
        <v>216</v>
      </c>
      <c r="CU62" s="0" t="s">
        <v>216</v>
      </c>
      <c r="CV62" s="0" t="str">
        <f aca="false">IF(OR(CT62="",CT62="NO ESPECIFICA",CT62="NO MENCIONA"),"",IF(CU62=0,CT62,IF(CU62=1,CT62/30,IF(CU62=2,CT62/15,IF(CU62=3,CT62/7,"")))))</f>
        <v/>
      </c>
      <c r="CW62" s="125" t="n">
        <v>300</v>
      </c>
      <c r="CX62" s="0" t="n">
        <v>0</v>
      </c>
      <c r="CY62" s="0" t="n">
        <f aca="false">IF(CW62="","",IF(CX62=0,CW62,IF(CX62=1,CW62/30,IF(CX62=2,CW62/15,IF(CX62=3,CW62/7,CW62)))))</f>
        <v>300</v>
      </c>
      <c r="CZ62" s="0" t="n">
        <f aca="false">IF(DI62&gt;0,DI62,IF(CY62&gt;0,CY62,IF(CV62&gt;0,CV62,"")))</f>
        <v>300</v>
      </c>
      <c r="DA62" s="0" t="n">
        <f aca="false">IF(DM62=1,CZ62/8,IF(OR(DM62=2,DM62=4),CZ62/7,IF(DM62=3,CZ62/7.5,"")))</f>
        <v>37.5</v>
      </c>
      <c r="DB62" s="0" t="s">
        <v>216</v>
      </c>
      <c r="DC62" s="0" t="s">
        <v>216</v>
      </c>
      <c r="DD62" s="0" t="s">
        <v>216</v>
      </c>
      <c r="DE62" s="0" t="s">
        <v>216</v>
      </c>
      <c r="DF62" s="0" t="s">
        <v>216</v>
      </c>
      <c r="DG62" s="0" t="s">
        <v>216</v>
      </c>
      <c r="DH62" s="0" t="n">
        <v>0</v>
      </c>
      <c r="DI62" s="126" t="n">
        <v>300</v>
      </c>
      <c r="DK62" s="0" t="n">
        <v>0</v>
      </c>
      <c r="DM62" s="0" t="n">
        <v>1</v>
      </c>
      <c r="DN62" s="0" t="n">
        <v>63</v>
      </c>
      <c r="DO62" s="0" t="n">
        <v>3</v>
      </c>
      <c r="DP62" s="0" t="n">
        <v>0</v>
      </c>
      <c r="DQ62" s="0" t="n">
        <v>1</v>
      </c>
      <c r="DR62" s="0"/>
      <c r="DS62" s="0" t="n">
        <v>1</v>
      </c>
      <c r="DU62" s="0" t="n">
        <v>1</v>
      </c>
      <c r="DW62" s="1" t="n">
        <v>40159</v>
      </c>
      <c r="DX62" s="1" t="n">
        <v>40550</v>
      </c>
      <c r="DZ62" s="0"/>
      <c r="EA62" s="0" t="n">
        <v>1</v>
      </c>
      <c r="EC62" s="1" t="n">
        <v>40179</v>
      </c>
      <c r="ED62" s="1" t="n">
        <v>40550</v>
      </c>
      <c r="EF62" s="0"/>
      <c r="EG62" s="0" t="n">
        <v>1</v>
      </c>
      <c r="EH62" s="0" t="n">
        <v>7</v>
      </c>
      <c r="EI62" s="0" t="n">
        <f aca="false">IF(AND(DM62=1,DN62&lt;=48),"",IF(AND(DM62=2,DN62&lt;=42),"",IF(AND(DM62=3,DN62&lt;=45),"",EH62)))</f>
        <v>7</v>
      </c>
      <c r="EJ62" s="0" t="n">
        <f aca="false">IF(EI62="","",IF(EI62&lt;9,EI62,9))</f>
        <v>7</v>
      </c>
      <c r="EK62" s="0" t="n">
        <f aca="false">IF(EI62="","",IF(EI62&gt;9,EI62-EJ62,0))</f>
        <v>0</v>
      </c>
      <c r="EL62" s="0" t="n">
        <f aca="false">IF(EI62="","",EJ62*DA62*2+EK62*DA62*3)</f>
        <v>525</v>
      </c>
      <c r="EP62" s="0" t="n">
        <v>0</v>
      </c>
      <c r="EQ62" s="0"/>
      <c r="ER62" s="0" t="n">
        <v>0</v>
      </c>
      <c r="ET62" s="0" t="n">
        <v>0</v>
      </c>
      <c r="EV62" s="0" t="n">
        <v>0</v>
      </c>
      <c r="EX62" s="0" t="n">
        <v>1</v>
      </c>
      <c r="EY62" s="0" t="n">
        <v>0</v>
      </c>
      <c r="EZ62" s="0"/>
      <c r="FA62" s="4" t="n">
        <v>2100</v>
      </c>
      <c r="FB62" s="0" t="n">
        <v>0</v>
      </c>
      <c r="FF62" s="120" t="n">
        <f aca="false">(CJ62-CI62+1)/365</f>
        <v>1.07397260273973</v>
      </c>
      <c r="FG62" s="0" t="str">
        <f aca="false">CONCATENATE(F62,"/",G62)</f>
        <v>277/2011</v>
      </c>
      <c r="FH62" s="0" t="n">
        <v>0</v>
      </c>
      <c r="FI62" s="0" t="n">
        <v>0</v>
      </c>
    </row>
    <row r="63" customFormat="false" ht="15" hidden="false" customHeight="false" outlineLevel="0" collapsed="false">
      <c r="A63" s="5" t="str">
        <f aca="false">E63&amp;G63&amp;F63</f>
        <v>72011278</v>
      </c>
      <c r="B63" s="0" t="s">
        <v>203</v>
      </c>
      <c r="C63" s="1" t="n">
        <v>42409</v>
      </c>
      <c r="E63" s="0" t="n">
        <v>7</v>
      </c>
      <c r="F63" s="0" t="n">
        <v>278</v>
      </c>
      <c r="G63" s="0" t="n">
        <v>2011</v>
      </c>
      <c r="H63" s="0" t="str">
        <f aca="false">"J"&amp;E63&amp;"\"&amp;F63&amp;"\"&amp;G63&amp;"\"&amp;W63</f>
        <v>J7\278\2011\1</v>
      </c>
      <c r="I63" s="0"/>
      <c r="J63" s="1" t="n">
        <v>40588</v>
      </c>
      <c r="K63" s="0" t="n">
        <v>0</v>
      </c>
      <c r="M63" s="1" t="n">
        <v>40588</v>
      </c>
      <c r="N63" s="1" t="n">
        <v>40660</v>
      </c>
      <c r="O63" s="1"/>
      <c r="P63" s="1"/>
      <c r="Q63" s="1"/>
      <c r="T63" s="121"/>
      <c r="U63" s="121"/>
      <c r="V63" s="122" t="n">
        <f aca="false">IF(AND(E63&gt;0,F63&gt;0,G63&gt;0),COUNTIFS($E:$E,E63,$F:$F,F63,$G:$G,G63),"")</f>
        <v>1</v>
      </c>
      <c r="W63" s="122" t="n">
        <f aca="false">IF(V63="","",IF(V63=1,1,IF(AND(E62=E63,F62=F63,G62=G63),W62+1,1)))</f>
        <v>1</v>
      </c>
      <c r="X63" s="0" t="n">
        <v>1</v>
      </c>
      <c r="Y63" s="0" t="n">
        <v>5</v>
      </c>
      <c r="Z63" s="0" t="s">
        <v>925</v>
      </c>
      <c r="AA63" s="0" t="n">
        <v>0</v>
      </c>
      <c r="AB63" s="0" t="s">
        <v>926</v>
      </c>
      <c r="AC63" s="0" t="s">
        <v>927</v>
      </c>
      <c r="AD63" s="0" t="s">
        <v>755</v>
      </c>
      <c r="AE63" s="0" t="n">
        <v>0</v>
      </c>
      <c r="AF63" s="0" t="s">
        <v>928</v>
      </c>
      <c r="AG63" s="0" t="n">
        <v>0</v>
      </c>
      <c r="AH63" s="0" t="s">
        <v>929</v>
      </c>
      <c r="AI63" s="0" t="s">
        <v>930</v>
      </c>
      <c r="AJ63" s="0" t="s">
        <v>211</v>
      </c>
      <c r="AL63" s="0" t="s">
        <v>931</v>
      </c>
      <c r="AM63" s="0" t="n">
        <v>1</v>
      </c>
      <c r="AN63" s="0" t="s">
        <v>929</v>
      </c>
      <c r="AO63" s="0" t="s">
        <v>930</v>
      </c>
      <c r="AP63" s="0" t="s">
        <v>211</v>
      </c>
      <c r="AR63" s="0" t="s">
        <v>932</v>
      </c>
      <c r="AS63" s="0" t="n">
        <v>1</v>
      </c>
      <c r="AT63" s="0" t="s">
        <v>929</v>
      </c>
      <c r="AU63" s="0" t="s">
        <v>930</v>
      </c>
      <c r="AV63" s="0" t="s">
        <v>211</v>
      </c>
      <c r="AX63" s="0" t="s">
        <v>933</v>
      </c>
      <c r="AY63" s="0" t="n">
        <v>1</v>
      </c>
      <c r="AZ63" s="0" t="s">
        <v>929</v>
      </c>
      <c r="BA63" s="0" t="s">
        <v>930</v>
      </c>
      <c r="BB63" s="0" t="s">
        <v>211</v>
      </c>
      <c r="BD63" s="0" t="s">
        <v>213</v>
      </c>
      <c r="BE63" s="0" t="n">
        <v>1</v>
      </c>
      <c r="BF63" s="0" t="s">
        <v>929</v>
      </c>
      <c r="BG63" s="0" t="s">
        <v>930</v>
      </c>
      <c r="BH63" s="0" t="s">
        <v>211</v>
      </c>
      <c r="BP63" s="0" t="n">
        <v>0</v>
      </c>
      <c r="BQ63" s="0" t="n">
        <v>0</v>
      </c>
      <c r="BR63" s="0" t="n">
        <v>1</v>
      </c>
      <c r="BS63" s="0" t="s">
        <v>934</v>
      </c>
      <c r="BT63" s="0" t="s">
        <v>935</v>
      </c>
      <c r="BU63" s="0" t="s">
        <v>936</v>
      </c>
      <c r="BV63" s="123"/>
      <c r="BW63" s="123"/>
      <c r="BX63" s="123"/>
      <c r="BY63" s="123"/>
      <c r="BZ63" s="0" t="n">
        <v>0</v>
      </c>
      <c r="CA63" s="0" t="s">
        <v>216</v>
      </c>
      <c r="CD63" s="0" t="s">
        <v>256</v>
      </c>
      <c r="CE63" s="0" t="n">
        <v>0</v>
      </c>
      <c r="CF63" s="0" t="s">
        <v>937</v>
      </c>
      <c r="CG63" s="0" t="s">
        <v>218</v>
      </c>
      <c r="CI63" s="1" t="n">
        <v>39431</v>
      </c>
      <c r="CJ63" s="1" t="n">
        <v>40528</v>
      </c>
      <c r="CK63" s="124" t="n">
        <v>0.375</v>
      </c>
      <c r="CL63" s="0" t="s">
        <v>938</v>
      </c>
      <c r="CM63" s="0" t="n">
        <f aca="false">IF(OR(CI63="",CJ63=""),"",DAYS360(CI63,CJ63)/360)</f>
        <v>3.00277777777778</v>
      </c>
      <c r="CN63" s="0" t="n">
        <f aca="false">IF(OR(CI63="",CJ63=""),"",DAYS360(CI63,CJ63)/30)</f>
        <v>36.0333333333333</v>
      </c>
      <c r="CO63" s="0" t="n">
        <f aca="false">IF(OR(CI63="",CJ63=""),"",DAYS360(CI63,CJ63)/7)</f>
        <v>154.428571428571</v>
      </c>
      <c r="CP63" s="0" t="n">
        <f aca="false">IF(OR(CI63="",CJ63=""),"",DAYS360(CI63,CJ63))</f>
        <v>1081</v>
      </c>
      <c r="CQ63" s="0" t="s">
        <v>240</v>
      </c>
      <c r="CR63" s="0" t="n">
        <v>1</v>
      </c>
      <c r="CT63" s="0" t="n">
        <v>10000</v>
      </c>
      <c r="CU63" s="0" t="n">
        <v>1</v>
      </c>
      <c r="CV63" s="0" t="n">
        <f aca="false">IF(OR(CT63="",CT63="NO ESPECIFICA",CT63="NO MENCIONA"),"",IF(CU63=0,CT63,IF(CU63=1,CT63/30,IF(CU63=2,CT63/15,IF(CU63=3,CT63/7,"")))))</f>
        <v>333.333333333333</v>
      </c>
      <c r="CW63" s="125" t="n">
        <v>25000</v>
      </c>
      <c r="CX63" s="0" t="n">
        <v>1</v>
      </c>
      <c r="CY63" s="0" t="n">
        <f aca="false">IF(CW63="","",IF(CX63=0,CW63,IF(CX63=1,CW63/30,IF(CX63=2,CW63/15,IF(CX63=3,CW63/7,CW63)))))</f>
        <v>833.333333333333</v>
      </c>
      <c r="CZ63" s="0" t="n">
        <f aca="false">IF(DI63&gt;0,DI63,IF(CY63&gt;0,CY63,IF(CV63&gt;0,CV63,"")))</f>
        <v>833.33</v>
      </c>
      <c r="DA63" s="0" t="n">
        <f aca="false">IF(DM63=1,CZ63/8,IF(OR(DM63=2,DM63=4),CZ63/7,IF(DM63=3,CZ63/7.5,"")))</f>
        <v>104.16625</v>
      </c>
      <c r="DB63" s="0" t="s">
        <v>417</v>
      </c>
      <c r="DC63" s="0" t="s">
        <v>216</v>
      </c>
      <c r="DD63" s="0" t="s">
        <v>216</v>
      </c>
      <c r="DE63" s="0" t="s">
        <v>216</v>
      </c>
      <c r="DF63" s="0" t="s">
        <v>216</v>
      </c>
      <c r="DG63" s="0" t="s">
        <v>216</v>
      </c>
      <c r="DH63" s="0" t="n">
        <v>0</v>
      </c>
      <c r="DI63" s="126" t="n">
        <v>833.33</v>
      </c>
      <c r="DK63" s="0" t="n">
        <v>0</v>
      </c>
      <c r="DM63" s="0" t="n">
        <v>1</v>
      </c>
      <c r="DN63" s="0" t="n">
        <v>63</v>
      </c>
      <c r="DO63" s="0" t="n">
        <v>3</v>
      </c>
      <c r="DP63" s="0" t="n">
        <v>0</v>
      </c>
      <c r="DQ63" s="0" t="n">
        <v>1</v>
      </c>
      <c r="DR63" s="0"/>
      <c r="DS63" s="0" t="n">
        <v>1</v>
      </c>
      <c r="DU63" s="0" t="n">
        <v>1</v>
      </c>
      <c r="DW63" s="1" t="n">
        <v>39431</v>
      </c>
      <c r="DX63" s="1" t="n">
        <v>40528</v>
      </c>
      <c r="DZ63" s="0"/>
      <c r="EA63" s="0" t="n">
        <v>1</v>
      </c>
      <c r="EC63" s="1" t="n">
        <v>39431</v>
      </c>
      <c r="ED63" s="1" t="n">
        <v>40528</v>
      </c>
      <c r="EF63" s="0"/>
      <c r="EG63" s="0" t="n">
        <v>0</v>
      </c>
      <c r="EI63" s="0" t="n">
        <f aca="false">IF(AND(DM63=1,DN63&lt;=48),"",IF(AND(DM63=2,DN63&lt;=42),"",IF(AND(DM63=3,DN63&lt;=45),"",EH63)))</f>
        <v>0</v>
      </c>
      <c r="EJ63" s="0" t="str">
        <f aca="false">IF(EI63="","",IF(EI63&lt;9,EI63,9))</f>
        <v/>
      </c>
      <c r="EK63" s="0" t="str">
        <f aca="false">IF(EI63="","",IF(EI63&gt;9,EI63-EJ63,0))</f>
        <v/>
      </c>
      <c r="EL63" s="0" t="str">
        <f aca="false">IF(EI63="","",EJ63*DA63*2+EK63*DA63*3)</f>
        <v/>
      </c>
      <c r="EP63" s="0" t="n">
        <v>0</v>
      </c>
      <c r="EQ63" s="0"/>
      <c r="ER63" s="0" t="n">
        <v>0</v>
      </c>
      <c r="ET63" s="0" t="n">
        <v>0</v>
      </c>
      <c r="EV63" s="0" t="n">
        <v>0</v>
      </c>
      <c r="EX63" s="0" t="n">
        <v>0</v>
      </c>
      <c r="EY63" s="0" t="n">
        <v>0</v>
      </c>
      <c r="EZ63" s="0"/>
      <c r="FA63" s="4" t="n">
        <v>27499.95</v>
      </c>
      <c r="FB63" s="0" t="n">
        <v>0</v>
      </c>
      <c r="FF63" s="120" t="n">
        <f aca="false">(CJ63-CI63+1)/365</f>
        <v>3.00821917808219</v>
      </c>
      <c r="FG63" s="0" t="str">
        <f aca="false">CONCATENATE(F63,"/",G63)</f>
        <v>278/2011</v>
      </c>
      <c r="FH63" s="0" t="n">
        <v>0</v>
      </c>
      <c r="FI63" s="0" t="n">
        <v>0</v>
      </c>
    </row>
    <row r="64" customFormat="false" ht="15" hidden="false" customHeight="false" outlineLevel="0" collapsed="false">
      <c r="A64" s="5" t="str">
        <f aca="false">E64&amp;G64&amp;F64</f>
        <v>72011283</v>
      </c>
      <c r="B64" s="0" t="s">
        <v>203</v>
      </c>
      <c r="C64" s="1" t="n">
        <v>42409</v>
      </c>
      <c r="E64" s="0" t="n">
        <v>7</v>
      </c>
      <c r="F64" s="0" t="n">
        <v>283</v>
      </c>
      <c r="G64" s="0" t="n">
        <v>2011</v>
      </c>
      <c r="H64" s="0" t="str">
        <f aca="false">"J"&amp;E64&amp;"\"&amp;F64&amp;"\"&amp;G64&amp;"\"&amp;W64</f>
        <v>J7\283\2011\1</v>
      </c>
      <c r="I64" s="0" t="n">
        <v>40589</v>
      </c>
      <c r="J64" s="1" t="n">
        <v>39885</v>
      </c>
      <c r="K64" s="0" t="n">
        <v>0</v>
      </c>
      <c r="M64" s="1"/>
      <c r="N64" s="1"/>
      <c r="O64" s="1"/>
      <c r="P64" s="1"/>
      <c r="Q64" s="1"/>
      <c r="T64" s="121"/>
      <c r="U64" s="121"/>
      <c r="V64" s="122" t="n">
        <f aca="false">IF(AND(E64&gt;0,F64&gt;0,G64&gt;0),COUNTIFS($E:$E,E64,$F:$F,F64,$G:$G,G64),"")</f>
        <v>1</v>
      </c>
      <c r="W64" s="122" t="n">
        <f aca="false">IF(V64="","",IF(V64=1,1,IF(AND(E63=E64,F63=F64,G63=G64),W63+1,1)))</f>
        <v>1</v>
      </c>
      <c r="X64" s="0" t="n">
        <v>1</v>
      </c>
      <c r="Y64" s="0" t="n">
        <v>6</v>
      </c>
      <c r="Z64" s="0" t="s">
        <v>939</v>
      </c>
      <c r="AA64" s="0" t="n">
        <v>0</v>
      </c>
      <c r="AB64" s="0" t="s">
        <v>940</v>
      </c>
      <c r="AC64" s="0" t="s">
        <v>287</v>
      </c>
      <c r="AD64" s="0" t="s">
        <v>221</v>
      </c>
      <c r="AE64" s="0" t="n">
        <v>0</v>
      </c>
      <c r="AF64" s="0" t="s">
        <v>941</v>
      </c>
      <c r="AG64" s="0" t="n">
        <v>0</v>
      </c>
      <c r="AH64" s="0" t="s">
        <v>942</v>
      </c>
      <c r="AI64" s="0" t="s">
        <v>943</v>
      </c>
      <c r="AJ64" s="0" t="s">
        <v>944</v>
      </c>
      <c r="AL64" s="0" t="s">
        <v>945</v>
      </c>
      <c r="AM64" s="0" t="n">
        <v>0</v>
      </c>
      <c r="AN64" s="0" t="s">
        <v>942</v>
      </c>
      <c r="AO64" s="0" t="s">
        <v>943</v>
      </c>
      <c r="AP64" s="0" t="s">
        <v>944</v>
      </c>
      <c r="AR64" s="0" t="s">
        <v>946</v>
      </c>
      <c r="AS64" s="0" t="n">
        <v>1</v>
      </c>
      <c r="AT64" s="0" t="s">
        <v>942</v>
      </c>
      <c r="AU64" s="0" t="s">
        <v>943</v>
      </c>
      <c r="AV64" s="0" t="s">
        <v>944</v>
      </c>
      <c r="AX64" s="0" t="s">
        <v>213</v>
      </c>
      <c r="AY64" s="0" t="n">
        <v>1</v>
      </c>
      <c r="AZ64" s="0" t="s">
        <v>942</v>
      </c>
      <c r="BA64" s="0" t="s">
        <v>943</v>
      </c>
      <c r="BB64" s="0" t="s">
        <v>944</v>
      </c>
      <c r="BD64" s="0" t="s">
        <v>249</v>
      </c>
      <c r="BE64" s="0" t="n">
        <v>0</v>
      </c>
      <c r="BF64" s="0" t="s">
        <v>947</v>
      </c>
      <c r="BG64" s="0" t="s">
        <v>410</v>
      </c>
      <c r="BH64" s="0" t="s">
        <v>411</v>
      </c>
      <c r="BJ64" s="0" t="s">
        <v>412</v>
      </c>
      <c r="BK64" s="0" t="n">
        <v>0</v>
      </c>
      <c r="BL64" s="0" t="s">
        <v>948</v>
      </c>
      <c r="BM64" s="0" t="s">
        <v>352</v>
      </c>
      <c r="BP64" s="0" t="n">
        <v>0</v>
      </c>
      <c r="BQ64" s="0" t="n">
        <v>0</v>
      </c>
      <c r="BR64" s="0" t="n">
        <v>1</v>
      </c>
      <c r="BS64" s="0" t="s">
        <v>637</v>
      </c>
      <c r="BT64" s="0" t="s">
        <v>949</v>
      </c>
      <c r="BU64" s="0" t="s">
        <v>950</v>
      </c>
      <c r="BV64" s="123"/>
      <c r="BW64" s="123"/>
      <c r="BX64" s="123"/>
      <c r="BY64" s="123"/>
      <c r="BZ64" s="0" t="n">
        <v>0</v>
      </c>
      <c r="CA64" s="0" t="s">
        <v>216</v>
      </c>
      <c r="CD64" s="0" t="s">
        <v>502</v>
      </c>
      <c r="CE64" s="0" t="n">
        <v>0</v>
      </c>
      <c r="CF64" s="0" t="s">
        <v>503</v>
      </c>
      <c r="CG64" s="0" t="s">
        <v>218</v>
      </c>
      <c r="CI64" s="1" t="n">
        <v>39828</v>
      </c>
      <c r="CJ64" s="1" t="n">
        <v>39873</v>
      </c>
      <c r="CK64" s="124" t="n">
        <v>0.458333333333333</v>
      </c>
      <c r="CL64" s="0" t="s">
        <v>946</v>
      </c>
      <c r="CM64" s="0" t="n">
        <f aca="false">IF(OR(CI64="",CJ64=""),"",DAYS360(CI64,CJ64)/360)</f>
        <v>0.127777777777778</v>
      </c>
      <c r="CN64" s="0" t="n">
        <f aca="false">IF(OR(CI64="",CJ64=""),"",DAYS360(CI64,CJ64)/30)</f>
        <v>1.53333333333333</v>
      </c>
      <c r="CO64" s="0" t="n">
        <f aca="false">IF(OR(CI64="",CJ64=""),"",DAYS360(CI64,CJ64)/7)</f>
        <v>6.57142857142857</v>
      </c>
      <c r="CP64" s="0" t="n">
        <f aca="false">IF(OR(CI64="",CJ64=""),"",DAYS360(CI64,CJ64))</f>
        <v>46</v>
      </c>
      <c r="CQ64" s="0" t="s">
        <v>220</v>
      </c>
      <c r="CR64" s="0" t="n">
        <v>1</v>
      </c>
      <c r="CT64" s="0" t="s">
        <v>221</v>
      </c>
      <c r="CU64" s="0" t="s">
        <v>221</v>
      </c>
      <c r="CV64" s="0" t="str">
        <f aca="false">IF(OR(CT64="",CT64="NO ESPECIFICA",CT64="NO MENCIONA"),"",IF(CU64=0,CT64,IF(CU64=1,CT64/30,IF(CU64=2,CT64/15,IF(CU64=3,CT64/7,"")))))</f>
        <v/>
      </c>
      <c r="CW64" s="125" t="n">
        <v>250</v>
      </c>
      <c r="CX64" s="0" t="n">
        <v>0</v>
      </c>
      <c r="CY64" s="0" t="n">
        <f aca="false">IF(CW64="","",IF(CX64=0,CW64,IF(CX64=1,CW64/30,IF(CX64=2,CW64/15,IF(CX64=3,CW64/7,CW64)))))</f>
        <v>250</v>
      </c>
      <c r="CZ64" s="0" t="n">
        <f aca="false">IF(DI64&gt;0,DI64,IF(CY64&gt;0,CY64,IF(CV64&gt;0,CV64,"")))</f>
        <v>250</v>
      </c>
      <c r="DA64" s="0" t="str">
        <f aca="false">IF(DM64=1,CZ64/8,IF(OR(DM64=2,DM64=4),CZ64/7,IF(DM64=3,CZ64/7.5,"")))</f>
        <v/>
      </c>
      <c r="DB64" s="0" t="s">
        <v>216</v>
      </c>
      <c r="DC64" s="0" t="s">
        <v>216</v>
      </c>
      <c r="DD64" s="0" t="s">
        <v>216</v>
      </c>
      <c r="DE64" s="0" t="s">
        <v>216</v>
      </c>
      <c r="DF64" s="0" t="s">
        <v>216</v>
      </c>
      <c r="DG64" s="0" t="s">
        <v>216</v>
      </c>
      <c r="DH64" s="0" t="n">
        <v>0</v>
      </c>
      <c r="DI64" s="126" t="n">
        <v>250</v>
      </c>
      <c r="DK64" s="0" t="n">
        <v>0</v>
      </c>
      <c r="DM64" s="0" t="s">
        <v>385</v>
      </c>
      <c r="DN64" s="0" t="s">
        <v>216</v>
      </c>
      <c r="DO64" s="0" t="s">
        <v>216</v>
      </c>
      <c r="DP64" s="0" t="n">
        <v>1</v>
      </c>
      <c r="DQ64" s="0" t="n">
        <v>1</v>
      </c>
      <c r="DR64" s="0"/>
      <c r="DS64" s="0" t="n">
        <v>1</v>
      </c>
      <c r="DU64" s="0" t="n">
        <v>1</v>
      </c>
      <c r="DW64" s="1" t="n">
        <v>39828</v>
      </c>
      <c r="DX64" s="1" t="n">
        <v>39873</v>
      </c>
      <c r="DZ64" s="0"/>
      <c r="EA64" s="0" t="n">
        <v>1</v>
      </c>
      <c r="EC64" s="1" t="n">
        <v>39828</v>
      </c>
      <c r="ED64" s="1" t="n">
        <v>39873</v>
      </c>
      <c r="EF64" s="0"/>
      <c r="EG64" s="0" t="n">
        <v>0</v>
      </c>
      <c r="EI64" s="0" t="n">
        <f aca="false">IF(AND(DM64=1,DN64&lt;=48),"",IF(AND(DM64=2,DN64&lt;=42),"",IF(AND(DM64=3,DN64&lt;=45),"",EH64)))</f>
        <v>0</v>
      </c>
      <c r="EJ64" s="0" t="str">
        <f aca="false">IF(EI64="","",IF(EI64&lt;9,EI64,9))</f>
        <v/>
      </c>
      <c r="EK64" s="0" t="str">
        <f aca="false">IF(EI64="","",IF(EI64&gt;9,EI64-EJ64,0))</f>
        <v/>
      </c>
      <c r="EL64" s="0" t="str">
        <f aca="false">IF(EI64="","",EJ64*DA64*2+EK64*DA64*3)</f>
        <v/>
      </c>
      <c r="EP64" s="0" t="n">
        <v>0</v>
      </c>
      <c r="EQ64" s="0"/>
      <c r="ER64" s="0" t="n">
        <v>0</v>
      </c>
      <c r="ET64" s="0" t="n">
        <v>0</v>
      </c>
      <c r="EV64" s="0" t="n">
        <v>0</v>
      </c>
      <c r="EX64" s="0" t="n">
        <v>1</v>
      </c>
      <c r="EY64" s="0" t="n">
        <v>1</v>
      </c>
      <c r="EZ64" s="0"/>
      <c r="FA64" s="4" t="n">
        <v>7500</v>
      </c>
      <c r="FB64" s="0" t="n">
        <v>1</v>
      </c>
      <c r="FF64" s="120" t="n">
        <f aca="false">(CJ64-CI64+1)/365</f>
        <v>0.126027397260274</v>
      </c>
      <c r="FG64" s="0" t="str">
        <f aca="false">CONCATENATE(F64,"/",G64)</f>
        <v>283/2011</v>
      </c>
      <c r="FH64" s="0" t="n">
        <v>0</v>
      </c>
      <c r="FI64" s="0" t="n">
        <v>0</v>
      </c>
    </row>
    <row r="65" customFormat="false" ht="15" hidden="false" customHeight="false" outlineLevel="0" collapsed="false">
      <c r="A65" s="5" t="str">
        <f aca="false">E65&amp;G65&amp;F65</f>
        <v>72011284</v>
      </c>
      <c r="B65" s="0" t="s">
        <v>203</v>
      </c>
      <c r="C65" s="1" t="n">
        <v>42409</v>
      </c>
      <c r="E65" s="0" t="n">
        <v>7</v>
      </c>
      <c r="F65" s="0" t="n">
        <v>284</v>
      </c>
      <c r="G65" s="0" t="n">
        <v>2011</v>
      </c>
      <c r="H65" s="0" t="str">
        <f aca="false">"J"&amp;E65&amp;"\"&amp;F65&amp;"\"&amp;G65&amp;"\"&amp;W65</f>
        <v>J7\284\2011\1</v>
      </c>
      <c r="I65" s="0"/>
      <c r="J65" s="1" t="n">
        <v>40589</v>
      </c>
      <c r="K65" s="0" t="n">
        <v>0</v>
      </c>
      <c r="M65" s="1"/>
      <c r="N65" s="1"/>
      <c r="O65" s="1"/>
      <c r="P65" s="1"/>
      <c r="Q65" s="1"/>
      <c r="T65" s="121"/>
      <c r="U65" s="121"/>
      <c r="V65" s="122" t="n">
        <f aca="false">IF(AND(E65&gt;0,F65&gt;0,G65&gt;0),COUNTIFS($E:$E,E65,$F:$F,F65,$G:$G,G65),"")</f>
        <v>1</v>
      </c>
      <c r="W65" s="122" t="n">
        <f aca="false">IF(V65="","",IF(V65=1,1,IF(AND(E64=E65,F64=F65,G64=G65),W64+1,1)))</f>
        <v>1</v>
      </c>
      <c r="X65" s="0" t="n">
        <v>1</v>
      </c>
      <c r="Y65" s="0" t="n">
        <v>3</v>
      </c>
      <c r="Z65" s="0" t="s">
        <v>951</v>
      </c>
      <c r="AA65" s="0" t="n">
        <v>0</v>
      </c>
      <c r="AB65" s="0" t="s">
        <v>348</v>
      </c>
      <c r="AC65" s="0" t="s">
        <v>216</v>
      </c>
      <c r="AD65" s="0" t="s">
        <v>216</v>
      </c>
      <c r="AE65" s="0" t="n">
        <v>0</v>
      </c>
      <c r="AF65" s="0" t="s">
        <v>952</v>
      </c>
      <c r="AG65" s="0" t="n">
        <v>0</v>
      </c>
      <c r="AH65" s="0" t="s">
        <v>953</v>
      </c>
      <c r="AI65" s="0" t="s">
        <v>954</v>
      </c>
      <c r="AJ65" s="0" t="s">
        <v>229</v>
      </c>
      <c r="AL65" s="0" t="s">
        <v>955</v>
      </c>
      <c r="AM65" s="0" t="n">
        <v>1</v>
      </c>
      <c r="AN65" s="0" t="s">
        <v>953</v>
      </c>
      <c r="AO65" s="0" t="s">
        <v>954</v>
      </c>
      <c r="AP65" s="0" t="s">
        <v>229</v>
      </c>
      <c r="AR65" s="0" t="s">
        <v>213</v>
      </c>
      <c r="AS65" s="0" t="n">
        <v>1</v>
      </c>
      <c r="AT65" s="0" t="s">
        <v>953</v>
      </c>
      <c r="AU65" s="0" t="s">
        <v>954</v>
      </c>
      <c r="AV65" s="0" t="s">
        <v>229</v>
      </c>
      <c r="BP65" s="0" t="n">
        <v>0</v>
      </c>
      <c r="BQ65" s="0" t="n">
        <v>0</v>
      </c>
      <c r="BR65" s="0" t="n">
        <v>3</v>
      </c>
      <c r="BS65" s="0" t="s">
        <v>499</v>
      </c>
      <c r="BT65" s="0" t="s">
        <v>500</v>
      </c>
      <c r="BU65" s="0" t="s">
        <v>501</v>
      </c>
      <c r="BV65" s="123"/>
      <c r="BW65" s="123"/>
      <c r="BX65" s="123"/>
      <c r="BY65" s="123"/>
      <c r="BZ65" s="0" t="n">
        <v>0</v>
      </c>
      <c r="CA65" s="0" t="s">
        <v>348</v>
      </c>
      <c r="CD65" s="0" t="s">
        <v>502</v>
      </c>
      <c r="CE65" s="0" t="n">
        <v>0</v>
      </c>
      <c r="CF65" s="0" t="s">
        <v>956</v>
      </c>
      <c r="CG65" s="0" t="s">
        <v>218</v>
      </c>
      <c r="CI65" s="1" t="n">
        <v>37489</v>
      </c>
      <c r="CJ65" s="1" t="n">
        <v>40529</v>
      </c>
      <c r="CK65" s="124" t="n">
        <v>0.583333333333333</v>
      </c>
      <c r="CL65" s="0" t="s">
        <v>955</v>
      </c>
      <c r="CM65" s="0" t="n">
        <f aca="false">IF(OR(CI65="",CJ65=""),"",DAYS360(CI65,CJ65)/360)</f>
        <v>8.32222222222222</v>
      </c>
      <c r="CN65" s="0" t="n">
        <f aca="false">IF(OR(CI65="",CJ65=""),"",DAYS360(CI65,CJ65)/30)</f>
        <v>99.8666666666667</v>
      </c>
      <c r="CO65" s="0" t="n">
        <f aca="false">IF(OR(CI65="",CJ65=""),"",DAYS360(CI65,CJ65)/7)</f>
        <v>428</v>
      </c>
      <c r="CP65" s="0" t="n">
        <f aca="false">IF(OR(CI65="",CJ65=""),"",DAYS360(CI65,CJ65))</f>
        <v>2996</v>
      </c>
      <c r="CQ65" s="0" t="s">
        <v>240</v>
      </c>
      <c r="CR65" s="0" t="n">
        <v>1</v>
      </c>
      <c r="CT65" s="0" t="n">
        <v>71.43</v>
      </c>
      <c r="CU65" s="0" t="n">
        <v>0</v>
      </c>
      <c r="CV65" s="0" t="n">
        <f aca="false">IF(OR(CT65="",CT65="NO ESPECIFICA",CT65="NO MENCIONA"),"",IF(CU65=0,CT65,IF(CU65=1,CT65/30,IF(CU65=2,CT65/15,IF(CU65=3,CT65/7,"")))))</f>
        <v>71.43</v>
      </c>
      <c r="CW65" s="125" t="n">
        <v>75.06</v>
      </c>
      <c r="CX65" s="0" t="n">
        <v>0</v>
      </c>
      <c r="CY65" s="0" t="n">
        <f aca="false">IF(CW65="","",IF(CX65=0,CW65,IF(CX65=1,CW65/30,IF(CX65=2,CW65/15,IF(CX65=3,CW65/7,CW65)))))</f>
        <v>75.06</v>
      </c>
      <c r="CZ65" s="0" t="n">
        <f aca="false">IF(DI65&gt;0,DI65,IF(CY65&gt;0,CY65,IF(CV65&gt;0,CV65,"")))</f>
        <v>75.06</v>
      </c>
      <c r="DA65" s="0" t="n">
        <f aca="false">IF(DM65=1,CZ65/8,IF(OR(DM65=2,DM65=4),CZ65/7,IF(DM65=3,CZ65/7.5,"")))</f>
        <v>9.3825</v>
      </c>
      <c r="DB65" s="0" t="s">
        <v>303</v>
      </c>
      <c r="DC65" s="0" t="s">
        <v>301</v>
      </c>
      <c r="DD65" s="0" t="s">
        <v>216</v>
      </c>
      <c r="DE65" s="0" t="s">
        <v>216</v>
      </c>
      <c r="DF65" s="0" t="s">
        <v>216</v>
      </c>
      <c r="DG65" s="0" t="s">
        <v>216</v>
      </c>
      <c r="DH65" s="0" t="n">
        <v>0</v>
      </c>
      <c r="DI65" s="126" t="n">
        <v>75.06</v>
      </c>
      <c r="DK65" s="0" t="n">
        <v>1</v>
      </c>
      <c r="DM65" s="0" t="n">
        <v>1</v>
      </c>
      <c r="DN65" s="0" t="n">
        <v>38.75</v>
      </c>
      <c r="DO65" s="0" t="n">
        <v>3</v>
      </c>
      <c r="DP65" s="0" t="n">
        <v>0</v>
      </c>
      <c r="DQ65" s="0" t="n">
        <v>1</v>
      </c>
      <c r="DR65" s="0"/>
      <c r="DS65" s="0" t="n">
        <v>1</v>
      </c>
      <c r="DU65" s="0" t="n">
        <v>1</v>
      </c>
      <c r="DW65" s="1" t="n">
        <v>37489</v>
      </c>
      <c r="DX65" s="1" t="n">
        <v>40529</v>
      </c>
      <c r="DZ65" s="0"/>
      <c r="EA65" s="0" t="n">
        <v>1</v>
      </c>
      <c r="EC65" s="1" t="n">
        <v>37489</v>
      </c>
      <c r="ED65" s="1" t="n">
        <v>40529</v>
      </c>
      <c r="EF65" s="0"/>
      <c r="EG65" s="0" t="n">
        <v>0</v>
      </c>
      <c r="EI65" s="0" t="str">
        <f aca="false">IF(AND(DM65=1,DN65&lt;=48),"",IF(AND(DM65=2,DN65&lt;=42),"",IF(AND(DM65=3,DN65&lt;=45),"",EH65)))</f>
        <v/>
      </c>
      <c r="EJ65" s="0" t="str">
        <f aca="false">IF(EI65="","",IF(EI65&lt;9,EI65,9))</f>
        <v/>
      </c>
      <c r="EK65" s="0" t="str">
        <f aca="false">IF(EI65="","",IF(EI65&gt;9,EI65-EJ65,0))</f>
        <v/>
      </c>
      <c r="EL65" s="0" t="str">
        <f aca="false">IF(EI65="","",EJ65*DA65*2+EK65*DA65*3)</f>
        <v/>
      </c>
      <c r="EP65" s="0" t="n">
        <v>0</v>
      </c>
      <c r="EQ65" s="0"/>
      <c r="ER65" s="0" t="n">
        <v>0</v>
      </c>
      <c r="ET65" s="0" t="n">
        <v>0</v>
      </c>
      <c r="EV65" s="0" t="n">
        <v>0</v>
      </c>
      <c r="EX65" s="0" t="n">
        <v>0</v>
      </c>
      <c r="EY65" s="0" t="n">
        <v>0</v>
      </c>
      <c r="EZ65" s="0"/>
      <c r="FA65" s="0"/>
      <c r="FB65" s="0" t="n">
        <v>0</v>
      </c>
      <c r="FF65" s="120" t="n">
        <f aca="false">(CJ65-CI65+1)/365</f>
        <v>8.33150684931507</v>
      </c>
      <c r="FG65" s="0" t="str">
        <f aca="false">CONCATENATE(F65,"/",G65)</f>
        <v>284/2011</v>
      </c>
      <c r="FH65" s="0" t="n">
        <v>0</v>
      </c>
      <c r="FI65" s="0" t="n">
        <v>0</v>
      </c>
    </row>
    <row r="66" customFormat="false" ht="15" hidden="false" customHeight="false" outlineLevel="0" collapsed="false">
      <c r="A66" s="5" t="str">
        <f aca="false">E66&amp;G66&amp;F66</f>
        <v>72011312</v>
      </c>
      <c r="B66" s="0" t="s">
        <v>203</v>
      </c>
      <c r="C66" s="1" t="n">
        <v>42409</v>
      </c>
      <c r="E66" s="0" t="n">
        <v>7</v>
      </c>
      <c r="F66" s="0" t="n">
        <v>312</v>
      </c>
      <c r="G66" s="0" t="n">
        <v>2011</v>
      </c>
      <c r="H66" s="0" t="str">
        <f aca="false">"J"&amp;E66&amp;"\"&amp;F66&amp;"\"&amp;G66&amp;"\"&amp;W66</f>
        <v>J7\312\2011\1</v>
      </c>
      <c r="I66" s="0"/>
      <c r="J66" s="1" t="n">
        <v>40591</v>
      </c>
      <c r="K66" s="0" t="n">
        <v>0</v>
      </c>
      <c r="M66" s="1" t="n">
        <v>40591</v>
      </c>
      <c r="N66" s="1" t="n">
        <v>40667</v>
      </c>
      <c r="O66" s="1"/>
      <c r="P66" s="1"/>
      <c r="Q66" s="1"/>
      <c r="T66" s="121"/>
      <c r="U66" s="121"/>
      <c r="V66" s="122" t="n">
        <f aca="false">IF(AND(E66&gt;0,F66&gt;0,G66&gt;0),COUNTIFS($E:$E,E66,$F:$F,F66,$G:$G,G66),"")</f>
        <v>1</v>
      </c>
      <c r="W66" s="122" t="n">
        <f aca="false">IF(V66="","",IF(V66=1,1,IF(AND(E65=E66,F65=F66,G65=G66),W65+1,1)))</f>
        <v>1</v>
      </c>
      <c r="X66" s="0" t="n">
        <v>1</v>
      </c>
      <c r="Y66" s="0" t="n">
        <v>5</v>
      </c>
      <c r="Z66" s="0" t="s">
        <v>957</v>
      </c>
      <c r="AA66" s="0" t="n">
        <v>0</v>
      </c>
      <c r="AB66" s="0" t="s">
        <v>958</v>
      </c>
      <c r="AC66" s="0" t="s">
        <v>959</v>
      </c>
      <c r="AD66" s="0" t="s">
        <v>590</v>
      </c>
      <c r="AE66" s="0" t="n">
        <v>0</v>
      </c>
      <c r="AF66" s="0" t="s">
        <v>960</v>
      </c>
      <c r="AG66" s="0" t="n">
        <v>0</v>
      </c>
      <c r="AH66" s="0" t="s">
        <v>961</v>
      </c>
      <c r="AI66" s="0" t="s">
        <v>251</v>
      </c>
      <c r="AJ66" s="0" t="s">
        <v>229</v>
      </c>
      <c r="AL66" s="0" t="s">
        <v>962</v>
      </c>
      <c r="AM66" s="0" t="n">
        <v>0</v>
      </c>
      <c r="AN66" s="0" t="s">
        <v>961</v>
      </c>
      <c r="AO66" s="0" t="s">
        <v>251</v>
      </c>
      <c r="AP66" s="0" t="s">
        <v>229</v>
      </c>
      <c r="AR66" s="0" t="s">
        <v>963</v>
      </c>
      <c r="AS66" s="0" t="n">
        <v>1</v>
      </c>
      <c r="AT66" s="0" t="s">
        <v>961</v>
      </c>
      <c r="AU66" s="0" t="s">
        <v>251</v>
      </c>
      <c r="AV66" s="0" t="s">
        <v>229</v>
      </c>
      <c r="AX66" s="0" t="s">
        <v>213</v>
      </c>
      <c r="AY66" s="0" t="n">
        <v>1</v>
      </c>
      <c r="AZ66" s="0" t="s">
        <v>961</v>
      </c>
      <c r="BA66" s="0" t="s">
        <v>251</v>
      </c>
      <c r="BB66" s="0" t="s">
        <v>229</v>
      </c>
      <c r="BD66" s="0" t="s">
        <v>249</v>
      </c>
      <c r="BE66" s="0" t="n">
        <v>0</v>
      </c>
      <c r="BF66" s="0" t="s">
        <v>964</v>
      </c>
      <c r="BG66" s="0" t="s">
        <v>410</v>
      </c>
      <c r="BH66" s="0" t="s">
        <v>411</v>
      </c>
      <c r="BP66" s="0" t="n">
        <v>0</v>
      </c>
      <c r="BQ66" s="0" t="n">
        <v>0</v>
      </c>
      <c r="BR66" s="0" t="n">
        <v>1</v>
      </c>
      <c r="BS66" s="0" t="s">
        <v>965</v>
      </c>
      <c r="BT66" s="0" t="s">
        <v>966</v>
      </c>
      <c r="BU66" s="0" t="s">
        <v>967</v>
      </c>
      <c r="BV66" s="123"/>
      <c r="BW66" s="123"/>
      <c r="BX66" s="123"/>
      <c r="BY66" s="123"/>
      <c r="BZ66" s="0" t="n">
        <v>0</v>
      </c>
      <c r="CA66" s="0" t="s">
        <v>216</v>
      </c>
      <c r="CD66" s="0" t="s">
        <v>216</v>
      </c>
      <c r="CE66" s="0" t="n">
        <v>0</v>
      </c>
      <c r="CF66" s="0" t="s">
        <v>968</v>
      </c>
      <c r="CG66" s="0" t="s">
        <v>218</v>
      </c>
      <c r="CI66" s="1" t="n">
        <v>38782</v>
      </c>
      <c r="CJ66" s="1" t="n">
        <v>40533</v>
      </c>
      <c r="CK66" s="124" t="n">
        <v>0.75</v>
      </c>
      <c r="CL66" s="0" t="s">
        <v>969</v>
      </c>
      <c r="CM66" s="0" t="n">
        <f aca="false">IF(OR(CI66="",CJ66=""),"",DAYS360(CI66,CJ66)/360)</f>
        <v>4.79166666666667</v>
      </c>
      <c r="CN66" s="0" t="n">
        <f aca="false">IF(OR(CI66="",CJ66=""),"",DAYS360(CI66,CJ66)/30)</f>
        <v>57.5</v>
      </c>
      <c r="CO66" s="0" t="n">
        <f aca="false">IF(OR(CI66="",CJ66=""),"",DAYS360(CI66,CJ66)/7)</f>
        <v>246.428571428571</v>
      </c>
      <c r="CP66" s="0" t="n">
        <f aca="false">IF(OR(CI66="",CJ66=""),"",DAYS360(CI66,CJ66))</f>
        <v>1725</v>
      </c>
      <c r="CQ66" s="0" t="s">
        <v>240</v>
      </c>
      <c r="CR66" s="0" t="n">
        <v>1</v>
      </c>
      <c r="CT66" s="0" t="n">
        <v>250</v>
      </c>
      <c r="CU66" s="0" t="n">
        <v>0</v>
      </c>
      <c r="CV66" s="0" t="n">
        <f aca="false">IF(OR(CT66="",CT66="NO ESPECIFICA",CT66="NO MENCIONA"),"",IF(CU66=0,CT66,IF(CU66=1,CT66/30,IF(CU66=2,CT66/15,IF(CU66=3,CT66/7,"")))))</f>
        <v>250</v>
      </c>
      <c r="CW66" s="125" t="s">
        <v>216</v>
      </c>
      <c r="CX66" s="0" t="s">
        <v>216</v>
      </c>
      <c r="CY66" s="0" t="str">
        <f aca="false">IF(CW66="","",IF(CX66=0,CW66,IF(CX66=1,CW66/30,IF(CX66=2,CW66/15,IF(CX66=3,CW66/7,CW66)))))</f>
        <v>NO MENCIONA</v>
      </c>
      <c r="CZ66" s="0" t="n">
        <f aca="false">IF(DI66&gt;0,DI66,IF(CY66&gt;0,CY66,IF(CV66&gt;0,CV66,"")))</f>
        <v>250</v>
      </c>
      <c r="DA66" s="0" t="n">
        <f aca="false">IF(DM66=1,CZ66/8,IF(OR(DM66=2,DM66=4),CZ66/7,IF(DM66=3,CZ66/7.5,"")))</f>
        <v>31.25</v>
      </c>
      <c r="DB66" s="0" t="s">
        <v>216</v>
      </c>
      <c r="DC66" s="0" t="s">
        <v>216</v>
      </c>
      <c r="DD66" s="0" t="s">
        <v>216</v>
      </c>
      <c r="DE66" s="0" t="s">
        <v>216</v>
      </c>
      <c r="DF66" s="0" t="s">
        <v>216</v>
      </c>
      <c r="DG66" s="0" t="s">
        <v>216</v>
      </c>
      <c r="DH66" s="0" t="n">
        <v>0</v>
      </c>
      <c r="DI66" s="126" t="n">
        <v>250</v>
      </c>
      <c r="DK66" s="0" t="n">
        <v>0</v>
      </c>
      <c r="DM66" s="0" t="n">
        <v>1</v>
      </c>
      <c r="DN66" s="0" t="n">
        <v>60</v>
      </c>
      <c r="DO66" s="0" t="n">
        <v>3</v>
      </c>
      <c r="DP66" s="0" t="n">
        <v>0</v>
      </c>
      <c r="DQ66" s="0" t="n">
        <v>1</v>
      </c>
      <c r="DR66" s="0"/>
      <c r="DS66" s="0" t="n">
        <v>1</v>
      </c>
      <c r="DU66" s="0" t="n">
        <v>1</v>
      </c>
      <c r="DW66" s="1" t="n">
        <v>39878</v>
      </c>
      <c r="DX66" s="1" t="n">
        <v>40533</v>
      </c>
      <c r="DZ66" s="0"/>
      <c r="EA66" s="0" t="n">
        <v>1</v>
      </c>
      <c r="EC66" s="1" t="n">
        <v>39814</v>
      </c>
      <c r="ED66" s="1" t="n">
        <v>40533</v>
      </c>
      <c r="EF66" s="0"/>
      <c r="EG66" s="0" t="n">
        <v>1</v>
      </c>
      <c r="EH66" s="0" t="n">
        <v>24</v>
      </c>
      <c r="EI66" s="0" t="n">
        <f aca="false">IF(AND(DM66=1,DN66&lt;=48),"",IF(AND(DM66=2,DN66&lt;=42),"",IF(AND(DM66=3,DN66&lt;=45),"",EH66)))</f>
        <v>24</v>
      </c>
      <c r="EJ66" s="0" t="n">
        <f aca="false">IF(EI66="","",IF(EI66&lt;9,EI66,9))</f>
        <v>9</v>
      </c>
      <c r="EK66" s="0" t="n">
        <f aca="false">IF(EI66="","",IF(EI66&gt;9,EI66-EJ66,0))</f>
        <v>15</v>
      </c>
      <c r="EL66" s="0" t="n">
        <f aca="false">IF(EI66="","",EJ66*DA66*2+EK66*DA66*3)</f>
        <v>1968.75</v>
      </c>
      <c r="EP66" s="0" t="n">
        <v>0</v>
      </c>
      <c r="EQ66" s="0"/>
      <c r="ER66" s="0" t="n">
        <v>0</v>
      </c>
      <c r="ET66" s="0" t="n">
        <v>0</v>
      </c>
      <c r="EV66" s="0" t="n">
        <v>0</v>
      </c>
      <c r="EX66" s="0" t="n">
        <v>0</v>
      </c>
      <c r="EY66" s="0" t="n">
        <v>0</v>
      </c>
      <c r="EZ66" s="0"/>
      <c r="FA66" s="0"/>
      <c r="FB66" s="0" t="n">
        <v>1</v>
      </c>
      <c r="FF66" s="120" t="n">
        <f aca="false">(CJ66-CI66+1)/365</f>
        <v>4.8</v>
      </c>
      <c r="FG66" s="0" t="str">
        <f aca="false">CONCATENATE(F66,"/",G66)</f>
        <v>312/2011</v>
      </c>
      <c r="FH66" s="0" t="n">
        <v>0</v>
      </c>
      <c r="FI66" s="0" t="n">
        <v>0</v>
      </c>
    </row>
    <row r="67" customFormat="false" ht="15" hidden="false" customHeight="false" outlineLevel="0" collapsed="false">
      <c r="A67" s="5" t="str">
        <f aca="false">E67&amp;G67&amp;F67</f>
        <v>72011318</v>
      </c>
      <c r="B67" s="0" t="s">
        <v>203</v>
      </c>
      <c r="C67" s="1" t="n">
        <v>42409</v>
      </c>
      <c r="E67" s="0" t="n">
        <v>7</v>
      </c>
      <c r="F67" s="0" t="n">
        <v>318</v>
      </c>
      <c r="G67" s="0" t="n">
        <v>2011</v>
      </c>
      <c r="H67" s="0" t="str">
        <f aca="false">"J"&amp;E67&amp;"\"&amp;F67&amp;"\"&amp;G67&amp;"\"&amp;W67</f>
        <v>J7\318\2011\1</v>
      </c>
      <c r="I67" s="0"/>
      <c r="J67" s="1" t="n">
        <v>40592</v>
      </c>
      <c r="K67" s="0" t="n">
        <v>0</v>
      </c>
      <c r="M67" s="1" t="n">
        <v>40592</v>
      </c>
      <c r="N67" s="1" t="n">
        <v>40669</v>
      </c>
      <c r="O67" s="1"/>
      <c r="P67" s="1"/>
      <c r="Q67" s="1"/>
      <c r="T67" s="121"/>
      <c r="U67" s="121"/>
      <c r="V67" s="122" t="n">
        <f aca="false">IF(AND(E67&gt;0,F67&gt;0,G67&gt;0),COUNTIFS($E:$E,E67,$F:$F,F67,$G:$G,G67),"")</f>
        <v>1</v>
      </c>
      <c r="W67" s="122" t="n">
        <f aca="false">IF(V67="","",IF(V67=1,1,IF(AND(E66=E67,F66=F67,G66=G67),W66+1,1)))</f>
        <v>1</v>
      </c>
      <c r="X67" s="0" t="n">
        <v>1</v>
      </c>
      <c r="Y67" s="0" t="n">
        <v>4</v>
      </c>
      <c r="Z67" s="0" t="s">
        <v>970</v>
      </c>
      <c r="AA67" s="0" t="n">
        <v>0</v>
      </c>
      <c r="AB67" s="0" t="s">
        <v>971</v>
      </c>
      <c r="AC67" s="0" t="s">
        <v>972</v>
      </c>
      <c r="AD67" s="0" t="s">
        <v>211</v>
      </c>
      <c r="AE67" s="0" t="n">
        <v>0</v>
      </c>
      <c r="AF67" s="0" t="s">
        <v>973</v>
      </c>
      <c r="AG67" s="0" t="n">
        <v>1</v>
      </c>
      <c r="AH67" s="0" t="s">
        <v>974</v>
      </c>
      <c r="AI67" s="0" t="s">
        <v>975</v>
      </c>
      <c r="AJ67" s="0" t="s">
        <v>411</v>
      </c>
      <c r="AL67" s="0" t="s">
        <v>213</v>
      </c>
      <c r="AM67" s="0" t="n">
        <v>1</v>
      </c>
      <c r="AN67" s="0" t="s">
        <v>974</v>
      </c>
      <c r="AO67" s="0" t="s">
        <v>975</v>
      </c>
      <c r="AP67" s="0" t="s">
        <v>411</v>
      </c>
      <c r="AR67" s="0" t="s">
        <v>249</v>
      </c>
      <c r="AS67" s="0" t="n">
        <v>0</v>
      </c>
      <c r="AT67" s="0" t="s">
        <v>976</v>
      </c>
      <c r="AU67" s="0" t="s">
        <v>410</v>
      </c>
      <c r="AV67" s="0" t="s">
        <v>411</v>
      </c>
      <c r="AX67" s="0" t="s">
        <v>412</v>
      </c>
      <c r="AY67" s="0" t="n">
        <v>0</v>
      </c>
      <c r="AZ67" s="0" t="s">
        <v>977</v>
      </c>
      <c r="BA67" s="0" t="s">
        <v>438</v>
      </c>
      <c r="BB67" s="0" t="s">
        <v>207</v>
      </c>
      <c r="BP67" s="0" t="n">
        <v>0</v>
      </c>
      <c r="BQ67" s="0" t="n">
        <v>0</v>
      </c>
      <c r="BR67" s="0" t="n">
        <v>1</v>
      </c>
      <c r="BS67" s="0" t="s">
        <v>978</v>
      </c>
      <c r="BT67" s="0" t="s">
        <v>979</v>
      </c>
      <c r="BU67" s="0" t="s">
        <v>216</v>
      </c>
      <c r="BV67" s="123"/>
      <c r="BW67" s="123"/>
      <c r="BX67" s="123"/>
      <c r="BY67" s="123"/>
      <c r="BZ67" s="0" t="n">
        <v>0</v>
      </c>
      <c r="CA67" s="0" t="s">
        <v>216</v>
      </c>
      <c r="CD67" s="0" t="s">
        <v>502</v>
      </c>
      <c r="CE67" s="0" t="n">
        <v>0</v>
      </c>
      <c r="CF67" s="0" t="s">
        <v>980</v>
      </c>
      <c r="CG67" s="0" t="s">
        <v>218</v>
      </c>
      <c r="CI67" s="1" t="n">
        <v>39904</v>
      </c>
      <c r="CJ67" s="1" t="n">
        <v>40578</v>
      </c>
      <c r="CK67" s="124" t="n">
        <v>0.375</v>
      </c>
      <c r="CL67" s="0" t="s">
        <v>973</v>
      </c>
      <c r="CM67" s="0" t="n">
        <f aca="false">IF(OR(CI67="",CJ67=""),"",DAYS360(CI67,CJ67)/360)</f>
        <v>1.84166666666667</v>
      </c>
      <c r="CN67" s="0" t="n">
        <f aca="false">IF(OR(CI67="",CJ67=""),"",DAYS360(CI67,CJ67)/30)</f>
        <v>22.1</v>
      </c>
      <c r="CO67" s="0" t="n">
        <f aca="false">IF(OR(CI67="",CJ67=""),"",DAYS360(CI67,CJ67)/7)</f>
        <v>94.7142857142857</v>
      </c>
      <c r="CP67" s="0" t="n">
        <f aca="false">IF(OR(CI67="",CJ67=""),"",DAYS360(CI67,CJ67))</f>
        <v>663</v>
      </c>
      <c r="CQ67" s="0" t="s">
        <v>240</v>
      </c>
      <c r="CR67" s="0" t="n">
        <v>1</v>
      </c>
      <c r="CT67" s="0" t="s">
        <v>221</v>
      </c>
      <c r="CU67" s="0" t="s">
        <v>221</v>
      </c>
      <c r="CV67" s="0" t="str">
        <f aca="false">IF(OR(CT67="",CT67="NO ESPECIFICA",CT67="NO MENCIONA"),"",IF(CU67=0,CT67,IF(CU67=1,CT67/30,IF(CU67=2,CT67/15,IF(CU67=3,CT67/7,"")))))</f>
        <v/>
      </c>
      <c r="CW67" s="125" t="n">
        <v>450</v>
      </c>
      <c r="CX67" s="0" t="n">
        <v>0</v>
      </c>
      <c r="CY67" s="0" t="n">
        <f aca="false">IF(CW67="","",IF(CX67=0,CW67,IF(CX67=1,CW67/30,IF(CX67=2,CW67/15,IF(CX67=3,CW67/7,CW67)))))</f>
        <v>450</v>
      </c>
      <c r="CZ67" s="0" t="n">
        <f aca="false">IF(DI67&gt;0,DI67,IF(CY67&gt;0,CY67,IF(CV67&gt;0,CV67,"")))</f>
        <v>450</v>
      </c>
      <c r="DA67" s="0" t="n">
        <f aca="false">IF(DM67=1,CZ67/8,IF(OR(DM67=2,DM67=4),CZ67/7,IF(DM67=3,CZ67/7.5,"")))</f>
        <v>56.25</v>
      </c>
      <c r="DB67" s="0" t="s">
        <v>216</v>
      </c>
      <c r="DC67" s="0" t="s">
        <v>216</v>
      </c>
      <c r="DD67" s="0" t="s">
        <v>216</v>
      </c>
      <c r="DE67" s="0" t="s">
        <v>216</v>
      </c>
      <c r="DF67" s="0" t="s">
        <v>216</v>
      </c>
      <c r="DG67" s="0" t="s">
        <v>216</v>
      </c>
      <c r="DH67" s="0" t="n">
        <v>0</v>
      </c>
      <c r="DI67" s="126" t="n">
        <v>450</v>
      </c>
      <c r="DK67" s="0" t="n">
        <v>0</v>
      </c>
      <c r="DM67" s="0" t="n">
        <v>1</v>
      </c>
      <c r="DN67" s="0" t="n">
        <v>91</v>
      </c>
      <c r="DO67" s="0" t="n">
        <v>3</v>
      </c>
      <c r="DP67" s="0" t="n">
        <v>0</v>
      </c>
      <c r="DQ67" s="0" t="n">
        <v>1</v>
      </c>
      <c r="DR67" s="0"/>
      <c r="DS67" s="0" t="n">
        <v>1</v>
      </c>
      <c r="DU67" s="0" t="n">
        <v>1</v>
      </c>
      <c r="DW67" s="1" t="n">
        <v>39904</v>
      </c>
      <c r="DX67" s="1" t="n">
        <v>40578</v>
      </c>
      <c r="DZ67" s="0"/>
      <c r="EA67" s="0" t="n">
        <v>1</v>
      </c>
      <c r="EC67" s="1" t="n">
        <v>40179</v>
      </c>
      <c r="ED67" s="1" t="n">
        <v>40578</v>
      </c>
      <c r="EF67" s="0"/>
      <c r="EG67" s="0" t="n">
        <v>1</v>
      </c>
      <c r="EH67" s="0" t="n">
        <v>35</v>
      </c>
      <c r="EI67" s="0" t="n">
        <f aca="false">IF(AND(DM67=1,DN67&lt;=48),"",IF(AND(DM67=2,DN67&lt;=42),"",IF(AND(DM67=3,DN67&lt;=45),"",EH67)))</f>
        <v>35</v>
      </c>
      <c r="EJ67" s="0" t="n">
        <f aca="false">IF(EI67="","",IF(EI67&lt;9,EI67,9))</f>
        <v>9</v>
      </c>
      <c r="EK67" s="0" t="n">
        <f aca="false">IF(EI67="","",IF(EI67&gt;9,EI67-EJ67,0))</f>
        <v>26</v>
      </c>
      <c r="EL67" s="0" t="n">
        <f aca="false">IF(EI67="","",EJ67*DA67*2+EK67*DA67*3)</f>
        <v>5400</v>
      </c>
      <c r="EP67" s="0" t="n">
        <v>0</v>
      </c>
      <c r="EQ67" s="0"/>
      <c r="ER67" s="0" t="n">
        <v>0</v>
      </c>
      <c r="ET67" s="0" t="n">
        <v>0</v>
      </c>
      <c r="EV67" s="0" t="n">
        <v>0</v>
      </c>
      <c r="EX67" s="0" t="n">
        <v>1</v>
      </c>
      <c r="EY67" s="0" t="n">
        <v>0</v>
      </c>
      <c r="EZ67" s="0"/>
      <c r="FA67" s="0"/>
      <c r="FB67" s="0" t="n">
        <v>1</v>
      </c>
      <c r="FF67" s="120" t="n">
        <f aca="false">(CJ67-CI67+1)/365</f>
        <v>1.84931506849315</v>
      </c>
      <c r="FG67" s="0" t="str">
        <f aca="false">CONCATENATE(F67,"/",G67)</f>
        <v>318/2011</v>
      </c>
      <c r="FH67" s="0" t="n">
        <v>0</v>
      </c>
      <c r="FI67" s="0" t="n">
        <v>0</v>
      </c>
    </row>
    <row r="68" customFormat="false" ht="15" hidden="false" customHeight="false" outlineLevel="0" collapsed="false">
      <c r="A68" s="5" t="str">
        <f aca="false">E68&amp;G68&amp;F68</f>
        <v>72011333</v>
      </c>
      <c r="B68" s="0" t="s">
        <v>203</v>
      </c>
      <c r="C68" s="1" t="n">
        <v>42409</v>
      </c>
      <c r="E68" s="0" t="n">
        <v>7</v>
      </c>
      <c r="F68" s="0" t="n">
        <v>333</v>
      </c>
      <c r="G68" s="0" t="n">
        <v>2011</v>
      </c>
      <c r="H68" s="0" t="str">
        <f aca="false">"J"&amp;E68&amp;"\"&amp;F68&amp;"\"&amp;G68&amp;"\"&amp;W68</f>
        <v>J7\333\2011\1</v>
      </c>
      <c r="I68" s="0"/>
      <c r="J68" s="1" t="n">
        <v>40595</v>
      </c>
      <c r="K68" s="0" t="n">
        <v>0</v>
      </c>
      <c r="M68" s="1"/>
      <c r="N68" s="1"/>
      <c r="O68" s="1"/>
      <c r="P68" s="1"/>
      <c r="Q68" s="1"/>
      <c r="T68" s="121"/>
      <c r="U68" s="121"/>
      <c r="V68" s="122" t="n">
        <f aca="false">IF(AND(E68&gt;0,F68&gt;0,G68&gt;0),COUNTIFS($E:$E,E68,$F:$F,F68,$G:$G,G68),"")</f>
        <v>1</v>
      </c>
      <c r="W68" s="122" t="n">
        <f aca="false">IF(V68="","",IF(V68=1,1,IF(AND(E67=E68,F67=F68,G67=G68),W67+1,1)))</f>
        <v>1</v>
      </c>
      <c r="X68" s="0" t="n">
        <v>1</v>
      </c>
      <c r="Y68" s="0" t="n">
        <v>3</v>
      </c>
      <c r="Z68" s="0" t="s">
        <v>981</v>
      </c>
      <c r="AA68" s="0" t="n">
        <v>0</v>
      </c>
      <c r="AB68" s="0" t="s">
        <v>348</v>
      </c>
      <c r="AC68" s="0" t="s">
        <v>216</v>
      </c>
      <c r="AD68" s="0" t="s">
        <v>216</v>
      </c>
      <c r="AE68" s="0" t="n">
        <v>0</v>
      </c>
      <c r="AF68" s="0" t="s">
        <v>982</v>
      </c>
      <c r="AG68" s="0" t="n">
        <v>0</v>
      </c>
      <c r="AH68" s="0" t="s">
        <v>983</v>
      </c>
      <c r="AI68" s="0" t="s">
        <v>318</v>
      </c>
      <c r="AJ68" s="0" t="s">
        <v>229</v>
      </c>
      <c r="AL68" s="0" t="s">
        <v>984</v>
      </c>
      <c r="AM68" s="0" t="n">
        <v>1</v>
      </c>
      <c r="AN68" s="0" t="s">
        <v>983</v>
      </c>
      <c r="AO68" s="0" t="s">
        <v>318</v>
      </c>
      <c r="AP68" s="0" t="s">
        <v>229</v>
      </c>
      <c r="AR68" s="0" t="s">
        <v>213</v>
      </c>
      <c r="AS68" s="0" t="n">
        <v>1</v>
      </c>
      <c r="AT68" s="0" t="s">
        <v>983</v>
      </c>
      <c r="AU68" s="0" t="s">
        <v>318</v>
      </c>
      <c r="AV68" s="0" t="s">
        <v>229</v>
      </c>
      <c r="BP68" s="0" t="n">
        <v>0</v>
      </c>
      <c r="BQ68" s="0" t="n">
        <v>0</v>
      </c>
      <c r="BR68" s="0" t="n">
        <v>3</v>
      </c>
      <c r="BS68" s="0" t="s">
        <v>499</v>
      </c>
      <c r="BT68" s="0" t="s">
        <v>500</v>
      </c>
      <c r="BU68" s="0" t="s">
        <v>501</v>
      </c>
      <c r="BV68" s="123"/>
      <c r="BW68" s="123"/>
      <c r="BX68" s="123"/>
      <c r="BY68" s="123"/>
      <c r="BZ68" s="0" t="n">
        <v>0</v>
      </c>
      <c r="CA68" s="0" t="s">
        <v>348</v>
      </c>
      <c r="CD68" s="0" t="s">
        <v>370</v>
      </c>
      <c r="CE68" s="0" t="n">
        <v>0</v>
      </c>
      <c r="CF68" s="0" t="s">
        <v>611</v>
      </c>
      <c r="CG68" s="0" t="s">
        <v>218</v>
      </c>
      <c r="CI68" s="1" t="n">
        <v>34022</v>
      </c>
      <c r="CJ68" s="1" t="n">
        <v>40532</v>
      </c>
      <c r="CK68" s="124" t="n">
        <v>0.375</v>
      </c>
      <c r="CL68" s="0" t="s">
        <v>984</v>
      </c>
      <c r="CM68" s="0" t="n">
        <f aca="false">IF(OR(CI68="",CJ68=""),"",DAYS360(CI68,CJ68)/360)</f>
        <v>17.8277777777778</v>
      </c>
      <c r="CN68" s="0" t="n">
        <f aca="false">IF(OR(CI68="",CJ68=""),"",DAYS360(CI68,CJ68)/30)</f>
        <v>213.933333333333</v>
      </c>
      <c r="CO68" s="0" t="n">
        <f aca="false">IF(OR(CI68="",CJ68=""),"",DAYS360(CI68,CJ68)/7)</f>
        <v>916.857142857143</v>
      </c>
      <c r="CP68" s="0" t="n">
        <f aca="false">IF(OR(CI68="",CJ68=""),"",DAYS360(CI68,CJ68))</f>
        <v>6418</v>
      </c>
      <c r="CQ68" s="0" t="s">
        <v>240</v>
      </c>
      <c r="CR68" s="0" t="n">
        <v>1</v>
      </c>
      <c r="CT68" s="0" t="n">
        <v>146</v>
      </c>
      <c r="CU68" s="0" t="n">
        <v>0</v>
      </c>
      <c r="CV68" s="0" t="n">
        <f aca="false">IF(OR(CT68="",CT68="NO ESPECIFICA",CT68="NO MENCIONA"),"",IF(CU68=0,CT68,IF(CU68=1,CT68/30,IF(CU68=2,CT68/15,IF(CU68=3,CT68/7,"")))))</f>
        <v>146</v>
      </c>
      <c r="CW68" s="125" t="n">
        <v>153.8</v>
      </c>
      <c r="CX68" s="0" t="n">
        <v>0</v>
      </c>
      <c r="CY68" s="0" t="n">
        <f aca="false">IF(CW68="","",IF(CX68=0,CW68,IF(CX68=1,CW68/30,IF(CX68=2,CW68/15,IF(CX68=3,CW68/7,CW68)))))</f>
        <v>153.8</v>
      </c>
      <c r="CZ68" s="0" t="n">
        <f aca="false">IF(DI68&gt;0,DI68,IF(CY68&gt;0,CY68,IF(CV68&gt;0,CV68,"")))</f>
        <v>153.8</v>
      </c>
      <c r="DA68" s="0" t="n">
        <f aca="false">IF(DM68=1,CZ68/8,IF(OR(DM68=2,DM68=4),CZ68/7,IF(DM68=3,CZ68/7.5,"")))</f>
        <v>19.225</v>
      </c>
      <c r="DB68" s="0" t="s">
        <v>303</v>
      </c>
      <c r="DC68" s="0" t="s">
        <v>301</v>
      </c>
      <c r="DD68" s="0" t="s">
        <v>216</v>
      </c>
      <c r="DE68" s="0" t="s">
        <v>216</v>
      </c>
      <c r="DF68" s="0" t="s">
        <v>216</v>
      </c>
      <c r="DG68" s="0" t="s">
        <v>216</v>
      </c>
      <c r="DH68" s="0" t="n">
        <v>0</v>
      </c>
      <c r="DI68" s="126" t="n">
        <v>153.8</v>
      </c>
      <c r="DK68" s="0" t="n">
        <v>1</v>
      </c>
      <c r="DM68" s="0" t="n">
        <v>1</v>
      </c>
      <c r="DN68" s="0" t="n">
        <v>47.5</v>
      </c>
      <c r="DO68" s="0" t="n">
        <v>3</v>
      </c>
      <c r="DP68" s="0" t="n">
        <v>0</v>
      </c>
      <c r="DQ68" s="0" t="n">
        <v>1</v>
      </c>
      <c r="DR68" s="0"/>
      <c r="DS68" s="0" t="n">
        <v>1</v>
      </c>
      <c r="DU68" s="0" t="n">
        <v>1</v>
      </c>
      <c r="DW68" s="1" t="n">
        <v>34022</v>
      </c>
      <c r="DX68" s="1" t="n">
        <v>40532</v>
      </c>
      <c r="DZ68" s="0"/>
      <c r="EA68" s="0" t="n">
        <v>1</v>
      </c>
      <c r="EC68" s="1" t="n">
        <v>34022</v>
      </c>
      <c r="ED68" s="1" t="n">
        <v>40532</v>
      </c>
      <c r="EF68" s="0"/>
      <c r="EG68" s="0" t="n">
        <v>0</v>
      </c>
      <c r="EI68" s="0" t="str">
        <f aca="false">IF(AND(DM68=1,DN68&lt;=48),"",IF(AND(DM68=2,DN68&lt;=42),"",IF(AND(DM68=3,DN68&lt;=45),"",EH68)))</f>
        <v/>
      </c>
      <c r="EJ68" s="0" t="str">
        <f aca="false">IF(EI68="","",IF(EI68&lt;9,EI68,9))</f>
        <v/>
      </c>
      <c r="EK68" s="0" t="str">
        <f aca="false">IF(EI68="","",IF(EI68&gt;9,EI68-EJ68,0))</f>
        <v/>
      </c>
      <c r="EL68" s="0" t="str">
        <f aca="false">IF(EI68="","",EJ68*DA68*2+EK68*DA68*3)</f>
        <v/>
      </c>
      <c r="EP68" s="0" t="n">
        <v>0</v>
      </c>
      <c r="EQ68" s="0"/>
      <c r="ER68" s="0" t="n">
        <v>0</v>
      </c>
      <c r="ET68" s="0" t="n">
        <v>0</v>
      </c>
      <c r="EV68" s="0" t="n">
        <v>0</v>
      </c>
      <c r="EX68" s="0" t="n">
        <v>0</v>
      </c>
      <c r="EY68" s="0" t="n">
        <v>0</v>
      </c>
      <c r="EZ68" s="0"/>
      <c r="FA68" s="4" t="n">
        <v>2922.2</v>
      </c>
      <c r="FB68" s="0" t="n">
        <v>0</v>
      </c>
      <c r="FF68" s="120" t="n">
        <f aca="false">(CJ68-CI68+1)/365</f>
        <v>17.8383561643836</v>
      </c>
      <c r="FG68" s="0" t="str">
        <f aca="false">CONCATENATE(F68,"/",G68)</f>
        <v>333/2011</v>
      </c>
      <c r="FH68" s="0" t="n">
        <v>0</v>
      </c>
      <c r="FI68" s="0" t="n">
        <v>0</v>
      </c>
    </row>
    <row r="69" customFormat="false" ht="15" hidden="false" customHeight="false" outlineLevel="0" collapsed="false">
      <c r="A69" s="5" t="str">
        <f aca="false">E69&amp;G69&amp;F69</f>
        <v>72011338</v>
      </c>
      <c r="B69" s="0" t="s">
        <v>203</v>
      </c>
      <c r="C69" s="1" t="n">
        <v>42409</v>
      </c>
      <c r="E69" s="0" t="n">
        <v>7</v>
      </c>
      <c r="F69" s="0" t="n">
        <v>338</v>
      </c>
      <c r="G69" s="0" t="n">
        <v>2011</v>
      </c>
      <c r="H69" s="0" t="str">
        <f aca="false">"J"&amp;E69&amp;"\"&amp;F69&amp;"\"&amp;G69&amp;"\"&amp;W69</f>
        <v>J7\338\2011\1</v>
      </c>
      <c r="I69" s="0"/>
      <c r="J69" s="1" t="n">
        <v>40596</v>
      </c>
      <c r="K69" s="0" t="n">
        <v>0</v>
      </c>
      <c r="M69" s="1"/>
      <c r="N69" s="1"/>
      <c r="O69" s="1"/>
      <c r="P69" s="1"/>
      <c r="Q69" s="1"/>
      <c r="T69" s="121"/>
      <c r="U69" s="121"/>
      <c r="V69" s="122" t="n">
        <f aca="false">IF(AND(E69&gt;0,F69&gt;0,G69&gt;0),COUNTIFS($E:$E,E69,$F:$F,F69,$G:$G,G69),"")</f>
        <v>1</v>
      </c>
      <c r="W69" s="122" t="n">
        <f aca="false">IF(V69="","",IF(V69=1,1,IF(AND(E68=E69,F68=F69,G68=G69),W68+1,1)))</f>
        <v>1</v>
      </c>
      <c r="X69" s="0" t="n">
        <v>1</v>
      </c>
      <c r="Y69" s="0" t="n">
        <v>7</v>
      </c>
      <c r="Z69" s="0" t="s">
        <v>985</v>
      </c>
      <c r="AA69" s="0" t="n">
        <v>0</v>
      </c>
      <c r="AB69" s="0" t="s">
        <v>986</v>
      </c>
      <c r="AC69" s="0" t="s">
        <v>987</v>
      </c>
      <c r="AD69" s="0" t="s">
        <v>519</v>
      </c>
      <c r="AE69" s="0" t="n">
        <v>0</v>
      </c>
      <c r="AF69" s="0" t="s">
        <v>988</v>
      </c>
      <c r="AG69" s="0" t="n">
        <v>2</v>
      </c>
      <c r="AH69" s="0" t="s">
        <v>989</v>
      </c>
      <c r="AI69" s="0" t="s">
        <v>216</v>
      </c>
      <c r="AJ69" s="0" t="s">
        <v>229</v>
      </c>
      <c r="AL69" s="0" t="s">
        <v>990</v>
      </c>
      <c r="AM69" s="0" t="n">
        <v>0</v>
      </c>
      <c r="AN69" s="0" t="s">
        <v>991</v>
      </c>
      <c r="AO69" s="0" t="s">
        <v>992</v>
      </c>
      <c r="AP69" s="0" t="s">
        <v>993</v>
      </c>
      <c r="AR69" s="0" t="s">
        <v>994</v>
      </c>
      <c r="AS69" s="0" t="n">
        <v>1</v>
      </c>
      <c r="AT69" s="0" t="s">
        <v>991</v>
      </c>
      <c r="AU69" s="0" t="s">
        <v>992</v>
      </c>
      <c r="AV69" s="0" t="s">
        <v>993</v>
      </c>
      <c r="AX69" s="0" t="s">
        <v>995</v>
      </c>
      <c r="AY69" s="0" t="n">
        <v>1</v>
      </c>
      <c r="AZ69" s="0" t="s">
        <v>991</v>
      </c>
      <c r="BA69" s="0" t="s">
        <v>992</v>
      </c>
      <c r="BB69" s="0" t="s">
        <v>993</v>
      </c>
      <c r="BD69" s="0" t="s">
        <v>213</v>
      </c>
      <c r="BE69" s="0" t="n">
        <v>1</v>
      </c>
      <c r="BF69" s="0" t="s">
        <v>991</v>
      </c>
      <c r="BG69" s="0" t="s">
        <v>992</v>
      </c>
      <c r="BH69" s="0" t="s">
        <v>993</v>
      </c>
      <c r="BJ69" s="0" t="s">
        <v>249</v>
      </c>
      <c r="BK69" s="0" t="n">
        <v>0</v>
      </c>
      <c r="BL69" s="0" t="s">
        <v>996</v>
      </c>
      <c r="BM69" s="0" t="s">
        <v>997</v>
      </c>
      <c r="BN69" s="0" t="s">
        <v>411</v>
      </c>
      <c r="BP69" s="0" t="n">
        <v>0</v>
      </c>
      <c r="BQ69" s="0" t="n">
        <v>0</v>
      </c>
      <c r="BR69" s="0" t="n">
        <v>1</v>
      </c>
      <c r="BS69" s="0" t="s">
        <v>998</v>
      </c>
      <c r="BT69" s="0" t="s">
        <v>999</v>
      </c>
      <c r="BU69" s="0" t="s">
        <v>1000</v>
      </c>
      <c r="BV69" s="123"/>
      <c r="BW69" s="123"/>
      <c r="BX69" s="123"/>
      <c r="BY69" s="123"/>
      <c r="BZ69" s="0" t="n">
        <v>0</v>
      </c>
      <c r="CA69" s="0" t="s">
        <v>216</v>
      </c>
      <c r="CD69" s="0" t="s">
        <v>1001</v>
      </c>
      <c r="CE69" s="0" t="n">
        <v>0</v>
      </c>
      <c r="CF69" s="0" t="s">
        <v>1002</v>
      </c>
      <c r="CG69" s="0" t="s">
        <v>218</v>
      </c>
      <c r="CI69" s="1" t="n">
        <v>40476</v>
      </c>
      <c r="CJ69" s="1" t="n">
        <v>40550</v>
      </c>
      <c r="CK69" s="124" t="n">
        <v>0.791666666666667</v>
      </c>
      <c r="CL69" s="0" t="s">
        <v>994</v>
      </c>
      <c r="CM69" s="0" t="n">
        <f aca="false">IF(OR(CI69="",CJ69=""),"",DAYS360(CI69,CJ69)/360)</f>
        <v>0.2</v>
      </c>
      <c r="CN69" s="0" t="n">
        <f aca="false">IF(OR(CI69="",CJ69=""),"",DAYS360(CI69,CJ69)/30)</f>
        <v>2.4</v>
      </c>
      <c r="CO69" s="0" t="n">
        <f aca="false">IF(OR(CI69="",CJ69=""),"",DAYS360(CI69,CJ69)/7)</f>
        <v>10.2857142857143</v>
      </c>
      <c r="CP69" s="0" t="n">
        <f aca="false">IF(OR(CI69="",CJ69=""),"",DAYS360(CI69,CJ69))</f>
        <v>72</v>
      </c>
      <c r="CQ69" s="0" t="s">
        <v>240</v>
      </c>
      <c r="CR69" s="0" t="n">
        <v>1</v>
      </c>
      <c r="CT69" s="0" t="n">
        <v>3600</v>
      </c>
      <c r="CU69" s="0" t="n">
        <v>3</v>
      </c>
      <c r="CV69" s="0" t="n">
        <f aca="false">IF(OR(CT69="",CT69="NO ESPECIFICA",CT69="NO MENCIONA"),"",IF(CU69=0,CT69,IF(CU69=1,CT69/30,IF(CU69=2,CT69/15,IF(CU69=3,CT69/7,"")))))</f>
        <v>514.285714285714</v>
      </c>
      <c r="CW69" s="125" t="n">
        <v>4600</v>
      </c>
      <c r="CX69" s="0" t="n">
        <v>3</v>
      </c>
      <c r="CY69" s="0" t="n">
        <f aca="false">IF(CW69="","",IF(CX69=0,CW69,IF(CX69=1,CW69/30,IF(CX69=2,CW69/15,IF(CX69=3,CW69/7,CW69)))))</f>
        <v>657.142857142857</v>
      </c>
      <c r="CZ69" s="0" t="n">
        <f aca="false">IF(DI69&gt;0,DI69,IF(CY69&gt;0,CY69,IF(CV69&gt;0,CV69,"")))</f>
        <v>657.14</v>
      </c>
      <c r="DA69" s="0" t="n">
        <f aca="false">IF(DM69=1,CZ69/8,IF(OR(DM69=2,DM69=4),CZ69/7,IF(DM69=3,CZ69/7.5,"")))</f>
        <v>82.1425</v>
      </c>
      <c r="DB69" s="0" t="s">
        <v>1003</v>
      </c>
      <c r="DC69" s="0" t="s">
        <v>216</v>
      </c>
      <c r="DD69" s="0" t="s">
        <v>216</v>
      </c>
      <c r="DE69" s="0" t="s">
        <v>216</v>
      </c>
      <c r="DF69" s="0" t="s">
        <v>216</v>
      </c>
      <c r="DG69" s="0" t="s">
        <v>216</v>
      </c>
      <c r="DH69" s="0" t="n">
        <v>0</v>
      </c>
      <c r="DI69" s="126" t="n">
        <v>657.14</v>
      </c>
      <c r="DK69" s="0" t="n">
        <v>0</v>
      </c>
      <c r="DM69" s="0" t="n">
        <v>1</v>
      </c>
      <c r="DN69" s="0" t="n">
        <v>55</v>
      </c>
      <c r="DO69" s="0" t="n">
        <v>3</v>
      </c>
      <c r="DP69" s="0" t="n">
        <v>0</v>
      </c>
      <c r="DQ69" s="0" t="n">
        <v>1</v>
      </c>
      <c r="DR69" s="0"/>
      <c r="DS69" s="0" t="n">
        <v>1</v>
      </c>
      <c r="DU69" s="0" t="n">
        <v>1</v>
      </c>
      <c r="DW69" s="1" t="n">
        <v>40476</v>
      </c>
      <c r="DX69" s="1" t="n">
        <v>40550</v>
      </c>
      <c r="DZ69" s="0"/>
      <c r="EA69" s="0" t="n">
        <v>1</v>
      </c>
      <c r="EC69" s="1" t="n">
        <v>40476</v>
      </c>
      <c r="ED69" s="1" t="n">
        <v>40550</v>
      </c>
      <c r="EF69" s="0"/>
      <c r="EG69" s="0" t="n">
        <v>0</v>
      </c>
      <c r="EI69" s="0" t="n">
        <f aca="false">IF(AND(DM69=1,DN69&lt;=48),"",IF(AND(DM69=2,DN69&lt;=42),"",IF(AND(DM69=3,DN69&lt;=45),"",EH69)))</f>
        <v>0</v>
      </c>
      <c r="EJ69" s="0" t="str">
        <f aca="false">IF(EI69="","",IF(EI69&lt;9,EI69,9))</f>
        <v/>
      </c>
      <c r="EK69" s="0" t="str">
        <f aca="false">IF(EI69="","",IF(EI69&gt;9,EI69-EJ69,0))</f>
        <v/>
      </c>
      <c r="EL69" s="0" t="str">
        <f aca="false">IF(EI69="","",EJ69*DA69*2+EK69*DA69*3)</f>
        <v/>
      </c>
      <c r="EP69" s="0" t="n">
        <v>0</v>
      </c>
      <c r="EQ69" s="0"/>
      <c r="ER69" s="0" t="n">
        <v>0</v>
      </c>
      <c r="ET69" s="0" t="n">
        <v>0</v>
      </c>
      <c r="EV69" s="0" t="n">
        <v>0</v>
      </c>
      <c r="EX69" s="0" t="n">
        <v>0</v>
      </c>
      <c r="EY69" s="0" t="n">
        <v>0</v>
      </c>
      <c r="EZ69" s="0"/>
      <c r="FA69" s="4" t="n">
        <v>36428.5</v>
      </c>
      <c r="FB69" s="0" t="n">
        <v>0</v>
      </c>
      <c r="FF69" s="120" t="n">
        <f aca="false">(CJ69-CI69+1)/365</f>
        <v>0.205479452054794</v>
      </c>
      <c r="FG69" s="0" t="str">
        <f aca="false">CONCATENATE(F69,"/",G69)</f>
        <v>338/2011</v>
      </c>
      <c r="FH69" s="0" t="n">
        <v>0</v>
      </c>
      <c r="FI69" s="0" t="n">
        <v>0</v>
      </c>
    </row>
    <row r="70" customFormat="false" ht="15" hidden="false" customHeight="false" outlineLevel="0" collapsed="false">
      <c r="A70" s="5" t="str">
        <f aca="false">E70&amp;G70&amp;F70</f>
        <v>72011352</v>
      </c>
      <c r="B70" s="0" t="s">
        <v>203</v>
      </c>
      <c r="C70" s="1" t="n">
        <v>42409</v>
      </c>
      <c r="E70" s="0" t="n">
        <v>7</v>
      </c>
      <c r="F70" s="0" t="n">
        <v>352</v>
      </c>
      <c r="G70" s="0" t="n">
        <v>2011</v>
      </c>
      <c r="H70" s="0" t="str">
        <f aca="false">"J"&amp;E70&amp;"\"&amp;F70&amp;"\"&amp;G70&amp;"\"&amp;W70</f>
        <v>J7\352\2011\1</v>
      </c>
      <c r="I70" s="0"/>
      <c r="J70" s="1" t="n">
        <v>40597</v>
      </c>
      <c r="K70" s="0" t="n">
        <v>0</v>
      </c>
      <c r="M70" s="1" t="n">
        <v>40600</v>
      </c>
      <c r="N70" s="1" t="n">
        <v>40679</v>
      </c>
      <c r="O70" s="1"/>
      <c r="P70" s="1"/>
      <c r="Q70" s="1"/>
      <c r="T70" s="121"/>
      <c r="U70" s="121"/>
      <c r="V70" s="122" t="n">
        <f aca="false">IF(AND(E70&gt;0,F70&gt;0,G70&gt;0),COUNTIFS($E:$E,E70,$F:$F,F70,$G:$G,G70),"")</f>
        <v>1</v>
      </c>
      <c r="W70" s="122" t="n">
        <f aca="false">IF(V70="","",IF(V70=1,1,IF(AND(E69=E70,F69=F70,G69=G70),W69+1,1)))</f>
        <v>1</v>
      </c>
      <c r="X70" s="0" t="n">
        <v>1</v>
      </c>
      <c r="Y70" s="0" t="n">
        <v>2</v>
      </c>
      <c r="Z70" s="0" t="s">
        <v>1004</v>
      </c>
      <c r="AA70" s="0" t="n">
        <v>0</v>
      </c>
      <c r="AB70" s="0" t="s">
        <v>603</v>
      </c>
      <c r="AC70" s="0" t="s">
        <v>274</v>
      </c>
      <c r="AD70" s="0" t="s">
        <v>221</v>
      </c>
      <c r="AE70" s="0" t="n">
        <v>0</v>
      </c>
      <c r="AF70" s="0" t="s">
        <v>1005</v>
      </c>
      <c r="AG70" s="0" t="n">
        <v>1</v>
      </c>
      <c r="AH70" s="0" t="s">
        <v>1006</v>
      </c>
      <c r="AI70" s="0" t="s">
        <v>1007</v>
      </c>
      <c r="AJ70" s="0" t="s">
        <v>352</v>
      </c>
      <c r="AL70" s="0" t="s">
        <v>213</v>
      </c>
      <c r="AM70" s="0" t="n">
        <v>1</v>
      </c>
      <c r="AN70" s="0" t="s">
        <v>1006</v>
      </c>
      <c r="AO70" s="0" t="s">
        <v>1007</v>
      </c>
      <c r="AP70" s="0" t="s">
        <v>352</v>
      </c>
      <c r="BP70" s="0" t="n">
        <v>0</v>
      </c>
      <c r="BQ70" s="0" t="n">
        <v>0</v>
      </c>
      <c r="BR70" s="0" t="n">
        <v>1</v>
      </c>
      <c r="BS70" s="0" t="s">
        <v>1008</v>
      </c>
      <c r="BT70" s="0" t="s">
        <v>1009</v>
      </c>
      <c r="BU70" s="0" t="s">
        <v>609</v>
      </c>
      <c r="BV70" s="123"/>
      <c r="BW70" s="123"/>
      <c r="BX70" s="123"/>
      <c r="BY70" s="123"/>
      <c r="BZ70" s="0" t="n">
        <v>0</v>
      </c>
      <c r="CA70" s="0" t="s">
        <v>1010</v>
      </c>
      <c r="CD70" s="0" t="s">
        <v>256</v>
      </c>
      <c r="CE70" s="0" t="n">
        <v>0</v>
      </c>
      <c r="CF70" s="0" t="s">
        <v>1011</v>
      </c>
      <c r="CG70" s="0" t="s">
        <v>1012</v>
      </c>
      <c r="CH70" s="0" t="n">
        <v>1</v>
      </c>
      <c r="CI70" s="1" t="n">
        <v>40567</v>
      </c>
      <c r="CJ70" s="1" t="n">
        <v>40579</v>
      </c>
      <c r="CK70" s="124" t="n">
        <v>0.375</v>
      </c>
      <c r="CL70" s="0" t="s">
        <v>1005</v>
      </c>
      <c r="CM70" s="0" t="n">
        <f aca="false">IF(OR(CI70="",CJ70=""),"",DAYS360(CI70,CJ70)/360)</f>
        <v>0.0305555555555556</v>
      </c>
      <c r="CN70" s="0" t="n">
        <f aca="false">IF(OR(CI70="",CJ70=""),"",DAYS360(CI70,CJ70)/30)</f>
        <v>0.366666666666667</v>
      </c>
      <c r="CO70" s="0" t="n">
        <f aca="false">IF(OR(CI70="",CJ70=""),"",DAYS360(CI70,CJ70)/7)</f>
        <v>1.57142857142857</v>
      </c>
      <c r="CP70" s="0" t="n">
        <f aca="false">IF(OR(CI70="",CJ70=""),"",DAYS360(CI70,CJ70))</f>
        <v>11</v>
      </c>
      <c r="CQ70" s="0" t="s">
        <v>240</v>
      </c>
      <c r="CR70" s="0" t="n">
        <v>1</v>
      </c>
      <c r="CT70" s="0" t="s">
        <v>221</v>
      </c>
      <c r="CU70" s="0" t="s">
        <v>221</v>
      </c>
      <c r="CV70" s="0" t="str">
        <f aca="false">IF(OR(CT70="",CT70="NO ESPECIFICA",CT70="NO MENCIONA"),"",IF(CU70=0,CT70,IF(CU70=1,CT70/30,IF(CU70=2,CT70/15,IF(CU70=3,CT70/7,"")))))</f>
        <v/>
      </c>
      <c r="CW70" s="125" t="n">
        <v>1500</v>
      </c>
      <c r="CX70" s="0" t="n">
        <v>3</v>
      </c>
      <c r="CY70" s="0" t="n">
        <f aca="false">IF(CW70="","",IF(CX70=0,CW70,IF(CX70=1,CW70/30,IF(CX70=2,CW70/15,IF(CX70=3,CW70/7,CW70)))))</f>
        <v>214.285714285714</v>
      </c>
      <c r="CZ70" s="0" t="n">
        <f aca="false">IF(DI70&gt;0,DI70,IF(CY70&gt;0,CY70,IF(CV70&gt;0,CV70,"")))</f>
        <v>214.28</v>
      </c>
      <c r="DA70" s="0" t="n">
        <f aca="false">IF(DM70=1,CZ70/8,IF(OR(DM70=2,DM70=4),CZ70/7,IF(DM70=3,CZ70/7.5,"")))</f>
        <v>26.785</v>
      </c>
      <c r="DB70" s="0" t="s">
        <v>216</v>
      </c>
      <c r="DC70" s="0" t="s">
        <v>216</v>
      </c>
      <c r="DD70" s="0" t="s">
        <v>216</v>
      </c>
      <c r="DE70" s="0" t="s">
        <v>216</v>
      </c>
      <c r="DF70" s="0" t="s">
        <v>216</v>
      </c>
      <c r="DG70" s="0" t="s">
        <v>216</v>
      </c>
      <c r="DH70" s="0" t="n">
        <v>0</v>
      </c>
      <c r="DI70" s="126" t="n">
        <v>214.28</v>
      </c>
      <c r="DK70" s="0" t="n">
        <v>0</v>
      </c>
      <c r="DM70" s="0" t="n">
        <v>1</v>
      </c>
      <c r="DN70" s="0" t="n">
        <v>66</v>
      </c>
      <c r="DO70" s="0" t="n">
        <v>3</v>
      </c>
      <c r="DP70" s="0" t="n">
        <v>0</v>
      </c>
      <c r="DQ70" s="0" t="n">
        <v>1</v>
      </c>
      <c r="DR70" s="0"/>
      <c r="DS70" s="0" t="n">
        <v>1</v>
      </c>
      <c r="DU70" s="0" t="n">
        <v>1</v>
      </c>
      <c r="DW70" s="1" t="n">
        <v>40567</v>
      </c>
      <c r="DX70" s="1" t="n">
        <v>40579</v>
      </c>
      <c r="DZ70" s="0"/>
      <c r="EA70" s="0" t="n">
        <v>1</v>
      </c>
      <c r="EC70" s="1" t="n">
        <v>40567</v>
      </c>
      <c r="ED70" s="1" t="n">
        <v>40579</v>
      </c>
      <c r="EF70" s="0"/>
      <c r="EG70" s="0" t="n">
        <v>1</v>
      </c>
      <c r="EH70" s="0" t="n">
        <v>18</v>
      </c>
      <c r="EI70" s="0" t="n">
        <f aca="false">IF(AND(DM70=1,DN70&lt;=48),"",IF(AND(DM70=2,DN70&lt;=42),"",IF(AND(DM70=3,DN70&lt;=45),"",EH70)))</f>
        <v>18</v>
      </c>
      <c r="EJ70" s="0" t="n">
        <f aca="false">IF(EI70="","",IF(EI70&lt;9,EI70,9))</f>
        <v>9</v>
      </c>
      <c r="EK70" s="0" t="n">
        <f aca="false">IF(EI70="","",IF(EI70&gt;9,EI70-EJ70,0))</f>
        <v>9</v>
      </c>
      <c r="EL70" s="0" t="n">
        <f aca="false">IF(EI70="","",EJ70*DA70*2+EK70*DA70*3)</f>
        <v>1205.325</v>
      </c>
      <c r="EP70" s="0" t="n">
        <v>0</v>
      </c>
      <c r="EQ70" s="0"/>
      <c r="ER70" s="0" t="n">
        <v>0</v>
      </c>
      <c r="ET70" s="0" t="n">
        <v>1</v>
      </c>
      <c r="EV70" s="0" t="n">
        <v>1</v>
      </c>
      <c r="EX70" s="0" t="n">
        <v>0</v>
      </c>
      <c r="EY70" s="0" t="n">
        <v>1</v>
      </c>
      <c r="EZ70" s="0"/>
      <c r="FA70" s="4" t="n">
        <v>1071.4</v>
      </c>
      <c r="FB70" s="0" t="n">
        <v>0</v>
      </c>
      <c r="FF70" s="120" t="n">
        <f aca="false">(CJ70-CI70+1)/365</f>
        <v>0.0356164383561644</v>
      </c>
      <c r="FG70" s="0" t="str">
        <f aca="false">CONCATENATE(F70,"/",G70)</f>
        <v>352/2011</v>
      </c>
      <c r="FH70" s="0" t="n">
        <v>0</v>
      </c>
      <c r="FI70" s="0" t="n">
        <v>0</v>
      </c>
    </row>
    <row r="71" customFormat="false" ht="15" hidden="false" customHeight="false" outlineLevel="0" collapsed="false">
      <c r="A71" s="5" t="str">
        <f aca="false">E71&amp;G71&amp;F71</f>
        <v>72011356</v>
      </c>
      <c r="B71" s="0" t="s">
        <v>203</v>
      </c>
      <c r="C71" s="1" t="n">
        <v>42409</v>
      </c>
      <c r="E71" s="0" t="n">
        <v>7</v>
      </c>
      <c r="F71" s="0" t="n">
        <v>356</v>
      </c>
      <c r="G71" s="0" t="n">
        <v>2011</v>
      </c>
      <c r="H71" s="0" t="str">
        <f aca="false">"J"&amp;E71&amp;"\"&amp;F71&amp;"\"&amp;G71&amp;"\"&amp;W71</f>
        <v>J7\356\2011\1</v>
      </c>
      <c r="I71" s="0"/>
      <c r="J71" s="1" t="n">
        <v>40598</v>
      </c>
      <c r="K71" s="0" t="n">
        <v>0</v>
      </c>
      <c r="M71" s="1" t="n">
        <v>40598</v>
      </c>
      <c r="N71" s="1" t="n">
        <v>40679</v>
      </c>
      <c r="O71" s="1"/>
      <c r="P71" s="1"/>
      <c r="Q71" s="1"/>
      <c r="T71" s="121"/>
      <c r="U71" s="121"/>
      <c r="V71" s="122" t="n">
        <f aca="false">IF(AND(E71&gt;0,F71&gt;0,G71&gt;0),COUNTIFS($E:$E,E71,$F:$F,F71,$G:$G,G71),"")</f>
        <v>1</v>
      </c>
      <c r="W71" s="122" t="n">
        <f aca="false">IF(V71="","",IF(V71=1,1,IF(AND(E70=E71,F70=F71,G70=G71),W70+1,1)))</f>
        <v>1</v>
      </c>
      <c r="X71" s="0" t="n">
        <v>1</v>
      </c>
      <c r="Y71" s="0" t="n">
        <v>3</v>
      </c>
      <c r="Z71" s="0" t="s">
        <v>1013</v>
      </c>
      <c r="AA71" s="0" t="n">
        <v>0</v>
      </c>
      <c r="AB71" s="0" t="s">
        <v>799</v>
      </c>
      <c r="AC71" s="0" t="s">
        <v>251</v>
      </c>
      <c r="AD71" s="0" t="s">
        <v>229</v>
      </c>
      <c r="AE71" s="0" t="n">
        <v>0</v>
      </c>
      <c r="AF71" s="0" t="s">
        <v>1014</v>
      </c>
      <c r="AG71" s="0" t="n">
        <v>0</v>
      </c>
      <c r="AH71" s="0" t="s">
        <v>1015</v>
      </c>
      <c r="AI71" s="0" t="s">
        <v>1016</v>
      </c>
      <c r="AJ71" s="0" t="s">
        <v>590</v>
      </c>
      <c r="AL71" s="0" t="s">
        <v>1017</v>
      </c>
      <c r="AM71" s="0" t="n">
        <v>0</v>
      </c>
      <c r="AN71" s="0" t="s">
        <v>1015</v>
      </c>
      <c r="AO71" s="0" t="s">
        <v>1016</v>
      </c>
      <c r="AP71" s="0" t="s">
        <v>590</v>
      </c>
      <c r="AR71" s="0" t="s">
        <v>213</v>
      </c>
      <c r="AS71" s="0" t="n">
        <v>1</v>
      </c>
      <c r="AT71" s="0" t="s">
        <v>1015</v>
      </c>
      <c r="AU71" s="0" t="s">
        <v>1016</v>
      </c>
      <c r="AV71" s="0" t="s">
        <v>590</v>
      </c>
      <c r="BP71" s="0" t="n">
        <v>0</v>
      </c>
      <c r="BQ71" s="0" t="n">
        <v>0</v>
      </c>
      <c r="BR71" s="0" t="n">
        <v>1</v>
      </c>
      <c r="BS71" s="0" t="s">
        <v>807</v>
      </c>
      <c r="BT71" s="0" t="s">
        <v>808</v>
      </c>
      <c r="BU71" s="0" t="s">
        <v>809</v>
      </c>
      <c r="BV71" s="123"/>
      <c r="BW71" s="123"/>
      <c r="BX71" s="123"/>
      <c r="BY71" s="123"/>
      <c r="BZ71" s="0" t="n">
        <v>0</v>
      </c>
      <c r="CA71" s="0" t="s">
        <v>216</v>
      </c>
      <c r="CD71" s="0" t="s">
        <v>216</v>
      </c>
      <c r="CE71" s="0" t="n">
        <v>0</v>
      </c>
      <c r="CF71" s="0" t="s">
        <v>1018</v>
      </c>
      <c r="CG71" s="0" t="s">
        <v>218</v>
      </c>
      <c r="CI71" s="1" t="n">
        <v>40324</v>
      </c>
      <c r="CJ71" s="1" t="n">
        <v>40589</v>
      </c>
      <c r="CK71" s="124" t="n">
        <v>0.375</v>
      </c>
      <c r="CL71" s="0" t="s">
        <v>1019</v>
      </c>
      <c r="CM71" s="0" t="n">
        <f aca="false">IF(OR(CI71="",CJ71=""),"",DAYS360(CI71,CJ71)/360)</f>
        <v>0.719444444444444</v>
      </c>
      <c r="CN71" s="0" t="n">
        <f aca="false">IF(OR(CI71="",CJ71=""),"",DAYS360(CI71,CJ71)/30)</f>
        <v>8.63333333333333</v>
      </c>
      <c r="CO71" s="0" t="n">
        <f aca="false">IF(OR(CI71="",CJ71=""),"",DAYS360(CI71,CJ71)/7)</f>
        <v>37</v>
      </c>
      <c r="CP71" s="0" t="n">
        <f aca="false">IF(OR(CI71="",CJ71=""),"",DAYS360(CI71,CJ71))</f>
        <v>259</v>
      </c>
      <c r="CQ71" s="0" t="s">
        <v>240</v>
      </c>
      <c r="CR71" s="0" t="n">
        <v>1</v>
      </c>
      <c r="CT71" s="0" t="n">
        <v>200</v>
      </c>
      <c r="CU71" s="0" t="n">
        <v>0</v>
      </c>
      <c r="CV71" s="0" t="n">
        <f aca="false">IF(OR(CT71="",CT71="NO ESPECIFICA",CT71="NO MENCIONA"),"",IF(CU71=0,CT71,IF(CU71=1,CT71/30,IF(CU71=2,CT71/15,IF(CU71=3,CT71/7,"")))))</f>
        <v>200</v>
      </c>
      <c r="CW71" s="125" t="n">
        <v>709.76</v>
      </c>
      <c r="CX71" s="0" t="n">
        <v>0</v>
      </c>
      <c r="CY71" s="0" t="n">
        <f aca="false">IF(CW71="","",IF(CX71=0,CW71,IF(CX71=1,CW71/30,IF(CX71=2,CW71/15,IF(CX71=3,CW71/7,CW71)))))</f>
        <v>709.76</v>
      </c>
      <c r="CZ71" s="0" t="n">
        <f aca="false">IF(DI71&gt;0,DI71,IF(CY71&gt;0,CY71,IF(CV71&gt;0,CV71,"")))</f>
        <v>709.78</v>
      </c>
      <c r="DA71" s="0" t="n">
        <f aca="false">IF(DM71=1,CZ71/8,IF(OR(DM71=2,DM71=4),CZ71/7,IF(DM71=3,CZ71/7.5,"")))</f>
        <v>88.7225</v>
      </c>
      <c r="DB71" s="0" t="s">
        <v>301</v>
      </c>
      <c r="DC71" s="0" t="s">
        <v>303</v>
      </c>
      <c r="DD71" s="0" t="s">
        <v>1020</v>
      </c>
      <c r="DE71" s="0" t="s">
        <v>1021</v>
      </c>
      <c r="DF71" s="0" t="s">
        <v>1022</v>
      </c>
      <c r="DG71" s="0" t="s">
        <v>417</v>
      </c>
      <c r="DH71" s="0" t="n">
        <v>0</v>
      </c>
      <c r="DI71" s="126" t="n">
        <v>709.78</v>
      </c>
      <c r="DK71" s="0" t="n">
        <v>0</v>
      </c>
      <c r="DM71" s="0" t="n">
        <v>1</v>
      </c>
      <c r="DN71" s="0" t="n">
        <v>72</v>
      </c>
      <c r="DO71" s="0" t="n">
        <v>3</v>
      </c>
      <c r="DP71" s="0" t="n">
        <v>0</v>
      </c>
      <c r="DQ71" s="0" t="n">
        <v>1</v>
      </c>
      <c r="DR71" s="0"/>
      <c r="DS71" s="0" t="n">
        <v>1</v>
      </c>
      <c r="DU71" s="0" t="n">
        <v>1</v>
      </c>
      <c r="DW71" s="1" t="n">
        <v>40324</v>
      </c>
      <c r="DX71" s="1" t="n">
        <v>40588</v>
      </c>
      <c r="DZ71" s="0"/>
      <c r="EA71" s="0" t="n">
        <v>1</v>
      </c>
      <c r="EC71" s="1" t="n">
        <v>40324</v>
      </c>
      <c r="ED71" s="1" t="n">
        <v>40588</v>
      </c>
      <c r="EF71" s="0"/>
      <c r="EG71" s="0" t="n">
        <v>0</v>
      </c>
      <c r="EI71" s="0" t="n">
        <f aca="false">IF(AND(DM71=1,DN71&lt;=48),"",IF(AND(DM71=2,DN71&lt;=42),"",IF(AND(DM71=3,DN71&lt;=45),"",EH71)))</f>
        <v>0</v>
      </c>
      <c r="EJ71" s="0" t="str">
        <f aca="false">IF(EI71="","",IF(EI71&lt;9,EI71,9))</f>
        <v/>
      </c>
      <c r="EK71" s="0" t="str">
        <f aca="false">IF(EI71="","",IF(EI71&gt;9,EI71-EJ71,0))</f>
        <v/>
      </c>
      <c r="EL71" s="0" t="str">
        <f aca="false">IF(EI71="","",EJ71*DA71*2+EK71*DA71*3)</f>
        <v/>
      </c>
      <c r="EP71" s="0" t="n">
        <v>0</v>
      </c>
      <c r="EQ71" s="0"/>
      <c r="ER71" s="0" t="n">
        <v>0</v>
      </c>
      <c r="ET71" s="0" t="n">
        <v>1</v>
      </c>
      <c r="EV71" s="0" t="n">
        <v>0</v>
      </c>
      <c r="EX71" s="0" t="n">
        <v>1</v>
      </c>
      <c r="EY71" s="0" t="n">
        <v>1</v>
      </c>
      <c r="EZ71" s="0"/>
      <c r="FA71" s="0"/>
      <c r="FB71" s="0" t="n">
        <v>0</v>
      </c>
      <c r="FF71" s="120" t="n">
        <f aca="false">(CJ71-CI71+1)/365</f>
        <v>0.728767123287671</v>
      </c>
      <c r="FG71" s="0" t="str">
        <f aca="false">CONCATENATE(F71,"/",G71)</f>
        <v>356/2011</v>
      </c>
      <c r="FH71" s="0" t="n">
        <v>0</v>
      </c>
      <c r="FI71" s="0" t="n">
        <v>0</v>
      </c>
    </row>
    <row r="72" customFormat="false" ht="15" hidden="false" customHeight="false" outlineLevel="0" collapsed="false">
      <c r="A72" s="5" t="str">
        <f aca="false">E72&amp;G72&amp;F72</f>
        <v>72011357</v>
      </c>
      <c r="B72" s="0" t="s">
        <v>203</v>
      </c>
      <c r="C72" s="1" t="n">
        <v>42409</v>
      </c>
      <c r="E72" s="0" t="n">
        <v>7</v>
      </c>
      <c r="F72" s="0" t="n">
        <v>357</v>
      </c>
      <c r="G72" s="0" t="n">
        <v>2011</v>
      </c>
      <c r="H72" s="0" t="str">
        <f aca="false">"J"&amp;E72&amp;"\"&amp;F72&amp;"\"&amp;G72&amp;"\"&amp;W72</f>
        <v>J7\357\2011\1</v>
      </c>
      <c r="I72" s="0"/>
      <c r="J72" s="1" t="n">
        <v>40598</v>
      </c>
      <c r="K72" s="0" t="n">
        <v>0</v>
      </c>
      <c r="M72" s="1"/>
      <c r="N72" s="1"/>
      <c r="O72" s="1"/>
      <c r="P72" s="1"/>
      <c r="Q72" s="1"/>
      <c r="T72" s="121"/>
      <c r="U72" s="121"/>
      <c r="V72" s="122" t="n">
        <f aca="false">IF(AND(E72&gt;0,F72&gt;0,G72&gt;0),COUNTIFS($E:$E,E72,$F:$F,F72,$G:$G,G72),"")</f>
        <v>1</v>
      </c>
      <c r="W72" s="122" t="n">
        <f aca="false">IF(V72="","",IF(V72=1,1,IF(AND(E71=E72,F71=F72,G71=G72),W71+1,1)))</f>
        <v>1</v>
      </c>
      <c r="X72" s="0" t="n">
        <v>1</v>
      </c>
      <c r="Y72" s="0" t="n">
        <v>2</v>
      </c>
      <c r="Z72" s="0" t="s">
        <v>1023</v>
      </c>
      <c r="AA72" s="0" t="n">
        <v>0</v>
      </c>
      <c r="AB72" s="0" t="s">
        <v>1024</v>
      </c>
      <c r="AC72" s="0" t="s">
        <v>274</v>
      </c>
      <c r="AD72" s="0" t="s">
        <v>229</v>
      </c>
      <c r="AE72" s="0" t="n">
        <v>0</v>
      </c>
      <c r="AF72" s="0" t="s">
        <v>1025</v>
      </c>
      <c r="AG72" s="0" t="n">
        <v>0</v>
      </c>
      <c r="AH72" s="0" t="s">
        <v>1026</v>
      </c>
      <c r="AI72" s="0" t="s">
        <v>206</v>
      </c>
      <c r="AJ72" s="0" t="s">
        <v>207</v>
      </c>
      <c r="AL72" s="0" t="s">
        <v>213</v>
      </c>
      <c r="AM72" s="0" t="n">
        <v>1</v>
      </c>
      <c r="AN72" s="0" t="s">
        <v>1026</v>
      </c>
      <c r="AO72" s="0" t="s">
        <v>206</v>
      </c>
      <c r="AP72" s="0" t="s">
        <v>207</v>
      </c>
      <c r="BP72" s="0" t="n">
        <v>0</v>
      </c>
      <c r="BQ72" s="0" t="n">
        <v>0</v>
      </c>
      <c r="BR72" s="0" t="n">
        <v>1</v>
      </c>
      <c r="BS72" s="0" t="s">
        <v>807</v>
      </c>
      <c r="BT72" s="0" t="s">
        <v>808</v>
      </c>
      <c r="BU72" s="0" t="s">
        <v>809</v>
      </c>
      <c r="BV72" s="123"/>
      <c r="BW72" s="123"/>
      <c r="BX72" s="123"/>
      <c r="BY72" s="123"/>
      <c r="BZ72" s="0" t="n">
        <v>0</v>
      </c>
      <c r="CA72" s="0" t="s">
        <v>216</v>
      </c>
      <c r="CD72" s="0" t="s">
        <v>296</v>
      </c>
      <c r="CE72" s="0" t="n">
        <v>0</v>
      </c>
      <c r="CF72" s="0" t="s">
        <v>1027</v>
      </c>
      <c r="CG72" s="0" t="s">
        <v>218</v>
      </c>
      <c r="CI72" s="1" t="n">
        <v>40215</v>
      </c>
      <c r="CJ72" s="1" t="n">
        <v>40585</v>
      </c>
      <c r="CK72" s="124" t="n">
        <v>0.625</v>
      </c>
      <c r="CL72" s="0" t="s">
        <v>1028</v>
      </c>
      <c r="CM72" s="0" t="n">
        <f aca="false">IF(OR(CI72="",CJ72=""),"",DAYS360(CI72,CJ72)/360)</f>
        <v>1.01388888888889</v>
      </c>
      <c r="CN72" s="0" t="n">
        <f aca="false">IF(OR(CI72="",CJ72=""),"",DAYS360(CI72,CJ72)/30)</f>
        <v>12.1666666666667</v>
      </c>
      <c r="CO72" s="0" t="n">
        <f aca="false">IF(OR(CI72="",CJ72=""),"",DAYS360(CI72,CJ72)/7)</f>
        <v>52.1428571428571</v>
      </c>
      <c r="CP72" s="0" t="n">
        <f aca="false">IF(OR(CI72="",CJ72=""),"",DAYS360(CI72,CJ72))</f>
        <v>365</v>
      </c>
      <c r="CQ72" s="0" t="s">
        <v>240</v>
      </c>
      <c r="CR72" s="0" t="n">
        <v>1</v>
      </c>
      <c r="CT72" s="0" t="n">
        <v>500</v>
      </c>
      <c r="CU72" s="0" t="n">
        <v>0</v>
      </c>
      <c r="CV72" s="0" t="n">
        <f aca="false">IF(OR(CT72="",CT72="NO ESPECIFICA",CT72="NO MENCIONA"),"",IF(CU72=0,CT72,IF(CU72=1,CT72/30,IF(CU72=2,CT72/15,IF(CU72=3,CT72/7,"")))))</f>
        <v>500</v>
      </c>
      <c r="CW72" s="125" t="n">
        <v>1228.24</v>
      </c>
      <c r="CX72" s="0" t="n">
        <v>0</v>
      </c>
      <c r="CY72" s="0" t="n">
        <f aca="false">IF(CW72="","",IF(CX72=0,CW72,IF(CX72=1,CW72/30,IF(CX72=2,CW72/15,IF(CX72=3,CW72/7,CW72)))))</f>
        <v>1228.24</v>
      </c>
      <c r="CZ72" s="0" t="n">
        <f aca="false">IF(DI72&gt;0,DI72,IF(CY72&gt;0,CY72,IF(CV72&gt;0,CV72,"")))</f>
        <v>1228.24</v>
      </c>
      <c r="DA72" s="0" t="n">
        <f aca="false">IF(DM72=1,CZ72/8,IF(OR(DM72=2,DM72=4),CZ72/7,IF(DM72=3,CZ72/7.5,"")))</f>
        <v>153.53</v>
      </c>
      <c r="DB72" s="0" t="s">
        <v>301</v>
      </c>
      <c r="DC72" s="0" t="s">
        <v>303</v>
      </c>
      <c r="DD72" s="0" t="s">
        <v>1029</v>
      </c>
      <c r="DE72" s="0" t="s">
        <v>300</v>
      </c>
      <c r="DF72" s="0" t="s">
        <v>299</v>
      </c>
      <c r="DG72" s="0" t="s">
        <v>417</v>
      </c>
      <c r="DH72" s="0" t="n">
        <v>0</v>
      </c>
      <c r="DI72" s="126" t="n">
        <v>1228.24</v>
      </c>
      <c r="DK72" s="0" t="n">
        <v>0</v>
      </c>
      <c r="DM72" s="0" t="n">
        <v>1</v>
      </c>
      <c r="DN72" s="0" t="n">
        <v>48</v>
      </c>
      <c r="DO72" s="0" t="n">
        <v>3</v>
      </c>
      <c r="DP72" s="0" t="n">
        <v>0</v>
      </c>
      <c r="DQ72" s="0" t="n">
        <v>1</v>
      </c>
      <c r="DR72" s="0"/>
      <c r="DS72" s="0" t="n">
        <v>1</v>
      </c>
      <c r="DU72" s="0" t="n">
        <v>1</v>
      </c>
      <c r="DW72" s="1" t="n">
        <v>40217</v>
      </c>
      <c r="DX72" s="1" t="n">
        <v>40584</v>
      </c>
      <c r="DZ72" s="0"/>
      <c r="EA72" s="0" t="n">
        <v>1</v>
      </c>
      <c r="EC72" s="1" t="n">
        <v>40217</v>
      </c>
      <c r="ED72" s="1" t="n">
        <v>40584</v>
      </c>
      <c r="EF72" s="0"/>
      <c r="EG72" s="0" t="n">
        <v>0</v>
      </c>
      <c r="EI72" s="0" t="str">
        <f aca="false">IF(AND(DM72=1,DN72&lt;=48),"",IF(AND(DM72=2,DN72&lt;=42),"",IF(AND(DM72=3,DN72&lt;=45),"",EH72)))</f>
        <v/>
      </c>
      <c r="EJ72" s="0" t="str">
        <f aca="false">IF(EI72="","",IF(EI72&lt;9,EI72,9))</f>
        <v/>
      </c>
      <c r="EK72" s="0" t="str">
        <f aca="false">IF(EI72="","",IF(EI72&gt;9,EI72-EJ72,0))</f>
        <v/>
      </c>
      <c r="EL72" s="0" t="str">
        <f aca="false">IF(EI72="","",EJ72*DA72*2+EK72*DA72*3)</f>
        <v/>
      </c>
      <c r="EP72" s="0" t="n">
        <v>0</v>
      </c>
      <c r="EQ72" s="0"/>
      <c r="ER72" s="0" t="n">
        <v>0</v>
      </c>
      <c r="ET72" s="0" t="n">
        <v>1</v>
      </c>
      <c r="EV72" s="0" t="n">
        <v>0</v>
      </c>
      <c r="EX72" s="0" t="n">
        <v>0</v>
      </c>
      <c r="EY72" s="0" t="n">
        <v>1</v>
      </c>
      <c r="EZ72" s="4" t="n">
        <v>1500</v>
      </c>
      <c r="FA72" s="4" t="n">
        <v>12282.4</v>
      </c>
      <c r="FB72" s="0" t="n">
        <v>0</v>
      </c>
      <c r="FF72" s="120" t="n">
        <f aca="false">(CJ72-CI72+1)/365</f>
        <v>1.01643835616438</v>
      </c>
      <c r="FG72" s="0" t="str">
        <f aca="false">CONCATENATE(F72,"/",G72)</f>
        <v>357/2011</v>
      </c>
      <c r="FH72" s="0" t="n">
        <v>0</v>
      </c>
      <c r="FI72" s="0" t="n">
        <v>0</v>
      </c>
    </row>
    <row r="73" customFormat="false" ht="15" hidden="false" customHeight="false" outlineLevel="0" collapsed="false">
      <c r="A73" s="5" t="str">
        <f aca="false">E73&amp;G73&amp;F73</f>
        <v>72011362</v>
      </c>
      <c r="B73" s="0" t="s">
        <v>203</v>
      </c>
      <c r="C73" s="1" t="n">
        <v>42409</v>
      </c>
      <c r="E73" s="0" t="n">
        <v>7</v>
      </c>
      <c r="F73" s="0" t="n">
        <v>362</v>
      </c>
      <c r="G73" s="0" t="n">
        <v>2011</v>
      </c>
      <c r="H73" s="0" t="str">
        <f aca="false">"J"&amp;E73&amp;"\"&amp;F73&amp;"\"&amp;G73&amp;"\"&amp;W73</f>
        <v>J7\362\2011\1</v>
      </c>
      <c r="I73" s="0"/>
      <c r="J73" s="1" t="n">
        <v>40598</v>
      </c>
      <c r="K73" s="0" t="n">
        <v>0</v>
      </c>
      <c r="M73" s="1" t="n">
        <v>40598</v>
      </c>
      <c r="N73" s="1" t="n">
        <v>40680</v>
      </c>
      <c r="O73" s="1"/>
      <c r="P73" s="1"/>
      <c r="Q73" s="1"/>
      <c r="T73" s="121"/>
      <c r="U73" s="121"/>
      <c r="V73" s="122" t="n">
        <f aca="false">IF(AND(E73&gt;0,F73&gt;0,G73&gt;0),COUNTIFS($E:$E,E73,$F:$F,F73,$G:$G,G73),"")</f>
        <v>1</v>
      </c>
      <c r="W73" s="122" t="n">
        <f aca="false">IF(V73="","",IF(V73=1,1,IF(AND(E72=E73,F72=F73,G72=G73),W72+1,1)))</f>
        <v>1</v>
      </c>
      <c r="X73" s="0" t="n">
        <v>1</v>
      </c>
      <c r="Y73" s="0" t="n">
        <v>5</v>
      </c>
      <c r="Z73" s="0" t="s">
        <v>1030</v>
      </c>
      <c r="AA73" s="0" t="n">
        <v>0</v>
      </c>
      <c r="AB73" s="0" t="s">
        <v>1031</v>
      </c>
      <c r="AC73" s="0" t="s">
        <v>287</v>
      </c>
      <c r="AD73" s="0" t="s">
        <v>207</v>
      </c>
      <c r="AE73" s="0" t="n">
        <v>0</v>
      </c>
      <c r="AF73" s="0" t="s">
        <v>1032</v>
      </c>
      <c r="AG73" s="0" t="n">
        <v>0</v>
      </c>
      <c r="AH73" s="0" t="s">
        <v>1033</v>
      </c>
      <c r="AI73" s="0" t="s">
        <v>1034</v>
      </c>
      <c r="AJ73" s="0" t="s">
        <v>590</v>
      </c>
      <c r="AL73" s="0" t="s">
        <v>1035</v>
      </c>
      <c r="AM73" s="0" t="n">
        <v>1</v>
      </c>
      <c r="AN73" s="0" t="s">
        <v>1033</v>
      </c>
      <c r="AO73" s="0" t="s">
        <v>1034</v>
      </c>
      <c r="AP73" s="0" t="s">
        <v>590</v>
      </c>
      <c r="AR73" s="0" t="s">
        <v>1036</v>
      </c>
      <c r="AS73" s="0" t="n">
        <v>1</v>
      </c>
      <c r="AT73" s="0" t="s">
        <v>1033</v>
      </c>
      <c r="AU73" s="0" t="s">
        <v>1034</v>
      </c>
      <c r="AV73" s="0" t="s">
        <v>590</v>
      </c>
      <c r="AX73" s="0" t="s">
        <v>1037</v>
      </c>
      <c r="AY73" s="0" t="n">
        <v>1</v>
      </c>
      <c r="AZ73" s="0" t="s">
        <v>1033</v>
      </c>
      <c r="BA73" s="0" t="s">
        <v>1034</v>
      </c>
      <c r="BB73" s="0" t="s">
        <v>590</v>
      </c>
      <c r="BD73" s="0" t="s">
        <v>213</v>
      </c>
      <c r="BE73" s="0" t="n">
        <v>1</v>
      </c>
      <c r="BF73" s="0" t="s">
        <v>1033</v>
      </c>
      <c r="BG73" s="0" t="s">
        <v>1034</v>
      </c>
      <c r="BH73" s="0" t="s">
        <v>590</v>
      </c>
      <c r="BP73" s="0" t="n">
        <v>0</v>
      </c>
      <c r="BQ73" s="0" t="n">
        <v>0</v>
      </c>
      <c r="BR73" s="0" t="n">
        <v>1</v>
      </c>
      <c r="BS73" s="0" t="s">
        <v>1038</v>
      </c>
      <c r="BT73" s="0" t="s">
        <v>1039</v>
      </c>
      <c r="BU73" s="0" t="s">
        <v>1040</v>
      </c>
      <c r="BV73" s="123"/>
      <c r="BW73" s="123"/>
      <c r="BX73" s="123"/>
      <c r="BY73" s="123"/>
      <c r="BZ73" s="0" t="n">
        <v>0</v>
      </c>
      <c r="CA73" s="0" t="s">
        <v>1041</v>
      </c>
      <c r="CD73" s="0" t="s">
        <v>502</v>
      </c>
      <c r="CE73" s="0" t="n">
        <v>0</v>
      </c>
      <c r="CF73" s="0" t="s">
        <v>1042</v>
      </c>
      <c r="CG73" s="0" t="s">
        <v>218</v>
      </c>
      <c r="CI73" s="1" t="n">
        <v>40158</v>
      </c>
      <c r="CJ73" s="1" t="n">
        <v>40566</v>
      </c>
      <c r="CK73" s="124" t="n">
        <v>0.333333333333333</v>
      </c>
      <c r="CL73" s="0" t="s">
        <v>1035</v>
      </c>
      <c r="CM73" s="0" t="n">
        <f aca="false">IF(OR(CI73="",CJ73=""),"",DAYS360(CI73,CJ73)/360)</f>
        <v>1.11666666666667</v>
      </c>
      <c r="CN73" s="0" t="n">
        <f aca="false">IF(OR(CI73="",CJ73=""),"",DAYS360(CI73,CJ73)/30)</f>
        <v>13.4</v>
      </c>
      <c r="CO73" s="0" t="n">
        <f aca="false">IF(OR(CI73="",CJ73=""),"",DAYS360(CI73,CJ73)/7)</f>
        <v>57.4285714285714</v>
      </c>
      <c r="CP73" s="0" t="n">
        <f aca="false">IF(OR(CI73="",CJ73=""),"",DAYS360(CI73,CJ73))</f>
        <v>402</v>
      </c>
      <c r="CQ73" s="0" t="s">
        <v>240</v>
      </c>
      <c r="CR73" s="0" t="n">
        <v>1</v>
      </c>
      <c r="CT73" s="0" t="s">
        <v>221</v>
      </c>
      <c r="CU73" s="0" t="s">
        <v>221</v>
      </c>
      <c r="CV73" s="0" t="str">
        <f aca="false">IF(OR(CT73="",CT73="NO ESPECIFICA",CT73="NO MENCIONA"),"",IF(CU73=0,CT73,IF(CU73=1,CT73/30,IF(CU73=2,CT73/15,IF(CU73=3,CT73/7,"")))))</f>
        <v/>
      </c>
      <c r="CW73" s="125" t="n">
        <v>53.33</v>
      </c>
      <c r="CX73" s="0" t="n">
        <v>0</v>
      </c>
      <c r="CY73" s="0" t="n">
        <f aca="false">IF(CW73="","",IF(CX73=0,CW73,IF(CX73=1,CW73/30,IF(CX73=2,CW73/15,IF(CX73=3,CW73/7,CW73)))))</f>
        <v>53.33</v>
      </c>
      <c r="CZ73" s="0" t="n">
        <f aca="false">IF(DI73&gt;0,DI73,IF(CY73&gt;0,CY73,IF(CV73&gt;0,CV73,"")))</f>
        <v>53.33</v>
      </c>
      <c r="DA73" s="0" t="n">
        <f aca="false">IF(DM73=1,CZ73/8,IF(OR(DM73=2,DM73=4),CZ73/7,IF(DM73=3,CZ73/7.5,"")))</f>
        <v>6.66625</v>
      </c>
      <c r="DB73" s="0" t="s">
        <v>216</v>
      </c>
      <c r="DC73" s="0" t="s">
        <v>216</v>
      </c>
      <c r="DD73" s="0" t="s">
        <v>216</v>
      </c>
      <c r="DE73" s="0" t="s">
        <v>216</v>
      </c>
      <c r="DF73" s="0" t="s">
        <v>216</v>
      </c>
      <c r="DG73" s="0" t="s">
        <v>216</v>
      </c>
      <c r="DH73" s="0" t="n">
        <v>0</v>
      </c>
      <c r="DI73" s="126" t="n">
        <v>53.33</v>
      </c>
      <c r="DK73" s="0" t="n">
        <v>0</v>
      </c>
      <c r="DM73" s="0" t="n">
        <v>1</v>
      </c>
      <c r="DN73" s="0" t="n">
        <v>36</v>
      </c>
      <c r="DO73" s="0" t="n">
        <v>3</v>
      </c>
      <c r="DP73" s="0" t="n">
        <v>0</v>
      </c>
      <c r="DQ73" s="0" t="n">
        <v>1</v>
      </c>
      <c r="DR73" s="0"/>
      <c r="DS73" s="0" t="n">
        <v>1</v>
      </c>
      <c r="DU73" s="0" t="n">
        <v>1</v>
      </c>
      <c r="DW73" s="1" t="n">
        <v>40158</v>
      </c>
      <c r="DX73" s="1" t="n">
        <v>40566</v>
      </c>
      <c r="DZ73" s="0"/>
      <c r="EA73" s="0" t="n">
        <v>1</v>
      </c>
      <c r="EC73" s="1" t="n">
        <v>40158</v>
      </c>
      <c r="ED73" s="1" t="n">
        <v>40566</v>
      </c>
      <c r="EF73" s="0"/>
      <c r="EG73" s="0" t="n">
        <v>1</v>
      </c>
      <c r="EH73" s="0" t="n">
        <v>12</v>
      </c>
      <c r="EI73" s="0" t="str">
        <f aca="false">IF(AND(DM73=1,DN73&lt;=48),"",IF(AND(DM73=2,DN73&lt;=42),"",IF(AND(DM73=3,DN73&lt;=45),"",EH73)))</f>
        <v/>
      </c>
      <c r="EJ73" s="0" t="str">
        <f aca="false">IF(EI73="","",IF(EI73&lt;9,EI73,9))</f>
        <v/>
      </c>
      <c r="EK73" s="0" t="str">
        <f aca="false">IF(EI73="","",IF(EI73&gt;9,EI73-EJ73,0))</f>
        <v/>
      </c>
      <c r="EL73" s="0" t="str">
        <f aca="false">IF(EI73="","",EJ73*DA73*2+EK73*DA73*3)</f>
        <v/>
      </c>
      <c r="EP73" s="0" t="n">
        <v>1</v>
      </c>
      <c r="EQ73" s="0"/>
      <c r="ER73" s="0" t="n">
        <v>0</v>
      </c>
      <c r="ET73" s="0" t="n">
        <v>0</v>
      </c>
      <c r="EV73" s="0" t="n">
        <v>0</v>
      </c>
      <c r="EX73" s="0" t="n">
        <v>1</v>
      </c>
      <c r="EY73" s="0" t="n">
        <v>0</v>
      </c>
      <c r="EZ73" s="0"/>
      <c r="FA73" s="0"/>
      <c r="FB73" s="0" t="n">
        <v>1</v>
      </c>
      <c r="FF73" s="120" t="n">
        <f aca="false">(CJ73-CI73+1)/365</f>
        <v>1.12054794520548</v>
      </c>
      <c r="FG73" s="0" t="str">
        <f aca="false">CONCATENATE(F73,"/",G73)</f>
        <v>362/2011</v>
      </c>
      <c r="FH73" s="0" t="n">
        <v>0</v>
      </c>
      <c r="FI73" s="0" t="n">
        <v>0</v>
      </c>
    </row>
    <row r="74" customFormat="false" ht="15" hidden="false" customHeight="false" outlineLevel="0" collapsed="false">
      <c r="A74" s="5" t="str">
        <f aca="false">E74&amp;G74&amp;F74</f>
        <v>72011366</v>
      </c>
      <c r="B74" s="0" t="s">
        <v>203</v>
      </c>
      <c r="C74" s="1" t="n">
        <v>42409</v>
      </c>
      <c r="E74" s="0" t="n">
        <v>7</v>
      </c>
      <c r="F74" s="0" t="n">
        <v>366</v>
      </c>
      <c r="G74" s="0" t="n">
        <v>2011</v>
      </c>
      <c r="H74" s="0" t="str">
        <f aca="false">"J"&amp;E74&amp;"\"&amp;F74&amp;"\"&amp;G74&amp;"\"&amp;W74</f>
        <v>J7\366\2011\1</v>
      </c>
      <c r="I74" s="0"/>
      <c r="J74" s="1" t="n">
        <v>40598</v>
      </c>
      <c r="K74" s="0" t="n">
        <v>0</v>
      </c>
      <c r="M74" s="1" t="n">
        <v>40598</v>
      </c>
      <c r="N74" s="1" t="n">
        <v>40681</v>
      </c>
      <c r="O74" s="1"/>
      <c r="P74" s="1"/>
      <c r="Q74" s="1"/>
      <c r="T74" s="121"/>
      <c r="U74" s="121"/>
      <c r="V74" s="122" t="n">
        <f aca="false">IF(AND(E74&gt;0,F74&gt;0,G74&gt;0),COUNTIFS($E:$E,E74,$F:$F,F74,$G:$G,G74),"")</f>
        <v>1</v>
      </c>
      <c r="W74" s="122" t="n">
        <f aca="false">IF(V74="","",IF(V74=1,1,IF(AND(E73=E74,F73=F74,G73=G74),W73+1,1)))</f>
        <v>1</v>
      </c>
      <c r="X74" s="0" t="n">
        <v>1</v>
      </c>
      <c r="Y74" s="0" t="n">
        <v>2</v>
      </c>
      <c r="Z74" s="0" t="s">
        <v>1043</v>
      </c>
      <c r="AA74" s="0" t="n">
        <v>0</v>
      </c>
      <c r="AB74" s="0" t="s">
        <v>348</v>
      </c>
      <c r="AC74" s="0" t="s">
        <v>216</v>
      </c>
      <c r="AD74" s="0" t="s">
        <v>216</v>
      </c>
      <c r="AE74" s="0" t="n">
        <v>0</v>
      </c>
      <c r="AF74" s="0" t="s">
        <v>1044</v>
      </c>
      <c r="AG74" s="0" t="n">
        <v>1</v>
      </c>
      <c r="AH74" s="0" t="s">
        <v>1045</v>
      </c>
      <c r="AI74" s="0" t="s">
        <v>497</v>
      </c>
      <c r="AJ74" s="0" t="s">
        <v>322</v>
      </c>
      <c r="AL74" s="0" t="s">
        <v>213</v>
      </c>
      <c r="AM74" s="0" t="n">
        <v>1</v>
      </c>
      <c r="AN74" s="0" t="s">
        <v>1045</v>
      </c>
      <c r="AO74" s="0" t="s">
        <v>497</v>
      </c>
      <c r="AP74" s="0" t="s">
        <v>322</v>
      </c>
      <c r="BP74" s="0" t="n">
        <v>0</v>
      </c>
      <c r="BQ74" s="0" t="n">
        <v>0</v>
      </c>
      <c r="BR74" s="0" t="n">
        <v>3</v>
      </c>
      <c r="BS74" s="0" t="s">
        <v>499</v>
      </c>
      <c r="BT74" s="0" t="s">
        <v>500</v>
      </c>
      <c r="BU74" s="0" t="s">
        <v>501</v>
      </c>
      <c r="BV74" s="123"/>
      <c r="BW74" s="123"/>
      <c r="BX74" s="123"/>
      <c r="BY74" s="123"/>
      <c r="BZ74" s="0" t="n">
        <v>0</v>
      </c>
      <c r="CA74" s="0" t="s">
        <v>348</v>
      </c>
      <c r="CD74" s="0" t="s">
        <v>556</v>
      </c>
      <c r="CE74" s="0" t="n">
        <v>0</v>
      </c>
      <c r="CF74" s="0" t="s">
        <v>1046</v>
      </c>
      <c r="CG74" s="0" t="s">
        <v>218</v>
      </c>
      <c r="CI74" s="1" t="n">
        <v>36471</v>
      </c>
      <c r="CJ74" s="1" t="n">
        <v>40536</v>
      </c>
      <c r="CK74" s="124" t="n">
        <v>0.666666666666667</v>
      </c>
      <c r="CL74" s="0" t="s">
        <v>1044</v>
      </c>
      <c r="CM74" s="0" t="n">
        <f aca="false">IF(OR(CI74="",CJ74=""),"",DAYS360(CI74,CJ74)/360)</f>
        <v>11.1305555555556</v>
      </c>
      <c r="CN74" s="0" t="n">
        <f aca="false">IF(OR(CI74="",CJ74=""),"",DAYS360(CI74,CJ74)/30)</f>
        <v>133.566666666667</v>
      </c>
      <c r="CO74" s="0" t="n">
        <f aca="false">IF(OR(CI74="",CJ74=""),"",DAYS360(CI74,CJ74)/7)</f>
        <v>572.428571428571</v>
      </c>
      <c r="CP74" s="0" t="n">
        <f aca="false">IF(OR(CI74="",CJ74=""),"",DAYS360(CI74,CJ74))</f>
        <v>4007</v>
      </c>
      <c r="CQ74" s="0" t="s">
        <v>240</v>
      </c>
      <c r="CR74" s="0" t="n">
        <v>1</v>
      </c>
      <c r="CT74" s="0" t="n">
        <v>228.57</v>
      </c>
      <c r="CU74" s="0" t="n">
        <v>0</v>
      </c>
      <c r="CV74" s="0" t="n">
        <f aca="false">IF(OR(CT74="",CT74="NO ESPECIFICA",CT74="NO MENCIONA"),"",IF(CU74=0,CT74,IF(CU74=1,CT74/30,IF(CU74=2,CT74/15,IF(CU74=3,CT74/7,"")))))</f>
        <v>228.57</v>
      </c>
      <c r="CW74" s="125" t="n">
        <v>240.46</v>
      </c>
      <c r="CX74" s="0" t="n">
        <v>0</v>
      </c>
      <c r="CY74" s="0" t="n">
        <f aca="false">IF(CW74="","",IF(CX74=0,CW74,IF(CX74=1,CW74/30,IF(CX74=2,CW74/15,IF(CX74=3,CW74/7,CW74)))))</f>
        <v>240.46</v>
      </c>
      <c r="CZ74" s="0" t="n">
        <f aca="false">IF(DI74&gt;0,DI74,IF(CY74&gt;0,CY74,IF(CV74&gt;0,CV74,"")))</f>
        <v>240.46</v>
      </c>
      <c r="DA74" s="0" t="n">
        <f aca="false">IF(DM74=1,CZ74/8,IF(OR(DM74=2,DM74=4),CZ74/7,IF(DM74=3,CZ74/7.5,"")))</f>
        <v>30.0575</v>
      </c>
      <c r="DB74" s="0" t="s">
        <v>303</v>
      </c>
      <c r="DC74" s="0" t="s">
        <v>301</v>
      </c>
      <c r="DD74" s="0" t="s">
        <v>216</v>
      </c>
      <c r="DE74" s="0" t="s">
        <v>216</v>
      </c>
      <c r="DF74" s="0" t="s">
        <v>216</v>
      </c>
      <c r="DG74" s="0" t="s">
        <v>216</v>
      </c>
      <c r="DH74" s="0" t="n">
        <v>0</v>
      </c>
      <c r="DI74" s="126" t="n">
        <v>240.46</v>
      </c>
      <c r="DK74" s="0" t="n">
        <v>0</v>
      </c>
      <c r="DM74" s="0" t="n">
        <v>1</v>
      </c>
      <c r="DN74" s="0" t="n">
        <v>84.5</v>
      </c>
      <c r="DO74" s="0" t="n">
        <v>3</v>
      </c>
      <c r="DP74" s="0" t="n">
        <v>0</v>
      </c>
      <c r="DQ74" s="0" t="n">
        <v>1</v>
      </c>
      <c r="DR74" s="0"/>
      <c r="DS74" s="0" t="n">
        <v>1</v>
      </c>
      <c r="DU74" s="0" t="n">
        <v>1</v>
      </c>
      <c r="DW74" s="1" t="n">
        <v>36471</v>
      </c>
      <c r="DX74" s="1" t="n">
        <v>40536</v>
      </c>
      <c r="DZ74" s="0"/>
      <c r="EA74" s="0" t="n">
        <v>1</v>
      </c>
      <c r="EC74" s="1" t="n">
        <v>36471</v>
      </c>
      <c r="ED74" s="1" t="n">
        <v>40536</v>
      </c>
      <c r="EF74" s="0"/>
      <c r="EG74" s="0" t="n">
        <v>0</v>
      </c>
      <c r="EI74" s="0" t="n">
        <f aca="false">IF(AND(DM74=1,DN74&lt;=48),"",IF(AND(DM74=2,DN74&lt;=42),"",IF(AND(DM74=3,DN74&lt;=45),"",EH74)))</f>
        <v>0</v>
      </c>
      <c r="EJ74" s="0" t="str">
        <f aca="false">IF(EI74="","",IF(EI74&lt;9,EI74,9))</f>
        <v/>
      </c>
      <c r="EK74" s="0" t="str">
        <f aca="false">IF(EI74="","",IF(EI74&gt;9,EI74-EJ74,0))</f>
        <v/>
      </c>
      <c r="EL74" s="0" t="str">
        <f aca="false">IF(EI74="","",EJ74*DA74*2+EK74*DA74*3)</f>
        <v/>
      </c>
      <c r="EP74" s="0" t="n">
        <v>0</v>
      </c>
      <c r="EQ74" s="0"/>
      <c r="ER74" s="0" t="n">
        <v>0</v>
      </c>
      <c r="ET74" s="0" t="n">
        <v>0</v>
      </c>
      <c r="EV74" s="0" t="n">
        <v>0</v>
      </c>
      <c r="EX74" s="0" t="n">
        <v>0</v>
      </c>
      <c r="EY74" s="0" t="n">
        <v>0</v>
      </c>
      <c r="EZ74" s="0"/>
      <c r="FA74" s="4" t="n">
        <v>1443.6</v>
      </c>
      <c r="FB74" s="0" t="n">
        <v>0</v>
      </c>
      <c r="FF74" s="120" t="n">
        <f aca="false">(CJ74-CI74+1)/365</f>
        <v>11.1397260273973</v>
      </c>
      <c r="FG74" s="0" t="str">
        <f aca="false">CONCATENATE(F74,"/",G74)</f>
        <v>366/2011</v>
      </c>
      <c r="FH74" s="0" t="n">
        <v>0</v>
      </c>
      <c r="FI74" s="0" t="n">
        <v>0</v>
      </c>
    </row>
    <row r="75" customFormat="false" ht="15" hidden="false" customHeight="false" outlineLevel="0" collapsed="false">
      <c r="A75" s="5" t="str">
        <f aca="false">E75&amp;G75&amp;F75</f>
        <v>72011367</v>
      </c>
      <c r="B75" s="0" t="s">
        <v>203</v>
      </c>
      <c r="C75" s="1" t="n">
        <v>42409</v>
      </c>
      <c r="E75" s="0" t="n">
        <v>7</v>
      </c>
      <c r="F75" s="0" t="n">
        <v>367</v>
      </c>
      <c r="G75" s="0" t="n">
        <v>2011</v>
      </c>
      <c r="H75" s="0" t="str">
        <f aca="false">"J"&amp;E75&amp;"\"&amp;F75&amp;"\"&amp;G75&amp;"\"&amp;W75</f>
        <v>J7\367\2011\1</v>
      </c>
      <c r="I75" s="0"/>
      <c r="J75" s="1" t="n">
        <v>40599</v>
      </c>
      <c r="K75" s="0" t="n">
        <v>0</v>
      </c>
      <c r="M75" s="1"/>
      <c r="N75" s="1"/>
      <c r="O75" s="1"/>
      <c r="P75" s="1"/>
      <c r="Q75" s="1"/>
      <c r="T75" s="121"/>
      <c r="U75" s="121"/>
      <c r="V75" s="122" t="n">
        <f aca="false">IF(AND(E75&gt;0,F75&gt;0,G75&gt;0),COUNTIFS($E:$E,E75,$F:$F,F75,$G:$G,G75),"")</f>
        <v>3</v>
      </c>
      <c r="W75" s="122" t="n">
        <f aca="false">IF(V75="","",IF(V75=1,1,IF(AND(E74=E75,F74=F75,G74=G75),W74+1,1)))</f>
        <v>1</v>
      </c>
      <c r="X75" s="0" t="n">
        <v>3</v>
      </c>
      <c r="Y75" s="0" t="n">
        <v>2</v>
      </c>
      <c r="Z75" s="0" t="s">
        <v>1047</v>
      </c>
      <c r="AA75" s="0" t="n">
        <v>0</v>
      </c>
      <c r="AB75" s="0" t="s">
        <v>878</v>
      </c>
      <c r="AC75" s="0" t="s">
        <v>318</v>
      </c>
      <c r="AD75" s="0" t="s">
        <v>229</v>
      </c>
      <c r="AE75" s="0" t="n">
        <v>0</v>
      </c>
      <c r="AF75" s="0" t="s">
        <v>1048</v>
      </c>
      <c r="AG75" s="0" t="n">
        <v>1</v>
      </c>
      <c r="AH75" s="0" t="s">
        <v>1049</v>
      </c>
      <c r="AI75" s="0" t="s">
        <v>1050</v>
      </c>
      <c r="AJ75" s="0" t="s">
        <v>590</v>
      </c>
      <c r="AL75" s="0" t="s">
        <v>1051</v>
      </c>
      <c r="AM75" s="0" t="n">
        <v>1</v>
      </c>
      <c r="AN75" s="0" t="s">
        <v>1049</v>
      </c>
      <c r="AO75" s="0" t="s">
        <v>1050</v>
      </c>
      <c r="AP75" s="0" t="s">
        <v>590</v>
      </c>
      <c r="AR75" s="0" t="s">
        <v>213</v>
      </c>
      <c r="AS75" s="0" t="n">
        <v>1</v>
      </c>
      <c r="AT75" s="0" t="s">
        <v>1049</v>
      </c>
      <c r="AU75" s="0" t="s">
        <v>1050</v>
      </c>
      <c r="AV75" s="0" t="s">
        <v>590</v>
      </c>
      <c r="BP75" s="0" t="n">
        <v>0</v>
      </c>
      <c r="BQ75" s="0" t="n">
        <v>0</v>
      </c>
      <c r="BR75" s="0" t="n">
        <v>1</v>
      </c>
      <c r="BS75" s="0" t="s">
        <v>882</v>
      </c>
      <c r="BT75" s="0" t="s">
        <v>883</v>
      </c>
      <c r="BU75" s="0" t="s">
        <v>884</v>
      </c>
      <c r="BV75" s="123"/>
      <c r="BW75" s="123"/>
      <c r="BX75" s="123"/>
      <c r="BY75" s="123"/>
      <c r="BZ75" s="0" t="n">
        <v>0</v>
      </c>
      <c r="CA75" s="0" t="s">
        <v>216</v>
      </c>
      <c r="CD75" s="0" t="s">
        <v>502</v>
      </c>
      <c r="CE75" s="0" t="n">
        <v>0</v>
      </c>
      <c r="CF75" s="0" t="s">
        <v>503</v>
      </c>
      <c r="CG75" s="0" t="s">
        <v>218</v>
      </c>
      <c r="CI75" s="1" t="n">
        <v>40083</v>
      </c>
      <c r="CJ75" s="1" t="n">
        <v>40598</v>
      </c>
      <c r="CK75" s="124" t="n">
        <v>0.291666666666667</v>
      </c>
      <c r="CL75" s="0" t="s">
        <v>1048</v>
      </c>
      <c r="CM75" s="0" t="n">
        <f aca="false">IF(OR(CI75="",CJ75=""),"",DAYS360(CI75,CJ75)/360)</f>
        <v>1.40833333333333</v>
      </c>
      <c r="CN75" s="0" t="n">
        <f aca="false">IF(OR(CI75="",CJ75=""),"",DAYS360(CI75,CJ75)/30)</f>
        <v>16.9</v>
      </c>
      <c r="CO75" s="0" t="n">
        <f aca="false">IF(OR(CI75="",CJ75=""),"",DAYS360(CI75,CJ75)/7)</f>
        <v>72.4285714285714</v>
      </c>
      <c r="CP75" s="0" t="n">
        <f aca="false">IF(OR(CI75="",CJ75=""),"",DAYS360(CI75,CJ75))</f>
        <v>507</v>
      </c>
      <c r="CQ75" s="0" t="s">
        <v>240</v>
      </c>
      <c r="CR75" s="0" t="n">
        <v>1</v>
      </c>
      <c r="CT75" s="0" t="s">
        <v>221</v>
      </c>
      <c r="CU75" s="0" t="s">
        <v>221</v>
      </c>
      <c r="CV75" s="0" t="str">
        <f aca="false">IF(OR(CT75="",CT75="NO ESPECIFICA",CT75="NO MENCIONA"),"",IF(CU75=0,CT75,IF(CU75=1,CT75/30,IF(CU75=2,CT75/15,IF(CU75=3,CT75/7,"")))))</f>
        <v/>
      </c>
      <c r="CW75" s="125" t="n">
        <v>550</v>
      </c>
      <c r="CX75" s="0" t="n">
        <v>0</v>
      </c>
      <c r="CY75" s="0" t="n">
        <f aca="false">IF(CW75="","",IF(CX75=0,CW75,IF(CX75=1,CW75/30,IF(CX75=2,CW75/15,IF(CX75=3,CW75/7,CW75)))))</f>
        <v>550</v>
      </c>
      <c r="CZ75" s="0" t="n">
        <f aca="false">IF(DI75&gt;0,DI75,IF(CY75&gt;0,CY75,IF(CV75&gt;0,CV75,"")))</f>
        <v>550</v>
      </c>
      <c r="DA75" s="0" t="n">
        <f aca="false">IF(DM75=1,CZ75/8,IF(OR(DM75=2,DM75=4),CZ75/7,IF(DM75=3,CZ75/7.5,"")))</f>
        <v>68.75</v>
      </c>
      <c r="DB75" s="0" t="s">
        <v>216</v>
      </c>
      <c r="DC75" s="0" t="s">
        <v>216</v>
      </c>
      <c r="DD75" s="0" t="s">
        <v>216</v>
      </c>
      <c r="DE75" s="0" t="s">
        <v>216</v>
      </c>
      <c r="DF75" s="0" t="s">
        <v>216</v>
      </c>
      <c r="DG75" s="0" t="s">
        <v>216</v>
      </c>
      <c r="DH75" s="0" t="n">
        <v>0</v>
      </c>
      <c r="DI75" s="126" t="n">
        <v>550</v>
      </c>
      <c r="DK75" s="0" t="n">
        <v>0</v>
      </c>
      <c r="DM75" s="0" t="n">
        <v>1</v>
      </c>
      <c r="DN75" s="0" t="n">
        <v>78</v>
      </c>
      <c r="DO75" s="0" t="n">
        <v>3</v>
      </c>
      <c r="DP75" s="0" t="n">
        <v>0</v>
      </c>
      <c r="DQ75" s="0" t="n">
        <v>1</v>
      </c>
      <c r="DR75" s="0"/>
      <c r="DS75" s="0" t="n">
        <v>1</v>
      </c>
      <c r="DU75" s="0" t="n">
        <v>1</v>
      </c>
      <c r="DW75" s="1" t="n">
        <v>40083</v>
      </c>
      <c r="DX75" s="1" t="n">
        <v>40598</v>
      </c>
      <c r="DZ75" s="0"/>
      <c r="EA75" s="0" t="n">
        <v>1</v>
      </c>
      <c r="EC75" s="1" t="n">
        <v>40083</v>
      </c>
      <c r="ED75" s="1" t="n">
        <v>40598</v>
      </c>
      <c r="EF75" s="0"/>
      <c r="EG75" s="0" t="n">
        <v>1</v>
      </c>
      <c r="EH75" s="0" t="n">
        <v>30</v>
      </c>
      <c r="EI75" s="0" t="n">
        <f aca="false">IF(AND(DM75=1,DN75&lt;=48),"",IF(AND(DM75=2,DN75&lt;=42),"",IF(AND(DM75=3,DN75&lt;=45),"",EH75)))</f>
        <v>30</v>
      </c>
      <c r="EJ75" s="0" t="n">
        <f aca="false">IF(EI75="","",IF(EI75&lt;9,EI75,9))</f>
        <v>9</v>
      </c>
      <c r="EK75" s="0" t="n">
        <f aca="false">IF(EI75="","",IF(EI75&gt;9,EI75-EJ75,0))</f>
        <v>21</v>
      </c>
      <c r="EL75" s="0" t="n">
        <f aca="false">IF(EI75="","",EJ75*DA75*2+EK75*DA75*3)</f>
        <v>5568.75</v>
      </c>
      <c r="EP75" s="0" t="n">
        <v>0</v>
      </c>
      <c r="EQ75" s="0"/>
      <c r="ER75" s="0" t="n">
        <v>1</v>
      </c>
      <c r="ET75" s="0" t="n">
        <v>1</v>
      </c>
      <c r="EV75" s="0" t="n">
        <v>0</v>
      </c>
      <c r="EX75" s="0" t="n">
        <v>0</v>
      </c>
      <c r="EY75" s="0" t="n">
        <v>0</v>
      </c>
      <c r="EZ75" s="0"/>
      <c r="FA75" s="4" t="n">
        <v>5500</v>
      </c>
      <c r="FB75" s="0" t="n">
        <v>0</v>
      </c>
      <c r="FF75" s="120" t="n">
        <f aca="false">(CJ75-CI75+1)/365</f>
        <v>1.41369863013699</v>
      </c>
      <c r="FG75" s="0" t="str">
        <f aca="false">CONCATENATE(F75,"/",G75)</f>
        <v>367/2011</v>
      </c>
      <c r="FH75" s="0" t="n">
        <v>0</v>
      </c>
      <c r="FI75" s="0" t="n">
        <v>0</v>
      </c>
    </row>
    <row r="76" customFormat="false" ht="15" hidden="false" customHeight="false" outlineLevel="0" collapsed="false">
      <c r="A76" s="5" t="str">
        <f aca="false">E76&amp;G76&amp;F76</f>
        <v>72011367</v>
      </c>
      <c r="B76" s="0" t="s">
        <v>203</v>
      </c>
      <c r="C76" s="1" t="n">
        <v>42409</v>
      </c>
      <c r="E76" s="0" t="n">
        <v>7</v>
      </c>
      <c r="F76" s="0" t="n">
        <v>367</v>
      </c>
      <c r="G76" s="0" t="n">
        <v>2011</v>
      </c>
      <c r="H76" s="0" t="str">
        <f aca="false">"J"&amp;E76&amp;"\"&amp;F76&amp;"\"&amp;G76&amp;"\"&amp;W76</f>
        <v>J7\367\2011\2</v>
      </c>
      <c r="I76" s="0"/>
      <c r="J76" s="1" t="n">
        <v>40599</v>
      </c>
      <c r="K76" s="0" t="n">
        <v>0</v>
      </c>
      <c r="M76" s="1"/>
      <c r="N76" s="1"/>
      <c r="O76" s="1"/>
      <c r="P76" s="1"/>
      <c r="Q76" s="1"/>
      <c r="T76" s="121"/>
      <c r="U76" s="121"/>
      <c r="V76" s="122" t="n">
        <f aca="false">IF(AND(E76&gt;0,F76&gt;0,G76&gt;0),COUNTIFS($E:$E,E76,$F:$F,F76,$G:$G,G76),"")</f>
        <v>3</v>
      </c>
      <c r="W76" s="122" t="n">
        <f aca="false">IF(V76="","",IF(V76=1,1,IF(AND(E75=E76,F75=F76,G75=G76),W75+1,1)))</f>
        <v>2</v>
      </c>
      <c r="X76" s="0" t="n">
        <v>3</v>
      </c>
      <c r="Y76" s="0" t="n">
        <v>2</v>
      </c>
      <c r="Z76" s="0" t="s">
        <v>1052</v>
      </c>
      <c r="AA76" s="0" t="n">
        <v>0</v>
      </c>
      <c r="AB76" s="0" t="s">
        <v>878</v>
      </c>
      <c r="AC76" s="0" t="s">
        <v>318</v>
      </c>
      <c r="AD76" s="0" t="s">
        <v>229</v>
      </c>
      <c r="AE76" s="0" t="n">
        <v>0</v>
      </c>
      <c r="AF76" s="0" t="s">
        <v>1048</v>
      </c>
      <c r="AG76" s="0" t="n">
        <v>1</v>
      </c>
      <c r="AH76" s="0" t="s">
        <v>1049</v>
      </c>
      <c r="AI76" s="0" t="s">
        <v>1050</v>
      </c>
      <c r="AJ76" s="0" t="s">
        <v>590</v>
      </c>
      <c r="AL76" s="0" t="s">
        <v>1051</v>
      </c>
      <c r="AM76" s="0" t="n">
        <v>1</v>
      </c>
      <c r="AN76" s="0" t="s">
        <v>1049</v>
      </c>
      <c r="AO76" s="0" t="s">
        <v>1050</v>
      </c>
      <c r="AP76" s="0" t="s">
        <v>590</v>
      </c>
      <c r="AR76" s="0" t="s">
        <v>213</v>
      </c>
      <c r="AS76" s="0" t="n">
        <v>1</v>
      </c>
      <c r="AT76" s="0" t="s">
        <v>1049</v>
      </c>
      <c r="AU76" s="0" t="s">
        <v>1050</v>
      </c>
      <c r="AV76" s="0" t="s">
        <v>590</v>
      </c>
      <c r="BP76" s="0" t="n">
        <v>0</v>
      </c>
      <c r="BQ76" s="0" t="n">
        <v>0</v>
      </c>
      <c r="BR76" s="0" t="n">
        <v>1</v>
      </c>
      <c r="BS76" s="0" t="s">
        <v>882</v>
      </c>
      <c r="BT76" s="0" t="s">
        <v>883</v>
      </c>
      <c r="BU76" s="0" t="s">
        <v>884</v>
      </c>
      <c r="BV76" s="123"/>
      <c r="BW76" s="123"/>
      <c r="BX76" s="123"/>
      <c r="BY76" s="123"/>
      <c r="BZ76" s="0" t="n">
        <v>0</v>
      </c>
      <c r="CA76" s="0" t="s">
        <v>216</v>
      </c>
      <c r="CD76" s="0" t="s">
        <v>502</v>
      </c>
      <c r="CE76" s="0" t="n">
        <v>0</v>
      </c>
      <c r="CF76" s="0" t="s">
        <v>1053</v>
      </c>
      <c r="CG76" s="0" t="s">
        <v>218</v>
      </c>
      <c r="CI76" s="1" t="n">
        <v>40096</v>
      </c>
      <c r="CJ76" s="1" t="n">
        <v>40598</v>
      </c>
      <c r="CK76" s="124" t="n">
        <v>0.291666666666667</v>
      </c>
      <c r="CL76" s="0" t="s">
        <v>1048</v>
      </c>
      <c r="CM76" s="0" t="n">
        <f aca="false">IF(OR(CI76="",CJ76=""),"",DAYS360(CI76,CJ76)/360)</f>
        <v>1.37222222222222</v>
      </c>
      <c r="CN76" s="0" t="n">
        <f aca="false">IF(OR(CI76="",CJ76=""),"",DAYS360(CI76,CJ76)/30)</f>
        <v>16.4666666666667</v>
      </c>
      <c r="CO76" s="0" t="n">
        <f aca="false">IF(OR(CI76="",CJ76=""),"",DAYS360(CI76,CJ76)/7)</f>
        <v>70.5714285714286</v>
      </c>
      <c r="CP76" s="0" t="n">
        <f aca="false">IF(OR(CI76="",CJ76=""),"",DAYS360(CI76,CJ76))</f>
        <v>494</v>
      </c>
      <c r="CQ76" s="0" t="s">
        <v>240</v>
      </c>
      <c r="CR76" s="0" t="n">
        <v>1</v>
      </c>
      <c r="CT76" s="0" t="s">
        <v>221</v>
      </c>
      <c r="CU76" s="0" t="s">
        <v>221</v>
      </c>
      <c r="CV76" s="0" t="str">
        <f aca="false">IF(OR(CT76="",CT76="NO ESPECIFICA",CT76="NO MENCIONA"),"",IF(CU76=0,CT76,IF(CU76=1,CT76/30,IF(CU76=2,CT76/15,IF(CU76=3,CT76/7,"")))))</f>
        <v/>
      </c>
      <c r="CW76" s="125" t="n">
        <v>400</v>
      </c>
      <c r="CX76" s="0" t="n">
        <v>0</v>
      </c>
      <c r="CY76" s="0" t="n">
        <f aca="false">IF(CW76="","",IF(CX76=0,CW76,IF(CX76=1,CW76/30,IF(CX76=2,CW76/15,IF(CX76=3,CW76/7,CW76)))))</f>
        <v>400</v>
      </c>
      <c r="CZ76" s="0" t="n">
        <f aca="false">IF(DI76&gt;0,DI76,IF(CY76&gt;0,CY76,IF(CV76&gt;0,CV76,"")))</f>
        <v>400</v>
      </c>
      <c r="DA76" s="0" t="n">
        <f aca="false">IF(DM76=1,CZ76/8,IF(OR(DM76=2,DM76=4),CZ76/7,IF(DM76=3,CZ76/7.5,"")))</f>
        <v>50</v>
      </c>
      <c r="DB76" s="0" t="s">
        <v>216</v>
      </c>
      <c r="DC76" s="0" t="s">
        <v>216</v>
      </c>
      <c r="DD76" s="0" t="s">
        <v>216</v>
      </c>
      <c r="DE76" s="0" t="s">
        <v>216</v>
      </c>
      <c r="DF76" s="0" t="s">
        <v>216</v>
      </c>
      <c r="DG76" s="0" t="s">
        <v>216</v>
      </c>
      <c r="DH76" s="0" t="n">
        <v>0</v>
      </c>
      <c r="DI76" s="126" t="n">
        <v>400</v>
      </c>
      <c r="DK76" s="0" t="n">
        <v>0</v>
      </c>
      <c r="DM76" s="0" t="n">
        <v>1</v>
      </c>
      <c r="DN76" s="0" t="n">
        <v>78</v>
      </c>
      <c r="DO76" s="0" t="n">
        <v>3</v>
      </c>
      <c r="DP76" s="0" t="n">
        <v>0</v>
      </c>
      <c r="DQ76" s="0" t="n">
        <v>1</v>
      </c>
      <c r="DR76" s="0"/>
      <c r="DS76" s="0" t="n">
        <v>1</v>
      </c>
      <c r="DU76" s="0" t="n">
        <v>1</v>
      </c>
      <c r="DW76" s="1" t="n">
        <v>40096</v>
      </c>
      <c r="DX76" s="1" t="n">
        <v>40598</v>
      </c>
      <c r="DZ76" s="0"/>
      <c r="EA76" s="0" t="n">
        <v>1</v>
      </c>
      <c r="EC76" s="1" t="n">
        <v>40096</v>
      </c>
      <c r="ED76" s="1" t="n">
        <v>40598</v>
      </c>
      <c r="EF76" s="0"/>
      <c r="EG76" s="0" t="n">
        <v>1</v>
      </c>
      <c r="EH76" s="0" t="n">
        <v>30</v>
      </c>
      <c r="EI76" s="0" t="n">
        <f aca="false">IF(AND(DM76=1,DN76&lt;=48),"",IF(AND(DM76=2,DN76&lt;=42),"",IF(AND(DM76=3,DN76&lt;=45),"",EH76)))</f>
        <v>30</v>
      </c>
      <c r="EJ76" s="0" t="n">
        <f aca="false">IF(EI76="","",IF(EI76&lt;9,EI76,9))</f>
        <v>9</v>
      </c>
      <c r="EK76" s="0" t="n">
        <f aca="false">IF(EI76="","",IF(EI76&gt;9,EI76-EJ76,0))</f>
        <v>21</v>
      </c>
      <c r="EL76" s="0" t="n">
        <f aca="false">IF(EI76="","",EJ76*DA76*2+EK76*DA76*3)</f>
        <v>4050</v>
      </c>
      <c r="EP76" s="0" t="n">
        <v>0</v>
      </c>
      <c r="EQ76" s="0"/>
      <c r="ER76" s="0" t="n">
        <v>1</v>
      </c>
      <c r="ET76" s="0" t="n">
        <v>1</v>
      </c>
      <c r="EV76" s="0" t="n">
        <v>0</v>
      </c>
      <c r="EX76" s="0" t="n">
        <v>0</v>
      </c>
      <c r="EY76" s="0" t="n">
        <v>0</v>
      </c>
      <c r="EZ76" s="0"/>
      <c r="FA76" s="4" t="n">
        <f aca="false">400*10</f>
        <v>4000</v>
      </c>
      <c r="FB76" s="0" t="n">
        <v>0</v>
      </c>
      <c r="FF76" s="120" t="n">
        <f aca="false">(CJ76-CI76+1)/365</f>
        <v>1.37808219178082</v>
      </c>
      <c r="FG76" s="0" t="str">
        <f aca="false">CONCATENATE(F76,"/",G76)</f>
        <v>367/2011</v>
      </c>
      <c r="FH76" s="0" t="n">
        <v>0</v>
      </c>
      <c r="FI76" s="0" t="n">
        <v>0</v>
      </c>
    </row>
    <row r="77" customFormat="false" ht="15" hidden="false" customHeight="false" outlineLevel="0" collapsed="false">
      <c r="A77" s="5" t="str">
        <f aca="false">E77&amp;G77&amp;F77</f>
        <v>72011367</v>
      </c>
      <c r="B77" s="0" t="s">
        <v>203</v>
      </c>
      <c r="C77" s="1" t="n">
        <v>42409</v>
      </c>
      <c r="E77" s="0" t="n">
        <v>7</v>
      </c>
      <c r="F77" s="0" t="n">
        <v>367</v>
      </c>
      <c r="G77" s="0" t="n">
        <v>2011</v>
      </c>
      <c r="H77" s="0" t="str">
        <f aca="false">"J"&amp;E77&amp;"\"&amp;F77&amp;"\"&amp;G77&amp;"\"&amp;W77</f>
        <v>J7\367\2011\3</v>
      </c>
      <c r="I77" s="0"/>
      <c r="J77" s="1" t="n">
        <v>40599</v>
      </c>
      <c r="K77" s="0" t="n">
        <v>0</v>
      </c>
      <c r="M77" s="1"/>
      <c r="N77" s="1"/>
      <c r="O77" s="1"/>
      <c r="P77" s="1"/>
      <c r="Q77" s="1"/>
      <c r="T77" s="121"/>
      <c r="U77" s="121"/>
      <c r="V77" s="122" t="n">
        <f aca="false">IF(AND(E77&gt;0,F77&gt;0,G77&gt;0),COUNTIFS($E:$E,E77,$F:$F,F77,$G:$G,G77),"")</f>
        <v>3</v>
      </c>
      <c r="W77" s="122" t="n">
        <f aca="false">IF(V77="","",IF(V77=1,1,IF(AND(E76=E77,F76=F77,G76=G77),W76+1,1)))</f>
        <v>3</v>
      </c>
      <c r="X77" s="0" t="n">
        <v>3</v>
      </c>
      <c r="Y77" s="0" t="n">
        <v>2</v>
      </c>
      <c r="Z77" s="0" t="s">
        <v>1054</v>
      </c>
      <c r="AA77" s="0" t="n">
        <v>0</v>
      </c>
      <c r="AB77" s="0" t="s">
        <v>878</v>
      </c>
      <c r="AC77" s="0" t="s">
        <v>318</v>
      </c>
      <c r="AD77" s="0" t="s">
        <v>229</v>
      </c>
      <c r="AE77" s="0" t="n">
        <v>0</v>
      </c>
      <c r="AF77" s="0" t="s">
        <v>1048</v>
      </c>
      <c r="AG77" s="0" t="n">
        <v>1</v>
      </c>
      <c r="AH77" s="0" t="s">
        <v>1049</v>
      </c>
      <c r="AI77" s="0" t="s">
        <v>1050</v>
      </c>
      <c r="AJ77" s="0" t="s">
        <v>590</v>
      </c>
      <c r="AL77" s="0" t="s">
        <v>1051</v>
      </c>
      <c r="AM77" s="0" t="n">
        <v>1</v>
      </c>
      <c r="AN77" s="0" t="s">
        <v>1049</v>
      </c>
      <c r="AO77" s="0" t="s">
        <v>1050</v>
      </c>
      <c r="AP77" s="0" t="s">
        <v>590</v>
      </c>
      <c r="AR77" s="0" t="s">
        <v>213</v>
      </c>
      <c r="AS77" s="0" t="n">
        <v>1</v>
      </c>
      <c r="AT77" s="0" t="s">
        <v>1049</v>
      </c>
      <c r="AU77" s="0" t="s">
        <v>1050</v>
      </c>
      <c r="AV77" s="0" t="s">
        <v>590</v>
      </c>
      <c r="BP77" s="0" t="n">
        <v>0</v>
      </c>
      <c r="BQ77" s="0" t="n">
        <v>0</v>
      </c>
      <c r="BR77" s="0" t="n">
        <v>1</v>
      </c>
      <c r="BS77" s="0" t="s">
        <v>882</v>
      </c>
      <c r="BT77" s="0" t="s">
        <v>883</v>
      </c>
      <c r="BU77" s="0" t="s">
        <v>884</v>
      </c>
      <c r="BV77" s="123"/>
      <c r="BW77" s="123"/>
      <c r="BX77" s="123"/>
      <c r="BY77" s="123"/>
      <c r="BZ77" s="0" t="n">
        <v>0</v>
      </c>
      <c r="CA77" s="0" t="s">
        <v>216</v>
      </c>
      <c r="CD77" s="0" t="s">
        <v>502</v>
      </c>
      <c r="CE77" s="0" t="n">
        <v>0</v>
      </c>
      <c r="CF77" s="0" t="s">
        <v>503</v>
      </c>
      <c r="CG77" s="0" t="s">
        <v>218</v>
      </c>
      <c r="CI77" s="1" t="n">
        <v>39997</v>
      </c>
      <c r="CJ77" s="1" t="n">
        <v>40598</v>
      </c>
      <c r="CK77" s="124" t="n">
        <v>0.291666666666667</v>
      </c>
      <c r="CL77" s="0" t="s">
        <v>1048</v>
      </c>
      <c r="CM77" s="0" t="n">
        <f aca="false">IF(OR(CI77="",CJ77=""),"",DAYS360(CI77,CJ77)/360)</f>
        <v>1.64166666666667</v>
      </c>
      <c r="CN77" s="0" t="n">
        <f aca="false">IF(OR(CI77="",CJ77=""),"",DAYS360(CI77,CJ77)/30)</f>
        <v>19.7</v>
      </c>
      <c r="CO77" s="0" t="n">
        <f aca="false">IF(OR(CI77="",CJ77=""),"",DAYS360(CI77,CJ77)/7)</f>
        <v>84.4285714285714</v>
      </c>
      <c r="CP77" s="0" t="n">
        <f aca="false">IF(OR(CI77="",CJ77=""),"",DAYS360(CI77,CJ77))</f>
        <v>591</v>
      </c>
      <c r="CQ77" s="0" t="s">
        <v>240</v>
      </c>
      <c r="CR77" s="0" t="n">
        <v>1</v>
      </c>
      <c r="CT77" s="0" t="s">
        <v>221</v>
      </c>
      <c r="CU77" s="0" t="s">
        <v>221</v>
      </c>
      <c r="CV77" s="0" t="str">
        <f aca="false">IF(OR(CT77="",CT77="NO ESPECIFICA",CT77="NO MENCIONA"),"",IF(CU77=0,CT77,IF(CU77=1,CT77/30,IF(CU77=2,CT77/15,IF(CU77=3,CT77/7,"")))))</f>
        <v/>
      </c>
      <c r="CW77" s="125" t="n">
        <v>550</v>
      </c>
      <c r="CX77" s="0" t="n">
        <v>0</v>
      </c>
      <c r="CY77" s="0" t="n">
        <f aca="false">IF(CW77="","",IF(CX77=0,CW77,IF(CX77=1,CW77/30,IF(CX77=2,CW77/15,IF(CX77=3,CW77/7,CW77)))))</f>
        <v>550</v>
      </c>
      <c r="CZ77" s="0" t="n">
        <f aca="false">IF(DI77&gt;0,DI77,IF(CY77&gt;0,CY77,IF(CV77&gt;0,CV77,"")))</f>
        <v>550</v>
      </c>
      <c r="DA77" s="0" t="n">
        <f aca="false">IF(DM77=1,CZ77/8,IF(OR(DM77=2,DM77=4),CZ77/7,IF(DM77=3,CZ77/7.5,"")))</f>
        <v>68.75</v>
      </c>
      <c r="DB77" s="0" t="s">
        <v>216</v>
      </c>
      <c r="DC77" s="0" t="s">
        <v>216</v>
      </c>
      <c r="DD77" s="0" t="s">
        <v>216</v>
      </c>
      <c r="DE77" s="0" t="s">
        <v>216</v>
      </c>
      <c r="DF77" s="0" t="s">
        <v>216</v>
      </c>
      <c r="DG77" s="0" t="s">
        <v>216</v>
      </c>
      <c r="DH77" s="0" t="n">
        <v>0</v>
      </c>
      <c r="DI77" s="126" t="n">
        <v>550</v>
      </c>
      <c r="DK77" s="0" t="n">
        <v>0</v>
      </c>
      <c r="DM77" s="0" t="n">
        <v>1</v>
      </c>
      <c r="DN77" s="0" t="n">
        <v>78</v>
      </c>
      <c r="DO77" s="0" t="n">
        <v>3</v>
      </c>
      <c r="DP77" s="0" t="n">
        <v>0</v>
      </c>
      <c r="DQ77" s="0" t="n">
        <v>1</v>
      </c>
      <c r="DR77" s="0"/>
      <c r="DS77" s="0" t="n">
        <v>1</v>
      </c>
      <c r="DU77" s="0" t="n">
        <v>1</v>
      </c>
      <c r="DW77" s="1" t="n">
        <v>39997</v>
      </c>
      <c r="DX77" s="1" t="n">
        <v>40598</v>
      </c>
      <c r="DZ77" s="0"/>
      <c r="EA77" s="0" t="n">
        <v>1</v>
      </c>
      <c r="EC77" s="1" t="n">
        <v>39997</v>
      </c>
      <c r="ED77" s="1" t="n">
        <v>40598</v>
      </c>
      <c r="EF77" s="0"/>
      <c r="EG77" s="0" t="n">
        <v>1</v>
      </c>
      <c r="EH77" s="0" t="n">
        <v>30</v>
      </c>
      <c r="EI77" s="0" t="n">
        <f aca="false">IF(AND(DM77=1,DN77&lt;=48),"",IF(AND(DM77=2,DN77&lt;=42),"",IF(AND(DM77=3,DN77&lt;=45),"",EH77)))</f>
        <v>30</v>
      </c>
      <c r="EJ77" s="0" t="n">
        <f aca="false">IF(EI77="","",IF(EI77&lt;9,EI77,9))</f>
        <v>9</v>
      </c>
      <c r="EK77" s="0" t="n">
        <f aca="false">IF(EI77="","",IF(EI77&gt;9,EI77-EJ77,0))</f>
        <v>21</v>
      </c>
      <c r="EL77" s="0" t="n">
        <f aca="false">IF(EI77="","",EJ77*DA77*2+EK77*DA77*3)</f>
        <v>5568.75</v>
      </c>
      <c r="EP77" s="0" t="n">
        <v>0</v>
      </c>
      <c r="EQ77" s="0"/>
      <c r="ER77" s="0" t="n">
        <v>1</v>
      </c>
      <c r="ET77" s="0" t="n">
        <v>1</v>
      </c>
      <c r="EV77" s="0" t="n">
        <v>0</v>
      </c>
      <c r="EX77" s="0" t="n">
        <v>0</v>
      </c>
      <c r="EY77" s="0" t="n">
        <v>0</v>
      </c>
      <c r="EZ77" s="0"/>
      <c r="FA77" s="4" t="n">
        <v>5500</v>
      </c>
      <c r="FB77" s="0" t="n">
        <v>0</v>
      </c>
      <c r="FF77" s="120" t="n">
        <f aca="false">(CJ77-CI77+1)/365</f>
        <v>1.64931506849315</v>
      </c>
      <c r="FG77" s="0" t="str">
        <f aca="false">CONCATENATE(F77,"/",G77)</f>
        <v>367/2011</v>
      </c>
      <c r="FH77" s="0" t="n">
        <v>0</v>
      </c>
      <c r="FI77" s="0" t="n">
        <v>0</v>
      </c>
    </row>
    <row r="78" customFormat="false" ht="15" hidden="false" customHeight="false" outlineLevel="0" collapsed="false">
      <c r="A78" s="5" t="str">
        <f aca="false">E78&amp;G78&amp;F78</f>
        <v>72011377</v>
      </c>
      <c r="B78" s="0" t="s">
        <v>203</v>
      </c>
      <c r="C78" s="1" t="n">
        <v>42409</v>
      </c>
      <c r="E78" s="0" t="n">
        <v>7</v>
      </c>
      <c r="F78" s="0" t="n">
        <v>377</v>
      </c>
      <c r="G78" s="0" t="n">
        <v>2011</v>
      </c>
      <c r="H78" s="0" t="str">
        <f aca="false">"J"&amp;E78&amp;"\"&amp;F78&amp;"\"&amp;G78&amp;"\"&amp;W78</f>
        <v>J7\377\2011\1</v>
      </c>
      <c r="I78" s="0"/>
      <c r="J78" s="1" t="n">
        <v>40599</v>
      </c>
      <c r="K78" s="0" t="n">
        <v>1</v>
      </c>
      <c r="L78" s="0" t="s">
        <v>1055</v>
      </c>
      <c r="M78" s="1" t="n">
        <v>40599</v>
      </c>
      <c r="N78" s="1" t="n">
        <v>40683</v>
      </c>
      <c r="O78" s="1"/>
      <c r="P78" s="1"/>
      <c r="Q78" s="1"/>
      <c r="T78" s="121"/>
      <c r="U78" s="121"/>
      <c r="V78" s="122" t="n">
        <f aca="false">IF(AND(E78&gt;0,F78&gt;0,G78&gt;0),COUNTIFS($E:$E,E78,$F:$F,F78,$G:$G,G78),"")</f>
        <v>1</v>
      </c>
      <c r="W78" s="122" t="n">
        <f aca="false">IF(V78="","",IF(V78=1,1,IF(AND(E77=E78,F77=F78,G77=G78),W77+1,1)))</f>
        <v>1</v>
      </c>
      <c r="X78" s="0" t="n">
        <v>1</v>
      </c>
      <c r="Y78" s="0" t="n">
        <v>6</v>
      </c>
      <c r="Z78" s="0" t="s">
        <v>1056</v>
      </c>
      <c r="AA78" s="0" t="n">
        <v>0</v>
      </c>
      <c r="AB78" s="0" t="s">
        <v>1057</v>
      </c>
      <c r="AC78" s="0" t="s">
        <v>1058</v>
      </c>
      <c r="AD78" s="0" t="s">
        <v>207</v>
      </c>
      <c r="AE78" s="0" t="n">
        <v>0</v>
      </c>
      <c r="AF78" s="0" t="s">
        <v>1059</v>
      </c>
      <c r="AG78" s="0" t="n">
        <v>0</v>
      </c>
      <c r="AH78" s="0" t="s">
        <v>1060</v>
      </c>
      <c r="AI78" s="0" t="s">
        <v>1061</v>
      </c>
      <c r="AJ78" s="0" t="s">
        <v>211</v>
      </c>
      <c r="AL78" s="0" t="s">
        <v>1062</v>
      </c>
      <c r="AM78" s="0" t="n">
        <v>0</v>
      </c>
      <c r="AN78" s="0" t="s">
        <v>1063</v>
      </c>
      <c r="AO78" s="0" t="s">
        <v>1064</v>
      </c>
      <c r="AP78" s="0" t="s">
        <v>1065</v>
      </c>
      <c r="AR78" s="0" t="s">
        <v>1066</v>
      </c>
      <c r="AS78" s="0" t="n">
        <v>1</v>
      </c>
      <c r="AT78" s="0" t="s">
        <v>1063</v>
      </c>
      <c r="AU78" s="0" t="s">
        <v>1064</v>
      </c>
      <c r="AV78" s="0" t="s">
        <v>1065</v>
      </c>
      <c r="AX78" s="0" t="s">
        <v>1067</v>
      </c>
      <c r="AY78" s="0" t="n">
        <v>1</v>
      </c>
      <c r="AZ78" s="0" t="s">
        <v>1063</v>
      </c>
      <c r="BA78" s="0" t="s">
        <v>1064</v>
      </c>
      <c r="BB78" s="0" t="s">
        <v>1065</v>
      </c>
      <c r="BD78" s="0" t="s">
        <v>1068</v>
      </c>
      <c r="BE78" s="0" t="n">
        <v>1</v>
      </c>
      <c r="BF78" s="0" t="s">
        <v>1063</v>
      </c>
      <c r="BG78" s="0" t="s">
        <v>1064</v>
      </c>
      <c r="BH78" s="0" t="s">
        <v>1065</v>
      </c>
      <c r="BJ78" s="0" t="s">
        <v>213</v>
      </c>
      <c r="BK78" s="0" t="n">
        <v>1</v>
      </c>
      <c r="BL78" s="0" t="s">
        <v>1060</v>
      </c>
      <c r="BM78" s="0" t="s">
        <v>1061</v>
      </c>
      <c r="BN78" s="0" t="s">
        <v>211</v>
      </c>
      <c r="BP78" s="0" t="n">
        <v>0</v>
      </c>
      <c r="BQ78" s="0" t="n">
        <v>0</v>
      </c>
      <c r="BR78" s="0" t="n">
        <v>1</v>
      </c>
      <c r="BS78" s="0" t="s">
        <v>1069</v>
      </c>
      <c r="BT78" s="0" t="s">
        <v>1070</v>
      </c>
      <c r="BU78" s="0" t="s">
        <v>1071</v>
      </c>
      <c r="BV78" s="123"/>
      <c r="BW78" s="123"/>
      <c r="BX78" s="123"/>
      <c r="BY78" s="123"/>
      <c r="BZ78" s="0" t="n">
        <v>0</v>
      </c>
      <c r="CA78" s="0" t="s">
        <v>216</v>
      </c>
      <c r="CD78" s="0" t="s">
        <v>370</v>
      </c>
      <c r="CE78" s="0" t="n">
        <v>0</v>
      </c>
      <c r="CF78" s="0" t="s">
        <v>1072</v>
      </c>
      <c r="CG78" s="0" t="s">
        <v>218</v>
      </c>
      <c r="CI78" s="1" t="n">
        <v>36912</v>
      </c>
      <c r="CJ78" s="1" t="n">
        <v>40588</v>
      </c>
      <c r="CK78" s="124" t="n">
        <v>0.5625</v>
      </c>
      <c r="CL78" s="0" t="s">
        <v>1068</v>
      </c>
      <c r="CM78" s="0" t="n">
        <f aca="false">IF(OR(CI78="",CJ78=""),"",DAYS360(CI78,CJ78)/360)</f>
        <v>10.0638888888889</v>
      </c>
      <c r="CN78" s="0" t="n">
        <f aca="false">IF(OR(CI78="",CJ78=""),"",DAYS360(CI78,CJ78)/30)</f>
        <v>120.766666666667</v>
      </c>
      <c r="CO78" s="0" t="n">
        <f aca="false">IF(OR(CI78="",CJ78=""),"",DAYS360(CI78,CJ78)/7)</f>
        <v>517.571428571429</v>
      </c>
      <c r="CP78" s="0" t="n">
        <f aca="false">IF(OR(CI78="",CJ78=""),"",DAYS360(CI78,CJ78))</f>
        <v>3623</v>
      </c>
      <c r="CQ78" s="0" t="s">
        <v>220</v>
      </c>
      <c r="CR78" s="0" t="n">
        <v>1</v>
      </c>
      <c r="CT78" s="0" t="n">
        <v>333.33</v>
      </c>
      <c r="CU78" s="0" t="n">
        <v>0</v>
      </c>
      <c r="CV78" s="0" t="n">
        <f aca="false">IF(OR(CT78="",CT78="NO ESPECIFICA",CT78="NO MENCIONA"),"",IF(CU78=0,CT78,IF(CU78=1,CT78/30,IF(CU78=2,CT78/15,IF(CU78=3,CT78/7,"")))))</f>
        <v>333.33</v>
      </c>
      <c r="CW78" s="125" t="n">
        <v>881.84</v>
      </c>
      <c r="CX78" s="0" t="n">
        <v>0</v>
      </c>
      <c r="CY78" s="0" t="n">
        <f aca="false">IF(CW78="","",IF(CX78=0,CW78,IF(CX78=1,CW78/30,IF(CX78=2,CW78/15,IF(CX78=3,CW78/7,CW78)))))</f>
        <v>881.84</v>
      </c>
      <c r="CZ78" s="0" t="n">
        <f aca="false">IF(DI78&gt;0,DI78,IF(CY78&gt;0,CY78,IF(CV78&gt;0,CV78,"")))</f>
        <v>881.84</v>
      </c>
      <c r="DA78" s="0" t="n">
        <f aca="false">IF(DM78=1,CZ78/8,IF(OR(DM78=2,DM78=4),CZ78/7,IF(DM78=3,CZ78/7.5,"")))</f>
        <v>110.23</v>
      </c>
      <c r="DB78" s="0" t="s">
        <v>301</v>
      </c>
      <c r="DC78" s="0" t="s">
        <v>303</v>
      </c>
      <c r="DD78" s="0" t="s">
        <v>1073</v>
      </c>
      <c r="DE78" s="0" t="s">
        <v>299</v>
      </c>
      <c r="DF78" s="0" t="s">
        <v>1074</v>
      </c>
      <c r="DG78" s="0" t="s">
        <v>1075</v>
      </c>
      <c r="DH78" s="0" t="n">
        <v>0</v>
      </c>
      <c r="DI78" s="126" t="n">
        <v>881.84</v>
      </c>
      <c r="DK78" s="0" t="n">
        <v>1</v>
      </c>
      <c r="DM78" s="0" t="n">
        <v>1</v>
      </c>
      <c r="DN78" s="0" t="n">
        <v>60</v>
      </c>
      <c r="DO78" s="0" t="n">
        <v>3</v>
      </c>
      <c r="DP78" s="0" t="n">
        <v>1</v>
      </c>
      <c r="DQ78" s="0" t="n">
        <v>0</v>
      </c>
      <c r="DR78" s="0"/>
      <c r="DS78" s="0" t="n">
        <v>1</v>
      </c>
      <c r="DU78" s="0" t="n">
        <v>0</v>
      </c>
      <c r="DW78" s="1" t="n">
        <v>36912</v>
      </c>
      <c r="DX78" s="1" t="n">
        <v>40588</v>
      </c>
      <c r="DZ78" s="0"/>
      <c r="EA78" s="0" t="n">
        <v>1</v>
      </c>
      <c r="EC78" s="1" t="n">
        <v>36912</v>
      </c>
      <c r="ED78" s="1" t="n">
        <v>40588</v>
      </c>
      <c r="EF78" s="0"/>
      <c r="EG78" s="0" t="n">
        <v>1</v>
      </c>
      <c r="EH78" s="0" t="n">
        <v>12</v>
      </c>
      <c r="EI78" s="0" t="n">
        <f aca="false">IF(AND(DM78=1,DN78&lt;=48),"",IF(AND(DM78=2,DN78&lt;=42),"",IF(AND(DM78=3,DN78&lt;=45),"",EH78)))</f>
        <v>12</v>
      </c>
      <c r="EJ78" s="0" t="n">
        <f aca="false">IF(EI78="","",IF(EI78&lt;9,EI78,9))</f>
        <v>9</v>
      </c>
      <c r="EK78" s="0" t="n">
        <f aca="false">IF(EI78="","",IF(EI78&gt;9,EI78-EJ78,0))</f>
        <v>3</v>
      </c>
      <c r="EL78" s="0" t="n">
        <f aca="false">IF(EI78="","",EJ78*DA78*2+EK78*DA78*3)</f>
        <v>2976.21</v>
      </c>
      <c r="EP78" s="0" t="n">
        <v>0</v>
      </c>
      <c r="EQ78" s="0"/>
      <c r="ER78" s="0" t="n">
        <v>0</v>
      </c>
      <c r="ET78" s="0" t="n">
        <v>1</v>
      </c>
      <c r="EV78" s="0" t="n">
        <v>0</v>
      </c>
      <c r="EX78" s="0" t="n">
        <v>1</v>
      </c>
      <c r="EY78" s="0" t="n">
        <v>1</v>
      </c>
      <c r="EZ78" s="0"/>
      <c r="FA78" s="4" t="n">
        <v>182561.25</v>
      </c>
      <c r="FB78" s="0" t="n">
        <v>1</v>
      </c>
      <c r="FF78" s="120" t="n">
        <f aca="false">(CJ78-CI78+1)/365</f>
        <v>10.0739726027397</v>
      </c>
      <c r="FG78" s="0" t="str">
        <f aca="false">CONCATENATE(F78,"/",G78)</f>
        <v>377/2011</v>
      </c>
      <c r="FH78" s="0" t="n">
        <v>0</v>
      </c>
      <c r="FI78" s="0" t="n">
        <v>0</v>
      </c>
    </row>
    <row r="79" customFormat="false" ht="15" hidden="false" customHeight="false" outlineLevel="0" collapsed="false">
      <c r="A79" s="5" t="str">
        <f aca="false">E79&amp;G79&amp;F79</f>
        <v>72011380</v>
      </c>
      <c r="B79" s="0" t="s">
        <v>203</v>
      </c>
      <c r="C79" s="1" t="n">
        <v>42409</v>
      </c>
      <c r="E79" s="0" t="n">
        <v>7</v>
      </c>
      <c r="F79" s="0" t="n">
        <v>380</v>
      </c>
      <c r="G79" s="0" t="n">
        <v>2011</v>
      </c>
      <c r="H79" s="0" t="str">
        <f aca="false">"J"&amp;E79&amp;"\"&amp;F79&amp;"\"&amp;G79&amp;"\"&amp;W79</f>
        <v>J7\380\2011\1</v>
      </c>
      <c r="I79" s="0"/>
      <c r="J79" s="1" t="n">
        <v>40602</v>
      </c>
      <c r="K79" s="0" t="n">
        <v>0</v>
      </c>
      <c r="M79" s="1" t="n">
        <v>40602</v>
      </c>
      <c r="N79" s="1" t="n">
        <v>40686</v>
      </c>
      <c r="O79" s="1"/>
      <c r="P79" s="1"/>
      <c r="Q79" s="1"/>
      <c r="T79" s="121"/>
      <c r="U79" s="121"/>
      <c r="V79" s="122" t="n">
        <f aca="false">IF(AND(E79&gt;0,F79&gt;0,G79&gt;0),COUNTIFS($E:$E,E79,$F:$F,F79,$G:$G,G79),"")</f>
        <v>1</v>
      </c>
      <c r="W79" s="122" t="n">
        <f aca="false">IF(V79="","",IF(V79=1,1,IF(AND(E78=E79,F78=F79,G78=G79),W78+1,1)))</f>
        <v>1</v>
      </c>
      <c r="X79" s="0" t="n">
        <v>1</v>
      </c>
      <c r="Y79" s="0" t="n">
        <v>4</v>
      </c>
      <c r="Z79" s="0" t="s">
        <v>1076</v>
      </c>
      <c r="AA79" s="0" t="n">
        <v>0</v>
      </c>
      <c r="AB79" s="0" t="s">
        <v>1077</v>
      </c>
      <c r="AC79" s="0" t="s">
        <v>1078</v>
      </c>
      <c r="AD79" s="0" t="s">
        <v>485</v>
      </c>
      <c r="AE79" s="0" t="n">
        <v>0</v>
      </c>
      <c r="AF79" s="0" t="s">
        <v>1079</v>
      </c>
      <c r="AG79" s="0" t="n">
        <v>1</v>
      </c>
      <c r="AH79" s="0" t="s">
        <v>1080</v>
      </c>
      <c r="AI79" s="0" t="s">
        <v>975</v>
      </c>
      <c r="AJ79" s="0" t="s">
        <v>411</v>
      </c>
      <c r="AL79" s="0" t="s">
        <v>1081</v>
      </c>
      <c r="AM79" s="0" t="n">
        <v>1</v>
      </c>
      <c r="AN79" s="0" t="s">
        <v>1080</v>
      </c>
      <c r="AO79" s="0" t="s">
        <v>975</v>
      </c>
      <c r="AP79" s="0" t="s">
        <v>411</v>
      </c>
      <c r="AR79" s="0" t="s">
        <v>1082</v>
      </c>
      <c r="AS79" s="0" t="n">
        <v>1</v>
      </c>
      <c r="AT79" s="0" t="s">
        <v>1080</v>
      </c>
      <c r="AU79" s="0" t="s">
        <v>975</v>
      </c>
      <c r="AV79" s="0" t="s">
        <v>411</v>
      </c>
      <c r="AX79" s="0" t="s">
        <v>213</v>
      </c>
      <c r="AY79" s="0" t="n">
        <v>1</v>
      </c>
      <c r="AZ79" s="0" t="s">
        <v>1080</v>
      </c>
      <c r="BA79" s="0" t="s">
        <v>975</v>
      </c>
      <c r="BB79" s="0" t="s">
        <v>411</v>
      </c>
      <c r="BP79" s="0" t="n">
        <v>0</v>
      </c>
      <c r="BQ79" s="0" t="n">
        <v>0</v>
      </c>
      <c r="BR79" s="0" t="n">
        <v>1</v>
      </c>
      <c r="BS79" s="0" t="s">
        <v>1083</v>
      </c>
      <c r="BT79" s="0" t="s">
        <v>1084</v>
      </c>
      <c r="BU79" s="0" t="s">
        <v>1085</v>
      </c>
      <c r="BV79" s="123"/>
      <c r="BW79" s="123"/>
      <c r="BX79" s="123"/>
      <c r="BY79" s="123"/>
      <c r="BZ79" s="0" t="n">
        <v>0</v>
      </c>
      <c r="CA79" s="0" t="s">
        <v>216</v>
      </c>
      <c r="CD79" s="0" t="s">
        <v>556</v>
      </c>
      <c r="CE79" s="0" t="n">
        <v>0</v>
      </c>
      <c r="CF79" s="0" t="s">
        <v>1086</v>
      </c>
      <c r="CG79" s="0" t="s">
        <v>218</v>
      </c>
      <c r="CI79" s="1" t="n">
        <v>34368</v>
      </c>
      <c r="CJ79" s="1" t="n">
        <v>40582</v>
      </c>
      <c r="CK79" s="124" t="n">
        <v>0.541666666666667</v>
      </c>
      <c r="CL79" s="0" t="s">
        <v>1079</v>
      </c>
      <c r="CM79" s="0" t="n">
        <f aca="false">IF(OR(CI79="",CJ79=""),"",DAYS360(CI79,CJ79)/360)</f>
        <v>17.0138888888889</v>
      </c>
      <c r="CN79" s="0" t="n">
        <f aca="false">IF(OR(CI79="",CJ79=""),"",DAYS360(CI79,CJ79)/30)</f>
        <v>204.166666666667</v>
      </c>
      <c r="CO79" s="0" t="n">
        <f aca="false">IF(OR(CI79="",CJ79=""),"",DAYS360(CI79,CJ79)/7)</f>
        <v>875</v>
      </c>
      <c r="CP79" s="0" t="n">
        <f aca="false">IF(OR(CI79="",CJ79=""),"",DAYS360(CI79,CJ79))</f>
        <v>6125</v>
      </c>
      <c r="CQ79" s="0" t="s">
        <v>240</v>
      </c>
      <c r="CR79" s="0" t="n">
        <v>1</v>
      </c>
      <c r="CT79" s="0" t="s">
        <v>221</v>
      </c>
      <c r="CU79" s="0" t="s">
        <v>221</v>
      </c>
      <c r="CV79" s="0" t="str">
        <f aca="false">IF(OR(CT79="",CT79="NO ESPECIFICA",CT79="NO MENCIONA"),"",IF(CU79=0,CT79,IF(CU79=1,CT79/30,IF(CU79=2,CT79/15,IF(CU79=3,CT79/7,"")))))</f>
        <v/>
      </c>
      <c r="CW79" s="125" t="n">
        <v>700.87</v>
      </c>
      <c r="CX79" s="0" t="n">
        <v>0</v>
      </c>
      <c r="CY79" s="0" t="n">
        <f aca="false">IF(CW79="","",IF(CX79=0,CW79,IF(CX79=1,CW79/30,IF(CX79=2,CW79/15,IF(CX79=3,CW79/7,CW79)))))</f>
        <v>700.87</v>
      </c>
      <c r="CZ79" s="0" t="n">
        <f aca="false">IF(DI79&gt;0,DI79,IF(CY79&gt;0,CY79,IF(CV79&gt;0,CV79,"")))</f>
        <v>700.87</v>
      </c>
      <c r="DA79" s="0" t="n">
        <f aca="false">IF(DM79=1,CZ79/8,IF(OR(DM79=2,DM79=4),CZ79/7,IF(DM79=3,CZ79/7.5,"")))</f>
        <v>87.60875</v>
      </c>
      <c r="DB79" s="0" t="s">
        <v>302</v>
      </c>
      <c r="DC79" s="0" t="s">
        <v>303</v>
      </c>
      <c r="DD79" s="0" t="s">
        <v>301</v>
      </c>
      <c r="DE79" s="0" t="s">
        <v>259</v>
      </c>
      <c r="DF79" s="0" t="s">
        <v>1087</v>
      </c>
      <c r="DG79" s="0" t="s">
        <v>216</v>
      </c>
      <c r="DH79" s="0" t="n">
        <v>0</v>
      </c>
      <c r="DI79" s="126" t="n">
        <v>700.87</v>
      </c>
      <c r="DK79" s="0" t="n">
        <v>1</v>
      </c>
      <c r="DM79" s="0" t="n">
        <v>1</v>
      </c>
      <c r="DN79" s="0" t="n">
        <v>54</v>
      </c>
      <c r="DO79" s="0" t="n">
        <v>3</v>
      </c>
      <c r="DP79" s="0" t="n">
        <v>0</v>
      </c>
      <c r="DQ79" s="0" t="n">
        <v>1</v>
      </c>
      <c r="DR79" s="0"/>
      <c r="DS79" s="0" t="n">
        <v>1</v>
      </c>
      <c r="DU79" s="0" t="n">
        <v>1</v>
      </c>
      <c r="DW79" s="1" t="s">
        <v>221</v>
      </c>
      <c r="DX79" s="1" t="s">
        <v>221</v>
      </c>
      <c r="DY79" s="0" t="s">
        <v>221</v>
      </c>
      <c r="DZ79" s="0" t="s">
        <v>221</v>
      </c>
      <c r="EA79" s="0" t="n">
        <v>1</v>
      </c>
      <c r="EC79" s="1" t="n">
        <v>34368</v>
      </c>
      <c r="ED79" s="1" t="n">
        <v>40582</v>
      </c>
      <c r="EF79" s="0"/>
      <c r="EG79" s="0" t="n">
        <v>1</v>
      </c>
      <c r="EH79" s="0" t="n">
        <v>30</v>
      </c>
      <c r="EI79" s="0" t="n">
        <f aca="false">IF(AND(DM79=1,DN79&lt;=48),"",IF(AND(DM79=2,DN79&lt;=42),"",IF(AND(DM79=3,DN79&lt;=45),"",EH79)))</f>
        <v>30</v>
      </c>
      <c r="EJ79" s="0" t="n">
        <f aca="false">IF(EI79="","",IF(EI79&lt;9,EI79,9))</f>
        <v>9</v>
      </c>
      <c r="EK79" s="0" t="n">
        <f aca="false">IF(EI79="","",IF(EI79&gt;9,EI79-EJ79,0))</f>
        <v>21</v>
      </c>
      <c r="EL79" s="0" t="n">
        <f aca="false">IF(EI79="","",EJ79*DA79*2+EK79*DA79*3)</f>
        <v>7096.30875</v>
      </c>
      <c r="EP79" s="0" t="n">
        <v>1</v>
      </c>
      <c r="EQ79" s="0"/>
      <c r="ER79" s="0" t="n">
        <v>0</v>
      </c>
      <c r="ET79" s="0" t="n">
        <v>0</v>
      </c>
      <c r="EV79" s="0" t="n">
        <v>0</v>
      </c>
      <c r="EX79" s="0" t="n">
        <v>0</v>
      </c>
      <c r="EY79" s="0" t="n">
        <v>1</v>
      </c>
      <c r="EZ79" s="4" t="n">
        <v>18000</v>
      </c>
      <c r="FA79" s="4" t="n">
        <v>16308.01</v>
      </c>
      <c r="FB79" s="0" t="n">
        <v>0</v>
      </c>
      <c r="FF79" s="120" t="n">
        <f aca="false">(CJ79-CI79+1)/365</f>
        <v>17.027397260274</v>
      </c>
      <c r="FG79" s="0" t="str">
        <f aca="false">CONCATENATE(F79,"/",G79)</f>
        <v>380/2011</v>
      </c>
      <c r="FH79" s="0" t="n">
        <v>0</v>
      </c>
      <c r="FI79" s="0" t="n">
        <v>0</v>
      </c>
    </row>
    <row r="80" customFormat="false" ht="15" hidden="false" customHeight="false" outlineLevel="0" collapsed="false">
      <c r="A80" s="5" t="str">
        <f aca="false">E80&amp;G80&amp;F80</f>
        <v>72011392</v>
      </c>
      <c r="B80" s="0" t="s">
        <v>203</v>
      </c>
      <c r="C80" s="1" t="n">
        <v>42409</v>
      </c>
      <c r="E80" s="0" t="n">
        <v>7</v>
      </c>
      <c r="F80" s="0" t="n">
        <v>392</v>
      </c>
      <c r="G80" s="0" t="n">
        <v>2011</v>
      </c>
      <c r="H80" s="0" t="str">
        <f aca="false">"J"&amp;E80&amp;"\"&amp;F80&amp;"\"&amp;G80&amp;"\"&amp;W80</f>
        <v>J7\392\2011\1</v>
      </c>
      <c r="I80" s="0"/>
      <c r="J80" s="1" t="n">
        <v>40603</v>
      </c>
      <c r="K80" s="0" t="n">
        <v>0</v>
      </c>
      <c r="M80" s="1" t="n">
        <v>40603</v>
      </c>
      <c r="N80" s="1" t="n">
        <v>40688</v>
      </c>
      <c r="O80" s="1"/>
      <c r="P80" s="1"/>
      <c r="Q80" s="1"/>
      <c r="T80" s="121"/>
      <c r="U80" s="121"/>
      <c r="V80" s="122" t="n">
        <f aca="false">IF(AND(E80&gt;0,F80&gt;0,G80&gt;0),COUNTIFS($E:$E,E80,$F:$F,F80,$G:$G,G80),"")</f>
        <v>1</v>
      </c>
      <c r="W80" s="122" t="n">
        <f aca="false">IF(V80="","",IF(V80=1,1,IF(AND(E79=E80,F79=F80,G79=G80),W79+1,1)))</f>
        <v>1</v>
      </c>
      <c r="X80" s="0" t="n">
        <v>1</v>
      </c>
      <c r="Y80" s="0" t="n">
        <v>4</v>
      </c>
      <c r="Z80" s="0" t="s">
        <v>1088</v>
      </c>
      <c r="AA80" s="0" t="n">
        <v>0</v>
      </c>
      <c r="AB80" s="0" t="s">
        <v>1089</v>
      </c>
      <c r="AC80" s="0" t="s">
        <v>274</v>
      </c>
      <c r="AD80" s="0" t="s">
        <v>229</v>
      </c>
      <c r="AE80" s="0" t="n">
        <v>0</v>
      </c>
      <c r="AF80" s="0" t="s">
        <v>1090</v>
      </c>
      <c r="AG80" s="0" t="n">
        <v>0</v>
      </c>
      <c r="AH80" s="0" t="s">
        <v>1091</v>
      </c>
      <c r="AI80" s="0" t="s">
        <v>1092</v>
      </c>
      <c r="AJ80" s="0" t="s">
        <v>755</v>
      </c>
      <c r="AL80" s="0" t="s">
        <v>1093</v>
      </c>
      <c r="AM80" s="0" t="n">
        <v>1</v>
      </c>
      <c r="AN80" s="0" t="s">
        <v>1091</v>
      </c>
      <c r="AO80" s="0" t="s">
        <v>1092</v>
      </c>
      <c r="AP80" s="0" t="s">
        <v>755</v>
      </c>
      <c r="AR80" s="0" t="s">
        <v>1094</v>
      </c>
      <c r="AS80" s="0" t="n">
        <v>1</v>
      </c>
      <c r="AT80" s="0" t="s">
        <v>1091</v>
      </c>
      <c r="AU80" s="0" t="s">
        <v>1092</v>
      </c>
      <c r="AV80" s="0" t="s">
        <v>755</v>
      </c>
      <c r="AX80" s="0" t="s">
        <v>213</v>
      </c>
      <c r="AY80" s="0" t="n">
        <v>1</v>
      </c>
      <c r="AZ80" s="0" t="s">
        <v>1091</v>
      </c>
      <c r="BA80" s="0" t="s">
        <v>1092</v>
      </c>
      <c r="BB80" s="0" t="s">
        <v>755</v>
      </c>
      <c r="BP80" s="0" t="n">
        <v>0</v>
      </c>
      <c r="BQ80" s="0" t="n">
        <v>0</v>
      </c>
      <c r="BR80" s="0" t="n">
        <v>1</v>
      </c>
      <c r="BS80" s="0" t="s">
        <v>1095</v>
      </c>
      <c r="BT80" s="0" t="s">
        <v>1096</v>
      </c>
      <c r="BU80" s="0" t="s">
        <v>1097</v>
      </c>
      <c r="BV80" s="123"/>
      <c r="BW80" s="123"/>
      <c r="BX80" s="123"/>
      <c r="BY80" s="123"/>
      <c r="BZ80" s="0" t="n">
        <v>0</v>
      </c>
      <c r="CA80" s="0" t="s">
        <v>216</v>
      </c>
      <c r="CD80" s="0" t="s">
        <v>256</v>
      </c>
      <c r="CE80" s="0" t="n">
        <v>0</v>
      </c>
      <c r="CF80" s="0" t="s">
        <v>1098</v>
      </c>
      <c r="CG80" s="0" t="s">
        <v>218</v>
      </c>
      <c r="CI80" s="1" t="n">
        <v>39818</v>
      </c>
      <c r="CJ80" s="1" t="n">
        <v>40585</v>
      </c>
      <c r="CK80" s="124" t="n">
        <v>0.541666666666667</v>
      </c>
      <c r="CL80" s="0" t="s">
        <v>1099</v>
      </c>
      <c r="CM80" s="0" t="n">
        <f aca="false">IF(OR(CI80="",CJ80=""),"",DAYS360(CI80,CJ80)/360)</f>
        <v>2.1</v>
      </c>
      <c r="CN80" s="0" t="n">
        <f aca="false">IF(OR(CI80="",CJ80=""),"",DAYS360(CI80,CJ80)/30)</f>
        <v>25.2</v>
      </c>
      <c r="CO80" s="0" t="n">
        <f aca="false">IF(OR(CI80="",CJ80=""),"",DAYS360(CI80,CJ80)/7)</f>
        <v>108</v>
      </c>
      <c r="CP80" s="0" t="n">
        <f aca="false">IF(OR(CI80="",CJ80=""),"",DAYS360(CI80,CJ80))</f>
        <v>756</v>
      </c>
      <c r="CQ80" s="0" t="s">
        <v>220</v>
      </c>
      <c r="CR80" s="0" t="n">
        <v>1</v>
      </c>
      <c r="CT80" s="0" t="s">
        <v>221</v>
      </c>
      <c r="CU80" s="0" t="s">
        <v>221</v>
      </c>
      <c r="CV80" s="0" t="str">
        <f aca="false">IF(OR(CT80="",CT80="NO ESPECIFICA",CT80="NO MENCIONA"),"",IF(CU80=0,CT80,IF(CU80=1,CT80/30,IF(CU80=2,CT80/15,IF(CU80=3,CT80/7,"")))))</f>
        <v/>
      </c>
      <c r="CW80" s="125" t="n">
        <v>500</v>
      </c>
      <c r="CX80" s="0" t="n">
        <v>0</v>
      </c>
      <c r="CY80" s="0" t="n">
        <f aca="false">IF(CW80="","",IF(CX80=0,CW80,IF(CX80=1,CW80/30,IF(CX80=2,CW80/15,IF(CX80=3,CW80/7,CW80)))))</f>
        <v>500</v>
      </c>
      <c r="CZ80" s="0" t="n">
        <f aca="false">IF(DI80&gt;0,DI80,IF(CY80&gt;0,CY80,IF(CV80&gt;0,CV80,"")))</f>
        <v>500</v>
      </c>
      <c r="DA80" s="0" t="n">
        <f aca="false">IF(DM80=1,CZ80/8,IF(OR(DM80=2,DM80=4),CZ80/7,IF(DM80=3,CZ80/7.5,"")))</f>
        <v>62.5</v>
      </c>
      <c r="DB80" s="0" t="s">
        <v>216</v>
      </c>
      <c r="DC80" s="0" t="s">
        <v>216</v>
      </c>
      <c r="DD80" s="0" t="s">
        <v>216</v>
      </c>
      <c r="DE80" s="0" t="s">
        <v>216</v>
      </c>
      <c r="DF80" s="0" t="s">
        <v>216</v>
      </c>
      <c r="DG80" s="0" t="s">
        <v>216</v>
      </c>
      <c r="DH80" s="0" t="n">
        <v>0</v>
      </c>
      <c r="DI80" s="126" t="n">
        <v>500</v>
      </c>
      <c r="DK80" s="0" t="n">
        <v>1</v>
      </c>
      <c r="DM80" s="0" t="n">
        <v>1</v>
      </c>
      <c r="DN80" s="0" t="n">
        <v>63</v>
      </c>
      <c r="DO80" s="0" t="n">
        <v>3</v>
      </c>
      <c r="DP80" s="0" t="n">
        <v>1</v>
      </c>
      <c r="DQ80" s="0" t="n">
        <v>1</v>
      </c>
      <c r="DR80" s="0"/>
      <c r="DS80" s="0" t="n">
        <v>1</v>
      </c>
      <c r="DU80" s="0" t="n">
        <v>1</v>
      </c>
      <c r="DW80" s="1" t="n">
        <v>39818</v>
      </c>
      <c r="DX80" s="1" t="n">
        <v>40585</v>
      </c>
      <c r="DZ80" s="0" t="n">
        <v>4000</v>
      </c>
      <c r="EA80" s="0" t="n">
        <v>1</v>
      </c>
      <c r="EB80" s="0" t="n">
        <v>1000</v>
      </c>
      <c r="EC80" s="1" t="n">
        <v>39818</v>
      </c>
      <c r="ED80" s="1" t="n">
        <v>40585</v>
      </c>
      <c r="EF80" s="0" t="n">
        <v>8000</v>
      </c>
      <c r="EG80" s="0" t="n">
        <v>1</v>
      </c>
      <c r="EH80" s="0" t="n">
        <v>12</v>
      </c>
      <c r="EI80" s="0" t="n">
        <f aca="false">IF(AND(DM80=1,DN80&lt;=48),"",IF(AND(DM80=2,DN80&lt;=42),"",IF(AND(DM80=3,DN80&lt;=45),"",EH80)))</f>
        <v>12</v>
      </c>
      <c r="EJ80" s="0" t="n">
        <f aca="false">IF(EI80="","",IF(EI80&lt;9,EI80,9))</f>
        <v>9</v>
      </c>
      <c r="EK80" s="0" t="n">
        <f aca="false">IF(EI80="","",IF(EI80&gt;9,EI80-EJ80,0))</f>
        <v>3</v>
      </c>
      <c r="EL80" s="0" t="n">
        <f aca="false">IF(EI80="","",EJ80*DA80*2+EK80*DA80*3)</f>
        <v>1687.5</v>
      </c>
      <c r="EP80" s="0" t="n">
        <v>1</v>
      </c>
      <c r="EQ80" s="0"/>
      <c r="ER80" s="0" t="n">
        <v>0</v>
      </c>
      <c r="ET80" s="0" t="n">
        <v>0</v>
      </c>
      <c r="EV80" s="0" t="n">
        <v>1</v>
      </c>
      <c r="EX80" s="0" t="n">
        <v>1</v>
      </c>
      <c r="EY80" s="0" t="n">
        <v>1</v>
      </c>
      <c r="EZ80" s="4" t="n">
        <v>20000</v>
      </c>
      <c r="FA80" s="4" t="n">
        <v>66500</v>
      </c>
      <c r="FB80" s="0" t="n">
        <v>1</v>
      </c>
      <c r="FF80" s="120" t="n">
        <f aca="false">(CJ80-CI80+1)/365</f>
        <v>2.1041095890411</v>
      </c>
      <c r="FG80" s="0" t="str">
        <f aca="false">CONCATENATE(F80,"/",G80)</f>
        <v>392/2011</v>
      </c>
      <c r="FH80" s="0" t="n">
        <v>0</v>
      </c>
      <c r="FI80" s="0" t="n">
        <v>0</v>
      </c>
    </row>
    <row r="81" customFormat="false" ht="15" hidden="false" customHeight="false" outlineLevel="0" collapsed="false">
      <c r="A81" s="5" t="str">
        <f aca="false">E81&amp;G81&amp;F81</f>
        <v>72011397</v>
      </c>
      <c r="B81" s="0" t="s">
        <v>203</v>
      </c>
      <c r="C81" s="1" t="n">
        <v>42409</v>
      </c>
      <c r="E81" s="0" t="n">
        <v>7</v>
      </c>
      <c r="F81" s="0" t="n">
        <v>397</v>
      </c>
      <c r="G81" s="0" t="n">
        <v>2011</v>
      </c>
      <c r="H81" s="0" t="str">
        <f aca="false">"J"&amp;E81&amp;"\"&amp;F81&amp;"\"&amp;G81&amp;"\"&amp;W81</f>
        <v>J7\397\2011\1</v>
      </c>
      <c r="I81" s="0"/>
      <c r="J81" s="1" t="n">
        <v>40603</v>
      </c>
      <c r="K81" s="0" t="n">
        <v>0</v>
      </c>
      <c r="M81" s="1"/>
      <c r="N81" s="1"/>
      <c r="O81" s="1"/>
      <c r="P81" s="1"/>
      <c r="Q81" s="1"/>
      <c r="T81" s="121"/>
      <c r="U81" s="121"/>
      <c r="V81" s="122" t="n">
        <f aca="false">IF(AND(E81&gt;0,F81&gt;0,G81&gt;0),COUNTIFS($E:$E,E81,$F:$F,F81,$G:$G,G81),"")</f>
        <v>1</v>
      </c>
      <c r="W81" s="122" t="n">
        <f aca="false">IF(V81="","",IF(V81=1,1,IF(AND(E80=E81,F80=F81,G80=G81),W80+1,1)))</f>
        <v>1</v>
      </c>
      <c r="X81" s="0" t="n">
        <v>1</v>
      </c>
      <c r="Y81" s="0" t="n">
        <v>4</v>
      </c>
      <c r="Z81" s="0" t="s">
        <v>1100</v>
      </c>
      <c r="AA81" s="0" t="n">
        <v>0</v>
      </c>
      <c r="AB81" s="0" t="s">
        <v>1101</v>
      </c>
      <c r="AC81" s="0" t="s">
        <v>318</v>
      </c>
      <c r="AD81" s="0" t="s">
        <v>221</v>
      </c>
      <c r="AE81" s="0" t="n">
        <v>0</v>
      </c>
      <c r="AF81" s="0" t="s">
        <v>1102</v>
      </c>
      <c r="AG81" s="0" t="n">
        <v>1</v>
      </c>
      <c r="AH81" s="0" t="s">
        <v>1103</v>
      </c>
      <c r="AI81" s="0" t="s">
        <v>274</v>
      </c>
      <c r="AJ81" s="0" t="s">
        <v>229</v>
      </c>
      <c r="AL81" s="0" t="s">
        <v>1104</v>
      </c>
      <c r="AM81" s="0" t="n">
        <v>1</v>
      </c>
      <c r="AN81" s="0" t="s">
        <v>1103</v>
      </c>
      <c r="AO81" s="0" t="s">
        <v>274</v>
      </c>
      <c r="AP81" s="0" t="s">
        <v>229</v>
      </c>
      <c r="AR81" s="0" t="s">
        <v>213</v>
      </c>
      <c r="AS81" s="0" t="n">
        <v>1</v>
      </c>
      <c r="AT81" s="0" t="s">
        <v>1103</v>
      </c>
      <c r="AU81" s="0" t="s">
        <v>274</v>
      </c>
      <c r="AV81" s="0" t="s">
        <v>229</v>
      </c>
      <c r="AX81" s="0" t="s">
        <v>249</v>
      </c>
      <c r="AY81" s="0" t="n">
        <v>0</v>
      </c>
      <c r="AZ81" s="0" t="s">
        <v>964</v>
      </c>
      <c r="BA81" s="0" t="s">
        <v>1105</v>
      </c>
      <c r="BB81" s="0" t="s">
        <v>411</v>
      </c>
      <c r="BP81" s="0" t="n">
        <v>0</v>
      </c>
      <c r="BQ81" s="0" t="n">
        <v>0</v>
      </c>
      <c r="BR81" s="0" t="n">
        <v>1</v>
      </c>
      <c r="BS81" s="0" t="s">
        <v>1106</v>
      </c>
      <c r="BT81" s="0" t="s">
        <v>1107</v>
      </c>
      <c r="BU81" s="0" t="s">
        <v>216</v>
      </c>
      <c r="BV81" s="123"/>
      <c r="BW81" s="123"/>
      <c r="BX81" s="123"/>
      <c r="BY81" s="123"/>
      <c r="BZ81" s="0" t="n">
        <v>0</v>
      </c>
      <c r="CA81" s="0" t="s">
        <v>1108</v>
      </c>
      <c r="CD81" s="0" t="s">
        <v>370</v>
      </c>
      <c r="CE81" s="0" t="n">
        <v>0</v>
      </c>
      <c r="CF81" s="0" t="s">
        <v>1098</v>
      </c>
      <c r="CG81" s="0" t="s">
        <v>218</v>
      </c>
      <c r="CI81" s="1" t="n">
        <v>39551</v>
      </c>
      <c r="CJ81" s="1" t="n">
        <v>40602</v>
      </c>
      <c r="CK81" s="124" t="n">
        <v>0.416666666666667</v>
      </c>
      <c r="CL81" s="0" t="s">
        <v>1109</v>
      </c>
      <c r="CM81" s="0" t="n">
        <f aca="false">IF(OR(CI81="",CJ81=""),"",DAYS360(CI81,CJ81)/360)</f>
        <v>2.875</v>
      </c>
      <c r="CN81" s="0" t="n">
        <f aca="false">IF(OR(CI81="",CJ81=""),"",DAYS360(CI81,CJ81)/30)</f>
        <v>34.5</v>
      </c>
      <c r="CO81" s="0" t="n">
        <f aca="false">IF(OR(CI81="",CJ81=""),"",DAYS360(CI81,CJ81)/7)</f>
        <v>147.857142857143</v>
      </c>
      <c r="CP81" s="0" t="n">
        <f aca="false">IF(OR(CI81="",CJ81=""),"",DAYS360(CI81,CJ81))</f>
        <v>1035</v>
      </c>
      <c r="CQ81" s="0" t="s">
        <v>240</v>
      </c>
      <c r="CR81" s="0" t="n">
        <v>1</v>
      </c>
      <c r="CT81" s="0" t="s">
        <v>221</v>
      </c>
      <c r="CU81" s="0" t="s">
        <v>221</v>
      </c>
      <c r="CV81" s="0" t="str">
        <f aca="false">IF(OR(CT81="",CT81="NO ESPECIFICA",CT81="NO MENCIONA"),"",IF(CU81=0,CT81,IF(CU81=1,CT81/30,IF(CU81=2,CT81/15,IF(CU81=3,CT81/7,"")))))</f>
        <v/>
      </c>
      <c r="CW81" s="125" t="n">
        <v>1200</v>
      </c>
      <c r="CX81" s="0" t="n">
        <v>3</v>
      </c>
      <c r="CY81" s="0" t="n">
        <f aca="false">IF(CW81="","",IF(CX81=0,CW81,IF(CX81=1,CW81/30,IF(CX81=2,CW81/15,IF(CX81=3,CW81/7,CW81)))))</f>
        <v>171.428571428571</v>
      </c>
      <c r="CZ81" s="0" t="n">
        <f aca="false">IF(DI81&gt;0,DI81,IF(CY81&gt;0,CY81,IF(CV81&gt;0,CV81,"")))</f>
        <v>171.428571428571</v>
      </c>
      <c r="DA81" s="0" t="n">
        <f aca="false">IF(DM81=1,CZ81/8,IF(OR(DM81=2,DM81=4),CZ81/7,IF(DM81=3,CZ81/7.5,"")))</f>
        <v>21.4285714285714</v>
      </c>
      <c r="DB81" s="0" t="s">
        <v>216</v>
      </c>
      <c r="DC81" s="0" t="s">
        <v>216</v>
      </c>
      <c r="DD81" s="0" t="s">
        <v>216</v>
      </c>
      <c r="DE81" s="0" t="s">
        <v>216</v>
      </c>
      <c r="DF81" s="0" t="s">
        <v>216</v>
      </c>
      <c r="DG81" s="0" t="s">
        <v>216</v>
      </c>
      <c r="DH81" s="0" t="n">
        <v>0</v>
      </c>
      <c r="DI81" s="126" t="n">
        <v>171.428571428571</v>
      </c>
      <c r="DK81" s="0" t="n">
        <v>1</v>
      </c>
      <c r="DM81" s="0" t="n">
        <v>1</v>
      </c>
      <c r="DN81" s="0" t="n">
        <v>50.5</v>
      </c>
      <c r="DO81" s="0" t="n">
        <v>3</v>
      </c>
      <c r="DP81" s="0" t="n">
        <v>0</v>
      </c>
      <c r="DQ81" s="0" t="n">
        <v>1</v>
      </c>
      <c r="DR81" s="0"/>
      <c r="DS81" s="0" t="n">
        <v>1</v>
      </c>
      <c r="DU81" s="0" t="n">
        <v>1</v>
      </c>
      <c r="DW81" s="1" t="n">
        <v>39551</v>
      </c>
      <c r="DX81" s="1" t="n">
        <v>40602</v>
      </c>
      <c r="DZ81" s="0"/>
      <c r="EA81" s="0" t="n">
        <v>1</v>
      </c>
      <c r="EC81" s="1" t="n">
        <v>40179</v>
      </c>
      <c r="ED81" s="1" t="n">
        <v>40602</v>
      </c>
      <c r="EF81" s="0"/>
      <c r="EG81" s="0" t="n">
        <v>1</v>
      </c>
      <c r="EH81" s="0" t="n">
        <v>12</v>
      </c>
      <c r="EI81" s="0" t="n">
        <f aca="false">IF(AND(DM81=1,DN81&lt;=48),"",IF(AND(DM81=2,DN81&lt;=42),"",IF(AND(DM81=3,DN81&lt;=45),"",EH81)))</f>
        <v>12</v>
      </c>
      <c r="EJ81" s="0" t="n">
        <f aca="false">IF(EI81="","",IF(EI81&lt;9,EI81,9))</f>
        <v>9</v>
      </c>
      <c r="EK81" s="0" t="n">
        <f aca="false">IF(EI81="","",IF(EI81&gt;9,EI81-EJ81,0))</f>
        <v>3</v>
      </c>
      <c r="EL81" s="0" t="n">
        <f aca="false">IF(EI81="","",EJ81*DA81*2+EK81*DA81*3)</f>
        <v>578.571428571429</v>
      </c>
      <c r="EP81" s="0" t="n">
        <v>1</v>
      </c>
      <c r="EQ81" s="0"/>
      <c r="ER81" s="0" t="n">
        <v>0</v>
      </c>
      <c r="ET81" s="0" t="n">
        <v>0</v>
      </c>
      <c r="EV81" s="0" t="n">
        <v>0</v>
      </c>
      <c r="EX81" s="0" t="n">
        <v>1</v>
      </c>
      <c r="EY81" s="0" t="n">
        <v>1</v>
      </c>
      <c r="EZ81" s="0"/>
      <c r="FA81" s="4" t="n">
        <v>6171.12</v>
      </c>
      <c r="FB81" s="0" t="n">
        <v>0</v>
      </c>
      <c r="FF81" s="120" t="n">
        <f aca="false">(CJ81-CI81+1)/365</f>
        <v>2.88219178082192</v>
      </c>
      <c r="FG81" s="0" t="str">
        <f aca="false">CONCATENATE(F81,"/",G81)</f>
        <v>397/2011</v>
      </c>
      <c r="FH81" s="0" t="n">
        <v>0</v>
      </c>
      <c r="FI81" s="0" t="n">
        <v>0</v>
      </c>
    </row>
    <row r="82" customFormat="false" ht="15" hidden="false" customHeight="false" outlineLevel="0" collapsed="false">
      <c r="A82" s="5" t="str">
        <f aca="false">E82&amp;G82&amp;F82</f>
        <v>72011403</v>
      </c>
      <c r="B82" s="0" t="s">
        <v>203</v>
      </c>
      <c r="C82" s="1" t="n">
        <v>42409</v>
      </c>
      <c r="E82" s="0" t="n">
        <v>7</v>
      </c>
      <c r="F82" s="0" t="n">
        <v>403</v>
      </c>
      <c r="G82" s="0" t="n">
        <v>2011</v>
      </c>
      <c r="H82" s="0" t="str">
        <f aca="false">"J"&amp;E82&amp;"\"&amp;F82&amp;"\"&amp;G82&amp;"\"&amp;W82</f>
        <v>J7\403\2011\1</v>
      </c>
      <c r="I82" s="0"/>
      <c r="J82" s="1" t="n">
        <v>40604</v>
      </c>
      <c r="K82" s="0" t="n">
        <v>0</v>
      </c>
      <c r="M82" s="1" t="n">
        <v>40635</v>
      </c>
      <c r="N82" s="1" t="n">
        <v>40690</v>
      </c>
      <c r="O82" s="1"/>
      <c r="P82" s="1"/>
      <c r="Q82" s="1"/>
      <c r="T82" s="121"/>
      <c r="U82" s="121"/>
      <c r="V82" s="122" t="n">
        <f aca="false">IF(AND(E82&gt;0,F82&gt;0,G82&gt;0),COUNTIFS($E:$E,E82,$F:$F,F82,$G:$G,G82),"")</f>
        <v>1</v>
      </c>
      <c r="W82" s="122" t="n">
        <f aca="false">IF(V82="","",IF(V82=1,1,IF(AND(E81=E82,F81=F82,G81=G82),W81+1,1)))</f>
        <v>1</v>
      </c>
      <c r="X82" s="0" t="n">
        <v>1</v>
      </c>
      <c r="Y82" s="0" t="n">
        <v>2</v>
      </c>
      <c r="Z82" s="0" t="s">
        <v>1110</v>
      </c>
      <c r="AA82" s="0" t="n">
        <v>0</v>
      </c>
      <c r="AB82" s="0" t="s">
        <v>1111</v>
      </c>
      <c r="AC82" s="0" t="s">
        <v>318</v>
      </c>
      <c r="AD82" s="0" t="s">
        <v>221</v>
      </c>
      <c r="AE82" s="0" t="n">
        <v>0</v>
      </c>
      <c r="AF82" s="0" t="s">
        <v>1112</v>
      </c>
      <c r="AG82" s="0" t="n">
        <v>1</v>
      </c>
      <c r="AH82" s="0" t="s">
        <v>1113</v>
      </c>
      <c r="AI82" s="0" t="s">
        <v>1114</v>
      </c>
      <c r="AJ82" s="0" t="s">
        <v>590</v>
      </c>
      <c r="AL82" s="0" t="s">
        <v>213</v>
      </c>
      <c r="AM82" s="0" t="n">
        <v>1</v>
      </c>
      <c r="AN82" s="0" t="s">
        <v>1113</v>
      </c>
      <c r="AO82" s="0" t="s">
        <v>1114</v>
      </c>
      <c r="AP82" s="0" t="s">
        <v>590</v>
      </c>
      <c r="BP82" s="0" t="n">
        <v>0</v>
      </c>
      <c r="BQ82" s="0" t="n">
        <v>0</v>
      </c>
      <c r="BR82" s="0" t="n">
        <v>1</v>
      </c>
      <c r="BS82" s="0" t="s">
        <v>1115</v>
      </c>
      <c r="BT82" s="0" t="s">
        <v>1116</v>
      </c>
      <c r="BU82" s="0" t="s">
        <v>1117</v>
      </c>
      <c r="BV82" s="123"/>
      <c r="BW82" s="123"/>
      <c r="BX82" s="123"/>
      <c r="BY82" s="123"/>
      <c r="BZ82" s="0" t="n">
        <v>0</v>
      </c>
      <c r="CA82" s="0" t="s">
        <v>1118</v>
      </c>
      <c r="CD82" s="0" t="s">
        <v>556</v>
      </c>
      <c r="CE82" s="0" t="n">
        <v>0</v>
      </c>
      <c r="CF82" s="0" t="s">
        <v>257</v>
      </c>
      <c r="CG82" s="0" t="s">
        <v>218</v>
      </c>
      <c r="CI82" s="1" t="n">
        <v>40193</v>
      </c>
      <c r="CJ82" s="1" t="n">
        <v>40585</v>
      </c>
      <c r="CK82" s="124" t="n">
        <v>0.826388888888889</v>
      </c>
      <c r="CL82" s="0" t="s">
        <v>1112</v>
      </c>
      <c r="CM82" s="0" t="n">
        <f aca="false">IF(OR(CI82="",CJ82=""),"",DAYS360(CI82,CJ82)/360)</f>
        <v>1.07222222222222</v>
      </c>
      <c r="CN82" s="0" t="n">
        <f aca="false">IF(OR(CI82="",CJ82=""),"",DAYS360(CI82,CJ82)/30)</f>
        <v>12.8666666666667</v>
      </c>
      <c r="CO82" s="0" t="n">
        <f aca="false">IF(OR(CI82="",CJ82=""),"",DAYS360(CI82,CJ82)/7)</f>
        <v>55.1428571428571</v>
      </c>
      <c r="CP82" s="0" t="n">
        <f aca="false">IF(OR(CI82="",CJ82=""),"",DAYS360(CI82,CJ82))</f>
        <v>386</v>
      </c>
      <c r="CQ82" s="0" t="s">
        <v>240</v>
      </c>
      <c r="CR82" s="0" t="n">
        <v>1</v>
      </c>
      <c r="CT82" s="0" t="n">
        <v>270</v>
      </c>
      <c r="CU82" s="0" t="n">
        <v>0</v>
      </c>
      <c r="CV82" s="0" t="n">
        <f aca="false">IF(OR(CT82="",CT82="NO ESPECIFICA",CT82="NO MENCIONA"),"",IF(CU82=0,CT82,IF(CU82=1,CT82/30,IF(CU82=2,CT82/15,IF(CU82=3,CT82/7,"")))))</f>
        <v>270</v>
      </c>
      <c r="CW82" s="125" t="n">
        <v>679.25</v>
      </c>
      <c r="CX82" s="0" t="n">
        <v>3</v>
      </c>
      <c r="CY82" s="0" t="n">
        <f aca="false">IF(CW82="","",IF(CX82=0,CW82,IF(CX82=1,CW82/30,IF(CX82=2,CW82/15,IF(CX82=3,CW82/7,CW82)))))</f>
        <v>97.0357142857143</v>
      </c>
      <c r="CZ82" s="0" t="n">
        <f aca="false">IF(DI82&gt;0,DI82,IF(CY82&gt;0,CY82,IF(CV82&gt;0,CV82,"")))</f>
        <v>679.25</v>
      </c>
      <c r="DA82" s="0" t="n">
        <f aca="false">IF(DM82=1,CZ82/8,IF(OR(DM82=2,DM82=4),CZ82/7,IF(DM82=3,CZ82/7.5,"")))</f>
        <v>84.90625</v>
      </c>
      <c r="DB82" s="0" t="s">
        <v>303</v>
      </c>
      <c r="DC82" s="0" t="s">
        <v>301</v>
      </c>
      <c r="DD82" s="0" t="s">
        <v>1119</v>
      </c>
      <c r="DE82" s="0" t="s">
        <v>258</v>
      </c>
      <c r="DF82" s="0" t="s">
        <v>259</v>
      </c>
      <c r="DG82" s="0" t="s">
        <v>1120</v>
      </c>
      <c r="DH82" s="0" t="n">
        <v>0</v>
      </c>
      <c r="DI82" s="126" t="n">
        <v>679.25</v>
      </c>
      <c r="DK82" s="0" t="n">
        <v>0</v>
      </c>
      <c r="DM82" s="0" t="n">
        <v>1</v>
      </c>
      <c r="DN82" s="0" t="n">
        <v>69</v>
      </c>
      <c r="DO82" s="0" t="n">
        <v>3</v>
      </c>
      <c r="DP82" s="0" t="n">
        <v>0</v>
      </c>
      <c r="DQ82" s="0" t="n">
        <v>1</v>
      </c>
      <c r="DR82" s="0"/>
      <c r="DS82" s="0" t="n">
        <v>1</v>
      </c>
      <c r="DU82" s="0" t="n">
        <v>1</v>
      </c>
      <c r="DW82" s="1" t="n">
        <v>40193</v>
      </c>
      <c r="DX82" s="1" t="n">
        <v>40585</v>
      </c>
      <c r="DZ82" s="0"/>
      <c r="EA82" s="0" t="n">
        <v>1</v>
      </c>
      <c r="EC82" s="1" t="n">
        <v>40193</v>
      </c>
      <c r="ED82" s="1" t="n">
        <v>40585</v>
      </c>
      <c r="EF82" s="0"/>
      <c r="EG82" s="0" t="n">
        <v>1</v>
      </c>
      <c r="EH82" s="0" t="s">
        <v>221</v>
      </c>
      <c r="EI82" s="0" t="str">
        <f aca="false">IF(AND(DM82=1,DN82&lt;=48),"",IF(AND(DM82=2,DN82&lt;=42),"",IF(AND(DM82=3,DN82&lt;=45),"",EH82)))</f>
        <v>NO ESPECIFICA</v>
      </c>
      <c r="EJ82" s="0" t="n">
        <f aca="false">IF(EI82="","",IF(EI82&lt;9,EI82,9))</f>
        <v>9</v>
      </c>
      <c r="EK82" s="0" t="e">
        <f aca="false">IF(EI82="","",IF(EI82&gt;9,EI82-EJ82,0))</f>
        <v>#VALUE!</v>
      </c>
      <c r="EL82" s="0" t="e">
        <f aca="false">IF(EI82="","",EJ82*DA82*2+EK82*DA82*3)</f>
        <v>#VALUE!</v>
      </c>
      <c r="EP82" s="0" t="n">
        <v>0</v>
      </c>
      <c r="EQ82" s="0"/>
      <c r="ER82" s="0" t="n">
        <v>0</v>
      </c>
      <c r="ET82" s="0" t="n">
        <v>0</v>
      </c>
      <c r="EV82" s="0" t="n">
        <v>1</v>
      </c>
      <c r="EX82" s="0" t="n">
        <v>0</v>
      </c>
      <c r="EY82" s="0" t="n">
        <v>0</v>
      </c>
      <c r="EZ82" s="0"/>
      <c r="FA82" s="4" t="n">
        <v>741.75</v>
      </c>
      <c r="FB82" s="0" t="n">
        <v>1</v>
      </c>
      <c r="FF82" s="120" t="n">
        <f aca="false">(CJ82-CI82+1)/365</f>
        <v>1.07671232876712</v>
      </c>
      <c r="FG82" s="0" t="str">
        <f aca="false">CONCATENATE(F82,"/",G82)</f>
        <v>403/2011</v>
      </c>
      <c r="FH82" s="0" t="n">
        <v>0</v>
      </c>
      <c r="FI82" s="0" t="n">
        <v>0</v>
      </c>
    </row>
    <row r="83" customFormat="false" ht="15" hidden="false" customHeight="false" outlineLevel="0" collapsed="false">
      <c r="A83" s="5" t="str">
        <f aca="false">E83&amp;G83&amp;F83</f>
        <v>72011406</v>
      </c>
      <c r="B83" s="0" t="s">
        <v>203</v>
      </c>
      <c r="C83" s="1" t="n">
        <v>42409</v>
      </c>
      <c r="E83" s="0" t="n">
        <v>7</v>
      </c>
      <c r="F83" s="0" t="n">
        <v>406</v>
      </c>
      <c r="G83" s="0" t="n">
        <v>2011</v>
      </c>
      <c r="H83" s="0" t="str">
        <f aca="false">"J"&amp;E83&amp;"\"&amp;F83&amp;"\"&amp;G83&amp;"\"&amp;W83</f>
        <v>J7\406\2011\1</v>
      </c>
      <c r="I83" s="0"/>
      <c r="J83" s="1" t="n">
        <v>40604</v>
      </c>
      <c r="K83" s="0" t="n">
        <v>0</v>
      </c>
      <c r="M83" s="1"/>
      <c r="N83" s="1"/>
      <c r="O83" s="1"/>
      <c r="P83" s="1"/>
      <c r="Q83" s="1"/>
      <c r="T83" s="121"/>
      <c r="U83" s="121"/>
      <c r="V83" s="122" t="n">
        <f aca="false">IF(AND(E83&gt;0,F83&gt;0,G83&gt;0),COUNTIFS($E:$E,E83,$F:$F,F83,$G:$G,G83),"")</f>
        <v>1</v>
      </c>
      <c r="W83" s="122" t="n">
        <f aca="false">IF(V83="","",IF(V83=1,1,IF(AND(E82=E83,F82=F83,G82=G83),W82+1,1)))</f>
        <v>1</v>
      </c>
      <c r="X83" s="0" t="n">
        <v>1</v>
      </c>
      <c r="Y83" s="0" t="n">
        <v>3</v>
      </c>
      <c r="Z83" s="0" t="s">
        <v>1121</v>
      </c>
      <c r="AA83" s="0" t="n">
        <v>0</v>
      </c>
      <c r="AB83" s="0" t="s">
        <v>1122</v>
      </c>
      <c r="AC83" s="0" t="s">
        <v>1123</v>
      </c>
      <c r="AD83" s="0" t="s">
        <v>322</v>
      </c>
      <c r="AE83" s="0" t="n">
        <v>0</v>
      </c>
      <c r="AF83" s="0" t="s">
        <v>1124</v>
      </c>
      <c r="AG83" s="0" t="n">
        <v>0</v>
      </c>
      <c r="AH83" s="0" t="s">
        <v>1125</v>
      </c>
      <c r="AI83" s="0" t="s">
        <v>1126</v>
      </c>
      <c r="AJ83" s="0" t="s">
        <v>352</v>
      </c>
      <c r="AL83" s="0" t="s">
        <v>213</v>
      </c>
      <c r="AM83" s="0" t="n">
        <v>1</v>
      </c>
      <c r="AN83" s="0" t="s">
        <v>1125</v>
      </c>
      <c r="AO83" s="0" t="s">
        <v>1126</v>
      </c>
      <c r="AP83" s="0" t="s">
        <v>352</v>
      </c>
      <c r="AR83" s="0" t="s">
        <v>1127</v>
      </c>
      <c r="AS83" s="0" t="n">
        <v>0</v>
      </c>
      <c r="AT83" s="0" t="s">
        <v>1128</v>
      </c>
      <c r="AU83" s="0" t="s">
        <v>1126</v>
      </c>
      <c r="AV83" s="0" t="s">
        <v>352</v>
      </c>
      <c r="BP83" s="0" t="n">
        <v>0</v>
      </c>
      <c r="BQ83" s="0" t="n">
        <v>0</v>
      </c>
      <c r="BR83" s="0" t="n">
        <v>1</v>
      </c>
      <c r="BS83" s="0" t="s">
        <v>1129</v>
      </c>
      <c r="BT83" s="0" t="s">
        <v>1130</v>
      </c>
      <c r="BU83" s="0" t="s">
        <v>1131</v>
      </c>
      <c r="BV83" s="123"/>
      <c r="BW83" s="123"/>
      <c r="BX83" s="123"/>
      <c r="BY83" s="123"/>
      <c r="BZ83" s="0" t="n">
        <v>0</v>
      </c>
      <c r="CA83" s="0" t="s">
        <v>216</v>
      </c>
      <c r="CD83" s="0" t="s">
        <v>216</v>
      </c>
      <c r="CE83" s="0" t="n">
        <v>0</v>
      </c>
      <c r="CF83" s="0" t="s">
        <v>1132</v>
      </c>
      <c r="CG83" s="0" t="s">
        <v>218</v>
      </c>
      <c r="CI83" s="1" t="n">
        <v>36602</v>
      </c>
      <c r="CJ83" s="1" t="n">
        <v>40580</v>
      </c>
      <c r="CK83" s="124" t="n">
        <v>0.333333333333333</v>
      </c>
      <c r="CL83" s="0" t="s">
        <v>1133</v>
      </c>
      <c r="CM83" s="0" t="n">
        <f aca="false">IF(OR(CI83="",CJ83=""),"",DAYS360(CI83,CJ83)/360)</f>
        <v>10.8861111111111</v>
      </c>
      <c r="CN83" s="0" t="n">
        <f aca="false">IF(OR(CI83="",CJ83=""),"",DAYS360(CI83,CJ83)/30)</f>
        <v>130.633333333333</v>
      </c>
      <c r="CO83" s="0" t="n">
        <f aca="false">IF(OR(CI83="",CJ83=""),"",DAYS360(CI83,CJ83)/7)</f>
        <v>559.857142857143</v>
      </c>
      <c r="CP83" s="0" t="n">
        <f aca="false">IF(OR(CI83="",CJ83=""),"",DAYS360(CI83,CJ83))</f>
        <v>3919</v>
      </c>
      <c r="CQ83" s="0" t="s">
        <v>220</v>
      </c>
      <c r="CR83" s="0" t="n">
        <v>1</v>
      </c>
      <c r="CT83" s="0" t="s">
        <v>221</v>
      </c>
      <c r="CU83" s="0" t="s">
        <v>221</v>
      </c>
      <c r="CV83" s="0" t="str">
        <f aca="false">IF(OR(CT83="",CT83="NO ESPECIFICA",CT83="NO MENCIONA"),"",IF(CU83=0,CT83,IF(CU83=1,CT83/30,IF(CU83=2,CT83/15,IF(CU83=3,CT83/7,"")))))</f>
        <v/>
      </c>
      <c r="CW83" s="125" t="n">
        <v>2700</v>
      </c>
      <c r="CX83" s="0" t="n">
        <v>2</v>
      </c>
      <c r="CY83" s="0" t="n">
        <f aca="false">IF(CW83="","",IF(CX83=0,CW83,IF(CX83=1,CW83/30,IF(CX83=2,CW83/15,IF(CX83=3,CW83/7,CW83)))))</f>
        <v>180</v>
      </c>
      <c r="CZ83" s="0" t="n">
        <f aca="false">IF(DI83&gt;0,DI83,IF(CY83&gt;0,CY83,IF(CV83&gt;0,CV83,"")))</f>
        <v>180</v>
      </c>
      <c r="DA83" s="0" t="n">
        <f aca="false">IF(DM83=1,CZ83/8,IF(OR(DM83=2,DM83=4),CZ83/7,IF(DM83=3,CZ83/7.5,"")))</f>
        <v>22.5</v>
      </c>
      <c r="DB83" s="0" t="s">
        <v>216</v>
      </c>
      <c r="DC83" s="0" t="s">
        <v>216</v>
      </c>
      <c r="DD83" s="0" t="s">
        <v>216</v>
      </c>
      <c r="DE83" s="0" t="s">
        <v>216</v>
      </c>
      <c r="DF83" s="0" t="s">
        <v>216</v>
      </c>
      <c r="DG83" s="0" t="s">
        <v>216</v>
      </c>
      <c r="DH83" s="0" t="n">
        <v>0</v>
      </c>
      <c r="DI83" s="126" t="n">
        <v>180</v>
      </c>
      <c r="DK83" s="0" t="n">
        <v>1</v>
      </c>
      <c r="DM83" s="0" t="n">
        <v>1</v>
      </c>
      <c r="DN83" s="0" t="n">
        <v>66</v>
      </c>
      <c r="DO83" s="0" t="n">
        <v>3</v>
      </c>
      <c r="DP83" s="0" t="n">
        <v>1</v>
      </c>
      <c r="DQ83" s="0" t="n">
        <v>1</v>
      </c>
      <c r="DR83" s="0"/>
      <c r="DS83" s="0" t="n">
        <v>1</v>
      </c>
      <c r="DU83" s="0" t="n">
        <v>1</v>
      </c>
      <c r="DW83" s="1" t="n">
        <v>36602</v>
      </c>
      <c r="DX83" s="1" t="n">
        <v>40580</v>
      </c>
      <c r="DZ83" s="0"/>
      <c r="EA83" s="0" t="n">
        <v>1</v>
      </c>
      <c r="EC83" s="1" t="n">
        <v>36602</v>
      </c>
      <c r="ED83" s="1" t="n">
        <v>40580</v>
      </c>
      <c r="EF83" s="0"/>
      <c r="EG83" s="0" t="n">
        <v>1</v>
      </c>
      <c r="EH83" s="0" t="n">
        <v>12</v>
      </c>
      <c r="EI83" s="0" t="n">
        <f aca="false">IF(AND(DM83=1,DN83&lt;=48),"",IF(AND(DM83=2,DN83&lt;=42),"",IF(AND(DM83=3,DN83&lt;=45),"",EH83)))</f>
        <v>12</v>
      </c>
      <c r="EJ83" s="0" t="n">
        <f aca="false">IF(EI83="","",IF(EI83&lt;9,EI83,9))</f>
        <v>9</v>
      </c>
      <c r="EK83" s="0" t="n">
        <f aca="false">IF(EI83="","",IF(EI83&gt;9,EI83-EJ83,0))</f>
        <v>3</v>
      </c>
      <c r="EL83" s="0" t="n">
        <f aca="false">IF(EI83="","",EJ83*DA83*2+EK83*DA83*3)</f>
        <v>607.5</v>
      </c>
      <c r="EP83" s="0" t="n">
        <v>0</v>
      </c>
      <c r="EQ83" s="0"/>
      <c r="ER83" s="0" t="n">
        <v>0</v>
      </c>
      <c r="ET83" s="0" t="n">
        <v>0</v>
      </c>
      <c r="EV83" s="0" t="n">
        <v>0</v>
      </c>
      <c r="EX83" s="0" t="n">
        <v>0</v>
      </c>
      <c r="EY83" s="0" t="n">
        <v>0</v>
      </c>
      <c r="EZ83" s="0"/>
      <c r="FA83" s="4" t="n">
        <v>900</v>
      </c>
      <c r="FB83" s="0" t="n">
        <v>1</v>
      </c>
      <c r="FF83" s="120" t="n">
        <f aca="false">(CJ83-CI83+1)/365</f>
        <v>10.9013698630137</v>
      </c>
      <c r="FG83" s="0" t="str">
        <f aca="false">CONCATENATE(F83,"/",G83)</f>
        <v>406/2011</v>
      </c>
      <c r="FH83" s="0" t="n">
        <v>0</v>
      </c>
      <c r="FI83" s="0" t="n">
        <v>0</v>
      </c>
    </row>
    <row r="84" customFormat="false" ht="15" hidden="false" customHeight="false" outlineLevel="0" collapsed="false">
      <c r="A84" s="5" t="str">
        <f aca="false">E84&amp;G84&amp;F84</f>
        <v>72011411</v>
      </c>
      <c r="B84" s="0" t="s">
        <v>203</v>
      </c>
      <c r="C84" s="1" t="n">
        <v>42409</v>
      </c>
      <c r="E84" s="0" t="n">
        <v>7</v>
      </c>
      <c r="F84" s="0" t="n">
        <v>411</v>
      </c>
      <c r="G84" s="0" t="n">
        <v>2011</v>
      </c>
      <c r="H84" s="0" t="str">
        <f aca="false">"J"&amp;E84&amp;"\"&amp;F84&amp;"\"&amp;G84&amp;"\"&amp;W84</f>
        <v>J7\411\2011\1</v>
      </c>
      <c r="I84" s="0" t="n">
        <v>40604</v>
      </c>
      <c r="J84" s="1" t="n">
        <v>40400</v>
      </c>
      <c r="K84" s="0" t="n">
        <v>0</v>
      </c>
      <c r="M84" s="1"/>
      <c r="N84" s="1"/>
      <c r="O84" s="1"/>
      <c r="P84" s="1"/>
      <c r="Q84" s="1"/>
      <c r="T84" s="121"/>
      <c r="U84" s="121"/>
      <c r="V84" s="122" t="n">
        <f aca="false">IF(AND(E84&gt;0,F84&gt;0,G84&gt;0),COUNTIFS($E:$E,E84,$F:$F,F84,$G:$G,G84),"")</f>
        <v>1</v>
      </c>
      <c r="W84" s="122" t="n">
        <f aca="false">IF(V84="","",IF(V84=1,1,IF(AND(E83=E84,F83=F84,G83=G84),W83+1,1)))</f>
        <v>1</v>
      </c>
      <c r="X84" s="0" t="n">
        <v>1</v>
      </c>
      <c r="Y84" s="0" t="n">
        <v>5</v>
      </c>
      <c r="Z84" s="0" t="s">
        <v>1134</v>
      </c>
      <c r="AA84" s="0" t="n">
        <v>0</v>
      </c>
      <c r="AB84" s="0" t="s">
        <v>1135</v>
      </c>
      <c r="AC84" s="0" t="s">
        <v>1136</v>
      </c>
      <c r="AD84" s="0" t="s">
        <v>755</v>
      </c>
      <c r="AE84" s="0" t="n">
        <v>0</v>
      </c>
      <c r="AF84" s="0" t="s">
        <v>1137</v>
      </c>
      <c r="AG84" s="0" t="n">
        <v>0</v>
      </c>
      <c r="AH84" s="0" t="s">
        <v>1138</v>
      </c>
      <c r="AI84" s="0" t="s">
        <v>1139</v>
      </c>
      <c r="AJ84" s="0" t="s">
        <v>1140</v>
      </c>
      <c r="AL84" s="0" t="s">
        <v>1141</v>
      </c>
      <c r="AM84" s="0" t="n">
        <v>1</v>
      </c>
      <c r="AN84" s="0" t="s">
        <v>1138</v>
      </c>
      <c r="AO84" s="0" t="s">
        <v>1139</v>
      </c>
      <c r="AP84" s="0" t="s">
        <v>1140</v>
      </c>
      <c r="AR84" s="0" t="s">
        <v>1142</v>
      </c>
      <c r="AS84" s="0" t="n">
        <v>1</v>
      </c>
      <c r="AT84" s="0" t="s">
        <v>1138</v>
      </c>
      <c r="AU84" s="0" t="s">
        <v>1139</v>
      </c>
      <c r="AV84" s="0" t="s">
        <v>1140</v>
      </c>
      <c r="AX84" s="0" t="s">
        <v>1143</v>
      </c>
      <c r="AY84" s="0" t="n">
        <v>1</v>
      </c>
      <c r="AZ84" s="0" t="s">
        <v>1138</v>
      </c>
      <c r="BA84" s="0" t="s">
        <v>1139</v>
      </c>
      <c r="BB84" s="0" t="s">
        <v>1140</v>
      </c>
      <c r="BD84" s="0" t="s">
        <v>213</v>
      </c>
      <c r="BE84" s="0" t="n">
        <v>1</v>
      </c>
      <c r="BF84" s="0" t="s">
        <v>1138</v>
      </c>
      <c r="BG84" s="0" t="s">
        <v>1139</v>
      </c>
      <c r="BH84" s="0" t="s">
        <v>1140</v>
      </c>
      <c r="BP84" s="0" t="n">
        <v>0</v>
      </c>
      <c r="BQ84" s="0" t="n">
        <v>0</v>
      </c>
      <c r="BR84" s="0" t="n">
        <v>1</v>
      </c>
      <c r="BS84" s="0" t="s">
        <v>1144</v>
      </c>
      <c r="BT84" s="0" t="s">
        <v>1145</v>
      </c>
      <c r="BU84" s="0" t="s">
        <v>1146</v>
      </c>
      <c r="BV84" s="123"/>
      <c r="BW84" s="123"/>
      <c r="BX84" s="123"/>
      <c r="BY84" s="123"/>
      <c r="BZ84" s="0" t="n">
        <v>0</v>
      </c>
      <c r="CA84" s="0" t="s">
        <v>1147</v>
      </c>
      <c r="CD84" s="0" t="s">
        <v>1001</v>
      </c>
      <c r="CE84" s="0" t="n">
        <v>0</v>
      </c>
      <c r="CF84" s="0" t="s">
        <v>503</v>
      </c>
      <c r="CG84" s="0" t="s">
        <v>218</v>
      </c>
      <c r="CI84" s="1" t="n">
        <v>40087</v>
      </c>
      <c r="CJ84" s="1" t="n">
        <v>40382</v>
      </c>
      <c r="CK84" s="124" t="n">
        <v>0.333333333333333</v>
      </c>
      <c r="CL84" s="0" t="s">
        <v>1143</v>
      </c>
      <c r="CM84" s="0" t="n">
        <f aca="false">IF(OR(CI84="",CJ84=""),"",DAYS360(CI84,CJ84)/360)</f>
        <v>0.811111111111111</v>
      </c>
      <c r="CN84" s="0" t="n">
        <f aca="false">IF(OR(CI84="",CJ84=""),"",DAYS360(CI84,CJ84)/30)</f>
        <v>9.73333333333333</v>
      </c>
      <c r="CO84" s="0" t="n">
        <f aca="false">IF(OR(CI84="",CJ84=""),"",DAYS360(CI84,CJ84)/7)</f>
        <v>41.7142857142857</v>
      </c>
      <c r="CP84" s="0" t="n">
        <f aca="false">IF(OR(CI84="",CJ84=""),"",DAYS360(CI84,CJ84))</f>
        <v>292</v>
      </c>
      <c r="CQ84" s="0" t="s">
        <v>240</v>
      </c>
      <c r="CR84" s="0" t="n">
        <v>1</v>
      </c>
      <c r="CT84" s="0" t="s">
        <v>216</v>
      </c>
      <c r="CU84" s="0" t="s">
        <v>216</v>
      </c>
      <c r="CV84" s="0" t="str">
        <f aca="false">IF(OR(CT84="",CT84="NO ESPECIFICA",CT84="NO MENCIONA"),"",IF(CU84=0,CT84,IF(CU84=1,CT84/30,IF(CU84=2,CT84/15,IF(CU84=3,CT84/7,"")))))</f>
        <v/>
      </c>
      <c r="CW84" s="125" t="n">
        <v>800</v>
      </c>
      <c r="CX84" s="0" t="n">
        <v>0</v>
      </c>
      <c r="CY84" s="0" t="n">
        <f aca="false">IF(CW84="","",IF(CX84=0,CW84,IF(CX84=1,CW84/30,IF(CX84=2,CW84/15,IF(CX84=3,CW84/7,CW84)))))</f>
        <v>800</v>
      </c>
      <c r="CZ84" s="0" t="n">
        <f aca="false">IF(DI84&gt;0,DI84,IF(CY84&gt;0,CY84,IF(CV84&gt;0,CV84,"")))</f>
        <v>800</v>
      </c>
      <c r="DA84" s="0" t="n">
        <f aca="false">IF(DM84=1,CZ84/8,IF(OR(DM84=2,DM84=4),CZ84/7,IF(DM84=3,CZ84/7.5,"")))</f>
        <v>100</v>
      </c>
      <c r="DB84" s="0" t="s">
        <v>216</v>
      </c>
      <c r="DC84" s="0" t="s">
        <v>216</v>
      </c>
      <c r="DD84" s="0" t="s">
        <v>216</v>
      </c>
      <c r="DE84" s="0" t="s">
        <v>216</v>
      </c>
      <c r="DF84" s="0" t="s">
        <v>216</v>
      </c>
      <c r="DG84" s="0" t="s">
        <v>216</v>
      </c>
      <c r="DH84" s="0" t="n">
        <v>0</v>
      </c>
      <c r="DI84" s="126" t="n">
        <v>800</v>
      </c>
      <c r="DK84" s="0" t="n">
        <v>0</v>
      </c>
      <c r="DM84" s="0" t="n">
        <v>1</v>
      </c>
      <c r="DN84" s="0" t="n">
        <v>87.5</v>
      </c>
      <c r="DO84" s="0" t="n">
        <v>3</v>
      </c>
      <c r="DP84" s="0" t="n">
        <v>0</v>
      </c>
      <c r="DQ84" s="0" t="n">
        <v>1</v>
      </c>
      <c r="DR84" s="0"/>
      <c r="DS84" s="0" t="n">
        <v>1</v>
      </c>
      <c r="DU84" s="0" t="n">
        <v>1</v>
      </c>
      <c r="DW84" s="1" t="n">
        <v>40087</v>
      </c>
      <c r="DX84" s="1" t="n">
        <v>40382</v>
      </c>
      <c r="DZ84" s="0"/>
      <c r="EA84" s="0" t="n">
        <v>1</v>
      </c>
      <c r="EC84" s="1" t="n">
        <v>40087</v>
      </c>
      <c r="ED84" s="1" t="n">
        <v>40382</v>
      </c>
      <c r="EF84" s="0"/>
      <c r="EG84" s="0" t="n">
        <v>0</v>
      </c>
      <c r="EI84" s="0" t="n">
        <f aca="false">IF(AND(DM84=1,DN84&lt;=48),"",IF(AND(DM84=2,DN84&lt;=42),"",IF(AND(DM84=3,DN84&lt;=45),"",EH84)))</f>
        <v>0</v>
      </c>
      <c r="EJ84" s="0" t="str">
        <f aca="false">IF(EI84="","",IF(EI84&lt;9,EI84,9))</f>
        <v/>
      </c>
      <c r="EK84" s="0" t="str">
        <f aca="false">IF(EI84="","",IF(EI84&gt;9,EI84-EJ84,0))</f>
        <v/>
      </c>
      <c r="EL84" s="0" t="str">
        <f aca="false">IF(EI84="","",EJ84*DA84*2+EK84*DA84*3)</f>
        <v/>
      </c>
      <c r="EP84" s="0" t="n">
        <v>0</v>
      </c>
      <c r="EQ84" s="0"/>
      <c r="ER84" s="0" t="n">
        <v>0</v>
      </c>
      <c r="ET84" s="0" t="n">
        <v>0</v>
      </c>
      <c r="EV84" s="0" t="n">
        <v>0</v>
      </c>
      <c r="EX84" s="0" t="n">
        <v>0</v>
      </c>
      <c r="EY84" s="0" t="n">
        <v>0</v>
      </c>
      <c r="EZ84" s="0"/>
      <c r="FA84" s="4" t="n">
        <v>14000</v>
      </c>
      <c r="FB84" s="0" t="n">
        <v>1</v>
      </c>
      <c r="FF84" s="120" t="n">
        <f aca="false">(CJ84-CI84+1)/365</f>
        <v>0.810958904109589</v>
      </c>
      <c r="FG84" s="0" t="str">
        <f aca="false">CONCATENATE(F84,"/",G84)</f>
        <v>411/2011</v>
      </c>
      <c r="FH84" s="0" t="n">
        <v>0</v>
      </c>
      <c r="FI84" s="0" t="n">
        <v>0</v>
      </c>
    </row>
    <row r="85" customFormat="false" ht="15" hidden="false" customHeight="false" outlineLevel="0" collapsed="false">
      <c r="A85" s="5" t="str">
        <f aca="false">E85&amp;G85&amp;F85</f>
        <v>72011427</v>
      </c>
      <c r="B85" s="0" t="s">
        <v>203</v>
      </c>
      <c r="C85" s="1" t="n">
        <v>42409</v>
      </c>
      <c r="E85" s="0" t="n">
        <v>7</v>
      </c>
      <c r="F85" s="0" t="n">
        <v>427</v>
      </c>
      <c r="G85" s="0" t="n">
        <v>2011</v>
      </c>
      <c r="H85" s="0" t="str">
        <f aca="false">"J"&amp;E85&amp;"\"&amp;F85&amp;"\"&amp;G85&amp;"\"&amp;W85</f>
        <v>J7\427\2011\1</v>
      </c>
      <c r="I85" s="0"/>
      <c r="J85" s="1" t="n">
        <v>40606</v>
      </c>
      <c r="K85" s="0" t="n">
        <v>0</v>
      </c>
      <c r="M85" s="1" t="n">
        <v>40606</v>
      </c>
      <c r="N85" s="1" t="n">
        <v>40695</v>
      </c>
      <c r="O85" s="1"/>
      <c r="P85" s="1"/>
      <c r="Q85" s="1"/>
      <c r="T85" s="121"/>
      <c r="U85" s="121"/>
      <c r="V85" s="122" t="n">
        <f aca="false">IF(AND(E85&gt;0,F85&gt;0,G85&gt;0),COUNTIFS($E:$E,E85,$F:$F,F85,$G:$G,G85),"")</f>
        <v>1</v>
      </c>
      <c r="W85" s="122" t="n">
        <f aca="false">IF(V85="","",IF(V85=1,1,IF(AND(E84=E85,F84=F85,G84=G85),W84+1,1)))</f>
        <v>1</v>
      </c>
      <c r="X85" s="0" t="n">
        <v>1</v>
      </c>
      <c r="Y85" s="0" t="n">
        <v>4</v>
      </c>
      <c r="Z85" s="0" t="s">
        <v>1148</v>
      </c>
      <c r="AA85" s="0" t="n">
        <v>0</v>
      </c>
      <c r="AB85" s="0" t="s">
        <v>348</v>
      </c>
      <c r="AC85" s="0" t="s">
        <v>216</v>
      </c>
      <c r="AD85" s="0" t="s">
        <v>216</v>
      </c>
      <c r="AE85" s="0" t="n">
        <v>0</v>
      </c>
      <c r="AF85" s="0" t="s">
        <v>1149</v>
      </c>
      <c r="AG85" s="0" t="n">
        <v>0</v>
      </c>
      <c r="AH85" s="0" t="s">
        <v>1150</v>
      </c>
      <c r="AI85" s="0" t="s">
        <v>1151</v>
      </c>
      <c r="AJ85" s="0" t="s">
        <v>590</v>
      </c>
      <c r="AL85" s="0" t="s">
        <v>1152</v>
      </c>
      <c r="AM85" s="0" t="n">
        <v>1</v>
      </c>
      <c r="AN85" s="0" t="s">
        <v>1150</v>
      </c>
      <c r="AO85" s="0" t="s">
        <v>1151</v>
      </c>
      <c r="AP85" s="0" t="s">
        <v>590</v>
      </c>
      <c r="AR85" s="0" t="s">
        <v>1153</v>
      </c>
      <c r="AS85" s="0" t="n">
        <v>1</v>
      </c>
      <c r="AT85" s="0" t="s">
        <v>1150</v>
      </c>
      <c r="AU85" s="0" t="s">
        <v>1151</v>
      </c>
      <c r="AV85" s="0" t="s">
        <v>590</v>
      </c>
      <c r="AX85" s="0" t="s">
        <v>213</v>
      </c>
      <c r="AY85" s="0" t="n">
        <v>1</v>
      </c>
      <c r="AZ85" s="0" t="s">
        <v>1150</v>
      </c>
      <c r="BA85" s="0" t="s">
        <v>1151</v>
      </c>
      <c r="BB85" s="0" t="s">
        <v>590</v>
      </c>
      <c r="BP85" s="0" t="n">
        <v>0</v>
      </c>
      <c r="BQ85" s="0" t="n">
        <v>0</v>
      </c>
      <c r="BR85" s="0" t="n">
        <v>3</v>
      </c>
      <c r="BS85" s="0" t="s">
        <v>1154</v>
      </c>
      <c r="BT85" s="0" t="s">
        <v>500</v>
      </c>
      <c r="BU85" s="0" t="s">
        <v>501</v>
      </c>
      <c r="BV85" s="123"/>
      <c r="BW85" s="123"/>
      <c r="BX85" s="123"/>
      <c r="BY85" s="123"/>
      <c r="BZ85" s="0" t="n">
        <v>0</v>
      </c>
      <c r="CA85" s="0" t="s">
        <v>348</v>
      </c>
      <c r="CD85" s="0" t="s">
        <v>1155</v>
      </c>
      <c r="CE85" s="0" t="n">
        <v>0</v>
      </c>
      <c r="CF85" s="0" t="s">
        <v>1011</v>
      </c>
      <c r="CG85" s="0" t="s">
        <v>1012</v>
      </c>
      <c r="CH85" s="0" t="n">
        <v>1</v>
      </c>
      <c r="CI85" s="1" t="n">
        <v>39626</v>
      </c>
      <c r="CJ85" s="1" t="n">
        <v>40564</v>
      </c>
      <c r="CK85" s="124" t="n">
        <v>0.416666666666667</v>
      </c>
      <c r="CL85" s="0" t="s">
        <v>1156</v>
      </c>
      <c r="CM85" s="0" t="n">
        <f aca="false">IF(OR(CI85="",CJ85=""),"",DAYS360(CI85,CJ85)/360)</f>
        <v>2.56666666666667</v>
      </c>
      <c r="CN85" s="0" t="n">
        <f aca="false">IF(OR(CI85="",CJ85=""),"",DAYS360(CI85,CJ85)/30)</f>
        <v>30.8</v>
      </c>
      <c r="CO85" s="0" t="n">
        <f aca="false">IF(OR(CI85="",CJ85=""),"",DAYS360(CI85,CJ85)/7)</f>
        <v>132</v>
      </c>
      <c r="CP85" s="0" t="n">
        <f aca="false">IF(OR(CI85="",CJ85=""),"",DAYS360(CI85,CJ85))</f>
        <v>924</v>
      </c>
      <c r="CQ85" s="0" t="s">
        <v>240</v>
      </c>
      <c r="CR85" s="0" t="n">
        <v>1</v>
      </c>
      <c r="CT85" s="0" t="n">
        <v>714.28</v>
      </c>
      <c r="CU85" s="0" t="n">
        <v>0</v>
      </c>
      <c r="CV85" s="0" t="n">
        <f aca="false">IF(OR(CT85="",CT85="NO ESPECIFICA",CT85="NO MENCIONA"),"",IF(CU85=0,CT85,IF(CU85=1,CT85/30,IF(CU85=2,CT85/15,IF(CU85=3,CT85/7,"")))))</f>
        <v>714.28</v>
      </c>
      <c r="CW85" s="125" t="n">
        <v>718.18</v>
      </c>
      <c r="CX85" s="0" t="n">
        <v>0</v>
      </c>
      <c r="CY85" s="0" t="n">
        <f aca="false">IF(CW85="","",IF(CX85=0,CW85,IF(CX85=1,CW85/30,IF(CX85=2,CW85/15,IF(CX85=3,CW85/7,CW85)))))</f>
        <v>718.18</v>
      </c>
      <c r="CZ85" s="0" t="n">
        <f aca="false">IF(DI85&gt;0,DI85,IF(CY85&gt;0,CY85,IF(CV85&gt;0,CV85,"")))</f>
        <v>718.18</v>
      </c>
      <c r="DA85" s="0" t="n">
        <f aca="false">IF(DM85=1,CZ85/8,IF(OR(DM85=2,DM85=4),CZ85/7,IF(DM85=3,CZ85/7.5,"")))</f>
        <v>89.7725</v>
      </c>
      <c r="DB85" s="0" t="s">
        <v>303</v>
      </c>
      <c r="DC85" s="0" t="s">
        <v>301</v>
      </c>
      <c r="DD85" s="0" t="s">
        <v>216</v>
      </c>
      <c r="DE85" s="0" t="s">
        <v>216</v>
      </c>
      <c r="DF85" s="0" t="s">
        <v>216</v>
      </c>
      <c r="DG85" s="0" t="s">
        <v>216</v>
      </c>
      <c r="DH85" s="0" t="n">
        <v>0</v>
      </c>
      <c r="DI85" s="126" t="n">
        <v>718.18</v>
      </c>
      <c r="DK85" s="0" t="n">
        <v>0</v>
      </c>
      <c r="DM85" s="0" t="n">
        <v>1</v>
      </c>
      <c r="DN85" s="0" t="n">
        <v>56</v>
      </c>
      <c r="DO85" s="0" t="n">
        <v>3</v>
      </c>
      <c r="DP85" s="0" t="n">
        <v>0</v>
      </c>
      <c r="DQ85" s="0" t="n">
        <v>1</v>
      </c>
      <c r="DR85" s="0"/>
      <c r="DS85" s="0" t="n">
        <v>1</v>
      </c>
      <c r="DU85" s="0" t="n">
        <v>1</v>
      </c>
      <c r="DW85" s="1" t="n">
        <v>39626</v>
      </c>
      <c r="DX85" s="1" t="n">
        <v>40564</v>
      </c>
      <c r="DZ85" s="0"/>
      <c r="EA85" s="0" t="n">
        <v>1</v>
      </c>
      <c r="EC85" s="1" t="n">
        <v>39626</v>
      </c>
      <c r="ED85" s="1" t="n">
        <v>40564</v>
      </c>
      <c r="EF85" s="0"/>
      <c r="EG85" s="0" t="n">
        <v>0</v>
      </c>
      <c r="EI85" s="0" t="n">
        <f aca="false">IF(AND(DM85=1,DN85&lt;=48),"",IF(AND(DM85=2,DN85&lt;=42),"",IF(AND(DM85=3,DN85&lt;=45),"",EH85)))</f>
        <v>0</v>
      </c>
      <c r="EJ85" s="0" t="str">
        <f aca="false">IF(EI85="","",IF(EI85&lt;9,EI85,9))</f>
        <v/>
      </c>
      <c r="EK85" s="0" t="str">
        <f aca="false">IF(EI85="","",IF(EI85&gt;9,EI85-EJ85,0))</f>
        <v/>
      </c>
      <c r="EL85" s="0" t="str">
        <f aca="false">IF(EI85="","",EJ85*DA85*2+EK85*DA85*3)</f>
        <v/>
      </c>
      <c r="EP85" s="0" t="n">
        <v>0</v>
      </c>
      <c r="EQ85" s="0"/>
      <c r="ER85" s="0" t="n">
        <v>0</v>
      </c>
      <c r="ET85" s="0" t="n">
        <v>0</v>
      </c>
      <c r="EV85" s="0" t="n">
        <v>0</v>
      </c>
      <c r="EX85" s="0" t="n">
        <v>0</v>
      </c>
      <c r="EY85" s="0" t="n">
        <v>0</v>
      </c>
      <c r="EZ85" s="0"/>
      <c r="FA85" s="4" t="n">
        <v>28009.02</v>
      </c>
      <c r="FB85" s="0" t="n">
        <v>1</v>
      </c>
      <c r="FF85" s="120" t="n">
        <f aca="false">(CJ85-CI85+1)/365</f>
        <v>2.57260273972603</v>
      </c>
      <c r="FG85" s="0" t="str">
        <f aca="false">CONCATENATE(F85,"/",G85)</f>
        <v>427/2011</v>
      </c>
      <c r="FH85" s="0" t="n">
        <v>0</v>
      </c>
      <c r="FI85" s="0" t="n">
        <v>0</v>
      </c>
    </row>
    <row r="86" customFormat="false" ht="15" hidden="false" customHeight="false" outlineLevel="0" collapsed="false">
      <c r="A86" s="5" t="str">
        <f aca="false">E86&amp;G86&amp;F86</f>
        <v>72011428</v>
      </c>
      <c r="B86" s="0" t="s">
        <v>203</v>
      </c>
      <c r="C86" s="1" t="n">
        <v>42409</v>
      </c>
      <c r="E86" s="0" t="n">
        <v>7</v>
      </c>
      <c r="F86" s="0" t="n">
        <v>428</v>
      </c>
      <c r="G86" s="0" t="n">
        <v>2011</v>
      </c>
      <c r="H86" s="0" t="str">
        <f aca="false">"J"&amp;E86&amp;"\"&amp;F86&amp;"\"&amp;G86&amp;"\"&amp;W86</f>
        <v>J7\428\2011\1</v>
      </c>
      <c r="I86" s="0"/>
      <c r="J86" s="1" t="n">
        <v>40606</v>
      </c>
      <c r="K86" s="0" t="n">
        <v>1</v>
      </c>
      <c r="L86" s="0" t="s">
        <v>1157</v>
      </c>
      <c r="M86" s="1" t="n">
        <v>40606</v>
      </c>
      <c r="N86" s="1" t="n">
        <v>40695</v>
      </c>
      <c r="O86" s="1"/>
      <c r="P86" s="1"/>
      <c r="Q86" s="1"/>
      <c r="T86" s="121"/>
      <c r="U86" s="121"/>
      <c r="V86" s="122" t="n">
        <f aca="false">IF(AND(E86&gt;0,F86&gt;0,G86&gt;0),COUNTIFS($E:$E,E86,$F:$F,F86,$G:$G,G86),"")</f>
        <v>1</v>
      </c>
      <c r="W86" s="122" t="n">
        <f aca="false">IF(V86="","",IF(V86=1,1,IF(AND(E85=E86,F85=F86,G85=G86),W85+1,1)))</f>
        <v>1</v>
      </c>
      <c r="X86" s="0" t="n">
        <v>1</v>
      </c>
      <c r="Y86" s="0" t="n">
        <v>4</v>
      </c>
      <c r="Z86" s="0" t="s">
        <v>1158</v>
      </c>
      <c r="AA86" s="0" t="n">
        <v>0</v>
      </c>
      <c r="AB86" s="0" t="s">
        <v>1159</v>
      </c>
      <c r="AC86" s="0" t="s">
        <v>1160</v>
      </c>
      <c r="AD86" s="0" t="s">
        <v>221</v>
      </c>
      <c r="AE86" s="0" t="n">
        <v>0</v>
      </c>
      <c r="AF86" s="0" t="s">
        <v>1161</v>
      </c>
      <c r="AG86" s="0" t="n">
        <v>0</v>
      </c>
      <c r="AH86" s="0" t="s">
        <v>1162</v>
      </c>
      <c r="AI86" s="0" t="s">
        <v>1163</v>
      </c>
      <c r="AJ86" s="0" t="s">
        <v>229</v>
      </c>
      <c r="AL86" s="0" t="s">
        <v>1164</v>
      </c>
      <c r="AM86" s="0" t="n">
        <v>0</v>
      </c>
      <c r="AN86" s="0" t="s">
        <v>1162</v>
      </c>
      <c r="AO86" s="0" t="s">
        <v>1163</v>
      </c>
      <c r="AP86" s="0" t="s">
        <v>229</v>
      </c>
      <c r="AR86" s="0" t="s">
        <v>1165</v>
      </c>
      <c r="AS86" s="0" t="n">
        <v>1</v>
      </c>
      <c r="AT86" s="0" t="s">
        <v>1162</v>
      </c>
      <c r="AU86" s="0" t="s">
        <v>1163</v>
      </c>
      <c r="AV86" s="0" t="s">
        <v>229</v>
      </c>
      <c r="AX86" s="0" t="s">
        <v>1166</v>
      </c>
      <c r="AY86" s="0" t="n">
        <v>1</v>
      </c>
      <c r="AZ86" s="0" t="s">
        <v>1162</v>
      </c>
      <c r="BA86" s="0" t="s">
        <v>1163</v>
      </c>
      <c r="BB86" s="0" t="s">
        <v>229</v>
      </c>
      <c r="BP86" s="0" t="n">
        <v>0</v>
      </c>
      <c r="BQ86" s="0" t="n">
        <v>0</v>
      </c>
      <c r="BR86" s="0" t="n">
        <v>1</v>
      </c>
      <c r="BS86" s="0" t="s">
        <v>1167</v>
      </c>
      <c r="BT86" s="0" t="s">
        <v>1168</v>
      </c>
      <c r="BU86" s="0" t="s">
        <v>1169</v>
      </c>
      <c r="BV86" s="123"/>
      <c r="BW86" s="123"/>
      <c r="BX86" s="123"/>
      <c r="BY86" s="123"/>
      <c r="BZ86" s="0" t="n">
        <v>0</v>
      </c>
      <c r="CA86" s="0" t="s">
        <v>216</v>
      </c>
      <c r="CD86" s="0" t="s">
        <v>296</v>
      </c>
      <c r="CE86" s="0" t="n">
        <v>0</v>
      </c>
      <c r="CF86" s="0" t="s">
        <v>216</v>
      </c>
      <c r="CG86" s="0" t="s">
        <v>218</v>
      </c>
      <c r="CI86" s="1" t="n">
        <v>34701</v>
      </c>
      <c r="CJ86" s="1" t="n">
        <v>40555</v>
      </c>
      <c r="CK86" s="124" t="n">
        <v>0.479166666666667</v>
      </c>
      <c r="CL86" s="0" t="s">
        <v>1170</v>
      </c>
      <c r="CM86" s="0" t="n">
        <f aca="false">IF(OR(CI86="",CJ86=""),"",DAYS360(CI86,CJ86)/360)</f>
        <v>16.0277777777778</v>
      </c>
      <c r="CN86" s="0" t="n">
        <f aca="false">IF(OR(CI86="",CJ86=""),"",DAYS360(CI86,CJ86)/30)</f>
        <v>192.333333333333</v>
      </c>
      <c r="CO86" s="0" t="n">
        <f aca="false">IF(OR(CI86="",CJ86=""),"",DAYS360(CI86,CJ86)/7)</f>
        <v>824.285714285714</v>
      </c>
      <c r="CP86" s="0" t="n">
        <f aca="false">IF(OR(CI86="",CJ86=""),"",DAYS360(CI86,CJ86))</f>
        <v>5770</v>
      </c>
      <c r="CQ86" s="0" t="s">
        <v>220</v>
      </c>
      <c r="CR86" s="0" t="n">
        <v>1</v>
      </c>
      <c r="CT86" s="0" t="s">
        <v>221</v>
      </c>
      <c r="CU86" s="0" t="s">
        <v>221</v>
      </c>
      <c r="CV86" s="0" t="str">
        <f aca="false">IF(OR(CT86="",CT86="NO ESPECIFICA",CT86="NO MENCIONA"),"",IF(CU86=0,CT86,IF(CU86=1,CT86/30,IF(CU86=2,CT86/15,IF(CU86=3,CT86/7,"")))))</f>
        <v/>
      </c>
      <c r="CW86" s="125" t="n">
        <v>2486.67</v>
      </c>
      <c r="CX86" s="0" t="n">
        <v>0</v>
      </c>
      <c r="CY86" s="0" t="n">
        <f aca="false">IF(CW86="","",IF(CX86=0,CW86,IF(CX86=1,CW86/30,IF(CX86=2,CW86/15,IF(CX86=3,CW86/7,CW86)))))</f>
        <v>2486.67</v>
      </c>
      <c r="CZ86" s="0" t="n">
        <f aca="false">IF(DI86&gt;0,DI86,IF(CY86&gt;0,CY86,IF(CV86&gt;0,CV86,"")))</f>
        <v>2486.67</v>
      </c>
      <c r="DA86" s="0" t="n">
        <f aca="false">IF(DM86=1,CZ86/8,IF(OR(DM86=2,DM86=4),CZ86/7,IF(DM86=3,CZ86/7.5,"")))</f>
        <v>310.83375</v>
      </c>
      <c r="DB86" s="0" t="s">
        <v>216</v>
      </c>
      <c r="DC86" s="0" t="s">
        <v>216</v>
      </c>
      <c r="DD86" s="0" t="s">
        <v>216</v>
      </c>
      <c r="DE86" s="0" t="s">
        <v>216</v>
      </c>
      <c r="DF86" s="0" t="s">
        <v>216</v>
      </c>
      <c r="DG86" s="0" t="s">
        <v>216</v>
      </c>
      <c r="DH86" s="0" t="n">
        <v>0</v>
      </c>
      <c r="DI86" s="126" t="n">
        <v>2486.67</v>
      </c>
      <c r="DK86" s="0" t="n">
        <v>0</v>
      </c>
      <c r="DM86" s="0" t="n">
        <v>1</v>
      </c>
      <c r="DN86" s="0" t="n">
        <v>62</v>
      </c>
      <c r="DO86" s="0" t="n">
        <v>3</v>
      </c>
      <c r="DP86" s="0" t="n">
        <v>1</v>
      </c>
      <c r="DQ86" s="0" t="n">
        <v>1</v>
      </c>
      <c r="DR86" s="0"/>
      <c r="DS86" s="0" t="n">
        <v>1</v>
      </c>
      <c r="DU86" s="0" t="n">
        <v>1</v>
      </c>
      <c r="DW86" s="1" t="n">
        <v>34701</v>
      </c>
      <c r="DX86" s="1" t="n">
        <v>40555</v>
      </c>
      <c r="DZ86" s="0"/>
      <c r="EA86" s="0" t="n">
        <v>1</v>
      </c>
      <c r="EC86" s="1" t="n">
        <v>34701</v>
      </c>
      <c r="ED86" s="1" t="n">
        <v>40555</v>
      </c>
      <c r="EF86" s="0"/>
      <c r="EG86" s="0" t="n">
        <v>1</v>
      </c>
      <c r="EH86" s="0" t="n">
        <v>14</v>
      </c>
      <c r="EI86" s="0" t="n">
        <f aca="false">IF(AND(DM86=1,DN86&lt;=48),"",IF(AND(DM86=2,DN86&lt;=42),"",IF(AND(DM86=3,DN86&lt;=45),"",EH86)))</f>
        <v>14</v>
      </c>
      <c r="EJ86" s="0" t="n">
        <f aca="false">IF(EI86="","",IF(EI86&lt;9,EI86,9))</f>
        <v>9</v>
      </c>
      <c r="EK86" s="0" t="n">
        <f aca="false">IF(EI86="","",IF(EI86&gt;9,EI86-EJ86,0))</f>
        <v>5</v>
      </c>
      <c r="EL86" s="0" t="n">
        <f aca="false">IF(EI86="","",EJ86*DA86*2+EK86*DA86*3)</f>
        <v>10257.51375</v>
      </c>
      <c r="EP86" s="0" t="n">
        <v>1</v>
      </c>
      <c r="EQ86" s="0"/>
      <c r="ER86" s="0" t="n">
        <v>0</v>
      </c>
      <c r="ET86" s="0" t="n">
        <v>0</v>
      </c>
      <c r="EV86" s="0" t="n">
        <v>0</v>
      </c>
      <c r="EX86" s="0" t="n">
        <v>0</v>
      </c>
      <c r="EY86" s="0" t="n">
        <v>0</v>
      </c>
      <c r="EZ86" s="0"/>
      <c r="FA86" s="0"/>
      <c r="FB86" s="0" t="n">
        <v>0</v>
      </c>
      <c r="FF86" s="120" t="n">
        <f aca="false">(CJ86-CI86+1)/365</f>
        <v>16.041095890411</v>
      </c>
      <c r="FG86" s="0" t="str">
        <f aca="false">CONCATENATE(F86,"/",G86)</f>
        <v>428/2011</v>
      </c>
      <c r="FH86" s="0" t="n">
        <v>0</v>
      </c>
      <c r="FI86" s="0" t="n">
        <v>0</v>
      </c>
    </row>
    <row r="87" customFormat="false" ht="15" hidden="false" customHeight="false" outlineLevel="0" collapsed="false">
      <c r="A87" s="5" t="str">
        <f aca="false">E87&amp;G87&amp;F87</f>
        <v>72011429</v>
      </c>
      <c r="B87" s="0" t="s">
        <v>203</v>
      </c>
      <c r="C87" s="1" t="n">
        <v>42409</v>
      </c>
      <c r="E87" s="0" t="n">
        <v>7</v>
      </c>
      <c r="F87" s="0" t="n">
        <v>429</v>
      </c>
      <c r="G87" s="0" t="n">
        <v>2011</v>
      </c>
      <c r="H87" s="0" t="str">
        <f aca="false">"J"&amp;E87&amp;"\"&amp;F87&amp;"\"&amp;G87&amp;"\"&amp;W87</f>
        <v>J7\429\2011\1</v>
      </c>
      <c r="I87" s="0"/>
      <c r="J87" s="1" t="n">
        <v>40606</v>
      </c>
      <c r="K87" s="0" t="n">
        <v>0</v>
      </c>
      <c r="M87" s="1"/>
      <c r="N87" s="1"/>
      <c r="O87" s="1"/>
      <c r="P87" s="1"/>
      <c r="Q87" s="1"/>
      <c r="T87" s="121"/>
      <c r="U87" s="121"/>
      <c r="V87" s="122" t="n">
        <f aca="false">IF(AND(E87&gt;0,F87&gt;0,G87&gt;0),COUNTIFS($E:$E,E87,$F:$F,F87,$G:$G,G87),"")</f>
        <v>1</v>
      </c>
      <c r="W87" s="122" t="n">
        <f aca="false">IF(V87="","",IF(V87=1,1,IF(AND(E86=E87,F86=F87,G86=G87),W86+1,1)))</f>
        <v>1</v>
      </c>
      <c r="X87" s="0" t="n">
        <v>1</v>
      </c>
      <c r="Y87" s="0" t="n">
        <v>4</v>
      </c>
      <c r="Z87" s="0" t="s">
        <v>1171</v>
      </c>
      <c r="AA87" s="0" t="n">
        <v>0</v>
      </c>
      <c r="AB87" s="0" t="s">
        <v>1172</v>
      </c>
      <c r="AC87" s="0" t="s">
        <v>244</v>
      </c>
      <c r="AD87" s="0" t="s">
        <v>229</v>
      </c>
      <c r="AE87" s="0" t="n">
        <v>0</v>
      </c>
      <c r="AF87" s="0" t="s">
        <v>1173</v>
      </c>
      <c r="AG87" s="0" t="n">
        <v>0</v>
      </c>
      <c r="AH87" s="0" t="s">
        <v>1174</v>
      </c>
      <c r="AI87" s="0" t="s">
        <v>1175</v>
      </c>
      <c r="AJ87" s="0" t="s">
        <v>411</v>
      </c>
      <c r="AL87" s="0" t="s">
        <v>1176</v>
      </c>
      <c r="AM87" s="0" t="n">
        <v>0</v>
      </c>
      <c r="AN87" s="0" t="s">
        <v>1177</v>
      </c>
      <c r="AO87" s="0" t="s">
        <v>1178</v>
      </c>
      <c r="AP87" s="0" t="s">
        <v>207</v>
      </c>
      <c r="AR87" s="0" t="s">
        <v>1179</v>
      </c>
      <c r="AS87" s="0" t="n">
        <v>1</v>
      </c>
      <c r="AT87" s="0" t="s">
        <v>1174</v>
      </c>
      <c r="AU87" s="0" t="s">
        <v>1175</v>
      </c>
      <c r="AV87" s="0" t="s">
        <v>411</v>
      </c>
      <c r="AX87" s="0" t="s">
        <v>213</v>
      </c>
      <c r="AY87" s="0" t="n">
        <v>1</v>
      </c>
      <c r="AZ87" s="0" t="s">
        <v>1174</v>
      </c>
      <c r="BA87" s="0" t="s">
        <v>1175</v>
      </c>
      <c r="BB87" s="0" t="s">
        <v>411</v>
      </c>
      <c r="BP87" s="0" t="n">
        <v>0</v>
      </c>
      <c r="BQ87" s="0" t="n">
        <v>0</v>
      </c>
      <c r="BR87" s="0" t="n">
        <v>1</v>
      </c>
      <c r="BS87" s="0" t="s">
        <v>1180</v>
      </c>
      <c r="BT87" s="0" t="s">
        <v>538</v>
      </c>
      <c r="BU87" s="0" t="s">
        <v>1181</v>
      </c>
      <c r="BV87" s="123"/>
      <c r="BW87" s="123"/>
      <c r="BX87" s="123"/>
      <c r="BY87" s="123"/>
      <c r="BZ87" s="0" t="n">
        <v>0</v>
      </c>
      <c r="CA87" s="0" t="s">
        <v>541</v>
      </c>
      <c r="CD87" s="0" t="s">
        <v>370</v>
      </c>
      <c r="CE87" s="0" t="n">
        <v>0</v>
      </c>
      <c r="CF87" s="0" t="s">
        <v>611</v>
      </c>
      <c r="CG87" s="0" t="s">
        <v>218</v>
      </c>
      <c r="CI87" s="1" t="n">
        <v>36773</v>
      </c>
      <c r="CJ87" s="1" t="n">
        <v>40561</v>
      </c>
      <c r="CK87" s="124" t="n">
        <v>0.375</v>
      </c>
      <c r="CL87" s="0" t="s">
        <v>1179</v>
      </c>
      <c r="CM87" s="0" t="n">
        <f aca="false">IF(OR(CI87="",CJ87=""),"",DAYS360(CI87,CJ87)/360)</f>
        <v>10.3722222222222</v>
      </c>
      <c r="CN87" s="0" t="n">
        <f aca="false">IF(OR(CI87="",CJ87=""),"",DAYS360(CI87,CJ87)/30)</f>
        <v>124.466666666667</v>
      </c>
      <c r="CO87" s="0" t="n">
        <f aca="false">IF(OR(CI87="",CJ87=""),"",DAYS360(CI87,CJ87)/7)</f>
        <v>533.428571428571</v>
      </c>
      <c r="CP87" s="0" t="n">
        <f aca="false">IF(OR(CI87="",CJ87=""),"",DAYS360(CI87,CJ87))</f>
        <v>3734</v>
      </c>
      <c r="CQ87" s="0" t="s">
        <v>220</v>
      </c>
      <c r="CR87" s="0" t="n">
        <v>1</v>
      </c>
      <c r="CT87" s="0" t="n">
        <v>193.33</v>
      </c>
      <c r="CU87" s="0" t="n">
        <v>0</v>
      </c>
      <c r="CV87" s="0" t="n">
        <f aca="false">IF(OR(CT87="",CT87="NO ESPECIFICA",CT87="NO MENCIONA"),"",IF(CU87=0,CT87,IF(CU87=1,CT87/30,IF(CU87=2,CT87/15,IF(CU87=3,CT87/7,"")))))</f>
        <v>193.33</v>
      </c>
      <c r="CW87" s="125" t="n">
        <v>210.53</v>
      </c>
      <c r="CX87" s="0" t="n">
        <v>0</v>
      </c>
      <c r="CY87" s="0" t="n">
        <f aca="false">IF(CW87="","",IF(CX87=0,CW87,IF(CX87=1,CW87/30,IF(CX87=2,CW87/15,IF(CX87=3,CW87/7,CW87)))))</f>
        <v>210.53</v>
      </c>
      <c r="CZ87" s="0" t="n">
        <f aca="false">IF(DI87&gt;0,DI87,IF(CY87&gt;0,CY87,IF(CV87&gt;0,CV87,"")))</f>
        <v>210.53</v>
      </c>
      <c r="DA87" s="0" t="n">
        <f aca="false">IF(DM87=1,CZ87/8,IF(OR(DM87=2,DM87=4),CZ87/7,IF(DM87=3,CZ87/7.5,"")))</f>
        <v>26.31625</v>
      </c>
      <c r="DB87" s="0" t="s">
        <v>302</v>
      </c>
      <c r="DC87" s="0" t="s">
        <v>303</v>
      </c>
      <c r="DD87" s="0" t="s">
        <v>301</v>
      </c>
      <c r="DE87" s="0" t="s">
        <v>216</v>
      </c>
      <c r="DF87" s="0" t="s">
        <v>216</v>
      </c>
      <c r="DG87" s="0" t="s">
        <v>216</v>
      </c>
      <c r="DH87" s="0" t="n">
        <v>0</v>
      </c>
      <c r="DI87" s="126" t="n">
        <v>210.53</v>
      </c>
      <c r="DK87" s="0" t="n">
        <v>0</v>
      </c>
      <c r="DM87" s="0" t="n">
        <v>1</v>
      </c>
      <c r="DN87" s="0" t="n">
        <v>60</v>
      </c>
      <c r="DO87" s="0" t="n">
        <v>3</v>
      </c>
      <c r="DP87" s="0" t="n">
        <v>1</v>
      </c>
      <c r="DQ87" s="0" t="n">
        <v>1</v>
      </c>
      <c r="DR87" s="0"/>
      <c r="DS87" s="0" t="n">
        <v>1</v>
      </c>
      <c r="DU87" s="0" t="n">
        <v>1</v>
      </c>
      <c r="DW87" s="1" t="n">
        <v>36773</v>
      </c>
      <c r="DX87" s="1" t="n">
        <v>40561</v>
      </c>
      <c r="DZ87" s="0"/>
      <c r="EA87" s="0" t="n">
        <v>1</v>
      </c>
      <c r="EC87" s="1" t="n">
        <v>36773</v>
      </c>
      <c r="ED87" s="1" t="n">
        <v>40561</v>
      </c>
      <c r="EF87" s="0"/>
      <c r="EG87" s="0" t="n">
        <v>1</v>
      </c>
      <c r="EH87" s="0" t="n">
        <v>16</v>
      </c>
      <c r="EI87" s="0" t="n">
        <f aca="false">IF(AND(DM87=1,DN87&lt;=48),"",IF(AND(DM87=2,DN87&lt;=42),"",IF(AND(DM87=3,DN87&lt;=45),"",EH87)))</f>
        <v>16</v>
      </c>
      <c r="EJ87" s="0" t="n">
        <f aca="false">IF(EI87="","",IF(EI87&lt;9,EI87,9))</f>
        <v>9</v>
      </c>
      <c r="EK87" s="0" t="n">
        <f aca="false">IF(EI87="","",IF(EI87&gt;9,EI87-EJ87,0))</f>
        <v>7</v>
      </c>
      <c r="EL87" s="0" t="n">
        <f aca="false">IF(EI87="","",EJ87*DA87*2+EK87*DA87*3)</f>
        <v>1026.33375</v>
      </c>
      <c r="EP87" s="0" t="n">
        <v>1</v>
      </c>
      <c r="EQ87" s="0"/>
      <c r="ER87" s="0" t="n">
        <v>0</v>
      </c>
      <c r="ET87" s="0" t="n">
        <v>0</v>
      </c>
      <c r="EV87" s="0" t="n">
        <v>1</v>
      </c>
      <c r="EX87" s="0" t="n">
        <v>1</v>
      </c>
      <c r="EY87" s="0" t="n">
        <v>0</v>
      </c>
      <c r="EZ87" s="0"/>
      <c r="FA87" s="0"/>
      <c r="FB87" s="0" t="n">
        <v>1</v>
      </c>
      <c r="FF87" s="120" t="n">
        <f aca="false">(CJ87-CI87+1)/365</f>
        <v>10.3808219178082</v>
      </c>
      <c r="FG87" s="0" t="str">
        <f aca="false">CONCATENATE(F87,"/",G87)</f>
        <v>429/2011</v>
      </c>
      <c r="FH87" s="0" t="n">
        <v>0</v>
      </c>
      <c r="FI87" s="0" t="n">
        <v>0</v>
      </c>
    </row>
    <row r="88" customFormat="false" ht="15" hidden="false" customHeight="false" outlineLevel="0" collapsed="false">
      <c r="A88" s="5" t="str">
        <f aca="false">E88&amp;G88&amp;F88</f>
        <v>72011442</v>
      </c>
      <c r="B88" s="0" t="s">
        <v>203</v>
      </c>
      <c r="C88" s="1" t="n">
        <v>42410</v>
      </c>
      <c r="E88" s="0" t="n">
        <v>7</v>
      </c>
      <c r="F88" s="0" t="n">
        <v>442</v>
      </c>
      <c r="G88" s="0" t="n">
        <v>2011</v>
      </c>
      <c r="H88" s="0" t="str">
        <f aca="false">"J"&amp;E88&amp;"\"&amp;F88&amp;"\"&amp;G88&amp;"\"&amp;W88</f>
        <v>J7\442\2011\1</v>
      </c>
      <c r="I88" s="0"/>
      <c r="J88" s="1" t="n">
        <v>40606</v>
      </c>
      <c r="K88" s="0" t="n">
        <v>0</v>
      </c>
      <c r="M88" s="1" t="n">
        <v>40606</v>
      </c>
      <c r="N88" s="1" t="n">
        <v>40700</v>
      </c>
      <c r="O88" s="1"/>
      <c r="P88" s="1"/>
      <c r="Q88" s="1"/>
      <c r="T88" s="121"/>
      <c r="U88" s="121"/>
      <c r="V88" s="122" t="n">
        <f aca="false">IF(AND(E88&gt;0,F88&gt;0,G88&gt;0),COUNTIFS($E:$E,E88,$F:$F,F88,$G:$G,G88),"")</f>
        <v>1</v>
      </c>
      <c r="W88" s="122" t="n">
        <f aca="false">IF(V88="","",IF(V88=1,1,IF(AND(E87=E88,F87=F88,G87=G88),W87+1,1)))</f>
        <v>1</v>
      </c>
      <c r="X88" s="0" t="n">
        <v>1</v>
      </c>
      <c r="Y88" s="0" t="n">
        <v>3</v>
      </c>
      <c r="Z88" s="0" t="s">
        <v>1182</v>
      </c>
      <c r="AA88" s="0" t="n">
        <v>0</v>
      </c>
      <c r="AB88" s="0" t="s">
        <v>1183</v>
      </c>
      <c r="AC88" s="0" t="s">
        <v>1184</v>
      </c>
      <c r="AD88" s="0" t="s">
        <v>207</v>
      </c>
      <c r="AE88" s="0" t="n">
        <v>0</v>
      </c>
      <c r="AF88" s="0" t="s">
        <v>1185</v>
      </c>
      <c r="AG88" s="0" t="n">
        <v>0</v>
      </c>
      <c r="AH88" s="0" t="s">
        <v>1186</v>
      </c>
      <c r="AI88" s="0" t="s">
        <v>1187</v>
      </c>
      <c r="AJ88" s="0" t="s">
        <v>519</v>
      </c>
      <c r="AL88" s="0" t="s">
        <v>1188</v>
      </c>
      <c r="AM88" s="0" t="n">
        <v>0</v>
      </c>
      <c r="AN88" s="0" t="s">
        <v>1186</v>
      </c>
      <c r="AO88" s="0" t="s">
        <v>1187</v>
      </c>
      <c r="AP88" s="0" t="s">
        <v>519</v>
      </c>
      <c r="AR88" s="0" t="s">
        <v>213</v>
      </c>
      <c r="AS88" s="0" t="n">
        <v>1</v>
      </c>
      <c r="AT88" s="0" t="s">
        <v>1186</v>
      </c>
      <c r="AU88" s="0" t="s">
        <v>1187</v>
      </c>
      <c r="AV88" s="0" t="s">
        <v>519</v>
      </c>
      <c r="BP88" s="0" t="n">
        <v>0</v>
      </c>
      <c r="BQ88" s="0" t="n">
        <v>0</v>
      </c>
      <c r="BR88" s="0" t="n">
        <v>1</v>
      </c>
      <c r="BS88" s="0" t="s">
        <v>1189</v>
      </c>
      <c r="BT88" s="0" t="s">
        <v>1190</v>
      </c>
      <c r="BU88" s="0" t="s">
        <v>1191</v>
      </c>
      <c r="BV88" s="123"/>
      <c r="BW88" s="123"/>
      <c r="BX88" s="123"/>
      <c r="BY88" s="123"/>
      <c r="BZ88" s="0" t="n">
        <v>0</v>
      </c>
      <c r="CA88" s="0" t="s">
        <v>216</v>
      </c>
      <c r="CD88" s="0" t="s">
        <v>1001</v>
      </c>
      <c r="CE88" s="0" t="n">
        <v>0</v>
      </c>
      <c r="CF88" s="0" t="s">
        <v>1192</v>
      </c>
      <c r="CG88" s="0" t="s">
        <v>218</v>
      </c>
      <c r="CI88" s="1" t="n">
        <v>37118</v>
      </c>
      <c r="CJ88" s="1" t="n">
        <v>40548</v>
      </c>
      <c r="CK88" s="124" t="n">
        <v>0.625</v>
      </c>
      <c r="CL88" s="0" t="s">
        <v>1193</v>
      </c>
      <c r="CM88" s="0" t="n">
        <f aca="false">IF(OR(CI88="",CJ88=""),"",DAYS360(CI88,CJ88)/360)</f>
        <v>9.38888888888889</v>
      </c>
      <c r="CN88" s="0" t="n">
        <f aca="false">IF(OR(CI88="",CJ88=""),"",DAYS360(CI88,CJ88)/30)</f>
        <v>112.666666666667</v>
      </c>
      <c r="CO88" s="0" t="n">
        <f aca="false">IF(OR(CI88="",CJ88=""),"",DAYS360(CI88,CJ88)/7)</f>
        <v>482.857142857143</v>
      </c>
      <c r="CP88" s="0" t="n">
        <f aca="false">IF(OR(CI88="",CJ88=""),"",DAYS360(CI88,CJ88))</f>
        <v>3380</v>
      </c>
      <c r="CQ88" s="0" t="s">
        <v>240</v>
      </c>
      <c r="CR88" s="0" t="n">
        <v>1</v>
      </c>
      <c r="CT88" s="0" t="n">
        <v>4571</v>
      </c>
      <c r="CU88" s="0" t="n">
        <v>3</v>
      </c>
      <c r="CV88" s="0" t="n">
        <f aca="false">IF(OR(CT88="",CT88="NO ESPECIFICA",CT88="NO MENCIONA"),"",IF(CU88=0,CT88,IF(CU88=1,CT88/30,IF(CU88=2,CT88/15,IF(CU88=3,CT88/7,"")))))</f>
        <v>653</v>
      </c>
      <c r="CW88" s="125" t="s">
        <v>216</v>
      </c>
      <c r="CX88" s="0" t="s">
        <v>216</v>
      </c>
      <c r="CY88" s="0" t="str">
        <f aca="false">IF(CW88="","",IF(CX88=0,CW88,IF(CX88=1,CW88/30,IF(CX88=2,CW88/15,IF(CX88=3,CW88/7,CW88)))))</f>
        <v>NO MENCIONA</v>
      </c>
      <c r="CZ88" s="0" t="n">
        <f aca="false">IF(DI88&gt;0,DI88,IF(CY88&gt;0,CY88,IF(CV88&gt;0,CV88,"")))</f>
        <v>653</v>
      </c>
      <c r="DA88" s="0" t="n">
        <f aca="false">IF(DM88=1,CZ88/8,IF(OR(DM88=2,DM88=4),CZ88/7,IF(DM88=3,CZ88/7.5,"")))</f>
        <v>81.625</v>
      </c>
      <c r="DB88" s="0" t="s">
        <v>216</v>
      </c>
      <c r="DC88" s="0" t="s">
        <v>216</v>
      </c>
      <c r="DD88" s="0" t="s">
        <v>216</v>
      </c>
      <c r="DE88" s="0" t="s">
        <v>216</v>
      </c>
      <c r="DF88" s="0" t="s">
        <v>216</v>
      </c>
      <c r="DG88" s="0" t="s">
        <v>216</v>
      </c>
      <c r="DH88" s="0" t="n">
        <v>0</v>
      </c>
      <c r="DI88" s="126" t="n">
        <v>653</v>
      </c>
      <c r="DK88" s="0" t="n">
        <v>0</v>
      </c>
      <c r="DM88" s="0" t="n">
        <v>1</v>
      </c>
      <c r="DN88" s="0" t="n">
        <v>55</v>
      </c>
      <c r="DO88" s="0" t="n">
        <v>3</v>
      </c>
      <c r="DP88" s="0" t="n">
        <v>0</v>
      </c>
      <c r="DQ88" s="0" t="n">
        <v>1</v>
      </c>
      <c r="DR88" s="0"/>
      <c r="DS88" s="0" t="n">
        <v>1</v>
      </c>
      <c r="DU88" s="0" t="n">
        <v>1</v>
      </c>
      <c r="DW88" s="1" t="n">
        <v>40405</v>
      </c>
      <c r="DX88" s="1" t="n">
        <v>40548</v>
      </c>
      <c r="DZ88" s="0"/>
      <c r="EA88" s="0" t="n">
        <v>1</v>
      </c>
      <c r="EC88" s="1" t="n">
        <v>40544</v>
      </c>
      <c r="ED88" s="1" t="n">
        <v>40548</v>
      </c>
      <c r="EF88" s="0"/>
      <c r="EG88" s="0" t="n">
        <v>1</v>
      </c>
      <c r="EH88" s="0" t="n">
        <v>15</v>
      </c>
      <c r="EI88" s="0" t="n">
        <f aca="false">IF(AND(DM88=1,DN88&lt;=48),"",IF(AND(DM88=2,DN88&lt;=42),"",IF(AND(DM88=3,DN88&lt;=45),"",EH88)))</f>
        <v>15</v>
      </c>
      <c r="EJ88" s="0" t="n">
        <f aca="false">IF(EI88="","",IF(EI88&lt;9,EI88,9))</f>
        <v>9</v>
      </c>
      <c r="EK88" s="0" t="n">
        <f aca="false">IF(EI88="","",IF(EI88&gt;9,EI88-EJ88,0))</f>
        <v>6</v>
      </c>
      <c r="EL88" s="0" t="n">
        <f aca="false">IF(EI88="","",EJ88*DA88*2+EK88*DA88*3)</f>
        <v>2938.5</v>
      </c>
      <c r="EP88" s="0" t="n">
        <v>0</v>
      </c>
      <c r="EQ88" s="0"/>
      <c r="ER88" s="0" t="n">
        <v>0</v>
      </c>
      <c r="ET88" s="0" t="n">
        <v>0</v>
      </c>
      <c r="EV88" s="0" t="n">
        <v>0</v>
      </c>
      <c r="EX88" s="0" t="n">
        <v>0</v>
      </c>
      <c r="EY88" s="0" t="n">
        <v>1</v>
      </c>
      <c r="EZ88" s="0"/>
      <c r="FA88" s="4" t="n">
        <v>2612</v>
      </c>
      <c r="FB88" s="0" t="n">
        <v>1</v>
      </c>
      <c r="FF88" s="120" t="n">
        <f aca="false">(CJ88-CI88+1)/365</f>
        <v>9.4</v>
      </c>
      <c r="FG88" s="0" t="str">
        <f aca="false">CONCATENATE(F88,"/",G88)</f>
        <v>442/2011</v>
      </c>
      <c r="FH88" s="0" t="n">
        <v>0</v>
      </c>
      <c r="FI88" s="0" t="n">
        <v>0</v>
      </c>
    </row>
    <row r="89" customFormat="false" ht="15" hidden="false" customHeight="false" outlineLevel="0" collapsed="false">
      <c r="A89" s="5" t="str">
        <f aca="false">E89&amp;G89&amp;F89</f>
        <v>72011449</v>
      </c>
      <c r="B89" s="0" t="s">
        <v>203</v>
      </c>
      <c r="C89" s="1" t="n">
        <v>42410</v>
      </c>
      <c r="E89" s="0" t="n">
        <v>7</v>
      </c>
      <c r="F89" s="0" t="n">
        <v>449</v>
      </c>
      <c r="G89" s="0" t="n">
        <v>2011</v>
      </c>
      <c r="H89" s="0" t="str">
        <f aca="false">"J"&amp;E89&amp;"\"&amp;F89&amp;"\"&amp;G89&amp;"\"&amp;W89</f>
        <v>J7\449\2011\1</v>
      </c>
      <c r="I89" s="0"/>
      <c r="J89" s="1" t="n">
        <v>40609</v>
      </c>
      <c r="K89" s="0" t="n">
        <v>0</v>
      </c>
      <c r="M89" s="1"/>
      <c r="N89" s="1"/>
      <c r="O89" s="1"/>
      <c r="P89" s="1"/>
      <c r="Q89" s="1"/>
      <c r="T89" s="121"/>
      <c r="U89" s="121"/>
      <c r="V89" s="122" t="n">
        <f aca="false">IF(AND(E89&gt;0,F89&gt;0,G89&gt;0),COUNTIFS($E:$E,E89,$F:$F,F89,$G:$G,G89),"")</f>
        <v>1</v>
      </c>
      <c r="W89" s="122" t="n">
        <f aca="false">IF(V89="","",IF(V89=1,1,IF(AND(E88=E89,F88=F89,G88=G89),W88+1,1)))</f>
        <v>1</v>
      </c>
      <c r="X89" s="0" t="n">
        <v>1</v>
      </c>
      <c r="Y89" s="0" t="n">
        <v>3</v>
      </c>
      <c r="Z89" s="0" t="s">
        <v>1194</v>
      </c>
      <c r="AA89" s="0" t="n">
        <v>0</v>
      </c>
      <c r="AB89" s="0" t="s">
        <v>273</v>
      </c>
      <c r="AC89" s="0" t="s">
        <v>274</v>
      </c>
      <c r="AD89" s="0" t="s">
        <v>221</v>
      </c>
      <c r="AE89" s="0" t="n">
        <v>0</v>
      </c>
      <c r="AF89" s="0" t="s">
        <v>1195</v>
      </c>
      <c r="AG89" s="0" t="n">
        <v>1</v>
      </c>
      <c r="AH89" s="0" t="s">
        <v>1196</v>
      </c>
      <c r="AI89" s="0" t="s">
        <v>987</v>
      </c>
      <c r="AJ89" s="0" t="s">
        <v>519</v>
      </c>
      <c r="AL89" s="0" t="s">
        <v>1197</v>
      </c>
      <c r="AM89" s="0" t="n">
        <v>1</v>
      </c>
      <c r="AN89" s="0" t="s">
        <v>1196</v>
      </c>
      <c r="AO89" s="0" t="s">
        <v>987</v>
      </c>
      <c r="AP89" s="0" t="s">
        <v>519</v>
      </c>
      <c r="AR89" s="0" t="s">
        <v>213</v>
      </c>
      <c r="AS89" s="0" t="n">
        <v>1</v>
      </c>
      <c r="AT89" s="0" t="s">
        <v>1196</v>
      </c>
      <c r="AU89" s="0" t="s">
        <v>987</v>
      </c>
      <c r="AV89" s="0" t="s">
        <v>519</v>
      </c>
      <c r="BP89" s="0" t="n">
        <v>0</v>
      </c>
      <c r="BQ89" s="0" t="n">
        <v>0</v>
      </c>
      <c r="BR89" s="0" t="n">
        <v>1</v>
      </c>
      <c r="BS89" s="0" t="s">
        <v>279</v>
      </c>
      <c r="BT89" s="0" t="s">
        <v>280</v>
      </c>
      <c r="BU89" s="0" t="s">
        <v>281</v>
      </c>
      <c r="BV89" s="123"/>
      <c r="BW89" s="123"/>
      <c r="BX89" s="123"/>
      <c r="BY89" s="123"/>
      <c r="BZ89" s="0" t="n">
        <v>0</v>
      </c>
      <c r="CA89" s="0" t="s">
        <v>282</v>
      </c>
      <c r="CD89" s="0" t="s">
        <v>502</v>
      </c>
      <c r="CE89" s="0" t="n">
        <v>0</v>
      </c>
      <c r="CF89" s="0" t="s">
        <v>611</v>
      </c>
      <c r="CG89" s="0" t="s">
        <v>218</v>
      </c>
      <c r="CI89" s="1" t="n">
        <v>40088</v>
      </c>
      <c r="CJ89" s="1" t="n">
        <v>40602</v>
      </c>
      <c r="CK89" s="124" t="n">
        <v>0.375</v>
      </c>
      <c r="CL89" s="0" t="s">
        <v>1195</v>
      </c>
      <c r="CM89" s="0" t="n">
        <f aca="false">IF(OR(CI89="",CJ89=""),"",DAYS360(CI89,CJ89)/360)</f>
        <v>1.40555555555556</v>
      </c>
      <c r="CN89" s="0" t="n">
        <f aca="false">IF(OR(CI89="",CJ89=""),"",DAYS360(CI89,CJ89)/30)</f>
        <v>16.8666666666667</v>
      </c>
      <c r="CO89" s="0" t="n">
        <f aca="false">IF(OR(CI89="",CJ89=""),"",DAYS360(CI89,CJ89)/7)</f>
        <v>72.2857142857143</v>
      </c>
      <c r="CP89" s="0" t="n">
        <f aca="false">IF(OR(CI89="",CJ89=""),"",DAYS360(CI89,CJ89))</f>
        <v>506</v>
      </c>
      <c r="CQ89" s="0" t="s">
        <v>240</v>
      </c>
      <c r="CR89" s="0" t="n">
        <v>1</v>
      </c>
      <c r="CT89" s="0" t="s">
        <v>221</v>
      </c>
      <c r="CU89" s="0" t="s">
        <v>221</v>
      </c>
      <c r="CV89" s="0" t="str">
        <f aca="false">IF(OR(CT89="",CT89="NO ESPECIFICA",CT89="NO MENCIONA"),"",IF(CU89=0,CT89,IF(CU89=1,CT89/30,IF(CU89=2,CT89/15,IF(CU89=3,CT89/7,"")))))</f>
        <v/>
      </c>
      <c r="CW89" s="125" t="n">
        <v>1000</v>
      </c>
      <c r="CX89" s="0" t="n">
        <v>3</v>
      </c>
      <c r="CY89" s="0" t="n">
        <f aca="false">IF(CW89="","",IF(CX89=0,CW89,IF(CX89=1,CW89/30,IF(CX89=2,CW89/15,IF(CX89=3,CW89/7,CW89)))))</f>
        <v>142.857142857143</v>
      </c>
      <c r="CZ89" s="0" t="n">
        <f aca="false">IF(DI89&gt;0,DI89,IF(CY89&gt;0,CY89,IF(CV89&gt;0,CV89,"")))</f>
        <v>142.86</v>
      </c>
      <c r="DA89" s="0" t="n">
        <f aca="false">IF(DM89=1,CZ89/8,IF(OR(DM89=2,DM89=4),CZ89/7,IF(DM89=3,CZ89/7.5,"")))</f>
        <v>17.8575</v>
      </c>
      <c r="DB89" s="0" t="s">
        <v>216</v>
      </c>
      <c r="DC89" s="0" t="s">
        <v>216</v>
      </c>
      <c r="DD89" s="0" t="s">
        <v>216</v>
      </c>
      <c r="DE89" s="0" t="s">
        <v>216</v>
      </c>
      <c r="DF89" s="0" t="s">
        <v>216</v>
      </c>
      <c r="DG89" s="0" t="s">
        <v>216</v>
      </c>
      <c r="DH89" s="0" t="n">
        <v>0</v>
      </c>
      <c r="DI89" s="126" t="n">
        <v>142.86</v>
      </c>
      <c r="DK89" s="0" t="n">
        <v>1</v>
      </c>
      <c r="DM89" s="0" t="n">
        <v>1</v>
      </c>
      <c r="DN89" s="0" t="n">
        <v>60</v>
      </c>
      <c r="DO89" s="0" t="n">
        <v>3</v>
      </c>
      <c r="DP89" s="0" t="n">
        <v>0</v>
      </c>
      <c r="DQ89" s="0" t="n">
        <v>1</v>
      </c>
      <c r="DR89" s="0"/>
      <c r="DS89" s="0" t="n">
        <v>1</v>
      </c>
      <c r="DU89" s="0" t="n">
        <v>1</v>
      </c>
      <c r="DW89" s="1" t="n">
        <v>40088</v>
      </c>
      <c r="DX89" s="1" t="n">
        <v>40602</v>
      </c>
      <c r="DZ89" s="0"/>
      <c r="EA89" s="0" t="n">
        <v>1</v>
      </c>
      <c r="EC89" s="1" t="n">
        <v>40088</v>
      </c>
      <c r="ED89" s="1" t="n">
        <v>40602</v>
      </c>
      <c r="EF89" s="0"/>
      <c r="EG89" s="0" t="n">
        <v>1</v>
      </c>
      <c r="EH89" s="0" t="n">
        <v>12</v>
      </c>
      <c r="EI89" s="0" t="n">
        <f aca="false">IF(AND(DM89=1,DN89&lt;=48),"",IF(AND(DM89=2,DN89&lt;=42),"",IF(AND(DM89=3,DN89&lt;=45),"",EH89)))</f>
        <v>12</v>
      </c>
      <c r="EJ89" s="0" t="n">
        <f aca="false">IF(EI89="","",IF(EI89&lt;9,EI89,9))</f>
        <v>9</v>
      </c>
      <c r="EK89" s="0" t="n">
        <f aca="false">IF(EI89="","",IF(EI89&gt;9,EI89-EJ89,0))</f>
        <v>3</v>
      </c>
      <c r="EL89" s="0" t="n">
        <f aca="false">IF(EI89="","",EJ89*DA89*2+EK89*DA89*3)</f>
        <v>482.1525</v>
      </c>
      <c r="EP89" s="0" t="n">
        <v>0</v>
      </c>
      <c r="EQ89" s="0"/>
      <c r="ER89" s="0" t="n">
        <v>0</v>
      </c>
      <c r="ET89" s="0" t="n">
        <v>0</v>
      </c>
      <c r="EV89" s="0" t="n">
        <v>0</v>
      </c>
      <c r="EX89" s="0" t="n">
        <v>0</v>
      </c>
      <c r="EY89" s="0" t="n">
        <v>0</v>
      </c>
      <c r="EZ89" s="0"/>
      <c r="FA89" s="0"/>
      <c r="FB89" s="0" t="n">
        <v>0</v>
      </c>
      <c r="FF89" s="120" t="n">
        <f aca="false">(CJ89-CI89+1)/365</f>
        <v>1.41095890410959</v>
      </c>
      <c r="FG89" s="0" t="str">
        <f aca="false">CONCATENATE(F89,"/",G89)</f>
        <v>449/2011</v>
      </c>
      <c r="FH89" s="0" t="n">
        <v>0</v>
      </c>
      <c r="FI89" s="0" t="n">
        <v>0</v>
      </c>
    </row>
    <row r="90" customFormat="false" ht="15" hidden="false" customHeight="false" outlineLevel="0" collapsed="false">
      <c r="A90" s="5" t="str">
        <f aca="false">E90&amp;G90&amp;F90</f>
        <v>72011458</v>
      </c>
      <c r="B90" s="0" t="s">
        <v>203</v>
      </c>
      <c r="C90" s="1" t="n">
        <v>42410</v>
      </c>
      <c r="E90" s="0" t="n">
        <v>7</v>
      </c>
      <c r="F90" s="0" t="n">
        <v>458</v>
      </c>
      <c r="G90" s="0" t="n">
        <v>2011</v>
      </c>
      <c r="H90" s="0" t="str">
        <f aca="false">"J"&amp;E90&amp;"\"&amp;F90&amp;"\"&amp;G90&amp;"\"&amp;W90</f>
        <v>J7\458\2011\1</v>
      </c>
      <c r="I90" s="0"/>
      <c r="J90" s="1" t="n">
        <v>40610</v>
      </c>
      <c r="K90" s="0" t="n">
        <v>0</v>
      </c>
      <c r="M90" s="1"/>
      <c r="N90" s="1"/>
      <c r="O90" s="1"/>
      <c r="P90" s="1"/>
      <c r="Q90" s="1"/>
      <c r="T90" s="121"/>
      <c r="U90" s="121"/>
      <c r="V90" s="122" t="n">
        <f aca="false">IF(AND(E90&gt;0,F90&gt;0,G90&gt;0),COUNTIFS($E:$E,E90,$F:$F,F90,$G:$G,G90),"")</f>
        <v>1</v>
      </c>
      <c r="W90" s="122" t="n">
        <f aca="false">IF(V90="","",IF(V90=1,1,IF(AND(E89=E90,F89=F90,G89=G90),W89+1,1)))</f>
        <v>1</v>
      </c>
      <c r="X90" s="0" t="n">
        <v>1</v>
      </c>
      <c r="Y90" s="0" t="n">
        <v>7</v>
      </c>
      <c r="Z90" s="0" t="s">
        <v>1198</v>
      </c>
      <c r="AA90" s="0" t="n">
        <v>0</v>
      </c>
      <c r="AB90" s="0" t="s">
        <v>1199</v>
      </c>
      <c r="AC90" s="0" t="s">
        <v>1200</v>
      </c>
      <c r="AD90" s="0" t="s">
        <v>211</v>
      </c>
      <c r="AE90" s="0" t="n">
        <v>0</v>
      </c>
      <c r="AF90" s="0" t="s">
        <v>1201</v>
      </c>
      <c r="AG90" s="0" t="n">
        <v>0</v>
      </c>
      <c r="AH90" s="0" t="s">
        <v>1202</v>
      </c>
      <c r="AI90" s="0" t="s">
        <v>1203</v>
      </c>
      <c r="AJ90" s="0" t="s">
        <v>229</v>
      </c>
      <c r="AL90" s="0" t="s">
        <v>1204</v>
      </c>
      <c r="AM90" s="0" t="n">
        <v>1</v>
      </c>
      <c r="AN90" s="0" t="s">
        <v>1202</v>
      </c>
      <c r="AO90" s="0" t="s">
        <v>1203</v>
      </c>
      <c r="AP90" s="0" t="s">
        <v>229</v>
      </c>
      <c r="AR90" s="0" t="s">
        <v>1205</v>
      </c>
      <c r="AS90" s="0" t="n">
        <v>1</v>
      </c>
      <c r="AT90" s="0" t="s">
        <v>1202</v>
      </c>
      <c r="AU90" s="0" t="s">
        <v>1203</v>
      </c>
      <c r="AV90" s="0" t="s">
        <v>229</v>
      </c>
      <c r="AX90" s="0" t="s">
        <v>1206</v>
      </c>
      <c r="AY90" s="0" t="n">
        <v>1</v>
      </c>
      <c r="AZ90" s="0" t="s">
        <v>1202</v>
      </c>
      <c r="BA90" s="0" t="s">
        <v>1203</v>
      </c>
      <c r="BB90" s="0" t="s">
        <v>229</v>
      </c>
      <c r="BD90" s="0" t="s">
        <v>213</v>
      </c>
      <c r="BE90" s="0" t="n">
        <v>1</v>
      </c>
      <c r="BF90" s="0" t="s">
        <v>1202</v>
      </c>
      <c r="BG90" s="0" t="s">
        <v>1203</v>
      </c>
      <c r="BH90" s="0" t="s">
        <v>229</v>
      </c>
      <c r="BJ90" s="0" t="s">
        <v>249</v>
      </c>
      <c r="BK90" s="0" t="n">
        <v>0</v>
      </c>
      <c r="BL90" s="0" t="s">
        <v>964</v>
      </c>
      <c r="BM90" s="0" t="s">
        <v>410</v>
      </c>
      <c r="BN90" s="0" t="s">
        <v>411</v>
      </c>
      <c r="BP90" s="0" t="n">
        <v>0</v>
      </c>
      <c r="BQ90" s="0" t="n">
        <v>0</v>
      </c>
      <c r="BR90" s="0" t="n">
        <v>1</v>
      </c>
      <c r="BS90" s="0" t="s">
        <v>1207</v>
      </c>
      <c r="BT90" s="0" t="s">
        <v>1208</v>
      </c>
      <c r="BU90" s="0" t="s">
        <v>1209</v>
      </c>
      <c r="BV90" s="123"/>
      <c r="BW90" s="123"/>
      <c r="BX90" s="123"/>
      <c r="BY90" s="123"/>
      <c r="BZ90" s="0" t="n">
        <v>0</v>
      </c>
      <c r="CA90" s="0" t="s">
        <v>1210</v>
      </c>
      <c r="CD90" s="0" t="s">
        <v>502</v>
      </c>
      <c r="CE90" s="0" t="n">
        <v>0</v>
      </c>
      <c r="CF90" s="0" t="s">
        <v>1211</v>
      </c>
      <c r="CG90" s="0" t="s">
        <v>218</v>
      </c>
      <c r="CI90" s="1" t="n">
        <v>38864</v>
      </c>
      <c r="CJ90" s="1" t="n">
        <v>40551</v>
      </c>
      <c r="CK90" s="124" t="n">
        <v>0.739583333333333</v>
      </c>
      <c r="CL90" s="0" t="s">
        <v>1212</v>
      </c>
      <c r="CM90" s="0" t="n">
        <f aca="false">IF(OR(CI90="",CJ90=""),"",DAYS360(CI90,CJ90)/360)</f>
        <v>4.61388888888889</v>
      </c>
      <c r="CN90" s="0" t="n">
        <f aca="false">IF(OR(CI90="",CJ90=""),"",DAYS360(CI90,CJ90)/30)</f>
        <v>55.3666666666667</v>
      </c>
      <c r="CO90" s="0" t="n">
        <f aca="false">IF(OR(CI90="",CJ90=""),"",DAYS360(CI90,CJ90)/7)</f>
        <v>237.285714285714</v>
      </c>
      <c r="CP90" s="0" t="n">
        <f aca="false">IF(OR(CI90="",CJ90=""),"",DAYS360(CI90,CJ90))</f>
        <v>1661</v>
      </c>
      <c r="CQ90" s="0" t="s">
        <v>240</v>
      </c>
      <c r="CR90" s="0" t="n">
        <v>1</v>
      </c>
      <c r="CT90" s="0" t="n">
        <v>130</v>
      </c>
      <c r="CU90" s="0" t="n">
        <v>0</v>
      </c>
      <c r="CV90" s="0" t="n">
        <f aca="false">IF(OR(CT90="",CT90="NO ESPECIFICA",CT90="NO MENCIONA"),"",IF(CU90=0,CT90,IF(CU90=1,CT90/30,IF(CU90=2,CT90/15,IF(CU90=3,CT90/7,"")))))</f>
        <v>130</v>
      </c>
      <c r="CW90" s="125" t="n">
        <v>136.58</v>
      </c>
      <c r="CX90" s="0" t="n">
        <v>0</v>
      </c>
      <c r="CY90" s="0" t="n">
        <f aca="false">IF(CW90="","",IF(CX90=0,CW90,IF(CX90=1,CW90/30,IF(CX90=2,CW90/15,IF(CX90=3,CW90/7,CW90)))))</f>
        <v>136.58</v>
      </c>
      <c r="CZ90" s="0" t="n">
        <f aca="false">IF(DI90&gt;0,DI90,IF(CY90&gt;0,CY90,IF(CV90&gt;0,CV90,"")))</f>
        <v>136.58</v>
      </c>
      <c r="DA90" s="0" t="n">
        <f aca="false">IF(DM90=1,CZ90/8,IF(OR(DM90=2,DM90=4),CZ90/7,IF(DM90=3,CZ90/7.5,"")))</f>
        <v>17.0725</v>
      </c>
      <c r="DB90" s="0" t="s">
        <v>303</v>
      </c>
      <c r="DC90" s="0" t="s">
        <v>301</v>
      </c>
      <c r="DD90" s="0" t="s">
        <v>216</v>
      </c>
      <c r="DE90" s="0" t="s">
        <v>216</v>
      </c>
      <c r="DF90" s="0" t="s">
        <v>216</v>
      </c>
      <c r="DG90" s="0" t="s">
        <v>216</v>
      </c>
      <c r="DH90" s="0" t="n">
        <v>0</v>
      </c>
      <c r="DI90" s="126" t="n">
        <v>136.58</v>
      </c>
      <c r="DK90" s="0" t="n">
        <v>1</v>
      </c>
      <c r="DM90" s="0" t="n">
        <v>1</v>
      </c>
      <c r="DN90" s="0" t="n">
        <v>52</v>
      </c>
      <c r="DO90" s="0" t="n">
        <v>3</v>
      </c>
      <c r="DP90" s="0" t="n">
        <v>0</v>
      </c>
      <c r="DQ90" s="0" t="n">
        <v>1</v>
      </c>
      <c r="DR90" s="0"/>
      <c r="DS90" s="0" t="n">
        <v>1</v>
      </c>
      <c r="DU90" s="0" t="n">
        <v>1</v>
      </c>
      <c r="DW90" s="1" t="n">
        <v>38864</v>
      </c>
      <c r="DX90" s="1" t="n">
        <v>40551</v>
      </c>
      <c r="DZ90" s="0"/>
      <c r="EA90" s="0" t="n">
        <v>1</v>
      </c>
      <c r="EC90" s="1" t="n">
        <v>38864</v>
      </c>
      <c r="ED90" s="1" t="n">
        <v>40551</v>
      </c>
      <c r="EF90" s="0"/>
      <c r="EG90" s="0" t="n">
        <v>1</v>
      </c>
      <c r="EH90" s="0" t="n">
        <v>4</v>
      </c>
      <c r="EI90" s="0" t="n">
        <f aca="false">IF(AND(DM90=1,DN90&lt;=48),"",IF(AND(DM90=2,DN90&lt;=42),"",IF(AND(DM90=3,DN90&lt;=45),"",EH90)))</f>
        <v>4</v>
      </c>
      <c r="EJ90" s="0" t="n">
        <f aca="false">IF(EI90="","",IF(EI90&lt;9,EI90,9))</f>
        <v>4</v>
      </c>
      <c r="EK90" s="0" t="n">
        <f aca="false">IF(EI90="","",IF(EI90&gt;9,EI90-EJ90,0))</f>
        <v>0</v>
      </c>
      <c r="EL90" s="0" t="n">
        <f aca="false">IF(EI90="","",EJ90*DA90*2+EK90*DA90*3)</f>
        <v>136.58</v>
      </c>
      <c r="EP90" s="0" t="n">
        <v>0</v>
      </c>
      <c r="EQ90" s="0"/>
      <c r="ER90" s="0" t="n">
        <v>0</v>
      </c>
      <c r="ET90" s="0" t="n">
        <v>0</v>
      </c>
      <c r="EV90" s="0" t="n">
        <v>1</v>
      </c>
      <c r="EX90" s="0" t="n">
        <v>1</v>
      </c>
      <c r="EY90" s="0" t="n">
        <v>0</v>
      </c>
      <c r="EZ90" s="0"/>
      <c r="FA90" s="0"/>
      <c r="FB90" s="0" t="n">
        <v>0</v>
      </c>
      <c r="FF90" s="120" t="n">
        <f aca="false">(CJ90-CI90+1)/365</f>
        <v>4.62465753424658</v>
      </c>
      <c r="FG90" s="0" t="str">
        <f aca="false">CONCATENATE(F90,"/",G90)</f>
        <v>458/2011</v>
      </c>
      <c r="FH90" s="0" t="n">
        <v>0</v>
      </c>
      <c r="FI90" s="0" t="n">
        <v>0</v>
      </c>
    </row>
    <row r="91" customFormat="false" ht="15" hidden="false" customHeight="false" outlineLevel="0" collapsed="false">
      <c r="A91" s="5" t="str">
        <f aca="false">E91&amp;G91&amp;F91</f>
        <v>72011473</v>
      </c>
      <c r="B91" s="0" t="s">
        <v>203</v>
      </c>
      <c r="C91" s="1" t="n">
        <v>42410</v>
      </c>
      <c r="E91" s="0" t="n">
        <v>7</v>
      </c>
      <c r="F91" s="0" t="n">
        <v>473</v>
      </c>
      <c r="G91" s="0" t="n">
        <v>2011</v>
      </c>
      <c r="H91" s="0" t="str">
        <f aca="false">"J"&amp;E91&amp;"\"&amp;F91&amp;"\"&amp;G91&amp;"\"&amp;W91</f>
        <v>J7\473\2011\1</v>
      </c>
      <c r="I91" s="0"/>
      <c r="J91" s="1" t="n">
        <v>40611</v>
      </c>
      <c r="K91" s="0" t="n">
        <v>0</v>
      </c>
      <c r="M91" s="1" t="n">
        <v>40611</v>
      </c>
      <c r="N91" s="1" t="n">
        <v>40707</v>
      </c>
      <c r="O91" s="1"/>
      <c r="P91" s="1"/>
      <c r="Q91" s="1"/>
      <c r="T91" s="121"/>
      <c r="U91" s="121"/>
      <c r="V91" s="122" t="n">
        <f aca="false">IF(AND(E91&gt;0,F91&gt;0,G91&gt;0),COUNTIFS($E:$E,E91,$F:$F,F91,$G:$G,G91),"")</f>
        <v>3</v>
      </c>
      <c r="W91" s="122" t="n">
        <f aca="false">IF(V91="","",IF(V91=1,1,IF(AND(E90=E91,F90=F91,G90=G91),W90+1,1)))</f>
        <v>1</v>
      </c>
      <c r="X91" s="0" t="n">
        <v>3</v>
      </c>
      <c r="Y91" s="0" t="n">
        <v>3</v>
      </c>
      <c r="Z91" s="0" t="s">
        <v>1213</v>
      </c>
      <c r="AA91" s="0" t="n">
        <v>0</v>
      </c>
      <c r="AB91" s="0" t="s">
        <v>1214</v>
      </c>
      <c r="AC91" s="0" t="s">
        <v>672</v>
      </c>
      <c r="AD91" s="0" t="s">
        <v>268</v>
      </c>
      <c r="AE91" s="0" t="n">
        <v>0</v>
      </c>
      <c r="AF91" s="0" t="s">
        <v>1215</v>
      </c>
      <c r="AG91" s="0" t="n">
        <v>0</v>
      </c>
      <c r="AH91" s="0" t="s">
        <v>1216</v>
      </c>
      <c r="AI91" s="0" t="s">
        <v>1136</v>
      </c>
      <c r="AJ91" s="0" t="s">
        <v>755</v>
      </c>
      <c r="AL91" s="0" t="s">
        <v>1217</v>
      </c>
      <c r="AM91" s="0" t="n">
        <v>1</v>
      </c>
      <c r="AN91" s="0" t="s">
        <v>1216</v>
      </c>
      <c r="AO91" s="0" t="s">
        <v>1136</v>
      </c>
      <c r="AP91" s="0" t="s">
        <v>755</v>
      </c>
      <c r="AR91" s="0" t="s">
        <v>213</v>
      </c>
      <c r="AS91" s="0" t="n">
        <v>1</v>
      </c>
      <c r="AT91" s="0" t="s">
        <v>1216</v>
      </c>
      <c r="AU91" s="0" t="s">
        <v>1136</v>
      </c>
      <c r="AV91" s="0" t="s">
        <v>755</v>
      </c>
      <c r="BP91" s="0" t="n">
        <v>0</v>
      </c>
      <c r="BQ91" s="0" t="n">
        <v>0</v>
      </c>
      <c r="BR91" s="0" t="n">
        <v>1</v>
      </c>
      <c r="BS91" s="0" t="s">
        <v>1218</v>
      </c>
      <c r="BT91" s="0" t="s">
        <v>1219</v>
      </c>
      <c r="BU91" s="0" t="s">
        <v>1220</v>
      </c>
      <c r="BV91" s="123"/>
      <c r="BW91" s="123"/>
      <c r="BX91" s="123"/>
      <c r="BY91" s="123"/>
      <c r="BZ91" s="0" t="n">
        <v>0</v>
      </c>
      <c r="CA91" s="0" t="s">
        <v>216</v>
      </c>
      <c r="CD91" s="0" t="s">
        <v>216</v>
      </c>
      <c r="CE91" s="0" t="n">
        <v>0</v>
      </c>
      <c r="CF91" s="0" t="s">
        <v>1221</v>
      </c>
      <c r="CG91" s="0" t="s">
        <v>1222</v>
      </c>
      <c r="CH91" s="0" t="n">
        <v>1</v>
      </c>
      <c r="CI91" s="1" t="n">
        <v>38887</v>
      </c>
      <c r="CJ91" s="1" t="n">
        <v>40607</v>
      </c>
      <c r="CK91" s="124" t="n">
        <v>0.25</v>
      </c>
      <c r="CL91" s="0" t="s">
        <v>1217</v>
      </c>
      <c r="CM91" s="0" t="n">
        <f aca="false">IF(OR(CI91="",CJ91=""),"",DAYS360(CI91,CJ91)/360)</f>
        <v>4.71111111111111</v>
      </c>
      <c r="CN91" s="0" t="n">
        <f aca="false">IF(OR(CI91="",CJ91=""),"",DAYS360(CI91,CJ91)/30)</f>
        <v>56.5333333333333</v>
      </c>
      <c r="CO91" s="0" t="n">
        <f aca="false">IF(OR(CI91="",CJ91=""),"",DAYS360(CI91,CJ91)/7)</f>
        <v>242.285714285714</v>
      </c>
      <c r="CP91" s="0" t="n">
        <f aca="false">IF(OR(CI91="",CJ91=""),"",DAYS360(CI91,CJ91))</f>
        <v>1696</v>
      </c>
      <c r="CQ91" s="0" t="s">
        <v>240</v>
      </c>
      <c r="CR91" s="0" t="n">
        <v>1</v>
      </c>
      <c r="CT91" s="0" t="n">
        <v>465</v>
      </c>
      <c r="CU91" s="0" t="n">
        <v>0</v>
      </c>
      <c r="CV91" s="0" t="n">
        <f aca="false">IF(OR(CT91="",CT91="NO ESPECIFICA",CT91="NO MENCIONA"),"",IF(CU91=0,CT91,IF(CU91=1,CT91/30,IF(CU91=2,CT91/15,IF(CU91=3,CT91/7,"")))))</f>
        <v>465</v>
      </c>
      <c r="CW91" s="125" t="s">
        <v>216</v>
      </c>
      <c r="CX91" s="0" t="s">
        <v>216</v>
      </c>
      <c r="CY91" s="0" t="str">
        <f aca="false">IF(CW91="","",IF(CX91=0,CW91,IF(CX91=1,CW91/30,IF(CX91=2,CW91/15,IF(CX91=3,CW91/7,CW91)))))</f>
        <v>NO MENCIONA</v>
      </c>
      <c r="CZ91" s="0" t="n">
        <f aca="false">IF(DI91&gt;0,DI91,IF(CY91&gt;0,CY91,IF(CV91&gt;0,CV91,"")))</f>
        <v>865</v>
      </c>
      <c r="DA91" s="0" t="n">
        <f aca="false">IF(DM91=1,CZ91/8,IF(OR(DM91=2,DM91=4),CZ91/7,IF(DM91=3,CZ91/7.5,"")))</f>
        <v>108.125</v>
      </c>
      <c r="DB91" s="0" t="s">
        <v>417</v>
      </c>
      <c r="DC91" s="0" t="s">
        <v>216</v>
      </c>
      <c r="DD91" s="0" t="s">
        <v>216</v>
      </c>
      <c r="DE91" s="0" t="s">
        <v>216</v>
      </c>
      <c r="DF91" s="0" t="s">
        <v>216</v>
      </c>
      <c r="DG91" s="0" t="s">
        <v>216</v>
      </c>
      <c r="DH91" s="0" t="n">
        <v>0</v>
      </c>
      <c r="DI91" s="126" t="n">
        <v>865</v>
      </c>
      <c r="DK91" s="0" t="n">
        <v>0</v>
      </c>
      <c r="DM91" s="0" t="n">
        <v>1</v>
      </c>
      <c r="DN91" s="0" t="n">
        <v>70</v>
      </c>
      <c r="DO91" s="0" t="n">
        <v>3</v>
      </c>
      <c r="DP91" s="0" t="n">
        <v>0</v>
      </c>
      <c r="DQ91" s="0" t="n">
        <v>1</v>
      </c>
      <c r="DR91" s="0"/>
      <c r="DS91" s="0" t="n">
        <v>1</v>
      </c>
      <c r="DU91" s="0" t="n">
        <v>1</v>
      </c>
      <c r="DW91" s="1" t="n">
        <v>38887</v>
      </c>
      <c r="DX91" s="1" t="n">
        <v>40607</v>
      </c>
      <c r="DZ91" s="0"/>
      <c r="EA91" s="0" t="n">
        <v>1</v>
      </c>
      <c r="EC91" s="1" t="n">
        <v>38887</v>
      </c>
      <c r="ED91" s="1" t="n">
        <v>40607</v>
      </c>
      <c r="EF91" s="0"/>
      <c r="EG91" s="0" t="n">
        <v>1</v>
      </c>
      <c r="EH91" s="0" t="n">
        <v>12</v>
      </c>
      <c r="EI91" s="0" t="n">
        <f aca="false">IF(AND(DM91=1,DN91&lt;=48),"",IF(AND(DM91=2,DN91&lt;=42),"",IF(AND(DM91=3,DN91&lt;=45),"",EH91)))</f>
        <v>12</v>
      </c>
      <c r="EJ91" s="0" t="n">
        <f aca="false">IF(EI91="","",IF(EI91&lt;9,EI91,9))</f>
        <v>9</v>
      </c>
      <c r="EK91" s="0" t="n">
        <f aca="false">IF(EI91="","",IF(EI91&gt;9,EI91-EJ91,0))</f>
        <v>3</v>
      </c>
      <c r="EL91" s="0" t="n">
        <f aca="false">IF(EI91="","",EJ91*DA91*2+EK91*DA91*3)</f>
        <v>2919.375</v>
      </c>
      <c r="EP91" s="0" t="n">
        <v>1</v>
      </c>
      <c r="EQ91" s="0"/>
      <c r="ER91" s="0" t="n">
        <v>1</v>
      </c>
      <c r="ET91" s="0" t="n">
        <v>0</v>
      </c>
      <c r="EV91" s="0" t="n">
        <v>1</v>
      </c>
      <c r="EX91" s="0" t="n">
        <v>1</v>
      </c>
      <c r="EY91" s="0" t="n">
        <v>1</v>
      </c>
      <c r="EZ91" s="0"/>
      <c r="FA91" s="4" t="n">
        <v>6055</v>
      </c>
      <c r="FB91" s="0" t="n">
        <v>0</v>
      </c>
      <c r="FF91" s="120" t="n">
        <f aca="false">(CJ91-CI91+1)/365</f>
        <v>4.71506849315069</v>
      </c>
      <c r="FG91" s="0" t="str">
        <f aca="false">CONCATENATE(F91,"/",G91)</f>
        <v>473/2011</v>
      </c>
      <c r="FH91" s="0" t="n">
        <v>0</v>
      </c>
      <c r="FI91" s="0" t="n">
        <v>0</v>
      </c>
    </row>
    <row r="92" customFormat="false" ht="15" hidden="false" customHeight="false" outlineLevel="0" collapsed="false">
      <c r="A92" s="5" t="str">
        <f aca="false">E92&amp;G92&amp;F92</f>
        <v>72011473</v>
      </c>
      <c r="B92" s="0" t="s">
        <v>203</v>
      </c>
      <c r="C92" s="1" t="n">
        <v>42410</v>
      </c>
      <c r="E92" s="0" t="n">
        <v>7</v>
      </c>
      <c r="F92" s="0" t="n">
        <v>473</v>
      </c>
      <c r="G92" s="0" t="n">
        <v>2011</v>
      </c>
      <c r="H92" s="0" t="str">
        <f aca="false">"J"&amp;E92&amp;"\"&amp;F92&amp;"\"&amp;G92&amp;"\"&amp;W92</f>
        <v>J7\473\2011\2</v>
      </c>
      <c r="I92" s="0"/>
      <c r="J92" s="1" t="n">
        <v>40611</v>
      </c>
      <c r="K92" s="0" t="n">
        <v>0</v>
      </c>
      <c r="M92" s="1" t="n">
        <v>40611</v>
      </c>
      <c r="N92" s="1" t="n">
        <v>40707</v>
      </c>
      <c r="O92" s="1"/>
      <c r="P92" s="1"/>
      <c r="Q92" s="1"/>
      <c r="T92" s="121"/>
      <c r="U92" s="121"/>
      <c r="V92" s="122" t="n">
        <f aca="false">IF(AND(E92&gt;0,F92&gt;0,G92&gt;0),COUNTIFS($E:$E,E92,$F:$F,F92,$G:$G,G92),"")</f>
        <v>3</v>
      </c>
      <c r="W92" s="122" t="n">
        <f aca="false">IF(V92="","",IF(V92=1,1,IF(AND(E91=E92,F91=F92,G91=G92),W91+1,1)))</f>
        <v>2</v>
      </c>
      <c r="X92" s="0" t="n">
        <v>3</v>
      </c>
      <c r="Y92" s="0" t="n">
        <v>3</v>
      </c>
      <c r="Z92" s="0" t="s">
        <v>1223</v>
      </c>
      <c r="AA92" s="0" t="n">
        <v>0</v>
      </c>
      <c r="AB92" s="0" t="s">
        <v>1214</v>
      </c>
      <c r="AC92" s="0" t="s">
        <v>672</v>
      </c>
      <c r="AD92" s="0" t="s">
        <v>268</v>
      </c>
      <c r="AE92" s="0" t="n">
        <v>0</v>
      </c>
      <c r="AF92" s="0" t="s">
        <v>1215</v>
      </c>
      <c r="AG92" s="0" t="n">
        <v>0</v>
      </c>
      <c r="AH92" s="0" t="s">
        <v>1216</v>
      </c>
      <c r="AI92" s="0" t="s">
        <v>1136</v>
      </c>
      <c r="AJ92" s="0" t="s">
        <v>755</v>
      </c>
      <c r="AL92" s="0" t="s">
        <v>1217</v>
      </c>
      <c r="AM92" s="0" t="n">
        <v>1</v>
      </c>
      <c r="AN92" s="0" t="s">
        <v>1216</v>
      </c>
      <c r="AO92" s="0" t="s">
        <v>1136</v>
      </c>
      <c r="AP92" s="0" t="s">
        <v>755</v>
      </c>
      <c r="AR92" s="0" t="s">
        <v>213</v>
      </c>
      <c r="AS92" s="0" t="n">
        <v>1</v>
      </c>
      <c r="AT92" s="0" t="s">
        <v>1216</v>
      </c>
      <c r="AU92" s="0" t="s">
        <v>1136</v>
      </c>
      <c r="AV92" s="0" t="s">
        <v>755</v>
      </c>
      <c r="BP92" s="0" t="n">
        <v>0</v>
      </c>
      <c r="BQ92" s="0" t="n">
        <v>0</v>
      </c>
      <c r="BR92" s="0" t="n">
        <v>1</v>
      </c>
      <c r="BS92" s="0" t="s">
        <v>1218</v>
      </c>
      <c r="BT92" s="0" t="s">
        <v>1219</v>
      </c>
      <c r="BU92" s="0" t="s">
        <v>1220</v>
      </c>
      <c r="BV92" s="123"/>
      <c r="BW92" s="123"/>
      <c r="BX92" s="123"/>
      <c r="BY92" s="123"/>
      <c r="BZ92" s="0" t="n">
        <v>0</v>
      </c>
      <c r="CA92" s="0" t="s">
        <v>216</v>
      </c>
      <c r="CD92" s="0" t="s">
        <v>216</v>
      </c>
      <c r="CE92" s="0" t="n">
        <v>0</v>
      </c>
      <c r="CF92" s="0" t="s">
        <v>1224</v>
      </c>
      <c r="CG92" s="0" t="s">
        <v>1222</v>
      </c>
      <c r="CH92" s="0" t="n">
        <v>1</v>
      </c>
      <c r="CI92" s="1" t="n">
        <v>38845</v>
      </c>
      <c r="CJ92" s="1" t="n">
        <v>40607</v>
      </c>
      <c r="CK92" s="124" t="n">
        <v>0.25</v>
      </c>
      <c r="CL92" s="0" t="s">
        <v>1217</v>
      </c>
      <c r="CM92" s="0" t="n">
        <f aca="false">IF(OR(CI92="",CJ92=""),"",DAYS360(CI92,CJ92)/360)</f>
        <v>4.825</v>
      </c>
      <c r="CN92" s="0" t="n">
        <f aca="false">IF(OR(CI92="",CJ92=""),"",DAYS360(CI92,CJ92)/30)</f>
        <v>57.9</v>
      </c>
      <c r="CO92" s="0" t="n">
        <f aca="false">IF(OR(CI92="",CJ92=""),"",DAYS360(CI92,CJ92)/7)</f>
        <v>248.142857142857</v>
      </c>
      <c r="CP92" s="0" t="n">
        <f aca="false">IF(OR(CI92="",CJ92=""),"",DAYS360(CI92,CJ92))</f>
        <v>1737</v>
      </c>
      <c r="CQ92" s="0" t="s">
        <v>240</v>
      </c>
      <c r="CR92" s="0" t="n">
        <v>1</v>
      </c>
      <c r="CT92" s="0" t="n">
        <v>465</v>
      </c>
      <c r="CU92" s="0" t="n">
        <v>0</v>
      </c>
      <c r="CV92" s="0" t="n">
        <f aca="false">IF(OR(CT92="",CT92="NO ESPECIFICA",CT92="NO MENCIONA"),"",IF(CU92=0,CT92,IF(CU92=1,CT92/30,IF(CU92=2,CT92/15,IF(CU92=3,CT92/7,"")))))</f>
        <v>465</v>
      </c>
      <c r="CW92" s="125" t="s">
        <v>216</v>
      </c>
      <c r="CX92" s="0" t="s">
        <v>216</v>
      </c>
      <c r="CY92" s="0" t="str">
        <f aca="false">IF(CW92="","",IF(CX92=0,CW92,IF(CX92=1,CW92/30,IF(CX92=2,CW92/15,IF(CX92=3,CW92/7,CW92)))))</f>
        <v>NO MENCIONA</v>
      </c>
      <c r="CZ92" s="0" t="n">
        <f aca="false">IF(DI92&gt;0,DI92,IF(CY92&gt;0,CY92,IF(CV92&gt;0,CV92,"")))</f>
        <v>865</v>
      </c>
      <c r="DA92" s="0" t="n">
        <f aca="false">IF(DM92=1,CZ92/8,IF(OR(DM92=2,DM92=4),CZ92/7,IF(DM92=3,CZ92/7.5,"")))</f>
        <v>108.125</v>
      </c>
      <c r="DB92" s="0" t="s">
        <v>417</v>
      </c>
      <c r="DC92" s="0" t="s">
        <v>216</v>
      </c>
      <c r="DD92" s="0" t="s">
        <v>216</v>
      </c>
      <c r="DE92" s="0" t="s">
        <v>216</v>
      </c>
      <c r="DF92" s="0" t="s">
        <v>216</v>
      </c>
      <c r="DG92" s="0" t="s">
        <v>216</v>
      </c>
      <c r="DH92" s="0" t="n">
        <v>0</v>
      </c>
      <c r="DI92" s="126" t="n">
        <v>865</v>
      </c>
      <c r="DK92" s="0" t="n">
        <v>0</v>
      </c>
      <c r="DM92" s="0" t="n">
        <v>1</v>
      </c>
      <c r="DN92" s="0" t="n">
        <v>70</v>
      </c>
      <c r="DO92" s="0" t="n">
        <v>3</v>
      </c>
      <c r="DP92" s="0" t="n">
        <v>0</v>
      </c>
      <c r="DQ92" s="0" t="n">
        <v>1</v>
      </c>
      <c r="DR92" s="0"/>
      <c r="DS92" s="0" t="n">
        <v>1</v>
      </c>
      <c r="DU92" s="0" t="n">
        <v>1</v>
      </c>
      <c r="DW92" s="1" t="n">
        <v>38845</v>
      </c>
      <c r="DX92" s="1" t="n">
        <v>40607</v>
      </c>
      <c r="DZ92" s="0"/>
      <c r="EA92" s="0" t="n">
        <v>1</v>
      </c>
      <c r="EC92" s="1" t="n">
        <v>38845</v>
      </c>
      <c r="ED92" s="1" t="n">
        <v>40607</v>
      </c>
      <c r="EF92" s="0"/>
      <c r="EG92" s="0" t="n">
        <v>1</v>
      </c>
      <c r="EH92" s="0" t="n">
        <v>12</v>
      </c>
      <c r="EI92" s="0" t="n">
        <f aca="false">IF(AND(DM92=1,DN92&lt;=48),"",IF(AND(DM92=2,DN92&lt;=42),"",IF(AND(DM92=3,DN92&lt;=45),"",EH92)))</f>
        <v>12</v>
      </c>
      <c r="EJ92" s="0" t="n">
        <f aca="false">IF(EI92="","",IF(EI92&lt;9,EI92,9))</f>
        <v>9</v>
      </c>
      <c r="EK92" s="0" t="n">
        <f aca="false">IF(EI92="","",IF(EI92&gt;9,EI92-EJ92,0))</f>
        <v>3</v>
      </c>
      <c r="EL92" s="0" t="n">
        <f aca="false">IF(EI92="","",EJ92*DA92*2+EK92*DA92*3)</f>
        <v>2919.375</v>
      </c>
      <c r="EP92" s="0" t="n">
        <v>1</v>
      </c>
      <c r="EQ92" s="0"/>
      <c r="ER92" s="0" t="n">
        <v>1</v>
      </c>
      <c r="ET92" s="0" t="n">
        <v>0</v>
      </c>
      <c r="EV92" s="0" t="n">
        <v>1</v>
      </c>
      <c r="EX92" s="0" t="n">
        <v>1</v>
      </c>
      <c r="EY92" s="0" t="n">
        <v>1</v>
      </c>
      <c r="EZ92" s="0"/>
      <c r="FA92" s="4" t="n">
        <v>6055</v>
      </c>
      <c r="FB92" s="0" t="n">
        <v>0</v>
      </c>
      <c r="FF92" s="120" t="n">
        <f aca="false">(CJ92-CI92+1)/365</f>
        <v>4.83013698630137</v>
      </c>
      <c r="FG92" s="0" t="str">
        <f aca="false">CONCATENATE(F92,"/",G92)</f>
        <v>473/2011</v>
      </c>
      <c r="FH92" s="0" t="n">
        <v>0</v>
      </c>
      <c r="FI92" s="0" t="n">
        <v>0</v>
      </c>
    </row>
    <row r="93" customFormat="false" ht="15" hidden="false" customHeight="false" outlineLevel="0" collapsed="false">
      <c r="A93" s="5" t="str">
        <f aca="false">E93&amp;G93&amp;F93</f>
        <v>72011473</v>
      </c>
      <c r="B93" s="0" t="s">
        <v>203</v>
      </c>
      <c r="C93" s="1" t="n">
        <v>42410</v>
      </c>
      <c r="E93" s="0" t="n">
        <v>7</v>
      </c>
      <c r="F93" s="0" t="n">
        <v>473</v>
      </c>
      <c r="G93" s="0" t="n">
        <v>2011</v>
      </c>
      <c r="H93" s="0" t="str">
        <f aca="false">"J"&amp;E93&amp;"\"&amp;F93&amp;"\"&amp;G93&amp;"\"&amp;W93</f>
        <v>J7\473\2011\3</v>
      </c>
      <c r="I93" s="0"/>
      <c r="J93" s="1" t="n">
        <v>40611</v>
      </c>
      <c r="K93" s="0" t="n">
        <v>0</v>
      </c>
      <c r="M93" s="1" t="n">
        <v>40611</v>
      </c>
      <c r="N93" s="1" t="n">
        <v>40707</v>
      </c>
      <c r="O93" s="1"/>
      <c r="P93" s="1"/>
      <c r="Q93" s="1"/>
      <c r="T93" s="121"/>
      <c r="U93" s="121"/>
      <c r="V93" s="122" t="n">
        <f aca="false">IF(AND(E93&gt;0,F93&gt;0,G93&gt;0),COUNTIFS($E:$E,E93,$F:$F,F93,$G:$G,G93),"")</f>
        <v>3</v>
      </c>
      <c r="W93" s="122" t="n">
        <f aca="false">IF(V93="","",IF(V93=1,1,IF(AND(E92=E93,F92=F93,G92=G93),W92+1,1)))</f>
        <v>3</v>
      </c>
      <c r="X93" s="0" t="n">
        <v>3</v>
      </c>
      <c r="Y93" s="0" t="n">
        <v>3</v>
      </c>
      <c r="Z93" s="0" t="s">
        <v>1225</v>
      </c>
      <c r="AA93" s="0" t="n">
        <v>0</v>
      </c>
      <c r="AB93" s="0" t="s">
        <v>1214</v>
      </c>
      <c r="AC93" s="0" t="s">
        <v>672</v>
      </c>
      <c r="AD93" s="0" t="s">
        <v>268</v>
      </c>
      <c r="AE93" s="0" t="n">
        <v>0</v>
      </c>
      <c r="AF93" s="0" t="s">
        <v>1215</v>
      </c>
      <c r="AG93" s="0" t="n">
        <v>0</v>
      </c>
      <c r="AH93" s="0" t="s">
        <v>1216</v>
      </c>
      <c r="AI93" s="0" t="s">
        <v>1136</v>
      </c>
      <c r="AJ93" s="0" t="s">
        <v>755</v>
      </c>
      <c r="AL93" s="0" t="s">
        <v>1217</v>
      </c>
      <c r="AM93" s="0" t="n">
        <v>1</v>
      </c>
      <c r="AN93" s="0" t="s">
        <v>1216</v>
      </c>
      <c r="AO93" s="0" t="s">
        <v>1136</v>
      </c>
      <c r="AP93" s="0" t="s">
        <v>755</v>
      </c>
      <c r="AR93" s="0" t="s">
        <v>213</v>
      </c>
      <c r="AS93" s="0" t="n">
        <v>1</v>
      </c>
      <c r="AT93" s="0" t="s">
        <v>1216</v>
      </c>
      <c r="AU93" s="0" t="s">
        <v>1136</v>
      </c>
      <c r="AV93" s="0" t="s">
        <v>755</v>
      </c>
      <c r="BP93" s="0" t="n">
        <v>0</v>
      </c>
      <c r="BQ93" s="0" t="n">
        <v>0</v>
      </c>
      <c r="BR93" s="0" t="n">
        <v>1</v>
      </c>
      <c r="BS93" s="0" t="s">
        <v>1218</v>
      </c>
      <c r="BT93" s="0" t="s">
        <v>1219</v>
      </c>
      <c r="BU93" s="0" t="s">
        <v>1220</v>
      </c>
      <c r="BV93" s="123"/>
      <c r="BW93" s="123"/>
      <c r="BX93" s="123"/>
      <c r="BY93" s="123"/>
      <c r="BZ93" s="0" t="n">
        <v>0</v>
      </c>
      <c r="CA93" s="0" t="s">
        <v>216</v>
      </c>
      <c r="CD93" s="0" t="s">
        <v>216</v>
      </c>
      <c r="CE93" s="0" t="n">
        <v>0</v>
      </c>
      <c r="CF93" s="0" t="s">
        <v>1224</v>
      </c>
      <c r="CG93" s="0" t="s">
        <v>1222</v>
      </c>
      <c r="CH93" s="0" t="n">
        <v>1</v>
      </c>
      <c r="CI93" s="1" t="n">
        <v>39503</v>
      </c>
      <c r="CJ93" s="1" t="n">
        <v>40607</v>
      </c>
      <c r="CK93" s="124" t="n">
        <v>0.25</v>
      </c>
      <c r="CL93" s="0" t="s">
        <v>1217</v>
      </c>
      <c r="CM93" s="0" t="n">
        <f aca="false">IF(OR(CI93="",CJ93=""),"",DAYS360(CI93,CJ93)/360)</f>
        <v>3.02777777777778</v>
      </c>
      <c r="CN93" s="0" t="n">
        <f aca="false">IF(OR(CI93="",CJ93=""),"",DAYS360(CI93,CJ93)/30)</f>
        <v>36.3333333333333</v>
      </c>
      <c r="CO93" s="0" t="n">
        <f aca="false">IF(OR(CI93="",CJ93=""),"",DAYS360(CI93,CJ93)/7)</f>
        <v>155.714285714286</v>
      </c>
      <c r="CP93" s="0" t="n">
        <f aca="false">IF(OR(CI93="",CJ93=""),"",DAYS360(CI93,CJ93))</f>
        <v>1090</v>
      </c>
      <c r="CQ93" s="0" t="s">
        <v>240</v>
      </c>
      <c r="CR93" s="0" t="n">
        <v>1</v>
      </c>
      <c r="CT93" s="0" t="n">
        <v>465</v>
      </c>
      <c r="CU93" s="0" t="n">
        <v>0</v>
      </c>
      <c r="CV93" s="0" t="n">
        <f aca="false">IF(OR(CT93="",CT93="NO ESPECIFICA",CT93="NO MENCIONA"),"",IF(CU93=0,CT93,IF(CU93=1,CT93/30,IF(CU93=2,CT93/15,IF(CU93=3,CT93/7,"")))))</f>
        <v>465</v>
      </c>
      <c r="CW93" s="125" t="s">
        <v>216</v>
      </c>
      <c r="CX93" s="0" t="s">
        <v>216</v>
      </c>
      <c r="CY93" s="0" t="str">
        <f aca="false">IF(CW93="","",IF(CX93=0,CW93,IF(CX93=1,CW93/30,IF(CX93=2,CW93/15,IF(CX93=3,CW93/7,CW93)))))</f>
        <v>NO MENCIONA</v>
      </c>
      <c r="CZ93" s="0" t="n">
        <f aca="false">IF(DI93&gt;0,DI93,IF(CY93&gt;0,CY93,IF(CV93&gt;0,CV93,"")))</f>
        <v>865</v>
      </c>
      <c r="DA93" s="0" t="n">
        <f aca="false">IF(DM93=1,CZ93/8,IF(OR(DM93=2,DM93=4),CZ93/7,IF(DM93=3,CZ93/7.5,"")))</f>
        <v>108.125</v>
      </c>
      <c r="DB93" s="0" t="s">
        <v>417</v>
      </c>
      <c r="DC93" s="0" t="s">
        <v>216</v>
      </c>
      <c r="DD93" s="0" t="s">
        <v>216</v>
      </c>
      <c r="DE93" s="0" t="s">
        <v>216</v>
      </c>
      <c r="DF93" s="0" t="s">
        <v>216</v>
      </c>
      <c r="DG93" s="0" t="s">
        <v>216</v>
      </c>
      <c r="DH93" s="0" t="n">
        <v>0</v>
      </c>
      <c r="DI93" s="126" t="n">
        <v>865</v>
      </c>
      <c r="DK93" s="0" t="n">
        <v>0</v>
      </c>
      <c r="DM93" s="0" t="n">
        <v>1</v>
      </c>
      <c r="DN93" s="0" t="n">
        <v>70</v>
      </c>
      <c r="DO93" s="0" t="n">
        <v>3</v>
      </c>
      <c r="DP93" s="0" t="n">
        <v>0</v>
      </c>
      <c r="DQ93" s="0" t="n">
        <v>1</v>
      </c>
      <c r="DR93" s="0"/>
      <c r="DS93" s="0" t="n">
        <v>1</v>
      </c>
      <c r="DU93" s="0" t="n">
        <v>1</v>
      </c>
      <c r="DW93" s="1" t="n">
        <v>39503</v>
      </c>
      <c r="DX93" s="1" t="n">
        <v>40607</v>
      </c>
      <c r="DZ93" s="0"/>
      <c r="EA93" s="0" t="n">
        <v>1</v>
      </c>
      <c r="EC93" s="1" t="n">
        <v>39503</v>
      </c>
      <c r="ED93" s="1" t="n">
        <v>40607</v>
      </c>
      <c r="EF93" s="0"/>
      <c r="EG93" s="0" t="n">
        <v>1</v>
      </c>
      <c r="EH93" s="0" t="n">
        <v>12</v>
      </c>
      <c r="EI93" s="0" t="n">
        <f aca="false">IF(AND(DM93=1,DN93&lt;=48),"",IF(AND(DM93=2,DN93&lt;=42),"",IF(AND(DM93=3,DN93&lt;=45),"",EH93)))</f>
        <v>12</v>
      </c>
      <c r="EJ93" s="0" t="n">
        <f aca="false">IF(EI93="","",IF(EI93&lt;9,EI93,9))</f>
        <v>9</v>
      </c>
      <c r="EK93" s="0" t="n">
        <f aca="false">IF(EI93="","",IF(EI93&gt;9,EI93-EJ93,0))</f>
        <v>3</v>
      </c>
      <c r="EL93" s="0" t="n">
        <f aca="false">IF(EI93="","",EJ93*DA93*2+EK93*DA93*3)</f>
        <v>2919.375</v>
      </c>
      <c r="EP93" s="0" t="n">
        <v>1</v>
      </c>
      <c r="EQ93" s="0"/>
      <c r="ER93" s="0" t="n">
        <v>1</v>
      </c>
      <c r="ET93" s="0" t="n">
        <v>0</v>
      </c>
      <c r="EV93" s="0" t="n">
        <v>1</v>
      </c>
      <c r="EX93" s="0" t="n">
        <v>1</v>
      </c>
      <c r="EY93" s="0" t="n">
        <v>1</v>
      </c>
      <c r="EZ93" s="0"/>
      <c r="FA93" s="4" t="n">
        <v>6055</v>
      </c>
      <c r="FB93" s="0" t="n">
        <v>0</v>
      </c>
      <c r="FF93" s="120" t="n">
        <f aca="false">(CJ93-CI93+1)/365</f>
        <v>3.02739726027397</v>
      </c>
      <c r="FG93" s="0" t="str">
        <f aca="false">CONCATENATE(F93,"/",G93)</f>
        <v>473/2011</v>
      </c>
      <c r="FH93" s="0" t="n">
        <v>0</v>
      </c>
      <c r="FI93" s="0" t="n">
        <v>0</v>
      </c>
    </row>
    <row r="94" customFormat="false" ht="15" hidden="false" customHeight="false" outlineLevel="0" collapsed="false">
      <c r="A94" s="5" t="str">
        <f aca="false">E94&amp;G94&amp;F94</f>
        <v>72011479</v>
      </c>
      <c r="B94" s="0" t="s">
        <v>203</v>
      </c>
      <c r="C94" s="1" t="n">
        <v>42410</v>
      </c>
      <c r="E94" s="0" t="n">
        <v>7</v>
      </c>
      <c r="F94" s="0" t="n">
        <v>479</v>
      </c>
      <c r="G94" s="0" t="n">
        <v>2011</v>
      </c>
      <c r="H94" s="0" t="str">
        <f aca="false">"J"&amp;E94&amp;"\"&amp;F94&amp;"\"&amp;G94&amp;"\"&amp;W94</f>
        <v>J7\479\2011\1</v>
      </c>
      <c r="I94" s="0"/>
      <c r="J94" s="1" t="n">
        <v>40612</v>
      </c>
      <c r="K94" s="0" t="n">
        <v>0</v>
      </c>
      <c r="M94" s="1"/>
      <c r="N94" s="1"/>
      <c r="O94" s="1"/>
      <c r="P94" s="1"/>
      <c r="Q94" s="1"/>
      <c r="T94" s="121"/>
      <c r="U94" s="121"/>
      <c r="V94" s="122" t="n">
        <f aca="false">IF(AND(E94&gt;0,F94&gt;0,G94&gt;0),COUNTIFS($E:$E,E94,$F:$F,F94,$G:$G,G94),"")</f>
        <v>1</v>
      </c>
      <c r="W94" s="122" t="n">
        <f aca="false">IF(V94="","",IF(V94=1,1,IF(AND(E93=E94,F93=F94,G93=G94),W93+1,1)))</f>
        <v>1</v>
      </c>
      <c r="X94" s="0" t="n">
        <v>1</v>
      </c>
      <c r="Y94" s="0" t="n">
        <v>4</v>
      </c>
      <c r="Z94" s="0" t="s">
        <v>1226</v>
      </c>
      <c r="AA94" s="0" t="n">
        <v>0</v>
      </c>
      <c r="AB94" s="0" t="s">
        <v>1227</v>
      </c>
      <c r="AC94" s="0" t="s">
        <v>274</v>
      </c>
      <c r="AD94" s="0" t="s">
        <v>221</v>
      </c>
      <c r="AE94" s="0" t="n">
        <v>0</v>
      </c>
      <c r="AF94" s="0" t="s">
        <v>1228</v>
      </c>
      <c r="AG94" s="0" t="n">
        <v>0</v>
      </c>
      <c r="AH94" s="0" t="s">
        <v>1229</v>
      </c>
      <c r="AI94" s="0" t="s">
        <v>1230</v>
      </c>
      <c r="AJ94" s="0" t="s">
        <v>411</v>
      </c>
      <c r="AL94" s="0" t="s">
        <v>213</v>
      </c>
      <c r="AM94" s="0" t="n">
        <v>1</v>
      </c>
      <c r="AN94" s="0" t="s">
        <v>1229</v>
      </c>
      <c r="AO94" s="0" t="s">
        <v>1230</v>
      </c>
      <c r="AP94" s="0" t="s">
        <v>411</v>
      </c>
      <c r="AR94" s="0" t="s">
        <v>249</v>
      </c>
      <c r="AS94" s="0" t="n">
        <v>0</v>
      </c>
      <c r="AT94" s="0" t="s">
        <v>964</v>
      </c>
      <c r="AX94" s="0" t="s">
        <v>412</v>
      </c>
      <c r="AY94" s="0" t="n">
        <v>0</v>
      </c>
      <c r="AZ94" s="0" t="s">
        <v>437</v>
      </c>
      <c r="BA94" s="0" t="s">
        <v>438</v>
      </c>
      <c r="BB94" s="0" t="s">
        <v>352</v>
      </c>
      <c r="BP94" s="0" t="n">
        <v>0</v>
      </c>
      <c r="BQ94" s="0" t="n">
        <v>0</v>
      </c>
      <c r="BR94" s="0" t="n">
        <v>1</v>
      </c>
      <c r="BS94" s="0" t="s">
        <v>1231</v>
      </c>
      <c r="BT94" s="0" t="s">
        <v>1232</v>
      </c>
      <c r="BU94" s="0" t="s">
        <v>1233</v>
      </c>
      <c r="BV94" s="123"/>
      <c r="BW94" s="123"/>
      <c r="BX94" s="123"/>
      <c r="BY94" s="123"/>
      <c r="BZ94" s="0" t="n">
        <v>0</v>
      </c>
      <c r="CA94" s="0" t="s">
        <v>1234</v>
      </c>
      <c r="CD94" s="0" t="s">
        <v>556</v>
      </c>
      <c r="CE94" s="0" t="n">
        <v>0</v>
      </c>
      <c r="CF94" s="0" t="s">
        <v>1235</v>
      </c>
      <c r="CG94" s="0" t="s">
        <v>218</v>
      </c>
      <c r="CI94" s="1" t="n">
        <v>40179</v>
      </c>
      <c r="CJ94" s="1" t="n">
        <v>40590</v>
      </c>
      <c r="CK94" s="124" t="n">
        <v>0.375</v>
      </c>
      <c r="CL94" s="0" t="s">
        <v>1236</v>
      </c>
      <c r="CM94" s="0" t="n">
        <f aca="false">IF(OR(CI94="",CJ94=""),"",DAYS360(CI94,CJ94)/360)</f>
        <v>1.125</v>
      </c>
      <c r="CN94" s="0" t="n">
        <f aca="false">IF(OR(CI94="",CJ94=""),"",DAYS360(CI94,CJ94)/30)</f>
        <v>13.5</v>
      </c>
      <c r="CO94" s="0" t="n">
        <f aca="false">IF(OR(CI94="",CJ94=""),"",DAYS360(CI94,CJ94)/7)</f>
        <v>57.8571428571429</v>
      </c>
      <c r="CP94" s="0" t="n">
        <f aca="false">IF(OR(CI94="",CJ94=""),"",DAYS360(CI94,CJ94))</f>
        <v>405</v>
      </c>
      <c r="CQ94" s="0" t="s">
        <v>220</v>
      </c>
      <c r="CR94" s="0" t="n">
        <v>1</v>
      </c>
      <c r="CT94" s="0" t="n">
        <v>150</v>
      </c>
      <c r="CU94" s="0" t="n">
        <v>0</v>
      </c>
      <c r="CV94" s="0" t="n">
        <f aca="false">IF(OR(CT94="",CT94="NO ESPECIFICA",CT94="NO MENCIONA"),"",IF(CU94=0,CT94,IF(CU94=1,CT94/30,IF(CU94=2,CT94/15,IF(CU94=3,CT94/7,"")))))</f>
        <v>150</v>
      </c>
      <c r="CW94" s="125" t="n">
        <v>300</v>
      </c>
      <c r="CX94" s="0" t="n">
        <v>0</v>
      </c>
      <c r="CY94" s="0" t="n">
        <f aca="false">IF(CW94="","",IF(CX94=0,CW94,IF(CX94=1,CW94/30,IF(CX94=2,CW94/15,IF(CX94=3,CW94/7,CW94)))))</f>
        <v>300</v>
      </c>
      <c r="CZ94" s="0" t="n">
        <f aca="false">IF(DI94&gt;0,DI94,IF(CY94&gt;0,CY94,IF(CV94&gt;0,CV94,"")))</f>
        <v>300</v>
      </c>
      <c r="DA94" s="0" t="n">
        <f aca="false">IF(DM94=1,CZ94/8,IF(OR(DM94=2,DM94=4),CZ94/7,IF(DM94=3,CZ94/7.5,"")))</f>
        <v>37.5</v>
      </c>
      <c r="DB94" s="0" t="s">
        <v>299</v>
      </c>
      <c r="DC94" s="0" t="s">
        <v>258</v>
      </c>
      <c r="DD94" s="0" t="s">
        <v>259</v>
      </c>
      <c r="DE94" s="0" t="s">
        <v>216</v>
      </c>
      <c r="DF94" s="0" t="s">
        <v>216</v>
      </c>
      <c r="DG94" s="0" t="s">
        <v>216</v>
      </c>
      <c r="DH94" s="0" t="n">
        <v>0</v>
      </c>
      <c r="DI94" s="126" t="n">
        <v>300</v>
      </c>
      <c r="DK94" s="0" t="n">
        <v>1</v>
      </c>
      <c r="DM94" s="0" t="n">
        <v>1</v>
      </c>
      <c r="DN94" s="0" t="n">
        <v>60</v>
      </c>
      <c r="DO94" s="0" t="n">
        <v>3</v>
      </c>
      <c r="DP94" s="0" t="n">
        <v>1</v>
      </c>
      <c r="DQ94" s="0" t="n">
        <v>1</v>
      </c>
      <c r="DR94" s="0"/>
      <c r="DS94" s="0" t="n">
        <v>1</v>
      </c>
      <c r="DU94" s="0" t="n">
        <v>1</v>
      </c>
      <c r="DW94" s="1" t="n">
        <v>40179</v>
      </c>
      <c r="DX94" s="1" t="n">
        <v>40590</v>
      </c>
      <c r="DZ94" s="0"/>
      <c r="EA94" s="0" t="n">
        <v>1</v>
      </c>
      <c r="EC94" s="1" t="n">
        <v>40179</v>
      </c>
      <c r="ED94" s="1" t="n">
        <v>40590</v>
      </c>
      <c r="EF94" s="0"/>
      <c r="EG94" s="0" t="n">
        <v>1</v>
      </c>
      <c r="EH94" s="0" t="n">
        <v>12</v>
      </c>
      <c r="EI94" s="0" t="n">
        <f aca="false">IF(AND(DM94=1,DN94&lt;=48),"",IF(AND(DM94=2,DN94&lt;=42),"",IF(AND(DM94=3,DN94&lt;=45),"",EH94)))</f>
        <v>12</v>
      </c>
      <c r="EJ94" s="0" t="n">
        <f aca="false">IF(EI94="","",IF(EI94&lt;9,EI94,9))</f>
        <v>9</v>
      </c>
      <c r="EK94" s="0" t="n">
        <f aca="false">IF(EI94="","",IF(EI94&gt;9,EI94-EJ94,0))</f>
        <v>3</v>
      </c>
      <c r="EL94" s="0" t="n">
        <f aca="false">IF(EI94="","",EJ94*DA94*2+EK94*DA94*3)</f>
        <v>1012.5</v>
      </c>
      <c r="EP94" s="0" t="n">
        <v>0</v>
      </c>
      <c r="EQ94" s="0"/>
      <c r="ER94" s="0" t="n">
        <v>0</v>
      </c>
      <c r="ET94" s="0" t="n">
        <v>0</v>
      </c>
      <c r="EV94" s="0" t="n">
        <v>0</v>
      </c>
      <c r="EX94" s="0" t="n">
        <v>1</v>
      </c>
      <c r="EY94" s="0" t="n">
        <v>0</v>
      </c>
      <c r="EZ94" s="0"/>
      <c r="FA94" s="4" t="n">
        <v>18000</v>
      </c>
      <c r="FB94" s="0" t="n">
        <v>0</v>
      </c>
      <c r="FF94" s="120" t="n">
        <f aca="false">(CJ94-CI94+1)/365</f>
        <v>1.12876712328767</v>
      </c>
      <c r="FG94" s="0" t="str">
        <f aca="false">CONCATENATE(F94,"/",G94)</f>
        <v>479/2011</v>
      </c>
      <c r="FH94" s="0" t="n">
        <v>0</v>
      </c>
      <c r="FI94" s="0" t="n">
        <v>0</v>
      </c>
    </row>
    <row r="95" customFormat="false" ht="15" hidden="false" customHeight="false" outlineLevel="0" collapsed="false">
      <c r="A95" s="5" t="str">
        <f aca="false">E95&amp;G95&amp;F95</f>
        <v>72011482</v>
      </c>
      <c r="B95" s="0" t="s">
        <v>203</v>
      </c>
      <c r="C95" s="1" t="n">
        <v>42410</v>
      </c>
      <c r="E95" s="0" t="n">
        <v>7</v>
      </c>
      <c r="F95" s="0" t="n">
        <v>482</v>
      </c>
      <c r="G95" s="0" t="n">
        <v>2011</v>
      </c>
      <c r="H95" s="0" t="str">
        <f aca="false">"J"&amp;E95&amp;"\"&amp;F95&amp;"\"&amp;G95&amp;"\"&amp;W95</f>
        <v>J7\482\2011\1</v>
      </c>
      <c r="I95" s="0"/>
      <c r="J95" s="1" t="n">
        <v>40612</v>
      </c>
      <c r="K95" s="0" t="n">
        <v>1</v>
      </c>
      <c r="L95" s="0" t="s">
        <v>528</v>
      </c>
      <c r="M95" s="1" t="n">
        <v>40610</v>
      </c>
      <c r="N95" s="1" t="n">
        <v>40708</v>
      </c>
      <c r="O95" s="1"/>
      <c r="P95" s="1"/>
      <c r="Q95" s="1"/>
      <c r="T95" s="121"/>
      <c r="U95" s="121"/>
      <c r="V95" s="122" t="n">
        <f aca="false">IF(AND(E95&gt;0,F95&gt;0,G95&gt;0),COUNTIFS($E:$E,E95,$F:$F,F95,$G:$G,G95),"")</f>
        <v>1</v>
      </c>
      <c r="W95" s="122" t="n">
        <f aca="false">IF(V95="","",IF(V95=1,1,IF(AND(E94=E95,F94=F95,G94=G95),W94+1,1)))</f>
        <v>1</v>
      </c>
      <c r="X95" s="0" t="n">
        <v>1</v>
      </c>
      <c r="Y95" s="0" t="n">
        <v>5</v>
      </c>
      <c r="Z95" s="0" t="s">
        <v>1237</v>
      </c>
      <c r="AA95" s="0" t="n">
        <v>0</v>
      </c>
      <c r="AB95" s="0" t="s">
        <v>1238</v>
      </c>
      <c r="AC95" s="0" t="s">
        <v>318</v>
      </c>
      <c r="AD95" s="0" t="s">
        <v>229</v>
      </c>
      <c r="AE95" s="0" t="n">
        <v>0</v>
      </c>
      <c r="AF95" s="0" t="s">
        <v>1239</v>
      </c>
      <c r="AG95" s="0" t="n">
        <v>0</v>
      </c>
      <c r="AH95" s="0" t="s">
        <v>1240</v>
      </c>
      <c r="AI95" s="0" t="s">
        <v>1241</v>
      </c>
      <c r="AJ95" s="0" t="s">
        <v>352</v>
      </c>
      <c r="AL95" s="0" t="s">
        <v>1242</v>
      </c>
      <c r="AM95" s="0" t="n">
        <v>1</v>
      </c>
      <c r="AN95" s="0" t="s">
        <v>1240</v>
      </c>
      <c r="AO95" s="0" t="s">
        <v>1241</v>
      </c>
      <c r="AP95" s="0" t="s">
        <v>352</v>
      </c>
      <c r="AR95" s="0" t="s">
        <v>1243</v>
      </c>
      <c r="AS95" s="0" t="n">
        <v>1</v>
      </c>
      <c r="AT95" s="0" t="s">
        <v>1240</v>
      </c>
      <c r="AU95" s="0" t="s">
        <v>1241</v>
      </c>
      <c r="AV95" s="0" t="s">
        <v>352</v>
      </c>
      <c r="AX95" s="0" t="s">
        <v>1244</v>
      </c>
      <c r="AY95" s="0" t="n">
        <v>1</v>
      </c>
      <c r="AZ95" s="0" t="s">
        <v>1240</v>
      </c>
      <c r="BA95" s="0" t="s">
        <v>1241</v>
      </c>
      <c r="BB95" s="0" t="s">
        <v>352</v>
      </c>
      <c r="BD95" s="0" t="s">
        <v>213</v>
      </c>
      <c r="BE95" s="0" t="n">
        <v>1</v>
      </c>
      <c r="BF95" s="0" t="s">
        <v>1240</v>
      </c>
      <c r="BG95" s="0" t="s">
        <v>1241</v>
      </c>
      <c r="BH95" s="0" t="s">
        <v>352</v>
      </c>
      <c r="BP95" s="0" t="n">
        <v>0</v>
      </c>
      <c r="BQ95" s="0" t="n">
        <v>0</v>
      </c>
      <c r="BR95" s="0" t="n">
        <v>1</v>
      </c>
      <c r="BS95" s="0" t="s">
        <v>1245</v>
      </c>
      <c r="BT95" s="0" t="s">
        <v>1246</v>
      </c>
      <c r="BU95" s="0" t="s">
        <v>1247</v>
      </c>
      <c r="BV95" s="123"/>
      <c r="BW95" s="123"/>
      <c r="BX95" s="123"/>
      <c r="BY95" s="123"/>
      <c r="BZ95" s="0" t="n">
        <v>0</v>
      </c>
      <c r="CA95" s="0" t="s">
        <v>1248</v>
      </c>
      <c r="CD95" s="0" t="s">
        <v>370</v>
      </c>
      <c r="CE95" s="0" t="n">
        <v>0</v>
      </c>
      <c r="CF95" s="0" t="s">
        <v>1249</v>
      </c>
      <c r="CG95" s="0" t="s">
        <v>218</v>
      </c>
      <c r="CI95" s="1" t="n">
        <v>39562</v>
      </c>
      <c r="CJ95" s="1" t="n">
        <v>40571</v>
      </c>
      <c r="CK95" s="124" t="n">
        <v>0.520833333333333</v>
      </c>
      <c r="CL95" s="0" t="s">
        <v>1250</v>
      </c>
      <c r="CM95" s="0" t="n">
        <f aca="false">IF(OR(CI95="",CJ95=""),"",DAYS360(CI95,CJ95)/360)</f>
        <v>2.76111111111111</v>
      </c>
      <c r="CN95" s="0" t="n">
        <f aca="false">IF(OR(CI95="",CJ95=""),"",DAYS360(CI95,CJ95)/30)</f>
        <v>33.1333333333333</v>
      </c>
      <c r="CO95" s="0" t="n">
        <f aca="false">IF(OR(CI95="",CJ95=""),"",DAYS360(CI95,CJ95)/7)</f>
        <v>142</v>
      </c>
      <c r="CP95" s="0" t="n">
        <f aca="false">IF(OR(CI95="",CJ95=""),"",DAYS360(CI95,CJ95))</f>
        <v>994</v>
      </c>
      <c r="CQ95" s="0" t="s">
        <v>240</v>
      </c>
      <c r="CR95" s="0" t="n">
        <v>1</v>
      </c>
      <c r="CT95" s="0" t="s">
        <v>216</v>
      </c>
      <c r="CU95" s="0" t="s">
        <v>216</v>
      </c>
      <c r="CV95" s="0" t="str">
        <f aca="false">IF(OR(CT95="",CT95="NO ESPECIFICA",CT95="NO MENCIONA"),"",IF(CU95=0,CT95,IF(CU95=1,CT95/30,IF(CU95=2,CT95/15,IF(CU95=3,CT95/7,"")))))</f>
        <v/>
      </c>
      <c r="CW95" s="125" t="n">
        <v>739.79</v>
      </c>
      <c r="CX95" s="0" t="n">
        <v>0</v>
      </c>
      <c r="CY95" s="0" t="n">
        <f aca="false">IF(CW95="","",IF(CX95=0,CW95,IF(CX95=1,CW95/30,IF(CX95=2,CW95/15,IF(CX95=3,CW95/7,CW95)))))</f>
        <v>739.79</v>
      </c>
      <c r="CZ95" s="0" t="n">
        <f aca="false">IF(DI95&gt;0,DI95,IF(CY95&gt;0,CY95,IF(CV95&gt;0,CV95,"")))</f>
        <v>739.7</v>
      </c>
      <c r="DA95" s="0" t="n">
        <f aca="false">IF(DM95=1,CZ95/8,IF(OR(DM95=2,DM95=4),CZ95/7,IF(DM95=3,CZ95/7.5,"")))</f>
        <v>92.4625</v>
      </c>
      <c r="DB95" s="0" t="s">
        <v>303</v>
      </c>
      <c r="DC95" s="0" t="s">
        <v>301</v>
      </c>
      <c r="DD95" s="0" t="s">
        <v>412</v>
      </c>
      <c r="DE95" s="0" t="s">
        <v>417</v>
      </c>
      <c r="DF95" s="0" t="s">
        <v>216</v>
      </c>
      <c r="DG95" s="0" t="s">
        <v>216</v>
      </c>
      <c r="DH95" s="0" t="n">
        <v>0</v>
      </c>
      <c r="DI95" s="126" t="n">
        <v>739.7</v>
      </c>
      <c r="DK95" s="0" t="n">
        <v>0</v>
      </c>
      <c r="DM95" s="0" t="n">
        <v>1</v>
      </c>
      <c r="DN95" s="0" t="n">
        <v>60</v>
      </c>
      <c r="DO95" s="0" t="n">
        <v>3</v>
      </c>
      <c r="DP95" s="0" t="n">
        <v>0</v>
      </c>
      <c r="DQ95" s="0" t="n">
        <v>1</v>
      </c>
      <c r="DR95" s="0"/>
      <c r="DS95" s="0" t="n">
        <v>1</v>
      </c>
      <c r="DU95" s="0" t="n">
        <v>1</v>
      </c>
      <c r="DW95" s="1" t="n">
        <v>39562</v>
      </c>
      <c r="DX95" s="1" t="n">
        <v>40571</v>
      </c>
      <c r="DZ95" s="0"/>
      <c r="EA95" s="0" t="n">
        <v>1</v>
      </c>
      <c r="EC95" s="1" t="n">
        <v>39562</v>
      </c>
      <c r="ED95" s="1" t="n">
        <v>40571</v>
      </c>
      <c r="EF95" s="0"/>
      <c r="EG95" s="0" t="n">
        <v>1</v>
      </c>
      <c r="EH95" s="0" t="n">
        <v>12</v>
      </c>
      <c r="EI95" s="0" t="n">
        <f aca="false">IF(AND(DM95=1,DN95&lt;=48),"",IF(AND(DM95=2,DN95&lt;=42),"",IF(AND(DM95=3,DN95&lt;=45),"",EH95)))</f>
        <v>12</v>
      </c>
      <c r="EJ95" s="0" t="n">
        <f aca="false">IF(EI95="","",IF(EI95&lt;9,EI95,9))</f>
        <v>9</v>
      </c>
      <c r="EK95" s="0" t="n">
        <f aca="false">IF(EI95="","",IF(EI95&gt;9,EI95-EJ95,0))</f>
        <v>3</v>
      </c>
      <c r="EL95" s="0" t="n">
        <f aca="false">IF(EI95="","",EJ95*DA95*2+EK95*DA95*3)</f>
        <v>2496.4875</v>
      </c>
      <c r="EN95" s="0" t="n">
        <v>72118.8</v>
      </c>
      <c r="EP95" s="0" t="n">
        <v>0</v>
      </c>
      <c r="EQ95" s="0"/>
      <c r="ER95" s="0" t="n">
        <v>0</v>
      </c>
      <c r="ET95" s="0" t="n">
        <v>0</v>
      </c>
      <c r="EV95" s="0" t="n">
        <v>0</v>
      </c>
      <c r="EX95" s="0" t="n">
        <v>0</v>
      </c>
      <c r="EY95" s="0" t="n">
        <v>1</v>
      </c>
      <c r="EZ95" s="4" t="n">
        <v>55800</v>
      </c>
      <c r="FA95" s="4" t="n">
        <v>10355.8</v>
      </c>
      <c r="FB95" s="0" t="n">
        <v>1</v>
      </c>
      <c r="FF95" s="120" t="n">
        <f aca="false">(CJ95-CI95+1)/365</f>
        <v>2.76712328767123</v>
      </c>
      <c r="FG95" s="0" t="str">
        <f aca="false">CONCATENATE(F95,"/",G95)</f>
        <v>482/2011</v>
      </c>
      <c r="FH95" s="0" t="n">
        <v>0</v>
      </c>
      <c r="FI95" s="0" t="n">
        <v>0</v>
      </c>
    </row>
    <row r="96" customFormat="false" ht="15" hidden="false" customHeight="false" outlineLevel="0" collapsed="false">
      <c r="A96" s="5" t="str">
        <f aca="false">E96&amp;G96&amp;F96</f>
        <v>72011498</v>
      </c>
      <c r="B96" s="0" t="s">
        <v>203</v>
      </c>
      <c r="C96" s="1" t="n">
        <v>42410</v>
      </c>
      <c r="E96" s="0" t="n">
        <v>7</v>
      </c>
      <c r="F96" s="0" t="n">
        <v>498</v>
      </c>
      <c r="G96" s="0" t="n">
        <v>2011</v>
      </c>
      <c r="H96" s="0" t="str">
        <f aca="false">"J"&amp;E96&amp;"\"&amp;F96&amp;"\"&amp;G96&amp;"\"&amp;W96</f>
        <v>J7\498\2011\1</v>
      </c>
      <c r="I96" s="0"/>
      <c r="J96" s="1" t="n">
        <v>40613</v>
      </c>
      <c r="K96" s="0" t="n">
        <v>0</v>
      </c>
      <c r="M96" s="1" t="n">
        <v>40613</v>
      </c>
      <c r="N96" s="1" t="n">
        <v>40711</v>
      </c>
      <c r="O96" s="1"/>
      <c r="P96" s="1"/>
      <c r="Q96" s="1"/>
      <c r="T96" s="121"/>
      <c r="U96" s="121"/>
      <c r="V96" s="122" t="n">
        <f aca="false">IF(AND(E96&gt;0,F96&gt;0,G96&gt;0),COUNTIFS($E:$E,E96,$F:$F,F96,$G:$G,G96),"")</f>
        <v>1</v>
      </c>
      <c r="W96" s="122" t="n">
        <f aca="false">IF(V96="","",IF(V96=1,1,IF(AND(E95=E96,F95=F96,G95=G96),W95+1,1)))</f>
        <v>1</v>
      </c>
      <c r="X96" s="0" t="n">
        <v>1</v>
      </c>
      <c r="Y96" s="0" t="n">
        <v>3</v>
      </c>
      <c r="Z96" s="0" t="s">
        <v>1251</v>
      </c>
      <c r="AA96" s="0" t="n">
        <v>0</v>
      </c>
      <c r="AB96" s="0" t="s">
        <v>1252</v>
      </c>
      <c r="AC96" s="0" t="s">
        <v>1253</v>
      </c>
      <c r="AD96" s="0" t="s">
        <v>1254</v>
      </c>
      <c r="AE96" s="0" t="n">
        <v>0</v>
      </c>
      <c r="AF96" s="0" t="s">
        <v>1255</v>
      </c>
      <c r="AG96" s="0" t="n">
        <v>1</v>
      </c>
      <c r="AH96" s="0" t="s">
        <v>1256</v>
      </c>
      <c r="AI96" s="0" t="s">
        <v>1257</v>
      </c>
      <c r="AJ96" s="0" t="s">
        <v>352</v>
      </c>
      <c r="AL96" s="0" t="s">
        <v>1258</v>
      </c>
      <c r="AM96" s="0" t="n">
        <v>1</v>
      </c>
      <c r="AN96" s="0" t="s">
        <v>1256</v>
      </c>
      <c r="AO96" s="0" t="s">
        <v>1257</v>
      </c>
      <c r="AP96" s="0" t="s">
        <v>352</v>
      </c>
      <c r="AR96" s="0" t="s">
        <v>213</v>
      </c>
      <c r="AS96" s="0" t="n">
        <v>1</v>
      </c>
      <c r="AT96" s="0" t="s">
        <v>1256</v>
      </c>
      <c r="AU96" s="0" t="s">
        <v>1257</v>
      </c>
      <c r="AV96" s="0" t="s">
        <v>352</v>
      </c>
      <c r="BP96" s="0" t="n">
        <v>0</v>
      </c>
      <c r="BQ96" s="0" t="n">
        <v>0</v>
      </c>
      <c r="BR96" s="0" t="n">
        <v>1</v>
      </c>
      <c r="BS96" s="0" t="s">
        <v>1259</v>
      </c>
      <c r="BT96" s="0" t="s">
        <v>1260</v>
      </c>
      <c r="BU96" s="0" t="s">
        <v>1261</v>
      </c>
      <c r="BV96" s="123"/>
      <c r="BW96" s="123"/>
      <c r="BX96" s="123"/>
      <c r="BY96" s="123"/>
      <c r="BZ96" s="0" t="n">
        <v>0</v>
      </c>
      <c r="CA96" s="0" t="s">
        <v>1262</v>
      </c>
      <c r="CD96" s="0" t="s">
        <v>502</v>
      </c>
      <c r="CE96" s="0" t="n">
        <v>0</v>
      </c>
      <c r="CF96" s="0" t="s">
        <v>503</v>
      </c>
      <c r="CG96" s="0" t="s">
        <v>218</v>
      </c>
      <c r="CI96" s="1" t="n">
        <v>40310</v>
      </c>
      <c r="CJ96" s="1" t="n">
        <v>40579</v>
      </c>
      <c r="CK96" s="124" t="n">
        <v>0.791666666666667</v>
      </c>
      <c r="CL96" s="0" t="s">
        <v>1255</v>
      </c>
      <c r="CM96" s="0" t="n">
        <f aca="false">IF(OR(CI96="",CJ96=""),"",DAYS360(CI96,CJ96)/360)</f>
        <v>0.730555555555555</v>
      </c>
      <c r="CN96" s="0" t="n">
        <f aca="false">IF(OR(CI96="",CJ96=""),"",DAYS360(CI96,CJ96)/30)</f>
        <v>8.76666666666667</v>
      </c>
      <c r="CO96" s="0" t="n">
        <f aca="false">IF(OR(CI96="",CJ96=""),"",DAYS360(CI96,CJ96)/7)</f>
        <v>37.5714285714286</v>
      </c>
      <c r="CP96" s="0" t="n">
        <f aca="false">IF(OR(CI96="",CJ96=""),"",DAYS360(CI96,CJ96))</f>
        <v>263</v>
      </c>
      <c r="CQ96" s="0" t="s">
        <v>240</v>
      </c>
      <c r="CR96" s="0" t="n">
        <v>1</v>
      </c>
      <c r="CT96" s="0" t="s">
        <v>221</v>
      </c>
      <c r="CU96" s="0" t="s">
        <v>221</v>
      </c>
      <c r="CV96" s="0" t="str">
        <f aca="false">IF(OR(CT96="",CT96="NO ESPECIFICA",CT96="NO MENCIONA"),"",IF(CU96=0,CT96,IF(CU96=1,CT96/30,IF(CU96=2,CT96/15,IF(CU96=3,CT96/7,"")))))</f>
        <v/>
      </c>
      <c r="CW96" s="125" t="n">
        <v>350</v>
      </c>
      <c r="CX96" s="0" t="n">
        <v>0</v>
      </c>
      <c r="CY96" s="0" t="n">
        <f aca="false">IF(CW96="","",IF(CX96=0,CW96,IF(CX96=1,CW96/30,IF(CX96=2,CW96/15,IF(CX96=3,CW96/7,CW96)))))</f>
        <v>350</v>
      </c>
      <c r="CZ96" s="0" t="n">
        <f aca="false">IF(DI96&gt;0,DI96,IF(CY96&gt;0,CY96,IF(CV96&gt;0,CV96,"")))</f>
        <v>350</v>
      </c>
      <c r="DA96" s="0" t="n">
        <f aca="false">IF(DM96=1,CZ96/8,IF(OR(DM96=2,DM96=4),CZ96/7,IF(DM96=3,CZ96/7.5,"")))</f>
        <v>43.75</v>
      </c>
      <c r="DB96" s="0" t="s">
        <v>216</v>
      </c>
      <c r="DC96" s="0" t="s">
        <v>216</v>
      </c>
      <c r="DD96" s="0" t="s">
        <v>216</v>
      </c>
      <c r="DE96" s="0" t="s">
        <v>216</v>
      </c>
      <c r="DF96" s="0" t="s">
        <v>216</v>
      </c>
      <c r="DG96" s="0" t="s">
        <v>216</v>
      </c>
      <c r="DH96" s="0" t="n">
        <v>0</v>
      </c>
      <c r="DI96" s="126" t="n">
        <v>350</v>
      </c>
      <c r="DK96" s="0" t="n">
        <v>0</v>
      </c>
      <c r="DM96" s="0" t="n">
        <v>1</v>
      </c>
      <c r="DN96" s="0" t="n">
        <v>60</v>
      </c>
      <c r="DO96" s="0" t="n">
        <v>3</v>
      </c>
      <c r="DP96" s="0" t="n">
        <v>0</v>
      </c>
      <c r="DQ96" s="0" t="n">
        <v>1</v>
      </c>
      <c r="DR96" s="0"/>
      <c r="DS96" s="0" t="n">
        <v>1</v>
      </c>
      <c r="DU96" s="0" t="n">
        <v>1</v>
      </c>
      <c r="DW96" s="1" t="n">
        <v>40310</v>
      </c>
      <c r="DX96" s="1" t="n">
        <v>40579</v>
      </c>
      <c r="DZ96" s="0"/>
      <c r="EA96" s="0" t="n">
        <v>1</v>
      </c>
      <c r="EC96" s="1" t="n">
        <v>40310</v>
      </c>
      <c r="ED96" s="1" t="n">
        <v>40579</v>
      </c>
      <c r="EF96" s="0"/>
      <c r="EG96" s="0" t="n">
        <v>0</v>
      </c>
      <c r="EI96" s="0" t="n">
        <f aca="false">IF(AND(DM96=1,DN96&lt;=48),"",IF(AND(DM96=2,DN96&lt;=42),"",IF(AND(DM96=3,DN96&lt;=45),"",EH96)))</f>
        <v>0</v>
      </c>
      <c r="EJ96" s="0" t="str">
        <f aca="false">IF(EI96="","",IF(EI96&lt;9,EI96,9))</f>
        <v/>
      </c>
      <c r="EK96" s="0" t="str">
        <f aca="false">IF(EI96="","",IF(EI96&gt;9,EI96-EJ96,0))</f>
        <v/>
      </c>
      <c r="EL96" s="0" t="str">
        <f aca="false">IF(EI96="","",EJ96*DA96*2+EK96*DA96*3)</f>
        <v/>
      </c>
      <c r="EP96" s="0" t="n">
        <v>0</v>
      </c>
      <c r="EQ96" s="0"/>
      <c r="ER96" s="0" t="n">
        <v>0</v>
      </c>
      <c r="ET96" s="0" t="n">
        <v>0</v>
      </c>
      <c r="EV96" s="0" t="n">
        <v>0</v>
      </c>
      <c r="EX96" s="0" t="n">
        <v>1</v>
      </c>
      <c r="EY96" s="0" t="n">
        <v>0</v>
      </c>
      <c r="EZ96" s="0"/>
      <c r="FA96" s="4" t="n">
        <v>2800</v>
      </c>
      <c r="FB96" s="0" t="n">
        <v>0</v>
      </c>
      <c r="FF96" s="120" t="n">
        <f aca="false">(CJ96-CI96+1)/365</f>
        <v>0.73972602739726</v>
      </c>
      <c r="FG96" s="0" t="str">
        <f aca="false">CONCATENATE(F96,"/",G96)</f>
        <v>498/2011</v>
      </c>
      <c r="FH96" s="0" t="n">
        <v>0</v>
      </c>
      <c r="FI96" s="0" t="n">
        <v>0</v>
      </c>
    </row>
    <row r="97" customFormat="false" ht="15" hidden="false" customHeight="false" outlineLevel="0" collapsed="false">
      <c r="A97" s="5" t="str">
        <f aca="false">E97&amp;G97&amp;F97</f>
        <v>72011499</v>
      </c>
      <c r="B97" s="0" t="s">
        <v>203</v>
      </c>
      <c r="C97" s="1" t="n">
        <v>42410</v>
      </c>
      <c r="E97" s="0" t="n">
        <v>7</v>
      </c>
      <c r="F97" s="0" t="n">
        <v>499</v>
      </c>
      <c r="G97" s="0" t="n">
        <v>2011</v>
      </c>
      <c r="H97" s="0" t="str">
        <f aca="false">"J"&amp;E97&amp;"\"&amp;F97&amp;"\"&amp;G97&amp;"\"&amp;W97</f>
        <v>J7\499\2011\1</v>
      </c>
      <c r="I97" s="0"/>
      <c r="J97" s="1" t="n">
        <v>40613</v>
      </c>
      <c r="K97" s="0" t="n">
        <v>0</v>
      </c>
      <c r="M97" s="1"/>
      <c r="N97" s="1"/>
      <c r="O97" s="1"/>
      <c r="P97" s="1"/>
      <c r="Q97" s="1"/>
      <c r="T97" s="121"/>
      <c r="U97" s="121"/>
      <c r="V97" s="122" t="n">
        <f aca="false">IF(AND(E97&gt;0,F97&gt;0,G97&gt;0),COUNTIFS($E:$E,E97,$F:$F,F97,$G:$G,G97),"")</f>
        <v>1</v>
      </c>
      <c r="W97" s="122" t="n">
        <f aca="false">IF(V97="","",IF(V97=1,1,IF(AND(E96=E97,F96=F97,G96=G97),W96+1,1)))</f>
        <v>1</v>
      </c>
      <c r="X97" s="0" t="n">
        <v>1</v>
      </c>
      <c r="Y97" s="0" t="n">
        <v>6</v>
      </c>
      <c r="Z97" s="0" t="s">
        <v>1263</v>
      </c>
      <c r="AA97" s="0" t="n">
        <v>0</v>
      </c>
      <c r="AB97" s="0" t="s">
        <v>1264</v>
      </c>
      <c r="AC97" s="0" t="s">
        <v>244</v>
      </c>
      <c r="AD97" s="0" t="s">
        <v>229</v>
      </c>
      <c r="AE97" s="0" t="n">
        <v>0</v>
      </c>
      <c r="AF97" s="0" t="s">
        <v>1265</v>
      </c>
      <c r="AG97" s="0" t="n">
        <v>0</v>
      </c>
      <c r="AH97" s="0" t="s">
        <v>1266</v>
      </c>
      <c r="AI97" s="0" t="s">
        <v>251</v>
      </c>
      <c r="AJ97" s="0" t="s">
        <v>229</v>
      </c>
      <c r="AL97" s="0" t="s">
        <v>1267</v>
      </c>
      <c r="AM97" s="0" t="n">
        <v>0</v>
      </c>
      <c r="AN97" s="0" t="s">
        <v>1266</v>
      </c>
      <c r="AO97" s="0" t="s">
        <v>251</v>
      </c>
      <c r="AP97" s="0" t="s">
        <v>229</v>
      </c>
      <c r="AR97" s="0" t="s">
        <v>1268</v>
      </c>
      <c r="AS97" s="0" t="n">
        <v>1</v>
      </c>
      <c r="AT97" s="0" t="s">
        <v>1266</v>
      </c>
      <c r="AU97" s="0" t="s">
        <v>251</v>
      </c>
      <c r="AV97" s="0" t="s">
        <v>229</v>
      </c>
      <c r="AX97" s="0" t="s">
        <v>1269</v>
      </c>
      <c r="AY97" s="0" t="n">
        <v>1</v>
      </c>
      <c r="AZ97" s="0" t="s">
        <v>1266</v>
      </c>
      <c r="BA97" s="0" t="s">
        <v>251</v>
      </c>
      <c r="BB97" s="0" t="s">
        <v>229</v>
      </c>
      <c r="BD97" s="0" t="s">
        <v>1270</v>
      </c>
      <c r="BE97" s="0" t="n">
        <v>1</v>
      </c>
      <c r="BF97" s="0" t="s">
        <v>1266</v>
      </c>
      <c r="BG97" s="0" t="s">
        <v>251</v>
      </c>
      <c r="BH97" s="0" t="s">
        <v>229</v>
      </c>
      <c r="BJ97" s="0" t="s">
        <v>213</v>
      </c>
      <c r="BK97" s="0" t="n">
        <v>1</v>
      </c>
      <c r="BL97" s="0" t="s">
        <v>1266</v>
      </c>
      <c r="BM97" s="0" t="s">
        <v>251</v>
      </c>
      <c r="BN97" s="0" t="s">
        <v>229</v>
      </c>
      <c r="BP97" s="0" t="n">
        <v>0</v>
      </c>
      <c r="BQ97" s="0" t="n">
        <v>0</v>
      </c>
      <c r="BR97" s="0" t="n">
        <v>1</v>
      </c>
      <c r="BS97" s="0" t="s">
        <v>1271</v>
      </c>
      <c r="BT97" s="0" t="s">
        <v>1272</v>
      </c>
      <c r="BU97" s="0" t="s">
        <v>1273</v>
      </c>
      <c r="BV97" s="123"/>
      <c r="BW97" s="123"/>
      <c r="BX97" s="123"/>
      <c r="BY97" s="123"/>
      <c r="BZ97" s="0" t="n">
        <v>0</v>
      </c>
      <c r="CA97" s="0" t="s">
        <v>1274</v>
      </c>
      <c r="CD97" s="0" t="s">
        <v>357</v>
      </c>
      <c r="CE97" s="0" t="n">
        <v>0</v>
      </c>
      <c r="CF97" s="0" t="s">
        <v>1275</v>
      </c>
      <c r="CG97" s="0" t="s">
        <v>218</v>
      </c>
      <c r="CI97" s="1" t="n">
        <v>40244</v>
      </c>
      <c r="CJ97" s="1" t="n">
        <v>40612</v>
      </c>
      <c r="CK97" s="124" t="n">
        <v>0.625</v>
      </c>
      <c r="CL97" s="0" t="s">
        <v>1276</v>
      </c>
      <c r="CM97" s="0" t="n">
        <f aca="false">IF(OR(CI97="",CJ97=""),"",DAYS360(CI97,CJ97)/360)</f>
        <v>1.00833333333333</v>
      </c>
      <c r="CN97" s="0" t="n">
        <f aca="false">IF(OR(CI97="",CJ97=""),"",DAYS360(CI97,CJ97)/30)</f>
        <v>12.1</v>
      </c>
      <c r="CO97" s="0" t="n">
        <f aca="false">IF(OR(CI97="",CJ97=""),"",DAYS360(CI97,CJ97)/7)</f>
        <v>51.8571428571429</v>
      </c>
      <c r="CP97" s="0" t="n">
        <f aca="false">IF(OR(CI97="",CJ97=""),"",DAYS360(CI97,CJ97))</f>
        <v>363</v>
      </c>
      <c r="CQ97" s="0" t="s">
        <v>240</v>
      </c>
      <c r="CR97" s="0" t="n">
        <v>1</v>
      </c>
      <c r="CT97" s="0" t="n">
        <v>3000</v>
      </c>
      <c r="CU97" s="0" t="n">
        <v>2</v>
      </c>
      <c r="CV97" s="0" t="n">
        <f aca="false">IF(OR(CT97="",CT97="NO ESPECIFICA",CT97="NO MENCIONA"),"",IF(CU97=0,CT97,IF(CU97=1,CT97/30,IF(CU97=2,CT97/15,IF(CU97=3,CT97/7,"")))))</f>
        <v>200</v>
      </c>
      <c r="CW97" s="125" t="n">
        <v>232.31</v>
      </c>
      <c r="CX97" s="0" t="n">
        <v>0</v>
      </c>
      <c r="CY97" s="0" t="n">
        <f aca="false">IF(CW97="","",IF(CX97=0,CW97,IF(CX97=1,CW97/30,IF(CX97=2,CW97/15,IF(CX97=3,CW97/7,CW97)))))</f>
        <v>232.31</v>
      </c>
      <c r="CZ97" s="0" t="n">
        <f aca="false">IF(DI97&gt;0,DI97,IF(CY97&gt;0,CY97,IF(CV97&gt;0,CV97,"")))</f>
        <v>232.31</v>
      </c>
      <c r="DA97" s="0" t="n">
        <f aca="false">IF(DM97=1,CZ97/8,IF(OR(DM97=2,DM97=4),CZ97/7,IF(DM97=3,CZ97/7.5,"")))</f>
        <v>30.9746666666667</v>
      </c>
      <c r="DB97" s="0" t="s">
        <v>302</v>
      </c>
      <c r="DC97" s="0" t="s">
        <v>303</v>
      </c>
      <c r="DD97" s="0" t="s">
        <v>1277</v>
      </c>
      <c r="DE97" s="0" t="s">
        <v>216</v>
      </c>
      <c r="DF97" s="0" t="s">
        <v>216</v>
      </c>
      <c r="DG97" s="0" t="s">
        <v>216</v>
      </c>
      <c r="DH97" s="0" t="n">
        <v>0</v>
      </c>
      <c r="DI97" s="126" t="n">
        <v>232.31</v>
      </c>
      <c r="DK97" s="0" t="n">
        <v>1</v>
      </c>
      <c r="DM97" s="0" t="n">
        <v>3</v>
      </c>
      <c r="DN97" s="0" t="n">
        <v>66</v>
      </c>
      <c r="DO97" s="0" t="n">
        <v>3</v>
      </c>
      <c r="DP97" s="0" t="n">
        <v>0</v>
      </c>
      <c r="DQ97" s="0" t="n">
        <v>1</v>
      </c>
      <c r="DR97" s="0"/>
      <c r="DS97" s="0" t="n">
        <v>1</v>
      </c>
      <c r="DU97" s="0" t="n">
        <v>1</v>
      </c>
      <c r="DW97" s="1" t="n">
        <v>40244</v>
      </c>
      <c r="DX97" s="1" t="n">
        <v>40612</v>
      </c>
      <c r="DZ97" s="0"/>
      <c r="EA97" s="0" t="n">
        <v>1</v>
      </c>
      <c r="EC97" s="1" t="n">
        <v>40244</v>
      </c>
      <c r="ED97" s="1" t="n">
        <v>40612</v>
      </c>
      <c r="EF97" s="0"/>
      <c r="EG97" s="0" t="n">
        <v>1</v>
      </c>
      <c r="EH97" s="0" t="n">
        <v>18</v>
      </c>
      <c r="EI97" s="0" t="n">
        <f aca="false">IF(AND(DM97=1,DN97&lt;=48),"",IF(AND(DM97=2,DN97&lt;=42),"",IF(AND(DM97=3,DN97&lt;=45),"",EH97)))</f>
        <v>18</v>
      </c>
      <c r="EJ97" s="0" t="n">
        <f aca="false">IF(EI97="","",IF(EI97&lt;9,EI97,9))</f>
        <v>9</v>
      </c>
      <c r="EK97" s="0" t="n">
        <f aca="false">IF(EI97="","",IF(EI97&gt;9,EI97-EJ97,0))</f>
        <v>9</v>
      </c>
      <c r="EL97" s="0" t="n">
        <f aca="false">IF(EI97="","",EJ97*DA97*2+EK97*DA97*3)</f>
        <v>1393.86</v>
      </c>
      <c r="EP97" s="0" t="n">
        <v>0</v>
      </c>
      <c r="EQ97" s="0"/>
      <c r="ER97" s="0" t="n">
        <v>1</v>
      </c>
      <c r="ET97" s="0" t="n">
        <v>1</v>
      </c>
      <c r="EV97" s="0" t="n">
        <v>1</v>
      </c>
      <c r="EX97" s="0" t="n">
        <v>1</v>
      </c>
      <c r="EY97" s="0" t="n">
        <v>0</v>
      </c>
      <c r="EZ97" s="0"/>
      <c r="FA97" s="4" t="n">
        <v>13938.6</v>
      </c>
      <c r="FB97" s="0" t="n">
        <v>1</v>
      </c>
      <c r="FF97" s="120" t="n">
        <f aca="false">(CJ97-CI97+1)/365</f>
        <v>1.01095890410959</v>
      </c>
      <c r="FG97" s="0" t="str">
        <f aca="false">CONCATENATE(F97,"/",G97)</f>
        <v>499/2011</v>
      </c>
      <c r="FH97" s="0" t="n">
        <v>0</v>
      </c>
      <c r="FI97" s="0" t="n">
        <v>0</v>
      </c>
    </row>
    <row r="98" customFormat="false" ht="15" hidden="false" customHeight="false" outlineLevel="0" collapsed="false">
      <c r="A98" s="5" t="str">
        <f aca="false">E98&amp;G98&amp;F98</f>
        <v>72011501</v>
      </c>
      <c r="B98" s="0" t="s">
        <v>203</v>
      </c>
      <c r="C98" s="1" t="n">
        <v>42410</v>
      </c>
      <c r="E98" s="0" t="n">
        <v>7</v>
      </c>
      <c r="F98" s="0" t="n">
        <v>501</v>
      </c>
      <c r="G98" s="0" t="n">
        <v>2011</v>
      </c>
      <c r="H98" s="0" t="str">
        <f aca="false">"J"&amp;E98&amp;"\"&amp;F98&amp;"\"&amp;G98&amp;"\"&amp;W98</f>
        <v>J7\501\2011\1</v>
      </c>
      <c r="I98" s="0"/>
      <c r="J98" s="1" t="n">
        <v>40613</v>
      </c>
      <c r="K98" s="0" t="n">
        <v>0</v>
      </c>
      <c r="M98" s="1" t="n">
        <v>40613</v>
      </c>
      <c r="N98" s="1" t="n">
        <v>40711</v>
      </c>
      <c r="O98" s="1"/>
      <c r="P98" s="1"/>
      <c r="Q98" s="1"/>
      <c r="T98" s="121"/>
      <c r="U98" s="121"/>
      <c r="V98" s="122" t="n">
        <f aca="false">IF(AND(E98&gt;0,F98&gt;0,G98&gt;0),COUNTIFS($E:$E,E98,$F:$F,F98,$G:$G,G98),"")</f>
        <v>1</v>
      </c>
      <c r="W98" s="122" t="n">
        <f aca="false">IF(V98="","",IF(V98=1,1,IF(AND(E97=E98,F97=F98,G97=G98),W97+1,1)))</f>
        <v>1</v>
      </c>
      <c r="X98" s="0" t="n">
        <v>1</v>
      </c>
      <c r="Y98" s="0" t="n">
        <v>4</v>
      </c>
      <c r="Z98" s="0" t="s">
        <v>1278</v>
      </c>
      <c r="AA98" s="0" t="n">
        <v>0</v>
      </c>
      <c r="AB98" s="0" t="s">
        <v>348</v>
      </c>
      <c r="AC98" s="0" t="s">
        <v>216</v>
      </c>
      <c r="AD98" s="0" t="s">
        <v>216</v>
      </c>
      <c r="AE98" s="0" t="n">
        <v>0</v>
      </c>
      <c r="AF98" s="0" t="s">
        <v>1279</v>
      </c>
      <c r="AG98" s="0" t="n">
        <v>0</v>
      </c>
      <c r="AH98" s="0" t="s">
        <v>1280</v>
      </c>
      <c r="AI98" s="0" t="s">
        <v>1281</v>
      </c>
      <c r="AJ98" s="0" t="s">
        <v>211</v>
      </c>
      <c r="AL98" s="0" t="s">
        <v>1282</v>
      </c>
      <c r="AM98" s="0" t="n">
        <v>1</v>
      </c>
      <c r="AN98" s="0" t="s">
        <v>1280</v>
      </c>
      <c r="AO98" s="0" t="s">
        <v>1281</v>
      </c>
      <c r="AP98" s="0" t="s">
        <v>211</v>
      </c>
      <c r="AR98" s="0" t="s">
        <v>1283</v>
      </c>
      <c r="AS98" s="0" t="n">
        <v>1</v>
      </c>
      <c r="AT98" s="0" t="s">
        <v>1280</v>
      </c>
      <c r="AU98" s="0" t="s">
        <v>1281</v>
      </c>
      <c r="AV98" s="0" t="s">
        <v>211</v>
      </c>
      <c r="AX98" s="0" t="s">
        <v>213</v>
      </c>
      <c r="AY98" s="0" t="n">
        <v>1</v>
      </c>
      <c r="AZ98" s="0" t="s">
        <v>1280</v>
      </c>
      <c r="BA98" s="0" t="s">
        <v>1281</v>
      </c>
      <c r="BB98" s="0" t="s">
        <v>211</v>
      </c>
      <c r="BP98" s="0" t="n">
        <v>0</v>
      </c>
      <c r="BQ98" s="0" t="n">
        <v>0</v>
      </c>
      <c r="BR98" s="0" t="n">
        <v>3</v>
      </c>
      <c r="BS98" s="0" t="s">
        <v>651</v>
      </c>
      <c r="BT98" s="0" t="s">
        <v>500</v>
      </c>
      <c r="BU98" s="0" t="s">
        <v>501</v>
      </c>
      <c r="BV98" s="123"/>
      <c r="BW98" s="123"/>
      <c r="BX98" s="123"/>
      <c r="BY98" s="123"/>
      <c r="BZ98" s="0" t="n">
        <v>0</v>
      </c>
      <c r="CA98" s="0" t="s">
        <v>348</v>
      </c>
      <c r="CD98" s="0" t="s">
        <v>296</v>
      </c>
      <c r="CE98" s="0" t="n">
        <v>0</v>
      </c>
      <c r="CF98" s="0" t="s">
        <v>1284</v>
      </c>
      <c r="CG98" s="0" t="s">
        <v>218</v>
      </c>
      <c r="CI98" s="1" t="n">
        <v>35390</v>
      </c>
      <c r="CJ98" s="1" t="n">
        <v>40555</v>
      </c>
      <c r="CK98" s="124" t="n">
        <v>0.416666666666667</v>
      </c>
      <c r="CL98" s="0" t="s">
        <v>1283</v>
      </c>
      <c r="CM98" s="0" t="n">
        <f aca="false">IF(OR(CI98="",CJ98=""),"",DAYS360(CI98,CJ98)/360)</f>
        <v>14.1416666666667</v>
      </c>
      <c r="CN98" s="0" t="n">
        <f aca="false">IF(OR(CI98="",CJ98=""),"",DAYS360(CI98,CJ98)/30)</f>
        <v>169.7</v>
      </c>
      <c r="CO98" s="0" t="n">
        <f aca="false">IF(OR(CI98="",CJ98=""),"",DAYS360(CI98,CJ98)/7)</f>
        <v>727.285714285714</v>
      </c>
      <c r="CP98" s="0" t="n">
        <f aca="false">IF(OR(CI98="",CJ98=""),"",DAYS360(CI98,CJ98))</f>
        <v>5091</v>
      </c>
      <c r="CQ98" s="0" t="s">
        <v>240</v>
      </c>
      <c r="CR98" s="0" t="n">
        <v>1</v>
      </c>
      <c r="CT98" s="0" t="n">
        <v>300</v>
      </c>
      <c r="CU98" s="0" t="n">
        <v>0</v>
      </c>
      <c r="CV98" s="0" t="n">
        <f aca="false">IF(OR(CT98="",CT98="NO ESPECIFICA",CT98="NO MENCIONA"),"",IF(CU98=0,CT98,IF(CU98=1,CT98/30,IF(CU98=2,CT98/15,IF(CU98=3,CT98/7,"")))))</f>
        <v>300</v>
      </c>
      <c r="CW98" s="125" t="n">
        <v>313.56</v>
      </c>
      <c r="CX98" s="0" t="n">
        <v>0</v>
      </c>
      <c r="CY98" s="0" t="n">
        <f aca="false">IF(CW98="","",IF(CX98=0,CW98,IF(CX98=1,CW98/30,IF(CX98=2,CW98/15,IF(CX98=3,CW98/7,CW98)))))</f>
        <v>313.56</v>
      </c>
      <c r="CZ98" s="0" t="n">
        <f aca="false">IF(DI98&gt;0,DI98,IF(CY98&gt;0,CY98,IF(CV98&gt;0,CV98,"")))</f>
        <v>313.56</v>
      </c>
      <c r="DA98" s="0" t="n">
        <f aca="false">IF(DM98=1,CZ98/8,IF(OR(DM98=2,DM98=4),CZ98/7,IF(DM98=3,CZ98/7.5,"")))</f>
        <v>39.195</v>
      </c>
      <c r="DB98" s="0" t="s">
        <v>303</v>
      </c>
      <c r="DC98" s="0" t="s">
        <v>301</v>
      </c>
      <c r="DD98" s="0" t="s">
        <v>216</v>
      </c>
      <c r="DE98" s="0" t="s">
        <v>216</v>
      </c>
      <c r="DF98" s="0" t="s">
        <v>216</v>
      </c>
      <c r="DG98" s="0" t="s">
        <v>216</v>
      </c>
      <c r="DH98" s="0" t="n">
        <v>0</v>
      </c>
      <c r="DI98" s="126" t="n">
        <v>313.56</v>
      </c>
      <c r="DK98" s="0" t="n">
        <v>0</v>
      </c>
      <c r="DM98" s="0" t="n">
        <v>1</v>
      </c>
      <c r="DN98" s="0" t="n">
        <v>48</v>
      </c>
      <c r="DO98" s="0" t="n">
        <v>3</v>
      </c>
      <c r="DP98" s="0" t="n">
        <v>0</v>
      </c>
      <c r="DQ98" s="0" t="n">
        <v>1</v>
      </c>
      <c r="DR98" s="0"/>
      <c r="DS98" s="0" t="n">
        <v>1</v>
      </c>
      <c r="DU98" s="0" t="n">
        <v>1</v>
      </c>
      <c r="DW98" s="1" t="n">
        <v>40138</v>
      </c>
      <c r="DX98" s="1" t="n">
        <v>40555</v>
      </c>
      <c r="DZ98" s="0"/>
      <c r="EA98" s="0" t="n">
        <v>1</v>
      </c>
      <c r="EC98" s="1" t="n">
        <v>40179</v>
      </c>
      <c r="ED98" s="1" t="n">
        <v>40555</v>
      </c>
      <c r="EF98" s="0"/>
      <c r="EG98" s="0" t="n">
        <v>0</v>
      </c>
      <c r="EI98" s="0" t="str">
        <f aca="false">IF(AND(DM98=1,DN98&lt;=48),"",IF(AND(DM98=2,DN98&lt;=42),"",IF(AND(DM98=3,DN98&lt;=45),"",EH98)))</f>
        <v/>
      </c>
      <c r="EJ98" s="0" t="str">
        <f aca="false">IF(EI98="","",IF(EI98&lt;9,EI98,9))</f>
        <v/>
      </c>
      <c r="EK98" s="0" t="str">
        <f aca="false">IF(EI98="","",IF(EI98&gt;9,EI98-EJ98,0))</f>
        <v/>
      </c>
      <c r="EL98" s="0" t="str">
        <f aca="false">IF(EI98="","",EJ98*DA98*2+EK98*DA98*3)</f>
        <v/>
      </c>
      <c r="EP98" s="0" t="n">
        <v>0</v>
      </c>
      <c r="EQ98" s="0"/>
      <c r="ER98" s="0" t="n">
        <v>0</v>
      </c>
      <c r="ET98" s="0" t="n">
        <v>0</v>
      </c>
      <c r="EV98" s="0" t="n">
        <v>0</v>
      </c>
      <c r="EX98" s="0" t="n">
        <v>0</v>
      </c>
      <c r="EY98" s="0" t="n">
        <v>0</v>
      </c>
      <c r="EZ98" s="0"/>
      <c r="FA98" s="0"/>
      <c r="FB98" s="0" t="n">
        <v>1</v>
      </c>
      <c r="FF98" s="120" t="n">
        <f aca="false">(CJ98-CI98+1)/365</f>
        <v>14.1534246575342</v>
      </c>
      <c r="FG98" s="0" t="str">
        <f aca="false">CONCATENATE(F98,"/",G98)</f>
        <v>501/2011</v>
      </c>
      <c r="FH98" s="0" t="n">
        <v>0</v>
      </c>
      <c r="FI98" s="0" t="n">
        <v>0</v>
      </c>
    </row>
    <row r="99" customFormat="false" ht="15" hidden="false" customHeight="false" outlineLevel="0" collapsed="false">
      <c r="A99" s="5" t="str">
        <f aca="false">E99&amp;G99&amp;F99</f>
        <v>72011505</v>
      </c>
      <c r="B99" s="0" t="s">
        <v>203</v>
      </c>
      <c r="C99" s="1" t="n">
        <v>42410</v>
      </c>
      <c r="E99" s="0" t="n">
        <v>7</v>
      </c>
      <c r="F99" s="0" t="n">
        <v>505</v>
      </c>
      <c r="G99" s="0" t="n">
        <v>2011</v>
      </c>
      <c r="H99" s="0" t="str">
        <f aca="false">"J"&amp;E99&amp;"\"&amp;F99&amp;"\"&amp;G99&amp;"\"&amp;W99</f>
        <v>J7\505\2011\1</v>
      </c>
      <c r="I99" s="0"/>
      <c r="J99" s="1" t="n">
        <v>40616</v>
      </c>
      <c r="K99" s="0" t="n">
        <v>1</v>
      </c>
      <c r="L99" s="0" t="s">
        <v>1285</v>
      </c>
      <c r="M99" s="1" t="n">
        <v>40616</v>
      </c>
      <c r="N99" s="1" t="n">
        <v>40711</v>
      </c>
      <c r="O99" s="1"/>
      <c r="P99" s="1"/>
      <c r="Q99" s="1"/>
      <c r="T99" s="121"/>
      <c r="U99" s="121"/>
      <c r="V99" s="122" t="n">
        <f aca="false">IF(AND(E99&gt;0,F99&gt;0,G99&gt;0),COUNTIFS($E:$E,E99,$F:$F,F99,$G:$G,G99),"")</f>
        <v>1</v>
      </c>
      <c r="W99" s="122" t="n">
        <f aca="false">IF(V99="","",IF(V99=1,1,IF(AND(E98=E99,F98=F99,G98=G99),W98+1,1)))</f>
        <v>1</v>
      </c>
      <c r="X99" s="0" t="n">
        <v>1</v>
      </c>
      <c r="Y99" s="0" t="n">
        <v>4</v>
      </c>
      <c r="Z99" s="0" t="s">
        <v>1286</v>
      </c>
      <c r="AA99" s="0" t="n">
        <v>0</v>
      </c>
      <c r="AB99" s="0" t="s">
        <v>1287</v>
      </c>
      <c r="AC99" s="0" t="s">
        <v>274</v>
      </c>
      <c r="AD99" s="0" t="s">
        <v>229</v>
      </c>
      <c r="AE99" s="0" t="n">
        <v>0</v>
      </c>
      <c r="AF99" s="0" t="s">
        <v>1288</v>
      </c>
      <c r="AG99" s="0" t="n">
        <v>0</v>
      </c>
      <c r="AH99" s="0" t="s">
        <v>1289</v>
      </c>
      <c r="AI99" s="0" t="s">
        <v>287</v>
      </c>
      <c r="AJ99" s="0" t="s">
        <v>221</v>
      </c>
      <c r="AL99" s="0" t="s">
        <v>1290</v>
      </c>
      <c r="AM99" s="0" t="n">
        <v>0</v>
      </c>
      <c r="AN99" s="0" t="s">
        <v>1289</v>
      </c>
      <c r="AO99" s="0" t="s">
        <v>287</v>
      </c>
      <c r="AP99" s="0" t="s">
        <v>221</v>
      </c>
      <c r="AR99" s="0" t="s">
        <v>1291</v>
      </c>
      <c r="AS99" s="0" t="n">
        <v>0</v>
      </c>
      <c r="AT99" s="0" t="s">
        <v>1292</v>
      </c>
      <c r="AU99" s="0" t="s">
        <v>287</v>
      </c>
      <c r="AV99" s="0" t="s">
        <v>216</v>
      </c>
      <c r="AX99" s="0" t="s">
        <v>213</v>
      </c>
      <c r="AY99" s="0" t="n">
        <v>1</v>
      </c>
      <c r="AZ99" s="0" t="s">
        <v>1292</v>
      </c>
      <c r="BA99" s="0" t="s">
        <v>287</v>
      </c>
      <c r="BB99" s="0" t="s">
        <v>216</v>
      </c>
      <c r="BP99" s="0" t="n">
        <v>0</v>
      </c>
      <c r="BQ99" s="0" t="n">
        <v>0</v>
      </c>
      <c r="BR99" s="0" t="n">
        <v>1</v>
      </c>
      <c r="BS99" s="0" t="s">
        <v>1293</v>
      </c>
      <c r="BT99" s="0" t="s">
        <v>1294</v>
      </c>
      <c r="BU99" s="0" t="s">
        <v>1295</v>
      </c>
      <c r="BV99" s="123"/>
      <c r="BW99" s="123"/>
      <c r="BX99" s="123"/>
      <c r="BY99" s="123"/>
      <c r="BZ99" s="0" t="n">
        <v>0</v>
      </c>
      <c r="CA99" s="0" t="s">
        <v>1296</v>
      </c>
      <c r="CD99" s="0" t="s">
        <v>296</v>
      </c>
      <c r="CE99" s="0" t="n">
        <v>0</v>
      </c>
      <c r="CF99" s="0" t="s">
        <v>1297</v>
      </c>
      <c r="CG99" s="0" t="s">
        <v>218</v>
      </c>
      <c r="CI99" s="1" t="n">
        <v>39083</v>
      </c>
      <c r="CJ99" s="1" t="n">
        <v>40571</v>
      </c>
      <c r="CK99" s="124" t="n">
        <v>0.5625</v>
      </c>
      <c r="CL99" s="0" t="s">
        <v>1298</v>
      </c>
      <c r="CM99" s="0" t="n">
        <f aca="false">IF(OR(CI99="",CJ99=""),"",DAYS360(CI99,CJ99)/360)</f>
        <v>4.075</v>
      </c>
      <c r="CN99" s="0" t="n">
        <f aca="false">IF(OR(CI99="",CJ99=""),"",DAYS360(CI99,CJ99)/30)</f>
        <v>48.9</v>
      </c>
      <c r="CO99" s="0" t="n">
        <f aca="false">IF(OR(CI99="",CJ99=""),"",DAYS360(CI99,CJ99)/7)</f>
        <v>209.571428571429</v>
      </c>
      <c r="CP99" s="0" t="n">
        <f aca="false">IF(OR(CI99="",CJ99=""),"",DAYS360(CI99,CJ99))</f>
        <v>1467</v>
      </c>
      <c r="CQ99" s="0" t="s">
        <v>240</v>
      </c>
      <c r="CR99" s="0" t="n">
        <v>1</v>
      </c>
      <c r="CT99" s="0" t="n">
        <v>600</v>
      </c>
      <c r="CU99" s="0" t="n">
        <v>0</v>
      </c>
      <c r="CV99" s="0" t="n">
        <f aca="false">IF(OR(CT99="",CT99="NO ESPECIFICA",CT99="NO MENCIONA"),"",IF(CU99=0,CT99,IF(CU99=1,CT99/30,IF(CU99=2,CT99/15,IF(CU99=3,CT99/7,"")))))</f>
        <v>600</v>
      </c>
      <c r="CW99" s="125" t="s">
        <v>216</v>
      </c>
      <c r="CX99" s="0" t="s">
        <v>216</v>
      </c>
      <c r="CY99" s="0" t="str">
        <f aca="false">IF(CW99="","",IF(CX99=0,CW99,IF(CX99=1,CW99/30,IF(CX99=2,CW99/15,IF(CX99=3,CW99/7,CW99)))))</f>
        <v>NO MENCIONA</v>
      </c>
      <c r="CZ99" s="0" t="n">
        <f aca="false">IF(DI99&gt;0,DI99,IF(CY99&gt;0,CY99,IF(CV99&gt;0,CV99,"")))</f>
        <v>600</v>
      </c>
      <c r="DA99" s="0" t="n">
        <f aca="false">IF(DM99=1,CZ99/8,IF(OR(DM99=2,DM99=4),CZ99/7,IF(DM99=3,CZ99/7.5,"")))</f>
        <v>75</v>
      </c>
      <c r="DB99" s="0" t="s">
        <v>216</v>
      </c>
      <c r="DC99" s="0" t="s">
        <v>216</v>
      </c>
      <c r="DD99" s="0" t="s">
        <v>216</v>
      </c>
      <c r="DE99" s="0" t="s">
        <v>216</v>
      </c>
      <c r="DF99" s="0" t="s">
        <v>216</v>
      </c>
      <c r="DG99" s="0" t="s">
        <v>216</v>
      </c>
      <c r="DH99" s="0" t="n">
        <v>0</v>
      </c>
      <c r="DI99" s="126" t="n">
        <v>600</v>
      </c>
      <c r="DK99" s="0" t="n">
        <v>1</v>
      </c>
      <c r="DM99" s="0" t="n">
        <v>1</v>
      </c>
      <c r="DN99" s="0" t="n">
        <v>72</v>
      </c>
      <c r="DO99" s="0" t="n">
        <v>3</v>
      </c>
      <c r="DP99" s="0" t="n">
        <v>0</v>
      </c>
      <c r="DQ99" s="0" t="n">
        <v>1</v>
      </c>
      <c r="DR99" s="0"/>
      <c r="DS99" s="0" t="n">
        <v>1</v>
      </c>
      <c r="DU99" s="0" t="n">
        <v>1</v>
      </c>
      <c r="DW99" s="1" t="n">
        <v>39448</v>
      </c>
      <c r="DX99" s="1" t="n">
        <v>40206</v>
      </c>
      <c r="DZ99" s="0"/>
      <c r="EA99" s="0" t="n">
        <v>1</v>
      </c>
      <c r="EC99" s="1" t="n">
        <v>39083</v>
      </c>
      <c r="ED99" s="1" t="n">
        <v>40571</v>
      </c>
      <c r="EF99" s="0"/>
      <c r="EG99" s="0" t="n">
        <v>1</v>
      </c>
      <c r="EH99" s="0" t="n">
        <v>24</v>
      </c>
      <c r="EI99" s="0" t="n">
        <f aca="false">IF(AND(DM99=1,DN99&lt;=48),"",IF(AND(DM99=2,DN99&lt;=42),"",IF(AND(DM99=3,DN99&lt;=45),"",EH99)))</f>
        <v>24</v>
      </c>
      <c r="EJ99" s="0" t="n">
        <f aca="false">IF(EI99="","",IF(EI99&lt;9,EI99,9))</f>
        <v>9</v>
      </c>
      <c r="EK99" s="0" t="n">
        <f aca="false">IF(EI99="","",IF(EI99&gt;9,EI99-EJ99,0))</f>
        <v>15</v>
      </c>
      <c r="EL99" s="0" t="n">
        <f aca="false">IF(EI99="","",EJ99*DA99*2+EK99*DA99*3)</f>
        <v>4725</v>
      </c>
      <c r="EP99" s="0" t="n">
        <v>0</v>
      </c>
      <c r="EQ99" s="0"/>
      <c r="ER99" s="0" t="n">
        <v>0</v>
      </c>
      <c r="ET99" s="0" t="n">
        <v>0</v>
      </c>
      <c r="EV99" s="0" t="n">
        <v>0</v>
      </c>
      <c r="EX99" s="0" t="n">
        <v>0</v>
      </c>
      <c r="EY99" s="0" t="n">
        <v>1</v>
      </c>
      <c r="EZ99" s="0"/>
      <c r="FA99" s="4" t="n">
        <v>9000</v>
      </c>
      <c r="FB99" s="0" t="n">
        <v>0</v>
      </c>
      <c r="FF99" s="120" t="n">
        <f aca="false">(CJ99-CI99+1)/365</f>
        <v>4.07945205479452</v>
      </c>
      <c r="FG99" s="0" t="str">
        <f aca="false">CONCATENATE(F99,"/",G99)</f>
        <v>505/2011</v>
      </c>
      <c r="FH99" s="0" t="n">
        <v>0</v>
      </c>
      <c r="FI99" s="0" t="n">
        <v>0</v>
      </c>
    </row>
    <row r="100" customFormat="false" ht="15" hidden="false" customHeight="false" outlineLevel="0" collapsed="false">
      <c r="A100" s="5" t="str">
        <f aca="false">E100&amp;G100&amp;F100</f>
        <v>72011515</v>
      </c>
      <c r="B100" s="0" t="s">
        <v>203</v>
      </c>
      <c r="C100" s="1" t="n">
        <v>42410</v>
      </c>
      <c r="E100" s="0" t="n">
        <v>7</v>
      </c>
      <c r="F100" s="0" t="n">
        <v>515</v>
      </c>
      <c r="G100" s="0" t="n">
        <v>2011</v>
      </c>
      <c r="H100" s="0" t="str">
        <f aca="false">"J"&amp;E100&amp;"\"&amp;F100&amp;"\"&amp;G100&amp;"\"&amp;W100</f>
        <v>J7\515\2011\1</v>
      </c>
      <c r="I100" s="0"/>
      <c r="J100" s="1" t="n">
        <v>40617</v>
      </c>
      <c r="K100" s="0" t="n">
        <v>0</v>
      </c>
      <c r="M100" s="1" t="n">
        <v>40617</v>
      </c>
      <c r="N100" s="1" t="n">
        <v>40715</v>
      </c>
      <c r="O100" s="1"/>
      <c r="P100" s="1"/>
      <c r="Q100" s="1"/>
      <c r="T100" s="121"/>
      <c r="U100" s="121"/>
      <c r="V100" s="122" t="n">
        <f aca="false">IF(AND(E100&gt;0,F100&gt;0,G100&gt;0),COUNTIFS($E:$E,E100,$F:$F,F100,$G:$G,G100),"")</f>
        <v>1</v>
      </c>
      <c r="W100" s="122" t="n">
        <f aca="false">IF(V100="","",IF(V100=1,1,IF(AND(E99=E100,F99=F100,G99=G100),W99+1,1)))</f>
        <v>1</v>
      </c>
      <c r="X100" s="0" t="n">
        <v>1</v>
      </c>
      <c r="Y100" s="0" t="n">
        <v>2</v>
      </c>
      <c r="Z100" s="0" t="s">
        <v>1299</v>
      </c>
      <c r="AA100" s="0" t="n">
        <v>0</v>
      </c>
      <c r="AB100" s="0" t="s">
        <v>1300</v>
      </c>
      <c r="AC100" s="0" t="s">
        <v>404</v>
      </c>
      <c r="AD100" s="0" t="s">
        <v>229</v>
      </c>
      <c r="AE100" s="0" t="n">
        <v>0</v>
      </c>
      <c r="AF100" s="0" t="s">
        <v>1301</v>
      </c>
      <c r="AG100" s="0" t="n">
        <v>0</v>
      </c>
      <c r="AH100" s="0" t="s">
        <v>1302</v>
      </c>
      <c r="AI100" s="0" t="s">
        <v>1303</v>
      </c>
      <c r="AJ100" s="0" t="s">
        <v>485</v>
      </c>
      <c r="AL100" s="0" t="s">
        <v>213</v>
      </c>
      <c r="AM100" s="0" t="n">
        <v>1</v>
      </c>
      <c r="AN100" s="0" t="s">
        <v>1302</v>
      </c>
      <c r="AO100" s="0" t="s">
        <v>1303</v>
      </c>
      <c r="AP100" s="0" t="s">
        <v>485</v>
      </c>
      <c r="BP100" s="0" t="n">
        <v>0</v>
      </c>
      <c r="BQ100" s="0" t="n">
        <v>0</v>
      </c>
      <c r="BR100" s="0" t="n">
        <v>1</v>
      </c>
      <c r="BS100" s="0" t="s">
        <v>1304</v>
      </c>
      <c r="BT100" s="0" t="s">
        <v>1305</v>
      </c>
      <c r="BU100" s="0" t="s">
        <v>1306</v>
      </c>
      <c r="BV100" s="123"/>
      <c r="BW100" s="123"/>
      <c r="BX100" s="123"/>
      <c r="BY100" s="123"/>
      <c r="BZ100" s="0" t="n">
        <v>0</v>
      </c>
      <c r="CA100" s="0" t="s">
        <v>1307</v>
      </c>
      <c r="CD100" s="0" t="s">
        <v>1308</v>
      </c>
      <c r="CE100" s="0" t="n">
        <v>0</v>
      </c>
      <c r="CF100" s="0" t="s">
        <v>1309</v>
      </c>
      <c r="CG100" s="0" t="s">
        <v>514</v>
      </c>
      <c r="CH100" s="0" t="n">
        <v>1</v>
      </c>
      <c r="CI100" s="1" t="n">
        <v>37263</v>
      </c>
      <c r="CJ100" s="1" t="n">
        <v>40576</v>
      </c>
      <c r="CK100" s="124" t="n">
        <v>0.291666666666667</v>
      </c>
      <c r="CL100" s="0" t="s">
        <v>1310</v>
      </c>
      <c r="CM100" s="0" t="n">
        <f aca="false">IF(OR(CI100="",CJ100=""),"",DAYS360(CI100,CJ100)/360)</f>
        <v>9.06944444444444</v>
      </c>
      <c r="CN100" s="0" t="n">
        <f aca="false">IF(OR(CI100="",CJ100=""),"",DAYS360(CI100,CJ100)/30)</f>
        <v>108.833333333333</v>
      </c>
      <c r="CO100" s="0" t="n">
        <f aca="false">IF(OR(CI100="",CJ100=""),"",DAYS360(CI100,CJ100)/7)</f>
        <v>466.428571428571</v>
      </c>
      <c r="CP100" s="0" t="n">
        <f aca="false">IF(OR(CI100="",CJ100=""),"",DAYS360(CI100,CJ100))</f>
        <v>3265</v>
      </c>
      <c r="CQ100" s="0" t="s">
        <v>240</v>
      </c>
      <c r="CR100" s="0" t="n">
        <v>1</v>
      </c>
      <c r="CT100" s="0" t="s">
        <v>221</v>
      </c>
      <c r="CU100" s="0" t="s">
        <v>221</v>
      </c>
      <c r="CV100" s="0" t="str">
        <f aca="false">IF(OR(CT100="",CT100="NO ESPECIFICA",CT100="NO MENCIONA"),"",IF(CU100=0,CT100,IF(CU100=1,CT100/30,IF(CU100=2,CT100/15,IF(CU100=3,CT100/7,"")))))</f>
        <v/>
      </c>
      <c r="CW100" s="125" t="n">
        <v>350</v>
      </c>
      <c r="CX100" s="0" t="n">
        <v>0</v>
      </c>
      <c r="CY100" s="0" t="n">
        <f aca="false">IF(CW100="","",IF(CX100=0,CW100,IF(CX100=1,CW100/30,IF(CX100=2,CW100/15,IF(CX100=3,CW100/7,CW100)))))</f>
        <v>350</v>
      </c>
      <c r="CZ100" s="0" t="n">
        <f aca="false">IF(DI100&gt;0,DI100,IF(CY100&gt;0,CY100,IF(CV100&gt;0,CV100,"")))</f>
        <v>350</v>
      </c>
      <c r="DA100" s="0" t="n">
        <f aca="false">IF(DM100=1,CZ100/8,IF(OR(DM100=2,DM100=4),CZ100/7,IF(DM100=3,CZ100/7.5,"")))</f>
        <v>43.75</v>
      </c>
      <c r="DB100" s="0" t="s">
        <v>216</v>
      </c>
      <c r="DC100" s="0" t="s">
        <v>216</v>
      </c>
      <c r="DD100" s="0" t="s">
        <v>216</v>
      </c>
      <c r="DE100" s="0" t="s">
        <v>216</v>
      </c>
      <c r="DF100" s="0" t="s">
        <v>216</v>
      </c>
      <c r="DG100" s="0" t="s">
        <v>216</v>
      </c>
      <c r="DH100" s="0" t="n">
        <v>0</v>
      </c>
      <c r="DI100" s="126" t="n">
        <v>350</v>
      </c>
      <c r="DK100" s="0" t="n">
        <v>0</v>
      </c>
      <c r="DM100" s="0" t="n">
        <v>1</v>
      </c>
      <c r="DN100" s="0" t="n">
        <v>78</v>
      </c>
      <c r="DO100" s="0" t="n">
        <v>3</v>
      </c>
      <c r="DP100" s="0" t="n">
        <v>0</v>
      </c>
      <c r="DQ100" s="0" t="n">
        <v>1</v>
      </c>
      <c r="DR100" s="0"/>
      <c r="DS100" s="0" t="n">
        <v>1</v>
      </c>
      <c r="DU100" s="0" t="n">
        <v>1</v>
      </c>
      <c r="DW100" s="1" t="n">
        <v>40211</v>
      </c>
      <c r="DX100" s="1" t="n">
        <v>40576</v>
      </c>
      <c r="DZ100" s="0"/>
      <c r="EA100" s="0" t="n">
        <v>1</v>
      </c>
      <c r="EC100" s="1" t="n">
        <v>40211</v>
      </c>
      <c r="ED100" s="1" t="n">
        <v>40576</v>
      </c>
      <c r="EF100" s="0"/>
      <c r="EG100" s="0" t="n">
        <v>1</v>
      </c>
      <c r="EH100" s="0" t="n">
        <v>30</v>
      </c>
      <c r="EI100" s="0" t="n">
        <f aca="false">IF(AND(DM100=1,DN100&lt;=48),"",IF(AND(DM100=2,DN100&lt;=42),"",IF(AND(DM100=3,DN100&lt;=45),"",EH100)))</f>
        <v>30</v>
      </c>
      <c r="EJ100" s="0" t="n">
        <f aca="false">IF(EI100="","",IF(EI100&lt;9,EI100,9))</f>
        <v>9</v>
      </c>
      <c r="EK100" s="0" t="n">
        <f aca="false">IF(EI100="","",IF(EI100&gt;9,EI100-EJ100,0))</f>
        <v>21</v>
      </c>
      <c r="EL100" s="0" t="n">
        <f aca="false">IF(EI100="","",EJ100*DA100*2+EK100*DA100*3)</f>
        <v>3543.75</v>
      </c>
      <c r="EP100" s="0" t="n">
        <v>0</v>
      </c>
      <c r="EQ100" s="0"/>
      <c r="ER100" s="0" t="n">
        <v>0</v>
      </c>
      <c r="ET100" s="0" t="n">
        <v>1</v>
      </c>
      <c r="EV100" s="0" t="n">
        <v>0</v>
      </c>
      <c r="EX100" s="0" t="n">
        <v>0</v>
      </c>
      <c r="EY100" s="0" t="n">
        <v>0</v>
      </c>
      <c r="EZ100" s="0"/>
      <c r="FA100" s="4" t="n">
        <v>10000</v>
      </c>
      <c r="FB100" s="0" t="n">
        <v>0</v>
      </c>
      <c r="FF100" s="120" t="n">
        <f aca="false">(CJ100-CI100+1)/365</f>
        <v>9.07945205479452</v>
      </c>
      <c r="FG100" s="0" t="str">
        <f aca="false">CONCATENATE(F100,"/",G100)</f>
        <v>515/2011</v>
      </c>
      <c r="FH100" s="0" t="n">
        <v>0</v>
      </c>
      <c r="FI100" s="0" t="n">
        <v>0</v>
      </c>
    </row>
    <row r="101" customFormat="false" ht="15" hidden="false" customHeight="false" outlineLevel="0" collapsed="false">
      <c r="A101" s="5" t="str">
        <f aca="false">E101&amp;G101&amp;F101</f>
        <v>72011533</v>
      </c>
      <c r="B101" s="0" t="s">
        <v>203</v>
      </c>
      <c r="C101" s="1" t="n">
        <v>42410</v>
      </c>
      <c r="E101" s="0" t="n">
        <v>7</v>
      </c>
      <c r="F101" s="0" t="n">
        <v>533</v>
      </c>
      <c r="G101" s="0" t="n">
        <v>2011</v>
      </c>
      <c r="H101" s="0" t="str">
        <f aca="false">"J"&amp;E101&amp;"\"&amp;F101&amp;"\"&amp;G101&amp;"\"&amp;W101</f>
        <v>J7\533\2011\1</v>
      </c>
      <c r="I101" s="0"/>
      <c r="J101" s="1" t="n">
        <v>40619</v>
      </c>
      <c r="K101" s="0" t="n">
        <v>0</v>
      </c>
      <c r="M101" s="1" t="n">
        <v>40619</v>
      </c>
      <c r="N101" s="1" t="n">
        <v>40718</v>
      </c>
      <c r="O101" s="1"/>
      <c r="P101" s="1"/>
      <c r="Q101" s="1"/>
      <c r="T101" s="121"/>
      <c r="U101" s="121"/>
      <c r="V101" s="122" t="n">
        <f aca="false">IF(AND(E101&gt;0,F101&gt;0,G101&gt;0),COUNTIFS($E:$E,E101,$F:$F,F101,$G:$G,G101),"")</f>
        <v>2</v>
      </c>
      <c r="W101" s="122" t="n">
        <f aca="false">IF(V101="","",IF(V101=1,1,IF(AND(E100=E101,F100=F101,G100=G101),W100+1,1)))</f>
        <v>1</v>
      </c>
      <c r="X101" s="0" t="n">
        <v>2</v>
      </c>
      <c r="Y101" s="0" t="n">
        <v>4</v>
      </c>
      <c r="Z101" s="0" t="s">
        <v>1311</v>
      </c>
      <c r="AA101" s="0" t="n">
        <v>0</v>
      </c>
      <c r="AB101" s="0" t="s">
        <v>1312</v>
      </c>
      <c r="AC101" s="0" t="s">
        <v>1313</v>
      </c>
      <c r="AD101" s="0" t="s">
        <v>229</v>
      </c>
      <c r="AE101" s="0" t="n">
        <v>0</v>
      </c>
      <c r="AF101" s="0" t="s">
        <v>1314</v>
      </c>
      <c r="AG101" s="0" t="n">
        <v>0</v>
      </c>
      <c r="AH101" s="0" t="s">
        <v>1315</v>
      </c>
      <c r="AI101" s="0" t="s">
        <v>1316</v>
      </c>
      <c r="AJ101" s="0" t="s">
        <v>1317</v>
      </c>
      <c r="AL101" s="0" t="s">
        <v>1318</v>
      </c>
      <c r="AM101" s="0" t="n">
        <v>0</v>
      </c>
      <c r="AN101" s="0" t="s">
        <v>1315</v>
      </c>
      <c r="AO101" s="0" t="s">
        <v>1316</v>
      </c>
      <c r="AP101" s="0" t="s">
        <v>1317</v>
      </c>
      <c r="AR101" s="0" t="s">
        <v>1319</v>
      </c>
      <c r="AS101" s="0" t="n">
        <v>1</v>
      </c>
      <c r="AT101" s="0" t="s">
        <v>1315</v>
      </c>
      <c r="AU101" s="0" t="s">
        <v>1316</v>
      </c>
      <c r="AV101" s="0" t="s">
        <v>1317</v>
      </c>
      <c r="AX101" s="0" t="s">
        <v>1320</v>
      </c>
      <c r="AY101" s="0" t="n">
        <v>1</v>
      </c>
      <c r="AZ101" s="0" t="s">
        <v>1315</v>
      </c>
      <c r="BA101" s="0" t="s">
        <v>1316</v>
      </c>
      <c r="BB101" s="0" t="s">
        <v>1317</v>
      </c>
      <c r="BP101" s="0" t="n">
        <v>0</v>
      </c>
      <c r="BQ101" s="0" t="n">
        <v>0</v>
      </c>
      <c r="BR101" s="0" t="n">
        <v>1</v>
      </c>
      <c r="BS101" s="0" t="s">
        <v>1321</v>
      </c>
      <c r="BT101" s="0" t="s">
        <v>1322</v>
      </c>
      <c r="BU101" s="0" t="s">
        <v>1323</v>
      </c>
      <c r="BV101" s="123"/>
      <c r="BW101" s="123"/>
      <c r="BX101" s="123"/>
      <c r="BY101" s="123"/>
      <c r="BZ101" s="0" t="n">
        <v>0</v>
      </c>
      <c r="CA101" s="0" t="s">
        <v>216</v>
      </c>
      <c r="CD101" s="0" t="s">
        <v>502</v>
      </c>
      <c r="CE101" s="0" t="n">
        <v>0</v>
      </c>
      <c r="CF101" s="0" t="s">
        <v>1042</v>
      </c>
      <c r="CG101" s="0" t="s">
        <v>218</v>
      </c>
      <c r="CI101" s="1" t="n">
        <v>38682</v>
      </c>
      <c r="CJ101" s="1" t="n">
        <v>40567</v>
      </c>
      <c r="CK101" s="124" t="n">
        <v>0.333333333333333</v>
      </c>
      <c r="CL101" s="0" t="s">
        <v>1320</v>
      </c>
      <c r="CM101" s="0" t="n">
        <f aca="false">IF(OR(CI101="",CJ101=""),"",DAYS360(CI101,CJ101)/360)</f>
        <v>5.16111111111111</v>
      </c>
      <c r="CN101" s="0" t="n">
        <f aca="false">IF(OR(CI101="",CJ101=""),"",DAYS360(CI101,CJ101)/30)</f>
        <v>61.9333333333333</v>
      </c>
      <c r="CO101" s="0" t="n">
        <f aca="false">IF(OR(CI101="",CJ101=""),"",DAYS360(CI101,CJ101)/7)</f>
        <v>265.428571428571</v>
      </c>
      <c r="CP101" s="0" t="n">
        <f aca="false">IF(OR(CI101="",CJ101=""),"",DAYS360(CI101,CJ101))</f>
        <v>1858</v>
      </c>
      <c r="CQ101" s="0" t="s">
        <v>240</v>
      </c>
      <c r="CR101" s="0" t="n">
        <v>1</v>
      </c>
      <c r="CT101" s="0" t="n">
        <v>585.5</v>
      </c>
      <c r="CU101" s="0" t="n">
        <v>0</v>
      </c>
      <c r="CV101" s="0" t="n">
        <f aca="false">IF(OR(CT101="",CT101="NO ESPECIFICA",CT101="NO MENCIONA"),"",IF(CU101=0,CT101,IF(CU101=1,CT101/30,IF(CU101=2,CT101/15,IF(CU101=3,CT101/7,"")))))</f>
        <v>585.5</v>
      </c>
      <c r="CW101" s="125" t="n">
        <v>655.35</v>
      </c>
      <c r="CX101" s="0" t="n">
        <v>0</v>
      </c>
      <c r="CY101" s="0" t="n">
        <f aca="false">IF(CW101="","",IF(CX101=0,CW101,IF(CX101=1,CW101/30,IF(CX101=2,CW101/15,IF(CX101=3,CW101/7,CW101)))))</f>
        <v>655.35</v>
      </c>
      <c r="CZ101" s="0" t="n">
        <f aca="false">IF(DI101&gt;0,DI101,IF(CY101&gt;0,CY101,IF(CV101&gt;0,CV101,"")))</f>
        <v>655.35</v>
      </c>
      <c r="DA101" s="0" t="n">
        <f aca="false">IF(DM101=1,CZ101/8,IF(OR(DM101=2,DM101=4),CZ101/7,IF(DM101=3,CZ101/7.5,"")))</f>
        <v>87.38</v>
      </c>
      <c r="DB101" s="0" t="s">
        <v>301</v>
      </c>
      <c r="DC101" s="0" t="s">
        <v>303</v>
      </c>
      <c r="DD101" s="0" t="s">
        <v>259</v>
      </c>
      <c r="DE101" s="0" t="s">
        <v>216</v>
      </c>
      <c r="DF101" s="0" t="s">
        <v>216</v>
      </c>
      <c r="DG101" s="0" t="s">
        <v>216</v>
      </c>
      <c r="DH101" s="0" t="n">
        <v>0</v>
      </c>
      <c r="DI101" s="126" t="n">
        <v>655.35</v>
      </c>
      <c r="DK101" s="0" t="n">
        <v>0</v>
      </c>
      <c r="DM101" s="0" t="n">
        <v>3</v>
      </c>
      <c r="DN101" s="0" t="n">
        <v>60</v>
      </c>
      <c r="DO101" s="0" t="n">
        <v>3</v>
      </c>
      <c r="DP101" s="0" t="n">
        <v>0</v>
      </c>
      <c r="DQ101" s="0" t="n">
        <v>1</v>
      </c>
      <c r="DR101" s="0"/>
      <c r="DS101" s="0" t="n">
        <v>1</v>
      </c>
      <c r="DU101" s="0" t="n">
        <v>1</v>
      </c>
      <c r="DW101" s="1" t="n">
        <v>40202</v>
      </c>
      <c r="DX101" s="1" t="n">
        <v>40566</v>
      </c>
      <c r="DZ101" s="0"/>
      <c r="EA101" s="0" t="n">
        <v>1</v>
      </c>
      <c r="EC101" s="1" t="n">
        <v>40202</v>
      </c>
      <c r="ED101" s="1" t="n">
        <v>40566</v>
      </c>
      <c r="EF101" s="0"/>
      <c r="EG101" s="0" t="n">
        <v>1</v>
      </c>
      <c r="EH101" s="0" t="n">
        <v>10.5</v>
      </c>
      <c r="EI101" s="0" t="n">
        <f aca="false">IF(AND(DM101=1,DN101&lt;=48),"",IF(AND(DM101=2,DN101&lt;=42),"",IF(AND(DM101=3,DN101&lt;=45),"",EH101)))</f>
        <v>10.5</v>
      </c>
      <c r="EJ101" s="0" t="n">
        <f aca="false">IF(EI101="","",IF(EI101&lt;9,EI101,9))</f>
        <v>9</v>
      </c>
      <c r="EK101" s="0" t="n">
        <f aca="false">IF(EI101="","",IF(EI101&gt;9,EI101-EJ101,0))</f>
        <v>1.5</v>
      </c>
      <c r="EL101" s="0" t="n">
        <f aca="false">IF(EI101="","",EJ101*DA101*2+EK101*DA101*3)</f>
        <v>1966.05</v>
      </c>
      <c r="EP101" s="0" t="n">
        <v>0</v>
      </c>
      <c r="EQ101" s="0"/>
      <c r="ER101" s="0" t="n">
        <v>0</v>
      </c>
      <c r="ET101" s="0" t="n">
        <v>1</v>
      </c>
      <c r="EV101" s="0" t="n">
        <v>0</v>
      </c>
      <c r="EX101" s="0" t="n">
        <v>0</v>
      </c>
      <c r="EY101" s="0" t="n">
        <v>1</v>
      </c>
      <c r="EZ101" s="0"/>
      <c r="FA101" s="0"/>
      <c r="FB101" s="0" t="n">
        <v>0</v>
      </c>
      <c r="FF101" s="120" t="n">
        <f aca="false">(CJ101-CI101+1)/365</f>
        <v>5.16712328767123</v>
      </c>
      <c r="FG101" s="0" t="str">
        <f aca="false">CONCATENATE(F101,"/",G101)</f>
        <v>533/2011</v>
      </c>
      <c r="FH101" s="0" t="n">
        <v>0</v>
      </c>
      <c r="FI101" s="0" t="n">
        <v>0</v>
      </c>
    </row>
    <row r="102" customFormat="false" ht="15" hidden="false" customHeight="false" outlineLevel="0" collapsed="false">
      <c r="A102" s="5" t="str">
        <f aca="false">E102&amp;G102&amp;F102</f>
        <v>72011533</v>
      </c>
      <c r="B102" s="0" t="s">
        <v>203</v>
      </c>
      <c r="C102" s="1" t="n">
        <v>42410</v>
      </c>
      <c r="E102" s="0" t="n">
        <v>7</v>
      </c>
      <c r="F102" s="0" t="n">
        <v>533</v>
      </c>
      <c r="G102" s="0" t="n">
        <v>2011</v>
      </c>
      <c r="H102" s="0" t="str">
        <f aca="false">"J"&amp;E102&amp;"\"&amp;F102&amp;"\"&amp;G102&amp;"\"&amp;W102</f>
        <v>J7\533\2011\2</v>
      </c>
      <c r="I102" s="0"/>
      <c r="J102" s="1" t="n">
        <v>40619</v>
      </c>
      <c r="K102" s="0" t="n">
        <v>0</v>
      </c>
      <c r="M102" s="1" t="n">
        <v>40619</v>
      </c>
      <c r="N102" s="1" t="n">
        <v>40718</v>
      </c>
      <c r="O102" s="1"/>
      <c r="P102" s="1"/>
      <c r="Q102" s="1"/>
      <c r="T102" s="121"/>
      <c r="U102" s="121"/>
      <c r="V102" s="122" t="n">
        <f aca="false">IF(AND(E102&gt;0,F102&gt;0,G102&gt;0),COUNTIFS($E:$E,E102,$F:$F,F102,$G:$G,G102),"")</f>
        <v>2</v>
      </c>
      <c r="W102" s="122" t="n">
        <f aca="false">IF(V102="","",IF(V102=1,1,IF(AND(E101=E102,F101=F102,G101=G102),W101+1,1)))</f>
        <v>2</v>
      </c>
      <c r="X102" s="0" t="n">
        <v>2</v>
      </c>
      <c r="Y102" s="0" t="n">
        <v>4</v>
      </c>
      <c r="Z102" s="0" t="s">
        <v>1324</v>
      </c>
      <c r="AA102" s="0" t="n">
        <v>0</v>
      </c>
      <c r="AB102" s="0" t="s">
        <v>1312</v>
      </c>
      <c r="AC102" s="0" t="s">
        <v>1313</v>
      </c>
      <c r="AD102" s="0" t="s">
        <v>229</v>
      </c>
      <c r="AE102" s="0" t="n">
        <v>0</v>
      </c>
      <c r="AF102" s="0" t="s">
        <v>1314</v>
      </c>
      <c r="AG102" s="0" t="n">
        <v>0</v>
      </c>
      <c r="AH102" s="0" t="s">
        <v>1315</v>
      </c>
      <c r="AI102" s="0" t="s">
        <v>1316</v>
      </c>
      <c r="AJ102" s="0" t="s">
        <v>1317</v>
      </c>
      <c r="AL102" s="0" t="s">
        <v>1318</v>
      </c>
      <c r="AM102" s="0" t="n">
        <v>0</v>
      </c>
      <c r="AN102" s="0" t="s">
        <v>1315</v>
      </c>
      <c r="AO102" s="0" t="s">
        <v>1316</v>
      </c>
      <c r="AP102" s="0" t="s">
        <v>1317</v>
      </c>
      <c r="AR102" s="0" t="s">
        <v>1319</v>
      </c>
      <c r="AS102" s="0" t="n">
        <v>1</v>
      </c>
      <c r="AT102" s="0" t="s">
        <v>1315</v>
      </c>
      <c r="AU102" s="0" t="s">
        <v>1316</v>
      </c>
      <c r="AV102" s="0" t="s">
        <v>1317</v>
      </c>
      <c r="AX102" s="0" t="s">
        <v>1320</v>
      </c>
      <c r="AY102" s="0" t="n">
        <v>1</v>
      </c>
      <c r="AZ102" s="0" t="s">
        <v>1315</v>
      </c>
      <c r="BA102" s="0" t="s">
        <v>1316</v>
      </c>
      <c r="BB102" s="0" t="s">
        <v>1317</v>
      </c>
      <c r="BP102" s="0" t="n">
        <v>0</v>
      </c>
      <c r="BQ102" s="0" t="n">
        <v>0</v>
      </c>
      <c r="BR102" s="0" t="n">
        <v>1</v>
      </c>
      <c r="BS102" s="0" t="s">
        <v>1321</v>
      </c>
      <c r="BT102" s="0" t="s">
        <v>1322</v>
      </c>
      <c r="BU102" s="0" t="s">
        <v>1323</v>
      </c>
      <c r="BV102" s="123"/>
      <c r="BW102" s="123"/>
      <c r="BX102" s="123"/>
      <c r="BY102" s="123"/>
      <c r="BZ102" s="0" t="n">
        <v>0</v>
      </c>
      <c r="CA102" s="0" t="s">
        <v>216</v>
      </c>
      <c r="CD102" s="0" t="s">
        <v>502</v>
      </c>
      <c r="CE102" s="0" t="n">
        <v>0</v>
      </c>
      <c r="CF102" s="0" t="s">
        <v>1325</v>
      </c>
      <c r="CG102" s="0" t="s">
        <v>218</v>
      </c>
      <c r="CI102" s="1" t="n">
        <v>33627</v>
      </c>
      <c r="CJ102" s="1" t="n">
        <v>40567</v>
      </c>
      <c r="CK102" s="124" t="n">
        <v>0.333333333333333</v>
      </c>
      <c r="CL102" s="0" t="s">
        <v>1320</v>
      </c>
      <c r="CM102" s="0" t="n">
        <f aca="false">IF(OR(CI102="",CJ102=""),"",DAYS360(CI102,CJ102)/360)</f>
        <v>19</v>
      </c>
      <c r="CN102" s="0" t="n">
        <f aca="false">IF(OR(CI102="",CJ102=""),"",DAYS360(CI102,CJ102)/30)</f>
        <v>228</v>
      </c>
      <c r="CO102" s="0" t="n">
        <f aca="false">IF(OR(CI102="",CJ102=""),"",DAYS360(CI102,CJ102)/7)</f>
        <v>977.142857142857</v>
      </c>
      <c r="CP102" s="0" t="n">
        <f aca="false">IF(OR(CI102="",CJ102=""),"",DAYS360(CI102,CJ102))</f>
        <v>6840</v>
      </c>
      <c r="CQ102" s="0" t="s">
        <v>240</v>
      </c>
      <c r="CR102" s="0" t="n">
        <v>1</v>
      </c>
      <c r="CT102" s="0" t="n">
        <v>650</v>
      </c>
      <c r="CU102" s="0" t="n">
        <v>0</v>
      </c>
      <c r="CV102" s="0" t="n">
        <f aca="false">IF(OR(CT102="",CT102="NO ESPECIFICA",CT102="NO MENCIONA"),"",IF(CU102=0,CT102,IF(CU102=1,CT102/30,IF(CU102=2,CT102/15,IF(CU102=3,CT102/7,"")))))</f>
        <v>650</v>
      </c>
      <c r="CW102" s="125" t="n">
        <v>729.1</v>
      </c>
      <c r="CX102" s="0" t="n">
        <v>0</v>
      </c>
      <c r="CY102" s="0" t="n">
        <f aca="false">IF(CW102="","",IF(CX102=0,CW102,IF(CX102=1,CW102/30,IF(CX102=2,CW102/15,IF(CX102=3,CW102/7,CW102)))))</f>
        <v>729.1</v>
      </c>
      <c r="CZ102" s="0" t="n">
        <f aca="false">IF(DI102&gt;0,DI102,IF(CY102&gt;0,CY102,IF(CV102&gt;0,CV102,"")))</f>
        <v>729.1</v>
      </c>
      <c r="DA102" s="0" t="n">
        <f aca="false">IF(DM102=1,CZ102/8,IF(OR(DM102=2,DM102=4),CZ102/7,IF(DM102=3,CZ102/7.5,"")))</f>
        <v>97.2133333333333</v>
      </c>
      <c r="DB102" s="0" t="s">
        <v>301</v>
      </c>
      <c r="DC102" s="0" t="s">
        <v>303</v>
      </c>
      <c r="DD102" s="0" t="s">
        <v>259</v>
      </c>
      <c r="DE102" s="0" t="s">
        <v>216</v>
      </c>
      <c r="DF102" s="0" t="s">
        <v>216</v>
      </c>
      <c r="DG102" s="0" t="s">
        <v>216</v>
      </c>
      <c r="DH102" s="0" t="n">
        <v>0</v>
      </c>
      <c r="DI102" s="126" t="n">
        <v>729.1</v>
      </c>
      <c r="DK102" s="0" t="n">
        <v>0</v>
      </c>
      <c r="DM102" s="0" t="n">
        <v>3</v>
      </c>
      <c r="DN102" s="0" t="n">
        <v>60</v>
      </c>
      <c r="DO102" s="0" t="n">
        <v>3</v>
      </c>
      <c r="DP102" s="0" t="n">
        <v>0</v>
      </c>
      <c r="DQ102" s="0" t="n">
        <v>1</v>
      </c>
      <c r="DR102" s="0"/>
      <c r="DS102" s="0" t="n">
        <v>1</v>
      </c>
      <c r="DU102" s="0" t="n">
        <v>1</v>
      </c>
      <c r="DW102" s="1" t="n">
        <v>40202</v>
      </c>
      <c r="DX102" s="1" t="n">
        <v>40566</v>
      </c>
      <c r="DZ102" s="0"/>
      <c r="EA102" s="0" t="n">
        <v>1</v>
      </c>
      <c r="EC102" s="1" t="n">
        <v>40202</v>
      </c>
      <c r="ED102" s="1" t="n">
        <v>40566</v>
      </c>
      <c r="EF102" s="0"/>
      <c r="EG102" s="0" t="n">
        <v>1</v>
      </c>
      <c r="EH102" s="0" t="n">
        <f aca="false">1.75*6</f>
        <v>10.5</v>
      </c>
      <c r="EI102" s="0" t="n">
        <f aca="false">IF(AND(DM102=1,DN102&lt;=48),"",IF(AND(DM102=2,DN102&lt;=42),"",IF(AND(DM102=3,DN102&lt;=45),"",EH102)))</f>
        <v>10.5</v>
      </c>
      <c r="EJ102" s="0" t="n">
        <f aca="false">IF(EI102="","",IF(EI102&lt;9,EI102,9))</f>
        <v>9</v>
      </c>
      <c r="EK102" s="0" t="n">
        <f aca="false">IF(EI102="","",IF(EI102&gt;9,EI102-EJ102,0))</f>
        <v>1.5</v>
      </c>
      <c r="EL102" s="0" t="n">
        <f aca="false">IF(EI102="","",EJ102*DA102*2+EK102*DA102*3)</f>
        <v>2187.3</v>
      </c>
      <c r="EP102" s="0" t="n">
        <v>0</v>
      </c>
      <c r="EQ102" s="0"/>
      <c r="ER102" s="0" t="n">
        <v>0</v>
      </c>
      <c r="ET102" s="0" t="n">
        <v>1</v>
      </c>
      <c r="EV102" s="0" t="n">
        <v>0</v>
      </c>
      <c r="EX102" s="0" t="n">
        <v>0</v>
      </c>
      <c r="EY102" s="0" t="n">
        <v>1</v>
      </c>
      <c r="EZ102" s="0"/>
      <c r="FA102" s="0"/>
      <c r="FB102" s="0" t="n">
        <v>0</v>
      </c>
      <c r="FF102" s="120" t="n">
        <f aca="false">(CJ102-CI102+1)/365</f>
        <v>19.0164383561644</v>
      </c>
      <c r="FG102" s="0" t="str">
        <f aca="false">CONCATENATE(F102,"/",G102)</f>
        <v>533/2011</v>
      </c>
      <c r="FH102" s="0" t="n">
        <v>0</v>
      </c>
      <c r="FI102" s="0" t="n">
        <v>0</v>
      </c>
    </row>
    <row r="103" customFormat="false" ht="15" hidden="false" customHeight="false" outlineLevel="0" collapsed="false">
      <c r="A103" s="5" t="str">
        <f aca="false">E103&amp;G103&amp;F103</f>
        <v>72011541</v>
      </c>
      <c r="B103" s="0" t="s">
        <v>203</v>
      </c>
      <c r="C103" s="1" t="n">
        <v>42410</v>
      </c>
      <c r="E103" s="0" t="n">
        <v>7</v>
      </c>
      <c r="F103" s="0" t="n">
        <v>541</v>
      </c>
      <c r="G103" s="0" t="n">
        <v>2011</v>
      </c>
      <c r="H103" s="0" t="str">
        <f aca="false">"J"&amp;E103&amp;"\"&amp;F103&amp;"\"&amp;G103&amp;"\"&amp;W103</f>
        <v>J7\541\2011\1</v>
      </c>
      <c r="I103" s="0"/>
      <c r="J103" s="1" t="n">
        <v>40620</v>
      </c>
      <c r="K103" s="0" t="n">
        <v>0</v>
      </c>
      <c r="M103" s="1" t="n">
        <v>40620</v>
      </c>
      <c r="N103" s="1" t="n">
        <v>40721</v>
      </c>
      <c r="O103" s="1"/>
      <c r="P103" s="1"/>
      <c r="Q103" s="1"/>
      <c r="T103" s="121"/>
      <c r="U103" s="121"/>
      <c r="V103" s="122" t="n">
        <f aca="false">IF(AND(E103&gt;0,F103&gt;0,G103&gt;0),COUNTIFS($E:$E,E103,$F:$F,F103,$G:$G,G103),"")</f>
        <v>1</v>
      </c>
      <c r="W103" s="122" t="n">
        <f aca="false">IF(V103="","",IF(V103=1,1,IF(AND(E102=E103,F102=F103,G102=G103),W102+1,1)))</f>
        <v>1</v>
      </c>
      <c r="X103" s="0" t="n">
        <v>1</v>
      </c>
      <c r="Y103" s="0" t="n">
        <v>4</v>
      </c>
      <c r="Z103" s="0" t="s">
        <v>1326</v>
      </c>
      <c r="AA103" s="0" t="n">
        <v>0</v>
      </c>
      <c r="AB103" s="0" t="s">
        <v>348</v>
      </c>
      <c r="AC103" s="0" t="s">
        <v>216</v>
      </c>
      <c r="AD103" s="0" t="s">
        <v>216</v>
      </c>
      <c r="AE103" s="0" t="n">
        <v>0</v>
      </c>
      <c r="AF103" s="0" t="s">
        <v>1327</v>
      </c>
      <c r="AG103" s="0" t="n">
        <v>0</v>
      </c>
      <c r="AH103" s="0" t="s">
        <v>1328</v>
      </c>
      <c r="AI103" s="0" t="s">
        <v>287</v>
      </c>
      <c r="AJ103" s="0" t="s">
        <v>207</v>
      </c>
      <c r="AL103" s="0" t="s">
        <v>1329</v>
      </c>
      <c r="AM103" s="0" t="n">
        <v>1</v>
      </c>
      <c r="AN103" s="0" t="s">
        <v>1328</v>
      </c>
      <c r="AO103" s="0" t="s">
        <v>287</v>
      </c>
      <c r="AP103" s="0" t="s">
        <v>207</v>
      </c>
      <c r="AR103" s="0" t="s">
        <v>1330</v>
      </c>
      <c r="AS103" s="0" t="n">
        <v>1</v>
      </c>
      <c r="AT103" s="0" t="s">
        <v>1328</v>
      </c>
      <c r="AU103" s="0" t="s">
        <v>287</v>
      </c>
      <c r="AV103" s="0" t="s">
        <v>207</v>
      </c>
      <c r="AX103" s="0" t="s">
        <v>213</v>
      </c>
      <c r="AY103" s="0" t="n">
        <v>1</v>
      </c>
      <c r="AZ103" s="0" t="s">
        <v>1328</v>
      </c>
      <c r="BA103" s="0" t="s">
        <v>287</v>
      </c>
      <c r="BB103" s="0" t="s">
        <v>207</v>
      </c>
      <c r="BP103" s="0" t="n">
        <v>0</v>
      </c>
      <c r="BQ103" s="0" t="n">
        <v>0</v>
      </c>
      <c r="BR103" s="0" t="n">
        <v>3</v>
      </c>
      <c r="BS103" s="0" t="s">
        <v>499</v>
      </c>
      <c r="BT103" s="0" t="s">
        <v>1331</v>
      </c>
      <c r="BU103" s="0" t="s">
        <v>1332</v>
      </c>
      <c r="BV103" s="123"/>
      <c r="BW103" s="123"/>
      <c r="BX103" s="123"/>
      <c r="BY103" s="123"/>
      <c r="BZ103" s="0" t="n">
        <v>0</v>
      </c>
      <c r="CA103" s="0" t="s">
        <v>348</v>
      </c>
      <c r="CD103" s="0" t="s">
        <v>256</v>
      </c>
      <c r="CE103" s="0" t="n">
        <v>0</v>
      </c>
      <c r="CF103" s="0" t="s">
        <v>1333</v>
      </c>
      <c r="CG103" s="0" t="s">
        <v>218</v>
      </c>
      <c r="CI103" s="1" t="n">
        <v>40525</v>
      </c>
      <c r="CJ103" s="1" t="n">
        <v>40561</v>
      </c>
      <c r="CK103" s="124" t="n">
        <v>0.625</v>
      </c>
      <c r="CL103" s="0" t="s">
        <v>1330</v>
      </c>
      <c r="CM103" s="0" t="n">
        <f aca="false">IF(OR(CI103="",CJ103=""),"",DAYS360(CI103,CJ103)/360)</f>
        <v>0.0972222222222222</v>
      </c>
      <c r="CN103" s="0" t="n">
        <f aca="false">IF(OR(CI103="",CJ103=""),"",DAYS360(CI103,CJ103)/30)</f>
        <v>1.16666666666667</v>
      </c>
      <c r="CO103" s="0" t="n">
        <f aca="false">IF(OR(CI103="",CJ103=""),"",DAYS360(CI103,CJ103)/7)</f>
        <v>5</v>
      </c>
      <c r="CP103" s="0" t="n">
        <f aca="false">IF(OR(CI103="",CJ103=""),"",DAYS360(CI103,CJ103))</f>
        <v>35</v>
      </c>
      <c r="CQ103" s="0" t="s">
        <v>240</v>
      </c>
      <c r="CR103" s="0" t="n">
        <v>1</v>
      </c>
      <c r="CT103" s="0" t="n">
        <v>165</v>
      </c>
      <c r="CU103" s="0" t="n">
        <v>0</v>
      </c>
      <c r="CV103" s="0" t="n">
        <f aca="false">IF(OR(CT103="",CT103="NO ESPECIFICA",CT103="NO MENCIONA"),"",IF(CU103=0,CT103,IF(CU103=1,CT103/30,IF(CU103=2,CT103/15,IF(CU103=3,CT103/7,"")))))</f>
        <v>165</v>
      </c>
      <c r="CW103" s="125" t="n">
        <v>172.45</v>
      </c>
      <c r="CX103" s="0" t="n">
        <v>0</v>
      </c>
      <c r="CY103" s="0" t="n">
        <f aca="false">IF(CW103="","",IF(CX103=0,CW103,IF(CX103=1,CW103/30,IF(CX103=2,CW103/15,IF(CX103=3,CW103/7,CW103)))))</f>
        <v>172.45</v>
      </c>
      <c r="CZ103" s="0" t="n">
        <f aca="false">IF(DI103&gt;0,DI103,IF(CY103&gt;0,CY103,IF(CV103&gt;0,CV103,"")))</f>
        <v>172.45</v>
      </c>
      <c r="DA103" s="0" t="n">
        <f aca="false">IF(DM103=1,CZ103/8,IF(OR(DM103=2,DM103=4),CZ103/7,IF(DM103=3,CZ103/7.5,"")))</f>
        <v>21.55625</v>
      </c>
      <c r="DB103" s="0" t="s">
        <v>303</v>
      </c>
      <c r="DC103" s="0" t="s">
        <v>301</v>
      </c>
      <c r="DD103" s="0" t="s">
        <v>216</v>
      </c>
      <c r="DE103" s="0" t="s">
        <v>216</v>
      </c>
      <c r="DF103" s="0" t="s">
        <v>216</v>
      </c>
      <c r="DG103" s="0" t="s">
        <v>216</v>
      </c>
      <c r="DH103" s="0" t="n">
        <v>0</v>
      </c>
      <c r="DI103" s="126" t="n">
        <v>172.45</v>
      </c>
      <c r="DK103" s="0" t="n">
        <v>0</v>
      </c>
      <c r="DM103" s="0" t="n">
        <v>1</v>
      </c>
      <c r="DN103" s="0" t="n">
        <v>40</v>
      </c>
      <c r="DO103" s="0" t="n">
        <v>3</v>
      </c>
      <c r="DP103" s="0" t="n">
        <v>0</v>
      </c>
      <c r="DQ103" s="0" t="n">
        <v>1</v>
      </c>
      <c r="DR103" s="0"/>
      <c r="DS103" s="0" t="n">
        <v>1</v>
      </c>
      <c r="DU103" s="0" t="n">
        <v>1</v>
      </c>
      <c r="DW103" s="1" t="n">
        <v>40525</v>
      </c>
      <c r="DX103" s="1" t="n">
        <v>40561</v>
      </c>
      <c r="DZ103" s="0"/>
      <c r="EA103" s="0" t="n">
        <v>1</v>
      </c>
      <c r="EC103" s="1" t="n">
        <v>40544</v>
      </c>
      <c r="ED103" s="1" t="n">
        <v>40561</v>
      </c>
      <c r="EF103" s="0"/>
      <c r="EG103" s="0" t="n">
        <v>0</v>
      </c>
      <c r="EI103" s="0" t="str">
        <f aca="false">IF(AND(DM103=1,DN103&lt;=48),"",IF(AND(DM103=2,DN103&lt;=42),"",IF(AND(DM103=3,DN103&lt;=45),"",EH103)))</f>
        <v/>
      </c>
      <c r="EJ103" s="0" t="str">
        <f aca="false">IF(EI103="","",IF(EI103&lt;9,EI103,9))</f>
        <v/>
      </c>
      <c r="EK103" s="0" t="str">
        <f aca="false">IF(EI103="","",IF(EI103&gt;9,EI103-EJ103,0))</f>
        <v/>
      </c>
      <c r="EL103" s="0" t="str">
        <f aca="false">IF(EI103="","",EJ103*DA103*2+EK103*DA103*3)</f>
        <v/>
      </c>
      <c r="EP103" s="0" t="n">
        <v>0</v>
      </c>
      <c r="EQ103" s="0"/>
      <c r="ER103" s="0" t="n">
        <v>0</v>
      </c>
      <c r="ET103" s="0" t="n">
        <v>0</v>
      </c>
      <c r="EV103" s="0" t="n">
        <v>0</v>
      </c>
      <c r="EX103" s="0" t="n">
        <v>0</v>
      </c>
      <c r="EY103" s="0" t="n">
        <v>0</v>
      </c>
      <c r="EZ103" s="0"/>
      <c r="FA103" s="0"/>
      <c r="FB103" s="0" t="n">
        <v>1</v>
      </c>
      <c r="FF103" s="120" t="n">
        <f aca="false">(CJ103-CI103+1)/365</f>
        <v>0.101369863013699</v>
      </c>
      <c r="FG103" s="0" t="str">
        <f aca="false">CONCATENATE(F103,"/",G103)</f>
        <v>541/2011</v>
      </c>
      <c r="FH103" s="0" t="n">
        <v>0</v>
      </c>
      <c r="FI103" s="0" t="n">
        <v>0</v>
      </c>
    </row>
    <row r="104" customFormat="false" ht="15" hidden="false" customHeight="false" outlineLevel="0" collapsed="false">
      <c r="A104" s="5" t="str">
        <f aca="false">E104&amp;G104&amp;F104</f>
        <v>72011544</v>
      </c>
      <c r="B104" s="0" t="s">
        <v>203</v>
      </c>
      <c r="C104" s="1" t="n">
        <v>42410</v>
      </c>
      <c r="E104" s="0" t="n">
        <v>7</v>
      </c>
      <c r="F104" s="0" t="n">
        <v>544</v>
      </c>
      <c r="G104" s="0" t="n">
        <v>2011</v>
      </c>
      <c r="H104" s="0" t="str">
        <f aca="false">"J"&amp;E104&amp;"\"&amp;F104&amp;"\"&amp;G104&amp;"\"&amp;W104</f>
        <v>J7\544\2011\1</v>
      </c>
      <c r="I104" s="0"/>
      <c r="J104" s="1" t="n">
        <v>40620</v>
      </c>
      <c r="K104" s="0" t="n">
        <v>0</v>
      </c>
      <c r="M104" s="1" t="n">
        <v>40620</v>
      </c>
      <c r="N104" s="1" t="n">
        <v>40722</v>
      </c>
      <c r="O104" s="1"/>
      <c r="P104" s="1"/>
      <c r="Q104" s="1"/>
      <c r="T104" s="121"/>
      <c r="U104" s="121"/>
      <c r="V104" s="122" t="n">
        <f aca="false">IF(AND(E104&gt;0,F104&gt;0,G104&gt;0),COUNTIFS($E:$E,E104,$F:$F,F104,$G:$G,G104),"")</f>
        <v>1</v>
      </c>
      <c r="W104" s="122" t="n">
        <f aca="false">IF(V104="","",IF(V104=1,1,IF(AND(E103=E104,F103=F104,G103=G104),W103+1,1)))</f>
        <v>1</v>
      </c>
      <c r="X104" s="0" t="n">
        <v>1</v>
      </c>
      <c r="Y104" s="0" t="n">
        <v>4</v>
      </c>
      <c r="Z104" s="0" t="s">
        <v>1334</v>
      </c>
      <c r="AA104" s="0" t="n">
        <v>0</v>
      </c>
      <c r="AB104" s="0" t="s">
        <v>348</v>
      </c>
      <c r="AC104" s="0" t="s">
        <v>216</v>
      </c>
      <c r="AD104" s="0" t="s">
        <v>216</v>
      </c>
      <c r="AE104" s="0" t="n">
        <v>0</v>
      </c>
      <c r="AF104" s="0" t="s">
        <v>1335</v>
      </c>
      <c r="AG104" s="0" t="n">
        <v>0</v>
      </c>
      <c r="AH104" s="0" t="s">
        <v>1336</v>
      </c>
      <c r="AI104" s="0" t="s">
        <v>1337</v>
      </c>
      <c r="AJ104" s="0" t="s">
        <v>322</v>
      </c>
      <c r="AL104" s="0" t="s">
        <v>1338</v>
      </c>
      <c r="AM104" s="0" t="n">
        <v>1</v>
      </c>
      <c r="AN104" s="0" t="s">
        <v>1336</v>
      </c>
      <c r="AO104" s="0" t="s">
        <v>1337</v>
      </c>
      <c r="AP104" s="0" t="s">
        <v>322</v>
      </c>
      <c r="AR104" s="0" t="s">
        <v>1339</v>
      </c>
      <c r="AS104" s="0" t="n">
        <v>1</v>
      </c>
      <c r="AT104" s="0" t="s">
        <v>1336</v>
      </c>
      <c r="AU104" s="0" t="s">
        <v>1337</v>
      </c>
      <c r="AV104" s="0" t="s">
        <v>322</v>
      </c>
      <c r="AX104" s="0" t="s">
        <v>213</v>
      </c>
      <c r="AY104" s="0" t="n">
        <v>1</v>
      </c>
      <c r="AZ104" s="0" t="s">
        <v>1336</v>
      </c>
      <c r="BA104" s="0" t="s">
        <v>1337</v>
      </c>
      <c r="BB104" s="0" t="s">
        <v>322</v>
      </c>
      <c r="BP104" s="0" t="n">
        <v>0</v>
      </c>
      <c r="BQ104" s="0" t="n">
        <v>0</v>
      </c>
      <c r="BR104" s="0" t="n">
        <v>3</v>
      </c>
      <c r="BS104" s="0" t="s">
        <v>499</v>
      </c>
      <c r="BT104" s="0" t="s">
        <v>1331</v>
      </c>
      <c r="BU104" s="0" t="s">
        <v>1332</v>
      </c>
      <c r="BV104" s="123"/>
      <c r="BW104" s="123"/>
      <c r="BX104" s="123"/>
      <c r="BY104" s="123"/>
      <c r="BZ104" s="0" t="n">
        <v>0</v>
      </c>
      <c r="CA104" s="0" t="s">
        <v>348</v>
      </c>
      <c r="CD104" s="0" t="s">
        <v>256</v>
      </c>
      <c r="CE104" s="0" t="n">
        <v>0</v>
      </c>
      <c r="CF104" s="0" t="s">
        <v>503</v>
      </c>
      <c r="CG104" s="0" t="s">
        <v>1340</v>
      </c>
      <c r="CH104" s="0" t="n">
        <v>1</v>
      </c>
      <c r="CI104" s="1" t="n">
        <v>39969</v>
      </c>
      <c r="CJ104" s="1" t="n">
        <v>40574</v>
      </c>
      <c r="CK104" s="124" t="n">
        <v>0.375</v>
      </c>
      <c r="CL104" s="0" t="s">
        <v>1341</v>
      </c>
      <c r="CM104" s="0" t="n">
        <f aca="false">IF(OR(CI104="",CJ104=""),"",DAYS360(CI104,CJ104)/360)</f>
        <v>1.65555555555556</v>
      </c>
      <c r="CN104" s="0" t="n">
        <f aca="false">IF(OR(CI104="",CJ104=""),"",DAYS360(CI104,CJ104)/30)</f>
        <v>19.8666666666667</v>
      </c>
      <c r="CO104" s="0" t="n">
        <f aca="false">IF(OR(CI104="",CJ104=""),"",DAYS360(CI104,CJ104)/7)</f>
        <v>85.1428571428571</v>
      </c>
      <c r="CP104" s="0" t="n">
        <f aca="false">IF(OR(CI104="",CJ104=""),"",DAYS360(CI104,CJ104))</f>
        <v>596</v>
      </c>
      <c r="CQ104" s="0" t="s">
        <v>240</v>
      </c>
      <c r="CR104" s="0" t="n">
        <v>1</v>
      </c>
      <c r="CT104" s="0" t="n">
        <v>120</v>
      </c>
      <c r="CU104" s="0" t="n">
        <v>0</v>
      </c>
      <c r="CV104" s="0" t="n">
        <f aca="false">IF(OR(CT104="",CT104="NO ESPECIFICA",CT104="NO MENCIONA"),"",IF(CU104=0,CT104,IF(CU104=1,CT104/30,IF(CU104=2,CT104/15,IF(CU104=3,CT104/7,"")))))</f>
        <v>120</v>
      </c>
      <c r="CW104" s="125" t="n">
        <v>125.42</v>
      </c>
      <c r="CX104" s="0" t="n">
        <v>0</v>
      </c>
      <c r="CY104" s="0" t="n">
        <f aca="false">IF(CW104="","",IF(CX104=0,CW104,IF(CX104=1,CW104/30,IF(CX104=2,CW104/15,IF(CX104=3,CW104/7,CW104)))))</f>
        <v>125.42</v>
      </c>
      <c r="CZ104" s="0" t="n">
        <f aca="false">IF(DI104&gt;0,DI104,IF(CY104&gt;0,CY104,IF(CV104&gt;0,CV104,"")))</f>
        <v>125.42</v>
      </c>
      <c r="DA104" s="0" t="n">
        <f aca="false">IF(DM104=1,CZ104/8,IF(OR(DM104=2,DM104=4),CZ104/7,IF(DM104=3,CZ104/7.5,"")))</f>
        <v>15.6775</v>
      </c>
      <c r="DB104" s="0" t="s">
        <v>303</v>
      </c>
      <c r="DC104" s="0" t="s">
        <v>301</v>
      </c>
      <c r="DD104" s="0" t="s">
        <v>216</v>
      </c>
      <c r="DE104" s="0" t="s">
        <v>216</v>
      </c>
      <c r="DF104" s="0" t="s">
        <v>216</v>
      </c>
      <c r="DG104" s="0" t="s">
        <v>216</v>
      </c>
      <c r="DH104" s="0" t="n">
        <v>0</v>
      </c>
      <c r="DI104" s="126" t="n">
        <v>125.42</v>
      </c>
      <c r="DK104" s="0" t="n">
        <v>0</v>
      </c>
      <c r="DM104" s="0" t="n">
        <v>1</v>
      </c>
      <c r="DN104" s="0" t="n">
        <v>45</v>
      </c>
      <c r="DO104" s="0" t="n">
        <v>3</v>
      </c>
      <c r="DP104" s="0" t="n">
        <v>0</v>
      </c>
      <c r="DQ104" s="0" t="n">
        <v>1</v>
      </c>
      <c r="DR104" s="0"/>
      <c r="DS104" s="0" t="n">
        <v>1</v>
      </c>
      <c r="DU104" s="0" t="n">
        <v>1</v>
      </c>
      <c r="DW104" s="1" t="n">
        <v>40334</v>
      </c>
      <c r="DX104" s="1" t="n">
        <v>40574</v>
      </c>
      <c r="DZ104" s="0"/>
      <c r="EA104" s="0" t="n">
        <v>1</v>
      </c>
      <c r="EC104" s="1" t="n">
        <v>40544</v>
      </c>
      <c r="ED104" s="1" t="n">
        <v>40574</v>
      </c>
      <c r="EF104" s="0"/>
      <c r="EG104" s="0" t="n">
        <v>0</v>
      </c>
      <c r="EI104" s="0" t="str">
        <f aca="false">IF(AND(DM104=1,DN104&lt;=48),"",IF(AND(DM104=2,DN104&lt;=42),"",IF(AND(DM104=3,DN104&lt;=45),"",EH104)))</f>
        <v/>
      </c>
      <c r="EJ104" s="0" t="str">
        <f aca="false">IF(EI104="","",IF(EI104&lt;9,EI104,9))</f>
        <v/>
      </c>
      <c r="EK104" s="0" t="str">
        <f aca="false">IF(EI104="","",IF(EI104&gt;9,EI104-EJ104,0))</f>
        <v/>
      </c>
      <c r="EL104" s="0" t="str">
        <f aca="false">IF(EI104="","",EJ104*DA104*2+EK104*DA104*3)</f>
        <v/>
      </c>
      <c r="EP104" s="0" t="n">
        <v>0</v>
      </c>
      <c r="EQ104" s="0"/>
      <c r="ER104" s="0" t="n">
        <v>0</v>
      </c>
      <c r="ET104" s="0" t="n">
        <v>0</v>
      </c>
      <c r="EV104" s="0" t="n">
        <v>0</v>
      </c>
      <c r="EX104" s="0" t="n">
        <v>0</v>
      </c>
      <c r="EY104" s="0" t="n">
        <v>0</v>
      </c>
      <c r="EZ104" s="0"/>
      <c r="FA104" s="0"/>
      <c r="FB104" s="0" t="n">
        <v>1</v>
      </c>
      <c r="FF104" s="120" t="n">
        <f aca="false">(CJ104-CI104+1)/365</f>
        <v>1.66027397260274</v>
      </c>
      <c r="FG104" s="0" t="str">
        <f aca="false">CONCATENATE(F104,"/",G104)</f>
        <v>544/2011</v>
      </c>
      <c r="FH104" s="0" t="n">
        <v>0</v>
      </c>
      <c r="FI104" s="0" t="n">
        <v>0</v>
      </c>
    </row>
    <row r="105" customFormat="false" ht="15" hidden="false" customHeight="false" outlineLevel="0" collapsed="false">
      <c r="A105" s="5" t="str">
        <f aca="false">E105&amp;G105&amp;F105</f>
        <v>72011545</v>
      </c>
      <c r="B105" s="0" t="s">
        <v>203</v>
      </c>
      <c r="C105" s="1" t="n">
        <v>42410</v>
      </c>
      <c r="E105" s="0" t="n">
        <v>7</v>
      </c>
      <c r="F105" s="0" t="n">
        <v>545</v>
      </c>
      <c r="G105" s="0" t="n">
        <v>2011</v>
      </c>
      <c r="H105" s="0" t="str">
        <f aca="false">"J"&amp;E105&amp;"\"&amp;F105&amp;"\"&amp;G105&amp;"\"&amp;W105</f>
        <v>J7\545\2011\1</v>
      </c>
      <c r="I105" s="0"/>
      <c r="J105" s="1" t="n">
        <v>40620</v>
      </c>
      <c r="K105" s="0" t="n">
        <v>0</v>
      </c>
      <c r="M105" s="1" t="n">
        <v>40620</v>
      </c>
      <c r="N105" s="1" t="n">
        <v>40722</v>
      </c>
      <c r="O105" s="1"/>
      <c r="P105" s="1"/>
      <c r="Q105" s="1"/>
      <c r="T105" s="121"/>
      <c r="U105" s="121"/>
      <c r="V105" s="122" t="n">
        <f aca="false">IF(AND(E105&gt;0,F105&gt;0,G105&gt;0),COUNTIFS($E:$E,E105,$F:$F,F105,$G:$G,G105),"")</f>
        <v>1</v>
      </c>
      <c r="W105" s="122" t="n">
        <f aca="false">IF(V105="","",IF(V105=1,1,IF(AND(E104=E105,F104=F105,G104=G105),W104+1,1)))</f>
        <v>1</v>
      </c>
      <c r="X105" s="0" t="n">
        <v>1</v>
      </c>
      <c r="Y105" s="0" t="n">
        <v>5</v>
      </c>
      <c r="Z105" s="0" t="s">
        <v>1342</v>
      </c>
      <c r="AA105" s="0" t="n">
        <v>0</v>
      </c>
      <c r="AB105" s="0" t="s">
        <v>348</v>
      </c>
      <c r="AC105" s="0" t="s">
        <v>216</v>
      </c>
      <c r="AD105" s="0" t="s">
        <v>216</v>
      </c>
      <c r="AE105" s="0" t="n">
        <v>0</v>
      </c>
      <c r="AF105" s="0" t="s">
        <v>1343</v>
      </c>
      <c r="AG105" s="0" t="n">
        <v>0</v>
      </c>
      <c r="AH105" s="0" t="s">
        <v>1344</v>
      </c>
      <c r="AI105" s="0" t="s">
        <v>287</v>
      </c>
      <c r="AJ105" s="0" t="s">
        <v>207</v>
      </c>
      <c r="AL105" s="0" t="s">
        <v>1345</v>
      </c>
      <c r="AM105" s="0" t="n">
        <v>1</v>
      </c>
      <c r="AN105" s="0" t="s">
        <v>1344</v>
      </c>
      <c r="AO105" s="0" t="s">
        <v>287</v>
      </c>
      <c r="AP105" s="0" t="s">
        <v>207</v>
      </c>
      <c r="AR105" s="0" t="s">
        <v>1346</v>
      </c>
      <c r="AS105" s="0" t="n">
        <v>1</v>
      </c>
      <c r="AT105" s="0" t="s">
        <v>1344</v>
      </c>
      <c r="AU105" s="0" t="s">
        <v>287</v>
      </c>
      <c r="AV105" s="0" t="s">
        <v>207</v>
      </c>
      <c r="AX105" s="0" t="s">
        <v>1347</v>
      </c>
      <c r="AY105" s="0" t="n">
        <v>1</v>
      </c>
      <c r="AZ105" s="0" t="s">
        <v>1344</v>
      </c>
      <c r="BA105" s="0" t="s">
        <v>287</v>
      </c>
      <c r="BB105" s="0" t="s">
        <v>207</v>
      </c>
      <c r="BD105" s="0" t="s">
        <v>213</v>
      </c>
      <c r="BE105" s="0" t="n">
        <v>1</v>
      </c>
      <c r="BF105" s="0" t="s">
        <v>1344</v>
      </c>
      <c r="BG105" s="0" t="s">
        <v>287</v>
      </c>
      <c r="BH105" s="0" t="s">
        <v>207</v>
      </c>
      <c r="BP105" s="0" t="n">
        <v>0</v>
      </c>
      <c r="BQ105" s="0" t="n">
        <v>0</v>
      </c>
      <c r="BR105" s="0" t="n">
        <v>3</v>
      </c>
      <c r="BS105" s="0" t="s">
        <v>499</v>
      </c>
      <c r="BT105" s="0" t="s">
        <v>1331</v>
      </c>
      <c r="BU105" s="0" t="s">
        <v>1332</v>
      </c>
      <c r="BV105" s="123"/>
      <c r="BW105" s="123"/>
      <c r="BX105" s="123"/>
      <c r="BY105" s="123"/>
      <c r="BZ105" s="0" t="n">
        <v>0</v>
      </c>
      <c r="CA105" s="0" t="s">
        <v>348</v>
      </c>
      <c r="CD105" s="0" t="s">
        <v>296</v>
      </c>
      <c r="CE105" s="0" t="n">
        <v>0</v>
      </c>
      <c r="CF105" s="0" t="s">
        <v>1348</v>
      </c>
      <c r="CG105" s="0" t="s">
        <v>218</v>
      </c>
      <c r="CI105" s="1" t="n">
        <v>40544</v>
      </c>
      <c r="CJ105" s="1" t="n">
        <v>40574</v>
      </c>
      <c r="CK105" s="124" t="n">
        <v>0.375</v>
      </c>
      <c r="CL105" s="0" t="s">
        <v>1349</v>
      </c>
      <c r="CM105" s="0" t="n">
        <f aca="false">IF(OR(CI105="",CJ105=""),"",DAYS360(CI105,CJ105)/360)</f>
        <v>0.0833333333333333</v>
      </c>
      <c r="CN105" s="0" t="n">
        <f aca="false">IF(OR(CI105="",CJ105=""),"",DAYS360(CI105,CJ105)/30)</f>
        <v>1</v>
      </c>
      <c r="CO105" s="0" t="n">
        <f aca="false">IF(OR(CI105="",CJ105=""),"",DAYS360(CI105,CJ105)/7)</f>
        <v>4.28571428571429</v>
      </c>
      <c r="CP105" s="0" t="n">
        <f aca="false">IF(OR(CI105="",CJ105=""),"",DAYS360(CI105,CJ105))</f>
        <v>30</v>
      </c>
      <c r="CQ105" s="0" t="s">
        <v>240</v>
      </c>
      <c r="CR105" s="0" t="n">
        <v>1</v>
      </c>
      <c r="CT105" s="0" t="n">
        <v>133.33</v>
      </c>
      <c r="CU105" s="0" t="n">
        <v>0</v>
      </c>
      <c r="CV105" s="0" t="n">
        <f aca="false">IF(OR(CT105="",CT105="NO ESPECIFICA",CT105="NO MENCIONA"),"",IF(CU105=0,CT105,IF(CU105=1,CT105/30,IF(CU105=2,CT105/15,IF(CU105=3,CT105/7,"")))))</f>
        <v>133.33</v>
      </c>
      <c r="CW105" s="125" t="n">
        <v>139.35</v>
      </c>
      <c r="CX105" s="0" t="n">
        <v>0</v>
      </c>
      <c r="CY105" s="0" t="n">
        <f aca="false">IF(CW105="","",IF(CX105=0,CW105,IF(CX105=1,CW105/30,IF(CX105=2,CW105/15,IF(CX105=3,CW105/7,CW105)))))</f>
        <v>139.35</v>
      </c>
      <c r="CZ105" s="0" t="n">
        <f aca="false">IF(DI105&gt;0,DI105,IF(CY105&gt;0,CY105,IF(CV105&gt;0,CV105,"")))</f>
        <v>139.35</v>
      </c>
      <c r="DA105" s="0" t="n">
        <f aca="false">IF(DM105=1,CZ105/8,IF(OR(DM105=2,DM105=4),CZ105/7,IF(DM105=3,CZ105/7.5,"")))</f>
        <v>19.9071428571429</v>
      </c>
      <c r="DB105" s="0" t="s">
        <v>303</v>
      </c>
      <c r="DC105" s="0" t="s">
        <v>301</v>
      </c>
      <c r="DD105" s="0" t="s">
        <v>216</v>
      </c>
      <c r="DE105" s="0" t="s">
        <v>216</v>
      </c>
      <c r="DF105" s="0" t="s">
        <v>216</v>
      </c>
      <c r="DG105" s="0" t="s">
        <v>216</v>
      </c>
      <c r="DH105" s="0" t="n">
        <v>0</v>
      </c>
      <c r="DI105" s="126" t="n">
        <v>139.35</v>
      </c>
      <c r="DK105" s="0" t="n">
        <v>0</v>
      </c>
      <c r="DM105" s="0" t="n">
        <v>2</v>
      </c>
      <c r="DN105" s="0" t="n">
        <v>54</v>
      </c>
      <c r="DO105" s="0" t="n">
        <v>3</v>
      </c>
      <c r="DP105" s="0" t="n">
        <v>0</v>
      </c>
      <c r="DQ105" s="0" t="n">
        <v>1</v>
      </c>
      <c r="DR105" s="0"/>
      <c r="DS105" s="0" t="n">
        <v>1</v>
      </c>
      <c r="DU105" s="0" t="n">
        <v>1</v>
      </c>
      <c r="DW105" s="1" t="n">
        <v>40544</v>
      </c>
      <c r="DX105" s="1" t="n">
        <v>40574</v>
      </c>
      <c r="DZ105" s="0"/>
      <c r="EA105" s="0" t="n">
        <v>1</v>
      </c>
      <c r="EC105" s="1" t="n">
        <v>40544</v>
      </c>
      <c r="ED105" s="1" t="n">
        <v>40574</v>
      </c>
      <c r="EF105" s="0"/>
      <c r="EG105" s="0" t="n">
        <v>0</v>
      </c>
      <c r="EI105" s="0" t="n">
        <f aca="false">IF(AND(DM105=1,DN105&lt;=48),"",IF(AND(DM105=2,DN105&lt;=42),"",IF(AND(DM105=3,DN105&lt;=45),"",EH105)))</f>
        <v>0</v>
      </c>
      <c r="EJ105" s="0" t="str">
        <f aca="false">IF(EI105="","",IF(EI105&lt;9,EI105,9))</f>
        <v/>
      </c>
      <c r="EK105" s="0" t="str">
        <f aca="false">IF(EI105="","",IF(EI105&gt;9,EI105-EJ105,0))</f>
        <v/>
      </c>
      <c r="EL105" s="0" t="str">
        <f aca="false">IF(EI105="","",EJ105*DA105*2+EK105*DA105*3)</f>
        <v/>
      </c>
      <c r="EP105" s="0" t="n">
        <v>0</v>
      </c>
      <c r="EQ105" s="0"/>
      <c r="ER105" s="0" t="n">
        <v>0</v>
      </c>
      <c r="ET105" s="0" t="n">
        <v>0</v>
      </c>
      <c r="EV105" s="0" t="n">
        <v>0</v>
      </c>
      <c r="EX105" s="0" t="n">
        <v>0</v>
      </c>
      <c r="EY105" s="0" t="n">
        <v>0</v>
      </c>
      <c r="EZ105" s="0"/>
      <c r="FA105" s="0"/>
      <c r="FB105" s="0" t="n">
        <v>1</v>
      </c>
      <c r="FF105" s="120" t="n">
        <f aca="false">(CJ105-CI105+1)/365</f>
        <v>0.0849315068493151</v>
      </c>
      <c r="FG105" s="0" t="str">
        <f aca="false">CONCATENATE(F105,"/",G105)</f>
        <v>545/2011</v>
      </c>
      <c r="FH105" s="0" t="n">
        <v>0</v>
      </c>
      <c r="FI105" s="0" t="n">
        <v>0</v>
      </c>
    </row>
    <row r="106" customFormat="false" ht="15" hidden="false" customHeight="false" outlineLevel="0" collapsed="false">
      <c r="A106" s="5" t="str">
        <f aca="false">E106&amp;G106&amp;F106</f>
        <v>72011546</v>
      </c>
      <c r="B106" s="0" t="s">
        <v>203</v>
      </c>
      <c r="C106" s="1" t="n">
        <v>42410</v>
      </c>
      <c r="E106" s="0" t="n">
        <v>7</v>
      </c>
      <c r="F106" s="0" t="n">
        <v>546</v>
      </c>
      <c r="G106" s="0" t="n">
        <v>2011</v>
      </c>
      <c r="H106" s="0" t="str">
        <f aca="false">"J"&amp;E106&amp;"\"&amp;F106&amp;"\"&amp;G106&amp;"\"&amp;W106</f>
        <v>J7\546\2011\1</v>
      </c>
      <c r="I106" s="0"/>
      <c r="J106" s="1" t="n">
        <v>40620</v>
      </c>
      <c r="K106" s="0" t="n">
        <v>0</v>
      </c>
      <c r="M106" s="1" t="n">
        <v>40620</v>
      </c>
      <c r="N106" s="1" t="n">
        <v>40721</v>
      </c>
      <c r="O106" s="1"/>
      <c r="P106" s="1"/>
      <c r="Q106" s="1"/>
      <c r="T106" s="121"/>
      <c r="U106" s="121"/>
      <c r="V106" s="122" t="n">
        <f aca="false">IF(AND(E106&gt;0,F106&gt;0,G106&gt;0),COUNTIFS($E:$E,E106,$F:$F,F106,$G:$G,G106),"")</f>
        <v>1</v>
      </c>
      <c r="W106" s="122" t="n">
        <f aca="false">IF(V106="","",IF(V106=1,1,IF(AND(E105=E106,F105=F106,G105=G106),W105+1,1)))</f>
        <v>1</v>
      </c>
      <c r="X106" s="0" t="n">
        <v>1</v>
      </c>
      <c r="Y106" s="0" t="n">
        <v>5</v>
      </c>
      <c r="Z106" s="0" t="s">
        <v>1350</v>
      </c>
      <c r="AA106" s="0" t="n">
        <v>0</v>
      </c>
      <c r="AB106" s="0" t="s">
        <v>348</v>
      </c>
      <c r="AC106" s="0" t="s">
        <v>216</v>
      </c>
      <c r="AD106" s="0" t="s">
        <v>216</v>
      </c>
      <c r="AE106" s="0" t="n">
        <v>0</v>
      </c>
      <c r="AF106" s="0" t="s">
        <v>1351</v>
      </c>
      <c r="AG106" s="0" t="n">
        <v>0</v>
      </c>
      <c r="AH106" s="0" t="s">
        <v>1352</v>
      </c>
      <c r="AI106" s="0" t="s">
        <v>1353</v>
      </c>
      <c r="AJ106" s="0" t="s">
        <v>248</v>
      </c>
      <c r="AL106" s="0" t="s">
        <v>1354</v>
      </c>
      <c r="AM106" s="0" t="n">
        <v>1</v>
      </c>
      <c r="AN106" s="0" t="s">
        <v>1352</v>
      </c>
      <c r="AO106" s="0" t="s">
        <v>1353</v>
      </c>
      <c r="AP106" s="0" t="s">
        <v>248</v>
      </c>
      <c r="AR106" s="0" t="s">
        <v>1355</v>
      </c>
      <c r="AS106" s="0" t="n">
        <v>1</v>
      </c>
      <c r="AT106" s="0" t="s">
        <v>1352</v>
      </c>
      <c r="AU106" s="0" t="s">
        <v>1353</v>
      </c>
      <c r="AV106" s="0" t="s">
        <v>248</v>
      </c>
      <c r="AX106" s="0" t="s">
        <v>1356</v>
      </c>
      <c r="AY106" s="0" t="n">
        <v>1</v>
      </c>
      <c r="AZ106" s="0" t="s">
        <v>1352</v>
      </c>
      <c r="BA106" s="0" t="s">
        <v>1353</v>
      </c>
      <c r="BB106" s="0" t="s">
        <v>248</v>
      </c>
      <c r="BD106" s="0" t="s">
        <v>213</v>
      </c>
      <c r="BE106" s="0" t="n">
        <v>1</v>
      </c>
      <c r="BF106" s="0" t="s">
        <v>1352</v>
      </c>
      <c r="BG106" s="0" t="s">
        <v>1353</v>
      </c>
      <c r="BH106" s="0" t="s">
        <v>248</v>
      </c>
      <c r="BP106" s="0" t="n">
        <v>0</v>
      </c>
      <c r="BQ106" s="0" t="n">
        <v>0</v>
      </c>
      <c r="BR106" s="0" t="n">
        <v>3</v>
      </c>
      <c r="BS106" s="0" t="s">
        <v>499</v>
      </c>
      <c r="BT106" s="0" t="s">
        <v>1331</v>
      </c>
      <c r="BU106" s="0" t="s">
        <v>1332</v>
      </c>
      <c r="BV106" s="123"/>
      <c r="BW106" s="123"/>
      <c r="BX106" s="123"/>
      <c r="BY106" s="123"/>
      <c r="BZ106" s="0" t="n">
        <v>0</v>
      </c>
      <c r="CA106" s="0" t="s">
        <v>348</v>
      </c>
      <c r="CD106" s="0" t="s">
        <v>502</v>
      </c>
      <c r="CE106" s="0" t="n">
        <v>0</v>
      </c>
      <c r="CF106" s="0" t="s">
        <v>1357</v>
      </c>
      <c r="CG106" s="0" t="s">
        <v>218</v>
      </c>
      <c r="CI106" s="1" t="n">
        <v>38986</v>
      </c>
      <c r="CJ106" s="1" t="n">
        <v>40590</v>
      </c>
      <c r="CK106" s="124" t="n">
        <v>0.739583333333333</v>
      </c>
      <c r="CL106" s="0" t="s">
        <v>1358</v>
      </c>
      <c r="CM106" s="0" t="n">
        <f aca="false">IF(OR(CI106="",CJ106=""),"",DAYS360(CI106,CJ106)/360)</f>
        <v>4.38888888888889</v>
      </c>
      <c r="CN106" s="0" t="n">
        <f aca="false">IF(OR(CI106="",CJ106=""),"",DAYS360(CI106,CJ106)/30)</f>
        <v>52.6666666666667</v>
      </c>
      <c r="CO106" s="0" t="n">
        <f aca="false">IF(OR(CI106="",CJ106=""),"",DAYS360(CI106,CJ106)/7)</f>
        <v>225.714285714286</v>
      </c>
      <c r="CP106" s="0" t="n">
        <f aca="false">IF(OR(CI106="",CJ106=""),"",DAYS360(CI106,CJ106))</f>
        <v>1580</v>
      </c>
      <c r="CQ106" s="0" t="s">
        <v>240</v>
      </c>
      <c r="CR106" s="0" t="n">
        <v>1</v>
      </c>
      <c r="CT106" s="0" t="n">
        <v>266.66</v>
      </c>
      <c r="CU106" s="0" t="n">
        <v>0</v>
      </c>
      <c r="CV106" s="0" t="n">
        <f aca="false">IF(OR(CT106="",CT106="NO ESPECIFICA",CT106="NO MENCIONA"),"",IF(CU106=0,CT106,IF(CU106=1,CT106/30,IF(CU106=2,CT106/15,IF(CU106=3,CT106/7,"")))))</f>
        <v>266.66</v>
      </c>
      <c r="CW106" s="125" t="n">
        <v>280.16</v>
      </c>
      <c r="CX106" s="0" t="n">
        <v>0</v>
      </c>
      <c r="CY106" s="0" t="n">
        <f aca="false">IF(CW106="","",IF(CX106=0,CW106,IF(CX106=1,CW106/30,IF(CX106=2,CW106/15,IF(CX106=3,CW106/7,CW106)))))</f>
        <v>280.16</v>
      </c>
      <c r="CZ106" s="0" t="n">
        <f aca="false">IF(DI106&gt;0,DI106,IF(CY106&gt;0,CY106,IF(CV106&gt;0,CV106,"")))</f>
        <v>280.16</v>
      </c>
      <c r="DA106" s="0" t="n">
        <f aca="false">IF(DM106=1,CZ106/8,IF(OR(DM106=2,DM106=4),CZ106/7,IF(DM106=3,CZ106/7.5,"")))</f>
        <v>35.02</v>
      </c>
      <c r="DB106" s="0" t="s">
        <v>303</v>
      </c>
      <c r="DC106" s="0" t="s">
        <v>301</v>
      </c>
      <c r="DD106" s="0" t="s">
        <v>216</v>
      </c>
      <c r="DE106" s="0" t="s">
        <v>216</v>
      </c>
      <c r="DF106" s="0" t="s">
        <v>216</v>
      </c>
      <c r="DG106" s="0" t="s">
        <v>216</v>
      </c>
      <c r="DH106" s="0" t="n">
        <v>0</v>
      </c>
      <c r="DI106" s="126" t="n">
        <v>280.16</v>
      </c>
      <c r="DK106" s="0" t="n">
        <v>1</v>
      </c>
      <c r="DM106" s="0" t="n">
        <v>1</v>
      </c>
      <c r="DN106" s="0" t="n">
        <v>50</v>
      </c>
      <c r="DO106" s="0" t="n">
        <v>3</v>
      </c>
      <c r="DP106" s="0" t="n">
        <v>0</v>
      </c>
      <c r="DQ106" s="0" t="n">
        <v>1</v>
      </c>
      <c r="DR106" s="0"/>
      <c r="DS106" s="0" t="n">
        <v>1</v>
      </c>
      <c r="DU106" s="0" t="n">
        <v>1</v>
      </c>
      <c r="DW106" s="1" t="n">
        <v>40447</v>
      </c>
      <c r="DX106" s="1" t="n">
        <v>40590</v>
      </c>
      <c r="DZ106" s="0"/>
      <c r="EA106" s="0" t="n">
        <v>1</v>
      </c>
      <c r="EC106" s="1" t="n">
        <v>40544</v>
      </c>
      <c r="ED106" s="1" t="n">
        <v>40590</v>
      </c>
      <c r="EF106" s="0"/>
      <c r="EG106" s="0" t="n">
        <v>0</v>
      </c>
      <c r="EI106" s="0" t="n">
        <f aca="false">IF(AND(DM106=1,DN106&lt;=48),"",IF(AND(DM106=2,DN106&lt;=42),"",IF(AND(DM106=3,DN106&lt;=45),"",EH106)))</f>
        <v>0</v>
      </c>
      <c r="EJ106" s="0" t="str">
        <f aca="false">IF(EI106="","",IF(EI106&lt;9,EI106,9))</f>
        <v/>
      </c>
      <c r="EK106" s="0" t="str">
        <f aca="false">IF(EI106="","",IF(EI106&gt;9,EI106-EJ106,0))</f>
        <v/>
      </c>
      <c r="EL106" s="0" t="str">
        <f aca="false">IF(EI106="","",EJ106*DA106*2+EK106*DA106*3)</f>
        <v/>
      </c>
      <c r="EP106" s="0" t="n">
        <v>0</v>
      </c>
      <c r="EQ106" s="0"/>
      <c r="ER106" s="0" t="n">
        <v>0</v>
      </c>
      <c r="ET106" s="0" t="n">
        <v>0</v>
      </c>
      <c r="EV106" s="0" t="n">
        <v>0</v>
      </c>
      <c r="EX106" s="0" t="n">
        <v>0</v>
      </c>
      <c r="EY106" s="0" t="n">
        <v>0</v>
      </c>
      <c r="EZ106" s="0"/>
      <c r="FA106" s="0"/>
      <c r="FB106" s="0" t="n">
        <v>1</v>
      </c>
      <c r="FF106" s="120" t="n">
        <f aca="false">(CJ106-CI106+1)/365</f>
        <v>4.3972602739726</v>
      </c>
      <c r="FG106" s="0" t="str">
        <f aca="false">CONCATENATE(F106,"/",G106)</f>
        <v>546/2011</v>
      </c>
      <c r="FH106" s="0" t="n">
        <v>0</v>
      </c>
      <c r="FI106" s="0" t="n">
        <v>0</v>
      </c>
    </row>
    <row r="107" customFormat="false" ht="15" hidden="false" customHeight="false" outlineLevel="0" collapsed="false">
      <c r="A107" s="5" t="str">
        <f aca="false">E107&amp;G107&amp;F107</f>
        <v>72011559</v>
      </c>
      <c r="B107" s="0" t="s">
        <v>203</v>
      </c>
      <c r="C107" s="1" t="n">
        <v>42410</v>
      </c>
      <c r="E107" s="0" t="n">
        <v>7</v>
      </c>
      <c r="F107" s="0" t="n">
        <v>559</v>
      </c>
      <c r="G107" s="0" t="n">
        <v>2011</v>
      </c>
      <c r="H107" s="0" t="str">
        <f aca="false">"J"&amp;E107&amp;"\"&amp;F107&amp;"\"&amp;G107&amp;"\"&amp;W107</f>
        <v>J7\559\2011\1</v>
      </c>
      <c r="I107" s="0"/>
      <c r="J107" s="1" t="n">
        <v>40625</v>
      </c>
      <c r="K107" s="0" t="n">
        <v>0</v>
      </c>
      <c r="M107" s="1"/>
      <c r="N107" s="1"/>
      <c r="O107" s="1"/>
      <c r="P107" s="1"/>
      <c r="Q107" s="1"/>
      <c r="T107" s="121"/>
      <c r="U107" s="121"/>
      <c r="V107" s="122" t="n">
        <f aca="false">IF(AND(E107&gt;0,F107&gt;0,G107&gt;0),COUNTIFS($E:$E,E107,$F:$F,F107,$G:$G,G107),"")</f>
        <v>1</v>
      </c>
      <c r="W107" s="122" t="n">
        <f aca="false">IF(V107="","",IF(V107=1,1,IF(AND(E106=E107,F106=F107,G106=G107),W106+1,1)))</f>
        <v>1</v>
      </c>
      <c r="X107" s="0" t="n">
        <v>1</v>
      </c>
      <c r="Y107" s="0" t="n">
        <v>4</v>
      </c>
      <c r="Z107" s="0" t="s">
        <v>1359</v>
      </c>
      <c r="AA107" s="0" t="n">
        <v>0</v>
      </c>
      <c r="AB107" s="0" t="s">
        <v>1360</v>
      </c>
      <c r="AC107" s="0" t="s">
        <v>1361</v>
      </c>
      <c r="AD107" s="0" t="s">
        <v>207</v>
      </c>
      <c r="AE107" s="0" t="n">
        <v>0</v>
      </c>
      <c r="AF107" s="0" t="s">
        <v>1362</v>
      </c>
      <c r="AG107" s="0" t="n">
        <v>1</v>
      </c>
      <c r="AH107" s="0" t="s">
        <v>1363</v>
      </c>
      <c r="AI107" s="0" t="s">
        <v>1364</v>
      </c>
      <c r="AJ107" s="0" t="s">
        <v>590</v>
      </c>
      <c r="AL107" s="0" t="s">
        <v>1365</v>
      </c>
      <c r="AM107" s="0" t="n">
        <v>1</v>
      </c>
      <c r="AN107" s="0" t="s">
        <v>1363</v>
      </c>
      <c r="AO107" s="0" t="s">
        <v>1364</v>
      </c>
      <c r="AP107" s="0" t="s">
        <v>590</v>
      </c>
      <c r="AR107" s="0" t="s">
        <v>1366</v>
      </c>
      <c r="AS107" s="0" t="n">
        <v>1</v>
      </c>
      <c r="AT107" s="0" t="s">
        <v>1363</v>
      </c>
      <c r="AU107" s="0" t="s">
        <v>1364</v>
      </c>
      <c r="AV107" s="0" t="s">
        <v>590</v>
      </c>
      <c r="AX107" s="0" t="s">
        <v>213</v>
      </c>
      <c r="AY107" s="0" t="n">
        <v>1</v>
      </c>
      <c r="AZ107" s="0" t="s">
        <v>1363</v>
      </c>
      <c r="BA107" s="0" t="s">
        <v>1364</v>
      </c>
      <c r="BB107" s="0" t="s">
        <v>590</v>
      </c>
      <c r="BP107" s="0" t="n">
        <v>0</v>
      </c>
      <c r="BQ107" s="0" t="n">
        <v>0</v>
      </c>
      <c r="BR107" s="0" t="n">
        <v>1</v>
      </c>
      <c r="BS107" s="0" t="s">
        <v>1367</v>
      </c>
      <c r="BT107" s="0" t="s">
        <v>553</v>
      </c>
      <c r="BU107" s="0" t="s">
        <v>1368</v>
      </c>
      <c r="BV107" s="123"/>
      <c r="BW107" s="123"/>
      <c r="BX107" s="123"/>
      <c r="BY107" s="123"/>
      <c r="BZ107" s="0" t="n">
        <v>0</v>
      </c>
      <c r="CA107" s="0" t="s">
        <v>216</v>
      </c>
      <c r="CD107" s="0" t="s">
        <v>556</v>
      </c>
      <c r="CE107" s="0" t="n">
        <v>0</v>
      </c>
      <c r="CF107" s="0" t="s">
        <v>257</v>
      </c>
      <c r="CG107" s="0" t="s">
        <v>218</v>
      </c>
      <c r="CI107" s="1" t="n">
        <v>37797</v>
      </c>
      <c r="CJ107" s="1" t="n">
        <v>40571</v>
      </c>
      <c r="CK107" s="124" t="n">
        <v>0.375</v>
      </c>
      <c r="CL107" s="0" t="s">
        <v>1369</v>
      </c>
      <c r="CM107" s="0" t="n">
        <f aca="false">IF(OR(CI107="",CJ107=""),"",DAYS360(CI107,CJ107)/360)</f>
        <v>7.59166666666667</v>
      </c>
      <c r="CN107" s="0" t="n">
        <f aca="false">IF(OR(CI107="",CJ107=""),"",DAYS360(CI107,CJ107)/30)</f>
        <v>91.1</v>
      </c>
      <c r="CO107" s="0" t="n">
        <f aca="false">IF(OR(CI107="",CJ107=""),"",DAYS360(CI107,CJ107)/7)</f>
        <v>390.428571428571</v>
      </c>
      <c r="CP107" s="0" t="n">
        <f aca="false">IF(OR(CI107="",CJ107=""),"",DAYS360(CI107,CJ107))</f>
        <v>2733</v>
      </c>
      <c r="CQ107" s="0" t="s">
        <v>240</v>
      </c>
      <c r="CR107" s="0" t="n">
        <v>1</v>
      </c>
      <c r="CT107" s="0" t="s">
        <v>221</v>
      </c>
      <c r="CU107" s="0" t="s">
        <v>221</v>
      </c>
      <c r="CV107" s="0" t="str">
        <f aca="false">IF(OR(CT107="",CT107="NO ESPECIFICA",CT107="NO MENCIONA"),"",IF(CU107=0,CT107,IF(CU107=1,CT107/30,IF(CU107=2,CT107/15,IF(CU107=3,CT107/7,"")))))</f>
        <v/>
      </c>
      <c r="CW107" s="125" t="n">
        <v>600</v>
      </c>
      <c r="CX107" s="0" t="n">
        <v>0</v>
      </c>
      <c r="CY107" s="0" t="n">
        <f aca="false">IF(CW107="","",IF(CX107=0,CW107,IF(CX107=1,CW107/30,IF(CX107=2,CW107/15,IF(CX107=3,CW107/7,CW107)))))</f>
        <v>600</v>
      </c>
      <c r="CZ107" s="0" t="n">
        <f aca="false">IF(DI107&gt;0,DI107,IF(CY107&gt;0,CY107,IF(CV107&gt;0,CV107,"")))</f>
        <v>600</v>
      </c>
      <c r="DA107" s="0" t="n">
        <f aca="false">IF(DM107=1,CZ107/8,IF(OR(DM107=2,DM107=4),CZ107/7,IF(DM107=3,CZ107/7.5,"")))</f>
        <v>75</v>
      </c>
      <c r="DB107" s="0" t="s">
        <v>216</v>
      </c>
      <c r="DC107" s="0" t="s">
        <v>216</v>
      </c>
      <c r="DD107" s="0" t="s">
        <v>216</v>
      </c>
      <c r="DE107" s="0" t="s">
        <v>216</v>
      </c>
      <c r="DF107" s="0" t="s">
        <v>216</v>
      </c>
      <c r="DG107" s="0" t="s">
        <v>216</v>
      </c>
      <c r="DH107" s="0" t="n">
        <v>0</v>
      </c>
      <c r="DI107" s="126" t="n">
        <v>600</v>
      </c>
      <c r="DK107" s="0" t="n">
        <v>0</v>
      </c>
      <c r="DM107" s="0" t="n">
        <v>1</v>
      </c>
      <c r="DN107" s="0" t="n">
        <v>77</v>
      </c>
      <c r="DO107" s="0" t="n">
        <v>3</v>
      </c>
      <c r="DP107" s="0" t="n">
        <v>0</v>
      </c>
      <c r="DQ107" s="0" t="n">
        <v>1</v>
      </c>
      <c r="DR107" s="0"/>
      <c r="DS107" s="0" t="n">
        <v>1</v>
      </c>
      <c r="DU107" s="0" t="n">
        <v>1</v>
      </c>
      <c r="DW107" s="1" t="n">
        <v>37797</v>
      </c>
      <c r="DX107" s="1" t="n">
        <v>40571</v>
      </c>
      <c r="DZ107" s="0"/>
      <c r="EA107" s="0" t="n">
        <v>1</v>
      </c>
      <c r="EC107" s="1" t="n">
        <v>37797</v>
      </c>
      <c r="ED107" s="1" t="n">
        <v>40571</v>
      </c>
      <c r="EF107" s="0"/>
      <c r="EG107" s="0" t="n">
        <v>1</v>
      </c>
      <c r="EH107" s="0" t="n">
        <v>21</v>
      </c>
      <c r="EI107" s="0" t="n">
        <f aca="false">IF(AND(DM107=1,DN107&lt;=48),"",IF(AND(DM107=2,DN107&lt;=42),"",IF(AND(DM107=3,DN107&lt;=45),"",EH107)))</f>
        <v>21</v>
      </c>
      <c r="EJ107" s="0" t="n">
        <f aca="false">IF(EI107="","",IF(EI107&lt;9,EI107,9))</f>
        <v>9</v>
      </c>
      <c r="EK107" s="0" t="n">
        <f aca="false">IF(EI107="","",IF(EI107&gt;9,EI107-EJ107,0))</f>
        <v>12</v>
      </c>
      <c r="EL107" s="0" t="n">
        <f aca="false">IF(EI107="","",EJ107*DA107*2+EK107*DA107*3)</f>
        <v>4050</v>
      </c>
      <c r="EP107" s="0" t="n">
        <v>0</v>
      </c>
      <c r="EQ107" s="0"/>
      <c r="ER107" s="0" t="n">
        <v>1</v>
      </c>
      <c r="ET107" s="0" t="n">
        <v>0</v>
      </c>
      <c r="EV107" s="0" t="n">
        <v>1</v>
      </c>
      <c r="EX107" s="0" t="n">
        <v>0</v>
      </c>
      <c r="EY107" s="0" t="n">
        <v>0</v>
      </c>
      <c r="EZ107" s="0"/>
      <c r="FA107" s="4" t="n">
        <v>16200</v>
      </c>
      <c r="FB107" s="0" t="n">
        <v>1</v>
      </c>
      <c r="FF107" s="120" t="n">
        <f aca="false">(CJ107-CI107+1)/365</f>
        <v>7.6027397260274</v>
      </c>
      <c r="FG107" s="0" t="str">
        <f aca="false">CONCATENATE(F107,"/",G107)</f>
        <v>559/2011</v>
      </c>
      <c r="FH107" s="0" t="n">
        <v>0</v>
      </c>
      <c r="FI107" s="0" t="n">
        <v>0</v>
      </c>
    </row>
    <row r="108" customFormat="false" ht="15" hidden="false" customHeight="false" outlineLevel="0" collapsed="false">
      <c r="A108" s="5" t="str">
        <f aca="false">E108&amp;G108&amp;F108</f>
        <v>72011567</v>
      </c>
      <c r="B108" s="0" t="s">
        <v>203</v>
      </c>
      <c r="C108" s="1" t="n">
        <v>42410</v>
      </c>
      <c r="E108" s="0" t="n">
        <v>7</v>
      </c>
      <c r="F108" s="0" t="n">
        <v>567</v>
      </c>
      <c r="G108" s="0" t="n">
        <v>2011</v>
      </c>
      <c r="H108" s="0" t="str">
        <f aca="false">"J"&amp;E108&amp;"\"&amp;F108&amp;"\"&amp;G108&amp;"\"&amp;W108</f>
        <v>J7\567\2011\1</v>
      </c>
      <c r="I108" s="0"/>
      <c r="J108" s="1" t="n">
        <v>40627</v>
      </c>
      <c r="K108" s="0" t="n">
        <v>0</v>
      </c>
      <c r="M108" s="1" t="n">
        <v>40627</v>
      </c>
      <c r="N108" s="1" t="n">
        <v>40725</v>
      </c>
      <c r="O108" s="1"/>
      <c r="P108" s="1"/>
      <c r="Q108" s="1"/>
      <c r="T108" s="121"/>
      <c r="U108" s="121"/>
      <c r="V108" s="122" t="n">
        <f aca="false">IF(AND(E108&gt;0,F108&gt;0,G108&gt;0),COUNTIFS($E:$E,E108,$F:$F,F108,$G:$G,G108),"")</f>
        <v>1</v>
      </c>
      <c r="W108" s="122" t="n">
        <f aca="false">IF(V108="","",IF(V108=1,1,IF(AND(E107=E108,F107=F108,G107=G108),W107+1,1)))</f>
        <v>1</v>
      </c>
      <c r="X108" s="0" t="n">
        <v>1</v>
      </c>
      <c r="Y108" s="0" t="n">
        <v>9</v>
      </c>
      <c r="Z108" s="0" t="s">
        <v>1370</v>
      </c>
      <c r="AA108" s="0" t="n">
        <v>0</v>
      </c>
      <c r="AB108" s="0" t="s">
        <v>1371</v>
      </c>
      <c r="AC108" s="0" t="s">
        <v>1372</v>
      </c>
      <c r="AD108" s="0" t="s">
        <v>659</v>
      </c>
      <c r="AE108" s="0" t="n">
        <v>0</v>
      </c>
      <c r="AF108" s="0" t="s">
        <v>1373</v>
      </c>
      <c r="AG108" s="0" t="n">
        <v>0</v>
      </c>
      <c r="AH108" s="0" t="s">
        <v>1374</v>
      </c>
      <c r="AI108" s="0" t="s">
        <v>1375</v>
      </c>
      <c r="AJ108" s="0" t="s">
        <v>393</v>
      </c>
      <c r="AL108" s="0" t="s">
        <v>1376</v>
      </c>
      <c r="AM108" s="0" t="n">
        <v>0</v>
      </c>
      <c r="AN108" s="0" t="s">
        <v>1374</v>
      </c>
      <c r="AO108" s="0" t="s">
        <v>1375</v>
      </c>
      <c r="AP108" s="0" t="s">
        <v>393</v>
      </c>
      <c r="AR108" s="0" t="s">
        <v>1377</v>
      </c>
      <c r="AS108" s="0" t="n">
        <v>0</v>
      </c>
      <c r="AT108" s="0" t="s">
        <v>1374</v>
      </c>
      <c r="AU108" s="0" t="s">
        <v>1375</v>
      </c>
      <c r="AV108" s="0" t="s">
        <v>393</v>
      </c>
      <c r="AX108" s="0" t="s">
        <v>1378</v>
      </c>
      <c r="AY108" s="0" t="n">
        <v>0</v>
      </c>
      <c r="AZ108" s="0" t="s">
        <v>1374</v>
      </c>
      <c r="BA108" s="0" t="s">
        <v>1375</v>
      </c>
      <c r="BB108" s="0" t="s">
        <v>393</v>
      </c>
      <c r="BD108" s="0" t="s">
        <v>1379</v>
      </c>
      <c r="BE108" s="0" t="n">
        <v>1</v>
      </c>
      <c r="BF108" s="0" t="s">
        <v>1374</v>
      </c>
      <c r="BG108" s="0" t="s">
        <v>1375</v>
      </c>
      <c r="BH108" s="0" t="s">
        <v>393</v>
      </c>
      <c r="BJ108" s="0" t="s">
        <v>1380</v>
      </c>
      <c r="BK108" s="0" t="n">
        <v>1</v>
      </c>
      <c r="BL108" s="0" t="s">
        <v>1374</v>
      </c>
      <c r="BM108" s="0" t="s">
        <v>1375</v>
      </c>
      <c r="BN108" s="0" t="s">
        <v>393</v>
      </c>
      <c r="BP108" s="0" t="n">
        <v>0</v>
      </c>
      <c r="BQ108" s="0" t="n">
        <v>0</v>
      </c>
      <c r="BR108" s="0" t="n">
        <v>1</v>
      </c>
      <c r="BS108" s="0" t="s">
        <v>1381</v>
      </c>
      <c r="BT108" s="0" t="s">
        <v>1382</v>
      </c>
      <c r="BU108" s="0" t="s">
        <v>216</v>
      </c>
      <c r="BV108" s="123"/>
      <c r="BW108" s="123"/>
      <c r="BX108" s="123"/>
      <c r="BY108" s="123"/>
      <c r="BZ108" s="0" t="n">
        <v>0</v>
      </c>
      <c r="CA108" s="0" t="s">
        <v>216</v>
      </c>
      <c r="CD108" s="0" t="s">
        <v>296</v>
      </c>
      <c r="CE108" s="0" t="n">
        <v>0</v>
      </c>
      <c r="CF108" s="0" t="s">
        <v>1383</v>
      </c>
      <c r="CG108" s="0" t="s">
        <v>218</v>
      </c>
      <c r="CI108" s="1" t="n">
        <v>39494</v>
      </c>
      <c r="CJ108" s="1" t="n">
        <v>40574</v>
      </c>
      <c r="CK108" s="124" t="n">
        <v>0.375</v>
      </c>
      <c r="CL108" s="0" t="s">
        <v>1384</v>
      </c>
      <c r="CM108" s="0" t="n">
        <f aca="false">IF(OR(CI108="",CJ108=""),"",DAYS360(CI108,CJ108)/360)</f>
        <v>2.95833333333333</v>
      </c>
      <c r="CN108" s="0" t="n">
        <f aca="false">IF(OR(CI108="",CJ108=""),"",DAYS360(CI108,CJ108)/30)</f>
        <v>35.5</v>
      </c>
      <c r="CO108" s="0" t="n">
        <f aca="false">IF(OR(CI108="",CJ108=""),"",DAYS360(CI108,CJ108)/7)</f>
        <v>152.142857142857</v>
      </c>
      <c r="CP108" s="0" t="n">
        <f aca="false">IF(OR(CI108="",CJ108=""),"",DAYS360(CI108,CJ108))</f>
        <v>1065</v>
      </c>
      <c r="CQ108" s="0" t="s">
        <v>240</v>
      </c>
      <c r="CR108" s="0" t="n">
        <v>1</v>
      </c>
      <c r="CT108" s="0" t="n">
        <v>300</v>
      </c>
      <c r="CU108" s="0" t="n">
        <v>0</v>
      </c>
      <c r="CV108" s="0" t="n">
        <f aca="false">IF(OR(CT108="",CT108="NO ESPECIFICA",CT108="NO MENCIONA"),"",IF(CU108=0,CT108,IF(CU108=1,CT108/30,IF(CU108=2,CT108/15,IF(CU108=3,CT108/7,"")))))</f>
        <v>300</v>
      </c>
      <c r="CW108" s="125" t="n">
        <v>337.94</v>
      </c>
      <c r="CX108" s="0" t="n">
        <v>0</v>
      </c>
      <c r="CY108" s="0" t="n">
        <f aca="false">IF(CW108="","",IF(CX108=0,CW108,IF(CX108=1,CW108/30,IF(CX108=2,CW108/15,IF(CX108=3,CW108/7,CW108)))))</f>
        <v>337.94</v>
      </c>
      <c r="CZ108" s="0" t="n">
        <f aca="false">IF(DI108&gt;0,DI108,IF(CY108&gt;0,CY108,IF(CV108&gt;0,CV108,"")))</f>
        <v>337.94</v>
      </c>
      <c r="DA108" s="0" t="n">
        <f aca="false">IF(DM108=1,CZ108/8,IF(OR(DM108=2,DM108=4),CZ108/7,IF(DM108=3,CZ108/7.5,"")))</f>
        <v>42.2425</v>
      </c>
      <c r="DB108" s="0" t="s">
        <v>299</v>
      </c>
      <c r="DC108" s="0" t="s">
        <v>301</v>
      </c>
      <c r="DD108" s="0" t="s">
        <v>302</v>
      </c>
      <c r="DE108" s="0" t="s">
        <v>303</v>
      </c>
      <c r="DF108" s="0" t="s">
        <v>216</v>
      </c>
      <c r="DG108" s="0" t="s">
        <v>216</v>
      </c>
      <c r="DH108" s="0" t="n">
        <v>0</v>
      </c>
      <c r="DI108" s="126" t="n">
        <v>337.94</v>
      </c>
      <c r="DK108" s="0" t="n">
        <v>1</v>
      </c>
      <c r="DM108" s="0" t="n">
        <v>1</v>
      </c>
      <c r="DN108" s="0" t="n">
        <v>45</v>
      </c>
      <c r="DO108" s="0" t="n">
        <v>3</v>
      </c>
      <c r="DP108" s="0" t="n">
        <v>0</v>
      </c>
      <c r="DQ108" s="0" t="n">
        <v>1</v>
      </c>
      <c r="DR108" s="0"/>
      <c r="DS108" s="0" t="n">
        <v>1</v>
      </c>
      <c r="DU108" s="0" t="n">
        <v>1</v>
      </c>
      <c r="DW108" s="1" t="n">
        <v>39494</v>
      </c>
      <c r="DX108" s="1" t="n">
        <v>40574</v>
      </c>
      <c r="DZ108" s="0"/>
      <c r="EA108" s="0" t="n">
        <v>1</v>
      </c>
      <c r="EC108" s="1" t="n">
        <v>40179</v>
      </c>
      <c r="ED108" s="1" t="n">
        <v>40574</v>
      </c>
      <c r="EF108" s="0"/>
      <c r="EG108" s="0" t="n">
        <v>1</v>
      </c>
      <c r="EH108" s="0" t="n">
        <v>10</v>
      </c>
      <c r="EI108" s="0" t="str">
        <f aca="false">IF(AND(DM108=1,DN108&lt;=48),"",IF(AND(DM108=2,DN108&lt;=42),"",IF(AND(DM108=3,DN108&lt;=45),"",EH108)))</f>
        <v/>
      </c>
      <c r="EJ108" s="0" t="str">
        <f aca="false">IF(EI108="","",IF(EI108&lt;9,EI108,9))</f>
        <v/>
      </c>
      <c r="EK108" s="0" t="str">
        <f aca="false">IF(EI108="","",IF(EI108&gt;9,EI108-EJ108,0))</f>
        <v/>
      </c>
      <c r="EL108" s="0" t="str">
        <f aca="false">IF(EI108="","",EJ108*DA108*2+EK108*DA108*3)</f>
        <v/>
      </c>
      <c r="EP108" s="0" t="n">
        <v>1</v>
      </c>
      <c r="EQ108" s="0"/>
      <c r="ER108" s="0" t="n">
        <v>0</v>
      </c>
      <c r="ET108" s="0" t="n">
        <v>1</v>
      </c>
      <c r="EV108" s="0" t="n">
        <v>1</v>
      </c>
      <c r="EX108" s="0" t="n">
        <v>1</v>
      </c>
      <c r="EY108" s="0" t="n">
        <v>0</v>
      </c>
      <c r="EZ108" s="0"/>
      <c r="FA108" s="0"/>
      <c r="FB108" s="0" t="n">
        <v>1</v>
      </c>
      <c r="FF108" s="120" t="n">
        <f aca="false">(CJ108-CI108+1)/365</f>
        <v>2.96164383561644</v>
      </c>
      <c r="FG108" s="0" t="str">
        <f aca="false">CONCATENATE(F108,"/",G108)</f>
        <v>567/2011</v>
      </c>
      <c r="FH108" s="0" t="n">
        <v>0</v>
      </c>
      <c r="FI108" s="0" t="n">
        <v>0</v>
      </c>
    </row>
    <row r="109" customFormat="false" ht="15" hidden="false" customHeight="false" outlineLevel="0" collapsed="false">
      <c r="A109" s="5" t="str">
        <f aca="false">E109&amp;G109&amp;F109</f>
        <v>72011570</v>
      </c>
      <c r="B109" s="0" t="s">
        <v>203</v>
      </c>
      <c r="C109" s="1" t="n">
        <v>42410</v>
      </c>
      <c r="E109" s="0" t="n">
        <v>7</v>
      </c>
      <c r="F109" s="0" t="n">
        <v>570</v>
      </c>
      <c r="G109" s="0" t="n">
        <v>2011</v>
      </c>
      <c r="H109" s="0" t="str">
        <f aca="false">"J"&amp;E109&amp;"\"&amp;F109&amp;"\"&amp;G109&amp;"\"&amp;W109</f>
        <v>J7\570\2011\1</v>
      </c>
      <c r="I109" s="0"/>
      <c r="J109" s="1" t="n">
        <v>40627</v>
      </c>
      <c r="K109" s="0" t="n">
        <v>0</v>
      </c>
      <c r="M109" s="1"/>
      <c r="N109" s="1"/>
      <c r="O109" s="1"/>
      <c r="P109" s="1"/>
      <c r="Q109" s="1"/>
      <c r="T109" s="121"/>
      <c r="U109" s="121"/>
      <c r="V109" s="122" t="n">
        <f aca="false">IF(AND(E109&gt;0,F109&gt;0,G109&gt;0),COUNTIFS($E:$E,E109,$F:$F,F109,$G:$G,G109),"")</f>
        <v>1</v>
      </c>
      <c r="W109" s="122" t="n">
        <f aca="false">IF(V109="","",IF(V109=1,1,IF(AND(E108=E109,F108=F109,G108=G109),W108+1,1)))</f>
        <v>1</v>
      </c>
      <c r="X109" s="0" t="n">
        <v>1</v>
      </c>
      <c r="Y109" s="0" t="n">
        <v>1</v>
      </c>
      <c r="Z109" s="0" t="s">
        <v>1385</v>
      </c>
      <c r="AA109" s="0" t="n">
        <v>0</v>
      </c>
      <c r="AB109" s="0" t="s">
        <v>1386</v>
      </c>
      <c r="AC109" s="0" t="s">
        <v>1387</v>
      </c>
      <c r="AD109" s="0" t="s">
        <v>221</v>
      </c>
      <c r="AE109" s="0" t="n">
        <v>0</v>
      </c>
      <c r="AF109" s="0" t="s">
        <v>1388</v>
      </c>
      <c r="AG109" s="0" t="n">
        <v>0</v>
      </c>
      <c r="AH109" s="0" t="s">
        <v>1389</v>
      </c>
      <c r="AI109" s="0" t="s">
        <v>1390</v>
      </c>
      <c r="AJ109" s="0" t="s">
        <v>221</v>
      </c>
      <c r="BP109" s="0" t="n">
        <v>0</v>
      </c>
      <c r="BQ109" s="0" t="n">
        <v>0</v>
      </c>
      <c r="BR109" s="0" t="n">
        <v>1</v>
      </c>
      <c r="BS109" s="0" t="s">
        <v>1391</v>
      </c>
      <c r="BT109" s="0" t="s">
        <v>1392</v>
      </c>
      <c r="BU109" s="0" t="s">
        <v>1393</v>
      </c>
      <c r="BV109" s="123"/>
      <c r="BW109" s="123"/>
      <c r="BX109" s="123"/>
      <c r="BY109" s="123"/>
      <c r="BZ109" s="0" t="n">
        <v>0</v>
      </c>
      <c r="CA109" s="0" t="s">
        <v>1394</v>
      </c>
      <c r="CD109" s="0" t="s">
        <v>256</v>
      </c>
      <c r="CE109" s="0" t="n">
        <v>1</v>
      </c>
      <c r="CF109" s="0" t="s">
        <v>1395</v>
      </c>
      <c r="CG109" s="0" t="s">
        <v>218</v>
      </c>
      <c r="CI109" s="1" t="n">
        <v>40298</v>
      </c>
      <c r="CJ109" s="1" t="n">
        <v>40602</v>
      </c>
      <c r="CK109" s="124" t="n">
        <v>0.291666666666667</v>
      </c>
      <c r="CL109" s="0" t="s">
        <v>1396</v>
      </c>
      <c r="CM109" s="0" t="n">
        <f aca="false">IF(OR(CI109="",CJ109=""),"",DAYS360(CI109,CJ109)/360)</f>
        <v>0.827777777777778</v>
      </c>
      <c r="CN109" s="0" t="n">
        <f aca="false">IF(OR(CI109="",CJ109=""),"",DAYS360(CI109,CJ109)/30)</f>
        <v>9.93333333333333</v>
      </c>
      <c r="CO109" s="0" t="n">
        <f aca="false">IF(OR(CI109="",CJ109=""),"",DAYS360(CI109,CJ109)/7)</f>
        <v>42.5714285714286</v>
      </c>
      <c r="CP109" s="0" t="n">
        <f aca="false">IF(OR(CI109="",CJ109=""),"",DAYS360(CI109,CJ109))</f>
        <v>298</v>
      </c>
      <c r="CQ109" s="0" t="s">
        <v>220</v>
      </c>
      <c r="CR109" s="0" t="n">
        <v>1</v>
      </c>
      <c r="CT109" s="0" t="n">
        <v>100000</v>
      </c>
      <c r="CU109" s="0" t="n">
        <v>1</v>
      </c>
      <c r="CV109" s="0" t="n">
        <f aca="false">IF(OR(CT109="",CT109="NO ESPECIFICA",CT109="NO MENCIONA"),"",IF(CU109=0,CT109,IF(CU109=1,CT109/30,IF(CU109=2,CT109/15,IF(CU109=3,CT109/7,"")))))</f>
        <v>3333.33333333333</v>
      </c>
      <c r="CW109" s="125" t="s">
        <v>216</v>
      </c>
      <c r="CX109" s="0" t="s">
        <v>216</v>
      </c>
      <c r="CY109" s="0" t="str">
        <f aca="false">IF(CW109="","",IF(CX109=0,CW109,IF(CX109=1,CW109/30,IF(CX109=2,CW109/15,IF(CX109=3,CW109/7,CW109)))))</f>
        <v>NO MENCIONA</v>
      </c>
      <c r="CZ109" s="0" t="n">
        <f aca="false">IF(DI109&gt;0,DI109,IF(CY109&gt;0,CY109,IF(CV109&gt;0,CV109,"")))</f>
        <v>3333.33</v>
      </c>
      <c r="DA109" s="0" t="n">
        <f aca="false">IF(DM109=1,CZ109/8,IF(OR(DM109=2,DM109=4),CZ109/7,IF(DM109=3,CZ109/7.5,"")))</f>
        <v>416.66625</v>
      </c>
      <c r="DB109" s="0" t="s">
        <v>216</v>
      </c>
      <c r="DC109" s="0" t="s">
        <v>216</v>
      </c>
      <c r="DD109" s="0" t="s">
        <v>216</v>
      </c>
      <c r="DE109" s="0" t="s">
        <v>216</v>
      </c>
      <c r="DF109" s="0" t="s">
        <v>216</v>
      </c>
      <c r="DG109" s="0" t="s">
        <v>216</v>
      </c>
      <c r="DH109" s="0" t="n">
        <v>0</v>
      </c>
      <c r="DI109" s="126" t="n">
        <v>3333.33</v>
      </c>
      <c r="DK109" s="0" t="n">
        <v>0</v>
      </c>
      <c r="DM109" s="0" t="n">
        <v>1</v>
      </c>
      <c r="DN109" s="0" t="n">
        <v>36</v>
      </c>
      <c r="DO109" s="0" t="n">
        <v>3</v>
      </c>
      <c r="DP109" s="0" t="n">
        <v>1</v>
      </c>
      <c r="DQ109" s="0" t="n">
        <v>1</v>
      </c>
      <c r="DR109" s="0"/>
      <c r="DS109" s="0" t="n">
        <v>1</v>
      </c>
      <c r="DU109" s="0" t="n">
        <v>1</v>
      </c>
      <c r="DW109" s="1" t="n">
        <v>40298</v>
      </c>
      <c r="DX109" s="1" t="n">
        <v>40602</v>
      </c>
      <c r="DZ109" s="0"/>
      <c r="EA109" s="0" t="n">
        <v>1</v>
      </c>
      <c r="EC109" s="1" t="n">
        <v>40298</v>
      </c>
      <c r="ED109" s="1" t="n">
        <v>40602</v>
      </c>
      <c r="EF109" s="0"/>
      <c r="EG109" s="0" t="n">
        <v>1</v>
      </c>
      <c r="EH109" s="0" t="n">
        <v>3</v>
      </c>
      <c r="EI109" s="0" t="str">
        <f aca="false">IF(AND(DM109=1,DN109&lt;=48),"",IF(AND(DM109=2,DN109&lt;=42),"",IF(AND(DM109=3,DN109&lt;=45),"",EH109)))</f>
        <v/>
      </c>
      <c r="EJ109" s="0" t="str">
        <f aca="false">IF(EI109="","",IF(EI109&lt;9,EI109,9))</f>
        <v/>
      </c>
      <c r="EK109" s="0" t="str">
        <f aca="false">IF(EI109="","",IF(EI109&gt;9,EI109-EJ109,0))</f>
        <v/>
      </c>
      <c r="EL109" s="0" t="str">
        <f aca="false">IF(EI109="","",EJ109*DA109*2+EK109*DA109*3)</f>
        <v/>
      </c>
      <c r="EP109" s="0" t="n">
        <v>1</v>
      </c>
      <c r="EQ109" s="0"/>
      <c r="ER109" s="0" t="n">
        <v>1</v>
      </c>
      <c r="ET109" s="0" t="n">
        <v>0</v>
      </c>
      <c r="EV109" s="0" t="n">
        <v>0</v>
      </c>
      <c r="EX109" s="0" t="n">
        <v>1</v>
      </c>
      <c r="EY109" s="0" t="n">
        <v>1</v>
      </c>
      <c r="EZ109" s="0"/>
      <c r="FA109" s="0"/>
      <c r="FB109" s="0" t="n">
        <v>1</v>
      </c>
      <c r="FF109" s="120" t="n">
        <f aca="false">(CJ109-CI109+1)/365</f>
        <v>0.835616438356164</v>
      </c>
      <c r="FG109" s="0" t="str">
        <f aca="false">CONCATENATE(F109,"/",G109)</f>
        <v>570/2011</v>
      </c>
      <c r="FH109" s="0" t="n">
        <v>0</v>
      </c>
      <c r="FI109" s="0" t="n">
        <v>0</v>
      </c>
    </row>
    <row r="110" customFormat="false" ht="15" hidden="false" customHeight="false" outlineLevel="0" collapsed="false">
      <c r="A110" s="5" t="str">
        <f aca="false">E110&amp;G110&amp;F110</f>
        <v>72011572</v>
      </c>
      <c r="B110" s="0" t="s">
        <v>203</v>
      </c>
      <c r="C110" s="1" t="n">
        <v>42410</v>
      </c>
      <c r="E110" s="0" t="n">
        <v>7</v>
      </c>
      <c r="F110" s="0" t="n">
        <v>572</v>
      </c>
      <c r="G110" s="0" t="n">
        <v>2011</v>
      </c>
      <c r="H110" s="0" t="str">
        <f aca="false">"J"&amp;E110&amp;"\"&amp;F110&amp;"\"&amp;G110&amp;"\"&amp;W110</f>
        <v>J7\572\2011\1</v>
      </c>
      <c r="I110" s="0"/>
      <c r="J110" s="1" t="n">
        <v>40627</v>
      </c>
      <c r="K110" s="0" t="n">
        <v>0</v>
      </c>
      <c r="M110" s="1" t="n">
        <v>40627</v>
      </c>
      <c r="N110" s="1" t="n">
        <v>40728</v>
      </c>
      <c r="O110" s="1"/>
      <c r="P110" s="1"/>
      <c r="Q110" s="1"/>
      <c r="T110" s="121"/>
      <c r="U110" s="121"/>
      <c r="V110" s="122" t="n">
        <f aca="false">IF(AND(E110&gt;0,F110&gt;0,G110&gt;0),COUNTIFS($E:$E,E110,$F:$F,F110,$G:$G,G110),"")</f>
        <v>1</v>
      </c>
      <c r="W110" s="122" t="n">
        <f aca="false">IF(V110="","",IF(V110=1,1,IF(AND(E109=E110,F109=F110,G109=G110),W109+1,1)))</f>
        <v>1</v>
      </c>
      <c r="X110" s="0" t="n">
        <v>1</v>
      </c>
      <c r="Y110" s="0" t="n">
        <v>5</v>
      </c>
      <c r="Z110" s="0" t="s">
        <v>1397</v>
      </c>
      <c r="AA110" s="0" t="n">
        <v>0</v>
      </c>
      <c r="AB110" s="0" t="s">
        <v>1398</v>
      </c>
      <c r="AC110" s="0" t="s">
        <v>1399</v>
      </c>
      <c r="AD110" s="0" t="s">
        <v>207</v>
      </c>
      <c r="AE110" s="0" t="n">
        <v>0</v>
      </c>
      <c r="AF110" s="0" t="s">
        <v>1400</v>
      </c>
      <c r="AG110" s="0" t="n">
        <v>0</v>
      </c>
      <c r="AH110" s="0" t="s">
        <v>483</v>
      </c>
      <c r="AI110" s="0" t="s">
        <v>484</v>
      </c>
      <c r="AJ110" s="0" t="s">
        <v>221</v>
      </c>
      <c r="AL110" s="0" t="s">
        <v>213</v>
      </c>
      <c r="AM110" s="0" t="n">
        <v>1</v>
      </c>
      <c r="AN110" s="0" t="s">
        <v>483</v>
      </c>
      <c r="AO110" s="0" t="s">
        <v>484</v>
      </c>
      <c r="AP110" s="0" t="s">
        <v>221</v>
      </c>
      <c r="AR110" s="0" t="s">
        <v>1401</v>
      </c>
      <c r="AS110" s="0" t="n">
        <v>1</v>
      </c>
      <c r="AT110" s="0" t="s">
        <v>1402</v>
      </c>
      <c r="AU110" s="0" t="s">
        <v>508</v>
      </c>
      <c r="AV110" s="0" t="s">
        <v>322</v>
      </c>
      <c r="AX110" s="0" t="s">
        <v>1403</v>
      </c>
      <c r="AY110" s="0" t="n">
        <v>1</v>
      </c>
      <c r="AZ110" s="0" t="s">
        <v>1402</v>
      </c>
      <c r="BA110" s="0" t="s">
        <v>508</v>
      </c>
      <c r="BB110" s="0" t="s">
        <v>322</v>
      </c>
      <c r="BD110" s="0" t="s">
        <v>1404</v>
      </c>
      <c r="BE110" s="0" t="n">
        <v>0</v>
      </c>
      <c r="BF110" s="0" t="s">
        <v>1405</v>
      </c>
      <c r="BG110" s="0" t="s">
        <v>1406</v>
      </c>
      <c r="BH110" s="0" t="s">
        <v>1407</v>
      </c>
      <c r="BP110" s="0" t="n">
        <v>0</v>
      </c>
      <c r="BQ110" s="0" t="n">
        <v>0</v>
      </c>
      <c r="BR110" s="0" t="n">
        <v>1</v>
      </c>
      <c r="BS110" s="0" t="s">
        <v>1408</v>
      </c>
      <c r="BT110" s="0" t="s">
        <v>1409</v>
      </c>
      <c r="BU110" s="0" t="s">
        <v>1410</v>
      </c>
      <c r="BV110" s="123"/>
      <c r="BW110" s="123"/>
      <c r="BX110" s="123"/>
      <c r="BY110" s="123"/>
      <c r="BZ110" s="0" t="n">
        <v>0</v>
      </c>
      <c r="CA110" s="0" t="s">
        <v>216</v>
      </c>
      <c r="CD110" s="0" t="s">
        <v>296</v>
      </c>
      <c r="CE110" s="0" t="n">
        <v>0</v>
      </c>
      <c r="CF110" s="0" t="s">
        <v>1411</v>
      </c>
      <c r="CG110" s="0" t="s">
        <v>218</v>
      </c>
      <c r="CI110" s="1" t="n">
        <v>40322</v>
      </c>
      <c r="CJ110" s="1" t="n">
        <v>40572</v>
      </c>
      <c r="CK110" s="124" t="n">
        <v>0.416666666666667</v>
      </c>
      <c r="CL110" s="0" t="s">
        <v>1403</v>
      </c>
      <c r="CM110" s="0" t="n">
        <f aca="false">IF(OR(CI110="",CJ110=""),"",DAYS360(CI110,CJ110)/360)</f>
        <v>0.680555555555556</v>
      </c>
      <c r="CN110" s="0" t="n">
        <f aca="false">IF(OR(CI110="",CJ110=""),"",DAYS360(CI110,CJ110)/30)</f>
        <v>8.16666666666667</v>
      </c>
      <c r="CO110" s="0" t="n">
        <f aca="false">IF(OR(CI110="",CJ110=""),"",DAYS360(CI110,CJ110)/7)</f>
        <v>35</v>
      </c>
      <c r="CP110" s="0" t="n">
        <f aca="false">IF(OR(CI110="",CJ110=""),"",DAYS360(CI110,CJ110))</f>
        <v>245</v>
      </c>
      <c r="CQ110" s="0" t="s">
        <v>240</v>
      </c>
      <c r="CR110" s="0" t="n">
        <v>1</v>
      </c>
      <c r="CT110" s="0" t="s">
        <v>221</v>
      </c>
      <c r="CU110" s="0" t="s">
        <v>221</v>
      </c>
      <c r="CV110" s="0" t="str">
        <f aca="false">IF(OR(CT110="",CT110="NO ESPECIFICA",CT110="NO MENCIONA"),"",IF(CU110=0,CT110,IF(CU110=1,CT110/30,IF(CU110=2,CT110/15,IF(CU110=3,CT110/7,"")))))</f>
        <v/>
      </c>
      <c r="CW110" s="125" t="n">
        <v>1300</v>
      </c>
      <c r="CX110" s="0" t="n">
        <v>3</v>
      </c>
      <c r="CY110" s="0" t="n">
        <f aca="false">IF(CW110="","",IF(CX110=0,CW110,IF(CX110=1,CW110/30,IF(CX110=2,CW110/15,IF(CX110=3,CW110/7,CW110)))))</f>
        <v>185.714285714286</v>
      </c>
      <c r="CZ110" s="0" t="n">
        <f aca="false">IF(DI110&gt;0,DI110,IF(CY110&gt;0,CY110,IF(CV110&gt;0,CV110,"")))</f>
        <v>185.714285714286</v>
      </c>
      <c r="DA110" s="0" t="n">
        <f aca="false">IF(DM110=1,CZ110/8,IF(OR(DM110=2,DM110=4),CZ110/7,IF(DM110=3,CZ110/7.5,"")))</f>
        <v>23.2142857142857</v>
      </c>
      <c r="DB110" s="0" t="s">
        <v>216</v>
      </c>
      <c r="DC110" s="0" t="s">
        <v>216</v>
      </c>
      <c r="DD110" s="0" t="s">
        <v>216</v>
      </c>
      <c r="DE110" s="0" t="s">
        <v>216</v>
      </c>
      <c r="DF110" s="0" t="s">
        <v>216</v>
      </c>
      <c r="DG110" s="0" t="s">
        <v>216</v>
      </c>
      <c r="DH110" s="0" t="n">
        <v>0</v>
      </c>
      <c r="DI110" s="126" t="n">
        <v>185.714285714286</v>
      </c>
      <c r="DK110" s="0" t="n">
        <v>1</v>
      </c>
      <c r="DM110" s="0" t="n">
        <v>1</v>
      </c>
      <c r="DN110" s="0" t="n">
        <v>60</v>
      </c>
      <c r="DO110" s="0" t="n">
        <v>3</v>
      </c>
      <c r="DP110" s="0" t="n">
        <v>0</v>
      </c>
      <c r="DQ110" s="0" t="n">
        <v>1</v>
      </c>
      <c r="DR110" s="0"/>
      <c r="DS110" s="0" t="n">
        <v>1</v>
      </c>
      <c r="DU110" s="0" t="n">
        <v>1</v>
      </c>
      <c r="DW110" s="1" t="n">
        <v>40322</v>
      </c>
      <c r="DX110" s="1" t="n">
        <v>40572</v>
      </c>
      <c r="DZ110" s="0"/>
      <c r="EA110" s="0" t="n">
        <v>1</v>
      </c>
      <c r="EC110" s="1" t="n">
        <v>40322</v>
      </c>
      <c r="ED110" s="1" t="n">
        <v>40572</v>
      </c>
      <c r="EF110" s="0"/>
      <c r="EG110" s="0" t="n">
        <v>1</v>
      </c>
      <c r="EH110" s="0" t="n">
        <v>14</v>
      </c>
      <c r="EI110" s="0" t="n">
        <f aca="false">IF(AND(DM110=1,DN110&lt;=48),"",IF(AND(DM110=2,DN110&lt;=42),"",IF(AND(DM110=3,DN110&lt;=45),"",EH110)))</f>
        <v>14</v>
      </c>
      <c r="EJ110" s="0" t="n">
        <f aca="false">IF(EI110="","",IF(EI110&lt;9,EI110,9))</f>
        <v>9</v>
      </c>
      <c r="EK110" s="0" t="n">
        <f aca="false">IF(EI110="","",IF(EI110&gt;9,EI110-EJ110,0))</f>
        <v>5</v>
      </c>
      <c r="EL110" s="0" t="n">
        <f aca="false">IF(EI110="","",EJ110*DA110*2+EK110*DA110*3)</f>
        <v>766.071428571429</v>
      </c>
      <c r="EP110" s="0" t="n">
        <v>0</v>
      </c>
      <c r="EQ110" s="0"/>
      <c r="ER110" s="0" t="n">
        <v>1</v>
      </c>
      <c r="ET110" s="0" t="n">
        <v>0</v>
      </c>
      <c r="EV110" s="0" t="n">
        <v>0</v>
      </c>
      <c r="EX110" s="0" t="n">
        <v>1</v>
      </c>
      <c r="EY110" s="0" t="n">
        <v>0</v>
      </c>
      <c r="EZ110" s="0"/>
      <c r="FA110" s="0"/>
      <c r="FB110" s="0" t="n">
        <v>0</v>
      </c>
      <c r="FF110" s="120" t="n">
        <f aca="false">(CJ110-CI110+1)/365</f>
        <v>0.687671232876712</v>
      </c>
      <c r="FG110" s="0" t="str">
        <f aca="false">CONCATENATE(F110,"/",G110)</f>
        <v>572/2011</v>
      </c>
      <c r="FH110" s="0" t="n">
        <v>0</v>
      </c>
      <c r="FI110" s="0" t="n">
        <v>0</v>
      </c>
    </row>
    <row r="111" customFormat="false" ht="15" hidden="false" customHeight="false" outlineLevel="0" collapsed="false">
      <c r="A111" s="5" t="str">
        <f aca="false">E111&amp;G111&amp;F111</f>
        <v>72011575</v>
      </c>
      <c r="B111" s="0" t="s">
        <v>203</v>
      </c>
      <c r="C111" s="1" t="n">
        <v>42410</v>
      </c>
      <c r="E111" s="0" t="n">
        <v>7</v>
      </c>
      <c r="F111" s="0" t="n">
        <v>575</v>
      </c>
      <c r="G111" s="0" t="n">
        <v>2011</v>
      </c>
      <c r="H111" s="0" t="str">
        <f aca="false">"J"&amp;E111&amp;"\"&amp;F111&amp;"\"&amp;G111&amp;"\"&amp;W111</f>
        <v>J7\575\2011\1</v>
      </c>
      <c r="I111" s="0"/>
      <c r="J111" s="1" t="n">
        <v>40627</v>
      </c>
      <c r="K111" s="0" t="n">
        <v>0</v>
      </c>
      <c r="M111" s="1" t="n">
        <v>40627</v>
      </c>
      <c r="N111" s="1" t="n">
        <v>40729</v>
      </c>
      <c r="O111" s="1"/>
      <c r="P111" s="1"/>
      <c r="Q111" s="1"/>
      <c r="T111" s="121"/>
      <c r="U111" s="121"/>
      <c r="V111" s="122" t="n">
        <f aca="false">IF(AND(E111&gt;0,F111&gt;0,G111&gt;0),COUNTIFS($E:$E,E111,$F:$F,F111,$G:$G,G111),"")</f>
        <v>2</v>
      </c>
      <c r="W111" s="122" t="n">
        <f aca="false">IF(V111="","",IF(V111=1,1,IF(AND(E110=E111,F110=F111,G110=G111),W110+1,1)))</f>
        <v>1</v>
      </c>
      <c r="X111" s="0" t="n">
        <v>2</v>
      </c>
      <c r="Y111" s="0" t="n">
        <v>3</v>
      </c>
      <c r="Z111" s="0" t="s">
        <v>1412</v>
      </c>
      <c r="AA111" s="0" t="n">
        <v>0</v>
      </c>
      <c r="AB111" s="0" t="s">
        <v>1413</v>
      </c>
      <c r="AC111" s="0" t="s">
        <v>318</v>
      </c>
      <c r="AD111" s="0" t="s">
        <v>229</v>
      </c>
      <c r="AE111" s="0" t="n">
        <v>0</v>
      </c>
      <c r="AF111" s="0" t="s">
        <v>1414</v>
      </c>
      <c r="AG111" s="0" t="n">
        <v>1</v>
      </c>
      <c r="AH111" s="0" t="s">
        <v>1415</v>
      </c>
      <c r="AI111" s="0" t="s">
        <v>1416</v>
      </c>
      <c r="AJ111" s="0" t="s">
        <v>411</v>
      </c>
      <c r="AL111" s="0" t="s">
        <v>1417</v>
      </c>
      <c r="AM111" s="0" t="n">
        <v>1</v>
      </c>
      <c r="AN111" s="0" t="s">
        <v>1415</v>
      </c>
      <c r="AO111" s="0" t="s">
        <v>1416</v>
      </c>
      <c r="AP111" s="0" t="s">
        <v>411</v>
      </c>
      <c r="AR111" s="0" t="s">
        <v>213</v>
      </c>
      <c r="AS111" s="0" t="n">
        <v>1</v>
      </c>
      <c r="AT111" s="0" t="s">
        <v>1415</v>
      </c>
      <c r="AU111" s="0" t="s">
        <v>1416</v>
      </c>
      <c r="AV111" s="0" t="s">
        <v>411</v>
      </c>
      <c r="BP111" s="0" t="n">
        <v>0</v>
      </c>
      <c r="BQ111" s="0" t="n">
        <v>0</v>
      </c>
      <c r="BR111" s="0" t="n">
        <v>1</v>
      </c>
      <c r="BS111" s="0" t="s">
        <v>1418</v>
      </c>
      <c r="BT111" s="0" t="s">
        <v>216</v>
      </c>
      <c r="BU111" s="0" t="s">
        <v>216</v>
      </c>
      <c r="BV111" s="123"/>
      <c r="BW111" s="123"/>
      <c r="BX111" s="123"/>
      <c r="BY111" s="123"/>
      <c r="BZ111" s="0" t="n">
        <v>0</v>
      </c>
      <c r="CA111" s="0" t="s">
        <v>216</v>
      </c>
      <c r="CD111" s="0" t="s">
        <v>370</v>
      </c>
      <c r="CE111" s="0" t="n">
        <v>0</v>
      </c>
      <c r="CF111" s="0" t="s">
        <v>1419</v>
      </c>
      <c r="CG111" s="0" t="s">
        <v>218</v>
      </c>
      <c r="CI111" s="1" t="n">
        <v>38079</v>
      </c>
      <c r="CJ111" s="1" t="n">
        <v>40572</v>
      </c>
      <c r="CK111" s="124" t="n">
        <v>0.625</v>
      </c>
      <c r="CL111" s="0" t="s">
        <v>1420</v>
      </c>
      <c r="CM111" s="0" t="n">
        <f aca="false">IF(OR(CI111="",CJ111=""),"",DAYS360(CI111,CJ111)/360)</f>
        <v>6.825</v>
      </c>
      <c r="CN111" s="0" t="n">
        <f aca="false">IF(OR(CI111="",CJ111=""),"",DAYS360(CI111,CJ111)/30)</f>
        <v>81.9</v>
      </c>
      <c r="CO111" s="0" t="n">
        <f aca="false">IF(OR(CI111="",CJ111=""),"",DAYS360(CI111,CJ111)/7)</f>
        <v>351</v>
      </c>
      <c r="CP111" s="0" t="n">
        <f aca="false">IF(OR(CI111="",CJ111=""),"",DAYS360(CI111,CJ111))</f>
        <v>2457</v>
      </c>
      <c r="CQ111" s="0" t="s">
        <v>240</v>
      </c>
      <c r="CR111" s="0" t="n">
        <v>1</v>
      </c>
      <c r="CT111" s="0" t="s">
        <v>221</v>
      </c>
      <c r="CU111" s="0" t="s">
        <v>221</v>
      </c>
      <c r="CV111" s="0" t="str">
        <f aca="false">IF(OR(CT111="",CT111="NO ESPECIFICA",CT111="NO MENCIONA"),"",IF(CU111=0,CT111,IF(CU111=1,CT111/30,IF(CU111=2,CT111/15,IF(CU111=3,CT111/7,"")))))</f>
        <v/>
      </c>
      <c r="CW111" s="125" t="n">
        <v>8000</v>
      </c>
      <c r="CX111" s="0" t="n">
        <v>1</v>
      </c>
      <c r="CY111" s="0" t="n">
        <f aca="false">IF(CW111="","",IF(CX111=0,CW111,IF(CX111=1,CW111/30,IF(CX111=2,CW111/15,IF(CX111=3,CW111/7,CW111)))))</f>
        <v>266.666666666667</v>
      </c>
      <c r="CZ111" s="0" t="n">
        <f aca="false">IF(DI111&gt;0,DI111,IF(CY111&gt;0,CY111,IF(CV111&gt;0,CV111,"")))</f>
        <v>266.66</v>
      </c>
      <c r="DA111" s="0" t="n">
        <f aca="false">IF(DM111=1,CZ111/8,IF(OR(DM111=2,DM111=4),CZ111/7,IF(DM111=3,CZ111/7.5,"")))</f>
        <v>33.3325</v>
      </c>
      <c r="DB111" s="0" t="s">
        <v>216</v>
      </c>
      <c r="DC111" s="0" t="s">
        <v>216</v>
      </c>
      <c r="DD111" s="0" t="s">
        <v>216</v>
      </c>
      <c r="DE111" s="0" t="s">
        <v>216</v>
      </c>
      <c r="DF111" s="0" t="s">
        <v>216</v>
      </c>
      <c r="DG111" s="0" t="s">
        <v>216</v>
      </c>
      <c r="DH111" s="0" t="n">
        <v>0</v>
      </c>
      <c r="DI111" s="126" t="n">
        <v>266.66</v>
      </c>
      <c r="DK111" s="0" t="n">
        <v>0</v>
      </c>
      <c r="DM111" s="0" t="n">
        <v>1</v>
      </c>
      <c r="DN111" s="0" t="n">
        <v>42</v>
      </c>
      <c r="DO111" s="0" t="n">
        <v>3</v>
      </c>
      <c r="DP111" s="0" t="n">
        <v>0</v>
      </c>
      <c r="DQ111" s="0" t="n">
        <v>1</v>
      </c>
      <c r="DR111" s="0"/>
      <c r="DS111" s="0" t="n">
        <v>1</v>
      </c>
      <c r="DU111" s="0" t="n">
        <v>1</v>
      </c>
      <c r="DW111" s="1" t="n">
        <v>38079</v>
      </c>
      <c r="DX111" s="1" t="n">
        <v>40572</v>
      </c>
      <c r="DZ111" s="0"/>
      <c r="EA111" s="0" t="n">
        <v>1</v>
      </c>
      <c r="EC111" s="1" t="n">
        <v>38079</v>
      </c>
      <c r="ED111" s="1" t="n">
        <v>40572</v>
      </c>
      <c r="EF111" s="0"/>
      <c r="EG111" s="0" t="n">
        <v>0</v>
      </c>
      <c r="EI111" s="0" t="str">
        <f aca="false">IF(AND(DM111=1,DN111&lt;=48),"",IF(AND(DM111=2,DN111&lt;=42),"",IF(AND(DM111=3,DN111&lt;=45),"",EH111)))</f>
        <v/>
      </c>
      <c r="EJ111" s="0" t="str">
        <f aca="false">IF(EI111="","",IF(EI111&lt;9,EI111,9))</f>
        <v/>
      </c>
      <c r="EK111" s="0" t="str">
        <f aca="false">IF(EI111="","",IF(EI111&gt;9,EI111-EJ111,0))</f>
        <v/>
      </c>
      <c r="EL111" s="0" t="str">
        <f aca="false">IF(EI111="","",EJ111*DA111*2+EK111*DA111*3)</f>
        <v/>
      </c>
      <c r="EP111" s="0" t="n">
        <v>0</v>
      </c>
      <c r="EQ111" s="0"/>
      <c r="ER111" s="0" t="n">
        <v>0</v>
      </c>
      <c r="ET111" s="0" t="n">
        <v>0</v>
      </c>
      <c r="EV111" s="0" t="n">
        <v>0</v>
      </c>
      <c r="EX111" s="0" t="n">
        <v>0</v>
      </c>
      <c r="EY111" s="0" t="n">
        <v>0</v>
      </c>
      <c r="EZ111" s="0"/>
      <c r="FA111" s="4" t="n">
        <v>4000</v>
      </c>
      <c r="FB111" s="0" t="n">
        <v>0</v>
      </c>
      <c r="FF111" s="120" t="n">
        <f aca="false">(CJ111-CI111+1)/365</f>
        <v>6.83287671232877</v>
      </c>
      <c r="FG111" s="0" t="str">
        <f aca="false">CONCATENATE(F111,"/",G111)</f>
        <v>575/2011</v>
      </c>
      <c r="FH111" s="0" t="n">
        <v>0</v>
      </c>
      <c r="FI111" s="0" t="n">
        <v>0</v>
      </c>
    </row>
    <row r="112" customFormat="false" ht="15" hidden="false" customHeight="false" outlineLevel="0" collapsed="false">
      <c r="A112" s="5" t="str">
        <f aca="false">E112&amp;G112&amp;F112</f>
        <v>72011575</v>
      </c>
      <c r="B112" s="0" t="s">
        <v>203</v>
      </c>
      <c r="C112" s="1" t="n">
        <v>42410</v>
      </c>
      <c r="E112" s="0" t="n">
        <v>7</v>
      </c>
      <c r="F112" s="0" t="n">
        <v>575</v>
      </c>
      <c r="G112" s="0" t="n">
        <v>2011</v>
      </c>
      <c r="H112" s="0" t="str">
        <f aca="false">"J"&amp;E112&amp;"\"&amp;F112&amp;"\"&amp;G112&amp;"\"&amp;W112</f>
        <v>J7\575\2011\2</v>
      </c>
      <c r="I112" s="0"/>
      <c r="J112" s="1" t="n">
        <v>40627</v>
      </c>
      <c r="K112" s="0" t="n">
        <v>0</v>
      </c>
      <c r="M112" s="1" t="n">
        <v>40627</v>
      </c>
      <c r="N112" s="1" t="n">
        <v>40729</v>
      </c>
      <c r="O112" s="1"/>
      <c r="P112" s="1"/>
      <c r="Q112" s="1"/>
      <c r="T112" s="121"/>
      <c r="U112" s="121"/>
      <c r="V112" s="122" t="n">
        <f aca="false">IF(AND(E112&gt;0,F112&gt;0,G112&gt;0),COUNTIFS($E:$E,E112,$F:$F,F112,$G:$G,G112),"")</f>
        <v>2</v>
      </c>
      <c r="W112" s="122" t="n">
        <f aca="false">IF(V112="","",IF(V112=1,1,IF(AND(E111=E112,F111=F112,G111=G112),W111+1,1)))</f>
        <v>2</v>
      </c>
      <c r="X112" s="0" t="n">
        <v>2</v>
      </c>
      <c r="Y112" s="0" t="n">
        <v>3</v>
      </c>
      <c r="Z112" s="0" t="s">
        <v>1421</v>
      </c>
      <c r="AA112" s="0" t="n">
        <v>0</v>
      </c>
      <c r="AB112" s="0" t="s">
        <v>1413</v>
      </c>
      <c r="AC112" s="0" t="s">
        <v>318</v>
      </c>
      <c r="AD112" s="0" t="s">
        <v>229</v>
      </c>
      <c r="AE112" s="0" t="n">
        <v>0</v>
      </c>
      <c r="AF112" s="0" t="s">
        <v>1414</v>
      </c>
      <c r="AG112" s="0" t="n">
        <v>1</v>
      </c>
      <c r="AH112" s="0" t="s">
        <v>1415</v>
      </c>
      <c r="AI112" s="0" t="s">
        <v>1416</v>
      </c>
      <c r="AJ112" s="0" t="s">
        <v>411</v>
      </c>
      <c r="AL112" s="0" t="s">
        <v>1417</v>
      </c>
      <c r="AM112" s="0" t="n">
        <v>1</v>
      </c>
      <c r="AN112" s="0" t="s">
        <v>1415</v>
      </c>
      <c r="AO112" s="0" t="s">
        <v>1416</v>
      </c>
      <c r="AP112" s="0" t="s">
        <v>411</v>
      </c>
      <c r="AR112" s="0" t="s">
        <v>213</v>
      </c>
      <c r="AS112" s="0" t="n">
        <v>1</v>
      </c>
      <c r="AT112" s="0" t="s">
        <v>1415</v>
      </c>
      <c r="AU112" s="0" t="s">
        <v>1416</v>
      </c>
      <c r="AV112" s="0" t="s">
        <v>411</v>
      </c>
      <c r="BP112" s="0" t="n">
        <v>0</v>
      </c>
      <c r="BQ112" s="0" t="n">
        <v>0</v>
      </c>
      <c r="BR112" s="0" t="n">
        <v>1</v>
      </c>
      <c r="BS112" s="0" t="s">
        <v>1418</v>
      </c>
      <c r="BT112" s="0" t="s">
        <v>216</v>
      </c>
      <c r="BU112" s="0" t="s">
        <v>216</v>
      </c>
      <c r="BV112" s="123"/>
      <c r="BW112" s="123"/>
      <c r="BX112" s="123"/>
      <c r="BY112" s="123"/>
      <c r="BZ112" s="0" t="n">
        <v>0</v>
      </c>
      <c r="CA112" s="0" t="s">
        <v>216</v>
      </c>
      <c r="CD112" s="0" t="s">
        <v>370</v>
      </c>
      <c r="CE112" s="0" t="n">
        <v>0</v>
      </c>
      <c r="CF112" s="0" t="s">
        <v>1419</v>
      </c>
      <c r="CG112" s="0" t="s">
        <v>218</v>
      </c>
      <c r="CI112" s="1" t="n">
        <v>38079</v>
      </c>
      <c r="CJ112" s="1" t="n">
        <v>40572</v>
      </c>
      <c r="CK112" s="124" t="n">
        <v>0.625</v>
      </c>
      <c r="CL112" s="0" t="s">
        <v>1420</v>
      </c>
      <c r="CM112" s="0" t="n">
        <f aca="false">IF(OR(CI112="",CJ112=""),"",DAYS360(CI112,CJ112)/360)</f>
        <v>6.825</v>
      </c>
      <c r="CN112" s="0" t="n">
        <f aca="false">IF(OR(CI112="",CJ112=""),"",DAYS360(CI112,CJ112)/30)</f>
        <v>81.9</v>
      </c>
      <c r="CO112" s="0" t="n">
        <f aca="false">IF(OR(CI112="",CJ112=""),"",DAYS360(CI112,CJ112)/7)</f>
        <v>351</v>
      </c>
      <c r="CP112" s="0" t="n">
        <f aca="false">IF(OR(CI112="",CJ112=""),"",DAYS360(CI112,CJ112))</f>
        <v>2457</v>
      </c>
      <c r="CQ112" s="0" t="s">
        <v>240</v>
      </c>
      <c r="CR112" s="0" t="n">
        <v>1</v>
      </c>
      <c r="CT112" s="0" t="s">
        <v>221</v>
      </c>
      <c r="CU112" s="0" t="s">
        <v>221</v>
      </c>
      <c r="CV112" s="0" t="str">
        <f aca="false">IF(OR(CT112="",CT112="NO ESPECIFICA",CT112="NO MENCIONA"),"",IF(CU112=0,CT112,IF(CU112=1,CT112/30,IF(CU112=2,CT112/15,IF(CU112=3,CT112/7,"")))))</f>
        <v/>
      </c>
      <c r="CW112" s="125" t="n">
        <v>8000</v>
      </c>
      <c r="CX112" s="0" t="n">
        <v>1</v>
      </c>
      <c r="CY112" s="0" t="n">
        <f aca="false">IF(CW112="","",IF(CX112=0,CW112,IF(CX112=1,CW112/30,IF(CX112=2,CW112/15,IF(CX112=3,CW112/7,CW112)))))</f>
        <v>266.666666666667</v>
      </c>
      <c r="CZ112" s="0" t="n">
        <f aca="false">IF(DI112&gt;0,DI112,IF(CY112&gt;0,CY112,IF(CV112&gt;0,CV112,"")))</f>
        <v>266.66</v>
      </c>
      <c r="DA112" s="0" t="n">
        <f aca="false">IF(DM112=1,CZ112/8,IF(OR(DM112=2,DM112=4),CZ112/7,IF(DM112=3,CZ112/7.5,"")))</f>
        <v>35.5546666666667</v>
      </c>
      <c r="DB112" s="0" t="s">
        <v>216</v>
      </c>
      <c r="DC112" s="0" t="s">
        <v>216</v>
      </c>
      <c r="DD112" s="0" t="s">
        <v>216</v>
      </c>
      <c r="DE112" s="0" t="s">
        <v>216</v>
      </c>
      <c r="DF112" s="0" t="s">
        <v>216</v>
      </c>
      <c r="DG112" s="0" t="s">
        <v>216</v>
      </c>
      <c r="DH112" s="0" t="n">
        <v>0</v>
      </c>
      <c r="DI112" s="126" t="n">
        <v>266.66</v>
      </c>
      <c r="DK112" s="0" t="n">
        <v>0</v>
      </c>
      <c r="DM112" s="0" t="n">
        <v>3</v>
      </c>
      <c r="DN112" s="0" t="n">
        <v>36</v>
      </c>
      <c r="DO112" s="0" t="n">
        <v>3</v>
      </c>
      <c r="DP112" s="0" t="n">
        <v>0</v>
      </c>
      <c r="DQ112" s="0" t="n">
        <v>1</v>
      </c>
      <c r="DR112" s="0"/>
      <c r="DS112" s="0" t="n">
        <v>1</v>
      </c>
      <c r="DU112" s="0" t="n">
        <v>1</v>
      </c>
      <c r="DW112" s="1" t="n">
        <v>38079</v>
      </c>
      <c r="DX112" s="1" t="n">
        <v>40572</v>
      </c>
      <c r="DZ112" s="0"/>
      <c r="EA112" s="0" t="n">
        <v>1</v>
      </c>
      <c r="EC112" s="1" t="n">
        <v>38079</v>
      </c>
      <c r="ED112" s="1" t="n">
        <v>40572</v>
      </c>
      <c r="EF112" s="0"/>
      <c r="EG112" s="0" t="n">
        <v>0</v>
      </c>
      <c r="EI112" s="0" t="str">
        <f aca="false">IF(AND(DM112=1,DN112&lt;=48),"",IF(AND(DM112=2,DN112&lt;=42),"",IF(AND(DM112=3,DN112&lt;=45),"",EH112)))</f>
        <v/>
      </c>
      <c r="EJ112" s="0" t="str">
        <f aca="false">IF(EI112="","",IF(EI112&lt;9,EI112,9))</f>
        <v/>
      </c>
      <c r="EK112" s="0" t="str">
        <f aca="false">IF(EI112="","",IF(EI112&gt;9,EI112-EJ112,0))</f>
        <v/>
      </c>
      <c r="EL112" s="0" t="str">
        <f aca="false">IF(EI112="","",EJ112*DA112*2+EK112*DA112*3)</f>
        <v/>
      </c>
      <c r="EP112" s="0" t="n">
        <v>0</v>
      </c>
      <c r="EQ112" s="0"/>
      <c r="ER112" s="0" t="n">
        <v>0</v>
      </c>
      <c r="ET112" s="0" t="n">
        <v>0</v>
      </c>
      <c r="EV112" s="0" t="n">
        <v>0</v>
      </c>
      <c r="EX112" s="0" t="n">
        <v>0</v>
      </c>
      <c r="EY112" s="0" t="n">
        <v>0</v>
      </c>
      <c r="EZ112" s="0"/>
      <c r="FA112" s="4" t="n">
        <v>4000</v>
      </c>
      <c r="FB112" s="0" t="n">
        <v>0</v>
      </c>
      <c r="FF112" s="120" t="n">
        <f aca="false">(CJ112-CI112+1)/365</f>
        <v>6.83287671232877</v>
      </c>
      <c r="FG112" s="0" t="str">
        <f aca="false">CONCATENATE(F112,"/",G112)</f>
        <v>575/2011</v>
      </c>
      <c r="FH112" s="0" t="n">
        <v>0</v>
      </c>
      <c r="FI112" s="0" t="n">
        <v>0</v>
      </c>
    </row>
    <row r="113" customFormat="false" ht="15" hidden="false" customHeight="false" outlineLevel="0" collapsed="false">
      <c r="A113" s="5" t="str">
        <f aca="false">E113&amp;G113&amp;F113</f>
        <v>72011582</v>
      </c>
      <c r="B113" s="0" t="s">
        <v>203</v>
      </c>
      <c r="C113" s="1" t="n">
        <v>42410</v>
      </c>
      <c r="E113" s="0" t="n">
        <v>7</v>
      </c>
      <c r="F113" s="0" t="n">
        <v>582</v>
      </c>
      <c r="G113" s="0" t="n">
        <v>2011</v>
      </c>
      <c r="H113" s="0" t="str">
        <f aca="false">"J"&amp;E113&amp;"\"&amp;F113&amp;"\"&amp;G113&amp;"\"&amp;W113</f>
        <v>J7\582\2011\1</v>
      </c>
      <c r="I113" s="0"/>
      <c r="J113" s="1" t="n">
        <v>40630</v>
      </c>
      <c r="K113" s="0" t="n">
        <v>0</v>
      </c>
      <c r="M113" s="1" t="n">
        <v>40630</v>
      </c>
      <c r="N113" s="1" t="n">
        <v>40729</v>
      </c>
      <c r="O113" s="1"/>
      <c r="P113" s="1"/>
      <c r="Q113" s="1"/>
      <c r="T113" s="121"/>
      <c r="U113" s="121"/>
      <c r="V113" s="122" t="n">
        <f aca="false">IF(AND(E113&gt;0,F113&gt;0,G113&gt;0),COUNTIFS($E:$E,E113,$F:$F,F113,$G:$G,G113),"")</f>
        <v>3</v>
      </c>
      <c r="W113" s="122" t="n">
        <f aca="false">IF(V113="","",IF(V113=1,1,IF(AND(E112=E113,F112=F113,G112=G113),W112+1,1)))</f>
        <v>1</v>
      </c>
      <c r="X113" s="0" t="n">
        <v>3</v>
      </c>
      <c r="Y113" s="0" t="n">
        <v>1</v>
      </c>
      <c r="Z113" s="0" t="s">
        <v>1422</v>
      </c>
      <c r="AA113" s="0" t="n">
        <v>0</v>
      </c>
      <c r="AB113" s="0" t="s">
        <v>1423</v>
      </c>
      <c r="AC113" s="0" t="s">
        <v>318</v>
      </c>
      <c r="AD113" s="0" t="s">
        <v>216</v>
      </c>
      <c r="AE113" s="0" t="n">
        <v>0</v>
      </c>
      <c r="AF113" s="0" t="s">
        <v>1424</v>
      </c>
      <c r="AG113" s="0" t="n">
        <v>1</v>
      </c>
      <c r="AH113" s="0" t="s">
        <v>1425</v>
      </c>
      <c r="AI113" s="0" t="s">
        <v>1426</v>
      </c>
      <c r="AJ113" s="0" t="s">
        <v>211</v>
      </c>
      <c r="BP113" s="0" t="n">
        <v>0</v>
      </c>
      <c r="BQ113" s="0" t="n">
        <v>0</v>
      </c>
      <c r="BR113" s="0" t="n">
        <v>1</v>
      </c>
      <c r="BS113" s="0" t="s">
        <v>1427</v>
      </c>
      <c r="BT113" s="0" t="s">
        <v>1428</v>
      </c>
      <c r="BU113" s="0" t="s">
        <v>1429</v>
      </c>
      <c r="BV113" s="123"/>
      <c r="BW113" s="123"/>
      <c r="BX113" s="123"/>
      <c r="BY113" s="123"/>
      <c r="BZ113" s="0" t="n">
        <v>0</v>
      </c>
      <c r="CA113" s="0" t="s">
        <v>1430</v>
      </c>
      <c r="CD113" s="0" t="s">
        <v>556</v>
      </c>
      <c r="CE113" s="0" t="n">
        <v>0</v>
      </c>
      <c r="CF113" s="0" t="s">
        <v>1431</v>
      </c>
      <c r="CG113" s="0" t="s">
        <v>218</v>
      </c>
      <c r="CI113" s="1" t="n">
        <v>39569</v>
      </c>
      <c r="CJ113" s="1" t="n">
        <v>40574</v>
      </c>
      <c r="CK113" s="124" t="n">
        <v>0.333333333333333</v>
      </c>
      <c r="CL113" s="0" t="s">
        <v>1424</v>
      </c>
      <c r="CM113" s="0" t="n">
        <f aca="false">IF(OR(CI113="",CJ113=""),"",DAYS360(CI113,CJ113)/360)</f>
        <v>2.75</v>
      </c>
      <c r="CN113" s="0" t="n">
        <f aca="false">IF(OR(CI113="",CJ113=""),"",DAYS360(CI113,CJ113)/30)</f>
        <v>33</v>
      </c>
      <c r="CO113" s="0" t="n">
        <f aca="false">IF(OR(CI113="",CJ113=""),"",DAYS360(CI113,CJ113)/7)</f>
        <v>141.428571428571</v>
      </c>
      <c r="CP113" s="0" t="n">
        <f aca="false">IF(OR(CI113="",CJ113=""),"",DAYS360(CI113,CJ113))</f>
        <v>990</v>
      </c>
      <c r="CQ113" s="0" t="s">
        <v>240</v>
      </c>
      <c r="CR113" s="0" t="n">
        <v>1</v>
      </c>
      <c r="CT113" s="0" t="s">
        <v>221</v>
      </c>
      <c r="CU113" s="0" t="s">
        <v>221</v>
      </c>
      <c r="CV113" s="0" t="str">
        <f aca="false">IF(OR(CT113="",CT113="NO ESPECIFICA",CT113="NO MENCIONA"),"",IF(CU113=0,CT113,IF(CU113=1,CT113/30,IF(CU113=2,CT113/15,IF(CU113=3,CT113/7,"")))))</f>
        <v/>
      </c>
      <c r="CW113" s="125" t="n">
        <v>8000</v>
      </c>
      <c r="CX113" s="0" t="n">
        <v>2</v>
      </c>
      <c r="CY113" s="0" t="n">
        <f aca="false">IF(CW113="","",IF(CX113=0,CW113,IF(CX113=1,CW113/30,IF(CX113=2,CW113/15,IF(CX113=3,CW113/7,CW113)))))</f>
        <v>533.333333333333</v>
      </c>
      <c r="CZ113" s="0" t="n">
        <f aca="false">IF(DI113&gt;0,DI113,IF(CY113&gt;0,CY113,IF(CV113&gt;0,CV113,"")))</f>
        <v>533.333333333333</v>
      </c>
      <c r="DA113" s="0" t="n">
        <f aca="false">IF(DM113=1,CZ113/8,IF(OR(DM113=2,DM113=4),CZ113/7,IF(DM113=3,CZ113/7.5,"")))</f>
        <v>66.6666666666667</v>
      </c>
      <c r="DB113" s="0" t="s">
        <v>216</v>
      </c>
      <c r="DC113" s="0" t="s">
        <v>216</v>
      </c>
      <c r="DD113" s="0" t="s">
        <v>216</v>
      </c>
      <c r="DE113" s="0" t="s">
        <v>216</v>
      </c>
      <c r="DF113" s="0" t="s">
        <v>216</v>
      </c>
      <c r="DG113" s="0" t="s">
        <v>216</v>
      </c>
      <c r="DH113" s="0" t="n">
        <v>0</v>
      </c>
      <c r="DI113" s="126" t="n">
        <v>533.333333333333</v>
      </c>
      <c r="DK113" s="0" t="n">
        <v>0</v>
      </c>
      <c r="DM113" s="0" t="n">
        <v>1</v>
      </c>
      <c r="DN113" s="0" t="n">
        <v>72</v>
      </c>
      <c r="DO113" s="0" t="n">
        <v>3</v>
      </c>
      <c r="DP113" s="0" t="n">
        <v>0</v>
      </c>
      <c r="DQ113" s="0" t="n">
        <v>1</v>
      </c>
      <c r="DR113" s="0"/>
      <c r="DS113" s="0" t="n">
        <v>1</v>
      </c>
      <c r="DU113" s="0" t="n">
        <v>1</v>
      </c>
      <c r="DW113" s="1" t="n">
        <v>39569</v>
      </c>
      <c r="DX113" s="1" t="n">
        <v>40574</v>
      </c>
      <c r="DZ113" s="0"/>
      <c r="EA113" s="0" t="n">
        <v>1</v>
      </c>
      <c r="EC113" s="1" t="n">
        <v>39569</v>
      </c>
      <c r="ED113" s="1" t="n">
        <v>40574</v>
      </c>
      <c r="EF113" s="0"/>
      <c r="EG113" s="0" t="n">
        <v>1</v>
      </c>
      <c r="EH113" s="0" t="n">
        <v>24</v>
      </c>
      <c r="EI113" s="0" t="n">
        <f aca="false">IF(AND(DM113=1,DN113&lt;=48),"",IF(AND(DM113=2,DN113&lt;=42),"",IF(AND(DM113=3,DN113&lt;=45),"",EH113)))</f>
        <v>24</v>
      </c>
      <c r="EJ113" s="0" t="n">
        <f aca="false">IF(EI113="","",IF(EI113&lt;9,EI113,9))</f>
        <v>9</v>
      </c>
      <c r="EK113" s="0" t="n">
        <f aca="false">IF(EI113="","",IF(EI113&gt;9,EI113-EJ113,0))</f>
        <v>15</v>
      </c>
      <c r="EL113" s="0" t="n">
        <f aca="false">IF(EI113="","",EJ113*DA113*2+EK113*DA113*3)</f>
        <v>4200</v>
      </c>
      <c r="EP113" s="0" t="n">
        <v>0</v>
      </c>
      <c r="EQ113" s="0"/>
      <c r="ER113" s="0" t="n">
        <v>0</v>
      </c>
      <c r="ET113" s="0" t="n">
        <v>0</v>
      </c>
      <c r="EV113" s="0" t="n">
        <v>0</v>
      </c>
      <c r="EX113" s="0" t="n">
        <v>0</v>
      </c>
      <c r="EY113" s="0" t="n">
        <v>0</v>
      </c>
      <c r="EZ113" s="0"/>
      <c r="FA113" s="4" t="n">
        <v>32533.13</v>
      </c>
      <c r="FB113" s="0" t="n">
        <v>0</v>
      </c>
      <c r="FF113" s="120" t="n">
        <f aca="false">(CJ113-CI113+1)/365</f>
        <v>2.75616438356164</v>
      </c>
      <c r="FG113" s="0" t="str">
        <f aca="false">CONCATENATE(F113,"/",G113)</f>
        <v>582/2011</v>
      </c>
      <c r="FH113" s="0" t="n">
        <v>0</v>
      </c>
      <c r="FI113" s="0" t="n">
        <v>0</v>
      </c>
    </row>
    <row r="114" customFormat="false" ht="15" hidden="false" customHeight="false" outlineLevel="0" collapsed="false">
      <c r="A114" s="5" t="str">
        <f aca="false">E114&amp;G114&amp;F114</f>
        <v>72011582</v>
      </c>
      <c r="B114" s="0" t="s">
        <v>203</v>
      </c>
      <c r="C114" s="1" t="n">
        <v>42410</v>
      </c>
      <c r="E114" s="0" t="n">
        <v>7</v>
      </c>
      <c r="F114" s="0" t="n">
        <v>582</v>
      </c>
      <c r="G114" s="0" t="n">
        <v>2011</v>
      </c>
      <c r="H114" s="0" t="str">
        <f aca="false">"J"&amp;E114&amp;"\"&amp;F114&amp;"\"&amp;G114&amp;"\"&amp;W114</f>
        <v>J7\582\2011\2</v>
      </c>
      <c r="I114" s="0"/>
      <c r="J114" s="1" t="n">
        <v>40630</v>
      </c>
      <c r="K114" s="0" t="n">
        <v>0</v>
      </c>
      <c r="M114" s="1" t="n">
        <v>40630</v>
      </c>
      <c r="N114" s="1" t="n">
        <v>40729</v>
      </c>
      <c r="O114" s="1"/>
      <c r="P114" s="1"/>
      <c r="Q114" s="1"/>
      <c r="T114" s="121"/>
      <c r="U114" s="121"/>
      <c r="V114" s="122" t="n">
        <f aca="false">IF(AND(E114&gt;0,F114&gt;0,G114&gt;0),COUNTIFS($E:$E,E114,$F:$F,F114,$G:$G,G114),"")</f>
        <v>3</v>
      </c>
      <c r="W114" s="122" t="n">
        <f aca="false">IF(V114="","",IF(V114=1,1,IF(AND(E113=E114,F113=F114,G113=G114),W113+1,1)))</f>
        <v>2</v>
      </c>
      <c r="X114" s="0" t="n">
        <v>3</v>
      </c>
      <c r="Y114" s="0" t="n">
        <v>1</v>
      </c>
      <c r="Z114" s="0" t="s">
        <v>1432</v>
      </c>
      <c r="AA114" s="0" t="n">
        <v>0</v>
      </c>
      <c r="AB114" s="0" t="s">
        <v>1423</v>
      </c>
      <c r="AC114" s="0" t="s">
        <v>318</v>
      </c>
      <c r="AD114" s="0" t="s">
        <v>216</v>
      </c>
      <c r="AE114" s="0" t="n">
        <v>0</v>
      </c>
      <c r="AF114" s="0" t="s">
        <v>1424</v>
      </c>
      <c r="AG114" s="0" t="n">
        <v>1</v>
      </c>
      <c r="AH114" s="0" t="s">
        <v>1425</v>
      </c>
      <c r="AI114" s="0" t="s">
        <v>1426</v>
      </c>
      <c r="AJ114" s="0" t="s">
        <v>211</v>
      </c>
      <c r="BP114" s="0" t="n">
        <v>0</v>
      </c>
      <c r="BQ114" s="0" t="n">
        <v>0</v>
      </c>
      <c r="BR114" s="0" t="n">
        <v>1</v>
      </c>
      <c r="BS114" s="0" t="s">
        <v>1427</v>
      </c>
      <c r="BT114" s="0" t="s">
        <v>1428</v>
      </c>
      <c r="BU114" s="0" t="s">
        <v>1429</v>
      </c>
      <c r="BV114" s="123"/>
      <c r="BW114" s="123"/>
      <c r="BX114" s="123"/>
      <c r="BY114" s="123"/>
      <c r="BZ114" s="0" t="n">
        <v>0</v>
      </c>
      <c r="CA114" s="0" t="s">
        <v>1430</v>
      </c>
      <c r="CD114" s="0" t="s">
        <v>556</v>
      </c>
      <c r="CE114" s="0" t="n">
        <v>0</v>
      </c>
      <c r="CF114" s="0" t="s">
        <v>1433</v>
      </c>
      <c r="CG114" s="0" t="s">
        <v>218</v>
      </c>
      <c r="CI114" s="1" t="n">
        <v>40218</v>
      </c>
      <c r="CJ114" s="1" t="n">
        <v>40574</v>
      </c>
      <c r="CK114" s="124" t="n">
        <v>0.333333333333333</v>
      </c>
      <c r="CL114" s="0" t="s">
        <v>1424</v>
      </c>
      <c r="CM114" s="0" t="n">
        <f aca="false">IF(OR(CI114="",CJ114=""),"",DAYS360(CI114,CJ114)/360)</f>
        <v>0.977777777777778</v>
      </c>
      <c r="CN114" s="0" t="n">
        <f aca="false">IF(OR(CI114="",CJ114=""),"",DAYS360(CI114,CJ114)/30)</f>
        <v>11.7333333333333</v>
      </c>
      <c r="CO114" s="0" t="n">
        <f aca="false">IF(OR(CI114="",CJ114=""),"",DAYS360(CI114,CJ114)/7)</f>
        <v>50.2857142857143</v>
      </c>
      <c r="CP114" s="0" t="n">
        <f aca="false">IF(OR(CI114="",CJ114=""),"",DAYS360(CI114,CJ114))</f>
        <v>352</v>
      </c>
      <c r="CQ114" s="0" t="s">
        <v>240</v>
      </c>
      <c r="CR114" s="0" t="n">
        <v>1</v>
      </c>
      <c r="CT114" s="0" t="s">
        <v>221</v>
      </c>
      <c r="CU114" s="0" t="s">
        <v>221</v>
      </c>
      <c r="CV114" s="0" t="str">
        <f aca="false">IF(OR(CT114="",CT114="NO ESPECIFICA",CT114="NO MENCIONA"),"",IF(CU114=0,CT114,IF(CU114=1,CT114/30,IF(CU114=2,CT114/15,IF(CU114=3,CT114/7,"")))))</f>
        <v/>
      </c>
      <c r="CW114" s="125" t="n">
        <v>2000</v>
      </c>
      <c r="CX114" s="0" t="n">
        <v>2</v>
      </c>
      <c r="CY114" s="0" t="n">
        <f aca="false">IF(CW114="","",IF(CX114=0,CW114,IF(CX114=1,CW114/30,IF(CX114=2,CW114/15,IF(CX114=3,CW114/7,CW114)))))</f>
        <v>133.333333333333</v>
      </c>
      <c r="CZ114" s="0" t="n">
        <f aca="false">IF(DI114&gt;0,DI114,IF(CY114&gt;0,CY114,IF(CV114&gt;0,CV114,"")))</f>
        <v>133.33</v>
      </c>
      <c r="DA114" s="0" t="n">
        <f aca="false">IF(DM114=1,CZ114/8,IF(OR(DM114=2,DM114=4),CZ114/7,IF(DM114=3,CZ114/7.5,"")))</f>
        <v>16.66625</v>
      </c>
      <c r="DB114" s="0" t="s">
        <v>216</v>
      </c>
      <c r="DC114" s="0" t="s">
        <v>216</v>
      </c>
      <c r="DD114" s="0" t="s">
        <v>216</v>
      </c>
      <c r="DE114" s="0" t="s">
        <v>216</v>
      </c>
      <c r="DF114" s="0" t="s">
        <v>216</v>
      </c>
      <c r="DG114" s="0" t="s">
        <v>216</v>
      </c>
      <c r="DH114" s="0" t="n">
        <v>0</v>
      </c>
      <c r="DI114" s="126" t="n">
        <v>133.33</v>
      </c>
      <c r="DK114" s="0" t="n">
        <v>0</v>
      </c>
      <c r="DM114" s="0" t="n">
        <v>1</v>
      </c>
      <c r="DN114" s="0" t="n">
        <v>72</v>
      </c>
      <c r="DO114" s="0" t="n">
        <v>3</v>
      </c>
      <c r="DP114" s="0" t="n">
        <v>0</v>
      </c>
      <c r="DQ114" s="0" t="n">
        <v>1</v>
      </c>
      <c r="DR114" s="0"/>
      <c r="DS114" s="0" t="n">
        <v>1</v>
      </c>
      <c r="DU114" s="0" t="n">
        <v>1</v>
      </c>
      <c r="DW114" s="1" t="n">
        <v>40218</v>
      </c>
      <c r="DX114" s="1" t="n">
        <v>40574</v>
      </c>
      <c r="DZ114" s="0"/>
      <c r="EA114" s="0" t="n">
        <v>1</v>
      </c>
      <c r="EC114" s="1" t="n">
        <v>40218</v>
      </c>
      <c r="ED114" s="1" t="n">
        <v>40574</v>
      </c>
      <c r="EF114" s="0"/>
      <c r="EG114" s="0" t="n">
        <v>1</v>
      </c>
      <c r="EH114" s="0" t="n">
        <v>24</v>
      </c>
      <c r="EI114" s="0" t="n">
        <f aca="false">IF(AND(DM114=1,DN114&lt;=48),"",IF(AND(DM114=2,DN114&lt;=42),"",IF(AND(DM114=3,DN114&lt;=45),"",EH114)))</f>
        <v>24</v>
      </c>
      <c r="EJ114" s="0" t="n">
        <f aca="false">IF(EI114="","",IF(EI114&lt;9,EI114,9))</f>
        <v>9</v>
      </c>
      <c r="EK114" s="0" t="n">
        <f aca="false">IF(EI114="","",IF(EI114&gt;9,EI114-EJ114,0))</f>
        <v>15</v>
      </c>
      <c r="EL114" s="0" t="n">
        <f aca="false">IF(EI114="","",EJ114*DA114*2+EK114*DA114*3)</f>
        <v>1049.97375</v>
      </c>
      <c r="EP114" s="0" t="n">
        <v>0</v>
      </c>
      <c r="EQ114" s="0"/>
      <c r="ER114" s="0" t="n">
        <v>0</v>
      </c>
      <c r="ET114" s="0" t="n">
        <v>0</v>
      </c>
      <c r="EV114" s="0" t="n">
        <v>0</v>
      </c>
      <c r="EX114" s="0" t="n">
        <v>0</v>
      </c>
      <c r="EY114" s="0" t="n">
        <v>0</v>
      </c>
      <c r="EZ114" s="0"/>
      <c r="FA114" s="4" t="n">
        <v>8133.13</v>
      </c>
      <c r="FB114" s="0" t="n">
        <v>0</v>
      </c>
      <c r="FF114" s="120" t="n">
        <f aca="false">(CJ114-CI114+1)/365</f>
        <v>0.978082191780822</v>
      </c>
      <c r="FG114" s="0" t="str">
        <f aca="false">CONCATENATE(F114,"/",G114)</f>
        <v>582/2011</v>
      </c>
      <c r="FH114" s="0" t="n">
        <v>0</v>
      </c>
      <c r="FI114" s="0" t="n">
        <v>0</v>
      </c>
    </row>
    <row r="115" customFormat="false" ht="15" hidden="false" customHeight="false" outlineLevel="0" collapsed="false">
      <c r="A115" s="5" t="str">
        <f aca="false">E115&amp;G115&amp;F115</f>
        <v>72011582</v>
      </c>
      <c r="B115" s="0" t="s">
        <v>203</v>
      </c>
      <c r="C115" s="1" t="n">
        <v>42410</v>
      </c>
      <c r="E115" s="0" t="n">
        <v>7</v>
      </c>
      <c r="F115" s="0" t="n">
        <v>582</v>
      </c>
      <c r="G115" s="0" t="n">
        <v>2011</v>
      </c>
      <c r="H115" s="0" t="str">
        <f aca="false">"J"&amp;E115&amp;"\"&amp;F115&amp;"\"&amp;G115&amp;"\"&amp;W115</f>
        <v>J7\582\2011\3</v>
      </c>
      <c r="I115" s="0"/>
      <c r="J115" s="1" t="n">
        <v>40630</v>
      </c>
      <c r="K115" s="0" t="n">
        <v>0</v>
      </c>
      <c r="M115" s="1" t="n">
        <v>40630</v>
      </c>
      <c r="N115" s="1" t="n">
        <v>40729</v>
      </c>
      <c r="O115" s="1"/>
      <c r="P115" s="1"/>
      <c r="Q115" s="1"/>
      <c r="T115" s="121"/>
      <c r="U115" s="121"/>
      <c r="V115" s="122" t="n">
        <f aca="false">IF(AND(E115&gt;0,F115&gt;0,G115&gt;0),COUNTIFS($E:$E,E115,$F:$F,F115,$G:$G,G115),"")</f>
        <v>3</v>
      </c>
      <c r="W115" s="122" t="n">
        <f aca="false">IF(V115="","",IF(V115=1,1,IF(AND(E114=E115,F114=F115,G114=G115),W114+1,1)))</f>
        <v>3</v>
      </c>
      <c r="X115" s="0" t="n">
        <v>3</v>
      </c>
      <c r="Y115" s="0" t="n">
        <v>1</v>
      </c>
      <c r="Z115" s="0" t="s">
        <v>1434</v>
      </c>
      <c r="AA115" s="0" t="n">
        <v>0</v>
      </c>
      <c r="AB115" s="0" t="s">
        <v>1423</v>
      </c>
      <c r="AC115" s="0" t="s">
        <v>318</v>
      </c>
      <c r="AD115" s="0" t="s">
        <v>216</v>
      </c>
      <c r="AE115" s="0" t="n">
        <v>0</v>
      </c>
      <c r="AF115" s="0" t="s">
        <v>1424</v>
      </c>
      <c r="AG115" s="0" t="n">
        <v>1</v>
      </c>
      <c r="AH115" s="0" t="s">
        <v>1425</v>
      </c>
      <c r="AI115" s="0" t="s">
        <v>1426</v>
      </c>
      <c r="AJ115" s="0" t="s">
        <v>211</v>
      </c>
      <c r="BP115" s="0" t="n">
        <v>0</v>
      </c>
      <c r="BQ115" s="0" t="n">
        <v>0</v>
      </c>
      <c r="BR115" s="0" t="n">
        <v>1</v>
      </c>
      <c r="BS115" s="0" t="s">
        <v>1427</v>
      </c>
      <c r="BT115" s="0" t="s">
        <v>1428</v>
      </c>
      <c r="BU115" s="0" t="s">
        <v>1429</v>
      </c>
      <c r="BV115" s="123"/>
      <c r="BW115" s="123"/>
      <c r="BX115" s="123"/>
      <c r="BY115" s="123"/>
      <c r="BZ115" s="0" t="n">
        <v>0</v>
      </c>
      <c r="CA115" s="0" t="s">
        <v>1430</v>
      </c>
      <c r="CD115" s="0" t="s">
        <v>556</v>
      </c>
      <c r="CE115" s="0" t="n">
        <v>1</v>
      </c>
      <c r="CF115" s="0" t="s">
        <v>1086</v>
      </c>
      <c r="CG115" s="0" t="s">
        <v>218</v>
      </c>
      <c r="CI115" s="1" t="n">
        <v>39671</v>
      </c>
      <c r="CJ115" s="1" t="n">
        <v>40574</v>
      </c>
      <c r="CK115" s="124" t="n">
        <v>0.333333333333333</v>
      </c>
      <c r="CL115" s="0" t="s">
        <v>1424</v>
      </c>
      <c r="CM115" s="0" t="n">
        <f aca="false">IF(OR(CI115="",CJ115=""),"",DAYS360(CI115,CJ115)/360)</f>
        <v>2.47222222222222</v>
      </c>
      <c r="CN115" s="0" t="n">
        <f aca="false">IF(OR(CI115="",CJ115=""),"",DAYS360(CI115,CJ115)/30)</f>
        <v>29.6666666666667</v>
      </c>
      <c r="CO115" s="0" t="n">
        <f aca="false">IF(OR(CI115="",CJ115=""),"",DAYS360(CI115,CJ115)/7)</f>
        <v>127.142857142857</v>
      </c>
      <c r="CP115" s="0" t="n">
        <f aca="false">IF(OR(CI115="",CJ115=""),"",DAYS360(CI115,CJ115))</f>
        <v>890</v>
      </c>
      <c r="CQ115" s="0" t="s">
        <v>240</v>
      </c>
      <c r="CR115" s="0" t="n">
        <v>1</v>
      </c>
      <c r="CT115" s="0" t="s">
        <v>221</v>
      </c>
      <c r="CU115" s="0" t="s">
        <v>221</v>
      </c>
      <c r="CV115" s="0" t="str">
        <f aca="false">IF(OR(CT115="",CT115="NO ESPECIFICA",CT115="NO MENCIONA"),"",IF(CU115=0,CT115,IF(CU115=1,CT115/30,IF(CU115=2,CT115/15,IF(CU115=3,CT115/7,"")))))</f>
        <v/>
      </c>
      <c r="CW115" s="125" t="n">
        <v>2000</v>
      </c>
      <c r="CX115" s="0" t="n">
        <v>2</v>
      </c>
      <c r="CY115" s="0" t="n">
        <f aca="false">IF(CW115="","",IF(CX115=0,CW115,IF(CX115=1,CW115/30,IF(CX115=2,CW115/15,IF(CX115=3,CW115/7,CW115)))))</f>
        <v>133.333333333333</v>
      </c>
      <c r="CZ115" s="0" t="n">
        <f aca="false">IF(DI115&gt;0,DI115,IF(CY115&gt;0,CY115,IF(CV115&gt;0,CV115,"")))</f>
        <v>133.33</v>
      </c>
      <c r="DA115" s="0" t="n">
        <f aca="false">IF(DM115=1,CZ115/8,IF(OR(DM115=2,DM115=4),CZ115/7,IF(DM115=3,CZ115/7.5,"")))</f>
        <v>16.66625</v>
      </c>
      <c r="DB115" s="0" t="s">
        <v>216</v>
      </c>
      <c r="DC115" s="0" t="s">
        <v>216</v>
      </c>
      <c r="DD115" s="0" t="s">
        <v>216</v>
      </c>
      <c r="DE115" s="0" t="s">
        <v>216</v>
      </c>
      <c r="DF115" s="0" t="s">
        <v>216</v>
      </c>
      <c r="DG115" s="0" t="s">
        <v>216</v>
      </c>
      <c r="DH115" s="0" t="n">
        <v>0</v>
      </c>
      <c r="DI115" s="126" t="n">
        <v>133.33</v>
      </c>
      <c r="DK115" s="0" t="n">
        <v>1</v>
      </c>
      <c r="DM115" s="0" t="n">
        <v>1</v>
      </c>
      <c r="DN115" s="0" t="n">
        <v>72</v>
      </c>
      <c r="DO115" s="0" t="n">
        <v>3</v>
      </c>
      <c r="DP115" s="0" t="n">
        <v>0</v>
      </c>
      <c r="DQ115" s="0" t="n">
        <v>1</v>
      </c>
      <c r="DR115" s="0"/>
      <c r="DS115" s="0" t="n">
        <v>1</v>
      </c>
      <c r="DU115" s="0" t="n">
        <v>1</v>
      </c>
      <c r="DW115" s="1" t="n">
        <v>39671</v>
      </c>
      <c r="DX115" s="1" t="n">
        <v>40574</v>
      </c>
      <c r="DZ115" s="0"/>
      <c r="EA115" s="0" t="n">
        <v>1</v>
      </c>
      <c r="EC115" s="1" t="n">
        <v>39671</v>
      </c>
      <c r="ED115" s="1" t="n">
        <v>40574</v>
      </c>
      <c r="EF115" s="0"/>
      <c r="EG115" s="0" t="n">
        <v>1</v>
      </c>
      <c r="EH115" s="0" t="n">
        <v>24</v>
      </c>
      <c r="EI115" s="0" t="n">
        <f aca="false">IF(AND(DM115=1,DN115&lt;=48),"",IF(AND(DM115=2,DN115&lt;=42),"",IF(AND(DM115=3,DN115&lt;=45),"",EH115)))</f>
        <v>24</v>
      </c>
      <c r="EJ115" s="0" t="n">
        <f aca="false">IF(EI115="","",IF(EI115&lt;9,EI115,9))</f>
        <v>9</v>
      </c>
      <c r="EK115" s="0" t="n">
        <f aca="false">IF(EI115="","",IF(EI115&gt;9,EI115-EJ115,0))</f>
        <v>15</v>
      </c>
      <c r="EL115" s="0" t="n">
        <f aca="false">IF(EI115="","",EJ115*DA115*2+EK115*DA115*3)</f>
        <v>1049.97375</v>
      </c>
      <c r="EP115" s="0" t="n">
        <v>0</v>
      </c>
      <c r="EQ115" s="0"/>
      <c r="ER115" s="0" t="n">
        <v>0</v>
      </c>
      <c r="ET115" s="0" t="n">
        <v>0</v>
      </c>
      <c r="EV115" s="0" t="n">
        <v>0</v>
      </c>
      <c r="EX115" s="0" t="n">
        <v>0</v>
      </c>
      <c r="EY115" s="0" t="n">
        <v>0</v>
      </c>
      <c r="EZ115" s="0"/>
      <c r="FA115" s="4" t="n">
        <v>8133.13</v>
      </c>
      <c r="FB115" s="0" t="n">
        <v>0</v>
      </c>
      <c r="FF115" s="120" t="n">
        <f aca="false">(CJ115-CI115+1)/365</f>
        <v>2.47671232876712</v>
      </c>
      <c r="FG115" s="0" t="str">
        <f aca="false">CONCATENATE(F115,"/",G115)</f>
        <v>582/2011</v>
      </c>
      <c r="FH115" s="0" t="n">
        <v>0</v>
      </c>
      <c r="FI115" s="0" t="n">
        <v>0</v>
      </c>
    </row>
    <row r="116" customFormat="false" ht="15" hidden="false" customHeight="false" outlineLevel="0" collapsed="false">
      <c r="A116" s="5" t="str">
        <f aca="false">E116&amp;G116&amp;F116</f>
        <v>72011584</v>
      </c>
      <c r="B116" s="0" t="s">
        <v>203</v>
      </c>
      <c r="C116" s="1" t="n">
        <v>42410</v>
      </c>
      <c r="E116" s="0" t="n">
        <v>7</v>
      </c>
      <c r="F116" s="0" t="n">
        <v>584</v>
      </c>
      <c r="G116" s="0" t="n">
        <v>2011</v>
      </c>
      <c r="H116" s="0" t="str">
        <f aca="false">"J"&amp;E116&amp;"\"&amp;F116&amp;"\"&amp;G116&amp;"\"&amp;W116</f>
        <v>J7\584\2011\1</v>
      </c>
      <c r="I116" s="0"/>
      <c r="J116" s="1" t="n">
        <v>40631</v>
      </c>
      <c r="K116" s="0" t="n">
        <v>0</v>
      </c>
      <c r="M116" s="1" t="n">
        <v>40631</v>
      </c>
      <c r="N116" s="1" t="n">
        <v>40730</v>
      </c>
      <c r="O116" s="1"/>
      <c r="P116" s="1"/>
      <c r="Q116" s="1"/>
      <c r="T116" s="121"/>
      <c r="U116" s="121"/>
      <c r="V116" s="122" t="n">
        <f aca="false">IF(AND(E116&gt;0,F116&gt;0,G116&gt;0),COUNTIFS($E:$E,E116,$F:$F,F116,$G:$G,G116),"")</f>
        <v>1</v>
      </c>
      <c r="W116" s="122" t="n">
        <f aca="false">IF(V116="","",IF(V116=1,1,IF(AND(E115=E116,F115=F116,G115=G116),W115+1,1)))</f>
        <v>1</v>
      </c>
      <c r="X116" s="0" t="n">
        <v>1</v>
      </c>
      <c r="Y116" s="0" t="n">
        <v>2</v>
      </c>
      <c r="Z116" s="0" t="s">
        <v>1435</v>
      </c>
      <c r="AA116" s="0" t="n">
        <v>0</v>
      </c>
      <c r="AB116" s="0" t="s">
        <v>1436</v>
      </c>
      <c r="AC116" s="0" t="s">
        <v>1437</v>
      </c>
      <c r="AD116" s="0" t="s">
        <v>229</v>
      </c>
      <c r="AE116" s="0" t="n">
        <v>0</v>
      </c>
      <c r="AF116" s="0" t="s">
        <v>1438</v>
      </c>
      <c r="AG116" s="0" t="n">
        <v>0</v>
      </c>
      <c r="AH116" s="0" t="s">
        <v>1439</v>
      </c>
      <c r="AI116" s="0" t="s">
        <v>251</v>
      </c>
      <c r="AJ116" s="0" t="s">
        <v>229</v>
      </c>
      <c r="AL116" s="0" t="s">
        <v>213</v>
      </c>
      <c r="AM116" s="0" t="n">
        <v>1</v>
      </c>
      <c r="AN116" s="0" t="s">
        <v>1439</v>
      </c>
      <c r="AO116" s="0" t="s">
        <v>251</v>
      </c>
      <c r="AP116" s="0" t="s">
        <v>229</v>
      </c>
      <c r="BP116" s="0" t="n">
        <v>0</v>
      </c>
      <c r="BQ116" s="0" t="n">
        <v>0</v>
      </c>
      <c r="BR116" s="0" t="n">
        <v>1</v>
      </c>
      <c r="BS116" s="0" t="s">
        <v>1440</v>
      </c>
      <c r="BT116" s="0" t="s">
        <v>1441</v>
      </c>
      <c r="BU116" s="0" t="s">
        <v>1442</v>
      </c>
      <c r="BV116" s="123"/>
      <c r="BW116" s="123"/>
      <c r="BX116" s="123"/>
      <c r="BY116" s="123"/>
      <c r="BZ116" s="0" t="n">
        <v>0</v>
      </c>
      <c r="CA116" s="0" t="s">
        <v>1443</v>
      </c>
      <c r="CD116" s="0" t="s">
        <v>370</v>
      </c>
      <c r="CE116" s="0" t="n">
        <v>0</v>
      </c>
      <c r="CF116" s="0" t="s">
        <v>1444</v>
      </c>
      <c r="CG116" s="0" t="s">
        <v>1340</v>
      </c>
      <c r="CH116" s="0" t="n">
        <v>1</v>
      </c>
      <c r="CI116" s="1" t="n">
        <v>32671</v>
      </c>
      <c r="CJ116" s="1" t="n">
        <v>40216</v>
      </c>
      <c r="CK116" s="124" t="n">
        <v>0.333333333333333</v>
      </c>
      <c r="CL116" s="0" t="s">
        <v>1445</v>
      </c>
      <c r="CM116" s="0" t="n">
        <f aca="false">IF(OR(CI116="",CJ116=""),"",DAYS360(CI116,CJ116)/360)</f>
        <v>20.6527777777778</v>
      </c>
      <c r="CN116" s="0" t="n">
        <f aca="false">IF(OR(CI116="",CJ116=""),"",DAYS360(CI116,CJ116)/30)</f>
        <v>247.833333333333</v>
      </c>
      <c r="CO116" s="0" t="n">
        <f aca="false">IF(OR(CI116="",CJ116=""),"",DAYS360(CI116,CJ116)/7)</f>
        <v>1062.14285714286</v>
      </c>
      <c r="CP116" s="0" t="n">
        <f aca="false">IF(OR(CI116="",CJ116=""),"",DAYS360(CI116,CJ116))</f>
        <v>7435</v>
      </c>
      <c r="CQ116" s="0" t="s">
        <v>220</v>
      </c>
      <c r="CR116" s="0" t="n">
        <v>1</v>
      </c>
      <c r="CT116" s="0" t="n">
        <v>100</v>
      </c>
      <c r="CU116" s="0" t="n">
        <v>0</v>
      </c>
      <c r="CV116" s="0" t="n">
        <f aca="false">IF(OR(CT116="",CT116="NO ESPECIFICA",CT116="NO MENCIONA"),"",IF(CU116=0,CT116,IF(CU116=1,CT116/30,IF(CU116=2,CT116/15,IF(CU116=3,CT116/7,"")))))</f>
        <v>100</v>
      </c>
      <c r="CW116" s="125" t="n">
        <v>350</v>
      </c>
      <c r="CX116" s="0" t="n">
        <v>0</v>
      </c>
      <c r="CY116" s="0" t="n">
        <f aca="false">IF(CW116="","",IF(CX116=0,CW116,IF(CX116=1,CW116/30,IF(CX116=2,CW116/15,IF(CX116=3,CW116/7,CW116)))))</f>
        <v>350</v>
      </c>
      <c r="CZ116" s="0" t="n">
        <f aca="false">IF(DI116&gt;0,DI116,IF(CY116&gt;0,CY116,IF(CV116&gt;0,CV116,"")))</f>
        <v>350</v>
      </c>
      <c r="DA116" s="0" t="n">
        <f aca="false">IF(DM116=1,CZ116/8,IF(OR(DM116=2,DM116=4),CZ116/7,IF(DM116=3,CZ116/7.5,"")))</f>
        <v>43.75</v>
      </c>
      <c r="DB116" s="0" t="s">
        <v>1446</v>
      </c>
      <c r="DC116" s="0" t="s">
        <v>216</v>
      </c>
      <c r="DD116" s="0" t="s">
        <v>216</v>
      </c>
      <c r="DE116" s="0" t="s">
        <v>216</v>
      </c>
      <c r="DF116" s="0" t="s">
        <v>216</v>
      </c>
      <c r="DG116" s="0" t="s">
        <v>216</v>
      </c>
      <c r="DH116" s="0" t="n">
        <v>0</v>
      </c>
      <c r="DI116" s="126" t="n">
        <v>350</v>
      </c>
      <c r="DK116" s="0" t="n">
        <v>0</v>
      </c>
      <c r="DM116" s="0" t="n">
        <v>1</v>
      </c>
      <c r="DN116" s="0" t="n">
        <v>63</v>
      </c>
      <c r="DO116" s="0" t="n">
        <v>0</v>
      </c>
      <c r="DP116" s="0" t="n">
        <v>1</v>
      </c>
      <c r="DQ116" s="0" t="n">
        <v>1</v>
      </c>
      <c r="DR116" s="0"/>
      <c r="DS116" s="0" t="n">
        <v>1</v>
      </c>
      <c r="DU116" s="0" t="n">
        <v>1</v>
      </c>
      <c r="DW116" s="1" t="n">
        <v>32671</v>
      </c>
      <c r="DX116" s="1" t="n">
        <v>40216</v>
      </c>
      <c r="DZ116" s="0"/>
      <c r="EA116" s="0" t="n">
        <v>1</v>
      </c>
      <c r="EC116" s="1" t="n">
        <v>40179</v>
      </c>
      <c r="ED116" s="1" t="n">
        <v>40216</v>
      </c>
      <c r="EF116" s="0"/>
      <c r="EG116" s="0" t="n">
        <v>1</v>
      </c>
      <c r="EH116" s="0" t="n">
        <v>15</v>
      </c>
      <c r="EI116" s="0" t="n">
        <f aca="false">IF(AND(DM116=1,DN116&lt;=48),"",IF(AND(DM116=2,DN116&lt;=42),"",IF(AND(DM116=3,DN116&lt;=45),"",EH116)))</f>
        <v>15</v>
      </c>
      <c r="EJ116" s="0" t="n">
        <f aca="false">IF(EI116="","",IF(EI116&lt;9,EI116,9))</f>
        <v>9</v>
      </c>
      <c r="EK116" s="0" t="n">
        <f aca="false">IF(EI116="","",IF(EI116&gt;9,EI116-EJ116,0))</f>
        <v>6</v>
      </c>
      <c r="EL116" s="0" t="n">
        <f aca="false">IF(EI116="","",EJ116*DA116*2+EK116*DA116*3)</f>
        <v>1575</v>
      </c>
      <c r="EP116" s="0" t="n">
        <v>0</v>
      </c>
      <c r="EQ116" s="0"/>
      <c r="ER116" s="0" t="n">
        <v>0</v>
      </c>
      <c r="ET116" s="0" t="n">
        <v>0</v>
      </c>
      <c r="EV116" s="0" t="n">
        <v>0</v>
      </c>
      <c r="EX116" s="0" t="n">
        <v>1</v>
      </c>
      <c r="EY116" s="0" t="n">
        <v>1</v>
      </c>
      <c r="EZ116" s="4" t="n">
        <v>600</v>
      </c>
      <c r="FA116" s="0"/>
      <c r="FB116" s="0" t="n">
        <v>0</v>
      </c>
      <c r="FF116" s="120" t="n">
        <f aca="false">(CJ116-CI116+1)/365</f>
        <v>20.6739726027397</v>
      </c>
      <c r="FG116" s="0" t="str">
        <f aca="false">CONCATENATE(F116,"/",G116)</f>
        <v>584/2011</v>
      </c>
      <c r="FH116" s="0" t="n">
        <v>0</v>
      </c>
      <c r="FI116" s="0" t="n">
        <v>0</v>
      </c>
    </row>
    <row r="117" customFormat="false" ht="15" hidden="false" customHeight="false" outlineLevel="0" collapsed="false">
      <c r="A117" s="5" t="str">
        <f aca="false">E117&amp;G117&amp;F117</f>
        <v>72011591</v>
      </c>
      <c r="B117" s="0" t="s">
        <v>203</v>
      </c>
      <c r="C117" s="1" t="n">
        <v>42410</v>
      </c>
      <c r="D117" s="0" t="s">
        <v>1447</v>
      </c>
      <c r="E117" s="0" t="n">
        <v>7</v>
      </c>
      <c r="F117" s="0" t="n">
        <v>591</v>
      </c>
      <c r="G117" s="0" t="n">
        <v>2011</v>
      </c>
      <c r="H117" s="0" t="str">
        <f aca="false">"J"&amp;E117&amp;"\"&amp;F117&amp;"\"&amp;G117&amp;"\"&amp;W117</f>
        <v>J7\591\2011\1</v>
      </c>
      <c r="I117" s="0" t="n">
        <v>40632</v>
      </c>
      <c r="J117" s="1" t="n">
        <v>39245</v>
      </c>
      <c r="K117" s="0" t="n">
        <v>0</v>
      </c>
      <c r="M117" s="1"/>
      <c r="N117" s="1"/>
      <c r="O117" s="1"/>
      <c r="P117" s="1"/>
      <c r="Q117" s="1"/>
      <c r="T117" s="121"/>
      <c r="U117" s="121"/>
      <c r="V117" s="122" t="n">
        <f aca="false">IF(AND(E117&gt;0,F117&gt;0,G117&gt;0),COUNTIFS($E:$E,E117,$F:$F,F117,$G:$G,G117),"")</f>
        <v>1</v>
      </c>
      <c r="W117" s="122" t="n">
        <f aca="false">IF(V117="","",IF(V117=1,1,IF(AND(E116=E117,F116=F117,G116=G117),W116+1,1)))</f>
        <v>1</v>
      </c>
      <c r="X117" s="0" t="n">
        <v>1</v>
      </c>
      <c r="Y117" s="0" t="n">
        <v>5</v>
      </c>
      <c r="Z117" s="0" t="s">
        <v>1448</v>
      </c>
      <c r="AA117" s="0" t="n">
        <v>0</v>
      </c>
      <c r="AB117" s="0" t="s">
        <v>221</v>
      </c>
      <c r="AC117" s="0" t="s">
        <v>404</v>
      </c>
      <c r="AD117" s="0" t="s">
        <v>221</v>
      </c>
      <c r="AE117" s="0" t="n">
        <v>0</v>
      </c>
      <c r="AF117" s="0" t="s">
        <v>1449</v>
      </c>
      <c r="AG117" s="0" t="n">
        <v>0</v>
      </c>
      <c r="AH117" s="0" t="s">
        <v>1450</v>
      </c>
      <c r="AI117" s="0" t="s">
        <v>1451</v>
      </c>
      <c r="AJ117" s="0" t="s">
        <v>352</v>
      </c>
      <c r="AL117" s="0" t="s">
        <v>1452</v>
      </c>
      <c r="AM117" s="0" t="n">
        <v>1</v>
      </c>
      <c r="AN117" s="0" t="s">
        <v>1450</v>
      </c>
      <c r="AO117" s="0" t="s">
        <v>1451</v>
      </c>
      <c r="AP117" s="0" t="s">
        <v>352</v>
      </c>
      <c r="AR117" s="0" t="s">
        <v>213</v>
      </c>
      <c r="AS117" s="0" t="n">
        <v>1</v>
      </c>
      <c r="AT117" s="0" t="s">
        <v>1450</v>
      </c>
      <c r="AU117" s="0" t="s">
        <v>1451</v>
      </c>
      <c r="AV117" s="0" t="s">
        <v>352</v>
      </c>
      <c r="AX117" s="0" t="s">
        <v>249</v>
      </c>
      <c r="AY117" s="0" t="n">
        <v>0</v>
      </c>
      <c r="AZ117" s="0" t="s">
        <v>1453</v>
      </c>
      <c r="BA117" s="0" t="s">
        <v>216</v>
      </c>
      <c r="BB117" s="0" t="s">
        <v>216</v>
      </c>
      <c r="BD117" s="0" t="s">
        <v>412</v>
      </c>
      <c r="BE117" s="0" t="n">
        <v>0</v>
      </c>
      <c r="BF117" s="0" t="s">
        <v>977</v>
      </c>
      <c r="BG117" s="0" t="s">
        <v>438</v>
      </c>
      <c r="BH117" s="0" t="s">
        <v>216</v>
      </c>
      <c r="BP117" s="0" t="n">
        <v>0</v>
      </c>
      <c r="BQ117" s="0" t="n">
        <v>0</v>
      </c>
      <c r="BR117" s="0" t="n">
        <v>2</v>
      </c>
      <c r="BS117" s="0" t="s">
        <v>1454</v>
      </c>
      <c r="BT117" s="0" t="s">
        <v>1455</v>
      </c>
      <c r="BU117" s="0" t="s">
        <v>1456</v>
      </c>
      <c r="BV117" s="123"/>
      <c r="BW117" s="123"/>
      <c r="BX117" s="123"/>
      <c r="BY117" s="123"/>
      <c r="BZ117" s="0" t="n">
        <v>0</v>
      </c>
      <c r="CA117" s="0" t="s">
        <v>1457</v>
      </c>
      <c r="CD117" s="0" t="s">
        <v>502</v>
      </c>
      <c r="CE117" s="0" t="n">
        <v>0</v>
      </c>
      <c r="CF117" s="0" t="s">
        <v>1458</v>
      </c>
      <c r="CG117" s="0" t="s">
        <v>218</v>
      </c>
      <c r="CI117" s="1" t="n">
        <v>38628</v>
      </c>
      <c r="CJ117" s="1" t="n">
        <v>39224</v>
      </c>
      <c r="CK117" s="124" t="n">
        <v>0.416666666666667</v>
      </c>
      <c r="CL117" s="0" t="s">
        <v>1459</v>
      </c>
      <c r="CM117" s="0" t="n">
        <f aca="false">IF(OR(CI117="",CJ117=""),"",DAYS360(CI117,CJ117)/360)</f>
        <v>1.63611111111111</v>
      </c>
      <c r="CN117" s="0" t="n">
        <f aca="false">IF(OR(CI117="",CJ117=""),"",DAYS360(CI117,CJ117)/30)</f>
        <v>19.6333333333333</v>
      </c>
      <c r="CO117" s="0" t="n">
        <f aca="false">IF(OR(CI117="",CJ117=""),"",DAYS360(CI117,CJ117)/7)</f>
        <v>84.1428571428571</v>
      </c>
      <c r="CP117" s="0" t="n">
        <f aca="false">IF(OR(CI117="",CJ117=""),"",DAYS360(CI117,CJ117))</f>
        <v>589</v>
      </c>
      <c r="CQ117" s="0" t="s">
        <v>220</v>
      </c>
      <c r="CR117" s="0" t="n">
        <v>1</v>
      </c>
      <c r="CT117" s="0" t="s">
        <v>221</v>
      </c>
      <c r="CU117" s="0" t="s">
        <v>221</v>
      </c>
      <c r="CV117" s="0" t="str">
        <f aca="false">IF(OR(CT117="",CT117="NO ESPECIFICA",CT117="NO MENCIONA"),"",IF(CU117=0,CT117,IF(CU117=1,CT117/30,IF(CU117=2,CT117/15,IF(CU117=3,CT117/7,"")))))</f>
        <v/>
      </c>
      <c r="CW117" s="125" t="n">
        <v>700</v>
      </c>
      <c r="CX117" s="0" t="n">
        <v>0</v>
      </c>
      <c r="CY117" s="0" t="n">
        <f aca="false">IF(CW117="","",IF(CX117=0,CW117,IF(CX117=1,CW117/30,IF(CX117=2,CW117/15,IF(CX117=3,CW117/7,CW117)))))</f>
        <v>700</v>
      </c>
      <c r="CZ117" s="0" t="n">
        <f aca="false">IF(DI117&gt;0,DI117,IF(CY117&gt;0,CY117,IF(CV117&gt;0,CV117,"")))</f>
        <v>700</v>
      </c>
      <c r="DA117" s="0" t="n">
        <f aca="false">IF(DM117=1,CZ117/8,IF(OR(DM117=2,DM117=4),CZ117/7,IF(DM117=3,CZ117/7.5,"")))</f>
        <v>93.3333333333333</v>
      </c>
      <c r="DB117" s="0" t="s">
        <v>216</v>
      </c>
      <c r="DC117" s="0" t="s">
        <v>216</v>
      </c>
      <c r="DD117" s="0" t="s">
        <v>216</v>
      </c>
      <c r="DE117" s="0" t="s">
        <v>216</v>
      </c>
      <c r="DF117" s="0" t="s">
        <v>216</v>
      </c>
      <c r="DG117" s="0" t="s">
        <v>216</v>
      </c>
      <c r="DH117" s="0" t="n">
        <v>0</v>
      </c>
      <c r="DI117" s="126" t="n">
        <v>700</v>
      </c>
      <c r="DK117" s="0" t="n">
        <v>0</v>
      </c>
      <c r="DM117" s="0" t="n">
        <v>3</v>
      </c>
      <c r="DN117" s="0" t="n">
        <v>133</v>
      </c>
      <c r="DO117" s="0" t="n">
        <v>3</v>
      </c>
      <c r="DP117" s="0" t="n">
        <v>1</v>
      </c>
      <c r="DQ117" s="0" t="n">
        <v>0</v>
      </c>
      <c r="DR117" s="0"/>
      <c r="DS117" s="0" t="n">
        <v>1</v>
      </c>
      <c r="DU117" s="0" t="n">
        <v>0</v>
      </c>
      <c r="DW117" s="1" t="n">
        <v>38628</v>
      </c>
      <c r="DX117" s="1" t="n">
        <v>39224</v>
      </c>
      <c r="DZ117" s="0"/>
      <c r="EA117" s="0" t="n">
        <v>1</v>
      </c>
      <c r="EC117" s="1" t="n">
        <v>38628</v>
      </c>
      <c r="ED117" s="1" t="n">
        <v>39224</v>
      </c>
      <c r="EF117" s="0"/>
      <c r="EG117" s="0" t="n">
        <v>0</v>
      </c>
      <c r="EI117" s="0" t="n">
        <f aca="false">IF(AND(DM117=1,DN117&lt;=48),"",IF(AND(DM117=2,DN117&lt;=42),"",IF(AND(DM117=3,DN117&lt;=45),"",EH117)))</f>
        <v>0</v>
      </c>
      <c r="EJ117" s="0" t="str">
        <f aca="false">IF(EI117="","",IF(EI117&lt;9,EI117,9))</f>
        <v/>
      </c>
      <c r="EK117" s="0" t="str">
        <f aca="false">IF(EI117="","",IF(EI117&gt;9,EI117-EJ117,0))</f>
        <v/>
      </c>
      <c r="EL117" s="0" t="str">
        <f aca="false">IF(EI117="","",EJ117*DA117*2+EK117*DA117*3)</f>
        <v/>
      </c>
      <c r="EP117" s="0" t="n">
        <v>0</v>
      </c>
      <c r="EQ117" s="0"/>
      <c r="ER117" s="0" t="n">
        <v>1</v>
      </c>
      <c r="ET117" s="0" t="n">
        <v>1</v>
      </c>
      <c r="EV117" s="0" t="n">
        <v>1</v>
      </c>
      <c r="EX117" s="0" t="n">
        <v>1</v>
      </c>
      <c r="EY117" s="0" t="n">
        <v>1</v>
      </c>
      <c r="EZ117" s="0"/>
      <c r="FA117" s="0"/>
      <c r="FB117" s="0" t="n">
        <v>1</v>
      </c>
      <c r="FF117" s="120" t="n">
        <f aca="false">(CJ117-CI117+1)/365</f>
        <v>1.63561643835616</v>
      </c>
      <c r="FG117" s="0" t="str">
        <f aca="false">CONCATENATE(F117,"/",G117)</f>
        <v>591/2011</v>
      </c>
      <c r="FH117" s="0" t="n">
        <v>0</v>
      </c>
      <c r="FI117" s="0" t="n">
        <v>0</v>
      </c>
    </row>
    <row r="118" customFormat="false" ht="15" hidden="false" customHeight="false" outlineLevel="0" collapsed="false">
      <c r="A118" s="5" t="str">
        <f aca="false">E118&amp;G118&amp;F118</f>
        <v>72011598</v>
      </c>
      <c r="B118" s="0" t="s">
        <v>203</v>
      </c>
      <c r="C118" s="1" t="n">
        <v>42410</v>
      </c>
      <c r="E118" s="0" t="n">
        <v>7</v>
      </c>
      <c r="F118" s="0" t="n">
        <v>598</v>
      </c>
      <c r="G118" s="0" t="n">
        <v>2011</v>
      </c>
      <c r="H118" s="0" t="str">
        <f aca="false">"J"&amp;E118&amp;"\"&amp;F118&amp;"\"&amp;G118&amp;"\"&amp;W118</f>
        <v>J7\598\2011\1</v>
      </c>
      <c r="I118" s="0"/>
      <c r="J118" s="1" t="n">
        <v>40632</v>
      </c>
      <c r="K118" s="0" t="n">
        <v>0</v>
      </c>
      <c r="M118" s="1" t="n">
        <v>40632</v>
      </c>
      <c r="N118" s="1" t="n">
        <v>40731</v>
      </c>
      <c r="O118" s="1"/>
      <c r="P118" s="1"/>
      <c r="Q118" s="1"/>
      <c r="T118" s="121"/>
      <c r="U118" s="121"/>
      <c r="V118" s="122" t="n">
        <f aca="false">IF(AND(E118&gt;0,F118&gt;0,G118&gt;0),COUNTIFS($E:$E,E118,$F:$F,F118,$G:$G,G118),"")</f>
        <v>1</v>
      </c>
      <c r="W118" s="122" t="n">
        <f aca="false">IF(V118="","",IF(V118=1,1,IF(AND(E117=E118,F117=F118,G117=G118),W117+1,1)))</f>
        <v>1</v>
      </c>
      <c r="X118" s="0" t="n">
        <v>1</v>
      </c>
      <c r="Y118" s="0" t="n">
        <v>4</v>
      </c>
      <c r="Z118" s="0" t="s">
        <v>1460</v>
      </c>
      <c r="AA118" s="0" t="n">
        <v>0</v>
      </c>
      <c r="AB118" s="0" t="s">
        <v>348</v>
      </c>
      <c r="AC118" s="0" t="s">
        <v>216</v>
      </c>
      <c r="AD118" s="0" t="s">
        <v>216</v>
      </c>
      <c r="AE118" s="0" t="n">
        <v>0</v>
      </c>
      <c r="AF118" s="0" t="s">
        <v>1461</v>
      </c>
      <c r="AG118" s="0" t="n">
        <v>0</v>
      </c>
      <c r="AH118" s="0" t="s">
        <v>1462</v>
      </c>
      <c r="AI118" s="0" t="s">
        <v>868</v>
      </c>
      <c r="AJ118" s="0" t="s">
        <v>211</v>
      </c>
      <c r="AL118" s="0" t="s">
        <v>1463</v>
      </c>
      <c r="AM118" s="0" t="n">
        <v>0</v>
      </c>
      <c r="AN118" s="0" t="s">
        <v>1462</v>
      </c>
      <c r="AO118" s="0" t="s">
        <v>868</v>
      </c>
      <c r="AP118" s="0" t="s">
        <v>211</v>
      </c>
      <c r="AR118" s="0" t="s">
        <v>1464</v>
      </c>
      <c r="AS118" s="0" t="n">
        <v>1</v>
      </c>
      <c r="AT118" s="0" t="s">
        <v>1462</v>
      </c>
      <c r="AU118" s="0" t="s">
        <v>868</v>
      </c>
      <c r="AV118" s="0" t="s">
        <v>211</v>
      </c>
      <c r="AX118" s="0" t="s">
        <v>213</v>
      </c>
      <c r="AY118" s="0" t="n">
        <v>1</v>
      </c>
      <c r="AZ118" s="0" t="s">
        <v>1462</v>
      </c>
      <c r="BA118" s="0" t="s">
        <v>868</v>
      </c>
      <c r="BB118" s="0" t="s">
        <v>211</v>
      </c>
      <c r="BP118" s="0" t="n">
        <v>0</v>
      </c>
      <c r="BQ118" s="0" t="n">
        <v>0</v>
      </c>
      <c r="BR118" s="0" t="n">
        <v>3</v>
      </c>
      <c r="BS118" s="0" t="s">
        <v>499</v>
      </c>
      <c r="BT118" s="0" t="s">
        <v>500</v>
      </c>
      <c r="BU118" s="0" t="s">
        <v>501</v>
      </c>
      <c r="BV118" s="123"/>
      <c r="BW118" s="123"/>
      <c r="BX118" s="123"/>
      <c r="BY118" s="123"/>
      <c r="BZ118" s="0" t="n">
        <v>0</v>
      </c>
      <c r="CA118" s="0" t="s">
        <v>348</v>
      </c>
      <c r="CD118" s="0" t="s">
        <v>1465</v>
      </c>
      <c r="CE118" s="0" t="n">
        <v>0</v>
      </c>
      <c r="CF118" s="0" t="s">
        <v>1466</v>
      </c>
      <c r="CG118" s="0" t="s">
        <v>218</v>
      </c>
      <c r="CI118" s="1" t="n">
        <v>40392</v>
      </c>
      <c r="CJ118" s="1" t="n">
        <v>40574</v>
      </c>
      <c r="CK118" s="124" t="n">
        <v>0.75</v>
      </c>
      <c r="CL118" s="0" t="s">
        <v>1464</v>
      </c>
      <c r="CM118" s="0" t="n">
        <f aca="false">IF(OR(CI118="",CJ118=""),"",DAYS360(CI118,CJ118)/360)</f>
        <v>0.497222222222222</v>
      </c>
      <c r="CN118" s="0" t="n">
        <f aca="false">IF(OR(CI118="",CJ118=""),"",DAYS360(CI118,CJ118)/30)</f>
        <v>5.96666666666667</v>
      </c>
      <c r="CO118" s="0" t="n">
        <f aca="false">IF(OR(CI118="",CJ118=""),"",DAYS360(CI118,CJ118)/7)</f>
        <v>25.5714285714286</v>
      </c>
      <c r="CP118" s="0" t="n">
        <f aca="false">IF(OR(CI118="",CJ118=""),"",DAYS360(CI118,CJ118))</f>
        <v>179</v>
      </c>
      <c r="CQ118" s="0" t="s">
        <v>240</v>
      </c>
      <c r="CR118" s="0" t="n">
        <v>1</v>
      </c>
      <c r="CT118" s="0" t="n">
        <v>245.34</v>
      </c>
      <c r="CU118" s="0" t="n">
        <v>0</v>
      </c>
      <c r="CV118" s="0" t="n">
        <f aca="false">IF(OR(CT118="",CT118="NO ESPECIFICA",CT118="NO MENCIONA"),"",IF(CU118=0,CT118,IF(CU118=1,CT118/30,IF(CU118=2,CT118/15,IF(CU118=3,CT118/7,"")))))</f>
        <v>245.34</v>
      </c>
      <c r="CW118" s="125" t="n">
        <v>256.38</v>
      </c>
      <c r="CX118" s="0" t="n">
        <v>0</v>
      </c>
      <c r="CY118" s="0" t="n">
        <f aca="false">IF(CW118="","",IF(CX118=0,CW118,IF(CX118=1,CW118/30,IF(CX118=2,CW118/15,IF(CX118=3,CW118/7,CW118)))))</f>
        <v>256.38</v>
      </c>
      <c r="CZ118" s="0" t="n">
        <f aca="false">IF(DI118&gt;0,DI118,IF(CY118&gt;0,CY118,IF(CV118&gt;0,CV118,"")))</f>
        <v>256.38</v>
      </c>
      <c r="DA118" s="0" t="n">
        <f aca="false">IF(DM118=1,CZ118/8,IF(OR(DM118=2,DM118=4),CZ118/7,IF(DM118=3,CZ118/7.5,"")))</f>
        <v>32.0475</v>
      </c>
      <c r="DB118" s="0" t="s">
        <v>303</v>
      </c>
      <c r="DC118" s="0" t="s">
        <v>301</v>
      </c>
      <c r="DD118" s="0" t="s">
        <v>216</v>
      </c>
      <c r="DE118" s="0" t="s">
        <v>216</v>
      </c>
      <c r="DF118" s="0" t="s">
        <v>216</v>
      </c>
      <c r="DG118" s="0" t="s">
        <v>216</v>
      </c>
      <c r="DH118" s="0" t="n">
        <v>0</v>
      </c>
      <c r="DI118" s="126" t="n">
        <v>256.38</v>
      </c>
      <c r="DK118" s="0" t="n">
        <v>1</v>
      </c>
      <c r="DM118" s="0" t="n">
        <v>1</v>
      </c>
      <c r="DN118" s="0" t="n">
        <v>45</v>
      </c>
      <c r="DO118" s="0" t="n">
        <v>3</v>
      </c>
      <c r="DP118" s="0" t="n">
        <v>0</v>
      </c>
      <c r="DQ118" s="0" t="n">
        <v>1</v>
      </c>
      <c r="DR118" s="0"/>
      <c r="DS118" s="0" t="n">
        <v>1</v>
      </c>
      <c r="DU118" s="0" t="n">
        <v>1</v>
      </c>
      <c r="DW118" s="1" t="n">
        <v>40392</v>
      </c>
      <c r="DX118" s="1" t="n">
        <v>40574</v>
      </c>
      <c r="DZ118" s="0"/>
      <c r="EA118" s="0" t="n">
        <v>1</v>
      </c>
      <c r="EC118" s="1" t="n">
        <v>40392</v>
      </c>
      <c r="ED118" s="1" t="n">
        <v>40574</v>
      </c>
      <c r="EF118" s="0"/>
      <c r="EG118" s="0" t="n">
        <v>0</v>
      </c>
      <c r="EI118" s="0" t="str">
        <f aca="false">IF(AND(DM118=1,DN118&lt;=48),"",IF(AND(DM118=2,DN118&lt;=42),"",IF(AND(DM118=3,DN118&lt;=45),"",EH118)))</f>
        <v/>
      </c>
      <c r="EJ118" s="0" t="str">
        <f aca="false">IF(EI118="","",IF(EI118&lt;9,EI118,9))</f>
        <v/>
      </c>
      <c r="EK118" s="0" t="str">
        <f aca="false">IF(EI118="","",IF(EI118&gt;9,EI118-EJ118,0))</f>
        <v/>
      </c>
      <c r="EL118" s="0" t="str">
        <f aca="false">IF(EI118="","",EJ118*DA118*2+EK118*DA118*3)</f>
        <v/>
      </c>
      <c r="EP118" s="0" t="n">
        <v>0</v>
      </c>
      <c r="EQ118" s="0"/>
      <c r="ER118" s="0" t="n">
        <v>0</v>
      </c>
      <c r="ET118" s="0" t="n">
        <v>0</v>
      </c>
      <c r="EV118" s="0" t="n">
        <v>0</v>
      </c>
      <c r="EX118" s="0" t="n">
        <v>0</v>
      </c>
      <c r="EY118" s="0" t="n">
        <v>0</v>
      </c>
      <c r="EZ118" s="0"/>
      <c r="FA118" s="0"/>
      <c r="FB118" s="0" t="n">
        <v>0</v>
      </c>
      <c r="FF118" s="120" t="n">
        <f aca="false">(CJ118-CI118+1)/365</f>
        <v>0.501369863013699</v>
      </c>
      <c r="FG118" s="0" t="str">
        <f aca="false">CONCATENATE(F118,"/",G118)</f>
        <v>598/2011</v>
      </c>
      <c r="FH118" s="0" t="n">
        <v>0</v>
      </c>
      <c r="FI118" s="0" t="n">
        <v>0</v>
      </c>
    </row>
    <row r="119" customFormat="false" ht="15" hidden="false" customHeight="false" outlineLevel="0" collapsed="false">
      <c r="A119" s="5" t="str">
        <f aca="false">E119&amp;G119&amp;F119</f>
        <v>72011601</v>
      </c>
      <c r="B119" s="0" t="s">
        <v>203</v>
      </c>
      <c r="C119" s="1" t="n">
        <v>42410</v>
      </c>
      <c r="E119" s="0" t="n">
        <v>7</v>
      </c>
      <c r="F119" s="0" t="n">
        <v>601</v>
      </c>
      <c r="G119" s="0" t="n">
        <v>2011</v>
      </c>
      <c r="H119" s="0" t="str">
        <f aca="false">"J"&amp;E119&amp;"\"&amp;F119&amp;"\"&amp;G119&amp;"\"&amp;W119</f>
        <v>J7\601\2011\1</v>
      </c>
      <c r="I119" s="0"/>
      <c r="J119" s="1" t="n">
        <v>40633</v>
      </c>
      <c r="K119" s="0" t="n">
        <v>0</v>
      </c>
      <c r="M119" s="1" t="n">
        <v>40633</v>
      </c>
      <c r="N119" s="1" t="n">
        <v>40732</v>
      </c>
      <c r="O119" s="1"/>
      <c r="P119" s="1"/>
      <c r="Q119" s="1"/>
      <c r="T119" s="121"/>
      <c r="U119" s="121"/>
      <c r="V119" s="122" t="n">
        <f aca="false">IF(AND(E119&gt;0,F119&gt;0,G119&gt;0),COUNTIFS($E:$E,E119,$F:$F,F119,$G:$G,G119),"")</f>
        <v>1</v>
      </c>
      <c r="W119" s="122" t="n">
        <f aca="false">IF(V119="","",IF(V119=1,1,IF(AND(E118=E119,F118=F119,G118=G119),W118+1,1)))</f>
        <v>1</v>
      </c>
      <c r="X119" s="0" t="n">
        <v>1</v>
      </c>
      <c r="Y119" s="0" t="n">
        <v>2</v>
      </c>
      <c r="Z119" s="0" t="s">
        <v>1467</v>
      </c>
      <c r="AA119" s="0" t="n">
        <v>0</v>
      </c>
      <c r="AB119" s="0" t="s">
        <v>1468</v>
      </c>
      <c r="AC119" s="0" t="s">
        <v>274</v>
      </c>
      <c r="AD119" s="0" t="s">
        <v>221</v>
      </c>
      <c r="AE119" s="0" t="n">
        <v>0</v>
      </c>
      <c r="AF119" s="0" t="s">
        <v>1469</v>
      </c>
      <c r="AG119" s="0" t="n">
        <v>1</v>
      </c>
      <c r="AH119" s="0" t="s">
        <v>1470</v>
      </c>
      <c r="AI119" s="0" t="s">
        <v>1353</v>
      </c>
      <c r="AJ119" s="0" t="s">
        <v>248</v>
      </c>
      <c r="AL119" s="0" t="s">
        <v>213</v>
      </c>
      <c r="AM119" s="0" t="n">
        <v>1</v>
      </c>
      <c r="AN119" s="0" t="s">
        <v>1470</v>
      </c>
      <c r="AO119" s="0" t="s">
        <v>1353</v>
      </c>
      <c r="AP119" s="0" t="s">
        <v>248</v>
      </c>
      <c r="BP119" s="0" t="n">
        <v>0</v>
      </c>
      <c r="BQ119" s="0" t="n">
        <v>0</v>
      </c>
      <c r="BR119" s="0" t="n">
        <v>1</v>
      </c>
      <c r="BS119" s="0" t="s">
        <v>1471</v>
      </c>
      <c r="BT119" s="0" t="s">
        <v>1472</v>
      </c>
      <c r="BU119" s="0" t="s">
        <v>1473</v>
      </c>
      <c r="BV119" s="123"/>
      <c r="BW119" s="123"/>
      <c r="BX119" s="123"/>
      <c r="BY119" s="123"/>
      <c r="BZ119" s="0" t="n">
        <v>0</v>
      </c>
      <c r="CA119" s="0" t="s">
        <v>216</v>
      </c>
      <c r="CD119" s="0" t="s">
        <v>357</v>
      </c>
      <c r="CE119" s="0" t="n">
        <v>0</v>
      </c>
      <c r="CF119" s="0" t="s">
        <v>849</v>
      </c>
      <c r="CG119" s="0" t="s">
        <v>218</v>
      </c>
      <c r="CI119" s="1" t="n">
        <v>39844</v>
      </c>
      <c r="CJ119" s="1" t="n">
        <v>40616</v>
      </c>
      <c r="CK119" s="124" t="n">
        <v>0.416666666666667</v>
      </c>
      <c r="CL119" s="0" t="s">
        <v>1469</v>
      </c>
      <c r="CM119" s="0" t="n">
        <f aca="false">IF(OR(CI119="",CJ119=""),"",DAYS360(CI119,CJ119)/360)</f>
        <v>2.12222222222222</v>
      </c>
      <c r="CN119" s="0" t="n">
        <f aca="false">IF(OR(CI119="",CJ119=""),"",DAYS360(CI119,CJ119)/30)</f>
        <v>25.4666666666667</v>
      </c>
      <c r="CO119" s="0" t="n">
        <f aca="false">IF(OR(CI119="",CJ119=""),"",DAYS360(CI119,CJ119)/7)</f>
        <v>109.142857142857</v>
      </c>
      <c r="CP119" s="0" t="n">
        <f aca="false">IF(OR(CI119="",CJ119=""),"",DAYS360(CI119,CJ119))</f>
        <v>764</v>
      </c>
      <c r="CQ119" s="0" t="s">
        <v>240</v>
      </c>
      <c r="CR119" s="0" t="n">
        <v>1</v>
      </c>
      <c r="CT119" s="0" t="s">
        <v>221</v>
      </c>
      <c r="CU119" s="0" t="s">
        <v>221</v>
      </c>
      <c r="CV119" s="0" t="str">
        <f aca="false">IF(OR(CT119="",CT119="NO ESPECIFICA",CT119="NO MENCIONA"),"",IF(CU119=0,CT119,IF(CU119=1,CT119/30,IF(CU119=2,CT119/15,IF(CU119=3,CT119/7,"")))))</f>
        <v/>
      </c>
      <c r="CW119" s="125" t="n">
        <v>333.33</v>
      </c>
      <c r="CX119" s="0" t="n">
        <v>0</v>
      </c>
      <c r="CY119" s="0" t="n">
        <f aca="false">IF(CW119="","",IF(CX119=0,CW119,IF(CX119=1,CW119/30,IF(CX119=2,CW119/15,IF(CX119=3,CW119/7,CW119)))))</f>
        <v>333.33</v>
      </c>
      <c r="CZ119" s="0" t="n">
        <f aca="false">IF(DI119&gt;0,DI119,IF(CY119&gt;0,CY119,IF(CV119&gt;0,CV119,"")))</f>
        <v>333.33</v>
      </c>
      <c r="DA119" s="0" t="n">
        <f aca="false">IF(DM119=1,CZ119/8,IF(OR(DM119=2,DM119=4),CZ119/7,IF(DM119=3,CZ119/7.5,"")))</f>
        <v>41.66625</v>
      </c>
      <c r="DB119" s="0" t="s">
        <v>216</v>
      </c>
      <c r="DC119" s="0" t="s">
        <v>216</v>
      </c>
      <c r="DD119" s="0" t="s">
        <v>216</v>
      </c>
      <c r="DE119" s="0" t="s">
        <v>216</v>
      </c>
      <c r="DF119" s="0" t="s">
        <v>216</v>
      </c>
      <c r="DG119" s="0" t="s">
        <v>216</v>
      </c>
      <c r="DH119" s="0" t="n">
        <v>0</v>
      </c>
      <c r="DI119" s="126" t="n">
        <v>333.33</v>
      </c>
      <c r="DK119" s="0" t="n">
        <v>1</v>
      </c>
      <c r="DM119" s="0" t="n">
        <v>1</v>
      </c>
      <c r="DN119" s="0" t="n">
        <v>30</v>
      </c>
      <c r="DO119" s="0" t="n">
        <v>3</v>
      </c>
      <c r="DP119" s="0" t="n">
        <v>0</v>
      </c>
      <c r="DQ119" s="0" t="n">
        <v>1</v>
      </c>
      <c r="DR119" s="0"/>
      <c r="DS119" s="0" t="n">
        <v>1</v>
      </c>
      <c r="DU119" s="0" t="n">
        <v>1</v>
      </c>
      <c r="DW119" s="1" t="n">
        <v>39844</v>
      </c>
      <c r="DX119" s="1" t="n">
        <v>40616</v>
      </c>
      <c r="DZ119" s="0"/>
      <c r="EA119" s="0" t="n">
        <v>1</v>
      </c>
      <c r="EC119" s="1" t="n">
        <v>39844</v>
      </c>
      <c r="ED119" s="1" t="n">
        <v>40616</v>
      </c>
      <c r="EF119" s="0"/>
      <c r="EG119" s="0" t="n">
        <v>0</v>
      </c>
      <c r="EI119" s="0" t="str">
        <f aca="false">IF(AND(DM119=1,DN119&lt;=48),"",IF(AND(DM119=2,DN119&lt;=42),"",IF(AND(DM119=3,DN119&lt;=45),"",EH119)))</f>
        <v/>
      </c>
      <c r="EJ119" s="0" t="str">
        <f aca="false">IF(EI119="","",IF(EI119&lt;9,EI119,9))</f>
        <v/>
      </c>
      <c r="EK119" s="0" t="str">
        <f aca="false">IF(EI119="","",IF(EI119&gt;9,EI119-EJ119,0))</f>
        <v/>
      </c>
      <c r="EL119" s="0" t="str">
        <f aca="false">IF(EI119="","",EJ119*DA119*2+EK119*DA119*3)</f>
        <v/>
      </c>
      <c r="EP119" s="0" t="n">
        <v>1</v>
      </c>
      <c r="EQ119" s="0"/>
      <c r="ER119" s="0" t="n">
        <v>0</v>
      </c>
      <c r="ET119" s="0" t="n">
        <v>0</v>
      </c>
      <c r="EV119" s="0" t="n">
        <v>0</v>
      </c>
      <c r="EX119" s="0" t="n">
        <v>0</v>
      </c>
      <c r="EY119" s="0" t="n">
        <v>0</v>
      </c>
      <c r="EZ119" s="0"/>
      <c r="FA119" s="4" t="n">
        <v>60000</v>
      </c>
      <c r="FB119" s="0" t="n">
        <v>1</v>
      </c>
      <c r="FF119" s="120" t="n">
        <f aca="false">(CJ119-CI119+1)/365</f>
        <v>2.11780821917808</v>
      </c>
      <c r="FG119" s="0" t="str">
        <f aca="false">CONCATENATE(F119,"/",G119)</f>
        <v>601/2011</v>
      </c>
      <c r="FH119" s="0" t="n">
        <v>0</v>
      </c>
      <c r="FI119" s="0" t="n">
        <v>0</v>
      </c>
    </row>
    <row r="120" customFormat="false" ht="15" hidden="false" customHeight="false" outlineLevel="0" collapsed="false">
      <c r="A120" s="5" t="str">
        <f aca="false">E120&amp;G120&amp;F120</f>
        <v>72011609</v>
      </c>
      <c r="B120" s="0" t="s">
        <v>203</v>
      </c>
      <c r="C120" s="1" t="n">
        <v>42410</v>
      </c>
      <c r="E120" s="0" t="n">
        <v>7</v>
      </c>
      <c r="F120" s="0" t="n">
        <v>609</v>
      </c>
      <c r="G120" s="0" t="n">
        <v>2011</v>
      </c>
      <c r="H120" s="0" t="str">
        <f aca="false">"J"&amp;E120&amp;"\"&amp;F120&amp;"\"&amp;G120&amp;"\"&amp;W120</f>
        <v>J7\609\2011\1</v>
      </c>
      <c r="I120" s="0"/>
      <c r="J120" s="1" t="n">
        <v>40633</v>
      </c>
      <c r="K120" s="0" t="n">
        <v>0</v>
      </c>
      <c r="M120" s="1"/>
      <c r="N120" s="1"/>
      <c r="O120" s="1"/>
      <c r="P120" s="1"/>
      <c r="Q120" s="1"/>
      <c r="T120" s="121"/>
      <c r="U120" s="121"/>
      <c r="V120" s="122" t="n">
        <f aca="false">IF(AND(E120&gt;0,F120&gt;0,G120&gt;0),COUNTIFS($E:$E,E120,$F:$F,F120,$G:$G,G120),"")</f>
        <v>1</v>
      </c>
      <c r="W120" s="122" t="n">
        <f aca="false">IF(V120="","",IF(V120=1,1,IF(AND(E119=E120,F119=F120,G119=G120),W119+1,1)))</f>
        <v>1</v>
      </c>
      <c r="X120" s="0" t="n">
        <v>1</v>
      </c>
      <c r="Y120" s="0" t="n">
        <v>5</v>
      </c>
      <c r="Z120" s="0" t="s">
        <v>1474</v>
      </c>
      <c r="AA120" s="0" t="n">
        <v>0</v>
      </c>
      <c r="AB120" s="0" t="s">
        <v>1475</v>
      </c>
      <c r="AC120" s="0" t="s">
        <v>1476</v>
      </c>
      <c r="AD120" s="0" t="s">
        <v>519</v>
      </c>
      <c r="AE120" s="0" t="n">
        <v>0</v>
      </c>
      <c r="AF120" s="0" t="s">
        <v>1477</v>
      </c>
      <c r="AG120" s="0" t="n">
        <v>0</v>
      </c>
      <c r="AH120" s="0" t="s">
        <v>1478</v>
      </c>
      <c r="AI120" s="0" t="s">
        <v>1479</v>
      </c>
      <c r="AJ120" s="0" t="s">
        <v>248</v>
      </c>
      <c r="AL120" s="0" t="s">
        <v>1480</v>
      </c>
      <c r="AM120" s="0" t="n">
        <v>0</v>
      </c>
      <c r="AN120" s="0" t="s">
        <v>1478</v>
      </c>
      <c r="AO120" s="0" t="s">
        <v>1479</v>
      </c>
      <c r="AP120" s="0" t="s">
        <v>248</v>
      </c>
      <c r="AR120" s="0" t="s">
        <v>1481</v>
      </c>
      <c r="AS120" s="0" t="n">
        <v>0</v>
      </c>
      <c r="AT120" s="0" t="s">
        <v>1478</v>
      </c>
      <c r="AU120" s="0" t="s">
        <v>1479</v>
      </c>
      <c r="AV120" s="0" t="s">
        <v>248</v>
      </c>
      <c r="AX120" s="0" t="s">
        <v>1482</v>
      </c>
      <c r="AY120" s="0" t="n">
        <v>1</v>
      </c>
      <c r="AZ120" s="0" t="s">
        <v>1478</v>
      </c>
      <c r="BA120" s="0" t="s">
        <v>1479</v>
      </c>
      <c r="BB120" s="0" t="s">
        <v>248</v>
      </c>
      <c r="BD120" s="0" t="s">
        <v>213</v>
      </c>
      <c r="BE120" s="0" t="n">
        <v>1</v>
      </c>
      <c r="BF120" s="0" t="s">
        <v>1478</v>
      </c>
      <c r="BG120" s="0" t="s">
        <v>1479</v>
      </c>
      <c r="BH120" s="0" t="s">
        <v>248</v>
      </c>
      <c r="BP120" s="0" t="n">
        <v>0</v>
      </c>
      <c r="BQ120" s="0" t="n">
        <v>0</v>
      </c>
      <c r="BR120" s="0" t="n">
        <v>1</v>
      </c>
      <c r="BS120" s="0" t="s">
        <v>1483</v>
      </c>
      <c r="BT120" s="0" t="s">
        <v>1484</v>
      </c>
      <c r="BU120" s="0" t="s">
        <v>1485</v>
      </c>
      <c r="BV120" s="123"/>
      <c r="BW120" s="123"/>
      <c r="BX120" s="123"/>
      <c r="BY120" s="123"/>
      <c r="BZ120" s="0" t="n">
        <v>0</v>
      </c>
      <c r="CA120" s="0" t="s">
        <v>216</v>
      </c>
      <c r="CD120" s="0" t="s">
        <v>216</v>
      </c>
      <c r="CE120" s="0" t="n">
        <v>0</v>
      </c>
      <c r="CF120" s="0" t="s">
        <v>1486</v>
      </c>
      <c r="CG120" s="0" t="s">
        <v>218</v>
      </c>
      <c r="CI120" s="1" t="n">
        <v>39492</v>
      </c>
      <c r="CJ120" s="1" t="n">
        <v>40574</v>
      </c>
      <c r="CK120" s="124" t="n">
        <v>0.583333333333333</v>
      </c>
      <c r="CL120" s="0" t="s">
        <v>1482</v>
      </c>
      <c r="CM120" s="0" t="n">
        <f aca="false">IF(OR(CI120="",CJ120=""),"",DAYS360(CI120,CJ120)/360)</f>
        <v>2.96388888888889</v>
      </c>
      <c r="CN120" s="0" t="n">
        <f aca="false">IF(OR(CI120="",CJ120=""),"",DAYS360(CI120,CJ120)/30)</f>
        <v>35.5666666666667</v>
      </c>
      <c r="CO120" s="0" t="n">
        <f aca="false">IF(OR(CI120="",CJ120=""),"",DAYS360(CI120,CJ120)/7)</f>
        <v>152.428571428571</v>
      </c>
      <c r="CP120" s="0" t="n">
        <f aca="false">IF(OR(CI120="",CJ120=""),"",DAYS360(CI120,CJ120))</f>
        <v>1067</v>
      </c>
      <c r="CQ120" s="0" t="s">
        <v>220</v>
      </c>
      <c r="CR120" s="0" t="n">
        <v>1</v>
      </c>
      <c r="CT120" s="0" t="s">
        <v>216</v>
      </c>
      <c r="CU120" s="0" t="s">
        <v>216</v>
      </c>
      <c r="CV120" s="0" t="str">
        <f aca="false">IF(OR(CT120="",CT120="NO ESPECIFICA",CT120="NO MENCIONA"),"",IF(CU120=0,CT120,IF(CU120=1,CT120/30,IF(CU120=2,CT120/15,IF(CU120=3,CT120/7,"")))))</f>
        <v/>
      </c>
      <c r="CW120" s="125" t="n">
        <v>15000</v>
      </c>
      <c r="CX120" s="0" t="n">
        <v>1</v>
      </c>
      <c r="CY120" s="0" t="n">
        <f aca="false">IF(CW120="","",IF(CX120=0,CW120,IF(CX120=1,CW120/30,IF(CX120=2,CW120/15,IF(CX120=3,CW120/7,CW120)))))</f>
        <v>500</v>
      </c>
      <c r="CZ120" s="0" t="n">
        <f aca="false">IF(DI120&gt;0,DI120,IF(CY120&gt;0,CY120,IF(CV120&gt;0,CV120,"")))</f>
        <v>500</v>
      </c>
      <c r="DA120" s="0" t="n">
        <f aca="false">IF(DM120=1,CZ120/8,IF(OR(DM120=2,DM120=4),CZ120/7,IF(DM120=3,CZ120/7.5,"")))</f>
        <v>62.5</v>
      </c>
      <c r="DB120" s="0" t="s">
        <v>216</v>
      </c>
      <c r="DC120" s="0" t="s">
        <v>216</v>
      </c>
      <c r="DD120" s="0" t="s">
        <v>216</v>
      </c>
      <c r="DE120" s="0" t="s">
        <v>216</v>
      </c>
      <c r="DF120" s="0" t="s">
        <v>216</v>
      </c>
      <c r="DG120" s="0" t="s">
        <v>216</v>
      </c>
      <c r="DH120" s="0" t="n">
        <v>0</v>
      </c>
      <c r="DI120" s="126" t="n">
        <v>500</v>
      </c>
      <c r="DK120" s="0" t="n">
        <v>0</v>
      </c>
      <c r="DM120" s="0" t="n">
        <v>1</v>
      </c>
      <c r="DN120" s="0" t="n">
        <v>77</v>
      </c>
      <c r="DO120" s="0" t="n">
        <v>3</v>
      </c>
      <c r="DP120" s="0" t="n">
        <v>1</v>
      </c>
      <c r="DQ120" s="0" t="n">
        <v>1</v>
      </c>
      <c r="DR120" s="0"/>
      <c r="DS120" s="0" t="n">
        <v>1</v>
      </c>
      <c r="DU120" s="0" t="n">
        <v>1</v>
      </c>
      <c r="DW120" s="1" t="n">
        <v>39492</v>
      </c>
      <c r="DX120" s="1" t="n">
        <v>40574</v>
      </c>
      <c r="DZ120" s="0"/>
      <c r="EA120" s="0" t="n">
        <v>1</v>
      </c>
      <c r="EC120" s="1" t="n">
        <v>40179</v>
      </c>
      <c r="ED120" s="1" t="n">
        <v>40574</v>
      </c>
      <c r="EF120" s="0"/>
      <c r="EG120" s="0" t="n">
        <v>1</v>
      </c>
      <c r="EH120" s="0" t="s">
        <v>221</v>
      </c>
      <c r="EI120" s="0" t="str">
        <f aca="false">IF(AND(DM120=1,DN120&lt;=48),"",IF(AND(DM120=2,DN120&lt;=42),"",IF(AND(DM120=3,DN120&lt;=45),"",EH120)))</f>
        <v>NO ESPECIFICA</v>
      </c>
      <c r="EJ120" s="0" t="n">
        <f aca="false">IF(EI120="","",IF(EI120&lt;9,EI120,9))</f>
        <v>9</v>
      </c>
      <c r="EK120" s="0" t="e">
        <f aca="false">IF(EI120="","",IF(EI120&gt;9,EI120-EJ120,0))</f>
        <v>#VALUE!</v>
      </c>
      <c r="EL120" s="0" t="e">
        <f aca="false">IF(EI120="","",EJ120*DA120*2+EK120*DA120*3)</f>
        <v>#VALUE!</v>
      </c>
      <c r="EP120" s="0" t="n">
        <v>0</v>
      </c>
      <c r="EQ120" s="0"/>
      <c r="ER120" s="0" t="n">
        <v>0</v>
      </c>
      <c r="ET120" s="0" t="n">
        <v>0</v>
      </c>
      <c r="EV120" s="0" t="n">
        <v>0</v>
      </c>
      <c r="EX120" s="0" t="n">
        <v>0</v>
      </c>
      <c r="EY120" s="0" t="n">
        <v>1</v>
      </c>
      <c r="EZ120" s="0"/>
      <c r="FA120" s="4" t="n">
        <v>9900</v>
      </c>
      <c r="FB120" s="0" t="n">
        <v>0</v>
      </c>
      <c r="FF120" s="120" t="n">
        <f aca="false">(CJ120-CI120+1)/365</f>
        <v>2.96712328767123</v>
      </c>
      <c r="FG120" s="0" t="str">
        <f aca="false">CONCATENATE(F120,"/",G120)</f>
        <v>609/2011</v>
      </c>
      <c r="FH120" s="0" t="n">
        <v>0</v>
      </c>
      <c r="FI120" s="0" t="n">
        <v>0</v>
      </c>
    </row>
    <row r="121" customFormat="false" ht="15" hidden="false" customHeight="false" outlineLevel="0" collapsed="false">
      <c r="A121" s="5" t="str">
        <f aca="false">E121&amp;G121&amp;F121</f>
        <v>72011610</v>
      </c>
      <c r="B121" s="0" t="s">
        <v>203</v>
      </c>
      <c r="C121" s="1" t="n">
        <v>42410</v>
      </c>
      <c r="E121" s="0" t="n">
        <v>7</v>
      </c>
      <c r="F121" s="0" t="n">
        <v>610</v>
      </c>
      <c r="G121" s="0" t="n">
        <v>2011</v>
      </c>
      <c r="H121" s="0" t="str">
        <f aca="false">"J"&amp;E121&amp;"\"&amp;F121&amp;"\"&amp;G121&amp;"\"&amp;W121</f>
        <v>J7\610\2011\1</v>
      </c>
      <c r="I121" s="0"/>
      <c r="J121" s="1" t="n">
        <v>40634</v>
      </c>
      <c r="K121" s="0" t="n">
        <v>0</v>
      </c>
      <c r="M121" s="1"/>
      <c r="N121" s="1"/>
      <c r="O121" s="1"/>
      <c r="P121" s="1"/>
      <c r="Q121" s="1"/>
      <c r="T121" s="121"/>
      <c r="U121" s="121"/>
      <c r="V121" s="122" t="n">
        <f aca="false">IF(AND(E121&gt;0,F121&gt;0,G121&gt;0),COUNTIFS($E:$E,E121,$F:$F,F121,$G:$G,G121),"")</f>
        <v>1</v>
      </c>
      <c r="W121" s="122" t="n">
        <f aca="false">IF(V121="","",IF(V121=1,1,IF(AND(E120=E121,F120=F121,G120=G121),W120+1,1)))</f>
        <v>1</v>
      </c>
      <c r="X121" s="0" t="n">
        <v>1</v>
      </c>
      <c r="Y121" s="0" t="n">
        <v>2</v>
      </c>
      <c r="Z121" s="0" t="s">
        <v>1487</v>
      </c>
      <c r="AA121" s="0" t="n">
        <v>0</v>
      </c>
      <c r="AB121" s="0" t="s">
        <v>1488</v>
      </c>
      <c r="AC121" s="0" t="s">
        <v>251</v>
      </c>
      <c r="AD121" s="0" t="s">
        <v>229</v>
      </c>
      <c r="AE121" s="0" t="n">
        <v>0</v>
      </c>
      <c r="AF121" s="0" t="s">
        <v>1489</v>
      </c>
      <c r="AG121" s="0" t="n">
        <v>0</v>
      </c>
      <c r="AH121" s="0" t="s">
        <v>1490</v>
      </c>
      <c r="AI121" s="0" t="s">
        <v>789</v>
      </c>
      <c r="AJ121" s="0" t="s">
        <v>229</v>
      </c>
      <c r="AL121" s="0" t="s">
        <v>213</v>
      </c>
      <c r="AM121" s="0" t="n">
        <v>1</v>
      </c>
      <c r="AN121" s="0" t="s">
        <v>1490</v>
      </c>
      <c r="AO121" s="0" t="s">
        <v>789</v>
      </c>
      <c r="AP121" s="0" t="s">
        <v>229</v>
      </c>
      <c r="BP121" s="0" t="n">
        <v>0</v>
      </c>
      <c r="BQ121" s="0" t="n">
        <v>0</v>
      </c>
      <c r="BR121" s="0" t="n">
        <v>1</v>
      </c>
      <c r="BS121" s="0" t="s">
        <v>1491</v>
      </c>
      <c r="BT121" s="0" t="s">
        <v>216</v>
      </c>
      <c r="BU121" s="0" t="s">
        <v>216</v>
      </c>
      <c r="BV121" s="123"/>
      <c r="BW121" s="123"/>
      <c r="BX121" s="123"/>
      <c r="BY121" s="123"/>
      <c r="BZ121" s="0" t="n">
        <v>0</v>
      </c>
      <c r="CA121" s="0" t="s">
        <v>216</v>
      </c>
      <c r="CD121" s="0" t="s">
        <v>296</v>
      </c>
      <c r="CE121" s="0" t="n">
        <v>0</v>
      </c>
      <c r="CF121" s="0" t="s">
        <v>1492</v>
      </c>
      <c r="CG121" s="0" t="s">
        <v>218</v>
      </c>
      <c r="CI121" s="1" t="n">
        <v>39980</v>
      </c>
      <c r="CJ121" s="1" t="s">
        <v>216</v>
      </c>
      <c r="CK121" s="124" t="s">
        <v>216</v>
      </c>
      <c r="CL121" s="0" t="s">
        <v>216</v>
      </c>
      <c r="CM121" s="0" t="e">
        <f aca="false">IF(OR(CI121="",CJ121=""),"",DAYS360(CI121,CJ121)/360)</f>
        <v>#VALUE!</v>
      </c>
      <c r="CN121" s="0" t="e">
        <f aca="false">IF(OR(CI121="",CJ121=""),"",DAYS360(CI121,CJ121)/30)</f>
        <v>#VALUE!</v>
      </c>
      <c r="CO121" s="0" t="e">
        <f aca="false">IF(OR(CI121="",CJ121=""),"",DAYS360(CI121,CJ121)/7)</f>
        <v>#VALUE!</v>
      </c>
      <c r="CP121" s="0" t="e">
        <f aca="false">IF(OR(CI121="",CJ121=""),"",DAYS360(CI121,CJ121))</f>
        <v>#VALUE!</v>
      </c>
      <c r="CQ121" s="0" t="s">
        <v>1493</v>
      </c>
      <c r="CR121" s="0" t="n">
        <v>5</v>
      </c>
      <c r="CS121" s="0" t="s">
        <v>1494</v>
      </c>
      <c r="CT121" s="0" t="s">
        <v>221</v>
      </c>
      <c r="CU121" s="0" t="s">
        <v>221</v>
      </c>
      <c r="CV121" s="0" t="str">
        <f aca="false">IF(OR(CT121="",CT121="NO ESPECIFICA",CT121="NO MENCIONA"),"",IF(CU121=0,CT121,IF(CU121=1,CT121/30,IF(CU121=2,CT121/15,IF(CU121=3,CT121/7,"")))))</f>
        <v/>
      </c>
      <c r="CW121" s="125" t="n">
        <v>800</v>
      </c>
      <c r="CX121" s="0" t="n">
        <v>0</v>
      </c>
      <c r="CY121" s="0" t="n">
        <f aca="false">IF(CW121="","",IF(CX121=0,CW121,IF(CX121=1,CW121/30,IF(CX121=2,CW121/15,IF(CX121=3,CW121/7,CW121)))))</f>
        <v>800</v>
      </c>
      <c r="CZ121" s="0" t="n">
        <f aca="false">IF(DI121&gt;0,DI121,IF(CY121&gt;0,CY121,IF(CV121&gt;0,CV121,"")))</f>
        <v>800</v>
      </c>
      <c r="DA121" s="0" t="n">
        <f aca="false">IF(DM121=1,CZ121/8,IF(OR(DM121=2,DM121=4),CZ121/7,IF(DM121=3,CZ121/7.5,"")))</f>
        <v>100</v>
      </c>
      <c r="DB121" s="0" t="s">
        <v>216</v>
      </c>
      <c r="DC121" s="0" t="s">
        <v>216</v>
      </c>
      <c r="DD121" s="0" t="s">
        <v>216</v>
      </c>
      <c r="DE121" s="0" t="s">
        <v>216</v>
      </c>
      <c r="DF121" s="0" t="s">
        <v>216</v>
      </c>
      <c r="DG121" s="0" t="s">
        <v>216</v>
      </c>
      <c r="DH121" s="0" t="n">
        <v>0</v>
      </c>
      <c r="DI121" s="126" t="n">
        <v>800</v>
      </c>
      <c r="DK121" s="0" t="n">
        <v>0</v>
      </c>
      <c r="DM121" s="0" t="n">
        <v>1</v>
      </c>
      <c r="DN121" s="0" t="n">
        <v>40</v>
      </c>
      <c r="DO121" s="0" t="n">
        <v>3</v>
      </c>
      <c r="DP121" s="0" t="n">
        <v>0</v>
      </c>
      <c r="DQ121" s="0" t="n">
        <v>0</v>
      </c>
      <c r="DR121" s="0"/>
      <c r="DS121" s="0" t="n">
        <v>0</v>
      </c>
      <c r="DU121" s="0" t="n">
        <v>0</v>
      </c>
      <c r="DW121" s="1" t="s">
        <v>221</v>
      </c>
      <c r="DX121" s="1" t="s">
        <v>221</v>
      </c>
      <c r="DY121" s="0" t="s">
        <v>221</v>
      </c>
      <c r="DZ121" s="0" t="s">
        <v>221</v>
      </c>
      <c r="EA121" s="0" t="n">
        <v>1</v>
      </c>
      <c r="EC121" s="1" t="s">
        <v>221</v>
      </c>
      <c r="ED121" s="1" t="s">
        <v>221</v>
      </c>
      <c r="EE121" s="0" t="s">
        <v>221</v>
      </c>
      <c r="EF121" s="0" t="s">
        <v>221</v>
      </c>
      <c r="EG121" s="0" t="n">
        <v>0</v>
      </c>
      <c r="EI121" s="0" t="str">
        <f aca="false">IF(AND(DM121=1,DN121&lt;=48),"",IF(AND(DM121=2,DN121&lt;=42),"",IF(AND(DM121=3,DN121&lt;=45),"",EH121)))</f>
        <v/>
      </c>
      <c r="EJ121" s="0" t="str">
        <f aca="false">IF(EI121="","",IF(EI121&lt;9,EI121,9))</f>
        <v/>
      </c>
      <c r="EK121" s="0" t="str">
        <f aca="false">IF(EI121="","",IF(EI121&gt;9,EI121-EJ121,0))</f>
        <v/>
      </c>
      <c r="EL121" s="0" t="str">
        <f aca="false">IF(EI121="","",EJ121*DA121*2+EK121*DA121*3)</f>
        <v/>
      </c>
      <c r="EP121" s="0" t="n">
        <v>0</v>
      </c>
      <c r="EQ121" s="0"/>
      <c r="ER121" s="0" t="n">
        <v>0</v>
      </c>
      <c r="ET121" s="0" t="n">
        <v>0</v>
      </c>
      <c r="EV121" s="0" t="n">
        <v>0</v>
      </c>
      <c r="EX121" s="0" t="n">
        <v>0</v>
      </c>
      <c r="EY121" s="0" t="n">
        <v>0</v>
      </c>
      <c r="EZ121" s="0"/>
      <c r="FA121" s="4" t="s">
        <v>221</v>
      </c>
      <c r="FB121" s="0" t="n">
        <v>0</v>
      </c>
      <c r="FF121" s="120" t="e">
        <f aca="false">(CJ121-CI121+1)/365</f>
        <v>#VALUE!</v>
      </c>
      <c r="FG121" s="0" t="str">
        <f aca="false">CONCATENATE(F121,"/",G121)</f>
        <v>610/2011</v>
      </c>
      <c r="FH121" s="0" t="n">
        <v>0</v>
      </c>
      <c r="FI121" s="0" t="n">
        <v>0</v>
      </c>
    </row>
    <row r="122" customFormat="false" ht="15" hidden="false" customHeight="false" outlineLevel="0" collapsed="false">
      <c r="A122" s="5" t="str">
        <f aca="false">E122&amp;G122&amp;F122</f>
        <v>72011611</v>
      </c>
      <c r="B122" s="0" t="s">
        <v>203</v>
      </c>
      <c r="C122" s="1" t="n">
        <v>42410</v>
      </c>
      <c r="E122" s="0" t="n">
        <v>7</v>
      </c>
      <c r="F122" s="0" t="n">
        <v>611</v>
      </c>
      <c r="G122" s="0" t="n">
        <v>2011</v>
      </c>
      <c r="H122" s="0" t="str">
        <f aca="false">"J"&amp;E122&amp;"\"&amp;F122&amp;"\"&amp;G122&amp;"\"&amp;W122</f>
        <v>J7\611\2011\1</v>
      </c>
      <c r="I122" s="0"/>
      <c r="J122" s="1" t="n">
        <v>40634</v>
      </c>
      <c r="K122" s="0" t="n">
        <v>0</v>
      </c>
      <c r="M122" s="1"/>
      <c r="N122" s="1"/>
      <c r="O122" s="1"/>
      <c r="P122" s="1"/>
      <c r="Q122" s="1"/>
      <c r="T122" s="121"/>
      <c r="U122" s="121"/>
      <c r="V122" s="122" t="n">
        <f aca="false">IF(AND(E122&gt;0,F122&gt;0,G122&gt;0),COUNTIFS($E:$E,E122,$F:$F,F122,$G:$G,G122),"")</f>
        <v>1</v>
      </c>
      <c r="W122" s="122" t="n">
        <f aca="false">IF(V122="","",IF(V122=1,1,IF(AND(E121=E122,F121=F122,G121=G122),W121+1,1)))</f>
        <v>1</v>
      </c>
      <c r="X122" s="0" t="n">
        <v>1</v>
      </c>
      <c r="Y122" s="0" t="n">
        <v>7</v>
      </c>
      <c r="Z122" s="0" t="s">
        <v>1495</v>
      </c>
      <c r="AA122" s="0" t="n">
        <v>0</v>
      </c>
      <c r="AB122" s="0" t="s">
        <v>1496</v>
      </c>
      <c r="AC122" s="0" t="s">
        <v>1497</v>
      </c>
      <c r="AD122" s="0" t="s">
        <v>229</v>
      </c>
      <c r="AE122" s="0" t="n">
        <v>0</v>
      </c>
      <c r="AF122" s="0" t="s">
        <v>1498</v>
      </c>
      <c r="AG122" s="0" t="n">
        <v>0</v>
      </c>
      <c r="AH122" s="0" t="s">
        <v>1499</v>
      </c>
      <c r="AI122" s="0" t="s">
        <v>1500</v>
      </c>
      <c r="AJ122" s="0" t="s">
        <v>519</v>
      </c>
      <c r="AL122" s="0" t="s">
        <v>1501</v>
      </c>
      <c r="AM122" s="0" t="n">
        <v>1</v>
      </c>
      <c r="AN122" s="0" t="s">
        <v>1499</v>
      </c>
      <c r="AO122" s="0" t="s">
        <v>1500</v>
      </c>
      <c r="AP122" s="0" t="s">
        <v>519</v>
      </c>
      <c r="AR122" s="0" t="s">
        <v>1502</v>
      </c>
      <c r="AS122" s="0" t="n">
        <v>1</v>
      </c>
      <c r="AT122" s="0" t="s">
        <v>1499</v>
      </c>
      <c r="AU122" s="0" t="s">
        <v>1500</v>
      </c>
      <c r="AV122" s="0" t="s">
        <v>519</v>
      </c>
      <c r="AX122" s="0" t="s">
        <v>1503</v>
      </c>
      <c r="AY122" s="0" t="n">
        <v>1</v>
      </c>
      <c r="AZ122" s="0" t="s">
        <v>1499</v>
      </c>
      <c r="BA122" s="0" t="s">
        <v>1500</v>
      </c>
      <c r="BB122" s="0" t="s">
        <v>519</v>
      </c>
      <c r="BD122" s="0" t="s">
        <v>1504</v>
      </c>
      <c r="BE122" s="0" t="n">
        <v>1</v>
      </c>
      <c r="BF122" s="0" t="s">
        <v>1499</v>
      </c>
      <c r="BG122" s="0" t="s">
        <v>1500</v>
      </c>
      <c r="BH122" s="0" t="s">
        <v>519</v>
      </c>
      <c r="BJ122" s="0" t="s">
        <v>213</v>
      </c>
      <c r="BK122" s="0" t="n">
        <v>1</v>
      </c>
      <c r="BL122" s="0" t="s">
        <v>1499</v>
      </c>
      <c r="BM122" s="0" t="s">
        <v>1500</v>
      </c>
      <c r="BN122" s="0" t="s">
        <v>519</v>
      </c>
      <c r="BP122" s="0" t="n">
        <v>0</v>
      </c>
      <c r="BQ122" s="0" t="n">
        <v>0</v>
      </c>
      <c r="BR122" s="0" t="n">
        <v>1</v>
      </c>
      <c r="BS122" s="0" t="s">
        <v>1505</v>
      </c>
      <c r="BT122" s="0" t="s">
        <v>1506</v>
      </c>
      <c r="BU122" s="0" t="s">
        <v>1507</v>
      </c>
      <c r="BV122" s="123"/>
      <c r="BW122" s="123"/>
      <c r="BX122" s="123"/>
      <c r="BY122" s="123"/>
      <c r="BZ122" s="0" t="n">
        <v>0</v>
      </c>
      <c r="CA122" s="0" t="s">
        <v>216</v>
      </c>
      <c r="CD122" s="0" t="s">
        <v>502</v>
      </c>
      <c r="CE122" s="0" t="n">
        <v>0</v>
      </c>
      <c r="CF122" s="0" t="s">
        <v>1508</v>
      </c>
      <c r="CG122" s="0" t="s">
        <v>218</v>
      </c>
      <c r="CI122" s="1" t="n">
        <v>39948</v>
      </c>
      <c r="CJ122" s="1" t="n">
        <v>40560</v>
      </c>
      <c r="CK122" s="124" t="n">
        <v>0.458333333333333</v>
      </c>
      <c r="CL122" s="0" t="s">
        <v>1501</v>
      </c>
      <c r="CM122" s="0" t="n">
        <f aca="false">IF(OR(CI122="",CJ122=""),"",DAYS360(CI122,CJ122)/360)</f>
        <v>1.67222222222222</v>
      </c>
      <c r="CN122" s="0" t="n">
        <f aca="false">IF(OR(CI122="",CJ122=""),"",DAYS360(CI122,CJ122)/30)</f>
        <v>20.0666666666667</v>
      </c>
      <c r="CO122" s="0" t="n">
        <f aca="false">IF(OR(CI122="",CJ122=""),"",DAYS360(CI122,CJ122)/7)</f>
        <v>86</v>
      </c>
      <c r="CP122" s="0" t="n">
        <f aca="false">IF(OR(CI122="",CJ122=""),"",DAYS360(CI122,CJ122))</f>
        <v>602</v>
      </c>
      <c r="CQ122" s="0" t="s">
        <v>220</v>
      </c>
      <c r="CR122" s="0" t="n">
        <v>1</v>
      </c>
      <c r="CT122" s="0" t="n">
        <v>2400</v>
      </c>
      <c r="CU122" s="0" t="n">
        <v>1</v>
      </c>
      <c r="CV122" s="0" t="n">
        <f aca="false">IF(OR(CT122="",CT122="NO ESPECIFICA",CT122="NO MENCIONA"),"",IF(CU122=0,CT122,IF(CU122=1,CT122/30,IF(CU122=2,CT122/15,IF(CU122=3,CT122/7,"")))))</f>
        <v>80</v>
      </c>
      <c r="CW122" s="125" t="s">
        <v>216</v>
      </c>
      <c r="CX122" s="0" t="s">
        <v>216</v>
      </c>
      <c r="CY122" s="0" t="str">
        <f aca="false">IF(CW122="","",IF(CX122=0,CW122,IF(CX122=1,CW122/30,IF(CX122=2,CW122/15,IF(CX122=3,CW122/7,CW122)))))</f>
        <v>NO MENCIONA</v>
      </c>
      <c r="CZ122" s="0" t="n">
        <f aca="false">IF(DI122&gt;0,DI122,IF(CY122&gt;0,CY122,IF(CV122&gt;0,CV122,"")))</f>
        <v>80</v>
      </c>
      <c r="DA122" s="0" t="n">
        <f aca="false">IF(DM122=1,CZ122/8,IF(OR(DM122=2,DM122=4),CZ122/7,IF(DM122=3,CZ122/7.5,"")))</f>
        <v>10</v>
      </c>
      <c r="DB122" s="0" t="s">
        <v>216</v>
      </c>
      <c r="DC122" s="0" t="s">
        <v>216</v>
      </c>
      <c r="DD122" s="0" t="s">
        <v>216</v>
      </c>
      <c r="DE122" s="0" t="s">
        <v>216</v>
      </c>
      <c r="DF122" s="0" t="s">
        <v>216</v>
      </c>
      <c r="DG122" s="0" t="s">
        <v>216</v>
      </c>
      <c r="DH122" s="0" t="n">
        <v>0</v>
      </c>
      <c r="DI122" s="126" t="n">
        <v>80</v>
      </c>
      <c r="DK122" s="0" t="n">
        <v>1</v>
      </c>
      <c r="DM122" s="0" t="n">
        <v>1</v>
      </c>
      <c r="DN122" s="0" t="n">
        <v>48</v>
      </c>
      <c r="DO122" s="0" t="n">
        <v>3</v>
      </c>
      <c r="DP122" s="0" t="n">
        <v>1</v>
      </c>
      <c r="DQ122" s="0" t="n">
        <v>1</v>
      </c>
      <c r="DR122" s="0" t="n">
        <v>7200</v>
      </c>
      <c r="DS122" s="0" t="n">
        <v>1</v>
      </c>
      <c r="DU122" s="0" t="n">
        <v>1</v>
      </c>
      <c r="DW122" s="1" t="n">
        <v>39948</v>
      </c>
      <c r="DX122" s="1" t="n">
        <v>40560</v>
      </c>
      <c r="DZ122" s="0"/>
      <c r="EA122" s="0" t="n">
        <v>1</v>
      </c>
      <c r="EC122" s="1" t="n">
        <v>39948</v>
      </c>
      <c r="ED122" s="1" t="n">
        <v>40560</v>
      </c>
      <c r="EF122" s="0"/>
      <c r="EG122" s="0" t="n">
        <v>1</v>
      </c>
      <c r="EH122" s="0" t="n">
        <v>12</v>
      </c>
      <c r="EI122" s="0" t="str">
        <f aca="false">IF(AND(DM122=1,DN122&lt;=48),"",IF(AND(DM122=2,DN122&lt;=42),"",IF(AND(DM122=3,DN122&lt;=45),"",EH122)))</f>
        <v/>
      </c>
      <c r="EJ122" s="0" t="str">
        <f aca="false">IF(EI122="","",IF(EI122&lt;9,EI122,9))</f>
        <v/>
      </c>
      <c r="EK122" s="0" t="str">
        <f aca="false">IF(EI122="","",IF(EI122&gt;9,EI122-EJ122,0))</f>
        <v/>
      </c>
      <c r="EL122" s="0" t="str">
        <f aca="false">IF(EI122="","",EJ122*DA122*2+EK122*DA122*3)</f>
        <v/>
      </c>
      <c r="EP122" s="0" t="n">
        <v>1</v>
      </c>
      <c r="EQ122" s="0"/>
      <c r="ER122" s="0" t="n">
        <v>0</v>
      </c>
      <c r="ET122" s="0" t="n">
        <v>1</v>
      </c>
      <c r="EV122" s="0" t="n">
        <v>1</v>
      </c>
      <c r="EX122" s="0" t="n">
        <v>0</v>
      </c>
      <c r="EY122" s="0" t="n">
        <v>1</v>
      </c>
      <c r="EZ122" s="0"/>
      <c r="FA122" s="0"/>
      <c r="FB122" s="0" t="n">
        <v>0</v>
      </c>
      <c r="FF122" s="120" t="n">
        <f aca="false">(CJ122-CI122+1)/365</f>
        <v>1.67945205479452</v>
      </c>
      <c r="FG122" s="0" t="str">
        <f aca="false">CONCATENATE(F122,"/",G122)</f>
        <v>611/2011</v>
      </c>
      <c r="FH122" s="0" t="n">
        <v>0</v>
      </c>
      <c r="FI122" s="0" t="n">
        <v>0</v>
      </c>
    </row>
    <row r="123" customFormat="false" ht="15" hidden="false" customHeight="false" outlineLevel="0" collapsed="false">
      <c r="A123" s="5" t="str">
        <f aca="false">E123&amp;G123&amp;F123</f>
        <v>72011616</v>
      </c>
      <c r="B123" s="0" t="s">
        <v>203</v>
      </c>
      <c r="C123" s="1" t="n">
        <v>42410</v>
      </c>
      <c r="E123" s="0" t="n">
        <v>7</v>
      </c>
      <c r="F123" s="0" t="n">
        <v>616</v>
      </c>
      <c r="G123" s="0" t="n">
        <v>2011</v>
      </c>
      <c r="H123" s="0" t="str">
        <f aca="false">"J"&amp;E123&amp;"\"&amp;F123&amp;"\"&amp;G123&amp;"\"&amp;W123</f>
        <v>J7\616\2011\1</v>
      </c>
      <c r="I123" s="0"/>
      <c r="J123" s="1" t="n">
        <v>40634</v>
      </c>
      <c r="K123" s="0" t="n">
        <v>0</v>
      </c>
      <c r="M123" s="1" t="n">
        <v>40634</v>
      </c>
      <c r="N123" s="1" t="n">
        <v>40736</v>
      </c>
      <c r="O123" s="1"/>
      <c r="P123" s="1"/>
      <c r="Q123" s="1"/>
      <c r="T123" s="121"/>
      <c r="U123" s="121"/>
      <c r="V123" s="122" t="n">
        <f aca="false">IF(AND(E123&gt;0,F123&gt;0,G123&gt;0),COUNTIFS($E:$E,E123,$F:$F,F123,$G:$G,G123),"")</f>
        <v>1</v>
      </c>
      <c r="W123" s="122" t="n">
        <f aca="false">IF(V123="","",IF(V123=1,1,IF(AND(E122=E123,F122=F123,G122=G123),W122+1,1)))</f>
        <v>1</v>
      </c>
      <c r="X123" s="0" t="n">
        <v>1</v>
      </c>
      <c r="Y123" s="0" t="n">
        <v>3</v>
      </c>
      <c r="Z123" s="0" t="s">
        <v>1509</v>
      </c>
      <c r="AA123" s="0" t="n">
        <v>0</v>
      </c>
      <c r="AB123" s="0" t="s">
        <v>1510</v>
      </c>
      <c r="AC123" s="0" t="s">
        <v>318</v>
      </c>
      <c r="AD123" s="0" t="s">
        <v>229</v>
      </c>
      <c r="AE123" s="0" t="n">
        <v>0</v>
      </c>
      <c r="AF123" s="0" t="s">
        <v>1511</v>
      </c>
      <c r="AG123" s="0" t="n">
        <v>0</v>
      </c>
      <c r="AH123" s="0" t="s">
        <v>1512</v>
      </c>
      <c r="AI123" s="0" t="s">
        <v>1513</v>
      </c>
      <c r="AJ123" s="0" t="s">
        <v>207</v>
      </c>
      <c r="AL123" s="0" t="s">
        <v>1514</v>
      </c>
      <c r="AM123" s="0" t="n">
        <v>1</v>
      </c>
      <c r="AN123" s="0" t="s">
        <v>1512</v>
      </c>
      <c r="AO123" s="0" t="s">
        <v>1513</v>
      </c>
      <c r="AP123" s="0" t="s">
        <v>207</v>
      </c>
      <c r="AR123" s="0" t="s">
        <v>213</v>
      </c>
      <c r="AS123" s="0" t="n">
        <v>1</v>
      </c>
      <c r="AT123" s="0" t="s">
        <v>1512</v>
      </c>
      <c r="AU123" s="0" t="s">
        <v>1513</v>
      </c>
      <c r="AV123" s="0" t="s">
        <v>207</v>
      </c>
      <c r="BP123" s="0" t="n">
        <v>0</v>
      </c>
      <c r="BQ123" s="0" t="n">
        <v>0</v>
      </c>
      <c r="BR123" s="0" t="n">
        <v>1</v>
      </c>
      <c r="BS123" s="0" t="s">
        <v>1515</v>
      </c>
      <c r="BT123" s="0" t="s">
        <v>1516</v>
      </c>
      <c r="BU123" s="0" t="s">
        <v>1517</v>
      </c>
      <c r="BV123" s="123"/>
      <c r="BW123" s="123"/>
      <c r="BX123" s="123"/>
      <c r="BY123" s="123"/>
      <c r="BZ123" s="0" t="n">
        <v>0</v>
      </c>
      <c r="CA123" s="0" t="s">
        <v>216</v>
      </c>
      <c r="CD123" s="0" t="s">
        <v>296</v>
      </c>
      <c r="CE123" s="0" t="n">
        <v>0</v>
      </c>
      <c r="CF123" s="0" t="s">
        <v>1518</v>
      </c>
      <c r="CG123" s="0" t="s">
        <v>218</v>
      </c>
      <c r="CI123" s="1" t="n">
        <v>38791</v>
      </c>
      <c r="CJ123" s="1" t="n">
        <v>40590</v>
      </c>
      <c r="CK123" s="124" t="n">
        <v>0.333333333333333</v>
      </c>
      <c r="CL123" s="0" t="s">
        <v>1519</v>
      </c>
      <c r="CM123" s="0" t="n">
        <f aca="false">IF(OR(CI123="",CJ123=""),"",DAYS360(CI123,CJ123)/360)</f>
        <v>4.91944444444444</v>
      </c>
      <c r="CN123" s="0" t="n">
        <f aca="false">IF(OR(CI123="",CJ123=""),"",DAYS360(CI123,CJ123)/30)</f>
        <v>59.0333333333333</v>
      </c>
      <c r="CO123" s="0" t="n">
        <f aca="false">IF(OR(CI123="",CJ123=""),"",DAYS360(CI123,CJ123)/7)</f>
        <v>253</v>
      </c>
      <c r="CP123" s="0" t="n">
        <f aca="false">IF(OR(CI123="",CJ123=""),"",DAYS360(CI123,CJ123))</f>
        <v>1771</v>
      </c>
      <c r="CQ123" s="0" t="s">
        <v>220</v>
      </c>
      <c r="CR123" s="0" t="n">
        <v>1</v>
      </c>
      <c r="CT123" s="0" t="n">
        <v>20000</v>
      </c>
      <c r="CU123" s="0" t="n">
        <v>2</v>
      </c>
      <c r="CV123" s="0" t="n">
        <f aca="false">IF(OR(CT123="",CT123="NO ESPECIFICA",CT123="NO MENCIONA"),"",IF(CU123=0,CT123,IF(CU123=1,CT123/30,IF(CU123=2,CT123/15,IF(CU123=3,CT123/7,"")))))</f>
        <v>1333.33333333333</v>
      </c>
      <c r="CW123" s="125" t="n">
        <v>1612.19</v>
      </c>
      <c r="CX123" s="0" t="n">
        <v>0</v>
      </c>
      <c r="CY123" s="0" t="n">
        <f aca="false">IF(CW123="","",IF(CX123=0,CW123,IF(CX123=1,CW123/30,IF(CX123=2,CW123/15,IF(CX123=3,CW123/7,CW123)))))</f>
        <v>1612.19</v>
      </c>
      <c r="CZ123" s="0" t="n">
        <f aca="false">IF(DI123&gt;0,DI123,IF(CY123&gt;0,CY123,IF(CV123&gt;0,CV123,"")))</f>
        <v>1612.19</v>
      </c>
      <c r="DA123" s="0" t="n">
        <f aca="false">IF(DM123=1,CZ123/8,IF(OR(DM123=2,DM123=4),CZ123/7,IF(DM123=3,CZ123/7.5,"")))</f>
        <v>201.52375</v>
      </c>
      <c r="DB123" s="0" t="s">
        <v>1520</v>
      </c>
      <c r="DC123" s="0" t="s">
        <v>299</v>
      </c>
      <c r="DD123" s="0" t="s">
        <v>1073</v>
      </c>
      <c r="DE123" s="0" t="s">
        <v>301</v>
      </c>
      <c r="DF123" s="0" t="s">
        <v>303</v>
      </c>
      <c r="DG123" s="0" t="s">
        <v>216</v>
      </c>
      <c r="DH123" s="0" t="n">
        <v>0</v>
      </c>
      <c r="DI123" s="126" t="n">
        <v>1612.19</v>
      </c>
      <c r="DK123" s="0" t="n">
        <v>0</v>
      </c>
      <c r="DM123" s="0" t="n">
        <v>1</v>
      </c>
      <c r="DN123" s="0" t="n">
        <v>66</v>
      </c>
      <c r="DO123" s="0" t="n">
        <v>3</v>
      </c>
      <c r="DP123" s="0" t="n">
        <v>1</v>
      </c>
      <c r="DQ123" s="0" t="n">
        <v>1</v>
      </c>
      <c r="DR123" s="0"/>
      <c r="DS123" s="0" t="n">
        <v>1</v>
      </c>
      <c r="DU123" s="0" t="n">
        <v>1</v>
      </c>
      <c r="DW123" s="1" t="n">
        <v>38791</v>
      </c>
      <c r="DX123" s="1" t="n">
        <v>40590</v>
      </c>
      <c r="DZ123" s="0"/>
      <c r="EA123" s="0" t="n">
        <v>1</v>
      </c>
      <c r="EC123" s="1" t="n">
        <v>38791</v>
      </c>
      <c r="ED123" s="1" t="n">
        <v>40590</v>
      </c>
      <c r="EF123" s="0"/>
      <c r="EG123" s="0" t="n">
        <v>1</v>
      </c>
      <c r="EH123" s="0" t="n">
        <v>12</v>
      </c>
      <c r="EI123" s="0" t="n">
        <f aca="false">IF(AND(DM123=1,DN123&lt;=48),"",IF(AND(DM123=2,DN123&lt;=42),"",IF(AND(DM123=3,DN123&lt;=45),"",EH123)))</f>
        <v>12</v>
      </c>
      <c r="EJ123" s="0" t="n">
        <f aca="false">IF(EI123="","",IF(EI123&lt;9,EI123,9))</f>
        <v>9</v>
      </c>
      <c r="EK123" s="0" t="n">
        <f aca="false">IF(EI123="","",IF(EI123&gt;9,EI123-EJ123,0))</f>
        <v>3</v>
      </c>
      <c r="EL123" s="0" t="n">
        <f aca="false">IF(EI123="","",EJ123*DA123*2+EK123*DA123*3)</f>
        <v>5441.14125</v>
      </c>
      <c r="EP123" s="0" t="n">
        <v>0</v>
      </c>
      <c r="EQ123" s="0"/>
      <c r="ER123" s="0" t="n">
        <v>0</v>
      </c>
      <c r="ET123" s="0" t="n">
        <v>0</v>
      </c>
      <c r="EV123" s="0" t="n">
        <v>1</v>
      </c>
      <c r="EX123" s="0" t="n">
        <v>0</v>
      </c>
      <c r="EY123" s="0" t="n">
        <v>0</v>
      </c>
      <c r="EZ123" s="0"/>
      <c r="FA123" s="4" t="n">
        <v>74160.74</v>
      </c>
      <c r="FB123" s="0" t="n">
        <v>1</v>
      </c>
      <c r="FF123" s="120" t="n">
        <f aca="false">(CJ123-CI123+1)/365</f>
        <v>4.93150684931507</v>
      </c>
      <c r="FG123" s="0" t="str">
        <f aca="false">CONCATENATE(F123,"/",G123)</f>
        <v>616/2011</v>
      </c>
      <c r="FH123" s="0" t="n">
        <v>0</v>
      </c>
      <c r="FI123" s="0" t="n">
        <v>0</v>
      </c>
    </row>
    <row r="124" customFormat="false" ht="15" hidden="false" customHeight="false" outlineLevel="0" collapsed="false">
      <c r="A124" s="5" t="str">
        <f aca="false">E124&amp;G124&amp;F124</f>
        <v>72011618</v>
      </c>
      <c r="B124" s="0" t="s">
        <v>203</v>
      </c>
      <c r="C124" s="1" t="n">
        <v>42410</v>
      </c>
      <c r="E124" s="0" t="n">
        <v>7</v>
      </c>
      <c r="F124" s="0" t="n">
        <v>618</v>
      </c>
      <c r="G124" s="0" t="n">
        <v>2011</v>
      </c>
      <c r="H124" s="0" t="str">
        <f aca="false">"J"&amp;E124&amp;"\"&amp;F124&amp;"\"&amp;G124&amp;"\"&amp;W124</f>
        <v>J7\618\2011\1</v>
      </c>
      <c r="I124" s="0"/>
      <c r="J124" s="1" t="n">
        <v>40637</v>
      </c>
      <c r="K124" s="0" t="n">
        <v>0</v>
      </c>
      <c r="M124" s="1"/>
      <c r="N124" s="1"/>
      <c r="O124" s="1"/>
      <c r="P124" s="1"/>
      <c r="Q124" s="1"/>
      <c r="T124" s="121"/>
      <c r="U124" s="121"/>
      <c r="V124" s="122" t="n">
        <f aca="false">IF(AND(E124&gt;0,F124&gt;0,G124&gt;0),COUNTIFS($E:$E,E124,$F:$F,F124,$G:$G,G124),"")</f>
        <v>1</v>
      </c>
      <c r="W124" s="122" t="n">
        <f aca="false">IF(V124="","",IF(V124=1,1,IF(AND(E123=E124,F123=F124,G123=G124),W123+1,1)))</f>
        <v>1</v>
      </c>
      <c r="X124" s="0" t="n">
        <v>1</v>
      </c>
      <c r="Y124" s="0" t="n">
        <v>5</v>
      </c>
      <c r="Z124" s="0" t="s">
        <v>1521</v>
      </c>
      <c r="AA124" s="0" t="n">
        <v>0</v>
      </c>
      <c r="AB124" s="0" t="s">
        <v>1522</v>
      </c>
      <c r="AC124" s="0" t="s">
        <v>274</v>
      </c>
      <c r="AD124" s="0" t="s">
        <v>229</v>
      </c>
      <c r="AE124" s="0" t="n">
        <v>0</v>
      </c>
      <c r="AF124" s="0" t="s">
        <v>888</v>
      </c>
      <c r="AG124" s="0" t="n">
        <v>0</v>
      </c>
      <c r="AH124" s="0" t="s">
        <v>1523</v>
      </c>
      <c r="AI124" s="0" t="s">
        <v>1524</v>
      </c>
      <c r="AJ124" s="0" t="s">
        <v>1525</v>
      </c>
      <c r="AL124" s="0" t="s">
        <v>755</v>
      </c>
      <c r="AM124" s="0" t="n">
        <v>0</v>
      </c>
      <c r="AN124" s="0" t="s">
        <v>1526</v>
      </c>
      <c r="AO124" s="0" t="s">
        <v>1353</v>
      </c>
      <c r="AP124" s="0" t="s">
        <v>248</v>
      </c>
      <c r="AR124" s="0" t="s">
        <v>1527</v>
      </c>
      <c r="AS124" s="0" t="n">
        <v>0</v>
      </c>
      <c r="AT124" s="0" t="s">
        <v>1528</v>
      </c>
      <c r="AU124" s="0" t="s">
        <v>1529</v>
      </c>
      <c r="AV124" s="0" t="s">
        <v>207</v>
      </c>
      <c r="AX124" s="0" t="s">
        <v>1530</v>
      </c>
      <c r="AY124" s="0" t="n">
        <v>1</v>
      </c>
      <c r="AZ124" s="0" t="s">
        <v>1531</v>
      </c>
      <c r="BA124" s="0" t="s">
        <v>1532</v>
      </c>
      <c r="BB124" s="0" t="s">
        <v>322</v>
      </c>
      <c r="BD124" s="0" t="s">
        <v>1533</v>
      </c>
      <c r="BE124" s="0" t="n">
        <v>1</v>
      </c>
      <c r="BF124" s="0" t="s">
        <v>1531</v>
      </c>
      <c r="BG124" s="0" t="s">
        <v>1532</v>
      </c>
      <c r="BH124" s="0" t="s">
        <v>322</v>
      </c>
      <c r="BP124" s="0" t="n">
        <v>0</v>
      </c>
      <c r="BQ124" s="0" t="n">
        <v>0</v>
      </c>
      <c r="BR124" s="0" t="n">
        <v>1</v>
      </c>
      <c r="BS124" s="0" t="s">
        <v>1534</v>
      </c>
      <c r="BT124" s="0" t="s">
        <v>1535</v>
      </c>
      <c r="BU124" s="0" t="s">
        <v>1536</v>
      </c>
      <c r="BV124" s="123"/>
      <c r="BW124" s="123"/>
      <c r="BX124" s="123"/>
      <c r="BY124" s="123"/>
      <c r="BZ124" s="0" t="n">
        <v>0</v>
      </c>
      <c r="CA124" s="0" t="s">
        <v>216</v>
      </c>
      <c r="CD124" s="0" t="s">
        <v>216</v>
      </c>
      <c r="CE124" s="0" t="n">
        <v>0</v>
      </c>
      <c r="CF124" s="0" t="s">
        <v>1537</v>
      </c>
      <c r="CG124" s="0" t="s">
        <v>218</v>
      </c>
      <c r="CI124" s="1" t="n">
        <v>38824</v>
      </c>
      <c r="CJ124" s="1" t="n">
        <v>40630</v>
      </c>
      <c r="CK124" s="124" t="n">
        <v>0.4375</v>
      </c>
      <c r="CL124" s="0" t="s">
        <v>1538</v>
      </c>
      <c r="CM124" s="0" t="n">
        <f aca="false">IF(OR(CI124="",CJ124=""),"",DAYS360(CI124,CJ124)/360)</f>
        <v>4.94722222222222</v>
      </c>
      <c r="CN124" s="0" t="n">
        <f aca="false">IF(OR(CI124="",CJ124=""),"",DAYS360(CI124,CJ124)/30)</f>
        <v>59.3666666666667</v>
      </c>
      <c r="CO124" s="0" t="n">
        <f aca="false">IF(OR(CI124="",CJ124=""),"",DAYS360(CI124,CJ124)/7)</f>
        <v>254.428571428571</v>
      </c>
      <c r="CP124" s="0" t="n">
        <f aca="false">IF(OR(CI124="",CJ124=""),"",DAYS360(CI124,CJ124))</f>
        <v>1781</v>
      </c>
      <c r="CQ124" s="0" t="s">
        <v>220</v>
      </c>
      <c r="CR124" s="0" t="n">
        <v>1</v>
      </c>
      <c r="CT124" s="0" t="n">
        <v>600</v>
      </c>
      <c r="CU124" s="0" t="n">
        <v>0</v>
      </c>
      <c r="CV124" s="0" t="n">
        <f aca="false">IF(OR(CT124="",CT124="NO ESPECIFICA",CT124="NO MENCIONA"),"",IF(CU124=0,CT124,IF(CU124=1,CT124/30,IF(CU124=2,CT124/15,IF(CU124=3,CT124/7,"")))))</f>
        <v>600</v>
      </c>
      <c r="CW124" s="125" t="n">
        <v>629.58</v>
      </c>
      <c r="CX124" s="0" t="n">
        <v>0</v>
      </c>
      <c r="CY124" s="0" t="n">
        <f aca="false">IF(CW124="","",IF(CX124=0,CW124,IF(CX124=1,CW124/30,IF(CX124=2,CW124/15,IF(CX124=3,CW124/7,CW124)))))</f>
        <v>629.58</v>
      </c>
      <c r="CZ124" s="0" t="n">
        <f aca="false">IF(DI124&gt;0,DI124,IF(CY124&gt;0,CY124,IF(CV124&gt;0,CV124,"")))</f>
        <v>629.58</v>
      </c>
      <c r="DA124" s="0" t="n">
        <f aca="false">IF(DM124=1,CZ124/8,IF(OR(DM124=2,DM124=4),CZ124/7,IF(DM124=3,CZ124/7.5,"")))</f>
        <v>78.6975</v>
      </c>
      <c r="DB124" s="0" t="s">
        <v>301</v>
      </c>
      <c r="DC124" s="0" t="s">
        <v>303</v>
      </c>
      <c r="DD124" s="0" t="s">
        <v>216</v>
      </c>
      <c r="DE124" s="0" t="s">
        <v>216</v>
      </c>
      <c r="DF124" s="0" t="s">
        <v>216</v>
      </c>
      <c r="DG124" s="0" t="s">
        <v>216</v>
      </c>
      <c r="DH124" s="0" t="n">
        <v>0</v>
      </c>
      <c r="DI124" s="126" t="n">
        <v>629.58</v>
      </c>
      <c r="DK124" s="0" t="n">
        <v>0</v>
      </c>
      <c r="DM124" s="0" t="n">
        <v>1</v>
      </c>
      <c r="DN124" s="0" t="n">
        <v>60</v>
      </c>
      <c r="DO124" s="0" t="n">
        <v>3</v>
      </c>
      <c r="DP124" s="0" t="n">
        <v>1</v>
      </c>
      <c r="DQ124" s="0" t="n">
        <v>1</v>
      </c>
      <c r="DR124" s="0"/>
      <c r="DS124" s="0" t="n">
        <v>1</v>
      </c>
      <c r="DU124" s="0" t="n">
        <v>1</v>
      </c>
      <c r="DW124" s="1" t="n">
        <v>40264</v>
      </c>
      <c r="DX124" s="1" t="n">
        <v>40629</v>
      </c>
      <c r="DZ124" s="0"/>
      <c r="EA124" s="0" t="n">
        <v>1</v>
      </c>
      <c r="EC124" s="1" t="n">
        <v>40264</v>
      </c>
      <c r="ED124" s="1" t="n">
        <v>40629</v>
      </c>
      <c r="EF124" s="0"/>
      <c r="EG124" s="0" t="n">
        <v>1</v>
      </c>
      <c r="EH124" s="0" t="n">
        <v>12</v>
      </c>
      <c r="EI124" s="0" t="n">
        <f aca="false">IF(AND(DM124=1,DN124&lt;=48),"",IF(AND(DM124=2,DN124&lt;=42),"",IF(AND(DM124=3,DN124&lt;=45),"",EH124)))</f>
        <v>12</v>
      </c>
      <c r="EJ124" s="0" t="n">
        <f aca="false">IF(EI124="","",IF(EI124&lt;9,EI124,9))</f>
        <v>9</v>
      </c>
      <c r="EK124" s="0" t="n">
        <f aca="false">IF(EI124="","",IF(EI124&gt;9,EI124-EJ124,0))</f>
        <v>3</v>
      </c>
      <c r="EL124" s="0" t="n">
        <f aca="false">IF(EI124="","",EJ124*DA124*2+EK124*DA124*3)</f>
        <v>2124.8325</v>
      </c>
      <c r="EP124" s="0" t="n">
        <v>0</v>
      </c>
      <c r="EQ124" s="0"/>
      <c r="ER124" s="0" t="n">
        <v>1</v>
      </c>
      <c r="ET124" s="0" t="n">
        <v>1</v>
      </c>
      <c r="EV124" s="0" t="n">
        <v>0</v>
      </c>
      <c r="EX124" s="0" t="n">
        <v>0</v>
      </c>
      <c r="EY124" s="0" t="n">
        <v>1</v>
      </c>
      <c r="EZ124" s="0"/>
      <c r="FA124" s="4" t="n">
        <v>18887.4</v>
      </c>
      <c r="FB124" s="0" t="n">
        <v>0</v>
      </c>
      <c r="FF124" s="120" t="n">
        <f aca="false">(CJ124-CI124+1)/365</f>
        <v>4.95068493150685</v>
      </c>
      <c r="FG124" s="0" t="str">
        <f aca="false">CONCATENATE(F124,"/",G124)</f>
        <v>618/2011</v>
      </c>
      <c r="FH124" s="0" t="n">
        <v>0</v>
      </c>
      <c r="FI124" s="0" t="n">
        <v>0</v>
      </c>
    </row>
    <row r="125" customFormat="false" ht="15" hidden="false" customHeight="false" outlineLevel="0" collapsed="false">
      <c r="A125" s="5" t="str">
        <f aca="false">E125&amp;G125&amp;F125</f>
        <v>72011621</v>
      </c>
      <c r="B125" s="0" t="s">
        <v>203</v>
      </c>
      <c r="C125" s="1" t="n">
        <v>42410</v>
      </c>
      <c r="E125" s="0" t="n">
        <v>7</v>
      </c>
      <c r="F125" s="0" t="n">
        <v>621</v>
      </c>
      <c r="G125" s="0" t="n">
        <v>2011</v>
      </c>
      <c r="H125" s="0" t="str">
        <f aca="false">"J"&amp;E125&amp;"\"&amp;F125&amp;"\"&amp;G125&amp;"\"&amp;W125</f>
        <v>J7\621\2011\1</v>
      </c>
      <c r="I125" s="0"/>
      <c r="J125" s="1" t="n">
        <v>40637</v>
      </c>
      <c r="K125" s="0" t="n">
        <v>0</v>
      </c>
      <c r="M125" s="1"/>
      <c r="N125" s="1"/>
      <c r="O125" s="1"/>
      <c r="P125" s="1"/>
      <c r="Q125" s="1"/>
      <c r="T125" s="121"/>
      <c r="U125" s="121"/>
      <c r="V125" s="122" t="n">
        <f aca="false">IF(AND(E125&gt;0,F125&gt;0,G125&gt;0),COUNTIFS($E:$E,E125,$F:$F,F125,$G:$G,G125),"")</f>
        <v>1</v>
      </c>
      <c r="W125" s="122" t="n">
        <f aca="false">IF(V125="","",IF(V125=1,1,IF(AND(E124=E125,F124=F125,G124=G125),W124+1,1)))</f>
        <v>1</v>
      </c>
      <c r="X125" s="0" t="n">
        <v>1</v>
      </c>
      <c r="Y125" s="0" t="n">
        <v>2</v>
      </c>
      <c r="Z125" s="0" t="s">
        <v>1539</v>
      </c>
      <c r="AA125" s="0" t="n">
        <v>0</v>
      </c>
      <c r="AB125" s="0" t="s">
        <v>348</v>
      </c>
      <c r="AC125" s="0" t="s">
        <v>216</v>
      </c>
      <c r="AD125" s="0" t="s">
        <v>216</v>
      </c>
      <c r="AE125" s="0" t="n">
        <v>0</v>
      </c>
      <c r="AF125" s="0" t="s">
        <v>1540</v>
      </c>
      <c r="AG125" s="0" t="n">
        <v>1</v>
      </c>
      <c r="AH125" s="0" t="s">
        <v>1541</v>
      </c>
      <c r="AI125" s="0" t="s">
        <v>1542</v>
      </c>
      <c r="AJ125" s="0" t="s">
        <v>590</v>
      </c>
      <c r="AL125" s="0" t="s">
        <v>213</v>
      </c>
      <c r="AM125" s="0" t="n">
        <v>1</v>
      </c>
      <c r="AN125" s="0" t="s">
        <v>1541</v>
      </c>
      <c r="AO125" s="0" t="s">
        <v>1542</v>
      </c>
      <c r="AP125" s="0" t="s">
        <v>590</v>
      </c>
      <c r="BP125" s="0" t="n">
        <v>0</v>
      </c>
      <c r="BQ125" s="0" t="n">
        <v>0</v>
      </c>
      <c r="BR125" s="0" t="n">
        <v>3</v>
      </c>
      <c r="BS125" s="0" t="s">
        <v>499</v>
      </c>
      <c r="BT125" s="0" t="s">
        <v>1331</v>
      </c>
      <c r="BU125" s="0" t="s">
        <v>1332</v>
      </c>
      <c r="BV125" s="123"/>
      <c r="BW125" s="123"/>
      <c r="BX125" s="123"/>
      <c r="BY125" s="123"/>
      <c r="BZ125" s="0" t="n">
        <v>0</v>
      </c>
      <c r="CA125" s="0" t="s">
        <v>348</v>
      </c>
      <c r="CD125" s="0" t="s">
        <v>502</v>
      </c>
      <c r="CE125" s="0" t="n">
        <v>1</v>
      </c>
      <c r="CF125" s="0" t="s">
        <v>503</v>
      </c>
      <c r="CG125" s="0" t="s">
        <v>218</v>
      </c>
      <c r="CI125" s="1" t="n">
        <v>38037</v>
      </c>
      <c r="CJ125" s="1" t="n">
        <v>40589</v>
      </c>
      <c r="CK125" s="124" t="n">
        <v>0.854166666666667</v>
      </c>
      <c r="CL125" s="0" t="s">
        <v>1540</v>
      </c>
      <c r="CM125" s="0" t="n">
        <f aca="false">IF(OR(CI125="",CJ125=""),"",DAYS360(CI125,CJ125)/360)</f>
        <v>6.98611111111111</v>
      </c>
      <c r="CN125" s="0" t="n">
        <f aca="false">IF(OR(CI125="",CJ125=""),"",DAYS360(CI125,CJ125)/30)</f>
        <v>83.8333333333333</v>
      </c>
      <c r="CO125" s="0" t="n">
        <f aca="false">IF(OR(CI125="",CJ125=""),"",DAYS360(CI125,CJ125)/7)</f>
        <v>359.285714285714</v>
      </c>
      <c r="CP125" s="0" t="n">
        <f aca="false">IF(OR(CI125="",CJ125=""),"",DAYS360(CI125,CJ125))</f>
        <v>2515</v>
      </c>
      <c r="CQ125" s="0" t="s">
        <v>240</v>
      </c>
      <c r="CR125" s="0" t="n">
        <v>1</v>
      </c>
      <c r="CT125" s="0" t="n">
        <v>300</v>
      </c>
      <c r="CU125" s="0" t="n">
        <v>0</v>
      </c>
      <c r="CV125" s="0" t="n">
        <f aca="false">IF(OR(CT125="",CT125="NO ESPECIFICA",CT125="NO MENCIONA"),"",IF(CU125=0,CT125,IF(CU125=1,CT125/30,IF(CU125=2,CT125/15,IF(CU125=3,CT125/7,"")))))</f>
        <v>300</v>
      </c>
      <c r="CW125" s="125" t="n">
        <v>315</v>
      </c>
      <c r="CX125" s="0" t="n">
        <v>0</v>
      </c>
      <c r="CY125" s="0" t="n">
        <f aca="false">IF(CW125="","",IF(CX125=0,CW125,IF(CX125=1,CW125/30,IF(CX125=2,CW125/15,IF(CX125=3,CW125/7,CW125)))))</f>
        <v>315</v>
      </c>
      <c r="CZ125" s="0" t="n">
        <f aca="false">IF(DI125&gt;0,DI125,IF(CY125&gt;0,CY125,IF(CV125&gt;0,CV125,"")))</f>
        <v>315</v>
      </c>
      <c r="DA125" s="0" t="n">
        <f aca="false">IF(DM125=1,CZ125/8,IF(OR(DM125=2,DM125=4),CZ125/7,IF(DM125=3,CZ125/7.5,"")))</f>
        <v>42</v>
      </c>
      <c r="DB125" s="0" t="s">
        <v>303</v>
      </c>
      <c r="DC125" s="0" t="s">
        <v>301</v>
      </c>
      <c r="DD125" s="0" t="s">
        <v>216</v>
      </c>
      <c r="DE125" s="0" t="s">
        <v>216</v>
      </c>
      <c r="DF125" s="0" t="s">
        <v>216</v>
      </c>
      <c r="DG125" s="0" t="s">
        <v>216</v>
      </c>
      <c r="DH125" s="0" t="n">
        <v>0</v>
      </c>
      <c r="DI125" s="126" t="n">
        <v>315</v>
      </c>
      <c r="DK125" s="0" t="n">
        <v>0</v>
      </c>
      <c r="DM125" s="0" t="n">
        <v>3</v>
      </c>
      <c r="DN125" s="0" t="n">
        <v>105</v>
      </c>
      <c r="DO125" s="0" t="n">
        <v>3</v>
      </c>
      <c r="DP125" s="0" t="n">
        <v>0</v>
      </c>
      <c r="DQ125" s="0" t="n">
        <v>1</v>
      </c>
      <c r="DR125" s="0"/>
      <c r="DS125" s="0" t="n">
        <v>1</v>
      </c>
      <c r="DU125" s="0" t="n">
        <v>1</v>
      </c>
      <c r="DW125" s="1" t="n">
        <v>39864</v>
      </c>
      <c r="DX125" s="1" t="n">
        <v>40589</v>
      </c>
      <c r="DZ125" s="0"/>
      <c r="EA125" s="0" t="n">
        <v>1</v>
      </c>
      <c r="EC125" s="1" t="n">
        <v>40179</v>
      </c>
      <c r="ED125" s="1" t="n">
        <v>40589</v>
      </c>
      <c r="EF125" s="0"/>
      <c r="EG125" s="0" t="n">
        <v>0</v>
      </c>
      <c r="EI125" s="0" t="n">
        <f aca="false">IF(AND(DM125=1,DN125&lt;=48),"",IF(AND(DM125=2,DN125&lt;=42),"",IF(AND(DM125=3,DN125&lt;=45),"",EH125)))</f>
        <v>0</v>
      </c>
      <c r="EJ125" s="0" t="str">
        <f aca="false">IF(EI125="","",IF(EI125&lt;9,EI125,9))</f>
        <v/>
      </c>
      <c r="EK125" s="0" t="str">
        <f aca="false">IF(EI125="","",IF(EI125&gt;9,EI125-EJ125,0))</f>
        <v/>
      </c>
      <c r="EL125" s="0" t="str">
        <f aca="false">IF(EI125="","",EJ125*DA125*2+EK125*DA125*3)</f>
        <v/>
      </c>
      <c r="EP125" s="0" t="n">
        <v>0</v>
      </c>
      <c r="EQ125" s="0"/>
      <c r="ER125" s="0" t="n">
        <v>0</v>
      </c>
      <c r="ET125" s="0" t="n">
        <v>0</v>
      </c>
      <c r="EV125" s="0" t="n">
        <v>0</v>
      </c>
      <c r="EX125" s="0" t="n">
        <v>0</v>
      </c>
      <c r="EY125" s="0" t="n">
        <v>0</v>
      </c>
      <c r="EZ125" s="0"/>
      <c r="FA125" s="0"/>
      <c r="FB125" s="0" t="n">
        <v>1</v>
      </c>
      <c r="FF125" s="120" t="n">
        <f aca="false">(CJ125-CI125+1)/365</f>
        <v>6.99452054794521</v>
      </c>
      <c r="FG125" s="0" t="str">
        <f aca="false">CONCATENATE(F125,"/",G125)</f>
        <v>621/2011</v>
      </c>
      <c r="FH125" s="0" t="n">
        <v>0</v>
      </c>
      <c r="FI125" s="0" t="n">
        <v>0</v>
      </c>
    </row>
    <row r="126" customFormat="false" ht="15" hidden="false" customHeight="false" outlineLevel="0" collapsed="false">
      <c r="A126" s="5" t="str">
        <f aca="false">E126&amp;G126&amp;F126</f>
        <v>72011627</v>
      </c>
      <c r="B126" s="0" t="s">
        <v>203</v>
      </c>
      <c r="C126" s="1" t="n">
        <v>42410</v>
      </c>
      <c r="E126" s="0" t="n">
        <v>7</v>
      </c>
      <c r="F126" s="0" t="n">
        <v>627</v>
      </c>
      <c r="G126" s="0" t="n">
        <v>2011</v>
      </c>
      <c r="H126" s="0" t="str">
        <f aca="false">"J"&amp;E126&amp;"\"&amp;F126&amp;"\"&amp;G126&amp;"\"&amp;W126</f>
        <v>J7\627\2011\1</v>
      </c>
      <c r="I126" s="0"/>
      <c r="J126" s="1" t="n">
        <v>40638</v>
      </c>
      <c r="K126" s="0" t="n">
        <v>0</v>
      </c>
      <c r="M126" s="1"/>
      <c r="N126" s="1"/>
      <c r="O126" s="1"/>
      <c r="P126" s="1"/>
      <c r="Q126" s="1"/>
      <c r="T126" s="121"/>
      <c r="U126" s="121"/>
      <c r="V126" s="122" t="n">
        <f aca="false">IF(AND(E126&gt;0,F126&gt;0,G126&gt;0),COUNTIFS($E:$E,E126,$F:$F,F126,$G:$G,G126),"")</f>
        <v>1</v>
      </c>
      <c r="W126" s="122" t="n">
        <f aca="false">IF(V126="","",IF(V126=1,1,IF(AND(E125=E126,F125=F126,G125=G126),W125+1,1)))</f>
        <v>1</v>
      </c>
      <c r="X126" s="0" t="n">
        <v>1</v>
      </c>
      <c r="Y126" s="0" t="n">
        <v>4</v>
      </c>
      <c r="Z126" s="0" t="s">
        <v>1543</v>
      </c>
      <c r="AA126" s="0" t="n">
        <v>0</v>
      </c>
      <c r="AB126" s="0" t="s">
        <v>1544</v>
      </c>
      <c r="AC126" s="0" t="s">
        <v>1545</v>
      </c>
      <c r="AD126" s="0" t="s">
        <v>207</v>
      </c>
      <c r="AE126" s="0" t="n">
        <v>0</v>
      </c>
      <c r="AF126" s="0" t="s">
        <v>1546</v>
      </c>
      <c r="AG126" s="0" t="n">
        <v>1</v>
      </c>
      <c r="AH126" s="0" t="s">
        <v>1547</v>
      </c>
      <c r="AI126" s="0" t="s">
        <v>1548</v>
      </c>
      <c r="AJ126" s="0" t="s">
        <v>229</v>
      </c>
      <c r="AL126" s="0" t="s">
        <v>1549</v>
      </c>
      <c r="AM126" s="0" t="n">
        <v>1</v>
      </c>
      <c r="AN126" s="0" t="s">
        <v>1547</v>
      </c>
      <c r="AO126" s="0" t="s">
        <v>1548</v>
      </c>
      <c r="AP126" s="0" t="s">
        <v>229</v>
      </c>
      <c r="AR126" s="0" t="s">
        <v>1550</v>
      </c>
      <c r="AS126" s="0" t="n">
        <v>1</v>
      </c>
      <c r="AT126" s="0" t="s">
        <v>1547</v>
      </c>
      <c r="AU126" s="0" t="s">
        <v>1548</v>
      </c>
      <c r="AV126" s="0" t="s">
        <v>229</v>
      </c>
      <c r="AX126" s="0" t="s">
        <v>213</v>
      </c>
      <c r="AY126" s="0" t="n">
        <v>1</v>
      </c>
      <c r="AZ126" s="0" t="s">
        <v>1547</v>
      </c>
      <c r="BA126" s="0" t="s">
        <v>1548</v>
      </c>
      <c r="BB126" s="0" t="s">
        <v>229</v>
      </c>
      <c r="BP126" s="0" t="n">
        <v>0</v>
      </c>
      <c r="BQ126" s="0" t="n">
        <v>0</v>
      </c>
      <c r="BR126" s="0" t="n">
        <v>1</v>
      </c>
      <c r="BS126" s="0" t="s">
        <v>1551</v>
      </c>
      <c r="BT126" s="0" t="s">
        <v>1552</v>
      </c>
      <c r="BU126" s="0" t="s">
        <v>1553</v>
      </c>
      <c r="BV126" s="123"/>
      <c r="BW126" s="123"/>
      <c r="BX126" s="123"/>
      <c r="BY126" s="123"/>
      <c r="BZ126" s="0" t="n">
        <v>0</v>
      </c>
      <c r="CA126" s="0" t="s">
        <v>1554</v>
      </c>
      <c r="CD126" s="0" t="s">
        <v>502</v>
      </c>
      <c r="CE126" s="0" t="n">
        <v>0</v>
      </c>
      <c r="CF126" s="0" t="s">
        <v>1555</v>
      </c>
      <c r="CG126" s="0" t="s">
        <v>218</v>
      </c>
      <c r="CI126" s="1" t="n">
        <v>40377</v>
      </c>
      <c r="CJ126" s="1" t="n">
        <v>40627</v>
      </c>
      <c r="CK126" s="124" t="n">
        <v>0.666666666666667</v>
      </c>
      <c r="CL126" s="0" t="s">
        <v>1549</v>
      </c>
      <c r="CM126" s="0" t="n">
        <f aca="false">IF(OR(CI126="",CJ126=""),"",DAYS360(CI126,CJ126)/360)</f>
        <v>0.686111111111111</v>
      </c>
      <c r="CN126" s="0" t="n">
        <f aca="false">IF(OR(CI126="",CJ126=""),"",DAYS360(CI126,CJ126)/30)</f>
        <v>8.23333333333333</v>
      </c>
      <c r="CO126" s="0" t="n">
        <f aca="false">IF(OR(CI126="",CJ126=""),"",DAYS360(CI126,CJ126)/7)</f>
        <v>35.2857142857143</v>
      </c>
      <c r="CP126" s="0" t="n">
        <f aca="false">IF(OR(CI126="",CJ126=""),"",DAYS360(CI126,CJ126))</f>
        <v>247</v>
      </c>
      <c r="CQ126" s="0" t="s">
        <v>220</v>
      </c>
      <c r="CR126" s="0" t="n">
        <v>1</v>
      </c>
      <c r="CT126" s="0" t="n">
        <v>600</v>
      </c>
      <c r="CU126" s="0" t="n">
        <v>0</v>
      </c>
      <c r="CV126" s="0" t="n">
        <f aca="false">IF(OR(CT126="",CT126="NO ESPECIFICA",CT126="NO MENCIONA"),"",IF(CU126=0,CT126,IF(CU126=1,CT126/30,IF(CU126=2,CT126/15,IF(CU126=3,CT126/7,"")))))</f>
        <v>600</v>
      </c>
      <c r="CW126" s="125" t="n">
        <v>730.41</v>
      </c>
      <c r="CX126" s="0" t="n">
        <v>0</v>
      </c>
      <c r="CY126" s="0" t="n">
        <f aca="false">IF(CW126="","",IF(CX126=0,CW126,IF(CX126=1,CW126/30,IF(CX126=2,CW126/15,IF(CX126=3,CW126/7,CW126)))))</f>
        <v>730.41</v>
      </c>
      <c r="CZ126" s="0" t="n">
        <f aca="false">IF(DI126&gt;0,DI126,IF(CY126&gt;0,CY126,IF(CV126&gt;0,CV126,"")))</f>
        <v>730.41</v>
      </c>
      <c r="DA126" s="0" t="n">
        <f aca="false">IF(DM126=1,CZ126/8,IF(OR(DM126=2,DM126=4),CZ126/7,IF(DM126=3,CZ126/7.5,"")))</f>
        <v>97.388</v>
      </c>
      <c r="DB126" s="0" t="s">
        <v>301</v>
      </c>
      <c r="DC126" s="0" t="s">
        <v>303</v>
      </c>
      <c r="DD126" s="0" t="s">
        <v>216</v>
      </c>
      <c r="DE126" s="0" t="s">
        <v>216</v>
      </c>
      <c r="DF126" s="0" t="s">
        <v>216</v>
      </c>
      <c r="DG126" s="0" t="s">
        <v>216</v>
      </c>
      <c r="DH126" s="0" t="n">
        <v>0</v>
      </c>
      <c r="DI126" s="126" t="n">
        <v>730.41</v>
      </c>
      <c r="DK126" s="0" t="n">
        <v>0</v>
      </c>
      <c r="DM126" s="0" t="n">
        <v>3</v>
      </c>
      <c r="DN126" s="0" t="n">
        <v>105</v>
      </c>
      <c r="DO126" s="0" t="n">
        <v>3</v>
      </c>
      <c r="DP126" s="0" t="n">
        <v>1</v>
      </c>
      <c r="DQ126" s="0" t="n">
        <v>1</v>
      </c>
      <c r="DR126" s="0"/>
      <c r="DS126" s="0" t="n">
        <v>1</v>
      </c>
      <c r="DU126" s="0" t="n">
        <v>1</v>
      </c>
      <c r="DW126" s="1" t="n">
        <v>40377</v>
      </c>
      <c r="DX126" s="1" t="n">
        <v>40627</v>
      </c>
      <c r="DZ126" s="0"/>
      <c r="EA126" s="0" t="n">
        <v>1</v>
      </c>
      <c r="EC126" s="1" t="n">
        <v>40377</v>
      </c>
      <c r="ED126" s="1" t="n">
        <v>40627</v>
      </c>
      <c r="EF126" s="0"/>
      <c r="EG126" s="0" t="n">
        <v>1</v>
      </c>
      <c r="EH126" s="0" t="n">
        <v>42</v>
      </c>
      <c r="EI126" s="0" t="n">
        <f aca="false">IF(AND(DM126=1,DN126&lt;=48),"",IF(AND(DM126=2,DN126&lt;=42),"",IF(AND(DM126=3,DN126&lt;=45),"",EH126)))</f>
        <v>42</v>
      </c>
      <c r="EJ126" s="0" t="n">
        <f aca="false">IF(EI126="","",IF(EI126&lt;9,EI126,9))</f>
        <v>9</v>
      </c>
      <c r="EK126" s="0" t="n">
        <f aca="false">IF(EI126="","",IF(EI126&gt;9,EI126-EJ126,0))</f>
        <v>33</v>
      </c>
      <c r="EL126" s="0" t="n">
        <f aca="false">IF(EI126="","",EJ126*DA126*2+EK126*DA126*3)</f>
        <v>11394.396</v>
      </c>
      <c r="EP126" s="0" t="n">
        <v>0</v>
      </c>
      <c r="EQ126" s="0"/>
      <c r="ER126" s="0" t="n">
        <v>0</v>
      </c>
      <c r="ET126" s="0" t="n">
        <v>0</v>
      </c>
      <c r="EV126" s="0" t="n">
        <v>1</v>
      </c>
      <c r="EX126" s="0" t="n">
        <v>0</v>
      </c>
      <c r="EY126" s="0" t="n">
        <v>1</v>
      </c>
      <c r="EZ126" s="4" t="n">
        <v>12000</v>
      </c>
      <c r="FA126" s="0"/>
      <c r="FB126" s="0" t="n">
        <v>1</v>
      </c>
      <c r="FF126" s="120" t="n">
        <f aca="false">(CJ126-CI126+1)/365</f>
        <v>0.687671232876712</v>
      </c>
      <c r="FG126" s="0" t="str">
        <f aca="false">CONCATENATE(F126,"/",G126)</f>
        <v>627/2011</v>
      </c>
      <c r="FH126" s="0" t="n">
        <v>0</v>
      </c>
      <c r="FI126" s="0" t="n">
        <v>0</v>
      </c>
    </row>
    <row r="127" customFormat="false" ht="15" hidden="false" customHeight="false" outlineLevel="0" collapsed="false">
      <c r="A127" s="5" t="str">
        <f aca="false">E127&amp;G127&amp;F127</f>
        <v>72011628</v>
      </c>
      <c r="B127" s="0" t="s">
        <v>203</v>
      </c>
      <c r="C127" s="1" t="n">
        <v>42410</v>
      </c>
      <c r="E127" s="0" t="n">
        <v>7</v>
      </c>
      <c r="F127" s="0" t="n">
        <v>628</v>
      </c>
      <c r="G127" s="0" t="n">
        <v>2011</v>
      </c>
      <c r="H127" s="0" t="str">
        <f aca="false">"J"&amp;E127&amp;"\"&amp;F127&amp;"\"&amp;G127&amp;"\"&amp;W127</f>
        <v>J7\628\2011\1</v>
      </c>
      <c r="I127" s="0"/>
      <c r="J127" s="1" t="n">
        <v>40638</v>
      </c>
      <c r="K127" s="0" t="n">
        <v>0</v>
      </c>
      <c r="M127" s="1"/>
      <c r="N127" s="1"/>
      <c r="O127" s="1"/>
      <c r="P127" s="1"/>
      <c r="Q127" s="1"/>
      <c r="T127" s="121"/>
      <c r="U127" s="121"/>
      <c r="V127" s="122" t="n">
        <f aca="false">IF(AND(E127&gt;0,F127&gt;0,G127&gt;0),COUNTIFS($E:$E,E127,$F:$F,F127,$G:$G,G127),"")</f>
        <v>1</v>
      </c>
      <c r="W127" s="122" t="n">
        <f aca="false">IF(V127="","",IF(V127=1,1,IF(AND(E126=E127,F126=F127,G126=G127),W126+1,1)))</f>
        <v>1</v>
      </c>
      <c r="X127" s="0" t="n">
        <v>1</v>
      </c>
      <c r="Y127" s="0" t="n">
        <v>4</v>
      </c>
      <c r="Z127" s="0" t="s">
        <v>1556</v>
      </c>
      <c r="AA127" s="0" t="n">
        <v>0</v>
      </c>
      <c r="AB127" s="0" t="s">
        <v>1557</v>
      </c>
      <c r="AC127" s="0" t="s">
        <v>1558</v>
      </c>
      <c r="AD127" s="0" t="s">
        <v>411</v>
      </c>
      <c r="AE127" s="0" t="n">
        <v>0</v>
      </c>
      <c r="AF127" s="0" t="s">
        <v>1559</v>
      </c>
      <c r="AG127" s="0" t="n">
        <v>1</v>
      </c>
      <c r="AH127" s="0" t="s">
        <v>1560</v>
      </c>
      <c r="AI127" s="0" t="s">
        <v>1561</v>
      </c>
      <c r="AJ127" s="0" t="s">
        <v>207</v>
      </c>
      <c r="AL127" s="0" t="s">
        <v>1562</v>
      </c>
      <c r="AM127" s="0" t="n">
        <v>0</v>
      </c>
      <c r="AN127" s="0" t="s">
        <v>1560</v>
      </c>
      <c r="AO127" s="0" t="s">
        <v>1561</v>
      </c>
      <c r="AP127" s="0" t="s">
        <v>207</v>
      </c>
      <c r="AR127" s="0" t="s">
        <v>1563</v>
      </c>
      <c r="AS127" s="0" t="n">
        <v>2</v>
      </c>
      <c r="AT127" s="0" t="s">
        <v>1560</v>
      </c>
      <c r="AU127" s="0" t="s">
        <v>1561</v>
      </c>
      <c r="AV127" s="0" t="s">
        <v>207</v>
      </c>
      <c r="AX127" s="0" t="s">
        <v>213</v>
      </c>
      <c r="AY127" s="0" t="n">
        <v>1</v>
      </c>
      <c r="AZ127" s="0" t="s">
        <v>1560</v>
      </c>
      <c r="BA127" s="0" t="s">
        <v>1561</v>
      </c>
      <c r="BB127" s="0" t="s">
        <v>207</v>
      </c>
      <c r="BP127" s="0" t="n">
        <v>0</v>
      </c>
      <c r="BQ127" s="0" t="n">
        <v>0</v>
      </c>
      <c r="BR127" s="0" t="n">
        <v>1</v>
      </c>
      <c r="BS127" s="0" t="s">
        <v>1564</v>
      </c>
      <c r="BT127" s="0" t="s">
        <v>1565</v>
      </c>
      <c r="BU127" s="0" t="s">
        <v>1566</v>
      </c>
      <c r="BV127" s="123"/>
      <c r="BW127" s="123"/>
      <c r="BX127" s="123"/>
      <c r="BY127" s="123"/>
      <c r="BZ127" s="0" t="n">
        <v>0</v>
      </c>
      <c r="CA127" s="0" t="s">
        <v>216</v>
      </c>
      <c r="CD127" s="0" t="s">
        <v>256</v>
      </c>
      <c r="CE127" s="0" t="n">
        <v>1</v>
      </c>
      <c r="CF127" s="0" t="s">
        <v>1567</v>
      </c>
      <c r="CG127" s="0" t="s">
        <v>218</v>
      </c>
      <c r="CI127" s="1" t="n">
        <v>40122</v>
      </c>
      <c r="CJ127" s="1" t="n">
        <v>40588</v>
      </c>
      <c r="CK127" s="124" t="n">
        <v>0.583333333333333</v>
      </c>
      <c r="CL127" s="0" t="s">
        <v>1559</v>
      </c>
      <c r="CM127" s="0" t="n">
        <f aca="false">IF(OR(CI127="",CJ127=""),"",DAYS360(CI127,CJ127)/360)</f>
        <v>1.275</v>
      </c>
      <c r="CN127" s="0" t="n">
        <f aca="false">IF(OR(CI127="",CJ127=""),"",DAYS360(CI127,CJ127)/30)</f>
        <v>15.3</v>
      </c>
      <c r="CO127" s="0" t="n">
        <f aca="false">IF(OR(CI127="",CJ127=""),"",DAYS360(CI127,CJ127)/7)</f>
        <v>65.5714285714286</v>
      </c>
      <c r="CP127" s="0" t="n">
        <f aca="false">IF(OR(CI127="",CJ127=""),"",DAYS360(CI127,CJ127))</f>
        <v>459</v>
      </c>
      <c r="CQ127" s="0" t="s">
        <v>220</v>
      </c>
      <c r="CR127" s="0" t="n">
        <v>1</v>
      </c>
      <c r="CT127" s="0" t="n">
        <v>166.66</v>
      </c>
      <c r="CU127" s="0" t="n">
        <v>0</v>
      </c>
      <c r="CV127" s="0" t="n">
        <f aca="false">IF(OR(CT127="",CT127="NO ESPECIFICA",CT127="NO MENCIONA"),"",IF(CU127=0,CT127,IF(CU127=1,CT127/30,IF(CU127=2,CT127/15,IF(CU127=3,CT127/7,"")))))</f>
        <v>166.66</v>
      </c>
      <c r="CW127" s="125" t="n">
        <v>178.01</v>
      </c>
      <c r="CX127" s="0" t="n">
        <v>0</v>
      </c>
      <c r="CY127" s="0" t="n">
        <f aca="false">IF(CW127="","",IF(CX127=0,CW127,IF(CX127=1,CW127/30,IF(CX127=2,CW127/15,IF(CX127=3,CW127/7,CW127)))))</f>
        <v>178.01</v>
      </c>
      <c r="CZ127" s="0" t="n">
        <f aca="false">IF(DI127&gt;0,DI127,IF(CY127&gt;0,CY127,IF(CV127&gt;0,CV127,"")))</f>
        <v>178.07</v>
      </c>
      <c r="DA127" s="0" t="n">
        <f aca="false">IF(DM127=1,CZ127/8,IF(OR(DM127=2,DM127=4),CZ127/7,IF(DM127=3,CZ127/7.5,"")))</f>
        <v>22.25875</v>
      </c>
      <c r="DB127" s="0" t="s">
        <v>301</v>
      </c>
      <c r="DC127" s="0" t="s">
        <v>302</v>
      </c>
      <c r="DD127" s="0" t="s">
        <v>1568</v>
      </c>
      <c r="DE127" s="0" t="s">
        <v>216</v>
      </c>
      <c r="DF127" s="0" t="s">
        <v>216</v>
      </c>
      <c r="DG127" s="0" t="s">
        <v>216</v>
      </c>
      <c r="DH127" s="0" t="n">
        <v>0</v>
      </c>
      <c r="DI127" s="126" t="n">
        <v>178.07</v>
      </c>
      <c r="DK127" s="0" t="n">
        <v>1</v>
      </c>
      <c r="DM127" s="0" t="n">
        <v>1</v>
      </c>
      <c r="DN127" s="0" t="n">
        <v>44</v>
      </c>
      <c r="DO127" s="0" t="n">
        <v>3</v>
      </c>
      <c r="DP127" s="0" t="n">
        <v>1</v>
      </c>
      <c r="DQ127" s="0" t="n">
        <v>0</v>
      </c>
      <c r="DR127" s="0"/>
      <c r="DS127" s="0" t="n">
        <v>1</v>
      </c>
      <c r="DU127" s="0" t="n">
        <v>0</v>
      </c>
      <c r="DW127" s="1" t="s">
        <v>216</v>
      </c>
      <c r="DX127" s="1" t="s">
        <v>216</v>
      </c>
      <c r="DY127" s="0" t="n">
        <v>8</v>
      </c>
      <c r="DZ127" s="0"/>
      <c r="EA127" s="0" t="n">
        <v>1</v>
      </c>
      <c r="EC127" s="1" t="s">
        <v>216</v>
      </c>
      <c r="ED127" s="1" t="s">
        <v>216</v>
      </c>
      <c r="EE127" s="0" t="s">
        <v>216</v>
      </c>
      <c r="EF127" s="0" t="s">
        <v>216</v>
      </c>
      <c r="EG127" s="0" t="n">
        <v>0</v>
      </c>
      <c r="EI127" s="0" t="str">
        <f aca="false">IF(AND(DM127=1,DN127&lt;=48),"",IF(AND(DM127=2,DN127&lt;=42),"",IF(AND(DM127=3,DN127&lt;=45),"",EH127)))</f>
        <v/>
      </c>
      <c r="EJ127" s="0" t="str">
        <f aca="false">IF(EI127="","",IF(EI127&lt;9,EI127,9))</f>
        <v/>
      </c>
      <c r="EK127" s="0" t="str">
        <f aca="false">IF(EI127="","",IF(EI127&gt;9,EI127-EJ127,0))</f>
        <v/>
      </c>
      <c r="EL127" s="0" t="str">
        <f aca="false">IF(EI127="","",EJ127*DA127*2+EK127*DA127*3)</f>
        <v/>
      </c>
      <c r="EP127" s="0" t="n">
        <v>0</v>
      </c>
      <c r="EQ127" s="0"/>
      <c r="ER127" s="0" t="n">
        <v>0</v>
      </c>
      <c r="ET127" s="0" t="n">
        <v>0</v>
      </c>
      <c r="EV127" s="0" t="n">
        <v>0</v>
      </c>
      <c r="EX127" s="0" t="n">
        <v>1</v>
      </c>
      <c r="EY127" s="0" t="n">
        <v>0</v>
      </c>
      <c r="EZ127" s="0"/>
      <c r="FA127" s="0"/>
      <c r="FB127" s="0" t="n">
        <v>0</v>
      </c>
      <c r="FF127" s="120" t="n">
        <f aca="false">(CJ127-CI127+1)/365</f>
        <v>1.27945205479452</v>
      </c>
      <c r="FG127" s="0" t="str">
        <f aca="false">CONCATENATE(F127,"/",G127)</f>
        <v>628/2011</v>
      </c>
      <c r="FH127" s="0" t="n">
        <v>0</v>
      </c>
      <c r="FI127" s="0" t="n">
        <v>0</v>
      </c>
    </row>
    <row r="128" customFormat="false" ht="15" hidden="false" customHeight="false" outlineLevel="0" collapsed="false">
      <c r="A128" s="5" t="str">
        <f aca="false">E128&amp;G128&amp;F128</f>
        <v>72011630</v>
      </c>
      <c r="B128" s="0" t="s">
        <v>203</v>
      </c>
      <c r="C128" s="1" t="n">
        <v>42410</v>
      </c>
      <c r="E128" s="0" t="n">
        <v>7</v>
      </c>
      <c r="F128" s="0" t="n">
        <v>630</v>
      </c>
      <c r="G128" s="0" t="n">
        <v>2011</v>
      </c>
      <c r="H128" s="0" t="str">
        <f aca="false">"J"&amp;E128&amp;"\"&amp;F128&amp;"\"&amp;G128&amp;"\"&amp;W128</f>
        <v>J7\630\2011\1</v>
      </c>
      <c r="I128" s="0"/>
      <c r="J128" s="1" t="n">
        <v>40639</v>
      </c>
      <c r="K128" s="0" t="n">
        <v>0</v>
      </c>
      <c r="M128" s="1"/>
      <c r="N128" s="1"/>
      <c r="O128" s="1"/>
      <c r="P128" s="1"/>
      <c r="Q128" s="1"/>
      <c r="T128" s="121"/>
      <c r="U128" s="121"/>
      <c r="V128" s="122" t="n">
        <f aca="false">IF(AND(E128&gt;0,F128&gt;0,G128&gt;0),COUNTIFS($E:$E,E128,$F:$F,F128,$G:$G,G128),"")</f>
        <v>1</v>
      </c>
      <c r="W128" s="122" t="n">
        <f aca="false">IF(V128="","",IF(V128=1,1,IF(AND(E127=E128,F127=F128,G127=G128),W127+1,1)))</f>
        <v>1</v>
      </c>
      <c r="X128" s="0" t="n">
        <v>1</v>
      </c>
      <c r="Y128" s="0" t="n">
        <v>5</v>
      </c>
      <c r="Z128" s="0" t="s">
        <v>1569</v>
      </c>
      <c r="AA128" s="0" t="n">
        <v>0</v>
      </c>
      <c r="AB128" s="0" t="s">
        <v>1570</v>
      </c>
      <c r="AC128" s="0" t="s">
        <v>1160</v>
      </c>
      <c r="AD128" s="0" t="s">
        <v>229</v>
      </c>
      <c r="AE128" s="0" t="n">
        <v>0</v>
      </c>
      <c r="AF128" s="0" t="s">
        <v>1571</v>
      </c>
      <c r="AG128" s="0" t="n">
        <v>0</v>
      </c>
      <c r="AH128" s="0" t="s">
        <v>1572</v>
      </c>
      <c r="AI128" s="0" t="s">
        <v>672</v>
      </c>
      <c r="AJ128" s="0" t="s">
        <v>352</v>
      </c>
      <c r="AL128" s="0" t="s">
        <v>1573</v>
      </c>
      <c r="AM128" s="0" t="n">
        <v>1</v>
      </c>
      <c r="AN128" s="0" t="s">
        <v>1572</v>
      </c>
      <c r="AO128" s="0" t="s">
        <v>672</v>
      </c>
      <c r="AP128" s="0" t="s">
        <v>352</v>
      </c>
      <c r="AR128" s="0" t="s">
        <v>1574</v>
      </c>
      <c r="AS128" s="0" t="n">
        <v>1</v>
      </c>
      <c r="AT128" s="0" t="s">
        <v>1572</v>
      </c>
      <c r="AU128" s="0" t="s">
        <v>672</v>
      </c>
      <c r="AV128" s="0" t="s">
        <v>352</v>
      </c>
      <c r="AX128" s="0" t="s">
        <v>1575</v>
      </c>
      <c r="AY128" s="0" t="n">
        <v>1</v>
      </c>
      <c r="AZ128" s="0" t="s">
        <v>1572</v>
      </c>
      <c r="BA128" s="0" t="s">
        <v>672</v>
      </c>
      <c r="BB128" s="0" t="s">
        <v>352</v>
      </c>
      <c r="BD128" s="0" t="s">
        <v>1576</v>
      </c>
      <c r="BE128" s="0" t="n">
        <v>1</v>
      </c>
      <c r="BF128" s="0" t="s">
        <v>1572</v>
      </c>
      <c r="BG128" s="0" t="s">
        <v>672</v>
      </c>
      <c r="BH128" s="0" t="s">
        <v>352</v>
      </c>
      <c r="BP128" s="0" t="n">
        <v>0</v>
      </c>
      <c r="BQ128" s="0" t="n">
        <v>0</v>
      </c>
      <c r="BR128" s="0" t="n">
        <v>1</v>
      </c>
      <c r="BS128" s="0" t="s">
        <v>1577</v>
      </c>
      <c r="BT128" s="0" t="s">
        <v>1578</v>
      </c>
      <c r="BU128" s="0" t="s">
        <v>1579</v>
      </c>
      <c r="BV128" s="123"/>
      <c r="BW128" s="123"/>
      <c r="BX128" s="123"/>
      <c r="BY128" s="123"/>
      <c r="BZ128" s="0" t="n">
        <v>0</v>
      </c>
      <c r="CA128" s="0" t="s">
        <v>1580</v>
      </c>
      <c r="CD128" s="0" t="s">
        <v>502</v>
      </c>
      <c r="CE128" s="0" t="n">
        <v>0</v>
      </c>
      <c r="CF128" s="0" t="s">
        <v>1581</v>
      </c>
      <c r="CG128" s="0" t="s">
        <v>218</v>
      </c>
      <c r="CI128" s="1" t="n">
        <v>40065</v>
      </c>
      <c r="CJ128" s="1" t="n">
        <v>40638</v>
      </c>
      <c r="CK128" s="124" t="n">
        <v>0.375</v>
      </c>
      <c r="CL128" s="0" t="s">
        <v>1574</v>
      </c>
      <c r="CM128" s="0" t="n">
        <f aca="false">IF(OR(CI128="",CJ128=""),"",DAYS360(CI128,CJ128)/360)</f>
        <v>1.57222222222222</v>
      </c>
      <c r="CN128" s="0" t="n">
        <f aca="false">IF(OR(CI128="",CJ128=""),"",DAYS360(CI128,CJ128)/30)</f>
        <v>18.8666666666667</v>
      </c>
      <c r="CO128" s="0" t="n">
        <f aca="false">IF(OR(CI128="",CJ128=""),"",DAYS360(CI128,CJ128)/7)</f>
        <v>80.8571428571429</v>
      </c>
      <c r="CP128" s="0" t="n">
        <f aca="false">IF(OR(CI128="",CJ128=""),"",DAYS360(CI128,CJ128))</f>
        <v>566</v>
      </c>
      <c r="CQ128" s="0" t="s">
        <v>240</v>
      </c>
      <c r="CR128" s="0" t="n">
        <v>1</v>
      </c>
      <c r="CT128" s="0" t="n">
        <v>500</v>
      </c>
      <c r="CU128" s="0" t="n">
        <v>0</v>
      </c>
      <c r="CV128" s="0" t="n">
        <f aca="false">IF(OR(CT128="",CT128="NO ESPECIFICA",CT128="NO MENCIONA"),"",IF(CU128=0,CT128,IF(CU128=1,CT128/30,IF(CU128=2,CT128/15,IF(CU128=3,CT128/7,"")))))</f>
        <v>500</v>
      </c>
      <c r="CW128" s="125" t="n">
        <v>800</v>
      </c>
      <c r="CX128" s="0" t="n">
        <v>0</v>
      </c>
      <c r="CY128" s="0" t="n">
        <f aca="false">IF(CW128="","",IF(CX128=0,CW128,IF(CX128=1,CW128/30,IF(CX128=2,CW128/15,IF(CX128=3,CW128/7,CW128)))))</f>
        <v>800</v>
      </c>
      <c r="CZ128" s="0" t="n">
        <f aca="false">IF(DI128&gt;0,DI128,IF(CY128&gt;0,CY128,IF(CV128&gt;0,CV128,"")))</f>
        <v>800</v>
      </c>
      <c r="DA128" s="0" t="n">
        <f aca="false">IF(DM128=1,CZ128/8,IF(OR(DM128=2,DM128=4),CZ128/7,IF(DM128=3,CZ128/7.5,"")))</f>
        <v>100</v>
      </c>
      <c r="DB128" s="0" t="s">
        <v>1582</v>
      </c>
      <c r="DC128" s="0" t="s">
        <v>417</v>
      </c>
      <c r="DD128" s="0" t="s">
        <v>216</v>
      </c>
      <c r="DE128" s="0" t="s">
        <v>216</v>
      </c>
      <c r="DF128" s="0" t="s">
        <v>216</v>
      </c>
      <c r="DG128" s="0" t="s">
        <v>216</v>
      </c>
      <c r="DH128" s="0" t="n">
        <v>0</v>
      </c>
      <c r="DI128" s="126" t="n">
        <v>800</v>
      </c>
      <c r="DK128" s="0" t="n">
        <v>0</v>
      </c>
      <c r="DM128" s="0" t="n">
        <v>1</v>
      </c>
      <c r="DN128" s="0" t="n">
        <v>66</v>
      </c>
      <c r="DO128" s="0" t="n">
        <v>3</v>
      </c>
      <c r="DP128" s="0" t="n">
        <v>0</v>
      </c>
      <c r="DQ128" s="0" t="n">
        <v>1</v>
      </c>
      <c r="DR128" s="0" t="n">
        <v>72000</v>
      </c>
      <c r="DS128" s="0" t="n">
        <v>1</v>
      </c>
      <c r="DU128" s="0" t="n">
        <v>1</v>
      </c>
      <c r="DW128" s="1" t="n">
        <v>40065</v>
      </c>
      <c r="DX128" s="1" t="n">
        <v>40638</v>
      </c>
      <c r="DZ128" s="0"/>
      <c r="EA128" s="0" t="n">
        <v>1</v>
      </c>
      <c r="EC128" s="1" t="n">
        <v>40065</v>
      </c>
      <c r="ED128" s="1" t="n">
        <v>40638</v>
      </c>
      <c r="EF128" s="0"/>
      <c r="EG128" s="0" t="n">
        <v>1</v>
      </c>
      <c r="EH128" s="0" t="n">
        <v>12</v>
      </c>
      <c r="EI128" s="0" t="n">
        <f aca="false">IF(AND(DM128=1,DN128&lt;=48),"",IF(AND(DM128=2,DN128&lt;=42),"",IF(AND(DM128=3,DN128&lt;=45),"",EH128)))</f>
        <v>12</v>
      </c>
      <c r="EJ128" s="0" t="n">
        <f aca="false">IF(EI128="","",IF(EI128&lt;9,EI128,9))</f>
        <v>9</v>
      </c>
      <c r="EK128" s="0" t="n">
        <f aca="false">IF(EI128="","",IF(EI128&gt;9,EI128-EJ128,0))</f>
        <v>3</v>
      </c>
      <c r="EL128" s="0" t="n">
        <f aca="false">IF(EI128="","",EJ128*DA128*2+EK128*DA128*3)</f>
        <v>2700</v>
      </c>
      <c r="EP128" s="0" t="n">
        <v>0</v>
      </c>
      <c r="EQ128" s="0"/>
      <c r="ER128" s="0" t="n">
        <v>0</v>
      </c>
      <c r="ET128" s="0" t="n">
        <v>0</v>
      </c>
      <c r="EV128" s="0" t="n">
        <v>0</v>
      </c>
      <c r="EX128" s="0" t="n">
        <v>0</v>
      </c>
      <c r="EY128" s="0" t="n">
        <v>1</v>
      </c>
      <c r="EZ128" s="0"/>
      <c r="FA128" s="4" t="n">
        <v>12000</v>
      </c>
      <c r="FB128" s="0" t="n">
        <v>0</v>
      </c>
      <c r="FF128" s="120" t="n">
        <f aca="false">(CJ128-CI128+1)/365</f>
        <v>1.57260273972603</v>
      </c>
      <c r="FG128" s="0" t="str">
        <f aca="false">CONCATENATE(F128,"/",G128)</f>
        <v>630/2011</v>
      </c>
      <c r="FH128" s="0" t="n">
        <v>0</v>
      </c>
      <c r="FI128" s="0" t="n">
        <v>0</v>
      </c>
    </row>
    <row r="129" customFormat="false" ht="15" hidden="false" customHeight="false" outlineLevel="0" collapsed="false">
      <c r="A129" s="5" t="str">
        <f aca="false">E129&amp;G129&amp;F129</f>
        <v>72011634</v>
      </c>
      <c r="B129" s="0" t="s">
        <v>203</v>
      </c>
      <c r="C129" s="1" t="n">
        <v>42410</v>
      </c>
      <c r="E129" s="0" t="n">
        <v>7</v>
      </c>
      <c r="F129" s="0" t="n">
        <v>634</v>
      </c>
      <c r="G129" s="0" t="n">
        <v>2011</v>
      </c>
      <c r="H129" s="0" t="str">
        <f aca="false">"J"&amp;E129&amp;"\"&amp;F129&amp;"\"&amp;G129&amp;"\"&amp;W129</f>
        <v>J7\634\2011\1</v>
      </c>
      <c r="I129" s="0"/>
      <c r="J129" s="1" t="n">
        <v>40640</v>
      </c>
      <c r="K129" s="0" t="n">
        <v>0</v>
      </c>
      <c r="M129" s="1" t="n">
        <v>40640</v>
      </c>
      <c r="N129" s="1" t="n">
        <v>40739</v>
      </c>
      <c r="O129" s="1"/>
      <c r="P129" s="1"/>
      <c r="Q129" s="1"/>
      <c r="T129" s="121"/>
      <c r="U129" s="121"/>
      <c r="V129" s="122" t="n">
        <f aca="false">IF(AND(E129&gt;0,F129&gt;0,G129&gt;0),COUNTIFS($E:$E,E129,$F:$F,F129,$G:$G,G129),"")</f>
        <v>1</v>
      </c>
      <c r="W129" s="122" t="n">
        <f aca="false">IF(V129="","",IF(V129=1,1,IF(AND(E128=E129,F128=F129,G128=G129),W128+1,1)))</f>
        <v>1</v>
      </c>
      <c r="X129" s="0" t="n">
        <v>1</v>
      </c>
      <c r="Y129" s="0" t="n">
        <v>3</v>
      </c>
      <c r="Z129" s="0" t="s">
        <v>1583</v>
      </c>
      <c r="AA129" s="0" t="n">
        <v>0</v>
      </c>
      <c r="AB129" s="0" t="s">
        <v>348</v>
      </c>
      <c r="AC129" s="0" t="s">
        <v>216</v>
      </c>
      <c r="AD129" s="0" t="s">
        <v>216</v>
      </c>
      <c r="AE129" s="0" t="n">
        <v>0</v>
      </c>
      <c r="AF129" s="0" t="s">
        <v>1584</v>
      </c>
      <c r="AG129" s="0" t="n">
        <v>0</v>
      </c>
      <c r="AH129" s="0" t="s">
        <v>1585</v>
      </c>
      <c r="AI129" s="0" t="s">
        <v>228</v>
      </c>
      <c r="AJ129" s="0" t="s">
        <v>229</v>
      </c>
      <c r="AL129" s="0" t="s">
        <v>1586</v>
      </c>
      <c r="AM129" s="0" t="n">
        <v>1</v>
      </c>
      <c r="AN129" s="0" t="s">
        <v>1585</v>
      </c>
      <c r="AO129" s="0" t="s">
        <v>228</v>
      </c>
      <c r="AP129" s="0" t="s">
        <v>229</v>
      </c>
      <c r="AR129" s="0" t="s">
        <v>213</v>
      </c>
      <c r="AS129" s="0" t="n">
        <v>1</v>
      </c>
      <c r="AT129" s="0" t="s">
        <v>1585</v>
      </c>
      <c r="AU129" s="0" t="s">
        <v>228</v>
      </c>
      <c r="AV129" s="0" t="s">
        <v>229</v>
      </c>
      <c r="BP129" s="0" t="n">
        <v>0</v>
      </c>
      <c r="BQ129" s="0" t="n">
        <v>0</v>
      </c>
      <c r="BR129" s="0" t="n">
        <v>3</v>
      </c>
      <c r="BS129" s="0" t="s">
        <v>499</v>
      </c>
      <c r="BT129" s="0" t="s">
        <v>1331</v>
      </c>
      <c r="BU129" s="0" t="s">
        <v>426</v>
      </c>
      <c r="BV129" s="123"/>
      <c r="BW129" s="123"/>
      <c r="BX129" s="123"/>
      <c r="BY129" s="123"/>
      <c r="BZ129" s="0" t="n">
        <v>0</v>
      </c>
      <c r="CA129" s="0" t="s">
        <v>348</v>
      </c>
      <c r="CD129" s="0" t="s">
        <v>296</v>
      </c>
      <c r="CE129" s="0" t="n">
        <v>0</v>
      </c>
      <c r="CF129" s="0" t="s">
        <v>1587</v>
      </c>
      <c r="CG129" s="0" t="s">
        <v>218</v>
      </c>
      <c r="CI129" s="1" t="n">
        <v>40101</v>
      </c>
      <c r="CJ129" s="1" t="n">
        <v>40611</v>
      </c>
      <c r="CK129" s="124" t="n">
        <v>0.416666666666667</v>
      </c>
      <c r="CL129" s="0" t="s">
        <v>1588</v>
      </c>
      <c r="CM129" s="0" t="n">
        <f aca="false">IF(OR(CI129="",CJ129=""),"",DAYS360(CI129,CJ129)/360)</f>
        <v>1.4</v>
      </c>
      <c r="CN129" s="0" t="n">
        <f aca="false">IF(OR(CI129="",CJ129=""),"",DAYS360(CI129,CJ129)/30)</f>
        <v>16.8</v>
      </c>
      <c r="CO129" s="0" t="n">
        <f aca="false">IF(OR(CI129="",CJ129=""),"",DAYS360(CI129,CJ129)/7)</f>
        <v>72</v>
      </c>
      <c r="CP129" s="0" t="n">
        <f aca="false">IF(OR(CI129="",CJ129=""),"",DAYS360(CI129,CJ129))</f>
        <v>504</v>
      </c>
      <c r="CQ129" s="0" t="s">
        <v>240</v>
      </c>
      <c r="CR129" s="0" t="n">
        <v>1</v>
      </c>
      <c r="CT129" s="0" t="n">
        <v>150</v>
      </c>
      <c r="CU129" s="0" t="n">
        <v>0</v>
      </c>
      <c r="CV129" s="0" t="n">
        <f aca="false">IF(OR(CT129="",CT129="NO ESPECIFICA",CT129="NO MENCIONA"),"",IF(CU129=0,CT129,IF(CU129=1,CT129/30,IF(CU129=2,CT129/15,IF(CU129=3,CT129/7,"")))))</f>
        <v>150</v>
      </c>
      <c r="CW129" s="125" t="n">
        <v>156.98</v>
      </c>
      <c r="CX129" s="0" t="n">
        <v>0</v>
      </c>
      <c r="CY129" s="0" t="n">
        <f aca="false">IF(CW129="","",IF(CX129=0,CW129,IF(CX129=1,CW129/30,IF(CX129=2,CW129/15,IF(CX129=3,CW129/7,CW129)))))</f>
        <v>156.98</v>
      </c>
      <c r="CZ129" s="0" t="n">
        <f aca="false">IF(DI129&gt;0,DI129,IF(CY129&gt;0,CY129,IF(CV129&gt;0,CV129,"")))</f>
        <v>156.98</v>
      </c>
      <c r="DA129" s="0" t="n">
        <f aca="false">IF(DM129=1,CZ129/8,IF(OR(DM129=2,DM129=4),CZ129/7,IF(DM129=3,CZ129/7.5,"")))</f>
        <v>19.6225</v>
      </c>
      <c r="DB129" s="0" t="s">
        <v>303</v>
      </c>
      <c r="DC129" s="0" t="s">
        <v>301</v>
      </c>
      <c r="DD129" s="0" t="s">
        <v>216</v>
      </c>
      <c r="DE129" s="0" t="s">
        <v>216</v>
      </c>
      <c r="DF129" s="0" t="s">
        <v>216</v>
      </c>
      <c r="DG129" s="0" t="s">
        <v>216</v>
      </c>
      <c r="DH129" s="0" t="n">
        <v>0</v>
      </c>
      <c r="DI129" s="126" t="n">
        <v>156.98</v>
      </c>
      <c r="DK129" s="0" t="n">
        <v>1</v>
      </c>
      <c r="DM129" s="0" t="n">
        <v>1</v>
      </c>
      <c r="DN129" s="0" t="n">
        <v>54</v>
      </c>
      <c r="DO129" s="0" t="n">
        <v>3</v>
      </c>
      <c r="DP129" s="0" t="n">
        <v>0</v>
      </c>
      <c r="DQ129" s="0" t="n">
        <v>1</v>
      </c>
      <c r="DR129" s="0"/>
      <c r="DS129" s="0" t="n">
        <v>1</v>
      </c>
      <c r="DU129" s="0" t="n">
        <v>1</v>
      </c>
      <c r="DW129" s="1" t="n">
        <v>40101</v>
      </c>
      <c r="DX129" s="1" t="n">
        <v>40611</v>
      </c>
      <c r="DZ129" s="0"/>
      <c r="EA129" s="0" t="n">
        <v>1</v>
      </c>
      <c r="EC129" s="1" t="n">
        <v>40101</v>
      </c>
      <c r="ED129" s="1" t="n">
        <v>40611</v>
      </c>
      <c r="EF129" s="0"/>
      <c r="EG129" s="0" t="n">
        <v>0</v>
      </c>
      <c r="EI129" s="0" t="n">
        <f aca="false">IF(AND(DM129=1,DN129&lt;=48),"",IF(AND(DM129=2,DN129&lt;=42),"",IF(AND(DM129=3,DN129&lt;=45),"",EH129)))</f>
        <v>0</v>
      </c>
      <c r="EJ129" s="0" t="str">
        <f aca="false">IF(EI129="","",IF(EI129&lt;9,EI129,9))</f>
        <v/>
      </c>
      <c r="EK129" s="0" t="str">
        <f aca="false">IF(EI129="","",IF(EI129&gt;9,EI129-EJ129,0))</f>
        <v/>
      </c>
      <c r="EL129" s="0" t="str">
        <f aca="false">IF(EI129="","",EJ129*DA129*2+EK129*DA129*3)</f>
        <v/>
      </c>
      <c r="EP129" s="0" t="n">
        <v>0</v>
      </c>
      <c r="EQ129" s="0"/>
      <c r="ER129" s="0" t="n">
        <v>0</v>
      </c>
      <c r="ET129" s="0" t="n">
        <v>0</v>
      </c>
      <c r="EV129" s="0" t="n">
        <v>0</v>
      </c>
      <c r="EX129" s="0" t="n">
        <v>0</v>
      </c>
      <c r="EY129" s="0" t="n">
        <v>0</v>
      </c>
      <c r="EZ129" s="0"/>
      <c r="FA129" s="4" t="n">
        <v>12769.74</v>
      </c>
      <c r="FB129" s="0" t="n">
        <v>0</v>
      </c>
      <c r="FF129" s="120" t="n">
        <f aca="false">(CJ129-CI129+1)/365</f>
        <v>1.4</v>
      </c>
      <c r="FG129" s="0" t="str">
        <f aca="false">CONCATENATE(F129,"/",G129)</f>
        <v>634/2011</v>
      </c>
      <c r="FH129" s="0" t="n">
        <v>0</v>
      </c>
      <c r="FI129" s="0" t="n">
        <v>0</v>
      </c>
    </row>
    <row r="130" customFormat="false" ht="15" hidden="false" customHeight="false" outlineLevel="0" collapsed="false">
      <c r="A130" s="5" t="str">
        <f aca="false">E130&amp;G130&amp;F130</f>
        <v>72011639</v>
      </c>
      <c r="B130" s="0" t="s">
        <v>203</v>
      </c>
      <c r="C130" s="1" t="n">
        <v>42410</v>
      </c>
      <c r="E130" s="0" t="n">
        <v>7</v>
      </c>
      <c r="F130" s="0" t="n">
        <v>639</v>
      </c>
      <c r="G130" s="0" t="n">
        <v>2011</v>
      </c>
      <c r="H130" s="0" t="str">
        <f aca="false">"J"&amp;E130&amp;"\"&amp;F130&amp;"\"&amp;G130&amp;"\"&amp;W130</f>
        <v>J7\639\2011\1</v>
      </c>
      <c r="I130" s="0"/>
      <c r="J130" s="1" t="n">
        <v>40640</v>
      </c>
      <c r="K130" s="0" t="n">
        <v>0</v>
      </c>
      <c r="M130" s="1"/>
      <c r="N130" s="1"/>
      <c r="O130" s="1"/>
      <c r="P130" s="1"/>
      <c r="Q130" s="1"/>
      <c r="T130" s="121"/>
      <c r="U130" s="121"/>
      <c r="V130" s="122" t="n">
        <f aca="false">IF(AND(E130&gt;0,F130&gt;0,G130&gt;0),COUNTIFS($E:$E,E130,$F:$F,F130,$G:$G,G130),"")</f>
        <v>1</v>
      </c>
      <c r="W130" s="122" t="n">
        <f aca="false">IF(V130="","",IF(V130=1,1,IF(AND(E129=E130,F129=F130,G129=G130),W129+1,1)))</f>
        <v>1</v>
      </c>
      <c r="X130" s="0" t="n">
        <v>1</v>
      </c>
      <c r="Y130" s="0" t="n">
        <v>2</v>
      </c>
      <c r="Z130" s="0" t="s">
        <v>1589</v>
      </c>
      <c r="AA130" s="0" t="n">
        <v>0</v>
      </c>
      <c r="AB130" s="0" t="s">
        <v>1590</v>
      </c>
      <c r="AC130" s="0" t="s">
        <v>1591</v>
      </c>
      <c r="AD130" s="0" t="s">
        <v>207</v>
      </c>
      <c r="AE130" s="0" t="n">
        <v>0</v>
      </c>
      <c r="AF130" s="0" t="s">
        <v>1592</v>
      </c>
      <c r="AG130" s="0" t="n">
        <v>0</v>
      </c>
      <c r="AH130" s="0" t="s">
        <v>1593</v>
      </c>
      <c r="AI130" s="0" t="s">
        <v>1594</v>
      </c>
      <c r="AJ130" s="0" t="s">
        <v>211</v>
      </c>
      <c r="AL130" s="0" t="s">
        <v>1595</v>
      </c>
      <c r="AM130" s="0" t="n">
        <v>1</v>
      </c>
      <c r="AN130" s="0" t="s">
        <v>1593</v>
      </c>
      <c r="AO130" s="0" t="s">
        <v>1594</v>
      </c>
      <c r="AP130" s="0" t="s">
        <v>211</v>
      </c>
      <c r="BP130" s="0" t="n">
        <v>0</v>
      </c>
      <c r="BQ130" s="0" t="n">
        <v>0</v>
      </c>
      <c r="BR130" s="0" t="n">
        <v>1</v>
      </c>
      <c r="BS130" s="0" t="s">
        <v>1596</v>
      </c>
      <c r="BT130" s="0" t="s">
        <v>1597</v>
      </c>
      <c r="BU130" s="0" t="s">
        <v>1598</v>
      </c>
      <c r="BV130" s="123"/>
      <c r="BW130" s="123"/>
      <c r="BX130" s="123"/>
      <c r="BY130" s="123"/>
      <c r="BZ130" s="0" t="n">
        <v>0</v>
      </c>
      <c r="CA130" s="0" t="s">
        <v>216</v>
      </c>
      <c r="CD130" s="0" t="s">
        <v>502</v>
      </c>
      <c r="CE130" s="0" t="n">
        <v>0</v>
      </c>
      <c r="CF130" s="0" t="s">
        <v>1599</v>
      </c>
      <c r="CG130" s="0" t="s">
        <v>218</v>
      </c>
      <c r="CI130" s="1" t="n">
        <v>40269</v>
      </c>
      <c r="CJ130" s="1" t="n">
        <v>40602</v>
      </c>
      <c r="CK130" s="124" t="n">
        <v>0.75</v>
      </c>
      <c r="CL130" s="0" t="s">
        <v>1595</v>
      </c>
      <c r="CM130" s="0" t="n">
        <f aca="false">IF(OR(CI130="",CJ130=""),"",DAYS360(CI130,CJ130)/360)</f>
        <v>0.908333333333333</v>
      </c>
      <c r="CN130" s="0" t="n">
        <f aca="false">IF(OR(CI130="",CJ130=""),"",DAYS360(CI130,CJ130)/30)</f>
        <v>10.9</v>
      </c>
      <c r="CO130" s="0" t="n">
        <f aca="false">IF(OR(CI130="",CJ130=""),"",DAYS360(CI130,CJ130)/7)</f>
        <v>46.7142857142857</v>
      </c>
      <c r="CP130" s="0" t="n">
        <f aca="false">IF(OR(CI130="",CJ130=""),"",DAYS360(CI130,CJ130))</f>
        <v>327</v>
      </c>
      <c r="CQ130" s="0" t="s">
        <v>240</v>
      </c>
      <c r="CR130" s="0" t="n">
        <v>1</v>
      </c>
      <c r="CT130" s="0" t="s">
        <v>221</v>
      </c>
      <c r="CU130" s="0" t="s">
        <v>221</v>
      </c>
      <c r="CV130" s="0" t="str">
        <f aca="false">IF(OR(CT130="",CT130="NO ESPECIFICA",CT130="NO MENCIONA"),"",IF(CU130=0,CT130,IF(CU130=1,CT130/30,IF(CU130=2,CT130/15,IF(CU130=3,CT130/7,"")))))</f>
        <v/>
      </c>
      <c r="CW130" s="125" t="n">
        <v>4120</v>
      </c>
      <c r="CX130" s="0" t="n">
        <v>2</v>
      </c>
      <c r="CY130" s="0" t="n">
        <f aca="false">IF(CW130="","",IF(CX130=0,CW130,IF(CX130=1,CW130/30,IF(CX130=2,CW130/15,IF(CX130=3,CW130/7,CW130)))))</f>
        <v>274.666666666667</v>
      </c>
      <c r="CZ130" s="0" t="n">
        <f aca="false">IF(DI130&gt;0,DI130,IF(CY130&gt;0,CY130,IF(CV130&gt;0,CV130,"")))</f>
        <v>274.66</v>
      </c>
      <c r="DA130" s="0" t="n">
        <f aca="false">IF(DM130=1,CZ130/8,IF(OR(DM130=2,DM130=4),CZ130/7,IF(DM130=3,CZ130/7.5,"")))</f>
        <v>34.3325</v>
      </c>
      <c r="DB130" s="0" t="s">
        <v>216</v>
      </c>
      <c r="DC130" s="0" t="s">
        <v>216</v>
      </c>
      <c r="DD130" s="0" t="s">
        <v>216</v>
      </c>
      <c r="DE130" s="0" t="s">
        <v>216</v>
      </c>
      <c r="DF130" s="0" t="s">
        <v>216</v>
      </c>
      <c r="DG130" s="0" t="s">
        <v>216</v>
      </c>
      <c r="DH130" s="0" t="n">
        <v>0</v>
      </c>
      <c r="DI130" s="126" t="n">
        <v>274.66</v>
      </c>
      <c r="DK130" s="0" t="n">
        <v>1</v>
      </c>
      <c r="DM130" s="0" t="n">
        <v>1</v>
      </c>
      <c r="DN130" s="0" t="n">
        <v>45</v>
      </c>
      <c r="DO130" s="0" t="n">
        <v>3</v>
      </c>
      <c r="DP130" s="0" t="n">
        <v>0</v>
      </c>
      <c r="DQ130" s="0" t="n">
        <v>1</v>
      </c>
      <c r="DR130" s="0"/>
      <c r="DS130" s="0" t="n">
        <v>1</v>
      </c>
      <c r="DU130" s="0" t="n">
        <v>1</v>
      </c>
      <c r="DW130" s="1" t="n">
        <v>40269</v>
      </c>
      <c r="DX130" s="1" t="n">
        <v>40602</v>
      </c>
      <c r="DZ130" s="0"/>
      <c r="EA130" s="0" t="n">
        <v>1</v>
      </c>
      <c r="EC130" s="1" t="n">
        <v>40269</v>
      </c>
      <c r="ED130" s="1" t="n">
        <v>40602</v>
      </c>
      <c r="EF130" s="0"/>
      <c r="EG130" s="0" t="n">
        <v>1</v>
      </c>
      <c r="EH130" s="0" t="n">
        <v>9</v>
      </c>
      <c r="EI130" s="0" t="str">
        <f aca="false">IF(AND(DM130=1,DN130&lt;=48),"",IF(AND(DM130=2,DN130&lt;=42),"",IF(AND(DM130=3,DN130&lt;=45),"",EH130)))</f>
        <v/>
      </c>
      <c r="EJ130" s="0" t="str">
        <f aca="false">IF(EI130="","",IF(EI130&lt;9,EI130,9))</f>
        <v/>
      </c>
      <c r="EK130" s="0" t="str">
        <f aca="false">IF(EI130="","",IF(EI130&gt;9,EI130-EJ130,0))</f>
        <v/>
      </c>
      <c r="EL130" s="0" t="str">
        <f aca="false">IF(EI130="","",EJ130*DA130*2+EK130*DA130*3)</f>
        <v/>
      </c>
      <c r="EO130" s="0" t="n">
        <v>238</v>
      </c>
      <c r="EP130" s="0" t="n">
        <v>0</v>
      </c>
      <c r="EQ130" s="0"/>
      <c r="ER130" s="0" t="n">
        <v>0</v>
      </c>
      <c r="ET130" s="0" t="n">
        <v>0</v>
      </c>
      <c r="EV130" s="0" t="n">
        <v>0</v>
      </c>
      <c r="EX130" s="0" t="n">
        <v>1</v>
      </c>
      <c r="EY130" s="0" t="n">
        <v>1</v>
      </c>
      <c r="EZ130" s="0"/>
      <c r="FA130" s="4" t="n">
        <v>4120</v>
      </c>
      <c r="FB130" s="0" t="n">
        <v>1</v>
      </c>
      <c r="FF130" s="120" t="n">
        <f aca="false">(CJ130-CI130+1)/365</f>
        <v>0.915068493150685</v>
      </c>
      <c r="FG130" s="0" t="str">
        <f aca="false">CONCATENATE(F130,"/",G130)</f>
        <v>639/2011</v>
      </c>
      <c r="FH130" s="0" t="n">
        <v>0</v>
      </c>
      <c r="FI130" s="0" t="n">
        <v>0</v>
      </c>
    </row>
    <row r="131" customFormat="false" ht="15" hidden="false" customHeight="false" outlineLevel="0" collapsed="false">
      <c r="A131" s="5" t="str">
        <f aca="false">E131&amp;G131&amp;F131</f>
        <v>72011646</v>
      </c>
      <c r="B131" s="0" t="s">
        <v>203</v>
      </c>
      <c r="C131" s="1" t="n">
        <v>42410</v>
      </c>
      <c r="E131" s="0" t="n">
        <v>7</v>
      </c>
      <c r="F131" s="0" t="n">
        <v>646</v>
      </c>
      <c r="G131" s="0" t="n">
        <v>2011</v>
      </c>
      <c r="H131" s="0" t="str">
        <f aca="false">"J"&amp;E131&amp;"\"&amp;F131&amp;"\"&amp;G131&amp;"\"&amp;W131</f>
        <v>J7\646\2011\1</v>
      </c>
      <c r="I131" s="0"/>
      <c r="J131" s="1" t="n">
        <v>40641</v>
      </c>
      <c r="K131" s="0" t="n">
        <v>0</v>
      </c>
      <c r="M131" s="1"/>
      <c r="N131" s="1"/>
      <c r="O131" s="1"/>
      <c r="P131" s="1"/>
      <c r="Q131" s="1"/>
      <c r="T131" s="121"/>
      <c r="U131" s="121"/>
      <c r="V131" s="122" t="n">
        <f aca="false">IF(AND(E131&gt;0,F131&gt;0,G131&gt;0),COUNTIFS($E:$E,E131,$F:$F,F131,$G:$G,G131),"")</f>
        <v>1</v>
      </c>
      <c r="W131" s="122" t="n">
        <f aca="false">IF(V131="","",IF(V131=1,1,IF(AND(E130=E131,F130=F131,G130=G131),W130+1,1)))</f>
        <v>1</v>
      </c>
      <c r="X131" s="0" t="n">
        <v>1</v>
      </c>
      <c r="Y131" s="0" t="n">
        <v>4</v>
      </c>
      <c r="Z131" s="0" t="s">
        <v>1600</v>
      </c>
      <c r="AA131" s="0" t="n">
        <v>0</v>
      </c>
      <c r="AB131" s="0" t="s">
        <v>273</v>
      </c>
      <c r="AC131" s="0" t="s">
        <v>274</v>
      </c>
      <c r="AD131" s="0" t="s">
        <v>221</v>
      </c>
      <c r="AE131" s="0" t="n">
        <v>0</v>
      </c>
      <c r="AF131" s="0" t="s">
        <v>1601</v>
      </c>
      <c r="AG131" s="0" t="n">
        <v>0</v>
      </c>
      <c r="AH131" s="0" t="s">
        <v>1602</v>
      </c>
      <c r="AI131" s="0" t="s">
        <v>754</v>
      </c>
      <c r="AJ131" s="0" t="s">
        <v>755</v>
      </c>
      <c r="AL131" s="0" t="s">
        <v>1603</v>
      </c>
      <c r="AM131" s="0" t="n">
        <v>0</v>
      </c>
      <c r="AN131" s="0" t="s">
        <v>1602</v>
      </c>
      <c r="AO131" s="0" t="s">
        <v>754</v>
      </c>
      <c r="AP131" s="0" t="s">
        <v>755</v>
      </c>
      <c r="AR131" s="0" t="s">
        <v>1604</v>
      </c>
      <c r="AS131" s="0" t="n">
        <v>1</v>
      </c>
      <c r="AT131" s="0" t="s">
        <v>1602</v>
      </c>
      <c r="AU131" s="0" t="s">
        <v>754</v>
      </c>
      <c r="AV131" s="0" t="s">
        <v>755</v>
      </c>
      <c r="AX131" s="0" t="s">
        <v>213</v>
      </c>
      <c r="AY131" s="0" t="n">
        <v>1</v>
      </c>
      <c r="AZ131" s="0" t="s">
        <v>1602</v>
      </c>
      <c r="BA131" s="0" t="s">
        <v>754</v>
      </c>
      <c r="BB131" s="0" t="s">
        <v>755</v>
      </c>
      <c r="BP131" s="0" t="n">
        <v>0</v>
      </c>
      <c r="BQ131" s="0" t="n">
        <v>0</v>
      </c>
      <c r="BR131" s="0" t="n">
        <v>1</v>
      </c>
      <c r="BS131" s="0" t="s">
        <v>279</v>
      </c>
      <c r="BT131" s="0" t="s">
        <v>280</v>
      </c>
      <c r="BU131" s="0" t="s">
        <v>281</v>
      </c>
      <c r="BV131" s="123"/>
      <c r="BW131" s="123"/>
      <c r="BX131" s="123"/>
      <c r="BY131" s="123"/>
      <c r="BZ131" s="0" t="n">
        <v>0</v>
      </c>
      <c r="CA131" s="0" t="s">
        <v>282</v>
      </c>
      <c r="CD131" s="0" t="s">
        <v>556</v>
      </c>
      <c r="CE131" s="0" t="n">
        <v>0</v>
      </c>
      <c r="CF131" s="0" t="s">
        <v>1018</v>
      </c>
      <c r="CG131" s="0" t="s">
        <v>218</v>
      </c>
      <c r="CI131" s="1" t="n">
        <v>40184</v>
      </c>
      <c r="CJ131" s="1" t="n">
        <v>40634</v>
      </c>
      <c r="CK131" s="124" t="n">
        <v>0.333333333333333</v>
      </c>
      <c r="CL131" s="0" t="s">
        <v>1604</v>
      </c>
      <c r="CM131" s="0" t="n">
        <f aca="false">IF(OR(CI131="",CJ131=""),"",DAYS360(CI131,CJ131)/360)</f>
        <v>1.23611111111111</v>
      </c>
      <c r="CN131" s="0" t="n">
        <f aca="false">IF(OR(CI131="",CJ131=""),"",DAYS360(CI131,CJ131)/30)</f>
        <v>14.8333333333333</v>
      </c>
      <c r="CO131" s="0" t="n">
        <f aca="false">IF(OR(CI131="",CJ131=""),"",DAYS360(CI131,CJ131)/7)</f>
        <v>63.5714285714286</v>
      </c>
      <c r="CP131" s="0" t="n">
        <f aca="false">IF(OR(CI131="",CJ131=""),"",DAYS360(CI131,CJ131))</f>
        <v>445</v>
      </c>
      <c r="CQ131" s="0" t="s">
        <v>240</v>
      </c>
      <c r="CR131" s="0" t="n">
        <v>1</v>
      </c>
      <c r="CT131" s="0" t="s">
        <v>221</v>
      </c>
      <c r="CU131" s="0" t="s">
        <v>221</v>
      </c>
      <c r="CV131" s="0" t="str">
        <f aca="false">IF(OR(CT131="",CT131="NO ESPECIFICA",CT131="NO MENCIONA"),"",IF(CU131=0,CT131,IF(CU131=1,CT131/30,IF(CU131=2,CT131/15,IF(CU131=3,CT131/7,"")))))</f>
        <v/>
      </c>
      <c r="CW131" s="125" t="n">
        <v>9000</v>
      </c>
      <c r="CX131" s="0" t="n">
        <v>1</v>
      </c>
      <c r="CY131" s="0" t="n">
        <f aca="false">IF(CW131="","",IF(CX131=0,CW131,IF(CX131=1,CW131/30,IF(CX131=2,CW131/15,IF(CX131=3,CW131/7,CW131)))))</f>
        <v>300</v>
      </c>
      <c r="CZ131" s="0" t="n">
        <f aca="false">IF(DI131&gt;0,DI131,IF(CY131&gt;0,CY131,IF(CV131&gt;0,CV131,"")))</f>
        <v>300</v>
      </c>
      <c r="DA131" s="0" t="n">
        <f aca="false">IF(DM131=1,CZ131/8,IF(OR(DM131=2,DM131=4),CZ131/7,IF(DM131=3,CZ131/7.5,"")))</f>
        <v>37.5</v>
      </c>
      <c r="DB131" s="0" t="s">
        <v>216</v>
      </c>
      <c r="DC131" s="0" t="s">
        <v>216</v>
      </c>
      <c r="DD131" s="0" t="s">
        <v>216</v>
      </c>
      <c r="DE131" s="0" t="s">
        <v>216</v>
      </c>
      <c r="DF131" s="0" t="s">
        <v>216</v>
      </c>
      <c r="DG131" s="0" t="s">
        <v>216</v>
      </c>
      <c r="DH131" s="0" t="n">
        <v>0</v>
      </c>
      <c r="DI131" s="126" t="n">
        <v>300</v>
      </c>
      <c r="DK131" s="0" t="n">
        <v>1</v>
      </c>
      <c r="DM131" s="0" t="n">
        <v>1</v>
      </c>
      <c r="DN131" s="0" t="n">
        <v>47.5</v>
      </c>
      <c r="DO131" s="0" t="n">
        <v>3</v>
      </c>
      <c r="DP131" s="0" t="n">
        <v>0</v>
      </c>
      <c r="DQ131" s="0" t="n">
        <v>1</v>
      </c>
      <c r="DR131" s="0"/>
      <c r="DS131" s="0" t="n">
        <v>1</v>
      </c>
      <c r="DU131" s="0" t="n">
        <v>1</v>
      </c>
      <c r="DW131" s="1" t="n">
        <v>40184</v>
      </c>
      <c r="DX131" s="1" t="n">
        <v>40634</v>
      </c>
      <c r="DZ131" s="0"/>
      <c r="EA131" s="0" t="n">
        <v>1</v>
      </c>
      <c r="EC131" s="1" t="n">
        <v>40184</v>
      </c>
      <c r="ED131" s="1" t="n">
        <v>40634</v>
      </c>
      <c r="EF131" s="0"/>
      <c r="EG131" s="0" t="n">
        <v>1</v>
      </c>
      <c r="EH131" s="0" t="n">
        <v>5</v>
      </c>
      <c r="EI131" s="0" t="str">
        <f aca="false">IF(AND(DM131=1,DN131&lt;=48),"",IF(AND(DM131=2,DN131&lt;=42),"",IF(AND(DM131=3,DN131&lt;=45),"",EH131)))</f>
        <v/>
      </c>
      <c r="EJ131" s="0" t="str">
        <f aca="false">IF(EI131="","",IF(EI131&lt;9,EI131,9))</f>
        <v/>
      </c>
      <c r="EK131" s="0" t="str">
        <f aca="false">IF(EI131="","",IF(EI131&gt;9,EI131-EJ131,0))</f>
        <v/>
      </c>
      <c r="EL131" s="0" t="str">
        <f aca="false">IF(EI131="","",EJ131*DA131*2+EK131*DA131*3)</f>
        <v/>
      </c>
      <c r="EP131" s="0" t="n">
        <v>0</v>
      </c>
      <c r="EQ131" s="0"/>
      <c r="ER131" s="0" t="n">
        <v>0</v>
      </c>
      <c r="ET131" s="0" t="n">
        <v>0</v>
      </c>
      <c r="EV131" s="0" t="n">
        <v>0</v>
      </c>
      <c r="EX131" s="0" t="n">
        <v>0</v>
      </c>
      <c r="EY131" s="0" t="n">
        <v>0</v>
      </c>
      <c r="EZ131" s="0"/>
      <c r="FA131" s="4" t="n">
        <v>4500</v>
      </c>
      <c r="FB131" s="0" t="n">
        <v>0</v>
      </c>
      <c r="FF131" s="120" t="n">
        <f aca="false">(CJ131-CI131+1)/365</f>
        <v>1.23561643835616</v>
      </c>
      <c r="FG131" s="0" t="str">
        <f aca="false">CONCATENATE(F131,"/",G131)</f>
        <v>646/2011</v>
      </c>
      <c r="FH131" s="0" t="n">
        <v>0</v>
      </c>
      <c r="FI131" s="0" t="n">
        <v>0</v>
      </c>
    </row>
    <row r="132" customFormat="false" ht="15" hidden="false" customHeight="false" outlineLevel="0" collapsed="false">
      <c r="A132" s="5" t="str">
        <f aca="false">E132&amp;G132&amp;F132</f>
        <v>72011650</v>
      </c>
      <c r="B132" s="0" t="s">
        <v>203</v>
      </c>
      <c r="C132" s="1" t="n">
        <v>42410</v>
      </c>
      <c r="E132" s="0" t="n">
        <v>7</v>
      </c>
      <c r="F132" s="0" t="n">
        <v>650</v>
      </c>
      <c r="G132" s="0" t="n">
        <v>2011</v>
      </c>
      <c r="H132" s="0" t="str">
        <f aca="false">"J"&amp;E132&amp;"\"&amp;F132&amp;"\"&amp;G132&amp;"\"&amp;W132</f>
        <v>J7\650\2011\1</v>
      </c>
      <c r="I132" s="0"/>
      <c r="J132" s="1" t="n">
        <v>40641</v>
      </c>
      <c r="K132" s="0" t="n">
        <v>1</v>
      </c>
      <c r="L132" s="0" t="s">
        <v>1605</v>
      </c>
      <c r="M132" s="1" t="n">
        <v>40641</v>
      </c>
      <c r="N132" s="1" t="n">
        <v>40759</v>
      </c>
      <c r="O132" s="1"/>
      <c r="P132" s="1"/>
      <c r="Q132" s="1"/>
      <c r="T132" s="121"/>
      <c r="U132" s="121"/>
      <c r="V132" s="122" t="n">
        <f aca="false">IF(AND(E132&gt;0,F132&gt;0,G132&gt;0),COUNTIFS($E:$E,E132,$F:$F,F132,$G:$G,G132),"")</f>
        <v>1</v>
      </c>
      <c r="W132" s="122" t="n">
        <f aca="false">IF(V132="","",IF(V132=1,1,IF(AND(E131=E132,F131=F132,G131=G132),W131+1,1)))</f>
        <v>1</v>
      </c>
      <c r="X132" s="0" t="n">
        <v>1</v>
      </c>
      <c r="Y132" s="0" t="n">
        <v>5</v>
      </c>
      <c r="Z132" s="0" t="s">
        <v>1606</v>
      </c>
      <c r="AA132" s="0" t="n">
        <v>0</v>
      </c>
      <c r="AB132" s="0" t="s">
        <v>1607</v>
      </c>
      <c r="AC132" s="0" t="s">
        <v>1608</v>
      </c>
      <c r="AD132" s="0" t="s">
        <v>352</v>
      </c>
      <c r="AE132" s="0" t="n">
        <v>0</v>
      </c>
      <c r="AF132" s="0" t="s">
        <v>1609</v>
      </c>
      <c r="AG132" s="0" t="n">
        <v>0</v>
      </c>
      <c r="AH132" s="0" t="s">
        <v>1610</v>
      </c>
      <c r="AI132" s="0" t="s">
        <v>1611</v>
      </c>
      <c r="AJ132" s="0" t="s">
        <v>229</v>
      </c>
      <c r="AL132" s="0" t="s">
        <v>1612</v>
      </c>
      <c r="AM132" s="0" t="n">
        <v>0</v>
      </c>
      <c r="AN132" s="0" t="s">
        <v>1610</v>
      </c>
      <c r="AO132" s="0" t="s">
        <v>1611</v>
      </c>
      <c r="AP132" s="0" t="s">
        <v>229</v>
      </c>
      <c r="AR132" s="0" t="s">
        <v>1613</v>
      </c>
      <c r="AS132" s="0" t="n">
        <v>1</v>
      </c>
      <c r="AT132" s="0" t="s">
        <v>1610</v>
      </c>
      <c r="AU132" s="0" t="s">
        <v>1611</v>
      </c>
      <c r="AV132" s="0" t="s">
        <v>229</v>
      </c>
      <c r="AX132" s="0" t="s">
        <v>1614</v>
      </c>
      <c r="AY132" s="0" t="n">
        <v>1</v>
      </c>
      <c r="AZ132" s="0" t="s">
        <v>1610</v>
      </c>
      <c r="BA132" s="0" t="s">
        <v>1611</v>
      </c>
      <c r="BB132" s="0" t="s">
        <v>229</v>
      </c>
      <c r="BD132" s="0" t="s">
        <v>213</v>
      </c>
      <c r="BE132" s="0" t="n">
        <v>1</v>
      </c>
      <c r="BF132" s="0" t="s">
        <v>1610</v>
      </c>
      <c r="BG132" s="0" t="s">
        <v>1611</v>
      </c>
      <c r="BH132" s="0" t="s">
        <v>229</v>
      </c>
      <c r="BP132" s="0" t="n">
        <v>0</v>
      </c>
      <c r="BQ132" s="0" t="n">
        <v>0</v>
      </c>
      <c r="BR132" s="0" t="n">
        <v>1</v>
      </c>
      <c r="BS132" s="0" t="s">
        <v>1615</v>
      </c>
      <c r="BT132" s="0" t="s">
        <v>1616</v>
      </c>
      <c r="BU132" s="0" t="s">
        <v>1617</v>
      </c>
      <c r="BV132" s="123"/>
      <c r="BW132" s="123"/>
      <c r="BX132" s="123"/>
      <c r="BY132" s="123"/>
      <c r="BZ132" s="0" t="n">
        <v>0</v>
      </c>
      <c r="CA132" s="0" t="s">
        <v>216</v>
      </c>
      <c r="CD132" s="0" t="s">
        <v>216</v>
      </c>
      <c r="CE132" s="0" t="n">
        <v>0</v>
      </c>
      <c r="CF132" s="0" t="s">
        <v>1618</v>
      </c>
      <c r="CG132" s="0" t="s">
        <v>218</v>
      </c>
      <c r="CI132" s="1" t="n">
        <v>39930</v>
      </c>
      <c r="CJ132" s="1" t="n">
        <v>40582</v>
      </c>
      <c r="CK132" s="124" t="n">
        <v>0.6875</v>
      </c>
      <c r="CL132" s="0" t="s">
        <v>1613</v>
      </c>
      <c r="CM132" s="0" t="n">
        <f aca="false">IF(OR(CI132="",CJ132=""),"",DAYS360(CI132,CJ132)/360)</f>
        <v>1.78055555555556</v>
      </c>
      <c r="CN132" s="0" t="n">
        <f aca="false">IF(OR(CI132="",CJ132=""),"",DAYS360(CI132,CJ132)/30)</f>
        <v>21.3666666666667</v>
      </c>
      <c r="CO132" s="0" t="n">
        <f aca="false">IF(OR(CI132="",CJ132=""),"",DAYS360(CI132,CJ132)/7)</f>
        <v>91.5714285714286</v>
      </c>
      <c r="CP132" s="0" t="n">
        <f aca="false">IF(OR(CI132="",CJ132=""),"",DAYS360(CI132,CJ132))</f>
        <v>641</v>
      </c>
      <c r="CQ132" s="0" t="s">
        <v>240</v>
      </c>
      <c r="CR132" s="0" t="n">
        <v>1</v>
      </c>
      <c r="CT132" s="0" t="n">
        <v>150</v>
      </c>
      <c r="CU132" s="0" t="n">
        <v>0</v>
      </c>
      <c r="CV132" s="0" t="n">
        <f aca="false">IF(OR(CT132="",CT132="NO ESPECIFICA",CT132="NO MENCIONA"),"",IF(CU132=0,CT132,IF(CU132=1,CT132/30,IF(CU132=2,CT132/15,IF(CU132=3,CT132/7,"")))))</f>
        <v>150</v>
      </c>
      <c r="CW132" s="125" t="s">
        <v>216</v>
      </c>
      <c r="CX132" s="0" t="s">
        <v>216</v>
      </c>
      <c r="CY132" s="0" t="str">
        <f aca="false">IF(CW132="","",IF(CX132=0,CW132,IF(CX132=1,CW132/30,IF(CX132=2,CW132/15,IF(CX132=3,CW132/7,CW132)))))</f>
        <v>NO MENCIONA</v>
      </c>
      <c r="CZ132" s="0" t="n">
        <f aca="false">IF(DI132&gt;0,DI132,IF(CY132&gt;0,CY132,IF(CV132&gt;0,CV132,"")))</f>
        <v>166.66</v>
      </c>
      <c r="DA132" s="0" t="n">
        <f aca="false">IF(DM132=1,CZ132/8,IF(OR(DM132=2,DM132=4),CZ132/7,IF(DM132=3,CZ132/7.5,"")))</f>
        <v>20.8325</v>
      </c>
      <c r="DB132" s="0" t="s">
        <v>258</v>
      </c>
      <c r="DC132" s="0" t="s">
        <v>259</v>
      </c>
      <c r="DD132" s="0" t="s">
        <v>1619</v>
      </c>
      <c r="DE132" s="0" t="s">
        <v>1620</v>
      </c>
      <c r="DF132" s="0" t="s">
        <v>216</v>
      </c>
      <c r="DG132" s="0" t="s">
        <v>216</v>
      </c>
      <c r="DH132" s="0" t="n">
        <v>0</v>
      </c>
      <c r="DI132" s="126" t="n">
        <v>166.66</v>
      </c>
      <c r="DK132" s="0" t="n">
        <v>1</v>
      </c>
      <c r="DM132" s="0" t="n">
        <v>1</v>
      </c>
      <c r="DN132" s="0" t="n">
        <v>55</v>
      </c>
      <c r="DO132" s="0" t="n">
        <v>3</v>
      </c>
      <c r="DP132" s="0" t="n">
        <v>0</v>
      </c>
      <c r="DQ132" s="0" t="n">
        <v>1</v>
      </c>
      <c r="DR132" s="0"/>
      <c r="DS132" s="0" t="n">
        <v>1</v>
      </c>
      <c r="DU132" s="0" t="n">
        <v>1</v>
      </c>
      <c r="DW132" s="1" t="n">
        <v>39930</v>
      </c>
      <c r="DX132" s="1" t="n">
        <v>40582</v>
      </c>
      <c r="DZ132" s="0"/>
      <c r="EA132" s="0" t="n">
        <v>1</v>
      </c>
      <c r="EC132" s="1" t="n">
        <v>39930</v>
      </c>
      <c r="ED132" s="1" t="n">
        <v>40582</v>
      </c>
      <c r="EF132" s="0"/>
      <c r="EG132" s="0" t="n">
        <v>0</v>
      </c>
      <c r="EI132" s="0" t="n">
        <f aca="false">IF(AND(DM132=1,DN132&lt;=48),"",IF(AND(DM132=2,DN132&lt;=42),"",IF(AND(DM132=3,DN132&lt;=45),"",EH132)))</f>
        <v>0</v>
      </c>
      <c r="EJ132" s="0" t="str">
        <f aca="false">IF(EI132="","",IF(EI132&lt;9,EI132,9))</f>
        <v/>
      </c>
      <c r="EK132" s="0" t="str">
        <f aca="false">IF(EI132="","",IF(EI132&gt;9,EI132-EJ132,0))</f>
        <v/>
      </c>
      <c r="EL132" s="0" t="str">
        <f aca="false">IF(EI132="","",EJ132*DA132*2+EK132*DA132*3)</f>
        <v/>
      </c>
      <c r="EP132" s="0" t="n">
        <v>0</v>
      </c>
      <c r="EQ132" s="0"/>
      <c r="ER132" s="0" t="n">
        <v>0</v>
      </c>
      <c r="ET132" s="0" t="n">
        <v>0</v>
      </c>
      <c r="EV132" s="0" t="n">
        <v>0</v>
      </c>
      <c r="EX132" s="0" t="n">
        <v>0</v>
      </c>
      <c r="EY132" s="0" t="n">
        <v>1</v>
      </c>
      <c r="EZ132" s="0"/>
      <c r="FA132" s="4" t="n">
        <v>1333.33</v>
      </c>
      <c r="FB132" s="0" t="n">
        <v>0</v>
      </c>
      <c r="FF132" s="120" t="n">
        <f aca="false">(CJ132-CI132+1)/365</f>
        <v>1.78904109589041</v>
      </c>
      <c r="FG132" s="0" t="str">
        <f aca="false">CONCATENATE(F132,"/",G132)</f>
        <v>650/2011</v>
      </c>
      <c r="FH132" s="0" t="n">
        <v>0</v>
      </c>
      <c r="FI132" s="0" t="n">
        <v>0</v>
      </c>
    </row>
    <row r="133" customFormat="false" ht="15" hidden="false" customHeight="false" outlineLevel="0" collapsed="false">
      <c r="A133" s="5" t="str">
        <f aca="false">E133&amp;G133&amp;F133</f>
        <v>72011653</v>
      </c>
      <c r="B133" s="0" t="s">
        <v>203</v>
      </c>
      <c r="C133" s="1" t="n">
        <v>42410</v>
      </c>
      <c r="E133" s="0" t="n">
        <v>7</v>
      </c>
      <c r="F133" s="0" t="n">
        <v>653</v>
      </c>
      <c r="G133" s="0" t="n">
        <v>2011</v>
      </c>
      <c r="H133" s="0" t="str">
        <f aca="false">"J"&amp;E133&amp;"\"&amp;F133&amp;"\"&amp;G133&amp;"\"&amp;W133</f>
        <v>J7\653\2011\1</v>
      </c>
      <c r="I133" s="0"/>
      <c r="J133" s="1" t="n">
        <v>40644</v>
      </c>
      <c r="K133" s="0" t="n">
        <v>0</v>
      </c>
      <c r="M133" s="1"/>
      <c r="N133" s="1"/>
      <c r="O133" s="1"/>
      <c r="P133" s="1"/>
      <c r="Q133" s="1"/>
      <c r="T133" s="121"/>
      <c r="U133" s="121"/>
      <c r="V133" s="122" t="n">
        <f aca="false">IF(AND(E133&gt;0,F133&gt;0,G133&gt;0),COUNTIFS($E:$E,E133,$F:$F,F133,$G:$G,G133),"")</f>
        <v>1</v>
      </c>
      <c r="W133" s="122" t="n">
        <f aca="false">IF(V133="","",IF(V133=1,1,IF(AND(E132=E133,F132=F133,G132=G133),W132+1,1)))</f>
        <v>1</v>
      </c>
      <c r="X133" s="0" t="n">
        <v>1</v>
      </c>
      <c r="Y133" s="0" t="n">
        <v>3</v>
      </c>
      <c r="Z133" s="0" t="s">
        <v>1621</v>
      </c>
      <c r="AA133" s="0" t="n">
        <v>0</v>
      </c>
      <c r="AB133" s="0" t="s">
        <v>348</v>
      </c>
      <c r="AC133" s="0" t="s">
        <v>216</v>
      </c>
      <c r="AD133" s="0" t="s">
        <v>216</v>
      </c>
      <c r="AE133" s="0" t="n">
        <v>0</v>
      </c>
      <c r="AF133" s="0" t="s">
        <v>1622</v>
      </c>
      <c r="AG133" s="0" t="n">
        <v>0</v>
      </c>
      <c r="AH133" s="0" t="s">
        <v>1623</v>
      </c>
      <c r="AI133" s="0" t="s">
        <v>728</v>
      </c>
      <c r="AJ133" s="0" t="s">
        <v>352</v>
      </c>
      <c r="AL133" s="0" t="s">
        <v>1624</v>
      </c>
      <c r="AM133" s="0" t="n">
        <v>1</v>
      </c>
      <c r="AN133" s="0" t="s">
        <v>1623</v>
      </c>
      <c r="AO133" s="0" t="s">
        <v>728</v>
      </c>
      <c r="AP133" s="0" t="s">
        <v>352</v>
      </c>
      <c r="AR133" s="0" t="s">
        <v>213</v>
      </c>
      <c r="AS133" s="0" t="n">
        <v>1</v>
      </c>
      <c r="AT133" s="0" t="s">
        <v>1623</v>
      </c>
      <c r="AU133" s="0" t="s">
        <v>728</v>
      </c>
      <c r="AV133" s="0" t="s">
        <v>352</v>
      </c>
      <c r="BP133" s="0" t="n">
        <v>0</v>
      </c>
      <c r="BQ133" s="0" t="n">
        <v>0</v>
      </c>
      <c r="BR133" s="0" t="n">
        <v>3</v>
      </c>
      <c r="BS133" s="0" t="s">
        <v>1625</v>
      </c>
      <c r="BT133" s="0" t="s">
        <v>1626</v>
      </c>
      <c r="BU133" s="0" t="s">
        <v>426</v>
      </c>
      <c r="BV133" s="123"/>
      <c r="BW133" s="123"/>
      <c r="BX133" s="123"/>
      <c r="BY133" s="123"/>
      <c r="BZ133" s="0" t="n">
        <v>0</v>
      </c>
      <c r="CA133" s="0" t="s">
        <v>348</v>
      </c>
      <c r="CD133" s="0" t="s">
        <v>296</v>
      </c>
      <c r="CE133" s="0" t="n">
        <v>0</v>
      </c>
      <c r="CF133" s="0" t="s">
        <v>1627</v>
      </c>
      <c r="CG133" s="0" t="s">
        <v>218</v>
      </c>
      <c r="CI133" s="1" t="n">
        <v>40189</v>
      </c>
      <c r="CJ133" s="1" t="n">
        <v>40600</v>
      </c>
      <c r="CK133" s="124" t="n">
        <v>0.666666666666667</v>
      </c>
      <c r="CL133" s="0" t="s">
        <v>1624</v>
      </c>
      <c r="CM133" s="0" t="n">
        <f aca="false">IF(OR(CI133="",CJ133=""),"",DAYS360(CI133,CJ133)/360)</f>
        <v>1.125</v>
      </c>
      <c r="CN133" s="0" t="n">
        <f aca="false">IF(OR(CI133="",CJ133=""),"",DAYS360(CI133,CJ133)/30)</f>
        <v>13.5</v>
      </c>
      <c r="CO133" s="0" t="n">
        <f aca="false">IF(OR(CI133="",CJ133=""),"",DAYS360(CI133,CJ133)/7)</f>
        <v>57.8571428571429</v>
      </c>
      <c r="CP133" s="0" t="n">
        <f aca="false">IF(OR(CI133="",CJ133=""),"",DAYS360(CI133,CJ133))</f>
        <v>405</v>
      </c>
      <c r="CQ133" s="0" t="s">
        <v>240</v>
      </c>
      <c r="CR133" s="0" t="n">
        <v>1</v>
      </c>
      <c r="CT133" s="0" t="n">
        <v>132.06</v>
      </c>
      <c r="CV133" s="0" t="n">
        <f aca="false">IF(OR(CT133="",CT133="NO ESPECIFICA",CT133="NO MENCIONA"),"",IF(CU133=0,CT133,IF(CU133=1,CT133/30,IF(CU133=2,CT133/15,IF(CU133=3,CT133/7,"")))))</f>
        <v>132.06</v>
      </c>
      <c r="CW133" s="125" t="n">
        <v>138.02</v>
      </c>
      <c r="CX133" s="0" t="n">
        <v>0</v>
      </c>
      <c r="CY133" s="0" t="n">
        <f aca="false">IF(CW133="","",IF(CX133=0,CW133,IF(CX133=1,CW133/30,IF(CX133=2,CW133/15,IF(CX133=3,CW133/7,CW133)))))</f>
        <v>138.02</v>
      </c>
      <c r="CZ133" s="0" t="n">
        <f aca="false">IF(DI133&gt;0,DI133,IF(CY133&gt;0,CY133,IF(CV133&gt;0,CV133,"")))</f>
        <v>138.02</v>
      </c>
      <c r="DA133" s="0" t="n">
        <f aca="false">IF(DM133=1,CZ133/8,IF(OR(DM133=2,DM133=4),CZ133/7,IF(DM133=3,CZ133/7.5,"")))</f>
        <v>18.4026666666667</v>
      </c>
      <c r="DB133" s="0" t="s">
        <v>303</v>
      </c>
      <c r="DC133" s="0" t="s">
        <v>301</v>
      </c>
      <c r="DD133" s="0" t="s">
        <v>216</v>
      </c>
      <c r="DE133" s="0" t="s">
        <v>216</v>
      </c>
      <c r="DF133" s="0" t="s">
        <v>216</v>
      </c>
      <c r="DG133" s="0" t="s">
        <v>216</v>
      </c>
      <c r="DH133" s="0" t="n">
        <v>0</v>
      </c>
      <c r="DI133" s="126" t="n">
        <v>138.02</v>
      </c>
      <c r="DK133" s="0" t="n">
        <v>0</v>
      </c>
      <c r="DM133" s="0" t="n">
        <v>3</v>
      </c>
      <c r="DN133" s="0" t="n">
        <v>42</v>
      </c>
      <c r="DO133" s="0" t="n">
        <v>3</v>
      </c>
      <c r="DP133" s="0" t="n">
        <v>0</v>
      </c>
      <c r="DQ133" s="0" t="n">
        <v>1</v>
      </c>
      <c r="DR133" s="0"/>
      <c r="DS133" s="0" t="n">
        <v>1</v>
      </c>
      <c r="DU133" s="0" t="n">
        <v>1</v>
      </c>
      <c r="DW133" s="1" t="n">
        <v>40189</v>
      </c>
      <c r="DX133" s="1" t="n">
        <v>40600</v>
      </c>
      <c r="DZ133" s="0"/>
      <c r="EA133" s="0" t="n">
        <v>1</v>
      </c>
      <c r="EC133" s="1" t="n">
        <v>40189</v>
      </c>
      <c r="ED133" s="1" t="n">
        <v>40600</v>
      </c>
      <c r="EF133" s="0"/>
      <c r="EG133" s="0" t="n">
        <v>0</v>
      </c>
      <c r="EI133" s="0" t="str">
        <f aca="false">IF(AND(DM133=1,DN133&lt;=48),"",IF(AND(DM133=2,DN133&lt;=42),"",IF(AND(DM133=3,DN133&lt;=45),"",EH133)))</f>
        <v/>
      </c>
      <c r="EJ133" s="0" t="str">
        <f aca="false">IF(EI133="","",IF(EI133&lt;9,EI133,9))</f>
        <v/>
      </c>
      <c r="EK133" s="0" t="str">
        <f aca="false">IF(EI133="","",IF(EI133&gt;9,EI133-EJ133,0))</f>
        <v/>
      </c>
      <c r="EL133" s="0" t="str">
        <f aca="false">IF(EI133="","",EJ133*DA133*2+EK133*DA133*3)</f>
        <v/>
      </c>
      <c r="EP133" s="0" t="n">
        <v>0</v>
      </c>
      <c r="EQ133" s="0"/>
      <c r="ER133" s="0" t="n">
        <v>0</v>
      </c>
      <c r="ET133" s="0" t="n">
        <v>0</v>
      </c>
      <c r="EV133" s="0" t="n">
        <v>0</v>
      </c>
      <c r="EX133" s="0" t="n">
        <v>0</v>
      </c>
      <c r="EY133" s="0" t="n">
        <v>0</v>
      </c>
      <c r="EZ133" s="0"/>
      <c r="FA133" s="4" t="n">
        <v>1242.18</v>
      </c>
      <c r="FB133" s="0" t="n">
        <v>1</v>
      </c>
      <c r="FF133" s="120" t="n">
        <f aca="false">(CJ133-CI133+1)/365</f>
        <v>1.12876712328767</v>
      </c>
      <c r="FG133" s="0" t="str">
        <f aca="false">CONCATENATE(F133,"/",G133)</f>
        <v>653/2011</v>
      </c>
      <c r="FH133" s="0" t="n">
        <v>0</v>
      </c>
      <c r="FI133" s="0" t="n">
        <v>0</v>
      </c>
    </row>
    <row r="134" customFormat="false" ht="15" hidden="false" customHeight="false" outlineLevel="0" collapsed="false">
      <c r="A134" s="5" t="str">
        <f aca="false">E134&amp;G134&amp;F134</f>
        <v>7201112</v>
      </c>
      <c r="B134" s="0" t="s">
        <v>203</v>
      </c>
      <c r="C134" s="1" t="n">
        <v>42410</v>
      </c>
      <c r="D134" s="0" t="s">
        <v>1628</v>
      </c>
      <c r="E134" s="0" t="n">
        <v>7</v>
      </c>
      <c r="F134" s="0" t="n">
        <v>12</v>
      </c>
      <c r="G134" s="0" t="n">
        <v>2011</v>
      </c>
      <c r="H134" s="0" t="str">
        <f aca="false">"J"&amp;E134&amp;"\"&amp;F134&amp;"\"&amp;G134&amp;"\"&amp;W134</f>
        <v>J7\12\2011\1</v>
      </c>
      <c r="I134" s="0"/>
      <c r="J134" s="0"/>
      <c r="M134" s="1"/>
      <c r="N134" s="1"/>
      <c r="O134" s="1"/>
      <c r="P134" s="1"/>
      <c r="Q134" s="1"/>
      <c r="T134" s="121"/>
      <c r="U134" s="121"/>
      <c r="V134" s="122" t="n">
        <f aca="false">IF(AND(E134&gt;0,F134&gt;0,G134&gt;0),COUNTIFS($E:$E,E134,$F:$F,F134,$G:$G,G134),"")</f>
        <v>1</v>
      </c>
      <c r="W134" s="122" t="n">
        <f aca="false">IF(V134="","",IF(V134=1,1,IF(AND(E133=E134,F133=F134,G133=G134),W133+1,1)))</f>
        <v>1</v>
      </c>
      <c r="BV134" s="123"/>
      <c r="BW134" s="123"/>
      <c r="BX134" s="123"/>
      <c r="BY134" s="123"/>
      <c r="CI134" s="0"/>
      <c r="CJ134" s="0"/>
      <c r="CK134" s="124"/>
      <c r="CM134" s="0" t="str">
        <f aca="false">IF(OR(CI134="",CJ134=""),"",DAYS360(CI134,CJ134)/360)</f>
        <v/>
      </c>
      <c r="CN134" s="0" t="str">
        <f aca="false">IF(OR(CI134="",CJ134=""),"",DAYS360(CI134,CJ134)/30)</f>
        <v/>
      </c>
      <c r="CO134" s="0" t="str">
        <f aca="false">IF(OR(CI134="",CJ134=""),"",DAYS360(CI134,CJ134)/7)</f>
        <v/>
      </c>
      <c r="CP134" s="0" t="str">
        <f aca="false">IF(OR(CI134="",CJ134=""),"",DAYS360(CI134,CJ134))</f>
        <v/>
      </c>
      <c r="CT134" s="0"/>
      <c r="CV134" s="0" t="str">
        <f aca="false">IF(OR(CT134="",CT134="NO ESPECIFICA",CT134="NO MENCIONA"),"",IF(CU134=0,CT134,IF(CU134=1,CT134/30,IF(CU134=2,CT134/15,IF(CU134=3,CT134/7,"")))))</f>
        <v/>
      </c>
      <c r="CW134" s="0"/>
      <c r="CY134" s="0" t="str">
        <f aca="false">IF(CW134="","",IF(CX134=0,CW134,IF(CX134=1,CW134/30,IF(CX134=2,CW134/15,IF(CX134=3,CW134/7,CW134)))))</f>
        <v/>
      </c>
      <c r="CZ134" s="0" t="str">
        <f aca="false">IF(DI134&gt;0,DI134,IF(CY134&gt;0,CY134,IF(CV134&gt;0,CV134,"")))</f>
        <v/>
      </c>
      <c r="DA134" s="0" t="str">
        <f aca="false">IF(DM134=1,CZ134/8,IF(OR(DM134=2,DM134=4),CZ134/7,IF(DM134=3,CZ134/7.5,"")))</f>
        <v/>
      </c>
      <c r="DI134" s="0"/>
      <c r="DR134" s="0"/>
      <c r="DW134" s="0"/>
      <c r="DX134" s="0"/>
      <c r="DZ134" s="0"/>
      <c r="EC134" s="0"/>
      <c r="ED134" s="0"/>
      <c r="EF134" s="0"/>
      <c r="EI134" s="0" t="n">
        <f aca="false">IF(AND(DM134=1,DN134&lt;=48),"",IF(AND(DM134=2,DN134&lt;=42),"",IF(AND(DM134=3,DN134&lt;=45),"",EH134)))</f>
        <v>0</v>
      </c>
      <c r="EJ134" s="0" t="str">
        <f aca="false">IF(EI134="","",IF(EI134&lt;9,EI134,9))</f>
        <v/>
      </c>
      <c r="EK134" s="0" t="str">
        <f aca="false">IF(EI134="","",IF(EI134&gt;9,EI134-EJ134,0))</f>
        <v/>
      </c>
      <c r="EL134" s="0" t="str">
        <f aca="false">IF(EI134="","",EJ134*DA134*2+EK134*DA134*3)</f>
        <v/>
      </c>
      <c r="EQ134" s="0"/>
      <c r="EZ134" s="0"/>
      <c r="FA134" s="0"/>
      <c r="FF134" s="120" t="n">
        <f aca="false">(CJ134-CI134+1)/365</f>
        <v>0.00273972602739726</v>
      </c>
      <c r="FG134" s="0" t="str">
        <f aca="false">CONCATENATE(F134,"/",G134)</f>
        <v>12/2011</v>
      </c>
      <c r="FH134" s="0" t="n">
        <v>0</v>
      </c>
      <c r="FI134" s="0" t="n">
        <v>0</v>
      </c>
    </row>
    <row r="135" customFormat="false" ht="15" hidden="false" customHeight="false" outlineLevel="0" collapsed="false">
      <c r="A135" s="5" t="str">
        <f aca="false">E135&amp;G135&amp;F135</f>
        <v>720111434</v>
      </c>
      <c r="B135" s="0" t="s">
        <v>1629</v>
      </c>
      <c r="C135" s="1" t="n">
        <v>42406</v>
      </c>
      <c r="D135" s="0" t="s">
        <v>1630</v>
      </c>
      <c r="E135" s="0" t="n">
        <v>7</v>
      </c>
      <c r="F135" s="0" t="n">
        <v>1434</v>
      </c>
      <c r="G135" s="0" t="n">
        <v>2011</v>
      </c>
      <c r="H135" s="0" t="str">
        <f aca="false">"J"&amp;E135&amp;"\"&amp;F135&amp;"\"&amp;G135&amp;"\"&amp;W135</f>
        <v>J7\1434\2011\1</v>
      </c>
      <c r="I135" s="0"/>
      <c r="J135" s="1" t="n">
        <v>40777</v>
      </c>
      <c r="K135" s="0" t="n">
        <v>0</v>
      </c>
      <c r="M135" s="1"/>
      <c r="N135" s="1"/>
      <c r="O135" s="1"/>
      <c r="P135" s="1"/>
      <c r="Q135" s="1"/>
      <c r="T135" s="121"/>
      <c r="U135" s="121"/>
      <c r="V135" s="122" t="n">
        <f aca="false">IF(AND(E135&gt;0,F135&gt;0,G135&gt;0),COUNTIFS($E:$E,E135,$F:$F,F135,$G:$G,G135),"")</f>
        <v>1</v>
      </c>
      <c r="W135" s="122" t="n">
        <f aca="false">IF(V135="","",IF(V135=1,1,IF(AND(E134=E135,F134=F135,G134=G135),W134+1,1)))</f>
        <v>1</v>
      </c>
      <c r="X135" s="0" t="n">
        <v>1</v>
      </c>
      <c r="Y135" s="0" t="n">
        <v>3</v>
      </c>
      <c r="Z135" s="0" t="s">
        <v>1631</v>
      </c>
      <c r="AA135" s="0" t="n">
        <v>0</v>
      </c>
      <c r="AB135" s="0" t="s">
        <v>1632</v>
      </c>
      <c r="AC135" s="0" t="s">
        <v>697</v>
      </c>
      <c r="AD135" s="0" t="s">
        <v>207</v>
      </c>
      <c r="AE135" s="0" t="n">
        <v>0</v>
      </c>
      <c r="AF135" s="0" t="s">
        <v>1633</v>
      </c>
      <c r="AG135" s="0" t="n">
        <v>0</v>
      </c>
      <c r="AH135" s="0" t="s">
        <v>1634</v>
      </c>
      <c r="AI135" s="0" t="s">
        <v>1635</v>
      </c>
      <c r="AJ135" s="0" t="s">
        <v>229</v>
      </c>
      <c r="AL135" s="0" t="s">
        <v>1636</v>
      </c>
      <c r="AM135" s="0" t="n">
        <v>1</v>
      </c>
      <c r="AN135" s="0" t="s">
        <v>1634</v>
      </c>
      <c r="AO135" s="0" t="s">
        <v>1635</v>
      </c>
      <c r="AP135" s="0" t="s">
        <v>229</v>
      </c>
      <c r="AR135" s="0" t="s">
        <v>1637</v>
      </c>
      <c r="AS135" s="0" t="n">
        <v>1</v>
      </c>
      <c r="AT135" s="0" t="s">
        <v>1634</v>
      </c>
      <c r="AU135" s="0" t="s">
        <v>1635</v>
      </c>
      <c r="AV135" s="0" t="s">
        <v>229</v>
      </c>
      <c r="BP135" s="0" t="n">
        <v>0</v>
      </c>
      <c r="BQ135" s="0" t="n">
        <v>0</v>
      </c>
      <c r="BR135" s="0" t="n">
        <v>1</v>
      </c>
      <c r="BS135" s="0" t="s">
        <v>1638</v>
      </c>
      <c r="BT135" s="0" t="s">
        <v>1639</v>
      </c>
      <c r="BU135" s="0" t="s">
        <v>1640</v>
      </c>
      <c r="BV135" s="123"/>
      <c r="BW135" s="123"/>
      <c r="BX135" s="123"/>
      <c r="BY135" s="123"/>
      <c r="CA135" s="0" t="s">
        <v>216</v>
      </c>
      <c r="CD135" s="0" t="s">
        <v>296</v>
      </c>
      <c r="CE135" s="0" t="n">
        <v>0</v>
      </c>
      <c r="CF135" s="0" t="s">
        <v>1641</v>
      </c>
      <c r="CI135" s="1" t="n">
        <v>40735</v>
      </c>
      <c r="CJ135" s="1" t="n">
        <v>40771</v>
      </c>
      <c r="CK135" s="124" t="n">
        <v>0.666666666666667</v>
      </c>
      <c r="CL135" s="0" t="s">
        <v>1636</v>
      </c>
      <c r="CM135" s="0" t="n">
        <f aca="false">IF(OR(CI135="",CJ135=""),"",DAYS360(CI135,CJ135)/360)</f>
        <v>0.0972222222222222</v>
      </c>
      <c r="CN135" s="0" t="n">
        <f aca="false">IF(OR(CI135="",CJ135=""),"",DAYS360(CI135,CJ135)/30)</f>
        <v>1.16666666666667</v>
      </c>
      <c r="CO135" s="0" t="n">
        <f aca="false">IF(OR(CI135="",CJ135=""),"",DAYS360(CI135,CJ135)/7)</f>
        <v>5</v>
      </c>
      <c r="CP135" s="0" t="n">
        <f aca="false">IF(OR(CI135="",CJ135=""),"",DAYS360(CI135,CJ135))</f>
        <v>35</v>
      </c>
      <c r="CQ135" s="0" t="s">
        <v>240</v>
      </c>
      <c r="CR135" s="0" t="n">
        <v>1</v>
      </c>
      <c r="CT135" s="0" t="n">
        <v>96.72</v>
      </c>
      <c r="CU135" s="0" t="n">
        <v>0</v>
      </c>
      <c r="CV135" s="0" t="n">
        <f aca="false">IF(OR(CT135="",CT135="NO ESPECIFICA",CT135="NO MENCIONA"),"",IF(CU135=0,CT135,IF(CU135=1,CT135/30,IF(CU135=2,CT135/15,IF(CU135=3,CT135/7,"")))))</f>
        <v>96.72</v>
      </c>
      <c r="CW135" s="125" t="n">
        <v>116.72</v>
      </c>
      <c r="CX135" s="0" t="n">
        <v>0</v>
      </c>
      <c r="CY135" s="0" t="n">
        <f aca="false">IF(CW135="","",IF(CX135=0,CW135,IF(CX135=1,CW135/30,IF(CX135=2,CW135/15,IF(CX135=3,CW135/7,CW135)))))</f>
        <v>116.72</v>
      </c>
      <c r="CZ135" s="0" t="n">
        <f aca="false">IF(DI135&gt;0,DI135,IF(CY135&gt;0,CY135,IF(CV135&gt;0,CV135,"")))</f>
        <v>116.72</v>
      </c>
      <c r="DA135" s="0" t="n">
        <f aca="false">IF(DM135=1,CZ135/8,IF(OR(DM135=2,DM135=4),CZ135/7,IF(DM135=3,CZ135/7.5,"")))</f>
        <v>14.59</v>
      </c>
      <c r="DB135" s="0" t="s">
        <v>299</v>
      </c>
      <c r="DC135" s="0" t="s">
        <v>216</v>
      </c>
      <c r="DD135" s="0" t="s">
        <v>216</v>
      </c>
      <c r="DE135" s="0" t="s">
        <v>216</v>
      </c>
      <c r="DF135" s="0" t="s">
        <v>216</v>
      </c>
      <c r="DG135" s="0" t="s">
        <v>216</v>
      </c>
      <c r="DH135" s="0" t="n">
        <v>0</v>
      </c>
      <c r="DI135" s="126" t="n">
        <v>116.72</v>
      </c>
      <c r="DK135" s="0" t="n">
        <v>0</v>
      </c>
      <c r="DM135" s="0" t="n">
        <v>1</v>
      </c>
      <c r="DN135" s="0" t="n">
        <v>60</v>
      </c>
      <c r="DO135" s="0" t="n">
        <v>3</v>
      </c>
      <c r="DP135" s="0" t="n">
        <v>0</v>
      </c>
      <c r="DQ135" s="0" t="n">
        <v>1</v>
      </c>
      <c r="DR135" s="0"/>
      <c r="DS135" s="0" t="n">
        <v>1</v>
      </c>
      <c r="DU135" s="0" t="n">
        <v>1</v>
      </c>
      <c r="DW135" s="1" t="n">
        <v>40735</v>
      </c>
      <c r="DX135" s="1" t="n">
        <v>40771</v>
      </c>
      <c r="DZ135" s="0"/>
      <c r="EA135" s="0" t="n">
        <v>1</v>
      </c>
      <c r="EC135" s="1" t="n">
        <v>40735</v>
      </c>
      <c r="ED135" s="1" t="n">
        <v>40771</v>
      </c>
      <c r="EF135" s="0"/>
      <c r="EG135" s="0" t="n">
        <v>1</v>
      </c>
      <c r="EH135" s="0" t="n">
        <v>12</v>
      </c>
      <c r="EI135" s="0" t="n">
        <f aca="false">IF(AND(DM135=1,DN135&lt;=48),"",IF(AND(DM135=2,DN135&lt;=42),"",IF(AND(DM135=3,DN135&lt;=45),"",EH135)))</f>
        <v>12</v>
      </c>
      <c r="EJ135" s="0" t="n">
        <f aca="false">IF(EI135="","",IF(EI135&lt;9,EI135,9))</f>
        <v>9</v>
      </c>
      <c r="EK135" s="0" t="n">
        <f aca="false">IF(EI135="","",IF(EI135&gt;9,EI135-EJ135,0))</f>
        <v>3</v>
      </c>
      <c r="EL135" s="0" t="n">
        <f aca="false">IF(EI135="","",EJ135*DA135*2+EK135*DA135*3)</f>
        <v>393.93</v>
      </c>
      <c r="EP135" s="0" t="n">
        <v>1</v>
      </c>
      <c r="EQ135" s="0"/>
      <c r="ER135" s="0" t="n">
        <v>0</v>
      </c>
      <c r="ET135" s="0" t="n">
        <v>0</v>
      </c>
      <c r="EV135" s="0" t="n">
        <v>0</v>
      </c>
      <c r="EX135" s="0" t="n">
        <v>1</v>
      </c>
      <c r="EY135" s="0" t="n">
        <v>1</v>
      </c>
      <c r="EZ135" s="0"/>
      <c r="FA135" s="4" t="n">
        <f aca="false">DJ135*16</f>
        <v>0</v>
      </c>
      <c r="FB135" s="0" t="n">
        <v>0</v>
      </c>
      <c r="FF135" s="120" t="n">
        <f aca="false">(CJ135-CI135+1)/365</f>
        <v>0.101369863013699</v>
      </c>
      <c r="FG135" s="0" t="str">
        <f aca="false">CONCATENATE(F135,"/",G135)</f>
        <v>1434/2011</v>
      </c>
      <c r="FH135" s="0" t="n">
        <v>0</v>
      </c>
      <c r="FI135" s="0" t="n">
        <v>0</v>
      </c>
    </row>
    <row r="136" customFormat="false" ht="15" hidden="false" customHeight="false" outlineLevel="0" collapsed="false">
      <c r="A136" s="5" t="str">
        <f aca="false">E136&amp;G136&amp;F136</f>
        <v>720111435</v>
      </c>
      <c r="B136" s="0" t="s">
        <v>1629</v>
      </c>
      <c r="C136" s="1" t="n">
        <v>42406</v>
      </c>
      <c r="D136" s="0" t="s">
        <v>1630</v>
      </c>
      <c r="E136" s="0" t="n">
        <v>7</v>
      </c>
      <c r="F136" s="0" t="n">
        <v>1435</v>
      </c>
      <c r="G136" s="0" t="n">
        <v>2011</v>
      </c>
      <c r="H136" s="0" t="str">
        <f aca="false">"J"&amp;E136&amp;"\"&amp;F136&amp;"\"&amp;G136&amp;"\"&amp;W136</f>
        <v>J7\1435\2011\1</v>
      </c>
      <c r="I136" s="0"/>
      <c r="J136" s="1" t="n">
        <v>40777</v>
      </c>
      <c r="K136" s="0" t="n">
        <v>0</v>
      </c>
      <c r="M136" s="1"/>
      <c r="N136" s="1"/>
      <c r="O136" s="1"/>
      <c r="P136" s="1"/>
      <c r="Q136" s="1"/>
      <c r="T136" s="121"/>
      <c r="U136" s="121"/>
      <c r="V136" s="122" t="n">
        <f aca="false">IF(AND(E136&gt;0,F136&gt;0,G136&gt;0),COUNTIFS($E:$E,E136,$F:$F,F136,$G:$G,G136),"")</f>
        <v>1</v>
      </c>
      <c r="W136" s="122" t="n">
        <f aca="false">IF(V136="","",IF(V136=1,1,IF(AND(E135=E136,F135=F136,G135=G136),W135+1,1)))</f>
        <v>1</v>
      </c>
      <c r="X136" s="0" t="n">
        <v>1</v>
      </c>
      <c r="Y136" s="0" t="n">
        <v>3</v>
      </c>
      <c r="Z136" s="0" t="s">
        <v>1642</v>
      </c>
      <c r="AA136" s="0" t="n">
        <v>0</v>
      </c>
      <c r="AB136" s="0" t="s">
        <v>1643</v>
      </c>
      <c r="AC136" s="0" t="s">
        <v>1644</v>
      </c>
      <c r="AD136" s="0" t="s">
        <v>322</v>
      </c>
      <c r="AE136" s="0" t="n">
        <v>0</v>
      </c>
      <c r="AF136" s="0" t="s">
        <v>1645</v>
      </c>
      <c r="AG136" s="0" t="n">
        <v>0</v>
      </c>
      <c r="AH136" s="0" t="s">
        <v>1646</v>
      </c>
      <c r="AI136" s="0" t="s">
        <v>274</v>
      </c>
      <c r="AJ136" s="0" t="s">
        <v>229</v>
      </c>
      <c r="AL136" s="0" t="s">
        <v>1647</v>
      </c>
      <c r="AM136" s="0" t="n">
        <v>1</v>
      </c>
      <c r="AN136" s="0" t="s">
        <v>1646</v>
      </c>
      <c r="AO136" s="0" t="s">
        <v>274</v>
      </c>
      <c r="AP136" s="0" t="s">
        <v>229</v>
      </c>
      <c r="AR136" s="0" t="s">
        <v>1637</v>
      </c>
      <c r="AS136" s="0" t="n">
        <v>1</v>
      </c>
      <c r="AT136" s="0" t="s">
        <v>1646</v>
      </c>
      <c r="AU136" s="0" t="s">
        <v>274</v>
      </c>
      <c r="AV136" s="0" t="s">
        <v>229</v>
      </c>
      <c r="BP136" s="0" t="n">
        <v>0</v>
      </c>
      <c r="BQ136" s="0" t="n">
        <v>0</v>
      </c>
      <c r="BR136" s="0" t="n">
        <v>1</v>
      </c>
      <c r="BS136" s="0" t="s">
        <v>1648</v>
      </c>
      <c r="BT136" s="0" t="s">
        <v>1649</v>
      </c>
      <c r="BU136" s="0" t="s">
        <v>1650</v>
      </c>
      <c r="BV136" s="123"/>
      <c r="BW136" s="123"/>
      <c r="BX136" s="123"/>
      <c r="BY136" s="123"/>
      <c r="CA136" s="0" t="s">
        <v>216</v>
      </c>
      <c r="CD136" s="0" t="s">
        <v>370</v>
      </c>
      <c r="CE136" s="0" t="n">
        <v>0</v>
      </c>
      <c r="CF136" s="0" t="s">
        <v>1651</v>
      </c>
      <c r="CI136" s="1" t="n">
        <v>40117</v>
      </c>
      <c r="CJ136" s="1" t="n">
        <v>40766</v>
      </c>
      <c r="CK136" s="124" t="n">
        <v>0.333333333333333</v>
      </c>
      <c r="CL136" s="0" t="s">
        <v>1647</v>
      </c>
      <c r="CM136" s="0" t="n">
        <f aca="false">IF(OR(CI136="",CJ136=""),"",DAYS360(CI136,CJ136)/360)</f>
        <v>1.78055555555556</v>
      </c>
      <c r="CN136" s="0" t="n">
        <f aca="false">IF(OR(CI136="",CJ136=""),"",DAYS360(CI136,CJ136)/30)</f>
        <v>21.3666666666667</v>
      </c>
      <c r="CO136" s="0" t="n">
        <f aca="false">IF(OR(CI136="",CJ136=""),"",DAYS360(CI136,CJ136)/7)</f>
        <v>91.5714285714286</v>
      </c>
      <c r="CP136" s="0" t="n">
        <f aca="false">IF(OR(CI136="",CJ136=""),"",DAYS360(CI136,CJ136))</f>
        <v>641</v>
      </c>
      <c r="CQ136" s="0" t="s">
        <v>240</v>
      </c>
      <c r="CR136" s="0" t="n">
        <v>1</v>
      </c>
      <c r="CT136" s="0" t="n">
        <v>1000</v>
      </c>
      <c r="CU136" s="0" t="n">
        <v>3</v>
      </c>
      <c r="CV136" s="0" t="n">
        <f aca="false">IF(OR(CT136="",CT136="NO ESPECIFICA",CT136="NO MENCIONA"),"",IF(CU136=0,CT136,IF(CU136=1,CT136/30,IF(CU136=2,CT136/15,IF(CU136=3,CT136/7,"")))))</f>
        <v>142.857142857143</v>
      </c>
      <c r="CW136" s="125" t="s">
        <v>216</v>
      </c>
      <c r="CX136" s="0" t="s">
        <v>216</v>
      </c>
      <c r="CY136" s="0" t="str">
        <f aca="false">IF(CW136="","",IF(CX136=0,CW136,IF(CX136=1,CW136/30,IF(CX136=2,CW136/15,IF(CX136=3,CW136/7,CW136)))))</f>
        <v>NO MENCIONA</v>
      </c>
      <c r="CZ136" s="0" t="n">
        <f aca="false">IF(DI136&gt;0,DI136,IF(CY136&gt;0,CY136,IF(CV136&gt;0,CV136,"")))</f>
        <v>142.857142857143</v>
      </c>
      <c r="DA136" s="0" t="n">
        <f aca="false">IF(DM136=1,CZ136/8,IF(OR(DM136=2,DM136=4),CZ136/7,IF(DM136=3,CZ136/7.5,"")))</f>
        <v>17.8571428571429</v>
      </c>
      <c r="DB136" s="0" t="s">
        <v>216</v>
      </c>
      <c r="DC136" s="0" t="s">
        <v>216</v>
      </c>
      <c r="DD136" s="0" t="s">
        <v>216</v>
      </c>
      <c r="DE136" s="0" t="s">
        <v>216</v>
      </c>
      <c r="DF136" s="0" t="s">
        <v>216</v>
      </c>
      <c r="DG136" s="0" t="s">
        <v>216</v>
      </c>
      <c r="DH136" s="0" t="n">
        <v>0</v>
      </c>
      <c r="DI136" s="126" t="n">
        <f aca="false">1000/7</f>
        <v>142.857142857143</v>
      </c>
      <c r="DK136" s="0" t="n">
        <v>0</v>
      </c>
      <c r="DM136" s="0" t="n">
        <v>1</v>
      </c>
      <c r="DN136" s="0" t="n">
        <v>60</v>
      </c>
      <c r="DO136" s="0" t="n">
        <v>3</v>
      </c>
      <c r="DP136" s="0" t="n">
        <v>0</v>
      </c>
      <c r="DQ136" s="0" t="n">
        <v>1</v>
      </c>
      <c r="DR136" s="0"/>
      <c r="DS136" s="0" t="n">
        <v>1</v>
      </c>
      <c r="DU136" s="0" t="n">
        <v>1</v>
      </c>
      <c r="DW136" s="1" t="n">
        <v>40117</v>
      </c>
      <c r="DX136" s="1" t="n">
        <v>40766</v>
      </c>
      <c r="DZ136" s="0"/>
      <c r="EA136" s="0" t="n">
        <v>1</v>
      </c>
      <c r="EC136" s="1" t="n">
        <v>40117</v>
      </c>
      <c r="ED136" s="1" t="n">
        <v>40766</v>
      </c>
      <c r="EF136" s="0"/>
      <c r="EG136" s="0" t="n">
        <v>1</v>
      </c>
      <c r="EH136" s="0" t="n">
        <v>12</v>
      </c>
      <c r="EI136" s="0" t="n">
        <f aca="false">IF(AND(DM136=1,DN136&lt;=48),"",IF(AND(DM136=2,DN136&lt;=42),"",IF(AND(DM136=3,DN136&lt;=45),"",EH136)))</f>
        <v>12</v>
      </c>
      <c r="EJ136" s="0" t="n">
        <f aca="false">IF(EI136="","",IF(EI136&lt;9,EI136,9))</f>
        <v>9</v>
      </c>
      <c r="EK136" s="0" t="n">
        <f aca="false">IF(EI136="","",IF(EI136&gt;9,EI136-EJ136,0))</f>
        <v>3</v>
      </c>
      <c r="EL136" s="0" t="n">
        <f aca="false">IF(EI136="","",EJ136*DA136*2+EK136*DA136*3)</f>
        <v>482.142857142857</v>
      </c>
      <c r="EP136" s="0" t="n">
        <v>0</v>
      </c>
      <c r="EQ136" s="0"/>
      <c r="ER136" s="0" t="n">
        <v>1</v>
      </c>
      <c r="ET136" s="0" t="n">
        <v>0</v>
      </c>
      <c r="EV136" s="0" t="n">
        <v>0</v>
      </c>
      <c r="EX136" s="0" t="n">
        <v>1</v>
      </c>
      <c r="EY136" s="0" t="n">
        <v>0</v>
      </c>
      <c r="EZ136" s="0"/>
      <c r="FA136" s="4" t="n">
        <v>0</v>
      </c>
      <c r="FB136" s="0" t="n">
        <v>1</v>
      </c>
      <c r="FF136" s="120" t="n">
        <f aca="false">(CJ136-CI136+1)/365</f>
        <v>1.78082191780822</v>
      </c>
      <c r="FG136" s="0" t="str">
        <f aca="false">CONCATENATE(F136,"/",G136)</f>
        <v>1435/2011</v>
      </c>
      <c r="FH136" s="0" t="n">
        <v>0</v>
      </c>
      <c r="FI136" s="0" t="n">
        <v>0</v>
      </c>
    </row>
    <row r="137" customFormat="false" ht="15" hidden="false" customHeight="false" outlineLevel="0" collapsed="false">
      <c r="A137" s="5" t="str">
        <f aca="false">E137&amp;G137&amp;F137</f>
        <v>720111440</v>
      </c>
      <c r="B137" s="0" t="s">
        <v>1629</v>
      </c>
      <c r="C137" s="1" t="n">
        <v>42406</v>
      </c>
      <c r="E137" s="0" t="n">
        <v>7</v>
      </c>
      <c r="F137" s="0" t="n">
        <v>1440</v>
      </c>
      <c r="G137" s="0" t="n">
        <v>2011</v>
      </c>
      <c r="H137" s="0" t="str">
        <f aca="false">"J"&amp;E137&amp;"\"&amp;F137&amp;"\"&amp;G137&amp;"\"&amp;W137</f>
        <v>J7\1440\2011\1</v>
      </c>
      <c r="I137" s="0"/>
      <c r="J137" s="1" t="n">
        <v>40778</v>
      </c>
      <c r="K137" s="0" t="n">
        <v>0</v>
      </c>
      <c r="M137" s="1" t="n">
        <v>40778</v>
      </c>
      <c r="N137" s="1" t="n">
        <v>40995</v>
      </c>
      <c r="O137" s="1"/>
      <c r="P137" s="1"/>
      <c r="Q137" s="1"/>
      <c r="T137" s="121"/>
      <c r="U137" s="121"/>
      <c r="V137" s="122" t="n">
        <f aca="false">IF(AND(E137&gt;0,F137&gt;0,G137&gt;0),COUNTIFS($E:$E,E137,$F:$F,F137,$G:$G,G137),"")</f>
        <v>1</v>
      </c>
      <c r="W137" s="122" t="n">
        <f aca="false">IF(V137="","",IF(V137=1,1,IF(AND(E136=E137,F136=F137,G136=G137),W136+1,1)))</f>
        <v>1</v>
      </c>
      <c r="X137" s="0" t="n">
        <v>1</v>
      </c>
      <c r="Y137" s="0" t="n">
        <v>2</v>
      </c>
      <c r="Z137" s="0" t="s">
        <v>1652</v>
      </c>
      <c r="AA137" s="0" t="n">
        <v>0</v>
      </c>
      <c r="AB137" s="0" t="s">
        <v>1653</v>
      </c>
      <c r="AC137" s="0" t="s">
        <v>789</v>
      </c>
      <c r="AD137" s="0" t="s">
        <v>229</v>
      </c>
      <c r="AE137" s="0" t="n">
        <v>0</v>
      </c>
      <c r="AF137" s="0" t="s">
        <v>1654</v>
      </c>
      <c r="AG137" s="0" t="n">
        <v>1</v>
      </c>
      <c r="AH137" s="0" t="s">
        <v>1655</v>
      </c>
      <c r="AI137" s="0" t="s">
        <v>1656</v>
      </c>
      <c r="AJ137" s="0" t="s">
        <v>411</v>
      </c>
      <c r="AL137" s="0" t="s">
        <v>1637</v>
      </c>
      <c r="AM137" s="0" t="n">
        <v>1</v>
      </c>
      <c r="AN137" s="0" t="s">
        <v>1655</v>
      </c>
      <c r="AO137" s="0" t="s">
        <v>1656</v>
      </c>
      <c r="AP137" s="0" t="s">
        <v>411</v>
      </c>
      <c r="BP137" s="0" t="n">
        <v>0</v>
      </c>
      <c r="BQ137" s="0" t="n">
        <v>0</v>
      </c>
      <c r="BR137" s="0" t="n">
        <v>1</v>
      </c>
      <c r="BS137" s="0" t="s">
        <v>1657</v>
      </c>
      <c r="BT137" s="0" t="s">
        <v>1181</v>
      </c>
      <c r="BU137" s="0" t="s">
        <v>540</v>
      </c>
      <c r="BV137" s="123"/>
      <c r="BW137" s="123"/>
      <c r="BX137" s="123"/>
      <c r="BY137" s="123"/>
      <c r="CA137" s="0" t="s">
        <v>1658</v>
      </c>
      <c r="CD137" s="0" t="s">
        <v>256</v>
      </c>
      <c r="CE137" s="0" t="n">
        <v>0</v>
      </c>
      <c r="CF137" s="0" t="s">
        <v>503</v>
      </c>
      <c r="CI137" s="1" t="n">
        <v>40634</v>
      </c>
      <c r="CJ137" s="1" t="n">
        <v>40771</v>
      </c>
      <c r="CK137" s="124" t="n">
        <v>0.416666666666667</v>
      </c>
      <c r="CL137" s="0" t="s">
        <v>1654</v>
      </c>
      <c r="CM137" s="0" t="n">
        <f aca="false">IF(OR(CI137="",CJ137=""),"",DAYS360(CI137,CJ137)/360)</f>
        <v>0.375</v>
      </c>
      <c r="CN137" s="0" t="n">
        <f aca="false">IF(OR(CI137="",CJ137=""),"",DAYS360(CI137,CJ137)/30)</f>
        <v>4.5</v>
      </c>
      <c r="CO137" s="0" t="n">
        <f aca="false">IF(OR(CI137="",CJ137=""),"",DAYS360(CI137,CJ137)/7)</f>
        <v>19.2857142857143</v>
      </c>
      <c r="CP137" s="0" t="n">
        <f aca="false">IF(OR(CI137="",CJ137=""),"",DAYS360(CI137,CJ137))</f>
        <v>135</v>
      </c>
      <c r="CQ137" s="0" t="s">
        <v>220</v>
      </c>
      <c r="CR137" s="0" t="n">
        <v>1</v>
      </c>
      <c r="CT137" s="0" t="n">
        <v>300</v>
      </c>
      <c r="CU137" s="0" t="n">
        <v>0</v>
      </c>
      <c r="CV137" s="0" t="n">
        <f aca="false">IF(OR(CT137="",CT137="NO ESPECIFICA",CT137="NO MENCIONA"),"",IF(CU137=0,CT137,IF(CU137=1,CT137/30,IF(CU137=2,CT137/15,IF(CU137=3,CT137/7,"")))))</f>
        <v>300</v>
      </c>
      <c r="CW137" s="125" t="s">
        <v>216</v>
      </c>
      <c r="CX137" s="0" t="s">
        <v>216</v>
      </c>
      <c r="CY137" s="0" t="str">
        <f aca="false">IF(CW137="","",IF(CX137=0,CW137,IF(CX137=1,CW137/30,IF(CX137=2,CW137/15,IF(CX137=3,CW137/7,CW137)))))</f>
        <v>NO MENCIONA</v>
      </c>
      <c r="CZ137" s="0" t="n">
        <f aca="false">IF(DI137&gt;0,DI137,IF(CY137&gt;0,CY137,IF(CV137&gt;0,CV137,"")))</f>
        <v>300</v>
      </c>
      <c r="DA137" s="0" t="n">
        <f aca="false">IF(DM137=1,CZ137/8,IF(OR(DM137=2,DM137=4),CZ137/7,IF(DM137=3,CZ137/7.5,"")))</f>
        <v>37.5</v>
      </c>
      <c r="DB137" s="0" t="s">
        <v>216</v>
      </c>
      <c r="DC137" s="0" t="s">
        <v>216</v>
      </c>
      <c r="DD137" s="0" t="s">
        <v>216</v>
      </c>
      <c r="DE137" s="0" t="s">
        <v>216</v>
      </c>
      <c r="DF137" s="0" t="s">
        <v>216</v>
      </c>
      <c r="DG137" s="0" t="s">
        <v>216</v>
      </c>
      <c r="DH137" s="0" t="n">
        <v>0</v>
      </c>
      <c r="DI137" s="126" t="n">
        <v>300</v>
      </c>
      <c r="DK137" s="0" t="n">
        <v>0</v>
      </c>
      <c r="DM137" s="0" t="n">
        <v>1</v>
      </c>
      <c r="DN137" s="0" t="n">
        <v>60</v>
      </c>
      <c r="DO137" s="0" t="n">
        <v>3</v>
      </c>
      <c r="DP137" s="0" t="n">
        <v>1</v>
      </c>
      <c r="DQ137" s="0" t="n">
        <v>0</v>
      </c>
      <c r="DR137" s="0"/>
      <c r="DS137" s="0" t="n">
        <v>1</v>
      </c>
      <c r="DU137" s="0" t="n">
        <v>0</v>
      </c>
      <c r="DW137" s="1" t="n">
        <v>40634</v>
      </c>
      <c r="DX137" s="1" t="n">
        <v>40771</v>
      </c>
      <c r="DZ137" s="0"/>
      <c r="EA137" s="0" t="n">
        <v>1</v>
      </c>
      <c r="EC137" s="1" t="n">
        <v>40634</v>
      </c>
      <c r="ED137" s="1" t="n">
        <v>40771</v>
      </c>
      <c r="EF137" s="0"/>
      <c r="EG137" s="0" t="n">
        <v>1</v>
      </c>
      <c r="EH137" s="0" t="n">
        <v>12</v>
      </c>
      <c r="EI137" s="0" t="n">
        <f aca="false">IF(AND(DM137=1,DN137&lt;=48),"",IF(AND(DM137=2,DN137&lt;=42),"",IF(AND(DM137=3,DN137&lt;=45),"",EH137)))</f>
        <v>12</v>
      </c>
      <c r="EJ137" s="0" t="n">
        <f aca="false">IF(EI137="","",IF(EI137&lt;9,EI137,9))</f>
        <v>9</v>
      </c>
      <c r="EK137" s="0" t="n">
        <f aca="false">IF(EI137="","",IF(EI137&gt;9,EI137-EJ137,0))</f>
        <v>3</v>
      </c>
      <c r="EL137" s="0" t="n">
        <f aca="false">IF(EI137="","",EJ137*DA137*2+EK137*DA137*3)</f>
        <v>1012.5</v>
      </c>
      <c r="EP137" s="0" t="n">
        <v>0</v>
      </c>
      <c r="EQ137" s="0"/>
      <c r="ER137" s="0" t="n">
        <v>0</v>
      </c>
      <c r="ET137" s="0" t="n">
        <v>1</v>
      </c>
      <c r="EV137" s="0" t="n">
        <v>1</v>
      </c>
      <c r="EX137" s="0" t="n">
        <v>1</v>
      </c>
      <c r="EY137" s="0" t="n">
        <v>0</v>
      </c>
      <c r="EZ137" s="0"/>
      <c r="FA137" s="4" t="n">
        <f aca="false">6750</f>
        <v>6750</v>
      </c>
      <c r="FB137" s="0" t="n">
        <v>1</v>
      </c>
      <c r="FF137" s="120" t="n">
        <f aca="false">(CJ137-CI137+1)/365</f>
        <v>0.378082191780822</v>
      </c>
      <c r="FG137" s="0" t="str">
        <f aca="false">CONCATENATE(F137,"/",G137)</f>
        <v>1440/2011</v>
      </c>
      <c r="FH137" s="0" t="n">
        <v>0</v>
      </c>
      <c r="FI137" s="0" t="n">
        <v>0</v>
      </c>
    </row>
    <row r="138" customFormat="false" ht="15" hidden="false" customHeight="false" outlineLevel="0" collapsed="false">
      <c r="A138" s="5" t="str">
        <f aca="false">E138&amp;G138&amp;F138</f>
        <v>720111451</v>
      </c>
      <c r="B138" s="0" t="s">
        <v>1629</v>
      </c>
      <c r="C138" s="1" t="n">
        <v>42406</v>
      </c>
      <c r="D138" s="0" t="s">
        <v>1630</v>
      </c>
      <c r="E138" s="0" t="n">
        <v>7</v>
      </c>
      <c r="F138" s="0" t="n">
        <v>1451</v>
      </c>
      <c r="G138" s="0" t="n">
        <v>2011</v>
      </c>
      <c r="H138" s="0" t="str">
        <f aca="false">"J"&amp;E138&amp;"\"&amp;F138&amp;"\"&amp;G138&amp;"\"&amp;W138</f>
        <v>J7\1451\2011\1</v>
      </c>
      <c r="I138" s="0"/>
      <c r="J138" s="1" t="n">
        <v>40779</v>
      </c>
      <c r="K138" s="0" t="n">
        <v>0</v>
      </c>
      <c r="M138" s="1"/>
      <c r="N138" s="1"/>
      <c r="O138" s="1"/>
      <c r="P138" s="1"/>
      <c r="Q138" s="1"/>
      <c r="T138" s="121"/>
      <c r="U138" s="121"/>
      <c r="V138" s="122" t="n">
        <f aca="false">IF(AND(E138&gt;0,F138&gt;0,G138&gt;0),COUNTIFS($E:$E,E138,$F:$F,F138,$G:$G,G138),"")</f>
        <v>1</v>
      </c>
      <c r="W138" s="122" t="n">
        <f aca="false">IF(V138="","",IF(V138=1,1,IF(AND(E137=E138,F137=F138,G137=G138),W137+1,1)))</f>
        <v>1</v>
      </c>
      <c r="X138" s="0" t="n">
        <v>1</v>
      </c>
      <c r="Y138" s="0" t="n">
        <v>2</v>
      </c>
      <c r="Z138" s="0" t="s">
        <v>1659</v>
      </c>
      <c r="AA138" s="0" t="n">
        <v>0</v>
      </c>
      <c r="AB138" s="0" t="s">
        <v>1660</v>
      </c>
      <c r="AC138" s="0" t="s">
        <v>1661</v>
      </c>
      <c r="AD138" s="0" t="s">
        <v>229</v>
      </c>
      <c r="AE138" s="0" t="n">
        <v>0</v>
      </c>
      <c r="AF138" s="0" t="s">
        <v>1662</v>
      </c>
      <c r="AG138" s="0" t="n">
        <v>0</v>
      </c>
      <c r="AH138" s="0" t="s">
        <v>1663</v>
      </c>
      <c r="AI138" s="0" t="s">
        <v>1664</v>
      </c>
      <c r="AJ138" s="0" t="s">
        <v>1665</v>
      </c>
      <c r="AL138" s="0" t="s">
        <v>1666</v>
      </c>
      <c r="AM138" s="0" t="n">
        <v>1</v>
      </c>
      <c r="AN138" s="0" t="s">
        <v>1663</v>
      </c>
      <c r="AO138" s="0" t="s">
        <v>1664</v>
      </c>
      <c r="AP138" s="0" t="s">
        <v>1665</v>
      </c>
      <c r="BP138" s="0" t="n">
        <v>0</v>
      </c>
      <c r="BQ138" s="0" t="n">
        <v>0</v>
      </c>
      <c r="BR138" s="0" t="n">
        <v>1</v>
      </c>
      <c r="BS138" s="0" t="s">
        <v>1667</v>
      </c>
      <c r="BT138" s="0" t="s">
        <v>1668</v>
      </c>
      <c r="BU138" s="0" t="s">
        <v>1669</v>
      </c>
      <c r="BV138" s="123"/>
      <c r="BW138" s="123"/>
      <c r="BX138" s="123"/>
      <c r="BY138" s="123"/>
      <c r="CA138" s="0" t="s">
        <v>1670</v>
      </c>
      <c r="CD138" s="0" t="s">
        <v>296</v>
      </c>
      <c r="CE138" s="0" t="n">
        <v>0</v>
      </c>
      <c r="CF138" s="0" t="s">
        <v>1671</v>
      </c>
      <c r="CI138" s="1" t="n">
        <v>40301</v>
      </c>
      <c r="CJ138" s="1" t="n">
        <v>40729</v>
      </c>
      <c r="CK138" s="124" t="n">
        <v>0.583333333333333</v>
      </c>
      <c r="CL138" s="0" t="s">
        <v>1672</v>
      </c>
      <c r="CM138" s="0" t="n">
        <f aca="false">IF(OR(CI138="",CJ138=""),"",DAYS360(CI138,CJ138)/360)</f>
        <v>1.17222222222222</v>
      </c>
      <c r="CN138" s="0" t="n">
        <f aca="false">IF(OR(CI138="",CJ138=""),"",DAYS360(CI138,CJ138)/30)</f>
        <v>14.0666666666667</v>
      </c>
      <c r="CO138" s="0" t="n">
        <f aca="false">IF(OR(CI138="",CJ138=""),"",DAYS360(CI138,CJ138)/7)</f>
        <v>60.2857142857143</v>
      </c>
      <c r="CP138" s="0" t="n">
        <f aca="false">IF(OR(CI138="",CJ138=""),"",DAYS360(CI138,CJ138))</f>
        <v>422</v>
      </c>
      <c r="CQ138" s="0" t="s">
        <v>240</v>
      </c>
      <c r="CR138" s="0" t="n">
        <v>1</v>
      </c>
      <c r="CT138" s="0" t="n">
        <v>226.66</v>
      </c>
      <c r="CU138" s="0" t="n">
        <v>0</v>
      </c>
      <c r="CV138" s="0" t="n">
        <f aca="false">IF(OR(CT138="",CT138="NO ESPECIFICA",CT138="NO MENCIONA"),"",IF(CU138=0,CT138,IF(CU138=1,CT138/30,IF(CU138=2,CT138/15,IF(CU138=3,CT138/7,"")))))</f>
        <v>226.66</v>
      </c>
      <c r="CW138" s="125" t="n">
        <v>236.9</v>
      </c>
      <c r="CX138" s="0" t="n">
        <v>0</v>
      </c>
      <c r="CY138" s="0" t="n">
        <f aca="false">IF(CW138="","",IF(CX138=0,CW138,IF(CX138=1,CW138/30,IF(CX138=2,CW138/15,IF(CX138=3,CW138/7,CW138)))))</f>
        <v>236.9</v>
      </c>
      <c r="CZ138" s="0" t="n">
        <f aca="false">IF(DI138&gt;0,DI138,IF(CY138&gt;0,CY138,IF(CV138&gt;0,CV138,"")))</f>
        <v>236.9</v>
      </c>
      <c r="DA138" s="0" t="n">
        <f aca="false">IF(DM138=1,CZ138/8,IF(OR(DM138=2,DM138=4),CZ138/7,IF(DM138=3,CZ138/7.5,"")))</f>
        <v>29.6125</v>
      </c>
      <c r="DB138" s="0" t="s">
        <v>303</v>
      </c>
      <c r="DC138" s="0" t="s">
        <v>301</v>
      </c>
      <c r="DD138" s="0" t="s">
        <v>216</v>
      </c>
      <c r="DE138" s="0" t="s">
        <v>216</v>
      </c>
      <c r="DF138" s="0" t="s">
        <v>216</v>
      </c>
      <c r="DG138" s="0" t="s">
        <v>216</v>
      </c>
      <c r="DH138" s="0" t="n">
        <v>0</v>
      </c>
      <c r="DI138" s="126" t="n">
        <v>236.9</v>
      </c>
      <c r="DK138" s="0" t="n">
        <v>1</v>
      </c>
      <c r="DM138" s="0" t="n">
        <v>1</v>
      </c>
      <c r="DN138" s="0" t="n">
        <v>60</v>
      </c>
      <c r="DO138" s="0" t="n">
        <v>3</v>
      </c>
      <c r="DP138" s="0" t="n">
        <v>0</v>
      </c>
      <c r="DQ138" s="0" t="n">
        <v>1</v>
      </c>
      <c r="DR138" s="0"/>
      <c r="DS138" s="0" t="n">
        <v>1</v>
      </c>
      <c r="DU138" s="0" t="n">
        <v>1</v>
      </c>
      <c r="DW138" s="1" t="n">
        <v>40301</v>
      </c>
      <c r="DX138" s="1" t="n">
        <v>40729</v>
      </c>
      <c r="DZ138" s="0"/>
      <c r="EA138" s="0" t="n">
        <v>1</v>
      </c>
      <c r="EC138" s="1" t="n">
        <v>40301</v>
      </c>
      <c r="ED138" s="1" t="n">
        <v>40729</v>
      </c>
      <c r="EF138" s="0"/>
      <c r="EG138" s="0" t="n">
        <v>1</v>
      </c>
      <c r="EH138" s="0" t="n">
        <v>12</v>
      </c>
      <c r="EI138" s="0" t="n">
        <f aca="false">IF(AND(DM138=1,DN138&lt;=48),"",IF(AND(DM138=2,DN138&lt;=42),"",IF(AND(DM138=3,DN138&lt;=45),"",EH138)))</f>
        <v>12</v>
      </c>
      <c r="EJ138" s="0" t="n">
        <f aca="false">IF(EI138="","",IF(EI138&lt;9,EI138,9))</f>
        <v>9</v>
      </c>
      <c r="EK138" s="0" t="n">
        <f aca="false">IF(EI138="","",IF(EI138&gt;9,EI138-EJ138,0))</f>
        <v>3</v>
      </c>
      <c r="EL138" s="0" t="n">
        <f aca="false">IF(EI138="","",EJ138*DA138*2+EK138*DA138*3)</f>
        <v>799.5375</v>
      </c>
      <c r="EP138" s="0" t="n">
        <v>0</v>
      </c>
      <c r="EQ138" s="0"/>
      <c r="ER138" s="0" t="n">
        <v>0</v>
      </c>
      <c r="ET138" s="0" t="n">
        <v>0</v>
      </c>
      <c r="EV138" s="0" t="n">
        <v>0</v>
      </c>
      <c r="EX138" s="0" t="n">
        <v>0</v>
      </c>
      <c r="EY138" s="0" t="n">
        <v>0</v>
      </c>
      <c r="EZ138" s="0"/>
      <c r="FA138" s="4" t="n">
        <v>3316.6</v>
      </c>
      <c r="FB138" s="0" t="n">
        <v>0</v>
      </c>
      <c r="FF138" s="120" t="n">
        <f aca="false">(CJ138-CI138+1)/365</f>
        <v>1.17534246575342</v>
      </c>
      <c r="FG138" s="0" t="str">
        <f aca="false">CONCATENATE(F138,"/",G138)</f>
        <v>1451/2011</v>
      </c>
      <c r="FH138" s="0" t="n">
        <v>0</v>
      </c>
      <c r="FI138" s="0" t="n">
        <v>0</v>
      </c>
    </row>
    <row r="139" customFormat="false" ht="15" hidden="false" customHeight="false" outlineLevel="0" collapsed="false">
      <c r="A139" s="5" t="str">
        <f aca="false">E139&amp;G139&amp;F139</f>
        <v>720111460</v>
      </c>
      <c r="B139" s="0" t="s">
        <v>1629</v>
      </c>
      <c r="C139" s="1" t="n">
        <v>42406</v>
      </c>
      <c r="D139" s="0" t="s">
        <v>1630</v>
      </c>
      <c r="E139" s="0" t="n">
        <v>7</v>
      </c>
      <c r="F139" s="0" t="n">
        <v>1460</v>
      </c>
      <c r="G139" s="0" t="n">
        <v>2011</v>
      </c>
      <c r="H139" s="0" t="str">
        <f aca="false">"J"&amp;E139&amp;"\"&amp;F139&amp;"\"&amp;G139&amp;"\"&amp;W139</f>
        <v>J7\1460\2011\1</v>
      </c>
      <c r="I139" s="0"/>
      <c r="J139" s="1" t="n">
        <v>40781</v>
      </c>
      <c r="K139" s="0" t="n">
        <v>0</v>
      </c>
      <c r="M139" s="1"/>
      <c r="N139" s="1"/>
      <c r="O139" s="1"/>
      <c r="P139" s="1"/>
      <c r="Q139" s="1"/>
      <c r="T139" s="121"/>
      <c r="U139" s="121"/>
      <c r="V139" s="122" t="n">
        <f aca="false">IF(AND(E139&gt;0,F139&gt;0,G139&gt;0),COUNTIFS($E:$E,E139,$F:$F,F139,$G:$G,G139),"")</f>
        <v>1</v>
      </c>
      <c r="W139" s="122" t="n">
        <f aca="false">IF(V139="","",IF(V139=1,1,IF(AND(E138=E139,F138=F139,G138=G139),W138+1,1)))</f>
        <v>1</v>
      </c>
      <c r="X139" s="0" t="n">
        <v>1</v>
      </c>
      <c r="Y139" s="0" t="n">
        <v>3</v>
      </c>
      <c r="Z139" s="0" t="s">
        <v>1673</v>
      </c>
      <c r="AA139" s="0" t="n">
        <v>0</v>
      </c>
      <c r="AB139" s="0" t="s">
        <v>1674</v>
      </c>
      <c r="AC139" s="0" t="s">
        <v>1675</v>
      </c>
      <c r="AD139" s="0" t="s">
        <v>411</v>
      </c>
      <c r="AE139" s="0" t="n">
        <v>0</v>
      </c>
      <c r="AF139" s="0" t="s">
        <v>1676</v>
      </c>
      <c r="AG139" s="0" t="n">
        <v>0</v>
      </c>
      <c r="AH139" s="0" t="s">
        <v>1677</v>
      </c>
      <c r="AI139" s="0" t="s">
        <v>1123</v>
      </c>
      <c r="AJ139" s="0" t="s">
        <v>221</v>
      </c>
      <c r="AL139" s="0" t="s">
        <v>1678</v>
      </c>
      <c r="AM139" s="0" t="n">
        <v>0</v>
      </c>
      <c r="AN139" s="0" t="s">
        <v>1679</v>
      </c>
      <c r="AO139" s="0" t="s">
        <v>274</v>
      </c>
      <c r="AP139" s="0" t="s">
        <v>229</v>
      </c>
      <c r="AR139" s="0" t="s">
        <v>1637</v>
      </c>
      <c r="AS139" s="0" t="n">
        <v>1</v>
      </c>
      <c r="AT139" s="0" t="s">
        <v>1677</v>
      </c>
      <c r="AU139" s="0" t="s">
        <v>1123</v>
      </c>
      <c r="AV139" s="0" t="s">
        <v>221</v>
      </c>
      <c r="BP139" s="0" t="n">
        <v>0</v>
      </c>
      <c r="BQ139" s="0" t="n">
        <v>0</v>
      </c>
      <c r="BR139" s="0" t="n">
        <v>1</v>
      </c>
      <c r="BS139" s="0" t="s">
        <v>1680</v>
      </c>
      <c r="BT139" s="0" t="s">
        <v>1681</v>
      </c>
      <c r="BU139" s="0" t="s">
        <v>1682</v>
      </c>
      <c r="BV139" s="123"/>
      <c r="BW139" s="123"/>
      <c r="BX139" s="123"/>
      <c r="BY139" s="123"/>
      <c r="CA139" s="0" t="s">
        <v>216</v>
      </c>
      <c r="CD139" s="0" t="s">
        <v>296</v>
      </c>
      <c r="CE139" s="0" t="n">
        <v>1</v>
      </c>
      <c r="CF139" s="0" t="s">
        <v>1683</v>
      </c>
      <c r="CI139" s="1" t="n">
        <v>40264</v>
      </c>
      <c r="CJ139" s="1" t="n">
        <v>40771</v>
      </c>
      <c r="CK139" s="124" t="n">
        <v>0.375</v>
      </c>
      <c r="CL139" s="0" t="s">
        <v>1684</v>
      </c>
      <c r="CM139" s="0" t="n">
        <f aca="false">IF(OR(CI139="",CJ139=""),"",DAYS360(CI139,CJ139)/360)</f>
        <v>1.38611111111111</v>
      </c>
      <c r="CN139" s="0" t="n">
        <f aca="false">IF(OR(CI139="",CJ139=""),"",DAYS360(CI139,CJ139)/30)</f>
        <v>16.6333333333333</v>
      </c>
      <c r="CO139" s="0" t="n">
        <f aca="false">IF(OR(CI139="",CJ139=""),"",DAYS360(CI139,CJ139)/7)</f>
        <v>71.2857142857143</v>
      </c>
      <c r="CP139" s="0" t="n">
        <f aca="false">IF(OR(CI139="",CJ139=""),"",DAYS360(CI139,CJ139))</f>
        <v>499</v>
      </c>
      <c r="CQ139" s="0" t="s">
        <v>220</v>
      </c>
      <c r="CR139" s="0" t="n">
        <v>1</v>
      </c>
      <c r="CT139" s="0" t="n">
        <v>20000</v>
      </c>
      <c r="CU139" s="0" t="n">
        <v>1</v>
      </c>
      <c r="CV139" s="0" t="n">
        <f aca="false">IF(OR(CT139="",CT139="NO ESPECIFICA",CT139="NO MENCIONA"),"",IF(CU139=0,CT139,IF(CU139=1,CT139/30,IF(CU139=2,CT139/15,IF(CU139=3,CT139/7,"")))))</f>
        <v>666.666666666667</v>
      </c>
      <c r="CW139" s="125" t="n">
        <v>20300</v>
      </c>
      <c r="CX139" s="0" t="n">
        <v>1</v>
      </c>
      <c r="CY139" s="0" t="n">
        <f aca="false">IF(CW139="","",IF(CX139=0,CW139,IF(CX139=1,CW139/30,IF(CX139=2,CW139/15,IF(CX139=3,CW139/7,CW139)))))</f>
        <v>676.666666666667</v>
      </c>
      <c r="CZ139" s="0" t="n">
        <f aca="false">IF(DI139&gt;0,DI139,IF(CY139&gt;0,CY139,IF(CV139&gt;0,CV139,"")))</f>
        <v>676.666666666667</v>
      </c>
      <c r="DA139" s="0" t="n">
        <f aca="false">IF(DM139=1,CZ139/8,IF(OR(DM139=2,DM139=4),CZ139/7,IF(DM139=3,CZ139/7.5,"")))</f>
        <v>84.5833333333333</v>
      </c>
      <c r="DB139" s="0" t="s">
        <v>1685</v>
      </c>
      <c r="DC139" s="0" t="s">
        <v>216</v>
      </c>
      <c r="DD139" s="0" t="s">
        <v>216</v>
      </c>
      <c r="DE139" s="0" t="s">
        <v>216</v>
      </c>
      <c r="DF139" s="0" t="s">
        <v>216</v>
      </c>
      <c r="DG139" s="0" t="s">
        <v>216</v>
      </c>
      <c r="DH139" s="0" t="n">
        <v>0</v>
      </c>
      <c r="DI139" s="126" t="n">
        <f aca="false">20300/30</f>
        <v>676.666666666667</v>
      </c>
      <c r="DK139" s="0" t="n">
        <v>0</v>
      </c>
      <c r="DM139" s="0" t="n">
        <v>1</v>
      </c>
      <c r="DN139" s="0" t="n">
        <v>66</v>
      </c>
      <c r="DO139" s="0" t="n">
        <v>3</v>
      </c>
      <c r="DP139" s="0" t="n">
        <v>1</v>
      </c>
      <c r="DQ139" s="0" t="n">
        <v>1</v>
      </c>
      <c r="DR139" s="0"/>
      <c r="DS139" s="0" t="n">
        <v>1</v>
      </c>
      <c r="DU139" s="0" t="n">
        <v>1</v>
      </c>
      <c r="DW139" s="1" t="n">
        <v>40264</v>
      </c>
      <c r="DX139" s="1" t="n">
        <v>40771</v>
      </c>
      <c r="DZ139" s="0"/>
      <c r="EA139" s="0" t="n">
        <v>1</v>
      </c>
      <c r="EC139" s="1" t="n">
        <v>40264</v>
      </c>
      <c r="ED139" s="1" t="n">
        <v>40771</v>
      </c>
      <c r="EF139" s="0"/>
      <c r="EG139" s="0" t="n">
        <v>1</v>
      </c>
      <c r="EH139" s="0" t="s">
        <v>221</v>
      </c>
      <c r="EI139" s="0" t="str">
        <f aca="false">IF(AND(DM139=1,DN139&lt;=48),"",IF(AND(DM139=2,DN139&lt;=42),"",IF(AND(DM139=3,DN139&lt;=45),"",EH139)))</f>
        <v>NO ESPECIFICA</v>
      </c>
      <c r="EJ139" s="0" t="n">
        <f aca="false">IF(EI139="","",IF(EI139&lt;9,EI139,9))</f>
        <v>9</v>
      </c>
      <c r="EK139" s="0" t="e">
        <f aca="false">IF(EI139="","",IF(EI139&gt;9,EI139-EJ139,0))</f>
        <v>#VALUE!</v>
      </c>
      <c r="EL139" s="0" t="e">
        <f aca="false">IF(EI139="","",EJ139*DA139*2+EK139*DA139*3)</f>
        <v>#VALUE!</v>
      </c>
      <c r="EP139" s="0" t="n">
        <v>0</v>
      </c>
      <c r="EQ139" s="0"/>
      <c r="ER139" s="0" t="n">
        <v>0</v>
      </c>
      <c r="ET139" s="0" t="n">
        <v>0</v>
      </c>
      <c r="EV139" s="0" t="n">
        <v>0</v>
      </c>
      <c r="EX139" s="0" t="n">
        <v>0</v>
      </c>
      <c r="EY139" s="0" t="n">
        <v>0</v>
      </c>
      <c r="EZ139" s="0"/>
      <c r="FA139" s="4" t="n">
        <v>0</v>
      </c>
      <c r="FB139" s="0" t="n">
        <v>0</v>
      </c>
      <c r="FF139" s="120" t="n">
        <f aca="false">(CJ139-CI139+1)/365</f>
        <v>1.39178082191781</v>
      </c>
      <c r="FG139" s="0" t="str">
        <f aca="false">CONCATENATE(F139,"/",G139)</f>
        <v>1460/2011</v>
      </c>
      <c r="FH139" s="0" t="n">
        <v>0</v>
      </c>
      <c r="FI139" s="0" t="n">
        <v>0</v>
      </c>
    </row>
    <row r="140" customFormat="false" ht="15" hidden="false" customHeight="false" outlineLevel="0" collapsed="false">
      <c r="A140" s="5" t="str">
        <f aca="false">E140&amp;G140&amp;F140</f>
        <v>720111463</v>
      </c>
      <c r="B140" s="0" t="s">
        <v>1629</v>
      </c>
      <c r="C140" s="1" t="n">
        <v>42406</v>
      </c>
      <c r="D140" s="0" t="s">
        <v>1630</v>
      </c>
      <c r="E140" s="0" t="n">
        <v>7</v>
      </c>
      <c r="F140" s="0" t="n">
        <v>1463</v>
      </c>
      <c r="G140" s="0" t="n">
        <v>2011</v>
      </c>
      <c r="H140" s="0" t="str">
        <f aca="false">"J"&amp;E140&amp;"\"&amp;F140&amp;"\"&amp;G140&amp;"\"&amp;W140</f>
        <v>J7\1463\2011\1</v>
      </c>
      <c r="I140" s="0"/>
      <c r="J140" s="1" t="n">
        <v>40781</v>
      </c>
      <c r="K140" s="0" t="n">
        <v>0</v>
      </c>
      <c r="M140" s="1"/>
      <c r="N140" s="1"/>
      <c r="O140" s="1"/>
      <c r="P140" s="1"/>
      <c r="Q140" s="1"/>
      <c r="T140" s="121"/>
      <c r="U140" s="121"/>
      <c r="V140" s="122" t="n">
        <f aca="false">IF(AND(E140&gt;0,F140&gt;0,G140&gt;0),COUNTIFS($E:$E,E140,$F:$F,F140,$G:$G,G140),"")</f>
        <v>1</v>
      </c>
      <c r="W140" s="122" t="n">
        <f aca="false">IF(V140="","",IF(V140=1,1,IF(AND(E139=E140,F139=F140,G139=G140),W139+1,1)))</f>
        <v>1</v>
      </c>
      <c r="X140" s="0" t="n">
        <v>1</v>
      </c>
      <c r="Y140" s="0" t="n">
        <v>3</v>
      </c>
      <c r="Z140" s="0" t="s">
        <v>1686</v>
      </c>
      <c r="AA140" s="0" t="n">
        <v>0</v>
      </c>
      <c r="AB140" s="0" t="s">
        <v>1687</v>
      </c>
      <c r="AC140" s="0" t="s">
        <v>318</v>
      </c>
      <c r="AD140" s="0" t="s">
        <v>229</v>
      </c>
      <c r="AE140" s="0" t="n">
        <v>0</v>
      </c>
      <c r="AF140" s="0" t="s">
        <v>1688</v>
      </c>
      <c r="AG140" s="0" t="n">
        <v>1</v>
      </c>
      <c r="AH140" s="0" t="s">
        <v>1689</v>
      </c>
      <c r="AI140" s="0" t="s">
        <v>221</v>
      </c>
      <c r="AJ140" s="0" t="s">
        <v>590</v>
      </c>
      <c r="AL140" s="0" t="s">
        <v>1637</v>
      </c>
      <c r="AM140" s="0" t="n">
        <v>1</v>
      </c>
      <c r="AN140" s="0" t="s">
        <v>1689</v>
      </c>
      <c r="AO140" s="0" t="s">
        <v>221</v>
      </c>
      <c r="AP140" s="0" t="s">
        <v>590</v>
      </c>
      <c r="AR140" s="0" t="s">
        <v>249</v>
      </c>
      <c r="AS140" s="0" t="n">
        <v>0</v>
      </c>
      <c r="AT140" s="0" t="s">
        <v>1690</v>
      </c>
      <c r="AU140" s="0" t="s">
        <v>410</v>
      </c>
      <c r="AV140" s="0" t="s">
        <v>411</v>
      </c>
      <c r="BP140" s="0" t="n">
        <v>0</v>
      </c>
      <c r="BQ140" s="0" t="n">
        <v>0</v>
      </c>
      <c r="BR140" s="0" t="n">
        <v>1</v>
      </c>
      <c r="BS140" s="0" t="s">
        <v>747</v>
      </c>
      <c r="BT140" s="0" t="s">
        <v>748</v>
      </c>
      <c r="BU140" s="0" t="s">
        <v>1691</v>
      </c>
      <c r="BV140" s="123"/>
      <c r="BW140" s="123"/>
      <c r="BX140" s="123"/>
      <c r="BY140" s="123"/>
      <c r="CA140" s="0" t="s">
        <v>749</v>
      </c>
      <c r="CD140" s="0" t="s">
        <v>502</v>
      </c>
      <c r="CE140" s="0" t="n">
        <v>0</v>
      </c>
      <c r="CF140" s="0" t="s">
        <v>1309</v>
      </c>
      <c r="CI140" s="1" t="n">
        <v>40704</v>
      </c>
      <c r="CJ140" s="1" t="n">
        <v>40769</v>
      </c>
      <c r="CK140" s="124" t="n">
        <v>0.583333333333333</v>
      </c>
      <c r="CL140" s="0" t="s">
        <v>1688</v>
      </c>
      <c r="CM140" s="0" t="n">
        <f aca="false">IF(OR(CI140="",CJ140=""),"",DAYS360(CI140,CJ140)/360)</f>
        <v>0.177777777777778</v>
      </c>
      <c r="CN140" s="0" t="n">
        <f aca="false">IF(OR(CI140="",CJ140=""),"",DAYS360(CI140,CJ140)/30)</f>
        <v>2.13333333333333</v>
      </c>
      <c r="CO140" s="0" t="n">
        <f aca="false">IF(OR(CI140="",CJ140=""),"",DAYS360(CI140,CJ140)/7)</f>
        <v>9.14285714285714</v>
      </c>
      <c r="CP140" s="0" t="n">
        <f aca="false">IF(OR(CI140="",CJ140=""),"",DAYS360(CI140,CJ140))</f>
        <v>64</v>
      </c>
      <c r="CQ140" s="0" t="s">
        <v>240</v>
      </c>
      <c r="CR140" s="0" t="n">
        <v>1</v>
      </c>
      <c r="CT140" s="0" t="s">
        <v>221</v>
      </c>
      <c r="CU140" s="0" t="s">
        <v>221</v>
      </c>
      <c r="CV140" s="0" t="str">
        <f aca="false">IF(OR(CT140="",CT140="NO ESPECIFICA",CT140="NO MENCIONA"),"",IF(CU140=0,CT140,IF(CU140=1,CT140/30,IF(CU140=2,CT140/15,IF(CU140=3,CT140/7,"")))))</f>
        <v/>
      </c>
      <c r="CW140" s="125" t="n">
        <v>600</v>
      </c>
      <c r="CX140" s="0" t="n">
        <v>0</v>
      </c>
      <c r="CY140" s="0" t="n">
        <f aca="false">IF(CW140="","",IF(CX140=0,CW140,IF(CX140=1,CW140/30,IF(CX140=2,CW140/15,IF(CX140=3,CW140/7,CW140)))))</f>
        <v>600</v>
      </c>
      <c r="CZ140" s="0" t="n">
        <f aca="false">IF(DI140&gt;0,DI140,IF(CY140&gt;0,CY140,IF(CV140&gt;0,CV140,"")))</f>
        <v>600</v>
      </c>
      <c r="DA140" s="0" t="n">
        <f aca="false">IF(DM140=1,CZ140/8,IF(OR(DM140=2,DM140=4),CZ140/7,IF(DM140=3,CZ140/7.5,"")))</f>
        <v>75</v>
      </c>
      <c r="DB140" s="0" t="s">
        <v>216</v>
      </c>
      <c r="DC140" s="0" t="s">
        <v>216</v>
      </c>
      <c r="DD140" s="0" t="s">
        <v>216</v>
      </c>
      <c r="DE140" s="0" t="s">
        <v>216</v>
      </c>
      <c r="DF140" s="0" t="s">
        <v>216</v>
      </c>
      <c r="DG140" s="0" t="s">
        <v>216</v>
      </c>
      <c r="DH140" s="0" t="n">
        <v>0</v>
      </c>
      <c r="DI140" s="126" t="n">
        <v>600</v>
      </c>
      <c r="DK140" s="0" t="n">
        <v>0</v>
      </c>
      <c r="DM140" s="0" t="n">
        <v>1</v>
      </c>
      <c r="DN140" s="0" t="n">
        <f aca="false">16*7</f>
        <v>112</v>
      </c>
      <c r="DO140" s="0" t="n">
        <v>3</v>
      </c>
      <c r="DP140" s="0" t="n">
        <v>0</v>
      </c>
      <c r="DQ140" s="0" t="n">
        <v>1</v>
      </c>
      <c r="DR140" s="0"/>
      <c r="DS140" s="0" t="n">
        <v>1</v>
      </c>
      <c r="DU140" s="0" t="n">
        <v>1</v>
      </c>
      <c r="DW140" s="1" t="s">
        <v>221</v>
      </c>
      <c r="DX140" s="1" t="s">
        <v>221</v>
      </c>
      <c r="DY140" s="0" t="s">
        <v>221</v>
      </c>
      <c r="DZ140" s="0" t="s">
        <v>221</v>
      </c>
      <c r="EA140" s="0" t="n">
        <v>1</v>
      </c>
      <c r="EC140" s="1" t="s">
        <v>221</v>
      </c>
      <c r="ED140" s="1" t="s">
        <v>221</v>
      </c>
      <c r="EE140" s="0" t="s">
        <v>221</v>
      </c>
      <c r="EF140" s="0" t="s">
        <v>221</v>
      </c>
      <c r="EG140" s="0" t="n">
        <v>1</v>
      </c>
      <c r="EH140" s="0" t="n">
        <f aca="false">7*8</f>
        <v>56</v>
      </c>
      <c r="EI140" s="0" t="n">
        <f aca="false">IF(AND(DM140=1,DN140&lt;=48),"",IF(AND(DM140=2,DN140&lt;=42),"",IF(AND(DM140=3,DN140&lt;=45),"",EH140)))</f>
        <v>56</v>
      </c>
      <c r="EJ140" s="0" t="n">
        <f aca="false">IF(EI140="","",IF(EI140&lt;9,EI140,9))</f>
        <v>9</v>
      </c>
      <c r="EK140" s="0" t="n">
        <f aca="false">IF(EI140="","",IF(EI140&gt;9,EI140-EJ140,0))</f>
        <v>47</v>
      </c>
      <c r="EL140" s="0" t="n">
        <f aca="false">IF(EI140="","",EJ140*DA140*2+EK140*DA140*3)</f>
        <v>11925</v>
      </c>
      <c r="EP140" s="0" t="n">
        <v>0</v>
      </c>
      <c r="EQ140" s="0"/>
      <c r="ER140" s="0" t="n">
        <v>1</v>
      </c>
      <c r="ET140" s="0" t="n">
        <v>1</v>
      </c>
      <c r="EV140" s="0" t="n">
        <v>0</v>
      </c>
      <c r="EX140" s="0" t="n">
        <v>1</v>
      </c>
      <c r="EY140" s="0" t="n">
        <v>0</v>
      </c>
      <c r="EZ140" s="0"/>
      <c r="FA140" s="4" t="n">
        <v>0</v>
      </c>
      <c r="FB140" s="0" t="n">
        <v>0</v>
      </c>
      <c r="FF140" s="120" t="n">
        <f aca="false">(CJ140-CI140+1)/365</f>
        <v>0.180821917808219</v>
      </c>
      <c r="FG140" s="0" t="str">
        <f aca="false">CONCATENATE(F140,"/",G140)</f>
        <v>1463/2011</v>
      </c>
      <c r="FH140" s="0" t="n">
        <v>0</v>
      </c>
      <c r="FI140" s="0" t="n">
        <v>0</v>
      </c>
    </row>
    <row r="141" customFormat="false" ht="15" hidden="false" customHeight="false" outlineLevel="0" collapsed="false">
      <c r="A141" s="5" t="str">
        <f aca="false">E141&amp;G141&amp;F141</f>
        <v>720111466</v>
      </c>
      <c r="B141" s="0" t="s">
        <v>1629</v>
      </c>
      <c r="C141" s="1" t="n">
        <v>42406</v>
      </c>
      <c r="D141" s="0" t="s">
        <v>1630</v>
      </c>
      <c r="E141" s="0" t="n">
        <v>7</v>
      </c>
      <c r="F141" s="0" t="n">
        <v>1466</v>
      </c>
      <c r="G141" s="0" t="n">
        <v>2011</v>
      </c>
      <c r="H141" s="0" t="str">
        <f aca="false">"J"&amp;E141&amp;"\"&amp;F141&amp;"\"&amp;G141&amp;"\"&amp;W141</f>
        <v>J7\1466\2011\1</v>
      </c>
      <c r="I141" s="0"/>
      <c r="J141" s="1" t="n">
        <v>40781</v>
      </c>
      <c r="K141" s="0" t="n">
        <v>0</v>
      </c>
      <c r="M141" s="1"/>
      <c r="N141" s="1"/>
      <c r="O141" s="1"/>
      <c r="P141" s="1"/>
      <c r="Q141" s="1"/>
      <c r="T141" s="121"/>
      <c r="U141" s="121"/>
      <c r="V141" s="122" t="n">
        <f aca="false">IF(AND(E141&gt;0,F141&gt;0,G141&gt;0),COUNTIFS($E:$E,E141,$F:$F,F141,$G:$G,G141),"")</f>
        <v>1</v>
      </c>
      <c r="W141" s="122" t="n">
        <f aca="false">IF(V141="","",IF(V141=1,1,IF(AND(E140=E141,F140=F141,G140=G141),W140+1,1)))</f>
        <v>1</v>
      </c>
      <c r="X141" s="0" t="n">
        <v>1</v>
      </c>
      <c r="Y141" s="0" t="n">
        <v>4</v>
      </c>
      <c r="Z141" s="0" t="s">
        <v>1692</v>
      </c>
      <c r="AA141" s="0" t="n">
        <v>0</v>
      </c>
      <c r="AB141" s="0" t="s">
        <v>1693</v>
      </c>
      <c r="AC141" s="0" t="s">
        <v>1694</v>
      </c>
      <c r="AD141" s="0" t="s">
        <v>519</v>
      </c>
      <c r="AE141" s="0" t="n">
        <v>0</v>
      </c>
      <c r="AF141" s="0" t="s">
        <v>1695</v>
      </c>
      <c r="AG141" s="0" t="n">
        <v>0</v>
      </c>
      <c r="AH141" s="0" t="s">
        <v>1696</v>
      </c>
      <c r="AI141" s="0" t="s">
        <v>754</v>
      </c>
      <c r="AJ141" s="0" t="s">
        <v>755</v>
      </c>
      <c r="AL141" s="0" t="s">
        <v>1697</v>
      </c>
      <c r="AM141" s="0" t="n">
        <v>0</v>
      </c>
      <c r="AN141" s="0" t="s">
        <v>1696</v>
      </c>
      <c r="AO141" s="0" t="s">
        <v>754</v>
      </c>
      <c r="AP141" s="0" t="s">
        <v>755</v>
      </c>
      <c r="AR141" s="0" t="s">
        <v>1698</v>
      </c>
      <c r="AS141" s="0" t="n">
        <v>1</v>
      </c>
      <c r="AT141" s="0" t="s">
        <v>1696</v>
      </c>
      <c r="AU141" s="0" t="s">
        <v>754</v>
      </c>
      <c r="AV141" s="0" t="s">
        <v>755</v>
      </c>
      <c r="AX141" s="0" t="s">
        <v>1637</v>
      </c>
      <c r="AY141" s="0" t="n">
        <v>1</v>
      </c>
      <c r="AZ141" s="0" t="s">
        <v>1696</v>
      </c>
      <c r="BA141" s="0" t="s">
        <v>754</v>
      </c>
      <c r="BB141" s="0" t="s">
        <v>755</v>
      </c>
      <c r="BP141" s="0" t="n">
        <v>0</v>
      </c>
      <c r="BQ141" s="0" t="n">
        <v>0</v>
      </c>
      <c r="BR141" s="0" t="n">
        <v>1</v>
      </c>
      <c r="BS141" s="0" t="s">
        <v>1699</v>
      </c>
      <c r="BT141" s="0" t="s">
        <v>216</v>
      </c>
      <c r="BU141" s="0" t="s">
        <v>216</v>
      </c>
      <c r="BV141" s="123"/>
      <c r="BW141" s="123"/>
      <c r="BX141" s="123"/>
      <c r="BY141" s="123"/>
      <c r="CA141" s="0" t="s">
        <v>216</v>
      </c>
      <c r="CD141" s="0" t="s">
        <v>216</v>
      </c>
      <c r="CE141" s="0" t="n">
        <v>1</v>
      </c>
      <c r="CF141" s="0" t="s">
        <v>1700</v>
      </c>
      <c r="CI141" s="1" t="n">
        <v>40539</v>
      </c>
      <c r="CJ141" s="1" t="n">
        <v>40723</v>
      </c>
      <c r="CK141" s="124" t="n">
        <v>0.75</v>
      </c>
      <c r="CL141" s="0" t="s">
        <v>1701</v>
      </c>
      <c r="CM141" s="0" t="n">
        <f aca="false">IF(OR(CI141="",CJ141=""),"",DAYS360(CI141,CJ141)/360)</f>
        <v>0.505555555555556</v>
      </c>
      <c r="CN141" s="0" t="n">
        <f aca="false">IF(OR(CI141="",CJ141=""),"",DAYS360(CI141,CJ141)/30)</f>
        <v>6.06666666666667</v>
      </c>
      <c r="CO141" s="0" t="n">
        <f aca="false">IF(OR(CI141="",CJ141=""),"",DAYS360(CI141,CJ141)/7)</f>
        <v>26</v>
      </c>
      <c r="CP141" s="0" t="n">
        <f aca="false">IF(OR(CI141="",CJ141=""),"",DAYS360(CI141,CJ141))</f>
        <v>182</v>
      </c>
      <c r="CQ141" s="0" t="s">
        <v>220</v>
      </c>
      <c r="CR141" s="0" t="n">
        <v>1</v>
      </c>
      <c r="CT141" s="0" t="n">
        <v>8000</v>
      </c>
      <c r="CU141" s="0" t="n">
        <v>1</v>
      </c>
      <c r="CV141" s="0" t="n">
        <f aca="false">IF(OR(CT141="",CT141="NO ESPECIFICA",CT141="NO MENCIONA"),"",IF(CU141=0,CT141,IF(CU141=1,CT141/30,IF(CU141=2,CT141/15,IF(CU141=3,CT141/7,"")))))</f>
        <v>266.666666666667</v>
      </c>
      <c r="CW141" s="125" t="s">
        <v>216</v>
      </c>
      <c r="CX141" s="0" t="s">
        <v>216</v>
      </c>
      <c r="CY141" s="0" t="str">
        <f aca="false">IF(CW141="","",IF(CX141=0,CW141,IF(CX141=1,CW141/30,IF(CX141=2,CW141/15,IF(CX141=3,CW141/7,CW141)))))</f>
        <v>NO MENCIONA</v>
      </c>
      <c r="CZ141" s="0" t="n">
        <f aca="false">IF(DI141&gt;0,DI141,IF(CY141&gt;0,CY141,IF(CV141&gt;0,CV141,"")))</f>
        <v>323.809523809524</v>
      </c>
      <c r="DA141" s="0" t="n">
        <f aca="false">IF(DM141=1,CZ141/8,IF(OR(DM141=2,DM141=4),CZ141/7,IF(DM141=3,CZ141/7.5,"")))</f>
        <v>40.4761904761905</v>
      </c>
      <c r="DB141" s="0" t="s">
        <v>1003</v>
      </c>
      <c r="DC141" s="0" t="s">
        <v>417</v>
      </c>
      <c r="DD141" s="0" t="s">
        <v>216</v>
      </c>
      <c r="DE141" s="0" t="s">
        <v>216</v>
      </c>
      <c r="DF141" s="0" t="s">
        <v>216</v>
      </c>
      <c r="DG141" s="0" t="s">
        <v>216</v>
      </c>
      <c r="DH141" s="0" t="n">
        <v>0</v>
      </c>
      <c r="DI141" s="126" t="n">
        <f aca="false">8000/30+400/7</f>
        <v>323.809523809524</v>
      </c>
      <c r="DK141" s="0" t="n">
        <v>1</v>
      </c>
      <c r="DM141" s="0" t="n">
        <v>1</v>
      </c>
      <c r="DN141" s="0" t="n">
        <v>45</v>
      </c>
      <c r="DO141" s="0" t="n">
        <v>3</v>
      </c>
      <c r="DP141" s="0" t="n">
        <v>1</v>
      </c>
      <c r="DQ141" s="0" t="n">
        <v>0</v>
      </c>
      <c r="DR141" s="0"/>
      <c r="DS141" s="0" t="n">
        <v>1</v>
      </c>
      <c r="DU141" s="0" t="n">
        <v>1</v>
      </c>
      <c r="DW141" s="1" t="s">
        <v>216</v>
      </c>
      <c r="DX141" s="1" t="s">
        <v>216</v>
      </c>
      <c r="DY141" s="0" t="s">
        <v>216</v>
      </c>
      <c r="DZ141" s="0" t="s">
        <v>216</v>
      </c>
      <c r="EA141" s="0" t="n">
        <v>0</v>
      </c>
      <c r="EC141" s="1" t="n">
        <v>40539</v>
      </c>
      <c r="ED141" s="1" t="n">
        <v>40723</v>
      </c>
      <c r="EF141" s="0"/>
      <c r="EG141" s="0" t="n">
        <v>1</v>
      </c>
      <c r="EH141" s="0" t="s">
        <v>221</v>
      </c>
      <c r="EI141" s="0" t="str">
        <f aca="false">IF(AND(DM141=1,DN141&lt;=48),"",IF(AND(DM141=2,DN141&lt;=42),"",IF(AND(DM141=3,DN141&lt;=45),"",EH141)))</f>
        <v/>
      </c>
      <c r="EJ141" s="0" t="str">
        <f aca="false">IF(EI141="","",IF(EI141&lt;9,EI141,9))</f>
        <v/>
      </c>
      <c r="EK141" s="0" t="str">
        <f aca="false">IF(EI141="","",IF(EI141&gt;9,EI141-EJ141,0))</f>
        <v/>
      </c>
      <c r="EL141" s="0" t="str">
        <f aca="false">IF(EI141="","",EJ141*DA141*2+EK141*DA141*3)</f>
        <v/>
      </c>
      <c r="EP141" s="0" t="n">
        <v>0</v>
      </c>
      <c r="EQ141" s="0"/>
      <c r="ER141" s="0" t="n">
        <v>0</v>
      </c>
      <c r="ET141" s="0" t="n">
        <v>0</v>
      </c>
      <c r="EV141" s="0" t="n">
        <v>0</v>
      </c>
      <c r="EX141" s="0" t="n">
        <v>1</v>
      </c>
      <c r="EY141" s="0" t="n">
        <v>1</v>
      </c>
      <c r="EZ141" s="0"/>
      <c r="FA141" s="4" t="n">
        <v>0</v>
      </c>
      <c r="FB141" s="0" t="n">
        <v>1</v>
      </c>
      <c r="FF141" s="120" t="n">
        <f aca="false">(CJ141-CI141+1)/365</f>
        <v>0.506849315068493</v>
      </c>
      <c r="FG141" s="0" t="str">
        <f aca="false">CONCATENATE(F141,"/",G141)</f>
        <v>1466/2011</v>
      </c>
      <c r="FH141" s="0" t="n">
        <v>0</v>
      </c>
      <c r="FI141" s="0" t="n">
        <v>0</v>
      </c>
    </row>
    <row r="142" customFormat="false" ht="15" hidden="false" customHeight="false" outlineLevel="0" collapsed="false">
      <c r="A142" s="5" t="str">
        <f aca="false">E142&amp;G142&amp;F142</f>
        <v>720111469</v>
      </c>
      <c r="B142" s="0" t="s">
        <v>1629</v>
      </c>
      <c r="C142" s="1" t="n">
        <v>42406</v>
      </c>
      <c r="D142" s="0" t="s">
        <v>1630</v>
      </c>
      <c r="E142" s="0" t="n">
        <v>7</v>
      </c>
      <c r="F142" s="0" t="n">
        <v>1469</v>
      </c>
      <c r="G142" s="0" t="n">
        <v>2011</v>
      </c>
      <c r="H142" s="0" t="str">
        <f aca="false">"J"&amp;E142&amp;"\"&amp;F142&amp;"\"&amp;G142&amp;"\"&amp;W142</f>
        <v>J7\1469\2011\1</v>
      </c>
      <c r="I142" s="0"/>
      <c r="J142" s="1" t="n">
        <v>40781</v>
      </c>
      <c r="K142" s="0" t="n">
        <v>0</v>
      </c>
      <c r="M142" s="1"/>
      <c r="N142" s="1"/>
      <c r="O142" s="1"/>
      <c r="P142" s="1"/>
      <c r="Q142" s="1"/>
      <c r="T142" s="121"/>
      <c r="U142" s="121"/>
      <c r="V142" s="122" t="n">
        <f aca="false">IF(AND(E142&gt;0,F142&gt;0,G142&gt;0),COUNTIFS($E:$E,E142,$F:$F,F142,$G:$G,G142),"")</f>
        <v>1</v>
      </c>
      <c r="W142" s="122" t="n">
        <f aca="false">IF(V142="","",IF(V142=1,1,IF(AND(E141=E142,F141=F142,G141=G142),W141+1,1)))</f>
        <v>1</v>
      </c>
      <c r="X142" s="0" t="n">
        <v>1</v>
      </c>
      <c r="Y142" s="0" t="n">
        <v>4</v>
      </c>
      <c r="Z142" s="0" t="s">
        <v>1702</v>
      </c>
      <c r="AA142" s="0" t="n">
        <v>0</v>
      </c>
      <c r="AB142" s="0" t="s">
        <v>1703</v>
      </c>
      <c r="AC142" s="0" t="s">
        <v>318</v>
      </c>
      <c r="AD142" s="0" t="s">
        <v>229</v>
      </c>
      <c r="AE142" s="0" t="n">
        <v>0</v>
      </c>
      <c r="AF142" s="0" t="s">
        <v>1704</v>
      </c>
      <c r="AG142" s="0" t="n">
        <v>0</v>
      </c>
      <c r="AH142" s="0" t="s">
        <v>1705</v>
      </c>
      <c r="AI142" s="0" t="s">
        <v>1706</v>
      </c>
      <c r="AJ142" s="0" t="s">
        <v>411</v>
      </c>
      <c r="AL142" s="0" t="s">
        <v>1707</v>
      </c>
      <c r="AM142" s="0" t="n">
        <v>0</v>
      </c>
      <c r="AN142" s="0" t="s">
        <v>1705</v>
      </c>
      <c r="AO142" s="0" t="s">
        <v>1706</v>
      </c>
      <c r="AP142" s="0" t="s">
        <v>411</v>
      </c>
      <c r="AR142" s="0" t="s">
        <v>1708</v>
      </c>
      <c r="AS142" s="0" t="n">
        <v>1</v>
      </c>
      <c r="AT142" s="0" t="s">
        <v>1705</v>
      </c>
      <c r="AU142" s="0" t="s">
        <v>1706</v>
      </c>
      <c r="AV142" s="0" t="s">
        <v>411</v>
      </c>
      <c r="AX142" s="0" t="s">
        <v>1709</v>
      </c>
      <c r="AY142" s="0" t="n">
        <v>1</v>
      </c>
      <c r="AZ142" s="0" t="s">
        <v>1705</v>
      </c>
      <c r="BA142" s="0" t="s">
        <v>1706</v>
      </c>
      <c r="BB142" s="0" t="s">
        <v>411</v>
      </c>
      <c r="BP142" s="0" t="n">
        <v>0</v>
      </c>
      <c r="BQ142" s="0" t="n">
        <v>0</v>
      </c>
      <c r="BR142" s="0" t="n">
        <v>1</v>
      </c>
      <c r="BS142" s="0" t="s">
        <v>1710</v>
      </c>
      <c r="BT142" s="0" t="s">
        <v>1711</v>
      </c>
      <c r="BU142" s="0" t="s">
        <v>216</v>
      </c>
      <c r="BV142" s="123"/>
      <c r="BW142" s="123"/>
      <c r="BX142" s="123"/>
      <c r="BY142" s="123"/>
      <c r="CA142" s="0" t="s">
        <v>216</v>
      </c>
      <c r="CD142" s="0" t="s">
        <v>216</v>
      </c>
      <c r="CE142" s="0" t="n">
        <v>0</v>
      </c>
      <c r="CF142" s="0" t="s">
        <v>1712</v>
      </c>
      <c r="CI142" s="1" t="n">
        <v>38934</v>
      </c>
      <c r="CJ142" s="1" t="n">
        <v>40705</v>
      </c>
      <c r="CK142" s="124" t="n">
        <v>0.336805555555556</v>
      </c>
      <c r="CL142" s="0" t="s">
        <v>1709</v>
      </c>
      <c r="CM142" s="0" t="n">
        <f aca="false">IF(OR(CI142="",CJ142=""),"",DAYS360(CI142,CJ142)/360)</f>
        <v>4.85</v>
      </c>
      <c r="CN142" s="0" t="n">
        <f aca="false">IF(OR(CI142="",CJ142=""),"",DAYS360(CI142,CJ142)/30)</f>
        <v>58.2</v>
      </c>
      <c r="CO142" s="0" t="n">
        <f aca="false">IF(OR(CI142="",CJ142=""),"",DAYS360(CI142,CJ142)/7)</f>
        <v>249.428571428571</v>
      </c>
      <c r="CP142" s="0" t="n">
        <f aca="false">IF(OR(CI142="",CJ142=""),"",DAYS360(CI142,CJ142))</f>
        <v>1746</v>
      </c>
      <c r="CQ142" s="0" t="s">
        <v>240</v>
      </c>
      <c r="CR142" s="0" t="n">
        <v>1</v>
      </c>
      <c r="CT142" s="0" t="s">
        <v>216</v>
      </c>
      <c r="CU142" s="0" t="s">
        <v>216</v>
      </c>
      <c r="CV142" s="0" t="str">
        <f aca="false">IF(OR(CT142="",CT142="NO ESPECIFICA",CT142="NO MENCIONA"),"",IF(CU142=0,CT142,IF(CU142=1,CT142/30,IF(CU142=2,CT142/15,IF(CU142=3,CT142/7,"")))))</f>
        <v/>
      </c>
      <c r="CW142" s="125" t="n">
        <v>350</v>
      </c>
      <c r="CX142" s="0" t="n">
        <v>0</v>
      </c>
      <c r="CY142" s="0" t="n">
        <f aca="false">IF(CW142="","",IF(CX142=0,CW142,IF(CX142=1,CW142/30,IF(CX142=2,CW142/15,IF(CX142=3,CW142/7,CW142)))))</f>
        <v>350</v>
      </c>
      <c r="CZ142" s="0" t="n">
        <f aca="false">IF(DI142&gt;0,DI142,IF(CY142&gt;0,CY142,IF(CV142&gt;0,CV142,"")))</f>
        <v>350</v>
      </c>
      <c r="DA142" s="0" t="str">
        <f aca="false">IF(DM142=1,CZ142/8,IF(OR(DM142=2,DM142=4),CZ142/7,IF(DM142=3,CZ142/7.5,"")))</f>
        <v/>
      </c>
      <c r="DB142" s="0" t="s">
        <v>216</v>
      </c>
      <c r="DC142" s="0" t="s">
        <v>216</v>
      </c>
      <c r="DD142" s="0" t="s">
        <v>216</v>
      </c>
      <c r="DE142" s="0" t="s">
        <v>216</v>
      </c>
      <c r="DF142" s="0" t="s">
        <v>216</v>
      </c>
      <c r="DG142" s="0" t="s">
        <v>216</v>
      </c>
      <c r="DH142" s="0" t="n">
        <v>0</v>
      </c>
      <c r="DI142" s="126" t="n">
        <v>350</v>
      </c>
      <c r="DK142" s="0" t="n">
        <v>0</v>
      </c>
      <c r="DM142" s="0" t="s">
        <v>385</v>
      </c>
      <c r="DP142" s="0" t="n">
        <v>0</v>
      </c>
      <c r="DQ142" s="0" t="n">
        <v>1</v>
      </c>
      <c r="DR142" s="0"/>
      <c r="DS142" s="0" t="n">
        <v>1</v>
      </c>
      <c r="DU142" s="0" t="n">
        <v>1</v>
      </c>
      <c r="DW142" s="1" t="n">
        <v>40395</v>
      </c>
      <c r="DX142" s="1" t="n">
        <v>40705</v>
      </c>
      <c r="DZ142" s="0"/>
      <c r="EA142" s="0" t="n">
        <v>1</v>
      </c>
      <c r="EC142" s="1" t="n">
        <v>40179</v>
      </c>
      <c r="ED142" s="1" t="n">
        <v>40705</v>
      </c>
      <c r="EF142" s="0"/>
      <c r="EG142" s="0" t="n">
        <v>1</v>
      </c>
      <c r="EH142" s="0" t="s">
        <v>221</v>
      </c>
      <c r="EI142" s="0" t="str">
        <f aca="false">IF(AND(DM142=1,DN142&lt;=48),"",IF(AND(DM142=2,DN142&lt;=42),"",IF(AND(DM142=3,DN142&lt;=45),"",EH142)))</f>
        <v>NO ESPECIFICA</v>
      </c>
      <c r="EJ142" s="0" t="n">
        <f aca="false">IF(EI142="","",IF(EI142&lt;9,EI142,9))</f>
        <v>9</v>
      </c>
      <c r="EK142" s="0" t="e">
        <f aca="false">IF(EI142="","",IF(EI142&gt;9,EI142-EJ142,0))</f>
        <v>#VALUE!</v>
      </c>
      <c r="EL142" s="0" t="e">
        <f aca="false">IF(EI142="","",EJ142*DA142*2+EK142*DA142*3)</f>
        <v>#VALUE!</v>
      </c>
      <c r="EP142" s="0" t="n">
        <v>0</v>
      </c>
      <c r="EQ142" s="0"/>
      <c r="ER142" s="0" t="n">
        <v>0</v>
      </c>
      <c r="ET142" s="0" t="n">
        <v>0</v>
      </c>
      <c r="EV142" s="0" t="n">
        <v>0</v>
      </c>
      <c r="EX142" s="0" t="n">
        <v>1</v>
      </c>
      <c r="EY142" s="0" t="n">
        <v>0</v>
      </c>
      <c r="EZ142" s="0"/>
      <c r="FA142" s="4" t="n">
        <v>0</v>
      </c>
      <c r="FB142" s="0" t="n">
        <v>0</v>
      </c>
      <c r="FF142" s="120" t="n">
        <f aca="false">(CJ142-CI142+1)/365</f>
        <v>4.85479452054795</v>
      </c>
      <c r="FG142" s="0" t="str">
        <f aca="false">CONCATENATE(F142,"/",G142)</f>
        <v>1469/2011</v>
      </c>
      <c r="FH142" s="0" t="n">
        <v>0</v>
      </c>
      <c r="FI142" s="0" t="n">
        <v>0</v>
      </c>
    </row>
    <row r="143" customFormat="false" ht="15" hidden="false" customHeight="false" outlineLevel="0" collapsed="false">
      <c r="A143" s="5" t="str">
        <f aca="false">E143&amp;G143&amp;F143</f>
        <v>720111477</v>
      </c>
      <c r="B143" s="0" t="s">
        <v>1629</v>
      </c>
      <c r="C143" s="1" t="n">
        <v>42406</v>
      </c>
      <c r="D143" s="0" t="s">
        <v>1630</v>
      </c>
      <c r="E143" s="0" t="n">
        <v>7</v>
      </c>
      <c r="F143" s="0" t="n">
        <v>1477</v>
      </c>
      <c r="G143" s="0" t="n">
        <v>2011</v>
      </c>
      <c r="H143" s="0" t="str">
        <f aca="false">"J"&amp;E143&amp;"\"&amp;F143&amp;"\"&amp;G143&amp;"\"&amp;W143</f>
        <v>J7\1477\2011\1</v>
      </c>
      <c r="I143" s="0" t="n">
        <v>40784</v>
      </c>
      <c r="J143" s="1" t="n">
        <v>39862</v>
      </c>
      <c r="K143" s="0" t="n">
        <v>0</v>
      </c>
      <c r="M143" s="1"/>
      <c r="N143" s="1"/>
      <c r="O143" s="1"/>
      <c r="P143" s="1"/>
      <c r="Q143" s="1"/>
      <c r="T143" s="121"/>
      <c r="U143" s="121"/>
      <c r="V143" s="122" t="n">
        <f aca="false">IF(AND(E143&gt;0,F143&gt;0,G143&gt;0),COUNTIFS($E:$E,E143,$F:$F,F143,$G:$G,G143),"")</f>
        <v>1</v>
      </c>
      <c r="W143" s="122" t="n">
        <f aca="false">IF(V143="","",IF(V143=1,1,IF(AND(E142=E143,F142=F143,G142=G143),W142+1,1)))</f>
        <v>1</v>
      </c>
      <c r="X143" s="0" t="n">
        <v>1</v>
      </c>
      <c r="Y143" s="0" t="n">
        <v>8</v>
      </c>
      <c r="Z143" s="0" t="s">
        <v>1713</v>
      </c>
      <c r="AA143" s="0" t="n">
        <v>0</v>
      </c>
      <c r="AB143" s="0" t="s">
        <v>1714</v>
      </c>
      <c r="AC143" s="0" t="s">
        <v>404</v>
      </c>
      <c r="AD143" s="0" t="s">
        <v>221</v>
      </c>
      <c r="AE143" s="0" t="n">
        <v>0</v>
      </c>
      <c r="AF143" s="0" t="s">
        <v>1715</v>
      </c>
      <c r="AG143" s="0" t="n">
        <v>0</v>
      </c>
      <c r="AH143" s="0" t="s">
        <v>1716</v>
      </c>
      <c r="AI143" s="0" t="s">
        <v>1187</v>
      </c>
      <c r="AJ143" s="0" t="s">
        <v>519</v>
      </c>
      <c r="AL143" s="0" t="s">
        <v>1717</v>
      </c>
      <c r="AM143" s="0" t="n">
        <v>1</v>
      </c>
      <c r="AN143" s="0" t="s">
        <v>1716</v>
      </c>
      <c r="AO143" s="0" t="s">
        <v>1187</v>
      </c>
      <c r="AP143" s="0" t="s">
        <v>519</v>
      </c>
      <c r="AR143" s="0" t="s">
        <v>1718</v>
      </c>
      <c r="AS143" s="0" t="n">
        <v>1</v>
      </c>
      <c r="AT143" s="0" t="s">
        <v>1716</v>
      </c>
      <c r="AU143" s="0" t="s">
        <v>1187</v>
      </c>
      <c r="AV143" s="0" t="s">
        <v>519</v>
      </c>
      <c r="AX143" s="0" t="s">
        <v>1637</v>
      </c>
      <c r="AY143" s="0" t="n">
        <v>1</v>
      </c>
      <c r="AZ143" s="0" t="s">
        <v>1716</v>
      </c>
      <c r="BA143" s="0" t="s">
        <v>1187</v>
      </c>
      <c r="BB143" s="0" t="s">
        <v>519</v>
      </c>
      <c r="BD143" s="0" t="s">
        <v>1719</v>
      </c>
      <c r="BE143" s="0" t="n">
        <v>2</v>
      </c>
      <c r="BF143" s="0" t="s">
        <v>1720</v>
      </c>
      <c r="BG143" s="0" t="s">
        <v>251</v>
      </c>
      <c r="BH143" s="0" t="s">
        <v>221</v>
      </c>
      <c r="BJ143" s="0" t="s">
        <v>1721</v>
      </c>
      <c r="BK143" s="0" t="n">
        <v>2</v>
      </c>
      <c r="BL143" s="0" t="s">
        <v>1720</v>
      </c>
      <c r="BM143" s="0" t="s">
        <v>251</v>
      </c>
      <c r="BN143" s="0" t="s">
        <v>221</v>
      </c>
      <c r="BP143" s="0" t="n">
        <v>0</v>
      </c>
      <c r="BQ143" s="0" t="n">
        <v>0</v>
      </c>
      <c r="BR143" s="0" t="n">
        <v>1</v>
      </c>
      <c r="BS143" s="0" t="s">
        <v>1722</v>
      </c>
      <c r="BT143" s="0" t="s">
        <v>1723</v>
      </c>
      <c r="BU143" s="0" t="s">
        <v>1724</v>
      </c>
      <c r="BV143" s="123"/>
      <c r="BW143" s="123"/>
      <c r="BX143" s="123"/>
      <c r="BY143" s="123"/>
      <c r="CA143" s="0" t="s">
        <v>216</v>
      </c>
      <c r="CD143" s="0" t="s">
        <v>502</v>
      </c>
      <c r="CE143" s="0" t="n">
        <v>0</v>
      </c>
      <c r="CF143" s="0" t="s">
        <v>503</v>
      </c>
      <c r="CI143" s="1" t="s">
        <v>216</v>
      </c>
      <c r="CJ143" s="1" t="n">
        <v>40581</v>
      </c>
      <c r="CK143" s="124" t="s">
        <v>216</v>
      </c>
      <c r="CL143" s="0" t="s">
        <v>1718</v>
      </c>
      <c r="CM143" s="0" t="e">
        <f aca="false">IF(OR(CI143="",CJ143=""),"",DAYS360(CI143,CJ143)/360)</f>
        <v>#VALUE!</v>
      </c>
      <c r="CN143" s="0" t="e">
        <f aca="false">IF(OR(CI143="",CJ143=""),"",DAYS360(CI143,CJ143)/30)</f>
        <v>#VALUE!</v>
      </c>
      <c r="CO143" s="0" t="e">
        <f aca="false">IF(OR(CI143="",CJ143=""),"",DAYS360(CI143,CJ143)/7)</f>
        <v>#VALUE!</v>
      </c>
      <c r="CP143" s="0" t="e">
        <f aca="false">IF(OR(CI143="",CJ143=""),"",DAYS360(CI143,CJ143))</f>
        <v>#VALUE!</v>
      </c>
      <c r="CQ143" s="0" t="s">
        <v>220</v>
      </c>
      <c r="CR143" s="0" t="n">
        <v>1</v>
      </c>
      <c r="CT143" s="0" t="s">
        <v>221</v>
      </c>
      <c r="CU143" s="0" t="s">
        <v>221</v>
      </c>
      <c r="CV143" s="0" t="str">
        <f aca="false">IF(OR(CT143="",CT143="NO ESPECIFICA",CT143="NO MENCIONA"),"",IF(CU143=0,CT143,IF(CU143=1,CT143/30,IF(CU143=2,CT143/15,IF(CU143=3,CT143/7,"")))))</f>
        <v/>
      </c>
      <c r="CW143" s="125" t="n">
        <v>300</v>
      </c>
      <c r="CX143" s="0" t="n">
        <v>0</v>
      </c>
      <c r="CY143" s="0" t="n">
        <f aca="false">IF(CW143="","",IF(CX143=0,CW143,IF(CX143=1,CW143/30,IF(CX143=2,CW143/15,IF(CX143=3,CW143/7,CW143)))))</f>
        <v>300</v>
      </c>
      <c r="CZ143" s="0" t="n">
        <f aca="false">IF(DI143&gt;0,DI143,IF(CY143&gt;0,CY143,IF(CV143&gt;0,CV143,"")))</f>
        <v>300</v>
      </c>
      <c r="DA143" s="0" t="str">
        <f aca="false">IF(DM143=1,CZ143/8,IF(OR(DM143=2,DM143=4),CZ143/7,IF(DM143=3,CZ143/7.5,"")))</f>
        <v/>
      </c>
      <c r="DB143" s="0" t="s">
        <v>216</v>
      </c>
      <c r="DC143" s="0" t="s">
        <v>216</v>
      </c>
      <c r="DD143" s="0" t="s">
        <v>216</v>
      </c>
      <c r="DE143" s="0" t="s">
        <v>216</v>
      </c>
      <c r="DF143" s="0" t="s">
        <v>216</v>
      </c>
      <c r="DG143" s="0" t="s">
        <v>216</v>
      </c>
      <c r="DH143" s="0" t="n">
        <v>0</v>
      </c>
      <c r="DI143" s="126" t="n">
        <v>300</v>
      </c>
      <c r="DK143" s="0" t="n">
        <v>0</v>
      </c>
      <c r="DM143" s="0" t="s">
        <v>385</v>
      </c>
      <c r="DP143" s="0" t="n">
        <v>1</v>
      </c>
      <c r="DQ143" s="0" t="n">
        <v>0</v>
      </c>
      <c r="DR143" s="0"/>
      <c r="DS143" s="0" t="n">
        <v>0</v>
      </c>
      <c r="DU143" s="0" t="n">
        <v>1</v>
      </c>
      <c r="DW143" s="1" t="s">
        <v>221</v>
      </c>
      <c r="DX143" s="1" t="s">
        <v>221</v>
      </c>
      <c r="DY143" s="0" t="s">
        <v>221</v>
      </c>
      <c r="DZ143" s="0" t="s">
        <v>221</v>
      </c>
      <c r="EA143" s="0" t="n">
        <v>1</v>
      </c>
      <c r="EC143" s="1" t="n">
        <v>40179</v>
      </c>
      <c r="ED143" s="1" t="n">
        <v>40581</v>
      </c>
      <c r="EF143" s="0"/>
      <c r="EG143" s="0" t="n">
        <v>0</v>
      </c>
      <c r="EI143" s="0" t="n">
        <f aca="false">IF(AND(DM143=1,DN143&lt;=48),"",IF(AND(DM143=2,DN143&lt;=42),"",IF(AND(DM143=3,DN143&lt;=45),"",EH143)))</f>
        <v>0</v>
      </c>
      <c r="EJ143" s="0" t="str">
        <f aca="false">IF(EI143="","",IF(EI143&lt;9,EI143,9))</f>
        <v/>
      </c>
      <c r="EK143" s="0" t="str">
        <f aca="false">IF(EI143="","",IF(EI143&gt;9,EI143-EJ143,0))</f>
        <v/>
      </c>
      <c r="EL143" s="0" t="str">
        <f aca="false">IF(EI143="","",EJ143*DA143*2+EK143*DA143*3)</f>
        <v/>
      </c>
      <c r="EP143" s="0" t="n">
        <v>0</v>
      </c>
      <c r="EQ143" s="0"/>
      <c r="ER143" s="0" t="n">
        <v>0</v>
      </c>
      <c r="ET143" s="0" t="n">
        <v>0</v>
      </c>
      <c r="EV143" s="0" t="n">
        <v>0</v>
      </c>
      <c r="EX143" s="0" t="n">
        <v>1</v>
      </c>
      <c r="EY143" s="0" t="n">
        <v>0</v>
      </c>
      <c r="EZ143" s="0"/>
      <c r="FA143" s="4" t="n">
        <v>0</v>
      </c>
      <c r="FB143" s="0" t="n">
        <v>0</v>
      </c>
      <c r="FF143" s="120" t="e">
        <f aca="false">(CJ143-CI143+1)/365</f>
        <v>#VALUE!</v>
      </c>
      <c r="FG143" s="0" t="str">
        <f aca="false">CONCATENATE(F143,"/",G143)</f>
        <v>1477/2011</v>
      </c>
      <c r="FH143" s="0" t="n">
        <v>0</v>
      </c>
      <c r="FI143" s="0" t="n">
        <v>0</v>
      </c>
    </row>
    <row r="144" customFormat="false" ht="15" hidden="false" customHeight="false" outlineLevel="0" collapsed="false">
      <c r="A144" s="5" t="str">
        <f aca="false">E144&amp;G144&amp;F144</f>
        <v>720111482</v>
      </c>
      <c r="B144" s="0" t="s">
        <v>1629</v>
      </c>
      <c r="C144" s="1" t="n">
        <v>42406</v>
      </c>
      <c r="E144" s="0" t="n">
        <v>7</v>
      </c>
      <c r="F144" s="0" t="n">
        <v>1482</v>
      </c>
      <c r="G144" s="0" t="n">
        <v>2011</v>
      </c>
      <c r="H144" s="0" t="str">
        <f aca="false">"J"&amp;E144&amp;"\"&amp;F144&amp;"\"&amp;G144&amp;"\"&amp;W144</f>
        <v>J7\1482\2011\1</v>
      </c>
      <c r="I144" s="0"/>
      <c r="J144" s="1" t="n">
        <v>40785</v>
      </c>
      <c r="K144" s="0" t="n">
        <v>1</v>
      </c>
      <c r="L144" s="0" t="s">
        <v>528</v>
      </c>
      <c r="M144" s="1" t="n">
        <v>40785</v>
      </c>
      <c r="N144" s="1" t="n">
        <v>41009</v>
      </c>
      <c r="O144" s="1"/>
      <c r="P144" s="1"/>
      <c r="Q144" s="1"/>
      <c r="T144" s="121"/>
      <c r="U144" s="121"/>
      <c r="V144" s="122" t="n">
        <f aca="false">IF(AND(E144&gt;0,F144&gt;0,G144&gt;0),COUNTIFS($E:$E,E144,$F:$F,F144,$G:$G,G144),"")</f>
        <v>3</v>
      </c>
      <c r="W144" s="122" t="n">
        <f aca="false">IF(V144="","",IF(V144=1,1,IF(AND(E143=E144,F143=F144,G143=G144),W143+1,1)))</f>
        <v>1</v>
      </c>
      <c r="X144" s="0" t="n">
        <v>3</v>
      </c>
      <c r="Y144" s="0" t="n">
        <v>5</v>
      </c>
      <c r="Z144" s="0" t="s">
        <v>1725</v>
      </c>
      <c r="AA144" s="0" t="n">
        <v>0</v>
      </c>
      <c r="AB144" s="0" t="s">
        <v>1726</v>
      </c>
      <c r="AC144" s="0" t="s">
        <v>318</v>
      </c>
      <c r="AD144" s="0" t="s">
        <v>229</v>
      </c>
      <c r="AE144" s="0" t="n">
        <v>0</v>
      </c>
      <c r="AF144" s="0" t="s">
        <v>1727</v>
      </c>
      <c r="AG144" s="0" t="n">
        <v>2</v>
      </c>
      <c r="AH144" s="0" t="s">
        <v>1728</v>
      </c>
      <c r="AI144" s="0" t="s">
        <v>1729</v>
      </c>
      <c r="AJ144" s="0" t="s">
        <v>590</v>
      </c>
      <c r="AL144" s="0" t="s">
        <v>1730</v>
      </c>
      <c r="AM144" s="0" t="n">
        <v>1</v>
      </c>
      <c r="AN144" s="0" t="s">
        <v>1728</v>
      </c>
      <c r="AO144" s="0" t="s">
        <v>1729</v>
      </c>
      <c r="AP144" s="0" t="s">
        <v>590</v>
      </c>
      <c r="AR144" s="0" t="s">
        <v>1731</v>
      </c>
      <c r="AS144" s="0" t="n">
        <v>1</v>
      </c>
      <c r="AT144" s="0" t="s">
        <v>1728</v>
      </c>
      <c r="AU144" s="0" t="s">
        <v>1729</v>
      </c>
      <c r="AV144" s="0" t="s">
        <v>590</v>
      </c>
      <c r="AX144" s="0" t="s">
        <v>1732</v>
      </c>
      <c r="AY144" s="0" t="n">
        <v>1</v>
      </c>
      <c r="AZ144" s="0" t="s">
        <v>1728</v>
      </c>
      <c r="BA144" s="0" t="s">
        <v>1729</v>
      </c>
      <c r="BB144" s="0" t="s">
        <v>590</v>
      </c>
      <c r="BD144" s="0" t="s">
        <v>1637</v>
      </c>
      <c r="BE144" s="0" t="n">
        <v>1</v>
      </c>
      <c r="BF144" s="0" t="s">
        <v>1728</v>
      </c>
      <c r="BG144" s="0" t="s">
        <v>1729</v>
      </c>
      <c r="BH144" s="0" t="s">
        <v>590</v>
      </c>
      <c r="BP144" s="0" t="n">
        <v>0</v>
      </c>
      <c r="BQ144" s="0" t="n">
        <v>0</v>
      </c>
      <c r="BR144" s="0" t="n">
        <v>1</v>
      </c>
      <c r="BS144" s="0" t="s">
        <v>1733</v>
      </c>
      <c r="BT144" s="0" t="s">
        <v>1734</v>
      </c>
      <c r="BU144" s="0" t="s">
        <v>1735</v>
      </c>
      <c r="BV144" s="123"/>
      <c r="BW144" s="123"/>
      <c r="BX144" s="123"/>
      <c r="BY144" s="123"/>
      <c r="CA144" s="0" t="s">
        <v>1736</v>
      </c>
      <c r="CD144" s="0" t="s">
        <v>1308</v>
      </c>
      <c r="CE144" s="0" t="n">
        <v>0</v>
      </c>
      <c r="CF144" s="0" t="s">
        <v>1737</v>
      </c>
      <c r="CI144" s="1" t="n">
        <v>40026</v>
      </c>
      <c r="CJ144" s="1" t="n">
        <v>40713</v>
      </c>
      <c r="CK144" s="124" t="n">
        <v>0.958333333333333</v>
      </c>
      <c r="CL144" s="0" t="s">
        <v>1730</v>
      </c>
      <c r="CM144" s="0" t="n">
        <f aca="false">IF(OR(CI144="",CJ144=""),"",DAYS360(CI144,CJ144)/360)</f>
        <v>1.88333333333333</v>
      </c>
      <c r="CN144" s="0" t="n">
        <f aca="false">IF(OR(CI144="",CJ144=""),"",DAYS360(CI144,CJ144)/30)</f>
        <v>22.6</v>
      </c>
      <c r="CO144" s="0" t="n">
        <f aca="false">IF(OR(CI144="",CJ144=""),"",DAYS360(CI144,CJ144)/7)</f>
        <v>96.8571428571429</v>
      </c>
      <c r="CP144" s="0" t="n">
        <f aca="false">IF(OR(CI144="",CJ144=""),"",DAYS360(CI144,CJ144))</f>
        <v>678</v>
      </c>
      <c r="CQ144" s="0" t="s">
        <v>240</v>
      </c>
      <c r="CR144" s="0" t="n">
        <v>1</v>
      </c>
      <c r="CT144" s="0" t="s">
        <v>221</v>
      </c>
      <c r="CU144" s="0" t="s">
        <v>221</v>
      </c>
      <c r="CV144" s="0" t="str">
        <f aca="false">IF(OR(CT144="",CT144="NO ESPECIFICA",CT144="NO MENCIONA"),"",IF(CU144=0,CT144,IF(CU144=1,CT144/30,IF(CU144=2,CT144/15,IF(CU144=3,CT144/7,"")))))</f>
        <v/>
      </c>
      <c r="CW144" s="125" t="n">
        <v>7370</v>
      </c>
      <c r="CX144" s="0" t="n">
        <v>1</v>
      </c>
      <c r="CY144" s="0" t="n">
        <f aca="false">IF(CW144="","",IF(CX144=0,CW144,IF(CX144=1,CW144/30,IF(CX144=2,CW144/15,IF(CX144=3,CW144/7,CW144)))))</f>
        <v>245.666666666667</v>
      </c>
      <c r="CZ144" s="0" t="n">
        <f aca="false">IF(DI144&gt;0,DI144,IF(CY144&gt;0,CY144,IF(CV144&gt;0,CV144,"")))</f>
        <v>245.666666666667</v>
      </c>
      <c r="DA144" s="0" t="n">
        <f aca="false">IF(DM144=1,CZ144/8,IF(OR(DM144=2,DM144=4),CZ144/7,IF(DM144=3,CZ144/7.5,"")))</f>
        <v>30.7083333333333</v>
      </c>
      <c r="DB144" s="0" t="s">
        <v>216</v>
      </c>
      <c r="DC144" s="0" t="s">
        <v>216</v>
      </c>
      <c r="DD144" s="0" t="s">
        <v>216</v>
      </c>
      <c r="DE144" s="0" t="s">
        <v>216</v>
      </c>
      <c r="DF144" s="0" t="s">
        <v>216</v>
      </c>
      <c r="DG144" s="0" t="s">
        <v>216</v>
      </c>
      <c r="DH144" s="0" t="n">
        <v>0</v>
      </c>
      <c r="DI144" s="126" t="n">
        <f aca="false">7370/30</f>
        <v>245.666666666667</v>
      </c>
      <c r="DK144" s="0" t="n">
        <v>0</v>
      </c>
      <c r="DM144" s="0" t="n">
        <v>1</v>
      </c>
      <c r="DN144" s="0" t="n">
        <f aca="false">13*6</f>
        <v>78</v>
      </c>
      <c r="DO144" s="0" t="n">
        <v>3</v>
      </c>
      <c r="DP144" s="0" t="n">
        <v>0</v>
      </c>
      <c r="DQ144" s="0" t="n">
        <v>1</v>
      </c>
      <c r="DR144" s="0"/>
      <c r="DS144" s="0" t="n">
        <v>1</v>
      </c>
      <c r="DU144" s="0" t="n">
        <v>1</v>
      </c>
      <c r="DW144" s="1" t="n">
        <v>40391</v>
      </c>
      <c r="DX144" s="1" t="n">
        <v>40713</v>
      </c>
      <c r="DZ144" s="0"/>
      <c r="EA144" s="0" t="n">
        <v>0</v>
      </c>
      <c r="EC144" s="1" t="n">
        <v>40544</v>
      </c>
      <c r="ED144" s="1" t="n">
        <v>40713</v>
      </c>
      <c r="EF144" s="0"/>
      <c r="EG144" s="0" t="n">
        <v>1</v>
      </c>
      <c r="EH144" s="0" t="n">
        <v>35</v>
      </c>
      <c r="EI144" s="0" t="n">
        <f aca="false">IF(AND(DM144=1,DN144&lt;=48),"",IF(AND(DM144=2,DN144&lt;=42),"",IF(AND(DM144=3,DN144&lt;=45),"",EH144)))</f>
        <v>35</v>
      </c>
      <c r="EJ144" s="0" t="n">
        <f aca="false">IF(EI144="","",IF(EI144&lt;9,EI144,9))</f>
        <v>9</v>
      </c>
      <c r="EK144" s="0" t="n">
        <f aca="false">IF(EI144="","",IF(EI144&gt;9,EI144-EJ144,0))</f>
        <v>26</v>
      </c>
      <c r="EL144" s="0" t="n">
        <f aca="false">IF(EI144="","",EJ144*DA144*2+EK144*DA144*3)</f>
        <v>2948</v>
      </c>
      <c r="EP144" s="0" t="n">
        <v>0</v>
      </c>
      <c r="EQ144" s="0"/>
      <c r="ER144" s="0" t="n">
        <v>0</v>
      </c>
      <c r="ET144" s="0" t="n">
        <v>0</v>
      </c>
      <c r="EV144" s="0" t="n">
        <v>0</v>
      </c>
      <c r="EX144" s="0" t="n">
        <v>1</v>
      </c>
      <c r="EY144" s="0" t="n">
        <v>0</v>
      </c>
      <c r="EZ144" s="0"/>
      <c r="FA144" s="4" t="n">
        <v>0</v>
      </c>
      <c r="FB144" s="0" t="n">
        <v>1</v>
      </c>
      <c r="FF144" s="120" t="n">
        <f aca="false">(CJ144-CI144+1)/365</f>
        <v>1.88493150684932</v>
      </c>
      <c r="FG144" s="0" t="str">
        <f aca="false">CONCATENATE(F144,"/",G144)</f>
        <v>1482/2011</v>
      </c>
      <c r="FH144" s="0" t="n">
        <v>0</v>
      </c>
      <c r="FI144" s="0" t="n">
        <v>0</v>
      </c>
    </row>
    <row r="145" customFormat="false" ht="15" hidden="false" customHeight="false" outlineLevel="0" collapsed="false">
      <c r="A145" s="5" t="str">
        <f aca="false">E145&amp;G145&amp;F145</f>
        <v>720111482</v>
      </c>
      <c r="B145" s="0" t="s">
        <v>1629</v>
      </c>
      <c r="C145" s="1" t="n">
        <v>42406</v>
      </c>
      <c r="E145" s="0" t="n">
        <v>7</v>
      </c>
      <c r="F145" s="0" t="n">
        <v>1482</v>
      </c>
      <c r="G145" s="0" t="n">
        <v>2011</v>
      </c>
      <c r="H145" s="0" t="str">
        <f aca="false">"J"&amp;E145&amp;"\"&amp;F145&amp;"\"&amp;G145&amp;"\"&amp;W145</f>
        <v>J7\1482\2011\2</v>
      </c>
      <c r="I145" s="0"/>
      <c r="J145" s="1" t="n">
        <v>40785</v>
      </c>
      <c r="K145" s="0" t="n">
        <v>1</v>
      </c>
      <c r="L145" s="0" t="s">
        <v>528</v>
      </c>
      <c r="M145" s="1" t="n">
        <v>40785</v>
      </c>
      <c r="N145" s="1" t="n">
        <v>41009</v>
      </c>
      <c r="O145" s="1"/>
      <c r="P145" s="1"/>
      <c r="Q145" s="1"/>
      <c r="T145" s="121"/>
      <c r="U145" s="121"/>
      <c r="V145" s="122" t="n">
        <f aca="false">IF(AND(E145&gt;0,F145&gt;0,G145&gt;0),COUNTIFS($E:$E,E145,$F:$F,F145,$G:$G,G145),"")</f>
        <v>3</v>
      </c>
      <c r="W145" s="122" t="n">
        <f aca="false">IF(V145="","",IF(V145=1,1,IF(AND(E144=E145,F144=F145,G144=G145),W144+1,1)))</f>
        <v>2</v>
      </c>
      <c r="X145" s="0" t="n">
        <v>3</v>
      </c>
      <c r="Y145" s="0" t="n">
        <v>5</v>
      </c>
      <c r="Z145" s="0" t="s">
        <v>1738</v>
      </c>
      <c r="AA145" s="0" t="n">
        <v>0</v>
      </c>
      <c r="AB145" s="0" t="s">
        <v>1726</v>
      </c>
      <c r="AC145" s="0" t="s">
        <v>318</v>
      </c>
      <c r="AD145" s="0" t="s">
        <v>229</v>
      </c>
      <c r="AE145" s="0" t="n">
        <v>0</v>
      </c>
      <c r="AF145" s="0" t="s">
        <v>1727</v>
      </c>
      <c r="AG145" s="0" t="n">
        <v>2</v>
      </c>
      <c r="AH145" s="0" t="s">
        <v>1728</v>
      </c>
      <c r="AI145" s="0" t="s">
        <v>1729</v>
      </c>
      <c r="AJ145" s="0" t="s">
        <v>590</v>
      </c>
      <c r="AL145" s="0" t="s">
        <v>1730</v>
      </c>
      <c r="AM145" s="0" t="n">
        <v>1</v>
      </c>
      <c r="AN145" s="0" t="s">
        <v>1728</v>
      </c>
      <c r="AO145" s="0" t="s">
        <v>1729</v>
      </c>
      <c r="AP145" s="0" t="s">
        <v>590</v>
      </c>
      <c r="AR145" s="0" t="s">
        <v>1731</v>
      </c>
      <c r="AS145" s="0" t="n">
        <v>1</v>
      </c>
      <c r="AT145" s="0" t="s">
        <v>1728</v>
      </c>
      <c r="AU145" s="0" t="s">
        <v>1729</v>
      </c>
      <c r="AV145" s="0" t="s">
        <v>590</v>
      </c>
      <c r="AX145" s="0" t="s">
        <v>1732</v>
      </c>
      <c r="AY145" s="0" t="n">
        <v>1</v>
      </c>
      <c r="AZ145" s="0" t="s">
        <v>1728</v>
      </c>
      <c r="BA145" s="0" t="s">
        <v>1729</v>
      </c>
      <c r="BB145" s="0" t="s">
        <v>590</v>
      </c>
      <c r="BD145" s="0" t="s">
        <v>1637</v>
      </c>
      <c r="BE145" s="0" t="n">
        <v>1</v>
      </c>
      <c r="BF145" s="0" t="s">
        <v>1728</v>
      </c>
      <c r="BG145" s="0" t="s">
        <v>1729</v>
      </c>
      <c r="BH145" s="0" t="s">
        <v>590</v>
      </c>
      <c r="BP145" s="0" t="n">
        <v>0</v>
      </c>
      <c r="BQ145" s="0" t="n">
        <v>0</v>
      </c>
      <c r="BR145" s="0" t="n">
        <v>1</v>
      </c>
      <c r="BS145" s="0" t="s">
        <v>1733</v>
      </c>
      <c r="BT145" s="0" t="s">
        <v>1734</v>
      </c>
      <c r="BU145" s="0" t="s">
        <v>1735</v>
      </c>
      <c r="BV145" s="123"/>
      <c r="BW145" s="123"/>
      <c r="BX145" s="123"/>
      <c r="BY145" s="123"/>
      <c r="CA145" s="0" t="s">
        <v>1736</v>
      </c>
      <c r="CD145" s="0" t="s">
        <v>1308</v>
      </c>
      <c r="CE145" s="0" t="n">
        <v>0</v>
      </c>
      <c r="CF145" s="0" t="s">
        <v>1737</v>
      </c>
      <c r="CI145" s="1" t="n">
        <v>40034</v>
      </c>
      <c r="CJ145" s="1" t="n">
        <v>40713</v>
      </c>
      <c r="CK145" s="124" t="n">
        <v>0.958333333333333</v>
      </c>
      <c r="CL145" s="0" t="s">
        <v>1730</v>
      </c>
      <c r="CM145" s="0" t="n">
        <f aca="false">IF(OR(CI145="",CJ145=""),"",DAYS360(CI145,CJ145)/360)</f>
        <v>1.86111111111111</v>
      </c>
      <c r="CN145" s="0" t="n">
        <f aca="false">IF(OR(CI145="",CJ145=""),"",DAYS360(CI145,CJ145)/30)</f>
        <v>22.3333333333333</v>
      </c>
      <c r="CO145" s="0" t="n">
        <f aca="false">IF(OR(CI145="",CJ145=""),"",DAYS360(CI145,CJ145)/7)</f>
        <v>95.7142857142857</v>
      </c>
      <c r="CP145" s="0" t="n">
        <f aca="false">IF(OR(CI145="",CJ145=""),"",DAYS360(CI145,CJ145))</f>
        <v>670</v>
      </c>
      <c r="CQ145" s="0" t="s">
        <v>240</v>
      </c>
      <c r="CR145" s="0" t="n">
        <v>1</v>
      </c>
      <c r="CT145" s="0" t="s">
        <v>221</v>
      </c>
      <c r="CU145" s="0" t="s">
        <v>221</v>
      </c>
      <c r="CV145" s="0" t="str">
        <f aca="false">IF(OR(CT145="",CT145="NO ESPECIFICA",CT145="NO MENCIONA"),"",IF(CU145=0,CT145,IF(CU145=1,CT145/30,IF(CU145=2,CT145/15,IF(CU145=3,CT145/7,"")))))</f>
        <v/>
      </c>
      <c r="CW145" s="125" t="n">
        <v>8960</v>
      </c>
      <c r="CX145" s="0" t="n">
        <v>1</v>
      </c>
      <c r="CY145" s="0" t="n">
        <f aca="false">IF(CW145="","",IF(CX145=0,CW145,IF(CX145=1,CW145/30,IF(CX145=2,CW145/15,IF(CX145=3,CW145/7,CW145)))))</f>
        <v>298.666666666667</v>
      </c>
      <c r="CZ145" s="0" t="n">
        <f aca="false">IF(DI145&gt;0,DI145,IF(CY145&gt;0,CY145,IF(CV145&gt;0,CV145,"")))</f>
        <v>298.666666666667</v>
      </c>
      <c r="DA145" s="0" t="n">
        <f aca="false">IF(DM145=1,CZ145/8,IF(OR(DM145=2,DM145=4),CZ145/7,IF(DM145=3,CZ145/7.5,"")))</f>
        <v>37.3333333333333</v>
      </c>
      <c r="DB145" s="0" t="s">
        <v>216</v>
      </c>
      <c r="DC145" s="0" t="s">
        <v>216</v>
      </c>
      <c r="DD145" s="0" t="s">
        <v>216</v>
      </c>
      <c r="DE145" s="0" t="s">
        <v>216</v>
      </c>
      <c r="DF145" s="0" t="s">
        <v>216</v>
      </c>
      <c r="DG145" s="0" t="s">
        <v>216</v>
      </c>
      <c r="DH145" s="0" t="n">
        <v>0</v>
      </c>
      <c r="DI145" s="126" t="n">
        <f aca="false">8960/30</f>
        <v>298.666666666667</v>
      </c>
      <c r="DK145" s="0" t="n">
        <v>0</v>
      </c>
      <c r="DM145" s="0" t="n">
        <v>1</v>
      </c>
      <c r="DN145" s="0" t="n">
        <f aca="false">13*6</f>
        <v>78</v>
      </c>
      <c r="DO145" s="0" t="n">
        <v>3</v>
      </c>
      <c r="DP145" s="0" t="n">
        <v>0</v>
      </c>
      <c r="DQ145" s="0" t="n">
        <v>1</v>
      </c>
      <c r="DR145" s="0"/>
      <c r="DS145" s="0" t="n">
        <v>1</v>
      </c>
      <c r="DU145" s="0" t="n">
        <v>1</v>
      </c>
      <c r="DW145" s="1" t="n">
        <v>40399</v>
      </c>
      <c r="DX145" s="1" t="n">
        <v>40713</v>
      </c>
      <c r="DZ145" s="0"/>
      <c r="EA145" s="0" t="n">
        <v>0</v>
      </c>
      <c r="EC145" s="1" t="n">
        <v>40544</v>
      </c>
      <c r="ED145" s="1" t="n">
        <v>40713</v>
      </c>
      <c r="EF145" s="0"/>
      <c r="EG145" s="0" t="n">
        <v>1</v>
      </c>
      <c r="EH145" s="0" t="n">
        <v>35</v>
      </c>
      <c r="EI145" s="0" t="n">
        <f aca="false">IF(AND(DM145=1,DN145&lt;=48),"",IF(AND(DM145=2,DN145&lt;=42),"",IF(AND(DM145=3,DN145&lt;=45),"",EH145)))</f>
        <v>35</v>
      </c>
      <c r="EJ145" s="0" t="n">
        <f aca="false">IF(EI145="","",IF(EI145&lt;9,EI145,9))</f>
        <v>9</v>
      </c>
      <c r="EK145" s="0" t="n">
        <f aca="false">IF(EI145="","",IF(EI145&gt;9,EI145-EJ145,0))</f>
        <v>26</v>
      </c>
      <c r="EL145" s="0" t="n">
        <f aca="false">IF(EI145="","",EJ145*DA145*2+EK145*DA145*3)</f>
        <v>3584</v>
      </c>
      <c r="EP145" s="0" t="n">
        <v>0</v>
      </c>
      <c r="EQ145" s="0"/>
      <c r="ER145" s="0" t="n">
        <v>0</v>
      </c>
      <c r="ET145" s="0" t="n">
        <v>0</v>
      </c>
      <c r="EV145" s="0" t="n">
        <v>0</v>
      </c>
      <c r="EX145" s="0" t="n">
        <v>1</v>
      </c>
      <c r="EY145" s="0" t="n">
        <v>0</v>
      </c>
      <c r="EZ145" s="0"/>
      <c r="FA145" s="4" t="n">
        <v>0</v>
      </c>
      <c r="FB145" s="0" t="n">
        <v>1</v>
      </c>
      <c r="FF145" s="120" t="n">
        <f aca="false">(CJ145-CI145+1)/365</f>
        <v>1.86301369863014</v>
      </c>
      <c r="FG145" s="0" t="str">
        <f aca="false">CONCATENATE(F145,"/",G145)</f>
        <v>1482/2011</v>
      </c>
      <c r="FH145" s="0" t="n">
        <v>0</v>
      </c>
      <c r="FI145" s="0" t="n">
        <v>0</v>
      </c>
    </row>
    <row r="146" customFormat="false" ht="15" hidden="false" customHeight="false" outlineLevel="0" collapsed="false">
      <c r="A146" s="5" t="str">
        <f aca="false">E146&amp;G146&amp;F146</f>
        <v>720111482</v>
      </c>
      <c r="B146" s="0" t="s">
        <v>1629</v>
      </c>
      <c r="C146" s="1" t="n">
        <v>42406</v>
      </c>
      <c r="E146" s="0" t="n">
        <v>7</v>
      </c>
      <c r="F146" s="0" t="n">
        <v>1482</v>
      </c>
      <c r="G146" s="0" t="n">
        <v>2011</v>
      </c>
      <c r="H146" s="0" t="str">
        <f aca="false">"J"&amp;E146&amp;"\"&amp;F146&amp;"\"&amp;G146&amp;"\"&amp;W146</f>
        <v>J7\1482\2011\3</v>
      </c>
      <c r="I146" s="0"/>
      <c r="J146" s="1" t="n">
        <v>40785</v>
      </c>
      <c r="K146" s="0" t="n">
        <v>1</v>
      </c>
      <c r="L146" s="0" t="s">
        <v>528</v>
      </c>
      <c r="M146" s="1" t="n">
        <v>40785</v>
      </c>
      <c r="N146" s="1" t="n">
        <v>41009</v>
      </c>
      <c r="O146" s="1"/>
      <c r="P146" s="1"/>
      <c r="Q146" s="1"/>
      <c r="T146" s="121"/>
      <c r="U146" s="121"/>
      <c r="V146" s="122" t="n">
        <f aca="false">IF(AND(E146&gt;0,F146&gt;0,G146&gt;0),COUNTIFS($E:$E,E146,$F:$F,F146,$G:$G,G146),"")</f>
        <v>3</v>
      </c>
      <c r="W146" s="122" t="n">
        <f aca="false">IF(V146="","",IF(V146=1,1,IF(AND(E145=E146,F145=F146,G145=G146),W145+1,1)))</f>
        <v>3</v>
      </c>
      <c r="X146" s="0" t="n">
        <v>3</v>
      </c>
      <c r="Y146" s="0" t="n">
        <v>5</v>
      </c>
      <c r="Z146" s="0" t="s">
        <v>1739</v>
      </c>
      <c r="AA146" s="0" t="n">
        <v>0</v>
      </c>
      <c r="AB146" s="0" t="s">
        <v>1726</v>
      </c>
      <c r="AC146" s="0" t="s">
        <v>318</v>
      </c>
      <c r="AD146" s="0" t="s">
        <v>229</v>
      </c>
      <c r="AE146" s="0" t="n">
        <v>0</v>
      </c>
      <c r="AF146" s="0" t="s">
        <v>1727</v>
      </c>
      <c r="AG146" s="0" t="n">
        <v>2</v>
      </c>
      <c r="AH146" s="0" t="s">
        <v>1728</v>
      </c>
      <c r="AI146" s="0" t="s">
        <v>1729</v>
      </c>
      <c r="AJ146" s="0" t="s">
        <v>590</v>
      </c>
      <c r="AL146" s="0" t="s">
        <v>1730</v>
      </c>
      <c r="AM146" s="0" t="n">
        <v>1</v>
      </c>
      <c r="AN146" s="0" t="s">
        <v>1728</v>
      </c>
      <c r="AO146" s="0" t="s">
        <v>1729</v>
      </c>
      <c r="AP146" s="0" t="s">
        <v>590</v>
      </c>
      <c r="AR146" s="0" t="s">
        <v>1731</v>
      </c>
      <c r="AS146" s="0" t="n">
        <v>1</v>
      </c>
      <c r="AT146" s="0" t="s">
        <v>1728</v>
      </c>
      <c r="AU146" s="0" t="s">
        <v>1729</v>
      </c>
      <c r="AV146" s="0" t="s">
        <v>590</v>
      </c>
      <c r="AX146" s="0" t="s">
        <v>1732</v>
      </c>
      <c r="AY146" s="0" t="n">
        <v>1</v>
      </c>
      <c r="AZ146" s="0" t="s">
        <v>1728</v>
      </c>
      <c r="BA146" s="0" t="s">
        <v>1729</v>
      </c>
      <c r="BB146" s="0" t="s">
        <v>590</v>
      </c>
      <c r="BD146" s="0" t="s">
        <v>1637</v>
      </c>
      <c r="BE146" s="0" t="n">
        <v>1</v>
      </c>
      <c r="BF146" s="0" t="s">
        <v>1728</v>
      </c>
      <c r="BG146" s="0" t="s">
        <v>1729</v>
      </c>
      <c r="BH146" s="0" t="s">
        <v>590</v>
      </c>
      <c r="BP146" s="0" t="n">
        <v>0</v>
      </c>
      <c r="BQ146" s="0" t="n">
        <v>0</v>
      </c>
      <c r="BR146" s="0" t="n">
        <v>1</v>
      </c>
      <c r="BS146" s="0" t="s">
        <v>1733</v>
      </c>
      <c r="BT146" s="0" t="s">
        <v>1734</v>
      </c>
      <c r="BU146" s="0" t="s">
        <v>1735</v>
      </c>
      <c r="BV146" s="123"/>
      <c r="BW146" s="123"/>
      <c r="BX146" s="123"/>
      <c r="BY146" s="123"/>
      <c r="CA146" s="0" t="s">
        <v>1736</v>
      </c>
      <c r="CD146" s="0" t="s">
        <v>1308</v>
      </c>
      <c r="CE146" s="0" t="n">
        <v>0</v>
      </c>
      <c r="CF146" s="0" t="s">
        <v>1740</v>
      </c>
      <c r="CI146" s="1" t="n">
        <v>40513</v>
      </c>
      <c r="CJ146" s="1" t="n">
        <v>40713</v>
      </c>
      <c r="CK146" s="124" t="n">
        <v>0.958333333333333</v>
      </c>
      <c r="CL146" s="0" t="s">
        <v>1730</v>
      </c>
      <c r="CM146" s="0" t="n">
        <f aca="false">IF(OR(CI146="",CJ146=""),"",DAYS360(CI146,CJ146)/360)</f>
        <v>0.55</v>
      </c>
      <c r="CN146" s="0" t="n">
        <f aca="false">IF(OR(CI146="",CJ146=""),"",DAYS360(CI146,CJ146)/30)</f>
        <v>6.6</v>
      </c>
      <c r="CO146" s="0" t="n">
        <f aca="false">IF(OR(CI146="",CJ146=""),"",DAYS360(CI146,CJ146)/7)</f>
        <v>28.2857142857143</v>
      </c>
      <c r="CP146" s="0" t="n">
        <f aca="false">IF(OR(CI146="",CJ146=""),"",DAYS360(CI146,CJ146))</f>
        <v>198</v>
      </c>
      <c r="CQ146" s="0" t="s">
        <v>240</v>
      </c>
      <c r="CR146" s="0" t="n">
        <v>1</v>
      </c>
      <c r="CT146" s="0" t="s">
        <v>221</v>
      </c>
      <c r="CU146" s="0" t="s">
        <v>221</v>
      </c>
      <c r="CV146" s="0" t="str">
        <f aca="false">IF(OR(CT146="",CT146="NO ESPECIFICA",CT146="NO MENCIONA"),"",IF(CU146=0,CT146,IF(CU146=1,CT146/30,IF(CU146=2,CT146/15,IF(CU146=3,CT146/7,"")))))</f>
        <v/>
      </c>
      <c r="CW146" s="125" t="n">
        <v>4600</v>
      </c>
      <c r="CX146" s="0" t="n">
        <v>1</v>
      </c>
      <c r="CY146" s="0" t="n">
        <f aca="false">IF(CW146="","",IF(CX146=0,CW146,IF(CX146=1,CW146/30,IF(CX146=2,CW146/15,IF(CX146=3,CW146/7,CW146)))))</f>
        <v>153.333333333333</v>
      </c>
      <c r="CZ146" s="0" t="n">
        <f aca="false">IF(DI146&gt;0,DI146,IF(CY146&gt;0,CY146,IF(CV146&gt;0,CV146,"")))</f>
        <v>153.333333333333</v>
      </c>
      <c r="DA146" s="0" t="n">
        <f aca="false">IF(DM146=1,CZ146/8,IF(OR(DM146=2,DM146=4),CZ146/7,IF(DM146=3,CZ146/7.5,"")))</f>
        <v>19.1666666666667</v>
      </c>
      <c r="DB146" s="0" t="s">
        <v>216</v>
      </c>
      <c r="DC146" s="0" t="s">
        <v>216</v>
      </c>
      <c r="DD146" s="0" t="s">
        <v>216</v>
      </c>
      <c r="DE146" s="0" t="s">
        <v>216</v>
      </c>
      <c r="DF146" s="0" t="s">
        <v>216</v>
      </c>
      <c r="DG146" s="0" t="s">
        <v>216</v>
      </c>
      <c r="DH146" s="0" t="n">
        <v>0</v>
      </c>
      <c r="DI146" s="126" t="n">
        <f aca="false">4600/30</f>
        <v>153.333333333333</v>
      </c>
      <c r="DK146" s="0" t="n">
        <v>0</v>
      </c>
      <c r="DM146" s="0" t="n">
        <v>1</v>
      </c>
      <c r="DN146" s="0" t="n">
        <f aca="false">13*6</f>
        <v>78</v>
      </c>
      <c r="DO146" s="0" t="n">
        <v>3</v>
      </c>
      <c r="DP146" s="0" t="n">
        <v>0</v>
      </c>
      <c r="DQ146" s="0" t="n">
        <v>1</v>
      </c>
      <c r="DR146" s="0"/>
      <c r="DS146" s="0" t="n">
        <v>1</v>
      </c>
      <c r="DU146" s="0" t="n">
        <v>1</v>
      </c>
      <c r="DW146" s="1" t="n">
        <v>40513</v>
      </c>
      <c r="DX146" s="1" t="n">
        <v>40713</v>
      </c>
      <c r="DZ146" s="0"/>
      <c r="EA146" s="0" t="n">
        <v>0</v>
      </c>
      <c r="EC146" s="1" t="n">
        <v>40544</v>
      </c>
      <c r="ED146" s="1" t="n">
        <v>40713</v>
      </c>
      <c r="EF146" s="0"/>
      <c r="EG146" s="0" t="n">
        <v>1</v>
      </c>
      <c r="EH146" s="0" t="n">
        <v>35</v>
      </c>
      <c r="EI146" s="0" t="n">
        <f aca="false">IF(AND(DM146=1,DN146&lt;=48),"",IF(AND(DM146=2,DN146&lt;=42),"",IF(AND(DM146=3,DN146&lt;=45),"",EH146)))</f>
        <v>35</v>
      </c>
      <c r="EJ146" s="0" t="n">
        <f aca="false">IF(EI146="","",IF(EI146&lt;9,EI146,9))</f>
        <v>9</v>
      </c>
      <c r="EK146" s="0" t="n">
        <f aca="false">IF(EI146="","",IF(EI146&gt;9,EI146-EJ146,0))</f>
        <v>26</v>
      </c>
      <c r="EL146" s="0" t="n">
        <f aca="false">IF(EI146="","",EJ146*DA146*2+EK146*DA146*3)</f>
        <v>1840</v>
      </c>
      <c r="EP146" s="0" t="n">
        <v>0</v>
      </c>
      <c r="EQ146" s="0"/>
      <c r="ER146" s="0" t="n">
        <v>0</v>
      </c>
      <c r="ET146" s="0" t="n">
        <v>0</v>
      </c>
      <c r="EV146" s="0" t="n">
        <v>0</v>
      </c>
      <c r="EX146" s="0" t="n">
        <v>1</v>
      </c>
      <c r="EY146" s="0" t="n">
        <v>0</v>
      </c>
      <c r="EZ146" s="0"/>
      <c r="FA146" s="4" t="n">
        <v>0</v>
      </c>
      <c r="FB146" s="0" t="n">
        <v>1</v>
      </c>
      <c r="FF146" s="120" t="n">
        <f aca="false">(CJ146-CI146+1)/365</f>
        <v>0.550684931506849</v>
      </c>
      <c r="FG146" s="0" t="str">
        <f aca="false">CONCATENATE(F146,"/",G146)</f>
        <v>1482/2011</v>
      </c>
      <c r="FH146" s="0" t="n">
        <v>0</v>
      </c>
      <c r="FI146" s="0" t="n">
        <v>0</v>
      </c>
    </row>
    <row r="147" customFormat="false" ht="15" hidden="false" customHeight="false" outlineLevel="0" collapsed="false">
      <c r="A147" s="5" t="str">
        <f aca="false">E147&amp;G147&amp;F147</f>
        <v>720111499</v>
      </c>
      <c r="B147" s="0" t="s">
        <v>1629</v>
      </c>
      <c r="C147" s="1" t="n">
        <v>42406</v>
      </c>
      <c r="D147" s="0" t="s">
        <v>1630</v>
      </c>
      <c r="E147" s="0" t="n">
        <v>7</v>
      </c>
      <c r="F147" s="0" t="n">
        <v>1499</v>
      </c>
      <c r="G147" s="0" t="n">
        <v>2011</v>
      </c>
      <c r="H147" s="0" t="str">
        <f aca="false">"J"&amp;E147&amp;"\"&amp;F147&amp;"\"&amp;G147&amp;"\"&amp;W147</f>
        <v>J7\1499\2011\1</v>
      </c>
      <c r="I147" s="0" t="n">
        <v>40786</v>
      </c>
      <c r="J147" s="1" t="n">
        <v>40329</v>
      </c>
      <c r="K147" s="0" t="n">
        <v>0</v>
      </c>
      <c r="M147" s="1"/>
      <c r="N147" s="1"/>
      <c r="O147" s="1"/>
      <c r="P147" s="1"/>
      <c r="Q147" s="1"/>
      <c r="T147" s="121"/>
      <c r="U147" s="121"/>
      <c r="V147" s="122" t="n">
        <f aca="false">IF(AND(E147&gt;0,F147&gt;0,G147&gt;0),COUNTIFS($E:$E,E147,$F:$F,F147,$G:$G,G147),"")</f>
        <v>1</v>
      </c>
      <c r="W147" s="122" t="n">
        <f aca="false">IF(V147="","",IF(V147=1,1,IF(AND(E146=E147,F146=F147,G146=G147),W146+1,1)))</f>
        <v>1</v>
      </c>
      <c r="X147" s="0" t="n">
        <v>1</v>
      </c>
      <c r="Y147" s="0" t="n">
        <v>11</v>
      </c>
      <c r="Z147" s="0" t="s">
        <v>1741</v>
      </c>
      <c r="AA147" s="0" t="n">
        <v>0</v>
      </c>
      <c r="AB147" s="0" t="s">
        <v>1227</v>
      </c>
      <c r="AC147" s="0" t="s">
        <v>274</v>
      </c>
      <c r="AD147" s="0" t="s">
        <v>221</v>
      </c>
      <c r="AE147" s="0" t="n">
        <v>0</v>
      </c>
      <c r="AF147" s="0" t="s">
        <v>1742</v>
      </c>
      <c r="AG147" s="0" t="n">
        <v>0</v>
      </c>
      <c r="AH147" s="0" t="s">
        <v>1743</v>
      </c>
      <c r="AI147" s="0" t="s">
        <v>914</v>
      </c>
      <c r="AJ147" s="0" t="s">
        <v>519</v>
      </c>
      <c r="AL147" s="0" t="s">
        <v>1744</v>
      </c>
      <c r="AM147" s="0" t="n">
        <v>1</v>
      </c>
      <c r="AN147" s="0" t="s">
        <v>1743</v>
      </c>
      <c r="AO147" s="0" t="s">
        <v>914</v>
      </c>
      <c r="AP147" s="0" t="s">
        <v>519</v>
      </c>
      <c r="AR147" s="0" t="s">
        <v>1745</v>
      </c>
      <c r="AS147" s="0" t="n">
        <v>1</v>
      </c>
      <c r="AT147" s="0" t="s">
        <v>1743</v>
      </c>
      <c r="AU147" s="0" t="s">
        <v>914</v>
      </c>
      <c r="AV147" s="0" t="s">
        <v>519</v>
      </c>
      <c r="AX147" s="0" t="s">
        <v>1746</v>
      </c>
      <c r="AY147" s="0" t="n">
        <v>1</v>
      </c>
      <c r="AZ147" s="0" t="s">
        <v>1743</v>
      </c>
      <c r="BA147" s="0" t="s">
        <v>914</v>
      </c>
      <c r="BB147" s="0" t="s">
        <v>519</v>
      </c>
      <c r="BD147" s="0" t="s">
        <v>1747</v>
      </c>
      <c r="BE147" s="0" t="n">
        <v>1</v>
      </c>
      <c r="BF147" s="0" t="s">
        <v>1743</v>
      </c>
      <c r="BG147" s="0" t="s">
        <v>914</v>
      </c>
      <c r="BH147" s="0" t="s">
        <v>519</v>
      </c>
      <c r="BJ147" s="0" t="s">
        <v>1748</v>
      </c>
      <c r="BK147" s="0" t="n">
        <v>1</v>
      </c>
      <c r="BL147" s="0" t="s">
        <v>1743</v>
      </c>
      <c r="BM147" s="0" t="s">
        <v>914</v>
      </c>
      <c r="BN147" s="0" t="s">
        <v>519</v>
      </c>
      <c r="BP147" s="0" t="n">
        <v>0</v>
      </c>
      <c r="BQ147" s="0" t="n">
        <v>0</v>
      </c>
      <c r="BR147" s="0" t="n">
        <v>1</v>
      </c>
      <c r="BS147" s="0" t="s">
        <v>1231</v>
      </c>
      <c r="BT147" s="0" t="s">
        <v>1232</v>
      </c>
      <c r="BU147" s="0" t="s">
        <v>1233</v>
      </c>
      <c r="BV147" s="123"/>
      <c r="BW147" s="123"/>
      <c r="BX147" s="123"/>
      <c r="BY147" s="123"/>
      <c r="CA147" s="0" t="s">
        <v>1749</v>
      </c>
      <c r="CD147" s="0" t="s">
        <v>256</v>
      </c>
      <c r="CE147" s="0" t="n">
        <v>0</v>
      </c>
      <c r="CF147" s="0" t="s">
        <v>1750</v>
      </c>
      <c r="CI147" s="1" t="n">
        <v>36791</v>
      </c>
      <c r="CJ147" s="1" t="n">
        <v>40301</v>
      </c>
      <c r="CK147" s="124" t="n">
        <v>0.75</v>
      </c>
      <c r="CL147" s="0" t="s">
        <v>1744</v>
      </c>
      <c r="CM147" s="0" t="n">
        <f aca="false">IF(OR(CI147="",CJ147=""),"",DAYS360(CI147,CJ147)/360)</f>
        <v>9.61388888888889</v>
      </c>
      <c r="CN147" s="0" t="n">
        <f aca="false">IF(OR(CI147="",CJ147=""),"",DAYS360(CI147,CJ147)/30)</f>
        <v>115.366666666667</v>
      </c>
      <c r="CO147" s="0" t="n">
        <f aca="false">IF(OR(CI147="",CJ147=""),"",DAYS360(CI147,CJ147)/7)</f>
        <v>494.428571428572</v>
      </c>
      <c r="CP147" s="0" t="n">
        <f aca="false">IF(OR(CI147="",CJ147=""),"",DAYS360(CI147,CJ147))</f>
        <v>3461</v>
      </c>
      <c r="CQ147" s="0" t="s">
        <v>220</v>
      </c>
      <c r="CR147" s="0" t="n">
        <v>1</v>
      </c>
      <c r="CT147" s="0" t="n">
        <v>400</v>
      </c>
      <c r="CU147" s="0" t="n">
        <v>0</v>
      </c>
      <c r="CV147" s="0" t="n">
        <f aca="false">IF(OR(CT147="",CT147="NO ESPECIFICA",CT147="NO MENCIONA"),"",IF(CU147=0,CT147,IF(CU147=1,CT147/30,IF(CU147=2,CT147/15,IF(CU147=3,CT147/7,"")))))</f>
        <v>400</v>
      </c>
      <c r="CW147" s="125" t="n">
        <v>750</v>
      </c>
      <c r="CX147" s="0" t="n">
        <v>0</v>
      </c>
      <c r="CY147" s="0" t="n">
        <f aca="false">IF(CW147="","",IF(CX147=0,CW147,IF(CX147=1,CW147/30,IF(CX147=2,CW147/15,IF(CX147=3,CW147/7,CW147)))))</f>
        <v>750</v>
      </c>
      <c r="CZ147" s="0" t="n">
        <f aca="false">IF(DI147&gt;0,DI147,IF(CY147&gt;0,CY147,IF(CV147&gt;0,CV147,"")))</f>
        <v>750</v>
      </c>
      <c r="DA147" s="0" t="n">
        <f aca="false">IF(DM147=1,CZ147/8,IF(OR(DM147=2,DM147=4),CZ147/7,IF(DM147=3,CZ147/7.5,"")))</f>
        <v>107.142857142857</v>
      </c>
      <c r="DB147" s="0" t="s">
        <v>299</v>
      </c>
      <c r="DC147" s="0" t="s">
        <v>627</v>
      </c>
      <c r="DD147" s="0" t="s">
        <v>1751</v>
      </c>
      <c r="DE147" s="0" t="s">
        <v>1752</v>
      </c>
      <c r="DF147" s="0" t="s">
        <v>1753</v>
      </c>
      <c r="DG147" s="0" t="s">
        <v>216</v>
      </c>
      <c r="DH147" s="0" t="n">
        <v>0</v>
      </c>
      <c r="DI147" s="126" t="n">
        <v>750</v>
      </c>
      <c r="DK147" s="0" t="n">
        <v>0</v>
      </c>
      <c r="DM147" s="0" t="n">
        <v>2</v>
      </c>
      <c r="DN147" s="0" t="n">
        <v>60</v>
      </c>
      <c r="DO147" s="0" t="n">
        <v>3</v>
      </c>
      <c r="DP147" s="0" t="n">
        <v>1</v>
      </c>
      <c r="DQ147" s="0" t="n">
        <v>0</v>
      </c>
      <c r="DR147" s="0"/>
      <c r="DS147" s="0" t="n">
        <v>1</v>
      </c>
      <c r="DU147" s="0" t="n">
        <v>1</v>
      </c>
      <c r="DW147" s="1" t="n">
        <v>40078</v>
      </c>
      <c r="DX147" s="1" t="n">
        <v>40301</v>
      </c>
      <c r="DZ147" s="0"/>
      <c r="EA147" s="0" t="n">
        <v>1</v>
      </c>
      <c r="EC147" s="1" t="n">
        <v>39814</v>
      </c>
      <c r="ED147" s="1" t="n">
        <v>40178</v>
      </c>
      <c r="EF147" s="0"/>
      <c r="EG147" s="0" t="n">
        <v>1</v>
      </c>
      <c r="EH147" s="0" t="n">
        <v>12</v>
      </c>
      <c r="EI147" s="0" t="n">
        <f aca="false">IF(AND(DM147=1,DN147&lt;=48),"",IF(AND(DM147=2,DN147&lt;=42),"",IF(AND(DM147=3,DN147&lt;=45),"",EH147)))</f>
        <v>12</v>
      </c>
      <c r="EJ147" s="0" t="n">
        <f aca="false">IF(EI147="","",IF(EI147&lt;9,EI147,9))</f>
        <v>9</v>
      </c>
      <c r="EK147" s="0" t="n">
        <f aca="false">IF(EI147="","",IF(EI147&gt;9,EI147-EJ147,0))</f>
        <v>3</v>
      </c>
      <c r="EL147" s="0" t="n">
        <f aca="false">IF(EI147="","",EJ147*DA147*2+EK147*DA147*3)</f>
        <v>2892.85714285714</v>
      </c>
      <c r="EN147" s="0" t="n">
        <v>1316625</v>
      </c>
      <c r="EP147" s="0" t="n">
        <v>0</v>
      </c>
      <c r="EQ147" s="0"/>
      <c r="ER147" s="0" t="n">
        <v>0</v>
      </c>
      <c r="ET147" s="0" t="n">
        <v>0</v>
      </c>
      <c r="EV147" s="0" t="n">
        <v>0</v>
      </c>
      <c r="EX147" s="0" t="n">
        <v>1</v>
      </c>
      <c r="EY147" s="0" t="n">
        <v>0</v>
      </c>
      <c r="EZ147" s="0"/>
      <c r="FA147" s="4" t="n">
        <f aca="false">11250+15000+7500</f>
        <v>33750</v>
      </c>
      <c r="FB147" s="0" t="n">
        <v>0</v>
      </c>
      <c r="FF147" s="120" t="n">
        <f aca="false">(CJ147-CI147+1)/365</f>
        <v>9.61917808219178</v>
      </c>
      <c r="FG147" s="0" t="str">
        <f aca="false">CONCATENATE(F147,"/",G147)</f>
        <v>1499/2011</v>
      </c>
      <c r="FH147" s="0" t="n">
        <v>0</v>
      </c>
      <c r="FI147" s="0" t="n">
        <v>0</v>
      </c>
    </row>
    <row r="148" customFormat="false" ht="15" hidden="false" customHeight="false" outlineLevel="0" collapsed="false">
      <c r="A148" s="5" t="str">
        <f aca="false">E148&amp;G148&amp;F148</f>
        <v>720111525</v>
      </c>
      <c r="B148" s="0" t="s">
        <v>1629</v>
      </c>
      <c r="C148" s="1" t="n">
        <v>42406</v>
      </c>
      <c r="E148" s="0" t="n">
        <v>7</v>
      </c>
      <c r="F148" s="0" t="n">
        <v>1525</v>
      </c>
      <c r="G148" s="0" t="n">
        <v>2011</v>
      </c>
      <c r="H148" s="0" t="str">
        <f aca="false">"J"&amp;E148&amp;"\"&amp;F148&amp;"\"&amp;G148&amp;"\"&amp;W148</f>
        <v>J7\1525\2011\1</v>
      </c>
      <c r="I148" s="0"/>
      <c r="J148" s="1" t="n">
        <v>40795</v>
      </c>
      <c r="K148" s="0" t="n">
        <v>1</v>
      </c>
      <c r="L148" s="0" t="s">
        <v>1754</v>
      </c>
      <c r="M148" s="1" t="n">
        <v>40791</v>
      </c>
      <c r="N148" s="1" t="n">
        <v>41018</v>
      </c>
      <c r="O148" s="1"/>
      <c r="P148" s="1"/>
      <c r="Q148" s="1"/>
      <c r="T148" s="121"/>
      <c r="U148" s="121"/>
      <c r="V148" s="122" t="n">
        <f aca="false">IF(AND(E148&gt;0,F148&gt;0,G148&gt;0),COUNTIFS($E:$E,E148,$F:$F,F148,$G:$G,G148),"")</f>
        <v>1</v>
      </c>
      <c r="W148" s="122" t="n">
        <f aca="false">IF(V148="","",IF(V148=1,1,IF(AND(E147=E148,F147=F148,G147=G148),W147+1,1)))</f>
        <v>1</v>
      </c>
      <c r="X148" s="0" t="n">
        <v>1</v>
      </c>
      <c r="Y148" s="0" t="n">
        <v>2</v>
      </c>
      <c r="Z148" s="0" t="s">
        <v>1755</v>
      </c>
      <c r="AA148" s="0" t="n">
        <v>0</v>
      </c>
      <c r="AB148" s="0" t="s">
        <v>1756</v>
      </c>
      <c r="AC148" s="0" t="s">
        <v>1757</v>
      </c>
      <c r="AD148" s="0" t="s">
        <v>411</v>
      </c>
      <c r="AE148" s="0" t="n">
        <v>0</v>
      </c>
      <c r="AF148" s="0" t="s">
        <v>1758</v>
      </c>
      <c r="AG148" s="0" t="n">
        <v>0</v>
      </c>
      <c r="AH148" s="0" t="s">
        <v>1759</v>
      </c>
      <c r="AI148" s="0" t="s">
        <v>438</v>
      </c>
      <c r="AJ148" s="0" t="s">
        <v>221</v>
      </c>
      <c r="AL148" s="0" t="s">
        <v>1637</v>
      </c>
      <c r="AM148" s="0" t="n">
        <v>1</v>
      </c>
      <c r="AN148" s="0" t="s">
        <v>1759</v>
      </c>
      <c r="AO148" s="0" t="s">
        <v>438</v>
      </c>
      <c r="AP148" s="0" t="s">
        <v>221</v>
      </c>
      <c r="BP148" s="0" t="n">
        <v>0</v>
      </c>
      <c r="BQ148" s="0" t="n">
        <v>0</v>
      </c>
      <c r="BR148" s="0" t="n">
        <v>1</v>
      </c>
      <c r="BS148" s="0" t="s">
        <v>1760</v>
      </c>
      <c r="BV148" s="123"/>
      <c r="BW148" s="123"/>
      <c r="BX148" s="123"/>
      <c r="BY148" s="123"/>
      <c r="CA148" s="0" t="s">
        <v>216</v>
      </c>
      <c r="CD148" s="0" t="s">
        <v>296</v>
      </c>
      <c r="CE148" s="0" t="n">
        <v>0</v>
      </c>
      <c r="CF148" s="0" t="s">
        <v>782</v>
      </c>
      <c r="CI148" s="1" t="n">
        <v>37742</v>
      </c>
      <c r="CJ148" s="1" t="n">
        <v>40675</v>
      </c>
      <c r="CK148" s="124"/>
      <c r="CM148" s="0" t="n">
        <f aca="false">IF(OR(CI148="",CJ148=""),"",DAYS360(CI148,CJ148)/360)</f>
        <v>8.03055555555556</v>
      </c>
      <c r="CN148" s="0" t="n">
        <f aca="false">IF(OR(CI148="",CJ148=""),"",DAYS360(CI148,CJ148)/30)</f>
        <v>96.3666666666667</v>
      </c>
      <c r="CO148" s="0" t="n">
        <f aca="false">IF(OR(CI148="",CJ148=""),"",DAYS360(CI148,CJ148)/7)</f>
        <v>413</v>
      </c>
      <c r="CP148" s="0" t="n">
        <f aca="false">IF(OR(CI148="",CJ148=""),"",DAYS360(CI148,CJ148))</f>
        <v>2891</v>
      </c>
      <c r="CQ148" s="0" t="s">
        <v>1761</v>
      </c>
      <c r="CR148" s="0" t="n">
        <v>5</v>
      </c>
      <c r="CS148" s="0" t="s">
        <v>1494</v>
      </c>
      <c r="CT148" s="0" t="n">
        <v>91.63</v>
      </c>
      <c r="CU148" s="0" t="n">
        <v>0</v>
      </c>
      <c r="CV148" s="0" t="n">
        <f aca="false">IF(OR(CT148="",CT148="NO ESPECIFICA",CT148="NO MENCIONA"),"",IF(CU148=0,CT148,IF(CU148=1,CT148/30,IF(CU148=2,CT148/15,IF(CU148=3,CT148/7,"")))))</f>
        <v>91.63</v>
      </c>
      <c r="CW148" s="125" t="s">
        <v>216</v>
      </c>
      <c r="CX148" s="0" t="s">
        <v>216</v>
      </c>
      <c r="CY148" s="0" t="str">
        <f aca="false">IF(CW148="","",IF(CX148=0,CW148,IF(CX148=1,CW148/30,IF(CX148=2,CW148/15,IF(CX148=3,CW148/7,CW148)))))</f>
        <v>NO MENCIONA</v>
      </c>
      <c r="CZ148" s="0" t="n">
        <f aca="false">IF(DI148&gt;0,DI148,IF(CY148&gt;0,CY148,IF(CV148&gt;0,CV148,"")))</f>
        <v>91.63</v>
      </c>
      <c r="DA148" s="0" t="str">
        <f aca="false">IF(DM148=1,CZ148/8,IF(OR(DM148=2,DM148=4),CZ148/7,IF(DM148=3,CZ148/7.5,"")))</f>
        <v/>
      </c>
      <c r="DB148" s="0" t="s">
        <v>216</v>
      </c>
      <c r="DC148" s="0" t="s">
        <v>216</v>
      </c>
      <c r="DD148" s="0" t="s">
        <v>216</v>
      </c>
      <c r="DE148" s="0" t="s">
        <v>216</v>
      </c>
      <c r="DF148" s="0" t="s">
        <v>216</v>
      </c>
      <c r="DG148" s="0" t="s">
        <v>216</v>
      </c>
      <c r="DH148" s="0" t="n">
        <v>0</v>
      </c>
      <c r="DI148" s="126" t="n">
        <v>91.63</v>
      </c>
      <c r="DK148" s="0" t="n">
        <v>0</v>
      </c>
      <c r="DM148" s="0" t="s">
        <v>385</v>
      </c>
      <c r="DP148" s="0" t="n">
        <v>0</v>
      </c>
      <c r="DQ148" s="0" t="n">
        <v>0</v>
      </c>
      <c r="DR148" s="0"/>
      <c r="DS148" s="0" t="n">
        <v>0</v>
      </c>
      <c r="DU148" s="0" t="n">
        <v>1</v>
      </c>
      <c r="DW148" s="1" t="n">
        <v>40664</v>
      </c>
      <c r="DX148" s="1" t="n">
        <v>40675</v>
      </c>
      <c r="DZ148" s="0"/>
      <c r="EA148" s="0" t="n">
        <v>1</v>
      </c>
      <c r="EC148" s="1" t="n">
        <v>40544</v>
      </c>
      <c r="ED148" s="1" t="n">
        <v>40675</v>
      </c>
      <c r="EF148" s="0"/>
      <c r="EG148" s="0" t="n">
        <v>0</v>
      </c>
      <c r="EI148" s="0" t="n">
        <f aca="false">IF(AND(DM148=1,DN148&lt;=48),"",IF(AND(DM148=2,DN148&lt;=42),"",IF(AND(DM148=3,DN148&lt;=45),"",EH148)))</f>
        <v>0</v>
      </c>
      <c r="EJ148" s="0" t="str">
        <f aca="false">IF(EI148="","",IF(EI148&lt;9,EI148,9))</f>
        <v/>
      </c>
      <c r="EK148" s="0" t="str">
        <f aca="false">IF(EI148="","",IF(EI148&gt;9,EI148-EJ148,0))</f>
        <v/>
      </c>
      <c r="EL148" s="0" t="str">
        <f aca="false">IF(EI148="","",EJ148*DA148*2+EK148*DA148*3)</f>
        <v/>
      </c>
      <c r="EP148" s="0" t="n">
        <v>0</v>
      </c>
      <c r="EQ148" s="0"/>
      <c r="ER148" s="0" t="n">
        <v>0</v>
      </c>
      <c r="ET148" s="0" t="n">
        <v>0</v>
      </c>
      <c r="EV148" s="0" t="n">
        <v>0</v>
      </c>
      <c r="EX148" s="0" t="n">
        <v>0</v>
      </c>
      <c r="EY148" s="0" t="n">
        <v>0</v>
      </c>
      <c r="EZ148" s="0"/>
      <c r="FA148" s="4" t="n">
        <v>0</v>
      </c>
      <c r="FB148" s="0" t="n">
        <v>0</v>
      </c>
      <c r="FF148" s="120" t="n">
        <f aca="false">(CJ148-CI148+1)/365</f>
        <v>8.03835616438356</v>
      </c>
      <c r="FG148" s="0" t="str">
        <f aca="false">CONCATENATE(F148,"/",G148)</f>
        <v>1525/2011</v>
      </c>
      <c r="FH148" s="0" t="n">
        <v>0</v>
      </c>
      <c r="FI148" s="0" t="n">
        <v>0</v>
      </c>
    </row>
    <row r="149" customFormat="false" ht="15" hidden="false" customHeight="false" outlineLevel="0" collapsed="false">
      <c r="A149" s="5" t="str">
        <f aca="false">E149&amp;G149&amp;F149</f>
        <v>720111537</v>
      </c>
      <c r="B149" s="0" t="s">
        <v>1629</v>
      </c>
      <c r="C149" s="1" t="n">
        <v>42406</v>
      </c>
      <c r="D149" s="0" t="s">
        <v>1630</v>
      </c>
      <c r="E149" s="0" t="n">
        <v>7</v>
      </c>
      <c r="F149" s="0" t="n">
        <v>1537</v>
      </c>
      <c r="G149" s="0" t="n">
        <v>2011</v>
      </c>
      <c r="H149" s="0" t="str">
        <f aca="false">"J"&amp;E149&amp;"\"&amp;F149&amp;"\"&amp;G149&amp;"\"&amp;W149</f>
        <v>J7\1537\2011\1</v>
      </c>
      <c r="I149" s="0"/>
      <c r="J149" s="1" t="n">
        <v>40792</v>
      </c>
      <c r="K149" s="0" t="n">
        <v>0</v>
      </c>
      <c r="M149" s="1"/>
      <c r="N149" s="1"/>
      <c r="O149" s="1"/>
      <c r="P149" s="1"/>
      <c r="Q149" s="1"/>
      <c r="T149" s="121"/>
      <c r="U149" s="121"/>
      <c r="V149" s="122" t="n">
        <f aca="false">IF(AND(E149&gt;0,F149&gt;0,G149&gt;0),COUNTIFS($E:$E,E149,$F:$F,F149,$G:$G,G149),"")</f>
        <v>1</v>
      </c>
      <c r="W149" s="122" t="n">
        <f aca="false">IF(V149="","",IF(V149=1,1,IF(AND(E148=E149,F148=F149,G148=G149),W148+1,1)))</f>
        <v>1</v>
      </c>
      <c r="X149" s="0" t="n">
        <v>1</v>
      </c>
      <c r="Y149" s="0" t="n">
        <v>2</v>
      </c>
      <c r="Z149" s="0" t="s">
        <v>1762</v>
      </c>
      <c r="AA149" s="0" t="n">
        <v>0</v>
      </c>
      <c r="AB149" s="0" t="s">
        <v>1763</v>
      </c>
      <c r="AC149" s="0" t="s">
        <v>1764</v>
      </c>
      <c r="AD149" s="0" t="s">
        <v>485</v>
      </c>
      <c r="AE149" s="0" t="n">
        <v>0</v>
      </c>
      <c r="AF149" s="0" t="s">
        <v>1765</v>
      </c>
      <c r="AG149" s="0" t="n">
        <v>0</v>
      </c>
      <c r="AH149" s="0" t="s">
        <v>1766</v>
      </c>
      <c r="AI149" s="0" t="s">
        <v>1767</v>
      </c>
      <c r="AJ149" s="0" t="s">
        <v>352</v>
      </c>
      <c r="AL149" s="0" t="s">
        <v>1768</v>
      </c>
      <c r="AM149" s="0" t="n">
        <v>1</v>
      </c>
      <c r="AN149" s="0" t="s">
        <v>1766</v>
      </c>
      <c r="AO149" s="0" t="s">
        <v>1767</v>
      </c>
      <c r="AP149" s="0" t="s">
        <v>352</v>
      </c>
      <c r="BP149" s="0" t="n">
        <v>0</v>
      </c>
      <c r="BQ149" s="0" t="n">
        <v>0</v>
      </c>
      <c r="BR149" s="0" t="n">
        <v>1</v>
      </c>
      <c r="BS149" s="0" t="s">
        <v>1769</v>
      </c>
      <c r="BT149" s="0" t="s">
        <v>1770</v>
      </c>
      <c r="BU149" s="0" t="s">
        <v>1771</v>
      </c>
      <c r="BV149" s="123"/>
      <c r="BW149" s="123"/>
      <c r="BX149" s="123"/>
      <c r="BY149" s="123"/>
      <c r="CA149" s="0" t="s">
        <v>1772</v>
      </c>
      <c r="CD149" s="0" t="s">
        <v>296</v>
      </c>
      <c r="CE149" s="0" t="n">
        <v>0</v>
      </c>
      <c r="CF149" s="0" t="s">
        <v>1773</v>
      </c>
      <c r="CI149" s="1" t="n">
        <v>39686</v>
      </c>
      <c r="CJ149" s="1" t="n">
        <v>40733</v>
      </c>
      <c r="CK149" s="124" t="n">
        <v>0.416666666666667</v>
      </c>
      <c r="CL149" s="0" t="s">
        <v>1774</v>
      </c>
      <c r="CM149" s="0" t="n">
        <f aca="false">IF(OR(CI149="",CJ149=""),"",DAYS360(CI149,CJ149)/360)</f>
        <v>2.86944444444444</v>
      </c>
      <c r="CN149" s="0" t="n">
        <f aca="false">IF(OR(CI149="",CJ149=""),"",DAYS360(CI149,CJ149)/30)</f>
        <v>34.4333333333333</v>
      </c>
      <c r="CO149" s="0" t="n">
        <f aca="false">IF(OR(CI149="",CJ149=""),"",DAYS360(CI149,CJ149)/7)</f>
        <v>147.571428571429</v>
      </c>
      <c r="CP149" s="0" t="n">
        <f aca="false">IF(OR(CI149="",CJ149=""),"",DAYS360(CI149,CJ149))</f>
        <v>1033</v>
      </c>
      <c r="CQ149" s="0" t="s">
        <v>240</v>
      </c>
      <c r="CR149" s="0" t="n">
        <v>1</v>
      </c>
      <c r="CT149" s="0" t="s">
        <v>221</v>
      </c>
      <c r="CU149" s="0" t="s">
        <v>221</v>
      </c>
      <c r="CV149" s="0" t="str">
        <f aca="false">IF(OR(CT149="",CT149="NO ESPECIFICA",CT149="NO MENCIONA"),"",IF(CU149=0,CT149,IF(CU149=1,CT149/30,IF(CU149=2,CT149/15,IF(CU149=3,CT149/7,"")))))</f>
        <v/>
      </c>
      <c r="CW149" s="125" t="n">
        <v>157.79</v>
      </c>
      <c r="CX149" s="0" t="n">
        <v>0</v>
      </c>
      <c r="CY149" s="0" t="n">
        <f aca="false">IF(CW149="","",IF(CX149=0,CW149,IF(CX149=1,CW149/30,IF(CX149=2,CW149/15,IF(CX149=3,CW149/7,CW149)))))</f>
        <v>157.79</v>
      </c>
      <c r="CZ149" s="0" t="n">
        <f aca="false">IF(DI149&gt;0,DI149,IF(CY149&gt;0,CY149,IF(CV149&gt;0,CV149,"")))</f>
        <v>157.79</v>
      </c>
      <c r="DA149" s="0" t="n">
        <f aca="false">IF(DM149=1,CZ149/8,IF(OR(DM149=2,DM149=4),CZ149/7,IF(DM149=3,CZ149/7.5,"")))</f>
        <v>19.72375</v>
      </c>
      <c r="DB149" s="0" t="s">
        <v>216</v>
      </c>
      <c r="DC149" s="0" t="s">
        <v>216</v>
      </c>
      <c r="DD149" s="0" t="s">
        <v>216</v>
      </c>
      <c r="DE149" s="0" t="s">
        <v>216</v>
      </c>
      <c r="DF149" s="0" t="s">
        <v>216</v>
      </c>
      <c r="DG149" s="0" t="s">
        <v>216</v>
      </c>
      <c r="DH149" s="0" t="n">
        <v>0</v>
      </c>
      <c r="DI149" s="126" t="n">
        <v>157.79</v>
      </c>
      <c r="DK149" s="0" t="n">
        <v>1</v>
      </c>
      <c r="DM149" s="0" t="n">
        <v>1</v>
      </c>
      <c r="DN149" s="0" t="n">
        <v>40</v>
      </c>
      <c r="DO149" s="0" t="n">
        <v>3</v>
      </c>
      <c r="DP149" s="0" t="n">
        <v>0</v>
      </c>
      <c r="DQ149" s="0" t="n">
        <v>1</v>
      </c>
      <c r="DR149" s="0"/>
      <c r="DS149" s="0" t="n">
        <v>1</v>
      </c>
      <c r="DU149" s="0" t="n">
        <v>1</v>
      </c>
      <c r="DW149" s="1" t="s">
        <v>1775</v>
      </c>
      <c r="DX149" s="1" t="s">
        <v>1775</v>
      </c>
      <c r="DZ149" s="0"/>
      <c r="EA149" s="0" t="n">
        <v>1</v>
      </c>
      <c r="EC149" s="1" t="n">
        <v>40544</v>
      </c>
      <c r="ED149" s="1" t="n">
        <v>40733</v>
      </c>
      <c r="EF149" s="0"/>
      <c r="EG149" s="0" t="n">
        <v>0</v>
      </c>
      <c r="EI149" s="0" t="str">
        <f aca="false">IF(AND(DM149=1,DN149&lt;=48),"",IF(AND(DM149=2,DN149&lt;=42),"",IF(AND(DM149=3,DN149&lt;=45),"",EH149)))</f>
        <v/>
      </c>
      <c r="EJ149" s="0" t="str">
        <f aca="false">IF(EI149="","",IF(EI149&lt;9,EI149,9))</f>
        <v/>
      </c>
      <c r="EK149" s="0" t="str">
        <f aca="false">IF(EI149="","",IF(EI149&gt;9,EI149-EJ149,0))</f>
        <v/>
      </c>
      <c r="EL149" s="0" t="str">
        <f aca="false">IF(EI149="","",EJ149*DA149*2+EK149*DA149*3)</f>
        <v/>
      </c>
      <c r="EP149" s="0" t="n">
        <v>1</v>
      </c>
      <c r="EQ149" s="0"/>
      <c r="ER149" s="0" t="n">
        <v>0</v>
      </c>
      <c r="ET149" s="0" t="n">
        <v>0</v>
      </c>
      <c r="EV149" s="0" t="n">
        <v>0</v>
      </c>
      <c r="EX149" s="0" t="n">
        <v>0</v>
      </c>
      <c r="EY149" s="0" t="n">
        <v>0</v>
      </c>
      <c r="EZ149" s="0"/>
      <c r="FA149" s="4" t="n">
        <f aca="false">15*DJ149</f>
        <v>0</v>
      </c>
      <c r="FB149" s="0" t="n">
        <v>1</v>
      </c>
      <c r="FF149" s="120" t="n">
        <f aca="false">(CJ149-CI149+1)/365</f>
        <v>2.87123287671233</v>
      </c>
      <c r="FG149" s="0" t="str">
        <f aca="false">CONCATENATE(F149,"/",G149)</f>
        <v>1537/2011</v>
      </c>
      <c r="FH149" s="0" t="n">
        <v>0</v>
      </c>
      <c r="FI149" s="0" t="n">
        <v>0</v>
      </c>
    </row>
    <row r="150" customFormat="false" ht="15" hidden="false" customHeight="false" outlineLevel="0" collapsed="false">
      <c r="A150" s="5" t="str">
        <f aca="false">E150&amp;G150&amp;F150</f>
        <v>720111538</v>
      </c>
      <c r="B150" s="0" t="s">
        <v>1629</v>
      </c>
      <c r="C150" s="1" t="n">
        <v>42406</v>
      </c>
      <c r="E150" s="0" t="n">
        <v>7</v>
      </c>
      <c r="F150" s="0" t="n">
        <v>1538</v>
      </c>
      <c r="G150" s="0" t="n">
        <v>2011</v>
      </c>
      <c r="H150" s="0" t="str">
        <f aca="false">"J"&amp;E150&amp;"\"&amp;F150&amp;"\"&amp;G150&amp;"\"&amp;W150</f>
        <v>J7\1538\2011\1</v>
      </c>
      <c r="I150" s="0"/>
      <c r="J150" s="1" t="n">
        <v>40792</v>
      </c>
      <c r="K150" s="0" t="n">
        <v>0</v>
      </c>
      <c r="M150" s="1" t="n">
        <v>40792</v>
      </c>
      <c r="N150" s="1" t="n">
        <v>41022</v>
      </c>
      <c r="O150" s="1"/>
      <c r="P150" s="1"/>
      <c r="Q150" s="1"/>
      <c r="T150" s="121"/>
      <c r="U150" s="121"/>
      <c r="V150" s="122" t="n">
        <f aca="false">IF(AND(E150&gt;0,F150&gt;0,G150&gt;0),COUNTIFS($E:$E,E150,$F:$F,F150,$G:$G,G150),"")</f>
        <v>3</v>
      </c>
      <c r="W150" s="122" t="n">
        <f aca="false">IF(V150="","",IF(V150=1,1,IF(AND(E149=E150,F149=F150,G149=G150),W149+1,1)))</f>
        <v>1</v>
      </c>
      <c r="X150" s="0" t="n">
        <v>3</v>
      </c>
      <c r="Y150" s="0" t="n">
        <v>5</v>
      </c>
      <c r="Z150" s="0" t="s">
        <v>1776</v>
      </c>
      <c r="AA150" s="0" t="n">
        <v>0</v>
      </c>
      <c r="AB150" s="0" t="s">
        <v>1777</v>
      </c>
      <c r="AC150" s="0" t="s">
        <v>1778</v>
      </c>
      <c r="AD150" s="0" t="s">
        <v>211</v>
      </c>
      <c r="AE150" s="0" t="n">
        <v>0</v>
      </c>
      <c r="AF150" s="0" t="s">
        <v>1779</v>
      </c>
      <c r="AG150" s="0" t="n">
        <v>0</v>
      </c>
      <c r="AH150" s="0" t="s">
        <v>1780</v>
      </c>
      <c r="AI150" s="0" t="s">
        <v>1781</v>
      </c>
      <c r="AJ150" s="0" t="s">
        <v>519</v>
      </c>
      <c r="AL150" s="0" t="s">
        <v>1782</v>
      </c>
      <c r="AM150" s="0" t="n">
        <v>1</v>
      </c>
      <c r="AN150" s="0" t="s">
        <v>1780</v>
      </c>
      <c r="AO150" s="0" t="s">
        <v>1781</v>
      </c>
      <c r="AP150" s="0" t="s">
        <v>519</v>
      </c>
      <c r="AR150" s="0" t="s">
        <v>1783</v>
      </c>
      <c r="AS150" s="0" t="n">
        <v>1</v>
      </c>
      <c r="AT150" s="0" t="s">
        <v>1780</v>
      </c>
      <c r="AU150" s="0" t="s">
        <v>1781</v>
      </c>
      <c r="AV150" s="0" t="s">
        <v>519</v>
      </c>
      <c r="AX150" s="0" t="s">
        <v>1784</v>
      </c>
      <c r="AY150" s="0" t="n">
        <v>0</v>
      </c>
      <c r="AZ150" s="0" t="s">
        <v>1785</v>
      </c>
      <c r="BA150" s="0" t="s">
        <v>1123</v>
      </c>
      <c r="BB150" s="0" t="s">
        <v>322</v>
      </c>
      <c r="BD150" s="0" t="s">
        <v>1637</v>
      </c>
      <c r="BE150" s="0" t="n">
        <v>1</v>
      </c>
      <c r="BF150" s="0" t="s">
        <v>1780</v>
      </c>
      <c r="BG150" s="0" t="s">
        <v>1781</v>
      </c>
      <c r="BH150" s="0" t="s">
        <v>519</v>
      </c>
      <c r="BP150" s="0" t="n">
        <v>0</v>
      </c>
      <c r="BQ150" s="0" t="n">
        <v>0</v>
      </c>
      <c r="BR150" s="0" t="n">
        <v>1</v>
      </c>
      <c r="BS150" s="0" t="s">
        <v>1786</v>
      </c>
      <c r="BT150" s="0" t="s">
        <v>1787</v>
      </c>
      <c r="BU150" s="0" t="s">
        <v>1788</v>
      </c>
      <c r="BV150" s="123"/>
      <c r="BW150" s="123"/>
      <c r="BX150" s="123"/>
      <c r="BY150" s="123"/>
      <c r="CA150" s="0" t="s">
        <v>216</v>
      </c>
      <c r="CD150" s="0" t="s">
        <v>370</v>
      </c>
      <c r="CE150" s="0" t="n">
        <v>0</v>
      </c>
      <c r="CF150" s="0" t="s">
        <v>1789</v>
      </c>
      <c r="CI150" s="1" t="n">
        <v>39965</v>
      </c>
      <c r="CJ150" s="1" t="n">
        <v>40787</v>
      </c>
      <c r="CK150" s="124" t="n">
        <v>0.270833333333333</v>
      </c>
      <c r="CL150" s="0" t="s">
        <v>1782</v>
      </c>
      <c r="CM150" s="0" t="n">
        <f aca="false">IF(OR(CI150="",CJ150=""),"",DAYS360(CI150,CJ150)/360)</f>
        <v>2.25</v>
      </c>
      <c r="CN150" s="0" t="n">
        <f aca="false">IF(OR(CI150="",CJ150=""),"",DAYS360(CI150,CJ150)/30)</f>
        <v>27</v>
      </c>
      <c r="CO150" s="0" t="n">
        <f aca="false">IF(OR(CI150="",CJ150=""),"",DAYS360(CI150,CJ150)/7)</f>
        <v>115.714285714286</v>
      </c>
      <c r="CP150" s="0" t="n">
        <f aca="false">IF(OR(CI150="",CJ150=""),"",DAYS360(CI150,CJ150))</f>
        <v>810</v>
      </c>
      <c r="CQ150" s="0" t="s">
        <v>220</v>
      </c>
      <c r="CR150" s="0" t="n">
        <v>1</v>
      </c>
      <c r="CT150" s="0" t="n">
        <v>80.68</v>
      </c>
      <c r="CU150" s="0" t="n">
        <v>0</v>
      </c>
      <c r="CV150" s="0" t="n">
        <f aca="false">IF(OR(CT150="",CT150="NO ESPECIFICA",CT150="NO MENCIONA"),"",IF(CU150=0,CT150,IF(CU150=1,CT150/30,IF(CU150=2,CT150/15,IF(CU150=3,CT150/7,"")))))</f>
        <v>80.68</v>
      </c>
      <c r="CW150" s="125" t="n">
        <v>86.46</v>
      </c>
      <c r="CX150" s="0" t="n">
        <v>0</v>
      </c>
      <c r="CY150" s="0" t="n">
        <f aca="false">IF(CW150="","",IF(CX150=0,CW150,IF(CX150=1,CW150/30,IF(CX150=2,CW150/15,IF(CX150=3,CW150/7,CW150)))))</f>
        <v>86.46</v>
      </c>
      <c r="CZ150" s="0" t="n">
        <f aca="false">IF(DI150&gt;0,DI150,IF(CY150&gt;0,CY150,IF(CV150&gt;0,CV150,"")))</f>
        <v>86.46</v>
      </c>
      <c r="DA150" s="0" t="n">
        <f aca="false">IF(DM150=1,CZ150/8,IF(OR(DM150=2,DM150=4),CZ150/7,IF(DM150=3,CZ150/7.5,"")))</f>
        <v>10.8075</v>
      </c>
      <c r="DB150" s="0" t="s">
        <v>301</v>
      </c>
      <c r="DC150" s="0" t="s">
        <v>303</v>
      </c>
      <c r="DD150" s="0" t="s">
        <v>302</v>
      </c>
      <c r="DE150" s="0" t="s">
        <v>216</v>
      </c>
      <c r="DF150" s="0" t="s">
        <v>216</v>
      </c>
      <c r="DG150" s="0" t="s">
        <v>216</v>
      </c>
      <c r="DH150" s="0" t="n">
        <v>0</v>
      </c>
      <c r="DI150" s="126" t="n">
        <v>86.46</v>
      </c>
      <c r="DK150" s="0" t="n">
        <v>0</v>
      </c>
      <c r="DM150" s="0" t="n">
        <v>1</v>
      </c>
      <c r="DN150" s="0" t="n">
        <f aca="false">7.5*6</f>
        <v>45</v>
      </c>
      <c r="DO150" s="0" t="n">
        <v>3</v>
      </c>
      <c r="DP150" s="0" t="n">
        <v>1</v>
      </c>
      <c r="DQ150" s="0" t="n">
        <v>0</v>
      </c>
      <c r="DR150" s="0"/>
      <c r="DS150" s="0" t="n">
        <v>1</v>
      </c>
      <c r="DU150" s="0" t="n">
        <v>0</v>
      </c>
      <c r="DW150" s="1" t="n">
        <v>40695</v>
      </c>
      <c r="DX150" s="1" t="n">
        <v>40787</v>
      </c>
      <c r="DZ150" s="0"/>
      <c r="EA150" s="0" t="n">
        <v>1</v>
      </c>
      <c r="EC150" s="1" t="n">
        <v>40544</v>
      </c>
      <c r="ED150" s="1" t="n">
        <v>40787</v>
      </c>
      <c r="EF150" s="0"/>
      <c r="EG150" s="0" t="n">
        <v>0</v>
      </c>
      <c r="EI150" s="0" t="str">
        <f aca="false">IF(AND(DM150=1,DN150&lt;=48),"",IF(AND(DM150=2,DN150&lt;=42),"",IF(AND(DM150=3,DN150&lt;=45),"",EH150)))</f>
        <v/>
      </c>
      <c r="EJ150" s="0" t="str">
        <f aca="false">IF(EI150="","",IF(EI150&lt;9,EI150,9))</f>
        <v/>
      </c>
      <c r="EK150" s="0" t="str">
        <f aca="false">IF(EI150="","",IF(EI150&gt;9,EI150-EJ150,0))</f>
        <v/>
      </c>
      <c r="EL150" s="0" t="str">
        <f aca="false">IF(EI150="","",EJ150*DA150*2+EK150*DA150*3)</f>
        <v/>
      </c>
      <c r="EP150" s="0" t="n">
        <v>0</v>
      </c>
      <c r="EQ150" s="0"/>
      <c r="ER150" s="0" t="n">
        <v>0</v>
      </c>
      <c r="ET150" s="0" t="n">
        <v>0</v>
      </c>
      <c r="EV150" s="0" t="n">
        <v>0</v>
      </c>
      <c r="EX150" s="0" t="n">
        <v>1</v>
      </c>
      <c r="EY150" s="0" t="n">
        <v>0</v>
      </c>
      <c r="EZ150" s="0"/>
      <c r="FA150" s="4" t="n">
        <f aca="false">7290</f>
        <v>7290</v>
      </c>
      <c r="FB150" s="0" t="n">
        <v>1</v>
      </c>
      <c r="FF150" s="120" t="n">
        <f aca="false">(CJ150-CI150+1)/365</f>
        <v>2.25479452054795</v>
      </c>
      <c r="FG150" s="0" t="str">
        <f aca="false">CONCATENATE(F150,"/",G150)</f>
        <v>1538/2011</v>
      </c>
      <c r="FH150" s="0" t="n">
        <v>0</v>
      </c>
      <c r="FI150" s="0" t="n">
        <v>0</v>
      </c>
    </row>
    <row r="151" customFormat="false" ht="15" hidden="false" customHeight="false" outlineLevel="0" collapsed="false">
      <c r="A151" s="5" t="str">
        <f aca="false">E151&amp;G151&amp;F151</f>
        <v>720111538</v>
      </c>
      <c r="B151" s="0" t="s">
        <v>1629</v>
      </c>
      <c r="C151" s="1" t="n">
        <v>42406</v>
      </c>
      <c r="E151" s="0" t="n">
        <v>7</v>
      </c>
      <c r="F151" s="0" t="n">
        <v>1538</v>
      </c>
      <c r="G151" s="0" t="n">
        <v>2011</v>
      </c>
      <c r="H151" s="0" t="str">
        <f aca="false">"J"&amp;E151&amp;"\"&amp;F151&amp;"\"&amp;G151&amp;"\"&amp;W151</f>
        <v>J7\1538\2011\2</v>
      </c>
      <c r="I151" s="0"/>
      <c r="J151" s="1" t="n">
        <v>40792</v>
      </c>
      <c r="K151" s="0" t="n">
        <v>0</v>
      </c>
      <c r="M151" s="1" t="n">
        <v>40792</v>
      </c>
      <c r="N151" s="1" t="n">
        <v>41022</v>
      </c>
      <c r="O151" s="1"/>
      <c r="P151" s="1"/>
      <c r="Q151" s="1"/>
      <c r="T151" s="121"/>
      <c r="U151" s="121"/>
      <c r="V151" s="122" t="n">
        <f aca="false">IF(AND(E151&gt;0,F151&gt;0,G151&gt;0),COUNTIFS($E:$E,E151,$F:$F,F151,$G:$G,G151),"")</f>
        <v>3</v>
      </c>
      <c r="W151" s="122" t="n">
        <f aca="false">IF(V151="","",IF(V151=1,1,IF(AND(E150=E151,F150=F151,G150=G151),W150+1,1)))</f>
        <v>2</v>
      </c>
      <c r="X151" s="0" t="n">
        <v>3</v>
      </c>
      <c r="Y151" s="0" t="n">
        <v>5</v>
      </c>
      <c r="Z151" s="0" t="s">
        <v>1790</v>
      </c>
      <c r="AA151" s="0" t="n">
        <v>0</v>
      </c>
      <c r="AB151" s="0" t="s">
        <v>1777</v>
      </c>
      <c r="AC151" s="0" t="s">
        <v>1778</v>
      </c>
      <c r="AD151" s="0" t="s">
        <v>211</v>
      </c>
      <c r="AE151" s="0" t="n">
        <v>0</v>
      </c>
      <c r="AF151" s="0" t="s">
        <v>1779</v>
      </c>
      <c r="AG151" s="0" t="n">
        <v>0</v>
      </c>
      <c r="AH151" s="0" t="s">
        <v>1780</v>
      </c>
      <c r="AI151" s="0" t="s">
        <v>1781</v>
      </c>
      <c r="AJ151" s="0" t="s">
        <v>519</v>
      </c>
      <c r="AL151" s="0" t="s">
        <v>1782</v>
      </c>
      <c r="AM151" s="0" t="n">
        <v>1</v>
      </c>
      <c r="AN151" s="0" t="s">
        <v>1780</v>
      </c>
      <c r="AO151" s="0" t="s">
        <v>1781</v>
      </c>
      <c r="AP151" s="0" t="s">
        <v>519</v>
      </c>
      <c r="AR151" s="0" t="s">
        <v>1783</v>
      </c>
      <c r="AS151" s="0" t="n">
        <v>1</v>
      </c>
      <c r="AT151" s="0" t="s">
        <v>1780</v>
      </c>
      <c r="AU151" s="0" t="s">
        <v>1781</v>
      </c>
      <c r="AV151" s="0" t="s">
        <v>519</v>
      </c>
      <c r="AX151" s="0" t="s">
        <v>1784</v>
      </c>
      <c r="AY151" s="0" t="n">
        <v>0</v>
      </c>
      <c r="AZ151" s="0" t="s">
        <v>1785</v>
      </c>
      <c r="BA151" s="0" t="s">
        <v>1123</v>
      </c>
      <c r="BB151" s="0" t="s">
        <v>322</v>
      </c>
      <c r="BD151" s="0" t="s">
        <v>1637</v>
      </c>
      <c r="BE151" s="0" t="n">
        <v>1</v>
      </c>
      <c r="BF151" s="0" t="s">
        <v>1780</v>
      </c>
      <c r="BG151" s="0" t="s">
        <v>1781</v>
      </c>
      <c r="BH151" s="0" t="s">
        <v>519</v>
      </c>
      <c r="BP151" s="0" t="n">
        <v>0</v>
      </c>
      <c r="BQ151" s="0" t="n">
        <v>0</v>
      </c>
      <c r="BR151" s="0" t="n">
        <v>1</v>
      </c>
      <c r="BS151" s="0" t="s">
        <v>1786</v>
      </c>
      <c r="BT151" s="0" t="s">
        <v>1787</v>
      </c>
      <c r="BU151" s="0" t="s">
        <v>1788</v>
      </c>
      <c r="BV151" s="123"/>
      <c r="BW151" s="123"/>
      <c r="BX151" s="123"/>
      <c r="BY151" s="123"/>
      <c r="CA151" s="0" t="s">
        <v>216</v>
      </c>
      <c r="CD151" s="0" t="s">
        <v>370</v>
      </c>
      <c r="CE151" s="0" t="n">
        <v>0</v>
      </c>
      <c r="CF151" s="0" t="s">
        <v>1789</v>
      </c>
      <c r="CI151" s="1" t="n">
        <v>40634</v>
      </c>
      <c r="CJ151" s="1" t="n">
        <v>40787</v>
      </c>
      <c r="CK151" s="124" t="n">
        <v>0.270833333333333</v>
      </c>
      <c r="CL151" s="0" t="s">
        <v>1782</v>
      </c>
      <c r="CM151" s="0" t="n">
        <f aca="false">IF(OR(CI151="",CJ151=""),"",DAYS360(CI151,CJ151)/360)</f>
        <v>0.416666666666667</v>
      </c>
      <c r="CN151" s="0" t="n">
        <f aca="false">IF(OR(CI151="",CJ151=""),"",DAYS360(CI151,CJ151)/30)</f>
        <v>5</v>
      </c>
      <c r="CO151" s="0" t="n">
        <f aca="false">IF(OR(CI151="",CJ151=""),"",DAYS360(CI151,CJ151)/7)</f>
        <v>21.4285714285714</v>
      </c>
      <c r="CP151" s="0" t="n">
        <f aca="false">IF(OR(CI151="",CJ151=""),"",DAYS360(CI151,CJ151))</f>
        <v>150</v>
      </c>
      <c r="CQ151" s="0" t="s">
        <v>220</v>
      </c>
      <c r="CR151" s="0" t="n">
        <v>1</v>
      </c>
      <c r="CT151" s="0" t="n">
        <v>80.68</v>
      </c>
      <c r="CU151" s="0" t="n">
        <v>0</v>
      </c>
      <c r="CV151" s="0" t="n">
        <f aca="false">IF(OR(CT151="",CT151="NO ESPECIFICA",CT151="NO MENCIONA"),"",IF(CU151=0,CT151,IF(CU151=1,CT151/30,IF(CU151=2,CT151/15,IF(CU151=3,CT151/7,"")))))</f>
        <v>80.68</v>
      </c>
      <c r="CW151" s="125" t="n">
        <v>85.71</v>
      </c>
      <c r="CX151" s="0" t="n">
        <v>0</v>
      </c>
      <c r="CY151" s="0" t="n">
        <f aca="false">IF(CW151="","",IF(CX151=0,CW151,IF(CX151=1,CW151/30,IF(CX151=2,CW151/15,IF(CX151=3,CW151/7,CW151)))))</f>
        <v>85.71</v>
      </c>
      <c r="CZ151" s="0" t="n">
        <f aca="false">IF(DI151&gt;0,DI151,IF(CY151&gt;0,CY151,IF(CV151&gt;0,CV151,"")))</f>
        <v>85.71</v>
      </c>
      <c r="DA151" s="0" t="n">
        <f aca="false">IF(DM151=1,CZ151/8,IF(OR(DM151=2,DM151=4),CZ151/7,IF(DM151=3,CZ151/7.5,"")))</f>
        <v>10.71375</v>
      </c>
      <c r="DB151" s="0" t="s">
        <v>301</v>
      </c>
      <c r="DC151" s="0" t="s">
        <v>303</v>
      </c>
      <c r="DD151" s="0" t="s">
        <v>302</v>
      </c>
      <c r="DE151" s="0" t="s">
        <v>216</v>
      </c>
      <c r="DF151" s="0" t="s">
        <v>216</v>
      </c>
      <c r="DG151" s="0" t="s">
        <v>216</v>
      </c>
      <c r="DH151" s="0" t="n">
        <v>0</v>
      </c>
      <c r="DI151" s="126" t="n">
        <v>85.71</v>
      </c>
      <c r="DK151" s="0" t="n">
        <v>0</v>
      </c>
      <c r="DM151" s="0" t="n">
        <v>1</v>
      </c>
      <c r="DN151" s="0" t="n">
        <f aca="false">7.5*6</f>
        <v>45</v>
      </c>
      <c r="DO151" s="0" t="n">
        <v>3</v>
      </c>
      <c r="DP151" s="0" t="n">
        <v>1</v>
      </c>
      <c r="DQ151" s="0" t="n">
        <v>0</v>
      </c>
      <c r="DR151" s="0"/>
      <c r="DS151" s="0" t="n">
        <v>1</v>
      </c>
      <c r="DU151" s="0" t="n">
        <v>0</v>
      </c>
      <c r="DW151" s="1" t="n">
        <v>40634</v>
      </c>
      <c r="DX151" s="1" t="n">
        <v>40787</v>
      </c>
      <c r="DZ151" s="0"/>
      <c r="EA151" s="0" t="n">
        <v>1</v>
      </c>
      <c r="EC151" s="1" t="n">
        <v>40544</v>
      </c>
      <c r="ED151" s="1" t="n">
        <v>40787</v>
      </c>
      <c r="EF151" s="0"/>
      <c r="EG151" s="0" t="n">
        <v>0</v>
      </c>
      <c r="EI151" s="0" t="str">
        <f aca="false">IF(AND(DM151=1,DN151&lt;=48),"",IF(AND(DM151=2,DN151&lt;=42),"",IF(AND(DM151=3,DN151&lt;=45),"",EH151)))</f>
        <v/>
      </c>
      <c r="EJ151" s="0" t="str">
        <f aca="false">IF(EI151="","",IF(EI151&lt;9,EI151,9))</f>
        <v/>
      </c>
      <c r="EK151" s="0" t="str">
        <f aca="false">IF(EI151="","",IF(EI151&gt;9,EI151-EJ151,0))</f>
        <v/>
      </c>
      <c r="EL151" s="0" t="str">
        <f aca="false">IF(EI151="","",EJ151*DA151*2+EK151*DA151*3)</f>
        <v/>
      </c>
      <c r="EP151" s="0" t="n">
        <v>0</v>
      </c>
      <c r="EQ151" s="0"/>
      <c r="ER151" s="0" t="n">
        <v>0</v>
      </c>
      <c r="ET151" s="0" t="n">
        <v>0</v>
      </c>
      <c r="EV151" s="0" t="n">
        <v>0</v>
      </c>
      <c r="EX151" s="0" t="n">
        <v>1</v>
      </c>
      <c r="EY151" s="0" t="n">
        <v>0</v>
      </c>
      <c r="EZ151" s="0"/>
      <c r="FA151" s="4" t="n">
        <f aca="false">4590</f>
        <v>4590</v>
      </c>
      <c r="FB151" s="0" t="n">
        <v>1</v>
      </c>
      <c r="FF151" s="120" t="n">
        <f aca="false">(CJ151-CI151+1)/365</f>
        <v>0.421917808219178</v>
      </c>
      <c r="FG151" s="0" t="str">
        <f aca="false">CONCATENATE(F151,"/",G151)</f>
        <v>1538/2011</v>
      </c>
      <c r="FH151" s="0" t="n">
        <v>0</v>
      </c>
      <c r="FI151" s="0" t="n">
        <v>0</v>
      </c>
    </row>
    <row r="152" customFormat="false" ht="15" hidden="false" customHeight="false" outlineLevel="0" collapsed="false">
      <c r="A152" s="5" t="str">
        <f aca="false">E152&amp;G152&amp;F152</f>
        <v>720111538</v>
      </c>
      <c r="B152" s="0" t="s">
        <v>1629</v>
      </c>
      <c r="C152" s="1" t="n">
        <v>42406</v>
      </c>
      <c r="E152" s="0" t="n">
        <v>7</v>
      </c>
      <c r="F152" s="0" t="n">
        <v>1538</v>
      </c>
      <c r="G152" s="0" t="n">
        <v>2011</v>
      </c>
      <c r="H152" s="0" t="str">
        <f aca="false">"J"&amp;E152&amp;"\"&amp;F152&amp;"\"&amp;G152&amp;"\"&amp;W152</f>
        <v>J7\1538\2011\3</v>
      </c>
      <c r="I152" s="0"/>
      <c r="J152" s="1" t="n">
        <v>40792</v>
      </c>
      <c r="K152" s="0" t="n">
        <v>0</v>
      </c>
      <c r="M152" s="1" t="n">
        <v>40792</v>
      </c>
      <c r="N152" s="1" t="n">
        <v>41022</v>
      </c>
      <c r="O152" s="1"/>
      <c r="P152" s="1"/>
      <c r="Q152" s="1"/>
      <c r="T152" s="121"/>
      <c r="U152" s="121"/>
      <c r="V152" s="122" t="n">
        <f aca="false">IF(AND(E152&gt;0,F152&gt;0,G152&gt;0),COUNTIFS($E:$E,E152,$F:$F,F152,$G:$G,G152),"")</f>
        <v>3</v>
      </c>
      <c r="W152" s="122" t="n">
        <f aca="false">IF(V152="","",IF(V152=1,1,IF(AND(E151=E152,F151=F152,G151=G152),W151+1,1)))</f>
        <v>3</v>
      </c>
      <c r="X152" s="0" t="n">
        <v>3</v>
      </c>
      <c r="Y152" s="0" t="n">
        <v>5</v>
      </c>
      <c r="Z152" s="0" t="s">
        <v>1791</v>
      </c>
      <c r="AA152" s="0" t="n">
        <v>0</v>
      </c>
      <c r="AB152" s="0" t="s">
        <v>1777</v>
      </c>
      <c r="AC152" s="0" t="s">
        <v>1778</v>
      </c>
      <c r="AD152" s="0" t="s">
        <v>211</v>
      </c>
      <c r="AE152" s="0" t="n">
        <v>0</v>
      </c>
      <c r="AF152" s="0" t="s">
        <v>1779</v>
      </c>
      <c r="AG152" s="0" t="n">
        <v>0</v>
      </c>
      <c r="AH152" s="0" t="s">
        <v>1780</v>
      </c>
      <c r="AI152" s="0" t="s">
        <v>1781</v>
      </c>
      <c r="AJ152" s="0" t="s">
        <v>519</v>
      </c>
      <c r="AL152" s="0" t="s">
        <v>1782</v>
      </c>
      <c r="AM152" s="0" t="n">
        <v>1</v>
      </c>
      <c r="AN152" s="0" t="s">
        <v>1780</v>
      </c>
      <c r="AO152" s="0" t="s">
        <v>1781</v>
      </c>
      <c r="AP152" s="0" t="s">
        <v>519</v>
      </c>
      <c r="AR152" s="0" t="s">
        <v>1783</v>
      </c>
      <c r="AS152" s="0" t="n">
        <v>1</v>
      </c>
      <c r="AT152" s="0" t="s">
        <v>1780</v>
      </c>
      <c r="AU152" s="0" t="s">
        <v>1781</v>
      </c>
      <c r="AV152" s="0" t="s">
        <v>519</v>
      </c>
      <c r="AX152" s="0" t="s">
        <v>1784</v>
      </c>
      <c r="AY152" s="0" t="n">
        <v>0</v>
      </c>
      <c r="AZ152" s="0" t="s">
        <v>1785</v>
      </c>
      <c r="BA152" s="0" t="s">
        <v>1123</v>
      </c>
      <c r="BB152" s="0" t="s">
        <v>322</v>
      </c>
      <c r="BD152" s="0" t="s">
        <v>1637</v>
      </c>
      <c r="BE152" s="0" t="n">
        <v>1</v>
      </c>
      <c r="BF152" s="0" t="s">
        <v>1780</v>
      </c>
      <c r="BG152" s="0" t="s">
        <v>1781</v>
      </c>
      <c r="BH152" s="0" t="s">
        <v>519</v>
      </c>
      <c r="BP152" s="0" t="n">
        <v>0</v>
      </c>
      <c r="BQ152" s="0" t="n">
        <v>0</v>
      </c>
      <c r="BR152" s="0" t="n">
        <v>1</v>
      </c>
      <c r="BS152" s="0" t="s">
        <v>1786</v>
      </c>
      <c r="BT152" s="0" t="s">
        <v>1787</v>
      </c>
      <c r="BU152" s="0" t="s">
        <v>1788</v>
      </c>
      <c r="BV152" s="123"/>
      <c r="BW152" s="123"/>
      <c r="BX152" s="123"/>
      <c r="BY152" s="123"/>
      <c r="CA152" s="0" t="s">
        <v>216</v>
      </c>
      <c r="CD152" s="0" t="s">
        <v>370</v>
      </c>
      <c r="CE152" s="0" t="n">
        <v>0</v>
      </c>
      <c r="CF152" s="0" t="s">
        <v>1789</v>
      </c>
      <c r="CI152" s="1" t="n">
        <v>40351</v>
      </c>
      <c r="CJ152" s="1" t="n">
        <v>40787</v>
      </c>
      <c r="CK152" s="124" t="n">
        <v>0.270833333333333</v>
      </c>
      <c r="CL152" s="0" t="s">
        <v>1782</v>
      </c>
      <c r="CM152" s="0" t="n">
        <f aca="false">IF(OR(CI152="",CJ152=""),"",DAYS360(CI152,CJ152)/360)</f>
        <v>1.19166666666667</v>
      </c>
      <c r="CN152" s="0" t="n">
        <f aca="false">IF(OR(CI152="",CJ152=""),"",DAYS360(CI152,CJ152)/30)</f>
        <v>14.3</v>
      </c>
      <c r="CO152" s="0" t="n">
        <f aca="false">IF(OR(CI152="",CJ152=""),"",DAYS360(CI152,CJ152)/7)</f>
        <v>61.2857142857143</v>
      </c>
      <c r="CP152" s="0" t="n">
        <f aca="false">IF(OR(CI152="",CJ152=""),"",DAYS360(CI152,CJ152))</f>
        <v>429</v>
      </c>
      <c r="CQ152" s="0" t="s">
        <v>220</v>
      </c>
      <c r="CR152" s="0" t="n">
        <v>1</v>
      </c>
      <c r="CT152" s="0" t="n">
        <v>80.68</v>
      </c>
      <c r="CU152" s="0" t="n">
        <v>0</v>
      </c>
      <c r="CV152" s="0" t="n">
        <f aca="false">IF(OR(CT152="",CT152="NO ESPECIFICA",CT152="NO MENCIONA"),"",IF(CU152=0,CT152,IF(CU152=1,CT152/30,IF(CU152=2,CT152/15,IF(CU152=3,CT152/7,"")))))</f>
        <v>80.68</v>
      </c>
      <c r="CW152" s="125" t="n">
        <v>85.91</v>
      </c>
      <c r="CX152" s="0" t="n">
        <v>0</v>
      </c>
      <c r="CY152" s="0" t="n">
        <f aca="false">IF(CW152="","",IF(CX152=0,CW152,IF(CX152=1,CW152/30,IF(CX152=2,CW152/15,IF(CX152=3,CW152/7,CW152)))))</f>
        <v>85.91</v>
      </c>
      <c r="CZ152" s="0" t="n">
        <f aca="false">IF(DI152&gt;0,DI152,IF(CY152&gt;0,CY152,IF(CV152&gt;0,CV152,"")))</f>
        <v>85.91</v>
      </c>
      <c r="DA152" s="0" t="n">
        <f aca="false">IF(DM152=1,CZ152/8,IF(OR(DM152=2,DM152=4),CZ152/7,IF(DM152=3,CZ152/7.5,"")))</f>
        <v>10.73875</v>
      </c>
      <c r="DB152" s="0" t="s">
        <v>301</v>
      </c>
      <c r="DC152" s="0" t="s">
        <v>303</v>
      </c>
      <c r="DD152" s="0" t="s">
        <v>302</v>
      </c>
      <c r="DE152" s="0" t="s">
        <v>216</v>
      </c>
      <c r="DF152" s="0" t="s">
        <v>216</v>
      </c>
      <c r="DG152" s="0" t="s">
        <v>216</v>
      </c>
      <c r="DH152" s="0" t="n">
        <v>0</v>
      </c>
      <c r="DI152" s="126" t="n">
        <v>85.91</v>
      </c>
      <c r="DK152" s="0" t="n">
        <v>0</v>
      </c>
      <c r="DM152" s="0" t="n">
        <v>1</v>
      </c>
      <c r="DN152" s="0" t="n">
        <f aca="false">7.5*6</f>
        <v>45</v>
      </c>
      <c r="DO152" s="0" t="n">
        <v>3</v>
      </c>
      <c r="DP152" s="0" t="n">
        <v>1</v>
      </c>
      <c r="DQ152" s="0" t="n">
        <v>0</v>
      </c>
      <c r="DR152" s="0"/>
      <c r="DS152" s="0" t="n">
        <v>1</v>
      </c>
      <c r="DU152" s="0" t="n">
        <v>0</v>
      </c>
      <c r="DW152" s="1" t="n">
        <v>40716</v>
      </c>
      <c r="DX152" s="1" t="n">
        <v>40787</v>
      </c>
      <c r="DZ152" s="0"/>
      <c r="EA152" s="0" t="n">
        <v>1</v>
      </c>
      <c r="EC152" s="1" t="n">
        <v>40544</v>
      </c>
      <c r="ED152" s="1" t="n">
        <v>40787</v>
      </c>
      <c r="EF152" s="0"/>
      <c r="EG152" s="0" t="n">
        <v>0</v>
      </c>
      <c r="EI152" s="0" t="str">
        <f aca="false">IF(AND(DM152=1,DN152&lt;=48),"",IF(AND(DM152=2,DN152&lt;=42),"",IF(AND(DM152=3,DN152&lt;=45),"",EH152)))</f>
        <v/>
      </c>
      <c r="EJ152" s="0" t="str">
        <f aca="false">IF(EI152="","",IF(EI152&lt;9,EI152,9))</f>
        <v/>
      </c>
      <c r="EK152" s="0" t="str">
        <f aca="false">IF(EI152="","",IF(EI152&gt;9,EI152-EJ152,0))</f>
        <v/>
      </c>
      <c r="EL152" s="0" t="str">
        <f aca="false">IF(EI152="","",EJ152*DA152*2+EK152*DA152*3)</f>
        <v/>
      </c>
      <c r="EP152" s="0" t="n">
        <v>0</v>
      </c>
      <c r="EQ152" s="0"/>
      <c r="ER152" s="0" t="n">
        <v>0</v>
      </c>
      <c r="ET152" s="0" t="n">
        <v>0</v>
      </c>
      <c r="EV152" s="0" t="n">
        <v>0</v>
      </c>
      <c r="EX152" s="0" t="n">
        <v>1</v>
      </c>
      <c r="EY152" s="0" t="n">
        <v>0</v>
      </c>
      <c r="EZ152" s="0"/>
      <c r="FA152" s="4" t="n">
        <f aca="false">7290</f>
        <v>7290</v>
      </c>
      <c r="FB152" s="0" t="n">
        <v>1</v>
      </c>
      <c r="FF152" s="120" t="n">
        <f aca="false">(CJ152-CI152+1)/365</f>
        <v>1.1972602739726</v>
      </c>
      <c r="FG152" s="0" t="str">
        <f aca="false">CONCATENATE(F152,"/",G152)</f>
        <v>1538/2011</v>
      </c>
      <c r="FH152" s="0" t="n">
        <v>0</v>
      </c>
      <c r="FI152" s="0" t="n">
        <v>0</v>
      </c>
    </row>
    <row r="153" customFormat="false" ht="15" hidden="false" customHeight="false" outlineLevel="0" collapsed="false">
      <c r="A153" s="5" t="str">
        <f aca="false">E153&amp;G153&amp;F153</f>
        <v>720111548</v>
      </c>
      <c r="B153" s="0" t="s">
        <v>1629</v>
      </c>
      <c r="C153" s="1" t="n">
        <v>42407</v>
      </c>
      <c r="D153" s="0" t="s">
        <v>1630</v>
      </c>
      <c r="E153" s="0" t="n">
        <v>7</v>
      </c>
      <c r="F153" s="0" t="n">
        <v>1548</v>
      </c>
      <c r="G153" s="0" t="n">
        <v>2011</v>
      </c>
      <c r="H153" s="0" t="str">
        <f aca="false">"J"&amp;E153&amp;"\"&amp;F153&amp;"\"&amp;G153&amp;"\"&amp;W153</f>
        <v>J7\1548\2011\1</v>
      </c>
      <c r="I153" s="0"/>
      <c r="J153" s="1" t="n">
        <v>40793</v>
      </c>
      <c r="K153" s="0" t="n">
        <v>0</v>
      </c>
      <c r="M153" s="1"/>
      <c r="N153" s="1"/>
      <c r="O153" s="1"/>
      <c r="P153" s="1"/>
      <c r="Q153" s="1"/>
      <c r="T153" s="121"/>
      <c r="U153" s="121"/>
      <c r="V153" s="122" t="n">
        <f aca="false">IF(AND(E153&gt;0,F153&gt;0,G153&gt;0),COUNTIFS($E:$E,E153,$F:$F,F153,$G:$G,G153),"")</f>
        <v>1</v>
      </c>
      <c r="W153" s="122" t="n">
        <f aca="false">IF(V153="","",IF(V153=1,1,IF(AND(E152=E153,F152=F153,G152=G153),W152+1,1)))</f>
        <v>1</v>
      </c>
      <c r="X153" s="0" t="n">
        <v>1</v>
      </c>
      <c r="Y153" s="0" t="n">
        <v>3</v>
      </c>
      <c r="Z153" s="0" t="s">
        <v>1792</v>
      </c>
      <c r="AA153" s="0" t="n">
        <v>0</v>
      </c>
      <c r="AB153" s="0" t="s">
        <v>1793</v>
      </c>
      <c r="AC153" s="0" t="s">
        <v>1160</v>
      </c>
      <c r="AD153" s="0" t="s">
        <v>221</v>
      </c>
      <c r="AE153" s="0" t="n">
        <v>0</v>
      </c>
      <c r="AF153" s="0" t="s">
        <v>1794</v>
      </c>
      <c r="AG153" s="0" t="n">
        <v>2</v>
      </c>
      <c r="AH153" s="0" t="s">
        <v>1795</v>
      </c>
      <c r="AI153" s="0" t="s">
        <v>1796</v>
      </c>
      <c r="AJ153" s="0" t="s">
        <v>322</v>
      </c>
      <c r="AL153" s="0" t="s">
        <v>1797</v>
      </c>
      <c r="AM153" s="0" t="n">
        <v>1</v>
      </c>
      <c r="AN153" s="0" t="s">
        <v>1795</v>
      </c>
      <c r="AO153" s="0" t="s">
        <v>1796</v>
      </c>
      <c r="AP153" s="0" t="s">
        <v>322</v>
      </c>
      <c r="AR153" s="0" t="s">
        <v>1637</v>
      </c>
      <c r="AS153" s="0" t="n">
        <v>1</v>
      </c>
      <c r="AT153" s="0" t="s">
        <v>1795</v>
      </c>
      <c r="AU153" s="0" t="s">
        <v>1796</v>
      </c>
      <c r="AV153" s="0" t="s">
        <v>322</v>
      </c>
      <c r="BP153" s="0" t="n">
        <v>0</v>
      </c>
      <c r="BQ153" s="0" t="n">
        <v>0</v>
      </c>
      <c r="BR153" s="0" t="n">
        <v>1</v>
      </c>
      <c r="BS153" s="0" t="s">
        <v>1798</v>
      </c>
      <c r="BT153" s="0" t="s">
        <v>1799</v>
      </c>
      <c r="BU153" s="0" t="s">
        <v>1800</v>
      </c>
      <c r="BV153" s="123"/>
      <c r="BW153" s="123"/>
      <c r="BX153" s="123"/>
      <c r="BY153" s="123"/>
      <c r="CA153" s="0" t="s">
        <v>216</v>
      </c>
      <c r="CD153" s="0" t="s">
        <v>256</v>
      </c>
      <c r="CE153" s="0" t="n">
        <v>0</v>
      </c>
      <c r="CF153" s="0" t="s">
        <v>238</v>
      </c>
      <c r="CI153" s="1" t="n">
        <v>39693</v>
      </c>
      <c r="CJ153" s="1" t="n">
        <v>40744</v>
      </c>
      <c r="CK153" s="124" t="n">
        <v>0.583333333333333</v>
      </c>
      <c r="CL153" s="0" t="s">
        <v>1797</v>
      </c>
      <c r="CM153" s="0" t="n">
        <f aca="false">IF(OR(CI153="",CJ153=""),"",DAYS360(CI153,CJ153)/360)</f>
        <v>2.88333333333333</v>
      </c>
      <c r="CN153" s="0" t="n">
        <f aca="false">IF(OR(CI153="",CJ153=""),"",DAYS360(CI153,CJ153)/30)</f>
        <v>34.6</v>
      </c>
      <c r="CO153" s="0" t="n">
        <f aca="false">IF(OR(CI153="",CJ153=""),"",DAYS360(CI153,CJ153)/7)</f>
        <v>148.285714285714</v>
      </c>
      <c r="CP153" s="0" t="n">
        <f aca="false">IF(OR(CI153="",CJ153=""),"",DAYS360(CI153,CJ153))</f>
        <v>1038</v>
      </c>
      <c r="CQ153" s="0" t="s">
        <v>220</v>
      </c>
      <c r="CR153" s="0" t="n">
        <v>1</v>
      </c>
      <c r="CT153" s="0" t="n">
        <v>150</v>
      </c>
      <c r="CU153" s="0" t="n">
        <v>0</v>
      </c>
      <c r="CV153" s="0" t="n">
        <f aca="false">IF(OR(CT153="",CT153="NO ESPECIFICA",CT153="NO MENCIONA"),"",IF(CU153=0,CT153,IF(CU153=1,CT153/30,IF(CU153=2,CT153/15,IF(CU153=3,CT153/7,"")))))</f>
        <v>150</v>
      </c>
      <c r="CW153" s="125" t="s">
        <v>216</v>
      </c>
      <c r="CX153" s="0" t="s">
        <v>216</v>
      </c>
      <c r="CY153" s="0" t="str">
        <f aca="false">IF(CW153="","",IF(CX153=0,CW153,IF(CX153=1,CW153/30,IF(CX153=2,CW153/15,IF(CX153=3,CW153/7,CW153)))))</f>
        <v>NO MENCIONA</v>
      </c>
      <c r="CZ153" s="0" t="n">
        <f aca="false">IF(DI153&gt;0,DI153,IF(CY153&gt;0,CY153,IF(CV153&gt;0,CV153,"")))</f>
        <v>150</v>
      </c>
      <c r="DA153" s="0" t="n">
        <f aca="false">IF(DM153=1,CZ153/8,IF(OR(DM153=2,DM153=4),CZ153/7,IF(DM153=3,CZ153/7.5,"")))</f>
        <v>18.75</v>
      </c>
      <c r="DB153" s="0" t="s">
        <v>216</v>
      </c>
      <c r="DC153" s="0" t="s">
        <v>216</v>
      </c>
      <c r="DD153" s="0" t="s">
        <v>216</v>
      </c>
      <c r="DE153" s="0" t="s">
        <v>216</v>
      </c>
      <c r="DF153" s="0" t="s">
        <v>216</v>
      </c>
      <c r="DG153" s="0" t="s">
        <v>216</v>
      </c>
      <c r="DH153" s="0" t="n">
        <v>0</v>
      </c>
      <c r="DI153" s="126" t="n">
        <v>150</v>
      </c>
      <c r="DK153" s="0" t="n">
        <v>0</v>
      </c>
      <c r="DM153" s="0" t="n">
        <v>1</v>
      </c>
      <c r="DN153" s="0" t="n">
        <f aca="false">(8.5*5*2+8.5*5*2)/4</f>
        <v>42.5</v>
      </c>
      <c r="DO153" s="0" t="n">
        <v>3</v>
      </c>
      <c r="DP153" s="0" t="n">
        <v>1</v>
      </c>
      <c r="DQ153" s="0" t="n">
        <v>0</v>
      </c>
      <c r="DR153" s="0"/>
      <c r="DS153" s="0" t="n">
        <v>1</v>
      </c>
      <c r="DU153" s="0" t="n">
        <v>1</v>
      </c>
      <c r="DW153" s="1" t="n">
        <v>39693</v>
      </c>
      <c r="DX153" s="1" t="n">
        <v>40744</v>
      </c>
      <c r="DZ153" s="0"/>
      <c r="EA153" s="0" t="n">
        <v>1</v>
      </c>
      <c r="EC153" s="1" t="n">
        <v>39693</v>
      </c>
      <c r="ED153" s="1" t="n">
        <v>40744</v>
      </c>
      <c r="EF153" s="0"/>
      <c r="EG153" s="0" t="n">
        <v>1</v>
      </c>
      <c r="EI153" s="0" t="str">
        <f aca="false">IF(AND(DM153=1,DN153&lt;=48),"",IF(AND(DM153=2,DN153&lt;=42),"",IF(AND(DM153=3,DN153&lt;=45),"",EH153)))</f>
        <v/>
      </c>
      <c r="EJ153" s="0" t="str">
        <f aca="false">IF(EI153="","",IF(EI153&lt;9,EI153,9))</f>
        <v/>
      </c>
      <c r="EK153" s="0" t="str">
        <f aca="false">IF(EI153="","",IF(EI153&gt;9,EI153-EJ153,0))</f>
        <v/>
      </c>
      <c r="EL153" s="0" t="str">
        <f aca="false">IF(EI153="","",EJ153*DA153*2+EK153*DA153*3)</f>
        <v/>
      </c>
      <c r="EP153" s="0" t="n">
        <v>0</v>
      </c>
      <c r="EQ153" s="0"/>
      <c r="ER153" s="0" t="n">
        <v>0</v>
      </c>
      <c r="ET153" s="0" t="n">
        <v>0</v>
      </c>
      <c r="EV153" s="0" t="n">
        <v>0</v>
      </c>
      <c r="EX153" s="0" t="n">
        <v>0</v>
      </c>
      <c r="EY153" s="0" t="n">
        <v>0</v>
      </c>
      <c r="EZ153" s="0"/>
      <c r="FA153" s="4" t="n">
        <f aca="false">14*DJ153</f>
        <v>0</v>
      </c>
      <c r="FB153" s="0" t="n">
        <v>0</v>
      </c>
      <c r="FF153" s="120" t="n">
        <f aca="false">(CJ153-CI153+1)/365</f>
        <v>2.88219178082192</v>
      </c>
      <c r="FG153" s="0" t="str">
        <f aca="false">CONCATENATE(F153,"/",G153)</f>
        <v>1548/2011</v>
      </c>
      <c r="FH153" s="0" t="n">
        <v>0</v>
      </c>
      <c r="FI153" s="0" t="n">
        <v>0</v>
      </c>
    </row>
    <row r="154" customFormat="false" ht="15" hidden="false" customHeight="false" outlineLevel="0" collapsed="false">
      <c r="A154" s="5" t="str">
        <f aca="false">E154&amp;G154&amp;F154</f>
        <v>720111549</v>
      </c>
      <c r="B154" s="0" t="s">
        <v>1629</v>
      </c>
      <c r="C154" s="1" t="n">
        <v>42407</v>
      </c>
      <c r="D154" s="0" t="s">
        <v>1630</v>
      </c>
      <c r="E154" s="0" t="n">
        <v>7</v>
      </c>
      <c r="F154" s="0" t="n">
        <v>1549</v>
      </c>
      <c r="G154" s="0" t="n">
        <v>2011</v>
      </c>
      <c r="H154" s="0" t="str">
        <f aca="false">"J"&amp;E154&amp;"\"&amp;F154&amp;"\"&amp;G154&amp;"\"&amp;W154</f>
        <v>J7\1549\2011\1</v>
      </c>
      <c r="I154" s="0"/>
      <c r="J154" s="1" t="n">
        <v>40793</v>
      </c>
      <c r="K154" s="0" t="n">
        <v>0</v>
      </c>
      <c r="M154" s="1"/>
      <c r="N154" s="1"/>
      <c r="O154" s="1"/>
      <c r="P154" s="1"/>
      <c r="Q154" s="1"/>
      <c r="T154" s="121"/>
      <c r="U154" s="121"/>
      <c r="V154" s="122" t="n">
        <f aca="false">IF(AND(E154&gt;0,F154&gt;0,G154&gt;0),COUNTIFS($E:$E,E154,$F:$F,F154,$G:$G,G154),"")</f>
        <v>1</v>
      </c>
      <c r="W154" s="122" t="n">
        <f aca="false">IF(V154="","",IF(V154=1,1,IF(AND(E153=E154,F153=F154,G153=G154),W153+1,1)))</f>
        <v>1</v>
      </c>
      <c r="X154" s="0" t="n">
        <v>1</v>
      </c>
      <c r="Y154" s="0" t="n">
        <v>6</v>
      </c>
      <c r="Z154" s="0" t="s">
        <v>1801</v>
      </c>
      <c r="AA154" s="0" t="n">
        <v>0</v>
      </c>
      <c r="AB154" s="0" t="s">
        <v>1802</v>
      </c>
      <c r="AC154" s="0" t="s">
        <v>1661</v>
      </c>
      <c r="AD154" s="0" t="s">
        <v>221</v>
      </c>
      <c r="AE154" s="0" t="n">
        <v>0</v>
      </c>
      <c r="AF154" s="0" t="s">
        <v>1803</v>
      </c>
      <c r="AG154" s="0" t="n">
        <v>0</v>
      </c>
      <c r="AH154" s="0" t="s">
        <v>1804</v>
      </c>
      <c r="AI154" s="0" t="s">
        <v>287</v>
      </c>
      <c r="AJ154" s="0" t="s">
        <v>207</v>
      </c>
      <c r="AL154" s="0" t="s">
        <v>1805</v>
      </c>
      <c r="AM154" s="0" t="n">
        <v>0</v>
      </c>
      <c r="AN154" s="0" t="s">
        <v>1804</v>
      </c>
      <c r="AO154" s="0" t="s">
        <v>287</v>
      </c>
      <c r="AP154" s="0" t="s">
        <v>207</v>
      </c>
      <c r="AR154" s="0" t="s">
        <v>1806</v>
      </c>
      <c r="AS154" s="0" t="n">
        <v>1</v>
      </c>
      <c r="AT154" s="0" t="s">
        <v>1804</v>
      </c>
      <c r="AU154" s="0" t="s">
        <v>287</v>
      </c>
      <c r="AV154" s="0" t="s">
        <v>207</v>
      </c>
      <c r="AX154" s="0" t="s">
        <v>1807</v>
      </c>
      <c r="AY154" s="0" t="n">
        <v>1</v>
      </c>
      <c r="AZ154" s="0" t="s">
        <v>1804</v>
      </c>
      <c r="BA154" s="0" t="s">
        <v>287</v>
      </c>
      <c r="BB154" s="0" t="s">
        <v>207</v>
      </c>
      <c r="BD154" s="0" t="s">
        <v>1808</v>
      </c>
      <c r="BE154" s="0" t="n">
        <v>1</v>
      </c>
      <c r="BF154" s="0" t="s">
        <v>1804</v>
      </c>
      <c r="BG154" s="0" t="s">
        <v>287</v>
      </c>
      <c r="BH154" s="0" t="s">
        <v>207</v>
      </c>
      <c r="BJ154" s="0" t="s">
        <v>1637</v>
      </c>
      <c r="BK154" s="0" t="n">
        <v>1</v>
      </c>
      <c r="BL154" s="0" t="s">
        <v>1804</v>
      </c>
      <c r="BM154" s="0" t="s">
        <v>287</v>
      </c>
      <c r="BN154" s="0" t="s">
        <v>207</v>
      </c>
      <c r="BP154" s="0" t="n">
        <v>0</v>
      </c>
      <c r="BQ154" s="0" t="n">
        <v>0</v>
      </c>
      <c r="BR154" s="0" t="n">
        <v>1</v>
      </c>
      <c r="BS154" s="0" t="s">
        <v>1273</v>
      </c>
      <c r="BT154" s="0" t="s">
        <v>1809</v>
      </c>
      <c r="BU154" s="0" t="s">
        <v>1209</v>
      </c>
      <c r="BV154" s="123"/>
      <c r="BW154" s="123"/>
      <c r="BX154" s="123"/>
      <c r="BY154" s="123"/>
      <c r="CA154" s="0" t="s">
        <v>216</v>
      </c>
      <c r="CD154" s="0" t="s">
        <v>370</v>
      </c>
      <c r="CE154" s="0" t="n">
        <v>0</v>
      </c>
      <c r="CF154" s="0" t="s">
        <v>1810</v>
      </c>
      <c r="CI154" s="1" t="n">
        <v>40554</v>
      </c>
      <c r="CJ154" s="1" t="n">
        <v>40792</v>
      </c>
      <c r="CK154" s="124" t="n">
        <v>0.5</v>
      </c>
      <c r="CL154" s="0" t="s">
        <v>1808</v>
      </c>
      <c r="CM154" s="0" t="n">
        <f aca="false">IF(OR(CI154="",CJ154=""),"",DAYS360(CI154,CJ154)/360)</f>
        <v>0.652777777777778</v>
      </c>
      <c r="CN154" s="0" t="n">
        <f aca="false">IF(OR(CI154="",CJ154=""),"",DAYS360(CI154,CJ154)/30)</f>
        <v>7.83333333333333</v>
      </c>
      <c r="CO154" s="0" t="n">
        <f aca="false">IF(OR(CI154="",CJ154=""),"",DAYS360(CI154,CJ154)/7)</f>
        <v>33.5714285714286</v>
      </c>
      <c r="CP154" s="0" t="n">
        <f aca="false">IF(OR(CI154="",CJ154=""),"",DAYS360(CI154,CJ154))</f>
        <v>235</v>
      </c>
      <c r="CQ154" s="0" t="s">
        <v>240</v>
      </c>
      <c r="CR154" s="0" t="n">
        <v>1</v>
      </c>
      <c r="CT154" s="0" t="n">
        <v>5000</v>
      </c>
      <c r="CU154" s="0" t="n">
        <v>1</v>
      </c>
      <c r="CV154" s="0" t="n">
        <f aca="false">IF(OR(CT154="",CT154="NO ESPECIFICA",CT154="NO MENCIONA"),"",IF(CU154=0,CT154,IF(CU154=1,CT154/30,IF(CU154=2,CT154/15,IF(CU154=3,CT154/7,"")))))</f>
        <v>166.666666666667</v>
      </c>
      <c r="CW154" s="125" t="n">
        <v>7000</v>
      </c>
      <c r="CX154" s="0" t="n">
        <v>1</v>
      </c>
      <c r="CY154" s="0" t="n">
        <f aca="false">IF(CW154="","",IF(CX154=0,CW154,IF(CX154=1,CW154/30,IF(CX154=2,CW154/15,IF(CX154=3,CW154/7,CW154)))))</f>
        <v>233.333333333333</v>
      </c>
      <c r="CZ154" s="0" t="n">
        <f aca="false">IF(DI154&gt;0,DI154,IF(CY154&gt;0,CY154,IF(CV154&gt;0,CV154,"")))</f>
        <v>233.333333333333</v>
      </c>
      <c r="DA154" s="0" t="n">
        <f aca="false">IF(DM154=1,CZ154/8,IF(OR(DM154=2,DM154=4),CZ154/7,IF(DM154=3,CZ154/7.5,"")))</f>
        <v>29.1666666666667</v>
      </c>
      <c r="DB154" s="0" t="s">
        <v>417</v>
      </c>
      <c r="DC154" s="0" t="s">
        <v>216</v>
      </c>
      <c r="DD154" s="0" t="s">
        <v>216</v>
      </c>
      <c r="DE154" s="0" t="s">
        <v>216</v>
      </c>
      <c r="DF154" s="0" t="s">
        <v>216</v>
      </c>
      <c r="DG154" s="0" t="s">
        <v>216</v>
      </c>
      <c r="DH154" s="0" t="n">
        <v>0</v>
      </c>
      <c r="DI154" s="126" t="n">
        <f aca="false">7000/30</f>
        <v>233.333333333333</v>
      </c>
      <c r="DK154" s="0" t="n">
        <v>1</v>
      </c>
      <c r="DM154" s="0" t="n">
        <v>1</v>
      </c>
      <c r="DN154" s="0" t="n">
        <f aca="false">12*6</f>
        <v>72</v>
      </c>
      <c r="DO154" s="0" t="n">
        <v>3</v>
      </c>
      <c r="DP154" s="0" t="n">
        <v>0</v>
      </c>
      <c r="DQ154" s="0" t="n">
        <v>1</v>
      </c>
      <c r="DR154" s="0"/>
      <c r="DS154" s="0" t="n">
        <v>1</v>
      </c>
      <c r="DU154" s="0" t="n">
        <v>1</v>
      </c>
      <c r="DW154" s="1" t="n">
        <v>40554</v>
      </c>
      <c r="DX154" s="1" t="n">
        <v>40792</v>
      </c>
      <c r="DZ154" s="0"/>
      <c r="EA154" s="0" t="n">
        <v>1</v>
      </c>
      <c r="EC154" s="1" t="n">
        <v>40554</v>
      </c>
      <c r="ED154" s="1" t="n">
        <v>40792</v>
      </c>
      <c r="EF154" s="0"/>
      <c r="EG154" s="0" t="n">
        <v>1</v>
      </c>
      <c r="EH154" s="0" t="n">
        <v>18</v>
      </c>
      <c r="EI154" s="0" t="n">
        <f aca="false">IF(AND(DM154=1,DN154&lt;=48),"",IF(AND(DM154=2,DN154&lt;=42),"",IF(AND(DM154=3,DN154&lt;=45),"",EH154)))</f>
        <v>18</v>
      </c>
      <c r="EJ154" s="0" t="n">
        <f aca="false">IF(EI154="","",IF(EI154&lt;9,EI154,9))</f>
        <v>9</v>
      </c>
      <c r="EK154" s="0" t="n">
        <f aca="false">IF(EI154="","",IF(EI154&gt;9,EI154-EJ154,0))</f>
        <v>9</v>
      </c>
      <c r="EL154" s="0" t="n">
        <f aca="false">IF(EI154="","",EJ154*DA154*2+EK154*DA154*3)</f>
        <v>1312.5</v>
      </c>
      <c r="EP154" s="0" t="n">
        <v>0</v>
      </c>
      <c r="EQ154" s="0"/>
      <c r="ER154" s="0" t="n">
        <v>1</v>
      </c>
      <c r="ET154" s="0" t="n">
        <v>1</v>
      </c>
      <c r="EV154" s="0" t="n">
        <v>1</v>
      </c>
      <c r="EX154" s="0" t="n">
        <v>0</v>
      </c>
      <c r="EY154" s="0" t="n">
        <v>0</v>
      </c>
      <c r="EZ154" s="0"/>
      <c r="FA154" s="4" t="n">
        <f aca="false">60*DJ154</f>
        <v>0</v>
      </c>
      <c r="FB154" s="0" t="n">
        <v>1</v>
      </c>
      <c r="FF154" s="120" t="n">
        <f aca="false">(CJ154-CI154+1)/365</f>
        <v>0.654794520547945</v>
      </c>
      <c r="FG154" s="0" t="str">
        <f aca="false">CONCATENATE(F154,"/",G154)</f>
        <v>1549/2011</v>
      </c>
      <c r="FH154" s="0" t="n">
        <v>0</v>
      </c>
      <c r="FI154" s="0" t="n">
        <v>0</v>
      </c>
    </row>
    <row r="155" customFormat="false" ht="15" hidden="false" customHeight="false" outlineLevel="0" collapsed="false">
      <c r="A155" s="5" t="str">
        <f aca="false">E155&amp;G155&amp;F155</f>
        <v>720111553</v>
      </c>
      <c r="B155" s="0" t="s">
        <v>1629</v>
      </c>
      <c r="C155" s="1" t="n">
        <v>42407</v>
      </c>
      <c r="D155" s="0" t="s">
        <v>1630</v>
      </c>
      <c r="E155" s="0" t="n">
        <v>7</v>
      </c>
      <c r="F155" s="0" t="n">
        <v>1553</v>
      </c>
      <c r="G155" s="0" t="n">
        <v>2011</v>
      </c>
      <c r="H155" s="0" t="str">
        <f aca="false">"J"&amp;E155&amp;"\"&amp;F155&amp;"\"&amp;G155&amp;"\"&amp;W155</f>
        <v>J7\1553\2011\1</v>
      </c>
      <c r="I155" s="0"/>
      <c r="J155" s="1" t="n">
        <v>40794</v>
      </c>
      <c r="K155" s="0" t="n">
        <v>0</v>
      </c>
      <c r="M155" s="1"/>
      <c r="N155" s="1"/>
      <c r="O155" s="1"/>
      <c r="P155" s="1"/>
      <c r="Q155" s="1"/>
      <c r="T155" s="121"/>
      <c r="U155" s="121"/>
      <c r="V155" s="122" t="n">
        <f aca="false">IF(AND(E155&gt;0,F155&gt;0,G155&gt;0),COUNTIFS($E:$E,E155,$F:$F,F155,$G:$G,G155),"")</f>
        <v>1</v>
      </c>
      <c r="W155" s="122" t="n">
        <f aca="false">IF(V155="","",IF(V155=1,1,IF(AND(E154=E155,F154=F155,G154=G155),W154+1,1)))</f>
        <v>1</v>
      </c>
      <c r="X155" s="0" t="n">
        <v>1</v>
      </c>
      <c r="Y155" s="0" t="n">
        <v>3</v>
      </c>
      <c r="Z155" s="0" t="s">
        <v>1811</v>
      </c>
      <c r="AA155" s="0" t="n">
        <v>0</v>
      </c>
      <c r="AB155" s="0" t="s">
        <v>1812</v>
      </c>
      <c r="AC155" s="0" t="s">
        <v>228</v>
      </c>
      <c r="AD155" s="0" t="s">
        <v>229</v>
      </c>
      <c r="AE155" s="0" t="n">
        <v>0</v>
      </c>
      <c r="AF155" s="0" t="s">
        <v>1813</v>
      </c>
      <c r="AG155" s="0" t="n">
        <v>0</v>
      </c>
      <c r="AH155" s="0" t="s">
        <v>1814</v>
      </c>
      <c r="AI155" s="0" t="s">
        <v>830</v>
      </c>
      <c r="AJ155" s="0" t="s">
        <v>322</v>
      </c>
      <c r="AL155" s="0" t="s">
        <v>1815</v>
      </c>
      <c r="AM155" s="0" t="n">
        <v>1</v>
      </c>
      <c r="AN155" s="0" t="s">
        <v>1814</v>
      </c>
      <c r="AO155" s="0" t="s">
        <v>830</v>
      </c>
      <c r="AP155" s="0" t="s">
        <v>322</v>
      </c>
      <c r="AR155" s="0" t="s">
        <v>1637</v>
      </c>
      <c r="AS155" s="0" t="n">
        <v>1</v>
      </c>
      <c r="AT155" s="0" t="s">
        <v>1814</v>
      </c>
      <c r="AU155" s="0" t="s">
        <v>830</v>
      </c>
      <c r="AV155" s="0" t="s">
        <v>322</v>
      </c>
      <c r="BP155" s="0" t="n">
        <v>0</v>
      </c>
      <c r="BQ155" s="0" t="n">
        <v>0</v>
      </c>
      <c r="BR155" s="0" t="n">
        <v>3</v>
      </c>
      <c r="BS155" s="0" t="s">
        <v>1816</v>
      </c>
      <c r="BT155" s="0" t="s">
        <v>1817</v>
      </c>
      <c r="BU155" s="0" t="s">
        <v>1818</v>
      </c>
      <c r="BV155" s="123"/>
      <c r="BW155" s="123"/>
      <c r="BX155" s="123"/>
      <c r="BY155" s="123"/>
      <c r="CA155" s="0" t="s">
        <v>348</v>
      </c>
      <c r="CD155" s="0" t="s">
        <v>296</v>
      </c>
      <c r="CE155" s="0" t="n">
        <v>0</v>
      </c>
      <c r="CF155" s="0" t="s">
        <v>968</v>
      </c>
      <c r="CI155" s="1" t="n">
        <v>39132</v>
      </c>
      <c r="CJ155" s="1" t="n">
        <v>40743</v>
      </c>
      <c r="CK155" s="124" t="n">
        <v>0.458333333333333</v>
      </c>
      <c r="CL155" s="0" t="s">
        <v>1815</v>
      </c>
      <c r="CM155" s="0" t="n">
        <f aca="false">IF(OR(CI155="",CJ155=""),"",DAYS360(CI155,CJ155)/360)</f>
        <v>4.41666666666667</v>
      </c>
      <c r="CN155" s="0" t="n">
        <f aca="false">IF(OR(CI155="",CJ155=""),"",DAYS360(CI155,CJ155)/30)</f>
        <v>53</v>
      </c>
      <c r="CO155" s="0" t="n">
        <f aca="false">IF(OR(CI155="",CJ155=""),"",DAYS360(CI155,CJ155)/7)</f>
        <v>227.142857142857</v>
      </c>
      <c r="CP155" s="0" t="n">
        <f aca="false">IF(OR(CI155="",CJ155=""),"",DAYS360(CI155,CJ155))</f>
        <v>1590</v>
      </c>
      <c r="CQ155" s="0" t="s">
        <v>240</v>
      </c>
      <c r="CR155" s="0" t="n">
        <v>1</v>
      </c>
      <c r="CT155" s="0" t="n">
        <v>130.25</v>
      </c>
      <c r="CU155" s="0" t="n">
        <v>0</v>
      </c>
      <c r="CV155" s="0" t="n">
        <f aca="false">IF(OR(CT155="",CT155="NO ESPECIFICA",CT155="NO MENCIONA"),"",IF(CU155=0,CT155,IF(CU155=1,CT155/30,IF(CU155=2,CT155/15,IF(CU155=3,CT155/7,"")))))</f>
        <v>130.25</v>
      </c>
      <c r="CW155" s="125" t="n">
        <v>136.67</v>
      </c>
      <c r="CX155" s="0" t="n">
        <v>0</v>
      </c>
      <c r="CY155" s="0" t="n">
        <f aca="false">IF(CW155="","",IF(CX155=0,CW155,IF(CX155=1,CW155/30,IF(CX155=2,CW155/15,IF(CX155=3,CW155/7,CW155)))))</f>
        <v>136.67</v>
      </c>
      <c r="CZ155" s="0" t="n">
        <f aca="false">IF(DI155&gt;0,DI155,IF(CY155&gt;0,CY155,IF(CV155&gt;0,CV155,"")))</f>
        <v>136.67</v>
      </c>
      <c r="DA155" s="0" t="n">
        <f aca="false">IF(DM155=1,CZ155/8,IF(OR(DM155=2,DM155=4),CZ155/7,IF(DM155=3,CZ155/7.5,"")))</f>
        <v>18.2226666666667</v>
      </c>
      <c r="DB155" s="0" t="s">
        <v>303</v>
      </c>
      <c r="DC155" s="0" t="s">
        <v>301</v>
      </c>
      <c r="DD155" s="0" t="s">
        <v>216</v>
      </c>
      <c r="DE155" s="0" t="s">
        <v>216</v>
      </c>
      <c r="DF155" s="0" t="s">
        <v>216</v>
      </c>
      <c r="DG155" s="0" t="s">
        <v>216</v>
      </c>
      <c r="DH155" s="0" t="n">
        <v>0</v>
      </c>
      <c r="DI155" s="126" t="n">
        <v>136.67</v>
      </c>
      <c r="DK155" s="0" t="n">
        <v>0</v>
      </c>
      <c r="DM155" s="0" t="n">
        <v>3</v>
      </c>
      <c r="DN155" s="0" t="n">
        <v>45</v>
      </c>
      <c r="DO155" s="0" t="n">
        <v>3</v>
      </c>
      <c r="DP155" s="0" t="n">
        <v>0</v>
      </c>
      <c r="DQ155" s="0" t="n">
        <v>1</v>
      </c>
      <c r="DR155" s="0"/>
      <c r="DS155" s="0" t="n">
        <v>1</v>
      </c>
      <c r="DU155" s="0" t="n">
        <v>1</v>
      </c>
      <c r="DW155" s="1" t="n">
        <v>40593</v>
      </c>
      <c r="DX155" s="1" t="n">
        <v>40743</v>
      </c>
      <c r="DZ155" s="0"/>
      <c r="EA155" s="0" t="n">
        <v>1</v>
      </c>
      <c r="EC155" s="1" t="n">
        <v>40544</v>
      </c>
      <c r="ED155" s="1" t="n">
        <v>40743</v>
      </c>
      <c r="EF155" s="0"/>
      <c r="EG155" s="0" t="n">
        <v>0</v>
      </c>
      <c r="EI155" s="0" t="str">
        <f aca="false">IF(AND(DM155=1,DN155&lt;=48),"",IF(AND(DM155=2,DN155&lt;=42),"",IF(AND(DM155=3,DN155&lt;=45),"",EH155)))</f>
        <v/>
      </c>
      <c r="EJ155" s="0" t="str">
        <f aca="false">IF(EI155="","",IF(EI155&lt;9,EI155,9))</f>
        <v/>
      </c>
      <c r="EK155" s="0" t="str">
        <f aca="false">IF(EI155="","",IF(EI155&gt;9,EI155-EJ155,0))</f>
        <v/>
      </c>
      <c r="EL155" s="0" t="str">
        <f aca="false">IF(EI155="","",EJ155*DA155*2+EK155*DA155*3)</f>
        <v/>
      </c>
      <c r="EP155" s="0" t="n">
        <v>0</v>
      </c>
      <c r="EQ155" s="0"/>
      <c r="ER155" s="0" t="n">
        <v>0</v>
      </c>
      <c r="ET155" s="0" t="n">
        <v>0</v>
      </c>
      <c r="EV155" s="0" t="n">
        <v>0</v>
      </c>
      <c r="EX155" s="0" t="n">
        <v>0</v>
      </c>
      <c r="EY155" s="0" t="n">
        <v>0</v>
      </c>
      <c r="EZ155" s="0"/>
      <c r="FA155" s="4" t="n">
        <v>0</v>
      </c>
      <c r="FB155" s="0" t="n">
        <v>1</v>
      </c>
      <c r="FF155" s="120" t="n">
        <f aca="false">(CJ155-CI155+1)/365</f>
        <v>4.41643835616438</v>
      </c>
      <c r="FG155" s="0" t="str">
        <f aca="false">CONCATENATE(F155,"/",G155)</f>
        <v>1553/2011</v>
      </c>
      <c r="FH155" s="0" t="n">
        <v>0</v>
      </c>
      <c r="FI155" s="0" t="n">
        <v>0</v>
      </c>
    </row>
    <row r="156" customFormat="false" ht="15" hidden="false" customHeight="false" outlineLevel="0" collapsed="false">
      <c r="A156" s="5" t="str">
        <f aca="false">E156&amp;G156&amp;F156</f>
        <v>720111558</v>
      </c>
      <c r="B156" s="0" t="s">
        <v>1629</v>
      </c>
      <c r="C156" s="1" t="n">
        <v>42407</v>
      </c>
      <c r="E156" s="0" t="n">
        <v>7</v>
      </c>
      <c r="F156" s="0" t="n">
        <v>1558</v>
      </c>
      <c r="G156" s="0" t="n">
        <v>2011</v>
      </c>
      <c r="H156" s="0" t="str">
        <f aca="false">"J"&amp;E156&amp;"\"&amp;F156&amp;"\"&amp;G156&amp;"\"&amp;W156</f>
        <v>J7\1558\2011\1</v>
      </c>
      <c r="I156" s="0"/>
      <c r="J156" s="1" t="n">
        <v>40794</v>
      </c>
      <c r="K156" s="0" t="n">
        <v>0</v>
      </c>
      <c r="M156" s="1" t="n">
        <v>40794</v>
      </c>
      <c r="N156" s="1" t="n">
        <v>41026</v>
      </c>
      <c r="O156" s="1"/>
      <c r="P156" s="1"/>
      <c r="Q156" s="1"/>
      <c r="T156" s="121"/>
      <c r="U156" s="121"/>
      <c r="V156" s="122" t="n">
        <f aca="false">IF(AND(E156&gt;0,F156&gt;0,G156&gt;0),COUNTIFS($E:$E,E156,$F:$F,F156,$G:$G,G156),"")</f>
        <v>1</v>
      </c>
      <c r="W156" s="122" t="n">
        <f aca="false">IF(V156="","",IF(V156=1,1,IF(AND(E155=E156,F155=F156,G155=G156),W155+1,1)))</f>
        <v>1</v>
      </c>
      <c r="X156" s="0" t="n">
        <v>1</v>
      </c>
      <c r="Y156" s="0" t="n">
        <v>5</v>
      </c>
      <c r="Z156" s="0" t="s">
        <v>1819</v>
      </c>
      <c r="AA156" s="0" t="n">
        <v>0</v>
      </c>
      <c r="AB156" s="0" t="s">
        <v>1820</v>
      </c>
      <c r="AC156" s="0" t="s">
        <v>251</v>
      </c>
      <c r="AD156" s="0" t="s">
        <v>229</v>
      </c>
      <c r="AE156" s="0" t="n">
        <v>0</v>
      </c>
      <c r="AF156" s="0" t="s">
        <v>1821</v>
      </c>
      <c r="AG156" s="0" t="n">
        <v>0</v>
      </c>
      <c r="AH156" s="0" t="s">
        <v>1822</v>
      </c>
      <c r="AI156" s="0" t="s">
        <v>1160</v>
      </c>
      <c r="AJ156" s="0" t="s">
        <v>221</v>
      </c>
      <c r="AL156" s="0" t="s">
        <v>1823</v>
      </c>
      <c r="AM156" s="0" t="n">
        <v>0</v>
      </c>
      <c r="AN156" s="0" t="s">
        <v>1824</v>
      </c>
      <c r="AO156" s="0" t="s">
        <v>497</v>
      </c>
      <c r="AP156" s="0" t="s">
        <v>229</v>
      </c>
      <c r="AR156" s="0" t="s">
        <v>1825</v>
      </c>
      <c r="AS156" s="0" t="n">
        <v>0</v>
      </c>
      <c r="AT156" s="0" t="s">
        <v>1826</v>
      </c>
      <c r="AU156" s="0" t="s">
        <v>1827</v>
      </c>
      <c r="AV156" s="0" t="s">
        <v>207</v>
      </c>
      <c r="AX156" s="0" t="s">
        <v>1828</v>
      </c>
      <c r="AY156" s="0" t="n">
        <v>1</v>
      </c>
      <c r="AZ156" s="0" t="s">
        <v>1824</v>
      </c>
      <c r="BA156" s="0" t="s">
        <v>497</v>
      </c>
      <c r="BB156" s="0" t="s">
        <v>229</v>
      </c>
      <c r="BD156" s="0" t="s">
        <v>1637</v>
      </c>
      <c r="BE156" s="0" t="n">
        <v>1</v>
      </c>
      <c r="BF156" s="0" t="s">
        <v>1822</v>
      </c>
      <c r="BG156" s="0" t="s">
        <v>1160</v>
      </c>
      <c r="BH156" s="0" t="s">
        <v>221</v>
      </c>
      <c r="BP156" s="0" t="n">
        <v>0</v>
      </c>
      <c r="BQ156" s="0" t="n">
        <v>0</v>
      </c>
      <c r="BR156" s="0" t="n">
        <v>1</v>
      </c>
      <c r="BS156" s="0" t="s">
        <v>1829</v>
      </c>
      <c r="BT156" s="0" t="s">
        <v>1830</v>
      </c>
      <c r="BU156" s="0" t="s">
        <v>1831</v>
      </c>
      <c r="BV156" s="123"/>
      <c r="BW156" s="123"/>
      <c r="BX156" s="123"/>
      <c r="BY156" s="123"/>
      <c r="CA156" s="0" t="s">
        <v>1832</v>
      </c>
      <c r="CD156" s="0" t="s">
        <v>256</v>
      </c>
      <c r="CE156" s="0" t="n">
        <v>0</v>
      </c>
      <c r="CF156" s="0" t="s">
        <v>645</v>
      </c>
      <c r="CI156" s="1" t="n">
        <v>39001</v>
      </c>
      <c r="CJ156" s="1" t="n">
        <v>40754</v>
      </c>
      <c r="CK156" s="124" t="n">
        <v>0.333333333333333</v>
      </c>
      <c r="CL156" s="0" t="s">
        <v>1828</v>
      </c>
      <c r="CM156" s="0" t="n">
        <f aca="false">IF(OR(CI156="",CJ156=""),"",DAYS360(CI156,CJ156)/360)</f>
        <v>4.80277777777778</v>
      </c>
      <c r="CN156" s="0" t="n">
        <f aca="false">IF(OR(CI156="",CJ156=""),"",DAYS360(CI156,CJ156)/30)</f>
        <v>57.6333333333333</v>
      </c>
      <c r="CO156" s="0" t="n">
        <f aca="false">IF(OR(CI156="",CJ156=""),"",DAYS360(CI156,CJ156)/7)</f>
        <v>247</v>
      </c>
      <c r="CP156" s="0" t="n">
        <f aca="false">IF(OR(CI156="",CJ156=""),"",DAYS360(CI156,CJ156))</f>
        <v>1729</v>
      </c>
      <c r="CQ156" s="0" t="s">
        <v>240</v>
      </c>
      <c r="CR156" s="0" t="n">
        <v>1</v>
      </c>
      <c r="CT156" s="0" t="n">
        <v>276</v>
      </c>
      <c r="CU156" s="0" t="n">
        <v>0</v>
      </c>
      <c r="CV156" s="0" t="n">
        <f aca="false">IF(OR(CT156="",CT156="NO ESPECIFICA",CT156="NO MENCIONA"),"",IF(CU156=0,CT156,IF(CU156=1,CT156/30,IF(CU156=2,CT156/15,IF(CU156=3,CT156/7,"")))))</f>
        <v>276</v>
      </c>
      <c r="CW156" s="125" t="n">
        <v>619</v>
      </c>
      <c r="CX156" s="0" t="n">
        <v>0</v>
      </c>
      <c r="CY156" s="0" t="n">
        <f aca="false">IF(CW156="","",IF(CX156=0,CW156,IF(CX156=1,CW156/30,IF(CX156=2,CW156/15,IF(CX156=3,CW156/7,CW156)))))</f>
        <v>619</v>
      </c>
      <c r="CZ156" s="0" t="n">
        <f aca="false">IF(DI156&gt;0,DI156,IF(CY156&gt;0,CY156,IF(CV156&gt;0,CV156,"")))</f>
        <v>619</v>
      </c>
      <c r="DA156" s="0" t="n">
        <f aca="false">IF(DM156=1,CZ156/8,IF(OR(DM156=2,DM156=4),CZ156/7,IF(DM156=3,CZ156/7.5,"")))</f>
        <v>77.375</v>
      </c>
      <c r="DB156" s="0" t="s">
        <v>1582</v>
      </c>
      <c r="DC156" s="0" t="s">
        <v>1119</v>
      </c>
      <c r="DD156" s="0" t="s">
        <v>1833</v>
      </c>
      <c r="DE156" s="0" t="s">
        <v>303</v>
      </c>
      <c r="DF156" s="0" t="s">
        <v>301</v>
      </c>
      <c r="DG156" s="0" t="s">
        <v>216</v>
      </c>
      <c r="DH156" s="0" t="n">
        <v>0</v>
      </c>
      <c r="DI156" s="126" t="n">
        <v>619</v>
      </c>
      <c r="DK156" s="0" t="n">
        <v>1</v>
      </c>
      <c r="DM156" s="0" t="n">
        <v>1</v>
      </c>
      <c r="DN156" s="0" t="n">
        <f aca="false">12*6</f>
        <v>72</v>
      </c>
      <c r="DO156" s="0" t="n">
        <v>3</v>
      </c>
      <c r="DP156" s="0" t="n">
        <v>0</v>
      </c>
      <c r="DQ156" s="0" t="n">
        <v>1</v>
      </c>
      <c r="DR156" s="0"/>
      <c r="DS156" s="0" t="n">
        <v>1</v>
      </c>
      <c r="DU156" s="0" t="n">
        <v>1</v>
      </c>
      <c r="DW156" s="1" t="n">
        <v>40462</v>
      </c>
      <c r="DX156" s="1" t="n">
        <v>40754</v>
      </c>
      <c r="DZ156" s="0"/>
      <c r="EA156" s="0" t="n">
        <v>1</v>
      </c>
      <c r="EC156" s="1" t="n">
        <v>40544</v>
      </c>
      <c r="ED156" s="1" t="n">
        <v>40754</v>
      </c>
      <c r="EF156" s="0"/>
      <c r="EG156" s="0" t="n">
        <v>1</v>
      </c>
      <c r="EH156" s="0" t="n">
        <v>24</v>
      </c>
      <c r="EI156" s="0" t="n">
        <f aca="false">IF(AND(DM156=1,DN156&lt;=48),"",IF(AND(DM156=2,DN156&lt;=42),"",IF(AND(DM156=3,DN156&lt;=45),"",EH156)))</f>
        <v>24</v>
      </c>
      <c r="EJ156" s="0" t="n">
        <f aca="false">IF(EI156="","",IF(EI156&lt;9,EI156,9))</f>
        <v>9</v>
      </c>
      <c r="EK156" s="0" t="n">
        <f aca="false">IF(EI156="","",IF(EI156&gt;9,EI156-EJ156,0))</f>
        <v>15</v>
      </c>
      <c r="EL156" s="0" t="n">
        <f aca="false">IF(EI156="","",EJ156*DA156*2+EK156*DA156*3)</f>
        <v>4874.625</v>
      </c>
      <c r="EP156" s="0" t="n">
        <v>0</v>
      </c>
      <c r="EQ156" s="0"/>
      <c r="ER156" s="0" t="n">
        <v>0</v>
      </c>
      <c r="ET156" s="0" t="n">
        <v>0</v>
      </c>
      <c r="EV156" s="0" t="n">
        <v>0</v>
      </c>
      <c r="EX156" s="0" t="n">
        <v>1</v>
      </c>
      <c r="EY156" s="0" t="n">
        <v>1</v>
      </c>
      <c r="EZ156" s="0"/>
      <c r="FA156" s="4" t="n">
        <v>0</v>
      </c>
      <c r="FB156" s="0" t="n">
        <v>0</v>
      </c>
      <c r="FF156" s="120" t="n">
        <f aca="false">(CJ156-CI156+1)/365</f>
        <v>4.80547945205479</v>
      </c>
      <c r="FG156" s="0" t="str">
        <f aca="false">CONCATENATE(F156,"/",G156)</f>
        <v>1558/2011</v>
      </c>
      <c r="FH156" s="0" t="n">
        <v>0</v>
      </c>
      <c r="FI156" s="0" t="n">
        <v>0</v>
      </c>
    </row>
    <row r="157" customFormat="false" ht="15" hidden="false" customHeight="false" outlineLevel="0" collapsed="false">
      <c r="A157" s="5" t="str">
        <f aca="false">E157&amp;G157&amp;F157</f>
        <v>720111561</v>
      </c>
      <c r="B157" s="0" t="s">
        <v>1629</v>
      </c>
      <c r="C157" s="1" t="n">
        <v>42407</v>
      </c>
      <c r="D157" s="0" t="s">
        <v>1630</v>
      </c>
      <c r="E157" s="0" t="n">
        <v>7</v>
      </c>
      <c r="F157" s="0" t="n">
        <v>1561</v>
      </c>
      <c r="G157" s="0" t="n">
        <v>2011</v>
      </c>
      <c r="H157" s="0" t="str">
        <f aca="false">"J"&amp;E157&amp;"\"&amp;F157&amp;"\"&amp;G157&amp;"\"&amp;W157</f>
        <v>J7\1561\2011\1</v>
      </c>
      <c r="I157" s="0"/>
      <c r="J157" s="1" t="n">
        <v>40795</v>
      </c>
      <c r="K157" s="0" t="n">
        <v>0</v>
      </c>
      <c r="M157" s="1"/>
      <c r="N157" s="1"/>
      <c r="O157" s="1"/>
      <c r="P157" s="1"/>
      <c r="Q157" s="1"/>
      <c r="T157" s="121"/>
      <c r="U157" s="121"/>
      <c r="V157" s="122" t="n">
        <f aca="false">IF(AND(E157&gt;0,F157&gt;0,G157&gt;0),COUNTIFS($E:$E,E157,$F:$F,F157,$G:$G,G157),"")</f>
        <v>1</v>
      </c>
      <c r="W157" s="122" t="n">
        <f aca="false">IF(V157="","",IF(V157=1,1,IF(AND(E156=E157,F156=F157,G156=G157),W156+1,1)))</f>
        <v>1</v>
      </c>
      <c r="X157" s="0" t="n">
        <v>1</v>
      </c>
      <c r="Y157" s="0" t="n">
        <v>3</v>
      </c>
      <c r="Z157" s="0" t="s">
        <v>1834</v>
      </c>
      <c r="AA157" s="0" t="n">
        <v>0</v>
      </c>
      <c r="AB157" s="0" t="s">
        <v>1835</v>
      </c>
      <c r="AC157" s="0" t="s">
        <v>228</v>
      </c>
      <c r="AD157" s="0" t="s">
        <v>229</v>
      </c>
      <c r="AE157" s="0" t="n">
        <v>0</v>
      </c>
      <c r="AF157" s="0" t="s">
        <v>1836</v>
      </c>
      <c r="AG157" s="0" t="n">
        <v>0</v>
      </c>
      <c r="AH157" s="0" t="s">
        <v>1837</v>
      </c>
      <c r="AI157" s="0" t="s">
        <v>1838</v>
      </c>
      <c r="AJ157" s="0" t="s">
        <v>207</v>
      </c>
      <c r="AL157" s="0" t="s">
        <v>1839</v>
      </c>
      <c r="AM157" s="0" t="n">
        <v>1</v>
      </c>
      <c r="AN157" s="0" t="s">
        <v>1837</v>
      </c>
      <c r="AO157" s="0" t="s">
        <v>1838</v>
      </c>
      <c r="AP157" s="0" t="s">
        <v>207</v>
      </c>
      <c r="AR157" s="0" t="s">
        <v>1637</v>
      </c>
      <c r="AS157" s="0" t="n">
        <v>1</v>
      </c>
      <c r="AT157" s="0" t="s">
        <v>1837</v>
      </c>
      <c r="AU157" s="0" t="s">
        <v>1838</v>
      </c>
      <c r="AV157" s="0" t="s">
        <v>207</v>
      </c>
      <c r="BP157" s="0" t="n">
        <v>0</v>
      </c>
      <c r="BQ157" s="0" t="n">
        <v>0</v>
      </c>
      <c r="BR157" s="0" t="n">
        <v>3</v>
      </c>
      <c r="BS157" s="0" t="s">
        <v>1840</v>
      </c>
      <c r="BT157" s="0" t="s">
        <v>1818</v>
      </c>
      <c r="BU157" s="0" t="s">
        <v>1841</v>
      </c>
      <c r="BV157" s="123"/>
      <c r="BW157" s="123"/>
      <c r="BX157" s="123"/>
      <c r="BY157" s="123"/>
      <c r="CA157" s="0" t="s">
        <v>348</v>
      </c>
      <c r="CD157" s="0" t="s">
        <v>296</v>
      </c>
      <c r="CE157" s="0" t="n">
        <v>0</v>
      </c>
      <c r="CF157" s="0" t="s">
        <v>600</v>
      </c>
      <c r="CI157" s="1" t="n">
        <v>40651</v>
      </c>
      <c r="CJ157" s="1" t="n">
        <v>40766</v>
      </c>
      <c r="CK157" s="124" t="n">
        <v>0.458333333333333</v>
      </c>
      <c r="CL157" s="0" t="s">
        <v>1839</v>
      </c>
      <c r="CM157" s="0" t="n">
        <f aca="false">IF(OR(CI157="",CJ157=""),"",DAYS360(CI157,CJ157)/360)</f>
        <v>0.313888888888889</v>
      </c>
      <c r="CN157" s="0" t="n">
        <f aca="false">IF(OR(CI157="",CJ157=""),"",DAYS360(CI157,CJ157)/30)</f>
        <v>3.76666666666667</v>
      </c>
      <c r="CO157" s="0" t="n">
        <f aca="false">IF(OR(CI157="",CJ157=""),"",DAYS360(CI157,CJ157)/7)</f>
        <v>16.1428571428571</v>
      </c>
      <c r="CP157" s="0" t="n">
        <f aca="false">IF(OR(CI157="",CJ157=""),"",DAYS360(CI157,CJ157))</f>
        <v>113</v>
      </c>
      <c r="CQ157" s="0" t="s">
        <v>240</v>
      </c>
      <c r="CR157" s="0" t="n">
        <v>1</v>
      </c>
      <c r="CT157" s="0" t="n">
        <v>115.85</v>
      </c>
      <c r="CU157" s="0" t="n">
        <v>0</v>
      </c>
      <c r="CV157" s="0" t="n">
        <f aca="false">IF(OR(CT157="",CT157="NO ESPECIFICA",CT157="NO MENCIONA"),"",IF(CU157=0,CT157,IF(CU157=1,CT157/30,IF(CU157=2,CT157/15,IF(CU157=3,CT157/7,"")))))</f>
        <v>115.85</v>
      </c>
      <c r="CW157" s="125" t="n">
        <v>142.28</v>
      </c>
      <c r="CX157" s="0" t="n">
        <v>0</v>
      </c>
      <c r="CY157" s="0" t="n">
        <f aca="false">IF(CW157="","",IF(CX157=0,CW157,IF(CX157=1,CW157/30,IF(CX157=2,CW157/15,IF(CX157=3,CW157/7,CW157)))))</f>
        <v>142.28</v>
      </c>
      <c r="CZ157" s="0" t="n">
        <f aca="false">IF(DI157&gt;0,DI157,IF(CY157&gt;0,CY157,IF(CV157&gt;0,CV157,"")))</f>
        <v>142.28</v>
      </c>
      <c r="DA157" s="0" t="n">
        <f aca="false">IF(DM157=1,CZ157/8,IF(OR(DM157=2,DM157=4),CZ157/7,IF(DM157=3,CZ157/7.5,"")))</f>
        <v>17.785</v>
      </c>
      <c r="DB157" s="0" t="s">
        <v>1842</v>
      </c>
      <c r="DC157" s="0" t="s">
        <v>258</v>
      </c>
      <c r="DD157" s="0" t="s">
        <v>259</v>
      </c>
      <c r="DE157" s="0" t="s">
        <v>303</v>
      </c>
      <c r="DF157" s="0" t="s">
        <v>301</v>
      </c>
      <c r="DG157" s="0" t="s">
        <v>216</v>
      </c>
      <c r="DH157" s="0" t="n">
        <v>0</v>
      </c>
      <c r="DI157" s="126" t="n">
        <v>142.28</v>
      </c>
      <c r="DK157" s="0" t="n">
        <v>1</v>
      </c>
      <c r="DM157" s="0" t="n">
        <v>1</v>
      </c>
      <c r="DN157" s="0" t="n">
        <f aca="false">14+16</f>
        <v>30</v>
      </c>
      <c r="DO157" s="0" t="n">
        <v>3</v>
      </c>
      <c r="DP157" s="0" t="n">
        <v>0</v>
      </c>
      <c r="DQ157" s="0" t="n">
        <v>1</v>
      </c>
      <c r="DR157" s="0"/>
      <c r="DS157" s="0" t="n">
        <v>1</v>
      </c>
      <c r="DU157" s="0" t="n">
        <v>1</v>
      </c>
      <c r="DW157" s="1" t="s">
        <v>1775</v>
      </c>
      <c r="DX157" s="1" t="s">
        <v>1775</v>
      </c>
      <c r="DZ157" s="0"/>
      <c r="EA157" s="0" t="n">
        <v>1</v>
      </c>
      <c r="EC157" s="1" t="n">
        <v>40651</v>
      </c>
      <c r="ED157" s="1" t="n">
        <v>40766</v>
      </c>
      <c r="EF157" s="0"/>
      <c r="EG157" s="0" t="n">
        <v>0</v>
      </c>
      <c r="EI157" s="0" t="str">
        <f aca="false">IF(AND(DM157=1,DN157&lt;=48),"",IF(AND(DM157=2,DN157&lt;=42),"",IF(AND(DM157=3,DN157&lt;=45),"",EH157)))</f>
        <v/>
      </c>
      <c r="EJ157" s="0" t="str">
        <f aca="false">IF(EI157="","",IF(EI157&lt;9,EI157,9))</f>
        <v/>
      </c>
      <c r="EK157" s="0" t="str">
        <f aca="false">IF(EI157="","",IF(EI157&gt;9,EI157-EJ157,0))</f>
        <v/>
      </c>
      <c r="EL157" s="0" t="str">
        <f aca="false">IF(EI157="","",EJ157*DA157*2+EK157*DA157*3)</f>
        <v/>
      </c>
      <c r="EP157" s="0" t="n">
        <v>0</v>
      </c>
      <c r="EQ157" s="0"/>
      <c r="ER157" s="0" t="n">
        <v>0</v>
      </c>
      <c r="ET157" s="0" t="n">
        <v>0</v>
      </c>
      <c r="EV157" s="0" t="n">
        <v>0</v>
      </c>
      <c r="EX157" s="0" t="n">
        <v>0</v>
      </c>
      <c r="EY157" s="0" t="n">
        <v>0</v>
      </c>
      <c r="EZ157" s="0"/>
      <c r="FA157" s="4" t="n">
        <f aca="false">3*DJ157</f>
        <v>0</v>
      </c>
      <c r="FB157" s="0" t="n">
        <v>1</v>
      </c>
      <c r="FF157" s="120" t="n">
        <f aca="false">(CJ157-CI157+1)/365</f>
        <v>0.317808219178082</v>
      </c>
      <c r="FG157" s="0" t="str">
        <f aca="false">CONCATENATE(F157,"/",G157)</f>
        <v>1561/2011</v>
      </c>
      <c r="FH157" s="0" t="n">
        <v>0</v>
      </c>
      <c r="FI157" s="0" t="n">
        <v>0</v>
      </c>
    </row>
    <row r="158" customFormat="false" ht="15" hidden="false" customHeight="false" outlineLevel="0" collapsed="false">
      <c r="A158" s="5" t="str">
        <f aca="false">E158&amp;G158&amp;F158</f>
        <v>720111564</v>
      </c>
      <c r="B158" s="0" t="s">
        <v>1629</v>
      </c>
      <c r="C158" s="1" t="n">
        <v>42407</v>
      </c>
      <c r="E158" s="0" t="n">
        <v>7</v>
      </c>
      <c r="F158" s="0" t="n">
        <v>1564</v>
      </c>
      <c r="G158" s="0" t="n">
        <v>2011</v>
      </c>
      <c r="H158" s="0" t="str">
        <f aca="false">"J"&amp;E158&amp;"\"&amp;F158&amp;"\"&amp;G158&amp;"\"&amp;W158</f>
        <v>J7\1564\2011\1</v>
      </c>
      <c r="I158" s="0"/>
      <c r="J158" s="1" t="n">
        <v>40795</v>
      </c>
      <c r="K158" s="0" t="n">
        <v>0</v>
      </c>
      <c r="M158" s="1" t="n">
        <v>40795</v>
      </c>
      <c r="N158" s="1" t="n">
        <v>41029</v>
      </c>
      <c r="O158" s="1"/>
      <c r="P158" s="1"/>
      <c r="Q158" s="1"/>
      <c r="T158" s="121"/>
      <c r="U158" s="121"/>
      <c r="V158" s="122" t="n">
        <f aca="false">IF(AND(E158&gt;0,F158&gt;0,G158&gt;0),COUNTIFS($E:$E,E158,$F:$F,F158,$G:$G,G158),"")</f>
        <v>1</v>
      </c>
      <c r="W158" s="122" t="n">
        <f aca="false">IF(V158="","",IF(V158=1,1,IF(AND(E157=E158,F157=F158,G157=G158),W157+1,1)))</f>
        <v>1</v>
      </c>
      <c r="X158" s="0" t="n">
        <v>1</v>
      </c>
      <c r="Y158" s="0" t="n">
        <v>6</v>
      </c>
      <c r="Z158" s="0" t="s">
        <v>1843</v>
      </c>
      <c r="AA158" s="0" t="n">
        <v>0</v>
      </c>
      <c r="AB158" s="0" t="s">
        <v>1844</v>
      </c>
      <c r="AC158" s="0" t="s">
        <v>318</v>
      </c>
      <c r="AD158" s="0" t="s">
        <v>229</v>
      </c>
      <c r="AE158" s="0" t="n">
        <v>0</v>
      </c>
      <c r="AF158" s="0" t="s">
        <v>1845</v>
      </c>
      <c r="AG158" s="0" t="n">
        <v>0</v>
      </c>
      <c r="AH158" s="0" t="s">
        <v>1846</v>
      </c>
      <c r="AI158" s="0" t="s">
        <v>287</v>
      </c>
      <c r="AJ158" s="0" t="s">
        <v>207</v>
      </c>
      <c r="AL158" s="0" t="s">
        <v>1847</v>
      </c>
      <c r="AM158" s="0" t="n">
        <v>2</v>
      </c>
      <c r="AN158" s="0" t="s">
        <v>1846</v>
      </c>
      <c r="AO158" s="0" t="s">
        <v>287</v>
      </c>
      <c r="AP158" s="0" t="s">
        <v>207</v>
      </c>
      <c r="AR158" s="0" t="s">
        <v>1848</v>
      </c>
      <c r="AS158" s="0" t="n">
        <v>1</v>
      </c>
      <c r="AT158" s="0" t="s">
        <v>1846</v>
      </c>
      <c r="AU158" s="0" t="s">
        <v>287</v>
      </c>
      <c r="AV158" s="0" t="s">
        <v>207</v>
      </c>
      <c r="AX158" s="0" t="s">
        <v>1849</v>
      </c>
      <c r="AY158" s="0" t="n">
        <v>1</v>
      </c>
      <c r="AZ158" s="0" t="s">
        <v>1846</v>
      </c>
      <c r="BA158" s="0" t="s">
        <v>287</v>
      </c>
      <c r="BB158" s="0" t="s">
        <v>207</v>
      </c>
      <c r="BD158" s="0" t="s">
        <v>1637</v>
      </c>
      <c r="BE158" s="0" t="n">
        <v>1</v>
      </c>
      <c r="BF158" s="0" t="s">
        <v>1846</v>
      </c>
      <c r="BG158" s="0" t="s">
        <v>287</v>
      </c>
      <c r="BH158" s="0" t="s">
        <v>207</v>
      </c>
      <c r="BJ158" s="0" t="s">
        <v>249</v>
      </c>
      <c r="BK158" s="0" t="n">
        <v>0</v>
      </c>
      <c r="BL158" s="0" t="s">
        <v>1850</v>
      </c>
      <c r="BM158" s="0" t="s">
        <v>410</v>
      </c>
      <c r="BN158" s="0" t="s">
        <v>411</v>
      </c>
      <c r="BP158" s="0" t="n">
        <v>0</v>
      </c>
      <c r="BQ158" s="0" t="n">
        <v>0</v>
      </c>
      <c r="BR158" s="0" t="n">
        <v>1</v>
      </c>
      <c r="BS158" s="0" t="s">
        <v>1851</v>
      </c>
      <c r="BT158" s="0" t="s">
        <v>1852</v>
      </c>
      <c r="BU158" s="0" t="s">
        <v>1853</v>
      </c>
      <c r="BV158" s="123"/>
      <c r="BW158" s="123"/>
      <c r="BX158" s="123"/>
      <c r="BY158" s="123"/>
      <c r="CA158" s="0" t="s">
        <v>216</v>
      </c>
      <c r="CD158" s="0" t="s">
        <v>256</v>
      </c>
      <c r="CE158" s="0" t="n">
        <v>0</v>
      </c>
      <c r="CF158" s="0" t="s">
        <v>1854</v>
      </c>
      <c r="CI158" s="1" t="n">
        <v>40653</v>
      </c>
      <c r="CJ158" s="1" t="n">
        <v>40761</v>
      </c>
      <c r="CK158" s="124" t="n">
        <v>0.375</v>
      </c>
      <c r="CL158" s="0" t="s">
        <v>1848</v>
      </c>
      <c r="CM158" s="0" t="n">
        <f aca="false">IF(OR(CI158="",CJ158=""),"",DAYS360(CI158,CJ158)/360)</f>
        <v>0.294444444444444</v>
      </c>
      <c r="CN158" s="0" t="n">
        <f aca="false">IF(OR(CI158="",CJ158=""),"",DAYS360(CI158,CJ158)/30)</f>
        <v>3.53333333333333</v>
      </c>
      <c r="CO158" s="0" t="n">
        <f aca="false">IF(OR(CI158="",CJ158=""),"",DAYS360(CI158,CJ158)/7)</f>
        <v>15.1428571428571</v>
      </c>
      <c r="CP158" s="0" t="n">
        <f aca="false">IF(OR(CI158="",CJ158=""),"",DAYS360(CI158,CJ158))</f>
        <v>106</v>
      </c>
      <c r="CQ158" s="0" t="s">
        <v>220</v>
      </c>
      <c r="CR158" s="0" t="n">
        <v>1</v>
      </c>
      <c r="CT158" s="0" t="s">
        <v>221</v>
      </c>
      <c r="CU158" s="0" t="s">
        <v>221</v>
      </c>
      <c r="CV158" s="0" t="str">
        <f aca="false">IF(OR(CT158="",CT158="NO ESPECIFICA",CT158="NO MENCIONA"),"",IF(CU158=0,CT158,IF(CU158=1,CT158/30,IF(CU158=2,CT158/15,IF(CU158=3,CT158/7,"")))))</f>
        <v/>
      </c>
      <c r="CW158" s="125" t="n">
        <v>10000</v>
      </c>
      <c r="CX158" s="0" t="n">
        <v>1</v>
      </c>
      <c r="CY158" s="0" t="n">
        <f aca="false">IF(CW158="","",IF(CX158=0,CW158,IF(CX158=1,CW158/30,IF(CX158=2,CW158/15,IF(CX158=3,CW158/7,CW158)))))</f>
        <v>333.333333333333</v>
      </c>
      <c r="CZ158" s="0" t="n">
        <f aca="false">IF(DI158&gt;0,DI158,IF(CY158&gt;0,CY158,IF(CV158&gt;0,CV158,"")))</f>
        <v>333.333333333333</v>
      </c>
      <c r="DA158" s="0" t="n">
        <f aca="false">IF(DM158=1,CZ158/8,IF(OR(DM158=2,DM158=4),CZ158/7,IF(DM158=3,CZ158/7.5,"")))</f>
        <v>41.6666666666667</v>
      </c>
      <c r="DB158" s="0" t="s">
        <v>216</v>
      </c>
      <c r="DC158" s="0" t="s">
        <v>216</v>
      </c>
      <c r="DD158" s="0" t="s">
        <v>216</v>
      </c>
      <c r="DE158" s="0" t="s">
        <v>216</v>
      </c>
      <c r="DF158" s="0" t="s">
        <v>216</v>
      </c>
      <c r="DG158" s="0" t="s">
        <v>216</v>
      </c>
      <c r="DH158" s="0" t="n">
        <v>0</v>
      </c>
      <c r="DI158" s="126" t="n">
        <f aca="false">10000/30</f>
        <v>333.333333333333</v>
      </c>
      <c r="DK158" s="0" t="n">
        <v>1</v>
      </c>
      <c r="DM158" s="0" t="n">
        <v>1</v>
      </c>
      <c r="DN158" s="0" t="n">
        <v>66</v>
      </c>
      <c r="DO158" s="0" t="n">
        <v>3</v>
      </c>
      <c r="DP158" s="0" t="n">
        <v>1</v>
      </c>
      <c r="DQ158" s="0" t="n">
        <v>0</v>
      </c>
      <c r="DR158" s="0"/>
      <c r="DS158" s="0" t="n">
        <v>1</v>
      </c>
      <c r="DU158" s="0" t="n">
        <v>1</v>
      </c>
      <c r="DW158" s="1" t="n">
        <v>40653</v>
      </c>
      <c r="DX158" s="1" t="n">
        <v>40761</v>
      </c>
      <c r="DZ158" s="0"/>
      <c r="EA158" s="0" t="n">
        <v>1</v>
      </c>
      <c r="EC158" s="1" t="n">
        <v>40653</v>
      </c>
      <c r="ED158" s="1" t="n">
        <v>40761</v>
      </c>
      <c r="EF158" s="0"/>
      <c r="EG158" s="0" t="n">
        <v>1</v>
      </c>
      <c r="EH158" s="0" t="n">
        <v>18</v>
      </c>
      <c r="EI158" s="0" t="n">
        <f aca="false">IF(AND(DM158=1,DN158&lt;=48),"",IF(AND(DM158=2,DN158&lt;=42),"",IF(AND(DM158=3,DN158&lt;=45),"",EH158)))</f>
        <v>18</v>
      </c>
      <c r="EJ158" s="0" t="n">
        <f aca="false">IF(EI158="","",IF(EI158&lt;9,EI158,9))</f>
        <v>9</v>
      </c>
      <c r="EK158" s="0" t="n">
        <f aca="false">IF(EI158="","",IF(EI158&gt;9,EI158-EJ158,0))</f>
        <v>9</v>
      </c>
      <c r="EL158" s="0" t="n">
        <f aca="false">IF(EI158="","",EJ158*DA158*2+EK158*DA158*3)</f>
        <v>1875</v>
      </c>
      <c r="EP158" s="0" t="n">
        <v>0</v>
      </c>
      <c r="EQ158" s="0"/>
      <c r="ER158" s="0" t="n">
        <v>0</v>
      </c>
      <c r="ET158" s="0" t="n">
        <v>0</v>
      </c>
      <c r="EV158" s="0" t="n">
        <v>0</v>
      </c>
      <c r="EX158" s="0" t="n">
        <v>1</v>
      </c>
      <c r="EY158" s="0" t="n">
        <v>1</v>
      </c>
      <c r="EZ158" s="0"/>
      <c r="FA158" s="4" t="n">
        <f aca="false">(15+31)*DJ158+10085.32</f>
        <v>10085.32</v>
      </c>
      <c r="FB158" s="0" t="n">
        <v>1</v>
      </c>
      <c r="FF158" s="120" t="n">
        <f aca="false">(CJ158-CI158+1)/365</f>
        <v>0.298630136986301</v>
      </c>
      <c r="FG158" s="0" t="str">
        <f aca="false">CONCATENATE(F158,"/",G158)</f>
        <v>1564/2011</v>
      </c>
      <c r="FH158" s="0" t="n">
        <v>0</v>
      </c>
      <c r="FI158" s="0" t="n">
        <v>0</v>
      </c>
    </row>
    <row r="159" customFormat="false" ht="15" hidden="false" customHeight="false" outlineLevel="0" collapsed="false">
      <c r="A159" s="5" t="str">
        <f aca="false">E159&amp;G159&amp;F159</f>
        <v>720112096</v>
      </c>
      <c r="B159" s="0" t="s">
        <v>1855</v>
      </c>
      <c r="C159" s="1" t="n">
        <v>42409</v>
      </c>
      <c r="D159" s="0" t="s">
        <v>1856</v>
      </c>
      <c r="E159" s="0" t="n">
        <v>7</v>
      </c>
      <c r="F159" s="0" t="n">
        <v>2096</v>
      </c>
      <c r="G159" s="0" t="n">
        <v>2011</v>
      </c>
      <c r="H159" s="0" t="str">
        <f aca="false">"J"&amp;E159&amp;"\"&amp;F159&amp;"\"&amp;G159&amp;"\"&amp;W159</f>
        <v>J7\2096\2011\1</v>
      </c>
      <c r="I159" s="0"/>
      <c r="J159" s="1" t="n">
        <v>40891</v>
      </c>
      <c r="K159" s="0" t="n">
        <v>0</v>
      </c>
      <c r="M159" s="1"/>
      <c r="N159" s="1"/>
      <c r="O159" s="1"/>
      <c r="P159" s="1"/>
      <c r="Q159" s="1"/>
      <c r="T159" s="121"/>
      <c r="U159" s="121"/>
      <c r="V159" s="122" t="n">
        <f aca="false">IF(AND(E159&gt;0,F159&gt;0,G159&gt;0),COUNTIFS($E:$E,E159,$F:$F,F159,$G:$G,G159),"")</f>
        <v>1</v>
      </c>
      <c r="W159" s="122" t="n">
        <f aca="false">IF(V159="","",IF(V159=1,1,IF(AND(E158=E159,F158=F159,G158=G159),W158+1,1)))</f>
        <v>1</v>
      </c>
      <c r="X159" s="0" t="n">
        <v>1</v>
      </c>
      <c r="Y159" s="0" t="n">
        <v>4</v>
      </c>
      <c r="Z159" s="0" t="s">
        <v>1857</v>
      </c>
      <c r="AA159" s="0" t="n">
        <v>0</v>
      </c>
      <c r="AB159" s="0" t="s">
        <v>1858</v>
      </c>
      <c r="AC159" s="0" t="s">
        <v>251</v>
      </c>
      <c r="AD159" s="0" t="s">
        <v>229</v>
      </c>
      <c r="AE159" s="0" t="n">
        <v>0</v>
      </c>
      <c r="AF159" s="0" t="s">
        <v>1859</v>
      </c>
      <c r="AG159" s="0" t="n">
        <v>0</v>
      </c>
      <c r="AH159" s="0" t="s">
        <v>1860</v>
      </c>
      <c r="AI159" s="0" t="s">
        <v>754</v>
      </c>
      <c r="AJ159" s="0" t="s">
        <v>755</v>
      </c>
      <c r="AL159" s="0" t="s">
        <v>1861</v>
      </c>
      <c r="AM159" s="0" t="n">
        <v>1</v>
      </c>
      <c r="AN159" s="0" t="s">
        <v>1860</v>
      </c>
      <c r="AO159" s="0" t="s">
        <v>754</v>
      </c>
      <c r="AP159" s="0" t="s">
        <v>755</v>
      </c>
      <c r="AR159" s="0" t="s">
        <v>1637</v>
      </c>
      <c r="AS159" s="0" t="n">
        <v>1</v>
      </c>
      <c r="AT159" s="0" t="s">
        <v>1860</v>
      </c>
      <c r="AU159" s="0" t="s">
        <v>754</v>
      </c>
      <c r="AV159" s="0" t="s">
        <v>755</v>
      </c>
      <c r="AX159" s="0" t="s">
        <v>249</v>
      </c>
      <c r="AY159" s="0" t="n">
        <v>0</v>
      </c>
      <c r="AZ159" s="0" t="s">
        <v>964</v>
      </c>
      <c r="BA159" s="0" t="s">
        <v>410</v>
      </c>
      <c r="BB159" s="0" t="s">
        <v>411</v>
      </c>
      <c r="BP159" s="0" t="n">
        <v>0</v>
      </c>
      <c r="BQ159" s="0" t="n">
        <v>0</v>
      </c>
      <c r="BR159" s="0" t="n">
        <v>1</v>
      </c>
      <c r="BS159" s="0" t="s">
        <v>1862</v>
      </c>
      <c r="BT159" s="0" t="s">
        <v>1863</v>
      </c>
      <c r="BV159" s="123"/>
      <c r="BW159" s="123"/>
      <c r="BX159" s="123"/>
      <c r="BY159" s="123"/>
      <c r="CA159" s="0" t="s">
        <v>216</v>
      </c>
      <c r="CD159" s="0" t="s">
        <v>556</v>
      </c>
      <c r="CE159" s="0" t="n">
        <v>0</v>
      </c>
      <c r="CF159" s="0" t="s">
        <v>1864</v>
      </c>
      <c r="CI159" s="1" t="n">
        <v>38162</v>
      </c>
      <c r="CJ159" s="1" t="n">
        <v>40855</v>
      </c>
      <c r="CK159" s="124" t="n">
        <v>0.625</v>
      </c>
      <c r="CL159" s="0" t="s">
        <v>1865</v>
      </c>
      <c r="CM159" s="0" t="n">
        <f aca="false">IF(OR(CI159="",CJ159=""),"",DAYS360(CI159,CJ159)/360)</f>
        <v>7.37222222222222</v>
      </c>
      <c r="CN159" s="0" t="n">
        <f aca="false">IF(OR(CI159="",CJ159=""),"",DAYS360(CI159,CJ159)/30)</f>
        <v>88.4666666666667</v>
      </c>
      <c r="CO159" s="0" t="n">
        <f aca="false">IF(OR(CI159="",CJ159=""),"",DAYS360(CI159,CJ159)/7)</f>
        <v>379.142857142857</v>
      </c>
      <c r="CP159" s="0" t="n">
        <f aca="false">IF(OR(CI159="",CJ159=""),"",DAYS360(CI159,CJ159))</f>
        <v>2654</v>
      </c>
      <c r="CQ159" s="0" t="s">
        <v>220</v>
      </c>
      <c r="CR159" s="0" t="n">
        <v>1</v>
      </c>
      <c r="CT159" s="0" t="s">
        <v>216</v>
      </c>
      <c r="CU159" s="0" t="s">
        <v>216</v>
      </c>
      <c r="CV159" s="0" t="str">
        <f aca="false">IF(OR(CT159="",CT159="NO ESPECIFICA",CT159="NO MENCIONA"),"",IF(CU159=0,CT159,IF(CU159=1,CT159/30,IF(CU159=2,CT159/15,IF(CU159=3,CT159/7,"")))))</f>
        <v/>
      </c>
      <c r="CW159" s="125" t="n">
        <v>169</v>
      </c>
      <c r="CX159" s="0" t="n">
        <v>0</v>
      </c>
      <c r="CY159" s="0" t="n">
        <f aca="false">IF(CW159="","",IF(CX159=0,CW159,IF(CX159=1,CW159/30,IF(CX159=2,CW159/15,IF(CX159=3,CW159/7,CW159)))))</f>
        <v>169</v>
      </c>
      <c r="CZ159" s="0" t="n">
        <f aca="false">IF(DI159&gt;0,DI159,IF(CY159&gt;0,CY159,IF(CV159&gt;0,CV159,"")))</f>
        <v>169</v>
      </c>
      <c r="DA159" s="0" t="n">
        <f aca="false">IF(DM159=1,CZ159/8,IF(OR(DM159=2,DM159=4),CZ159/7,IF(DM159=3,CZ159/7.5,"")))</f>
        <v>21.125</v>
      </c>
      <c r="DB159" s="0" t="s">
        <v>216</v>
      </c>
      <c r="DC159" s="0" t="s">
        <v>216</v>
      </c>
      <c r="DD159" s="0" t="s">
        <v>216</v>
      </c>
      <c r="DE159" s="0" t="s">
        <v>216</v>
      </c>
      <c r="DF159" s="0" t="s">
        <v>216</v>
      </c>
      <c r="DG159" s="0" t="s">
        <v>216</v>
      </c>
      <c r="DH159" s="0" t="n">
        <v>0</v>
      </c>
      <c r="DI159" s="126" t="n">
        <v>169</v>
      </c>
      <c r="DK159" s="0" t="n">
        <v>1</v>
      </c>
      <c r="DM159" s="0" t="n">
        <v>1</v>
      </c>
      <c r="DN159" s="0" t="n">
        <v>54</v>
      </c>
      <c r="DO159" s="0" t="n">
        <v>3</v>
      </c>
      <c r="DP159" s="0" t="n">
        <v>1</v>
      </c>
      <c r="DQ159" s="0" t="n">
        <v>0</v>
      </c>
      <c r="DR159" s="0"/>
      <c r="DS159" s="0" t="n">
        <v>1</v>
      </c>
      <c r="DU159" s="0" t="n">
        <v>0</v>
      </c>
      <c r="DW159" s="1" t="n">
        <v>40718</v>
      </c>
      <c r="DX159" s="1" t="n">
        <v>40855</v>
      </c>
      <c r="DZ159" s="0"/>
      <c r="EA159" s="0" t="n">
        <v>1</v>
      </c>
      <c r="EC159" s="1" t="n">
        <v>40544</v>
      </c>
      <c r="ED159" s="1" t="n">
        <v>40855</v>
      </c>
      <c r="EF159" s="0"/>
      <c r="EG159" s="0" t="n">
        <v>1</v>
      </c>
      <c r="EH159" s="0" t="s">
        <v>221</v>
      </c>
      <c r="EI159" s="0" t="str">
        <f aca="false">IF(AND(DM159=1,DN159&lt;=48),"",IF(AND(DM159=2,DN159&lt;=42),"",IF(AND(DM159=3,DN159&lt;=45),"",EH159)))</f>
        <v>NO ESPECIFICA</v>
      </c>
      <c r="EJ159" s="0" t="n">
        <f aca="false">IF(EI159="","",IF(EI159&lt;9,EI159,9))</f>
        <v>9</v>
      </c>
      <c r="EK159" s="0" t="e">
        <f aca="false">IF(EI159="","",IF(EI159&gt;9,EI159-EJ159,0))</f>
        <v>#VALUE!</v>
      </c>
      <c r="EL159" s="0" t="e">
        <f aca="false">IF(EI159="","",EJ159*DA159*2+EK159*DA159*3)</f>
        <v>#VALUE!</v>
      </c>
      <c r="EP159" s="0" t="n">
        <v>0</v>
      </c>
      <c r="EQ159" s="0"/>
      <c r="ER159" s="0" t="n">
        <v>0</v>
      </c>
      <c r="ET159" s="0" t="n">
        <v>0</v>
      </c>
      <c r="EV159" s="0" t="n">
        <v>0</v>
      </c>
      <c r="EX159" s="0" t="n">
        <v>1</v>
      </c>
      <c r="EY159" s="0" t="n">
        <v>1</v>
      </c>
      <c r="EZ159" s="0"/>
      <c r="FA159" s="4" t="n">
        <v>0</v>
      </c>
      <c r="FB159" s="0" t="n">
        <v>0</v>
      </c>
      <c r="FF159" s="120" t="n">
        <f aca="false">(CJ159-CI159+1)/365</f>
        <v>7.38082191780822</v>
      </c>
      <c r="FG159" s="0" t="str">
        <f aca="false">CONCATENATE(F159,"/",G159)</f>
        <v>2096/2011</v>
      </c>
      <c r="FH159" s="0" t="n">
        <v>0</v>
      </c>
      <c r="FI159" s="0" t="n">
        <v>0</v>
      </c>
    </row>
    <row r="160" customFormat="false" ht="15" hidden="false" customHeight="false" outlineLevel="0" collapsed="false">
      <c r="A160" s="5" t="str">
        <f aca="false">E160&amp;G160&amp;F160</f>
        <v>720112099</v>
      </c>
      <c r="B160" s="0" t="s">
        <v>1855</v>
      </c>
      <c r="C160" s="1" t="n">
        <v>42409</v>
      </c>
      <c r="D160" s="0" t="s">
        <v>1856</v>
      </c>
      <c r="E160" s="0" t="n">
        <v>7</v>
      </c>
      <c r="F160" s="0" t="n">
        <v>2099</v>
      </c>
      <c r="G160" s="0" t="n">
        <v>2011</v>
      </c>
      <c r="H160" s="0" t="str">
        <f aca="false">"J"&amp;E160&amp;"\"&amp;F160&amp;"\"&amp;G160&amp;"\"&amp;W160</f>
        <v>J7\2099\2011\1</v>
      </c>
      <c r="I160" s="0"/>
      <c r="J160" s="1" t="n">
        <v>40891</v>
      </c>
      <c r="K160" s="0" t="n">
        <v>0</v>
      </c>
      <c r="M160" s="1"/>
      <c r="N160" s="1"/>
      <c r="O160" s="1"/>
      <c r="P160" s="1"/>
      <c r="Q160" s="1"/>
      <c r="T160" s="121"/>
      <c r="U160" s="121"/>
      <c r="V160" s="122" t="n">
        <f aca="false">IF(AND(E160&gt;0,F160&gt;0,G160&gt;0),COUNTIFS($E:$E,E160,$F:$F,F160,$G:$G,G160),"")</f>
        <v>1</v>
      </c>
      <c r="W160" s="122" t="n">
        <f aca="false">IF(V160="","",IF(V160=1,1,IF(AND(E159=E160,F159=F160,G159=G160),W159+1,1)))</f>
        <v>1</v>
      </c>
      <c r="X160" s="0" t="n">
        <v>1</v>
      </c>
      <c r="Y160" s="0" t="n">
        <v>2</v>
      </c>
      <c r="Z160" s="0" t="s">
        <v>1866</v>
      </c>
      <c r="AA160" s="0" t="n">
        <v>0</v>
      </c>
      <c r="AB160" s="0" t="s">
        <v>1867</v>
      </c>
      <c r="AC160" s="0" t="s">
        <v>1868</v>
      </c>
      <c r="AD160" s="0" t="s">
        <v>590</v>
      </c>
      <c r="AE160" s="0" t="n">
        <v>0</v>
      </c>
      <c r="AF160" s="0" t="s">
        <v>1869</v>
      </c>
      <c r="AG160" s="0" t="n">
        <v>2</v>
      </c>
      <c r="AH160" s="0" t="s">
        <v>1870</v>
      </c>
      <c r="AI160" s="0" t="s">
        <v>1871</v>
      </c>
      <c r="AJ160" s="0" t="s">
        <v>207</v>
      </c>
      <c r="AL160" s="0" t="s">
        <v>1637</v>
      </c>
      <c r="AM160" s="0" t="n">
        <v>1</v>
      </c>
      <c r="AN160" s="0" t="s">
        <v>1870</v>
      </c>
      <c r="AO160" s="0" t="s">
        <v>1871</v>
      </c>
      <c r="AP160" s="0" t="s">
        <v>207</v>
      </c>
      <c r="BP160" s="0" t="n">
        <v>0</v>
      </c>
      <c r="BQ160" s="0" t="n">
        <v>0</v>
      </c>
      <c r="BR160" s="0" t="n">
        <v>1</v>
      </c>
      <c r="BS160" s="0" t="s">
        <v>1872</v>
      </c>
      <c r="BV160" s="123"/>
      <c r="BW160" s="123"/>
      <c r="BX160" s="123"/>
      <c r="BY160" s="123"/>
      <c r="CA160" s="0" t="s">
        <v>216</v>
      </c>
      <c r="CD160" s="0" t="s">
        <v>216</v>
      </c>
      <c r="CE160" s="0" t="n">
        <v>0</v>
      </c>
      <c r="CF160" s="0" t="s">
        <v>1873</v>
      </c>
      <c r="CI160" s="1" t="n">
        <v>40547</v>
      </c>
      <c r="CJ160" s="1" t="n">
        <v>40873</v>
      </c>
      <c r="CK160" s="124" t="s">
        <v>216</v>
      </c>
      <c r="CL160" s="0" t="s">
        <v>216</v>
      </c>
      <c r="CM160" s="0" t="n">
        <f aca="false">IF(OR(CI160="",CJ160=""),"",DAYS360(CI160,CJ160)/360)</f>
        <v>0.894444444444444</v>
      </c>
      <c r="CN160" s="0" t="n">
        <f aca="false">IF(OR(CI160="",CJ160=""),"",DAYS360(CI160,CJ160)/30)</f>
        <v>10.7333333333333</v>
      </c>
      <c r="CO160" s="0" t="n">
        <f aca="false">IF(OR(CI160="",CJ160=""),"",DAYS360(CI160,CJ160)/7)</f>
        <v>46</v>
      </c>
      <c r="CP160" s="0" t="n">
        <f aca="false">IF(OR(CI160="",CJ160=""),"",DAYS360(CI160,CJ160))</f>
        <v>322</v>
      </c>
      <c r="CQ160" s="0" t="s">
        <v>240</v>
      </c>
      <c r="CR160" s="0" t="n">
        <v>1</v>
      </c>
      <c r="CT160" s="0" t="s">
        <v>221</v>
      </c>
      <c r="CU160" s="0" t="s">
        <v>221</v>
      </c>
      <c r="CV160" s="0" t="str">
        <f aca="false">IF(OR(CT160="",CT160="NO ESPECIFICA",CT160="NO MENCIONA"),"",IF(CU160=0,CT160,IF(CU160=1,CT160/30,IF(CU160=2,CT160/15,IF(CU160=3,CT160/7,"")))))</f>
        <v/>
      </c>
      <c r="CW160" s="125" t="n">
        <v>5000</v>
      </c>
      <c r="CX160" s="0" t="n">
        <v>1</v>
      </c>
      <c r="CY160" s="0" t="n">
        <f aca="false">IF(CW160="","",IF(CX160=0,CW160,IF(CX160=1,CW160/30,IF(CX160=2,CW160/15,IF(CX160=3,CW160/7,CW160)))))</f>
        <v>166.666666666667</v>
      </c>
      <c r="CZ160" s="0" t="n">
        <f aca="false">IF(DI160&gt;0,DI160,IF(CY160&gt;0,CY160,IF(CV160&gt;0,CV160,"")))</f>
        <v>166.67</v>
      </c>
      <c r="DA160" s="0" t="n">
        <f aca="false">IF(DM160=1,CZ160/8,IF(OR(DM160=2,DM160=4),CZ160/7,IF(DM160=3,CZ160/7.5,"")))</f>
        <v>20.83375</v>
      </c>
      <c r="DB160" s="0" t="s">
        <v>216</v>
      </c>
      <c r="DC160" s="0" t="s">
        <v>216</v>
      </c>
      <c r="DD160" s="0" t="s">
        <v>216</v>
      </c>
      <c r="DE160" s="0" t="s">
        <v>216</v>
      </c>
      <c r="DF160" s="0" t="s">
        <v>216</v>
      </c>
      <c r="DG160" s="0" t="s">
        <v>216</v>
      </c>
      <c r="DH160" s="0" t="n">
        <v>0</v>
      </c>
      <c r="DI160" s="126" t="n">
        <v>166.67</v>
      </c>
      <c r="DK160" s="0" t="n">
        <v>1</v>
      </c>
      <c r="DM160" s="0" t="n">
        <v>1</v>
      </c>
      <c r="DN160" s="0" t="n">
        <v>54</v>
      </c>
      <c r="DO160" s="0" t="n">
        <v>3</v>
      </c>
      <c r="DP160" s="0" t="n">
        <v>0</v>
      </c>
      <c r="DQ160" s="0" t="n">
        <v>1</v>
      </c>
      <c r="DR160" s="0"/>
      <c r="DS160" s="0" t="n">
        <v>1</v>
      </c>
      <c r="DU160" s="0" t="n">
        <v>1</v>
      </c>
      <c r="DW160" s="1" t="n">
        <v>40547</v>
      </c>
      <c r="DX160" s="1" t="n">
        <v>40873</v>
      </c>
      <c r="DZ160" s="0"/>
      <c r="EA160" s="0" t="n">
        <v>1</v>
      </c>
      <c r="EC160" s="1" t="n">
        <v>40547</v>
      </c>
      <c r="ED160" s="1" t="n">
        <v>40873</v>
      </c>
      <c r="EF160" s="0"/>
      <c r="EG160" s="0" t="n">
        <v>0</v>
      </c>
      <c r="EI160" s="0" t="n">
        <f aca="false">IF(AND(DM160=1,DN160&lt;=48),"",IF(AND(DM160=2,DN160&lt;=42),"",IF(AND(DM160=3,DN160&lt;=45),"",EH160)))</f>
        <v>0</v>
      </c>
      <c r="EJ160" s="0" t="str">
        <f aca="false">IF(EI160="","",IF(EI160&lt;9,EI160,9))</f>
        <v/>
      </c>
      <c r="EK160" s="0" t="str">
        <f aca="false">IF(EI160="","",IF(EI160&gt;9,EI160-EJ160,0))</f>
        <v/>
      </c>
      <c r="EL160" s="0" t="str">
        <f aca="false">IF(EI160="","",EJ160*DA160*2+EK160*DA160*3)</f>
        <v/>
      </c>
      <c r="EP160" s="0" t="n">
        <v>0</v>
      </c>
      <c r="EQ160" s="0"/>
      <c r="ER160" s="0" t="n">
        <v>0</v>
      </c>
      <c r="ET160" s="0" t="n">
        <v>0</v>
      </c>
      <c r="EV160" s="0" t="n">
        <v>0</v>
      </c>
      <c r="EX160" s="0" t="n">
        <v>0</v>
      </c>
      <c r="EY160" s="0" t="n">
        <v>0</v>
      </c>
      <c r="EZ160" s="0"/>
      <c r="FA160" s="4" t="n">
        <v>0</v>
      </c>
      <c r="FB160" s="0" t="n">
        <v>0</v>
      </c>
      <c r="FF160" s="120" t="n">
        <f aca="false">(CJ160-CI160+1)/365</f>
        <v>0.895890410958904</v>
      </c>
      <c r="FG160" s="0" t="str">
        <f aca="false">CONCATENATE(F160,"/",G160)</f>
        <v>2099/2011</v>
      </c>
      <c r="FH160" s="0" t="n">
        <v>0</v>
      </c>
      <c r="FI160" s="0" t="n">
        <v>0</v>
      </c>
    </row>
    <row r="161" customFormat="false" ht="15" hidden="false" customHeight="false" outlineLevel="0" collapsed="false">
      <c r="A161" s="5" t="str">
        <f aca="false">E161&amp;G161&amp;F161</f>
        <v>720112103</v>
      </c>
      <c r="B161" s="0" t="s">
        <v>1855</v>
      </c>
      <c r="C161" s="1" t="n">
        <v>42409</v>
      </c>
      <c r="D161" s="0" t="s">
        <v>1856</v>
      </c>
      <c r="E161" s="0" t="n">
        <v>7</v>
      </c>
      <c r="F161" s="0" t="n">
        <v>2103</v>
      </c>
      <c r="G161" s="0" t="n">
        <v>2011</v>
      </c>
      <c r="H161" s="0" t="str">
        <f aca="false">"J"&amp;E161&amp;"\"&amp;F161&amp;"\"&amp;G161&amp;"\"&amp;W161</f>
        <v>J7\2103\2011\1</v>
      </c>
      <c r="I161" s="0"/>
      <c r="J161" s="1" t="n">
        <v>40892</v>
      </c>
      <c r="K161" s="0" t="n">
        <v>0</v>
      </c>
      <c r="M161" s="1"/>
      <c r="N161" s="1"/>
      <c r="O161" s="1"/>
      <c r="P161" s="1"/>
      <c r="Q161" s="1"/>
      <c r="T161" s="121"/>
      <c r="U161" s="121"/>
      <c r="V161" s="122" t="n">
        <f aca="false">IF(AND(E161&gt;0,F161&gt;0,G161&gt;0),COUNTIFS($E:$E,E161,$F:$F,F161,$G:$G,G161),"")</f>
        <v>1</v>
      </c>
      <c r="W161" s="122" t="n">
        <f aca="false">IF(V161="","",IF(V161=1,1,IF(AND(E160=E161,F160=F161,G160=G161),W160+1,1)))</f>
        <v>1</v>
      </c>
      <c r="X161" s="0" t="n">
        <v>1</v>
      </c>
      <c r="Y161" s="0" t="n">
        <v>3</v>
      </c>
      <c r="Z161" s="0" t="s">
        <v>1874</v>
      </c>
      <c r="AA161" s="0" t="n">
        <v>0</v>
      </c>
      <c r="AB161" s="0" t="s">
        <v>1875</v>
      </c>
      <c r="AC161" s="0" t="s">
        <v>228</v>
      </c>
      <c r="AD161" s="0" t="s">
        <v>229</v>
      </c>
      <c r="AE161" s="0" t="n">
        <v>0</v>
      </c>
      <c r="AF161" s="0" t="s">
        <v>1876</v>
      </c>
      <c r="AG161" s="0" t="n">
        <v>0</v>
      </c>
      <c r="AH161" s="0" t="s">
        <v>1877</v>
      </c>
      <c r="AI161" s="0" t="s">
        <v>1878</v>
      </c>
      <c r="AJ161" s="0" t="s">
        <v>411</v>
      </c>
      <c r="AL161" s="0" t="s">
        <v>1879</v>
      </c>
      <c r="AM161" s="0" t="n">
        <v>1</v>
      </c>
      <c r="AN161" s="0" t="s">
        <v>1877</v>
      </c>
      <c r="AO161" s="0" t="s">
        <v>1878</v>
      </c>
      <c r="AP161" s="0" t="s">
        <v>411</v>
      </c>
      <c r="AR161" s="0" t="s">
        <v>1880</v>
      </c>
      <c r="AS161" s="0" t="n">
        <v>1</v>
      </c>
      <c r="AT161" s="0" t="s">
        <v>1877</v>
      </c>
      <c r="AU161" s="0" t="s">
        <v>1878</v>
      </c>
      <c r="AV161" s="0" t="s">
        <v>411</v>
      </c>
      <c r="BP161" s="0" t="n">
        <v>0</v>
      </c>
      <c r="BQ161" s="0" t="n">
        <v>0</v>
      </c>
      <c r="BR161" s="0" t="n">
        <v>3</v>
      </c>
      <c r="BS161" s="0" t="s">
        <v>1881</v>
      </c>
      <c r="BT161" s="0" t="s">
        <v>1882</v>
      </c>
      <c r="BU161" s="0" t="s">
        <v>1818</v>
      </c>
      <c r="BV161" s="123"/>
      <c r="BW161" s="123"/>
      <c r="BX161" s="123"/>
      <c r="BY161" s="123"/>
      <c r="CA161" s="0" t="s">
        <v>348</v>
      </c>
      <c r="CD161" s="0" t="s">
        <v>1308</v>
      </c>
      <c r="CE161" s="0" t="n">
        <v>0</v>
      </c>
      <c r="CF161" s="0" t="s">
        <v>1883</v>
      </c>
      <c r="CI161" s="1" t="n">
        <v>38127</v>
      </c>
      <c r="CJ161" s="1" t="n">
        <v>40863</v>
      </c>
      <c r="CK161" s="124" t="n">
        <v>0.6875</v>
      </c>
      <c r="CL161" s="0" t="s">
        <v>1879</v>
      </c>
      <c r="CM161" s="0" t="n">
        <f aca="false">IF(OR(CI161="",CJ161=""),"",DAYS360(CI161,CJ161)/360)</f>
        <v>7.48888888888889</v>
      </c>
      <c r="CN161" s="0" t="n">
        <f aca="false">IF(OR(CI161="",CJ161=""),"",DAYS360(CI161,CJ161)/30)</f>
        <v>89.8666666666667</v>
      </c>
      <c r="CO161" s="0" t="n">
        <f aca="false">IF(OR(CI161="",CJ161=""),"",DAYS360(CI161,CJ161)/7)</f>
        <v>385.142857142857</v>
      </c>
      <c r="CP161" s="0" t="n">
        <f aca="false">IF(OR(CI161="",CJ161=""),"",DAYS360(CI161,CJ161))</f>
        <v>2696</v>
      </c>
      <c r="CQ161" s="0" t="s">
        <v>240</v>
      </c>
      <c r="CR161" s="0" t="n">
        <v>1</v>
      </c>
      <c r="CT161" s="0" t="n">
        <v>266.66</v>
      </c>
      <c r="CU161" s="0" t="n">
        <v>0</v>
      </c>
      <c r="CV161" s="0" t="n">
        <f aca="false">IF(OR(CT161="",CT161="NO ESPECIFICA",CT161="NO MENCIONA"),"",IF(CU161=0,CT161,IF(CU161=1,CT161/30,IF(CU161=2,CT161/15,IF(CU161=3,CT161/7,"")))))</f>
        <v>266.66</v>
      </c>
      <c r="CW161" s="125" t="n">
        <v>278.71</v>
      </c>
      <c r="CX161" s="0" t="n">
        <v>0</v>
      </c>
      <c r="CY161" s="0" t="n">
        <f aca="false">IF(CW161="","",IF(CX161=0,CW161,IF(CX161=1,CW161/30,IF(CX161=2,CW161/15,IF(CX161=3,CW161/7,CW161)))))</f>
        <v>278.71</v>
      </c>
      <c r="CZ161" s="0" t="n">
        <f aca="false">IF(DI161&gt;0,DI161,IF(CY161&gt;0,CY161,IF(CV161&gt;0,CV161,"")))</f>
        <v>278.71</v>
      </c>
      <c r="DA161" s="0" t="n">
        <f aca="false">IF(DM161=1,CZ161/8,IF(OR(DM161=2,DM161=4),CZ161/7,IF(DM161=3,CZ161/7.5,"")))</f>
        <v>34.83875</v>
      </c>
      <c r="DB161" s="0" t="s">
        <v>303</v>
      </c>
      <c r="DC161" s="0" t="s">
        <v>301</v>
      </c>
      <c r="DD161" s="0" t="s">
        <v>216</v>
      </c>
      <c r="DE161" s="0" t="s">
        <v>216</v>
      </c>
      <c r="DF161" s="0" t="s">
        <v>216</v>
      </c>
      <c r="DG161" s="0" t="s">
        <v>216</v>
      </c>
      <c r="DH161" s="0" t="n">
        <v>0</v>
      </c>
      <c r="DI161" s="126" t="n">
        <v>278.71</v>
      </c>
      <c r="DK161" s="0" t="n">
        <v>0</v>
      </c>
      <c r="DM161" s="0" t="n">
        <v>1</v>
      </c>
      <c r="DN161" s="0" t="n">
        <f aca="false">12*6</f>
        <v>72</v>
      </c>
      <c r="DO161" s="0" t="n">
        <v>3</v>
      </c>
      <c r="DP161" s="0" t="n">
        <v>0</v>
      </c>
      <c r="DQ161" s="0" t="n">
        <v>1</v>
      </c>
      <c r="DR161" s="0"/>
      <c r="DS161" s="0" t="n">
        <v>1</v>
      </c>
      <c r="DU161" s="0" t="n">
        <v>1</v>
      </c>
      <c r="DW161" s="1" t="n">
        <v>40683</v>
      </c>
      <c r="DX161" s="1" t="n">
        <v>40863</v>
      </c>
      <c r="DZ161" s="0"/>
      <c r="EA161" s="0" t="n">
        <v>1</v>
      </c>
      <c r="EC161" s="1" t="n">
        <v>40544</v>
      </c>
      <c r="ED161" s="1" t="n">
        <v>40863</v>
      </c>
      <c r="EF161" s="0"/>
      <c r="EG161" s="0" t="n">
        <v>1</v>
      </c>
      <c r="EH161" s="0" t="n">
        <v>24</v>
      </c>
      <c r="EI161" s="0" t="n">
        <f aca="false">IF(AND(DM161=1,DN161&lt;=48),"",IF(AND(DM161=2,DN161&lt;=42),"",IF(AND(DM161=3,DN161&lt;=45),"",EH161)))</f>
        <v>24</v>
      </c>
      <c r="EJ161" s="0" t="n">
        <f aca="false">IF(EI161="","",IF(EI161&lt;9,EI161,9))</f>
        <v>9</v>
      </c>
      <c r="EK161" s="0" t="n">
        <f aca="false">IF(EI161="","",IF(EI161&gt;9,EI161-EJ161,0))</f>
        <v>15</v>
      </c>
      <c r="EL161" s="0" t="n">
        <f aca="false">IF(EI161="","",EJ161*DA161*2+EK161*DA161*3)</f>
        <v>2194.84125</v>
      </c>
      <c r="EP161" s="0" t="n">
        <v>0</v>
      </c>
      <c r="EQ161" s="0"/>
      <c r="ER161" s="0" t="n">
        <v>0</v>
      </c>
      <c r="ET161" s="0" t="n">
        <v>0</v>
      </c>
      <c r="EV161" s="0" t="n">
        <v>0</v>
      </c>
      <c r="EX161" s="0" t="n">
        <v>1</v>
      </c>
      <c r="EY161" s="0" t="n">
        <v>0</v>
      </c>
      <c r="EZ161" s="0"/>
      <c r="FA161" s="4" t="n">
        <v>0</v>
      </c>
      <c r="FB161" s="0" t="n">
        <v>1</v>
      </c>
      <c r="FF161" s="120" t="n">
        <f aca="false">(CJ161-CI161+1)/365</f>
        <v>7.4986301369863</v>
      </c>
      <c r="FG161" s="0" t="str">
        <f aca="false">CONCATENATE(F161,"/",G161)</f>
        <v>2103/2011</v>
      </c>
      <c r="FH161" s="0" t="n">
        <v>0</v>
      </c>
      <c r="FI161" s="0" t="n">
        <v>0</v>
      </c>
    </row>
    <row r="162" customFormat="false" ht="15" hidden="false" customHeight="false" outlineLevel="0" collapsed="false">
      <c r="A162" s="5" t="str">
        <f aca="false">E162&amp;G162&amp;F162</f>
        <v>720111709</v>
      </c>
      <c r="B162" s="0" t="s">
        <v>1884</v>
      </c>
      <c r="C162" s="1" t="n">
        <v>42408</v>
      </c>
      <c r="E162" s="0" t="n">
        <v>7</v>
      </c>
      <c r="F162" s="0" t="n">
        <v>1709</v>
      </c>
      <c r="G162" s="0" t="n">
        <v>2011</v>
      </c>
      <c r="H162" s="0" t="str">
        <f aca="false">"J"&amp;E162&amp;"\"&amp;F162&amp;"\"&amp;G162&amp;"\"&amp;W162</f>
        <v>J7\1709\2011\1</v>
      </c>
      <c r="I162" s="0"/>
      <c r="J162" s="1" t="n">
        <v>40821</v>
      </c>
      <c r="K162" s="0" t="n">
        <v>0</v>
      </c>
      <c r="M162" s="1"/>
      <c r="N162" s="1"/>
      <c r="O162" s="1"/>
      <c r="P162" s="1"/>
      <c r="Q162" s="1"/>
      <c r="T162" s="121"/>
      <c r="U162" s="121"/>
      <c r="V162" s="122" t="n">
        <f aca="false">IF(AND(E162&gt;0,F162&gt;0,G162&gt;0),COUNTIFS($E:$E,E162,$F:$F,F162,$G:$G,G162),"")</f>
        <v>1</v>
      </c>
      <c r="W162" s="122" t="n">
        <f aca="false">IF(V162="","",IF(V162=1,1,IF(AND(E161=E162,F161=F162,G161=G162),W161+1,1)))</f>
        <v>1</v>
      </c>
      <c r="X162" s="0" t="n">
        <v>1</v>
      </c>
      <c r="Y162" s="0" t="n">
        <v>1</v>
      </c>
      <c r="Z162" s="0" t="s">
        <v>1885</v>
      </c>
      <c r="AA162" s="0" t="n">
        <v>0</v>
      </c>
      <c r="AB162" s="0" t="s">
        <v>1886</v>
      </c>
      <c r="AC162" s="0" t="s">
        <v>1887</v>
      </c>
      <c r="AD162" s="0" t="s">
        <v>1888</v>
      </c>
      <c r="AE162" s="0" t="n">
        <v>0</v>
      </c>
      <c r="AF162" s="0" t="s">
        <v>1889</v>
      </c>
      <c r="AG162" s="0" t="n">
        <v>0</v>
      </c>
      <c r="AH162" s="0" t="s">
        <v>1890</v>
      </c>
      <c r="AI162" s="0" t="s">
        <v>1891</v>
      </c>
      <c r="AJ162" s="0" t="s">
        <v>1888</v>
      </c>
      <c r="BR162" s="0" t="n">
        <v>1</v>
      </c>
      <c r="BS162" s="0" t="s">
        <v>1892</v>
      </c>
      <c r="BT162" s="0" t="s">
        <v>1893</v>
      </c>
      <c r="BU162" s="0" t="s">
        <v>1894</v>
      </c>
      <c r="BV162" s="123"/>
      <c r="BW162" s="123"/>
      <c r="BX162" s="123"/>
      <c r="BY162" s="123"/>
      <c r="BZ162" s="0" t="n">
        <v>0</v>
      </c>
      <c r="CA162" s="0" t="s">
        <v>1895</v>
      </c>
      <c r="CD162" s="0" t="s">
        <v>370</v>
      </c>
      <c r="CE162" s="0" t="n">
        <v>0</v>
      </c>
      <c r="CF162" s="0" t="s">
        <v>1896</v>
      </c>
      <c r="CI162" s="1" t="n">
        <v>39370</v>
      </c>
      <c r="CJ162" s="1" t="n">
        <v>40828</v>
      </c>
      <c r="CK162" s="124" t="n">
        <v>0.25</v>
      </c>
      <c r="CL162" s="0" t="s">
        <v>1897</v>
      </c>
      <c r="CM162" s="0" t="n">
        <f aca="false">IF(OR(CI162="",CJ162=""),"",DAYS360(CI162,CJ162)/360)</f>
        <v>3.99166666666667</v>
      </c>
      <c r="CN162" s="0" t="n">
        <f aca="false">IF(OR(CI162="",CJ162=""),"",DAYS360(CI162,CJ162)/30)</f>
        <v>47.9</v>
      </c>
      <c r="CO162" s="0" t="n">
        <f aca="false">IF(OR(CI162="",CJ162=""),"",DAYS360(CI162,CJ162)/7)</f>
        <v>205.285714285714</v>
      </c>
      <c r="CP162" s="0" t="n">
        <f aca="false">IF(OR(CI162="",CJ162=""),"",DAYS360(CI162,CJ162))</f>
        <v>1437</v>
      </c>
      <c r="CQ162" s="0" t="s">
        <v>1898</v>
      </c>
      <c r="CR162" s="0" t="n">
        <v>1</v>
      </c>
      <c r="CT162" s="0" t="s">
        <v>1899</v>
      </c>
      <c r="CU162" s="0" t="s">
        <v>1899</v>
      </c>
      <c r="CV162" s="0" t="str">
        <f aca="false">IF(OR(CT162="",CT162="NO ESPECIFICA",CT162="NO MENCIONA"),"",IF(CU162=0,CT162,IF(CU162=1,CT162/30,IF(CU162=2,CT162/15,IF(CU162=3,CT162/7,"")))))</f>
        <v/>
      </c>
      <c r="CW162" s="125" t="n">
        <v>400</v>
      </c>
      <c r="CX162" s="0" t="n">
        <v>0</v>
      </c>
      <c r="CY162" s="0" t="n">
        <f aca="false">IF(CW162="","",IF(CX162=0,CW162,IF(CX162=1,CW162/30,IF(CX162=2,CW162/15,IF(CX162=3,CW162/7,CW162)))))</f>
        <v>400</v>
      </c>
      <c r="CZ162" s="0" t="n">
        <f aca="false">IF(DI162&gt;0,DI162,IF(CY162&gt;0,CY162,IF(CV162&gt;0,CV162,"")))</f>
        <v>400</v>
      </c>
      <c r="DA162" s="0" t="n">
        <f aca="false">IF(DM162=1,CZ162/8,IF(OR(DM162=2,DM162=4),CZ162/7,IF(DM162=3,CZ162/7.5,"")))</f>
        <v>50</v>
      </c>
      <c r="DB162" s="0" t="s">
        <v>1446</v>
      </c>
      <c r="DC162" s="0" t="s">
        <v>1895</v>
      </c>
      <c r="DD162" s="0" t="s">
        <v>1895</v>
      </c>
      <c r="DE162" s="0" t="s">
        <v>1895</v>
      </c>
      <c r="DF162" s="0" t="s">
        <v>1895</v>
      </c>
      <c r="DG162" s="0" t="s">
        <v>1895</v>
      </c>
      <c r="DH162" s="0" t="n">
        <v>0</v>
      </c>
      <c r="DI162" s="126" t="n">
        <v>400</v>
      </c>
      <c r="DK162" s="0" t="n">
        <v>0</v>
      </c>
      <c r="DM162" s="0" t="n">
        <v>1</v>
      </c>
      <c r="DN162" s="0" t="n">
        <v>72</v>
      </c>
      <c r="DO162" s="0" t="n">
        <v>3</v>
      </c>
      <c r="DP162" s="0" t="n">
        <v>0</v>
      </c>
      <c r="DQ162" s="0" t="n">
        <v>1</v>
      </c>
      <c r="DR162" s="0"/>
      <c r="DS162" s="0" t="n">
        <v>1</v>
      </c>
      <c r="DU162" s="0" t="n">
        <v>1</v>
      </c>
      <c r="DW162" s="1" t="n">
        <v>39370</v>
      </c>
      <c r="DX162" s="1" t="n">
        <v>40828</v>
      </c>
      <c r="DZ162" s="0"/>
      <c r="EA162" s="0" t="n">
        <v>1</v>
      </c>
      <c r="EC162" s="1" t="n">
        <v>39370</v>
      </c>
      <c r="ED162" s="1" t="n">
        <v>40828</v>
      </c>
      <c r="EF162" s="0"/>
      <c r="EG162" s="0" t="n">
        <v>1</v>
      </c>
      <c r="EH162" s="0" t="n">
        <v>24</v>
      </c>
      <c r="EI162" s="0" t="n">
        <f aca="false">IF(AND(DM162=1,DN162&lt;=48),"",IF(AND(DM162=2,DN162&lt;=42),"",IF(AND(DM162=3,DN162&lt;=45),"",EH162)))</f>
        <v>24</v>
      </c>
      <c r="EJ162" s="0" t="n">
        <f aca="false">IF(EI162="","",IF(EI162&lt;9,EI162,9))</f>
        <v>9</v>
      </c>
      <c r="EK162" s="0" t="n">
        <f aca="false">IF(EI162="","",IF(EI162&gt;9,EI162-EJ162,0))</f>
        <v>15</v>
      </c>
      <c r="EL162" s="0" t="n">
        <f aca="false">IF(EI162="","",EJ162*DA162*2+EK162*DA162*3)</f>
        <v>3150</v>
      </c>
      <c r="EP162" s="0" t="n">
        <v>0</v>
      </c>
      <c r="EQ162" s="0"/>
      <c r="ER162" s="0" t="n">
        <v>1</v>
      </c>
      <c r="ET162" s="0" t="n">
        <v>1</v>
      </c>
      <c r="EV162" s="0" t="n">
        <v>0</v>
      </c>
      <c r="EX162" s="0" t="n">
        <v>0</v>
      </c>
      <c r="EY162" s="0" t="n">
        <v>0</v>
      </c>
      <c r="EZ162" s="0"/>
      <c r="FA162" s="4" t="n">
        <f aca="false">61*DI162</f>
        <v>24400</v>
      </c>
      <c r="FB162" s="0" t="n">
        <v>0</v>
      </c>
      <c r="FF162" s="120" t="n">
        <f aca="false">(CJ162-CI162+1)/365</f>
        <v>3.9972602739726</v>
      </c>
      <c r="FG162" s="0" t="str">
        <f aca="false">CONCATENATE(F162,"/",G162)</f>
        <v>1709/2011</v>
      </c>
      <c r="FH162" s="0" t="n">
        <v>0</v>
      </c>
      <c r="FI162" s="0" t="n">
        <v>0</v>
      </c>
    </row>
    <row r="163" customFormat="false" ht="15" hidden="false" customHeight="false" outlineLevel="0" collapsed="false">
      <c r="A163" s="5" t="str">
        <f aca="false">E163&amp;G163&amp;F163</f>
        <v>720111711</v>
      </c>
      <c r="B163" s="0" t="s">
        <v>1884</v>
      </c>
      <c r="C163" s="1" t="n">
        <v>42408</v>
      </c>
      <c r="E163" s="0" t="n">
        <v>7</v>
      </c>
      <c r="F163" s="0" t="n">
        <v>1711</v>
      </c>
      <c r="G163" s="0" t="n">
        <v>2011</v>
      </c>
      <c r="H163" s="0" t="str">
        <f aca="false">"J"&amp;E163&amp;"\"&amp;F163&amp;"\"&amp;G163&amp;"\"&amp;W163</f>
        <v>J7\1711\2011\1</v>
      </c>
      <c r="I163" s="0"/>
      <c r="J163" s="1" t="n">
        <v>40821</v>
      </c>
      <c r="K163" s="0" t="n">
        <v>0</v>
      </c>
      <c r="M163" s="1" t="n">
        <v>40821</v>
      </c>
      <c r="N163" s="1" t="n">
        <v>41071</v>
      </c>
      <c r="O163" s="1"/>
      <c r="P163" s="1"/>
      <c r="Q163" s="1"/>
      <c r="T163" s="121"/>
      <c r="U163" s="121"/>
      <c r="V163" s="122" t="n">
        <f aca="false">IF(AND(E163&gt;0,F163&gt;0,G163&gt;0),COUNTIFS($E:$E,E163,$F:$F,F163,$G:$G,G163),"")</f>
        <v>1</v>
      </c>
      <c r="W163" s="122" t="n">
        <f aca="false">IF(V163="","",IF(V163=1,1,IF(AND(E162=E163,F162=F163,G162=G163),W162+1,1)))</f>
        <v>1</v>
      </c>
      <c r="X163" s="0" t="n">
        <v>1</v>
      </c>
      <c r="Y163" s="0" t="n">
        <v>3</v>
      </c>
      <c r="Z163" s="0" t="s">
        <v>1900</v>
      </c>
      <c r="AA163" s="0" t="n">
        <v>0</v>
      </c>
      <c r="AB163" s="0" t="s">
        <v>1901</v>
      </c>
      <c r="AC163" s="0" t="s">
        <v>1902</v>
      </c>
      <c r="AD163" s="0" t="s">
        <v>1903</v>
      </c>
      <c r="AE163" s="0" t="n">
        <v>0</v>
      </c>
      <c r="AF163" s="0" t="s">
        <v>1904</v>
      </c>
      <c r="AG163" s="0" t="n">
        <v>0</v>
      </c>
      <c r="AH163" s="0" t="s">
        <v>1905</v>
      </c>
      <c r="AI163" s="0" t="s">
        <v>1906</v>
      </c>
      <c r="AJ163" s="0" t="s">
        <v>1907</v>
      </c>
      <c r="AL163" s="0" t="s">
        <v>1908</v>
      </c>
      <c r="AM163" s="0" t="n">
        <v>1</v>
      </c>
      <c r="AN163" s="0" t="s">
        <v>1905</v>
      </c>
      <c r="AO163" s="0" t="s">
        <v>1906</v>
      </c>
      <c r="AP163" s="0" t="s">
        <v>1907</v>
      </c>
      <c r="AR163" s="0" t="s">
        <v>1909</v>
      </c>
      <c r="AS163" s="0" t="n">
        <v>1</v>
      </c>
      <c r="AT163" s="0" t="s">
        <v>1905</v>
      </c>
      <c r="AU163" s="0" t="s">
        <v>1906</v>
      </c>
      <c r="AV163" s="0" t="s">
        <v>1907</v>
      </c>
      <c r="AX163" s="0" t="s">
        <v>1910</v>
      </c>
      <c r="AY163" s="0" t="n">
        <v>0</v>
      </c>
      <c r="AZ163" s="0" t="s">
        <v>1911</v>
      </c>
      <c r="BA163" s="0" t="s">
        <v>1912</v>
      </c>
      <c r="BB163" s="0" t="s">
        <v>1895</v>
      </c>
      <c r="BD163" s="0" t="s">
        <v>1913</v>
      </c>
      <c r="BE163" s="0" t="n">
        <v>0</v>
      </c>
      <c r="BF163" s="0" t="s">
        <v>1914</v>
      </c>
      <c r="BG163" s="0" t="s">
        <v>1915</v>
      </c>
      <c r="BH163" s="0" t="s">
        <v>1895</v>
      </c>
      <c r="BR163" s="0" t="n">
        <v>1</v>
      </c>
      <c r="BS163" s="0" t="s">
        <v>1916</v>
      </c>
      <c r="BT163" s="0" t="s">
        <v>1917</v>
      </c>
      <c r="BU163" s="0" t="s">
        <v>1918</v>
      </c>
      <c r="BV163" s="123"/>
      <c r="BW163" s="123"/>
      <c r="BX163" s="123"/>
      <c r="BY163" s="123"/>
      <c r="BZ163" s="0" t="n">
        <v>0</v>
      </c>
      <c r="CA163" s="0" t="s">
        <v>1895</v>
      </c>
      <c r="CD163" s="0" t="s">
        <v>1919</v>
      </c>
      <c r="CE163" s="0" t="n">
        <v>0</v>
      </c>
      <c r="CF163" s="0" t="s">
        <v>1920</v>
      </c>
      <c r="CI163" s="1" t="n">
        <v>40798</v>
      </c>
      <c r="CJ163" s="1" t="n">
        <v>40803</v>
      </c>
      <c r="CK163" s="124" t="n">
        <v>0.416666666666667</v>
      </c>
      <c r="CL163" s="0" t="s">
        <v>1921</v>
      </c>
      <c r="CM163" s="0" t="n">
        <f aca="false">IF(OR(CI163="",CJ163=""),"",DAYS360(CI163,CJ163)/360)</f>
        <v>0.0138888888888889</v>
      </c>
      <c r="CN163" s="0" t="n">
        <f aca="false">IF(OR(CI163="",CJ163=""),"",DAYS360(CI163,CJ163)/30)</f>
        <v>0.166666666666667</v>
      </c>
      <c r="CO163" s="0" t="n">
        <f aca="false">IF(OR(CI163="",CJ163=""),"",DAYS360(CI163,CJ163)/7)</f>
        <v>0.714285714285714</v>
      </c>
      <c r="CP163" s="0" t="n">
        <f aca="false">IF(OR(CI163="",CJ163=""),"",DAYS360(CI163,CJ163))</f>
        <v>5</v>
      </c>
      <c r="CQ163" s="0" t="s">
        <v>1898</v>
      </c>
      <c r="CR163" s="0" t="n">
        <v>1</v>
      </c>
      <c r="CT163" s="0" t="s">
        <v>1899</v>
      </c>
      <c r="CU163" s="0" t="s">
        <v>1899</v>
      </c>
      <c r="CV163" s="0" t="str">
        <f aca="false">IF(OR(CT163="",CT163="NO ESPECIFICA",CT163="NO MENCIONA"),"",IF(CU163=0,CT163,IF(CU163=1,CT163/30,IF(CU163=2,CT163/15,IF(CU163=3,CT163/7,"")))))</f>
        <v/>
      </c>
      <c r="CW163" s="125" t="n">
        <v>14000</v>
      </c>
      <c r="CX163" s="0" t="n">
        <v>1</v>
      </c>
      <c r="CY163" s="0" t="n">
        <f aca="false">IF(CW163="","",IF(CX163=0,CW163,IF(CX163=1,CW163/30,IF(CX163=2,CW163/15,IF(CX163=3,CW163/7,CW163)))))</f>
        <v>466.666666666667</v>
      </c>
      <c r="CZ163" s="0" t="n">
        <f aca="false">IF(DI163&gt;0,DI163,IF(CY163&gt;0,CY163,IF(CV163&gt;0,CV163,"")))</f>
        <v>466.66</v>
      </c>
      <c r="DA163" s="0" t="n">
        <f aca="false">IF(DM163=1,CZ163/8,IF(OR(DM163=2,DM163=4),CZ163/7,IF(DM163=3,CZ163/7.5,"")))</f>
        <v>58.3325</v>
      </c>
      <c r="DB163" s="0" t="s">
        <v>1895</v>
      </c>
      <c r="DC163" s="0" t="s">
        <v>1895</v>
      </c>
      <c r="DD163" s="0" t="s">
        <v>1895</v>
      </c>
      <c r="DE163" s="0" t="s">
        <v>1895</v>
      </c>
      <c r="DF163" s="0" t="s">
        <v>1895</v>
      </c>
      <c r="DG163" s="0" t="s">
        <v>1895</v>
      </c>
      <c r="DH163" s="0" t="n">
        <v>0</v>
      </c>
      <c r="DI163" s="126" t="n">
        <v>466.66</v>
      </c>
      <c r="DK163" s="0" t="n">
        <v>0</v>
      </c>
      <c r="DM163" s="0" t="n">
        <v>1</v>
      </c>
      <c r="DN163" s="0" t="n">
        <v>60</v>
      </c>
      <c r="DO163" s="0" t="n">
        <v>3</v>
      </c>
      <c r="DP163" s="0" t="n">
        <v>0</v>
      </c>
      <c r="DQ163" s="0" t="n">
        <v>1</v>
      </c>
      <c r="DR163" s="0"/>
      <c r="DS163" s="0" t="n">
        <v>1</v>
      </c>
      <c r="DU163" s="0" t="n">
        <v>1</v>
      </c>
      <c r="DW163" s="1" t="n">
        <v>40798</v>
      </c>
      <c r="DX163" s="1" t="n">
        <v>40803</v>
      </c>
      <c r="DZ163" s="0"/>
      <c r="EA163" s="0" t="n">
        <v>1</v>
      </c>
      <c r="EC163" s="1" t="n">
        <v>40798</v>
      </c>
      <c r="ED163" s="1" t="n">
        <v>40803</v>
      </c>
      <c r="EF163" s="0"/>
      <c r="EG163" s="0" t="n">
        <v>1</v>
      </c>
      <c r="EH163" s="0" t="n">
        <v>12</v>
      </c>
      <c r="EI163" s="0" t="n">
        <f aca="false">IF(AND(DM163=1,DN163&lt;=48),"",IF(AND(DM163=2,DN163&lt;=42),"",IF(AND(DM163=3,DN163&lt;=45),"",EH163)))</f>
        <v>12</v>
      </c>
      <c r="EJ163" s="0" t="n">
        <f aca="false">IF(EI163="","",IF(EI163&lt;9,EI163,9))</f>
        <v>9</v>
      </c>
      <c r="EK163" s="0" t="n">
        <f aca="false">IF(EI163="","",IF(EI163&gt;9,EI163-EJ163,0))</f>
        <v>3</v>
      </c>
      <c r="EL163" s="0" t="n">
        <f aca="false">IF(EI163="","",EJ163*DA163*2+EK163*DA163*3)</f>
        <v>1574.9775</v>
      </c>
      <c r="EP163" s="0" t="n">
        <v>0</v>
      </c>
      <c r="EQ163" s="0"/>
      <c r="ER163" s="0" t="n">
        <v>0</v>
      </c>
      <c r="ET163" s="0" t="n">
        <v>1</v>
      </c>
      <c r="EV163" s="0" t="n">
        <v>1</v>
      </c>
      <c r="EX163" s="0" t="n">
        <v>0</v>
      </c>
      <c r="EY163" s="0" t="n">
        <v>0</v>
      </c>
      <c r="EZ163" s="0"/>
      <c r="FA163" s="4" t="n">
        <v>5000</v>
      </c>
      <c r="FB163" s="0" t="n">
        <v>1</v>
      </c>
      <c r="FF163" s="120" t="n">
        <f aca="false">(CJ163-CI163+1)/365</f>
        <v>0.0164383561643836</v>
      </c>
      <c r="FG163" s="0" t="str">
        <f aca="false">CONCATENATE(F163,"/",G163)</f>
        <v>1711/2011</v>
      </c>
      <c r="FH163" s="0" t="n">
        <v>0</v>
      </c>
      <c r="FI163" s="0" t="n">
        <v>0</v>
      </c>
    </row>
    <row r="164" customFormat="false" ht="15" hidden="false" customHeight="false" outlineLevel="0" collapsed="false">
      <c r="A164" s="5" t="str">
        <f aca="false">E164&amp;G164&amp;F164</f>
        <v>720111715</v>
      </c>
      <c r="B164" s="0" t="s">
        <v>1884</v>
      </c>
      <c r="C164" s="1" t="n">
        <v>42409</v>
      </c>
      <c r="E164" s="0" t="n">
        <v>7</v>
      </c>
      <c r="F164" s="0" t="n">
        <v>1715</v>
      </c>
      <c r="G164" s="0" t="n">
        <v>2011</v>
      </c>
      <c r="H164" s="0" t="str">
        <f aca="false">"J"&amp;E164&amp;"\"&amp;F164&amp;"\"&amp;G164&amp;"\"&amp;W164</f>
        <v>J7\1715\2011\1</v>
      </c>
      <c r="I164" s="0"/>
      <c r="J164" s="1" t="n">
        <v>40821</v>
      </c>
      <c r="K164" s="0" t="n">
        <v>0</v>
      </c>
      <c r="M164" s="1"/>
      <c r="N164" s="1"/>
      <c r="O164" s="1"/>
      <c r="P164" s="1"/>
      <c r="Q164" s="1"/>
      <c r="T164" s="121"/>
      <c r="U164" s="121"/>
      <c r="V164" s="122" t="n">
        <f aca="false">IF(AND(E164&gt;0,F164&gt;0,G164&gt;0),COUNTIFS($E:$E,E164,$F:$F,F164,$G:$G,G164),"")</f>
        <v>1</v>
      </c>
      <c r="W164" s="122" t="n">
        <f aca="false">IF(V164="","",IF(V164=1,1,IF(AND(E163=E164,F163=F164,G163=G164),W163+1,1)))</f>
        <v>1</v>
      </c>
      <c r="X164" s="0" t="n">
        <v>1</v>
      </c>
      <c r="Y164" s="0" t="n">
        <v>5</v>
      </c>
      <c r="Z164" s="0" t="s">
        <v>1922</v>
      </c>
      <c r="AA164" s="0" t="n">
        <v>0</v>
      </c>
      <c r="AB164" s="0" t="s">
        <v>1923</v>
      </c>
      <c r="AC164" s="0" t="s">
        <v>1924</v>
      </c>
      <c r="AD164" s="0" t="s">
        <v>1888</v>
      </c>
      <c r="AE164" s="0" t="n">
        <v>0</v>
      </c>
      <c r="AF164" s="0" t="s">
        <v>1925</v>
      </c>
      <c r="AG164" s="0" t="n">
        <v>1</v>
      </c>
      <c r="AH164" s="0" t="s">
        <v>1926</v>
      </c>
      <c r="AI164" s="0" t="s">
        <v>1927</v>
      </c>
      <c r="AJ164" s="0" t="s">
        <v>1888</v>
      </c>
      <c r="AL164" s="0" t="s">
        <v>1928</v>
      </c>
      <c r="AM164" s="0" t="n">
        <v>2</v>
      </c>
      <c r="AN164" s="0" t="s">
        <v>1926</v>
      </c>
      <c r="AO164" s="0" t="s">
        <v>1927</v>
      </c>
      <c r="AP164" s="0" t="s">
        <v>1888</v>
      </c>
      <c r="AR164" s="0" t="s">
        <v>1929</v>
      </c>
      <c r="AS164" s="0" t="n">
        <v>1</v>
      </c>
      <c r="AT164" s="0" t="s">
        <v>1926</v>
      </c>
      <c r="AU164" s="0" t="s">
        <v>1927</v>
      </c>
      <c r="AV164" s="0" t="s">
        <v>1888</v>
      </c>
      <c r="AX164" s="0" t="s">
        <v>1930</v>
      </c>
      <c r="AY164" s="0" t="n">
        <v>1</v>
      </c>
      <c r="AZ164" s="0" t="s">
        <v>1926</v>
      </c>
      <c r="BA164" s="0" t="s">
        <v>1927</v>
      </c>
      <c r="BB164" s="0" t="s">
        <v>1888</v>
      </c>
      <c r="BD164" s="0" t="s">
        <v>1931</v>
      </c>
      <c r="BE164" s="0" t="n">
        <v>0</v>
      </c>
      <c r="BF164" s="0" t="s">
        <v>1926</v>
      </c>
      <c r="BG164" s="0" t="s">
        <v>1927</v>
      </c>
      <c r="BH164" s="0" t="s">
        <v>1888</v>
      </c>
      <c r="BR164" s="0" t="n">
        <v>3</v>
      </c>
      <c r="BS164" s="0" t="s">
        <v>1932</v>
      </c>
      <c r="BT164" s="0" t="s">
        <v>1933</v>
      </c>
      <c r="BU164" s="0" t="s">
        <v>1934</v>
      </c>
      <c r="BV164" s="123"/>
      <c r="BW164" s="123"/>
      <c r="BX164" s="123"/>
      <c r="BY164" s="123"/>
      <c r="BZ164" s="0" t="n">
        <v>0</v>
      </c>
      <c r="CA164" s="0" t="s">
        <v>348</v>
      </c>
      <c r="CD164" s="0" t="s">
        <v>1919</v>
      </c>
      <c r="CE164" s="0" t="n">
        <v>0</v>
      </c>
      <c r="CF164" s="0" t="s">
        <v>527</v>
      </c>
      <c r="CI164" s="1" t="n">
        <v>40673</v>
      </c>
      <c r="CJ164" s="1" t="n">
        <v>40764</v>
      </c>
      <c r="CK164" s="124" t="n">
        <v>0.416666666666667</v>
      </c>
      <c r="CL164" s="0" t="s">
        <v>1930</v>
      </c>
      <c r="CM164" s="0" t="n">
        <f aca="false">IF(OR(CI164="",CJ164=""),"",DAYS360(CI164,CJ164)/360)</f>
        <v>0.247222222222222</v>
      </c>
      <c r="CN164" s="0" t="n">
        <f aca="false">IF(OR(CI164="",CJ164=""),"",DAYS360(CI164,CJ164)/30)</f>
        <v>2.96666666666667</v>
      </c>
      <c r="CO164" s="0" t="n">
        <f aca="false">IF(OR(CI164="",CJ164=""),"",DAYS360(CI164,CJ164)/7)</f>
        <v>12.7142857142857</v>
      </c>
      <c r="CP164" s="0" t="n">
        <f aca="false">IF(OR(CI164="",CJ164=""),"",DAYS360(CI164,CJ164))</f>
        <v>89</v>
      </c>
      <c r="CQ164" s="0" t="s">
        <v>1898</v>
      </c>
      <c r="CR164" s="0" t="n">
        <v>1</v>
      </c>
      <c r="CT164" s="0" t="n">
        <v>133.95</v>
      </c>
      <c r="CU164" s="0" t="n">
        <v>0</v>
      </c>
      <c r="CV164" s="0" t="n">
        <f aca="false">IF(OR(CT164="",CT164="NO ESPECIFICA",CT164="NO MENCIONA"),"",IF(CU164=0,CT164,IF(CU164=1,CT164/30,IF(CU164=2,CT164/15,IF(CU164=3,CT164/7,"")))))</f>
        <v>133.95</v>
      </c>
      <c r="CW164" s="125" t="n">
        <v>144.87</v>
      </c>
      <c r="CX164" s="0" t="n">
        <v>0</v>
      </c>
      <c r="CY164" s="0" t="n">
        <f aca="false">IF(CW164="","",IF(CX164=0,CW164,IF(CX164=1,CW164/30,IF(CX164=2,CW164/15,IF(CX164=3,CW164/7,CW164)))))</f>
        <v>144.87</v>
      </c>
      <c r="CZ164" s="0" t="n">
        <f aca="false">IF(DI164&gt;0,DI164,IF(CY164&gt;0,CY164,IF(CV164&gt;0,CV164,"")))</f>
        <v>144.87</v>
      </c>
      <c r="DA164" s="0" t="n">
        <f aca="false">IF(DM164=1,CZ164/8,IF(OR(DM164=2,DM164=4),CZ164/7,IF(DM164=3,CZ164/7.5,"")))</f>
        <v>18.10875</v>
      </c>
      <c r="DB164" s="0" t="s">
        <v>1935</v>
      </c>
      <c r="DC164" s="0" t="s">
        <v>301</v>
      </c>
      <c r="DD164" s="0" t="s">
        <v>1895</v>
      </c>
      <c r="DE164" s="0" t="s">
        <v>1895</v>
      </c>
      <c r="DF164" s="0" t="s">
        <v>1895</v>
      </c>
      <c r="DG164" s="0" t="s">
        <v>1895</v>
      </c>
      <c r="DH164" s="0" t="n">
        <v>0</v>
      </c>
      <c r="DI164" s="126" t="n">
        <v>144.87</v>
      </c>
      <c r="DK164" s="0" t="n">
        <v>1</v>
      </c>
      <c r="DM164" s="0" t="n">
        <v>1</v>
      </c>
      <c r="DN164" s="0" t="n">
        <v>48</v>
      </c>
      <c r="DO164" s="0" t="n">
        <v>3</v>
      </c>
      <c r="DP164" s="0" t="n">
        <v>0</v>
      </c>
      <c r="DQ164" s="0" t="n">
        <v>1</v>
      </c>
      <c r="DR164" s="0"/>
      <c r="DS164" s="0" t="n">
        <v>1</v>
      </c>
      <c r="DU164" s="0" t="n">
        <v>1</v>
      </c>
      <c r="DW164" s="1" t="n">
        <v>40673</v>
      </c>
      <c r="DX164" s="1" t="n">
        <v>40764</v>
      </c>
      <c r="DZ164" s="0"/>
      <c r="EA164" s="0" t="n">
        <v>1</v>
      </c>
      <c r="EC164" s="1" t="n">
        <v>40673</v>
      </c>
      <c r="ED164" s="1" t="n">
        <v>40764</v>
      </c>
      <c r="EF164" s="0"/>
      <c r="EG164" s="0" t="n">
        <v>0</v>
      </c>
      <c r="EI164" s="0" t="str">
        <f aca="false">IF(AND(DM164=1,DN164&lt;=48),"",IF(AND(DM164=2,DN164&lt;=42),"",IF(AND(DM164=3,DN164&lt;=45),"",EH164)))</f>
        <v/>
      </c>
      <c r="EJ164" s="0" t="str">
        <f aca="false">IF(EI164="","",IF(EI164&lt;9,EI164,9))</f>
        <v/>
      </c>
      <c r="EK164" s="0" t="str">
        <f aca="false">IF(EI164="","",IF(EI164&gt;9,EI164-EJ164,0))</f>
        <v/>
      </c>
      <c r="EL164" s="0" t="str">
        <f aca="false">IF(EI164="","",EJ164*DA164*2+EK164*DA164*3)</f>
        <v/>
      </c>
      <c r="EP164" s="0" t="n">
        <v>0</v>
      </c>
      <c r="EQ164" s="0"/>
      <c r="ER164" s="0" t="n">
        <v>0</v>
      </c>
      <c r="ET164" s="0" t="n">
        <v>0</v>
      </c>
      <c r="EV164" s="0" t="n">
        <v>0</v>
      </c>
      <c r="EX164" s="0" t="n">
        <v>0</v>
      </c>
      <c r="EY164" s="0" t="n">
        <v>0</v>
      </c>
      <c r="EZ164" s="0"/>
      <c r="FA164" s="4" t="n">
        <v>0</v>
      </c>
      <c r="FB164" s="0" t="n">
        <v>1</v>
      </c>
      <c r="FF164" s="120" t="n">
        <f aca="false">(CJ164-CI164+1)/365</f>
        <v>0.252054794520548</v>
      </c>
      <c r="FG164" s="0" t="str">
        <f aca="false">CONCATENATE(F164,"/",G164)</f>
        <v>1715/2011</v>
      </c>
      <c r="FH164" s="0" t="n">
        <v>0</v>
      </c>
      <c r="FI164" s="0" t="n">
        <v>0</v>
      </c>
    </row>
    <row r="165" customFormat="false" ht="15" hidden="false" customHeight="false" outlineLevel="0" collapsed="false">
      <c r="A165" s="5" t="str">
        <f aca="false">E165&amp;G165&amp;F165</f>
        <v>720111716</v>
      </c>
      <c r="B165" s="0" t="s">
        <v>1884</v>
      </c>
      <c r="C165" s="1" t="n">
        <v>42411</v>
      </c>
      <c r="E165" s="0" t="n">
        <v>7</v>
      </c>
      <c r="F165" s="0" t="n">
        <v>1716</v>
      </c>
      <c r="G165" s="0" t="n">
        <v>2011</v>
      </c>
      <c r="H165" s="0" t="str">
        <f aca="false">"J"&amp;E165&amp;"\"&amp;F165&amp;"\"&amp;G165&amp;"\"&amp;W165</f>
        <v>J7\1716\2011\1</v>
      </c>
      <c r="I165" s="0"/>
      <c r="J165" s="1" t="n">
        <v>40821</v>
      </c>
      <c r="K165" s="0" t="n">
        <v>0</v>
      </c>
      <c r="M165" s="1"/>
      <c r="N165" s="1"/>
      <c r="O165" s="1"/>
      <c r="P165" s="1"/>
      <c r="Q165" s="1"/>
      <c r="T165" s="121"/>
      <c r="U165" s="121"/>
      <c r="V165" s="122" t="n">
        <f aca="false">IF(AND(E165&gt;0,F165&gt;0,G165&gt;0),COUNTIFS($E:$E,E165,$F:$F,F165,$G:$G,G165),"")</f>
        <v>1</v>
      </c>
      <c r="W165" s="122" t="n">
        <f aca="false">IF(V165="","",IF(V165=1,1,IF(AND(E164=E165,F164=F165,G164=G165),W164+1,1)))</f>
        <v>1</v>
      </c>
      <c r="X165" s="0" t="n">
        <v>1</v>
      </c>
      <c r="Y165" s="0" t="n">
        <v>3</v>
      </c>
      <c r="Z165" s="0" t="s">
        <v>1936</v>
      </c>
      <c r="AA165" s="0" t="n">
        <v>0</v>
      </c>
      <c r="AB165" s="0" t="s">
        <v>1923</v>
      </c>
      <c r="AD165" s="0" t="s">
        <v>1888</v>
      </c>
      <c r="AE165" s="0" t="n">
        <v>0</v>
      </c>
      <c r="AF165" s="0" t="s">
        <v>1937</v>
      </c>
      <c r="AG165" s="0" t="n">
        <v>0</v>
      </c>
      <c r="AH165" s="0" t="s">
        <v>1938</v>
      </c>
      <c r="AI165" s="0" t="s">
        <v>1939</v>
      </c>
      <c r="AJ165" s="0" t="s">
        <v>1903</v>
      </c>
      <c r="AL165" s="0" t="s">
        <v>1940</v>
      </c>
      <c r="AM165" s="0" t="n">
        <v>0</v>
      </c>
      <c r="AN165" s="0" t="s">
        <v>1938</v>
      </c>
      <c r="AO165" s="0" t="s">
        <v>1939</v>
      </c>
      <c r="AP165" s="0" t="s">
        <v>1941</v>
      </c>
      <c r="AR165" s="0" t="s">
        <v>1909</v>
      </c>
      <c r="AS165" s="0" t="n">
        <v>1</v>
      </c>
      <c r="AT165" s="0" t="s">
        <v>1938</v>
      </c>
      <c r="AU165" s="0" t="s">
        <v>1939</v>
      </c>
      <c r="AV165" s="0" t="s">
        <v>1941</v>
      </c>
      <c r="BR165" s="0" t="n">
        <v>3</v>
      </c>
      <c r="BS165" s="0" t="s">
        <v>1942</v>
      </c>
      <c r="BT165" s="0" t="s">
        <v>1933</v>
      </c>
      <c r="BU165" s="0" t="s">
        <v>1934</v>
      </c>
      <c r="BV165" s="123"/>
      <c r="BW165" s="123"/>
      <c r="BX165" s="123"/>
      <c r="BY165" s="123"/>
      <c r="BZ165" s="0" t="n">
        <v>0</v>
      </c>
      <c r="CA165" s="0" t="s">
        <v>348</v>
      </c>
      <c r="CD165" s="0" t="s">
        <v>1943</v>
      </c>
      <c r="CE165" s="0" t="n">
        <v>0</v>
      </c>
      <c r="CF165" s="0" t="s">
        <v>1944</v>
      </c>
      <c r="CI165" s="1" t="n">
        <v>40310</v>
      </c>
      <c r="CJ165" s="1" t="n">
        <v>40778</v>
      </c>
      <c r="CK165" s="124" t="n">
        <v>0.708333333333333</v>
      </c>
      <c r="CL165" s="0" t="s">
        <v>1940</v>
      </c>
      <c r="CM165" s="0" t="n">
        <f aca="false">IF(OR(CI165="",CJ165=""),"",DAYS360(CI165,CJ165)/360)</f>
        <v>1.28055555555556</v>
      </c>
      <c r="CN165" s="0" t="n">
        <f aca="false">IF(OR(CI165="",CJ165=""),"",DAYS360(CI165,CJ165)/30)</f>
        <v>15.3666666666667</v>
      </c>
      <c r="CO165" s="0" t="n">
        <f aca="false">IF(OR(CI165="",CJ165=""),"",DAYS360(CI165,CJ165)/7)</f>
        <v>65.8571428571429</v>
      </c>
      <c r="CP165" s="0" t="n">
        <f aca="false">IF(OR(CI165="",CJ165=""),"",DAYS360(CI165,CJ165))</f>
        <v>461</v>
      </c>
      <c r="CQ165" s="0" t="s">
        <v>1898</v>
      </c>
      <c r="CR165" s="0" t="n">
        <v>1</v>
      </c>
      <c r="CT165" s="0" t="n">
        <v>110</v>
      </c>
      <c r="CU165" s="0" t="n">
        <v>0</v>
      </c>
      <c r="CV165" s="0" t="n">
        <f aca="false">IF(OR(CT165="",CT165="NO ESPECIFICA",CT165="NO MENCIONA"),"",IF(CU165=0,CT165,IF(CU165=1,CT165/30,IF(CU165=2,CT165/15,IF(CU165=3,CT165/7,"")))))</f>
        <v>110</v>
      </c>
      <c r="CW165" s="125" t="n">
        <v>114.52</v>
      </c>
      <c r="CX165" s="0" t="n">
        <v>0</v>
      </c>
      <c r="CY165" s="0" t="n">
        <f aca="false">IF(CW165="","",IF(CX165=0,CW165,IF(CX165=1,CW165/30,IF(CX165=2,CW165/15,IF(CX165=3,CW165/7,CW165)))))</f>
        <v>114.52</v>
      </c>
      <c r="CZ165" s="0" t="n">
        <f aca="false">IF(DI165&gt;0,DI165,IF(CY165&gt;0,CY165,IF(CV165&gt;0,CV165,"")))</f>
        <v>114.52</v>
      </c>
      <c r="DA165" s="0" t="n">
        <f aca="false">IF(DM165=1,CZ165/8,IF(OR(DM165=2,DM165=4),CZ165/7,IF(DM165=3,CZ165/7.5,"")))</f>
        <v>14.315</v>
      </c>
      <c r="DB165" s="0" t="s">
        <v>1945</v>
      </c>
      <c r="DC165" s="0" t="s">
        <v>1935</v>
      </c>
      <c r="DD165" s="0" t="s">
        <v>1895</v>
      </c>
      <c r="DE165" s="0" t="s">
        <v>1895</v>
      </c>
      <c r="DF165" s="0" t="s">
        <v>1895</v>
      </c>
      <c r="DG165" s="0" t="s">
        <v>1895</v>
      </c>
      <c r="DH165" s="0" t="n">
        <v>0</v>
      </c>
      <c r="DI165" s="126" t="n">
        <v>114.52</v>
      </c>
      <c r="DK165" s="0" t="n">
        <v>0</v>
      </c>
      <c r="DM165" s="0" t="n">
        <v>1</v>
      </c>
      <c r="DN165" s="0" t="n">
        <v>42</v>
      </c>
      <c r="DO165" s="0" t="n">
        <v>3</v>
      </c>
      <c r="DP165" s="0" t="n">
        <v>0</v>
      </c>
      <c r="DQ165" s="0" t="n">
        <v>1</v>
      </c>
      <c r="DR165" s="0"/>
      <c r="DS165" s="0" t="n">
        <v>1</v>
      </c>
      <c r="DU165" s="0" t="n">
        <v>1</v>
      </c>
      <c r="DW165" s="1" t="n">
        <v>40310</v>
      </c>
      <c r="DX165" s="1" t="n">
        <v>40778</v>
      </c>
      <c r="DZ165" s="0"/>
      <c r="EA165" s="0" t="n">
        <v>1</v>
      </c>
      <c r="EC165" s="1" t="n">
        <v>40310</v>
      </c>
      <c r="ED165" s="1" t="n">
        <v>40778</v>
      </c>
      <c r="EF165" s="0"/>
      <c r="EG165" s="0" t="n">
        <v>0</v>
      </c>
      <c r="EI165" s="0" t="str">
        <f aca="false">IF(AND(DM165=1,DN165&lt;=48),"",IF(AND(DM165=2,DN165&lt;=42),"",IF(AND(DM165=3,DN165&lt;=45),"",EH165)))</f>
        <v/>
      </c>
      <c r="EJ165" s="0" t="str">
        <f aca="false">IF(EI165="","",IF(EI165&lt;9,EI165,9))</f>
        <v/>
      </c>
      <c r="EK165" s="0" t="str">
        <f aca="false">IF(EI165="","",IF(EI165&gt;9,EI165-EJ165,0))</f>
        <v/>
      </c>
      <c r="EL165" s="0" t="str">
        <f aca="false">IF(EI165="","",EJ165*DA165*2+EK165*DA165*3)</f>
        <v/>
      </c>
      <c r="EP165" s="0" t="n">
        <v>0</v>
      </c>
      <c r="EQ165" s="0"/>
      <c r="ER165" s="0" t="n">
        <v>0</v>
      </c>
      <c r="ET165" s="0" t="n">
        <v>0</v>
      </c>
      <c r="EV165" s="0" t="n">
        <v>0</v>
      </c>
      <c r="EX165" s="0" t="n">
        <v>0</v>
      </c>
      <c r="EY165" s="0" t="n">
        <v>0</v>
      </c>
      <c r="EZ165" s="0"/>
      <c r="FA165" s="0"/>
      <c r="FB165" s="0" t="n">
        <v>1</v>
      </c>
      <c r="FF165" s="120" t="n">
        <f aca="false">(CJ165-CI165+1)/365</f>
        <v>1.28493150684932</v>
      </c>
      <c r="FG165" s="0" t="str">
        <f aca="false">CONCATENATE(F165,"/",G165)</f>
        <v>1716/2011</v>
      </c>
      <c r="FH165" s="0" t="n">
        <v>0</v>
      </c>
      <c r="FI165" s="0" t="n">
        <v>0</v>
      </c>
    </row>
    <row r="166" customFormat="false" ht="15" hidden="false" customHeight="false" outlineLevel="0" collapsed="false">
      <c r="A166" s="5" t="str">
        <f aca="false">E166&amp;G166&amp;F166</f>
        <v>720111719</v>
      </c>
      <c r="B166" s="0" t="s">
        <v>1884</v>
      </c>
      <c r="C166" s="1" t="n">
        <v>42411</v>
      </c>
      <c r="E166" s="0" t="n">
        <v>7</v>
      </c>
      <c r="F166" s="0" t="n">
        <v>1719</v>
      </c>
      <c r="G166" s="0" t="n">
        <v>2011</v>
      </c>
      <c r="H166" s="0" t="str">
        <f aca="false">"J"&amp;E166&amp;"\"&amp;F166&amp;"\"&amp;G166&amp;"\"&amp;W166</f>
        <v>J7\1719\2011\1</v>
      </c>
      <c r="I166" s="0"/>
      <c r="J166" s="1" t="n">
        <v>40822</v>
      </c>
      <c r="K166" s="0" t="n">
        <v>0</v>
      </c>
      <c r="M166" s="1"/>
      <c r="N166" s="1"/>
      <c r="O166" s="1"/>
      <c r="P166" s="1"/>
      <c r="Q166" s="1"/>
      <c r="T166" s="121"/>
      <c r="U166" s="121"/>
      <c r="V166" s="122" t="n">
        <f aca="false">IF(AND(E166&gt;0,F166&gt;0,G166&gt;0),COUNTIFS($E:$E,E166,$F:$F,F166,$G:$G,G166),"")</f>
        <v>1</v>
      </c>
      <c r="W166" s="122" t="n">
        <f aca="false">IF(V166="","",IF(V166=1,1,IF(AND(E165=E166,F165=F166,G165=G166),W165+1,1)))</f>
        <v>1</v>
      </c>
      <c r="X166" s="0" t="n">
        <v>1</v>
      </c>
      <c r="Y166" s="0" t="n">
        <v>7</v>
      </c>
      <c r="Z166" s="0" t="s">
        <v>1946</v>
      </c>
      <c r="AA166" s="0" t="n">
        <v>0</v>
      </c>
      <c r="AB166" s="0" t="s">
        <v>1947</v>
      </c>
      <c r="AE166" s="0" t="n">
        <v>0</v>
      </c>
      <c r="AF166" s="0" t="s">
        <v>1948</v>
      </c>
      <c r="AG166" s="0" t="n">
        <v>0</v>
      </c>
      <c r="AH166" s="0" t="s">
        <v>1949</v>
      </c>
      <c r="AI166" s="0" t="s">
        <v>1353</v>
      </c>
      <c r="AJ166" s="0" t="s">
        <v>1950</v>
      </c>
      <c r="AL166" s="0" t="s">
        <v>1951</v>
      </c>
      <c r="AM166" s="0" t="n">
        <v>0</v>
      </c>
      <c r="AN166" s="0" t="s">
        <v>1949</v>
      </c>
      <c r="AO166" s="0" t="s">
        <v>1353</v>
      </c>
      <c r="AP166" s="0" t="s">
        <v>1950</v>
      </c>
      <c r="AR166" s="0" t="s">
        <v>1952</v>
      </c>
      <c r="AS166" s="0" t="n">
        <v>0</v>
      </c>
      <c r="AT166" s="0" t="s">
        <v>1949</v>
      </c>
      <c r="AU166" s="0" t="s">
        <v>1353</v>
      </c>
      <c r="AV166" s="0" t="s">
        <v>1950</v>
      </c>
      <c r="AX166" s="0" t="s">
        <v>1953</v>
      </c>
      <c r="AY166" s="0" t="n">
        <v>1</v>
      </c>
      <c r="AZ166" s="0" t="s">
        <v>1949</v>
      </c>
      <c r="BA166" s="0" t="s">
        <v>1353</v>
      </c>
      <c r="BB166" s="0" t="s">
        <v>1950</v>
      </c>
      <c r="BD166" s="0" t="s">
        <v>1954</v>
      </c>
      <c r="BE166" s="0" t="n">
        <v>1</v>
      </c>
      <c r="BF166" s="0" t="s">
        <v>1949</v>
      </c>
      <c r="BG166" s="0" t="s">
        <v>1353</v>
      </c>
      <c r="BH166" s="0" t="s">
        <v>1950</v>
      </c>
      <c r="BJ166" s="0" t="s">
        <v>1955</v>
      </c>
      <c r="BK166" s="0" t="n">
        <v>1</v>
      </c>
      <c r="BL166" s="0" t="s">
        <v>1949</v>
      </c>
      <c r="BM166" s="0" t="s">
        <v>1353</v>
      </c>
      <c r="BN166" s="0" t="s">
        <v>1950</v>
      </c>
      <c r="BR166" s="0" t="n">
        <v>1</v>
      </c>
      <c r="BS166" s="0" t="s">
        <v>1956</v>
      </c>
      <c r="BT166" s="0" t="s">
        <v>1957</v>
      </c>
      <c r="BU166" s="0" t="s">
        <v>1958</v>
      </c>
      <c r="BV166" s="123"/>
      <c r="BW166" s="123"/>
      <c r="BX166" s="123"/>
      <c r="BY166" s="123"/>
      <c r="BZ166" s="0" t="n">
        <v>0</v>
      </c>
      <c r="CA166" s="0" t="s">
        <v>1895</v>
      </c>
      <c r="CD166" s="0" t="s">
        <v>1919</v>
      </c>
      <c r="CE166" s="0" t="n">
        <v>0</v>
      </c>
      <c r="CF166" s="0" t="s">
        <v>1959</v>
      </c>
      <c r="CI166" s="1" t="n">
        <v>36469</v>
      </c>
      <c r="CJ166" s="1" t="n">
        <v>40806</v>
      </c>
      <c r="CK166" s="124" t="n">
        <v>0.375</v>
      </c>
      <c r="CL166" s="0" t="s">
        <v>1953</v>
      </c>
      <c r="CM166" s="0" t="n">
        <f aca="false">IF(OR(CI166="",CJ166=""),"",DAYS360(CI166,CJ166)/360)</f>
        <v>11.875</v>
      </c>
      <c r="CN166" s="0" t="n">
        <f aca="false">IF(OR(CI166="",CJ166=""),"",DAYS360(CI166,CJ166)/30)</f>
        <v>142.5</v>
      </c>
      <c r="CO166" s="0" t="n">
        <f aca="false">IF(OR(CI166="",CJ166=""),"",DAYS360(CI166,CJ166)/7)</f>
        <v>610.714285714286</v>
      </c>
      <c r="CP166" s="0" t="n">
        <f aca="false">IF(OR(CI166="",CJ166=""),"",DAYS360(CI166,CJ166))</f>
        <v>4275</v>
      </c>
      <c r="CQ166" s="0" t="s">
        <v>1898</v>
      </c>
      <c r="CR166" s="0" t="n">
        <v>1</v>
      </c>
      <c r="CT166" s="0" t="n">
        <v>250</v>
      </c>
      <c r="CU166" s="0" t="n">
        <v>0</v>
      </c>
      <c r="CV166" s="0" t="n">
        <f aca="false">IF(OR(CT166="",CT166="NO ESPECIFICA",CT166="NO MENCIONA"),"",IF(CU166=0,CT166,IF(CU166=1,CT166/30,IF(CU166=2,CT166/15,IF(CU166=3,CT166/7,"")))))</f>
        <v>250</v>
      </c>
      <c r="CW166" s="125" t="n">
        <v>201.38</v>
      </c>
      <c r="CX166" s="0" t="n">
        <v>0</v>
      </c>
      <c r="CY166" s="0" t="n">
        <f aca="false">IF(CW166="","",IF(CX166=0,CW166,IF(CX166=1,CW166/30,IF(CX166=2,CW166/15,IF(CX166=3,CW166/7,CW166)))))</f>
        <v>201.38</v>
      </c>
      <c r="CZ166" s="0" t="n">
        <f aca="false">IF(DI166&gt;0,DI166,IF(CY166&gt;0,CY166,IF(CV166&gt;0,CV166,"")))</f>
        <v>301.38</v>
      </c>
      <c r="DA166" s="0" t="n">
        <f aca="false">IF(DM166=1,CZ166/8,IF(OR(DM166=2,DM166=4),CZ166/7,IF(DM166=3,CZ166/7.5,"")))</f>
        <v>37.6725</v>
      </c>
      <c r="DB166" s="0" t="s">
        <v>1960</v>
      </c>
      <c r="DC166" s="0" t="s">
        <v>1935</v>
      </c>
      <c r="DD166" s="0" t="s">
        <v>1945</v>
      </c>
      <c r="DE166" s="0" t="s">
        <v>1895</v>
      </c>
      <c r="DF166" s="0" t="s">
        <v>1895</v>
      </c>
      <c r="DG166" s="0" t="s">
        <v>1895</v>
      </c>
      <c r="DH166" s="0" t="n">
        <v>0</v>
      </c>
      <c r="DI166" s="126" t="n">
        <v>301.38</v>
      </c>
      <c r="DK166" s="0" t="n">
        <v>0</v>
      </c>
      <c r="DM166" s="0" t="n">
        <v>1</v>
      </c>
      <c r="DN166" s="0" t="n">
        <v>66</v>
      </c>
      <c r="DO166" s="0" t="n">
        <v>3</v>
      </c>
      <c r="DP166" s="0" t="n">
        <v>0</v>
      </c>
      <c r="DQ166" s="0" t="n">
        <v>1</v>
      </c>
      <c r="DR166" s="0"/>
      <c r="DS166" s="0" t="n">
        <v>1</v>
      </c>
      <c r="DU166" s="0" t="n">
        <v>1</v>
      </c>
      <c r="DW166" s="1" t="n">
        <v>36469</v>
      </c>
      <c r="DX166" s="1" t="n">
        <v>40806</v>
      </c>
      <c r="DZ166" s="0"/>
      <c r="EA166" s="0" t="n">
        <v>1</v>
      </c>
      <c r="EC166" s="1" t="n">
        <v>36469</v>
      </c>
      <c r="ED166" s="1" t="n">
        <v>40806</v>
      </c>
      <c r="EF166" s="0"/>
      <c r="EG166" s="0" t="n">
        <v>1</v>
      </c>
      <c r="EH166" s="0" t="n">
        <v>18</v>
      </c>
      <c r="EI166" s="0" t="n">
        <f aca="false">IF(AND(DM166=1,DN166&lt;=48),"",IF(AND(DM166=2,DN166&lt;=42),"",IF(AND(DM166=3,DN166&lt;=45),"",EH166)))</f>
        <v>18</v>
      </c>
      <c r="EJ166" s="0" t="n">
        <f aca="false">IF(EI166="","",IF(EI166&lt;9,EI166,9))</f>
        <v>9</v>
      </c>
      <c r="EK166" s="0" t="n">
        <f aca="false">IF(EI166="","",IF(EI166&gt;9,EI166-EJ166,0))</f>
        <v>9</v>
      </c>
      <c r="EL166" s="0" t="n">
        <f aca="false">IF(EI166="","",EJ166*DA166*2+EK166*DA166*3)</f>
        <v>1695.2625</v>
      </c>
      <c r="EP166" s="0" t="n">
        <v>0</v>
      </c>
      <c r="EQ166" s="0"/>
      <c r="ER166" s="0" t="n">
        <v>0</v>
      </c>
      <c r="ET166" s="0" t="n">
        <v>1</v>
      </c>
      <c r="EV166" s="0" t="n">
        <v>1</v>
      </c>
      <c r="EX166" s="0" t="n">
        <v>1</v>
      </c>
      <c r="EY166" s="0" t="n">
        <v>1</v>
      </c>
      <c r="EZ166" s="0"/>
      <c r="FA166" s="4" t="n">
        <f aca="false">49*DI166</f>
        <v>14767.62</v>
      </c>
      <c r="FB166" s="0" t="n">
        <v>1</v>
      </c>
      <c r="FF166" s="120" t="n">
        <f aca="false">(CJ166-CI166+1)/365</f>
        <v>11.8849315068493</v>
      </c>
      <c r="FG166" s="0" t="str">
        <f aca="false">CONCATENATE(F166,"/",G166)</f>
        <v>1719/2011</v>
      </c>
      <c r="FH166" s="0" t="n">
        <v>0</v>
      </c>
      <c r="FI166" s="0" t="n">
        <v>0</v>
      </c>
    </row>
    <row r="167" customFormat="false" ht="15" hidden="false" customHeight="false" outlineLevel="0" collapsed="false">
      <c r="A167" s="5" t="str">
        <f aca="false">E167&amp;G167&amp;F167</f>
        <v>720111720</v>
      </c>
      <c r="B167" s="0" t="s">
        <v>1884</v>
      </c>
      <c r="C167" s="1" t="n">
        <v>42411</v>
      </c>
      <c r="E167" s="0" t="n">
        <v>7</v>
      </c>
      <c r="F167" s="0" t="n">
        <v>1720</v>
      </c>
      <c r="G167" s="0" t="n">
        <v>2011</v>
      </c>
      <c r="H167" s="0" t="str">
        <f aca="false">"J"&amp;E167&amp;"\"&amp;F167&amp;"\"&amp;G167&amp;"\"&amp;W167</f>
        <v>J7\1720\2011\1</v>
      </c>
      <c r="I167" s="0"/>
      <c r="J167" s="1" t="n">
        <v>40822</v>
      </c>
      <c r="K167" s="0" t="n">
        <v>0</v>
      </c>
      <c r="M167" s="1" t="n">
        <v>40822</v>
      </c>
      <c r="N167" s="1" t="n">
        <v>41073</v>
      </c>
      <c r="O167" s="1"/>
      <c r="P167" s="1"/>
      <c r="Q167" s="1"/>
      <c r="T167" s="121"/>
      <c r="U167" s="121"/>
      <c r="V167" s="122" t="n">
        <f aca="false">IF(AND(E167&gt;0,F167&gt;0,G167&gt;0),COUNTIFS($E:$E,E167,$F:$F,F167,$G:$G,G167),"")</f>
        <v>1</v>
      </c>
      <c r="W167" s="122" t="n">
        <f aca="false">IF(V167="","",IF(V167=1,1,IF(AND(E166=E167,F166=F167,G166=G167),W166+1,1)))</f>
        <v>1</v>
      </c>
      <c r="X167" s="0" t="n">
        <v>1</v>
      </c>
      <c r="Y167" s="0" t="n">
        <v>7</v>
      </c>
      <c r="Z167" s="0" t="s">
        <v>1961</v>
      </c>
      <c r="AA167" s="0" t="n">
        <v>0</v>
      </c>
      <c r="AB167" s="0" t="s">
        <v>1962</v>
      </c>
      <c r="AC167" s="0" t="s">
        <v>1963</v>
      </c>
      <c r="AD167" s="0" t="s">
        <v>1888</v>
      </c>
      <c r="AE167" s="0" t="n">
        <v>0</v>
      </c>
      <c r="AF167" s="0" t="s">
        <v>1964</v>
      </c>
      <c r="AG167" s="0" t="n">
        <v>0</v>
      </c>
      <c r="AH167" s="0" t="s">
        <v>1965</v>
      </c>
      <c r="AI167" s="0" t="s">
        <v>235</v>
      </c>
      <c r="AJ167" s="0" t="s">
        <v>1903</v>
      </c>
      <c r="AL167" s="0" t="s">
        <v>1966</v>
      </c>
      <c r="AM167" s="0" t="n">
        <v>0</v>
      </c>
      <c r="AN167" s="0" t="s">
        <v>1967</v>
      </c>
      <c r="AO167" s="0" t="s">
        <v>1968</v>
      </c>
      <c r="AP167" s="0" t="s">
        <v>322</v>
      </c>
      <c r="AR167" s="0" t="s">
        <v>1969</v>
      </c>
      <c r="AS167" s="0" t="n">
        <v>1</v>
      </c>
      <c r="AT167" s="0" t="s">
        <v>1965</v>
      </c>
      <c r="AU167" s="0" t="s">
        <v>235</v>
      </c>
      <c r="AV167" s="0" t="s">
        <v>1903</v>
      </c>
      <c r="AX167" s="0" t="s">
        <v>1970</v>
      </c>
      <c r="AY167" s="0" t="n">
        <v>1</v>
      </c>
      <c r="AZ167" s="0" t="s">
        <v>1965</v>
      </c>
      <c r="BA167" s="0" t="s">
        <v>235</v>
      </c>
      <c r="BB167" s="0" t="s">
        <v>1903</v>
      </c>
      <c r="BD167" s="0" t="s">
        <v>1931</v>
      </c>
      <c r="BE167" s="0" t="n">
        <v>1</v>
      </c>
      <c r="BF167" s="0" t="s">
        <v>1965</v>
      </c>
      <c r="BG167" s="0" t="s">
        <v>235</v>
      </c>
      <c r="BH167" s="0" t="s">
        <v>1903</v>
      </c>
      <c r="BJ167" s="0" t="s">
        <v>249</v>
      </c>
      <c r="BK167" s="0" t="n">
        <v>0</v>
      </c>
      <c r="BL167" s="0" t="s">
        <v>1971</v>
      </c>
      <c r="BM167" s="0" t="s">
        <v>410</v>
      </c>
      <c r="BN167" s="0" t="s">
        <v>1972</v>
      </c>
      <c r="BR167" s="0" t="n">
        <v>1</v>
      </c>
      <c r="BS167" s="0" t="s">
        <v>1973</v>
      </c>
      <c r="BT167" s="0" t="s">
        <v>1974</v>
      </c>
      <c r="BU167" s="0" t="s">
        <v>1975</v>
      </c>
      <c r="BV167" s="123"/>
      <c r="BW167" s="123"/>
      <c r="BX167" s="123"/>
      <c r="BY167" s="123"/>
      <c r="BZ167" s="0" t="n">
        <v>0</v>
      </c>
      <c r="CA167" s="0" t="s">
        <v>1895</v>
      </c>
      <c r="CD167" s="0" t="s">
        <v>1976</v>
      </c>
      <c r="CE167" s="0" t="n">
        <v>0</v>
      </c>
      <c r="CF167" s="0" t="s">
        <v>1977</v>
      </c>
      <c r="CI167" s="1" t="n">
        <v>36943</v>
      </c>
      <c r="CJ167" s="1" t="n">
        <v>40762</v>
      </c>
      <c r="CK167" s="124" t="n">
        <v>0.583333333333333</v>
      </c>
      <c r="CL167" s="0" t="s">
        <v>1969</v>
      </c>
      <c r="CM167" s="0" t="n">
        <f aca="false">IF(OR(CI167="",CJ167=""),"",DAYS360(CI167,CJ167)/360)</f>
        <v>10.4611111111111</v>
      </c>
      <c r="CN167" s="0" t="n">
        <f aca="false">IF(OR(CI167="",CJ167=""),"",DAYS360(CI167,CJ167)/30)</f>
        <v>125.533333333333</v>
      </c>
      <c r="CO167" s="0" t="n">
        <f aca="false">IF(OR(CI167="",CJ167=""),"",DAYS360(CI167,CJ167)/7)</f>
        <v>538</v>
      </c>
      <c r="CP167" s="0" t="n">
        <f aca="false">IF(OR(CI167="",CJ167=""),"",DAYS360(CI167,CJ167))</f>
        <v>3766</v>
      </c>
      <c r="CQ167" s="0" t="s">
        <v>1898</v>
      </c>
      <c r="CR167" s="0" t="n">
        <v>1</v>
      </c>
      <c r="CT167" s="0" t="n">
        <v>333.33</v>
      </c>
      <c r="CU167" s="0" t="n">
        <v>0</v>
      </c>
      <c r="CV167" s="0" t="n">
        <f aca="false">IF(OR(CT167="",CT167="NO ESPECIFICA",CT167="NO MENCIONA"),"",IF(CU167=0,CT167,IF(CU167=1,CT167/30,IF(CU167=2,CT167/15,IF(CU167=3,CT167/7,"")))))</f>
        <v>333.33</v>
      </c>
      <c r="CW167" s="125" t="s">
        <v>1899</v>
      </c>
      <c r="CX167" s="0" t="s">
        <v>1978</v>
      </c>
      <c r="CY167" s="0" t="str">
        <f aca="false">IF(CW167="","",IF(CX167=0,CW167,IF(CX167=1,CW167/30,IF(CX167=2,CW167/15,IF(CX167=3,CW167/7,CW167)))))</f>
        <v>NO ESPECIFICA </v>
      </c>
      <c r="CZ167" s="0" t="n">
        <f aca="false">IF(DI167&gt;0,DI167,IF(CY167&gt;0,CY167,IF(CV167&gt;0,CV167,"")))</f>
        <v>333.33</v>
      </c>
      <c r="DA167" s="0" t="n">
        <f aca="false">IF(DM167=1,CZ167/8,IF(OR(DM167=2,DM167=4),CZ167/7,IF(DM167=3,CZ167/7.5,"")))</f>
        <v>41.66625</v>
      </c>
      <c r="DB167" s="0" t="s">
        <v>1895</v>
      </c>
      <c r="DC167" s="0" t="s">
        <v>1895</v>
      </c>
      <c r="DD167" s="0" t="s">
        <v>1895</v>
      </c>
      <c r="DE167" s="0" t="s">
        <v>1895</v>
      </c>
      <c r="DF167" s="0" t="s">
        <v>1895</v>
      </c>
      <c r="DG167" s="0" t="s">
        <v>1895</v>
      </c>
      <c r="DH167" s="0" t="n">
        <v>0</v>
      </c>
      <c r="DI167" s="126" t="n">
        <v>333.33</v>
      </c>
      <c r="DK167" s="0" t="n">
        <v>1</v>
      </c>
      <c r="DM167" s="0" t="n">
        <v>1</v>
      </c>
      <c r="DN167" s="0" t="n">
        <v>84</v>
      </c>
      <c r="DO167" s="0" t="n">
        <v>3</v>
      </c>
      <c r="DP167" s="0" t="n">
        <v>0</v>
      </c>
      <c r="DQ167" s="0" t="n">
        <v>1</v>
      </c>
      <c r="DR167" s="0"/>
      <c r="DS167" s="0" t="n">
        <v>1</v>
      </c>
      <c r="DU167" s="0" t="n">
        <v>1</v>
      </c>
      <c r="DW167" s="1" t="n">
        <v>40756</v>
      </c>
      <c r="DX167" s="1" t="n">
        <v>40762</v>
      </c>
      <c r="DZ167" s="0"/>
      <c r="EA167" s="0" t="n">
        <v>1</v>
      </c>
      <c r="EC167" s="1" t="n">
        <v>40756</v>
      </c>
      <c r="ED167" s="1" t="n">
        <v>40762</v>
      </c>
      <c r="EF167" s="0"/>
      <c r="EG167" s="0" t="n">
        <v>1</v>
      </c>
      <c r="EH167" s="0" t="n">
        <v>21</v>
      </c>
      <c r="EI167" s="0" t="n">
        <f aca="false">IF(AND(DM167=1,DN167&lt;=48),"",IF(AND(DM167=2,DN167&lt;=42),"",IF(AND(DM167=3,DN167&lt;=45),"",EH167)))</f>
        <v>21</v>
      </c>
      <c r="EJ167" s="0" t="n">
        <f aca="false">IF(EI167="","",IF(EI167&lt;9,EI167,9))</f>
        <v>9</v>
      </c>
      <c r="EK167" s="0" t="n">
        <f aca="false">IF(EI167="","",IF(EI167&gt;9,EI167-EJ167,0))</f>
        <v>12</v>
      </c>
      <c r="EL167" s="0" t="n">
        <f aca="false">IF(EI167="","",EJ167*DA167*2+EK167*DA167*3)</f>
        <v>2249.9775</v>
      </c>
      <c r="EP167" s="0" t="n">
        <v>0</v>
      </c>
      <c r="EQ167" s="0"/>
      <c r="ER167" s="0" t="n">
        <v>0</v>
      </c>
      <c r="ET167" s="0" t="n">
        <v>1</v>
      </c>
      <c r="EV167" s="0" t="n">
        <v>0</v>
      </c>
      <c r="EX167" s="0" t="n">
        <v>1</v>
      </c>
      <c r="EY167" s="0" t="n">
        <v>1</v>
      </c>
      <c r="EZ167" s="0"/>
      <c r="FA167" s="4" t="n">
        <f aca="false">60*DI167</f>
        <v>19999.8</v>
      </c>
      <c r="FB167" s="0" t="n">
        <v>1</v>
      </c>
      <c r="FF167" s="120" t="n">
        <f aca="false">(CJ167-CI167+1)/365</f>
        <v>10.4657534246575</v>
      </c>
      <c r="FG167" s="0" t="str">
        <f aca="false">CONCATENATE(F167,"/",G167)</f>
        <v>1720/2011</v>
      </c>
      <c r="FH167" s="0" t="n">
        <v>0</v>
      </c>
      <c r="FI167" s="0" t="n">
        <v>0</v>
      </c>
    </row>
    <row r="168" customFormat="false" ht="15" hidden="false" customHeight="false" outlineLevel="0" collapsed="false">
      <c r="A168" s="5" t="str">
        <f aca="false">E168&amp;G168&amp;F168</f>
        <v>720111721</v>
      </c>
      <c r="B168" s="0" t="s">
        <v>1884</v>
      </c>
      <c r="C168" s="1" t="n">
        <v>42411</v>
      </c>
      <c r="E168" s="0" t="n">
        <v>7</v>
      </c>
      <c r="F168" s="0" t="n">
        <v>1721</v>
      </c>
      <c r="G168" s="0" t="n">
        <v>2011</v>
      </c>
      <c r="H168" s="0" t="str">
        <f aca="false">"J"&amp;E168&amp;"\"&amp;F168&amp;"\"&amp;G168&amp;"\"&amp;W168</f>
        <v>J7\1721\2011\1</v>
      </c>
      <c r="I168" s="0"/>
      <c r="J168" s="1" t="n">
        <v>40822</v>
      </c>
      <c r="K168" s="0" t="n">
        <v>0</v>
      </c>
      <c r="M168" s="1"/>
      <c r="N168" s="1"/>
      <c r="O168" s="1"/>
      <c r="P168" s="1"/>
      <c r="Q168" s="1"/>
      <c r="T168" s="121"/>
      <c r="U168" s="121"/>
      <c r="V168" s="122" t="n">
        <f aca="false">IF(AND(E168&gt;0,F168&gt;0,G168&gt;0),COUNTIFS($E:$E,E168,$F:$F,F168,$G:$G,G168),"")</f>
        <v>2</v>
      </c>
      <c r="W168" s="122" t="n">
        <f aca="false">IF(V168="","",IF(V168=1,1,IF(AND(E167=E168,F167=F168,G167=G168),W167+1,1)))</f>
        <v>1</v>
      </c>
      <c r="X168" s="0" t="n">
        <v>2</v>
      </c>
      <c r="Y168" s="0" t="n">
        <v>10</v>
      </c>
      <c r="Z168" s="0" t="s">
        <v>1979</v>
      </c>
      <c r="AA168" s="0" t="n">
        <v>0</v>
      </c>
      <c r="AB168" s="0" t="s">
        <v>1980</v>
      </c>
      <c r="AC168" s="0" t="s">
        <v>1981</v>
      </c>
      <c r="AD168" s="0" t="s">
        <v>1903</v>
      </c>
      <c r="AE168" s="0" t="n">
        <v>0</v>
      </c>
      <c r="AF168" s="0" t="s">
        <v>1982</v>
      </c>
      <c r="AG168" s="0" t="n">
        <v>0</v>
      </c>
      <c r="AH168" s="0" t="s">
        <v>1983</v>
      </c>
      <c r="AI168" s="0" t="s">
        <v>1984</v>
      </c>
      <c r="AJ168" s="0" t="s">
        <v>1985</v>
      </c>
      <c r="AL168" s="0" t="s">
        <v>1986</v>
      </c>
      <c r="AM168" s="0" t="n">
        <v>0</v>
      </c>
      <c r="AN168" s="0" t="s">
        <v>1983</v>
      </c>
      <c r="AO168" s="0" t="s">
        <v>1984</v>
      </c>
      <c r="AP168" s="0" t="s">
        <v>1985</v>
      </c>
      <c r="AR168" s="0" t="s">
        <v>1987</v>
      </c>
      <c r="AS168" s="0" t="n">
        <v>0</v>
      </c>
      <c r="AT168" s="0" t="s">
        <v>1983</v>
      </c>
      <c r="AU168" s="0" t="s">
        <v>1984</v>
      </c>
      <c r="AV168" s="0" t="s">
        <v>1985</v>
      </c>
      <c r="AX168" s="0" t="s">
        <v>1988</v>
      </c>
      <c r="AY168" s="0" t="n">
        <v>0</v>
      </c>
      <c r="AZ168" s="0" t="s">
        <v>1983</v>
      </c>
      <c r="BA168" s="0" t="s">
        <v>1984</v>
      </c>
      <c r="BB168" s="0" t="s">
        <v>1985</v>
      </c>
      <c r="BD168" s="0" t="s">
        <v>1989</v>
      </c>
      <c r="BE168" s="0" t="n">
        <v>0</v>
      </c>
      <c r="BF168" s="0" t="s">
        <v>1983</v>
      </c>
      <c r="BG168" s="0" t="s">
        <v>1984</v>
      </c>
      <c r="BH168" s="0" t="s">
        <v>1985</v>
      </c>
      <c r="BJ168" s="0" t="s">
        <v>1990</v>
      </c>
      <c r="BK168" s="0" t="n">
        <v>0</v>
      </c>
      <c r="BL168" s="0" t="s">
        <v>1983</v>
      </c>
      <c r="BM168" s="0" t="s">
        <v>1984</v>
      </c>
      <c r="BN168" s="0" t="s">
        <v>1985</v>
      </c>
      <c r="BR168" s="0" t="n">
        <v>1</v>
      </c>
      <c r="BS168" s="0" t="s">
        <v>1991</v>
      </c>
      <c r="BT168" s="0" t="s">
        <v>1992</v>
      </c>
      <c r="BU168" s="0" t="s">
        <v>1993</v>
      </c>
      <c r="BV168" s="123"/>
      <c r="BW168" s="123"/>
      <c r="BX168" s="123"/>
      <c r="BY168" s="123"/>
      <c r="BZ168" s="0" t="n">
        <v>0</v>
      </c>
      <c r="CA168" s="0" t="s">
        <v>1994</v>
      </c>
      <c r="CD168" s="0" t="s">
        <v>370</v>
      </c>
      <c r="CE168" s="0" t="n">
        <v>0</v>
      </c>
      <c r="CF168" s="0" t="s">
        <v>1995</v>
      </c>
      <c r="CI168" s="1" t="n">
        <v>39114</v>
      </c>
      <c r="CJ168" s="1" t="n">
        <v>40787</v>
      </c>
      <c r="CK168" s="124" t="n">
        <v>0.416666666666667</v>
      </c>
      <c r="CL168" s="0" t="s">
        <v>1996</v>
      </c>
      <c r="CM168" s="0" t="n">
        <f aca="false">IF(OR(CI168="",CJ168=""),"",DAYS360(CI168,CJ168)/360)</f>
        <v>4.58333333333333</v>
      </c>
      <c r="CN168" s="0" t="n">
        <f aca="false">IF(OR(CI168="",CJ168=""),"",DAYS360(CI168,CJ168)/30)</f>
        <v>55</v>
      </c>
      <c r="CO168" s="0" t="n">
        <f aca="false">IF(OR(CI168="",CJ168=""),"",DAYS360(CI168,CJ168)/7)</f>
        <v>235.714285714286</v>
      </c>
      <c r="CP168" s="0" t="n">
        <f aca="false">IF(OR(CI168="",CJ168=""),"",DAYS360(CI168,CJ168))</f>
        <v>1650</v>
      </c>
      <c r="CQ168" s="0" t="s">
        <v>1898</v>
      </c>
      <c r="CR168" s="0" t="n">
        <v>1</v>
      </c>
      <c r="CT168" s="0" t="n">
        <v>600</v>
      </c>
      <c r="CU168" s="0" t="n">
        <v>0</v>
      </c>
      <c r="CV168" s="0" t="n">
        <f aca="false">IF(OR(CT168="",CT168="NO ESPECIFICA",CT168="NO MENCIONA"),"",IF(CU168=0,CT168,IF(CU168=1,CT168/30,IF(CU168=2,CT168/15,IF(CU168=3,CT168/7,"")))))</f>
        <v>600</v>
      </c>
      <c r="CW168" s="125" t="n">
        <v>933.33</v>
      </c>
      <c r="CX168" s="0" t="n">
        <v>0</v>
      </c>
      <c r="CY168" s="0" t="n">
        <f aca="false">IF(CW168="","",IF(CX168=0,CW168,IF(CX168=1,CW168/30,IF(CX168=2,CW168/15,IF(CX168=3,CW168/7,CW168)))))</f>
        <v>933.33</v>
      </c>
      <c r="CZ168" s="0" t="n">
        <f aca="false">IF(DI168&gt;0,DI168,IF(CY168&gt;0,CY168,IF(CV168&gt;0,CV168,"")))</f>
        <v>933.33</v>
      </c>
      <c r="DA168" s="0" t="n">
        <f aca="false">IF(DM168=1,CZ168/8,IF(OR(DM168=2,DM168=4),CZ168/7,IF(DM168=3,CZ168/7.5,"")))</f>
        <v>116.66625</v>
      </c>
      <c r="DB168" s="0" t="s">
        <v>1997</v>
      </c>
      <c r="DC168" s="0" t="s">
        <v>1895</v>
      </c>
      <c r="DD168" s="0" t="s">
        <v>1895</v>
      </c>
      <c r="DE168" s="0" t="s">
        <v>1895</v>
      </c>
      <c r="DF168" s="0" t="s">
        <v>1895</v>
      </c>
      <c r="DG168" s="0" t="s">
        <v>1895</v>
      </c>
      <c r="DH168" s="0" t="n">
        <v>0</v>
      </c>
      <c r="DI168" s="126" t="n">
        <v>933.33</v>
      </c>
      <c r="DK168" s="0" t="n">
        <v>0</v>
      </c>
      <c r="DM168" s="0" t="n">
        <v>1</v>
      </c>
      <c r="DN168" s="0" t="n">
        <f aca="false">13.5*6</f>
        <v>81</v>
      </c>
      <c r="DO168" s="0" t="n">
        <v>3</v>
      </c>
      <c r="DP168" s="0" t="n">
        <v>0</v>
      </c>
      <c r="DQ168" s="0" t="n">
        <v>1</v>
      </c>
      <c r="DR168" s="0"/>
      <c r="DS168" s="0" t="n">
        <v>1</v>
      </c>
      <c r="DU168" s="0" t="n">
        <v>0</v>
      </c>
      <c r="DW168" s="1" t="n">
        <v>39114</v>
      </c>
      <c r="DX168" s="1" t="n">
        <v>40787</v>
      </c>
      <c r="DZ168" s="0"/>
      <c r="EA168" s="0" t="n">
        <v>1</v>
      </c>
      <c r="EC168" s="1" t="n">
        <v>39114</v>
      </c>
      <c r="ED168" s="1" t="n">
        <v>40787</v>
      </c>
      <c r="EF168" s="0"/>
      <c r="EG168" s="0" t="n">
        <v>1</v>
      </c>
      <c r="EH168" s="0" t="n">
        <v>30</v>
      </c>
      <c r="EI168" s="0" t="n">
        <f aca="false">IF(AND(DM168=1,DN168&lt;=48),"",IF(AND(DM168=2,DN168&lt;=42),"",IF(AND(DM168=3,DN168&lt;=45),"",EH168)))</f>
        <v>30</v>
      </c>
      <c r="EJ168" s="0" t="n">
        <f aca="false">IF(EI168="","",IF(EI168&lt;9,EI168,9))</f>
        <v>9</v>
      </c>
      <c r="EK168" s="0" t="n">
        <f aca="false">IF(EI168="","",IF(EI168&gt;9,EI168-EJ168,0))</f>
        <v>21</v>
      </c>
      <c r="EL168" s="0" t="n">
        <f aca="false">IF(EI168="","",EJ168*DA168*2+EK168*DA168*3)</f>
        <v>9449.96625</v>
      </c>
      <c r="EP168" s="0" t="n">
        <v>0</v>
      </c>
      <c r="EQ168" s="0"/>
      <c r="ER168" s="0" t="n">
        <v>0</v>
      </c>
      <c r="ET168" s="0" t="n">
        <v>0</v>
      </c>
      <c r="EV168" s="0" t="n">
        <v>0</v>
      </c>
      <c r="EX168" s="0" t="n">
        <v>1</v>
      </c>
      <c r="EY168" s="0" t="n">
        <v>0</v>
      </c>
      <c r="EZ168" s="0"/>
      <c r="FA168" s="0"/>
      <c r="FB168" s="0" t="n">
        <v>0</v>
      </c>
      <c r="FF168" s="120" t="n">
        <f aca="false">(CJ168-CI168+1)/365</f>
        <v>4.58630136986301</v>
      </c>
      <c r="FG168" s="0" t="str">
        <f aca="false">CONCATENATE(F168,"/",G168)</f>
        <v>1721/2011</v>
      </c>
      <c r="FH168" s="0" t="n">
        <v>0</v>
      </c>
      <c r="FI168" s="0" t="n">
        <v>0</v>
      </c>
    </row>
    <row r="169" customFormat="false" ht="15" hidden="false" customHeight="false" outlineLevel="0" collapsed="false">
      <c r="A169" s="5" t="str">
        <f aca="false">E169&amp;G169&amp;F169</f>
        <v>720111721</v>
      </c>
      <c r="B169" s="0" t="s">
        <v>1884</v>
      </c>
      <c r="C169" s="1" t="n">
        <v>42411</v>
      </c>
      <c r="E169" s="0" t="n">
        <v>7</v>
      </c>
      <c r="F169" s="0" t="n">
        <v>1721</v>
      </c>
      <c r="G169" s="0" t="n">
        <v>2011</v>
      </c>
      <c r="H169" s="0" t="str">
        <f aca="false">"J"&amp;E169&amp;"\"&amp;F169&amp;"\"&amp;G169&amp;"\"&amp;W169</f>
        <v>J7\1721\2011\2</v>
      </c>
      <c r="I169" s="0"/>
      <c r="J169" s="1" t="n">
        <v>40822</v>
      </c>
      <c r="K169" s="0" t="n">
        <v>0</v>
      </c>
      <c r="M169" s="1"/>
      <c r="N169" s="1"/>
      <c r="O169" s="1"/>
      <c r="P169" s="1"/>
      <c r="Q169" s="1"/>
      <c r="T169" s="121"/>
      <c r="U169" s="121"/>
      <c r="V169" s="122" t="n">
        <f aca="false">IF(AND(E169&gt;0,F169&gt;0,G169&gt;0),COUNTIFS($E:$E,E169,$F:$F,F169,$G:$G,G169),"")</f>
        <v>2</v>
      </c>
      <c r="W169" s="122" t="n">
        <f aca="false">IF(V169="","",IF(V169=1,1,IF(AND(E168=E169,F168=F169,G168=G169),W168+1,1)))</f>
        <v>2</v>
      </c>
      <c r="X169" s="0" t="n">
        <v>2</v>
      </c>
      <c r="Y169" s="0" t="n">
        <v>10</v>
      </c>
      <c r="Z169" s="0" t="s">
        <v>1998</v>
      </c>
      <c r="AA169" s="0" t="n">
        <v>0</v>
      </c>
      <c r="AB169" s="0" t="s">
        <v>1980</v>
      </c>
      <c r="AC169" s="0" t="s">
        <v>1981</v>
      </c>
      <c r="AD169" s="0" t="s">
        <v>1903</v>
      </c>
      <c r="AE169" s="0" t="n">
        <v>0</v>
      </c>
      <c r="AF169" s="0" t="s">
        <v>1982</v>
      </c>
      <c r="AG169" s="0" t="n">
        <v>0</v>
      </c>
      <c r="AH169" s="0" t="s">
        <v>1983</v>
      </c>
      <c r="AI169" s="0" t="s">
        <v>1984</v>
      </c>
      <c r="AJ169" s="0" t="s">
        <v>1985</v>
      </c>
      <c r="AL169" s="0" t="s">
        <v>1986</v>
      </c>
      <c r="AM169" s="0" t="n">
        <v>0</v>
      </c>
      <c r="AN169" s="0" t="s">
        <v>1983</v>
      </c>
      <c r="AO169" s="0" t="s">
        <v>1984</v>
      </c>
      <c r="AP169" s="0" t="s">
        <v>1985</v>
      </c>
      <c r="AR169" s="0" t="s">
        <v>1987</v>
      </c>
      <c r="AS169" s="0" t="n">
        <v>0</v>
      </c>
      <c r="AT169" s="0" t="s">
        <v>1983</v>
      </c>
      <c r="AU169" s="0" t="s">
        <v>1984</v>
      </c>
      <c r="AV169" s="0" t="s">
        <v>1985</v>
      </c>
      <c r="AX169" s="0" t="s">
        <v>1988</v>
      </c>
      <c r="AY169" s="0" t="n">
        <v>0</v>
      </c>
      <c r="AZ169" s="0" t="s">
        <v>1983</v>
      </c>
      <c r="BA169" s="0" t="s">
        <v>1984</v>
      </c>
      <c r="BB169" s="0" t="s">
        <v>1985</v>
      </c>
      <c r="BD169" s="0" t="s">
        <v>1989</v>
      </c>
      <c r="BE169" s="0" t="n">
        <v>0</v>
      </c>
      <c r="BF169" s="0" t="s">
        <v>1983</v>
      </c>
      <c r="BG169" s="0" t="s">
        <v>1984</v>
      </c>
      <c r="BH169" s="0" t="s">
        <v>1985</v>
      </c>
      <c r="BJ169" s="0" t="s">
        <v>1990</v>
      </c>
      <c r="BK169" s="0" t="n">
        <v>0</v>
      </c>
      <c r="BL169" s="0" t="s">
        <v>1983</v>
      </c>
      <c r="BM169" s="0" t="s">
        <v>1984</v>
      </c>
      <c r="BN169" s="0" t="s">
        <v>1985</v>
      </c>
      <c r="BR169" s="0" t="n">
        <v>1</v>
      </c>
      <c r="BS169" s="0" t="s">
        <v>1991</v>
      </c>
      <c r="BT169" s="0" t="s">
        <v>1992</v>
      </c>
      <c r="BU169" s="0" t="s">
        <v>1993</v>
      </c>
      <c r="BV169" s="123"/>
      <c r="BW169" s="123"/>
      <c r="BX169" s="123"/>
      <c r="BY169" s="123"/>
      <c r="BZ169" s="0" t="n">
        <v>0</v>
      </c>
      <c r="CA169" s="0" t="s">
        <v>1994</v>
      </c>
      <c r="CD169" s="0" t="s">
        <v>370</v>
      </c>
      <c r="CE169" s="0" t="n">
        <v>0</v>
      </c>
      <c r="CF169" s="0" t="s">
        <v>1999</v>
      </c>
      <c r="CI169" s="1" t="n">
        <v>39995</v>
      </c>
      <c r="CJ169" s="1" t="n">
        <v>40787</v>
      </c>
      <c r="CK169" s="124" t="n">
        <v>0.416666666666667</v>
      </c>
      <c r="CL169" s="0" t="s">
        <v>1996</v>
      </c>
      <c r="CM169" s="0" t="n">
        <f aca="false">IF(OR(CI169="",CJ169=""),"",DAYS360(CI169,CJ169)/360)</f>
        <v>2.16666666666667</v>
      </c>
      <c r="CN169" s="0" t="n">
        <f aca="false">IF(OR(CI169="",CJ169=""),"",DAYS360(CI169,CJ169)/30)</f>
        <v>26</v>
      </c>
      <c r="CO169" s="0" t="n">
        <f aca="false">IF(OR(CI169="",CJ169=""),"",DAYS360(CI169,CJ169)/7)</f>
        <v>111.428571428571</v>
      </c>
      <c r="CP169" s="0" t="n">
        <f aca="false">IF(OR(CI169="",CJ169=""),"",DAYS360(CI169,CJ169))</f>
        <v>780</v>
      </c>
      <c r="CQ169" s="0" t="s">
        <v>1898</v>
      </c>
      <c r="CR169" s="0" t="n">
        <v>1</v>
      </c>
      <c r="CT169" s="0" t="n">
        <v>600</v>
      </c>
      <c r="CU169" s="0" t="n">
        <v>0</v>
      </c>
      <c r="CV169" s="0" t="n">
        <f aca="false">IF(OR(CT169="",CT169="NO ESPECIFICA",CT169="NO MENCIONA"),"",IF(CU169=0,CT169,IF(CU169=1,CT169/30,IF(CU169=2,CT169/15,IF(CU169=3,CT169/7,"")))))</f>
        <v>600</v>
      </c>
      <c r="CW169" s="125" t="n">
        <v>933.33</v>
      </c>
      <c r="CX169" s="0" t="n">
        <v>0</v>
      </c>
      <c r="CY169" s="0" t="n">
        <f aca="false">IF(CW169="","",IF(CX169=0,CW169,IF(CX169=1,CW169/30,IF(CX169=2,CW169/15,IF(CX169=3,CW169/7,CW169)))))</f>
        <v>933.33</v>
      </c>
      <c r="CZ169" s="0" t="n">
        <f aca="false">IF(DI169&gt;0,DI169,IF(CY169&gt;0,CY169,IF(CV169&gt;0,CV169,"")))</f>
        <v>933.33</v>
      </c>
      <c r="DA169" s="0" t="n">
        <f aca="false">IF(DM169=1,CZ169/8,IF(OR(DM169=2,DM169=4),CZ169/7,IF(DM169=3,CZ169/7.5,"")))</f>
        <v>116.66625</v>
      </c>
      <c r="DB169" s="0" t="s">
        <v>1997</v>
      </c>
      <c r="DC169" s="0" t="s">
        <v>1895</v>
      </c>
      <c r="DD169" s="0" t="s">
        <v>1895</v>
      </c>
      <c r="DE169" s="0" t="s">
        <v>1895</v>
      </c>
      <c r="DF169" s="0" t="s">
        <v>1895</v>
      </c>
      <c r="DG169" s="0" t="s">
        <v>1895</v>
      </c>
      <c r="DH169" s="0" t="n">
        <v>0</v>
      </c>
      <c r="DI169" s="126" t="n">
        <v>933.33</v>
      </c>
      <c r="DK169" s="0" t="n">
        <v>0</v>
      </c>
      <c r="DM169" s="0" t="n">
        <v>1</v>
      </c>
      <c r="DN169" s="0" t="n">
        <f aca="false">13.5*6</f>
        <v>81</v>
      </c>
      <c r="DO169" s="0" t="n">
        <v>3</v>
      </c>
      <c r="DP169" s="0" t="n">
        <v>0</v>
      </c>
      <c r="DQ169" s="0" t="n">
        <v>1</v>
      </c>
      <c r="DR169" s="0"/>
      <c r="DS169" s="0" t="n">
        <v>1</v>
      </c>
      <c r="DU169" s="0" t="n">
        <v>0</v>
      </c>
      <c r="DW169" s="1" t="n">
        <v>39995</v>
      </c>
      <c r="DX169" s="1" t="n">
        <v>40787</v>
      </c>
      <c r="DZ169" s="0"/>
      <c r="EA169" s="0" t="n">
        <v>1</v>
      </c>
      <c r="EC169" s="1" t="n">
        <v>39995</v>
      </c>
      <c r="ED169" s="1" t="n">
        <v>40787</v>
      </c>
      <c r="EF169" s="0"/>
      <c r="EG169" s="0" t="n">
        <v>1</v>
      </c>
      <c r="EH169" s="0" t="n">
        <v>30</v>
      </c>
      <c r="EI169" s="0" t="n">
        <f aca="false">IF(AND(DM169=1,DN169&lt;=48),"",IF(AND(DM169=2,DN169&lt;=42),"",IF(AND(DM169=3,DN169&lt;=45),"",EH169)))</f>
        <v>30</v>
      </c>
      <c r="EJ169" s="0" t="n">
        <f aca="false">IF(EI169="","",IF(EI169&lt;9,EI169,9))</f>
        <v>9</v>
      </c>
      <c r="EK169" s="0" t="n">
        <f aca="false">IF(EI169="","",IF(EI169&gt;9,EI169-EJ169,0))</f>
        <v>21</v>
      </c>
      <c r="EL169" s="0" t="n">
        <f aca="false">IF(EI169="","",EJ169*DA169*2+EK169*DA169*3)</f>
        <v>9449.96625</v>
      </c>
      <c r="EP169" s="0" t="n">
        <v>0</v>
      </c>
      <c r="EQ169" s="0"/>
      <c r="ER169" s="0" t="n">
        <v>0</v>
      </c>
      <c r="ET169" s="0" t="n">
        <v>0</v>
      </c>
      <c r="EV169" s="0" t="n">
        <v>0</v>
      </c>
      <c r="EX169" s="0" t="n">
        <v>1</v>
      </c>
      <c r="EY169" s="0" t="n">
        <v>0</v>
      </c>
      <c r="EZ169" s="0"/>
      <c r="FA169" s="0"/>
      <c r="FB169" s="0" t="n">
        <v>0</v>
      </c>
      <c r="FF169" s="120" t="n">
        <f aca="false">(CJ169-CI169+1)/365</f>
        <v>2.17260273972603</v>
      </c>
      <c r="FG169" s="0" t="str">
        <f aca="false">CONCATENATE(F169,"/",G169)</f>
        <v>1721/2011</v>
      </c>
      <c r="FH169" s="0" t="n">
        <v>0</v>
      </c>
      <c r="FI169" s="0" t="n">
        <v>0</v>
      </c>
    </row>
    <row r="170" customFormat="false" ht="15" hidden="false" customHeight="false" outlineLevel="0" collapsed="false">
      <c r="A170" s="5" t="str">
        <f aca="false">E170&amp;G170&amp;F170</f>
        <v>720111722</v>
      </c>
      <c r="B170" s="0" t="s">
        <v>1884</v>
      </c>
      <c r="C170" s="1" t="n">
        <v>42411</v>
      </c>
      <c r="E170" s="0" t="n">
        <v>7</v>
      </c>
      <c r="F170" s="0" t="n">
        <v>1722</v>
      </c>
      <c r="G170" s="0" t="n">
        <v>2011</v>
      </c>
      <c r="H170" s="0" t="str">
        <f aca="false">"J"&amp;E170&amp;"\"&amp;F170&amp;"\"&amp;G170&amp;"\"&amp;W170</f>
        <v>J7\1722\2011\1</v>
      </c>
      <c r="I170" s="0"/>
      <c r="J170" s="1" t="n">
        <v>40822</v>
      </c>
      <c r="K170" s="0" t="n">
        <v>0</v>
      </c>
      <c r="M170" s="1" t="n">
        <v>40822</v>
      </c>
      <c r="N170" s="1" t="n">
        <v>41073</v>
      </c>
      <c r="O170" s="1"/>
      <c r="P170" s="1"/>
      <c r="Q170" s="1"/>
      <c r="T170" s="121"/>
      <c r="U170" s="121"/>
      <c r="V170" s="122" t="n">
        <f aca="false">IF(AND(E170&gt;0,F170&gt;0,G170&gt;0),COUNTIFS($E:$E,E170,$F:$F,F170,$G:$G,G170),"")</f>
        <v>1</v>
      </c>
      <c r="W170" s="122" t="n">
        <f aca="false">IF(V170="","",IF(V170=1,1,IF(AND(E169=E170,F169=F170,G169=G170),W169+1,1)))</f>
        <v>1</v>
      </c>
      <c r="X170" s="0" t="n">
        <v>1</v>
      </c>
      <c r="Y170" s="0" t="n">
        <v>3</v>
      </c>
      <c r="Z170" s="0" t="s">
        <v>2000</v>
      </c>
      <c r="AA170" s="0" t="n">
        <v>0</v>
      </c>
      <c r="AB170" s="0" t="s">
        <v>2001</v>
      </c>
      <c r="AC170" s="0" t="s">
        <v>1963</v>
      </c>
      <c r="AD170" s="0" t="s">
        <v>1888</v>
      </c>
      <c r="AE170" s="0" t="n">
        <v>0</v>
      </c>
      <c r="AF170" s="0" t="s">
        <v>2002</v>
      </c>
      <c r="AG170" s="0" t="n">
        <v>0</v>
      </c>
      <c r="AH170" s="0" t="s">
        <v>2003</v>
      </c>
      <c r="AI170" s="0" t="s">
        <v>2004</v>
      </c>
      <c r="AJ170" s="0" t="s">
        <v>2005</v>
      </c>
      <c r="AL170" s="0" t="s">
        <v>2006</v>
      </c>
      <c r="AM170" s="0" t="n">
        <v>1</v>
      </c>
      <c r="AN170" s="0" t="s">
        <v>2003</v>
      </c>
      <c r="AO170" s="0" t="s">
        <v>2004</v>
      </c>
      <c r="AP170" s="0" t="s">
        <v>2005</v>
      </c>
      <c r="AR170" s="0" t="s">
        <v>2007</v>
      </c>
      <c r="AS170" s="0" t="n">
        <v>1</v>
      </c>
      <c r="AT170" s="0" t="s">
        <v>2003</v>
      </c>
      <c r="AU170" s="0" t="s">
        <v>2004</v>
      </c>
      <c r="AV170" s="0" t="s">
        <v>2005</v>
      </c>
      <c r="BR170" s="0" t="n">
        <v>1</v>
      </c>
      <c r="BS170" s="0" t="s">
        <v>2008</v>
      </c>
      <c r="BT170" s="0" t="s">
        <v>2009</v>
      </c>
      <c r="BU170" s="0" t="s">
        <v>2010</v>
      </c>
      <c r="BV170" s="123"/>
      <c r="BW170" s="123"/>
      <c r="BX170" s="123"/>
      <c r="BY170" s="123"/>
      <c r="BZ170" s="0" t="n">
        <v>0</v>
      </c>
      <c r="CA170" s="0" t="s">
        <v>1895</v>
      </c>
      <c r="CD170" s="0" t="s">
        <v>1919</v>
      </c>
      <c r="CE170" s="0" t="n">
        <v>0</v>
      </c>
      <c r="CF170" s="0" t="s">
        <v>1920</v>
      </c>
      <c r="CI170" s="1" t="n">
        <v>40486</v>
      </c>
      <c r="CJ170" s="1" t="n">
        <v>40813</v>
      </c>
      <c r="CK170" s="124" t="n">
        <v>0.333333333333333</v>
      </c>
      <c r="CL170" s="0" t="s">
        <v>2007</v>
      </c>
      <c r="CM170" s="0" t="n">
        <f aca="false">IF(OR(CI170="",CJ170=""),"",DAYS360(CI170,CJ170)/360)</f>
        <v>0.897222222222222</v>
      </c>
      <c r="CN170" s="0" t="n">
        <f aca="false">IF(OR(CI170="",CJ170=""),"",DAYS360(CI170,CJ170)/30)</f>
        <v>10.7666666666667</v>
      </c>
      <c r="CO170" s="0" t="n">
        <f aca="false">IF(OR(CI170="",CJ170=""),"",DAYS360(CI170,CJ170)/7)</f>
        <v>46.1428571428572</v>
      </c>
      <c r="CP170" s="0" t="n">
        <f aca="false">IF(OR(CI170="",CJ170=""),"",DAYS360(CI170,CJ170))</f>
        <v>323</v>
      </c>
      <c r="CQ170" s="0" t="s">
        <v>1898</v>
      </c>
      <c r="CR170" s="0" t="n">
        <v>1</v>
      </c>
      <c r="CT170" s="0" t="n">
        <v>114.28</v>
      </c>
      <c r="CU170" s="0" t="n">
        <v>0</v>
      </c>
      <c r="CV170" s="0" t="n">
        <f aca="false">IF(OR(CT170="",CT170="NO ESPECIFICA",CT170="NO MENCIONA"),"",IF(CU170=0,CT170,IF(CU170=1,CT170/30,IF(CU170=2,CT170/15,IF(CU170=3,CT170/7,"")))))</f>
        <v>114.28</v>
      </c>
      <c r="CW170" s="125" t="n">
        <v>145.58</v>
      </c>
      <c r="CX170" s="0" t="n">
        <v>0</v>
      </c>
      <c r="CY170" s="0" t="n">
        <f aca="false">IF(CW170="","",IF(CX170=0,CW170,IF(CX170=1,CW170/30,IF(CX170=2,CW170/15,IF(CX170=3,CW170/7,CW170)))))</f>
        <v>145.58</v>
      </c>
      <c r="CZ170" s="0" t="n">
        <f aca="false">IF(DI170&gt;0,DI170,IF(CY170&gt;0,CY170,IF(CV170&gt;0,CV170,"")))</f>
        <v>145.58</v>
      </c>
      <c r="DA170" s="0" t="n">
        <f aca="false">IF(DM170=1,CZ170/8,IF(OR(DM170=2,DM170=4),CZ170/7,IF(DM170=3,CZ170/7.5,"")))</f>
        <v>18.1975</v>
      </c>
      <c r="DB170" s="0" t="s">
        <v>1945</v>
      </c>
      <c r="DC170" s="0" t="s">
        <v>302</v>
      </c>
      <c r="DD170" s="0" t="s">
        <v>2011</v>
      </c>
      <c r="DE170" s="0" t="s">
        <v>2012</v>
      </c>
      <c r="DF170" s="0" t="s">
        <v>1895</v>
      </c>
      <c r="DG170" s="0" t="s">
        <v>1895</v>
      </c>
      <c r="DH170" s="0" t="n">
        <v>0</v>
      </c>
      <c r="DI170" s="126" t="n">
        <v>145.58</v>
      </c>
      <c r="DK170" s="0" t="n">
        <v>0</v>
      </c>
      <c r="DM170" s="0" t="n">
        <v>1</v>
      </c>
      <c r="DN170" s="0" t="n">
        <v>66</v>
      </c>
      <c r="DO170" s="0" t="n">
        <v>3</v>
      </c>
      <c r="DP170" s="0" t="n">
        <v>0</v>
      </c>
      <c r="DQ170" s="0" t="n">
        <v>1</v>
      </c>
      <c r="DR170" s="0"/>
      <c r="DS170" s="0" t="n">
        <v>1</v>
      </c>
      <c r="DU170" s="0" t="n">
        <v>1</v>
      </c>
      <c r="DW170" s="1" t="n">
        <v>40486</v>
      </c>
      <c r="DX170" s="1" t="n">
        <v>40813</v>
      </c>
      <c r="DZ170" s="0"/>
      <c r="EA170" s="0" t="n">
        <v>1</v>
      </c>
      <c r="EC170" s="1" t="n">
        <v>40486</v>
      </c>
      <c r="ED170" s="1" t="n">
        <v>40813</v>
      </c>
      <c r="EF170" s="0"/>
      <c r="EG170" s="0" t="n">
        <v>1</v>
      </c>
      <c r="EH170" s="0" t="n">
        <v>18</v>
      </c>
      <c r="EI170" s="0" t="n">
        <f aca="false">IF(AND(DM170=1,DN170&lt;=48),"",IF(AND(DM170=2,DN170&lt;=42),"",IF(AND(DM170=3,DN170&lt;=45),"",EH170)))</f>
        <v>18</v>
      </c>
      <c r="EJ170" s="0" t="n">
        <f aca="false">IF(EI170="","",IF(EI170&lt;9,EI170,9))</f>
        <v>9</v>
      </c>
      <c r="EK170" s="0" t="n">
        <f aca="false">IF(EI170="","",IF(EI170&gt;9,EI170-EJ170,0))</f>
        <v>9</v>
      </c>
      <c r="EL170" s="0" t="n">
        <f aca="false">IF(EI170="","",EJ170*DA170*2+EK170*DA170*3)</f>
        <v>818.8875</v>
      </c>
      <c r="EP170" s="0" t="n">
        <v>0</v>
      </c>
      <c r="EQ170" s="0"/>
      <c r="ER170" s="0" t="n">
        <v>1</v>
      </c>
      <c r="ET170" s="0" t="n">
        <v>1</v>
      </c>
      <c r="EV170" s="0" t="n">
        <v>1</v>
      </c>
      <c r="EX170" s="0" t="n">
        <v>1</v>
      </c>
      <c r="EY170" s="0" t="n">
        <v>0</v>
      </c>
      <c r="EZ170" s="0"/>
      <c r="FA170" s="4" t="n">
        <f aca="false">26*DI170</f>
        <v>3785.08</v>
      </c>
      <c r="FB170" s="0" t="n">
        <v>1</v>
      </c>
      <c r="FF170" s="120" t="n">
        <f aca="false">(CJ170-CI170+1)/365</f>
        <v>0.898630136986301</v>
      </c>
      <c r="FG170" s="0" t="str">
        <f aca="false">CONCATENATE(F170,"/",G170)</f>
        <v>1722/2011</v>
      </c>
      <c r="FH170" s="0" t="n">
        <v>0</v>
      </c>
      <c r="FI170" s="0" t="n">
        <v>0</v>
      </c>
    </row>
    <row r="171" customFormat="false" ht="15" hidden="false" customHeight="false" outlineLevel="0" collapsed="false">
      <c r="A171" s="5" t="str">
        <f aca="false">E171&amp;G171&amp;F171</f>
        <v>720111735</v>
      </c>
      <c r="B171" s="0" t="s">
        <v>1884</v>
      </c>
      <c r="C171" s="1" t="n">
        <v>42411</v>
      </c>
      <c r="E171" s="0" t="n">
        <v>7</v>
      </c>
      <c r="F171" s="0" t="n">
        <v>1735</v>
      </c>
      <c r="G171" s="0" t="n">
        <v>2011</v>
      </c>
      <c r="H171" s="0" t="str">
        <f aca="false">"J"&amp;E171&amp;"\"&amp;F171&amp;"\"&amp;G171&amp;"\"&amp;W171</f>
        <v>J7\1735\2011\1</v>
      </c>
      <c r="I171" s="0"/>
      <c r="J171" s="1" t="n">
        <v>40826</v>
      </c>
      <c r="K171" s="0" t="n">
        <v>0</v>
      </c>
      <c r="M171" s="1"/>
      <c r="N171" s="1"/>
      <c r="O171" s="1"/>
      <c r="P171" s="1"/>
      <c r="Q171" s="1"/>
      <c r="T171" s="121"/>
      <c r="U171" s="121"/>
      <c r="V171" s="122" t="n">
        <f aca="false">IF(AND(E171&gt;0,F171&gt;0,G171&gt;0),COUNTIFS($E:$E,E171,$F:$F,F171,$G:$G,G171),"")</f>
        <v>1</v>
      </c>
      <c r="W171" s="122" t="n">
        <f aca="false">IF(V171="","",IF(V171=1,1,IF(AND(E170=E171,F170=F171,G170=G171),W170+1,1)))</f>
        <v>1</v>
      </c>
      <c r="X171" s="0" t="n">
        <v>1</v>
      </c>
      <c r="Y171" s="0" t="n">
        <v>2</v>
      </c>
      <c r="Z171" s="0" t="s">
        <v>2013</v>
      </c>
      <c r="AA171" s="0" t="n">
        <v>0</v>
      </c>
      <c r="AB171" s="0" t="s">
        <v>2014</v>
      </c>
      <c r="AC171" s="0" t="s">
        <v>318</v>
      </c>
      <c r="AD171" s="0" t="s">
        <v>1888</v>
      </c>
      <c r="AE171" s="0" t="n">
        <v>0</v>
      </c>
      <c r="AF171" s="0" t="s">
        <v>2015</v>
      </c>
      <c r="AG171" s="0" t="n">
        <v>0</v>
      </c>
      <c r="AH171" s="0" t="s">
        <v>2016</v>
      </c>
      <c r="AI171" s="0" t="s">
        <v>2017</v>
      </c>
      <c r="AJ171" s="0" t="s">
        <v>1907</v>
      </c>
      <c r="AL171" s="0" t="s">
        <v>2018</v>
      </c>
      <c r="AM171" s="0" t="n">
        <v>1</v>
      </c>
      <c r="AN171" s="0" t="s">
        <v>2016</v>
      </c>
      <c r="AO171" s="0" t="s">
        <v>2017</v>
      </c>
      <c r="AP171" s="0" t="s">
        <v>1907</v>
      </c>
      <c r="BR171" s="0" t="n">
        <v>1</v>
      </c>
      <c r="BS171" s="0" t="s">
        <v>2019</v>
      </c>
      <c r="BT171" s="0" t="s">
        <v>2019</v>
      </c>
      <c r="BU171" s="0" t="s">
        <v>2020</v>
      </c>
      <c r="BV171" s="123"/>
      <c r="BW171" s="123"/>
      <c r="BX171" s="123"/>
      <c r="BY171" s="123"/>
      <c r="BZ171" s="0" t="n">
        <v>0</v>
      </c>
      <c r="CA171" s="0" t="s">
        <v>1895</v>
      </c>
      <c r="CD171" s="0" t="s">
        <v>1943</v>
      </c>
      <c r="CE171" s="0" t="n">
        <v>0</v>
      </c>
      <c r="CF171" s="0" t="s">
        <v>527</v>
      </c>
      <c r="CI171" s="1" t="n">
        <v>40588</v>
      </c>
      <c r="CJ171" s="1" t="n">
        <v>40796</v>
      </c>
      <c r="CK171" s="124" t="n">
        <v>0.416666666666667</v>
      </c>
      <c r="CL171" s="0" t="s">
        <v>2018</v>
      </c>
      <c r="CM171" s="0" t="n">
        <f aca="false">IF(OR(CI171="",CJ171=""),"",DAYS360(CI171,CJ171)/360)</f>
        <v>0.572222222222222</v>
      </c>
      <c r="CN171" s="0" t="n">
        <f aca="false">IF(OR(CI171="",CJ171=""),"",DAYS360(CI171,CJ171)/30)</f>
        <v>6.86666666666667</v>
      </c>
      <c r="CO171" s="0" t="n">
        <f aca="false">IF(OR(CI171="",CJ171=""),"",DAYS360(CI171,CJ171)/7)</f>
        <v>29.4285714285714</v>
      </c>
      <c r="CP171" s="0" t="n">
        <f aca="false">IF(OR(CI171="",CJ171=""),"",DAYS360(CI171,CJ171))</f>
        <v>206</v>
      </c>
      <c r="CQ171" s="0" t="s">
        <v>2021</v>
      </c>
      <c r="CR171" s="0" t="n">
        <v>1</v>
      </c>
      <c r="CT171" s="0" t="n">
        <v>2028</v>
      </c>
      <c r="CU171" s="0" t="n">
        <v>3</v>
      </c>
      <c r="CV171" s="0" t="n">
        <f aca="false">IF(OR(CT171="",CT171="NO ESPECIFICA",CT171="NO MENCIONA"),"",IF(CU171=0,CT171,IF(CU171=1,CT171/30,IF(CU171=2,CT171/15,IF(CU171=3,CT171/7,"")))))</f>
        <v>289.714285714286</v>
      </c>
      <c r="CW171" s="125" t="n">
        <v>3594.77</v>
      </c>
      <c r="CX171" s="0" t="n">
        <v>3</v>
      </c>
      <c r="CY171" s="0" t="n">
        <f aca="false">IF(CW171="","",IF(CX171=0,CW171,IF(CX171=1,CW171/30,IF(CX171=2,CW171/15,IF(CX171=3,CW171/7,CW171)))))</f>
        <v>513.538571428571</v>
      </c>
      <c r="CZ171" s="0" t="n">
        <f aca="false">IF(DI171&gt;0,DI171,IF(CY171&gt;0,CY171,IF(CV171&gt;0,CV171,"")))</f>
        <v>513.53</v>
      </c>
      <c r="DA171" s="0" t="n">
        <f aca="false">IF(DM171=1,CZ171/8,IF(OR(DM171=2,DM171=4),CZ171/7,IF(DM171=3,CZ171/7.5,"")))</f>
        <v>64.19125</v>
      </c>
      <c r="DB171" s="0" t="s">
        <v>2022</v>
      </c>
      <c r="DC171" s="0" t="s">
        <v>2023</v>
      </c>
      <c r="DD171" s="0" t="s">
        <v>259</v>
      </c>
      <c r="DE171" s="0" t="s">
        <v>1895</v>
      </c>
      <c r="DF171" s="0" t="s">
        <v>1895</v>
      </c>
      <c r="DG171" s="0" t="s">
        <v>1895</v>
      </c>
      <c r="DH171" s="0" t="n">
        <v>0</v>
      </c>
      <c r="DI171" s="126" t="n">
        <v>513.53</v>
      </c>
      <c r="DK171" s="0" t="n">
        <v>0</v>
      </c>
      <c r="DM171" s="0" t="n">
        <v>1</v>
      </c>
      <c r="DN171" s="0" t="n">
        <v>66</v>
      </c>
      <c r="DO171" s="0" t="n">
        <v>3</v>
      </c>
      <c r="DP171" s="0" t="n">
        <v>1</v>
      </c>
      <c r="DQ171" s="0" t="n">
        <v>0</v>
      </c>
      <c r="DR171" s="0"/>
      <c r="DS171" s="0" t="n">
        <v>1</v>
      </c>
      <c r="DU171" s="0" t="n">
        <v>0</v>
      </c>
      <c r="DW171" s="1" t="n">
        <v>40588</v>
      </c>
      <c r="DX171" s="1" t="n">
        <v>40796</v>
      </c>
      <c r="DZ171" s="0"/>
      <c r="EA171" s="0" t="n">
        <v>1</v>
      </c>
      <c r="EC171" s="1" t="n">
        <v>40588</v>
      </c>
      <c r="ED171" s="1" t="n">
        <v>40796</v>
      </c>
      <c r="EF171" s="0"/>
      <c r="EG171" s="0" t="n">
        <v>1</v>
      </c>
      <c r="EH171" s="0" t="n">
        <v>18</v>
      </c>
      <c r="EI171" s="0" t="n">
        <f aca="false">IF(AND(DM171=1,DN171&lt;=48),"",IF(AND(DM171=2,DN171&lt;=42),"",IF(AND(DM171=3,DN171&lt;=45),"",EH171)))</f>
        <v>18</v>
      </c>
      <c r="EJ171" s="0" t="n">
        <f aca="false">IF(EI171="","",IF(EI171&lt;9,EI171,9))</f>
        <v>9</v>
      </c>
      <c r="EK171" s="0" t="n">
        <f aca="false">IF(EI171="","",IF(EI171&gt;9,EI171-EJ171,0))</f>
        <v>9</v>
      </c>
      <c r="EL171" s="0" t="n">
        <f aca="false">IF(EI171="","",EJ171*DA171*2+EK171*DA171*3)</f>
        <v>2888.60625</v>
      </c>
      <c r="EP171" s="0" t="n">
        <v>0</v>
      </c>
      <c r="EQ171" s="0"/>
      <c r="ER171" s="0" t="n">
        <v>0</v>
      </c>
      <c r="ET171" s="0" t="n">
        <v>0</v>
      </c>
      <c r="EV171" s="0" t="n">
        <v>0</v>
      </c>
      <c r="EX171" s="0" t="n">
        <v>1</v>
      </c>
      <c r="EY171" s="0" t="n">
        <v>0</v>
      </c>
      <c r="EZ171" s="0"/>
      <c r="FA171" s="4" t="n">
        <f aca="false">9*DI171</f>
        <v>4621.77</v>
      </c>
      <c r="FB171" s="0" t="n">
        <v>1</v>
      </c>
      <c r="FF171" s="120" t="n">
        <f aca="false">(CJ171-CI171+1)/365</f>
        <v>0.572602739726027</v>
      </c>
      <c r="FG171" s="0" t="str">
        <f aca="false">CONCATENATE(F171,"/",G171)</f>
        <v>1735/2011</v>
      </c>
      <c r="FH171" s="0" t="n">
        <v>0</v>
      </c>
      <c r="FI171" s="0" t="n">
        <v>0</v>
      </c>
    </row>
    <row r="172" customFormat="false" ht="15" hidden="false" customHeight="false" outlineLevel="0" collapsed="false">
      <c r="A172" s="5" t="str">
        <f aca="false">E172&amp;G172&amp;F172</f>
        <v>720111737</v>
      </c>
      <c r="B172" s="0" t="s">
        <v>1884</v>
      </c>
      <c r="C172" s="1" t="n">
        <v>42411</v>
      </c>
      <c r="E172" s="0" t="n">
        <v>7</v>
      </c>
      <c r="F172" s="0" t="n">
        <v>1737</v>
      </c>
      <c r="G172" s="0" t="n">
        <v>2011</v>
      </c>
      <c r="H172" s="0" t="str">
        <f aca="false">"J"&amp;E172&amp;"\"&amp;F172&amp;"\"&amp;G172&amp;"\"&amp;W172</f>
        <v>J7\1737\2011\1</v>
      </c>
      <c r="I172" s="0"/>
      <c r="J172" s="1" t="n">
        <v>40826</v>
      </c>
      <c r="K172" s="0" t="n">
        <v>0</v>
      </c>
      <c r="M172" s="1"/>
      <c r="N172" s="1"/>
      <c r="O172" s="1"/>
      <c r="P172" s="1"/>
      <c r="Q172" s="1"/>
      <c r="T172" s="121"/>
      <c r="U172" s="121"/>
      <c r="V172" s="122" t="n">
        <f aca="false">IF(AND(E172&gt;0,F172&gt;0,G172&gt;0),COUNTIFS($E:$E,E172,$F:$F,F172,$G:$G,G172),"")</f>
        <v>1</v>
      </c>
      <c r="W172" s="122" t="n">
        <f aca="false">IF(V172="","",IF(V172=1,1,IF(AND(E171=E172,F171=F172,G171=G172),W171+1,1)))</f>
        <v>1</v>
      </c>
      <c r="X172" s="0" t="n">
        <v>1</v>
      </c>
      <c r="Y172" s="0" t="n">
        <v>2</v>
      </c>
      <c r="Z172" s="0" t="s">
        <v>2024</v>
      </c>
      <c r="AA172" s="0" t="n">
        <v>0</v>
      </c>
      <c r="AB172" s="0" t="s">
        <v>2025</v>
      </c>
      <c r="AC172" s="0" t="s">
        <v>1387</v>
      </c>
      <c r="AD172" s="0" t="s">
        <v>1888</v>
      </c>
      <c r="AE172" s="0" t="n">
        <v>0</v>
      </c>
      <c r="AF172" s="0" t="s">
        <v>2026</v>
      </c>
      <c r="AG172" s="0" t="n">
        <v>1</v>
      </c>
      <c r="AH172" s="0" t="s">
        <v>2027</v>
      </c>
      <c r="AI172" s="0" t="s">
        <v>2028</v>
      </c>
      <c r="AJ172" s="0" t="s">
        <v>519</v>
      </c>
      <c r="AL172" s="0" t="s">
        <v>2029</v>
      </c>
      <c r="AM172" s="0" t="n">
        <v>1</v>
      </c>
      <c r="AN172" s="0" t="s">
        <v>2027</v>
      </c>
      <c r="AO172" s="0" t="s">
        <v>2028</v>
      </c>
      <c r="AP172" s="0" t="s">
        <v>519</v>
      </c>
      <c r="BR172" s="0" t="n">
        <v>1</v>
      </c>
      <c r="BS172" s="0" t="s">
        <v>2030</v>
      </c>
      <c r="BT172" s="0" t="s">
        <v>2031</v>
      </c>
      <c r="BU172" s="0" t="s">
        <v>2032</v>
      </c>
      <c r="BV172" s="123"/>
      <c r="BW172" s="123"/>
      <c r="BX172" s="123"/>
      <c r="BY172" s="123"/>
      <c r="BZ172" s="0" t="n">
        <v>0</v>
      </c>
      <c r="CA172" s="0" t="s">
        <v>1895</v>
      </c>
      <c r="CD172" s="0" t="s">
        <v>1919</v>
      </c>
      <c r="CE172" s="0" t="n">
        <v>0</v>
      </c>
      <c r="CF172" s="0" t="s">
        <v>2033</v>
      </c>
      <c r="CI172" s="1" t="s">
        <v>1899</v>
      </c>
      <c r="CJ172" s="1" t="n">
        <v>40768</v>
      </c>
      <c r="CK172" s="124" t="n">
        <v>0.416666666666667</v>
      </c>
      <c r="CL172" s="0" t="s">
        <v>2034</v>
      </c>
      <c r="CM172" s="0" t="e">
        <f aca="false">IF(OR(CI172="",CJ172=""),"",DAYS360(CI172,CJ172)/360)</f>
        <v>#VALUE!</v>
      </c>
      <c r="CN172" s="0" t="e">
        <f aca="false">IF(OR(CI172="",CJ172=""),"",DAYS360(CI172,CJ172)/30)</f>
        <v>#VALUE!</v>
      </c>
      <c r="CO172" s="0" t="e">
        <f aca="false">IF(OR(CI172="",CJ172=""),"",DAYS360(CI172,CJ172)/7)</f>
        <v>#VALUE!</v>
      </c>
      <c r="CP172" s="0" t="e">
        <f aca="false">IF(OR(CI172="",CJ172=""),"",DAYS360(CI172,CJ172))</f>
        <v>#VALUE!</v>
      </c>
      <c r="CQ172" s="0" t="s">
        <v>2021</v>
      </c>
      <c r="CR172" s="0" t="n">
        <v>1</v>
      </c>
      <c r="CT172" s="0" t="s">
        <v>1899</v>
      </c>
      <c r="CU172" s="0" t="s">
        <v>1899</v>
      </c>
      <c r="CV172" s="0" t="str">
        <f aca="false">IF(OR(CT172="",CT172="NO ESPECIFICA",CT172="NO MENCIONA"),"",IF(CU172=0,CT172,IF(CU172=1,CT172/30,IF(CU172=2,CT172/15,IF(CU172=3,CT172/7,"")))))</f>
        <v/>
      </c>
      <c r="CW172" s="125" t="n">
        <v>400</v>
      </c>
      <c r="CX172" s="0" t="n">
        <v>0</v>
      </c>
      <c r="CY172" s="0" t="n">
        <f aca="false">IF(CW172="","",IF(CX172=0,CW172,IF(CX172=1,CW172/30,IF(CX172=2,CW172/15,IF(CX172=3,CW172/7,CW172)))))</f>
        <v>400</v>
      </c>
      <c r="CZ172" s="0" t="n">
        <f aca="false">IF(DI172&gt;0,DI172,IF(CY172&gt;0,CY172,IF(CV172&gt;0,CV172,"")))</f>
        <v>400</v>
      </c>
      <c r="DA172" s="0" t="n">
        <f aca="false">IF(DM172=1,CZ172/8,IF(OR(DM172=2,DM172=4),CZ172/7,IF(DM172=3,CZ172/7.5,"")))</f>
        <v>50</v>
      </c>
      <c r="DB172" s="0" t="s">
        <v>1895</v>
      </c>
      <c r="DC172" s="0" t="s">
        <v>1895</v>
      </c>
      <c r="DD172" s="0" t="s">
        <v>1895</v>
      </c>
      <c r="DE172" s="0" t="s">
        <v>1895</v>
      </c>
      <c r="DF172" s="0" t="s">
        <v>1895</v>
      </c>
      <c r="DG172" s="0" t="s">
        <v>1895</v>
      </c>
      <c r="DH172" s="0" t="n">
        <v>0</v>
      </c>
      <c r="DI172" s="126" t="n">
        <v>400</v>
      </c>
      <c r="DK172" s="0" t="n">
        <v>0</v>
      </c>
      <c r="DM172" s="0" t="n">
        <v>1</v>
      </c>
      <c r="DN172" s="0" t="n">
        <v>60</v>
      </c>
      <c r="DO172" s="0" t="n">
        <v>3</v>
      </c>
      <c r="DP172" s="0" t="n">
        <v>1</v>
      </c>
      <c r="DQ172" s="0" t="n">
        <v>1</v>
      </c>
      <c r="DR172" s="0"/>
      <c r="DS172" s="0" t="n">
        <v>1</v>
      </c>
      <c r="DU172" s="0" t="n">
        <v>1</v>
      </c>
      <c r="DW172" s="1" t="s">
        <v>1899</v>
      </c>
      <c r="DX172" s="1" t="n">
        <v>40768</v>
      </c>
      <c r="DZ172" s="0"/>
      <c r="EA172" s="0" t="n">
        <v>1</v>
      </c>
      <c r="EC172" s="1" t="n">
        <v>40544</v>
      </c>
      <c r="ED172" s="1" t="n">
        <v>40768</v>
      </c>
      <c r="EF172" s="0"/>
      <c r="EG172" s="0" t="n">
        <v>1</v>
      </c>
      <c r="EH172" s="0" t="n">
        <v>12</v>
      </c>
      <c r="EI172" s="0" t="n">
        <f aca="false">IF(AND(DM172=1,DN172&lt;=48),"",IF(AND(DM172=2,DN172&lt;=42),"",IF(AND(DM172=3,DN172&lt;=45),"",EH172)))</f>
        <v>12</v>
      </c>
      <c r="EJ172" s="0" t="n">
        <f aca="false">IF(EI172="","",IF(EI172&lt;9,EI172,9))</f>
        <v>9</v>
      </c>
      <c r="EK172" s="0" t="n">
        <f aca="false">IF(EI172="","",IF(EI172&gt;9,EI172-EJ172,0))</f>
        <v>3</v>
      </c>
      <c r="EL172" s="0" t="n">
        <f aca="false">IF(EI172="","",EJ172*DA172*2+EK172*DA172*3)</f>
        <v>1350</v>
      </c>
      <c r="EP172" s="0" t="n">
        <v>1</v>
      </c>
      <c r="EQ172" s="0"/>
      <c r="ER172" s="0" t="n">
        <v>0</v>
      </c>
      <c r="ET172" s="0" t="n">
        <v>0</v>
      </c>
      <c r="EV172" s="0" t="n">
        <v>0</v>
      </c>
      <c r="EX172" s="0" t="n">
        <v>0</v>
      </c>
      <c r="EY172" s="0" t="n">
        <v>1</v>
      </c>
      <c r="EZ172" s="4" t="n">
        <v>16000</v>
      </c>
      <c r="FA172" s="0"/>
      <c r="FB172" s="0" t="n">
        <v>1</v>
      </c>
      <c r="FF172" s="120" t="e">
        <f aca="false">(CJ172-CI172+1)/365</f>
        <v>#VALUE!</v>
      </c>
      <c r="FG172" s="0" t="str">
        <f aca="false">CONCATENATE(F172,"/",G172)</f>
        <v>1737/2011</v>
      </c>
      <c r="FH172" s="0" t="n">
        <v>0</v>
      </c>
      <c r="FI172" s="0" t="n">
        <v>0</v>
      </c>
    </row>
    <row r="173" customFormat="false" ht="15" hidden="false" customHeight="false" outlineLevel="0" collapsed="false">
      <c r="A173" s="5" t="str">
        <f aca="false">E173&amp;G173&amp;F173</f>
        <v>720111738</v>
      </c>
      <c r="B173" s="0" t="s">
        <v>1884</v>
      </c>
      <c r="C173" s="1" t="n">
        <v>42412</v>
      </c>
      <c r="E173" s="0" t="n">
        <v>7</v>
      </c>
      <c r="F173" s="0" t="n">
        <v>1738</v>
      </c>
      <c r="G173" s="0" t="n">
        <v>2011</v>
      </c>
      <c r="H173" s="0" t="str">
        <f aca="false">"J"&amp;E173&amp;"\"&amp;F173&amp;"\"&amp;G173&amp;"\"&amp;W173</f>
        <v>J7\1738\2011\1</v>
      </c>
      <c r="I173" s="0"/>
      <c r="J173" s="1" t="n">
        <v>40826</v>
      </c>
      <c r="K173" s="0" t="n">
        <v>0</v>
      </c>
      <c r="M173" s="1"/>
      <c r="N173" s="1"/>
      <c r="O173" s="1"/>
      <c r="P173" s="1"/>
      <c r="Q173" s="1"/>
      <c r="T173" s="121"/>
      <c r="U173" s="121"/>
      <c r="V173" s="122" t="n">
        <f aca="false">IF(AND(E173&gt;0,F173&gt;0,G173&gt;0),COUNTIFS($E:$E,E173,$F:$F,F173,$G:$G,G173),"")</f>
        <v>1</v>
      </c>
      <c r="W173" s="122" t="n">
        <f aca="false">IF(V173="","",IF(V173=1,1,IF(AND(E172=E173,F172=F173,G172=G173),W172+1,1)))</f>
        <v>1</v>
      </c>
      <c r="X173" s="0" t="n">
        <v>1</v>
      </c>
      <c r="Y173" s="0" t="n">
        <v>2</v>
      </c>
      <c r="Z173" s="0" t="s">
        <v>2035</v>
      </c>
      <c r="AA173" s="0" t="n">
        <v>0</v>
      </c>
      <c r="AB173" s="0" t="s">
        <v>2036</v>
      </c>
      <c r="AC173" s="0" t="s">
        <v>318</v>
      </c>
      <c r="AD173" s="0" t="s">
        <v>1888</v>
      </c>
      <c r="AE173" s="0" t="n">
        <v>0</v>
      </c>
      <c r="AF173" s="0" t="s">
        <v>2037</v>
      </c>
      <c r="AG173" s="0" t="n">
        <v>0</v>
      </c>
      <c r="AH173" s="0" t="s">
        <v>2038</v>
      </c>
      <c r="AI173" s="0" t="s">
        <v>2039</v>
      </c>
      <c r="AJ173" s="0" t="s">
        <v>1972</v>
      </c>
      <c r="AL173" s="0" t="s">
        <v>2040</v>
      </c>
      <c r="AM173" s="0" t="n">
        <v>1</v>
      </c>
      <c r="AN173" s="0" t="s">
        <v>2038</v>
      </c>
      <c r="AO173" s="0" t="s">
        <v>2039</v>
      </c>
      <c r="AP173" s="0" t="s">
        <v>1972</v>
      </c>
      <c r="BR173" s="0" t="n">
        <v>1</v>
      </c>
      <c r="BS173" s="0" t="s">
        <v>2041</v>
      </c>
      <c r="BT173" s="0" t="s">
        <v>2042</v>
      </c>
      <c r="BU173" s="0" t="s">
        <v>2043</v>
      </c>
      <c r="BV173" s="123"/>
      <c r="BW173" s="123"/>
      <c r="BX173" s="123"/>
      <c r="BY173" s="123"/>
      <c r="BZ173" s="0" t="n">
        <v>0</v>
      </c>
      <c r="CA173" s="0" t="s">
        <v>1895</v>
      </c>
      <c r="CD173" s="0" t="s">
        <v>370</v>
      </c>
      <c r="CE173" s="0" t="n">
        <v>0</v>
      </c>
      <c r="CF173" s="0" t="s">
        <v>2044</v>
      </c>
      <c r="CI173" s="1" t="n">
        <v>38930</v>
      </c>
      <c r="CJ173" s="1" t="n">
        <v>40025</v>
      </c>
      <c r="CK173" s="124" t="n">
        <v>0.333333333333333</v>
      </c>
      <c r="CL173" s="0" t="s">
        <v>2045</v>
      </c>
      <c r="CM173" s="0" t="n">
        <f aca="false">IF(OR(CI173="",CJ173=""),"",DAYS360(CI173,CJ173)/360)</f>
        <v>3</v>
      </c>
      <c r="CN173" s="0" t="n">
        <f aca="false">IF(OR(CI173="",CJ173=""),"",DAYS360(CI173,CJ173)/30)</f>
        <v>36</v>
      </c>
      <c r="CO173" s="0" t="n">
        <f aca="false">IF(OR(CI173="",CJ173=""),"",DAYS360(CI173,CJ173)/7)</f>
        <v>154.285714285714</v>
      </c>
      <c r="CP173" s="0" t="n">
        <f aca="false">IF(OR(CI173="",CJ173=""),"",DAYS360(CI173,CJ173))</f>
        <v>1080</v>
      </c>
      <c r="CQ173" s="0" t="s">
        <v>2021</v>
      </c>
      <c r="CR173" s="0" t="n">
        <v>1</v>
      </c>
      <c r="CT173" s="0" t="n">
        <v>25000</v>
      </c>
      <c r="CU173" s="0" t="n">
        <v>1</v>
      </c>
      <c r="CV173" s="0" t="n">
        <f aca="false">IF(OR(CT173="",CT173="NO ESPECIFICA",CT173="NO MENCIONA"),"",IF(CU173=0,CT173,IF(CU173=1,CT173/30,IF(CU173=2,CT173/15,IF(CU173=3,CT173/7,"")))))</f>
        <v>833.333333333333</v>
      </c>
      <c r="CW173" s="125" t="n">
        <f aca="false">729155.17/12</f>
        <v>60762.9308333333</v>
      </c>
      <c r="CX173" s="0" t="n">
        <v>1</v>
      </c>
      <c r="CY173" s="0" t="n">
        <f aca="false">IF(CW173="","",IF(CX173=0,CW173,IF(CX173=1,CW173/30,IF(CX173=2,CW173/15,IF(CX173=3,CW173/7,CW173)))))</f>
        <v>2025.43102777778</v>
      </c>
      <c r="CZ173" s="0" t="n">
        <f aca="false">IF(DI173&gt;0,DI173,IF(CY173&gt;0,CY173,IF(CV173&gt;0,CV173,"")))</f>
        <v>2025.43</v>
      </c>
      <c r="DA173" s="0" t="n">
        <f aca="false">IF(DM173=1,CZ173/8,IF(OR(DM173=2,DM173=4),CZ173/7,IF(DM173=3,CZ173/7.5,"")))</f>
        <v>253.17875</v>
      </c>
      <c r="DB173" s="0" t="s">
        <v>1945</v>
      </c>
      <c r="DC173" s="0" t="s">
        <v>302</v>
      </c>
      <c r="DD173" s="0" t="s">
        <v>2011</v>
      </c>
      <c r="DE173" s="0" t="s">
        <v>2046</v>
      </c>
      <c r="DF173" s="0" t="s">
        <v>1895</v>
      </c>
      <c r="DG173" s="0" t="s">
        <v>1895</v>
      </c>
      <c r="DH173" s="0" t="n">
        <v>0</v>
      </c>
      <c r="DI173" s="126" t="n">
        <v>2025.43</v>
      </c>
      <c r="DK173" s="0" t="n">
        <v>0</v>
      </c>
      <c r="DM173" s="0" t="n">
        <v>1</v>
      </c>
      <c r="DN173" s="0" t="n">
        <v>91</v>
      </c>
      <c r="DO173" s="0" t="n">
        <v>3</v>
      </c>
      <c r="DP173" s="0" t="n">
        <v>1</v>
      </c>
      <c r="DQ173" s="0" t="n">
        <v>1</v>
      </c>
      <c r="DR173" s="0"/>
      <c r="DS173" s="0" t="n">
        <v>1</v>
      </c>
      <c r="DU173" s="0" t="n">
        <v>1</v>
      </c>
      <c r="DW173" s="1" t="n">
        <v>40026</v>
      </c>
      <c r="DX173" s="1" t="n">
        <v>40025</v>
      </c>
      <c r="DZ173" s="0"/>
      <c r="EA173" s="0" t="n">
        <v>1</v>
      </c>
      <c r="EC173" s="1" t="n">
        <v>39814</v>
      </c>
      <c r="ED173" s="1" t="n">
        <v>40025</v>
      </c>
      <c r="EF173" s="0"/>
      <c r="EG173" s="0" t="n">
        <v>1</v>
      </c>
      <c r="EH173" s="0" t="n">
        <v>9</v>
      </c>
      <c r="EI173" s="0" t="n">
        <f aca="false">IF(AND(DM173=1,DN173&lt;=48),"",IF(AND(DM173=2,DN173&lt;=42),"",IF(AND(DM173=3,DN173&lt;=45),"",EH173)))</f>
        <v>9</v>
      </c>
      <c r="EJ173" s="0" t="n">
        <f aca="false">IF(EI173="","",IF(EI173&lt;9,EI173,9))</f>
        <v>9</v>
      </c>
      <c r="EK173" s="0" t="n">
        <f aca="false">IF(EI173="","",IF(EI173&gt;9,EI173-EJ173,0))</f>
        <v>0</v>
      </c>
      <c r="EL173" s="0" t="n">
        <f aca="false">IF(EI173="","",EJ173*DA173*2+EK173*DA173*3)</f>
        <v>4557.2175</v>
      </c>
      <c r="EP173" s="0" t="n">
        <v>1</v>
      </c>
      <c r="EQ173" s="0"/>
      <c r="ER173" s="0" t="n">
        <v>0</v>
      </c>
      <c r="ET173" s="0" t="n">
        <v>0</v>
      </c>
      <c r="EV173" s="0" t="n">
        <v>0</v>
      </c>
      <c r="EX173" s="0" t="n">
        <v>1</v>
      </c>
      <c r="EY173" s="0" t="n">
        <v>1</v>
      </c>
      <c r="EZ173" s="4" t="n">
        <v>25000</v>
      </c>
      <c r="FA173" s="0"/>
      <c r="FB173" s="0" t="n">
        <v>0</v>
      </c>
      <c r="FF173" s="120" t="n">
        <f aca="false">(CJ173-CI173+1)/365</f>
        <v>3.0027397260274</v>
      </c>
      <c r="FG173" s="0" t="str">
        <f aca="false">CONCATENATE(F173,"/",G173)</f>
        <v>1738/2011</v>
      </c>
      <c r="FH173" s="0" t="n">
        <v>0</v>
      </c>
      <c r="FI173" s="0" t="n">
        <v>0</v>
      </c>
    </row>
    <row r="174" customFormat="false" ht="15" hidden="false" customHeight="false" outlineLevel="0" collapsed="false">
      <c r="A174" s="5" t="str">
        <f aca="false">E174&amp;G174&amp;F174</f>
        <v>720111750</v>
      </c>
      <c r="B174" s="0" t="s">
        <v>1884</v>
      </c>
      <c r="C174" s="1" t="n">
        <v>42412</v>
      </c>
      <c r="E174" s="0" t="n">
        <v>7</v>
      </c>
      <c r="F174" s="0" t="n">
        <v>1750</v>
      </c>
      <c r="G174" s="0" t="n">
        <v>2011</v>
      </c>
      <c r="H174" s="0" t="str">
        <f aca="false">"J"&amp;E174&amp;"\"&amp;F174&amp;"\"&amp;G174&amp;"\"&amp;W174</f>
        <v>J7\1750\2011\1</v>
      </c>
      <c r="I174" s="0"/>
      <c r="J174" s="1" t="n">
        <v>40833</v>
      </c>
      <c r="K174" s="0" t="n">
        <v>0</v>
      </c>
      <c r="M174" s="1"/>
      <c r="N174" s="1"/>
      <c r="O174" s="1"/>
      <c r="P174" s="1"/>
      <c r="Q174" s="1"/>
      <c r="T174" s="121"/>
      <c r="U174" s="121"/>
      <c r="V174" s="122" t="n">
        <f aca="false">IF(AND(E174&gt;0,F174&gt;0,G174&gt;0),COUNTIFS($E:$E,E174,$F:$F,F174,$G:$G,G174),"")</f>
        <v>1</v>
      </c>
      <c r="W174" s="122" t="n">
        <f aca="false">IF(V174="","",IF(V174=1,1,IF(AND(E173=E174,F173=F174,G173=G174),W173+1,1)))</f>
        <v>1</v>
      </c>
      <c r="X174" s="0" t="n">
        <v>1</v>
      </c>
      <c r="Y174" s="0" t="n">
        <v>5</v>
      </c>
      <c r="Z174" s="0" t="s">
        <v>2047</v>
      </c>
      <c r="AA174" s="0" t="n">
        <v>0</v>
      </c>
      <c r="AB174" s="0" t="s">
        <v>2048</v>
      </c>
      <c r="AC174" s="0" t="s">
        <v>2049</v>
      </c>
      <c r="AD174" s="0" t="s">
        <v>2050</v>
      </c>
      <c r="AE174" s="0" t="n">
        <v>0</v>
      </c>
      <c r="AF174" s="0" t="s">
        <v>2051</v>
      </c>
      <c r="AG174" s="0" t="n">
        <v>0</v>
      </c>
      <c r="AH174" s="0" t="s">
        <v>2052</v>
      </c>
      <c r="AI174" s="0" t="s">
        <v>2053</v>
      </c>
      <c r="AJ174" s="0" t="s">
        <v>1972</v>
      </c>
      <c r="AL174" s="0" t="s">
        <v>2054</v>
      </c>
      <c r="AM174" s="0" t="n">
        <v>1</v>
      </c>
      <c r="AN174" s="0" t="s">
        <v>2052</v>
      </c>
      <c r="AO174" s="0" t="s">
        <v>2053</v>
      </c>
      <c r="AP174" s="0" t="s">
        <v>1972</v>
      </c>
      <c r="AR174" s="0" t="s">
        <v>2055</v>
      </c>
      <c r="AS174" s="0" t="n">
        <v>1</v>
      </c>
      <c r="AT174" s="0" t="s">
        <v>2052</v>
      </c>
      <c r="AU174" s="0" t="s">
        <v>2053</v>
      </c>
      <c r="AV174" s="0" t="s">
        <v>1972</v>
      </c>
      <c r="AX174" s="0" t="s">
        <v>2056</v>
      </c>
      <c r="AY174" s="0" t="n">
        <v>1</v>
      </c>
      <c r="AZ174" s="0" t="s">
        <v>2052</v>
      </c>
      <c r="BA174" s="0" t="s">
        <v>2053</v>
      </c>
      <c r="BB174" s="0" t="s">
        <v>1972</v>
      </c>
      <c r="BD174" s="0" t="s">
        <v>2057</v>
      </c>
      <c r="BE174" s="0" t="n">
        <v>1</v>
      </c>
      <c r="BF174" s="0" t="s">
        <v>2052</v>
      </c>
      <c r="BG174" s="0" t="s">
        <v>2053</v>
      </c>
      <c r="BH174" s="0" t="s">
        <v>1972</v>
      </c>
      <c r="BR174" s="0" t="n">
        <v>1</v>
      </c>
      <c r="BS174" s="0" t="s">
        <v>2058</v>
      </c>
      <c r="BT174" s="0" t="s">
        <v>2059</v>
      </c>
      <c r="BU174" s="0" t="s">
        <v>2060</v>
      </c>
      <c r="BV174" s="123"/>
      <c r="BW174" s="123"/>
      <c r="BX174" s="123"/>
      <c r="BY174" s="123"/>
      <c r="BZ174" s="0" t="n">
        <v>0</v>
      </c>
      <c r="CA174" s="0" t="s">
        <v>1895</v>
      </c>
      <c r="CD174" s="0" t="s">
        <v>370</v>
      </c>
      <c r="CE174" s="0" t="n">
        <v>0</v>
      </c>
      <c r="CF174" s="0" t="s">
        <v>567</v>
      </c>
      <c r="CI174" s="1" t="n">
        <v>38534</v>
      </c>
      <c r="CJ174" s="1" t="n">
        <v>40820</v>
      </c>
      <c r="CK174" s="124" t="n">
        <v>0.333333333333333</v>
      </c>
      <c r="CL174" s="0" t="s">
        <v>2061</v>
      </c>
      <c r="CM174" s="0" t="n">
        <f aca="false">IF(OR(CI174="",CJ174=""),"",DAYS360(CI174,CJ174)/360)</f>
        <v>6.25833333333333</v>
      </c>
      <c r="CN174" s="0" t="n">
        <f aca="false">IF(OR(CI174="",CJ174=""),"",DAYS360(CI174,CJ174)/30)</f>
        <v>75.1</v>
      </c>
      <c r="CO174" s="0" t="n">
        <f aca="false">IF(OR(CI174="",CJ174=""),"",DAYS360(CI174,CJ174)/7)</f>
        <v>321.857142857143</v>
      </c>
      <c r="CP174" s="0" t="n">
        <f aca="false">IF(OR(CI174="",CJ174=""),"",DAYS360(CI174,CJ174))</f>
        <v>2253</v>
      </c>
      <c r="CQ174" s="0" t="s">
        <v>1898</v>
      </c>
      <c r="CR174" s="0" t="n">
        <v>1</v>
      </c>
      <c r="CT174" s="0" t="n">
        <v>200</v>
      </c>
      <c r="CU174" s="0" t="n">
        <v>0</v>
      </c>
      <c r="CV174" s="0" t="n">
        <f aca="false">IF(OR(CT174="",CT174="NO ESPECIFICA",CT174="NO MENCIONA"),"",IF(CU174=0,CT174,IF(CU174=1,CT174/30,IF(CU174=2,CT174/15,IF(CU174=3,CT174/7,"")))))</f>
        <v>200</v>
      </c>
      <c r="CW174" s="125" t="n">
        <v>225.69</v>
      </c>
      <c r="CY174" s="0" t="n">
        <f aca="false">IF(CW174="","",IF(CX174=0,CW174,IF(CX174=1,CW174/30,IF(CX174=2,CW174/15,IF(CX174=3,CW174/7,CW174)))))</f>
        <v>225.69</v>
      </c>
      <c r="CZ174" s="0" t="n">
        <f aca="false">IF(DI174&gt;0,DI174,IF(CY174&gt;0,CY174,IF(CV174&gt;0,CV174,"")))</f>
        <v>225.69</v>
      </c>
      <c r="DA174" s="0" t="n">
        <f aca="false">IF(DM174=1,CZ174/8,IF(OR(DM174=2,DM174=4),CZ174/7,IF(DM174=3,CZ174/7.5,"")))</f>
        <v>28.21125</v>
      </c>
      <c r="DB174" s="0" t="s">
        <v>1935</v>
      </c>
      <c r="DC174" s="0" t="s">
        <v>301</v>
      </c>
      <c r="DD174" s="0" t="s">
        <v>2062</v>
      </c>
      <c r="DE174" s="0" t="s">
        <v>2063</v>
      </c>
      <c r="DF174" s="0" t="s">
        <v>1895</v>
      </c>
      <c r="DG174" s="0" t="s">
        <v>1895</v>
      </c>
      <c r="DH174" s="0" t="n">
        <v>0</v>
      </c>
      <c r="DI174" s="126" t="n">
        <v>225.69</v>
      </c>
      <c r="DK174" s="0" t="n">
        <v>0</v>
      </c>
      <c r="DM174" s="0" t="n">
        <v>1</v>
      </c>
      <c r="DN174" s="0" t="n">
        <v>50</v>
      </c>
      <c r="DO174" s="0" t="n">
        <v>3</v>
      </c>
      <c r="DP174" s="0" t="n">
        <v>0</v>
      </c>
      <c r="DQ174" s="0" t="n">
        <v>1</v>
      </c>
      <c r="DR174" s="0"/>
      <c r="DS174" s="0" t="n">
        <v>1</v>
      </c>
      <c r="DU174" s="0" t="n">
        <v>1</v>
      </c>
      <c r="DW174" s="1" t="n">
        <v>39995</v>
      </c>
      <c r="DX174" s="1" t="n">
        <v>40819</v>
      </c>
      <c r="DZ174" s="0"/>
      <c r="EA174" s="0" t="n">
        <v>1</v>
      </c>
      <c r="EC174" s="1" t="n">
        <v>40544</v>
      </c>
      <c r="ED174" s="1" t="n">
        <v>40819</v>
      </c>
      <c r="EF174" s="0"/>
      <c r="EG174" s="0" t="n">
        <v>1</v>
      </c>
      <c r="EH174" s="0" t="n">
        <v>10</v>
      </c>
      <c r="EI174" s="0" t="n">
        <f aca="false">IF(AND(DM174=1,DN174&lt;=48),"",IF(AND(DM174=2,DN174&lt;=42),"",IF(AND(DM174=3,DN174&lt;=45),"",EH174)))</f>
        <v>10</v>
      </c>
      <c r="EJ174" s="0" t="n">
        <f aca="false">IF(EI174="","",IF(EI174&lt;9,EI174,9))</f>
        <v>9</v>
      </c>
      <c r="EK174" s="0" t="n">
        <f aca="false">IF(EI174="","",IF(EI174&gt;9,EI174-EJ174,0))</f>
        <v>1</v>
      </c>
      <c r="EL174" s="0" t="n">
        <f aca="false">IF(EI174="","",EJ174*DA174*2+EK174*DA174*3)</f>
        <v>592.43625</v>
      </c>
      <c r="EP174" s="0" t="n">
        <v>0</v>
      </c>
      <c r="EQ174" s="0"/>
      <c r="ER174" s="0" t="n">
        <v>0</v>
      </c>
      <c r="ET174" s="0" t="n">
        <v>1</v>
      </c>
      <c r="EV174" s="0" t="n">
        <v>1</v>
      </c>
      <c r="EX174" s="0" t="n">
        <v>0</v>
      </c>
      <c r="EY174" s="0" t="n">
        <v>0</v>
      </c>
      <c r="EZ174" s="0"/>
      <c r="FA174" s="0"/>
      <c r="FB174" s="0" t="n">
        <v>0</v>
      </c>
      <c r="FF174" s="120" t="n">
        <f aca="false">(CJ174-CI174+1)/365</f>
        <v>6.26575342465753</v>
      </c>
      <c r="FG174" s="0" t="str">
        <f aca="false">CONCATENATE(F174,"/",G174)</f>
        <v>1750/2011</v>
      </c>
      <c r="FH174" s="0" t="n">
        <v>0</v>
      </c>
      <c r="FI174" s="0" t="n">
        <v>0</v>
      </c>
    </row>
    <row r="175" customFormat="false" ht="15" hidden="false" customHeight="false" outlineLevel="0" collapsed="false">
      <c r="A175" s="5" t="str">
        <f aca="false">E175&amp;G175&amp;F175</f>
        <v>720111781</v>
      </c>
      <c r="B175" s="0" t="s">
        <v>1884</v>
      </c>
      <c r="C175" s="1" t="n">
        <v>42412</v>
      </c>
      <c r="E175" s="0" t="n">
        <v>7</v>
      </c>
      <c r="F175" s="0" t="n">
        <v>1781</v>
      </c>
      <c r="G175" s="0" t="n">
        <v>2011</v>
      </c>
      <c r="H175" s="0" t="str">
        <f aca="false">"J"&amp;E175&amp;"\"&amp;F175&amp;"\"&amp;G175&amp;"\"&amp;W175</f>
        <v>J7\1781\2011\1</v>
      </c>
      <c r="I175" s="0"/>
      <c r="J175" s="1" t="n">
        <v>40841</v>
      </c>
      <c r="K175" s="0" t="n">
        <v>0</v>
      </c>
      <c r="M175" s="1"/>
      <c r="N175" s="1"/>
      <c r="O175" s="1"/>
      <c r="P175" s="1"/>
      <c r="Q175" s="1"/>
      <c r="T175" s="121"/>
      <c r="U175" s="121"/>
      <c r="V175" s="122" t="n">
        <f aca="false">IF(AND(E175&gt;0,F175&gt;0,G175&gt;0),COUNTIFS($E:$E,E175,$F:$F,F175,$G:$G,G175),"")</f>
        <v>1</v>
      </c>
      <c r="W175" s="122" t="n">
        <f aca="false">IF(V175="","",IF(V175=1,1,IF(AND(E174=E175,F174=F175,G174=G175),W174+1,1)))</f>
        <v>1</v>
      </c>
      <c r="X175" s="0" t="n">
        <v>1</v>
      </c>
      <c r="Y175" s="0" t="n">
        <v>1</v>
      </c>
      <c r="Z175" s="0" t="s">
        <v>2064</v>
      </c>
      <c r="AA175" s="0" t="n">
        <v>0</v>
      </c>
      <c r="AB175" s="0" t="s">
        <v>2065</v>
      </c>
      <c r="AC175" s="0" t="s">
        <v>2066</v>
      </c>
      <c r="AD175" s="0" t="s">
        <v>322</v>
      </c>
      <c r="AE175" s="0" t="n">
        <v>0</v>
      </c>
      <c r="AF175" s="0" t="s">
        <v>2067</v>
      </c>
      <c r="AG175" s="0" t="n">
        <v>0</v>
      </c>
      <c r="AH175" s="0" t="s">
        <v>2068</v>
      </c>
      <c r="AI175" s="0" t="s">
        <v>2069</v>
      </c>
      <c r="AJ175" s="0" t="s">
        <v>2070</v>
      </c>
      <c r="BR175" s="0" t="n">
        <v>1</v>
      </c>
      <c r="BS175" s="0" t="s">
        <v>2071</v>
      </c>
      <c r="BT175" s="0" t="s">
        <v>2072</v>
      </c>
      <c r="BU175" s="0" t="s">
        <v>1895</v>
      </c>
      <c r="BV175" s="123"/>
      <c r="BW175" s="123"/>
      <c r="BX175" s="123"/>
      <c r="BY175" s="123"/>
      <c r="BZ175" s="0" t="n">
        <v>0</v>
      </c>
      <c r="CA175" s="0" t="s">
        <v>1895</v>
      </c>
      <c r="CD175" s="0" t="s">
        <v>1943</v>
      </c>
      <c r="CE175" s="0" t="n">
        <v>0</v>
      </c>
      <c r="CF175" s="0" t="s">
        <v>2073</v>
      </c>
      <c r="CI175" s="1" t="n">
        <v>38894</v>
      </c>
      <c r="CJ175" s="1" t="n">
        <v>40769</v>
      </c>
      <c r="CK175" s="124" t="s">
        <v>2074</v>
      </c>
      <c r="CL175" s="0" t="s">
        <v>2074</v>
      </c>
      <c r="CM175" s="0" t="n">
        <f aca="false">IF(OR(CI175="",CJ175=""),"",DAYS360(CI175,CJ175)/360)</f>
        <v>5.13333333333333</v>
      </c>
      <c r="CN175" s="0" t="n">
        <f aca="false">IF(OR(CI175="",CJ175=""),"",DAYS360(CI175,CJ175)/30)</f>
        <v>61.6</v>
      </c>
      <c r="CO175" s="0" t="n">
        <f aca="false">IF(OR(CI175="",CJ175=""),"",DAYS360(CI175,CJ175)/7)</f>
        <v>264</v>
      </c>
      <c r="CP175" s="0" t="n">
        <f aca="false">IF(OR(CI175="",CJ175=""),"",DAYS360(CI175,CJ175))</f>
        <v>1848</v>
      </c>
      <c r="CQ175" s="0" t="s">
        <v>1761</v>
      </c>
      <c r="CR175" s="0" t="n">
        <v>0</v>
      </c>
      <c r="CS175" s="0" t="s">
        <v>2075</v>
      </c>
      <c r="CT175" s="0" t="s">
        <v>1899</v>
      </c>
      <c r="CU175" s="0" t="s">
        <v>1899</v>
      </c>
      <c r="CV175" s="0" t="str">
        <f aca="false">IF(OR(CT175="",CT175="NO ESPECIFICA",CT175="NO MENCIONA"),"",IF(CU175=0,CT175,IF(CU175=1,CT175/30,IF(CU175=2,CT175/15,IF(CU175=3,CT175/7,"")))))</f>
        <v/>
      </c>
      <c r="CW175" s="125" t="n">
        <v>296.07</v>
      </c>
      <c r="CX175" s="0" t="n">
        <v>0</v>
      </c>
      <c r="CY175" s="0" t="n">
        <f aca="false">IF(CW175="","",IF(CX175=0,CW175,IF(CX175=1,CW175/30,IF(CX175=2,CW175/15,IF(CX175=3,CW175/7,CW175)))))</f>
        <v>296.07</v>
      </c>
      <c r="CZ175" s="0" t="n">
        <f aca="false">IF(DI175&gt;0,DI175,IF(CY175&gt;0,CY175,IF(CV175&gt;0,CV175,"")))</f>
        <v>296.07</v>
      </c>
      <c r="DA175" s="0" t="n">
        <f aca="false">IF(DM175=1,CZ175/8,IF(OR(DM175=2,DM175=4),CZ175/7,IF(DM175=3,CZ175/7.5,"")))</f>
        <v>37.00875</v>
      </c>
      <c r="DB175" s="0" t="s">
        <v>1895</v>
      </c>
      <c r="DC175" s="0" t="s">
        <v>1895</v>
      </c>
      <c r="DD175" s="0" t="s">
        <v>1895</v>
      </c>
      <c r="DE175" s="0" t="s">
        <v>1895</v>
      </c>
      <c r="DF175" s="0" t="s">
        <v>1895</v>
      </c>
      <c r="DG175" s="0" t="s">
        <v>1895</v>
      </c>
      <c r="DH175" s="0" t="n">
        <v>0</v>
      </c>
      <c r="DI175" s="126" t="n">
        <v>296.07</v>
      </c>
      <c r="DK175" s="0" t="n">
        <v>0</v>
      </c>
      <c r="DM175" s="0" t="n">
        <v>1</v>
      </c>
      <c r="DN175" s="0" t="n">
        <v>48</v>
      </c>
      <c r="DO175" s="0" t="n">
        <v>3</v>
      </c>
      <c r="DP175" s="0" t="n">
        <v>0</v>
      </c>
      <c r="DQ175" s="0" t="n">
        <v>0</v>
      </c>
      <c r="DR175" s="0"/>
      <c r="DS175" s="0" t="n">
        <v>0</v>
      </c>
      <c r="DU175" s="0" t="n">
        <v>1</v>
      </c>
      <c r="DV175" s="0" t="n">
        <v>7178.4</v>
      </c>
      <c r="DW175" s="1" t="n">
        <v>38894</v>
      </c>
      <c r="DX175" s="1" t="n">
        <v>40769</v>
      </c>
      <c r="DZ175" s="0"/>
      <c r="EA175" s="0" t="n">
        <v>1</v>
      </c>
      <c r="EB175" s="0" t="n">
        <v>444.1</v>
      </c>
      <c r="EC175" s="1" t="n">
        <v>40544</v>
      </c>
      <c r="ED175" s="1" t="n">
        <v>40769</v>
      </c>
      <c r="EF175" s="0" t="n">
        <v>2747.5</v>
      </c>
      <c r="EG175" s="0" t="n">
        <v>0</v>
      </c>
      <c r="EI175" s="0" t="str">
        <f aca="false">IF(AND(DM175=1,DN175&lt;=48),"",IF(AND(DM175=2,DN175&lt;=42),"",IF(AND(DM175=3,DN175&lt;=45),"",EH175)))</f>
        <v/>
      </c>
      <c r="EJ175" s="0" t="str">
        <f aca="false">IF(EI175="","",IF(EI175&lt;9,EI175,9))</f>
        <v/>
      </c>
      <c r="EK175" s="0" t="str">
        <f aca="false">IF(EI175="","",IF(EI175&gt;9,EI175-EJ175,0))</f>
        <v/>
      </c>
      <c r="EL175" s="0" t="str">
        <f aca="false">IF(EI175="","",EJ175*DA175*2+EK175*DA175*3)</f>
        <v/>
      </c>
      <c r="EP175" s="0" t="n">
        <v>0</v>
      </c>
      <c r="EQ175" s="0"/>
      <c r="ER175" s="0" t="n">
        <v>0</v>
      </c>
      <c r="ET175" s="0" t="n">
        <v>0</v>
      </c>
      <c r="EV175" s="0" t="n">
        <v>0</v>
      </c>
      <c r="EX175" s="0" t="n">
        <v>0</v>
      </c>
      <c r="EY175" s="0" t="n">
        <v>0</v>
      </c>
      <c r="EZ175" s="0"/>
      <c r="FA175" s="4" t="n">
        <v>2747.5</v>
      </c>
      <c r="FB175" s="0" t="n">
        <v>0</v>
      </c>
      <c r="FF175" s="120" t="n">
        <f aca="false">(CJ175-CI175+1)/365</f>
        <v>5.13972602739726</v>
      </c>
      <c r="FG175" s="0" t="str">
        <f aca="false">CONCATENATE(F175,"/",G175)</f>
        <v>1781/2011</v>
      </c>
      <c r="FH175" s="0" t="n">
        <v>0</v>
      </c>
      <c r="FI175" s="0" t="n">
        <v>0</v>
      </c>
    </row>
    <row r="176" customFormat="false" ht="15" hidden="false" customHeight="false" outlineLevel="0" collapsed="false">
      <c r="A176" s="5" t="str">
        <f aca="false">E176&amp;G176&amp;F176</f>
        <v>720111850</v>
      </c>
      <c r="B176" s="0" t="s">
        <v>1884</v>
      </c>
      <c r="C176" s="1" t="n">
        <v>42412</v>
      </c>
      <c r="E176" s="0" t="n">
        <v>7</v>
      </c>
      <c r="F176" s="0" t="n">
        <v>1850</v>
      </c>
      <c r="G176" s="0" t="n">
        <v>2011</v>
      </c>
      <c r="H176" s="0" t="str">
        <f aca="false">"J"&amp;E176&amp;"\"&amp;F176&amp;"\"&amp;G176&amp;"\"&amp;W176</f>
        <v>J7\1850\2011\1</v>
      </c>
      <c r="I176" s="0"/>
      <c r="J176" s="1" t="n">
        <v>40851</v>
      </c>
      <c r="K176" s="0" t="n">
        <v>0</v>
      </c>
      <c r="M176" s="1"/>
      <c r="N176" s="1"/>
      <c r="O176" s="1"/>
      <c r="P176" s="1"/>
      <c r="Q176" s="1"/>
      <c r="T176" s="121"/>
      <c r="U176" s="121"/>
      <c r="V176" s="122" t="n">
        <f aca="false">IF(AND(E176&gt;0,F176&gt;0,G176&gt;0),COUNTIFS($E:$E,E176,$F:$F,F176,$G:$G,G176),"")</f>
        <v>1</v>
      </c>
      <c r="W176" s="122" t="n">
        <f aca="false">IF(V176="","",IF(V176=1,1,IF(AND(E175=E176,F175=F176,G175=G176),W175+1,1)))</f>
        <v>1</v>
      </c>
      <c r="X176" s="0" t="n">
        <v>1</v>
      </c>
      <c r="Y176" s="0" t="n">
        <v>3</v>
      </c>
      <c r="Z176" s="0" t="s">
        <v>2076</v>
      </c>
      <c r="AA176" s="0" t="n">
        <v>0</v>
      </c>
      <c r="AB176" s="0" t="s">
        <v>1923</v>
      </c>
      <c r="AC176" s="0" t="s">
        <v>1924</v>
      </c>
      <c r="AD176" s="0" t="s">
        <v>1888</v>
      </c>
      <c r="AE176" s="0" t="n">
        <v>0</v>
      </c>
      <c r="AF176" s="0" t="s">
        <v>2077</v>
      </c>
      <c r="AG176" s="0" t="n">
        <v>0</v>
      </c>
      <c r="AH176" s="0" t="s">
        <v>2078</v>
      </c>
      <c r="AI176" s="0" t="s">
        <v>1927</v>
      </c>
      <c r="AJ176" s="0" t="s">
        <v>1888</v>
      </c>
      <c r="AL176" s="0" t="s">
        <v>2079</v>
      </c>
      <c r="AM176" s="0" t="n">
        <v>1</v>
      </c>
      <c r="AN176" s="0" t="s">
        <v>2078</v>
      </c>
      <c r="AO176" s="0" t="s">
        <v>1927</v>
      </c>
      <c r="AP176" s="0" t="s">
        <v>1888</v>
      </c>
      <c r="AR176" s="0" t="s">
        <v>2080</v>
      </c>
      <c r="AS176" s="0" t="n">
        <v>1</v>
      </c>
      <c r="AT176" s="0" t="s">
        <v>2078</v>
      </c>
      <c r="AU176" s="0" t="s">
        <v>1927</v>
      </c>
      <c r="AV176" s="0" t="s">
        <v>1888</v>
      </c>
      <c r="BR176" s="0" t="n">
        <v>1</v>
      </c>
      <c r="BS176" s="0" t="s">
        <v>2081</v>
      </c>
      <c r="BT176" s="0" t="s">
        <v>1933</v>
      </c>
      <c r="BU176" s="0" t="s">
        <v>1934</v>
      </c>
      <c r="BV176" s="123"/>
      <c r="BW176" s="123"/>
      <c r="BX176" s="123"/>
      <c r="BY176" s="123"/>
      <c r="BZ176" s="0" t="n">
        <v>0</v>
      </c>
      <c r="CA176" s="0" t="s">
        <v>348</v>
      </c>
      <c r="CD176" s="0" t="s">
        <v>1943</v>
      </c>
      <c r="CE176" s="0" t="n">
        <v>0</v>
      </c>
      <c r="CF176" s="0" t="s">
        <v>2082</v>
      </c>
      <c r="CI176" s="1" t="n">
        <v>40699</v>
      </c>
      <c r="CJ176" s="1" t="n">
        <v>40791</v>
      </c>
      <c r="CK176" s="124" t="n">
        <v>0.5</v>
      </c>
      <c r="CL176" s="0" t="s">
        <v>2083</v>
      </c>
      <c r="CM176" s="0" t="n">
        <f aca="false">IF(OR(CI176="",CJ176=""),"",DAYS360(CI176,CJ176)/360)</f>
        <v>0.25</v>
      </c>
      <c r="CN176" s="0" t="n">
        <f aca="false">IF(OR(CI176="",CJ176=""),"",DAYS360(CI176,CJ176)/30)</f>
        <v>3</v>
      </c>
      <c r="CO176" s="0" t="n">
        <f aca="false">IF(OR(CI176="",CJ176=""),"",DAYS360(CI176,CJ176)/7)</f>
        <v>12.8571428571429</v>
      </c>
      <c r="CP176" s="0" t="n">
        <f aca="false">IF(OR(CI176="",CJ176=""),"",DAYS360(CI176,CJ176))</f>
        <v>90</v>
      </c>
      <c r="CQ176" s="0" t="s">
        <v>1898</v>
      </c>
      <c r="CR176" s="0" t="n">
        <v>1</v>
      </c>
      <c r="CT176" s="0" t="n">
        <v>173.33</v>
      </c>
      <c r="CU176" s="0" t="n">
        <v>0</v>
      </c>
      <c r="CV176" s="0" t="n">
        <f aca="false">IF(OR(CT176="",CT176="NO ESPECIFICA",CT176="NO MENCIONA"),"",IF(CU176=0,CT176,IF(CU176=1,CT176/30,IF(CU176=2,CT176/15,IF(CU176=3,CT176/7,"")))))</f>
        <v>173.33</v>
      </c>
      <c r="CW176" s="125" t="n">
        <v>181.25</v>
      </c>
      <c r="CX176" s="0" t="n">
        <v>0</v>
      </c>
      <c r="CY176" s="0" t="n">
        <f aca="false">IF(CW176="","",IF(CX176=0,CW176,IF(CX176=1,CW176/30,IF(CX176=2,CW176/15,IF(CX176=3,CW176/7,CW176)))))</f>
        <v>181.25</v>
      </c>
      <c r="CZ176" s="0" t="n">
        <f aca="false">IF(DI176&gt;0,DI176,IF(CY176&gt;0,CY176,IF(CV176&gt;0,CV176,"")))</f>
        <v>181.25</v>
      </c>
      <c r="DA176" s="0" t="n">
        <f aca="false">IF(DM176=1,CZ176/8,IF(OR(DM176=2,DM176=4),CZ176/7,IF(DM176=3,CZ176/7.5,"")))</f>
        <v>22.65625</v>
      </c>
      <c r="DB176" s="0" t="s">
        <v>1935</v>
      </c>
      <c r="DC176" s="0" t="s">
        <v>301</v>
      </c>
      <c r="DD176" s="0" t="s">
        <v>1895</v>
      </c>
      <c r="DE176" s="0" t="s">
        <v>1895</v>
      </c>
      <c r="DF176" s="0" t="s">
        <v>1895</v>
      </c>
      <c r="DG176" s="0" t="s">
        <v>1895</v>
      </c>
      <c r="DH176" s="0" t="n">
        <v>0</v>
      </c>
      <c r="DI176" s="126" t="n">
        <v>181.25</v>
      </c>
      <c r="DK176" s="0" t="n">
        <v>1</v>
      </c>
      <c r="DM176" s="0" t="n">
        <v>1</v>
      </c>
      <c r="DN176" s="0" t="n">
        <v>63</v>
      </c>
      <c r="DO176" s="0" t="n">
        <v>3</v>
      </c>
      <c r="DP176" s="0" t="n">
        <v>0</v>
      </c>
      <c r="DQ176" s="0" t="n">
        <v>1</v>
      </c>
      <c r="DR176" s="0"/>
      <c r="DS176" s="0" t="n">
        <v>1</v>
      </c>
      <c r="DU176" s="0" t="n">
        <v>1</v>
      </c>
      <c r="DW176" s="1" t="n">
        <v>40699</v>
      </c>
      <c r="DX176" s="1" t="n">
        <v>40791</v>
      </c>
      <c r="DZ176" s="0"/>
      <c r="EA176" s="0" t="n">
        <v>1</v>
      </c>
      <c r="EC176" s="1" t="n">
        <v>40699</v>
      </c>
      <c r="ED176" s="1" t="n">
        <v>40791</v>
      </c>
      <c r="EF176" s="0"/>
      <c r="EG176" s="0" t="n">
        <v>0</v>
      </c>
      <c r="EI176" s="0" t="n">
        <f aca="false">IF(AND(DM176=1,DN176&lt;=48),"",IF(AND(DM176=2,DN176&lt;=42),"",IF(AND(DM176=3,DN176&lt;=45),"",EH176)))</f>
        <v>0</v>
      </c>
      <c r="EJ176" s="0" t="str">
        <f aca="false">IF(EI176="","",IF(EI176&lt;9,EI176,9))</f>
        <v/>
      </c>
      <c r="EK176" s="0" t="str">
        <f aca="false">IF(EI176="","",IF(EI176&gt;9,EI176-EJ176,0))</f>
        <v/>
      </c>
      <c r="EL176" s="0" t="str">
        <f aca="false">IF(EI176="","",EJ176*DA176*2+EK176*DA176*3)</f>
        <v/>
      </c>
      <c r="EP176" s="0" t="n">
        <v>0</v>
      </c>
      <c r="EQ176" s="0"/>
      <c r="ER176" s="0" t="n">
        <v>0</v>
      </c>
      <c r="ET176" s="0" t="n">
        <v>0</v>
      </c>
      <c r="EV176" s="0" t="n">
        <v>0</v>
      </c>
      <c r="EX176" s="0" t="n">
        <v>0</v>
      </c>
      <c r="EY176" s="0" t="n">
        <v>0</v>
      </c>
      <c r="EZ176" s="0"/>
      <c r="FA176" s="0"/>
      <c r="FB176" s="0" t="n">
        <v>0</v>
      </c>
      <c r="FF176" s="120" t="n">
        <f aca="false">(CJ176-CI176+1)/365</f>
        <v>0.254794520547945</v>
      </c>
      <c r="FG176" s="0" t="str">
        <f aca="false">CONCATENATE(F176,"/",G176)</f>
        <v>1850/2011</v>
      </c>
      <c r="FH176" s="0" t="n">
        <v>0</v>
      </c>
      <c r="FI176" s="0" t="n">
        <v>0</v>
      </c>
    </row>
    <row r="177" customFormat="false" ht="15" hidden="false" customHeight="false" outlineLevel="0" collapsed="false">
      <c r="A177" s="5" t="str">
        <f aca="false">E177&amp;G177&amp;F177</f>
        <v>720111852</v>
      </c>
      <c r="B177" s="0" t="s">
        <v>1884</v>
      </c>
      <c r="C177" s="1" t="n">
        <v>42412</v>
      </c>
      <c r="E177" s="0" t="n">
        <v>7</v>
      </c>
      <c r="F177" s="0" t="n">
        <v>1852</v>
      </c>
      <c r="G177" s="0" t="n">
        <v>2011</v>
      </c>
      <c r="H177" s="0" t="str">
        <f aca="false">"J"&amp;E177&amp;"\"&amp;F177&amp;"\"&amp;G177&amp;"\"&amp;W177</f>
        <v>J7\1852\2011\1</v>
      </c>
      <c r="I177" s="0"/>
      <c r="J177" s="1" t="n">
        <v>40854</v>
      </c>
      <c r="K177" s="0" t="n">
        <v>0</v>
      </c>
      <c r="M177" s="1"/>
      <c r="N177" s="1"/>
      <c r="O177" s="1"/>
      <c r="P177" s="1"/>
      <c r="Q177" s="1"/>
      <c r="T177" s="121"/>
      <c r="U177" s="121"/>
      <c r="V177" s="122" t="n">
        <f aca="false">IF(AND(E177&gt;0,F177&gt;0,G177&gt;0),COUNTIFS($E:$E,E177,$F:$F,F177,$G:$G,G177),"")</f>
        <v>1</v>
      </c>
      <c r="W177" s="122" t="n">
        <f aca="false">IF(V177="","",IF(V177=1,1,IF(AND(E176=E177,F176=F177,G176=G177),W176+1,1)))</f>
        <v>1</v>
      </c>
      <c r="X177" s="0" t="n">
        <v>1</v>
      </c>
      <c r="Y177" s="0" t="n">
        <v>2</v>
      </c>
      <c r="Z177" s="0" t="s">
        <v>2084</v>
      </c>
      <c r="AA177" s="0" t="n">
        <v>0</v>
      </c>
      <c r="AB177" s="0" t="s">
        <v>2085</v>
      </c>
      <c r="AC177" s="0" t="s">
        <v>2049</v>
      </c>
      <c r="AD177" s="0" t="s">
        <v>1888</v>
      </c>
      <c r="AE177" s="0" t="n">
        <v>0</v>
      </c>
      <c r="AF177" s="0" t="s">
        <v>2086</v>
      </c>
      <c r="AG177" s="0" t="n">
        <v>1</v>
      </c>
      <c r="AH177" s="0" t="s">
        <v>2087</v>
      </c>
      <c r="AI177" s="0" t="s">
        <v>2088</v>
      </c>
      <c r="AJ177" s="0" t="s">
        <v>590</v>
      </c>
      <c r="BR177" s="0" t="n">
        <v>1</v>
      </c>
      <c r="BS177" s="0" t="s">
        <v>2089</v>
      </c>
      <c r="BT177" s="0" t="s">
        <v>2090</v>
      </c>
      <c r="BU177" s="0" t="s">
        <v>2091</v>
      </c>
      <c r="BV177" s="123"/>
      <c r="BW177" s="123"/>
      <c r="BX177" s="123"/>
      <c r="BY177" s="123"/>
      <c r="BZ177" s="0" t="n">
        <v>0</v>
      </c>
      <c r="CA177" s="0" t="s">
        <v>1895</v>
      </c>
      <c r="CD177" s="0" t="s">
        <v>1895</v>
      </c>
      <c r="CE177" s="0" t="n">
        <v>0</v>
      </c>
      <c r="CF177" s="0" t="s">
        <v>2092</v>
      </c>
      <c r="CI177" s="1" t="n">
        <v>40544</v>
      </c>
      <c r="CJ177" s="1" t="n">
        <v>40798</v>
      </c>
      <c r="CK177" s="124" t="n">
        <v>0.291666666666667</v>
      </c>
      <c r="CL177" s="0" t="s">
        <v>2086</v>
      </c>
      <c r="CM177" s="0" t="n">
        <f aca="false">IF(OR(CI177="",CJ177=""),"",DAYS360(CI177,CJ177)/360)</f>
        <v>0.697222222222222</v>
      </c>
      <c r="CN177" s="0" t="n">
        <f aca="false">IF(OR(CI177="",CJ177=""),"",DAYS360(CI177,CJ177)/30)</f>
        <v>8.36666666666667</v>
      </c>
      <c r="CO177" s="0" t="n">
        <f aca="false">IF(OR(CI177="",CJ177=""),"",DAYS360(CI177,CJ177)/7)</f>
        <v>35.8571428571429</v>
      </c>
      <c r="CP177" s="0" t="n">
        <f aca="false">IF(OR(CI177="",CJ177=""),"",DAYS360(CI177,CJ177))</f>
        <v>251</v>
      </c>
      <c r="CQ177" s="0" t="s">
        <v>1898</v>
      </c>
      <c r="CR177" s="0" t="n">
        <v>1</v>
      </c>
      <c r="CT177" s="0" t="s">
        <v>1899</v>
      </c>
      <c r="CU177" s="0" t="s">
        <v>1899</v>
      </c>
      <c r="CV177" s="0" t="str">
        <f aca="false">IF(OR(CT177="",CT177="NO ESPECIFICA",CT177="NO MENCIONA"),"",IF(CU177=0,CT177,IF(CU177=1,CT177/30,IF(CU177=2,CT177/15,IF(CU177=3,CT177/7,"")))))</f>
        <v/>
      </c>
      <c r="CW177" s="125" t="n">
        <v>220</v>
      </c>
      <c r="CX177" s="0" t="n">
        <v>0</v>
      </c>
      <c r="CY177" s="0" t="n">
        <f aca="false">IF(CW177="","",IF(CX177=0,CW177,IF(CX177=1,CW177/30,IF(CX177=2,CW177/15,IF(CX177=3,CW177/7,CW177)))))</f>
        <v>220</v>
      </c>
      <c r="CZ177" s="0" t="n">
        <f aca="false">IF(DI177&gt;0,DI177,IF(CY177&gt;0,CY177,IF(CV177&gt;0,CV177,"")))</f>
        <v>220</v>
      </c>
      <c r="DA177" s="0" t="n">
        <f aca="false">IF(DM177=1,CZ177/8,IF(OR(DM177=2,DM177=4),CZ177/7,IF(DM177=3,CZ177/7.5,"")))</f>
        <v>27.5</v>
      </c>
      <c r="DB177" s="0" t="s">
        <v>1895</v>
      </c>
      <c r="DC177" s="0" t="s">
        <v>1895</v>
      </c>
      <c r="DD177" s="0" t="s">
        <v>1895</v>
      </c>
      <c r="DE177" s="0" t="s">
        <v>1895</v>
      </c>
      <c r="DF177" s="0" t="s">
        <v>1895</v>
      </c>
      <c r="DG177" s="0" t="s">
        <v>1895</v>
      </c>
      <c r="DH177" s="0" t="n">
        <v>0</v>
      </c>
      <c r="DI177" s="126" t="n">
        <v>220</v>
      </c>
      <c r="DK177" s="0" t="n">
        <v>0</v>
      </c>
      <c r="DM177" s="0" t="n">
        <v>1</v>
      </c>
      <c r="DN177" s="0" t="n">
        <v>90</v>
      </c>
      <c r="DO177" s="0" t="n">
        <v>3</v>
      </c>
      <c r="DP177" s="0" t="n">
        <v>0</v>
      </c>
      <c r="DQ177" s="0" t="n">
        <v>1</v>
      </c>
      <c r="DR177" s="0" t="n">
        <v>19800</v>
      </c>
      <c r="DS177" s="0" t="n">
        <v>1</v>
      </c>
      <c r="DU177" s="0" t="n">
        <v>1</v>
      </c>
      <c r="DW177" s="1" t="n">
        <v>40544</v>
      </c>
      <c r="DX177" s="1" t="n">
        <v>40878</v>
      </c>
      <c r="DZ177" s="0"/>
      <c r="EA177" s="0" t="n">
        <v>1</v>
      </c>
      <c r="EC177" s="1" t="n">
        <v>40544</v>
      </c>
      <c r="ED177" s="1" t="n">
        <v>40798</v>
      </c>
      <c r="EF177" s="0"/>
      <c r="EG177" s="0" t="n">
        <v>1</v>
      </c>
      <c r="EH177" s="0" t="n">
        <v>35</v>
      </c>
      <c r="EI177" s="0" t="n">
        <f aca="false">IF(AND(DM177=1,DN177&lt;=48),"",IF(AND(DM177=2,DN177&lt;=42),"",IF(AND(DM177=3,DN177&lt;=45),"",EH177)))</f>
        <v>35</v>
      </c>
      <c r="EJ177" s="0" t="n">
        <f aca="false">IF(EI177="","",IF(EI177&lt;9,EI177,9))</f>
        <v>9</v>
      </c>
      <c r="EK177" s="0" t="n">
        <f aca="false">IF(EI177="","",IF(EI177&gt;9,EI177-EJ177,0))</f>
        <v>26</v>
      </c>
      <c r="EL177" s="0" t="n">
        <f aca="false">IF(EI177="","",EJ177*DA177*2+EK177*DA177*3)</f>
        <v>2640</v>
      </c>
      <c r="EP177" s="0" t="n">
        <v>0</v>
      </c>
      <c r="EQ177" s="0"/>
      <c r="ER177" s="0" t="n">
        <v>0</v>
      </c>
      <c r="ET177" s="0" t="n">
        <v>0</v>
      </c>
      <c r="EV177" s="0" t="n">
        <v>0</v>
      </c>
      <c r="EX177" s="0" t="n">
        <v>1</v>
      </c>
      <c r="EY177" s="0" t="n">
        <v>1</v>
      </c>
      <c r="EZ177" s="0"/>
      <c r="FA177" s="0"/>
      <c r="FB177" s="0" t="n">
        <v>1</v>
      </c>
      <c r="FF177" s="120" t="n">
        <f aca="false">(CJ177-CI177+1)/365</f>
        <v>0.698630136986301</v>
      </c>
      <c r="FG177" s="0" t="str">
        <f aca="false">CONCATENATE(F177,"/",G177)</f>
        <v>1852/2011</v>
      </c>
      <c r="FH177" s="0" t="n">
        <v>0</v>
      </c>
      <c r="FI177" s="0" t="n">
        <v>0</v>
      </c>
    </row>
    <row r="178" customFormat="false" ht="15" hidden="false" customHeight="false" outlineLevel="0" collapsed="false">
      <c r="A178" s="5" t="str">
        <f aca="false">E178&amp;G178&amp;F178</f>
        <v>720111859</v>
      </c>
      <c r="B178" s="0" t="s">
        <v>1884</v>
      </c>
      <c r="C178" s="1" t="n">
        <v>42412</v>
      </c>
      <c r="E178" s="0" t="n">
        <v>7</v>
      </c>
      <c r="F178" s="0" t="n">
        <v>1859</v>
      </c>
      <c r="G178" s="0" t="n">
        <v>2011</v>
      </c>
      <c r="H178" s="0" t="str">
        <f aca="false">"J"&amp;E178&amp;"\"&amp;F178&amp;"\"&amp;G178&amp;"\"&amp;W178</f>
        <v>J7\1859\2011\1</v>
      </c>
      <c r="I178" s="0"/>
      <c r="J178" s="1" t="n">
        <v>40855</v>
      </c>
      <c r="K178" s="0" t="n">
        <v>0</v>
      </c>
      <c r="M178" s="1"/>
      <c r="N178" s="1"/>
      <c r="O178" s="1"/>
      <c r="P178" s="1"/>
      <c r="Q178" s="1"/>
      <c r="T178" s="121"/>
      <c r="U178" s="121"/>
      <c r="V178" s="122" t="n">
        <f aca="false">IF(AND(E178&gt;0,F178&gt;0,G178&gt;0),COUNTIFS($E:$E,E178,$F:$F,F178,$G:$G,G178),"")</f>
        <v>1</v>
      </c>
      <c r="W178" s="122" t="n">
        <f aca="false">IF(V178="","",IF(V178=1,1,IF(AND(E177=E178,F177=F178,G177=G178),W177+1,1)))</f>
        <v>1</v>
      </c>
      <c r="X178" s="0" t="n">
        <v>1</v>
      </c>
      <c r="Y178" s="0" t="n">
        <v>1</v>
      </c>
      <c r="Z178" s="0" t="s">
        <v>2093</v>
      </c>
      <c r="AA178" s="0" t="n">
        <v>0</v>
      </c>
      <c r="AB178" s="0" t="s">
        <v>2094</v>
      </c>
      <c r="AC178" s="0" t="s">
        <v>1887</v>
      </c>
      <c r="AD178" s="0" t="s">
        <v>1895</v>
      </c>
      <c r="AE178" s="0" t="n">
        <v>0</v>
      </c>
      <c r="AF178" s="0" t="s">
        <v>2095</v>
      </c>
      <c r="AG178" s="0" t="n">
        <v>0</v>
      </c>
      <c r="AH178" s="0" t="s">
        <v>2096</v>
      </c>
      <c r="AI178" s="0" t="s">
        <v>2097</v>
      </c>
      <c r="AJ178" s="0" t="s">
        <v>1903</v>
      </c>
      <c r="BR178" s="0" t="n">
        <v>1</v>
      </c>
      <c r="BS178" s="0" t="s">
        <v>2098</v>
      </c>
      <c r="BT178" s="0" t="s">
        <v>2099</v>
      </c>
      <c r="BV178" s="123"/>
      <c r="BW178" s="123"/>
      <c r="BX178" s="123"/>
      <c r="BY178" s="123"/>
      <c r="BZ178" s="0" t="n">
        <v>0</v>
      </c>
      <c r="CA178" s="0" t="s">
        <v>1895</v>
      </c>
      <c r="CD178" s="0" t="s">
        <v>1943</v>
      </c>
      <c r="CE178" s="0" t="n">
        <v>0</v>
      </c>
      <c r="CF178" s="0" t="s">
        <v>2100</v>
      </c>
      <c r="CI178" s="1" t="n">
        <v>39380</v>
      </c>
      <c r="CJ178" s="1" t="n">
        <v>40817</v>
      </c>
      <c r="CK178" s="124" t="n">
        <v>0.541666666666667</v>
      </c>
      <c r="CL178" s="0" t="s">
        <v>2101</v>
      </c>
      <c r="CM178" s="0" t="n">
        <f aca="false">IF(OR(CI178="",CJ178=""),"",DAYS360(CI178,CJ178)/360)</f>
        <v>3.93333333333333</v>
      </c>
      <c r="CN178" s="0" t="n">
        <f aca="false">IF(OR(CI178="",CJ178=""),"",DAYS360(CI178,CJ178)/30)</f>
        <v>47.2</v>
      </c>
      <c r="CO178" s="0" t="n">
        <f aca="false">IF(OR(CI178="",CJ178=""),"",DAYS360(CI178,CJ178)/7)</f>
        <v>202.285714285714</v>
      </c>
      <c r="CP178" s="0" t="n">
        <f aca="false">IF(OR(CI178="",CJ178=""),"",DAYS360(CI178,CJ178))</f>
        <v>1416</v>
      </c>
      <c r="CQ178" s="0" t="s">
        <v>2021</v>
      </c>
      <c r="CR178" s="0" t="n">
        <v>1</v>
      </c>
      <c r="CT178" s="0" t="n">
        <v>7500</v>
      </c>
      <c r="CU178" s="0" t="n">
        <v>1</v>
      </c>
      <c r="CV178" s="0" t="n">
        <f aca="false">IF(OR(CT178="",CT178="NO ESPECIFICA",CT178="NO MENCIONA"),"",IF(CU178=0,CT178,IF(CU178=1,CT178/30,IF(CU178=2,CT178/15,IF(CU178=3,CT178/7,"")))))</f>
        <v>250</v>
      </c>
      <c r="CW178" s="125" t="n">
        <v>9500</v>
      </c>
      <c r="CX178" s="0" t="n">
        <v>1</v>
      </c>
      <c r="CY178" s="0" t="n">
        <f aca="false">IF(CW178="","",IF(CX178=0,CW178,IF(CX178=1,CW178/30,IF(CX178=2,CW178/15,IF(CX178=3,CW178/7,CW178)))))</f>
        <v>316.666666666667</v>
      </c>
      <c r="CZ178" s="0" t="n">
        <f aca="false">IF(DI178&gt;0,DI178,IF(CY178&gt;0,CY178,IF(CV178&gt;0,CV178,"")))</f>
        <v>316.66</v>
      </c>
      <c r="DA178" s="0" t="n">
        <f aca="false">IF(DM178=1,CZ178/8,IF(OR(DM178=2,DM178=4),CZ178/7,IF(DM178=3,CZ178/7.5,"")))</f>
        <v>39.5825</v>
      </c>
      <c r="DB178" s="0" t="s">
        <v>1895</v>
      </c>
      <c r="DC178" s="0" t="s">
        <v>1895</v>
      </c>
      <c r="DD178" s="0" t="s">
        <v>1895</v>
      </c>
      <c r="DE178" s="0" t="s">
        <v>1895</v>
      </c>
      <c r="DF178" s="0" t="s">
        <v>1895</v>
      </c>
      <c r="DG178" s="0" t="s">
        <v>1895</v>
      </c>
      <c r="DH178" s="0" t="n">
        <v>0</v>
      </c>
      <c r="DI178" s="126" t="n">
        <v>316.66</v>
      </c>
      <c r="DK178" s="0" t="n">
        <v>1</v>
      </c>
      <c r="DM178" s="0" t="n">
        <v>1</v>
      </c>
      <c r="DN178" s="0" t="n">
        <v>60</v>
      </c>
      <c r="DO178" s="0" t="n">
        <v>3</v>
      </c>
      <c r="DP178" s="0" t="n">
        <v>1</v>
      </c>
      <c r="DQ178" s="0" t="n">
        <v>1</v>
      </c>
      <c r="DR178" s="0"/>
      <c r="DS178" s="0" t="n">
        <v>1</v>
      </c>
      <c r="DU178" s="0" t="n">
        <v>0</v>
      </c>
      <c r="DW178" s="1" t="n">
        <v>40476</v>
      </c>
      <c r="DX178" s="1" t="n">
        <v>40817</v>
      </c>
      <c r="DZ178" s="0"/>
      <c r="EA178" s="0" t="n">
        <v>1</v>
      </c>
      <c r="EC178" s="1" t="n">
        <v>39380</v>
      </c>
      <c r="ED178" s="1" t="n">
        <v>40817</v>
      </c>
      <c r="EF178" s="0"/>
      <c r="EG178" s="0" t="n">
        <v>1</v>
      </c>
      <c r="EH178" s="0" t="n">
        <v>12</v>
      </c>
      <c r="EI178" s="0" t="n">
        <f aca="false">IF(AND(DM178=1,DN178&lt;=48),"",IF(AND(DM178=2,DN178&lt;=42),"",IF(AND(DM178=3,DN178&lt;=45),"",EH178)))</f>
        <v>12</v>
      </c>
      <c r="EJ178" s="0" t="n">
        <f aca="false">IF(EI178="","",IF(EI178&lt;9,EI178,9))</f>
        <v>9</v>
      </c>
      <c r="EK178" s="0" t="n">
        <f aca="false">IF(EI178="","",IF(EI178&gt;9,EI178-EJ178,0))</f>
        <v>3</v>
      </c>
      <c r="EL178" s="0" t="n">
        <f aca="false">IF(EI178="","",EJ178*DA178*2+EK178*DA178*3)</f>
        <v>1068.7275</v>
      </c>
      <c r="EP178" s="0" t="n">
        <v>0</v>
      </c>
      <c r="EQ178" s="0"/>
      <c r="ER178" s="0" t="n">
        <v>0</v>
      </c>
      <c r="ET178" s="0" t="n">
        <v>0</v>
      </c>
      <c r="EV178" s="0" t="n">
        <v>0</v>
      </c>
      <c r="EX178" s="0" t="n">
        <v>1</v>
      </c>
      <c r="EY178" s="0" t="n">
        <v>1</v>
      </c>
      <c r="EZ178" s="0"/>
      <c r="FA178" s="4" t="n">
        <v>2000</v>
      </c>
      <c r="FB178" s="0" t="n">
        <v>0</v>
      </c>
      <c r="FF178" s="120" t="n">
        <f aca="false">(CJ178-CI178+1)/365</f>
        <v>3.93972602739726</v>
      </c>
      <c r="FG178" s="0" t="str">
        <f aca="false">CONCATENATE(F178,"/",G178)</f>
        <v>1859/2011</v>
      </c>
      <c r="FH178" s="0" t="n">
        <v>0</v>
      </c>
      <c r="FI178" s="0" t="n">
        <v>0</v>
      </c>
    </row>
    <row r="179" customFormat="false" ht="15" hidden="false" customHeight="false" outlineLevel="0" collapsed="false">
      <c r="A179" s="5" t="str">
        <f aca="false">E179&amp;G179&amp;F179</f>
        <v>720111860</v>
      </c>
      <c r="B179" s="0" t="s">
        <v>1884</v>
      </c>
      <c r="C179" s="1" t="n">
        <v>42412</v>
      </c>
      <c r="E179" s="0" t="n">
        <v>7</v>
      </c>
      <c r="F179" s="0" t="n">
        <v>1860</v>
      </c>
      <c r="G179" s="0" t="n">
        <v>2011</v>
      </c>
      <c r="H179" s="0" t="str">
        <f aca="false">"J"&amp;E179&amp;"\"&amp;F179&amp;"\"&amp;G179&amp;"\"&amp;W179</f>
        <v>J7\1860\2011\1</v>
      </c>
      <c r="I179" s="0"/>
      <c r="J179" s="1" t="n">
        <v>40855</v>
      </c>
      <c r="K179" s="0" t="n">
        <v>0</v>
      </c>
      <c r="M179" s="1"/>
      <c r="N179" s="1"/>
      <c r="O179" s="1"/>
      <c r="P179" s="1"/>
      <c r="Q179" s="1"/>
      <c r="T179" s="121"/>
      <c r="U179" s="121"/>
      <c r="V179" s="122" t="n">
        <f aca="false">IF(AND(E179&gt;0,F179&gt;0,G179&gt;0),COUNTIFS($E:$E,E179,$F:$F,F179,$G:$G,G179),"")</f>
        <v>1</v>
      </c>
      <c r="W179" s="122" t="n">
        <f aca="false">IF(V179="","",IF(V179=1,1,IF(AND(E178=E179,F178=F179,G178=G179),W178+1,1)))</f>
        <v>1</v>
      </c>
      <c r="X179" s="0" t="n">
        <v>1</v>
      </c>
      <c r="Y179" s="0" t="n">
        <v>4</v>
      </c>
      <c r="Z179" s="0" t="s">
        <v>2102</v>
      </c>
      <c r="AA179" s="0" t="n">
        <v>0</v>
      </c>
      <c r="AB179" s="0" t="s">
        <v>2103</v>
      </c>
      <c r="AC179" s="0" t="s">
        <v>1661</v>
      </c>
      <c r="AD179" s="0" t="s">
        <v>1888</v>
      </c>
      <c r="AE179" s="0" t="n">
        <v>0</v>
      </c>
      <c r="AF179" s="0" t="s">
        <v>2104</v>
      </c>
      <c r="AG179" s="0" t="n">
        <v>0</v>
      </c>
      <c r="AH179" s="0" t="s">
        <v>2105</v>
      </c>
      <c r="AI179" s="0" t="s">
        <v>1968</v>
      </c>
      <c r="AJ179" s="0" t="s">
        <v>2070</v>
      </c>
      <c r="AL179" s="0" t="s">
        <v>2106</v>
      </c>
      <c r="AM179" s="0" t="n">
        <v>1</v>
      </c>
      <c r="AN179" s="0" t="s">
        <v>2105</v>
      </c>
      <c r="AO179" s="0" t="s">
        <v>1968</v>
      </c>
      <c r="AP179" s="0" t="s">
        <v>2070</v>
      </c>
      <c r="AR179" s="0" t="s">
        <v>249</v>
      </c>
      <c r="AS179" s="0" t="n">
        <v>0</v>
      </c>
      <c r="AT179" s="0" t="s">
        <v>2107</v>
      </c>
      <c r="AU179" s="0" t="s">
        <v>2108</v>
      </c>
      <c r="AV179" s="0" t="s">
        <v>1972</v>
      </c>
      <c r="AX179" s="0" t="s">
        <v>2109</v>
      </c>
      <c r="AY179" s="0" t="n">
        <v>0</v>
      </c>
      <c r="AZ179" s="0" t="s">
        <v>2110</v>
      </c>
      <c r="BA179" s="0" t="s">
        <v>2111</v>
      </c>
      <c r="BB179" s="0" t="s">
        <v>2112</v>
      </c>
      <c r="BR179" s="0" t="n">
        <v>1</v>
      </c>
      <c r="BS179" s="0" t="s">
        <v>2113</v>
      </c>
      <c r="BT179" s="0" t="s">
        <v>2114</v>
      </c>
      <c r="BU179" s="0" t="s">
        <v>2115</v>
      </c>
      <c r="BV179" s="123"/>
      <c r="BW179" s="123"/>
      <c r="BX179" s="123"/>
      <c r="BY179" s="123"/>
      <c r="BZ179" s="0" t="n">
        <v>0</v>
      </c>
      <c r="CA179" s="0" t="s">
        <v>2116</v>
      </c>
      <c r="CD179" s="0" t="s">
        <v>1919</v>
      </c>
      <c r="CE179" s="0" t="n">
        <v>0</v>
      </c>
      <c r="CF179" s="0" t="s">
        <v>2117</v>
      </c>
      <c r="CI179" s="1" t="n">
        <v>40746</v>
      </c>
      <c r="CJ179" s="1" t="n">
        <v>40833</v>
      </c>
      <c r="CK179" s="124" t="n">
        <v>0.416666666666667</v>
      </c>
      <c r="CL179" s="0" t="s">
        <v>2118</v>
      </c>
      <c r="CM179" s="0" t="n">
        <f aca="false">IF(OR(CI179="",CJ179=""),"",DAYS360(CI179,CJ179)/360)</f>
        <v>0.236111111111111</v>
      </c>
      <c r="CN179" s="0" t="n">
        <f aca="false">IF(OR(CI179="",CJ179=""),"",DAYS360(CI179,CJ179)/30)</f>
        <v>2.83333333333333</v>
      </c>
      <c r="CO179" s="0" t="n">
        <f aca="false">IF(OR(CI179="",CJ179=""),"",DAYS360(CI179,CJ179)/7)</f>
        <v>12.1428571428571</v>
      </c>
      <c r="CP179" s="0" t="n">
        <f aca="false">IF(OR(CI179="",CJ179=""),"",DAYS360(CI179,CJ179))</f>
        <v>85</v>
      </c>
      <c r="CQ179" s="0" t="s">
        <v>2021</v>
      </c>
      <c r="CR179" s="0" t="n">
        <v>1</v>
      </c>
      <c r="CT179" s="0" t="s">
        <v>221</v>
      </c>
      <c r="CU179" s="0" t="s">
        <v>221</v>
      </c>
      <c r="CV179" s="0" t="str">
        <f aca="false">IF(OR(CT179="",CT179="NO ESPECIFICA",CT179="NO MENCIONA"),"",IF(CU179=0,CT179,IF(CU179=1,CT179/30,IF(CU179=2,CT179/15,IF(CU179=3,CT179/7,"")))))</f>
        <v/>
      </c>
      <c r="CW179" s="125" t="n">
        <v>300</v>
      </c>
      <c r="CX179" s="0" t="n">
        <v>0</v>
      </c>
      <c r="CY179" s="0" t="n">
        <f aca="false">IF(CW179="","",IF(CX179=0,CW179,IF(CX179=1,CW179/30,IF(CX179=2,CW179/15,IF(CX179=3,CW179/7,CW179)))))</f>
        <v>300</v>
      </c>
      <c r="CZ179" s="0" t="n">
        <f aca="false">IF(DI179&gt;0,DI179,IF(CY179&gt;0,CY179,IF(CV179&gt;0,CV179,"")))</f>
        <v>300</v>
      </c>
      <c r="DA179" s="0" t="n">
        <f aca="false">IF(DM179=1,CZ179/8,IF(OR(DM179=2,DM179=4),CZ179/7,IF(DM179=3,CZ179/7.5,"")))</f>
        <v>37.5</v>
      </c>
      <c r="DB179" s="0" t="s">
        <v>1895</v>
      </c>
      <c r="DC179" s="0" t="s">
        <v>1895</v>
      </c>
      <c r="DD179" s="0" t="s">
        <v>1895</v>
      </c>
      <c r="DE179" s="0" t="s">
        <v>1895</v>
      </c>
      <c r="DF179" s="0" t="s">
        <v>1895</v>
      </c>
      <c r="DG179" s="0" t="s">
        <v>1895</v>
      </c>
      <c r="DH179" s="0" t="n">
        <v>0</v>
      </c>
      <c r="DI179" s="126" t="n">
        <v>300</v>
      </c>
      <c r="DK179" s="0" t="n">
        <v>0</v>
      </c>
      <c r="DM179" s="0" t="n">
        <v>1</v>
      </c>
      <c r="DN179" s="0" t="n">
        <v>60</v>
      </c>
      <c r="DO179" s="0" t="n">
        <v>3</v>
      </c>
      <c r="DP179" s="0" t="n">
        <v>1</v>
      </c>
      <c r="DQ179" s="0" t="n">
        <v>1</v>
      </c>
      <c r="DR179" s="0"/>
      <c r="DS179" s="0" t="n">
        <v>1</v>
      </c>
      <c r="DU179" s="0" t="n">
        <v>1</v>
      </c>
      <c r="DW179" s="1" t="n">
        <v>40746</v>
      </c>
      <c r="DX179" s="1" t="n">
        <v>40833</v>
      </c>
      <c r="DZ179" s="0"/>
      <c r="EA179" s="0" t="n">
        <v>1</v>
      </c>
      <c r="EC179" s="1" t="n">
        <v>40746</v>
      </c>
      <c r="ED179" s="1" t="n">
        <v>40833</v>
      </c>
      <c r="EF179" s="0"/>
      <c r="EG179" s="0" t="n">
        <v>1</v>
      </c>
      <c r="EH179" s="0" t="n">
        <v>9</v>
      </c>
      <c r="EI179" s="0" t="n">
        <f aca="false">IF(AND(DM179=1,DN179&lt;=48),"",IF(AND(DM179=2,DN179&lt;=42),"",IF(AND(DM179=3,DN179&lt;=45),"",EH179)))</f>
        <v>9</v>
      </c>
      <c r="EJ179" s="0" t="n">
        <f aca="false">IF(EI179="","",IF(EI179&lt;9,EI179,9))</f>
        <v>9</v>
      </c>
      <c r="EK179" s="0" t="n">
        <f aca="false">IF(EI179="","",IF(EI179&gt;9,EI179-EJ179,0))</f>
        <v>0</v>
      </c>
      <c r="EL179" s="0" t="n">
        <f aca="false">IF(EI179="","",EJ179*DA179*2+EK179*DA179*3)</f>
        <v>675</v>
      </c>
      <c r="EP179" s="0" t="n">
        <v>1</v>
      </c>
      <c r="EQ179" s="0"/>
      <c r="ER179" s="0" t="n">
        <v>0</v>
      </c>
      <c r="ET179" s="0" t="n">
        <v>0</v>
      </c>
      <c r="EV179" s="0" t="n">
        <v>0</v>
      </c>
      <c r="EX179" s="0" t="n">
        <v>1</v>
      </c>
      <c r="EY179" s="0" t="n">
        <v>0</v>
      </c>
      <c r="EZ179" s="0"/>
      <c r="FA179" s="0"/>
      <c r="FB179" s="0" t="n">
        <v>1</v>
      </c>
      <c r="FF179" s="120" t="n">
        <f aca="false">(CJ179-CI179+1)/365</f>
        <v>0.241095890410959</v>
      </c>
      <c r="FG179" s="0" t="str">
        <f aca="false">CONCATENATE(F179,"/",G179)</f>
        <v>1860/2011</v>
      </c>
      <c r="FH179" s="0" t="n">
        <v>0</v>
      </c>
      <c r="FI179" s="0" t="n">
        <v>0</v>
      </c>
    </row>
    <row r="180" customFormat="false" ht="15" hidden="false" customHeight="false" outlineLevel="0" collapsed="false">
      <c r="A180" s="5" t="str">
        <f aca="false">E180&amp;G180&amp;F180</f>
        <v>720111871</v>
      </c>
      <c r="B180" s="0" t="s">
        <v>2119</v>
      </c>
      <c r="C180" s="1" t="n">
        <v>42411</v>
      </c>
      <c r="E180" s="0" t="n">
        <v>7</v>
      </c>
      <c r="F180" s="0" t="n">
        <v>1871</v>
      </c>
      <c r="G180" s="0" t="n">
        <v>2011</v>
      </c>
      <c r="H180" s="0" t="str">
        <f aca="false">"J"&amp;E180&amp;"\"&amp;F180&amp;"\"&amp;G180&amp;"\"&amp;W180</f>
        <v>J7\1871\2011\1</v>
      </c>
      <c r="I180" s="0"/>
      <c r="J180" s="1" t="n">
        <v>40856</v>
      </c>
      <c r="K180" s="0" t="n">
        <v>0</v>
      </c>
      <c r="M180" s="1" t="n">
        <v>40856</v>
      </c>
      <c r="N180" s="1" t="n">
        <v>40918</v>
      </c>
      <c r="O180" s="1"/>
      <c r="P180" s="1"/>
      <c r="Q180" s="1"/>
      <c r="T180" s="121"/>
      <c r="U180" s="121"/>
      <c r="V180" s="122" t="n">
        <f aca="false">IF(AND(E180&gt;0,F180&gt;0,G180&gt;0),COUNTIFS($E:$E,E180,$F:$F,F180,$G:$G,G180),"")</f>
        <v>1</v>
      </c>
      <c r="W180" s="122" t="n">
        <f aca="false">IF(V180="","",IF(V180=1,1,IF(AND(E179=E180,F179=F180,G179=G180),W179+1,1)))</f>
        <v>1</v>
      </c>
      <c r="X180" s="0" t="n">
        <v>1</v>
      </c>
      <c r="Y180" s="0" t="n">
        <v>3</v>
      </c>
      <c r="Z180" s="0" t="s">
        <v>2120</v>
      </c>
      <c r="AA180" s="0" t="n">
        <v>0</v>
      </c>
      <c r="AB180" s="0" t="s">
        <v>2121</v>
      </c>
      <c r="AE180" s="0" t="n">
        <v>0</v>
      </c>
      <c r="AF180" s="0" t="s">
        <v>2122</v>
      </c>
      <c r="AG180" s="0" t="n">
        <v>0</v>
      </c>
      <c r="AH180" s="0" t="s">
        <v>2123</v>
      </c>
      <c r="AI180" s="0" t="s">
        <v>2124</v>
      </c>
      <c r="AJ180" s="0" t="s">
        <v>322</v>
      </c>
      <c r="AL180" s="0" t="s">
        <v>2125</v>
      </c>
      <c r="AM180" s="0" t="n">
        <v>1</v>
      </c>
      <c r="AN180" s="0" t="s">
        <v>2123</v>
      </c>
      <c r="AO180" s="0" t="s">
        <v>2124</v>
      </c>
      <c r="AP180" s="0" t="s">
        <v>322</v>
      </c>
      <c r="AR180" s="0" t="s">
        <v>2126</v>
      </c>
      <c r="AS180" s="0" t="n">
        <v>1</v>
      </c>
      <c r="AT180" s="0" t="s">
        <v>2123</v>
      </c>
      <c r="AU180" s="0" t="s">
        <v>322</v>
      </c>
      <c r="BP180" s="0" t="n">
        <v>0</v>
      </c>
      <c r="BQ180" s="0" t="n">
        <v>0</v>
      </c>
      <c r="BR180" s="0" t="n">
        <v>1</v>
      </c>
      <c r="BS180" s="0" t="s">
        <v>2127</v>
      </c>
      <c r="BT180" s="0" t="s">
        <v>2128</v>
      </c>
      <c r="BV180" s="123"/>
      <c r="BW180" s="123"/>
      <c r="BX180" s="123"/>
      <c r="BY180" s="123"/>
      <c r="BZ180" s="0" t="n">
        <v>0</v>
      </c>
      <c r="CA180" s="0" t="s">
        <v>2129</v>
      </c>
      <c r="CD180" s="0" t="s">
        <v>296</v>
      </c>
      <c r="CE180" s="0" t="n">
        <v>0</v>
      </c>
      <c r="CF180" s="0" t="s">
        <v>527</v>
      </c>
      <c r="CI180" s="1" t="n">
        <v>40374</v>
      </c>
      <c r="CJ180" s="1" t="n">
        <v>40844</v>
      </c>
      <c r="CK180" s="124" t="n">
        <v>0.416666666666667</v>
      </c>
      <c r="CL180" s="0" t="s">
        <v>2125</v>
      </c>
      <c r="CM180" s="0" t="n">
        <f aca="false">IF(OR(CI180="",CJ180=""),"",DAYS360(CI180,CJ180)/360)</f>
        <v>1.28611111111111</v>
      </c>
      <c r="CN180" s="0" t="n">
        <f aca="false">IF(OR(CI180="",CJ180=""),"",DAYS360(CI180,CJ180)/30)</f>
        <v>15.4333333333333</v>
      </c>
      <c r="CO180" s="0" t="n">
        <f aca="false">IF(OR(CI180="",CJ180=""),"",DAYS360(CI180,CJ180)/7)</f>
        <v>66.1428571428571</v>
      </c>
      <c r="CP180" s="0" t="n">
        <f aca="false">IF(OR(CI180="",CJ180=""),"",DAYS360(CI180,CJ180))</f>
        <v>463</v>
      </c>
      <c r="CQ180" s="0" t="s">
        <v>240</v>
      </c>
      <c r="CR180" s="0" t="n">
        <v>1</v>
      </c>
      <c r="CT180" s="0" t="s">
        <v>221</v>
      </c>
      <c r="CU180" s="0" t="s">
        <v>221</v>
      </c>
      <c r="CV180" s="0" t="str">
        <f aca="false">IF(OR(CT180="",CT180="NO ESPECIFICA",CT180="NO MENCIONA"),"",IF(CU180=0,CT180,IF(CU180=1,CT180/30,IF(CU180=2,CT180/15,IF(CU180=3,CT180/7,"")))))</f>
        <v/>
      </c>
      <c r="CW180" s="125" t="n">
        <v>250</v>
      </c>
      <c r="CX180" s="0" t="n">
        <v>0</v>
      </c>
      <c r="CY180" s="0" t="n">
        <f aca="false">IF(CW180="","",IF(CX180=0,CW180,IF(CX180=1,CW180/30,IF(CX180=2,CW180/15,IF(CX180=3,CW180/7,CW180)))))</f>
        <v>250</v>
      </c>
      <c r="CZ180" s="0" t="n">
        <f aca="false">IF(DI180&gt;0,DI180,IF(CY180&gt;0,CY180,IF(CV180&gt;0,CV180,"")))</f>
        <v>250</v>
      </c>
      <c r="DA180" s="0" t="n">
        <f aca="false">IF(DM180=1,CZ180/8,IF(OR(DM180=2,DM180=4),CZ180/7,IF(DM180=3,CZ180/7.5,"")))</f>
        <v>31.25</v>
      </c>
      <c r="DB180" s="0" t="s">
        <v>216</v>
      </c>
      <c r="DC180" s="0" t="s">
        <v>216</v>
      </c>
      <c r="DD180" s="0" t="s">
        <v>216</v>
      </c>
      <c r="DE180" s="0" t="s">
        <v>216</v>
      </c>
      <c r="DF180" s="0" t="s">
        <v>216</v>
      </c>
      <c r="DG180" s="0" t="s">
        <v>216</v>
      </c>
      <c r="DH180" s="0" t="n">
        <v>0</v>
      </c>
      <c r="DI180" s="126" t="n">
        <v>250</v>
      </c>
      <c r="DK180" s="0" t="n">
        <v>0</v>
      </c>
      <c r="DM180" s="0" t="n">
        <v>1</v>
      </c>
      <c r="DN180" s="0" t="n">
        <v>50</v>
      </c>
      <c r="DO180" s="0" t="n">
        <v>3</v>
      </c>
      <c r="DP180" s="0" t="n">
        <v>0</v>
      </c>
      <c r="DQ180" s="0" t="n">
        <v>1</v>
      </c>
      <c r="DR180" s="0"/>
      <c r="DS180" s="0" t="n">
        <v>1</v>
      </c>
      <c r="DU180" s="0" t="n">
        <v>1</v>
      </c>
      <c r="DW180" s="1" t="n">
        <v>40374</v>
      </c>
      <c r="DX180" s="1" t="n">
        <v>40844</v>
      </c>
      <c r="DZ180" s="0"/>
      <c r="EA180" s="0" t="n">
        <v>1</v>
      </c>
      <c r="EC180" s="1" t="n">
        <v>40374</v>
      </c>
      <c r="ED180" s="1" t="n">
        <v>40739</v>
      </c>
      <c r="EF180" s="0"/>
      <c r="EG180" s="0" t="n">
        <v>1</v>
      </c>
      <c r="EH180" s="0" t="n">
        <v>10</v>
      </c>
      <c r="EI180" s="0" t="n">
        <f aca="false">IF(AND(DM180=1,DN180&lt;=48),"",IF(AND(DM180=2,DN180&lt;=42),"",IF(AND(DM180=3,DN180&lt;=45),"",EH180)))</f>
        <v>10</v>
      </c>
      <c r="EJ180" s="0" t="n">
        <f aca="false">IF(EI180="","",IF(EI180&lt;9,EI180,9))</f>
        <v>9</v>
      </c>
      <c r="EK180" s="0" t="n">
        <f aca="false">IF(EI180="","",IF(EI180&gt;9,EI180-EJ180,0))</f>
        <v>1</v>
      </c>
      <c r="EL180" s="0" t="n">
        <f aca="false">IF(EI180="","",EJ180*DA180*2+EK180*DA180*3)</f>
        <v>656.25</v>
      </c>
      <c r="EP180" s="0" t="n">
        <v>0</v>
      </c>
      <c r="EQ180" s="0"/>
      <c r="ER180" s="0" t="n">
        <v>0</v>
      </c>
      <c r="ET180" s="0" t="n">
        <v>0</v>
      </c>
      <c r="EV180" s="0" t="n">
        <v>0</v>
      </c>
      <c r="EX180" s="0" t="n">
        <v>0</v>
      </c>
      <c r="EY180" s="0" t="n">
        <v>1</v>
      </c>
      <c r="EZ180" s="0"/>
      <c r="FA180" s="4" t="n">
        <v>0</v>
      </c>
      <c r="FB180" s="0" t="n">
        <v>1</v>
      </c>
      <c r="FF180" s="120" t="n">
        <f aca="false">(CJ180-CI180+1)/365</f>
        <v>1.29041095890411</v>
      </c>
      <c r="FG180" s="0" t="str">
        <f aca="false">CONCATENATE(F180,"/",G180)</f>
        <v>1871/2011</v>
      </c>
      <c r="FH180" s="0" t="n">
        <v>0</v>
      </c>
      <c r="FI180" s="0" t="n">
        <v>0</v>
      </c>
    </row>
    <row r="181" customFormat="false" ht="15" hidden="false" customHeight="false" outlineLevel="0" collapsed="false">
      <c r="A181" s="5" t="str">
        <f aca="false">E181&amp;G181&amp;F181</f>
        <v>720111867</v>
      </c>
      <c r="B181" s="0" t="s">
        <v>2119</v>
      </c>
      <c r="C181" s="1" t="n">
        <v>42411</v>
      </c>
      <c r="D181" s="0" t="s">
        <v>2130</v>
      </c>
      <c r="E181" s="0" t="n">
        <v>7</v>
      </c>
      <c r="F181" s="0" t="n">
        <v>1867</v>
      </c>
      <c r="G181" s="0" t="n">
        <v>2011</v>
      </c>
      <c r="H181" s="0" t="str">
        <f aca="false">"J"&amp;E181&amp;"\"&amp;F181&amp;"\"&amp;G181&amp;"\"&amp;W181</f>
        <v>J7\1867\2011\1</v>
      </c>
      <c r="I181" s="0"/>
      <c r="J181" s="1" t="n">
        <v>40856</v>
      </c>
      <c r="K181" s="0" t="n">
        <v>0</v>
      </c>
      <c r="M181" s="1" t="n">
        <v>40855</v>
      </c>
      <c r="N181" s="1" t="n">
        <v>40914</v>
      </c>
      <c r="O181" s="1"/>
      <c r="P181" s="1"/>
      <c r="Q181" s="1"/>
      <c r="T181" s="121"/>
      <c r="U181" s="121"/>
      <c r="V181" s="122" t="n">
        <f aca="false">IF(AND(E181&gt;0,F181&gt;0,G181&gt;0),COUNTIFS($E:$E,E181,$F:$F,F181,$G:$G,G181),"")</f>
        <v>1</v>
      </c>
      <c r="W181" s="122" t="n">
        <f aca="false">IF(V181="","",IF(V181=1,1,IF(AND(E180=E181,F180=F181,G180=G181),W180+1,1)))</f>
        <v>1</v>
      </c>
      <c r="X181" s="0" t="n">
        <v>1</v>
      </c>
      <c r="Y181" s="0" t="n">
        <v>4</v>
      </c>
      <c r="Z181" s="0" t="s">
        <v>2131</v>
      </c>
      <c r="AA181" s="0" t="n">
        <v>0</v>
      </c>
      <c r="AB181" s="0" t="s">
        <v>2132</v>
      </c>
      <c r="AC181" s="0" t="s">
        <v>221</v>
      </c>
      <c r="AD181" s="0" t="s">
        <v>2133</v>
      </c>
      <c r="AE181" s="0" t="n">
        <v>0</v>
      </c>
      <c r="AF181" s="0" t="s">
        <v>2134</v>
      </c>
      <c r="AG181" s="0" t="n">
        <v>0</v>
      </c>
      <c r="AH181" s="0" t="s">
        <v>2135</v>
      </c>
      <c r="AI181" s="0" t="s">
        <v>206</v>
      </c>
      <c r="AJ181" s="0" t="s">
        <v>207</v>
      </c>
      <c r="AL181" s="0" t="s">
        <v>2136</v>
      </c>
      <c r="AM181" s="0" t="n">
        <v>0</v>
      </c>
      <c r="AN181" s="0" t="s">
        <v>2135</v>
      </c>
      <c r="AO181" s="0" t="s">
        <v>206</v>
      </c>
      <c r="AP181" s="0" t="s">
        <v>207</v>
      </c>
      <c r="AR181" s="0" t="s">
        <v>2137</v>
      </c>
      <c r="AS181" s="0" t="n">
        <v>1</v>
      </c>
      <c r="AT181" s="0" t="s">
        <v>2135</v>
      </c>
      <c r="AU181" s="0" t="s">
        <v>206</v>
      </c>
      <c r="AV181" s="0" t="s">
        <v>207</v>
      </c>
      <c r="AX181" s="0" t="s">
        <v>2138</v>
      </c>
      <c r="AY181" s="0" t="n">
        <v>1</v>
      </c>
      <c r="AZ181" s="0" t="s">
        <v>2135</v>
      </c>
      <c r="BA181" s="0" t="s">
        <v>2135</v>
      </c>
      <c r="BB181" s="0" t="s">
        <v>206</v>
      </c>
      <c r="BC181" s="0" t="s">
        <v>207</v>
      </c>
      <c r="BP181" s="0" t="n">
        <v>0</v>
      </c>
      <c r="BQ181" s="0" t="n">
        <v>0</v>
      </c>
      <c r="BR181" s="0" t="n">
        <v>1</v>
      </c>
      <c r="BS181" s="0" t="s">
        <v>2139</v>
      </c>
      <c r="BT181" s="0" t="s">
        <v>2140</v>
      </c>
      <c r="BU181" s="0" t="s">
        <v>2141</v>
      </c>
      <c r="BV181" s="123"/>
      <c r="BW181" s="123"/>
      <c r="BX181" s="123"/>
      <c r="BY181" s="123"/>
      <c r="BZ181" s="0" t="n">
        <v>0</v>
      </c>
      <c r="CA181" s="0" t="s">
        <v>2142</v>
      </c>
      <c r="CD181" s="0" t="s">
        <v>370</v>
      </c>
      <c r="CE181" s="0" t="n">
        <v>0</v>
      </c>
      <c r="CF181" s="0" t="s">
        <v>2143</v>
      </c>
      <c r="CI181" s="1" t="n">
        <v>40391</v>
      </c>
      <c r="CJ181" s="1" t="n">
        <v>40801</v>
      </c>
      <c r="CK181" s="124" t="n">
        <v>0.520833333333333</v>
      </c>
      <c r="CL181" s="0" t="s">
        <v>2137</v>
      </c>
      <c r="CM181" s="0" t="n">
        <f aca="false">IF(OR(CI181="",CJ181=""),"",DAYS360(CI181,CJ181)/360)</f>
        <v>1.12222222222222</v>
      </c>
      <c r="CN181" s="0" t="n">
        <f aca="false">IF(OR(CI181="",CJ181=""),"",DAYS360(CI181,CJ181)/30)</f>
        <v>13.4666666666667</v>
      </c>
      <c r="CO181" s="0" t="n">
        <f aca="false">IF(OR(CI181="",CJ181=""),"",DAYS360(CI181,CJ181)/7)</f>
        <v>57.7142857142857</v>
      </c>
      <c r="CP181" s="0" t="n">
        <f aca="false">IF(OR(CI181="",CJ181=""),"",DAYS360(CI181,CJ181))</f>
        <v>404</v>
      </c>
      <c r="CQ181" s="0" t="s">
        <v>240</v>
      </c>
      <c r="CR181" s="0" t="n">
        <v>1</v>
      </c>
      <c r="CT181" s="0" t="s">
        <v>221</v>
      </c>
      <c r="CU181" s="0" t="s">
        <v>221</v>
      </c>
      <c r="CV181" s="0" t="str">
        <f aca="false">IF(OR(CT181="",CT181="NO ESPECIFICA",CT181="NO MENCIONA"),"",IF(CU181=0,CT181,IF(CU181=1,CT181/30,IF(CU181=2,CT181/15,IF(CU181=3,CT181/7,"")))))</f>
        <v/>
      </c>
      <c r="CW181" s="125" t="n">
        <v>600</v>
      </c>
      <c r="CX181" s="0" t="n">
        <v>2</v>
      </c>
      <c r="CY181" s="0" t="n">
        <f aca="false">IF(CW181="","",IF(CX181=0,CW181,IF(CX181=1,CW181/30,IF(CX181=2,CW181/15,IF(CX181=3,CW181/7,CW181)))))</f>
        <v>40</v>
      </c>
      <c r="CZ181" s="0" t="n">
        <f aca="false">IF(DI181&gt;0,DI181,IF(CY181&gt;0,CY181,IF(CV181&gt;0,CV181,"")))</f>
        <v>40</v>
      </c>
      <c r="DA181" s="0" t="n">
        <f aca="false">IF(DM181=1,CZ181/8,IF(OR(DM181=2,DM181=4),CZ181/7,IF(DM181=3,CZ181/7.5,"")))</f>
        <v>5</v>
      </c>
      <c r="DB181" s="0" t="s">
        <v>417</v>
      </c>
      <c r="DC181" s="0" t="s">
        <v>216</v>
      </c>
      <c r="DD181" s="0" t="s">
        <v>216</v>
      </c>
      <c r="DE181" s="0" t="s">
        <v>216</v>
      </c>
      <c r="DF181" s="0" t="s">
        <v>216</v>
      </c>
      <c r="DG181" s="0" t="s">
        <v>216</v>
      </c>
      <c r="DH181" s="0" t="n">
        <v>0</v>
      </c>
      <c r="DI181" s="126" t="n">
        <v>40</v>
      </c>
      <c r="DK181" s="0" t="n">
        <v>0</v>
      </c>
      <c r="DM181" s="0" t="n">
        <v>1</v>
      </c>
      <c r="DN181" s="0" t="n">
        <v>48</v>
      </c>
      <c r="DO181" s="0" t="n">
        <v>3</v>
      </c>
      <c r="DP181" s="0" t="n">
        <v>0</v>
      </c>
      <c r="DQ181" s="0" t="n">
        <v>1</v>
      </c>
      <c r="DR181" s="0"/>
      <c r="DS181" s="0" t="n">
        <v>1</v>
      </c>
      <c r="DU181" s="0" t="n">
        <v>1</v>
      </c>
      <c r="DV181" s="0" t="s">
        <v>2144</v>
      </c>
      <c r="DW181" s="1" t="s">
        <v>221</v>
      </c>
      <c r="DX181" s="1" t="s">
        <v>221</v>
      </c>
      <c r="DY181" s="0" t="s">
        <v>221</v>
      </c>
      <c r="DZ181" s="0" t="s">
        <v>2145</v>
      </c>
      <c r="EA181" s="0" t="n">
        <v>1</v>
      </c>
      <c r="EC181" s="1" t="s">
        <v>221</v>
      </c>
      <c r="ED181" s="1" t="s">
        <v>221</v>
      </c>
      <c r="EE181" s="0" t="s">
        <v>221</v>
      </c>
      <c r="EF181" s="0" t="s">
        <v>221</v>
      </c>
      <c r="EG181" s="0" t="n">
        <v>1</v>
      </c>
      <c r="EH181" s="0" t="s">
        <v>216</v>
      </c>
      <c r="EI181" s="0" t="str">
        <f aca="false">IF(AND(DM181=1,DN181&lt;=48),"",IF(AND(DM181=2,DN181&lt;=42),"",IF(AND(DM181=3,DN181&lt;=45),"",EH181)))</f>
        <v/>
      </c>
      <c r="EJ181" s="0" t="str">
        <f aca="false">IF(EI181="","",IF(EI181&lt;9,EI181,9))</f>
        <v/>
      </c>
      <c r="EK181" s="0" t="str">
        <f aca="false">IF(EI181="","",IF(EI181&gt;9,EI181-EJ181,0))</f>
        <v/>
      </c>
      <c r="EL181" s="0" t="str">
        <f aca="false">IF(EI181="","",EJ181*DA181*2+EK181*DA181*3)</f>
        <v/>
      </c>
      <c r="EP181" s="0" t="n">
        <v>0</v>
      </c>
      <c r="EQ181" s="0"/>
      <c r="ER181" s="0" t="n">
        <v>1</v>
      </c>
      <c r="ET181" s="0" t="n">
        <v>0</v>
      </c>
      <c r="EV181" s="0" t="n">
        <v>0</v>
      </c>
      <c r="EX181" s="0" t="n">
        <v>0</v>
      </c>
      <c r="EY181" s="0" t="n">
        <v>1</v>
      </c>
      <c r="EZ181" s="0"/>
      <c r="FA181" s="4" t="n">
        <v>0</v>
      </c>
      <c r="FB181" s="0" t="n">
        <v>1</v>
      </c>
      <c r="FF181" s="120" t="n">
        <f aca="false">(CJ181-CI181+1)/365</f>
        <v>1.12602739726027</v>
      </c>
      <c r="FG181" s="0" t="str">
        <f aca="false">CONCATENATE(F181,"/",G181)</f>
        <v>1867/2011</v>
      </c>
      <c r="FH181" s="0" t="n">
        <v>0</v>
      </c>
      <c r="FI181" s="0" t="n">
        <v>0</v>
      </c>
    </row>
    <row r="182" customFormat="false" ht="15" hidden="false" customHeight="false" outlineLevel="0" collapsed="false">
      <c r="A182" s="5" t="str">
        <f aca="false">E182&amp;G182&amp;F182</f>
        <v>720111861</v>
      </c>
      <c r="B182" s="0" t="s">
        <v>2119</v>
      </c>
      <c r="C182" s="1" t="n">
        <v>42411</v>
      </c>
      <c r="E182" s="0" t="n">
        <v>7</v>
      </c>
      <c r="F182" s="0" t="n">
        <v>1861</v>
      </c>
      <c r="G182" s="0" t="n">
        <v>2011</v>
      </c>
      <c r="H182" s="0" t="str">
        <f aca="false">"J"&amp;E182&amp;"\"&amp;F182&amp;"\"&amp;G182&amp;"\"&amp;W182</f>
        <v>J7\1861\2011\1</v>
      </c>
      <c r="I182" s="0"/>
      <c r="J182" s="1" t="n">
        <v>40855</v>
      </c>
      <c r="K182" s="0" t="n">
        <v>0</v>
      </c>
      <c r="M182" s="1" t="n">
        <v>40855</v>
      </c>
      <c r="N182" s="1" t="n">
        <v>40914</v>
      </c>
      <c r="O182" s="1"/>
      <c r="P182" s="1"/>
      <c r="Q182" s="1"/>
      <c r="T182" s="121"/>
      <c r="U182" s="121"/>
      <c r="V182" s="122" t="n">
        <f aca="false">IF(AND(E182&gt;0,F182&gt;0,G182&gt;0),COUNTIFS($E:$E,E182,$F:$F,F182,$G:$G,G182),"")</f>
        <v>10</v>
      </c>
      <c r="W182" s="122" t="n">
        <f aca="false">IF(V182="","",IF(V182=1,1,IF(AND(E181=E182,F181=F182,G181=G182),W181+1,1)))</f>
        <v>1</v>
      </c>
      <c r="X182" s="0" t="n">
        <v>10</v>
      </c>
      <c r="Y182" s="0" t="n">
        <v>2</v>
      </c>
      <c r="Z182" s="0" t="s">
        <v>2146</v>
      </c>
      <c r="AA182" s="0" t="n">
        <v>0</v>
      </c>
      <c r="AB182" s="0" t="s">
        <v>2147</v>
      </c>
      <c r="AC182" s="0" t="s">
        <v>1661</v>
      </c>
      <c r="AD182" s="0" t="s">
        <v>221</v>
      </c>
      <c r="AE182" s="0" t="n">
        <v>0</v>
      </c>
      <c r="AF182" s="0" t="s">
        <v>2148</v>
      </c>
      <c r="AG182" s="0" t="n">
        <v>1</v>
      </c>
      <c r="AH182" s="0" t="s">
        <v>2149</v>
      </c>
      <c r="AI182" s="0" t="s">
        <v>287</v>
      </c>
      <c r="AJ182" s="0" t="s">
        <v>221</v>
      </c>
      <c r="AL182" s="0" t="s">
        <v>2106</v>
      </c>
      <c r="AM182" s="0" t="n">
        <v>1</v>
      </c>
      <c r="AN182" s="0" t="s">
        <v>2149</v>
      </c>
      <c r="AO182" s="0" t="s">
        <v>287</v>
      </c>
      <c r="AP182" s="0" t="s">
        <v>221</v>
      </c>
      <c r="BP182" s="0" t="n">
        <v>0</v>
      </c>
      <c r="BQ182" s="0" t="n">
        <v>0</v>
      </c>
      <c r="BR182" s="0" t="n">
        <v>1</v>
      </c>
      <c r="BS182" s="0" t="s">
        <v>2150</v>
      </c>
      <c r="BT182" s="0" t="s">
        <v>2151</v>
      </c>
      <c r="BV182" s="123"/>
      <c r="BW182" s="123"/>
      <c r="BX182" s="123"/>
      <c r="BY182" s="123"/>
      <c r="BZ182" s="0" t="n">
        <v>0</v>
      </c>
      <c r="CA182" s="0" t="s">
        <v>216</v>
      </c>
      <c r="CD182" s="0" t="s">
        <v>296</v>
      </c>
      <c r="CE182" s="0" t="n">
        <v>0</v>
      </c>
      <c r="CF182" s="0" t="s">
        <v>2152</v>
      </c>
      <c r="CI182" s="1" t="n">
        <v>40148</v>
      </c>
      <c r="CJ182" s="1" t="n">
        <v>40817</v>
      </c>
      <c r="CK182" s="124" t="n">
        <v>0.333333333333333</v>
      </c>
      <c r="CL182" s="0" t="s">
        <v>2148</v>
      </c>
      <c r="CM182" s="0" t="n">
        <f aca="false">IF(OR(CI182="",CJ182=""),"",DAYS360(CI182,CJ182)/360)</f>
        <v>1.83333333333333</v>
      </c>
      <c r="CN182" s="0" t="n">
        <f aca="false">IF(OR(CI182="",CJ182=""),"",DAYS360(CI182,CJ182)/30)</f>
        <v>22</v>
      </c>
      <c r="CO182" s="0" t="n">
        <f aca="false">IF(OR(CI182="",CJ182=""),"",DAYS360(CI182,CJ182)/7)</f>
        <v>94.2857142857143</v>
      </c>
      <c r="CP182" s="0" t="n">
        <f aca="false">IF(OR(CI182="",CJ182=""),"",DAYS360(CI182,CJ182))</f>
        <v>660</v>
      </c>
      <c r="CQ182" s="0" t="s">
        <v>240</v>
      </c>
      <c r="CR182" s="0" t="n">
        <v>1</v>
      </c>
      <c r="CT182" s="0" t="s">
        <v>221</v>
      </c>
      <c r="CU182" s="0" t="s">
        <v>221</v>
      </c>
      <c r="CV182" s="0" t="str">
        <f aca="false">IF(OR(CT182="",CT182="NO ESPECIFICA",CT182="NO MENCIONA"),"",IF(CU182=0,CT182,IF(CU182=1,CT182/30,IF(CU182=2,CT182/15,IF(CU182=3,CT182/7,"")))))</f>
        <v/>
      </c>
      <c r="CW182" s="125" t="n">
        <v>2000</v>
      </c>
      <c r="CX182" s="0" t="n">
        <v>0</v>
      </c>
      <c r="CY182" s="0" t="n">
        <f aca="false">IF(CW182="","",IF(CX182=0,CW182,IF(CX182=1,CW182/30,IF(CX182=2,CW182/15,IF(CX182=3,CW182/7,CW182)))))</f>
        <v>2000</v>
      </c>
      <c r="CZ182" s="0" t="n">
        <f aca="false">IF(DI182&gt;0,DI182,IF(CY182&gt;0,CY182,IF(CV182&gt;0,CV182,"")))</f>
        <v>2000</v>
      </c>
      <c r="DA182" s="0" t="n">
        <f aca="false">IF(DM182=1,CZ182/8,IF(OR(DM182=2,DM182=4),CZ182/7,IF(DM182=3,CZ182/7.5,"")))</f>
        <v>250</v>
      </c>
      <c r="DB182" s="0" t="s">
        <v>216</v>
      </c>
      <c r="DC182" s="0" t="s">
        <v>216</v>
      </c>
      <c r="DD182" s="0" t="s">
        <v>216</v>
      </c>
      <c r="DE182" s="0" t="s">
        <v>216</v>
      </c>
      <c r="DF182" s="0" t="s">
        <v>216</v>
      </c>
      <c r="DG182" s="0" t="s">
        <v>216</v>
      </c>
      <c r="DI182" s="126" t="n">
        <f aca="false">2000</f>
        <v>2000</v>
      </c>
      <c r="DK182" s="0" t="n">
        <v>1</v>
      </c>
      <c r="DM182" s="0" t="n">
        <v>1</v>
      </c>
      <c r="DN182" s="0" t="n">
        <v>77</v>
      </c>
      <c r="DO182" s="0" t="n">
        <v>3</v>
      </c>
      <c r="DP182" s="0" t="n">
        <v>0</v>
      </c>
      <c r="DQ182" s="0" t="n">
        <v>1</v>
      </c>
      <c r="DR182" s="0"/>
      <c r="DS182" s="0" t="n">
        <v>1</v>
      </c>
      <c r="DU182" s="0" t="n">
        <v>1</v>
      </c>
      <c r="DW182" s="1" t="n">
        <v>40513</v>
      </c>
      <c r="DX182" s="1" t="n">
        <v>40817</v>
      </c>
      <c r="DZ182" s="0"/>
      <c r="EA182" s="0" t="n">
        <v>1</v>
      </c>
      <c r="EC182" s="1" t="n">
        <v>40179</v>
      </c>
      <c r="ED182" s="1" t="n">
        <v>40817</v>
      </c>
      <c r="EF182" s="0"/>
      <c r="EG182" s="0" t="n">
        <v>1</v>
      </c>
      <c r="EH182" s="0" t="n">
        <v>12</v>
      </c>
      <c r="EI182" s="0" t="n">
        <f aca="false">IF(AND(DM182=1,DN182&lt;=48),"",IF(AND(DM182=2,DN182&lt;=42),"",IF(AND(DM182=3,DN182&lt;=45),"",EH182)))</f>
        <v>12</v>
      </c>
      <c r="EJ182" s="0" t="n">
        <f aca="false">IF(EI182="","",IF(EI182&lt;9,EI182,9))</f>
        <v>9</v>
      </c>
      <c r="EK182" s="0" t="n">
        <f aca="false">IF(EI182="","",IF(EI182&gt;9,EI182-EJ182,0))</f>
        <v>3</v>
      </c>
      <c r="EL182" s="0" t="n">
        <f aca="false">IF(EI182="","",EJ182*DA182*2+EK182*DA182*3)</f>
        <v>6750</v>
      </c>
      <c r="EP182" s="0" t="n">
        <v>0</v>
      </c>
      <c r="EQ182" s="0"/>
      <c r="ER182" s="0" t="n">
        <v>0</v>
      </c>
      <c r="ET182" s="0" t="n">
        <v>0</v>
      </c>
      <c r="EV182" s="0" t="n">
        <v>1</v>
      </c>
      <c r="EX182" s="0" t="n">
        <v>1</v>
      </c>
      <c r="EY182" s="0" t="n">
        <v>1</v>
      </c>
      <c r="EZ182" s="4" t="n">
        <v>22000</v>
      </c>
      <c r="FA182" s="4" t="n">
        <v>0</v>
      </c>
      <c r="FB182" s="0" t="n">
        <v>0</v>
      </c>
      <c r="FF182" s="120" t="n">
        <f aca="false">(CJ182-CI182+1)/365</f>
        <v>1.83561643835616</v>
      </c>
      <c r="FG182" s="0" t="str">
        <f aca="false">CONCATENATE(F182,"/",G182)</f>
        <v>1861/2011</v>
      </c>
      <c r="FH182" s="0" t="n">
        <v>0</v>
      </c>
      <c r="FI182" s="0" t="n">
        <v>0</v>
      </c>
    </row>
    <row r="183" customFormat="false" ht="15" hidden="false" customHeight="false" outlineLevel="0" collapsed="false">
      <c r="A183" s="5" t="str">
        <f aca="false">E183&amp;G183&amp;F183</f>
        <v>720111861</v>
      </c>
      <c r="B183" s="0" t="s">
        <v>2119</v>
      </c>
      <c r="C183" s="1" t="n">
        <v>42411</v>
      </c>
      <c r="E183" s="0" t="n">
        <v>7</v>
      </c>
      <c r="F183" s="0" t="n">
        <v>1861</v>
      </c>
      <c r="G183" s="0" t="n">
        <v>2011</v>
      </c>
      <c r="H183" s="0" t="str">
        <f aca="false">"J"&amp;E183&amp;"\"&amp;F183&amp;"\"&amp;G183&amp;"\"&amp;W183</f>
        <v>J7\1861\2011\2</v>
      </c>
      <c r="I183" s="0"/>
      <c r="J183" s="1" t="n">
        <v>40855</v>
      </c>
      <c r="K183" s="0" t="n">
        <v>0</v>
      </c>
      <c r="M183" s="1" t="n">
        <v>40855</v>
      </c>
      <c r="N183" s="1" t="n">
        <v>40914</v>
      </c>
      <c r="O183" s="1"/>
      <c r="P183" s="1"/>
      <c r="Q183" s="1"/>
      <c r="T183" s="121"/>
      <c r="U183" s="121"/>
      <c r="V183" s="122" t="n">
        <f aca="false">IF(AND(E183&gt;0,F183&gt;0,G183&gt;0),COUNTIFS($E:$E,E183,$F:$F,F183,$G:$G,G183),"")</f>
        <v>10</v>
      </c>
      <c r="W183" s="122" t="n">
        <f aca="false">IF(V183="","",IF(V183=1,1,IF(AND(E182=E183,F182=F183,G182=G183),W182+1,1)))</f>
        <v>2</v>
      </c>
      <c r="X183" s="0" t="n">
        <v>10</v>
      </c>
      <c r="Y183" s="0" t="n">
        <v>2</v>
      </c>
      <c r="Z183" s="0" t="s">
        <v>2153</v>
      </c>
      <c r="AA183" s="0" t="n">
        <v>0</v>
      </c>
      <c r="AB183" s="0" t="s">
        <v>2147</v>
      </c>
      <c r="AC183" s="0" t="s">
        <v>1661</v>
      </c>
      <c r="AD183" s="0" t="s">
        <v>221</v>
      </c>
      <c r="AE183" s="0" t="n">
        <v>0</v>
      </c>
      <c r="AF183" s="0" t="s">
        <v>2148</v>
      </c>
      <c r="AG183" s="0" t="n">
        <v>1</v>
      </c>
      <c r="AH183" s="0" t="s">
        <v>2149</v>
      </c>
      <c r="AI183" s="0" t="s">
        <v>287</v>
      </c>
      <c r="AJ183" s="0" t="s">
        <v>221</v>
      </c>
      <c r="AL183" s="0" t="s">
        <v>2106</v>
      </c>
      <c r="AM183" s="0" t="n">
        <v>1</v>
      </c>
      <c r="AN183" s="0" t="s">
        <v>2149</v>
      </c>
      <c r="AO183" s="0" t="s">
        <v>287</v>
      </c>
      <c r="AP183" s="0" t="s">
        <v>221</v>
      </c>
      <c r="BP183" s="0" t="n">
        <v>0</v>
      </c>
      <c r="BQ183" s="0" t="n">
        <v>0</v>
      </c>
      <c r="BR183" s="0" t="n">
        <v>1</v>
      </c>
      <c r="BS183" s="0" t="s">
        <v>2150</v>
      </c>
      <c r="BT183" s="0" t="s">
        <v>2151</v>
      </c>
      <c r="BV183" s="123"/>
      <c r="BW183" s="123"/>
      <c r="BX183" s="123"/>
      <c r="BY183" s="123"/>
      <c r="BZ183" s="0" t="n">
        <v>0</v>
      </c>
      <c r="CA183" s="0" t="s">
        <v>216</v>
      </c>
      <c r="CD183" s="0" t="s">
        <v>296</v>
      </c>
      <c r="CE183" s="0" t="n">
        <v>0</v>
      </c>
      <c r="CF183" s="0" t="s">
        <v>527</v>
      </c>
      <c r="CI183" s="1" t="n">
        <v>39889</v>
      </c>
      <c r="CJ183" s="1" t="n">
        <v>40817</v>
      </c>
      <c r="CK183" s="124" t="n">
        <v>0.333333333333333</v>
      </c>
      <c r="CL183" s="0" t="s">
        <v>2148</v>
      </c>
      <c r="CM183" s="0" t="n">
        <f aca="false">IF(OR(CI183="",CJ183=""),"",DAYS360(CI183,CJ183)/360)</f>
        <v>2.53888888888889</v>
      </c>
      <c r="CN183" s="0" t="n">
        <f aca="false">IF(OR(CI183="",CJ183=""),"",DAYS360(CI183,CJ183)/30)</f>
        <v>30.4666666666667</v>
      </c>
      <c r="CO183" s="0" t="n">
        <f aca="false">IF(OR(CI183="",CJ183=""),"",DAYS360(CI183,CJ183)/7)</f>
        <v>130.571428571429</v>
      </c>
      <c r="CP183" s="0" t="n">
        <f aca="false">IF(OR(CI183="",CJ183=""),"",DAYS360(CI183,CJ183))</f>
        <v>914</v>
      </c>
      <c r="CQ183" s="0" t="s">
        <v>240</v>
      </c>
      <c r="CR183" s="0" t="n">
        <v>1</v>
      </c>
      <c r="CT183" s="0" t="s">
        <v>221</v>
      </c>
      <c r="CU183" s="0" t="s">
        <v>221</v>
      </c>
      <c r="CV183" s="0" t="str">
        <f aca="false">IF(OR(CT183="",CT183="NO ESPECIFICA",CT183="NO MENCIONA"),"",IF(CU183=0,CT183,IF(CU183=1,CT183/30,IF(CU183=2,CT183/15,IF(CU183=3,CT183/7,"")))))</f>
        <v/>
      </c>
      <c r="CW183" s="125" t="n">
        <v>1500</v>
      </c>
      <c r="CX183" s="0" t="n">
        <v>0</v>
      </c>
      <c r="CY183" s="0" t="n">
        <f aca="false">IF(CW183="","",IF(CX183=0,CW183,IF(CX183=1,CW183/30,IF(CX183=2,CW183/15,IF(CX183=3,CW183/7,CW183)))))</f>
        <v>1500</v>
      </c>
      <c r="CZ183" s="0" t="n">
        <f aca="false">IF(DI183&gt;0,DI183,IF(CY183&gt;0,CY183,IF(CV183&gt;0,CV183,"")))</f>
        <v>1500</v>
      </c>
      <c r="DA183" s="0" t="n">
        <f aca="false">IF(DM183=1,CZ183/8,IF(OR(DM183=2,DM183=4),CZ183/7,IF(DM183=3,CZ183/7.5,"")))</f>
        <v>187.5</v>
      </c>
      <c r="DB183" s="0" t="s">
        <v>216</v>
      </c>
      <c r="DC183" s="0" t="s">
        <v>216</v>
      </c>
      <c r="DD183" s="0" t="s">
        <v>216</v>
      </c>
      <c r="DE183" s="0" t="s">
        <v>216</v>
      </c>
      <c r="DF183" s="0" t="s">
        <v>216</v>
      </c>
      <c r="DG183" s="0" t="s">
        <v>216</v>
      </c>
      <c r="DI183" s="126" t="n">
        <v>1500</v>
      </c>
      <c r="DK183" s="0" t="n">
        <v>0</v>
      </c>
      <c r="DM183" s="0" t="n">
        <v>1</v>
      </c>
      <c r="DN183" s="0" t="n">
        <v>77</v>
      </c>
      <c r="DO183" s="0" t="n">
        <v>3</v>
      </c>
      <c r="DP183" s="0" t="n">
        <v>0</v>
      </c>
      <c r="DQ183" s="0" t="n">
        <v>1</v>
      </c>
      <c r="DR183" s="0"/>
      <c r="DS183" s="0" t="n">
        <v>1</v>
      </c>
      <c r="DU183" s="0" t="n">
        <v>1</v>
      </c>
      <c r="DW183" s="1" t="n">
        <v>40254</v>
      </c>
      <c r="DX183" s="1" t="n">
        <v>40817</v>
      </c>
      <c r="DZ183" s="0"/>
      <c r="EA183" s="0" t="n">
        <v>1</v>
      </c>
      <c r="EC183" s="1" t="n">
        <v>40179</v>
      </c>
      <c r="ED183" s="1" t="n">
        <v>40817</v>
      </c>
      <c r="EF183" s="0"/>
      <c r="EG183" s="0" t="n">
        <v>1</v>
      </c>
      <c r="EH183" s="0" t="n">
        <v>12</v>
      </c>
      <c r="EI183" s="0" t="n">
        <f aca="false">IF(AND(DM183=1,DN183&lt;=48),"",IF(AND(DM183=2,DN183&lt;=42),"",IF(AND(DM183=3,DN183&lt;=45),"",EH183)))</f>
        <v>12</v>
      </c>
      <c r="EJ183" s="0" t="n">
        <f aca="false">IF(EI183="","",IF(EI183&lt;9,EI183,9))</f>
        <v>9</v>
      </c>
      <c r="EK183" s="0" t="n">
        <f aca="false">IF(EI183="","",IF(EI183&gt;9,EI183-EJ183,0))</f>
        <v>3</v>
      </c>
      <c r="EL183" s="0" t="n">
        <f aca="false">IF(EI183="","",EJ183*DA183*2+EK183*DA183*3)</f>
        <v>5062.5</v>
      </c>
      <c r="EP183" s="0" t="n">
        <v>0</v>
      </c>
      <c r="EQ183" s="0"/>
      <c r="ER183" s="0" t="n">
        <v>0</v>
      </c>
      <c r="ET183" s="0" t="n">
        <v>0</v>
      </c>
      <c r="EV183" s="0" t="n">
        <v>1</v>
      </c>
      <c r="EX183" s="0" t="n">
        <v>1</v>
      </c>
      <c r="EY183" s="0" t="n">
        <v>1</v>
      </c>
      <c r="EZ183" s="4" t="n">
        <v>22000</v>
      </c>
      <c r="FA183" s="4" t="n">
        <v>0</v>
      </c>
      <c r="FB183" s="0" t="n">
        <v>0</v>
      </c>
      <c r="FF183" s="120" t="n">
        <f aca="false">(CJ183-CI183+1)/365</f>
        <v>2.54520547945205</v>
      </c>
      <c r="FG183" s="0" t="str">
        <f aca="false">CONCATENATE(F183,"/",G183)</f>
        <v>1861/2011</v>
      </c>
      <c r="FH183" s="0" t="n">
        <v>0</v>
      </c>
      <c r="FI183" s="0" t="n">
        <v>0</v>
      </c>
    </row>
    <row r="184" customFormat="false" ht="15" hidden="false" customHeight="false" outlineLevel="0" collapsed="false">
      <c r="A184" s="5" t="str">
        <f aca="false">E184&amp;G184&amp;F184</f>
        <v>720111861</v>
      </c>
      <c r="B184" s="0" t="s">
        <v>2119</v>
      </c>
      <c r="C184" s="1" t="n">
        <v>42411</v>
      </c>
      <c r="E184" s="0" t="n">
        <v>7</v>
      </c>
      <c r="F184" s="0" t="n">
        <v>1861</v>
      </c>
      <c r="G184" s="0" t="n">
        <v>2011</v>
      </c>
      <c r="H184" s="0" t="str">
        <f aca="false">"J"&amp;E184&amp;"\"&amp;F184&amp;"\"&amp;G184&amp;"\"&amp;W184</f>
        <v>J7\1861\2011\3</v>
      </c>
      <c r="I184" s="0"/>
      <c r="J184" s="1" t="n">
        <v>40855</v>
      </c>
      <c r="K184" s="0" t="n">
        <v>0</v>
      </c>
      <c r="M184" s="1" t="n">
        <v>40855</v>
      </c>
      <c r="N184" s="1" t="n">
        <v>40914</v>
      </c>
      <c r="O184" s="1"/>
      <c r="P184" s="1"/>
      <c r="Q184" s="1"/>
      <c r="T184" s="121"/>
      <c r="U184" s="121"/>
      <c r="V184" s="122" t="n">
        <f aca="false">IF(AND(E184&gt;0,F184&gt;0,G184&gt;0),COUNTIFS($E:$E,E184,$F:$F,F184,$G:$G,G184),"")</f>
        <v>10</v>
      </c>
      <c r="W184" s="122" t="n">
        <f aca="false">IF(V184="","",IF(V184=1,1,IF(AND(E183=E184,F183=F184,G183=G184),W183+1,1)))</f>
        <v>3</v>
      </c>
      <c r="X184" s="0" t="n">
        <v>10</v>
      </c>
      <c r="Y184" s="0" t="n">
        <v>2</v>
      </c>
      <c r="Z184" s="0" t="s">
        <v>2154</v>
      </c>
      <c r="AA184" s="0" t="n">
        <v>0</v>
      </c>
      <c r="AB184" s="0" t="s">
        <v>2147</v>
      </c>
      <c r="AC184" s="0" t="s">
        <v>1661</v>
      </c>
      <c r="AD184" s="0" t="s">
        <v>221</v>
      </c>
      <c r="AE184" s="0" t="n">
        <v>0</v>
      </c>
      <c r="AF184" s="0" t="s">
        <v>2148</v>
      </c>
      <c r="AG184" s="0" t="n">
        <v>1</v>
      </c>
      <c r="AH184" s="0" t="s">
        <v>2149</v>
      </c>
      <c r="AI184" s="0" t="s">
        <v>287</v>
      </c>
      <c r="AJ184" s="0" t="s">
        <v>221</v>
      </c>
      <c r="AL184" s="0" t="s">
        <v>2106</v>
      </c>
      <c r="AM184" s="0" t="n">
        <v>1</v>
      </c>
      <c r="AN184" s="0" t="s">
        <v>2149</v>
      </c>
      <c r="AO184" s="0" t="s">
        <v>287</v>
      </c>
      <c r="AP184" s="0" t="s">
        <v>221</v>
      </c>
      <c r="BP184" s="0" t="n">
        <v>0</v>
      </c>
      <c r="BQ184" s="0" t="n">
        <v>0</v>
      </c>
      <c r="BR184" s="0" t="n">
        <v>1</v>
      </c>
      <c r="BS184" s="0" t="s">
        <v>2150</v>
      </c>
      <c r="BT184" s="0" t="s">
        <v>2151</v>
      </c>
      <c r="BV184" s="123"/>
      <c r="BW184" s="123"/>
      <c r="BX184" s="123"/>
      <c r="BY184" s="123"/>
      <c r="BZ184" s="0" t="n">
        <v>0</v>
      </c>
      <c r="CA184" s="0" t="s">
        <v>216</v>
      </c>
      <c r="CD184" s="0" t="s">
        <v>296</v>
      </c>
      <c r="CE184" s="0" t="n">
        <v>0</v>
      </c>
      <c r="CF184" s="0" t="s">
        <v>527</v>
      </c>
      <c r="CI184" s="1" t="n">
        <v>39889</v>
      </c>
      <c r="CJ184" s="1" t="n">
        <v>40817</v>
      </c>
      <c r="CK184" s="124" t="n">
        <v>0.333333333333333</v>
      </c>
      <c r="CL184" s="0" t="s">
        <v>2148</v>
      </c>
      <c r="CM184" s="0" t="n">
        <f aca="false">IF(OR(CI184="",CJ184=""),"",DAYS360(CI184,CJ184)/360)</f>
        <v>2.53888888888889</v>
      </c>
      <c r="CN184" s="0" t="n">
        <f aca="false">IF(OR(CI184="",CJ184=""),"",DAYS360(CI184,CJ184)/30)</f>
        <v>30.4666666666667</v>
      </c>
      <c r="CO184" s="0" t="n">
        <f aca="false">IF(OR(CI184="",CJ184=""),"",DAYS360(CI184,CJ184)/7)</f>
        <v>130.571428571429</v>
      </c>
      <c r="CP184" s="0" t="n">
        <f aca="false">IF(OR(CI184="",CJ184=""),"",DAYS360(CI184,CJ184))</f>
        <v>914</v>
      </c>
      <c r="CQ184" s="0" t="s">
        <v>240</v>
      </c>
      <c r="CR184" s="0" t="n">
        <v>1</v>
      </c>
      <c r="CT184" s="0" t="s">
        <v>221</v>
      </c>
      <c r="CU184" s="0" t="s">
        <v>221</v>
      </c>
      <c r="CV184" s="0" t="str">
        <f aca="false">IF(OR(CT184="",CT184="NO ESPECIFICA",CT184="NO MENCIONA"),"",IF(CU184=0,CT184,IF(CU184=1,CT184/30,IF(CU184=2,CT184/15,IF(CU184=3,CT184/7,"")))))</f>
        <v/>
      </c>
      <c r="CW184" s="125" t="n">
        <v>1400</v>
      </c>
      <c r="CX184" s="0" t="n">
        <v>0</v>
      </c>
      <c r="CY184" s="0" t="n">
        <f aca="false">IF(CW184="","",IF(CX184=0,CW184,IF(CX184=1,CW184/30,IF(CX184=2,CW184/15,IF(CX184=3,CW184/7,CW184)))))</f>
        <v>1400</v>
      </c>
      <c r="CZ184" s="0" t="n">
        <f aca="false">IF(DI184&gt;0,DI184,IF(CY184&gt;0,CY184,IF(CV184&gt;0,CV184,"")))</f>
        <v>1400</v>
      </c>
      <c r="DA184" s="0" t="n">
        <f aca="false">IF(DM184=1,CZ184/8,IF(OR(DM184=2,DM184=4),CZ184/7,IF(DM184=3,CZ184/7.5,"")))</f>
        <v>175</v>
      </c>
      <c r="DB184" s="0" t="s">
        <v>216</v>
      </c>
      <c r="DC184" s="0" t="s">
        <v>216</v>
      </c>
      <c r="DD184" s="0" t="s">
        <v>216</v>
      </c>
      <c r="DE184" s="0" t="s">
        <v>216</v>
      </c>
      <c r="DF184" s="0" t="s">
        <v>216</v>
      </c>
      <c r="DG184" s="0" t="s">
        <v>216</v>
      </c>
      <c r="DI184" s="126" t="n">
        <v>1400</v>
      </c>
      <c r="DK184" s="0" t="n">
        <v>0</v>
      </c>
      <c r="DM184" s="0" t="n">
        <v>1</v>
      </c>
      <c r="DN184" s="0" t="n">
        <v>77</v>
      </c>
      <c r="DO184" s="0" t="n">
        <v>3</v>
      </c>
      <c r="DP184" s="0" t="n">
        <v>0</v>
      </c>
      <c r="DQ184" s="0" t="n">
        <v>1</v>
      </c>
      <c r="DR184" s="0"/>
      <c r="DS184" s="0" t="n">
        <v>1</v>
      </c>
      <c r="DU184" s="0" t="n">
        <v>1</v>
      </c>
      <c r="DW184" s="1" t="n">
        <v>40254</v>
      </c>
      <c r="DX184" s="1" t="n">
        <v>40817</v>
      </c>
      <c r="DZ184" s="0"/>
      <c r="EA184" s="0" t="n">
        <v>1</v>
      </c>
      <c r="EC184" s="1" t="n">
        <v>40179</v>
      </c>
      <c r="ED184" s="1" t="n">
        <v>40817</v>
      </c>
      <c r="EF184" s="0"/>
      <c r="EG184" s="0" t="n">
        <v>1</v>
      </c>
      <c r="EH184" s="0" t="n">
        <v>12</v>
      </c>
      <c r="EI184" s="0" t="n">
        <f aca="false">IF(AND(DM184=1,DN184&lt;=48),"",IF(AND(DM184=2,DN184&lt;=42),"",IF(AND(DM184=3,DN184&lt;=45),"",EH184)))</f>
        <v>12</v>
      </c>
      <c r="EJ184" s="0" t="n">
        <f aca="false">IF(EI184="","",IF(EI184&lt;9,EI184,9))</f>
        <v>9</v>
      </c>
      <c r="EK184" s="0" t="n">
        <f aca="false">IF(EI184="","",IF(EI184&gt;9,EI184-EJ184,0))</f>
        <v>3</v>
      </c>
      <c r="EL184" s="0" t="n">
        <f aca="false">IF(EI184="","",EJ184*DA184*2+EK184*DA184*3)</f>
        <v>4725</v>
      </c>
      <c r="EP184" s="0" t="n">
        <v>0</v>
      </c>
      <c r="EQ184" s="0"/>
      <c r="ER184" s="0" t="n">
        <v>0</v>
      </c>
      <c r="ET184" s="0" t="n">
        <v>0</v>
      </c>
      <c r="EV184" s="0" t="n">
        <v>1</v>
      </c>
      <c r="EX184" s="0" t="n">
        <v>1</v>
      </c>
      <c r="EY184" s="0" t="n">
        <v>1</v>
      </c>
      <c r="EZ184" s="4" t="n">
        <v>22000</v>
      </c>
      <c r="FA184" s="4" t="n">
        <v>0</v>
      </c>
      <c r="FB184" s="0" t="n">
        <v>0</v>
      </c>
      <c r="FF184" s="120" t="n">
        <f aca="false">(CJ184-CI184+1)/365</f>
        <v>2.54520547945205</v>
      </c>
      <c r="FG184" s="0" t="str">
        <f aca="false">CONCATENATE(F184,"/",G184)</f>
        <v>1861/2011</v>
      </c>
      <c r="FH184" s="0" t="n">
        <v>0</v>
      </c>
      <c r="FI184" s="0" t="n">
        <v>0</v>
      </c>
    </row>
    <row r="185" customFormat="false" ht="15" hidden="false" customHeight="false" outlineLevel="0" collapsed="false">
      <c r="A185" s="5" t="str">
        <f aca="false">E185&amp;G185&amp;F185</f>
        <v>720111861</v>
      </c>
      <c r="B185" s="0" t="s">
        <v>2119</v>
      </c>
      <c r="C185" s="1" t="n">
        <v>42411</v>
      </c>
      <c r="E185" s="0" t="n">
        <v>7</v>
      </c>
      <c r="F185" s="0" t="n">
        <v>1861</v>
      </c>
      <c r="G185" s="0" t="n">
        <v>2011</v>
      </c>
      <c r="H185" s="0" t="str">
        <f aca="false">"J"&amp;E185&amp;"\"&amp;F185&amp;"\"&amp;G185&amp;"\"&amp;W185</f>
        <v>J7\1861\2011\4</v>
      </c>
      <c r="I185" s="0"/>
      <c r="J185" s="1" t="n">
        <v>40855</v>
      </c>
      <c r="K185" s="0" t="n">
        <v>0</v>
      </c>
      <c r="M185" s="1" t="n">
        <v>40855</v>
      </c>
      <c r="N185" s="1" t="n">
        <v>40914</v>
      </c>
      <c r="O185" s="1"/>
      <c r="P185" s="1"/>
      <c r="Q185" s="1"/>
      <c r="T185" s="121"/>
      <c r="U185" s="121"/>
      <c r="V185" s="122" t="n">
        <f aca="false">IF(AND(E185&gt;0,F185&gt;0,G185&gt;0),COUNTIFS($E:$E,E185,$F:$F,F185,$G:$G,G185),"")</f>
        <v>10</v>
      </c>
      <c r="W185" s="122" t="n">
        <f aca="false">IF(V185="","",IF(V185=1,1,IF(AND(E184=E185,F184=F185,G184=G185),W184+1,1)))</f>
        <v>4</v>
      </c>
      <c r="X185" s="0" t="n">
        <v>10</v>
      </c>
      <c r="Y185" s="0" t="n">
        <v>2</v>
      </c>
      <c r="Z185" s="0" t="s">
        <v>2155</v>
      </c>
      <c r="AA185" s="0" t="n">
        <v>0</v>
      </c>
      <c r="AB185" s="0" t="s">
        <v>2147</v>
      </c>
      <c r="AC185" s="0" t="s">
        <v>1661</v>
      </c>
      <c r="AD185" s="0" t="s">
        <v>221</v>
      </c>
      <c r="AE185" s="0" t="n">
        <v>0</v>
      </c>
      <c r="AF185" s="0" t="s">
        <v>2148</v>
      </c>
      <c r="AG185" s="0" t="n">
        <v>1</v>
      </c>
      <c r="AH185" s="0" t="s">
        <v>2149</v>
      </c>
      <c r="AI185" s="0" t="s">
        <v>287</v>
      </c>
      <c r="AJ185" s="0" t="s">
        <v>221</v>
      </c>
      <c r="AL185" s="0" t="s">
        <v>2106</v>
      </c>
      <c r="AM185" s="0" t="n">
        <v>1</v>
      </c>
      <c r="AN185" s="0" t="s">
        <v>2149</v>
      </c>
      <c r="AO185" s="0" t="s">
        <v>287</v>
      </c>
      <c r="AP185" s="0" t="s">
        <v>221</v>
      </c>
      <c r="BP185" s="0" t="n">
        <v>0</v>
      </c>
      <c r="BQ185" s="0" t="n">
        <v>0</v>
      </c>
      <c r="BR185" s="0" t="n">
        <v>1</v>
      </c>
      <c r="BS185" s="0" t="s">
        <v>2150</v>
      </c>
      <c r="BT185" s="0" t="s">
        <v>2151</v>
      </c>
      <c r="BV185" s="123"/>
      <c r="BW185" s="123"/>
      <c r="BX185" s="123"/>
      <c r="BY185" s="123"/>
      <c r="BZ185" s="0" t="n">
        <v>0</v>
      </c>
      <c r="CA185" s="0" t="s">
        <v>216</v>
      </c>
      <c r="CD185" s="0" t="s">
        <v>296</v>
      </c>
      <c r="CE185" s="0" t="n">
        <v>0</v>
      </c>
      <c r="CF185" s="0" t="s">
        <v>503</v>
      </c>
      <c r="CI185" s="1" t="n">
        <v>39894</v>
      </c>
      <c r="CJ185" s="1" t="n">
        <v>40817</v>
      </c>
      <c r="CK185" s="124" t="n">
        <v>0.333333333333333</v>
      </c>
      <c r="CL185" s="0" t="s">
        <v>2148</v>
      </c>
      <c r="CM185" s="0" t="n">
        <f aca="false">IF(OR(CI185="",CJ185=""),"",DAYS360(CI185,CJ185)/360)</f>
        <v>2.525</v>
      </c>
      <c r="CN185" s="0" t="n">
        <f aca="false">IF(OR(CI185="",CJ185=""),"",DAYS360(CI185,CJ185)/30)</f>
        <v>30.3</v>
      </c>
      <c r="CO185" s="0" t="n">
        <f aca="false">IF(OR(CI185="",CJ185=""),"",DAYS360(CI185,CJ185)/7)</f>
        <v>129.857142857143</v>
      </c>
      <c r="CP185" s="0" t="n">
        <f aca="false">IF(OR(CI185="",CJ185=""),"",DAYS360(CI185,CJ185))</f>
        <v>909</v>
      </c>
      <c r="CQ185" s="0" t="s">
        <v>240</v>
      </c>
      <c r="CR185" s="0" t="n">
        <v>1</v>
      </c>
      <c r="CT185" s="0" t="s">
        <v>221</v>
      </c>
      <c r="CU185" s="0" t="s">
        <v>221</v>
      </c>
      <c r="CV185" s="0" t="str">
        <f aca="false">IF(OR(CT185="",CT185="NO ESPECIFICA",CT185="NO MENCIONA"),"",IF(CU185=0,CT185,IF(CU185=1,CT185/30,IF(CU185=2,CT185/15,IF(CU185=3,CT185/7,"")))))</f>
        <v/>
      </c>
      <c r="CW185" s="125" t="n">
        <v>1000</v>
      </c>
      <c r="CX185" s="0" t="n">
        <v>0</v>
      </c>
      <c r="CY185" s="0" t="n">
        <f aca="false">IF(CW185="","",IF(CX185=0,CW185,IF(CX185=1,CW185/30,IF(CX185=2,CW185/15,IF(CX185=3,CW185/7,CW185)))))</f>
        <v>1000</v>
      </c>
      <c r="CZ185" s="0" t="n">
        <f aca="false">IF(DI185&gt;0,DI185,IF(CY185&gt;0,CY185,IF(CV185&gt;0,CV185,"")))</f>
        <v>1000</v>
      </c>
      <c r="DA185" s="0" t="n">
        <f aca="false">IF(DM185=1,CZ185/8,IF(OR(DM185=2,DM185=4),CZ185/7,IF(DM185=3,CZ185/7.5,"")))</f>
        <v>125</v>
      </c>
      <c r="DB185" s="0" t="s">
        <v>216</v>
      </c>
      <c r="DC185" s="0" t="s">
        <v>216</v>
      </c>
      <c r="DD185" s="0" t="s">
        <v>216</v>
      </c>
      <c r="DE185" s="0" t="s">
        <v>216</v>
      </c>
      <c r="DF185" s="0" t="s">
        <v>216</v>
      </c>
      <c r="DG185" s="0" t="s">
        <v>216</v>
      </c>
      <c r="DI185" s="126" t="n">
        <v>1000</v>
      </c>
      <c r="DK185" s="0" t="n">
        <v>0</v>
      </c>
      <c r="DM185" s="0" t="n">
        <v>1</v>
      </c>
      <c r="DN185" s="0" t="n">
        <v>77</v>
      </c>
      <c r="DO185" s="0" t="n">
        <v>3</v>
      </c>
      <c r="DP185" s="0" t="n">
        <v>0</v>
      </c>
      <c r="DQ185" s="0" t="n">
        <v>1</v>
      </c>
      <c r="DR185" s="0"/>
      <c r="DS185" s="0" t="n">
        <v>1</v>
      </c>
      <c r="DU185" s="0" t="n">
        <v>1</v>
      </c>
      <c r="DW185" s="1" t="n">
        <v>40259</v>
      </c>
      <c r="DX185" s="1" t="n">
        <v>40817</v>
      </c>
      <c r="DZ185" s="0"/>
      <c r="EA185" s="0" t="n">
        <v>1</v>
      </c>
      <c r="EC185" s="1" t="n">
        <v>40179</v>
      </c>
      <c r="ED185" s="1" t="n">
        <v>40817</v>
      </c>
      <c r="EF185" s="0"/>
      <c r="EG185" s="0" t="n">
        <v>1</v>
      </c>
      <c r="EH185" s="0" t="n">
        <v>12</v>
      </c>
      <c r="EI185" s="0" t="n">
        <f aca="false">IF(AND(DM185=1,DN185&lt;=48),"",IF(AND(DM185=2,DN185&lt;=42),"",IF(AND(DM185=3,DN185&lt;=45),"",EH185)))</f>
        <v>12</v>
      </c>
      <c r="EJ185" s="0" t="n">
        <f aca="false">IF(EI185="","",IF(EI185&lt;9,EI185,9))</f>
        <v>9</v>
      </c>
      <c r="EK185" s="0" t="n">
        <f aca="false">IF(EI185="","",IF(EI185&gt;9,EI185-EJ185,0))</f>
        <v>3</v>
      </c>
      <c r="EL185" s="0" t="n">
        <f aca="false">IF(EI185="","",EJ185*DA185*2+EK185*DA185*3)</f>
        <v>3375</v>
      </c>
      <c r="EP185" s="0" t="n">
        <v>0</v>
      </c>
      <c r="EQ185" s="0"/>
      <c r="ER185" s="0" t="n">
        <v>0</v>
      </c>
      <c r="ET185" s="0" t="n">
        <v>0</v>
      </c>
      <c r="EV185" s="0" t="n">
        <v>1</v>
      </c>
      <c r="EX185" s="0" t="n">
        <v>1</v>
      </c>
      <c r="EY185" s="0" t="n">
        <v>1</v>
      </c>
      <c r="EZ185" s="4" t="n">
        <v>22000</v>
      </c>
      <c r="FA185" s="4" t="n">
        <v>0</v>
      </c>
      <c r="FB185" s="0" t="n">
        <v>0</v>
      </c>
      <c r="FF185" s="120" t="n">
        <f aca="false">(CJ185-CI185+1)/365</f>
        <v>2.53150684931507</v>
      </c>
      <c r="FG185" s="0" t="str">
        <f aca="false">CONCATENATE(F185,"/",G185)</f>
        <v>1861/2011</v>
      </c>
      <c r="FH185" s="0" t="n">
        <v>0</v>
      </c>
      <c r="FI185" s="0" t="n">
        <v>0</v>
      </c>
    </row>
    <row r="186" customFormat="false" ht="15" hidden="false" customHeight="false" outlineLevel="0" collapsed="false">
      <c r="A186" s="5" t="str">
        <f aca="false">E186&amp;G186&amp;F186</f>
        <v>720111861</v>
      </c>
      <c r="B186" s="0" t="s">
        <v>2119</v>
      </c>
      <c r="C186" s="1" t="n">
        <v>42411</v>
      </c>
      <c r="E186" s="0" t="n">
        <v>7</v>
      </c>
      <c r="F186" s="0" t="n">
        <v>1861</v>
      </c>
      <c r="G186" s="0" t="n">
        <v>2011</v>
      </c>
      <c r="H186" s="0" t="str">
        <f aca="false">"J"&amp;E186&amp;"\"&amp;F186&amp;"\"&amp;G186&amp;"\"&amp;W186</f>
        <v>J7\1861\2011\5</v>
      </c>
      <c r="I186" s="0"/>
      <c r="J186" s="1" t="n">
        <v>40855</v>
      </c>
      <c r="K186" s="0" t="n">
        <v>0</v>
      </c>
      <c r="M186" s="1" t="n">
        <v>40855</v>
      </c>
      <c r="N186" s="1" t="n">
        <v>40914</v>
      </c>
      <c r="O186" s="1"/>
      <c r="P186" s="1"/>
      <c r="Q186" s="1"/>
      <c r="T186" s="121"/>
      <c r="U186" s="121"/>
      <c r="V186" s="122" t="n">
        <f aca="false">IF(AND(E186&gt;0,F186&gt;0,G186&gt;0),COUNTIFS($E:$E,E186,$F:$F,F186,$G:$G,G186),"")</f>
        <v>10</v>
      </c>
      <c r="W186" s="122" t="n">
        <f aca="false">IF(V186="","",IF(V186=1,1,IF(AND(E185=E186,F185=F186,G185=G186),W185+1,1)))</f>
        <v>5</v>
      </c>
      <c r="X186" s="0" t="n">
        <v>10</v>
      </c>
      <c r="Y186" s="0" t="n">
        <v>2</v>
      </c>
      <c r="Z186" s="0" t="s">
        <v>2156</v>
      </c>
      <c r="AA186" s="0" t="n">
        <v>0</v>
      </c>
      <c r="AB186" s="0" t="s">
        <v>2147</v>
      </c>
      <c r="AC186" s="0" t="s">
        <v>1661</v>
      </c>
      <c r="AD186" s="0" t="s">
        <v>221</v>
      </c>
      <c r="AE186" s="0" t="n">
        <v>0</v>
      </c>
      <c r="AF186" s="0" t="s">
        <v>2148</v>
      </c>
      <c r="AG186" s="0" t="n">
        <v>1</v>
      </c>
      <c r="AH186" s="0" t="s">
        <v>2149</v>
      </c>
      <c r="AI186" s="0" t="s">
        <v>287</v>
      </c>
      <c r="AJ186" s="0" t="s">
        <v>221</v>
      </c>
      <c r="AL186" s="0" t="s">
        <v>2106</v>
      </c>
      <c r="AM186" s="0" t="n">
        <v>1</v>
      </c>
      <c r="AN186" s="0" t="s">
        <v>2149</v>
      </c>
      <c r="AO186" s="0" t="s">
        <v>287</v>
      </c>
      <c r="AP186" s="0" t="s">
        <v>221</v>
      </c>
      <c r="BP186" s="0" t="n">
        <v>0</v>
      </c>
      <c r="BQ186" s="0" t="n">
        <v>0</v>
      </c>
      <c r="BR186" s="0" t="n">
        <v>1</v>
      </c>
      <c r="BS186" s="0" t="s">
        <v>2150</v>
      </c>
      <c r="BT186" s="0" t="s">
        <v>2151</v>
      </c>
      <c r="BV186" s="123"/>
      <c r="BW186" s="123"/>
      <c r="BX186" s="123"/>
      <c r="BY186" s="123"/>
      <c r="BZ186" s="0" t="n">
        <v>0</v>
      </c>
      <c r="CA186" s="0" t="s">
        <v>216</v>
      </c>
      <c r="CD186" s="0" t="s">
        <v>296</v>
      </c>
      <c r="CE186" s="0" t="n">
        <v>0</v>
      </c>
      <c r="CF186" s="0" t="s">
        <v>527</v>
      </c>
      <c r="CI186" s="1" t="n">
        <v>40094</v>
      </c>
      <c r="CJ186" s="1" t="n">
        <v>40817</v>
      </c>
      <c r="CK186" s="124" t="n">
        <v>0.333333333333333</v>
      </c>
      <c r="CL186" s="0" t="s">
        <v>2148</v>
      </c>
      <c r="CM186" s="0" t="n">
        <f aca="false">IF(OR(CI186="",CJ186=""),"",DAYS360(CI186,CJ186)/360)</f>
        <v>1.98055555555556</v>
      </c>
      <c r="CN186" s="0" t="n">
        <f aca="false">IF(OR(CI186="",CJ186=""),"",DAYS360(CI186,CJ186)/30)</f>
        <v>23.7666666666667</v>
      </c>
      <c r="CO186" s="0" t="n">
        <f aca="false">IF(OR(CI186="",CJ186=""),"",DAYS360(CI186,CJ186)/7)</f>
        <v>101.857142857143</v>
      </c>
      <c r="CP186" s="0" t="n">
        <f aca="false">IF(OR(CI186="",CJ186=""),"",DAYS360(CI186,CJ186))</f>
        <v>713</v>
      </c>
      <c r="CQ186" s="0" t="s">
        <v>240</v>
      </c>
      <c r="CR186" s="0" t="n">
        <v>1</v>
      </c>
      <c r="CT186" s="0" t="s">
        <v>221</v>
      </c>
      <c r="CU186" s="0" t="s">
        <v>221</v>
      </c>
      <c r="CV186" s="0" t="str">
        <f aca="false">IF(OR(CT186="",CT186="NO ESPECIFICA",CT186="NO MENCIONA"),"",IF(CU186=0,CT186,IF(CU186=1,CT186/30,IF(CU186=2,CT186/15,IF(CU186=3,CT186/7,"")))))</f>
        <v/>
      </c>
      <c r="CW186" s="125" t="n">
        <v>1000</v>
      </c>
      <c r="CX186" s="0" t="n">
        <v>0</v>
      </c>
      <c r="CY186" s="0" t="n">
        <f aca="false">IF(CW186="","",IF(CX186=0,CW186,IF(CX186=1,CW186/30,IF(CX186=2,CW186/15,IF(CX186=3,CW186/7,CW186)))))</f>
        <v>1000</v>
      </c>
      <c r="CZ186" s="0" t="n">
        <f aca="false">IF(DI186&gt;0,DI186,IF(CY186&gt;0,CY186,IF(CV186&gt;0,CV186,"")))</f>
        <v>1000</v>
      </c>
      <c r="DA186" s="0" t="n">
        <f aca="false">IF(DM186=1,CZ186/8,IF(OR(DM186=2,DM186=4),CZ186/7,IF(DM186=3,CZ186/7.5,"")))</f>
        <v>125</v>
      </c>
      <c r="DB186" s="0" t="s">
        <v>216</v>
      </c>
      <c r="DC186" s="0" t="s">
        <v>216</v>
      </c>
      <c r="DD186" s="0" t="s">
        <v>216</v>
      </c>
      <c r="DE186" s="0" t="s">
        <v>216</v>
      </c>
      <c r="DF186" s="0" t="s">
        <v>216</v>
      </c>
      <c r="DG186" s="0" t="s">
        <v>216</v>
      </c>
      <c r="DI186" s="126" t="n">
        <v>1000</v>
      </c>
      <c r="DK186" s="0" t="n">
        <v>0</v>
      </c>
      <c r="DM186" s="0" t="n">
        <v>1</v>
      </c>
      <c r="DN186" s="0" t="n">
        <v>77</v>
      </c>
      <c r="DO186" s="0" t="n">
        <v>3</v>
      </c>
      <c r="DP186" s="0" t="n">
        <v>0</v>
      </c>
      <c r="DQ186" s="0" t="n">
        <v>1</v>
      </c>
      <c r="DR186" s="0"/>
      <c r="DS186" s="0" t="n">
        <v>1</v>
      </c>
      <c r="DU186" s="0" t="n">
        <v>1</v>
      </c>
      <c r="DW186" s="1" t="n">
        <v>40459</v>
      </c>
      <c r="DX186" s="1" t="n">
        <v>40817</v>
      </c>
      <c r="DZ186" s="0"/>
      <c r="EA186" s="0" t="n">
        <v>1</v>
      </c>
      <c r="EC186" s="1" t="n">
        <v>40179</v>
      </c>
      <c r="ED186" s="1" t="n">
        <v>40817</v>
      </c>
      <c r="EF186" s="0"/>
      <c r="EG186" s="0" t="n">
        <v>1</v>
      </c>
      <c r="EH186" s="0" t="n">
        <v>12</v>
      </c>
      <c r="EI186" s="0" t="n">
        <f aca="false">IF(AND(DM186=1,DN186&lt;=48),"",IF(AND(DM186=2,DN186&lt;=42),"",IF(AND(DM186=3,DN186&lt;=45),"",EH186)))</f>
        <v>12</v>
      </c>
      <c r="EJ186" s="0" t="n">
        <f aca="false">IF(EI186="","",IF(EI186&lt;9,EI186,9))</f>
        <v>9</v>
      </c>
      <c r="EK186" s="0" t="n">
        <f aca="false">IF(EI186="","",IF(EI186&gt;9,EI186-EJ186,0))</f>
        <v>3</v>
      </c>
      <c r="EL186" s="0" t="n">
        <f aca="false">IF(EI186="","",EJ186*DA186*2+EK186*DA186*3)</f>
        <v>3375</v>
      </c>
      <c r="EP186" s="0" t="n">
        <v>0</v>
      </c>
      <c r="EQ186" s="0"/>
      <c r="ER186" s="0" t="n">
        <v>0</v>
      </c>
      <c r="ET186" s="0" t="n">
        <v>0</v>
      </c>
      <c r="EV186" s="0" t="n">
        <v>1</v>
      </c>
      <c r="EX186" s="0" t="n">
        <v>1</v>
      </c>
      <c r="EY186" s="0" t="n">
        <v>1</v>
      </c>
      <c r="EZ186" s="4" t="n">
        <v>22000</v>
      </c>
      <c r="FA186" s="4" t="n">
        <v>0</v>
      </c>
      <c r="FB186" s="0" t="n">
        <v>0</v>
      </c>
      <c r="FF186" s="120" t="n">
        <f aca="false">(CJ186-CI186+1)/365</f>
        <v>1.98356164383562</v>
      </c>
      <c r="FG186" s="0" t="str">
        <f aca="false">CONCATENATE(F186,"/",G186)</f>
        <v>1861/2011</v>
      </c>
      <c r="FH186" s="0" t="n">
        <v>0</v>
      </c>
      <c r="FI186" s="0" t="n">
        <v>0</v>
      </c>
    </row>
    <row r="187" customFormat="false" ht="15" hidden="false" customHeight="false" outlineLevel="0" collapsed="false">
      <c r="A187" s="5" t="str">
        <f aca="false">E187&amp;G187&amp;F187</f>
        <v>720111861</v>
      </c>
      <c r="B187" s="0" t="s">
        <v>2119</v>
      </c>
      <c r="C187" s="1" t="n">
        <v>42411</v>
      </c>
      <c r="E187" s="0" t="n">
        <v>7</v>
      </c>
      <c r="F187" s="0" t="n">
        <v>1861</v>
      </c>
      <c r="G187" s="0" t="n">
        <v>2011</v>
      </c>
      <c r="H187" s="0" t="str">
        <f aca="false">"J"&amp;E187&amp;"\"&amp;F187&amp;"\"&amp;G187&amp;"\"&amp;W187</f>
        <v>J7\1861\2011\6</v>
      </c>
      <c r="I187" s="0"/>
      <c r="J187" s="1" t="n">
        <v>40855</v>
      </c>
      <c r="K187" s="0" t="n">
        <v>0</v>
      </c>
      <c r="M187" s="1" t="n">
        <v>40855</v>
      </c>
      <c r="N187" s="1" t="n">
        <v>40914</v>
      </c>
      <c r="O187" s="1"/>
      <c r="P187" s="1"/>
      <c r="Q187" s="1"/>
      <c r="T187" s="121"/>
      <c r="U187" s="121"/>
      <c r="V187" s="122" t="n">
        <f aca="false">IF(AND(E187&gt;0,F187&gt;0,G187&gt;0),COUNTIFS($E:$E,E187,$F:$F,F187,$G:$G,G187),"")</f>
        <v>10</v>
      </c>
      <c r="W187" s="122" t="n">
        <f aca="false">IF(V187="","",IF(V187=1,1,IF(AND(E186=E187,F186=F187,G186=G187),W186+1,1)))</f>
        <v>6</v>
      </c>
      <c r="X187" s="0" t="n">
        <v>10</v>
      </c>
      <c r="Y187" s="0" t="n">
        <v>2</v>
      </c>
      <c r="Z187" s="0" t="s">
        <v>2157</v>
      </c>
      <c r="AA187" s="0" t="n">
        <v>0</v>
      </c>
      <c r="AB187" s="0" t="s">
        <v>2147</v>
      </c>
      <c r="AC187" s="0" t="s">
        <v>1661</v>
      </c>
      <c r="AD187" s="0" t="s">
        <v>221</v>
      </c>
      <c r="AE187" s="0" t="n">
        <v>0</v>
      </c>
      <c r="AF187" s="0" t="s">
        <v>2148</v>
      </c>
      <c r="AG187" s="0" t="n">
        <v>1</v>
      </c>
      <c r="AH187" s="0" t="s">
        <v>2149</v>
      </c>
      <c r="AI187" s="0" t="s">
        <v>287</v>
      </c>
      <c r="AJ187" s="0" t="s">
        <v>221</v>
      </c>
      <c r="AL187" s="0" t="s">
        <v>2106</v>
      </c>
      <c r="AM187" s="0" t="n">
        <v>1</v>
      </c>
      <c r="AN187" s="0" t="s">
        <v>2149</v>
      </c>
      <c r="AO187" s="0" t="s">
        <v>287</v>
      </c>
      <c r="AP187" s="0" t="s">
        <v>221</v>
      </c>
      <c r="BP187" s="0" t="n">
        <v>0</v>
      </c>
      <c r="BQ187" s="0" t="n">
        <v>0</v>
      </c>
      <c r="BR187" s="0" t="n">
        <v>1</v>
      </c>
      <c r="BS187" s="0" t="s">
        <v>2150</v>
      </c>
      <c r="BT187" s="0" t="s">
        <v>2151</v>
      </c>
      <c r="BV187" s="123"/>
      <c r="BW187" s="123"/>
      <c r="BX187" s="123"/>
      <c r="BY187" s="123"/>
      <c r="BZ187" s="0" t="n">
        <v>0</v>
      </c>
      <c r="CA187" s="0" t="s">
        <v>216</v>
      </c>
      <c r="CD187" s="0" t="s">
        <v>296</v>
      </c>
      <c r="CE187" s="0" t="n">
        <v>0</v>
      </c>
      <c r="CF187" s="0" t="s">
        <v>527</v>
      </c>
      <c r="CI187" s="1" t="n">
        <v>40150</v>
      </c>
      <c r="CJ187" s="1" t="n">
        <v>40817</v>
      </c>
      <c r="CK187" s="124" t="n">
        <v>0.333333333333333</v>
      </c>
      <c r="CL187" s="0" t="s">
        <v>2148</v>
      </c>
      <c r="CM187" s="0" t="n">
        <f aca="false">IF(OR(CI187="",CJ187=""),"",DAYS360(CI187,CJ187)/360)</f>
        <v>1.82777777777778</v>
      </c>
      <c r="CN187" s="0" t="n">
        <f aca="false">IF(OR(CI187="",CJ187=""),"",DAYS360(CI187,CJ187)/30)</f>
        <v>21.9333333333333</v>
      </c>
      <c r="CO187" s="0" t="n">
        <f aca="false">IF(OR(CI187="",CJ187=""),"",DAYS360(CI187,CJ187)/7)</f>
        <v>94</v>
      </c>
      <c r="CP187" s="0" t="n">
        <f aca="false">IF(OR(CI187="",CJ187=""),"",DAYS360(CI187,CJ187))</f>
        <v>658</v>
      </c>
      <c r="CQ187" s="0" t="s">
        <v>240</v>
      </c>
      <c r="CR187" s="0" t="n">
        <v>1</v>
      </c>
      <c r="CT187" s="0" t="s">
        <v>221</v>
      </c>
      <c r="CU187" s="0" t="s">
        <v>221</v>
      </c>
      <c r="CV187" s="0" t="str">
        <f aca="false">IF(OR(CT187="",CT187="NO ESPECIFICA",CT187="NO MENCIONA"),"",IF(CU187=0,CT187,IF(CU187=1,CT187/30,IF(CU187=2,CT187/15,IF(CU187=3,CT187/7,"")))))</f>
        <v/>
      </c>
      <c r="CW187" s="125" t="n">
        <v>1500</v>
      </c>
      <c r="CX187" s="0" t="n">
        <v>0</v>
      </c>
      <c r="CY187" s="0" t="n">
        <f aca="false">IF(CW187="","",IF(CX187=0,CW187,IF(CX187=1,CW187/30,IF(CX187=2,CW187/15,IF(CX187=3,CW187/7,CW187)))))</f>
        <v>1500</v>
      </c>
      <c r="CZ187" s="0" t="n">
        <f aca="false">IF(DI187&gt;0,DI187,IF(CY187&gt;0,CY187,IF(CV187&gt;0,CV187,"")))</f>
        <v>1500</v>
      </c>
      <c r="DA187" s="0" t="n">
        <f aca="false">IF(DM187=1,CZ187/8,IF(OR(DM187=2,DM187=4),CZ187/7,IF(DM187=3,CZ187/7.5,"")))</f>
        <v>187.5</v>
      </c>
      <c r="DB187" s="0" t="s">
        <v>216</v>
      </c>
      <c r="DC187" s="0" t="s">
        <v>216</v>
      </c>
      <c r="DD187" s="0" t="s">
        <v>216</v>
      </c>
      <c r="DE187" s="0" t="s">
        <v>216</v>
      </c>
      <c r="DF187" s="0" t="s">
        <v>216</v>
      </c>
      <c r="DG187" s="0" t="s">
        <v>216</v>
      </c>
      <c r="DI187" s="126" t="n">
        <v>1500</v>
      </c>
      <c r="DK187" s="0" t="n">
        <v>1</v>
      </c>
      <c r="DM187" s="0" t="n">
        <v>1</v>
      </c>
      <c r="DN187" s="0" t="n">
        <v>77</v>
      </c>
      <c r="DO187" s="0" t="n">
        <v>3</v>
      </c>
      <c r="DP187" s="0" t="n">
        <v>0</v>
      </c>
      <c r="DQ187" s="0" t="n">
        <v>1</v>
      </c>
      <c r="DR187" s="0"/>
      <c r="DS187" s="0" t="n">
        <v>1</v>
      </c>
      <c r="DU187" s="0" t="n">
        <v>1</v>
      </c>
      <c r="DW187" s="1" t="n">
        <v>40515</v>
      </c>
      <c r="DX187" s="1" t="n">
        <v>40817</v>
      </c>
      <c r="DZ187" s="0"/>
      <c r="EA187" s="0" t="n">
        <v>1</v>
      </c>
      <c r="EC187" s="1" t="n">
        <v>40179</v>
      </c>
      <c r="ED187" s="1" t="n">
        <v>40817</v>
      </c>
      <c r="EF187" s="0"/>
      <c r="EG187" s="0" t="n">
        <v>1</v>
      </c>
      <c r="EH187" s="0" t="n">
        <v>12</v>
      </c>
      <c r="EI187" s="0" t="n">
        <f aca="false">IF(AND(DM187=1,DN187&lt;=48),"",IF(AND(DM187=2,DN187&lt;=42),"",IF(AND(DM187=3,DN187&lt;=45),"",EH187)))</f>
        <v>12</v>
      </c>
      <c r="EJ187" s="0" t="n">
        <f aca="false">IF(EI187="","",IF(EI187&lt;9,EI187,9))</f>
        <v>9</v>
      </c>
      <c r="EK187" s="0" t="n">
        <f aca="false">IF(EI187="","",IF(EI187&gt;9,EI187-EJ187,0))</f>
        <v>3</v>
      </c>
      <c r="EL187" s="0" t="n">
        <f aca="false">IF(EI187="","",EJ187*DA187*2+EK187*DA187*3)</f>
        <v>5062.5</v>
      </c>
      <c r="EP187" s="0" t="n">
        <v>0</v>
      </c>
      <c r="EQ187" s="0"/>
      <c r="ER187" s="0" t="n">
        <v>0</v>
      </c>
      <c r="ET187" s="0" t="n">
        <v>0</v>
      </c>
      <c r="EV187" s="0" t="n">
        <v>1</v>
      </c>
      <c r="EX187" s="0" t="n">
        <v>1</v>
      </c>
      <c r="EY187" s="0" t="n">
        <v>1</v>
      </c>
      <c r="EZ187" s="4" t="n">
        <v>22000</v>
      </c>
      <c r="FA187" s="4" t="n">
        <v>0</v>
      </c>
      <c r="FB187" s="0" t="n">
        <v>0</v>
      </c>
      <c r="FF187" s="120" t="n">
        <f aca="false">(CJ187-CI187+1)/365</f>
        <v>1.83013698630137</v>
      </c>
      <c r="FG187" s="0" t="str">
        <f aca="false">CONCATENATE(F187,"/",G187)</f>
        <v>1861/2011</v>
      </c>
      <c r="FH187" s="0" t="n">
        <v>0</v>
      </c>
      <c r="FI187" s="0" t="n">
        <v>0</v>
      </c>
    </row>
    <row r="188" customFormat="false" ht="15" hidden="false" customHeight="false" outlineLevel="0" collapsed="false">
      <c r="A188" s="5" t="str">
        <f aca="false">E188&amp;G188&amp;F188</f>
        <v>720111861</v>
      </c>
      <c r="B188" s="0" t="s">
        <v>2119</v>
      </c>
      <c r="C188" s="1" t="n">
        <v>42411</v>
      </c>
      <c r="E188" s="0" t="n">
        <v>7</v>
      </c>
      <c r="F188" s="0" t="n">
        <v>1861</v>
      </c>
      <c r="G188" s="0" t="n">
        <v>2011</v>
      </c>
      <c r="H188" s="0" t="str">
        <f aca="false">"J"&amp;E188&amp;"\"&amp;F188&amp;"\"&amp;G188&amp;"\"&amp;W188</f>
        <v>J7\1861\2011\7</v>
      </c>
      <c r="I188" s="0"/>
      <c r="J188" s="1" t="n">
        <v>40855</v>
      </c>
      <c r="K188" s="0" t="n">
        <v>0</v>
      </c>
      <c r="M188" s="1" t="n">
        <v>40855</v>
      </c>
      <c r="N188" s="1" t="n">
        <v>40914</v>
      </c>
      <c r="O188" s="1"/>
      <c r="P188" s="1"/>
      <c r="Q188" s="1"/>
      <c r="T188" s="121"/>
      <c r="U188" s="121"/>
      <c r="V188" s="122" t="n">
        <f aca="false">IF(AND(E188&gt;0,F188&gt;0,G188&gt;0),COUNTIFS($E:$E,E188,$F:$F,F188,$G:$G,G188),"")</f>
        <v>10</v>
      </c>
      <c r="W188" s="122" t="n">
        <f aca="false">IF(V188="","",IF(V188=1,1,IF(AND(E187=E188,F187=F188,G187=G188),W187+1,1)))</f>
        <v>7</v>
      </c>
      <c r="X188" s="0" t="n">
        <v>10</v>
      </c>
      <c r="Y188" s="0" t="n">
        <v>2</v>
      </c>
      <c r="Z188" s="0" t="s">
        <v>2158</v>
      </c>
      <c r="AA188" s="0" t="n">
        <v>0</v>
      </c>
      <c r="AB188" s="0" t="s">
        <v>2147</v>
      </c>
      <c r="AC188" s="0" t="s">
        <v>1661</v>
      </c>
      <c r="AD188" s="0" t="s">
        <v>221</v>
      </c>
      <c r="AE188" s="0" t="n">
        <v>0</v>
      </c>
      <c r="AF188" s="0" t="s">
        <v>2148</v>
      </c>
      <c r="AG188" s="0" t="n">
        <v>1</v>
      </c>
      <c r="AH188" s="0" t="s">
        <v>2149</v>
      </c>
      <c r="AI188" s="0" t="s">
        <v>287</v>
      </c>
      <c r="AJ188" s="0" t="s">
        <v>221</v>
      </c>
      <c r="AL188" s="0" t="s">
        <v>2106</v>
      </c>
      <c r="AM188" s="0" t="n">
        <v>1</v>
      </c>
      <c r="AN188" s="0" t="s">
        <v>2149</v>
      </c>
      <c r="AO188" s="0" t="s">
        <v>287</v>
      </c>
      <c r="AP188" s="0" t="s">
        <v>221</v>
      </c>
      <c r="BP188" s="0" t="n">
        <v>0</v>
      </c>
      <c r="BQ188" s="0" t="n">
        <v>0</v>
      </c>
      <c r="BR188" s="0" t="n">
        <v>1</v>
      </c>
      <c r="BS188" s="0" t="s">
        <v>2150</v>
      </c>
      <c r="BT188" s="0" t="s">
        <v>2151</v>
      </c>
      <c r="BV188" s="123"/>
      <c r="BW188" s="123"/>
      <c r="BX188" s="123"/>
      <c r="BY188" s="123"/>
      <c r="BZ188" s="0" t="n">
        <v>0</v>
      </c>
      <c r="CA188" s="0" t="s">
        <v>216</v>
      </c>
      <c r="CD188" s="0" t="s">
        <v>296</v>
      </c>
      <c r="CE188" s="0" t="n">
        <v>0</v>
      </c>
      <c r="CF188" s="0" t="s">
        <v>2159</v>
      </c>
      <c r="CI188" s="1" t="n">
        <v>39453</v>
      </c>
      <c r="CJ188" s="1" t="n">
        <v>40817</v>
      </c>
      <c r="CK188" s="124" t="n">
        <v>0.333333333333333</v>
      </c>
      <c r="CL188" s="0" t="s">
        <v>2148</v>
      </c>
      <c r="CM188" s="0" t="n">
        <f aca="false">IF(OR(CI188="",CJ188=""),"",DAYS360(CI188,CJ188)/360)</f>
        <v>3.73611111111111</v>
      </c>
      <c r="CN188" s="0" t="n">
        <f aca="false">IF(OR(CI188="",CJ188=""),"",DAYS360(CI188,CJ188)/30)</f>
        <v>44.8333333333333</v>
      </c>
      <c r="CO188" s="0" t="n">
        <f aca="false">IF(OR(CI188="",CJ188=""),"",DAYS360(CI188,CJ188)/7)</f>
        <v>192.142857142857</v>
      </c>
      <c r="CP188" s="0" t="n">
        <f aca="false">IF(OR(CI188="",CJ188=""),"",DAYS360(CI188,CJ188))</f>
        <v>1345</v>
      </c>
      <c r="CQ188" s="0" t="s">
        <v>240</v>
      </c>
      <c r="CR188" s="0" t="n">
        <v>1</v>
      </c>
      <c r="CT188" s="0" t="s">
        <v>221</v>
      </c>
      <c r="CU188" s="0" t="s">
        <v>221</v>
      </c>
      <c r="CV188" s="0" t="str">
        <f aca="false">IF(OR(CT188="",CT188="NO ESPECIFICA",CT188="NO MENCIONA"),"",IF(CU188=0,CT188,IF(CU188=1,CT188/30,IF(CU188=2,CT188/15,IF(CU188=3,CT188/7,"")))))</f>
        <v/>
      </c>
      <c r="CW188" s="125" t="n">
        <v>1700</v>
      </c>
      <c r="CX188" s="0" t="n">
        <v>0</v>
      </c>
      <c r="CY188" s="0" t="n">
        <f aca="false">IF(CW188="","",IF(CX188=0,CW188,IF(CX188=1,CW188/30,IF(CX188=2,CW188/15,IF(CX188=3,CW188/7,CW188)))))</f>
        <v>1700</v>
      </c>
      <c r="CZ188" s="0" t="n">
        <f aca="false">IF(DI188&gt;0,DI188,IF(CY188&gt;0,CY188,IF(CV188&gt;0,CV188,"")))</f>
        <v>1700</v>
      </c>
      <c r="DA188" s="0" t="n">
        <f aca="false">IF(DM188=1,CZ188/8,IF(OR(DM188=2,DM188=4),CZ188/7,IF(DM188=3,CZ188/7.5,"")))</f>
        <v>212.5</v>
      </c>
      <c r="DB188" s="0" t="s">
        <v>216</v>
      </c>
      <c r="DC188" s="0" t="s">
        <v>216</v>
      </c>
      <c r="DD188" s="0" t="s">
        <v>216</v>
      </c>
      <c r="DE188" s="0" t="s">
        <v>216</v>
      </c>
      <c r="DF188" s="0" t="s">
        <v>216</v>
      </c>
      <c r="DG188" s="0" t="s">
        <v>216</v>
      </c>
      <c r="DI188" s="126" t="n">
        <v>1700</v>
      </c>
      <c r="DK188" s="0" t="n">
        <v>0</v>
      </c>
      <c r="DM188" s="0" t="n">
        <v>1</v>
      </c>
      <c r="DN188" s="0" t="n">
        <v>77</v>
      </c>
      <c r="DO188" s="0" t="n">
        <v>3</v>
      </c>
      <c r="DP188" s="0" t="n">
        <v>0</v>
      </c>
      <c r="DQ188" s="0" t="n">
        <v>1</v>
      </c>
      <c r="DR188" s="0"/>
      <c r="DS188" s="0" t="n">
        <v>1</v>
      </c>
      <c r="DU188" s="0" t="n">
        <v>1</v>
      </c>
      <c r="DW188" s="1" t="n">
        <v>40184</v>
      </c>
      <c r="DX188" s="1" t="n">
        <v>40817</v>
      </c>
      <c r="DZ188" s="0"/>
      <c r="EA188" s="0" t="n">
        <v>1</v>
      </c>
      <c r="EC188" s="1" t="n">
        <v>40179</v>
      </c>
      <c r="ED188" s="1" t="n">
        <v>40817</v>
      </c>
      <c r="EF188" s="0"/>
      <c r="EG188" s="0" t="n">
        <v>1</v>
      </c>
      <c r="EH188" s="0" t="n">
        <v>12</v>
      </c>
      <c r="EI188" s="0" t="n">
        <f aca="false">IF(AND(DM188=1,DN188&lt;=48),"",IF(AND(DM188=2,DN188&lt;=42),"",IF(AND(DM188=3,DN188&lt;=45),"",EH188)))</f>
        <v>12</v>
      </c>
      <c r="EJ188" s="0" t="n">
        <f aca="false">IF(EI188="","",IF(EI188&lt;9,EI188,9))</f>
        <v>9</v>
      </c>
      <c r="EK188" s="0" t="n">
        <f aca="false">IF(EI188="","",IF(EI188&gt;9,EI188-EJ188,0))</f>
        <v>3</v>
      </c>
      <c r="EL188" s="0" t="n">
        <f aca="false">IF(EI188="","",EJ188*DA188*2+EK188*DA188*3)</f>
        <v>5737.5</v>
      </c>
      <c r="EP188" s="0" t="n">
        <v>0</v>
      </c>
      <c r="EQ188" s="0"/>
      <c r="ER188" s="0" t="n">
        <v>0</v>
      </c>
      <c r="ET188" s="0" t="n">
        <v>0</v>
      </c>
      <c r="EV188" s="0" t="n">
        <v>1</v>
      </c>
      <c r="EX188" s="0" t="n">
        <v>1</v>
      </c>
      <c r="EY188" s="0" t="n">
        <v>1</v>
      </c>
      <c r="EZ188" s="4" t="n">
        <v>22000</v>
      </c>
      <c r="FA188" s="4" t="n">
        <v>0</v>
      </c>
      <c r="FB188" s="0" t="n">
        <v>0</v>
      </c>
      <c r="FF188" s="120" t="n">
        <f aca="false">(CJ188-CI188+1)/365</f>
        <v>3.73972602739726</v>
      </c>
      <c r="FG188" s="0" t="str">
        <f aca="false">CONCATENATE(F188,"/",G188)</f>
        <v>1861/2011</v>
      </c>
      <c r="FH188" s="0" t="n">
        <v>0</v>
      </c>
      <c r="FI188" s="0" t="n">
        <v>0</v>
      </c>
    </row>
    <row r="189" customFormat="false" ht="15" hidden="false" customHeight="false" outlineLevel="0" collapsed="false">
      <c r="A189" s="5" t="str">
        <f aca="false">E189&amp;G189&amp;F189</f>
        <v>720111861</v>
      </c>
      <c r="B189" s="0" t="s">
        <v>2119</v>
      </c>
      <c r="C189" s="1" t="n">
        <v>42411</v>
      </c>
      <c r="E189" s="0" t="n">
        <v>7</v>
      </c>
      <c r="F189" s="0" t="n">
        <v>1861</v>
      </c>
      <c r="G189" s="0" t="n">
        <v>2011</v>
      </c>
      <c r="H189" s="0" t="str">
        <f aca="false">"J"&amp;E189&amp;"\"&amp;F189&amp;"\"&amp;G189&amp;"\"&amp;W189</f>
        <v>J7\1861\2011\8</v>
      </c>
      <c r="I189" s="0"/>
      <c r="J189" s="1" t="n">
        <v>40855</v>
      </c>
      <c r="K189" s="0" t="n">
        <v>0</v>
      </c>
      <c r="M189" s="1" t="n">
        <v>40855</v>
      </c>
      <c r="N189" s="1" t="n">
        <v>40914</v>
      </c>
      <c r="O189" s="1"/>
      <c r="P189" s="1"/>
      <c r="Q189" s="1"/>
      <c r="T189" s="121"/>
      <c r="U189" s="121"/>
      <c r="V189" s="122" t="n">
        <f aca="false">IF(AND(E189&gt;0,F189&gt;0,G189&gt;0),COUNTIFS($E:$E,E189,$F:$F,F189,$G:$G,G189),"")</f>
        <v>10</v>
      </c>
      <c r="W189" s="122" t="n">
        <f aca="false">IF(V189="","",IF(V189=1,1,IF(AND(E188=E189,F188=F189,G188=G189),W188+1,1)))</f>
        <v>8</v>
      </c>
      <c r="X189" s="0" t="n">
        <v>10</v>
      </c>
      <c r="Y189" s="0" t="n">
        <v>2</v>
      </c>
      <c r="Z189" s="0" t="s">
        <v>2160</v>
      </c>
      <c r="AA189" s="0" t="n">
        <v>0</v>
      </c>
      <c r="AB189" s="0" t="s">
        <v>2147</v>
      </c>
      <c r="AC189" s="0" t="s">
        <v>1661</v>
      </c>
      <c r="AD189" s="0" t="s">
        <v>221</v>
      </c>
      <c r="AE189" s="0" t="n">
        <v>0</v>
      </c>
      <c r="AF189" s="0" t="s">
        <v>2148</v>
      </c>
      <c r="AG189" s="0" t="n">
        <v>1</v>
      </c>
      <c r="AH189" s="0" t="s">
        <v>2149</v>
      </c>
      <c r="AI189" s="0" t="s">
        <v>287</v>
      </c>
      <c r="AJ189" s="0" t="s">
        <v>221</v>
      </c>
      <c r="AL189" s="0" t="s">
        <v>2106</v>
      </c>
      <c r="AM189" s="0" t="n">
        <v>1</v>
      </c>
      <c r="AN189" s="0" t="s">
        <v>2149</v>
      </c>
      <c r="AO189" s="0" t="s">
        <v>287</v>
      </c>
      <c r="AP189" s="0" t="s">
        <v>221</v>
      </c>
      <c r="BP189" s="0" t="n">
        <v>0</v>
      </c>
      <c r="BQ189" s="0" t="n">
        <v>0</v>
      </c>
      <c r="BR189" s="0" t="n">
        <v>1</v>
      </c>
      <c r="BS189" s="0" t="s">
        <v>2150</v>
      </c>
      <c r="BT189" s="0" t="s">
        <v>2151</v>
      </c>
      <c r="BV189" s="123"/>
      <c r="BW189" s="123"/>
      <c r="BX189" s="123"/>
      <c r="BY189" s="123"/>
      <c r="BZ189" s="0" t="n">
        <v>0</v>
      </c>
      <c r="CA189" s="0" t="s">
        <v>216</v>
      </c>
      <c r="CD189" s="0" t="s">
        <v>296</v>
      </c>
      <c r="CE189" s="0" t="n">
        <v>0</v>
      </c>
      <c r="CF189" s="0" t="s">
        <v>2161</v>
      </c>
      <c r="CI189" s="1" t="n">
        <v>39158</v>
      </c>
      <c r="CJ189" s="1" t="n">
        <v>40817</v>
      </c>
      <c r="CK189" s="124" t="n">
        <v>0.333333333333333</v>
      </c>
      <c r="CL189" s="0" t="s">
        <v>2148</v>
      </c>
      <c r="CM189" s="0" t="n">
        <f aca="false">IF(OR(CI189="",CJ189=""),"",DAYS360(CI189,CJ189)/360)</f>
        <v>4.53888888888889</v>
      </c>
      <c r="CN189" s="0" t="n">
        <f aca="false">IF(OR(CI189="",CJ189=""),"",DAYS360(CI189,CJ189)/30)</f>
        <v>54.4666666666667</v>
      </c>
      <c r="CO189" s="0" t="n">
        <f aca="false">IF(OR(CI189="",CJ189=""),"",DAYS360(CI189,CJ189)/7)</f>
        <v>233.428571428571</v>
      </c>
      <c r="CP189" s="0" t="n">
        <f aca="false">IF(OR(CI189="",CJ189=""),"",DAYS360(CI189,CJ189))</f>
        <v>1634</v>
      </c>
      <c r="CQ189" s="0" t="s">
        <v>240</v>
      </c>
      <c r="CR189" s="0" t="n">
        <v>1</v>
      </c>
      <c r="CT189" s="0" t="s">
        <v>221</v>
      </c>
      <c r="CU189" s="0" t="s">
        <v>221</v>
      </c>
      <c r="CV189" s="0" t="str">
        <f aca="false">IF(OR(CT189="",CT189="NO ESPECIFICA",CT189="NO MENCIONA"),"",IF(CU189=0,CT189,IF(CU189=1,CT189/30,IF(CU189=2,CT189/15,IF(CU189=3,CT189/7,"")))))</f>
        <v/>
      </c>
      <c r="CW189" s="125" t="n">
        <v>1600</v>
      </c>
      <c r="CX189" s="0" t="n">
        <v>0</v>
      </c>
      <c r="CY189" s="0" t="n">
        <f aca="false">IF(CW189="","",IF(CX189=0,CW189,IF(CX189=1,CW189/30,IF(CX189=2,CW189/15,IF(CX189=3,CW189/7,CW189)))))</f>
        <v>1600</v>
      </c>
      <c r="CZ189" s="0" t="n">
        <f aca="false">IF(DI189&gt;0,DI189,IF(CY189&gt;0,CY189,IF(CV189&gt;0,CV189,"")))</f>
        <v>1600</v>
      </c>
      <c r="DA189" s="0" t="n">
        <f aca="false">IF(DM189=1,CZ189/8,IF(OR(DM189=2,DM189=4),CZ189/7,IF(DM189=3,CZ189/7.5,"")))</f>
        <v>200</v>
      </c>
      <c r="DB189" s="0" t="s">
        <v>216</v>
      </c>
      <c r="DC189" s="0" t="s">
        <v>216</v>
      </c>
      <c r="DD189" s="0" t="s">
        <v>216</v>
      </c>
      <c r="DE189" s="0" t="s">
        <v>216</v>
      </c>
      <c r="DF189" s="0" t="s">
        <v>216</v>
      </c>
      <c r="DG189" s="0" t="s">
        <v>216</v>
      </c>
      <c r="DI189" s="126" t="n">
        <v>1600</v>
      </c>
      <c r="DK189" s="0" t="n">
        <v>0</v>
      </c>
      <c r="DM189" s="0" t="n">
        <v>1</v>
      </c>
      <c r="DN189" s="0" t="n">
        <v>77</v>
      </c>
      <c r="DO189" s="0" t="n">
        <v>3</v>
      </c>
      <c r="DP189" s="0" t="n">
        <v>0</v>
      </c>
      <c r="DQ189" s="0" t="n">
        <v>1</v>
      </c>
      <c r="DR189" s="0"/>
      <c r="DS189" s="0" t="n">
        <v>1</v>
      </c>
      <c r="DU189" s="0" t="n">
        <v>1</v>
      </c>
      <c r="DW189" s="1" t="n">
        <v>40254</v>
      </c>
      <c r="DX189" s="1" t="n">
        <v>40817</v>
      </c>
      <c r="DZ189" s="0"/>
      <c r="EA189" s="0" t="n">
        <v>1</v>
      </c>
      <c r="EC189" s="1" t="n">
        <v>40179</v>
      </c>
      <c r="ED189" s="1" t="n">
        <v>40817</v>
      </c>
      <c r="EF189" s="0"/>
      <c r="EG189" s="0" t="n">
        <v>1</v>
      </c>
      <c r="EH189" s="0" t="n">
        <v>12</v>
      </c>
      <c r="EI189" s="0" t="n">
        <f aca="false">IF(AND(DM189=1,DN189&lt;=48),"",IF(AND(DM189=2,DN189&lt;=42),"",IF(AND(DM189=3,DN189&lt;=45),"",EH189)))</f>
        <v>12</v>
      </c>
      <c r="EJ189" s="0" t="n">
        <f aca="false">IF(EI189="","",IF(EI189&lt;9,EI189,9))</f>
        <v>9</v>
      </c>
      <c r="EK189" s="0" t="n">
        <f aca="false">IF(EI189="","",IF(EI189&gt;9,EI189-EJ189,0))</f>
        <v>3</v>
      </c>
      <c r="EL189" s="0" t="n">
        <f aca="false">IF(EI189="","",EJ189*DA189*2+EK189*DA189*3)</f>
        <v>5400</v>
      </c>
      <c r="EP189" s="0" t="n">
        <v>0</v>
      </c>
      <c r="EQ189" s="0"/>
      <c r="ER189" s="0" t="n">
        <v>0</v>
      </c>
      <c r="ET189" s="0" t="n">
        <v>0</v>
      </c>
      <c r="EV189" s="0" t="n">
        <v>1</v>
      </c>
      <c r="EX189" s="0" t="n">
        <v>1</v>
      </c>
      <c r="EY189" s="0" t="n">
        <v>1</v>
      </c>
      <c r="EZ189" s="4" t="n">
        <v>22000</v>
      </c>
      <c r="FA189" s="4" t="n">
        <v>0</v>
      </c>
      <c r="FB189" s="0" t="n">
        <v>0</v>
      </c>
      <c r="FF189" s="120" t="n">
        <f aca="false">(CJ189-CI189+1)/365</f>
        <v>4.54794520547945</v>
      </c>
      <c r="FG189" s="0" t="str">
        <f aca="false">CONCATENATE(F189,"/",G189)</f>
        <v>1861/2011</v>
      </c>
      <c r="FH189" s="0" t="n">
        <v>0</v>
      </c>
      <c r="FI189" s="0" t="n">
        <v>0</v>
      </c>
    </row>
    <row r="190" customFormat="false" ht="15" hidden="false" customHeight="false" outlineLevel="0" collapsed="false">
      <c r="A190" s="5" t="str">
        <f aca="false">E190&amp;G190&amp;F190</f>
        <v>720111861</v>
      </c>
      <c r="B190" s="0" t="s">
        <v>2119</v>
      </c>
      <c r="C190" s="1" t="n">
        <v>42411</v>
      </c>
      <c r="E190" s="0" t="n">
        <v>7</v>
      </c>
      <c r="F190" s="0" t="n">
        <v>1861</v>
      </c>
      <c r="G190" s="0" t="n">
        <v>2011</v>
      </c>
      <c r="H190" s="0" t="str">
        <f aca="false">"J"&amp;E190&amp;"\"&amp;F190&amp;"\"&amp;G190&amp;"\"&amp;W190</f>
        <v>J7\1861\2011\9</v>
      </c>
      <c r="I190" s="0"/>
      <c r="J190" s="1" t="n">
        <v>40855</v>
      </c>
      <c r="K190" s="0" t="n">
        <v>0</v>
      </c>
      <c r="M190" s="1" t="n">
        <v>40855</v>
      </c>
      <c r="N190" s="1" t="n">
        <v>40914</v>
      </c>
      <c r="O190" s="1"/>
      <c r="P190" s="1"/>
      <c r="Q190" s="1"/>
      <c r="T190" s="121"/>
      <c r="U190" s="121"/>
      <c r="V190" s="122" t="n">
        <f aca="false">IF(AND(E190&gt;0,F190&gt;0,G190&gt;0),COUNTIFS($E:$E,E190,$F:$F,F190,$G:$G,G190),"")</f>
        <v>10</v>
      </c>
      <c r="W190" s="122" t="n">
        <f aca="false">IF(V190="","",IF(V190=1,1,IF(AND(E189=E190,F189=F190,G189=G190),W189+1,1)))</f>
        <v>9</v>
      </c>
      <c r="X190" s="0" t="n">
        <v>10</v>
      </c>
      <c r="Y190" s="0" t="n">
        <v>2</v>
      </c>
      <c r="Z190" s="0" t="s">
        <v>2162</v>
      </c>
      <c r="AA190" s="0" t="n">
        <v>0</v>
      </c>
      <c r="AB190" s="0" t="s">
        <v>2147</v>
      </c>
      <c r="AC190" s="0" t="s">
        <v>1661</v>
      </c>
      <c r="AD190" s="0" t="s">
        <v>221</v>
      </c>
      <c r="AE190" s="0" t="n">
        <v>0</v>
      </c>
      <c r="AF190" s="0" t="s">
        <v>2148</v>
      </c>
      <c r="AG190" s="0" t="n">
        <v>1</v>
      </c>
      <c r="AH190" s="0" t="s">
        <v>2149</v>
      </c>
      <c r="AI190" s="0" t="s">
        <v>287</v>
      </c>
      <c r="AJ190" s="0" t="s">
        <v>221</v>
      </c>
      <c r="AL190" s="0" t="s">
        <v>2106</v>
      </c>
      <c r="AM190" s="0" t="n">
        <v>1</v>
      </c>
      <c r="AN190" s="0" t="s">
        <v>2149</v>
      </c>
      <c r="AO190" s="0" t="s">
        <v>287</v>
      </c>
      <c r="AP190" s="0" t="s">
        <v>221</v>
      </c>
      <c r="BP190" s="0" t="n">
        <v>0</v>
      </c>
      <c r="BQ190" s="0" t="n">
        <v>0</v>
      </c>
      <c r="BR190" s="0" t="n">
        <v>1</v>
      </c>
      <c r="BS190" s="0" t="s">
        <v>2150</v>
      </c>
      <c r="BT190" s="0" t="s">
        <v>2151</v>
      </c>
      <c r="BV190" s="123"/>
      <c r="BW190" s="123"/>
      <c r="BX190" s="123"/>
      <c r="BY190" s="123"/>
      <c r="BZ190" s="0" t="n">
        <v>0</v>
      </c>
      <c r="CA190" s="0" t="s">
        <v>216</v>
      </c>
      <c r="CD190" s="0" t="s">
        <v>296</v>
      </c>
      <c r="CE190" s="0" t="n">
        <v>0</v>
      </c>
      <c r="CF190" s="0" t="s">
        <v>2163</v>
      </c>
      <c r="CI190" s="1" t="n">
        <v>39785</v>
      </c>
      <c r="CJ190" s="1" t="n">
        <v>40817</v>
      </c>
      <c r="CK190" s="124" t="n">
        <v>0.333333333333333</v>
      </c>
      <c r="CL190" s="0" t="s">
        <v>2148</v>
      </c>
      <c r="CM190" s="0" t="n">
        <f aca="false">IF(OR(CI190="",CJ190=""),"",DAYS360(CI190,CJ190)/360)</f>
        <v>2.82777777777778</v>
      </c>
      <c r="CN190" s="0" t="n">
        <f aca="false">IF(OR(CI190="",CJ190=""),"",DAYS360(CI190,CJ190)/30)</f>
        <v>33.9333333333333</v>
      </c>
      <c r="CO190" s="0" t="n">
        <f aca="false">IF(OR(CI190="",CJ190=""),"",DAYS360(CI190,CJ190)/7)</f>
        <v>145.428571428571</v>
      </c>
      <c r="CP190" s="0" t="n">
        <f aca="false">IF(OR(CI190="",CJ190=""),"",DAYS360(CI190,CJ190))</f>
        <v>1018</v>
      </c>
      <c r="CQ190" s="0" t="s">
        <v>240</v>
      </c>
      <c r="CR190" s="0" t="n">
        <v>1</v>
      </c>
      <c r="CT190" s="0" t="s">
        <v>221</v>
      </c>
      <c r="CU190" s="0" t="s">
        <v>221</v>
      </c>
      <c r="CV190" s="0" t="str">
        <f aca="false">IF(OR(CT190="",CT190="NO ESPECIFICA",CT190="NO MENCIONA"),"",IF(CU190=0,CT190,IF(CU190=1,CT190/30,IF(CU190=2,CT190/15,IF(CU190=3,CT190/7,"")))))</f>
        <v/>
      </c>
      <c r="CW190" s="125" t="n">
        <v>1800</v>
      </c>
      <c r="CX190" s="0" t="n">
        <v>0</v>
      </c>
      <c r="CY190" s="0" t="n">
        <f aca="false">IF(CW190="","",IF(CX190=0,CW190,IF(CX190=1,CW190/30,IF(CX190=2,CW190/15,IF(CX190=3,CW190/7,CW190)))))</f>
        <v>1800</v>
      </c>
      <c r="CZ190" s="0" t="n">
        <f aca="false">IF(DI190&gt;0,DI190,IF(CY190&gt;0,CY190,IF(CV190&gt;0,CV190,"")))</f>
        <v>1800</v>
      </c>
      <c r="DA190" s="0" t="n">
        <f aca="false">IF(DM190=1,CZ190/8,IF(OR(DM190=2,DM190=4),CZ190/7,IF(DM190=3,CZ190/7.5,"")))</f>
        <v>225</v>
      </c>
      <c r="DB190" s="0" t="s">
        <v>216</v>
      </c>
      <c r="DC190" s="0" t="s">
        <v>216</v>
      </c>
      <c r="DD190" s="0" t="s">
        <v>216</v>
      </c>
      <c r="DE190" s="0" t="s">
        <v>216</v>
      </c>
      <c r="DF190" s="0" t="s">
        <v>216</v>
      </c>
      <c r="DG190" s="0" t="s">
        <v>216</v>
      </c>
      <c r="DI190" s="126" t="n">
        <v>1800</v>
      </c>
      <c r="DK190" s="0" t="n">
        <v>0</v>
      </c>
      <c r="DM190" s="0" t="n">
        <v>1</v>
      </c>
      <c r="DN190" s="0" t="n">
        <v>77</v>
      </c>
      <c r="DO190" s="0" t="n">
        <v>3</v>
      </c>
      <c r="DP190" s="0" t="n">
        <v>0</v>
      </c>
      <c r="DQ190" s="0" t="n">
        <v>1</v>
      </c>
      <c r="DR190" s="0"/>
      <c r="DS190" s="0" t="n">
        <v>1</v>
      </c>
      <c r="DU190" s="0" t="n">
        <v>1</v>
      </c>
      <c r="DW190" s="1" t="n">
        <v>40515</v>
      </c>
      <c r="DX190" s="1" t="n">
        <v>40817</v>
      </c>
      <c r="DZ190" s="0"/>
      <c r="EA190" s="0" t="n">
        <v>1</v>
      </c>
      <c r="EC190" s="1" t="n">
        <v>40179</v>
      </c>
      <c r="ED190" s="1" t="n">
        <v>40817</v>
      </c>
      <c r="EF190" s="0"/>
      <c r="EG190" s="0" t="n">
        <v>1</v>
      </c>
      <c r="EH190" s="0" t="n">
        <v>12</v>
      </c>
      <c r="EI190" s="0" t="n">
        <f aca="false">IF(AND(DM190=1,DN190&lt;=48),"",IF(AND(DM190=2,DN190&lt;=42),"",IF(AND(DM190=3,DN190&lt;=45),"",EH190)))</f>
        <v>12</v>
      </c>
      <c r="EJ190" s="0" t="n">
        <f aca="false">IF(EI190="","",IF(EI190&lt;9,EI190,9))</f>
        <v>9</v>
      </c>
      <c r="EK190" s="0" t="n">
        <f aca="false">IF(EI190="","",IF(EI190&gt;9,EI190-EJ190,0))</f>
        <v>3</v>
      </c>
      <c r="EL190" s="0" t="n">
        <f aca="false">IF(EI190="","",EJ190*DA190*2+EK190*DA190*3)</f>
        <v>6075</v>
      </c>
      <c r="EP190" s="0" t="n">
        <v>0</v>
      </c>
      <c r="EQ190" s="0"/>
      <c r="ER190" s="0" t="n">
        <v>0</v>
      </c>
      <c r="ET190" s="0" t="n">
        <v>0</v>
      </c>
      <c r="EV190" s="0" t="n">
        <v>1</v>
      </c>
      <c r="EX190" s="0" t="n">
        <v>1</v>
      </c>
      <c r="EY190" s="0" t="n">
        <v>1</v>
      </c>
      <c r="EZ190" s="4" t="n">
        <v>22000</v>
      </c>
      <c r="FA190" s="4" t="n">
        <v>0</v>
      </c>
      <c r="FB190" s="0" t="n">
        <v>0</v>
      </c>
      <c r="FF190" s="120" t="n">
        <f aca="false">(CJ190-CI190+1)/365</f>
        <v>2.83013698630137</v>
      </c>
      <c r="FG190" s="0" t="str">
        <f aca="false">CONCATENATE(F190,"/",G190)</f>
        <v>1861/2011</v>
      </c>
      <c r="FH190" s="0" t="n">
        <v>0</v>
      </c>
      <c r="FI190" s="0" t="n">
        <v>0</v>
      </c>
    </row>
    <row r="191" customFormat="false" ht="15" hidden="false" customHeight="false" outlineLevel="0" collapsed="false">
      <c r="A191" s="5" t="str">
        <f aca="false">E191&amp;G191&amp;F191</f>
        <v>720111861</v>
      </c>
      <c r="B191" s="0" t="s">
        <v>2119</v>
      </c>
      <c r="C191" s="1" t="n">
        <v>42411</v>
      </c>
      <c r="E191" s="0" t="n">
        <v>7</v>
      </c>
      <c r="F191" s="0" t="n">
        <v>1861</v>
      </c>
      <c r="G191" s="0" t="n">
        <v>2011</v>
      </c>
      <c r="H191" s="0" t="str">
        <f aca="false">"J"&amp;E191&amp;"\"&amp;F191&amp;"\"&amp;G191&amp;"\"&amp;W191</f>
        <v>J7\1861\2011\10</v>
      </c>
      <c r="I191" s="0"/>
      <c r="J191" s="1" t="n">
        <v>40855</v>
      </c>
      <c r="K191" s="0" t="n">
        <v>0</v>
      </c>
      <c r="M191" s="1" t="n">
        <v>40855</v>
      </c>
      <c r="N191" s="1" t="n">
        <v>40914</v>
      </c>
      <c r="O191" s="1"/>
      <c r="P191" s="1"/>
      <c r="Q191" s="1"/>
      <c r="T191" s="121"/>
      <c r="U191" s="121"/>
      <c r="V191" s="122" t="n">
        <f aca="false">IF(AND(E191&gt;0,F191&gt;0,G191&gt;0),COUNTIFS($E:$E,E191,$F:$F,F191,$G:$G,G191),"")</f>
        <v>10</v>
      </c>
      <c r="W191" s="122" t="n">
        <f aca="false">IF(V191="","",IF(V191=1,1,IF(AND(E190=E191,F190=F191,G190=G191),W190+1,1)))</f>
        <v>10</v>
      </c>
      <c r="X191" s="0" t="n">
        <v>10</v>
      </c>
      <c r="Y191" s="0" t="n">
        <v>2</v>
      </c>
      <c r="Z191" s="0" t="s">
        <v>2164</v>
      </c>
      <c r="AA191" s="0" t="n">
        <v>0</v>
      </c>
      <c r="AB191" s="0" t="s">
        <v>2147</v>
      </c>
      <c r="AC191" s="0" t="s">
        <v>1661</v>
      </c>
      <c r="AD191" s="0" t="s">
        <v>221</v>
      </c>
      <c r="AE191" s="0" t="n">
        <v>0</v>
      </c>
      <c r="AF191" s="0" t="s">
        <v>2148</v>
      </c>
      <c r="AG191" s="0" t="n">
        <v>1</v>
      </c>
      <c r="AH191" s="0" t="s">
        <v>2149</v>
      </c>
      <c r="AI191" s="0" t="s">
        <v>287</v>
      </c>
      <c r="AJ191" s="0" t="s">
        <v>221</v>
      </c>
      <c r="AL191" s="0" t="s">
        <v>2106</v>
      </c>
      <c r="AM191" s="0" t="n">
        <v>1</v>
      </c>
      <c r="AN191" s="0" t="s">
        <v>2149</v>
      </c>
      <c r="AO191" s="0" t="s">
        <v>287</v>
      </c>
      <c r="AP191" s="0" t="s">
        <v>221</v>
      </c>
      <c r="BP191" s="0" t="n">
        <v>0</v>
      </c>
      <c r="BQ191" s="0" t="n">
        <v>0</v>
      </c>
      <c r="BR191" s="0" t="n">
        <v>1</v>
      </c>
      <c r="BS191" s="0" t="s">
        <v>2150</v>
      </c>
      <c r="BT191" s="0" t="s">
        <v>2151</v>
      </c>
      <c r="BV191" s="123"/>
      <c r="BW191" s="123"/>
      <c r="BX191" s="123"/>
      <c r="BY191" s="123"/>
      <c r="BZ191" s="0" t="n">
        <v>0</v>
      </c>
      <c r="CA191" s="0" t="s">
        <v>216</v>
      </c>
      <c r="CD191" s="0" t="s">
        <v>296</v>
      </c>
      <c r="CE191" s="0" t="n">
        <v>0</v>
      </c>
      <c r="CF191" s="0" t="s">
        <v>2165</v>
      </c>
      <c r="CI191" s="1" t="n">
        <v>39785</v>
      </c>
      <c r="CJ191" s="1" t="n">
        <v>40817</v>
      </c>
      <c r="CK191" s="124" t="n">
        <v>0.333333333333333</v>
      </c>
      <c r="CL191" s="0" t="s">
        <v>2148</v>
      </c>
      <c r="CM191" s="0" t="n">
        <f aca="false">IF(OR(CI191="",CJ191=""),"",DAYS360(CI191,CJ191)/360)</f>
        <v>2.82777777777778</v>
      </c>
      <c r="CN191" s="0" t="n">
        <f aca="false">IF(OR(CI191="",CJ191=""),"",DAYS360(CI191,CJ191)/30)</f>
        <v>33.9333333333333</v>
      </c>
      <c r="CO191" s="0" t="n">
        <f aca="false">IF(OR(CI191="",CJ191=""),"",DAYS360(CI191,CJ191)/7)</f>
        <v>145.428571428571</v>
      </c>
      <c r="CP191" s="0" t="n">
        <f aca="false">IF(OR(CI191="",CJ191=""),"",DAYS360(CI191,CJ191))</f>
        <v>1018</v>
      </c>
      <c r="CQ191" s="0" t="s">
        <v>240</v>
      </c>
      <c r="CR191" s="0" t="n">
        <v>1</v>
      </c>
      <c r="CT191" s="0" t="s">
        <v>221</v>
      </c>
      <c r="CU191" s="0" t="s">
        <v>221</v>
      </c>
      <c r="CV191" s="0" t="str">
        <f aca="false">IF(OR(CT191="",CT191="NO ESPECIFICA",CT191="NO MENCIONA"),"",IF(CU191=0,CT191,IF(CU191=1,CT191/30,IF(CU191=2,CT191/15,IF(CU191=3,CT191/7,"")))))</f>
        <v/>
      </c>
      <c r="CW191" s="125" t="n">
        <v>1600</v>
      </c>
      <c r="CX191" s="0" t="n">
        <v>0</v>
      </c>
      <c r="CY191" s="0" t="n">
        <f aca="false">IF(CW191="","",IF(CX191=0,CW191,IF(CX191=1,CW191/30,IF(CX191=2,CW191/15,IF(CX191=3,CW191/7,CW191)))))</f>
        <v>1600</v>
      </c>
      <c r="CZ191" s="0" t="n">
        <f aca="false">IF(DI191&gt;0,DI191,IF(CY191&gt;0,CY191,IF(CV191&gt;0,CV191,"")))</f>
        <v>1600</v>
      </c>
      <c r="DA191" s="0" t="n">
        <f aca="false">IF(DM191=1,CZ191/8,IF(OR(DM191=2,DM191=4),CZ191/7,IF(DM191=3,CZ191/7.5,"")))</f>
        <v>200</v>
      </c>
      <c r="DB191" s="0" t="s">
        <v>216</v>
      </c>
      <c r="DC191" s="0" t="s">
        <v>216</v>
      </c>
      <c r="DD191" s="0" t="s">
        <v>216</v>
      </c>
      <c r="DE191" s="0" t="s">
        <v>216</v>
      </c>
      <c r="DF191" s="0" t="s">
        <v>216</v>
      </c>
      <c r="DG191" s="0" t="s">
        <v>216</v>
      </c>
      <c r="DI191" s="126" t="n">
        <v>1600</v>
      </c>
      <c r="DK191" s="0" t="n">
        <v>0</v>
      </c>
      <c r="DM191" s="0" t="n">
        <v>1</v>
      </c>
      <c r="DN191" s="0" t="n">
        <v>77</v>
      </c>
      <c r="DO191" s="0" t="n">
        <v>3</v>
      </c>
      <c r="DP191" s="0" t="n">
        <v>0</v>
      </c>
      <c r="DQ191" s="0" t="n">
        <v>1</v>
      </c>
      <c r="DR191" s="0"/>
      <c r="DS191" s="0" t="n">
        <v>1</v>
      </c>
      <c r="DU191" s="0" t="n">
        <v>1</v>
      </c>
      <c r="DW191" s="1" t="n">
        <v>40515</v>
      </c>
      <c r="DX191" s="1" t="n">
        <v>40817</v>
      </c>
      <c r="DZ191" s="0"/>
      <c r="EA191" s="0" t="n">
        <v>1</v>
      </c>
      <c r="EC191" s="1" t="n">
        <v>40179</v>
      </c>
      <c r="ED191" s="1" t="n">
        <v>40817</v>
      </c>
      <c r="EF191" s="0"/>
      <c r="EG191" s="0" t="n">
        <v>1</v>
      </c>
      <c r="EH191" s="0" t="n">
        <v>12</v>
      </c>
      <c r="EI191" s="0" t="n">
        <f aca="false">IF(AND(DM191=1,DN191&lt;=48),"",IF(AND(DM191=2,DN191&lt;=42),"",IF(AND(DM191=3,DN191&lt;=45),"",EH191)))</f>
        <v>12</v>
      </c>
      <c r="EJ191" s="0" t="n">
        <f aca="false">IF(EI191="","",IF(EI191&lt;9,EI191,9))</f>
        <v>9</v>
      </c>
      <c r="EK191" s="0" t="n">
        <f aca="false">IF(EI191="","",IF(EI191&gt;9,EI191-EJ191,0))</f>
        <v>3</v>
      </c>
      <c r="EL191" s="0" t="n">
        <f aca="false">IF(EI191="","",EJ191*DA191*2+EK191*DA191*3)</f>
        <v>5400</v>
      </c>
      <c r="EP191" s="0" t="n">
        <v>0</v>
      </c>
      <c r="EQ191" s="0"/>
      <c r="ER191" s="0" t="n">
        <v>0</v>
      </c>
      <c r="ET191" s="0" t="n">
        <v>0</v>
      </c>
      <c r="EV191" s="0" t="n">
        <v>1</v>
      </c>
      <c r="EX191" s="0" t="n">
        <v>1</v>
      </c>
      <c r="EY191" s="0" t="n">
        <v>1</v>
      </c>
      <c r="EZ191" s="4" t="n">
        <v>22000</v>
      </c>
      <c r="FA191" s="4" t="n">
        <v>0</v>
      </c>
      <c r="FB191" s="0" t="n">
        <v>0</v>
      </c>
      <c r="FF191" s="120" t="n">
        <f aca="false">(CJ191-CI191+1)/365</f>
        <v>2.83013698630137</v>
      </c>
      <c r="FG191" s="0" t="str">
        <f aca="false">CONCATENATE(F191,"/",G191)</f>
        <v>1861/2011</v>
      </c>
      <c r="FH191" s="0" t="n">
        <v>0</v>
      </c>
      <c r="FI191" s="0" t="n">
        <v>0</v>
      </c>
    </row>
    <row r="192" customFormat="false" ht="15" hidden="false" customHeight="false" outlineLevel="0" collapsed="false">
      <c r="A192" s="5" t="str">
        <f aca="false">E192&amp;G192&amp;F192</f>
        <v>720111326</v>
      </c>
      <c r="B192" s="0" t="s">
        <v>2166</v>
      </c>
      <c r="C192" s="1" t="n">
        <v>42041</v>
      </c>
      <c r="D192" s="0" t="s">
        <v>2167</v>
      </c>
      <c r="E192" s="0" t="n">
        <v>7</v>
      </c>
      <c r="F192" s="0" t="n">
        <v>1326</v>
      </c>
      <c r="G192" s="0" t="n">
        <v>2011</v>
      </c>
      <c r="H192" s="0" t="str">
        <f aca="false">"J"&amp;E192&amp;"\"&amp;F192&amp;"\"&amp;G192&amp;"\"&amp;W192</f>
        <v>J7\1326\2011\1</v>
      </c>
      <c r="I192" s="0"/>
      <c r="J192" s="1" t="n">
        <v>40760</v>
      </c>
      <c r="M192" s="1"/>
      <c r="N192" s="1"/>
      <c r="O192" s="1"/>
      <c r="P192" s="1"/>
      <c r="Q192" s="1"/>
      <c r="T192" s="121"/>
      <c r="U192" s="121"/>
      <c r="V192" s="122" t="n">
        <f aca="false">IF(AND(E192&gt;0,F192&gt;0,G192&gt;0),COUNTIFS($E:$E,E192,$F:$F,F192,$G:$G,G192),"")</f>
        <v>1</v>
      </c>
      <c r="W192" s="122" t="n">
        <f aca="false">IF(V192="","",IF(V192=1,1,IF(AND(E191=E192,F191=F192,G191=G192),W191+1,1)))</f>
        <v>1</v>
      </c>
      <c r="X192" s="0" t="n">
        <v>1</v>
      </c>
      <c r="Y192" s="0" t="n">
        <v>4</v>
      </c>
      <c r="Z192" s="0" t="s">
        <v>2168</v>
      </c>
      <c r="AA192" s="0" t="n">
        <v>0</v>
      </c>
      <c r="AB192" s="0" t="s">
        <v>2169</v>
      </c>
      <c r="AC192" s="0" t="s">
        <v>228</v>
      </c>
      <c r="AD192" s="0" t="s">
        <v>1160</v>
      </c>
      <c r="AE192" s="0" t="n">
        <v>0</v>
      </c>
      <c r="AF192" s="0" t="s">
        <v>2170</v>
      </c>
      <c r="AG192" s="0" t="n">
        <v>0</v>
      </c>
      <c r="AH192" s="0" t="s">
        <v>2171</v>
      </c>
      <c r="AI192" s="0" t="s">
        <v>380</v>
      </c>
      <c r="AJ192" s="0" t="s">
        <v>2172</v>
      </c>
      <c r="AL192" s="0" t="s">
        <v>2173</v>
      </c>
      <c r="AM192" s="0" t="n">
        <v>1</v>
      </c>
      <c r="AN192" s="0" t="s">
        <v>2171</v>
      </c>
      <c r="AO192" s="0" t="s">
        <v>380</v>
      </c>
      <c r="AP192" s="0" t="s">
        <v>2172</v>
      </c>
      <c r="AR192" s="0" t="s">
        <v>2174</v>
      </c>
      <c r="AS192" s="0" t="n">
        <v>1</v>
      </c>
      <c r="AT192" s="0" t="s">
        <v>2171</v>
      </c>
      <c r="AU192" s="0" t="s">
        <v>380</v>
      </c>
      <c r="AV192" s="0" t="s">
        <v>2172</v>
      </c>
      <c r="AX192" s="0" t="s">
        <v>1880</v>
      </c>
      <c r="AY192" s="0" t="n">
        <v>1</v>
      </c>
      <c r="AZ192" s="0" t="s">
        <v>2171</v>
      </c>
      <c r="BA192" s="0" t="s">
        <v>380</v>
      </c>
      <c r="BB192" s="0" t="s">
        <v>2172</v>
      </c>
      <c r="BP192" s="0" t="n">
        <v>0</v>
      </c>
      <c r="BQ192" s="0" t="n">
        <v>0</v>
      </c>
      <c r="BR192" s="0" t="n">
        <v>3</v>
      </c>
      <c r="BS192" s="0" t="s">
        <v>1882</v>
      </c>
      <c r="BT192" s="0" t="s">
        <v>1881</v>
      </c>
      <c r="BU192" s="0" t="s">
        <v>1818</v>
      </c>
      <c r="BV192" s="123"/>
      <c r="BW192" s="123"/>
      <c r="BX192" s="123"/>
      <c r="BY192" s="123"/>
      <c r="BZ192" s="0" t="n">
        <v>0</v>
      </c>
      <c r="CA192" s="0" t="s">
        <v>348</v>
      </c>
      <c r="CD192" s="0" t="s">
        <v>296</v>
      </c>
      <c r="CE192" s="0" t="n">
        <v>0</v>
      </c>
      <c r="CF192" s="0" t="s">
        <v>2175</v>
      </c>
      <c r="CI192" s="1" t="n">
        <v>40466</v>
      </c>
      <c r="CJ192" s="1" t="n">
        <v>40700</v>
      </c>
      <c r="CK192" s="124" t="n">
        <v>0.614583333333333</v>
      </c>
      <c r="CL192" s="0" t="s">
        <v>2174</v>
      </c>
      <c r="CM192" s="0" t="n">
        <f aca="false">IF(OR(CI192="",CJ192=""),"",DAYS360(CI192,CJ192)/360)</f>
        <v>0.641666666666667</v>
      </c>
      <c r="CN192" s="0" t="n">
        <f aca="false">IF(OR(CI192="",CJ192=""),"",DAYS360(CI192,CJ192)/30)</f>
        <v>7.7</v>
      </c>
      <c r="CO192" s="0" t="n">
        <f aca="false">IF(OR(CI192="",CJ192=""),"",DAYS360(CI192,CJ192)/7)</f>
        <v>33</v>
      </c>
      <c r="CP192" s="0" t="n">
        <f aca="false">IF(OR(CI192="",CJ192=""),"",DAYS360(CI192,CJ192))</f>
        <v>231</v>
      </c>
      <c r="CQ192" s="0" t="s">
        <v>240</v>
      </c>
      <c r="CR192" s="0" t="n">
        <v>1</v>
      </c>
      <c r="CT192" s="0" t="n">
        <v>200</v>
      </c>
      <c r="CU192" s="0" t="n">
        <v>0</v>
      </c>
      <c r="CV192" s="0" t="n">
        <f aca="false">IF(OR(CT192="",CT192="NO ESPECIFICA",CT192="NO MENCIONA"),"",IF(CU192=0,CT192,IF(CU192=1,CT192/30,IF(CU192=2,CT192/15,IF(CU192=3,CT192/7,"")))))</f>
        <v>200</v>
      </c>
      <c r="CW192" s="125" t="n">
        <v>209.16</v>
      </c>
      <c r="CX192" s="0" t="n">
        <v>0</v>
      </c>
      <c r="CY192" s="0" t="n">
        <f aca="false">IF(CW192="","",IF(CX192=0,CW192,IF(CX192=1,CW192/30,IF(CX192=2,CW192/15,IF(CX192=3,CW192/7,CW192)))))</f>
        <v>209.16</v>
      </c>
      <c r="CZ192" s="0" t="n">
        <f aca="false">IF(DI192&gt;0,DI192,IF(CY192&gt;0,CY192,IF(CV192&gt;0,CV192,"")))</f>
        <v>209.16</v>
      </c>
      <c r="DA192" s="0" t="n">
        <f aca="false">IF(DM192=1,CZ192/8,IF(OR(DM192=2,DM192=4),CZ192/7,IF(DM192=3,CZ192/7.5,"")))</f>
        <v>26.145</v>
      </c>
      <c r="DB192" s="0" t="s">
        <v>303</v>
      </c>
      <c r="DC192" s="0" t="s">
        <v>301</v>
      </c>
      <c r="DD192" s="0" t="s">
        <v>216</v>
      </c>
      <c r="DE192" s="0" t="s">
        <v>216</v>
      </c>
      <c r="DF192" s="0" t="s">
        <v>216</v>
      </c>
      <c r="DG192" s="0" t="s">
        <v>216</v>
      </c>
      <c r="DH192" s="0" t="n">
        <v>0</v>
      </c>
      <c r="DI192" s="126" t="n">
        <v>209.16</v>
      </c>
      <c r="DK192" s="0" t="n">
        <v>0</v>
      </c>
      <c r="DM192" s="0" t="n">
        <v>1</v>
      </c>
      <c r="DN192" s="0" t="n">
        <v>77</v>
      </c>
      <c r="DO192" s="0" t="n">
        <v>3</v>
      </c>
      <c r="DP192" s="0" t="n">
        <v>0</v>
      </c>
      <c r="DQ192" s="0" t="n">
        <v>1</v>
      </c>
      <c r="DR192" s="0"/>
      <c r="DS192" s="0" t="n">
        <v>1</v>
      </c>
      <c r="DU192" s="0" t="n">
        <v>1</v>
      </c>
      <c r="DW192" s="1" t="n">
        <v>40466</v>
      </c>
      <c r="DX192" s="1" t="n">
        <v>40700</v>
      </c>
      <c r="DZ192" s="0"/>
      <c r="EA192" s="0" t="n">
        <v>1</v>
      </c>
      <c r="EC192" s="1" t="n">
        <v>40466</v>
      </c>
      <c r="ED192" s="1" t="n">
        <v>40700</v>
      </c>
      <c r="EF192" s="0"/>
      <c r="EG192" s="0" t="n">
        <v>1</v>
      </c>
      <c r="EH192" s="0" t="n">
        <v>21</v>
      </c>
      <c r="EI192" s="0" t="n">
        <f aca="false">IF(AND(DM192=1,DN192&lt;=48),"",IF(AND(DM192=2,DN192&lt;=42),"",IF(AND(DM192=3,DN192&lt;=45),"",EH192)))</f>
        <v>21</v>
      </c>
      <c r="EJ192" s="0" t="n">
        <f aca="false">IF(EI192="","",IF(EI192&lt;9,EI192,9))</f>
        <v>9</v>
      </c>
      <c r="EK192" s="0" t="n">
        <f aca="false">IF(EI192="","",IF(EI192&gt;9,EI192-EJ192,0))</f>
        <v>12</v>
      </c>
      <c r="EL192" s="0" t="n">
        <f aca="false">IF(EI192="","",EJ192*DA192*2+EK192*DA192*3)</f>
        <v>1411.83</v>
      </c>
      <c r="EP192" s="0" t="n">
        <v>0</v>
      </c>
      <c r="EQ192" s="0"/>
      <c r="ER192" s="0" t="n">
        <v>1</v>
      </c>
      <c r="ET192" s="0" t="n">
        <v>0</v>
      </c>
      <c r="EV192" s="0" t="n">
        <v>1</v>
      </c>
      <c r="EX192" s="0" t="n">
        <v>0</v>
      </c>
      <c r="EY192" s="0" t="n">
        <v>0</v>
      </c>
      <c r="EZ192" s="0"/>
      <c r="FA192" s="4" t="n">
        <v>0</v>
      </c>
      <c r="FB192" s="0" t="n">
        <v>1</v>
      </c>
      <c r="FF192" s="120" t="n">
        <f aca="false">(CJ192-CI192+1)/365</f>
        <v>0.643835616438356</v>
      </c>
      <c r="FG192" s="0" t="str">
        <f aca="false">CONCATENATE(F192,"/",G192)</f>
        <v>1326/2011</v>
      </c>
      <c r="FH192" s="0" t="n">
        <v>0</v>
      </c>
      <c r="FI192" s="0" t="n">
        <v>0</v>
      </c>
    </row>
    <row r="193" customFormat="false" ht="15" hidden="false" customHeight="false" outlineLevel="0" collapsed="false">
      <c r="A193" s="5" t="str">
        <f aca="false">E193&amp;G193&amp;F193</f>
        <v>720111331</v>
      </c>
      <c r="B193" s="0" t="s">
        <v>2166</v>
      </c>
      <c r="C193" s="1" t="n">
        <v>42041</v>
      </c>
      <c r="D193" s="0" t="s">
        <v>2167</v>
      </c>
      <c r="E193" s="0" t="n">
        <v>7</v>
      </c>
      <c r="F193" s="0" t="n">
        <v>1331</v>
      </c>
      <c r="G193" s="0" t="n">
        <v>2011</v>
      </c>
      <c r="H193" s="0" t="str">
        <f aca="false">"J"&amp;E193&amp;"\"&amp;F193&amp;"\"&amp;G193&amp;"\"&amp;W193</f>
        <v>J7\1331\2011\1</v>
      </c>
      <c r="I193" s="0" t="n">
        <v>40725</v>
      </c>
      <c r="J193" s="1" t="n">
        <v>40763</v>
      </c>
      <c r="M193" s="1"/>
      <c r="N193" s="1"/>
      <c r="O193" s="1"/>
      <c r="P193" s="1"/>
      <c r="Q193" s="1"/>
      <c r="T193" s="121"/>
      <c r="U193" s="121"/>
      <c r="V193" s="122" t="n">
        <f aca="false">IF(AND(E193&gt;0,F193&gt;0,G193&gt;0),COUNTIFS($E:$E,E193,$F:$F,F193,$G:$G,G193),"")</f>
        <v>1</v>
      </c>
      <c r="W193" s="122" t="n">
        <f aca="false">IF(V193="","",IF(V193=1,1,IF(AND(E192=E193,F192=F193,G192=G193),W192+1,1)))</f>
        <v>1</v>
      </c>
      <c r="X193" s="0" t="n">
        <v>1</v>
      </c>
      <c r="Y193" s="0" t="n">
        <v>3</v>
      </c>
      <c r="Z193" s="0" t="s">
        <v>2176</v>
      </c>
      <c r="AA193" s="0" t="n">
        <v>0</v>
      </c>
      <c r="AB193" s="0" t="s">
        <v>2177</v>
      </c>
      <c r="AC193" s="0" t="s">
        <v>2178</v>
      </c>
      <c r="AD193" s="0" t="s">
        <v>2179</v>
      </c>
      <c r="AE193" s="0" t="n">
        <v>0</v>
      </c>
      <c r="AF193" s="0" t="s">
        <v>2180</v>
      </c>
      <c r="AG193" s="0" t="n">
        <v>0</v>
      </c>
      <c r="AH193" s="0" t="s">
        <v>2181</v>
      </c>
      <c r="AI193" s="0" t="s">
        <v>251</v>
      </c>
      <c r="AJ193" s="0" t="s">
        <v>1160</v>
      </c>
      <c r="AL193" s="0" t="s">
        <v>2182</v>
      </c>
      <c r="AM193" s="0" t="n">
        <v>1</v>
      </c>
      <c r="AN193" s="0" t="s">
        <v>2181</v>
      </c>
      <c r="AO193" s="0" t="s">
        <v>251</v>
      </c>
      <c r="AP193" s="0" t="s">
        <v>1160</v>
      </c>
      <c r="AR193" s="0" t="s">
        <v>1880</v>
      </c>
      <c r="AS193" s="0" t="n">
        <v>1</v>
      </c>
      <c r="AT193" s="0" t="s">
        <v>2181</v>
      </c>
      <c r="AU193" s="0" t="s">
        <v>251</v>
      </c>
      <c r="AV193" s="0" t="s">
        <v>1160</v>
      </c>
      <c r="BP193" s="0" t="n">
        <v>0</v>
      </c>
      <c r="BQ193" s="0" t="n">
        <v>0</v>
      </c>
      <c r="BR193" s="0" t="n">
        <v>1</v>
      </c>
      <c r="BS193" s="0" t="s">
        <v>2183</v>
      </c>
      <c r="BV193" s="123"/>
      <c r="BW193" s="123"/>
      <c r="BX193" s="123"/>
      <c r="BY193" s="123"/>
      <c r="BZ193" s="0" t="n">
        <v>0</v>
      </c>
      <c r="CA193" s="0" t="s">
        <v>2184</v>
      </c>
      <c r="CD193" s="0" t="s">
        <v>256</v>
      </c>
      <c r="CE193" s="0" t="n">
        <v>0</v>
      </c>
      <c r="CF193" s="0" t="s">
        <v>2185</v>
      </c>
      <c r="CI193" s="1" t="n">
        <v>39490</v>
      </c>
      <c r="CJ193" s="1" t="n">
        <v>40465</v>
      </c>
      <c r="CK193" s="124" t="n">
        <v>0.729166666666667</v>
      </c>
      <c r="CL193" s="0" t="s">
        <v>2182</v>
      </c>
      <c r="CM193" s="0" t="n">
        <f aca="false">IF(OR(CI193="",CJ193=""),"",DAYS360(CI193,CJ193)/360)</f>
        <v>2.67222222222222</v>
      </c>
      <c r="CN193" s="0" t="n">
        <f aca="false">IF(OR(CI193="",CJ193=""),"",DAYS360(CI193,CJ193)/30)</f>
        <v>32.0666666666667</v>
      </c>
      <c r="CO193" s="0" t="n">
        <f aca="false">IF(OR(CI193="",CJ193=""),"",DAYS360(CI193,CJ193)/7)</f>
        <v>137.428571428571</v>
      </c>
      <c r="CP193" s="0" t="n">
        <f aca="false">IF(OR(CI193="",CJ193=""),"",DAYS360(CI193,CJ193))</f>
        <v>962</v>
      </c>
      <c r="CQ193" s="0" t="s">
        <v>240</v>
      </c>
      <c r="CR193" s="0" t="n">
        <v>1</v>
      </c>
      <c r="CT193" s="0" t="n">
        <v>2462.58</v>
      </c>
      <c r="CU193" s="0" t="n">
        <v>2</v>
      </c>
      <c r="CV193" s="0" t="n">
        <f aca="false">IF(OR(CT193="",CT193="NO ESPECIFICA",CT193="NO MENCIONA"),"",IF(CU193=0,CT193,IF(CU193=1,CT193/30,IF(CU193=2,CT193/15,IF(CU193=3,CT193/7,"")))))</f>
        <v>164.172</v>
      </c>
      <c r="CW193" s="125" t="n">
        <v>166.07</v>
      </c>
      <c r="CX193" s="0" t="n">
        <v>0</v>
      </c>
      <c r="CY193" s="0" t="n">
        <f aca="false">IF(CW193="","",IF(CX193=0,CW193,IF(CX193=1,CW193/30,IF(CX193=2,CW193/15,IF(CX193=3,CW193/7,CW193)))))</f>
        <v>166.07</v>
      </c>
      <c r="CZ193" s="0" t="n">
        <f aca="false">IF(DI193&gt;0,DI193,IF(CY193&gt;0,CY193,IF(CV193&gt;0,CV193,"")))</f>
        <v>166.07</v>
      </c>
      <c r="DA193" s="0" t="n">
        <f aca="false">IF(DM193=1,CZ193/8,IF(OR(DM193=2,DM193=4),CZ193/7,IF(DM193=3,CZ193/7.5,"")))</f>
        <v>20.75875</v>
      </c>
      <c r="DB193" s="0" t="s">
        <v>2186</v>
      </c>
      <c r="DC193" s="0" t="s">
        <v>2187</v>
      </c>
      <c r="DD193" s="0" t="s">
        <v>216</v>
      </c>
      <c r="DE193" s="0" t="s">
        <v>216</v>
      </c>
      <c r="DF193" s="0" t="s">
        <v>216</v>
      </c>
      <c r="DG193" s="0" t="s">
        <v>216</v>
      </c>
      <c r="DH193" s="0" t="n">
        <v>0</v>
      </c>
      <c r="DI193" s="126" t="n">
        <v>166.07</v>
      </c>
      <c r="DK193" s="0" t="n">
        <v>1</v>
      </c>
      <c r="DM193" s="0" t="n">
        <v>1</v>
      </c>
      <c r="DN193" s="0" t="n">
        <v>45</v>
      </c>
      <c r="DO193" s="0" t="n">
        <v>3</v>
      </c>
      <c r="DP193" s="0" t="n">
        <v>0</v>
      </c>
      <c r="DQ193" s="0" t="n">
        <v>1</v>
      </c>
      <c r="DR193" s="0" t="n">
        <v>14775.3</v>
      </c>
      <c r="DS193" s="0" t="n">
        <v>1</v>
      </c>
      <c r="DU193" s="0" t="n">
        <v>1</v>
      </c>
      <c r="DV193" s="0" t="n">
        <v>4141.72</v>
      </c>
      <c r="DW193" s="1" t="s">
        <v>221</v>
      </c>
      <c r="DX193" s="1" t="s">
        <v>221</v>
      </c>
      <c r="DY193" s="0" t="s">
        <v>221</v>
      </c>
      <c r="DZ193" s="0" t="n">
        <v>545.04</v>
      </c>
      <c r="EA193" s="0" t="n">
        <v>1</v>
      </c>
      <c r="EB193" s="0" t="n">
        <v>136.26</v>
      </c>
      <c r="EC193" s="1" t="s">
        <v>221</v>
      </c>
      <c r="ED193" s="1" t="s">
        <v>221</v>
      </c>
      <c r="EE193" s="0" t="s">
        <v>221</v>
      </c>
      <c r="EF193" s="0" t="n">
        <v>820.85</v>
      </c>
      <c r="EG193" s="0" t="n">
        <v>0</v>
      </c>
      <c r="EI193" s="0" t="str">
        <f aca="false">IF(AND(DM193=1,DN193&lt;=48),"",IF(AND(DM193=2,DN193&lt;=42),"",IF(AND(DM193=3,DN193&lt;=45),"",EH193)))</f>
        <v/>
      </c>
      <c r="EJ193" s="0" t="str">
        <f aca="false">IF(EI193="","",IF(EI193&lt;9,EI193,9))</f>
        <v/>
      </c>
      <c r="EK193" s="0" t="str">
        <f aca="false">IF(EI193="","",IF(EI193&gt;9,EI193-EJ193,0))</f>
        <v/>
      </c>
      <c r="EL193" s="0" t="str">
        <f aca="false">IF(EI193="","",EJ193*DA193*2+EK193*DA193*3)</f>
        <v/>
      </c>
      <c r="EP193" s="0" t="n">
        <v>1</v>
      </c>
      <c r="EQ193" s="0" t="n">
        <v>9850.2</v>
      </c>
      <c r="ER193" s="0" t="n">
        <v>0</v>
      </c>
      <c r="ET193" s="0" t="n">
        <v>1</v>
      </c>
      <c r="EV193" s="0" t="n">
        <v>0</v>
      </c>
      <c r="EX193" s="0" t="n">
        <v>1</v>
      </c>
      <c r="EY193" s="0" t="n">
        <v>1</v>
      </c>
      <c r="EZ193" s="0"/>
      <c r="FA193" s="4" t="n">
        <f aca="false">2298.41</f>
        <v>2298.41</v>
      </c>
      <c r="FB193" s="0" t="n">
        <v>1</v>
      </c>
      <c r="FF193" s="120" t="n">
        <f aca="false">(CJ193-CI193+1)/365</f>
        <v>2.67397260273973</v>
      </c>
      <c r="FG193" s="0" t="str">
        <f aca="false">CONCATENATE(F193,"/",G193)</f>
        <v>1331/2011</v>
      </c>
      <c r="FH193" s="0" t="n">
        <v>0</v>
      </c>
      <c r="FI193" s="0" t="n">
        <v>0</v>
      </c>
    </row>
    <row r="194" customFormat="false" ht="15" hidden="false" customHeight="false" outlineLevel="0" collapsed="false">
      <c r="A194" s="5" t="str">
        <f aca="false">E194&amp;G194&amp;F194</f>
        <v>720111332</v>
      </c>
      <c r="B194" s="0" t="s">
        <v>2166</v>
      </c>
      <c r="C194" s="1" t="n">
        <v>42041</v>
      </c>
      <c r="D194" s="0" t="s">
        <v>2167</v>
      </c>
      <c r="E194" s="0" t="n">
        <v>7</v>
      </c>
      <c r="F194" s="0" t="n">
        <v>1332</v>
      </c>
      <c r="G194" s="0" t="n">
        <v>2011</v>
      </c>
      <c r="H194" s="0" t="str">
        <f aca="false">"J"&amp;E194&amp;"\"&amp;F194&amp;"\"&amp;G194&amp;"\"&amp;W194</f>
        <v>J7\1332\2011\1</v>
      </c>
      <c r="I194" s="0" t="n">
        <v>40739</v>
      </c>
      <c r="J194" s="1" t="n">
        <v>40763</v>
      </c>
      <c r="M194" s="1"/>
      <c r="N194" s="1"/>
      <c r="O194" s="1"/>
      <c r="P194" s="1"/>
      <c r="Q194" s="1"/>
      <c r="T194" s="121"/>
      <c r="U194" s="121"/>
      <c r="V194" s="122" t="n">
        <f aca="false">IF(AND(E194&gt;0,F194&gt;0,G194&gt;0),COUNTIFS($E:$E,E194,$F:$F,F194,$G:$G,G194),"")</f>
        <v>1</v>
      </c>
      <c r="W194" s="122" t="n">
        <f aca="false">IF(V194="","",IF(V194=1,1,IF(AND(E193=E194,F193=F194,G193=G194),W193+1,1)))</f>
        <v>1</v>
      </c>
      <c r="X194" s="0" t="n">
        <v>1</v>
      </c>
      <c r="Y194" s="0" t="n">
        <v>4</v>
      </c>
      <c r="Z194" s="0" t="s">
        <v>2188</v>
      </c>
      <c r="AA194" s="0" t="n">
        <v>0</v>
      </c>
      <c r="AB194" s="0" t="s">
        <v>2189</v>
      </c>
      <c r="AC194" s="0" t="s">
        <v>2190</v>
      </c>
      <c r="AD194" s="0" t="s">
        <v>216</v>
      </c>
      <c r="AE194" s="0" t="n">
        <v>0</v>
      </c>
      <c r="AF194" s="0" t="s">
        <v>2191</v>
      </c>
      <c r="AG194" s="0" t="n">
        <v>0</v>
      </c>
      <c r="AH194" s="0" t="s">
        <v>2192</v>
      </c>
      <c r="AI194" s="0" t="s">
        <v>2193</v>
      </c>
      <c r="AJ194" s="0" t="s">
        <v>216</v>
      </c>
      <c r="AL194" s="0" t="s">
        <v>2194</v>
      </c>
      <c r="AM194" s="0" t="n">
        <v>1</v>
      </c>
      <c r="AN194" s="0" t="s">
        <v>2192</v>
      </c>
      <c r="AO194" s="0" t="s">
        <v>2193</v>
      </c>
      <c r="AP194" s="0" t="s">
        <v>216</v>
      </c>
      <c r="AR194" s="0" t="s">
        <v>2195</v>
      </c>
      <c r="AS194" s="0" t="n">
        <v>1</v>
      </c>
      <c r="AT194" s="0" t="s">
        <v>2192</v>
      </c>
      <c r="AU194" s="0" t="s">
        <v>2193</v>
      </c>
      <c r="AV194" s="0" t="s">
        <v>216</v>
      </c>
      <c r="AX194" s="0" t="s">
        <v>1880</v>
      </c>
      <c r="AY194" s="0" t="n">
        <v>1</v>
      </c>
      <c r="AZ194" s="0" t="s">
        <v>2192</v>
      </c>
      <c r="BA194" s="0" t="s">
        <v>2193</v>
      </c>
      <c r="BB194" s="0" t="s">
        <v>216</v>
      </c>
      <c r="BP194" s="0" t="n">
        <v>0</v>
      </c>
      <c r="BQ194" s="0" t="n">
        <v>0</v>
      </c>
      <c r="BR194" s="0" t="n">
        <v>1</v>
      </c>
      <c r="BS194" s="0" t="s">
        <v>2196</v>
      </c>
      <c r="BT194" s="0" t="s">
        <v>2197</v>
      </c>
      <c r="BU194" s="0" t="s">
        <v>2198</v>
      </c>
      <c r="BV194" s="123"/>
      <c r="BW194" s="123"/>
      <c r="BX194" s="123"/>
      <c r="BY194" s="123"/>
      <c r="BZ194" s="0" t="n">
        <v>0</v>
      </c>
      <c r="CA194" s="0" t="s">
        <v>216</v>
      </c>
      <c r="CD194" s="0" t="s">
        <v>216</v>
      </c>
      <c r="CE194" s="0" t="n">
        <v>0</v>
      </c>
      <c r="CF194" s="0" t="s">
        <v>2199</v>
      </c>
      <c r="CI194" s="1" t="n">
        <v>39903</v>
      </c>
      <c r="CJ194" s="1" t="n">
        <v>40028</v>
      </c>
      <c r="CK194" s="124" t="s">
        <v>216</v>
      </c>
      <c r="CL194" s="0" t="s">
        <v>2195</v>
      </c>
      <c r="CM194" s="0" t="n">
        <f aca="false">IF(OR(CI194="",CJ194=""),"",DAYS360(CI194,CJ194)/360)</f>
        <v>0.341666666666667</v>
      </c>
      <c r="CN194" s="0" t="n">
        <f aca="false">IF(OR(CI194="",CJ194=""),"",DAYS360(CI194,CJ194)/30)</f>
        <v>4.1</v>
      </c>
      <c r="CO194" s="0" t="n">
        <f aca="false">IF(OR(CI194="",CJ194=""),"",DAYS360(CI194,CJ194)/7)</f>
        <v>17.5714285714286</v>
      </c>
      <c r="CP194" s="0" t="n">
        <f aca="false">IF(OR(CI194="",CJ194=""),"",DAYS360(CI194,CJ194))</f>
        <v>123</v>
      </c>
      <c r="CQ194" s="0" t="s">
        <v>240</v>
      </c>
      <c r="CR194" s="0" t="n">
        <v>1</v>
      </c>
      <c r="CT194" s="0" t="n">
        <v>22500</v>
      </c>
      <c r="CU194" s="0" t="n">
        <v>1</v>
      </c>
      <c r="CV194" s="0" t="n">
        <f aca="false">IF(OR(CT194="",CT194="NO ESPECIFICA",CT194="NO MENCIONA"),"",IF(CU194=0,CT194,IF(CU194=1,CT194/30,IF(CU194=2,CT194/15,IF(CU194=3,CT194/7,"")))))</f>
        <v>750</v>
      </c>
      <c r="CW194" s="125" t="s">
        <v>216</v>
      </c>
      <c r="CX194" s="0" t="s">
        <v>216</v>
      </c>
      <c r="CY194" s="0" t="str">
        <f aca="false">IF(CW194="","",IF(CX194=0,CW194,IF(CX194=1,CW194/30,IF(CX194=2,CW194/15,IF(CX194=3,CW194/7,CW194)))))</f>
        <v>NO MENCIONA</v>
      </c>
      <c r="CZ194" s="0" t="n">
        <f aca="false">IF(DI194&gt;0,DI194,IF(CY194&gt;0,CY194,IF(CV194&gt;0,CV194,"")))</f>
        <v>750</v>
      </c>
      <c r="DA194" s="0" t="n">
        <f aca="false">IF(DM194=1,CZ194/8,IF(OR(DM194=2,DM194=4),CZ194/7,IF(DM194=3,CZ194/7.5,"")))</f>
        <v>93.75</v>
      </c>
      <c r="DB194" s="0" t="s">
        <v>1119</v>
      </c>
      <c r="DC194" s="0" t="s">
        <v>2200</v>
      </c>
      <c r="DD194" s="0" t="s">
        <v>2201</v>
      </c>
      <c r="DE194" s="0" t="s">
        <v>2202</v>
      </c>
      <c r="DF194" s="0" t="s">
        <v>2203</v>
      </c>
      <c r="DG194" s="0" t="s">
        <v>216</v>
      </c>
      <c r="DH194" s="0" t="n">
        <v>0</v>
      </c>
      <c r="DI194" s="126" t="n">
        <f aca="false">22500/30</f>
        <v>750</v>
      </c>
      <c r="DK194" s="0" t="n">
        <v>0</v>
      </c>
      <c r="DM194" s="0" t="n">
        <v>1</v>
      </c>
      <c r="DN194" s="0" t="n">
        <v>77</v>
      </c>
      <c r="DO194" s="0" t="n">
        <v>3</v>
      </c>
      <c r="DP194" s="0" t="n">
        <v>0</v>
      </c>
      <c r="DQ194" s="0" t="n">
        <v>1</v>
      </c>
      <c r="DR194" s="0"/>
      <c r="DS194" s="0" t="n">
        <v>1</v>
      </c>
      <c r="DU194" s="0" t="n">
        <v>1</v>
      </c>
      <c r="DW194" s="1" t="s">
        <v>221</v>
      </c>
      <c r="DX194" s="1" t="s">
        <v>221</v>
      </c>
      <c r="DY194" s="0" t="s">
        <v>221</v>
      </c>
      <c r="DZ194" s="0" t="s">
        <v>221</v>
      </c>
      <c r="EA194" s="0" t="n">
        <v>1</v>
      </c>
      <c r="EC194" s="1" t="s">
        <v>221</v>
      </c>
      <c r="ED194" s="1" t="s">
        <v>221</v>
      </c>
      <c r="EE194" s="0" t="s">
        <v>221</v>
      </c>
      <c r="EF194" s="0" t="s">
        <v>221</v>
      </c>
      <c r="EG194" s="0" t="n">
        <v>1</v>
      </c>
      <c r="EH194" s="0" t="n">
        <v>21</v>
      </c>
      <c r="EI194" s="0" t="n">
        <f aca="false">IF(AND(DM194=1,DN194&lt;=48),"",IF(AND(DM194=2,DN194&lt;=42),"",IF(AND(DM194=3,DN194&lt;=45),"",EH194)))</f>
        <v>21</v>
      </c>
      <c r="EJ194" s="0" t="n">
        <f aca="false">IF(EI194="","",IF(EI194&lt;9,EI194,9))</f>
        <v>9</v>
      </c>
      <c r="EK194" s="0" t="n">
        <f aca="false">IF(EI194="","",IF(EI194&gt;9,EI194-EJ194,0))</f>
        <v>12</v>
      </c>
      <c r="EL194" s="0" t="n">
        <f aca="false">IF(EI194="","",EJ194*DA194*2+EK194*DA194*3)</f>
        <v>5062.5</v>
      </c>
      <c r="EP194" s="0" t="n">
        <v>0</v>
      </c>
      <c r="EQ194" s="0"/>
      <c r="ER194" s="0" t="n">
        <v>0</v>
      </c>
      <c r="ET194" s="0" t="n">
        <v>1</v>
      </c>
      <c r="EV194" s="0" t="n">
        <v>1</v>
      </c>
      <c r="EX194" s="0" t="n">
        <v>1</v>
      </c>
      <c r="EY194" s="0" t="n">
        <v>0</v>
      </c>
      <c r="EZ194" s="0"/>
      <c r="FA194" s="4" t="n">
        <f aca="false">750*33</f>
        <v>24750</v>
      </c>
      <c r="FB194" s="0" t="n">
        <v>1</v>
      </c>
      <c r="FF194" s="120" t="n">
        <f aca="false">(CJ194-CI194+1)/365</f>
        <v>0.345205479452055</v>
      </c>
      <c r="FG194" s="0" t="str">
        <f aca="false">CONCATENATE(F194,"/",G194)</f>
        <v>1332/2011</v>
      </c>
      <c r="FH194" s="0" t="n">
        <v>0</v>
      </c>
      <c r="FI194" s="0" t="n">
        <v>0</v>
      </c>
    </row>
    <row r="195" customFormat="false" ht="15" hidden="false" customHeight="false" outlineLevel="0" collapsed="false">
      <c r="A195" s="5" t="str">
        <f aca="false">E195&amp;G195&amp;F195</f>
        <v>720111338</v>
      </c>
      <c r="B195" s="0" t="s">
        <v>2166</v>
      </c>
      <c r="C195" s="1" t="n">
        <v>42041</v>
      </c>
      <c r="E195" s="0" t="n">
        <v>7</v>
      </c>
      <c r="F195" s="0" t="n">
        <v>1338</v>
      </c>
      <c r="G195" s="0" t="n">
        <v>2011</v>
      </c>
      <c r="H195" s="0" t="str">
        <f aca="false">"J"&amp;E195&amp;"\"&amp;F195&amp;"\"&amp;G195&amp;"\"&amp;W195</f>
        <v>J7\1338\2011\1</v>
      </c>
      <c r="I195" s="0"/>
      <c r="J195" s="1" t="n">
        <v>40763</v>
      </c>
      <c r="K195" s="0" t="n">
        <v>0</v>
      </c>
      <c r="M195" s="1" t="n">
        <v>40763</v>
      </c>
      <c r="N195" s="1" t="n">
        <v>40966</v>
      </c>
      <c r="O195" s="1"/>
      <c r="P195" s="1"/>
      <c r="Q195" s="1"/>
      <c r="T195" s="121"/>
      <c r="U195" s="121"/>
      <c r="V195" s="122" t="n">
        <f aca="false">IF(AND(E195&gt;0,F195&gt;0,G195&gt;0),COUNTIFS($E:$E,E195,$F:$F,F195,$G:$G,G195),"")</f>
        <v>1</v>
      </c>
      <c r="W195" s="122" t="n">
        <f aca="false">IF(V195="","",IF(V195=1,1,IF(AND(E194=E195,F194=F195,G194=G195),W194+1,1)))</f>
        <v>1</v>
      </c>
      <c r="X195" s="0" t="n">
        <v>1</v>
      </c>
      <c r="Y195" s="0" t="n">
        <v>4</v>
      </c>
      <c r="Z195" s="0" t="s">
        <v>2204</v>
      </c>
      <c r="AA195" s="0" t="n">
        <v>0</v>
      </c>
      <c r="AB195" s="0" t="s">
        <v>2205</v>
      </c>
      <c r="AC195" s="0" t="s">
        <v>754</v>
      </c>
      <c r="AD195" s="0" t="s">
        <v>2206</v>
      </c>
      <c r="AE195" s="0" t="n">
        <v>0</v>
      </c>
      <c r="AF195" s="0" t="s">
        <v>2207</v>
      </c>
      <c r="AG195" s="0" t="n">
        <v>0</v>
      </c>
      <c r="AH195" s="0" t="s">
        <v>2208</v>
      </c>
      <c r="AI195" s="0" t="s">
        <v>2209</v>
      </c>
      <c r="AJ195" s="0" t="s">
        <v>2179</v>
      </c>
      <c r="AL195" s="0" t="s">
        <v>2210</v>
      </c>
      <c r="AM195" s="0" t="n">
        <v>0</v>
      </c>
      <c r="AN195" s="0" t="s">
        <v>2208</v>
      </c>
      <c r="AO195" s="0" t="s">
        <v>2209</v>
      </c>
      <c r="AP195" s="0" t="s">
        <v>2179</v>
      </c>
      <c r="AR195" s="0" t="s">
        <v>2211</v>
      </c>
      <c r="AS195" s="0" t="n">
        <v>1</v>
      </c>
      <c r="AT195" s="0" t="s">
        <v>2208</v>
      </c>
      <c r="AU195" s="0" t="s">
        <v>2209</v>
      </c>
      <c r="AV195" s="0" t="s">
        <v>2179</v>
      </c>
      <c r="AX195" s="0" t="s">
        <v>1880</v>
      </c>
      <c r="AY195" s="0" t="n">
        <v>1</v>
      </c>
      <c r="AZ195" s="0" t="s">
        <v>2208</v>
      </c>
      <c r="BA195" s="0" t="s">
        <v>2209</v>
      </c>
      <c r="BB195" s="0" t="s">
        <v>2179</v>
      </c>
      <c r="BP195" s="0" t="n">
        <v>0</v>
      </c>
      <c r="BQ195" s="0" t="n">
        <v>0</v>
      </c>
      <c r="BR195" s="0" t="n">
        <v>1</v>
      </c>
      <c r="BS195" s="0" t="s">
        <v>765</v>
      </c>
      <c r="BT195" s="0" t="s">
        <v>766</v>
      </c>
      <c r="BU195" s="0" t="s">
        <v>767</v>
      </c>
      <c r="BV195" s="123"/>
      <c r="BW195" s="123"/>
      <c r="BX195" s="123"/>
      <c r="BY195" s="123"/>
      <c r="BZ195" s="0" t="n">
        <v>0</v>
      </c>
      <c r="CA195" s="0" t="s">
        <v>2212</v>
      </c>
      <c r="CD195" s="0" t="s">
        <v>370</v>
      </c>
      <c r="CE195" s="0" t="n">
        <v>0</v>
      </c>
      <c r="CF195" s="0" t="s">
        <v>2213</v>
      </c>
      <c r="CI195" s="1" t="n">
        <v>40564</v>
      </c>
      <c r="CJ195" s="1" t="n">
        <v>40739</v>
      </c>
      <c r="CK195" s="124" t="n">
        <v>0.291666666666667</v>
      </c>
      <c r="CL195" s="0" t="s">
        <v>2211</v>
      </c>
      <c r="CM195" s="0" t="n">
        <f aca="false">IF(OR(CI195="",CJ195=""),"",DAYS360(CI195,CJ195)/360)</f>
        <v>0.483333333333333</v>
      </c>
      <c r="CN195" s="0" t="n">
        <f aca="false">IF(OR(CI195="",CJ195=""),"",DAYS360(CI195,CJ195)/30)</f>
        <v>5.8</v>
      </c>
      <c r="CO195" s="0" t="n">
        <f aca="false">IF(OR(CI195="",CJ195=""),"",DAYS360(CI195,CJ195)/7)</f>
        <v>24.8571428571429</v>
      </c>
      <c r="CP195" s="0" t="n">
        <f aca="false">IF(OR(CI195="",CJ195=""),"",DAYS360(CI195,CJ195))</f>
        <v>174</v>
      </c>
      <c r="CQ195" s="0" t="s">
        <v>240</v>
      </c>
      <c r="CR195" s="0" t="n">
        <v>1</v>
      </c>
      <c r="CT195" s="0" t="n">
        <v>6000</v>
      </c>
      <c r="CU195" s="0" t="n">
        <v>2</v>
      </c>
      <c r="CV195" s="0" t="n">
        <f aca="false">IF(OR(CT195="",CT195="NO ESPECIFICA",CT195="NO MENCIONA"),"",IF(CU195=0,CT195,IF(CU195=1,CT195/30,IF(CU195=2,CT195/15,IF(CU195=3,CT195/7,"")))))</f>
        <v>400</v>
      </c>
      <c r="CW195" s="125" t="n">
        <v>800</v>
      </c>
      <c r="CX195" s="0" t="n">
        <v>0</v>
      </c>
      <c r="CY195" s="0" t="n">
        <f aca="false">IF(CW195="","",IF(CX195=0,CW195,IF(CX195=1,CW195/30,IF(CX195=2,CW195/15,IF(CX195=3,CW195/7,CW195)))))</f>
        <v>800</v>
      </c>
      <c r="CZ195" s="0" t="n">
        <f aca="false">IF(DI195&gt;0,DI195,IF(CY195&gt;0,CY195,IF(CV195&gt;0,CV195,"")))</f>
        <v>800</v>
      </c>
      <c r="DA195" s="0" t="n">
        <f aca="false">IF(DM195=1,CZ195/8,IF(OR(DM195=2,DM195=4),CZ195/7,IF(DM195=3,CZ195/7.5,"")))</f>
        <v>100</v>
      </c>
      <c r="DB195" s="0" t="s">
        <v>216</v>
      </c>
      <c r="DC195" s="0" t="s">
        <v>216</v>
      </c>
      <c r="DD195" s="0" t="s">
        <v>216</v>
      </c>
      <c r="DE195" s="0" t="s">
        <v>216</v>
      </c>
      <c r="DF195" s="0" t="s">
        <v>216</v>
      </c>
      <c r="DG195" s="0" t="s">
        <v>216</v>
      </c>
      <c r="DH195" s="0" t="n">
        <v>0</v>
      </c>
      <c r="DI195" s="126" t="n">
        <v>800</v>
      </c>
      <c r="DK195" s="0" t="n">
        <v>1</v>
      </c>
      <c r="DM195" s="0" t="n">
        <v>1</v>
      </c>
      <c r="DN195" s="0" t="n">
        <f aca="false">10.5*6</f>
        <v>63</v>
      </c>
      <c r="DO195" s="0" t="n">
        <v>3</v>
      </c>
      <c r="DP195" s="0" t="n">
        <v>0</v>
      </c>
      <c r="DQ195" s="0" t="n">
        <v>1</v>
      </c>
      <c r="DR195" s="0"/>
      <c r="DS195" s="0" t="n">
        <v>1</v>
      </c>
      <c r="DU195" s="0" t="n">
        <v>1</v>
      </c>
      <c r="DW195" s="1" t="n">
        <v>40564</v>
      </c>
      <c r="DX195" s="1" t="n">
        <v>40739</v>
      </c>
      <c r="DZ195" s="0"/>
      <c r="EA195" s="0" t="n">
        <v>1</v>
      </c>
      <c r="EC195" s="1" t="n">
        <v>40564</v>
      </c>
      <c r="ED195" s="1" t="n">
        <v>40739</v>
      </c>
      <c r="EF195" s="0"/>
      <c r="EG195" s="0" t="n">
        <v>1</v>
      </c>
      <c r="EH195" s="0" t="n">
        <f aca="false">3.5*6</f>
        <v>21</v>
      </c>
      <c r="EI195" s="0" t="n">
        <f aca="false">IF(AND(DM195=1,DN195&lt;=48),"",IF(AND(DM195=2,DN195&lt;=42),"",IF(AND(DM195=3,DN195&lt;=45),"",EH195)))</f>
        <v>21</v>
      </c>
      <c r="EJ195" s="0" t="n">
        <f aca="false">IF(EI195="","",IF(EI195&lt;9,EI195,9))</f>
        <v>9</v>
      </c>
      <c r="EK195" s="0" t="n">
        <f aca="false">IF(EI195="","",IF(EI195&gt;9,EI195-EJ195,0))</f>
        <v>12</v>
      </c>
      <c r="EL195" s="0" t="n">
        <f aca="false">IF(EI195="","",EJ195*DA195*2+EK195*DA195*3)</f>
        <v>5400</v>
      </c>
      <c r="EP195" s="0" t="n">
        <v>0</v>
      </c>
      <c r="EQ195" s="0"/>
      <c r="ER195" s="0" t="n">
        <v>1</v>
      </c>
      <c r="ET195" s="0" t="n">
        <v>1</v>
      </c>
      <c r="EV195" s="0" t="n">
        <v>0</v>
      </c>
      <c r="EX195" s="0" t="n">
        <v>1</v>
      </c>
      <c r="EY195" s="0" t="n">
        <v>0</v>
      </c>
      <c r="EZ195" s="0"/>
      <c r="FA195" s="4" t="n">
        <f aca="false">800*(16+16+28+9)+48000</f>
        <v>103200</v>
      </c>
      <c r="FB195" s="0" t="n">
        <v>0</v>
      </c>
      <c r="FF195" s="120" t="n">
        <f aca="false">(CJ195-CI195+1)/365</f>
        <v>0.482191780821918</v>
      </c>
      <c r="FG195" s="0" t="str">
        <f aca="false">CONCATENATE(F195,"/",G195)</f>
        <v>1338/2011</v>
      </c>
      <c r="FH195" s="0" t="n">
        <v>0</v>
      </c>
      <c r="FI195" s="0" t="n">
        <v>0</v>
      </c>
    </row>
    <row r="196" customFormat="false" ht="15" hidden="false" customHeight="false" outlineLevel="0" collapsed="false">
      <c r="A196" s="5" t="str">
        <f aca="false">E196&amp;G196&amp;F196</f>
        <v>720111354</v>
      </c>
      <c r="B196" s="0" t="s">
        <v>2166</v>
      </c>
      <c r="C196" s="1" t="n">
        <v>42041</v>
      </c>
      <c r="D196" s="0" t="s">
        <v>2167</v>
      </c>
      <c r="E196" s="0" t="n">
        <v>7</v>
      </c>
      <c r="F196" s="0" t="n">
        <v>1354</v>
      </c>
      <c r="G196" s="0" t="n">
        <v>2011</v>
      </c>
      <c r="H196" s="0" t="str">
        <f aca="false">"J"&amp;E196&amp;"\"&amp;F196&amp;"\"&amp;G196&amp;"\"&amp;W196</f>
        <v>J7\1354\2011\1</v>
      </c>
      <c r="I196" s="0"/>
      <c r="J196" s="1" t="n">
        <v>40765</v>
      </c>
      <c r="M196" s="1"/>
      <c r="N196" s="1"/>
      <c r="O196" s="1"/>
      <c r="P196" s="1"/>
      <c r="Q196" s="1"/>
      <c r="T196" s="121"/>
      <c r="U196" s="121"/>
      <c r="V196" s="122" t="n">
        <f aca="false">IF(AND(E196&gt;0,F196&gt;0,G196&gt;0),COUNTIFS($E:$E,E196,$F:$F,F196,$G:$G,G196),"")</f>
        <v>1</v>
      </c>
      <c r="W196" s="122" t="n">
        <f aca="false">IF(V196="","",IF(V196=1,1,IF(AND(E195=E196,F195=F196,G195=G196),W195+1,1)))</f>
        <v>1</v>
      </c>
      <c r="X196" s="0" t="n">
        <v>1</v>
      </c>
      <c r="Y196" s="0" t="n">
        <v>9</v>
      </c>
      <c r="Z196" s="0" t="s">
        <v>2214</v>
      </c>
      <c r="AA196" s="0" t="n">
        <v>0</v>
      </c>
      <c r="AB196" s="0" t="s">
        <v>2215</v>
      </c>
      <c r="AC196" s="0" t="s">
        <v>760</v>
      </c>
      <c r="AD196" s="0" t="s">
        <v>2172</v>
      </c>
      <c r="AE196" s="0" t="n">
        <v>0</v>
      </c>
      <c r="AF196" s="0" t="s">
        <v>2216</v>
      </c>
      <c r="AG196" s="0" t="n">
        <v>0</v>
      </c>
      <c r="AH196" s="0" t="s">
        <v>2217</v>
      </c>
      <c r="AI196" s="0" t="s">
        <v>206</v>
      </c>
      <c r="AJ196" s="0" t="s">
        <v>2218</v>
      </c>
      <c r="AL196" s="0" t="s">
        <v>2219</v>
      </c>
      <c r="AM196" s="0" t="n">
        <v>0</v>
      </c>
      <c r="AN196" s="0" t="s">
        <v>2220</v>
      </c>
      <c r="AO196" s="0" t="s">
        <v>2221</v>
      </c>
      <c r="AP196" s="0" t="s">
        <v>2222</v>
      </c>
      <c r="AR196" s="0" t="s">
        <v>2223</v>
      </c>
      <c r="AS196" s="0" t="n">
        <v>0</v>
      </c>
      <c r="AT196" s="0" t="s">
        <v>2220</v>
      </c>
      <c r="AU196" s="0" t="s">
        <v>2221</v>
      </c>
      <c r="AV196" s="0" t="s">
        <v>2222</v>
      </c>
      <c r="AX196" s="0" t="s">
        <v>2224</v>
      </c>
      <c r="AY196" s="0" t="n">
        <v>0</v>
      </c>
      <c r="AZ196" s="0" t="s">
        <v>2220</v>
      </c>
      <c r="BA196" s="0" t="s">
        <v>2221</v>
      </c>
      <c r="BB196" s="0" t="s">
        <v>2222</v>
      </c>
      <c r="BD196" s="0" t="s">
        <v>2225</v>
      </c>
      <c r="BE196" s="0" t="n">
        <v>1</v>
      </c>
      <c r="BF196" s="0" t="s">
        <v>2220</v>
      </c>
      <c r="BG196" s="0" t="s">
        <v>2221</v>
      </c>
      <c r="BH196" s="0" t="s">
        <v>2222</v>
      </c>
      <c r="BJ196" s="0" t="s">
        <v>2226</v>
      </c>
      <c r="BK196" s="0" t="n">
        <v>1</v>
      </c>
      <c r="BL196" s="0" t="s">
        <v>2220</v>
      </c>
      <c r="BM196" s="0" t="s">
        <v>2221</v>
      </c>
      <c r="BN196" s="0" t="s">
        <v>2222</v>
      </c>
      <c r="BP196" s="0" t="n">
        <v>0</v>
      </c>
      <c r="BQ196" s="0" t="n">
        <v>0</v>
      </c>
      <c r="BR196" s="0" t="n">
        <v>1</v>
      </c>
      <c r="BS196" s="0" t="s">
        <v>2227</v>
      </c>
      <c r="BT196" s="0" t="s">
        <v>2228</v>
      </c>
      <c r="BU196" s="0" t="s">
        <v>2229</v>
      </c>
      <c r="BV196" s="123"/>
      <c r="BW196" s="123"/>
      <c r="BX196" s="123"/>
      <c r="BY196" s="123"/>
      <c r="BZ196" s="0" t="n">
        <v>0</v>
      </c>
      <c r="CA196" s="0" t="s">
        <v>216</v>
      </c>
      <c r="CD196" s="0" t="s">
        <v>296</v>
      </c>
      <c r="CE196" s="0" t="n">
        <v>0</v>
      </c>
      <c r="CF196" s="0" t="s">
        <v>2230</v>
      </c>
      <c r="CI196" s="1" t="n">
        <v>39860</v>
      </c>
      <c r="CJ196" s="1" t="n">
        <v>40749</v>
      </c>
      <c r="CK196" s="124" t="n">
        <v>0.5625</v>
      </c>
      <c r="CL196" s="0" t="s">
        <v>2226</v>
      </c>
      <c r="CM196" s="0" t="n">
        <f aca="false">IF(OR(CI196="",CJ196=""),"",DAYS360(CI196,CJ196)/360)</f>
        <v>2.44166666666667</v>
      </c>
      <c r="CN196" s="0" t="n">
        <f aca="false">IF(OR(CI196="",CJ196=""),"",DAYS360(CI196,CJ196)/30)</f>
        <v>29.3</v>
      </c>
      <c r="CO196" s="0" t="n">
        <f aca="false">IF(OR(CI196="",CJ196=""),"",DAYS360(CI196,CJ196)/7)</f>
        <v>125.571428571429</v>
      </c>
      <c r="CP196" s="0" t="n">
        <f aca="false">IF(OR(CI196="",CJ196=""),"",DAYS360(CI196,CJ196))</f>
        <v>879</v>
      </c>
      <c r="CQ196" s="0" t="s">
        <v>240</v>
      </c>
      <c r="CR196" s="0" t="n">
        <v>1</v>
      </c>
      <c r="CT196" s="0" t="s">
        <v>221</v>
      </c>
      <c r="CU196" s="0" t="s">
        <v>221</v>
      </c>
      <c r="CV196" s="0" t="str">
        <f aca="false">IF(OR(CT196="",CT196="NO ESPECIFICA",CT196="NO MENCIONA"),"",IF(CU196=0,CT196,IF(CU196=1,CT196/30,IF(CU196=2,CT196/15,IF(CU196=3,CT196/7,"")))))</f>
        <v/>
      </c>
      <c r="CW196" s="125" t="n">
        <v>133.33</v>
      </c>
      <c r="CX196" s="0" t="n">
        <v>0</v>
      </c>
      <c r="CY196" s="0" t="n">
        <f aca="false">IF(CW196="","",IF(CX196=0,CW196,IF(CX196=1,CW196/30,IF(CX196=2,CW196/15,IF(CX196=3,CW196/7,CW196)))))</f>
        <v>133.33</v>
      </c>
      <c r="CZ196" s="0" t="n">
        <f aca="false">IF(DI196&gt;0,DI196,IF(CY196&gt;0,CY196,IF(CV196&gt;0,CV196,"")))</f>
        <v>133.33</v>
      </c>
      <c r="DA196" s="0" t="n">
        <f aca="false">IF(DM196=1,CZ196/8,IF(OR(DM196=2,DM196=4),CZ196/7,IF(DM196=3,CZ196/7.5,"")))</f>
        <v>16.66625</v>
      </c>
      <c r="DB196" s="0" t="s">
        <v>216</v>
      </c>
      <c r="DC196" s="0" t="s">
        <v>216</v>
      </c>
      <c r="DD196" s="0" t="s">
        <v>216</v>
      </c>
      <c r="DE196" s="0" t="s">
        <v>216</v>
      </c>
      <c r="DF196" s="0" t="s">
        <v>216</v>
      </c>
      <c r="DG196" s="0" t="s">
        <v>216</v>
      </c>
      <c r="DH196" s="0" t="n">
        <v>0</v>
      </c>
      <c r="DI196" s="126" t="n">
        <v>133.33</v>
      </c>
      <c r="DK196" s="0" t="n">
        <v>1</v>
      </c>
      <c r="DM196" s="0" t="n">
        <v>1</v>
      </c>
      <c r="DN196" s="0" t="n">
        <f aca="false">45+6</f>
        <v>51</v>
      </c>
      <c r="DO196" s="0" t="n">
        <v>3</v>
      </c>
      <c r="DP196" s="0" t="n">
        <v>0</v>
      </c>
      <c r="DQ196" s="0" t="n">
        <v>1</v>
      </c>
      <c r="DR196" s="0"/>
      <c r="DS196" s="0" t="n">
        <v>1</v>
      </c>
      <c r="DU196" s="0" t="n">
        <v>1</v>
      </c>
      <c r="DW196" s="1" t="n">
        <v>39860</v>
      </c>
      <c r="DX196" s="1" t="n">
        <v>40749</v>
      </c>
      <c r="DZ196" s="0"/>
      <c r="EA196" s="0" t="n">
        <v>1</v>
      </c>
      <c r="EC196" s="1" t="n">
        <v>39860</v>
      </c>
      <c r="ED196" s="1" t="n">
        <v>40749</v>
      </c>
      <c r="EF196" s="0"/>
      <c r="EG196" s="0" t="n">
        <v>1</v>
      </c>
      <c r="EH196" s="0" t="s">
        <v>221</v>
      </c>
      <c r="EI196" s="0" t="str">
        <f aca="false">IF(AND(DM196=1,DN196&lt;=48),"",IF(AND(DM196=2,DN196&lt;=42),"",IF(AND(DM196=3,DN196&lt;=45),"",EH196)))</f>
        <v>NO ESPECIFICA</v>
      </c>
      <c r="EJ196" s="0" t="n">
        <f aca="false">IF(EI196="","",IF(EI196&lt;9,EI196,9))</f>
        <v>9</v>
      </c>
      <c r="EK196" s="0" t="e">
        <f aca="false">IF(EI196="","",IF(EI196&gt;9,EI196-EJ196,0))</f>
        <v>#VALUE!</v>
      </c>
      <c r="EL196" s="0" t="e">
        <f aca="false">IF(EI196="","",EJ196*DA196*2+EK196*DA196*3)</f>
        <v>#VALUE!</v>
      </c>
      <c r="EP196" s="0" t="n">
        <v>0</v>
      </c>
      <c r="EQ196" s="0"/>
      <c r="ER196" s="0" t="n">
        <v>0</v>
      </c>
      <c r="ET196" s="0" t="n">
        <v>0</v>
      </c>
      <c r="EV196" s="0" t="n">
        <v>0</v>
      </c>
      <c r="EX196" s="0" t="n">
        <v>1</v>
      </c>
      <c r="EY196" s="0" t="n">
        <v>1</v>
      </c>
      <c r="EZ196" s="0"/>
      <c r="FA196" s="4" t="n">
        <v>0</v>
      </c>
      <c r="FB196" s="0" t="n">
        <v>0</v>
      </c>
      <c r="FF196" s="120" t="n">
        <f aca="false">(CJ196-CI196+1)/365</f>
        <v>2.43835616438356</v>
      </c>
      <c r="FG196" s="0" t="str">
        <f aca="false">CONCATENATE(F196,"/",G196)</f>
        <v>1354/2011</v>
      </c>
      <c r="FH196" s="0" t="n">
        <v>0</v>
      </c>
      <c r="FI196" s="0" t="n">
        <v>0</v>
      </c>
    </row>
    <row r="197" customFormat="false" ht="15" hidden="false" customHeight="false" outlineLevel="0" collapsed="false">
      <c r="A197" s="5" t="str">
        <f aca="false">E197&amp;G197&amp;F197</f>
        <v>720111355</v>
      </c>
      <c r="B197" s="0" t="s">
        <v>2166</v>
      </c>
      <c r="C197" s="1" t="n">
        <v>42041</v>
      </c>
      <c r="D197" s="0" t="s">
        <v>2167</v>
      </c>
      <c r="E197" s="0" t="n">
        <v>7</v>
      </c>
      <c r="F197" s="0" t="n">
        <v>1355</v>
      </c>
      <c r="G197" s="0" t="n">
        <v>2011</v>
      </c>
      <c r="H197" s="0" t="str">
        <f aca="false">"J"&amp;E197&amp;"\"&amp;F197&amp;"\"&amp;G197&amp;"\"&amp;W197</f>
        <v>J7\1355\2011\1</v>
      </c>
      <c r="I197" s="0" t="n">
        <v>40687</v>
      </c>
      <c r="J197" s="1" t="n">
        <v>40765</v>
      </c>
      <c r="M197" s="1"/>
      <c r="N197" s="1"/>
      <c r="O197" s="1"/>
      <c r="P197" s="1"/>
      <c r="Q197" s="1"/>
      <c r="T197" s="121"/>
      <c r="U197" s="121"/>
      <c r="V197" s="122" t="n">
        <f aca="false">IF(AND(E197&gt;0,F197&gt;0,G197&gt;0),COUNTIFS($E:$E,E197,$F:$F,F197,$G:$G,G197),"")</f>
        <v>1</v>
      </c>
      <c r="W197" s="122" t="n">
        <f aca="false">IF(V197="","",IF(V197=1,1,IF(AND(E196=E197,F196=F197,G196=G197),W196+1,1)))</f>
        <v>1</v>
      </c>
      <c r="X197" s="0" t="n">
        <v>1</v>
      </c>
      <c r="Y197" s="0" t="n">
        <v>2</v>
      </c>
      <c r="Z197" s="0" t="s">
        <v>2231</v>
      </c>
      <c r="AA197" s="0" t="n">
        <v>0</v>
      </c>
      <c r="AB197" s="0" t="s">
        <v>2232</v>
      </c>
      <c r="AC197" s="0" t="s">
        <v>318</v>
      </c>
      <c r="AD197" s="0" t="s">
        <v>1160</v>
      </c>
      <c r="AE197" s="0" t="n">
        <v>0</v>
      </c>
      <c r="AF197" s="0" t="s">
        <v>2233</v>
      </c>
      <c r="AG197" s="0" t="n">
        <v>0</v>
      </c>
      <c r="AH197" s="0" t="s">
        <v>2234</v>
      </c>
      <c r="AI197" s="0" t="s">
        <v>2235</v>
      </c>
      <c r="AJ197" s="0" t="s">
        <v>2236</v>
      </c>
      <c r="AL197" s="0" t="s">
        <v>1880</v>
      </c>
      <c r="AM197" s="0" t="n">
        <v>1</v>
      </c>
      <c r="AN197" s="0" t="s">
        <v>2234</v>
      </c>
      <c r="AO197" s="0" t="s">
        <v>2235</v>
      </c>
      <c r="AP197" s="0" t="s">
        <v>2236</v>
      </c>
      <c r="BP197" s="0" t="n">
        <v>0</v>
      </c>
      <c r="BQ197" s="0" t="n">
        <v>0</v>
      </c>
      <c r="BR197" s="0" t="n">
        <v>1</v>
      </c>
      <c r="BS197" s="0" t="s">
        <v>2237</v>
      </c>
      <c r="BT197" s="0" t="s">
        <v>2238</v>
      </c>
      <c r="BU197" s="0" t="s">
        <v>2239</v>
      </c>
      <c r="BV197" s="123"/>
      <c r="BW197" s="123"/>
      <c r="BX197" s="123"/>
      <c r="BY197" s="123"/>
      <c r="BZ197" s="0" t="n">
        <v>0</v>
      </c>
      <c r="CA197" s="0" t="s">
        <v>216</v>
      </c>
      <c r="CD197" s="0" t="s">
        <v>556</v>
      </c>
      <c r="CE197" s="0" t="n">
        <v>0</v>
      </c>
      <c r="CF197" s="0" t="s">
        <v>2240</v>
      </c>
      <c r="CI197" s="1" t="n">
        <v>35506</v>
      </c>
      <c r="CJ197" s="1" t="n">
        <v>39911</v>
      </c>
      <c r="CK197" s="124" t="n">
        <v>0.333333333333333</v>
      </c>
      <c r="CL197" s="0" t="s">
        <v>2241</v>
      </c>
      <c r="CM197" s="0" t="n">
        <f aca="false">IF(OR(CI197="",CJ197=""),"",DAYS360(CI197,CJ197)/360)</f>
        <v>12.0583333333333</v>
      </c>
      <c r="CN197" s="0" t="n">
        <f aca="false">IF(OR(CI197="",CJ197=""),"",DAYS360(CI197,CJ197)/30)</f>
        <v>144.7</v>
      </c>
      <c r="CO197" s="0" t="n">
        <f aca="false">IF(OR(CI197="",CJ197=""),"",DAYS360(CI197,CJ197)/7)</f>
        <v>620.142857142857</v>
      </c>
      <c r="CP197" s="0" t="n">
        <f aca="false">IF(OR(CI197="",CJ197=""),"",DAYS360(CI197,CJ197))</f>
        <v>4341</v>
      </c>
      <c r="CQ197" s="0" t="s">
        <v>240</v>
      </c>
      <c r="CR197" s="0" t="n">
        <v>1</v>
      </c>
      <c r="CT197" s="0" t="n">
        <v>389.02</v>
      </c>
      <c r="CU197" s="0" t="n">
        <v>0</v>
      </c>
      <c r="CV197" s="0" t="n">
        <f aca="false">IF(OR(CT197="",CT197="NO ESPECIFICA",CT197="NO MENCIONA"),"",IF(CU197=0,CT197,IF(CU197=1,CT197/30,IF(CU197=2,CT197/15,IF(CU197=3,CT197/7,"")))))</f>
        <v>389.02</v>
      </c>
      <c r="CW197" s="125" t="n">
        <v>550</v>
      </c>
      <c r="CX197" s="0" t="n">
        <v>0</v>
      </c>
      <c r="CY197" s="0" t="n">
        <f aca="false">IF(CW197="","",IF(CX197=0,CW197,IF(CX197=1,CW197/30,IF(CX197=2,CW197/15,IF(CX197=3,CW197/7,CW197)))))</f>
        <v>550</v>
      </c>
      <c r="CZ197" s="0" t="n">
        <f aca="false">IF(DI197&gt;0,DI197,IF(CY197&gt;0,CY197,IF(CV197&gt;0,CV197,"")))</f>
        <v>550</v>
      </c>
      <c r="DA197" s="0" t="n">
        <f aca="false">IF(DM197=1,CZ197/8,IF(OR(DM197=2,DM197=4),CZ197/7,IF(DM197=3,CZ197/7.5,"")))</f>
        <v>68.75</v>
      </c>
      <c r="DB197" s="0" t="s">
        <v>216</v>
      </c>
      <c r="DC197" s="0" t="s">
        <v>216</v>
      </c>
      <c r="DD197" s="0" t="s">
        <v>216</v>
      </c>
      <c r="DE197" s="0" t="s">
        <v>216</v>
      </c>
      <c r="DF197" s="0" t="s">
        <v>216</v>
      </c>
      <c r="DG197" s="0" t="s">
        <v>216</v>
      </c>
      <c r="DH197" s="0" t="n">
        <v>0</v>
      </c>
      <c r="DI197" s="126" t="n">
        <v>550</v>
      </c>
      <c r="DK197" s="0" t="n">
        <v>0</v>
      </c>
      <c r="DM197" s="0" t="n">
        <v>1</v>
      </c>
      <c r="DN197" s="0" t="n">
        <f aca="false">16*7</f>
        <v>112</v>
      </c>
      <c r="DO197" s="0" t="n">
        <v>3</v>
      </c>
      <c r="DP197" s="0" t="n">
        <v>0</v>
      </c>
      <c r="DQ197" s="0" t="n">
        <v>1</v>
      </c>
      <c r="DR197" s="0"/>
      <c r="DS197" s="0" t="n">
        <v>1</v>
      </c>
      <c r="DU197" s="0" t="n">
        <v>1</v>
      </c>
      <c r="DW197" s="1" t="n">
        <v>35506</v>
      </c>
      <c r="DX197" s="1" t="n">
        <v>39911</v>
      </c>
      <c r="DZ197" s="0"/>
      <c r="EA197" s="0" t="n">
        <v>1</v>
      </c>
      <c r="EC197" s="1" t="n">
        <v>35506</v>
      </c>
      <c r="ED197" s="1" t="n">
        <v>39911</v>
      </c>
      <c r="EF197" s="0"/>
      <c r="EG197" s="0" t="n">
        <v>0</v>
      </c>
      <c r="EI197" s="0" t="n">
        <f aca="false">IF(AND(DM197=1,DN197&lt;=48),"",IF(AND(DM197=2,DN197&lt;=42),"",IF(AND(DM197=3,DN197&lt;=45),"",EH197)))</f>
        <v>0</v>
      </c>
      <c r="EJ197" s="0" t="str">
        <f aca="false">IF(EI197="","",IF(EI197&lt;9,EI197,9))</f>
        <v/>
      </c>
      <c r="EK197" s="0" t="str">
        <f aca="false">IF(EI197="","",IF(EI197&gt;9,EI197-EJ197,0))</f>
        <v/>
      </c>
      <c r="EL197" s="0" t="str">
        <f aca="false">IF(EI197="","",EJ197*DA197*2+EK197*DA197*3)</f>
        <v/>
      </c>
      <c r="EP197" s="0" t="n">
        <v>0</v>
      </c>
      <c r="EQ197" s="0"/>
      <c r="ER197" s="0" t="n">
        <v>0</v>
      </c>
      <c r="ET197" s="0" t="n">
        <v>0</v>
      </c>
      <c r="EV197" s="0" t="n">
        <v>0</v>
      </c>
      <c r="EX197" s="0" t="n">
        <v>0</v>
      </c>
      <c r="EY197" s="0" t="n">
        <v>0</v>
      </c>
      <c r="EZ197" s="0"/>
      <c r="FA197" s="4" t="n">
        <f aca="false">13809.92+26400+12125+2923.52+412.27+8*550</f>
        <v>60070.71</v>
      </c>
      <c r="FB197" s="0" t="n">
        <v>0</v>
      </c>
      <c r="FF197" s="120" t="n">
        <f aca="false">(CJ197-CI197+1)/365</f>
        <v>12.0712328767123</v>
      </c>
      <c r="FG197" s="0" t="str">
        <f aca="false">CONCATENATE(F197,"/",G197)</f>
        <v>1355/2011</v>
      </c>
      <c r="FH197" s="0" t="n">
        <v>0</v>
      </c>
      <c r="FI197" s="0" t="n">
        <v>0</v>
      </c>
    </row>
    <row r="198" customFormat="false" ht="15" hidden="false" customHeight="false" outlineLevel="0" collapsed="false">
      <c r="A198" s="5" t="str">
        <f aca="false">E198&amp;G198&amp;F198</f>
        <v>720111356</v>
      </c>
      <c r="B198" s="0" t="s">
        <v>2166</v>
      </c>
      <c r="C198" s="1" t="n">
        <v>42041</v>
      </c>
      <c r="D198" s="0" t="s">
        <v>2167</v>
      </c>
      <c r="E198" s="0" t="n">
        <v>7</v>
      </c>
      <c r="F198" s="0" t="n">
        <v>1356</v>
      </c>
      <c r="G198" s="0" t="n">
        <v>2011</v>
      </c>
      <c r="H198" s="0" t="str">
        <f aca="false">"J"&amp;E198&amp;"\"&amp;F198&amp;"\"&amp;G198&amp;"\"&amp;W198</f>
        <v>J7\1356\2011\1</v>
      </c>
      <c r="I198" s="0"/>
      <c r="J198" s="1" t="n">
        <v>40765</v>
      </c>
      <c r="M198" s="1"/>
      <c r="N198" s="1"/>
      <c r="O198" s="1"/>
      <c r="P198" s="1"/>
      <c r="Q198" s="1"/>
      <c r="T198" s="121"/>
      <c r="U198" s="121"/>
      <c r="V198" s="122" t="n">
        <f aca="false">IF(AND(E198&gt;0,F198&gt;0,G198&gt;0),COUNTIFS($E:$E,E198,$F:$F,F198,$G:$G,G198),"")</f>
        <v>1</v>
      </c>
      <c r="W198" s="122" t="n">
        <f aca="false">IF(V198="","",IF(V198=1,1,IF(AND(E197=E198,F197=F198,G197=G198),W197+1,1)))</f>
        <v>1</v>
      </c>
      <c r="X198" s="0" t="n">
        <v>1</v>
      </c>
      <c r="Y198" s="0" t="n">
        <v>1</v>
      </c>
      <c r="Z198" s="0" t="s">
        <v>2242</v>
      </c>
      <c r="AA198" s="0" t="n">
        <v>0</v>
      </c>
      <c r="AB198" s="0" t="s">
        <v>2121</v>
      </c>
      <c r="AE198" s="0" t="n">
        <v>0</v>
      </c>
      <c r="AF198" s="0" t="s">
        <v>2243</v>
      </c>
      <c r="AG198" s="0" t="n">
        <v>0</v>
      </c>
      <c r="AH198" s="0" t="s">
        <v>2244</v>
      </c>
      <c r="AI198" s="0" t="s">
        <v>251</v>
      </c>
      <c r="AJ198" s="0" t="s">
        <v>1160</v>
      </c>
      <c r="BP198" s="0" t="n">
        <v>0</v>
      </c>
      <c r="BQ198" s="0" t="n">
        <v>0</v>
      </c>
      <c r="BR198" s="0" t="n">
        <v>1</v>
      </c>
      <c r="BS198" s="0" t="s">
        <v>2245</v>
      </c>
      <c r="BT198" s="0" t="s">
        <v>2246</v>
      </c>
      <c r="BU198" s="0" t="s">
        <v>2247</v>
      </c>
      <c r="BV198" s="123"/>
      <c r="BW198" s="123"/>
      <c r="BX198" s="123"/>
      <c r="BY198" s="123"/>
      <c r="BZ198" s="0" t="n">
        <v>0</v>
      </c>
      <c r="CA198" s="0" t="s">
        <v>216</v>
      </c>
      <c r="CD198" s="0" t="s">
        <v>216</v>
      </c>
      <c r="CE198" s="0" t="n">
        <v>0</v>
      </c>
      <c r="CF198" s="0" t="s">
        <v>645</v>
      </c>
      <c r="CI198" s="1" t="n">
        <v>40301</v>
      </c>
      <c r="CJ198" s="1" t="n">
        <v>40728</v>
      </c>
      <c r="CK198" s="124" t="n">
        <v>0.416666666666667</v>
      </c>
      <c r="CL198" s="0" t="s">
        <v>2248</v>
      </c>
      <c r="CM198" s="0" t="n">
        <f aca="false">IF(OR(CI198="",CJ198=""),"",DAYS360(CI198,CJ198)/360)</f>
        <v>1.16944444444444</v>
      </c>
      <c r="CN198" s="0" t="n">
        <f aca="false">IF(OR(CI198="",CJ198=""),"",DAYS360(CI198,CJ198)/30)</f>
        <v>14.0333333333333</v>
      </c>
      <c r="CO198" s="0" t="n">
        <f aca="false">IF(OR(CI198="",CJ198=""),"",DAYS360(CI198,CJ198)/7)</f>
        <v>60.1428571428571</v>
      </c>
      <c r="CP198" s="0" t="n">
        <f aca="false">IF(OR(CI198="",CJ198=""),"",DAYS360(CI198,CJ198))</f>
        <v>421</v>
      </c>
      <c r="CQ198" s="0" t="s">
        <v>220</v>
      </c>
      <c r="CR198" s="0" t="n">
        <v>1</v>
      </c>
      <c r="CT198" s="0" t="s">
        <v>221</v>
      </c>
      <c r="CU198" s="0" t="s">
        <v>221</v>
      </c>
      <c r="CV198" s="0" t="str">
        <f aca="false">IF(OR(CT198="",CT198="NO ESPECIFICA",CT198="NO MENCIONA"),"",IF(CU198=0,CT198,IF(CU198=1,CT198/30,IF(CU198=2,CT198/15,IF(CU198=3,CT198/7,"")))))</f>
        <v/>
      </c>
      <c r="CW198" s="125" t="n">
        <v>200</v>
      </c>
      <c r="CX198" s="0" t="n">
        <v>0</v>
      </c>
      <c r="CY198" s="0" t="n">
        <f aca="false">IF(CW198="","",IF(CX198=0,CW198,IF(CX198=1,CW198/30,IF(CX198=2,CW198/15,IF(CX198=3,CW198/7,CW198)))))</f>
        <v>200</v>
      </c>
      <c r="CZ198" s="0" t="n">
        <f aca="false">IF(DI198&gt;0,DI198,IF(CY198&gt;0,CY198,IF(CV198&gt;0,CV198,"")))</f>
        <v>200</v>
      </c>
      <c r="DA198" s="0" t="n">
        <f aca="false">IF(DM198=1,CZ198/8,IF(OR(DM198=2,DM198=4),CZ198/7,IF(DM198=3,CZ198/7.5,"")))</f>
        <v>25</v>
      </c>
      <c r="DB198" s="0" t="s">
        <v>216</v>
      </c>
      <c r="DC198" s="0" t="s">
        <v>216</v>
      </c>
      <c r="DD198" s="0" t="s">
        <v>216</v>
      </c>
      <c r="DE198" s="0" t="s">
        <v>216</v>
      </c>
      <c r="DF198" s="0" t="s">
        <v>216</v>
      </c>
      <c r="DG198" s="0" t="s">
        <v>216</v>
      </c>
      <c r="DH198" s="0" t="n">
        <v>0</v>
      </c>
      <c r="DI198" s="126" t="n">
        <v>200</v>
      </c>
      <c r="DK198" s="0" t="n">
        <v>0</v>
      </c>
      <c r="DM198" s="0" t="n">
        <v>1</v>
      </c>
      <c r="DN198" s="0" t="n">
        <v>50</v>
      </c>
      <c r="DO198" s="0" t="n">
        <v>3</v>
      </c>
      <c r="DP198" s="0" t="n">
        <v>1</v>
      </c>
      <c r="DQ198" s="0" t="n">
        <v>1</v>
      </c>
      <c r="DR198" s="0"/>
      <c r="DS198" s="0" t="n">
        <v>1</v>
      </c>
      <c r="DU198" s="0" t="n">
        <v>1</v>
      </c>
      <c r="DW198" s="1" t="n">
        <v>40301</v>
      </c>
      <c r="DX198" s="1" t="n">
        <v>40666</v>
      </c>
      <c r="DZ198" s="0"/>
      <c r="EA198" s="0" t="n">
        <v>1</v>
      </c>
      <c r="EC198" s="1" t="s">
        <v>1775</v>
      </c>
      <c r="ED198" s="1" t="s">
        <v>1775</v>
      </c>
      <c r="EF198" s="0"/>
      <c r="EG198" s="0" t="n">
        <v>1</v>
      </c>
      <c r="EH198" s="0" t="n">
        <v>10</v>
      </c>
      <c r="EI198" s="0" t="n">
        <f aca="false">IF(AND(DM198=1,DN198&lt;=48),"",IF(AND(DM198=2,DN198&lt;=42),"",IF(AND(DM198=3,DN198&lt;=45),"",EH198)))</f>
        <v>10</v>
      </c>
      <c r="EJ198" s="0" t="n">
        <f aca="false">IF(EI198="","",IF(EI198&lt;9,EI198,9))</f>
        <v>9</v>
      </c>
      <c r="EK198" s="0" t="n">
        <f aca="false">IF(EI198="","",IF(EI198&gt;9,EI198-EJ198,0))</f>
        <v>1</v>
      </c>
      <c r="EL198" s="0" t="n">
        <f aca="false">IF(EI198="","",EJ198*DA198*2+EK198*DA198*3)</f>
        <v>525</v>
      </c>
      <c r="EO198" s="0" t="n">
        <v>670</v>
      </c>
      <c r="EP198" s="0" t="n">
        <v>1</v>
      </c>
      <c r="EQ198" s="0"/>
      <c r="ER198" s="0" t="n">
        <v>0</v>
      </c>
      <c r="ET198" s="0" t="n">
        <v>0</v>
      </c>
      <c r="EV198" s="0" t="n">
        <v>0</v>
      </c>
      <c r="EX198" s="0" t="n">
        <v>0</v>
      </c>
      <c r="EY198" s="0" t="n">
        <v>1</v>
      </c>
      <c r="EZ198" s="0"/>
      <c r="FA198" s="4" t="n">
        <f aca="false">8000+200*4+710+328+328</f>
        <v>10166</v>
      </c>
      <c r="FB198" s="0" t="n">
        <v>0</v>
      </c>
      <c r="FF198" s="120" t="n">
        <f aca="false">(CJ198-CI198+1)/365</f>
        <v>1.17260273972603</v>
      </c>
      <c r="FG198" s="0" t="str">
        <f aca="false">CONCATENATE(F198,"/",G198)</f>
        <v>1356/2011</v>
      </c>
      <c r="FH198" s="0" t="n">
        <v>0</v>
      </c>
      <c r="FI198" s="0" t="n">
        <v>0</v>
      </c>
    </row>
    <row r="199" customFormat="false" ht="15" hidden="false" customHeight="false" outlineLevel="0" collapsed="false">
      <c r="A199" s="5" t="str">
        <f aca="false">E199&amp;G199&amp;F199</f>
        <v>720111369</v>
      </c>
      <c r="B199" s="0" t="s">
        <v>2166</v>
      </c>
      <c r="C199" s="1" t="n">
        <v>42041</v>
      </c>
      <c r="D199" s="0" t="s">
        <v>2167</v>
      </c>
      <c r="E199" s="0" t="n">
        <v>7</v>
      </c>
      <c r="F199" s="0" t="n">
        <v>1369</v>
      </c>
      <c r="G199" s="0" t="n">
        <v>2011</v>
      </c>
      <c r="H199" s="0" t="str">
        <f aca="false">"J"&amp;E199&amp;"\"&amp;F199&amp;"\"&amp;G199&amp;"\"&amp;W199</f>
        <v>J7\1369\2011\1</v>
      </c>
      <c r="I199" s="0"/>
      <c r="J199" s="1" t="n">
        <v>40766</v>
      </c>
      <c r="M199" s="1"/>
      <c r="N199" s="1"/>
      <c r="O199" s="1"/>
      <c r="P199" s="1"/>
      <c r="Q199" s="1"/>
      <c r="T199" s="121"/>
      <c r="U199" s="121"/>
      <c r="V199" s="122" t="n">
        <f aca="false">IF(AND(E199&gt;0,F199&gt;0,G199&gt;0),COUNTIFS($E:$E,E199,$F:$F,F199,$G:$G,G199),"")</f>
        <v>1</v>
      </c>
      <c r="W199" s="122" t="n">
        <f aca="false">IF(V199="","",IF(V199=1,1,IF(AND(E198=E199,F198=F199,G198=G199),W198+1,1)))</f>
        <v>1</v>
      </c>
      <c r="X199" s="0" t="n">
        <v>1</v>
      </c>
      <c r="Y199" s="0" t="n">
        <v>4</v>
      </c>
      <c r="Z199" s="0" t="s">
        <v>2249</v>
      </c>
      <c r="AA199" s="0" t="n">
        <v>0</v>
      </c>
      <c r="AB199" s="0" t="s">
        <v>2250</v>
      </c>
      <c r="AC199" s="0" t="s">
        <v>274</v>
      </c>
      <c r="AD199" s="0" t="s">
        <v>216</v>
      </c>
      <c r="AE199" s="0" t="n">
        <v>0</v>
      </c>
      <c r="AF199" s="0" t="s">
        <v>2251</v>
      </c>
      <c r="AG199" s="0" t="n">
        <v>0</v>
      </c>
      <c r="AH199" s="0" t="s">
        <v>2252</v>
      </c>
      <c r="AI199" s="0" t="s">
        <v>1187</v>
      </c>
      <c r="AJ199" s="0" t="s">
        <v>2253</v>
      </c>
      <c r="AL199" s="0" t="s">
        <v>2254</v>
      </c>
      <c r="AM199" s="0" t="n">
        <v>1</v>
      </c>
      <c r="AN199" s="0" t="s">
        <v>2252</v>
      </c>
      <c r="AO199" s="0" t="s">
        <v>1187</v>
      </c>
      <c r="AP199" s="0" t="s">
        <v>2253</v>
      </c>
      <c r="AR199" s="0" t="s">
        <v>2255</v>
      </c>
      <c r="AS199" s="0" t="n">
        <v>1</v>
      </c>
      <c r="AT199" s="0" t="s">
        <v>2252</v>
      </c>
      <c r="AU199" s="0" t="s">
        <v>1187</v>
      </c>
      <c r="AV199" s="0" t="s">
        <v>2253</v>
      </c>
      <c r="AX199" s="0" t="s">
        <v>1880</v>
      </c>
      <c r="AY199" s="0" t="n">
        <v>1</v>
      </c>
      <c r="AZ199" s="0" t="s">
        <v>2252</v>
      </c>
      <c r="BA199" s="0" t="s">
        <v>1187</v>
      </c>
      <c r="BB199" s="0" t="s">
        <v>2253</v>
      </c>
      <c r="BP199" s="0" t="n">
        <v>0</v>
      </c>
      <c r="BQ199" s="0" t="n">
        <v>0</v>
      </c>
      <c r="BR199" s="0" t="n">
        <v>1</v>
      </c>
      <c r="BS199" s="0" t="s">
        <v>2256</v>
      </c>
      <c r="BT199" s="0" t="s">
        <v>2257</v>
      </c>
      <c r="BU199" s="0" t="s">
        <v>2258</v>
      </c>
      <c r="BV199" s="123"/>
      <c r="BW199" s="123"/>
      <c r="BX199" s="123"/>
      <c r="BY199" s="123"/>
      <c r="BZ199" s="0" t="n">
        <v>0</v>
      </c>
      <c r="CA199" s="0" t="s">
        <v>2259</v>
      </c>
      <c r="CD199" s="0" t="s">
        <v>1308</v>
      </c>
      <c r="CE199" s="0" t="n">
        <v>0</v>
      </c>
      <c r="CF199" s="0" t="s">
        <v>1309</v>
      </c>
      <c r="CI199" s="1" t="n">
        <v>40656</v>
      </c>
      <c r="CJ199" s="1" t="n">
        <v>40759</v>
      </c>
      <c r="CK199" s="124" t="n">
        <v>0.416666666666667</v>
      </c>
      <c r="CL199" s="0" t="s">
        <v>2260</v>
      </c>
      <c r="CM199" s="0" t="n">
        <f aca="false">IF(OR(CI199="",CJ199=""),"",DAYS360(CI199,CJ199)/360)</f>
        <v>0.280555555555556</v>
      </c>
      <c r="CN199" s="0" t="n">
        <f aca="false">IF(OR(CI199="",CJ199=""),"",DAYS360(CI199,CJ199)/30)</f>
        <v>3.36666666666667</v>
      </c>
      <c r="CO199" s="0" t="n">
        <f aca="false">IF(OR(CI199="",CJ199=""),"",DAYS360(CI199,CJ199)/7)</f>
        <v>14.4285714285714</v>
      </c>
      <c r="CP199" s="0" t="n">
        <f aca="false">IF(OR(CI199="",CJ199=""),"",DAYS360(CI199,CJ199))</f>
        <v>101</v>
      </c>
      <c r="CQ199" s="0" t="s">
        <v>240</v>
      </c>
      <c r="CR199" s="0" t="n">
        <v>1</v>
      </c>
      <c r="CT199" s="0" t="n">
        <v>1000</v>
      </c>
      <c r="CU199" s="0" t="n">
        <v>3</v>
      </c>
      <c r="CV199" s="0" t="n">
        <f aca="false">IF(OR(CT199="",CT199="NO ESPECIFICA",CT199="NO MENCIONA"),"",IF(CU199=0,CT199,IF(CU199=1,CT199/30,IF(CU199=2,CT199/15,IF(CU199=3,CT199/7,"")))))</f>
        <v>142.857142857143</v>
      </c>
      <c r="CW199" s="125" t="s">
        <v>216</v>
      </c>
      <c r="CX199" s="0" t="s">
        <v>216</v>
      </c>
      <c r="CY199" s="0" t="str">
        <f aca="false">IF(CW199="","",IF(CX199=0,CW199,IF(CX199=1,CW199/30,IF(CX199=2,CW199/15,IF(CX199=3,CW199/7,CW199)))))</f>
        <v>NO MENCIONA</v>
      </c>
      <c r="CZ199" s="0" t="n">
        <f aca="false">IF(DI199&gt;0,DI199,IF(CY199&gt;0,CY199,IF(CV199&gt;0,CV199,"")))</f>
        <v>142.857142857143</v>
      </c>
      <c r="DA199" s="0" t="n">
        <f aca="false">IF(DM199=1,CZ199/8,IF(OR(DM199=2,DM199=4),CZ199/7,IF(DM199=3,CZ199/7.5,"")))</f>
        <v>17.8571428571429</v>
      </c>
      <c r="DB199" s="0" t="s">
        <v>216</v>
      </c>
      <c r="DC199" s="0" t="s">
        <v>216</v>
      </c>
      <c r="DD199" s="0" t="s">
        <v>216</v>
      </c>
      <c r="DE199" s="0" t="s">
        <v>216</v>
      </c>
      <c r="DF199" s="0" t="s">
        <v>216</v>
      </c>
      <c r="DG199" s="0" t="s">
        <v>216</v>
      </c>
      <c r="DH199" s="0" t="n">
        <v>0</v>
      </c>
      <c r="DI199" s="126" t="n">
        <f aca="false">1000/7</f>
        <v>142.857142857143</v>
      </c>
      <c r="DK199" s="0" t="n">
        <v>0</v>
      </c>
      <c r="DM199" s="0" t="n">
        <v>1</v>
      </c>
      <c r="DN199" s="0" t="n">
        <f aca="false">14*6</f>
        <v>84</v>
      </c>
      <c r="DO199" s="0" t="n">
        <v>3</v>
      </c>
      <c r="DP199" s="0" t="n">
        <v>0</v>
      </c>
      <c r="DQ199" s="0" t="n">
        <v>1</v>
      </c>
      <c r="DR199" s="0"/>
      <c r="DS199" s="0" t="n">
        <v>1</v>
      </c>
      <c r="DU199" s="0" t="n">
        <v>1</v>
      </c>
      <c r="DW199" s="1" t="s">
        <v>1775</v>
      </c>
      <c r="DX199" s="1" t="s">
        <v>1775</v>
      </c>
      <c r="DZ199" s="0"/>
      <c r="EA199" s="0" t="n">
        <v>1</v>
      </c>
      <c r="EC199" s="1" t="s">
        <v>1775</v>
      </c>
      <c r="ED199" s="1" t="s">
        <v>1775</v>
      </c>
      <c r="EF199" s="0"/>
      <c r="EG199" s="0" t="n">
        <v>1</v>
      </c>
      <c r="EH199" s="0" t="n">
        <v>36</v>
      </c>
      <c r="EI199" s="0" t="n">
        <f aca="false">IF(AND(DM199=1,DN199&lt;=48),"",IF(AND(DM199=2,DN199&lt;=42),"",IF(AND(DM199=3,DN199&lt;=45),"",EH199)))</f>
        <v>36</v>
      </c>
      <c r="EJ199" s="0" t="n">
        <f aca="false">IF(EI199="","",IF(EI199&lt;9,EI199,9))</f>
        <v>9</v>
      </c>
      <c r="EK199" s="0" t="n">
        <f aca="false">IF(EI199="","",IF(EI199&gt;9,EI199-EJ199,0))</f>
        <v>27</v>
      </c>
      <c r="EL199" s="0" t="n">
        <f aca="false">IF(EI199="","",EJ199*DA199*2+EK199*DA199*3)</f>
        <v>1767.85714285714</v>
      </c>
      <c r="EP199" s="0" t="n">
        <v>0</v>
      </c>
      <c r="EQ199" s="0"/>
      <c r="ER199" s="0" t="n">
        <v>0</v>
      </c>
      <c r="ET199" s="0" t="n">
        <v>0</v>
      </c>
      <c r="EV199" s="0" t="n">
        <v>1</v>
      </c>
      <c r="EX199" s="0" t="n">
        <v>1</v>
      </c>
      <c r="EY199" s="0" t="n">
        <v>1</v>
      </c>
      <c r="EZ199" s="0"/>
      <c r="FA199" s="4" t="n">
        <f aca="false">1000/7*10</f>
        <v>1428.57142857143</v>
      </c>
      <c r="FB199" s="0" t="n">
        <v>0</v>
      </c>
      <c r="FF199" s="120" t="n">
        <f aca="false">(CJ199-CI199+1)/365</f>
        <v>0.284931506849315</v>
      </c>
      <c r="FG199" s="0" t="str">
        <f aca="false">CONCATENATE(F199,"/",G199)</f>
        <v>1369/2011</v>
      </c>
      <c r="FH199" s="0" t="n">
        <v>0</v>
      </c>
      <c r="FI199" s="0" t="n">
        <v>0</v>
      </c>
    </row>
    <row r="200" customFormat="false" ht="15" hidden="false" customHeight="false" outlineLevel="0" collapsed="false">
      <c r="A200" s="5" t="str">
        <f aca="false">E200&amp;G200&amp;F200</f>
        <v>720111373</v>
      </c>
      <c r="B200" s="0" t="s">
        <v>2166</v>
      </c>
      <c r="C200" s="1" t="n">
        <v>42041</v>
      </c>
      <c r="D200" s="0" t="s">
        <v>2261</v>
      </c>
      <c r="E200" s="0" t="n">
        <v>7</v>
      </c>
      <c r="F200" s="0" t="n">
        <v>1373</v>
      </c>
      <c r="G200" s="0" t="n">
        <v>2011</v>
      </c>
      <c r="H200" s="0" t="str">
        <f aca="false">"J"&amp;E200&amp;"\"&amp;F200&amp;"\"&amp;G200&amp;"\"&amp;W200</f>
        <v>J7\1373\2011\1</v>
      </c>
      <c r="I200" s="0"/>
      <c r="J200" s="1" t="n">
        <v>40767</v>
      </c>
      <c r="K200" s="0" t="n">
        <v>1</v>
      </c>
      <c r="L200" s="0" t="s">
        <v>528</v>
      </c>
      <c r="M200" s="1"/>
      <c r="N200" s="1"/>
      <c r="O200" s="1"/>
      <c r="P200" s="1"/>
      <c r="Q200" s="1"/>
      <c r="T200" s="121"/>
      <c r="U200" s="121"/>
      <c r="V200" s="122" t="n">
        <f aca="false">IF(AND(E200&gt;0,F200&gt;0,G200&gt;0),COUNTIFS($E:$E,E200,$F:$F,F200,$G:$G,G200),"")</f>
        <v>1</v>
      </c>
      <c r="W200" s="122" t="n">
        <f aca="false">IF(V200="","",IF(V200=1,1,IF(AND(E199=E200,F199=F200,G199=G200),W199+1,1)))</f>
        <v>1</v>
      </c>
      <c r="X200" s="0" t="n">
        <v>1</v>
      </c>
      <c r="Y200" s="0" t="n">
        <v>2</v>
      </c>
      <c r="Z200" s="0" t="s">
        <v>2262</v>
      </c>
      <c r="AA200" s="0" t="n">
        <v>0</v>
      </c>
      <c r="AB200" s="0" t="s">
        <v>2263</v>
      </c>
      <c r="AC200" s="0" t="s">
        <v>216</v>
      </c>
      <c r="AD200" s="0" t="s">
        <v>2253</v>
      </c>
      <c r="AE200" s="0" t="n">
        <v>0</v>
      </c>
      <c r="AF200" s="0" t="s">
        <v>2264</v>
      </c>
      <c r="AG200" s="0" t="n">
        <v>3</v>
      </c>
      <c r="AH200" s="0" t="s">
        <v>2265</v>
      </c>
      <c r="AI200" s="0" t="s">
        <v>1303</v>
      </c>
      <c r="AJ200" s="0" t="s">
        <v>2266</v>
      </c>
      <c r="AL200" s="0" t="s">
        <v>1880</v>
      </c>
      <c r="AM200" s="0" t="n">
        <v>1</v>
      </c>
      <c r="AN200" s="0" t="s">
        <v>2265</v>
      </c>
      <c r="AO200" s="0" t="s">
        <v>1303</v>
      </c>
      <c r="AP200" s="0" t="s">
        <v>2266</v>
      </c>
      <c r="BP200" s="0" t="n">
        <v>0</v>
      </c>
      <c r="BQ200" s="0" t="n">
        <v>0</v>
      </c>
      <c r="BR200" s="0" t="n">
        <v>1</v>
      </c>
      <c r="BS200" s="0" t="s">
        <v>2267</v>
      </c>
      <c r="BV200" s="123"/>
      <c r="BW200" s="123"/>
      <c r="BX200" s="123"/>
      <c r="BY200" s="123"/>
      <c r="BZ200" s="0" t="n">
        <v>0</v>
      </c>
      <c r="CA200" s="0" t="s">
        <v>2268</v>
      </c>
      <c r="CD200" s="0" t="s">
        <v>256</v>
      </c>
      <c r="CE200" s="0" t="n">
        <v>0</v>
      </c>
      <c r="CF200" s="0" t="s">
        <v>2269</v>
      </c>
      <c r="CI200" s="1" t="n">
        <v>36388</v>
      </c>
      <c r="CJ200" s="1" t="n">
        <v>40712</v>
      </c>
      <c r="CK200" s="124" t="n">
        <v>0.5</v>
      </c>
      <c r="CL200" s="0" t="s">
        <v>2270</v>
      </c>
      <c r="CM200" s="0" t="n">
        <f aca="false">IF(OR(CI200="",CJ200=""),"",DAYS360(CI200,CJ200)/360)</f>
        <v>11.8388888888889</v>
      </c>
      <c r="CN200" s="0" t="n">
        <f aca="false">IF(OR(CI200="",CJ200=""),"",DAYS360(CI200,CJ200)/30)</f>
        <v>142.066666666667</v>
      </c>
      <c r="CO200" s="0" t="n">
        <f aca="false">IF(OR(CI200="",CJ200=""),"",DAYS360(CI200,CJ200)/7)</f>
        <v>608.857142857143</v>
      </c>
      <c r="CP200" s="0" t="n">
        <f aca="false">IF(OR(CI200="",CJ200=""),"",DAYS360(CI200,CJ200))</f>
        <v>4262</v>
      </c>
      <c r="CQ200" s="0" t="s">
        <v>240</v>
      </c>
      <c r="CR200" s="0" t="n">
        <v>1</v>
      </c>
      <c r="CT200" s="0" t="s">
        <v>221</v>
      </c>
      <c r="CU200" s="0" t="s">
        <v>221</v>
      </c>
      <c r="CV200" s="0" t="str">
        <f aca="false">IF(OR(CT200="",CT200="NO ESPECIFICA",CT200="NO MENCIONA"),"",IF(CU200=0,CT200,IF(CU200=1,CT200/30,IF(CU200=2,CT200/15,IF(CU200=3,CT200/7,"")))))</f>
        <v/>
      </c>
      <c r="CW200" s="125" t="n">
        <v>1000</v>
      </c>
      <c r="CX200" s="0" t="n">
        <v>3</v>
      </c>
      <c r="CY200" s="0" t="n">
        <f aca="false">IF(CW200="","",IF(CX200=0,CW200,IF(CX200=1,CW200/30,IF(CX200=2,CW200/15,IF(CX200=3,CW200/7,CW200)))))</f>
        <v>142.857142857143</v>
      </c>
      <c r="CZ200" s="0" t="n">
        <f aca="false">IF(DI200&gt;0,DI200,IF(CY200&gt;0,CY200,IF(CV200&gt;0,CV200,"")))</f>
        <v>142.857142857143</v>
      </c>
      <c r="DA200" s="0" t="n">
        <f aca="false">IF(DM200=1,CZ200/8,IF(OR(DM200=2,DM200=4),CZ200/7,IF(DM200=3,CZ200/7.5,"")))</f>
        <v>17.8571428571429</v>
      </c>
      <c r="DB200" s="0" t="s">
        <v>216</v>
      </c>
      <c r="DC200" s="0" t="s">
        <v>216</v>
      </c>
      <c r="DD200" s="0" t="s">
        <v>216</v>
      </c>
      <c r="DE200" s="0" t="s">
        <v>216</v>
      </c>
      <c r="DF200" s="0" t="s">
        <v>216</v>
      </c>
      <c r="DG200" s="0" t="s">
        <v>216</v>
      </c>
      <c r="DH200" s="0" t="n">
        <v>0</v>
      </c>
      <c r="DI200" s="126" t="n">
        <f aca="false">1000/7</f>
        <v>142.857142857143</v>
      </c>
      <c r="DK200" s="0" t="n">
        <v>0</v>
      </c>
      <c r="DM200" s="0" t="n">
        <v>1</v>
      </c>
      <c r="DN200" s="0" t="n">
        <v>60</v>
      </c>
      <c r="DO200" s="0" t="n">
        <v>3</v>
      </c>
      <c r="DP200" s="0" t="n">
        <v>0</v>
      </c>
      <c r="DQ200" s="0" t="n">
        <v>1</v>
      </c>
      <c r="DR200" s="0"/>
      <c r="DS200" s="0" t="n">
        <v>1</v>
      </c>
      <c r="DU200" s="0" t="n">
        <v>0</v>
      </c>
      <c r="DW200" s="1" t="s">
        <v>1775</v>
      </c>
      <c r="DX200" s="1" t="s">
        <v>1775</v>
      </c>
      <c r="DZ200" s="0"/>
      <c r="EA200" s="0" t="n">
        <v>1</v>
      </c>
      <c r="EC200" s="1" t="n">
        <v>40544</v>
      </c>
      <c r="ED200" s="1" t="n">
        <v>40712</v>
      </c>
      <c r="EF200" s="0"/>
      <c r="EG200" s="0" t="n">
        <v>1</v>
      </c>
      <c r="EH200" s="0" t="s">
        <v>221</v>
      </c>
      <c r="EI200" s="0" t="str">
        <f aca="false">IF(AND(DM200=1,DN200&lt;=48),"",IF(AND(DM200=2,DN200&lt;=42),"",IF(AND(DM200=3,DN200&lt;=45),"",EH200)))</f>
        <v>NO ESPECIFICA</v>
      </c>
      <c r="EJ200" s="0" t="n">
        <f aca="false">IF(EI200="","",IF(EI200&lt;9,EI200,9))</f>
        <v>9</v>
      </c>
      <c r="EK200" s="0" t="e">
        <f aca="false">IF(EI200="","",IF(EI200&gt;9,EI200-EJ200,0))</f>
        <v>#VALUE!</v>
      </c>
      <c r="EL200" s="0" t="e">
        <f aca="false">IF(EI200="","",EJ200*DA200*2+EK200*DA200*3)</f>
        <v>#VALUE!</v>
      </c>
      <c r="EP200" s="0" t="n">
        <v>1</v>
      </c>
      <c r="EQ200" s="0"/>
      <c r="ER200" s="0" t="n">
        <v>0</v>
      </c>
      <c r="ET200" s="0" t="n">
        <v>0</v>
      </c>
      <c r="EV200" s="0" t="n">
        <v>0</v>
      </c>
      <c r="EX200" s="0" t="n">
        <v>1</v>
      </c>
      <c r="EY200" s="0" t="n">
        <v>1</v>
      </c>
      <c r="EZ200" s="0"/>
      <c r="FA200" s="4" t="n">
        <v>0</v>
      </c>
      <c r="FB200" s="0" t="n">
        <v>0</v>
      </c>
      <c r="FF200" s="120" t="n">
        <f aca="false">(CJ200-CI200+1)/365</f>
        <v>11.8493150684932</v>
      </c>
      <c r="FG200" s="0" t="str">
        <f aca="false">CONCATENATE(F200,"/",G200)</f>
        <v>1373/2011</v>
      </c>
      <c r="FH200" s="0" t="n">
        <v>0</v>
      </c>
      <c r="FI200" s="0" t="n">
        <v>0</v>
      </c>
    </row>
    <row r="201" customFormat="false" ht="15" hidden="false" customHeight="false" outlineLevel="0" collapsed="false">
      <c r="A201" s="5" t="str">
        <f aca="false">E201&amp;G201&amp;F201</f>
        <v>720111400</v>
      </c>
      <c r="B201" s="0" t="s">
        <v>2166</v>
      </c>
      <c r="C201" s="1" t="n">
        <v>42041</v>
      </c>
      <c r="D201" s="0" t="s">
        <v>2167</v>
      </c>
      <c r="E201" s="0" t="n">
        <v>7</v>
      </c>
      <c r="F201" s="0" t="n">
        <v>1400</v>
      </c>
      <c r="G201" s="0" t="n">
        <v>2011</v>
      </c>
      <c r="H201" s="0" t="str">
        <f aca="false">"J"&amp;E201&amp;"\"&amp;F201&amp;"\"&amp;G201&amp;"\"&amp;W201</f>
        <v>J7\1400\2011\1</v>
      </c>
      <c r="I201" s="0"/>
      <c r="J201" s="1" t="n">
        <v>40771</v>
      </c>
      <c r="M201" s="1"/>
      <c r="N201" s="1"/>
      <c r="O201" s="1"/>
      <c r="P201" s="1"/>
      <c r="Q201" s="1"/>
      <c r="T201" s="121"/>
      <c r="U201" s="121"/>
      <c r="V201" s="122" t="n">
        <f aca="false">IF(AND(E201&gt;0,F201&gt;0,G201&gt;0),COUNTIFS($E:$E,E201,$F:$F,F201,$G:$G,G201),"")</f>
        <v>1</v>
      </c>
      <c r="W201" s="122" t="n">
        <f aca="false">IF(V201="","",IF(V201=1,1,IF(AND(E200=E201,F200=F201,G200=G201),W200+1,1)))</f>
        <v>1</v>
      </c>
      <c r="X201" s="0" t="n">
        <v>1</v>
      </c>
      <c r="Y201" s="0" t="n">
        <v>5</v>
      </c>
      <c r="Z201" s="0" t="s">
        <v>2271</v>
      </c>
      <c r="AA201" s="0" t="n">
        <v>0</v>
      </c>
      <c r="AB201" s="0" t="s">
        <v>2272</v>
      </c>
      <c r="AC201" s="0" t="s">
        <v>318</v>
      </c>
      <c r="AD201" s="0" t="s">
        <v>216</v>
      </c>
      <c r="AE201" s="0" t="n">
        <v>0</v>
      </c>
      <c r="AF201" s="0" t="s">
        <v>2273</v>
      </c>
      <c r="AG201" s="0" t="n">
        <v>0</v>
      </c>
      <c r="AH201" s="0" t="s">
        <v>2274</v>
      </c>
      <c r="AI201" s="0" t="s">
        <v>216</v>
      </c>
      <c r="AJ201" s="0" t="s">
        <v>2179</v>
      </c>
      <c r="AL201" s="0" t="s">
        <v>2275</v>
      </c>
      <c r="AM201" s="0" t="n">
        <v>0</v>
      </c>
      <c r="AN201" s="0" t="s">
        <v>2274</v>
      </c>
      <c r="AO201" s="0" t="s">
        <v>216</v>
      </c>
      <c r="AP201" s="0" t="s">
        <v>2179</v>
      </c>
      <c r="AR201" s="0" t="s">
        <v>2276</v>
      </c>
      <c r="AS201" s="0" t="n">
        <v>0</v>
      </c>
      <c r="AT201" s="0" t="s">
        <v>2274</v>
      </c>
      <c r="AU201" s="0" t="s">
        <v>216</v>
      </c>
      <c r="AV201" s="0" t="s">
        <v>2179</v>
      </c>
      <c r="AX201" s="0" t="s">
        <v>2277</v>
      </c>
      <c r="AY201" s="0" t="n">
        <v>0</v>
      </c>
      <c r="AZ201" s="0" t="s">
        <v>2274</v>
      </c>
      <c r="BA201" s="0" t="s">
        <v>216</v>
      </c>
      <c r="BB201" s="0" t="s">
        <v>2179</v>
      </c>
      <c r="BP201" s="0" t="n">
        <v>0</v>
      </c>
      <c r="BQ201" s="0" t="n">
        <v>0</v>
      </c>
      <c r="BR201" s="0" t="n">
        <v>1</v>
      </c>
      <c r="BS201" s="0" t="s">
        <v>1515</v>
      </c>
      <c r="BT201" s="0" t="s">
        <v>2278</v>
      </c>
      <c r="BU201" s="0" t="s">
        <v>2279</v>
      </c>
      <c r="BV201" s="123"/>
      <c r="BW201" s="123"/>
      <c r="BX201" s="123"/>
      <c r="BY201" s="123"/>
      <c r="BZ201" s="0" t="n">
        <v>0</v>
      </c>
      <c r="CA201" s="0" t="s">
        <v>2280</v>
      </c>
      <c r="CD201" s="0" t="s">
        <v>1308</v>
      </c>
      <c r="CE201" s="0" t="n">
        <v>0</v>
      </c>
      <c r="CF201" s="0" t="s">
        <v>2281</v>
      </c>
      <c r="CI201" s="1" t="n">
        <v>40344</v>
      </c>
      <c r="CJ201" s="1" t="n">
        <v>40745</v>
      </c>
      <c r="CK201" s="124" t="n">
        <v>0.458333333333333</v>
      </c>
      <c r="CL201" s="0" t="s">
        <v>2282</v>
      </c>
      <c r="CM201" s="0" t="n">
        <f aca="false">IF(OR(CI201="",CJ201=""),"",DAYS360(CI201,CJ201)/360)</f>
        <v>1.1</v>
      </c>
      <c r="CN201" s="0" t="n">
        <f aca="false">IF(OR(CI201="",CJ201=""),"",DAYS360(CI201,CJ201)/30)</f>
        <v>13.2</v>
      </c>
      <c r="CO201" s="0" t="n">
        <f aca="false">IF(OR(CI201="",CJ201=""),"",DAYS360(CI201,CJ201)/7)</f>
        <v>56.5714285714286</v>
      </c>
      <c r="CP201" s="0" t="n">
        <f aca="false">IF(OR(CI201="",CJ201=""),"",DAYS360(CI201,CJ201))</f>
        <v>396</v>
      </c>
      <c r="CQ201" s="0" t="s">
        <v>220</v>
      </c>
      <c r="CR201" s="0" t="n">
        <v>1</v>
      </c>
      <c r="CT201" s="0" t="n">
        <v>1500</v>
      </c>
      <c r="CU201" s="0" t="n">
        <v>3</v>
      </c>
      <c r="CV201" s="0" t="n">
        <f aca="false">IF(OR(CT201="",CT201="NO ESPECIFICA",CT201="NO MENCIONA"),"",IF(CU201=0,CT201,IF(CU201=1,CT201/30,IF(CU201=2,CT201/15,IF(CU201=3,CT201/7,"")))))</f>
        <v>214.285714285714</v>
      </c>
      <c r="CW201" s="125" t="n">
        <v>259.67</v>
      </c>
      <c r="CX201" s="0" t="n">
        <v>0</v>
      </c>
      <c r="CY201" s="0" t="n">
        <f aca="false">IF(CW201="","",IF(CX201=0,CW201,IF(CX201=1,CW201/30,IF(CX201=2,CW201/15,IF(CX201=3,CW201/7,CW201)))))</f>
        <v>259.67</v>
      </c>
      <c r="CZ201" s="0" t="n">
        <f aca="false">IF(DI201&gt;0,DI201,IF(CY201&gt;0,CY201,IF(CV201&gt;0,CV201,"")))</f>
        <v>259.67</v>
      </c>
      <c r="DA201" s="0" t="n">
        <f aca="false">IF(DM201=1,CZ201/8,IF(OR(DM201=2,DM201=4),CZ201/7,IF(DM201=3,CZ201/7.5,"")))</f>
        <v>32.45875</v>
      </c>
      <c r="DB201" s="0" t="s">
        <v>627</v>
      </c>
      <c r="DC201" s="0" t="s">
        <v>2283</v>
      </c>
      <c r="DD201" s="0" t="s">
        <v>301</v>
      </c>
      <c r="DE201" s="0" t="s">
        <v>303</v>
      </c>
      <c r="DF201" s="0" t="s">
        <v>216</v>
      </c>
      <c r="DG201" s="0" t="s">
        <v>216</v>
      </c>
      <c r="DH201" s="0" t="n">
        <v>0</v>
      </c>
      <c r="DI201" s="126" t="n">
        <v>259.67</v>
      </c>
      <c r="DK201" s="0" t="n">
        <v>0</v>
      </c>
      <c r="DM201" s="0" t="n">
        <v>1</v>
      </c>
      <c r="DN201" s="0" t="n">
        <f aca="false">10.5*6</f>
        <v>63</v>
      </c>
      <c r="DO201" s="0" t="n">
        <v>3</v>
      </c>
      <c r="DP201" s="0" t="n">
        <v>1</v>
      </c>
      <c r="DQ201" s="0" t="n">
        <v>0</v>
      </c>
      <c r="DR201" s="0"/>
      <c r="DS201" s="0" t="n">
        <v>1</v>
      </c>
      <c r="DU201" s="0" t="n">
        <v>0</v>
      </c>
      <c r="DW201" s="1" t="n">
        <v>40344</v>
      </c>
      <c r="DX201" s="1" t="n">
        <v>40745</v>
      </c>
      <c r="DZ201" s="0"/>
      <c r="EA201" s="0" t="n">
        <v>1</v>
      </c>
      <c r="EC201" s="1" t="n">
        <v>40344</v>
      </c>
      <c r="ED201" s="1" t="n">
        <v>40745</v>
      </c>
      <c r="EF201" s="0"/>
      <c r="EG201" s="0" t="n">
        <v>1</v>
      </c>
      <c r="EH201" s="0" t="n">
        <v>9</v>
      </c>
      <c r="EI201" s="0" t="n">
        <f aca="false">IF(AND(DM201=1,DN201&lt;=48),"",IF(AND(DM201=2,DN201&lt;=42),"",IF(AND(DM201=3,DN201&lt;=45),"",EH201)))</f>
        <v>9</v>
      </c>
      <c r="EJ201" s="0" t="n">
        <f aca="false">IF(EI201="","",IF(EI201&lt;9,EI201,9))</f>
        <v>9</v>
      </c>
      <c r="EK201" s="0" t="n">
        <f aca="false">IF(EI201="","",IF(EI201&gt;9,EI201-EJ201,0))</f>
        <v>0</v>
      </c>
      <c r="EL201" s="0" t="n">
        <f aca="false">IF(EI201="","",EJ201*DA201*2+EK201*DA201*3)</f>
        <v>584.2575</v>
      </c>
      <c r="EP201" s="0" t="n">
        <v>0</v>
      </c>
      <c r="EQ201" s="0"/>
      <c r="ER201" s="0" t="n">
        <v>0</v>
      </c>
      <c r="ET201" s="0" t="n">
        <v>0</v>
      </c>
      <c r="EV201" s="0" t="n">
        <v>1</v>
      </c>
      <c r="EX201" s="0" t="n">
        <v>0</v>
      </c>
      <c r="EY201" s="0" t="n">
        <v>0</v>
      </c>
      <c r="EZ201" s="0"/>
      <c r="FA201" s="4" t="n">
        <v>0</v>
      </c>
      <c r="FB201" s="0" t="n">
        <v>1</v>
      </c>
      <c r="FF201" s="120" t="n">
        <f aca="false">(CJ201-CI201+1)/365</f>
        <v>1.1013698630137</v>
      </c>
      <c r="FG201" s="0" t="str">
        <f aca="false">CONCATENATE(F201,"/",G201)</f>
        <v>1400/2011</v>
      </c>
      <c r="FH201" s="0" t="n">
        <v>0</v>
      </c>
      <c r="FI201" s="0" t="n">
        <v>0</v>
      </c>
    </row>
    <row r="202" customFormat="false" ht="15" hidden="false" customHeight="false" outlineLevel="0" collapsed="false">
      <c r="A202" s="5" t="str">
        <f aca="false">E202&amp;G202&amp;F202</f>
        <v>720111402</v>
      </c>
      <c r="B202" s="0" t="s">
        <v>2166</v>
      </c>
      <c r="C202" s="1" t="n">
        <v>42041</v>
      </c>
      <c r="E202" s="0" t="n">
        <v>7</v>
      </c>
      <c r="F202" s="0" t="n">
        <v>1402</v>
      </c>
      <c r="G202" s="0" t="n">
        <v>2011</v>
      </c>
      <c r="H202" s="0" t="str">
        <f aca="false">"J"&amp;E202&amp;"\"&amp;F202&amp;"\"&amp;G202&amp;"\"&amp;W202</f>
        <v>J7\1402\2011\1</v>
      </c>
      <c r="I202" s="0"/>
      <c r="J202" s="1" t="n">
        <v>40771</v>
      </c>
      <c r="K202" s="0" t="n">
        <v>0</v>
      </c>
      <c r="M202" s="1" t="n">
        <v>40771</v>
      </c>
      <c r="N202" s="1" t="n">
        <v>40983</v>
      </c>
      <c r="O202" s="1"/>
      <c r="P202" s="1"/>
      <c r="Q202" s="1"/>
      <c r="T202" s="121"/>
      <c r="U202" s="121"/>
      <c r="V202" s="122" t="n">
        <f aca="false">IF(AND(E202&gt;0,F202&gt;0,G202&gt;0),COUNTIFS($E:$E,E202,$F:$F,F202,$G:$G,G202),"")</f>
        <v>1</v>
      </c>
      <c r="W202" s="122" t="n">
        <f aca="false">IF(V202="","",IF(V202=1,1,IF(AND(E201=E202,F201=F202,G201=G202),W201+1,1)))</f>
        <v>1</v>
      </c>
      <c r="X202" s="0" t="n">
        <v>1</v>
      </c>
      <c r="Y202" s="0" t="n">
        <v>7</v>
      </c>
      <c r="Z202" s="0" t="s">
        <v>2284</v>
      </c>
      <c r="AA202" s="0" t="n">
        <v>0</v>
      </c>
      <c r="AB202" s="0" t="s">
        <v>2285</v>
      </c>
      <c r="AC202" s="0" t="s">
        <v>2286</v>
      </c>
      <c r="AD202" s="0" t="s">
        <v>216</v>
      </c>
      <c r="AE202" s="0" t="n">
        <v>0</v>
      </c>
      <c r="AF202" s="0" t="s">
        <v>2287</v>
      </c>
      <c r="AG202" s="0" t="n">
        <v>0</v>
      </c>
      <c r="AH202" s="0" t="s">
        <v>2288</v>
      </c>
      <c r="AI202" s="0" t="s">
        <v>2289</v>
      </c>
      <c r="AJ202" s="0" t="s">
        <v>216</v>
      </c>
      <c r="AL202" s="0" t="s">
        <v>2290</v>
      </c>
      <c r="AM202" s="0" t="n">
        <v>1</v>
      </c>
      <c r="AN202" s="0" t="s">
        <v>2288</v>
      </c>
      <c r="AO202" s="0" t="s">
        <v>2289</v>
      </c>
      <c r="AP202" s="0" t="s">
        <v>216</v>
      </c>
      <c r="AR202" s="0" t="s">
        <v>2291</v>
      </c>
      <c r="AS202" s="0" t="n">
        <v>1</v>
      </c>
      <c r="AT202" s="0" t="s">
        <v>2288</v>
      </c>
      <c r="AU202" s="0" t="s">
        <v>2289</v>
      </c>
      <c r="AV202" s="0" t="s">
        <v>216</v>
      </c>
      <c r="AX202" s="0" t="s">
        <v>2292</v>
      </c>
      <c r="AY202" s="0" t="n">
        <v>1</v>
      </c>
      <c r="AZ202" s="0" t="s">
        <v>2288</v>
      </c>
      <c r="BA202" s="0" t="s">
        <v>2289</v>
      </c>
      <c r="BB202" s="0" t="s">
        <v>216</v>
      </c>
      <c r="BD202" s="0" t="s">
        <v>2293</v>
      </c>
      <c r="BE202" s="0" t="n">
        <v>1</v>
      </c>
      <c r="BF202" s="0" t="s">
        <v>2288</v>
      </c>
      <c r="BG202" s="0" t="s">
        <v>2289</v>
      </c>
      <c r="BH202" s="0" t="s">
        <v>216</v>
      </c>
      <c r="BJ202" s="0" t="s">
        <v>2294</v>
      </c>
      <c r="BK202" s="0" t="n">
        <v>1</v>
      </c>
      <c r="BL202" s="0" t="s">
        <v>2288</v>
      </c>
      <c r="BM202" s="0" t="s">
        <v>2289</v>
      </c>
      <c r="BN202" s="0" t="s">
        <v>216</v>
      </c>
      <c r="BP202" s="0" t="n">
        <v>0</v>
      </c>
      <c r="BQ202" s="0" t="n">
        <v>0</v>
      </c>
      <c r="BR202" s="0" t="n">
        <v>1</v>
      </c>
      <c r="BS202" s="0" t="s">
        <v>2295</v>
      </c>
      <c r="BT202" s="0" t="s">
        <v>2296</v>
      </c>
      <c r="BU202" s="0" t="s">
        <v>2297</v>
      </c>
      <c r="BV202" s="123"/>
      <c r="BW202" s="123"/>
      <c r="BX202" s="123"/>
      <c r="BY202" s="123"/>
      <c r="BZ202" s="0" t="n">
        <v>0</v>
      </c>
      <c r="CA202" s="0" t="s">
        <v>216</v>
      </c>
      <c r="CD202" s="0" t="s">
        <v>256</v>
      </c>
      <c r="CE202" s="0" t="n">
        <v>0</v>
      </c>
      <c r="CF202" s="0" t="s">
        <v>216</v>
      </c>
      <c r="CI202" s="1" t="s">
        <v>216</v>
      </c>
      <c r="CJ202" s="1" t="s">
        <v>216</v>
      </c>
      <c r="CK202" s="124" t="s">
        <v>216</v>
      </c>
      <c r="CL202" s="0" t="s">
        <v>2298</v>
      </c>
      <c r="CM202" s="0" t="e">
        <f aca="false">IF(OR(CI202="",CJ202=""),"",DAYS360(CI202,CJ202)/360)</f>
        <v>#VALUE!</v>
      </c>
      <c r="CN202" s="0" t="e">
        <f aca="false">IF(OR(CI202="",CJ202=""),"",DAYS360(CI202,CJ202)/30)</f>
        <v>#VALUE!</v>
      </c>
      <c r="CO202" s="0" t="e">
        <f aca="false">IF(OR(CI202="",CJ202=""),"",DAYS360(CI202,CJ202)/7)</f>
        <v>#VALUE!</v>
      </c>
      <c r="CP202" s="0" t="e">
        <f aca="false">IF(OR(CI202="",CJ202=""),"",DAYS360(CI202,CJ202))</f>
        <v>#VALUE!</v>
      </c>
      <c r="CQ202" s="0" t="s">
        <v>1493</v>
      </c>
      <c r="CR202" s="0" t="n">
        <v>1</v>
      </c>
      <c r="CT202" s="0" t="s">
        <v>216</v>
      </c>
      <c r="CU202" s="0" t="s">
        <v>216</v>
      </c>
      <c r="CV202" s="0" t="str">
        <f aca="false">IF(OR(CT202="",CT202="NO ESPECIFICA",CT202="NO MENCIONA"),"",IF(CU202=0,CT202,IF(CU202=1,CT202/30,IF(CU202=2,CT202/15,IF(CU202=3,CT202/7,"")))))</f>
        <v/>
      </c>
      <c r="CW202" s="125" t="s">
        <v>216</v>
      </c>
      <c r="CX202" s="0" t="s">
        <v>216</v>
      </c>
      <c r="CY202" s="0" t="str">
        <f aca="false">IF(CW202="","",IF(CX202=0,CW202,IF(CX202=1,CW202/30,IF(CX202=2,CW202/15,IF(CX202=3,CW202/7,CW202)))))</f>
        <v>NO MENCIONA</v>
      </c>
      <c r="CZ202" s="0" t="str">
        <f aca="false">IF(DI202&gt;0,DI202,IF(CY202&gt;0,CY202,IF(CV202&gt;0,CV202,"")))</f>
        <v>NO MENCIONA</v>
      </c>
      <c r="DA202" s="0" t="str">
        <f aca="false">IF(DM202=1,CZ202/8,IF(OR(DM202=2,DM202=4),CZ202/7,IF(DM202=3,CZ202/7.5,"")))</f>
        <v/>
      </c>
      <c r="DB202" s="0" t="s">
        <v>216</v>
      </c>
      <c r="DC202" s="0" t="s">
        <v>216</v>
      </c>
      <c r="DD202" s="0" t="s">
        <v>216</v>
      </c>
      <c r="DE202" s="0" t="s">
        <v>216</v>
      </c>
      <c r="DF202" s="0" t="s">
        <v>216</v>
      </c>
      <c r="DG202" s="0" t="s">
        <v>216</v>
      </c>
      <c r="DH202" s="0" t="n">
        <v>0</v>
      </c>
      <c r="DI202" s="126" t="s">
        <v>216</v>
      </c>
      <c r="DK202" s="0" t="n">
        <v>0</v>
      </c>
      <c r="DM202" s="0" t="s">
        <v>385</v>
      </c>
      <c r="DN202" s="0" t="s">
        <v>216</v>
      </c>
      <c r="DO202" s="0" t="s">
        <v>216</v>
      </c>
      <c r="DP202" s="0" t="n">
        <v>0</v>
      </c>
      <c r="DQ202" s="0" t="n">
        <v>0</v>
      </c>
      <c r="DR202" s="0"/>
      <c r="DS202" s="0" t="n">
        <v>0</v>
      </c>
      <c r="DU202" s="0" t="n">
        <v>0</v>
      </c>
      <c r="DW202" s="1" t="s">
        <v>216</v>
      </c>
      <c r="DX202" s="1" t="s">
        <v>216</v>
      </c>
      <c r="DY202" s="0" t="s">
        <v>216</v>
      </c>
      <c r="DZ202" s="0" t="s">
        <v>216</v>
      </c>
      <c r="EA202" s="0" t="n">
        <v>0</v>
      </c>
      <c r="EC202" s="1" t="s">
        <v>216</v>
      </c>
      <c r="ED202" s="1" t="s">
        <v>216</v>
      </c>
      <c r="EE202" s="0" t="s">
        <v>216</v>
      </c>
      <c r="EF202" s="0" t="s">
        <v>216</v>
      </c>
      <c r="EG202" s="0" t="n">
        <v>0</v>
      </c>
      <c r="EI202" s="0" t="n">
        <f aca="false">IF(AND(DM202=1,DN202&lt;=48),"",IF(AND(DM202=2,DN202&lt;=42),"",IF(AND(DM202=3,DN202&lt;=45),"",EH202)))</f>
        <v>0</v>
      </c>
      <c r="EJ202" s="0" t="str">
        <f aca="false">IF(EI202="","",IF(EI202&lt;9,EI202,9))</f>
        <v/>
      </c>
      <c r="EK202" s="0" t="str">
        <f aca="false">IF(EI202="","",IF(EI202&gt;9,EI202-EJ202,0))</f>
        <v/>
      </c>
      <c r="EL202" s="0" t="str">
        <f aca="false">IF(EI202="","",EJ202*DA202*2+EK202*DA202*3)</f>
        <v/>
      </c>
      <c r="EP202" s="0" t="n">
        <v>0</v>
      </c>
      <c r="EQ202" s="0"/>
      <c r="ER202" s="0" t="n">
        <v>0</v>
      </c>
      <c r="ET202" s="0" t="n">
        <v>0</v>
      </c>
      <c r="EV202" s="0" t="n">
        <v>0</v>
      </c>
      <c r="EX202" s="0" t="n">
        <v>1</v>
      </c>
      <c r="EY202" s="0" t="n">
        <v>0</v>
      </c>
      <c r="EZ202" s="0"/>
      <c r="FA202" s="4" t="n">
        <f aca="false">5666.67+8387+5666.67</f>
        <v>19720.34</v>
      </c>
      <c r="FB202" s="0" t="n">
        <v>0</v>
      </c>
      <c r="FF202" s="120" t="e">
        <f aca="false">(CJ202-CI202+1)/365</f>
        <v>#VALUE!</v>
      </c>
      <c r="FG202" s="0" t="str">
        <f aca="false">CONCATENATE(F202,"/",G202)</f>
        <v>1402/2011</v>
      </c>
      <c r="FH202" s="0" t="n">
        <v>0</v>
      </c>
      <c r="FI202" s="0" t="n">
        <v>0</v>
      </c>
    </row>
    <row r="203" customFormat="false" ht="15" hidden="false" customHeight="false" outlineLevel="0" collapsed="false">
      <c r="A203" s="5" t="str">
        <f aca="false">E203&amp;G203&amp;F203</f>
        <v>720111407</v>
      </c>
      <c r="B203" s="0" t="s">
        <v>2166</v>
      </c>
      <c r="C203" s="1" t="n">
        <v>42041</v>
      </c>
      <c r="D203" s="0" t="s">
        <v>2167</v>
      </c>
      <c r="E203" s="0" t="n">
        <v>7</v>
      </c>
      <c r="F203" s="0" t="n">
        <v>1407</v>
      </c>
      <c r="G203" s="0" t="n">
        <v>2011</v>
      </c>
      <c r="H203" s="0" t="str">
        <f aca="false">"J"&amp;E203&amp;"\"&amp;F203&amp;"\"&amp;G203&amp;"\"&amp;W203</f>
        <v>J7\1407\2011\1</v>
      </c>
      <c r="I203" s="0"/>
      <c r="J203" s="1" t="n">
        <v>40772</v>
      </c>
      <c r="M203" s="1"/>
      <c r="N203" s="1"/>
      <c r="O203" s="1"/>
      <c r="P203" s="1"/>
      <c r="Q203" s="1"/>
      <c r="T203" s="121"/>
      <c r="U203" s="121"/>
      <c r="V203" s="122" t="n">
        <f aca="false">IF(AND(E203&gt;0,F203&gt;0,G203&gt;0),COUNTIFS($E:$E,E203,$F:$F,F203,$G:$G,G203),"")</f>
        <v>1</v>
      </c>
      <c r="W203" s="122" t="n">
        <f aca="false">IF(V203="","",IF(V203=1,1,IF(AND(E202=E203,F202=F203,G202=G203),W202+1,1)))</f>
        <v>1</v>
      </c>
      <c r="X203" s="0" t="n">
        <v>1</v>
      </c>
      <c r="Y203" s="0" t="n">
        <v>5</v>
      </c>
      <c r="Z203" s="0" t="s">
        <v>2299</v>
      </c>
      <c r="AA203" s="0" t="n">
        <v>0</v>
      </c>
      <c r="AB203" s="0" t="s">
        <v>799</v>
      </c>
      <c r="AC203" s="0" t="s">
        <v>251</v>
      </c>
      <c r="AD203" s="0" t="s">
        <v>1160</v>
      </c>
      <c r="AE203" s="0" t="n">
        <v>0</v>
      </c>
      <c r="AF203" s="0" t="s">
        <v>2300</v>
      </c>
      <c r="AG203" s="0" t="n">
        <v>0</v>
      </c>
      <c r="AH203" s="0" t="s">
        <v>2301</v>
      </c>
      <c r="AI203" s="0" t="s">
        <v>228</v>
      </c>
      <c r="AJ203" s="0" t="s">
        <v>216</v>
      </c>
      <c r="AL203" s="0" t="s">
        <v>2302</v>
      </c>
      <c r="AM203" s="0" t="n">
        <v>1</v>
      </c>
      <c r="AN203" s="0" t="s">
        <v>2301</v>
      </c>
      <c r="AO203" s="0" t="s">
        <v>228</v>
      </c>
      <c r="AP203" s="0" t="s">
        <v>216</v>
      </c>
      <c r="AR203" s="0" t="s">
        <v>2303</v>
      </c>
      <c r="AS203" s="0" t="n">
        <v>1</v>
      </c>
      <c r="AT203" s="0" t="s">
        <v>2301</v>
      </c>
      <c r="AU203" s="0" t="s">
        <v>228</v>
      </c>
      <c r="AV203" s="0" t="s">
        <v>216</v>
      </c>
      <c r="AX203" s="0" t="s">
        <v>2304</v>
      </c>
      <c r="AY203" s="0" t="n">
        <v>1</v>
      </c>
      <c r="AZ203" s="0" t="s">
        <v>2301</v>
      </c>
      <c r="BA203" s="0" t="s">
        <v>228</v>
      </c>
      <c r="BB203" s="0" t="s">
        <v>216</v>
      </c>
      <c r="BP203" s="0" t="n">
        <v>0</v>
      </c>
      <c r="BQ203" s="0" t="n">
        <v>0</v>
      </c>
      <c r="BR203" s="0" t="n">
        <v>1</v>
      </c>
      <c r="BS203" s="0" t="s">
        <v>808</v>
      </c>
      <c r="BV203" s="123"/>
      <c r="BW203" s="123"/>
      <c r="BX203" s="123"/>
      <c r="BY203" s="123"/>
      <c r="BZ203" s="0" t="n">
        <v>0</v>
      </c>
      <c r="CA203" s="0" t="s">
        <v>216</v>
      </c>
      <c r="CD203" s="0" t="s">
        <v>256</v>
      </c>
      <c r="CE203" s="0" t="n">
        <v>0</v>
      </c>
      <c r="CF203" s="0" t="s">
        <v>2305</v>
      </c>
      <c r="CI203" s="1" t="n">
        <v>38724</v>
      </c>
      <c r="CJ203" s="1" t="n">
        <v>40767</v>
      </c>
      <c r="CK203" s="124" t="n">
        <v>0.291666666666667</v>
      </c>
      <c r="CL203" s="0" t="s">
        <v>2302</v>
      </c>
      <c r="CM203" s="0" t="n">
        <f aca="false">IF(OR(CI203="",CJ203=""),"",DAYS360(CI203,CJ203)/360)</f>
        <v>5.59722222222222</v>
      </c>
      <c r="CN203" s="0" t="n">
        <f aca="false">IF(OR(CI203="",CJ203=""),"",DAYS360(CI203,CJ203)/30)</f>
        <v>67.1666666666667</v>
      </c>
      <c r="CO203" s="0" t="n">
        <f aca="false">IF(OR(CI203="",CJ203=""),"",DAYS360(CI203,CJ203)/7)</f>
        <v>287.857142857143</v>
      </c>
      <c r="CP203" s="0" t="n">
        <f aca="false">IF(OR(CI203="",CJ203=""),"",DAYS360(CI203,CJ203))</f>
        <v>2015</v>
      </c>
      <c r="CQ203" s="0" t="s">
        <v>240</v>
      </c>
      <c r="CR203" s="0" t="n">
        <v>1</v>
      </c>
      <c r="CT203" s="0" t="n">
        <v>220</v>
      </c>
      <c r="CU203" s="0" t="n">
        <v>0</v>
      </c>
      <c r="CV203" s="0" t="n">
        <f aca="false">IF(OR(CT203="",CT203="NO ESPECIFICA",CT203="NO MENCIONA"),"",IF(CU203=0,CT203,IF(CU203=1,CT203/30,IF(CU203=2,CT203/15,IF(CU203=3,CT203/7,"")))))</f>
        <v>220</v>
      </c>
      <c r="CW203" s="125" t="n">
        <v>320</v>
      </c>
      <c r="CX203" s="0" t="n">
        <v>0</v>
      </c>
      <c r="CY203" s="0" t="n">
        <f aca="false">IF(CW203="","",IF(CX203=0,CW203,IF(CX203=1,CW203/30,IF(CX203=2,CW203/15,IF(CX203=3,CW203/7,CW203)))))</f>
        <v>320</v>
      </c>
      <c r="CZ203" s="0" t="n">
        <f aca="false">IF(DI203&gt;0,DI203,IF(CY203&gt;0,CY203,IF(CV203&gt;0,CV203,"")))</f>
        <v>320</v>
      </c>
      <c r="DA203" s="0" t="n">
        <f aca="false">IF(DM203=1,CZ203/8,IF(OR(DM203=2,DM203=4),CZ203/7,IF(DM203=3,CZ203/7.5,"")))</f>
        <v>40</v>
      </c>
      <c r="DB203" s="0" t="s">
        <v>259</v>
      </c>
      <c r="DC203" s="0" t="s">
        <v>258</v>
      </c>
      <c r="DD203" s="0" t="s">
        <v>299</v>
      </c>
      <c r="DE203" s="0" t="s">
        <v>2306</v>
      </c>
      <c r="DF203" s="0" t="s">
        <v>300</v>
      </c>
      <c r="DG203" s="0" t="s">
        <v>216</v>
      </c>
      <c r="DH203" s="0" t="n">
        <v>0</v>
      </c>
      <c r="DI203" s="126" t="n">
        <v>320</v>
      </c>
      <c r="DK203" s="0" t="n">
        <v>1</v>
      </c>
      <c r="DM203" s="0" t="n">
        <v>1</v>
      </c>
      <c r="DN203" s="0" t="n">
        <f aca="false">12*6</f>
        <v>72</v>
      </c>
      <c r="DO203" s="0" t="n">
        <v>3</v>
      </c>
      <c r="DP203" s="0" t="n">
        <v>0</v>
      </c>
      <c r="DQ203" s="0" t="n">
        <v>1</v>
      </c>
      <c r="DR203" s="0"/>
      <c r="DS203" s="0" t="n">
        <v>1</v>
      </c>
      <c r="DU203" s="0" t="n">
        <v>1</v>
      </c>
      <c r="DW203" s="1" t="n">
        <v>38724</v>
      </c>
      <c r="DX203" s="1" t="n">
        <v>40767</v>
      </c>
      <c r="DZ203" s="0"/>
      <c r="EA203" s="0" t="n">
        <v>1</v>
      </c>
      <c r="EC203" s="1" t="n">
        <v>38724</v>
      </c>
      <c r="ED203" s="1" t="n">
        <v>40767</v>
      </c>
      <c r="EF203" s="0"/>
      <c r="EG203" s="0" t="n">
        <v>1</v>
      </c>
      <c r="EH203" s="0" t="n">
        <v>24</v>
      </c>
      <c r="EI203" s="0" t="n">
        <f aca="false">IF(AND(DM203=1,DN203&lt;=48),"",IF(AND(DM203=2,DN203&lt;=42),"",IF(AND(DM203=3,DN203&lt;=45),"",EH203)))</f>
        <v>24</v>
      </c>
      <c r="EJ203" s="0" t="n">
        <f aca="false">IF(EI203="","",IF(EI203&lt;9,EI203,9))</f>
        <v>9</v>
      </c>
      <c r="EK203" s="0" t="n">
        <f aca="false">IF(EI203="","",IF(EI203&gt;9,EI203-EJ203,0))</f>
        <v>15</v>
      </c>
      <c r="EL203" s="0" t="n">
        <f aca="false">IF(EI203="","",EJ203*DA203*2+EK203*DA203*3)</f>
        <v>2520</v>
      </c>
      <c r="EP203" s="0" t="n">
        <v>0</v>
      </c>
      <c r="EQ203" s="0"/>
      <c r="ER203" s="0" t="n">
        <v>1</v>
      </c>
      <c r="ET203" s="0" t="n">
        <v>1</v>
      </c>
      <c r="EV203" s="0" t="n">
        <v>0</v>
      </c>
      <c r="EX203" s="0" t="n">
        <v>0</v>
      </c>
      <c r="EY203" s="0" t="n">
        <v>0</v>
      </c>
      <c r="EZ203" s="0"/>
      <c r="FA203" s="4" t="n">
        <f aca="false">320*(15+16+12)+14600+32850</f>
        <v>61210</v>
      </c>
      <c r="FB203" s="0" t="n">
        <v>0</v>
      </c>
      <c r="FF203" s="120" t="n">
        <f aca="false">(CJ203-CI203+1)/365</f>
        <v>5.6</v>
      </c>
      <c r="FG203" s="0" t="str">
        <f aca="false">CONCATENATE(F203,"/",G203)</f>
        <v>1407/2011</v>
      </c>
      <c r="FH203" s="0" t="n">
        <v>0</v>
      </c>
      <c r="FI203" s="0" t="n">
        <v>0</v>
      </c>
    </row>
    <row r="204" customFormat="false" ht="15" hidden="false" customHeight="false" outlineLevel="0" collapsed="false">
      <c r="A204" s="5" t="str">
        <f aca="false">E204&amp;G204&amp;F204</f>
        <v>720111410</v>
      </c>
      <c r="B204" s="0" t="s">
        <v>2166</v>
      </c>
      <c r="C204" s="1" t="n">
        <v>42041</v>
      </c>
      <c r="D204" s="0" t="s">
        <v>2167</v>
      </c>
      <c r="E204" s="0" t="n">
        <v>7</v>
      </c>
      <c r="F204" s="0" t="n">
        <v>1410</v>
      </c>
      <c r="G204" s="0" t="n">
        <v>2011</v>
      </c>
      <c r="H204" s="0" t="str">
        <f aca="false">"J"&amp;E204&amp;"\"&amp;F204&amp;"\"&amp;G204&amp;"\"&amp;W204</f>
        <v>J7\1410\2011\1</v>
      </c>
      <c r="I204" s="0"/>
      <c r="J204" s="1" t="n">
        <v>40772</v>
      </c>
      <c r="M204" s="1"/>
      <c r="N204" s="1"/>
      <c r="O204" s="1"/>
      <c r="P204" s="1"/>
      <c r="Q204" s="1"/>
      <c r="T204" s="121"/>
      <c r="U204" s="121"/>
      <c r="V204" s="122" t="n">
        <f aca="false">IF(AND(E204&gt;0,F204&gt;0,G204&gt;0),COUNTIFS($E:$E,E204,$F:$F,F204,$G:$G,G204),"")</f>
        <v>1</v>
      </c>
      <c r="W204" s="122" t="n">
        <f aca="false">IF(V204="","",IF(V204=1,1,IF(AND(E203=E204,F203=F204,G203=G204),W203+1,1)))</f>
        <v>1</v>
      </c>
      <c r="X204" s="0" t="n">
        <v>1</v>
      </c>
      <c r="Y204" s="0" t="n">
        <v>1</v>
      </c>
      <c r="Z204" s="0" t="s">
        <v>2307</v>
      </c>
      <c r="AA204" s="0" t="n">
        <v>0</v>
      </c>
      <c r="AB204" s="0" t="s">
        <v>2308</v>
      </c>
      <c r="AC204" s="0" t="s">
        <v>318</v>
      </c>
      <c r="AD204" s="0" t="s">
        <v>1160</v>
      </c>
      <c r="AE204" s="0" t="n">
        <v>0</v>
      </c>
      <c r="AF204" s="0" t="s">
        <v>2309</v>
      </c>
      <c r="AG204" s="0" t="n">
        <v>1</v>
      </c>
      <c r="AH204" s="0" t="s">
        <v>2310</v>
      </c>
      <c r="AI204" s="0" t="s">
        <v>1476</v>
      </c>
      <c r="AJ204" s="0" t="s">
        <v>2253</v>
      </c>
      <c r="BP204" s="0" t="n">
        <v>0</v>
      </c>
      <c r="BQ204" s="0" t="n">
        <v>0</v>
      </c>
      <c r="BR204" s="0" t="n">
        <v>1</v>
      </c>
      <c r="BS204" s="0" t="s">
        <v>2311</v>
      </c>
      <c r="BT204" s="0" t="s">
        <v>2312</v>
      </c>
      <c r="BU204" s="0" t="s">
        <v>2313</v>
      </c>
      <c r="BV204" s="123"/>
      <c r="BW204" s="123"/>
      <c r="BX204" s="123"/>
      <c r="BY204" s="123"/>
      <c r="BZ204" s="0" t="n">
        <v>0</v>
      </c>
      <c r="CA204" s="0" t="s">
        <v>216</v>
      </c>
      <c r="CD204" s="0" t="s">
        <v>370</v>
      </c>
      <c r="CE204" s="0" t="n">
        <v>0</v>
      </c>
      <c r="CF204" s="0" t="s">
        <v>2314</v>
      </c>
      <c r="CI204" s="1" t="n">
        <v>38439</v>
      </c>
      <c r="CJ204" s="1" t="n">
        <v>40770</v>
      </c>
      <c r="CK204" s="124" t="n">
        <v>0.552083333333333</v>
      </c>
      <c r="CL204" s="0" t="s">
        <v>2309</v>
      </c>
      <c r="CM204" s="0" t="n">
        <f aca="false">IF(OR(CI204="",CJ204=""),"",DAYS360(CI204,CJ204)/360)</f>
        <v>6.38055555555556</v>
      </c>
      <c r="CN204" s="0" t="n">
        <f aca="false">IF(OR(CI204="",CJ204=""),"",DAYS360(CI204,CJ204)/30)</f>
        <v>76.5666666666667</v>
      </c>
      <c r="CO204" s="0" t="n">
        <f aca="false">IF(OR(CI204="",CJ204=""),"",DAYS360(CI204,CJ204)/7)</f>
        <v>328.142857142857</v>
      </c>
      <c r="CP204" s="0" t="n">
        <f aca="false">IF(OR(CI204="",CJ204=""),"",DAYS360(CI204,CJ204))</f>
        <v>2297</v>
      </c>
      <c r="CQ204" s="0" t="s">
        <v>240</v>
      </c>
      <c r="CR204" s="0" t="n">
        <v>1</v>
      </c>
      <c r="CT204" s="0" t="n">
        <v>700</v>
      </c>
      <c r="CU204" s="0" t="n">
        <v>0</v>
      </c>
      <c r="CV204" s="0" t="n">
        <f aca="false">IF(OR(CT204="",CT204="NO ESPECIFICA",CT204="NO MENCIONA"),"",IF(CU204=0,CT204,IF(CU204=1,CT204/30,IF(CU204=2,CT204/15,IF(CU204=3,CT204/7,"")))))</f>
        <v>700</v>
      </c>
      <c r="CW204" s="125" t="n">
        <v>1033.33</v>
      </c>
      <c r="CX204" s="0" t="n">
        <v>0</v>
      </c>
      <c r="CY204" s="0" t="n">
        <f aca="false">IF(CW204="","",IF(CX204=0,CW204,IF(CX204=1,CW204/30,IF(CX204=2,CW204/15,IF(CX204=3,CW204/7,CW204)))))</f>
        <v>1033.33</v>
      </c>
      <c r="CZ204" s="0" t="n">
        <f aca="false">IF(DI204&gt;0,DI204,IF(CY204&gt;0,CY204,IF(CV204&gt;0,CV204,"")))</f>
        <v>1033.33</v>
      </c>
      <c r="DA204" s="0" t="n">
        <f aca="false">IF(DM204=1,CZ204/8,IF(OR(DM204=2,DM204=4),CZ204/7,IF(DM204=3,CZ204/7.5,"")))</f>
        <v>129.16625</v>
      </c>
      <c r="DB204" s="0" t="s">
        <v>2315</v>
      </c>
      <c r="DC204" s="0" t="s">
        <v>216</v>
      </c>
      <c r="DD204" s="0" t="s">
        <v>216</v>
      </c>
      <c r="DE204" s="0" t="s">
        <v>216</v>
      </c>
      <c r="DF204" s="0" t="s">
        <v>216</v>
      </c>
      <c r="DG204" s="0" t="s">
        <v>216</v>
      </c>
      <c r="DH204" s="0" t="n">
        <v>0</v>
      </c>
      <c r="DI204" s="126" t="n">
        <v>1033.33</v>
      </c>
      <c r="DK204" s="0" t="n">
        <v>0</v>
      </c>
      <c r="DM204" s="0" t="n">
        <v>1</v>
      </c>
      <c r="DN204" s="0" t="n">
        <v>66</v>
      </c>
      <c r="DO204" s="0" t="n">
        <v>3</v>
      </c>
      <c r="DP204" s="0" t="n">
        <v>0</v>
      </c>
      <c r="DQ204" s="0" t="n">
        <v>1</v>
      </c>
      <c r="DR204" s="0"/>
      <c r="DS204" s="0" t="n">
        <v>1</v>
      </c>
      <c r="DU204" s="0" t="n">
        <v>1</v>
      </c>
      <c r="DW204" s="1" t="s">
        <v>216</v>
      </c>
      <c r="DX204" s="1" t="s">
        <v>216</v>
      </c>
      <c r="DY204" s="0" t="s">
        <v>216</v>
      </c>
      <c r="DZ204" s="0" t="s">
        <v>216</v>
      </c>
      <c r="EA204" s="0" t="n">
        <v>0</v>
      </c>
      <c r="EC204" s="1" t="s">
        <v>216</v>
      </c>
      <c r="ED204" s="1" t="s">
        <v>216</v>
      </c>
      <c r="EE204" s="0" t="s">
        <v>216</v>
      </c>
      <c r="EF204" s="0" t="s">
        <v>216</v>
      </c>
      <c r="EG204" s="0" t="n">
        <v>0</v>
      </c>
      <c r="EI204" s="0" t="n">
        <f aca="false">IF(AND(DM204=1,DN204&lt;=48),"",IF(AND(DM204=2,DN204&lt;=42),"",IF(AND(DM204=3,DN204&lt;=45),"",EH204)))</f>
        <v>0</v>
      </c>
      <c r="EJ204" s="0" t="str">
        <f aca="false">IF(EI204="","",IF(EI204&lt;9,EI204,9))</f>
        <v/>
      </c>
      <c r="EK204" s="0" t="str">
        <f aca="false">IF(EI204="","",IF(EI204&gt;9,EI204-EJ204,0))</f>
        <v/>
      </c>
      <c r="EL204" s="0" t="str">
        <f aca="false">IF(EI204="","",EJ204*DA204*2+EK204*DA204*3)</f>
        <v/>
      </c>
      <c r="EP204" s="0" t="n">
        <v>0</v>
      </c>
      <c r="EQ204" s="0"/>
      <c r="ER204" s="0" t="n">
        <v>0</v>
      </c>
      <c r="ET204" s="0" t="n">
        <v>0</v>
      </c>
      <c r="EV204" s="0" t="n">
        <v>0</v>
      </c>
      <c r="EX204" s="0" t="n">
        <v>0</v>
      </c>
      <c r="EY204" s="0" t="n">
        <v>0</v>
      </c>
      <c r="EZ204" s="0"/>
      <c r="FA204" s="4" t="n">
        <v>0</v>
      </c>
      <c r="FB204" s="0" t="n">
        <v>0</v>
      </c>
      <c r="FF204" s="120" t="n">
        <f aca="false">(CJ204-CI204+1)/365</f>
        <v>6.38904109589041</v>
      </c>
      <c r="FG204" s="0" t="str">
        <f aca="false">CONCATENATE(F204,"/",G204)</f>
        <v>1410/2011</v>
      </c>
      <c r="FH204" s="0" t="n">
        <v>0</v>
      </c>
      <c r="FI204" s="0" t="n">
        <v>0</v>
      </c>
    </row>
    <row r="205" customFormat="false" ht="15" hidden="false" customHeight="false" outlineLevel="0" collapsed="false">
      <c r="A205" s="5" t="str">
        <f aca="false">E205&amp;G205&amp;F205</f>
        <v>720111411</v>
      </c>
      <c r="B205" s="0" t="s">
        <v>2166</v>
      </c>
      <c r="C205" s="1" t="n">
        <v>42041</v>
      </c>
      <c r="E205" s="0" t="n">
        <v>7</v>
      </c>
      <c r="F205" s="0" t="n">
        <v>1411</v>
      </c>
      <c r="G205" s="0" t="n">
        <v>2011</v>
      </c>
      <c r="H205" s="0" t="str">
        <f aca="false">"J"&amp;E205&amp;"\"&amp;F205&amp;"\"&amp;G205&amp;"\"&amp;W205</f>
        <v>J7\1411\2011\1</v>
      </c>
      <c r="I205" s="0"/>
      <c r="J205" s="1" t="n">
        <v>40772</v>
      </c>
      <c r="K205" s="0" t="n">
        <v>0</v>
      </c>
      <c r="M205" s="1" t="n">
        <v>40772</v>
      </c>
      <c r="N205" s="1" t="n">
        <v>40983</v>
      </c>
      <c r="O205" s="1"/>
      <c r="P205" s="1"/>
      <c r="Q205" s="1"/>
      <c r="T205" s="121"/>
      <c r="U205" s="121"/>
      <c r="V205" s="122" t="n">
        <f aca="false">IF(AND(E205&gt;0,F205&gt;0,G205&gt;0),COUNTIFS($E:$E,E205,$F:$F,F205,$G:$G,G205),"")</f>
        <v>4</v>
      </c>
      <c r="W205" s="122" t="n">
        <f aca="false">IF(V205="","",IF(V205=1,1,IF(AND(E204=E205,F204=F205,G204=G205),W204+1,1)))</f>
        <v>1</v>
      </c>
      <c r="X205" s="0" t="n">
        <v>4</v>
      </c>
      <c r="Y205" s="0" t="n">
        <v>4</v>
      </c>
      <c r="Z205" s="0" t="s">
        <v>2316</v>
      </c>
      <c r="AA205" s="0" t="n">
        <v>0</v>
      </c>
      <c r="AB205" s="0" t="s">
        <v>2317</v>
      </c>
      <c r="AC205" s="0" t="s">
        <v>1661</v>
      </c>
      <c r="AD205" s="0" t="s">
        <v>1160</v>
      </c>
      <c r="AE205" s="0" t="n">
        <v>0</v>
      </c>
      <c r="AF205" s="0" t="s">
        <v>2318</v>
      </c>
      <c r="AG205" s="0" t="n">
        <v>0</v>
      </c>
      <c r="AH205" s="0" t="s">
        <v>2319</v>
      </c>
      <c r="AI205" s="0" t="s">
        <v>2320</v>
      </c>
      <c r="AJ205" s="0" t="s">
        <v>216</v>
      </c>
      <c r="AL205" s="0" t="s">
        <v>2321</v>
      </c>
      <c r="AM205" s="0" t="n">
        <v>0</v>
      </c>
      <c r="AN205" s="0" t="s">
        <v>2319</v>
      </c>
      <c r="AO205" s="0" t="s">
        <v>2320</v>
      </c>
      <c r="AP205" s="0" t="s">
        <v>216</v>
      </c>
      <c r="AR205" s="0" t="s">
        <v>2322</v>
      </c>
      <c r="AS205" s="0" t="n">
        <v>1</v>
      </c>
      <c r="AT205" s="0" t="s">
        <v>2319</v>
      </c>
      <c r="AU205" s="0" t="s">
        <v>2320</v>
      </c>
      <c r="AV205" s="0" t="s">
        <v>216</v>
      </c>
      <c r="AX205" s="0" t="s">
        <v>1880</v>
      </c>
      <c r="AY205" s="0" t="n">
        <v>1</v>
      </c>
      <c r="AZ205" s="0" t="s">
        <v>2319</v>
      </c>
      <c r="BA205" s="0" t="s">
        <v>2320</v>
      </c>
      <c r="BB205" s="0" t="s">
        <v>216</v>
      </c>
      <c r="BP205" s="0" t="n">
        <v>0</v>
      </c>
      <c r="BQ205" s="0" t="n">
        <v>0</v>
      </c>
      <c r="BR205" s="0" t="n">
        <v>1</v>
      </c>
      <c r="BS205" s="0" t="s">
        <v>2323</v>
      </c>
      <c r="BT205" s="0" t="s">
        <v>2324</v>
      </c>
      <c r="BU205" s="0" t="s">
        <v>2325</v>
      </c>
      <c r="BV205" s="123"/>
      <c r="BW205" s="123"/>
      <c r="BX205" s="123"/>
      <c r="BY205" s="123"/>
      <c r="BZ205" s="0" t="n">
        <v>0</v>
      </c>
      <c r="CA205" s="0" t="s">
        <v>216</v>
      </c>
      <c r="CD205" s="0" t="s">
        <v>1308</v>
      </c>
      <c r="CE205" s="0" t="n">
        <v>0</v>
      </c>
      <c r="CF205" s="0" t="s">
        <v>2326</v>
      </c>
      <c r="CI205" s="1" t="n">
        <v>38992</v>
      </c>
      <c r="CJ205" s="1" t="n">
        <v>40712</v>
      </c>
      <c r="CK205" s="124" t="n">
        <v>0.5</v>
      </c>
      <c r="CL205" s="0" t="s">
        <v>2327</v>
      </c>
      <c r="CM205" s="0" t="n">
        <f aca="false">IF(OR(CI205="",CJ205=""),"",DAYS360(CI205,CJ205)/360)</f>
        <v>4.71111111111111</v>
      </c>
      <c r="CN205" s="0" t="n">
        <f aca="false">IF(OR(CI205="",CJ205=""),"",DAYS360(CI205,CJ205)/30)</f>
        <v>56.5333333333333</v>
      </c>
      <c r="CO205" s="0" t="n">
        <f aca="false">IF(OR(CI205="",CJ205=""),"",DAYS360(CI205,CJ205)/7)</f>
        <v>242.285714285714</v>
      </c>
      <c r="CP205" s="0" t="n">
        <f aca="false">IF(OR(CI205="",CJ205=""),"",DAYS360(CI205,CJ205))</f>
        <v>1696</v>
      </c>
      <c r="CQ205" s="0" t="s">
        <v>220</v>
      </c>
      <c r="CR205" s="0" t="n">
        <v>1</v>
      </c>
      <c r="CT205" s="0" t="n">
        <v>308.57</v>
      </c>
      <c r="CU205" s="0" t="n">
        <v>0</v>
      </c>
      <c r="CV205" s="0" t="n">
        <f aca="false">IF(OR(CT205="",CT205="NO ESPECIFICA",CT205="NO MENCIONA"),"",IF(CU205=0,CT205,IF(CU205=1,CT205/30,IF(CU205=2,CT205/15,IF(CU205=3,CT205/7,"")))))</f>
        <v>308.57</v>
      </c>
      <c r="CW205" s="125" t="n">
        <v>333.52</v>
      </c>
      <c r="CX205" s="0" t="n">
        <v>0</v>
      </c>
      <c r="CY205" s="0" t="n">
        <f aca="false">IF(CW205="","",IF(CX205=0,CW205,IF(CX205=1,CW205/30,IF(CX205=2,CW205/15,IF(CX205=3,CW205/7,CW205)))))</f>
        <v>333.52</v>
      </c>
      <c r="CZ205" s="0" t="n">
        <f aca="false">IF(DI205&gt;0,DI205,IF(CY205&gt;0,CY205,IF(CV205&gt;0,CV205,"")))</f>
        <v>333.52</v>
      </c>
      <c r="DA205" s="0" t="n">
        <f aca="false">IF(DM205=1,CZ205/8,IF(OR(DM205=2,DM205=4),CZ205/7,IF(DM205=3,CZ205/7.5,"")))</f>
        <v>41.69</v>
      </c>
      <c r="DB205" s="0" t="s">
        <v>303</v>
      </c>
      <c r="DC205" s="0" t="s">
        <v>302</v>
      </c>
      <c r="DD205" s="0" t="s">
        <v>301</v>
      </c>
      <c r="DE205" s="0" t="s">
        <v>216</v>
      </c>
      <c r="DF205" s="0" t="s">
        <v>216</v>
      </c>
      <c r="DG205" s="0" t="s">
        <v>216</v>
      </c>
      <c r="DH205" s="0" t="n">
        <v>0</v>
      </c>
      <c r="DI205" s="126" t="n">
        <v>333.52</v>
      </c>
      <c r="DK205" s="0" t="n">
        <v>0</v>
      </c>
      <c r="DM205" s="0" t="n">
        <v>1</v>
      </c>
      <c r="DN205" s="0" t="n">
        <v>55</v>
      </c>
      <c r="DO205" s="0" t="n">
        <v>3</v>
      </c>
      <c r="DP205" s="0" t="n">
        <v>1</v>
      </c>
      <c r="DQ205" s="0" t="n">
        <v>1</v>
      </c>
      <c r="DR205" s="0"/>
      <c r="DS205" s="0" t="n">
        <v>1</v>
      </c>
      <c r="DU205" s="0" t="n">
        <v>1</v>
      </c>
      <c r="DW205" s="1" t="n">
        <f aca="false">CI205</f>
        <v>38992</v>
      </c>
      <c r="DX205" s="1" t="n">
        <v>40712</v>
      </c>
      <c r="DZ205" s="0"/>
      <c r="EA205" s="0" t="n">
        <v>1</v>
      </c>
      <c r="EC205" s="1" t="n">
        <f aca="false">CI205</f>
        <v>38992</v>
      </c>
      <c r="ED205" s="1" t="n">
        <v>40712</v>
      </c>
      <c r="EF205" s="0"/>
      <c r="EG205" s="0" t="n">
        <v>1</v>
      </c>
      <c r="EH205" s="0" t="n">
        <v>7</v>
      </c>
      <c r="EI205" s="0" t="n">
        <f aca="false">IF(AND(DM205=1,DN205&lt;=48),"",IF(AND(DM205=2,DN205&lt;=42),"",IF(AND(DM205=3,DN205&lt;=45),"",EH205)))</f>
        <v>7</v>
      </c>
      <c r="EJ205" s="0" t="n">
        <f aca="false">IF(EI205="","",IF(EI205&lt;9,EI205,9))</f>
        <v>7</v>
      </c>
      <c r="EK205" s="0" t="n">
        <f aca="false">IF(EI205="","",IF(EI205&gt;9,EI205-EJ205,0))</f>
        <v>0</v>
      </c>
      <c r="EL205" s="0" t="n">
        <f aca="false">IF(EI205="","",EJ205*DA205*2+EK205*DA205*3)</f>
        <v>583.66</v>
      </c>
      <c r="EP205" s="0" t="n">
        <v>1</v>
      </c>
      <c r="EQ205" s="0"/>
      <c r="ER205" s="0" t="n">
        <v>0</v>
      </c>
      <c r="ET205" s="0" t="n">
        <v>0</v>
      </c>
      <c r="EV205" s="0" t="n">
        <v>0</v>
      </c>
      <c r="EX205" s="0" t="n">
        <v>1</v>
      </c>
      <c r="EY205" s="0" t="n">
        <v>1</v>
      </c>
      <c r="EZ205" s="0"/>
      <c r="FA205" s="4" t="n">
        <f aca="false">6670.4</f>
        <v>6670.4</v>
      </c>
      <c r="FB205" s="0" t="n">
        <v>1</v>
      </c>
      <c r="FF205" s="120" t="n">
        <f aca="false">(CJ205-CI205+1)/365</f>
        <v>4.71506849315069</v>
      </c>
      <c r="FG205" s="0" t="str">
        <f aca="false">CONCATENATE(F205,"/",G205)</f>
        <v>1411/2011</v>
      </c>
      <c r="FH205" s="0" t="n">
        <v>0</v>
      </c>
      <c r="FI205" s="0" t="n">
        <v>0</v>
      </c>
    </row>
    <row r="206" customFormat="false" ht="15" hidden="false" customHeight="false" outlineLevel="0" collapsed="false">
      <c r="A206" s="5" t="str">
        <f aca="false">E206&amp;G206&amp;F206</f>
        <v>720111411</v>
      </c>
      <c r="B206" s="0" t="s">
        <v>2166</v>
      </c>
      <c r="C206" s="1" t="n">
        <v>42041</v>
      </c>
      <c r="E206" s="0" t="n">
        <v>7</v>
      </c>
      <c r="F206" s="0" t="n">
        <v>1411</v>
      </c>
      <c r="G206" s="0" t="n">
        <v>2011</v>
      </c>
      <c r="H206" s="0" t="str">
        <f aca="false">"J"&amp;E206&amp;"\"&amp;F206&amp;"\"&amp;G206&amp;"\"&amp;W206</f>
        <v>J7\1411\2011\2</v>
      </c>
      <c r="I206" s="0"/>
      <c r="J206" s="1" t="n">
        <v>40772</v>
      </c>
      <c r="K206" s="0" t="n">
        <v>0</v>
      </c>
      <c r="M206" s="1" t="n">
        <v>40772</v>
      </c>
      <c r="N206" s="1" t="n">
        <v>40983</v>
      </c>
      <c r="O206" s="1"/>
      <c r="P206" s="1"/>
      <c r="Q206" s="1"/>
      <c r="T206" s="121"/>
      <c r="U206" s="121"/>
      <c r="V206" s="122" t="n">
        <f aca="false">IF(AND(E206&gt;0,F206&gt;0,G206&gt;0),COUNTIFS($E:$E,E206,$F:$F,F206,$G:$G,G206),"")</f>
        <v>4</v>
      </c>
      <c r="W206" s="122" t="n">
        <f aca="false">IF(V206="","",IF(V206=1,1,IF(AND(E205=E206,F205=F206,G205=G206),W205+1,1)))</f>
        <v>2</v>
      </c>
      <c r="X206" s="0" t="n">
        <v>4</v>
      </c>
      <c r="Y206" s="0" t="n">
        <v>4</v>
      </c>
      <c r="Z206" s="0" t="s">
        <v>2328</v>
      </c>
      <c r="AA206" s="0" t="n">
        <v>0</v>
      </c>
      <c r="AB206" s="0" t="s">
        <v>2317</v>
      </c>
      <c r="AC206" s="0" t="s">
        <v>1661</v>
      </c>
      <c r="AD206" s="0" t="s">
        <v>1160</v>
      </c>
      <c r="AE206" s="0" t="n">
        <v>0</v>
      </c>
      <c r="AF206" s="0" t="s">
        <v>2318</v>
      </c>
      <c r="AG206" s="0" t="n">
        <v>0</v>
      </c>
      <c r="AH206" s="0" t="s">
        <v>2319</v>
      </c>
      <c r="AI206" s="0" t="s">
        <v>2320</v>
      </c>
      <c r="AJ206" s="0" t="s">
        <v>216</v>
      </c>
      <c r="AL206" s="0" t="s">
        <v>2321</v>
      </c>
      <c r="AM206" s="0" t="n">
        <v>0</v>
      </c>
      <c r="AN206" s="0" t="s">
        <v>2319</v>
      </c>
      <c r="AO206" s="0" t="s">
        <v>2320</v>
      </c>
      <c r="AP206" s="0" t="s">
        <v>216</v>
      </c>
      <c r="AR206" s="0" t="s">
        <v>2322</v>
      </c>
      <c r="AS206" s="0" t="n">
        <v>1</v>
      </c>
      <c r="AT206" s="0" t="s">
        <v>2319</v>
      </c>
      <c r="AU206" s="0" t="s">
        <v>2320</v>
      </c>
      <c r="AV206" s="0" t="s">
        <v>216</v>
      </c>
      <c r="AX206" s="0" t="s">
        <v>1880</v>
      </c>
      <c r="AY206" s="0" t="n">
        <v>1</v>
      </c>
      <c r="AZ206" s="0" t="s">
        <v>2319</v>
      </c>
      <c r="BA206" s="0" t="s">
        <v>2320</v>
      </c>
      <c r="BB206" s="0" t="s">
        <v>216</v>
      </c>
      <c r="BP206" s="0" t="n">
        <v>0</v>
      </c>
      <c r="BQ206" s="0" t="n">
        <v>0</v>
      </c>
      <c r="BR206" s="0" t="n">
        <v>1</v>
      </c>
      <c r="BS206" s="0" t="s">
        <v>2323</v>
      </c>
      <c r="BT206" s="0" t="s">
        <v>2324</v>
      </c>
      <c r="BU206" s="0" t="s">
        <v>2325</v>
      </c>
      <c r="BV206" s="123"/>
      <c r="BW206" s="123"/>
      <c r="BX206" s="123"/>
      <c r="BY206" s="123"/>
      <c r="BZ206" s="0" t="n">
        <v>0</v>
      </c>
      <c r="CA206" s="0" t="s">
        <v>216</v>
      </c>
      <c r="CD206" s="0" t="s">
        <v>1308</v>
      </c>
      <c r="CE206" s="0" t="n">
        <v>0</v>
      </c>
      <c r="CF206" s="0" t="s">
        <v>2329</v>
      </c>
      <c r="CI206" s="1" t="n">
        <v>38992</v>
      </c>
      <c r="CJ206" s="1" t="n">
        <v>40712</v>
      </c>
      <c r="CK206" s="124" t="n">
        <v>0.5</v>
      </c>
      <c r="CL206" s="0" t="s">
        <v>2327</v>
      </c>
      <c r="CM206" s="0" t="n">
        <f aca="false">IF(OR(CI206="",CJ206=""),"",DAYS360(CI206,CJ206)/360)</f>
        <v>4.71111111111111</v>
      </c>
      <c r="CN206" s="0" t="n">
        <f aca="false">IF(OR(CI206="",CJ206=""),"",DAYS360(CI206,CJ206)/30)</f>
        <v>56.5333333333333</v>
      </c>
      <c r="CO206" s="0" t="n">
        <f aca="false">IF(OR(CI206="",CJ206=""),"",DAYS360(CI206,CJ206)/7)</f>
        <v>242.285714285714</v>
      </c>
      <c r="CP206" s="0" t="n">
        <f aca="false">IF(OR(CI206="",CJ206=""),"",DAYS360(CI206,CJ206))</f>
        <v>1696</v>
      </c>
      <c r="CQ206" s="0" t="s">
        <v>220</v>
      </c>
      <c r="CR206" s="0" t="n">
        <v>1</v>
      </c>
      <c r="CT206" s="0" t="n">
        <v>394.28</v>
      </c>
      <c r="CU206" s="0" t="n">
        <v>0</v>
      </c>
      <c r="CV206" s="0" t="n">
        <f aca="false">IF(OR(CT206="",CT206="NO ESPECIFICA",CT206="NO MENCIONA"),"",IF(CU206=0,CT206,IF(CU206=1,CT206/30,IF(CU206=2,CT206/15,IF(CU206=3,CT206/7,"")))))</f>
        <v>394.28</v>
      </c>
      <c r="CW206" s="125" t="n">
        <v>419.63</v>
      </c>
      <c r="CX206" s="0" t="n">
        <v>0</v>
      </c>
      <c r="CY206" s="0" t="n">
        <f aca="false">IF(CW206="","",IF(CX206=0,CW206,IF(CX206=1,CW206/30,IF(CX206=2,CW206/15,IF(CX206=3,CW206/7,CW206)))))</f>
        <v>419.63</v>
      </c>
      <c r="CZ206" s="0" t="n">
        <f aca="false">IF(DI206&gt;0,DI206,IF(CY206&gt;0,CY206,IF(CV206&gt;0,CV206,"")))</f>
        <v>419.63</v>
      </c>
      <c r="DA206" s="0" t="n">
        <f aca="false">IF(DM206=1,CZ206/8,IF(OR(DM206=2,DM206=4),CZ206/7,IF(DM206=3,CZ206/7.5,"")))</f>
        <v>52.45375</v>
      </c>
      <c r="DB206" s="0" t="s">
        <v>303</v>
      </c>
      <c r="DC206" s="0" t="s">
        <v>302</v>
      </c>
      <c r="DD206" s="0" t="s">
        <v>301</v>
      </c>
      <c r="DE206" s="0" t="s">
        <v>216</v>
      </c>
      <c r="DF206" s="0" t="s">
        <v>216</v>
      </c>
      <c r="DG206" s="0" t="s">
        <v>216</v>
      </c>
      <c r="DH206" s="0" t="n">
        <v>0</v>
      </c>
      <c r="DI206" s="126" t="n">
        <v>419.63</v>
      </c>
      <c r="DK206" s="0" t="n">
        <v>0</v>
      </c>
      <c r="DM206" s="0" t="n">
        <v>1</v>
      </c>
      <c r="DN206" s="0" t="n">
        <v>55</v>
      </c>
      <c r="DO206" s="0" t="n">
        <v>3</v>
      </c>
      <c r="DP206" s="0" t="n">
        <v>1</v>
      </c>
      <c r="DQ206" s="0" t="n">
        <v>1</v>
      </c>
      <c r="DR206" s="0"/>
      <c r="DS206" s="0" t="n">
        <v>1</v>
      </c>
      <c r="DU206" s="0" t="n">
        <v>1</v>
      </c>
      <c r="DW206" s="1" t="n">
        <f aca="false">CI206</f>
        <v>38992</v>
      </c>
      <c r="DX206" s="1" t="n">
        <v>40712</v>
      </c>
      <c r="DZ206" s="0"/>
      <c r="EA206" s="0" t="n">
        <v>1</v>
      </c>
      <c r="EC206" s="1" t="n">
        <f aca="false">CI206</f>
        <v>38992</v>
      </c>
      <c r="ED206" s="1" t="n">
        <v>40712</v>
      </c>
      <c r="EF206" s="0"/>
      <c r="EG206" s="0" t="n">
        <v>1</v>
      </c>
      <c r="EH206" s="0" t="n">
        <v>7</v>
      </c>
      <c r="EI206" s="0" t="n">
        <f aca="false">IF(AND(DM206=1,DN206&lt;=48),"",IF(AND(DM206=2,DN206&lt;=42),"",IF(AND(DM206=3,DN206&lt;=45),"",EH206)))</f>
        <v>7</v>
      </c>
      <c r="EJ206" s="0" t="n">
        <f aca="false">IF(EI206="","",IF(EI206&lt;9,EI206,9))</f>
        <v>7</v>
      </c>
      <c r="EK206" s="0" t="n">
        <f aca="false">IF(EI206="","",IF(EI206&gt;9,EI206-EJ206,0))</f>
        <v>0</v>
      </c>
      <c r="EL206" s="0" t="n">
        <f aca="false">IF(EI206="","",EJ206*DA206*2+EK206*DA206*3)</f>
        <v>734.3525</v>
      </c>
      <c r="EP206" s="0" t="n">
        <v>1</v>
      </c>
      <c r="EQ206" s="0"/>
      <c r="ER206" s="0" t="n">
        <v>0</v>
      </c>
      <c r="ET206" s="0" t="n">
        <v>0</v>
      </c>
      <c r="EV206" s="0" t="n">
        <v>0</v>
      </c>
      <c r="EX206" s="0" t="n">
        <v>1</v>
      </c>
      <c r="EY206" s="0" t="n">
        <v>1</v>
      </c>
      <c r="EZ206" s="0"/>
      <c r="FA206" s="4" t="n">
        <f aca="false">8392.6</f>
        <v>8392.6</v>
      </c>
      <c r="FB206" s="0" t="n">
        <v>1</v>
      </c>
      <c r="FF206" s="120" t="n">
        <f aca="false">(CJ206-CI206+1)/365</f>
        <v>4.71506849315069</v>
      </c>
      <c r="FG206" s="0" t="str">
        <f aca="false">CONCATENATE(F206,"/",G206)</f>
        <v>1411/2011</v>
      </c>
      <c r="FH206" s="0" t="n">
        <v>0</v>
      </c>
      <c r="FI206" s="0" t="n">
        <v>0</v>
      </c>
    </row>
    <row r="207" customFormat="false" ht="15" hidden="false" customHeight="false" outlineLevel="0" collapsed="false">
      <c r="A207" s="5" t="str">
        <f aca="false">E207&amp;G207&amp;F207</f>
        <v>720111411</v>
      </c>
      <c r="B207" s="0" t="s">
        <v>2166</v>
      </c>
      <c r="C207" s="1" t="n">
        <v>42041</v>
      </c>
      <c r="E207" s="0" t="n">
        <v>7</v>
      </c>
      <c r="F207" s="0" t="n">
        <v>1411</v>
      </c>
      <c r="G207" s="0" t="n">
        <v>2011</v>
      </c>
      <c r="H207" s="0" t="str">
        <f aca="false">"J"&amp;E207&amp;"\"&amp;F207&amp;"\"&amp;G207&amp;"\"&amp;W207</f>
        <v>J7\1411\2011\3</v>
      </c>
      <c r="I207" s="0"/>
      <c r="J207" s="1" t="n">
        <v>40772</v>
      </c>
      <c r="K207" s="0" t="n">
        <v>0</v>
      </c>
      <c r="M207" s="1" t="n">
        <v>40772</v>
      </c>
      <c r="N207" s="1" t="n">
        <v>40983</v>
      </c>
      <c r="O207" s="1"/>
      <c r="P207" s="1"/>
      <c r="Q207" s="1"/>
      <c r="T207" s="121"/>
      <c r="U207" s="121"/>
      <c r="V207" s="122" t="n">
        <f aca="false">IF(AND(E207&gt;0,F207&gt;0,G207&gt;0),COUNTIFS($E:$E,E207,$F:$F,F207,$G:$G,G207),"")</f>
        <v>4</v>
      </c>
      <c r="W207" s="122" t="n">
        <f aca="false">IF(V207="","",IF(V207=1,1,IF(AND(E206=E207,F206=F207,G206=G207),W206+1,1)))</f>
        <v>3</v>
      </c>
      <c r="X207" s="0" t="n">
        <v>4</v>
      </c>
      <c r="Y207" s="0" t="n">
        <v>4</v>
      </c>
      <c r="Z207" s="0" t="s">
        <v>2330</v>
      </c>
      <c r="AA207" s="0" t="n">
        <v>0</v>
      </c>
      <c r="AB207" s="0" t="s">
        <v>2317</v>
      </c>
      <c r="AC207" s="0" t="s">
        <v>1661</v>
      </c>
      <c r="AD207" s="0" t="s">
        <v>1160</v>
      </c>
      <c r="AE207" s="0" t="n">
        <v>0</v>
      </c>
      <c r="AF207" s="0" t="s">
        <v>2318</v>
      </c>
      <c r="AG207" s="0" t="n">
        <v>0</v>
      </c>
      <c r="AH207" s="0" t="s">
        <v>2319</v>
      </c>
      <c r="AI207" s="0" t="s">
        <v>2320</v>
      </c>
      <c r="AJ207" s="0" t="s">
        <v>216</v>
      </c>
      <c r="AL207" s="0" t="s">
        <v>2321</v>
      </c>
      <c r="AM207" s="0" t="n">
        <v>0</v>
      </c>
      <c r="AN207" s="0" t="s">
        <v>2319</v>
      </c>
      <c r="AO207" s="0" t="s">
        <v>2320</v>
      </c>
      <c r="AP207" s="0" t="s">
        <v>216</v>
      </c>
      <c r="AR207" s="0" t="s">
        <v>2322</v>
      </c>
      <c r="AS207" s="0" t="n">
        <v>1</v>
      </c>
      <c r="AT207" s="0" t="s">
        <v>2319</v>
      </c>
      <c r="AU207" s="0" t="s">
        <v>2320</v>
      </c>
      <c r="AV207" s="0" t="s">
        <v>216</v>
      </c>
      <c r="AX207" s="0" t="s">
        <v>1880</v>
      </c>
      <c r="AY207" s="0" t="n">
        <v>1</v>
      </c>
      <c r="AZ207" s="0" t="s">
        <v>2319</v>
      </c>
      <c r="BA207" s="0" t="s">
        <v>2320</v>
      </c>
      <c r="BB207" s="0" t="s">
        <v>216</v>
      </c>
      <c r="BP207" s="0" t="n">
        <v>0</v>
      </c>
      <c r="BQ207" s="0" t="n">
        <v>0</v>
      </c>
      <c r="BR207" s="0" t="n">
        <v>1</v>
      </c>
      <c r="BS207" s="0" t="s">
        <v>2323</v>
      </c>
      <c r="BT207" s="0" t="s">
        <v>2324</v>
      </c>
      <c r="BU207" s="0" t="s">
        <v>2325</v>
      </c>
      <c r="BV207" s="123"/>
      <c r="BW207" s="123"/>
      <c r="BX207" s="123"/>
      <c r="BY207" s="123"/>
      <c r="BZ207" s="0" t="n">
        <v>0</v>
      </c>
      <c r="CA207" s="0" t="s">
        <v>216</v>
      </c>
      <c r="CD207" s="0" t="s">
        <v>1308</v>
      </c>
      <c r="CE207" s="0" t="n">
        <v>0</v>
      </c>
      <c r="CF207" s="0" t="s">
        <v>503</v>
      </c>
      <c r="CI207" s="1" t="n">
        <v>38992</v>
      </c>
      <c r="CJ207" s="1" t="n">
        <v>40712</v>
      </c>
      <c r="CK207" s="124" t="n">
        <v>0.5</v>
      </c>
      <c r="CL207" s="0" t="s">
        <v>2327</v>
      </c>
      <c r="CM207" s="0" t="n">
        <f aca="false">IF(OR(CI207="",CJ207=""),"",DAYS360(CI207,CJ207)/360)</f>
        <v>4.71111111111111</v>
      </c>
      <c r="CN207" s="0" t="n">
        <f aca="false">IF(OR(CI207="",CJ207=""),"",DAYS360(CI207,CJ207)/30)</f>
        <v>56.5333333333333</v>
      </c>
      <c r="CO207" s="0" t="n">
        <f aca="false">IF(OR(CI207="",CJ207=""),"",DAYS360(CI207,CJ207)/7)</f>
        <v>242.285714285714</v>
      </c>
      <c r="CP207" s="0" t="n">
        <f aca="false">IF(OR(CI207="",CJ207=""),"",DAYS360(CI207,CJ207))</f>
        <v>1696</v>
      </c>
      <c r="CQ207" s="0" t="s">
        <v>220</v>
      </c>
      <c r="CR207" s="0" t="n">
        <v>1</v>
      </c>
      <c r="CT207" s="0" t="n">
        <v>308.57</v>
      </c>
      <c r="CU207" s="0" t="n">
        <v>0</v>
      </c>
      <c r="CV207" s="0" t="n">
        <f aca="false">IF(OR(CT207="",CT207="NO ESPECIFICA",CT207="NO MENCIONA"),"",IF(CU207=0,CT207,IF(CU207=1,CT207/30,IF(CU207=2,CT207/15,IF(CU207=3,CT207/7,"")))))</f>
        <v>308.57</v>
      </c>
      <c r="CW207" s="125" t="n">
        <v>333.52</v>
      </c>
      <c r="CX207" s="0" t="n">
        <v>0</v>
      </c>
      <c r="CY207" s="0" t="n">
        <f aca="false">IF(CW207="","",IF(CX207=0,CW207,IF(CX207=1,CW207/30,IF(CX207=2,CW207/15,IF(CX207=3,CW207/7,CW207)))))</f>
        <v>333.52</v>
      </c>
      <c r="CZ207" s="0" t="n">
        <f aca="false">IF(DI207&gt;0,DI207,IF(CY207&gt;0,CY207,IF(CV207&gt;0,CV207,"")))</f>
        <v>333.52</v>
      </c>
      <c r="DA207" s="0" t="n">
        <f aca="false">IF(DM207=1,CZ207/8,IF(OR(DM207=2,DM207=4),CZ207/7,IF(DM207=3,CZ207/7.5,"")))</f>
        <v>41.69</v>
      </c>
      <c r="DB207" s="0" t="s">
        <v>303</v>
      </c>
      <c r="DC207" s="0" t="s">
        <v>302</v>
      </c>
      <c r="DD207" s="0" t="s">
        <v>301</v>
      </c>
      <c r="DE207" s="0" t="s">
        <v>216</v>
      </c>
      <c r="DF207" s="0" t="s">
        <v>216</v>
      </c>
      <c r="DG207" s="0" t="s">
        <v>216</v>
      </c>
      <c r="DH207" s="0" t="n">
        <v>0</v>
      </c>
      <c r="DI207" s="126" t="n">
        <v>333.52</v>
      </c>
      <c r="DK207" s="0" t="n">
        <v>0</v>
      </c>
      <c r="DM207" s="0" t="n">
        <v>1</v>
      </c>
      <c r="DN207" s="0" t="n">
        <v>55</v>
      </c>
      <c r="DO207" s="0" t="n">
        <v>3</v>
      </c>
      <c r="DP207" s="0" t="n">
        <v>1</v>
      </c>
      <c r="DQ207" s="0" t="n">
        <v>1</v>
      </c>
      <c r="DR207" s="0"/>
      <c r="DS207" s="0" t="n">
        <v>1</v>
      </c>
      <c r="DU207" s="0" t="n">
        <v>1</v>
      </c>
      <c r="DW207" s="1" t="n">
        <f aca="false">CI207</f>
        <v>38992</v>
      </c>
      <c r="DX207" s="1" t="n">
        <v>40712</v>
      </c>
      <c r="DZ207" s="0"/>
      <c r="EA207" s="0" t="n">
        <v>1</v>
      </c>
      <c r="EC207" s="1" t="n">
        <f aca="false">CI207</f>
        <v>38992</v>
      </c>
      <c r="ED207" s="1" t="n">
        <v>40712</v>
      </c>
      <c r="EF207" s="0"/>
      <c r="EG207" s="0" t="n">
        <v>1</v>
      </c>
      <c r="EH207" s="0" t="n">
        <v>7</v>
      </c>
      <c r="EI207" s="0" t="n">
        <f aca="false">IF(AND(DM207=1,DN207&lt;=48),"",IF(AND(DM207=2,DN207&lt;=42),"",IF(AND(DM207=3,DN207&lt;=45),"",EH207)))</f>
        <v>7</v>
      </c>
      <c r="EJ207" s="0" t="n">
        <f aca="false">IF(EI207="","",IF(EI207&lt;9,EI207,9))</f>
        <v>7</v>
      </c>
      <c r="EK207" s="0" t="n">
        <f aca="false">IF(EI207="","",IF(EI207&gt;9,EI207-EJ207,0))</f>
        <v>0</v>
      </c>
      <c r="EL207" s="0" t="n">
        <f aca="false">IF(EI207="","",EJ207*DA207*2+EK207*DA207*3)</f>
        <v>583.66</v>
      </c>
      <c r="EP207" s="0" t="n">
        <v>1</v>
      </c>
      <c r="EQ207" s="0"/>
      <c r="ER207" s="0" t="n">
        <v>0</v>
      </c>
      <c r="ET207" s="0" t="n">
        <v>0</v>
      </c>
      <c r="EV207" s="0" t="n">
        <v>0</v>
      </c>
      <c r="EX207" s="0" t="n">
        <v>1</v>
      </c>
      <c r="EY207" s="0" t="n">
        <v>1</v>
      </c>
      <c r="EZ207" s="0"/>
      <c r="FA207" s="4" t="n">
        <f aca="false">6670.4+1701.12</f>
        <v>8371.52</v>
      </c>
      <c r="FB207" s="0" t="n">
        <v>1</v>
      </c>
      <c r="FF207" s="120" t="n">
        <f aca="false">(CJ207-CI207+1)/365</f>
        <v>4.71506849315069</v>
      </c>
      <c r="FG207" s="0" t="str">
        <f aca="false">CONCATENATE(F207,"/",G207)</f>
        <v>1411/2011</v>
      </c>
      <c r="FH207" s="0" t="n">
        <v>0</v>
      </c>
      <c r="FI207" s="0" t="n">
        <v>0</v>
      </c>
    </row>
    <row r="208" customFormat="false" ht="15" hidden="false" customHeight="false" outlineLevel="0" collapsed="false">
      <c r="A208" s="5" t="str">
        <f aca="false">E208&amp;G208&amp;F208</f>
        <v>720111411</v>
      </c>
      <c r="B208" s="0" t="s">
        <v>2166</v>
      </c>
      <c r="C208" s="1" t="n">
        <v>42041</v>
      </c>
      <c r="E208" s="0" t="n">
        <v>7</v>
      </c>
      <c r="F208" s="0" t="n">
        <v>1411</v>
      </c>
      <c r="G208" s="0" t="n">
        <v>2011</v>
      </c>
      <c r="H208" s="0" t="str">
        <f aca="false">"J"&amp;E208&amp;"\"&amp;F208&amp;"\"&amp;G208&amp;"\"&amp;W208</f>
        <v>J7\1411\2011\4</v>
      </c>
      <c r="I208" s="0"/>
      <c r="J208" s="1" t="n">
        <v>40772</v>
      </c>
      <c r="K208" s="0" t="n">
        <v>0</v>
      </c>
      <c r="M208" s="1" t="n">
        <v>40772</v>
      </c>
      <c r="N208" s="1" t="n">
        <v>40983</v>
      </c>
      <c r="O208" s="1"/>
      <c r="P208" s="1"/>
      <c r="Q208" s="1"/>
      <c r="T208" s="121"/>
      <c r="U208" s="121"/>
      <c r="V208" s="122" t="n">
        <f aca="false">IF(AND(E208&gt;0,F208&gt;0,G208&gt;0),COUNTIFS($E:$E,E208,$F:$F,F208,$G:$G,G208),"")</f>
        <v>4</v>
      </c>
      <c r="W208" s="122" t="n">
        <f aca="false">IF(V208="","",IF(V208=1,1,IF(AND(E207=E208,F207=F208,G207=G208),W207+1,1)))</f>
        <v>4</v>
      </c>
      <c r="X208" s="0" t="n">
        <v>4</v>
      </c>
      <c r="Y208" s="0" t="n">
        <v>4</v>
      </c>
      <c r="Z208" s="0" t="s">
        <v>2331</v>
      </c>
      <c r="AA208" s="0" t="n">
        <v>0</v>
      </c>
      <c r="AB208" s="0" t="s">
        <v>2317</v>
      </c>
      <c r="AC208" s="0" t="s">
        <v>1661</v>
      </c>
      <c r="AD208" s="0" t="s">
        <v>1160</v>
      </c>
      <c r="AE208" s="0" t="n">
        <v>0</v>
      </c>
      <c r="AF208" s="0" t="s">
        <v>2318</v>
      </c>
      <c r="AG208" s="0" t="n">
        <v>0</v>
      </c>
      <c r="AH208" s="0" t="s">
        <v>2319</v>
      </c>
      <c r="AI208" s="0" t="s">
        <v>2320</v>
      </c>
      <c r="AJ208" s="0" t="s">
        <v>216</v>
      </c>
      <c r="AL208" s="0" t="s">
        <v>2321</v>
      </c>
      <c r="AM208" s="0" t="n">
        <v>0</v>
      </c>
      <c r="AN208" s="0" t="s">
        <v>2319</v>
      </c>
      <c r="AO208" s="0" t="s">
        <v>2320</v>
      </c>
      <c r="AP208" s="0" t="s">
        <v>216</v>
      </c>
      <c r="AR208" s="0" t="s">
        <v>2322</v>
      </c>
      <c r="AS208" s="0" t="n">
        <v>1</v>
      </c>
      <c r="AT208" s="0" t="s">
        <v>2319</v>
      </c>
      <c r="AU208" s="0" t="s">
        <v>2320</v>
      </c>
      <c r="AV208" s="0" t="s">
        <v>216</v>
      </c>
      <c r="AX208" s="0" t="s">
        <v>1880</v>
      </c>
      <c r="AY208" s="0" t="n">
        <v>1</v>
      </c>
      <c r="AZ208" s="0" t="s">
        <v>2319</v>
      </c>
      <c r="BA208" s="0" t="s">
        <v>2320</v>
      </c>
      <c r="BB208" s="0" t="s">
        <v>216</v>
      </c>
      <c r="BP208" s="0" t="n">
        <v>0</v>
      </c>
      <c r="BQ208" s="0" t="n">
        <v>0</v>
      </c>
      <c r="BR208" s="0" t="n">
        <v>1</v>
      </c>
      <c r="BS208" s="0" t="s">
        <v>2323</v>
      </c>
      <c r="BT208" s="0" t="s">
        <v>2324</v>
      </c>
      <c r="BU208" s="0" t="s">
        <v>2325</v>
      </c>
      <c r="BV208" s="123"/>
      <c r="BW208" s="123"/>
      <c r="BX208" s="123"/>
      <c r="BY208" s="123"/>
      <c r="BZ208" s="0" t="n">
        <v>0</v>
      </c>
      <c r="CA208" s="0" t="s">
        <v>216</v>
      </c>
      <c r="CD208" s="0" t="s">
        <v>1308</v>
      </c>
      <c r="CE208" s="0" t="n">
        <v>0</v>
      </c>
      <c r="CF208" s="0" t="s">
        <v>611</v>
      </c>
      <c r="CI208" s="1" t="n">
        <v>40270</v>
      </c>
      <c r="CJ208" s="1" t="n">
        <v>40712</v>
      </c>
      <c r="CK208" s="124" t="n">
        <v>0.5</v>
      </c>
      <c r="CL208" s="0" t="s">
        <v>2327</v>
      </c>
      <c r="CM208" s="0" t="n">
        <f aca="false">IF(OR(CI208="",CJ208=""),"",DAYS360(CI208,CJ208)/360)</f>
        <v>1.21111111111111</v>
      </c>
      <c r="CN208" s="0" t="n">
        <f aca="false">IF(OR(CI208="",CJ208=""),"",DAYS360(CI208,CJ208)/30)</f>
        <v>14.5333333333333</v>
      </c>
      <c r="CO208" s="0" t="n">
        <f aca="false">IF(OR(CI208="",CJ208=""),"",DAYS360(CI208,CJ208)/7)</f>
        <v>62.2857142857143</v>
      </c>
      <c r="CP208" s="0" t="n">
        <f aca="false">IF(OR(CI208="",CJ208=""),"",DAYS360(CI208,CJ208))</f>
        <v>436</v>
      </c>
      <c r="CQ208" s="0" t="s">
        <v>220</v>
      </c>
      <c r="CR208" s="0" t="n">
        <v>1</v>
      </c>
      <c r="CT208" s="0" t="n">
        <v>120</v>
      </c>
      <c r="CU208" s="0" t="n">
        <v>0</v>
      </c>
      <c r="CV208" s="0" t="n">
        <f aca="false">IF(OR(CT208="",CT208="NO ESPECIFICA",CT208="NO MENCIONA"),"",IF(CU208=0,CT208,IF(CU208=1,CT208/30,IF(CU208=2,CT208/15,IF(CU208=3,CT208/7,"")))))</f>
        <v>120</v>
      </c>
      <c r="CW208" s="125" t="n">
        <v>127.5</v>
      </c>
      <c r="CX208" s="0" t="n">
        <v>0</v>
      </c>
      <c r="CY208" s="0" t="n">
        <f aca="false">IF(CW208="","",IF(CX208=0,CW208,IF(CX208=1,CW208/30,IF(CX208=2,CW208/15,IF(CX208=3,CW208/7,CW208)))))</f>
        <v>127.5</v>
      </c>
      <c r="CZ208" s="0" t="n">
        <f aca="false">IF(DI208&gt;0,DI208,IF(CY208&gt;0,CY208,IF(CV208&gt;0,CV208,"")))</f>
        <v>127.5</v>
      </c>
      <c r="DA208" s="0" t="n">
        <f aca="false">IF(DM208=1,CZ208/8,IF(OR(DM208=2,DM208=4),CZ208/7,IF(DM208=3,CZ208/7.5,"")))</f>
        <v>15.9375</v>
      </c>
      <c r="DB208" s="0" t="s">
        <v>303</v>
      </c>
      <c r="DC208" s="0" t="s">
        <v>302</v>
      </c>
      <c r="DD208" s="0" t="s">
        <v>301</v>
      </c>
      <c r="DE208" s="0" t="s">
        <v>216</v>
      </c>
      <c r="DF208" s="0" t="s">
        <v>216</v>
      </c>
      <c r="DG208" s="0" t="s">
        <v>216</v>
      </c>
      <c r="DH208" s="0" t="n">
        <v>0</v>
      </c>
      <c r="DI208" s="126" t="n">
        <v>127.5</v>
      </c>
      <c r="DK208" s="0" t="n">
        <v>0</v>
      </c>
      <c r="DM208" s="0" t="n">
        <v>1</v>
      </c>
      <c r="DN208" s="0" t="n">
        <v>55</v>
      </c>
      <c r="DO208" s="0" t="n">
        <v>3</v>
      </c>
      <c r="DP208" s="0" t="n">
        <v>1</v>
      </c>
      <c r="DQ208" s="0" t="n">
        <v>1</v>
      </c>
      <c r="DR208" s="0"/>
      <c r="DS208" s="0" t="n">
        <v>1</v>
      </c>
      <c r="DU208" s="0" t="n">
        <v>1</v>
      </c>
      <c r="DW208" s="1" t="n">
        <f aca="false">CI208</f>
        <v>40270</v>
      </c>
      <c r="DX208" s="1" t="n">
        <v>40712</v>
      </c>
      <c r="DZ208" s="0"/>
      <c r="EA208" s="0" t="n">
        <v>1</v>
      </c>
      <c r="EC208" s="1" t="n">
        <f aca="false">CI208</f>
        <v>40270</v>
      </c>
      <c r="ED208" s="1" t="n">
        <v>40712</v>
      </c>
      <c r="EF208" s="0"/>
      <c r="EG208" s="0" t="n">
        <v>1</v>
      </c>
      <c r="EH208" s="0" t="n">
        <v>7</v>
      </c>
      <c r="EI208" s="0" t="n">
        <f aca="false">IF(AND(DM208=1,DN208&lt;=48),"",IF(AND(DM208=2,DN208&lt;=42),"",IF(AND(DM208=3,DN208&lt;=45),"",EH208)))</f>
        <v>7</v>
      </c>
      <c r="EJ208" s="0" t="n">
        <f aca="false">IF(EI208="","",IF(EI208&lt;9,EI208,9))</f>
        <v>7</v>
      </c>
      <c r="EK208" s="0" t="n">
        <f aca="false">IF(EI208="","",IF(EI208&gt;9,EI208-EJ208,0))</f>
        <v>0</v>
      </c>
      <c r="EL208" s="0" t="n">
        <f aca="false">IF(EI208="","",EJ208*DA208*2+EK208*DA208*3)</f>
        <v>223.125</v>
      </c>
      <c r="EP208" s="0" t="n">
        <v>1</v>
      </c>
      <c r="EQ208" s="0"/>
      <c r="ER208" s="0" t="n">
        <v>0</v>
      </c>
      <c r="ET208" s="0" t="n">
        <v>0</v>
      </c>
      <c r="EV208" s="0" t="n">
        <v>0</v>
      </c>
      <c r="EX208" s="0" t="n">
        <v>1</v>
      </c>
      <c r="EY208" s="0" t="n">
        <v>1</v>
      </c>
      <c r="EZ208" s="0"/>
      <c r="FA208" s="4" t="n">
        <f aca="false">2250</f>
        <v>2250</v>
      </c>
      <c r="FB208" s="0" t="n">
        <v>1</v>
      </c>
      <c r="FF208" s="120" t="n">
        <f aca="false">(CJ208-CI208+1)/365</f>
        <v>1.21369863013699</v>
      </c>
      <c r="FG208" s="0" t="str">
        <f aca="false">CONCATENATE(F208,"/",G208)</f>
        <v>1411/2011</v>
      </c>
      <c r="FH208" s="0" t="n">
        <v>0</v>
      </c>
      <c r="FI208" s="0" t="n">
        <v>0</v>
      </c>
    </row>
    <row r="209" customFormat="false" ht="15" hidden="false" customHeight="false" outlineLevel="0" collapsed="false">
      <c r="A209" s="5" t="str">
        <f aca="false">E209&amp;G209&amp;F209</f>
        <v>720111413</v>
      </c>
      <c r="B209" s="0" t="s">
        <v>2166</v>
      </c>
      <c r="C209" s="1" t="n">
        <v>42041</v>
      </c>
      <c r="D209" s="0" t="s">
        <v>2167</v>
      </c>
      <c r="E209" s="0" t="n">
        <v>7</v>
      </c>
      <c r="F209" s="0" t="n">
        <v>1413</v>
      </c>
      <c r="G209" s="0" t="n">
        <v>2011</v>
      </c>
      <c r="H209" s="0" t="str">
        <f aca="false">"J"&amp;E209&amp;"\"&amp;F209&amp;"\"&amp;G209&amp;"\"&amp;W209</f>
        <v>J7\1413\2011\1</v>
      </c>
      <c r="I209" s="0"/>
      <c r="J209" s="1" t="n">
        <v>40772</v>
      </c>
      <c r="M209" s="1"/>
      <c r="N209" s="1"/>
      <c r="O209" s="1"/>
      <c r="P209" s="1"/>
      <c r="Q209" s="1"/>
      <c r="T209" s="121"/>
      <c r="U209" s="121"/>
      <c r="V209" s="122" t="n">
        <f aca="false">IF(AND(E209&gt;0,F209&gt;0,G209&gt;0),COUNTIFS($E:$E,E209,$F:$F,F209,$G:$G,G209),"")</f>
        <v>2</v>
      </c>
      <c r="W209" s="122" t="n">
        <f aca="false">IF(V209="","",IF(V209=1,1,IF(AND(E208=E209,F208=F209,G208=G209),W208+1,1)))</f>
        <v>1</v>
      </c>
      <c r="X209" s="0" t="n">
        <v>2</v>
      </c>
      <c r="Y209" s="0" t="n">
        <v>7</v>
      </c>
      <c r="Z209" s="0" t="s">
        <v>2332</v>
      </c>
      <c r="AA209" s="0" t="n">
        <v>0</v>
      </c>
      <c r="AB209" s="0" t="s">
        <v>2333</v>
      </c>
      <c r="AC209" s="0" t="s">
        <v>318</v>
      </c>
      <c r="AD209" s="0" t="s">
        <v>1160</v>
      </c>
      <c r="AE209" s="0" t="n">
        <v>0</v>
      </c>
      <c r="AF209" s="0" t="s">
        <v>2334</v>
      </c>
      <c r="AG209" s="0" t="n">
        <v>0</v>
      </c>
      <c r="AH209" s="0" t="s">
        <v>2335</v>
      </c>
      <c r="AI209" s="0" t="s">
        <v>287</v>
      </c>
      <c r="AJ209" s="0" t="s">
        <v>2218</v>
      </c>
      <c r="AL209" s="0" t="s">
        <v>2336</v>
      </c>
      <c r="AM209" s="0" t="n">
        <v>1</v>
      </c>
      <c r="AN209" s="0" t="s">
        <v>2335</v>
      </c>
      <c r="AO209" s="0" t="s">
        <v>287</v>
      </c>
      <c r="AP209" s="0" t="s">
        <v>2218</v>
      </c>
      <c r="AR209" s="0" t="s">
        <v>2337</v>
      </c>
      <c r="AS209" s="0" t="n">
        <v>0</v>
      </c>
      <c r="AT209" s="0" t="s">
        <v>2338</v>
      </c>
      <c r="AU209" s="0" t="s">
        <v>2339</v>
      </c>
      <c r="AV209" s="0" t="s">
        <v>2340</v>
      </c>
      <c r="AX209" s="0" t="s">
        <v>2341</v>
      </c>
      <c r="AY209" s="0" t="n">
        <v>1</v>
      </c>
      <c r="AZ209" s="0" t="s">
        <v>2338</v>
      </c>
      <c r="BA209" s="0" t="s">
        <v>2339</v>
      </c>
      <c r="BB209" s="0" t="s">
        <v>2340</v>
      </c>
      <c r="BD209" s="0" t="s">
        <v>2342</v>
      </c>
      <c r="BE209" s="0" t="n">
        <v>1</v>
      </c>
      <c r="BF209" s="0" t="s">
        <v>2338</v>
      </c>
      <c r="BG209" s="0" t="s">
        <v>2339</v>
      </c>
      <c r="BH209" s="0" t="s">
        <v>2340</v>
      </c>
      <c r="BJ209" s="0" t="s">
        <v>2343</v>
      </c>
      <c r="BK209" s="0" t="n">
        <v>1</v>
      </c>
      <c r="BL209" s="0" t="s">
        <v>2338</v>
      </c>
      <c r="BM209" s="0" t="s">
        <v>2339</v>
      </c>
      <c r="BN209" s="0" t="s">
        <v>2340</v>
      </c>
      <c r="BP209" s="0" t="n">
        <v>0</v>
      </c>
      <c r="BQ209" s="0" t="n">
        <v>0</v>
      </c>
      <c r="BR209" s="0" t="n">
        <v>1</v>
      </c>
      <c r="BS209" s="0" t="s">
        <v>1096</v>
      </c>
      <c r="BT209" s="0" t="s">
        <v>2344</v>
      </c>
      <c r="BU209" s="0" t="s">
        <v>1095</v>
      </c>
      <c r="BV209" s="123"/>
      <c r="BW209" s="123"/>
      <c r="BX209" s="123"/>
      <c r="BY209" s="123"/>
      <c r="BZ209" s="0" t="n">
        <v>0</v>
      </c>
      <c r="CA209" s="0" t="s">
        <v>2345</v>
      </c>
      <c r="CD209" s="0" t="s">
        <v>296</v>
      </c>
      <c r="CE209" s="0" t="n">
        <v>0</v>
      </c>
      <c r="CF209" s="0" t="s">
        <v>2346</v>
      </c>
      <c r="CI209" s="1" t="n">
        <v>38987</v>
      </c>
      <c r="CJ209" s="1" t="n">
        <v>40717</v>
      </c>
      <c r="CK209" s="124" t="n">
        <v>0.583333333333333</v>
      </c>
      <c r="CL209" s="0" t="s">
        <v>2342</v>
      </c>
      <c r="CM209" s="0" t="n">
        <f aca="false">IF(OR(CI209="",CJ209=""),"",DAYS360(CI209,CJ209)/360)</f>
        <v>4.73888888888889</v>
      </c>
      <c r="CN209" s="0" t="n">
        <f aca="false">IF(OR(CI209="",CJ209=""),"",DAYS360(CI209,CJ209)/30)</f>
        <v>56.8666666666667</v>
      </c>
      <c r="CO209" s="0" t="n">
        <f aca="false">IF(OR(CI209="",CJ209=""),"",DAYS360(CI209,CJ209)/7)</f>
        <v>243.714285714286</v>
      </c>
      <c r="CP209" s="0" t="n">
        <f aca="false">IF(OR(CI209="",CJ209=""),"",DAYS360(CI209,CJ209))</f>
        <v>1706</v>
      </c>
      <c r="CQ209" s="0" t="s">
        <v>240</v>
      </c>
      <c r="CR209" s="0" t="n">
        <v>1</v>
      </c>
      <c r="CT209" s="0" t="n">
        <f aca="false">2550/14</f>
        <v>182.142857142857</v>
      </c>
      <c r="CU209" s="0" t="n">
        <v>0</v>
      </c>
      <c r="CV209" s="0" t="n">
        <f aca="false">IF(OR(CT209="",CT209="NO ESPECIFICA",CT209="NO MENCIONA"),"",IF(CU209=0,CT209,IF(CU209=1,CT209/30,IF(CU209=2,CT209/15,IF(CU209=3,CT209/7,"")))))</f>
        <v>182.142857142857</v>
      </c>
      <c r="CW209" s="125" t="s">
        <v>216</v>
      </c>
      <c r="CX209" s="0" t="s">
        <v>216</v>
      </c>
      <c r="CY209" s="0" t="str">
        <f aca="false">IF(CW209="","",IF(CX209=0,CW209,IF(CX209=1,CW209/30,IF(CX209=2,CW209/15,IF(CX209=3,CW209/7,CW209)))))</f>
        <v>NO MENCIONA</v>
      </c>
      <c r="CZ209" s="0" t="n">
        <f aca="false">IF(DI209&gt;0,DI209,IF(CY209&gt;0,CY209,IF(CV209&gt;0,CV209,"")))</f>
        <v>196.428571428571</v>
      </c>
      <c r="DA209" s="0" t="n">
        <f aca="false">IF(DM209=1,CZ209/8,IF(OR(DM209=2,DM209=4),CZ209/7,IF(DM209=3,CZ209/7.5,"")))</f>
        <v>26.1904761904762</v>
      </c>
      <c r="DB209" s="0" t="s">
        <v>258</v>
      </c>
      <c r="DC209" s="0" t="s">
        <v>216</v>
      </c>
      <c r="DD209" s="0" t="s">
        <v>216</v>
      </c>
      <c r="DE209" s="0" t="s">
        <v>216</v>
      </c>
      <c r="DF209" s="0" t="s">
        <v>216</v>
      </c>
      <c r="DG209" s="0" t="s">
        <v>216</v>
      </c>
      <c r="DH209" s="0" t="n">
        <v>0</v>
      </c>
      <c r="DI209" s="126" t="n">
        <f aca="false">2550/14+200/14</f>
        <v>196.428571428571</v>
      </c>
      <c r="DK209" s="0" t="n">
        <v>1</v>
      </c>
      <c r="DM209" s="0" t="n">
        <v>3</v>
      </c>
      <c r="DN209" s="0" t="n">
        <v>77</v>
      </c>
      <c r="DO209" s="0" t="n">
        <v>3</v>
      </c>
      <c r="DP209" s="0" t="n">
        <v>0</v>
      </c>
      <c r="DQ209" s="0" t="n">
        <v>1</v>
      </c>
      <c r="DR209" s="0"/>
      <c r="DS209" s="0" t="n">
        <v>1</v>
      </c>
      <c r="DU209" s="0" t="n">
        <v>1</v>
      </c>
      <c r="DW209" s="1" t="n">
        <f aca="false">CI209</f>
        <v>38987</v>
      </c>
      <c r="DX209" s="1" t="n">
        <v>40717</v>
      </c>
      <c r="DZ209" s="0"/>
      <c r="EA209" s="0" t="n">
        <v>1</v>
      </c>
      <c r="EC209" s="1" t="n">
        <f aca="false">CI209</f>
        <v>38987</v>
      </c>
      <c r="ED209" s="1" t="n">
        <v>40717</v>
      </c>
      <c r="EF209" s="0"/>
      <c r="EG209" s="0" t="n">
        <v>1</v>
      </c>
      <c r="EH209" s="0" t="n">
        <v>6</v>
      </c>
      <c r="EI209" s="0" t="n">
        <f aca="false">IF(AND(DM209=1,DN209&lt;=48),"",IF(AND(DM209=2,DN209&lt;=42),"",IF(AND(DM209=3,DN209&lt;=45),"",EH209)))</f>
        <v>6</v>
      </c>
      <c r="EJ209" s="0" t="n">
        <f aca="false">IF(EI209="","",IF(EI209&lt;9,EI209,9))</f>
        <v>6</v>
      </c>
      <c r="EK209" s="0" t="n">
        <f aca="false">IF(EI209="","",IF(EI209&gt;9,EI209-EJ209,0))</f>
        <v>0</v>
      </c>
      <c r="EL209" s="0" t="n">
        <f aca="false">IF(EI209="","",EJ209*DA209*2+EK209*DA209*3)</f>
        <v>314.285714285714</v>
      </c>
      <c r="EP209" s="0" t="n">
        <v>0</v>
      </c>
      <c r="EQ209" s="0"/>
      <c r="ER209" s="0" t="n">
        <v>0</v>
      </c>
      <c r="ET209" s="0" t="n">
        <v>0</v>
      </c>
      <c r="EV209" s="0" t="n">
        <v>1</v>
      </c>
      <c r="EX209" s="0" t="n">
        <v>0</v>
      </c>
      <c r="EY209" s="0" t="n">
        <v>1</v>
      </c>
      <c r="EZ209" s="0"/>
      <c r="FA209" s="4" t="n">
        <f aca="false">2750/14*(22)</f>
        <v>4321.42857142857</v>
      </c>
      <c r="FB209" s="0" t="n">
        <v>1</v>
      </c>
      <c r="FF209" s="120" t="n">
        <f aca="false">(CJ209-CI209+1)/365</f>
        <v>4.74246575342466</v>
      </c>
      <c r="FG209" s="0" t="str">
        <f aca="false">CONCATENATE(F209,"/",G209)</f>
        <v>1413/2011</v>
      </c>
      <c r="FH209" s="0" t="n">
        <v>0</v>
      </c>
      <c r="FI209" s="0" t="n">
        <v>0</v>
      </c>
    </row>
    <row r="210" customFormat="false" ht="15" hidden="false" customHeight="false" outlineLevel="0" collapsed="false">
      <c r="A210" s="5" t="str">
        <f aca="false">E210&amp;G210&amp;F210</f>
        <v>720111413</v>
      </c>
      <c r="B210" s="0" t="s">
        <v>2166</v>
      </c>
      <c r="C210" s="1" t="n">
        <v>42041</v>
      </c>
      <c r="D210" s="0" t="s">
        <v>2167</v>
      </c>
      <c r="E210" s="0" t="n">
        <v>7</v>
      </c>
      <c r="F210" s="0" t="n">
        <v>1413</v>
      </c>
      <c r="G210" s="0" t="n">
        <v>2011</v>
      </c>
      <c r="H210" s="0" t="str">
        <f aca="false">"J"&amp;E210&amp;"\"&amp;F210&amp;"\"&amp;G210&amp;"\"&amp;W210</f>
        <v>J7\1413\2011\2</v>
      </c>
      <c r="I210" s="0"/>
      <c r="J210" s="1" t="n">
        <v>40772</v>
      </c>
      <c r="M210" s="1"/>
      <c r="N210" s="1"/>
      <c r="O210" s="1"/>
      <c r="P210" s="1"/>
      <c r="Q210" s="1"/>
      <c r="T210" s="121"/>
      <c r="U210" s="121"/>
      <c r="V210" s="122" t="n">
        <f aca="false">IF(AND(E210&gt;0,F210&gt;0,G210&gt;0),COUNTIFS($E:$E,E210,$F:$F,F210,$G:$G,G210),"")</f>
        <v>2</v>
      </c>
      <c r="W210" s="122" t="n">
        <f aca="false">IF(V210="","",IF(V210=1,1,IF(AND(E209=E210,F209=F210,G209=G210),W209+1,1)))</f>
        <v>2</v>
      </c>
      <c r="X210" s="0" t="n">
        <v>2</v>
      </c>
      <c r="Y210" s="0" t="n">
        <v>7</v>
      </c>
      <c r="Z210" s="0" t="s">
        <v>2347</v>
      </c>
      <c r="AA210" s="0" t="n">
        <v>0</v>
      </c>
      <c r="AB210" s="0" t="s">
        <v>2333</v>
      </c>
      <c r="AC210" s="0" t="s">
        <v>318</v>
      </c>
      <c r="AD210" s="0" t="s">
        <v>1160</v>
      </c>
      <c r="AE210" s="0" t="n">
        <v>0</v>
      </c>
      <c r="AF210" s="0" t="s">
        <v>2334</v>
      </c>
      <c r="AG210" s="0" t="n">
        <v>0</v>
      </c>
      <c r="AH210" s="0" t="s">
        <v>2335</v>
      </c>
      <c r="AI210" s="0" t="s">
        <v>287</v>
      </c>
      <c r="AJ210" s="0" t="s">
        <v>2218</v>
      </c>
      <c r="AL210" s="0" t="s">
        <v>2336</v>
      </c>
      <c r="AM210" s="0" t="n">
        <v>1</v>
      </c>
      <c r="AN210" s="0" t="s">
        <v>2335</v>
      </c>
      <c r="AO210" s="0" t="s">
        <v>287</v>
      </c>
      <c r="AP210" s="0" t="s">
        <v>2218</v>
      </c>
      <c r="AR210" s="0" t="s">
        <v>2337</v>
      </c>
      <c r="AS210" s="0" t="n">
        <v>0</v>
      </c>
      <c r="AT210" s="0" t="s">
        <v>2338</v>
      </c>
      <c r="AU210" s="0" t="s">
        <v>2339</v>
      </c>
      <c r="AV210" s="0" t="s">
        <v>2340</v>
      </c>
      <c r="AX210" s="0" t="s">
        <v>2341</v>
      </c>
      <c r="AY210" s="0" t="n">
        <v>1</v>
      </c>
      <c r="AZ210" s="0" t="s">
        <v>2338</v>
      </c>
      <c r="BA210" s="0" t="s">
        <v>2339</v>
      </c>
      <c r="BB210" s="0" t="s">
        <v>2340</v>
      </c>
      <c r="BD210" s="0" t="s">
        <v>2342</v>
      </c>
      <c r="BE210" s="0" t="n">
        <v>1</v>
      </c>
      <c r="BF210" s="0" t="s">
        <v>2338</v>
      </c>
      <c r="BG210" s="0" t="s">
        <v>2339</v>
      </c>
      <c r="BH210" s="0" t="s">
        <v>2340</v>
      </c>
      <c r="BJ210" s="0" t="s">
        <v>2343</v>
      </c>
      <c r="BK210" s="0" t="n">
        <v>1</v>
      </c>
      <c r="BL210" s="0" t="s">
        <v>2338</v>
      </c>
      <c r="BM210" s="0" t="s">
        <v>2339</v>
      </c>
      <c r="BN210" s="0" t="s">
        <v>2340</v>
      </c>
      <c r="BP210" s="0" t="n">
        <v>0</v>
      </c>
      <c r="BQ210" s="0" t="n">
        <v>0</v>
      </c>
      <c r="BR210" s="0" t="n">
        <v>1</v>
      </c>
      <c r="BS210" s="0" t="s">
        <v>1096</v>
      </c>
      <c r="BT210" s="0" t="s">
        <v>2344</v>
      </c>
      <c r="BU210" s="0" t="s">
        <v>1095</v>
      </c>
      <c r="BV210" s="123"/>
      <c r="BW210" s="123"/>
      <c r="BX210" s="123"/>
      <c r="BY210" s="123"/>
      <c r="BZ210" s="0" t="n">
        <v>0</v>
      </c>
      <c r="CA210" s="0" t="s">
        <v>2345</v>
      </c>
      <c r="CD210" s="0" t="s">
        <v>296</v>
      </c>
      <c r="CE210" s="0" t="n">
        <v>0</v>
      </c>
      <c r="CF210" s="0" t="s">
        <v>2346</v>
      </c>
      <c r="CI210" s="1" t="n">
        <v>40217</v>
      </c>
      <c r="CJ210" s="1" t="n">
        <v>40717</v>
      </c>
      <c r="CK210" s="124" t="n">
        <v>0.583333333333333</v>
      </c>
      <c r="CL210" s="0" t="s">
        <v>2342</v>
      </c>
      <c r="CM210" s="0" t="n">
        <f aca="false">IF(OR(CI210="",CJ210=""),"",DAYS360(CI210,CJ210)/360)</f>
        <v>1.375</v>
      </c>
      <c r="CN210" s="0" t="n">
        <f aca="false">IF(OR(CI210="",CJ210=""),"",DAYS360(CI210,CJ210)/30)</f>
        <v>16.5</v>
      </c>
      <c r="CO210" s="0" t="n">
        <f aca="false">IF(OR(CI210="",CJ210=""),"",DAYS360(CI210,CJ210)/7)</f>
        <v>70.7142857142857</v>
      </c>
      <c r="CP210" s="0" t="n">
        <f aca="false">IF(OR(CI210="",CJ210=""),"",DAYS360(CI210,CJ210))</f>
        <v>495</v>
      </c>
      <c r="CQ210" s="0" t="s">
        <v>240</v>
      </c>
      <c r="CR210" s="0" t="n">
        <v>1</v>
      </c>
      <c r="CT210" s="0" t="n">
        <f aca="false">2550/14</f>
        <v>182.142857142857</v>
      </c>
      <c r="CU210" s="0" t="n">
        <v>0</v>
      </c>
      <c r="CV210" s="0" t="n">
        <f aca="false">IF(OR(CT210="",CT210="NO ESPECIFICA",CT210="NO MENCIONA"),"",IF(CU210=0,CT210,IF(CU210=1,CT210/30,IF(CU210=2,CT210/15,IF(CU210=3,CT210/7,"")))))</f>
        <v>182.142857142857</v>
      </c>
      <c r="CW210" s="125" t="s">
        <v>216</v>
      </c>
      <c r="CX210" s="0" t="s">
        <v>216</v>
      </c>
      <c r="CY210" s="0" t="str">
        <f aca="false">IF(CW210="","",IF(CX210=0,CW210,IF(CX210=1,CW210/30,IF(CX210=2,CW210/15,IF(CX210=3,CW210/7,CW210)))))</f>
        <v>NO MENCIONA</v>
      </c>
      <c r="CZ210" s="0" t="n">
        <f aca="false">IF(DI210&gt;0,DI210,IF(CY210&gt;0,CY210,IF(CV210&gt;0,CV210,"")))</f>
        <v>196.428571428571</v>
      </c>
      <c r="DA210" s="0" t="n">
        <f aca="false">IF(DM210=1,CZ210/8,IF(OR(DM210=2,DM210=4),CZ210/7,IF(DM210=3,CZ210/7.5,"")))</f>
        <v>26.1904761904762</v>
      </c>
      <c r="DB210" s="0" t="s">
        <v>258</v>
      </c>
      <c r="DC210" s="0" t="s">
        <v>216</v>
      </c>
      <c r="DD210" s="0" t="s">
        <v>216</v>
      </c>
      <c r="DE210" s="0" t="s">
        <v>216</v>
      </c>
      <c r="DF210" s="0" t="s">
        <v>216</v>
      </c>
      <c r="DG210" s="0" t="s">
        <v>216</v>
      </c>
      <c r="DH210" s="0" t="n">
        <v>0</v>
      </c>
      <c r="DI210" s="126" t="n">
        <f aca="false">2550/14+200/14</f>
        <v>196.428571428571</v>
      </c>
      <c r="DK210" s="0" t="n">
        <v>1</v>
      </c>
      <c r="DM210" s="0" t="n">
        <v>3</v>
      </c>
      <c r="DN210" s="0" t="n">
        <v>77</v>
      </c>
      <c r="DO210" s="0" t="n">
        <v>3</v>
      </c>
      <c r="DP210" s="0" t="n">
        <v>0</v>
      </c>
      <c r="DQ210" s="0" t="n">
        <v>1</v>
      </c>
      <c r="DR210" s="0"/>
      <c r="DS210" s="0" t="n">
        <v>1</v>
      </c>
      <c r="DU210" s="0" t="n">
        <v>1</v>
      </c>
      <c r="DW210" s="1" t="n">
        <f aca="false">CI210</f>
        <v>40217</v>
      </c>
      <c r="DX210" s="1" t="n">
        <v>40717</v>
      </c>
      <c r="DZ210" s="0"/>
      <c r="EA210" s="0" t="n">
        <v>1</v>
      </c>
      <c r="EC210" s="1" t="n">
        <f aca="false">CI210</f>
        <v>40217</v>
      </c>
      <c r="ED210" s="1" t="n">
        <v>40717</v>
      </c>
      <c r="EF210" s="0"/>
      <c r="EG210" s="0" t="n">
        <v>1</v>
      </c>
      <c r="EH210" s="0" t="n">
        <v>6</v>
      </c>
      <c r="EI210" s="0" t="n">
        <f aca="false">IF(AND(DM210=1,DN210&lt;=48),"",IF(AND(DM210=2,DN210&lt;=42),"",IF(AND(DM210=3,DN210&lt;=45),"",EH210)))</f>
        <v>6</v>
      </c>
      <c r="EJ210" s="0" t="n">
        <f aca="false">IF(EI210="","",IF(EI210&lt;9,EI210,9))</f>
        <v>6</v>
      </c>
      <c r="EK210" s="0" t="n">
        <f aca="false">IF(EI210="","",IF(EI210&gt;9,EI210-EJ210,0))</f>
        <v>0</v>
      </c>
      <c r="EL210" s="0" t="n">
        <f aca="false">IF(EI210="","",EJ210*DA210*2+EK210*DA210*3)</f>
        <v>314.285714285714</v>
      </c>
      <c r="EP210" s="0" t="n">
        <v>0</v>
      </c>
      <c r="EQ210" s="0"/>
      <c r="ER210" s="0" t="n">
        <v>0</v>
      </c>
      <c r="ET210" s="0" t="n">
        <v>0</v>
      </c>
      <c r="EV210" s="0" t="n">
        <v>1</v>
      </c>
      <c r="EX210" s="0" t="n">
        <v>0</v>
      </c>
      <c r="EY210" s="0" t="n">
        <v>1</v>
      </c>
      <c r="EZ210" s="0"/>
      <c r="FA210" s="4" t="n">
        <f aca="false">2750/14*(22)</f>
        <v>4321.42857142857</v>
      </c>
      <c r="FB210" s="0" t="n">
        <v>1</v>
      </c>
      <c r="FF210" s="120" t="n">
        <f aca="false">(CJ210-CI210+1)/365</f>
        <v>1.37260273972603</v>
      </c>
      <c r="FG210" s="0" t="str">
        <f aca="false">CONCATENATE(F210,"/",G210)</f>
        <v>1413/2011</v>
      </c>
      <c r="FH210" s="0" t="n">
        <v>0</v>
      </c>
      <c r="FI210" s="0" t="n">
        <v>0</v>
      </c>
    </row>
    <row r="211" customFormat="false" ht="15" hidden="false" customHeight="false" outlineLevel="0" collapsed="false">
      <c r="A211" s="5" t="str">
        <f aca="false">E211&amp;G211&amp;F211</f>
        <v>720111415</v>
      </c>
      <c r="B211" s="0" t="s">
        <v>2166</v>
      </c>
      <c r="C211" s="1" t="n">
        <v>42041</v>
      </c>
      <c r="E211" s="0" t="n">
        <v>7</v>
      </c>
      <c r="F211" s="0" t="n">
        <v>1415</v>
      </c>
      <c r="G211" s="0" t="n">
        <v>2011</v>
      </c>
      <c r="H211" s="0" t="str">
        <f aca="false">"J"&amp;E211&amp;"\"&amp;F211&amp;"\"&amp;G211&amp;"\"&amp;W211</f>
        <v>J7\1415\2011\1</v>
      </c>
      <c r="I211" s="0"/>
      <c r="J211" s="1" t="n">
        <v>40773</v>
      </c>
      <c r="K211" s="0" t="n">
        <v>0</v>
      </c>
      <c r="M211" s="1" t="n">
        <v>40773</v>
      </c>
      <c r="N211" s="1" t="n">
        <v>40984</v>
      </c>
      <c r="O211" s="1"/>
      <c r="P211" s="1"/>
      <c r="Q211" s="1"/>
      <c r="T211" s="121"/>
      <c r="U211" s="121"/>
      <c r="V211" s="122" t="n">
        <f aca="false">IF(AND(E211&gt;0,F211&gt;0,G211&gt;0),COUNTIFS($E:$E,E211,$F:$F,F211,$G:$G,G211),"")</f>
        <v>1</v>
      </c>
      <c r="W211" s="122" t="n">
        <f aca="false">IF(V211="","",IF(V211=1,1,IF(AND(E210=E211,F210=F211,G210=G211),W210+1,1)))</f>
        <v>1</v>
      </c>
      <c r="X211" s="0" t="n">
        <v>1</v>
      </c>
      <c r="Y211" s="0" t="n">
        <v>2</v>
      </c>
      <c r="Z211" s="0" t="s">
        <v>2348</v>
      </c>
      <c r="AA211" s="0" t="n">
        <v>0</v>
      </c>
      <c r="AB211" s="0" t="s">
        <v>799</v>
      </c>
      <c r="AC211" s="0" t="s">
        <v>251</v>
      </c>
      <c r="AD211" s="0" t="s">
        <v>216</v>
      </c>
      <c r="AE211" s="0" t="n">
        <v>0</v>
      </c>
      <c r="AF211" s="0" t="s">
        <v>2349</v>
      </c>
      <c r="AG211" s="0" t="n">
        <v>0</v>
      </c>
      <c r="AH211" s="0" t="s">
        <v>2350</v>
      </c>
      <c r="AI211" s="0" t="s">
        <v>244</v>
      </c>
      <c r="AJ211" s="0" t="s">
        <v>1160</v>
      </c>
      <c r="AL211" s="0" t="s">
        <v>1880</v>
      </c>
      <c r="AM211" s="0" t="n">
        <v>1</v>
      </c>
      <c r="AN211" s="0" t="s">
        <v>2350</v>
      </c>
      <c r="AO211" s="0" t="s">
        <v>244</v>
      </c>
      <c r="AP211" s="0" t="s">
        <v>1160</v>
      </c>
      <c r="BP211" s="0" t="n">
        <v>0</v>
      </c>
      <c r="BQ211" s="0" t="n">
        <v>0</v>
      </c>
      <c r="BR211" s="0" t="n">
        <v>1</v>
      </c>
      <c r="BS211" s="0" t="s">
        <v>2351</v>
      </c>
      <c r="BV211" s="123"/>
      <c r="BW211" s="123"/>
      <c r="BX211" s="123"/>
      <c r="BY211" s="123"/>
      <c r="BZ211" s="0" t="n">
        <v>0</v>
      </c>
      <c r="CA211" s="0" t="s">
        <v>216</v>
      </c>
      <c r="CD211" s="0" t="s">
        <v>216</v>
      </c>
      <c r="CE211" s="0" t="n">
        <v>0</v>
      </c>
      <c r="CF211" s="0" t="s">
        <v>2352</v>
      </c>
      <c r="CI211" s="1" t="n">
        <v>40665</v>
      </c>
      <c r="CJ211" s="1" t="n">
        <v>40756</v>
      </c>
      <c r="CK211" s="124" t="n">
        <v>0.375</v>
      </c>
      <c r="CL211" s="0" t="s">
        <v>2353</v>
      </c>
      <c r="CM211" s="0" t="n">
        <f aca="false">IF(OR(CI211="",CJ211=""),"",DAYS360(CI211,CJ211)/360)</f>
        <v>0.247222222222222</v>
      </c>
      <c r="CN211" s="0" t="n">
        <f aca="false">IF(OR(CI211="",CJ211=""),"",DAYS360(CI211,CJ211)/30)</f>
        <v>2.96666666666667</v>
      </c>
      <c r="CO211" s="0" t="n">
        <f aca="false">IF(OR(CI211="",CJ211=""),"",DAYS360(CI211,CJ211)/7)</f>
        <v>12.7142857142857</v>
      </c>
      <c r="CP211" s="0" t="n">
        <f aca="false">IF(OR(CI211="",CJ211=""),"",DAYS360(CI211,CJ211))</f>
        <v>89</v>
      </c>
      <c r="CQ211" s="0" t="s">
        <v>220</v>
      </c>
      <c r="CR211" s="0" t="n">
        <v>1</v>
      </c>
      <c r="CT211" s="0" t="n">
        <v>400</v>
      </c>
      <c r="CU211" s="0" t="n">
        <v>0</v>
      </c>
      <c r="CV211" s="0" t="n">
        <f aca="false">IF(OR(CT211="",CT211="NO ESPECIFICA",CT211="NO MENCIONA"),"",IF(CU211=0,CT211,IF(CU211=1,CT211/30,IF(CU211=2,CT211/15,IF(CU211=3,CT211/7,"")))))</f>
        <v>400</v>
      </c>
      <c r="CW211" s="125" t="n">
        <v>723.73</v>
      </c>
      <c r="CX211" s="0" t="n">
        <v>0</v>
      </c>
      <c r="CY211" s="0" t="n">
        <f aca="false">IF(CW211="","",IF(CX211=0,CW211,IF(CX211=1,CW211/30,IF(CX211=2,CW211/15,IF(CX211=3,CW211/7,CW211)))))</f>
        <v>723.73</v>
      </c>
      <c r="CZ211" s="0" t="n">
        <f aca="false">IF(DI211&gt;0,DI211,IF(CY211&gt;0,CY211,IF(CV211&gt;0,CV211,"")))</f>
        <v>723.73</v>
      </c>
      <c r="DA211" s="0" t="n">
        <f aca="false">IF(DM211=1,CZ211/8,IF(OR(DM211=2,DM211=4),CZ211/7,IF(DM211=3,CZ211/7.5,"")))</f>
        <v>90.46625</v>
      </c>
      <c r="DB211" s="0" t="s">
        <v>301</v>
      </c>
      <c r="DC211" s="0" t="s">
        <v>303</v>
      </c>
      <c r="DD211" s="0" t="s">
        <v>417</v>
      </c>
      <c r="DE211" s="0" t="s">
        <v>300</v>
      </c>
      <c r="DF211" s="0" t="s">
        <v>1119</v>
      </c>
      <c r="DG211" s="0" t="s">
        <v>216</v>
      </c>
      <c r="DH211" s="0" t="n">
        <v>0</v>
      </c>
      <c r="DI211" s="126" t="n">
        <v>723.73</v>
      </c>
      <c r="DK211" s="0" t="n">
        <v>0</v>
      </c>
      <c r="DM211" s="0" t="n">
        <v>1</v>
      </c>
      <c r="DN211" s="0" t="n">
        <f aca="false">8*6</f>
        <v>48</v>
      </c>
      <c r="DO211" s="0" t="n">
        <v>3</v>
      </c>
      <c r="DP211" s="0" t="n">
        <v>1</v>
      </c>
      <c r="DQ211" s="0" t="n">
        <v>1</v>
      </c>
      <c r="DR211" s="0"/>
      <c r="DS211" s="0" t="n">
        <v>1</v>
      </c>
      <c r="DU211" s="0" t="n">
        <v>1</v>
      </c>
      <c r="DW211" s="1" t="n">
        <v>40665</v>
      </c>
      <c r="DX211" s="1" t="n">
        <v>40756</v>
      </c>
      <c r="DZ211" s="0"/>
      <c r="EA211" s="0" t="n">
        <v>1</v>
      </c>
      <c r="EC211" s="1" t="n">
        <v>40665</v>
      </c>
      <c r="ED211" s="1" t="n">
        <v>40756</v>
      </c>
      <c r="EF211" s="0"/>
      <c r="EG211" s="0" t="n">
        <v>1</v>
      </c>
      <c r="EH211" s="0" t="n">
        <v>18</v>
      </c>
      <c r="EI211" s="0" t="str">
        <f aca="false">IF(AND(DM211=1,DN211&lt;=48),"",IF(AND(DM211=2,DN211&lt;=42),"",IF(AND(DM211=3,DN211&lt;=45),"",EH211)))</f>
        <v/>
      </c>
      <c r="EJ211" s="0" t="str">
        <f aca="false">IF(EI211="","",IF(EI211&lt;9,EI211,9))</f>
        <v/>
      </c>
      <c r="EK211" s="0" t="str">
        <f aca="false">IF(EI211="","",IF(EI211&gt;9,EI211-EJ211,0))</f>
        <v/>
      </c>
      <c r="EL211" s="0" t="str">
        <f aca="false">IF(EI211="","",EJ211*DA211*2+EK211*DA211*3)</f>
        <v/>
      </c>
      <c r="EP211" s="0" t="n">
        <v>1</v>
      </c>
      <c r="EQ211" s="0"/>
      <c r="ER211" s="0" t="n">
        <v>0</v>
      </c>
      <c r="ET211" s="0" t="n">
        <v>1</v>
      </c>
      <c r="EV211" s="0" t="n">
        <v>0</v>
      </c>
      <c r="EX211" s="0" t="n">
        <v>0</v>
      </c>
      <c r="EY211" s="0" t="n">
        <v>1</v>
      </c>
      <c r="EZ211" s="4" t="n">
        <v>734</v>
      </c>
      <c r="FA211" s="4" t="n">
        <f aca="false">16*723.73</f>
        <v>11579.68</v>
      </c>
      <c r="FB211" s="0" t="n">
        <v>0</v>
      </c>
      <c r="FF211" s="120" t="n">
        <f aca="false">(CJ211-CI211+1)/365</f>
        <v>0.252054794520548</v>
      </c>
      <c r="FG211" s="0" t="str">
        <f aca="false">CONCATENATE(F211,"/",G211)</f>
        <v>1415/2011</v>
      </c>
      <c r="FH211" s="0" t="n">
        <v>0</v>
      </c>
      <c r="FI211" s="0" t="n">
        <v>0</v>
      </c>
    </row>
    <row r="212" customFormat="false" ht="15" hidden="false" customHeight="false" outlineLevel="0" collapsed="false">
      <c r="A212" s="5" t="str">
        <f aca="false">E212&amp;G212&amp;F212</f>
        <v>720111420</v>
      </c>
      <c r="B212" s="0" t="s">
        <v>2166</v>
      </c>
      <c r="C212" s="1" t="n">
        <v>42041</v>
      </c>
      <c r="E212" s="0" t="n">
        <v>7</v>
      </c>
      <c r="F212" s="0" t="n">
        <v>1420</v>
      </c>
      <c r="G212" s="0" t="n">
        <v>2011</v>
      </c>
      <c r="H212" s="0" t="str">
        <f aca="false">"J"&amp;E212&amp;"\"&amp;F212&amp;"\"&amp;G212&amp;"\"&amp;W212</f>
        <v>J7\1420\2011\1</v>
      </c>
      <c r="I212" s="0"/>
      <c r="J212" s="1" t="n">
        <v>40773</v>
      </c>
      <c r="K212" s="0" t="n">
        <v>0</v>
      </c>
      <c r="M212" s="1" t="n">
        <v>40773</v>
      </c>
      <c r="N212" s="1" t="n">
        <v>40984</v>
      </c>
      <c r="O212" s="1"/>
      <c r="P212" s="1"/>
      <c r="Q212" s="1"/>
      <c r="T212" s="121"/>
      <c r="U212" s="121"/>
      <c r="V212" s="122" t="n">
        <f aca="false">IF(AND(E212&gt;0,F212&gt;0,G212&gt;0),COUNTIFS($E:$E,E212,$F:$F,F212,$G:$G,G212),"")</f>
        <v>1</v>
      </c>
      <c r="W212" s="122" t="n">
        <f aca="false">IF(V212="","",IF(V212=1,1,IF(AND(E211=E212,F211=F212,G211=G212),W211+1,1)))</f>
        <v>1</v>
      </c>
      <c r="X212" s="0" t="n">
        <v>1</v>
      </c>
      <c r="Y212" s="0" t="n">
        <v>4</v>
      </c>
      <c r="Z212" s="0" t="s">
        <v>2249</v>
      </c>
      <c r="AA212" s="0" t="n">
        <v>0</v>
      </c>
      <c r="AB212" s="0" t="s">
        <v>2250</v>
      </c>
      <c r="AC212" s="0" t="s">
        <v>274</v>
      </c>
      <c r="AD212" s="0" t="s">
        <v>216</v>
      </c>
      <c r="AE212" s="0" t="n">
        <v>0</v>
      </c>
      <c r="AF212" s="0" t="s">
        <v>2354</v>
      </c>
      <c r="AG212" s="0" t="n">
        <v>0</v>
      </c>
      <c r="AH212" s="0" t="s">
        <v>2252</v>
      </c>
      <c r="AI212" s="0" t="s">
        <v>1187</v>
      </c>
      <c r="AJ212" s="0" t="s">
        <v>2253</v>
      </c>
      <c r="AL212" s="0" t="s">
        <v>2254</v>
      </c>
      <c r="AM212" s="0" t="n">
        <v>1</v>
      </c>
      <c r="AN212" s="0" t="s">
        <v>2252</v>
      </c>
      <c r="AO212" s="0" t="s">
        <v>1187</v>
      </c>
      <c r="AP212" s="0" t="s">
        <v>2253</v>
      </c>
      <c r="AR212" s="0" t="s">
        <v>2255</v>
      </c>
      <c r="AS212" s="0" t="n">
        <v>1</v>
      </c>
      <c r="AT212" s="0" t="s">
        <v>2252</v>
      </c>
      <c r="AU212" s="0" t="s">
        <v>1187</v>
      </c>
      <c r="AV212" s="0" t="s">
        <v>2253</v>
      </c>
      <c r="AX212" s="0" t="s">
        <v>1880</v>
      </c>
      <c r="AY212" s="0" t="n">
        <v>1</v>
      </c>
      <c r="AZ212" s="0" t="s">
        <v>2252</v>
      </c>
      <c r="BA212" s="0" t="s">
        <v>1187</v>
      </c>
      <c r="BB212" s="0" t="s">
        <v>2253</v>
      </c>
      <c r="BP212" s="0" t="n">
        <v>0</v>
      </c>
      <c r="BQ212" s="0" t="n">
        <v>0</v>
      </c>
      <c r="BR212" s="0" t="n">
        <v>1</v>
      </c>
      <c r="BS212" s="0" t="s">
        <v>2256</v>
      </c>
      <c r="BT212" s="0" t="s">
        <v>2257</v>
      </c>
      <c r="BU212" s="0" t="s">
        <v>2258</v>
      </c>
      <c r="BV212" s="123"/>
      <c r="BW212" s="123"/>
      <c r="BX212" s="123"/>
      <c r="BY212" s="123"/>
      <c r="BZ212" s="0" t="n">
        <v>0</v>
      </c>
      <c r="CA212" s="0" t="s">
        <v>2259</v>
      </c>
      <c r="CD212" s="0" t="s">
        <v>1308</v>
      </c>
      <c r="CE212" s="0" t="n">
        <v>0</v>
      </c>
      <c r="CF212" s="0" t="s">
        <v>1309</v>
      </c>
      <c r="CI212" s="1" t="n">
        <v>40656</v>
      </c>
      <c r="CJ212" s="1" t="n">
        <v>40759</v>
      </c>
      <c r="CK212" s="124" t="n">
        <v>0.416666666666667</v>
      </c>
      <c r="CL212" s="0" t="s">
        <v>2260</v>
      </c>
      <c r="CM212" s="0" t="n">
        <f aca="false">IF(OR(CI212="",CJ212=""),"",DAYS360(CI212,CJ212)/360)</f>
        <v>0.280555555555556</v>
      </c>
      <c r="CN212" s="0" t="n">
        <f aca="false">IF(OR(CI212="",CJ212=""),"",DAYS360(CI212,CJ212)/30)</f>
        <v>3.36666666666667</v>
      </c>
      <c r="CO212" s="0" t="n">
        <f aca="false">IF(OR(CI212="",CJ212=""),"",DAYS360(CI212,CJ212)/7)</f>
        <v>14.4285714285714</v>
      </c>
      <c r="CP212" s="0" t="n">
        <f aca="false">IF(OR(CI212="",CJ212=""),"",DAYS360(CI212,CJ212))</f>
        <v>101</v>
      </c>
      <c r="CQ212" s="0" t="s">
        <v>240</v>
      </c>
      <c r="CR212" s="0" t="n">
        <v>1</v>
      </c>
      <c r="CT212" s="0" t="n">
        <v>1000</v>
      </c>
      <c r="CU212" s="0" t="n">
        <v>3</v>
      </c>
      <c r="CV212" s="0" t="n">
        <f aca="false">IF(OR(CT212="",CT212="NO ESPECIFICA",CT212="NO MENCIONA"),"",IF(CU212=0,CT212,IF(CU212=1,CT212/30,IF(CU212=2,CT212/15,IF(CU212=3,CT212/7,"")))))</f>
        <v>142.857142857143</v>
      </c>
      <c r="CW212" s="125" t="s">
        <v>216</v>
      </c>
      <c r="CX212" s="0" t="s">
        <v>216</v>
      </c>
      <c r="CY212" s="0" t="str">
        <f aca="false">IF(CW212="","",IF(CX212=0,CW212,IF(CX212=1,CW212/30,IF(CX212=2,CW212/15,IF(CX212=3,CW212/7,CW212)))))</f>
        <v>NO MENCIONA</v>
      </c>
      <c r="CZ212" s="0" t="n">
        <f aca="false">IF(DI212&gt;0,DI212,IF(CY212&gt;0,CY212,IF(CV212&gt;0,CV212,"")))</f>
        <v>142.857142857143</v>
      </c>
      <c r="DA212" s="0" t="n">
        <f aca="false">IF(DM212=1,CZ212/8,IF(OR(DM212=2,DM212=4),CZ212/7,IF(DM212=3,CZ212/7.5,"")))</f>
        <v>17.8571428571429</v>
      </c>
      <c r="DB212" s="0" t="s">
        <v>216</v>
      </c>
      <c r="DC212" s="0" t="s">
        <v>216</v>
      </c>
      <c r="DD212" s="0" t="s">
        <v>216</v>
      </c>
      <c r="DE212" s="0" t="s">
        <v>216</v>
      </c>
      <c r="DF212" s="0" t="s">
        <v>216</v>
      </c>
      <c r="DG212" s="0" t="s">
        <v>216</v>
      </c>
      <c r="DH212" s="0" t="n">
        <v>0</v>
      </c>
      <c r="DI212" s="126" t="n">
        <f aca="false">1000/7</f>
        <v>142.857142857143</v>
      </c>
      <c r="DK212" s="0" t="n">
        <v>0</v>
      </c>
      <c r="DM212" s="0" t="n">
        <v>1</v>
      </c>
      <c r="DN212" s="0" t="n">
        <f aca="false">14*6</f>
        <v>84</v>
      </c>
      <c r="DO212" s="0" t="n">
        <v>3</v>
      </c>
      <c r="DP212" s="0" t="n">
        <v>0</v>
      </c>
      <c r="DQ212" s="0" t="n">
        <v>1</v>
      </c>
      <c r="DR212" s="0"/>
      <c r="DS212" s="0" t="n">
        <v>1</v>
      </c>
      <c r="DU212" s="0" t="n">
        <v>1</v>
      </c>
      <c r="DW212" s="1" t="s">
        <v>1775</v>
      </c>
      <c r="DX212" s="1" t="s">
        <v>1775</v>
      </c>
      <c r="DZ212" s="0"/>
      <c r="EA212" s="0" t="n">
        <v>1</v>
      </c>
      <c r="EC212" s="1" t="s">
        <v>1775</v>
      </c>
      <c r="ED212" s="1" t="s">
        <v>1775</v>
      </c>
      <c r="EF212" s="0"/>
      <c r="EG212" s="0" t="n">
        <v>1</v>
      </c>
      <c r="EH212" s="0" t="n">
        <v>36</v>
      </c>
      <c r="EI212" s="0" t="n">
        <f aca="false">IF(AND(DM212=1,DN212&lt;=48),"",IF(AND(DM212=2,DN212&lt;=42),"",IF(AND(DM212=3,DN212&lt;=45),"",EH212)))</f>
        <v>36</v>
      </c>
      <c r="EJ212" s="0" t="n">
        <f aca="false">IF(EI212="","",IF(EI212&lt;9,EI212,9))</f>
        <v>9</v>
      </c>
      <c r="EK212" s="0" t="n">
        <f aca="false">IF(EI212="","",IF(EI212&gt;9,EI212-EJ212,0))</f>
        <v>27</v>
      </c>
      <c r="EL212" s="0" t="n">
        <f aca="false">IF(EI212="","",EJ212*DA212*2+EK212*DA212*3)</f>
        <v>1767.85714285714</v>
      </c>
      <c r="EP212" s="0" t="n">
        <v>0</v>
      </c>
      <c r="EQ212" s="0"/>
      <c r="ER212" s="0" t="n">
        <v>0</v>
      </c>
      <c r="ET212" s="0" t="n">
        <v>0</v>
      </c>
      <c r="EV212" s="0" t="n">
        <v>1</v>
      </c>
      <c r="EX212" s="0" t="n">
        <v>1</v>
      </c>
      <c r="EY212" s="0" t="n">
        <v>1</v>
      </c>
      <c r="EZ212" s="0"/>
      <c r="FA212" s="4" t="n">
        <f aca="false">1000/7*10</f>
        <v>1428.57142857143</v>
      </c>
      <c r="FB212" s="0" t="n">
        <v>0</v>
      </c>
      <c r="FF212" s="120" t="n">
        <f aca="false">(CJ212-CI212+1)/365</f>
        <v>0.284931506849315</v>
      </c>
      <c r="FG212" s="0" t="str">
        <f aca="false">CONCATENATE(F212,"/",G212)</f>
        <v>1420/2011</v>
      </c>
      <c r="FH212" s="0" t="n">
        <v>0</v>
      </c>
      <c r="FI212" s="0" t="n">
        <v>0</v>
      </c>
    </row>
    <row r="213" customFormat="false" ht="15" hidden="false" customHeight="false" outlineLevel="0" collapsed="false">
      <c r="A213" s="5" t="str">
        <f aca="false">E213&amp;G213&amp;F213</f>
        <v>720111424</v>
      </c>
      <c r="B213" s="0" t="s">
        <v>2166</v>
      </c>
      <c r="C213" s="1" t="n">
        <v>42041</v>
      </c>
      <c r="E213" s="0" t="n">
        <v>7</v>
      </c>
      <c r="F213" s="0" t="n">
        <v>1424</v>
      </c>
      <c r="G213" s="0" t="n">
        <v>2011</v>
      </c>
      <c r="H213" s="0" t="str">
        <f aca="false">"J"&amp;E213&amp;"\"&amp;F213&amp;"\"&amp;G213&amp;"\"&amp;W213</f>
        <v>J7\1424\2011\1</v>
      </c>
      <c r="I213" s="0"/>
      <c r="J213" s="1" t="n">
        <v>40774</v>
      </c>
      <c r="K213" s="0" t="n">
        <v>0</v>
      </c>
      <c r="M213" s="1" t="n">
        <v>40774</v>
      </c>
      <c r="N213" s="1" t="n">
        <v>40988</v>
      </c>
      <c r="O213" s="1"/>
      <c r="P213" s="1"/>
      <c r="Q213" s="1"/>
      <c r="T213" s="121"/>
      <c r="U213" s="121"/>
      <c r="V213" s="122" t="n">
        <f aca="false">IF(AND(E213&gt;0,F213&gt;0,G213&gt;0),COUNTIFS($E:$E,E213,$F:$F,F213,$G:$G,G213),"")</f>
        <v>1</v>
      </c>
      <c r="W213" s="122" t="n">
        <f aca="false">IF(V213="","",IF(V213=1,1,IF(AND(E212=E213,F212=F213,G212=G213),W212+1,1)))</f>
        <v>1</v>
      </c>
      <c r="X213" s="0" t="n">
        <v>1</v>
      </c>
      <c r="Y213" s="0" t="n">
        <v>8</v>
      </c>
      <c r="Z213" s="0" t="s">
        <v>2355</v>
      </c>
      <c r="AA213" s="0" t="n">
        <v>0</v>
      </c>
      <c r="AB213" s="0" t="s">
        <v>2356</v>
      </c>
      <c r="AC213" s="0" t="s">
        <v>2357</v>
      </c>
      <c r="AD213" s="0" t="s">
        <v>2206</v>
      </c>
      <c r="AE213" s="0" t="n">
        <v>0</v>
      </c>
      <c r="AF213" s="0" t="s">
        <v>2358</v>
      </c>
      <c r="AG213" s="0" t="n">
        <v>1</v>
      </c>
      <c r="AH213" s="0" t="s">
        <v>2359</v>
      </c>
      <c r="AI213" s="0" t="s">
        <v>380</v>
      </c>
      <c r="AJ213" s="0" t="s">
        <v>2172</v>
      </c>
      <c r="AL213" s="0" t="s">
        <v>2360</v>
      </c>
      <c r="AM213" s="0" t="n">
        <v>1</v>
      </c>
      <c r="AN213" s="0" t="s">
        <v>2359</v>
      </c>
      <c r="AO213" s="0" t="s">
        <v>380</v>
      </c>
      <c r="AP213" s="0" t="s">
        <v>2172</v>
      </c>
      <c r="AR213" s="0" t="s">
        <v>1880</v>
      </c>
      <c r="AS213" s="0" t="n">
        <v>1</v>
      </c>
      <c r="AT213" s="0" t="s">
        <v>2359</v>
      </c>
      <c r="AU213" s="0" t="s">
        <v>380</v>
      </c>
      <c r="AV213" s="0" t="s">
        <v>2172</v>
      </c>
      <c r="AX213" s="0" t="s">
        <v>381</v>
      </c>
      <c r="AY213" s="0" t="n">
        <v>0</v>
      </c>
      <c r="AZ213" s="0" t="s">
        <v>2361</v>
      </c>
      <c r="BA213" s="0" t="s">
        <v>2362</v>
      </c>
      <c r="BB213" s="0" t="s">
        <v>2172</v>
      </c>
      <c r="BD213" s="0" t="s">
        <v>2363</v>
      </c>
      <c r="BE213" s="0" t="n">
        <v>0</v>
      </c>
      <c r="BF213" s="0" t="s">
        <v>2359</v>
      </c>
      <c r="BG213" s="0" t="s">
        <v>380</v>
      </c>
      <c r="BH213" s="0" t="s">
        <v>2172</v>
      </c>
      <c r="BJ213" s="0" t="s">
        <v>2364</v>
      </c>
      <c r="BK213" s="0" t="n">
        <v>0</v>
      </c>
      <c r="BL213" s="0" t="s">
        <v>2365</v>
      </c>
      <c r="BM213" s="0" t="s">
        <v>2366</v>
      </c>
      <c r="BN213" s="0" t="s">
        <v>2179</v>
      </c>
      <c r="BP213" s="0" t="n">
        <v>0</v>
      </c>
      <c r="BQ213" s="0" t="n">
        <v>0</v>
      </c>
      <c r="BR213" s="0" t="n">
        <v>1</v>
      </c>
      <c r="BS213" s="0" t="s">
        <v>2367</v>
      </c>
      <c r="BT213" s="0" t="s">
        <v>2368</v>
      </c>
      <c r="BU213" s="0" t="s">
        <v>2369</v>
      </c>
      <c r="BV213" s="123"/>
      <c r="BW213" s="123"/>
      <c r="BX213" s="123"/>
      <c r="BY213" s="123"/>
      <c r="BZ213" s="0" t="n">
        <v>0</v>
      </c>
      <c r="CA213" s="0" t="s">
        <v>216</v>
      </c>
      <c r="CD213" s="0" t="s">
        <v>296</v>
      </c>
      <c r="CE213" s="0" t="n">
        <v>0</v>
      </c>
      <c r="CF213" s="0" t="s">
        <v>2370</v>
      </c>
      <c r="CI213" s="1" t="n">
        <v>38089</v>
      </c>
      <c r="CJ213" s="1" t="n">
        <v>40757</v>
      </c>
      <c r="CK213" s="124" t="n">
        <v>0.75</v>
      </c>
      <c r="CL213" s="0" t="s">
        <v>2360</v>
      </c>
      <c r="CM213" s="0" t="n">
        <f aca="false">IF(OR(CI213="",CJ213=""),"",DAYS360(CI213,CJ213)/360)</f>
        <v>7.30555555555556</v>
      </c>
      <c r="CN213" s="0" t="n">
        <f aca="false">IF(OR(CI213="",CJ213=""),"",DAYS360(CI213,CJ213)/30)</f>
        <v>87.6666666666667</v>
      </c>
      <c r="CO213" s="0" t="n">
        <f aca="false">IF(OR(CI213="",CJ213=""),"",DAYS360(CI213,CJ213)/7)</f>
        <v>375.714285714286</v>
      </c>
      <c r="CP213" s="0" t="n">
        <f aca="false">IF(OR(CI213="",CJ213=""),"",DAYS360(CI213,CJ213))</f>
        <v>2630</v>
      </c>
      <c r="CQ213" s="0" t="s">
        <v>240</v>
      </c>
      <c r="CR213" s="0" t="n">
        <v>1</v>
      </c>
      <c r="CT213" s="0" t="s">
        <v>221</v>
      </c>
      <c r="CU213" s="0" t="s">
        <v>221</v>
      </c>
      <c r="CV213" s="0" t="str">
        <f aca="false">IF(OR(CT213="",CT213="NO ESPECIFICA",CT213="NO MENCIONA"),"",IF(CU213=0,CT213,IF(CU213=1,CT213/30,IF(CU213=2,CT213/15,IF(CU213=3,CT213/7,"")))))</f>
        <v/>
      </c>
      <c r="CW213" s="125" t="n">
        <v>10600</v>
      </c>
      <c r="CX213" s="0" t="n">
        <v>1</v>
      </c>
      <c r="CY213" s="0" t="n">
        <f aca="false">IF(CW213="","",IF(CX213=0,CW213,IF(CX213=1,CW213/30,IF(CX213=2,CW213/15,IF(CX213=3,CW213/7,CW213)))))</f>
        <v>353.333333333333</v>
      </c>
      <c r="CZ213" s="0" t="n">
        <f aca="false">IF(DI213&gt;0,DI213,IF(CY213&gt;0,CY213,IF(CV213&gt;0,CV213,"")))</f>
        <v>353.333333333333</v>
      </c>
      <c r="DA213" s="0" t="n">
        <f aca="false">IF(DM213=1,CZ213/8,IF(OR(DM213=2,DM213=4),CZ213/7,IF(DM213=3,CZ213/7.5,"")))</f>
        <v>44.1666666666667</v>
      </c>
      <c r="DB213" s="0" t="s">
        <v>1022</v>
      </c>
      <c r="DC213" s="0" t="s">
        <v>2371</v>
      </c>
      <c r="DD213" s="0" t="s">
        <v>1582</v>
      </c>
      <c r="DE213" s="0" t="s">
        <v>299</v>
      </c>
      <c r="DF213" s="0" t="s">
        <v>2372</v>
      </c>
      <c r="DG213" s="0" t="s">
        <v>2373</v>
      </c>
      <c r="DH213" s="0" t="n">
        <v>0</v>
      </c>
      <c r="DI213" s="126" t="n">
        <f aca="false">10600/30</f>
        <v>353.333333333333</v>
      </c>
      <c r="DK213" s="0" t="n">
        <v>0</v>
      </c>
      <c r="DM213" s="0" t="n">
        <v>1</v>
      </c>
      <c r="DN213" s="0" t="n">
        <v>66</v>
      </c>
      <c r="DO213" s="0" t="n">
        <v>3</v>
      </c>
      <c r="DP213" s="0" t="n">
        <v>0</v>
      </c>
      <c r="DQ213" s="0" t="n">
        <v>1</v>
      </c>
      <c r="DR213" s="0"/>
      <c r="DS213" s="0" t="n">
        <v>1</v>
      </c>
      <c r="DU213" s="0" t="n">
        <v>1</v>
      </c>
      <c r="DV213" s="0" t="n">
        <v>30739.71</v>
      </c>
      <c r="DW213" s="1" t="n">
        <v>40280</v>
      </c>
      <c r="DX213" s="1" t="n">
        <v>40645</v>
      </c>
      <c r="DZ213" s="0" t="n">
        <v>6624.93</v>
      </c>
      <c r="EA213" s="0" t="n">
        <v>1</v>
      </c>
      <c r="EC213" s="1" t="n">
        <v>40179</v>
      </c>
      <c r="ED213" s="1" t="n">
        <v>40757</v>
      </c>
      <c r="EF213" s="0" t="n">
        <v>9539.95</v>
      </c>
      <c r="EG213" s="0" t="n">
        <v>1</v>
      </c>
      <c r="EH213" s="0" t="n">
        <f aca="false">2*6</f>
        <v>12</v>
      </c>
      <c r="EI213" s="0" t="n">
        <f aca="false">IF(AND(DM213=1,DN213&lt;=48),"",IF(AND(DM213=2,DN213&lt;=42),"",IF(AND(DM213=3,DN213&lt;=45),"",EH213)))</f>
        <v>12</v>
      </c>
      <c r="EJ213" s="0" t="n">
        <f aca="false">IF(EI213="","",IF(EI213&lt;9,EI213,9))</f>
        <v>9</v>
      </c>
      <c r="EK213" s="0" t="n">
        <f aca="false">IF(EI213="","",IF(EI213&gt;9,EI213-EJ213,0))</f>
        <v>3</v>
      </c>
      <c r="EL213" s="0" t="n">
        <f aca="false">IF(EI213="","",EJ213*DA213*2+EK213*DA213*3)</f>
        <v>1192.5</v>
      </c>
      <c r="EP213" s="0" t="n">
        <v>1</v>
      </c>
      <c r="EQ213" s="0" t="n">
        <v>50526.19</v>
      </c>
      <c r="ER213" s="0" t="n">
        <v>1</v>
      </c>
      <c r="ET213" s="0" t="n">
        <v>1</v>
      </c>
      <c r="EV213" s="0" t="n">
        <v>1</v>
      </c>
      <c r="EX213" s="0" t="n">
        <v>1</v>
      </c>
      <c r="EY213" s="0" t="n">
        <v>1</v>
      </c>
      <c r="EZ213" s="4" t="n">
        <v>47950.14</v>
      </c>
      <c r="FA213" s="4" t="n">
        <f aca="false">4239.96+15000</f>
        <v>19239.96</v>
      </c>
      <c r="FB213" s="0" t="n">
        <v>0</v>
      </c>
      <c r="FF213" s="120" t="n">
        <f aca="false">(CJ213-CI213+1)/365</f>
        <v>7.31232876712329</v>
      </c>
      <c r="FG213" s="0" t="str">
        <f aca="false">CONCATENATE(F213,"/",G213)</f>
        <v>1424/2011</v>
      </c>
      <c r="FH213" s="0" t="n">
        <v>0</v>
      </c>
      <c r="FI213" s="0" t="n">
        <v>0</v>
      </c>
    </row>
    <row r="214" customFormat="false" ht="15" hidden="false" customHeight="false" outlineLevel="0" collapsed="false">
      <c r="A214" s="5" t="str">
        <f aca="false">E214&amp;G214&amp;F214</f>
        <v>720111425</v>
      </c>
      <c r="B214" s="0" t="s">
        <v>2166</v>
      </c>
      <c r="C214" s="1" t="n">
        <v>42041</v>
      </c>
      <c r="E214" s="0" t="n">
        <v>7</v>
      </c>
      <c r="F214" s="0" t="n">
        <v>1425</v>
      </c>
      <c r="G214" s="0" t="n">
        <v>2011</v>
      </c>
      <c r="H214" s="0" t="str">
        <f aca="false">"J"&amp;E214&amp;"\"&amp;F214&amp;"\"&amp;G214&amp;"\"&amp;W214</f>
        <v>J7\1425\2011\1</v>
      </c>
      <c r="I214" s="0"/>
      <c r="J214" s="1" t="n">
        <v>40774</v>
      </c>
      <c r="K214" s="0" t="n">
        <v>0</v>
      </c>
      <c r="M214" s="1" t="n">
        <v>40774</v>
      </c>
      <c r="N214" s="1" t="n">
        <v>40990</v>
      </c>
      <c r="O214" s="1"/>
      <c r="P214" s="1"/>
      <c r="Q214" s="1"/>
      <c r="T214" s="121"/>
      <c r="U214" s="121"/>
      <c r="V214" s="122" t="n">
        <f aca="false">IF(AND(E214&gt;0,F214&gt;0,G214&gt;0),COUNTIFS($E:$E,E214,$F:$F,F214,$G:$G,G214),"")</f>
        <v>1</v>
      </c>
      <c r="W214" s="122" t="n">
        <f aca="false">IF(V214="","",IF(V214=1,1,IF(AND(E213=E214,F213=F214,G213=G214),W213+1,1)))</f>
        <v>1</v>
      </c>
      <c r="X214" s="0" t="n">
        <v>1</v>
      </c>
      <c r="Y214" s="0" t="n">
        <v>3</v>
      </c>
      <c r="Z214" s="0" t="s">
        <v>2374</v>
      </c>
      <c r="AA214" s="0" t="n">
        <v>0</v>
      </c>
      <c r="AB214" s="0" t="s">
        <v>2375</v>
      </c>
      <c r="AC214" s="0" t="s">
        <v>318</v>
      </c>
      <c r="AD214" s="0" t="s">
        <v>1160</v>
      </c>
      <c r="AE214" s="0" t="n">
        <v>0</v>
      </c>
      <c r="AF214" s="0" t="s">
        <v>2376</v>
      </c>
      <c r="AG214" s="0" t="n">
        <v>1</v>
      </c>
      <c r="AH214" s="0" t="s">
        <v>2377</v>
      </c>
      <c r="AI214" s="0" t="s">
        <v>2378</v>
      </c>
      <c r="AJ214" s="0" t="s">
        <v>2379</v>
      </c>
      <c r="AL214" s="0" t="s">
        <v>2380</v>
      </c>
      <c r="AM214" s="0" t="n">
        <v>1</v>
      </c>
      <c r="AN214" s="0" t="s">
        <v>2377</v>
      </c>
      <c r="AO214" s="0" t="s">
        <v>2378</v>
      </c>
      <c r="AP214" s="0" t="s">
        <v>2379</v>
      </c>
      <c r="AR214" s="0" t="s">
        <v>1880</v>
      </c>
      <c r="AS214" s="0" t="n">
        <v>1</v>
      </c>
      <c r="AT214" s="0" t="s">
        <v>2377</v>
      </c>
      <c r="AU214" s="0" t="s">
        <v>2378</v>
      </c>
      <c r="AV214" s="0" t="s">
        <v>2379</v>
      </c>
      <c r="BP214" s="0" t="n">
        <v>0</v>
      </c>
      <c r="BQ214" s="0" t="n">
        <v>0</v>
      </c>
      <c r="BR214" s="0" t="n">
        <v>1</v>
      </c>
      <c r="BS214" s="0" t="s">
        <v>2381</v>
      </c>
      <c r="BT214" s="0" t="s">
        <v>2382</v>
      </c>
      <c r="BU214" s="0" t="s">
        <v>2383</v>
      </c>
      <c r="BV214" s="123"/>
      <c r="BW214" s="123"/>
      <c r="BX214" s="123"/>
      <c r="BY214" s="123"/>
      <c r="BZ214" s="0" t="n">
        <v>0</v>
      </c>
      <c r="CA214" s="0" t="s">
        <v>2384</v>
      </c>
      <c r="CD214" s="0" t="s">
        <v>502</v>
      </c>
      <c r="CE214" s="0" t="n">
        <v>0</v>
      </c>
      <c r="CF214" s="0" t="s">
        <v>503</v>
      </c>
      <c r="CI214" s="1" t="n">
        <v>38327</v>
      </c>
      <c r="CJ214" s="1" t="n">
        <v>40745</v>
      </c>
      <c r="CK214" s="124" t="n">
        <v>0.458333333333333</v>
      </c>
      <c r="CL214" s="0" t="s">
        <v>2376</v>
      </c>
      <c r="CM214" s="0" t="n">
        <f aca="false">IF(OR(CI214="",CJ214=""),"",DAYS360(CI214,CJ214)/360)</f>
        <v>6.625</v>
      </c>
      <c r="CN214" s="0" t="n">
        <f aca="false">IF(OR(CI214="",CJ214=""),"",DAYS360(CI214,CJ214)/30)</f>
        <v>79.5</v>
      </c>
      <c r="CO214" s="0" t="n">
        <f aca="false">IF(OR(CI214="",CJ214=""),"",DAYS360(CI214,CJ214)/7)</f>
        <v>340.714285714286</v>
      </c>
      <c r="CP214" s="0" t="n">
        <f aca="false">IF(OR(CI214="",CJ214=""),"",DAYS360(CI214,CJ214))</f>
        <v>2385</v>
      </c>
      <c r="CQ214" s="0" t="s">
        <v>240</v>
      </c>
      <c r="CR214" s="0" t="n">
        <v>1</v>
      </c>
      <c r="CT214" s="0" t="s">
        <v>221</v>
      </c>
      <c r="CU214" s="0" t="s">
        <v>221</v>
      </c>
      <c r="CV214" s="0" t="str">
        <f aca="false">IF(OR(CT214="",CT214="NO ESPECIFICA",CT214="NO MENCIONA"),"",IF(CU214=0,CT214,IF(CU214=1,CT214/30,IF(CU214=2,CT214/15,IF(CU214=3,CT214/7,"")))))</f>
        <v/>
      </c>
      <c r="CW214" s="125" t="n">
        <v>300</v>
      </c>
      <c r="CX214" s="0" t="n">
        <v>0</v>
      </c>
      <c r="CY214" s="0" t="n">
        <f aca="false">IF(CW214="","",IF(CX214=0,CW214,IF(CX214=1,CW214/30,IF(CX214=2,CW214/15,IF(CX214=3,CW214/7,CW214)))))</f>
        <v>300</v>
      </c>
      <c r="CZ214" s="0" t="n">
        <f aca="false">IF(DI214&gt;0,DI214,IF(CY214&gt;0,CY214,IF(CV214&gt;0,CV214,"")))</f>
        <v>300</v>
      </c>
      <c r="DA214" s="0" t="n">
        <f aca="false">IF(DM214=1,CZ214/8,IF(OR(DM214=2,DM214=4),CZ214/7,IF(DM214=3,CZ214/7.5,"")))</f>
        <v>40</v>
      </c>
      <c r="DB214" s="0" t="s">
        <v>216</v>
      </c>
      <c r="DC214" s="0" t="s">
        <v>216</v>
      </c>
      <c r="DD214" s="0" t="s">
        <v>216</v>
      </c>
      <c r="DE214" s="0" t="s">
        <v>216</v>
      </c>
      <c r="DF214" s="0" t="s">
        <v>216</v>
      </c>
      <c r="DG214" s="0" t="s">
        <v>216</v>
      </c>
      <c r="DH214" s="0" t="n">
        <v>0</v>
      </c>
      <c r="DI214" s="126" t="n">
        <v>300</v>
      </c>
      <c r="DK214" s="0" t="n">
        <v>0</v>
      </c>
      <c r="DM214" s="0" t="n">
        <v>3</v>
      </c>
      <c r="DN214" s="0" t="n">
        <f aca="false">10.5*6</f>
        <v>63</v>
      </c>
      <c r="DO214" s="0" t="n">
        <v>3</v>
      </c>
      <c r="DP214" s="0" t="n">
        <v>0</v>
      </c>
      <c r="DQ214" s="0" t="n">
        <v>1</v>
      </c>
      <c r="DR214" s="0"/>
      <c r="DS214" s="0" t="n">
        <v>1</v>
      </c>
      <c r="DU214" s="0" t="n">
        <v>1</v>
      </c>
      <c r="DW214" s="1" t="n">
        <v>38327</v>
      </c>
      <c r="DX214" s="1" t="n">
        <v>40745</v>
      </c>
      <c r="DZ214" s="0"/>
      <c r="EA214" s="0" t="n">
        <v>1</v>
      </c>
      <c r="EC214" s="1" t="n">
        <v>38327</v>
      </c>
      <c r="ED214" s="1" t="n">
        <v>40745</v>
      </c>
      <c r="EF214" s="0"/>
      <c r="EG214" s="0" t="n">
        <v>1</v>
      </c>
      <c r="EH214" s="0" t="n">
        <v>15</v>
      </c>
      <c r="EI214" s="0" t="n">
        <f aca="false">IF(AND(DM214=1,DN214&lt;=48),"",IF(AND(DM214=2,DN214&lt;=42),"",IF(AND(DM214=3,DN214&lt;=45),"",EH214)))</f>
        <v>15</v>
      </c>
      <c r="EJ214" s="0" t="n">
        <f aca="false">IF(EI214="","",IF(EI214&lt;9,EI214,9))</f>
        <v>9</v>
      </c>
      <c r="EK214" s="0" t="n">
        <f aca="false">IF(EI214="","",IF(EI214&gt;9,EI214-EJ214,0))</f>
        <v>6</v>
      </c>
      <c r="EL214" s="0" t="n">
        <f aca="false">IF(EI214="","",EJ214*DA214*2+EK214*DA214*3)</f>
        <v>1440</v>
      </c>
      <c r="EP214" s="0" t="n">
        <v>0</v>
      </c>
      <c r="EQ214" s="0"/>
      <c r="ER214" s="0" t="n">
        <v>0</v>
      </c>
      <c r="ET214" s="0" t="n">
        <v>0</v>
      </c>
      <c r="EV214" s="0" t="n">
        <v>0</v>
      </c>
      <c r="EX214" s="0" t="n">
        <v>1</v>
      </c>
      <c r="EY214" s="0" t="n">
        <v>0</v>
      </c>
      <c r="EZ214" s="0"/>
      <c r="FA214" s="4" t="n">
        <v>0</v>
      </c>
      <c r="FB214" s="0" t="n">
        <v>0</v>
      </c>
      <c r="FF214" s="120" t="n">
        <f aca="false">(CJ214-CI214+1)/365</f>
        <v>6.62739726027397</v>
      </c>
      <c r="FG214" s="0" t="str">
        <f aca="false">CONCATENATE(F214,"/",G214)</f>
        <v>1425/2011</v>
      </c>
      <c r="FH214" s="0" t="n">
        <v>0</v>
      </c>
      <c r="FI214" s="0" t="n">
        <v>0</v>
      </c>
    </row>
    <row r="215" customFormat="false" ht="15" hidden="false" customHeight="false" outlineLevel="0" collapsed="false">
      <c r="A215" s="5" t="str">
        <f aca="false">E215&amp;G215&amp;F215</f>
        <v>720111432</v>
      </c>
      <c r="B215" s="0" t="s">
        <v>2166</v>
      </c>
      <c r="C215" s="1" t="n">
        <v>42041</v>
      </c>
      <c r="E215" s="0" t="n">
        <v>7</v>
      </c>
      <c r="F215" s="0" t="n">
        <v>1432</v>
      </c>
      <c r="G215" s="0" t="n">
        <v>2011</v>
      </c>
      <c r="H215" s="0" t="str">
        <f aca="false">"J"&amp;E215&amp;"\"&amp;F215&amp;"\"&amp;G215&amp;"\"&amp;W215</f>
        <v>J7\1432\2011\1</v>
      </c>
      <c r="I215" s="0"/>
      <c r="J215" s="1" t="n">
        <v>40777</v>
      </c>
      <c r="K215" s="0" t="n">
        <v>0</v>
      </c>
      <c r="M215" s="1" t="n">
        <v>40777</v>
      </c>
      <c r="N215" s="1" t="n">
        <v>40991</v>
      </c>
      <c r="O215" s="1"/>
      <c r="P215" s="1"/>
      <c r="Q215" s="1"/>
      <c r="T215" s="121"/>
      <c r="U215" s="121"/>
      <c r="V215" s="122" t="n">
        <f aca="false">IF(AND(E215&gt;0,F215&gt;0,G215&gt;0),COUNTIFS($E:$E,E215,$F:$F,F215,$G:$G,G215),"")</f>
        <v>1</v>
      </c>
      <c r="W215" s="122" t="n">
        <f aca="false">IF(V215="","",IF(V215=1,1,IF(AND(E214=E215,F214=F215,G214=G215),W214+1,1)))</f>
        <v>1</v>
      </c>
      <c r="X215" s="0" t="n">
        <v>1</v>
      </c>
      <c r="Y215" s="0" t="n">
        <v>2</v>
      </c>
      <c r="Z215" s="0" t="s">
        <v>2385</v>
      </c>
      <c r="AA215" s="0" t="n">
        <v>0</v>
      </c>
      <c r="AB215" s="0" t="s">
        <v>2386</v>
      </c>
      <c r="AC215" s="0" t="s">
        <v>274</v>
      </c>
      <c r="AD215" s="0" t="s">
        <v>1160</v>
      </c>
      <c r="AE215" s="0" t="n">
        <v>0</v>
      </c>
      <c r="AF215" s="0" t="s">
        <v>2387</v>
      </c>
      <c r="AG215" s="0" t="n">
        <v>1</v>
      </c>
      <c r="AH215" s="0" t="s">
        <v>2388</v>
      </c>
      <c r="AI215" s="0" t="s">
        <v>380</v>
      </c>
      <c r="AJ215" s="0" t="s">
        <v>2172</v>
      </c>
      <c r="AL215" s="0" t="s">
        <v>1880</v>
      </c>
      <c r="AM215" s="0" t="n">
        <v>1</v>
      </c>
      <c r="AN215" s="0" t="s">
        <v>2388</v>
      </c>
      <c r="AO215" s="0" t="s">
        <v>380</v>
      </c>
      <c r="AP215" s="0" t="s">
        <v>2172</v>
      </c>
      <c r="BP215" s="0" t="n">
        <v>0</v>
      </c>
      <c r="BQ215" s="0" t="n">
        <v>0</v>
      </c>
      <c r="BR215" s="0" t="n">
        <v>1</v>
      </c>
      <c r="BS215" s="0" t="s">
        <v>2389</v>
      </c>
      <c r="BT215" s="0" t="s">
        <v>808</v>
      </c>
      <c r="BU215" s="0" t="s">
        <v>2390</v>
      </c>
      <c r="BV215" s="123"/>
      <c r="BW215" s="123"/>
      <c r="BX215" s="123"/>
      <c r="BY215" s="123"/>
      <c r="BZ215" s="0" t="n">
        <v>0</v>
      </c>
      <c r="CA215" s="0" t="s">
        <v>216</v>
      </c>
      <c r="CD215" s="0" t="s">
        <v>216</v>
      </c>
      <c r="CE215" s="0" t="n">
        <v>0</v>
      </c>
      <c r="CF215" s="0" t="s">
        <v>2391</v>
      </c>
      <c r="CI215" s="1" t="n">
        <v>38486</v>
      </c>
      <c r="CJ215" s="1" t="n">
        <v>40753</v>
      </c>
      <c r="CK215" s="124" t="n">
        <v>0.416666666666667</v>
      </c>
      <c r="CL215" s="0" t="s">
        <v>2387</v>
      </c>
      <c r="CM215" s="0" t="n">
        <f aca="false">IF(OR(CI215="",CJ215=""),"",DAYS360(CI215,CJ215)/360)</f>
        <v>6.20833333333333</v>
      </c>
      <c r="CN215" s="0" t="n">
        <f aca="false">IF(OR(CI215="",CJ215=""),"",DAYS360(CI215,CJ215)/30)</f>
        <v>74.5</v>
      </c>
      <c r="CO215" s="0" t="n">
        <f aca="false">IF(OR(CI215="",CJ215=""),"",DAYS360(CI215,CJ215)/7)</f>
        <v>319.285714285714</v>
      </c>
      <c r="CP215" s="0" t="n">
        <f aca="false">IF(OR(CI215="",CJ215=""),"",DAYS360(CI215,CJ215))</f>
        <v>2235</v>
      </c>
      <c r="CQ215" s="0" t="s">
        <v>240</v>
      </c>
      <c r="CR215" s="0" t="n">
        <v>1</v>
      </c>
      <c r="CT215" s="0" t="n">
        <v>150</v>
      </c>
      <c r="CU215" s="0" t="n">
        <v>0</v>
      </c>
      <c r="CV215" s="0" t="n">
        <f aca="false">IF(OR(CT215="",CT215="NO ESPECIFICA",CT215="NO MENCIONA"),"",IF(CU215=0,CT215,IF(CU215=1,CT215/30,IF(CU215=2,CT215/15,IF(CU215=3,CT215/7,"")))))</f>
        <v>150</v>
      </c>
      <c r="CW215" s="125" t="n">
        <v>200</v>
      </c>
      <c r="CX215" s="0" t="n">
        <v>0</v>
      </c>
      <c r="CY215" s="0" t="n">
        <f aca="false">IF(CW215="","",IF(CX215=0,CW215,IF(CX215=1,CW215/30,IF(CX215=2,CW215/15,IF(CX215=3,CW215/7,CW215)))))</f>
        <v>200</v>
      </c>
      <c r="CZ215" s="0" t="n">
        <f aca="false">IF(DI215&gt;0,DI215,IF(CY215&gt;0,CY215,IF(CV215&gt;0,CV215,"")))</f>
        <v>200</v>
      </c>
      <c r="DA215" s="0" t="n">
        <f aca="false">IF(DM215=1,CZ215/8,IF(OR(DM215=2,DM215=4),CZ215/7,IF(DM215=3,CZ215/7.5,"")))</f>
        <v>25</v>
      </c>
      <c r="DB215" s="0" t="s">
        <v>300</v>
      </c>
      <c r="DC215" s="0" t="s">
        <v>216</v>
      </c>
      <c r="DD215" s="0" t="s">
        <v>216</v>
      </c>
      <c r="DE215" s="0" t="s">
        <v>216</v>
      </c>
      <c r="DF215" s="0" t="s">
        <v>216</v>
      </c>
      <c r="DG215" s="0" t="s">
        <v>216</v>
      </c>
      <c r="DH215" s="0" t="n">
        <v>0</v>
      </c>
      <c r="DI215" s="126" t="n">
        <v>200</v>
      </c>
      <c r="DK215" s="0" t="n">
        <v>1</v>
      </c>
      <c r="DM215" s="0" t="n">
        <v>1</v>
      </c>
      <c r="DN215" s="0" t="n">
        <v>48</v>
      </c>
      <c r="DO215" s="0" t="n">
        <v>3</v>
      </c>
      <c r="DP215" s="0" t="n">
        <v>0</v>
      </c>
      <c r="DQ215" s="0" t="n">
        <v>1</v>
      </c>
      <c r="DR215" s="0"/>
      <c r="DS215" s="0" t="n">
        <v>1</v>
      </c>
      <c r="DU215" s="0" t="n">
        <v>1</v>
      </c>
      <c r="DW215" s="1" t="n">
        <v>40388</v>
      </c>
      <c r="DX215" s="1" t="n">
        <v>40753</v>
      </c>
      <c r="DZ215" s="0"/>
      <c r="EA215" s="0" t="n">
        <v>1</v>
      </c>
      <c r="EC215" s="1" t="n">
        <v>40388</v>
      </c>
      <c r="ED215" s="1" t="n">
        <v>40753</v>
      </c>
      <c r="EF215" s="0"/>
      <c r="EG215" s="0" t="n">
        <v>1</v>
      </c>
      <c r="EH215" s="0" t="n">
        <f aca="false">2.5*6</f>
        <v>15</v>
      </c>
      <c r="EI215" s="0" t="str">
        <f aca="false">IF(AND(DM215=1,DN215&lt;=48),"",IF(AND(DM215=2,DN215&lt;=42),"",IF(AND(DM215=3,DN215&lt;=45),"",EH215)))</f>
        <v/>
      </c>
      <c r="EJ215" s="0" t="str">
        <f aca="false">IF(EI215="","",IF(EI215&lt;9,EI215,9))</f>
        <v/>
      </c>
      <c r="EK215" s="0" t="str">
        <f aca="false">IF(EI215="","",IF(EI215&gt;9,EI215-EJ215,0))</f>
        <v/>
      </c>
      <c r="EL215" s="0" t="str">
        <f aca="false">IF(EI215="","",EJ215*DA215*2+EK215*DA215*3)</f>
        <v/>
      </c>
      <c r="EP215" s="0" t="n">
        <v>0</v>
      </c>
      <c r="EQ215" s="0"/>
      <c r="ER215" s="0" t="n">
        <v>0</v>
      </c>
      <c r="ET215" s="0" t="n">
        <v>1</v>
      </c>
      <c r="EV215" s="0" t="n">
        <v>0</v>
      </c>
      <c r="EX215" s="0" t="n">
        <v>0</v>
      </c>
      <c r="EY215" s="0" t="n">
        <v>1</v>
      </c>
      <c r="EZ215" s="4" t="n">
        <v>1100</v>
      </c>
      <c r="FA215" s="4" t="n">
        <v>0</v>
      </c>
      <c r="FB215" s="0" t="n">
        <v>0</v>
      </c>
      <c r="FF215" s="120" t="n">
        <f aca="false">(CJ215-CI215+1)/365</f>
        <v>6.21369863013699</v>
      </c>
      <c r="FG215" s="0" t="str">
        <f aca="false">CONCATENATE(F215,"/",G215)</f>
        <v>1432/2011</v>
      </c>
      <c r="FH215" s="0" t="n">
        <v>0</v>
      </c>
      <c r="FI215" s="0" t="n">
        <v>0</v>
      </c>
    </row>
    <row r="216" customFormat="false" ht="15" hidden="false" customHeight="false" outlineLevel="0" collapsed="false">
      <c r="A216" s="5" t="str">
        <f aca="false">E216&amp;G216&amp;F216</f>
        <v>72011659</v>
      </c>
      <c r="B216" s="0" t="s">
        <v>2392</v>
      </c>
      <c r="C216" s="1" t="n">
        <v>42409</v>
      </c>
      <c r="D216" s="0" t="s">
        <v>2393</v>
      </c>
      <c r="E216" s="0" t="n">
        <v>7</v>
      </c>
      <c r="F216" s="0" t="n">
        <v>659</v>
      </c>
      <c r="G216" s="0" t="n">
        <v>2011</v>
      </c>
      <c r="H216" s="0" t="str">
        <f aca="false">"J"&amp;E216&amp;"\"&amp;F216&amp;"\"&amp;G216&amp;"\"&amp;W216</f>
        <v>J7\659\2011\1</v>
      </c>
      <c r="I216" s="0"/>
      <c r="J216" s="1" t="n">
        <v>40644</v>
      </c>
      <c r="K216" s="0" t="n">
        <v>0</v>
      </c>
      <c r="M216" s="1"/>
      <c r="N216" s="1"/>
      <c r="O216" s="1"/>
      <c r="P216" s="1"/>
      <c r="Q216" s="1"/>
      <c r="T216" s="121"/>
      <c r="U216" s="121"/>
      <c r="V216" s="122" t="n">
        <f aca="false">IF(AND(E216&gt;0,F216&gt;0,G216&gt;0),COUNTIFS($E:$E,E216,$F:$F,F216,$G:$G,G216),"")</f>
        <v>1</v>
      </c>
      <c r="W216" s="122" t="n">
        <f aca="false">IF(V216="","",IF(V216=1,1,IF(AND(E215=E216,F215=F216,G215=G216),W215+1,1)))</f>
        <v>1</v>
      </c>
      <c r="X216" s="0" t="n">
        <v>1</v>
      </c>
      <c r="Y216" s="0" t="n">
        <v>2</v>
      </c>
      <c r="Z216" s="0" t="s">
        <v>2394</v>
      </c>
      <c r="AA216" s="0" t="n">
        <v>0</v>
      </c>
      <c r="AB216" s="0" t="s">
        <v>2395</v>
      </c>
      <c r="AC216" s="0" t="s">
        <v>287</v>
      </c>
      <c r="AD216" s="0" t="s">
        <v>207</v>
      </c>
      <c r="AE216" s="0" t="n">
        <v>0</v>
      </c>
      <c r="AF216" s="0" t="s">
        <v>2396</v>
      </c>
      <c r="AG216" s="0" t="n">
        <v>0</v>
      </c>
      <c r="AH216" s="0" t="s">
        <v>2397</v>
      </c>
      <c r="AI216" s="0" t="s">
        <v>1661</v>
      </c>
      <c r="AJ216" s="0" t="s">
        <v>229</v>
      </c>
      <c r="AL216" s="0" t="s">
        <v>2398</v>
      </c>
      <c r="AM216" s="0" t="n">
        <v>0</v>
      </c>
      <c r="AN216" s="0" t="s">
        <v>2399</v>
      </c>
      <c r="AO216" s="0" t="s">
        <v>2400</v>
      </c>
      <c r="AP216" s="0" t="s">
        <v>207</v>
      </c>
      <c r="BP216" s="0" t="n">
        <v>0</v>
      </c>
      <c r="BQ216" s="0" t="n">
        <v>0</v>
      </c>
      <c r="BR216" s="0" t="n">
        <v>1</v>
      </c>
      <c r="BS216" s="0" t="s">
        <v>2401</v>
      </c>
      <c r="BT216" s="0" t="s">
        <v>2402</v>
      </c>
      <c r="BU216" s="0" t="s">
        <v>2403</v>
      </c>
      <c r="BV216" s="123"/>
      <c r="BW216" s="123"/>
      <c r="BX216" s="123"/>
      <c r="BY216" s="123"/>
      <c r="BZ216" s="0" t="n">
        <v>0</v>
      </c>
      <c r="CA216" s="0" t="s">
        <v>216</v>
      </c>
      <c r="CD216" s="0" t="s">
        <v>357</v>
      </c>
      <c r="CE216" s="0" t="n">
        <v>0</v>
      </c>
      <c r="CF216" s="0" t="s">
        <v>2404</v>
      </c>
      <c r="CI216" s="1" t="n">
        <v>38205</v>
      </c>
      <c r="CJ216" s="1" t="n">
        <v>40613</v>
      </c>
      <c r="CK216" s="124" t="n">
        <v>0.697916666666667</v>
      </c>
      <c r="CL216" s="0" t="s">
        <v>2405</v>
      </c>
      <c r="CM216" s="0" t="n">
        <f aca="false">IF(OR(CI216="",CJ216=""),"",DAYS360(CI216,CJ216)/360)</f>
        <v>6.59722222222222</v>
      </c>
      <c r="CN216" s="0" t="n">
        <f aca="false">IF(OR(CI216="",CJ216=""),"",DAYS360(CI216,CJ216)/30)</f>
        <v>79.1666666666667</v>
      </c>
      <c r="CO216" s="0" t="n">
        <f aca="false">IF(OR(CI216="",CJ216=""),"",DAYS360(CI216,CJ216)/7)</f>
        <v>339.285714285714</v>
      </c>
      <c r="CP216" s="0" t="n">
        <f aca="false">IF(OR(CI216="",CJ216=""),"",DAYS360(CI216,CJ216))</f>
        <v>2375</v>
      </c>
      <c r="CQ216" s="0" t="s">
        <v>240</v>
      </c>
      <c r="CR216" s="0" t="n">
        <v>1</v>
      </c>
      <c r="CT216" s="0" t="s">
        <v>221</v>
      </c>
      <c r="CU216" s="0" t="s">
        <v>221</v>
      </c>
      <c r="CV216" s="0" t="str">
        <f aca="false">IF(OR(CT216="",CT216="NO ESPECIFICA",CT216="NO MENCIONA"),"",IF(CU216=0,CT216,IF(CU216=1,CT216/30,IF(CU216=2,CT216/15,IF(CU216=3,CT216/7,"")))))</f>
        <v/>
      </c>
      <c r="CW216" s="125" t="n">
        <v>498.46</v>
      </c>
      <c r="CX216" s="0" t="n">
        <v>0</v>
      </c>
      <c r="CY216" s="0" t="n">
        <f aca="false">IF(CW216="","",IF(CX216=0,CW216,IF(CX216=1,CW216/30,IF(CX216=2,CW216/15,IF(CX216=3,CW216/7,CW216)))))</f>
        <v>498.46</v>
      </c>
      <c r="CZ216" s="0" t="n">
        <f aca="false">IF(DI216&gt;0,DI216,IF(CY216&gt;0,CY216,IF(CV216&gt;0,CV216,"")))</f>
        <v>498.46</v>
      </c>
      <c r="DA216" s="0" t="n">
        <f aca="false">IF(DM216=1,CZ216/8,IF(OR(DM216=2,DM216=4),CZ216/7,IF(DM216=3,CZ216/7.5,"")))</f>
        <v>62.3075</v>
      </c>
      <c r="DB216" s="0" t="s">
        <v>216</v>
      </c>
      <c r="DC216" s="0" t="s">
        <v>216</v>
      </c>
      <c r="DD216" s="0" t="s">
        <v>216</v>
      </c>
      <c r="DE216" s="0" t="s">
        <v>216</v>
      </c>
      <c r="DF216" s="0" t="s">
        <v>216</v>
      </c>
      <c r="DG216" s="0" t="s">
        <v>216</v>
      </c>
      <c r="DH216" s="0" t="n">
        <v>0</v>
      </c>
      <c r="DI216" s="126" t="n">
        <v>498.46</v>
      </c>
      <c r="DK216" s="0" t="n">
        <v>0</v>
      </c>
      <c r="DM216" s="0" t="n">
        <v>1</v>
      </c>
      <c r="DN216" s="0" t="n">
        <v>45</v>
      </c>
      <c r="DO216" s="0" t="n">
        <v>3</v>
      </c>
      <c r="DP216" s="0" t="n">
        <v>0</v>
      </c>
      <c r="DQ216" s="0" t="n">
        <v>1</v>
      </c>
      <c r="DR216" s="0" t="n">
        <v>44861.51</v>
      </c>
      <c r="DS216" s="0" t="n">
        <v>1</v>
      </c>
      <c r="DU216" s="0" t="n">
        <v>1</v>
      </c>
      <c r="DW216" s="1" t="n">
        <v>40396</v>
      </c>
      <c r="DX216" s="1" t="n">
        <v>40613</v>
      </c>
      <c r="DZ216" s="0"/>
      <c r="EA216" s="0" t="n">
        <v>1</v>
      </c>
      <c r="EC216" s="1" t="n">
        <v>40544</v>
      </c>
      <c r="ED216" s="1" t="n">
        <v>40613</v>
      </c>
      <c r="EF216" s="0"/>
      <c r="EG216" s="0" t="n">
        <v>0</v>
      </c>
      <c r="EI216" s="0" t="str">
        <f aca="false">IF(AND(DM216=1,DN216&lt;=48),"",IF(AND(DM216=2,DN216&lt;=42),"",IF(AND(DM216=3,DN216&lt;=45),"",EH216)))</f>
        <v/>
      </c>
      <c r="EJ216" s="0" t="str">
        <f aca="false">IF(EI216="","",IF(EI216&lt;9,EI216,9))</f>
        <v/>
      </c>
      <c r="EK216" s="0" t="str">
        <f aca="false">IF(EI216="","",IF(EI216&gt;9,EI216-EJ216,0))</f>
        <v/>
      </c>
      <c r="EL216" s="0" t="str">
        <f aca="false">IF(EI216="","",EJ216*DA216*2+EK216*DA216*3)</f>
        <v/>
      </c>
      <c r="EP216" s="0" t="n">
        <v>0</v>
      </c>
      <c r="EQ216" s="0"/>
      <c r="ER216" s="0" t="n">
        <v>0</v>
      </c>
      <c r="ET216" s="0" t="n">
        <v>0</v>
      </c>
      <c r="EV216" s="0" t="n">
        <v>0</v>
      </c>
      <c r="EX216" s="0" t="n">
        <v>0</v>
      </c>
      <c r="EY216" s="0" t="n">
        <v>0</v>
      </c>
      <c r="EZ216" s="0"/>
      <c r="FA216" s="4" t="n">
        <f aca="false">9017.4+(15*498.46)</f>
        <v>16494.3</v>
      </c>
      <c r="FB216" s="0" t="n">
        <v>0</v>
      </c>
      <c r="FF216" s="120" t="n">
        <f aca="false">(CJ216-CI216+1)/365</f>
        <v>6.6</v>
      </c>
      <c r="FG216" s="0" t="str">
        <f aca="false">CONCATENATE(F216,"/",G216)</f>
        <v>659/2011</v>
      </c>
      <c r="FH216" s="0" t="n">
        <v>0</v>
      </c>
      <c r="FI216" s="0" t="n">
        <v>0</v>
      </c>
    </row>
    <row r="217" customFormat="false" ht="15" hidden="false" customHeight="false" outlineLevel="0" collapsed="false">
      <c r="A217" s="5" t="str">
        <f aca="false">E217&amp;G217&amp;F217</f>
        <v>72011660</v>
      </c>
      <c r="B217" s="0" t="s">
        <v>2392</v>
      </c>
      <c r="C217" s="1" t="n">
        <v>42409</v>
      </c>
      <c r="E217" s="0" t="n">
        <v>7</v>
      </c>
      <c r="F217" s="0" t="n">
        <v>660</v>
      </c>
      <c r="G217" s="0" t="n">
        <v>2011</v>
      </c>
      <c r="H217" s="0" t="str">
        <f aca="false">"J"&amp;E217&amp;"\"&amp;F217&amp;"\"&amp;G217&amp;"\"&amp;W217</f>
        <v>J7\660\2011\1</v>
      </c>
      <c r="I217" s="0"/>
      <c r="J217" s="1" t="n">
        <v>40644</v>
      </c>
      <c r="K217" s="0" t="n">
        <v>0</v>
      </c>
      <c r="M217" s="1" t="n">
        <v>40812</v>
      </c>
      <c r="N217" s="1" t="n">
        <v>40877</v>
      </c>
      <c r="O217" s="1"/>
      <c r="P217" s="1"/>
      <c r="Q217" s="1"/>
      <c r="T217" s="121"/>
      <c r="U217" s="121"/>
      <c r="V217" s="122" t="n">
        <f aca="false">IF(AND(E217&gt;0,F217&gt;0,G217&gt;0),COUNTIFS($E:$E,E217,$F:$F,F217,$G:$G,G217),"")</f>
        <v>1</v>
      </c>
      <c r="W217" s="122" t="n">
        <f aca="false">IF(V217="","",IF(V217=1,1,IF(AND(E216=E217,F216=F217,G216=G217),W216+1,1)))</f>
        <v>1</v>
      </c>
      <c r="X217" s="0" t="n">
        <v>1</v>
      </c>
      <c r="Y217" s="0" t="n">
        <v>11</v>
      </c>
      <c r="Z217" s="0" t="s">
        <v>2406</v>
      </c>
      <c r="AA217" s="0" t="n">
        <v>0</v>
      </c>
      <c r="AB217" s="0" t="s">
        <v>2407</v>
      </c>
      <c r="AC217" s="0" t="s">
        <v>318</v>
      </c>
      <c r="AD217" s="0" t="s">
        <v>229</v>
      </c>
      <c r="AE217" s="0" t="n">
        <v>0</v>
      </c>
      <c r="AF217" s="0" t="s">
        <v>233</v>
      </c>
      <c r="AG217" s="0" t="n">
        <v>0</v>
      </c>
      <c r="AH217" s="0" t="s">
        <v>2408</v>
      </c>
      <c r="AI217" s="0" t="s">
        <v>1123</v>
      </c>
      <c r="AJ217" s="0" t="s">
        <v>322</v>
      </c>
      <c r="AL217" s="0" t="s">
        <v>2409</v>
      </c>
      <c r="AM217" s="0" t="n">
        <v>0</v>
      </c>
      <c r="AN217" s="0" t="s">
        <v>2410</v>
      </c>
      <c r="AO217" s="0" t="s">
        <v>2411</v>
      </c>
      <c r="AP217" s="0" t="s">
        <v>229</v>
      </c>
      <c r="AR217" s="0" t="s">
        <v>2412</v>
      </c>
      <c r="AS217" s="0" t="n">
        <v>0</v>
      </c>
      <c r="AT217" s="0" t="s">
        <v>2413</v>
      </c>
      <c r="AU217" s="0" t="s">
        <v>2414</v>
      </c>
      <c r="AV217" s="0" t="s">
        <v>2415</v>
      </c>
      <c r="AX217" s="0" t="s">
        <v>2416</v>
      </c>
      <c r="AY217" s="0" t="n">
        <v>0</v>
      </c>
      <c r="AZ217" s="0" t="s">
        <v>2417</v>
      </c>
      <c r="BA217" s="0" t="s">
        <v>2414</v>
      </c>
      <c r="BB217" s="0" t="s">
        <v>2415</v>
      </c>
      <c r="BD217" s="0" t="s">
        <v>2418</v>
      </c>
      <c r="BE217" s="0" t="n">
        <v>0</v>
      </c>
      <c r="BF217" s="0" t="s">
        <v>2419</v>
      </c>
      <c r="BG217" s="0" t="s">
        <v>2420</v>
      </c>
      <c r="BH217" s="0" t="s">
        <v>322</v>
      </c>
      <c r="BJ217" s="0" t="s">
        <v>2421</v>
      </c>
      <c r="BK217" s="0" t="n">
        <v>0</v>
      </c>
      <c r="BL217" s="0" t="s">
        <v>2408</v>
      </c>
      <c r="BM217" s="0" t="s">
        <v>1123</v>
      </c>
      <c r="BN217" s="0" t="s">
        <v>322</v>
      </c>
      <c r="BP217" s="0" t="n">
        <v>0</v>
      </c>
      <c r="BQ217" s="0" t="n">
        <v>0</v>
      </c>
      <c r="BR217" s="0" t="n">
        <v>1</v>
      </c>
      <c r="BS217" s="0" t="s">
        <v>2422</v>
      </c>
      <c r="BT217" s="0" t="s">
        <v>2423</v>
      </c>
      <c r="BU217" s="0" t="s">
        <v>2424</v>
      </c>
      <c r="BV217" s="123"/>
      <c r="BW217" s="123"/>
      <c r="BX217" s="123"/>
      <c r="BY217" s="123"/>
      <c r="BZ217" s="0" t="n">
        <v>0</v>
      </c>
      <c r="CA217" s="0" t="s">
        <v>216</v>
      </c>
      <c r="CD217" s="0" t="s">
        <v>2425</v>
      </c>
      <c r="CE217" s="0" t="n">
        <v>0</v>
      </c>
      <c r="CF217" s="0" t="s">
        <v>2426</v>
      </c>
      <c r="CI217" s="1" t="n">
        <v>38981</v>
      </c>
      <c r="CJ217" s="1" t="n">
        <v>40585</v>
      </c>
      <c r="CK217" s="124" t="n">
        <v>0.708333333333333</v>
      </c>
      <c r="CL217" s="0" t="s">
        <v>2427</v>
      </c>
      <c r="CM217" s="0" t="n">
        <f aca="false">IF(OR(CI217="",CJ217=""),"",DAYS360(CI217,CJ217)/360)</f>
        <v>4.38888888888889</v>
      </c>
      <c r="CN217" s="0" t="n">
        <f aca="false">IF(OR(CI217="",CJ217=""),"",DAYS360(CI217,CJ217)/30)</f>
        <v>52.6666666666667</v>
      </c>
      <c r="CO217" s="0" t="n">
        <f aca="false">IF(OR(CI217="",CJ217=""),"",DAYS360(CI217,CJ217)/7)</f>
        <v>225.714285714286</v>
      </c>
      <c r="CP217" s="0" t="n">
        <f aca="false">IF(OR(CI217="",CJ217=""),"",DAYS360(CI217,CJ217))</f>
        <v>1580</v>
      </c>
      <c r="CQ217" s="0" t="s">
        <v>2021</v>
      </c>
      <c r="CR217" s="0" t="n">
        <v>1</v>
      </c>
      <c r="CT217" s="0" t="s">
        <v>221</v>
      </c>
      <c r="CU217" s="0" t="s">
        <v>221</v>
      </c>
      <c r="CV217" s="0" t="str">
        <f aca="false">IF(OR(CT217="",CT217="NO ESPECIFICA",CT217="NO MENCIONA"),"",IF(CU217=0,CT217,IF(CU217=1,CT217/30,IF(CU217=2,CT217/15,IF(CU217=3,CT217/7,"")))))</f>
        <v/>
      </c>
      <c r="CW217" s="125" t="n">
        <v>16000</v>
      </c>
      <c r="CX217" s="0" t="n">
        <v>1</v>
      </c>
      <c r="CY217" s="0" t="n">
        <f aca="false">IF(CW217="","",IF(CX217=0,CW217,IF(CX217=1,CW217/30,IF(CX217=2,CW217/15,IF(CX217=3,CW217/7,CW217)))))</f>
        <v>533.333333333333</v>
      </c>
      <c r="CZ217" s="0" t="n">
        <f aca="false">IF(DI217&gt;0,DI217,IF(CY217&gt;0,CY217,IF(CV217&gt;0,CV217,"")))</f>
        <v>533.33</v>
      </c>
      <c r="DA217" s="0" t="n">
        <f aca="false">IF(DM217=1,CZ217/8,IF(OR(DM217=2,DM217=4),CZ217/7,IF(DM217=3,CZ217/7.5,"")))</f>
        <v>66.66625</v>
      </c>
      <c r="DB217" s="0" t="s">
        <v>216</v>
      </c>
      <c r="DC217" s="0" t="s">
        <v>216</v>
      </c>
      <c r="DD217" s="0" t="s">
        <v>216</v>
      </c>
      <c r="DE217" s="0" t="s">
        <v>216</v>
      </c>
      <c r="DF217" s="0" t="s">
        <v>216</v>
      </c>
      <c r="DG217" s="0" t="s">
        <v>216</v>
      </c>
      <c r="DH217" s="0" t="n">
        <v>0</v>
      </c>
      <c r="DI217" s="126" t="n">
        <v>533.33</v>
      </c>
      <c r="DK217" s="0" t="n">
        <v>0</v>
      </c>
      <c r="DM217" s="0" t="n">
        <v>1</v>
      </c>
      <c r="DN217" s="0" t="n">
        <v>45</v>
      </c>
      <c r="DO217" s="0" t="n">
        <v>3</v>
      </c>
      <c r="DP217" s="0" t="n">
        <v>1</v>
      </c>
      <c r="DQ217" s="0" t="n">
        <v>1</v>
      </c>
      <c r="DR217" s="0"/>
      <c r="DS217" s="0" t="n">
        <v>1</v>
      </c>
      <c r="DU217" s="0" t="n">
        <v>1</v>
      </c>
      <c r="DW217" s="1" t="n">
        <v>38981</v>
      </c>
      <c r="DX217" s="1" t="n">
        <v>40585</v>
      </c>
      <c r="DZ217" s="0"/>
      <c r="EA217" s="0" t="n">
        <v>1</v>
      </c>
      <c r="EC217" s="1" t="n">
        <v>38981</v>
      </c>
      <c r="ED217" s="1" t="n">
        <v>40585</v>
      </c>
      <c r="EF217" s="0"/>
      <c r="EG217" s="0" t="n">
        <v>1</v>
      </c>
      <c r="EH217" s="0" t="n">
        <v>12</v>
      </c>
      <c r="EI217" s="0" t="str">
        <f aca="false">IF(AND(DM217=1,DN217&lt;=48),"",IF(AND(DM217=2,DN217&lt;=42),"",IF(AND(DM217=3,DN217&lt;=45),"",EH217)))</f>
        <v/>
      </c>
      <c r="EJ217" s="0" t="str">
        <f aca="false">IF(EI217="","",IF(EI217&lt;9,EI217,9))</f>
        <v/>
      </c>
      <c r="EK217" s="0" t="str">
        <f aca="false">IF(EI217="","",IF(EI217&gt;9,EI217-EJ217,0))</f>
        <v/>
      </c>
      <c r="EL217" s="0" t="str">
        <f aca="false">IF(EI217="","",EJ217*DA217*2+EK217*DA217*3)</f>
        <v/>
      </c>
      <c r="EP217" s="0" t="n">
        <v>1</v>
      </c>
      <c r="EQ217" s="0"/>
      <c r="ER217" s="0" t="n">
        <v>0</v>
      </c>
      <c r="ET217" s="0" t="n">
        <v>0</v>
      </c>
      <c r="EV217" s="0" t="n">
        <v>0</v>
      </c>
      <c r="EX217" s="0" t="n">
        <v>1</v>
      </c>
      <c r="EY217" s="0" t="n">
        <v>0</v>
      </c>
      <c r="EZ217" s="0"/>
      <c r="FA217" s="4" t="s">
        <v>221</v>
      </c>
      <c r="FB217" s="0" t="n">
        <v>1</v>
      </c>
      <c r="FF217" s="120" t="n">
        <f aca="false">(CJ217-CI217+1)/365</f>
        <v>4.3972602739726</v>
      </c>
      <c r="FG217" s="0" t="str">
        <f aca="false">CONCATENATE(F217,"/",G217)</f>
        <v>660/2011</v>
      </c>
      <c r="FH217" s="0" t="n">
        <v>0</v>
      </c>
      <c r="FI217" s="0" t="n">
        <v>0</v>
      </c>
    </row>
    <row r="218" customFormat="false" ht="15" hidden="false" customHeight="false" outlineLevel="0" collapsed="false">
      <c r="A218" s="5" t="str">
        <f aca="false">E218&amp;G218&amp;F218</f>
        <v>72011666</v>
      </c>
      <c r="B218" s="0" t="s">
        <v>2392</v>
      </c>
      <c r="C218" s="1" t="n">
        <v>42409</v>
      </c>
      <c r="E218" s="0" t="n">
        <v>7</v>
      </c>
      <c r="F218" s="0" t="n">
        <v>666</v>
      </c>
      <c r="G218" s="0" t="n">
        <v>2011</v>
      </c>
      <c r="H218" s="0" t="str">
        <f aca="false">"J"&amp;E218&amp;"\"&amp;F218&amp;"\"&amp;G218&amp;"\"&amp;W218</f>
        <v>J7\666\2011\1</v>
      </c>
      <c r="I218" s="0"/>
      <c r="J218" s="1" t="n">
        <v>40645</v>
      </c>
      <c r="K218" s="0" t="n">
        <v>0</v>
      </c>
      <c r="M218" s="1" t="n">
        <v>40645</v>
      </c>
      <c r="N218" s="1" t="n">
        <v>40763</v>
      </c>
      <c r="O218" s="1"/>
      <c r="P218" s="1"/>
      <c r="Q218" s="1"/>
      <c r="T218" s="121"/>
      <c r="U218" s="121"/>
      <c r="V218" s="122" t="n">
        <f aca="false">IF(AND(E218&gt;0,F218&gt;0,G218&gt;0),COUNTIFS($E:$E,E218,$F:$F,F218,$G:$G,G218),"")</f>
        <v>1</v>
      </c>
      <c r="W218" s="122" t="n">
        <f aca="false">IF(V218="","",IF(V218=1,1,IF(AND(E217=E218,F217=F218,G217=G218),W217+1,1)))</f>
        <v>1</v>
      </c>
      <c r="X218" s="0" t="n">
        <v>1</v>
      </c>
      <c r="Y218" s="0" t="n">
        <v>2</v>
      </c>
      <c r="Z218" s="0" t="s">
        <v>2428</v>
      </c>
      <c r="AA218" s="0" t="n">
        <v>0</v>
      </c>
      <c r="AB218" s="0" t="s">
        <v>2429</v>
      </c>
      <c r="AC218" s="0" t="s">
        <v>251</v>
      </c>
      <c r="AD218" s="0" t="s">
        <v>229</v>
      </c>
      <c r="AE218" s="0" t="n">
        <v>0</v>
      </c>
      <c r="AF218" s="0" t="s">
        <v>2430</v>
      </c>
      <c r="AG218" s="0" t="n">
        <v>0</v>
      </c>
      <c r="AH218" s="0" t="s">
        <v>2431</v>
      </c>
      <c r="AI218" s="0" t="s">
        <v>643</v>
      </c>
      <c r="AJ218" s="0" t="s">
        <v>207</v>
      </c>
      <c r="AL218" s="0" t="s">
        <v>1880</v>
      </c>
      <c r="AM218" s="0" t="n">
        <v>1</v>
      </c>
      <c r="AN218" s="0" t="s">
        <v>2431</v>
      </c>
      <c r="AO218" s="0" t="s">
        <v>643</v>
      </c>
      <c r="AP218" s="0" t="s">
        <v>207</v>
      </c>
      <c r="BP218" s="0" t="n">
        <v>0</v>
      </c>
      <c r="BQ218" s="0" t="n">
        <v>0</v>
      </c>
      <c r="BR218" s="0" t="n">
        <v>1</v>
      </c>
      <c r="BS218" s="0" t="s">
        <v>2351</v>
      </c>
      <c r="BT218" s="0" t="s">
        <v>808</v>
      </c>
      <c r="BU218" s="0" t="s">
        <v>2432</v>
      </c>
      <c r="BV218" s="123"/>
      <c r="BW218" s="123"/>
      <c r="BX218" s="123"/>
      <c r="BY218" s="123"/>
      <c r="BZ218" s="0" t="n">
        <v>0</v>
      </c>
      <c r="CA218" s="0" t="s">
        <v>216</v>
      </c>
      <c r="CD218" s="0" t="s">
        <v>256</v>
      </c>
      <c r="CE218" s="0" t="n">
        <v>0</v>
      </c>
      <c r="CF218" s="0" t="s">
        <v>2433</v>
      </c>
      <c r="CI218" s="1" t="n">
        <v>40246</v>
      </c>
      <c r="CJ218" s="1" t="n">
        <v>40633</v>
      </c>
      <c r="CK218" s="124" t="n">
        <v>0.375</v>
      </c>
      <c r="CL218" s="0" t="s">
        <v>2434</v>
      </c>
      <c r="CM218" s="0" t="n">
        <f aca="false">IF(OR(CI218="",CJ218=""),"",DAYS360(CI218,CJ218)/360)</f>
        <v>1.06111111111111</v>
      </c>
      <c r="CN218" s="0" t="n">
        <f aca="false">IF(OR(CI218="",CJ218=""),"",DAYS360(CI218,CJ218)/30)</f>
        <v>12.7333333333333</v>
      </c>
      <c r="CO218" s="0" t="n">
        <f aca="false">IF(OR(CI218="",CJ218=""),"",DAYS360(CI218,CJ218)/7)</f>
        <v>54.5714285714286</v>
      </c>
      <c r="CP218" s="0" t="n">
        <f aca="false">IF(OR(CI218="",CJ218=""),"",DAYS360(CI218,CJ218))</f>
        <v>382</v>
      </c>
      <c r="CQ218" s="0" t="s">
        <v>240</v>
      </c>
      <c r="CR218" s="0" t="n">
        <v>1</v>
      </c>
      <c r="CT218" s="0" t="n">
        <v>250</v>
      </c>
      <c r="CU218" s="0" t="n">
        <v>0</v>
      </c>
      <c r="CV218" s="0" t="n">
        <f aca="false">IF(OR(CT218="",CT218="NO ESPECIFICA",CT218="NO MENCIONA"),"",IF(CU218=0,CT218,IF(CU218=1,CT218/30,IF(CU218=2,CT218/15,IF(CU218=3,CT218/7,"")))))</f>
        <v>250</v>
      </c>
      <c r="CW218" s="125" t="n">
        <v>387.28</v>
      </c>
      <c r="CX218" s="0" t="n">
        <v>0</v>
      </c>
      <c r="CY218" s="0" t="n">
        <f aca="false">IF(CW218="","",IF(CX218=0,CW218,IF(CX218=1,CW218/30,IF(CX218=2,CW218/15,IF(CX218=3,CW218/7,CW218)))))</f>
        <v>387.28</v>
      </c>
      <c r="CZ218" s="0" t="n">
        <f aca="false">IF(DI218&gt;0,DI218,IF(CY218&gt;0,CY218,IF(CV218&gt;0,CV218,"")))</f>
        <v>387.28</v>
      </c>
      <c r="DA218" s="0" t="n">
        <f aca="false">IF(DM218=1,CZ218/8,IF(OR(DM218=2,DM218=4),CZ218/7,IF(DM218=3,CZ218/7.5,"")))</f>
        <v>48.41</v>
      </c>
      <c r="DB218" s="0" t="s">
        <v>1945</v>
      </c>
      <c r="DC218" s="0" t="s">
        <v>1935</v>
      </c>
      <c r="DD218" s="0" t="s">
        <v>2435</v>
      </c>
      <c r="DE218" s="0" t="s">
        <v>2436</v>
      </c>
      <c r="DF218" s="0" t="s">
        <v>2306</v>
      </c>
      <c r="DG218" s="0" t="s">
        <v>216</v>
      </c>
      <c r="DH218" s="0" t="n">
        <v>0</v>
      </c>
      <c r="DI218" s="126" t="n">
        <v>387.28</v>
      </c>
      <c r="DK218" s="0" t="n">
        <v>1</v>
      </c>
      <c r="DM218" s="0" t="n">
        <v>1</v>
      </c>
      <c r="DN218" s="0" t="n">
        <v>66</v>
      </c>
      <c r="DO218" s="0" t="n">
        <v>3</v>
      </c>
      <c r="DP218" s="0" t="n">
        <v>0</v>
      </c>
      <c r="DQ218" s="0" t="n">
        <v>1</v>
      </c>
      <c r="DR218" s="0"/>
      <c r="DS218" s="0" t="n">
        <v>1</v>
      </c>
      <c r="DU218" s="0" t="n">
        <v>1</v>
      </c>
      <c r="DW218" s="1" t="n">
        <v>40269</v>
      </c>
      <c r="DX218" s="1" t="n">
        <v>40633</v>
      </c>
      <c r="DZ218" s="0"/>
      <c r="EA218" s="0" t="n">
        <v>1</v>
      </c>
      <c r="EC218" s="1" t="n">
        <v>40269</v>
      </c>
      <c r="ED218" s="1" t="n">
        <v>40633</v>
      </c>
      <c r="EF218" s="0"/>
      <c r="EG218" s="0" t="n">
        <v>1</v>
      </c>
      <c r="EH218" s="0" t="n">
        <v>18</v>
      </c>
      <c r="EI218" s="0" t="n">
        <f aca="false">IF(AND(DM218=1,DN218&lt;=48),"",IF(AND(DM218=2,DN218&lt;=42),"",IF(AND(DM218=3,DN218&lt;=45),"",EH218)))</f>
        <v>18</v>
      </c>
      <c r="EJ218" s="0" t="n">
        <f aca="false">IF(EI218="","",IF(EI218&lt;9,EI218,9))</f>
        <v>9</v>
      </c>
      <c r="EK218" s="0" t="n">
        <f aca="false">IF(EI218="","",IF(EI218&gt;9,EI218-EJ218,0))</f>
        <v>9</v>
      </c>
      <c r="EL218" s="0" t="n">
        <f aca="false">IF(EI218="","",EJ218*DA218*2+EK218*DA218*3)</f>
        <v>2178.45</v>
      </c>
      <c r="EP218" s="0" t="n">
        <v>0</v>
      </c>
      <c r="EQ218" s="0"/>
      <c r="ER218" s="0" t="n">
        <v>0</v>
      </c>
      <c r="ET218" s="0" t="n">
        <v>1</v>
      </c>
      <c r="EV218" s="0" t="n">
        <v>0</v>
      </c>
      <c r="EX218" s="0" t="n">
        <v>0</v>
      </c>
      <c r="EY218" s="0" t="n">
        <v>1</v>
      </c>
      <c r="EZ218" s="4" t="n">
        <v>734</v>
      </c>
      <c r="FA218" s="0"/>
      <c r="FB218" s="0" t="n">
        <v>1</v>
      </c>
      <c r="FF218" s="120" t="n">
        <f aca="false">(CJ218-CI218+1)/365</f>
        <v>1.06301369863014</v>
      </c>
      <c r="FG218" s="0" t="str">
        <f aca="false">CONCATENATE(F218,"/",G218)</f>
        <v>666/2011</v>
      </c>
      <c r="FH218" s="0" t="n">
        <v>0</v>
      </c>
      <c r="FI218" s="0" t="n">
        <v>0</v>
      </c>
    </row>
    <row r="219" customFormat="false" ht="15" hidden="false" customHeight="false" outlineLevel="0" collapsed="false">
      <c r="A219" s="5" t="str">
        <f aca="false">E219&amp;G219&amp;F219</f>
        <v>72011667</v>
      </c>
      <c r="B219" s="0" t="s">
        <v>2392</v>
      </c>
      <c r="C219" s="1" t="n">
        <v>42409</v>
      </c>
      <c r="E219" s="0" t="n">
        <v>7</v>
      </c>
      <c r="F219" s="0" t="n">
        <v>667</v>
      </c>
      <c r="G219" s="0" t="n">
        <v>2011</v>
      </c>
      <c r="H219" s="0" t="str">
        <f aca="false">"J"&amp;E219&amp;"\"&amp;F219&amp;"\"&amp;G219&amp;"\"&amp;W219</f>
        <v>J7\667\2011\1</v>
      </c>
      <c r="I219" s="0"/>
      <c r="J219" s="1" t="n">
        <v>40646</v>
      </c>
      <c r="K219" s="0" t="n">
        <v>0</v>
      </c>
      <c r="M219" s="1" t="n">
        <v>40646</v>
      </c>
      <c r="N219" s="1" t="n">
        <v>40764</v>
      </c>
      <c r="O219" s="1"/>
      <c r="P219" s="1"/>
      <c r="Q219" s="1"/>
      <c r="T219" s="121"/>
      <c r="U219" s="121"/>
      <c r="V219" s="122" t="n">
        <f aca="false">IF(AND(E219&gt;0,F219&gt;0,G219&gt;0),COUNTIFS($E:$E,E219,$F:$F,F219,$G:$G,G219),"")</f>
        <v>1</v>
      </c>
      <c r="W219" s="122" t="n">
        <f aca="false">IF(V219="","",IF(V219=1,1,IF(AND(E218=E219,F218=F219,G218=G219),W218+1,1)))</f>
        <v>1</v>
      </c>
      <c r="X219" s="0" t="n">
        <v>1</v>
      </c>
      <c r="Y219" s="0" t="n">
        <v>2</v>
      </c>
      <c r="Z219" s="0" t="s">
        <v>2437</v>
      </c>
      <c r="AA219" s="0" t="n">
        <v>0</v>
      </c>
      <c r="AB219" s="0" t="s">
        <v>2438</v>
      </c>
      <c r="AC219" s="0" t="s">
        <v>643</v>
      </c>
      <c r="AD219" s="0" t="s">
        <v>207</v>
      </c>
      <c r="AE219" s="0" t="n">
        <v>0</v>
      </c>
      <c r="AF219" s="0" t="s">
        <v>2439</v>
      </c>
      <c r="AG219" s="0" t="n">
        <v>0</v>
      </c>
      <c r="AH219" s="0" t="s">
        <v>2440</v>
      </c>
      <c r="AI219" s="0" t="s">
        <v>2193</v>
      </c>
      <c r="AJ219" s="0" t="s">
        <v>2112</v>
      </c>
      <c r="AL219" s="0" t="s">
        <v>1880</v>
      </c>
      <c r="AM219" s="0" t="n">
        <v>1</v>
      </c>
      <c r="AN219" s="0" t="s">
        <v>2440</v>
      </c>
      <c r="AO219" s="0" t="s">
        <v>2193</v>
      </c>
      <c r="AP219" s="0" t="s">
        <v>2112</v>
      </c>
      <c r="BP219" s="0" t="n">
        <v>0</v>
      </c>
      <c r="BQ219" s="0" t="n">
        <v>0</v>
      </c>
      <c r="BR219" s="0" t="n">
        <v>1</v>
      </c>
      <c r="BS219" s="0" t="s">
        <v>2441</v>
      </c>
      <c r="BT219" s="0" t="s">
        <v>2442</v>
      </c>
      <c r="BU219" s="0" t="s">
        <v>2443</v>
      </c>
      <c r="BV219" s="123"/>
      <c r="BW219" s="123"/>
      <c r="BX219" s="123"/>
      <c r="BY219" s="123"/>
      <c r="BZ219" s="0" t="n">
        <v>0</v>
      </c>
      <c r="CA219" s="0" t="s">
        <v>2444</v>
      </c>
      <c r="CD219" s="0" t="s">
        <v>256</v>
      </c>
      <c r="CE219" s="0" t="n">
        <v>0</v>
      </c>
      <c r="CF219" s="0" t="s">
        <v>1018</v>
      </c>
      <c r="CI219" s="1" t="n">
        <v>40053</v>
      </c>
      <c r="CJ219" s="1" t="n">
        <v>40588</v>
      </c>
      <c r="CK219" s="124" t="n">
        <v>0.375</v>
      </c>
      <c r="CL219" s="0" t="s">
        <v>2445</v>
      </c>
      <c r="CM219" s="0" t="n">
        <f aca="false">IF(OR(CI219="",CJ219=""),"",DAYS360(CI219,CJ219)/360)</f>
        <v>1.46111111111111</v>
      </c>
      <c r="CN219" s="0" t="n">
        <f aca="false">IF(OR(CI219="",CJ219=""),"",DAYS360(CI219,CJ219)/30)</f>
        <v>17.5333333333333</v>
      </c>
      <c r="CO219" s="0" t="n">
        <f aca="false">IF(OR(CI219="",CJ219=""),"",DAYS360(CI219,CJ219)/7)</f>
        <v>75.1428571428571</v>
      </c>
      <c r="CP219" s="0" t="n">
        <f aca="false">IF(OR(CI219="",CJ219=""),"",DAYS360(CI219,CJ219))</f>
        <v>526</v>
      </c>
      <c r="CQ219" s="0" t="s">
        <v>240</v>
      </c>
      <c r="CR219" s="0" t="n">
        <v>1</v>
      </c>
      <c r="CT219" s="0" t="n">
        <v>5500</v>
      </c>
      <c r="CU219" s="0" t="n">
        <v>1</v>
      </c>
      <c r="CV219" s="0" t="n">
        <f aca="false">IF(OR(CT219="",CT219="NO ESPECIFICA",CT219="NO MENCIONA"),"",IF(CU219=0,CT219,IF(CU219=1,CT219/30,IF(CU219=2,CT219/15,IF(CU219=3,CT219/7,"")))))</f>
        <v>183.333333333333</v>
      </c>
      <c r="CW219" s="125" t="n">
        <v>11000</v>
      </c>
      <c r="CX219" s="0" t="n">
        <v>1</v>
      </c>
      <c r="CY219" s="0" t="n">
        <f aca="false">IF(CW219="","",IF(CX219=0,CW219,IF(CX219=1,CW219/30,IF(CX219=2,CW219/15,IF(CX219=3,CW219/7,CW219)))))</f>
        <v>366.666666666667</v>
      </c>
      <c r="CZ219" s="0" t="n">
        <f aca="false">IF(DI219&gt;0,DI219,IF(CY219&gt;0,CY219,IF(CV219&gt;0,CV219,"")))</f>
        <v>366.66</v>
      </c>
      <c r="DA219" s="0" t="n">
        <f aca="false">IF(DM219=1,CZ219/8,IF(OR(DM219=2,DM219=4),CZ219/7,IF(DM219=3,CZ219/7.5,"")))</f>
        <v>45.8325</v>
      </c>
      <c r="DB219" s="0" t="s">
        <v>299</v>
      </c>
      <c r="DC219" s="0" t="s">
        <v>417</v>
      </c>
      <c r="DD219" s="0" t="s">
        <v>216</v>
      </c>
      <c r="DE219" s="0" t="s">
        <v>216</v>
      </c>
      <c r="DF219" s="0" t="s">
        <v>216</v>
      </c>
      <c r="DG219" s="0" t="s">
        <v>216</v>
      </c>
      <c r="DH219" s="0" t="n">
        <v>0</v>
      </c>
      <c r="DI219" s="126" t="n">
        <v>366.66</v>
      </c>
      <c r="DK219" s="0" t="n">
        <v>1</v>
      </c>
      <c r="DM219" s="0" t="n">
        <v>1</v>
      </c>
      <c r="DN219" s="0" t="n">
        <f aca="false">14*6</f>
        <v>84</v>
      </c>
      <c r="DO219" s="0" t="n">
        <v>3</v>
      </c>
      <c r="DP219" s="0" t="n">
        <v>0</v>
      </c>
      <c r="DQ219" s="0" t="n">
        <v>1</v>
      </c>
      <c r="DR219" s="0"/>
      <c r="DS219" s="0" t="n">
        <v>1</v>
      </c>
      <c r="DU219" s="0" t="n">
        <v>1</v>
      </c>
      <c r="DW219" s="1" t="n">
        <v>40418</v>
      </c>
      <c r="DX219" s="1" t="n">
        <v>40588</v>
      </c>
      <c r="DZ219" s="0"/>
      <c r="EA219" s="0" t="n">
        <v>1</v>
      </c>
      <c r="EC219" s="1" t="n">
        <v>40544</v>
      </c>
      <c r="ED219" s="1" t="n">
        <v>40588</v>
      </c>
      <c r="EF219" s="0"/>
      <c r="EG219" s="0" t="n">
        <v>1</v>
      </c>
      <c r="EH219" s="0" t="n">
        <v>10</v>
      </c>
      <c r="EI219" s="0" t="n">
        <f aca="false">IF(AND(DM219=1,DN219&lt;=48),"",IF(AND(DM219=2,DN219&lt;=42),"",IF(AND(DM219=3,DN219&lt;=45),"",EH219)))</f>
        <v>10</v>
      </c>
      <c r="EJ219" s="0" t="n">
        <f aca="false">IF(EI219="","",IF(EI219&lt;9,EI219,9))</f>
        <v>9</v>
      </c>
      <c r="EK219" s="0" t="n">
        <f aca="false">IF(EI219="","",IF(EI219&gt;9,EI219-EJ219,0))</f>
        <v>1</v>
      </c>
      <c r="EL219" s="0" t="n">
        <f aca="false">IF(EI219="","",EJ219*DA219*2+EK219*DA219*3)</f>
        <v>962.4825</v>
      </c>
      <c r="EP219" s="0" t="n">
        <v>0</v>
      </c>
      <c r="EQ219" s="0"/>
      <c r="ER219" s="0" t="n">
        <v>0</v>
      </c>
      <c r="ET219" s="0" t="n">
        <v>0</v>
      </c>
      <c r="EV219" s="0" t="n">
        <v>0</v>
      </c>
      <c r="EX219" s="0" t="n">
        <v>1</v>
      </c>
      <c r="EY219" s="0" t="n">
        <v>1</v>
      </c>
      <c r="EZ219" s="0"/>
      <c r="FA219" s="4" t="n">
        <f aca="false">(13*366.66)+28000</f>
        <v>32766.58</v>
      </c>
      <c r="FB219" s="0" t="n">
        <v>1</v>
      </c>
      <c r="FF219" s="120" t="n">
        <f aca="false">(CJ219-CI219+1)/365</f>
        <v>1.46849315068493</v>
      </c>
      <c r="FG219" s="0" t="str">
        <f aca="false">CONCATENATE(F219,"/",G219)</f>
        <v>667/2011</v>
      </c>
      <c r="FH219" s="0" t="n">
        <v>0</v>
      </c>
      <c r="FI219" s="0" t="n">
        <v>0</v>
      </c>
    </row>
    <row r="220" customFormat="false" ht="15" hidden="false" customHeight="false" outlineLevel="0" collapsed="false">
      <c r="A220" s="5" t="str">
        <f aca="false">E220&amp;G220&amp;F220</f>
        <v>72011668</v>
      </c>
      <c r="B220" s="0" t="s">
        <v>2392</v>
      </c>
      <c r="C220" s="1" t="n">
        <v>42409</v>
      </c>
      <c r="E220" s="0" t="n">
        <v>7</v>
      </c>
      <c r="F220" s="0" t="n">
        <v>668</v>
      </c>
      <c r="G220" s="0" t="n">
        <v>2011</v>
      </c>
      <c r="H220" s="0" t="str">
        <f aca="false">"J"&amp;E220&amp;"\"&amp;F220&amp;"\"&amp;G220&amp;"\"&amp;W220</f>
        <v>J7\668\2011\1</v>
      </c>
      <c r="I220" s="0"/>
      <c r="J220" s="1" t="n">
        <v>40646</v>
      </c>
      <c r="K220" s="0" t="n">
        <v>0</v>
      </c>
      <c r="M220" s="1" t="n">
        <v>40646</v>
      </c>
      <c r="N220" s="1" t="n">
        <v>40764</v>
      </c>
      <c r="O220" s="1"/>
      <c r="P220" s="1"/>
      <c r="Q220" s="1"/>
      <c r="T220" s="121"/>
      <c r="U220" s="121"/>
      <c r="V220" s="122" t="n">
        <f aca="false">IF(AND(E220&gt;0,F220&gt;0,G220&gt;0),COUNTIFS($E:$E,E220,$F:$F,F220,$G:$G,G220),"")</f>
        <v>1</v>
      </c>
      <c r="W220" s="122" t="n">
        <f aca="false">IF(V220="","",IF(V220=1,1,IF(AND(E219=E220,F219=F220,G219=G220),W219+1,1)))</f>
        <v>1</v>
      </c>
      <c r="X220" s="0" t="n">
        <v>1</v>
      </c>
      <c r="Y220" s="0" t="n">
        <v>3</v>
      </c>
      <c r="Z220" s="0" t="s">
        <v>2446</v>
      </c>
      <c r="AA220" s="0" t="n">
        <v>0</v>
      </c>
      <c r="AB220" s="0" t="s">
        <v>430</v>
      </c>
      <c r="AE220" s="0" t="n">
        <v>0</v>
      </c>
      <c r="AF220" s="0" t="s">
        <v>2447</v>
      </c>
      <c r="AG220" s="0" t="n">
        <v>0</v>
      </c>
      <c r="AH220" s="0" t="s">
        <v>2448</v>
      </c>
      <c r="AI220" s="0" t="s">
        <v>2449</v>
      </c>
      <c r="AJ220" s="0" t="s">
        <v>659</v>
      </c>
      <c r="AL220" s="0" t="s">
        <v>2450</v>
      </c>
      <c r="AM220" s="0" t="n">
        <v>0</v>
      </c>
      <c r="AN220" s="0" t="s">
        <v>2451</v>
      </c>
      <c r="AO220" s="0" t="s">
        <v>2452</v>
      </c>
      <c r="AP220" s="0" t="s">
        <v>2112</v>
      </c>
      <c r="AR220" s="0" t="s">
        <v>1880</v>
      </c>
      <c r="AS220" s="0" t="n">
        <v>1</v>
      </c>
      <c r="AT220" s="0" t="s">
        <v>2448</v>
      </c>
      <c r="AU220" s="0" t="s">
        <v>2449</v>
      </c>
      <c r="AV220" s="0" t="s">
        <v>659</v>
      </c>
      <c r="BP220" s="0" t="n">
        <v>0</v>
      </c>
      <c r="BQ220" s="0" t="n">
        <v>0</v>
      </c>
      <c r="BR220" s="0" t="n">
        <v>1</v>
      </c>
      <c r="BS220" s="0" t="s">
        <v>2453</v>
      </c>
      <c r="BT220" s="0" t="s">
        <v>2454</v>
      </c>
      <c r="BU220" s="0" t="s">
        <v>2455</v>
      </c>
      <c r="BV220" s="123"/>
      <c r="BW220" s="123"/>
      <c r="BX220" s="123"/>
      <c r="BY220" s="123"/>
      <c r="BZ220" s="0" t="n">
        <v>0</v>
      </c>
      <c r="CA220" s="0" t="s">
        <v>216</v>
      </c>
      <c r="CD220" s="0" t="s">
        <v>256</v>
      </c>
      <c r="CE220" s="0" t="n">
        <v>0</v>
      </c>
      <c r="CF220" s="0" t="s">
        <v>1599</v>
      </c>
      <c r="CI220" s="1" t="n">
        <v>31719</v>
      </c>
      <c r="CJ220" s="1" t="n">
        <v>40275</v>
      </c>
      <c r="CK220" s="124" t="s">
        <v>221</v>
      </c>
      <c r="CL220" s="0" t="s">
        <v>2456</v>
      </c>
      <c r="CM220" s="0" t="n">
        <f aca="false">IF(OR(CI220="",CJ220=""),"",DAYS360(CI220,CJ220)/360)</f>
        <v>23.4277777777778</v>
      </c>
      <c r="CN220" s="0" t="n">
        <f aca="false">IF(OR(CI220="",CJ220=""),"",DAYS360(CI220,CJ220)/30)</f>
        <v>281.133333333333</v>
      </c>
      <c r="CO220" s="0" t="n">
        <f aca="false">IF(OR(CI220="",CJ220=""),"",DAYS360(CI220,CJ220)/7)</f>
        <v>1204.85714285714</v>
      </c>
      <c r="CP220" s="0" t="n">
        <f aca="false">IF(OR(CI220="",CJ220=""),"",DAYS360(CI220,CJ220))</f>
        <v>8434</v>
      </c>
      <c r="CQ220" s="0" t="s">
        <v>1493</v>
      </c>
      <c r="CR220" s="0" t="n">
        <v>5</v>
      </c>
      <c r="CS220" s="0" t="s">
        <v>2457</v>
      </c>
      <c r="CT220" s="0" t="s">
        <v>221</v>
      </c>
      <c r="CU220" s="0" t="s">
        <v>221</v>
      </c>
      <c r="CV220" s="0" t="str">
        <f aca="false">IF(OR(CT220="",CT220="NO ESPECIFICA",CT220="NO MENCIONA"),"",IF(CU220=0,CT220,IF(CU220=1,CT220/30,IF(CU220=2,CT220/15,IF(CU220=3,CT220/7,"")))))</f>
        <v/>
      </c>
      <c r="CW220" s="125" t="n">
        <v>1282.5</v>
      </c>
      <c r="CX220" s="0" t="n">
        <v>0</v>
      </c>
      <c r="CY220" s="0" t="n">
        <f aca="false">IF(CW220="","",IF(CX220=0,CW220,IF(CX220=1,CW220/30,IF(CX220=2,CW220/15,IF(CX220=3,CW220/7,CW220)))))</f>
        <v>1282.5</v>
      </c>
      <c r="CZ220" s="0" t="n">
        <f aca="false">IF(DI220&gt;0,DI220,IF(CY220&gt;0,CY220,IF(CV220&gt;0,CV220,"")))</f>
        <v>1282.5</v>
      </c>
      <c r="DA220" s="0" t="n">
        <f aca="false">IF(DM220=1,CZ220/8,IF(OR(DM220=2,DM220=4),CZ220/7,IF(DM220=3,CZ220/7.5,"")))</f>
        <v>160.3125</v>
      </c>
      <c r="DB220" s="0" t="s">
        <v>216</v>
      </c>
      <c r="DC220" s="0" t="s">
        <v>216</v>
      </c>
      <c r="DD220" s="0" t="s">
        <v>216</v>
      </c>
      <c r="DE220" s="0" t="s">
        <v>216</v>
      </c>
      <c r="DF220" s="0" t="s">
        <v>216</v>
      </c>
      <c r="DG220" s="0" t="s">
        <v>216</v>
      </c>
      <c r="DH220" s="0" t="n">
        <v>0</v>
      </c>
      <c r="DI220" s="126" t="n">
        <v>1282.5</v>
      </c>
      <c r="DK220" s="0" t="n">
        <v>0</v>
      </c>
      <c r="DM220" s="0" t="n">
        <v>1</v>
      </c>
      <c r="DN220" s="0" t="n">
        <v>50</v>
      </c>
      <c r="DO220" s="0" t="n">
        <v>3</v>
      </c>
      <c r="DP220" s="0" t="n">
        <v>0</v>
      </c>
      <c r="DQ220" s="0" t="n">
        <v>0</v>
      </c>
      <c r="DR220" s="0"/>
      <c r="DS220" s="0" t="n">
        <v>0</v>
      </c>
      <c r="DU220" s="0" t="n">
        <v>0</v>
      </c>
      <c r="DW220" s="1" t="s">
        <v>1895</v>
      </c>
      <c r="DX220" s="1" t="s">
        <v>216</v>
      </c>
      <c r="DZ220" s="0"/>
      <c r="EA220" s="0" t="n">
        <v>0</v>
      </c>
      <c r="EC220" s="1" t="s">
        <v>1895</v>
      </c>
      <c r="ED220" s="1" t="s">
        <v>216</v>
      </c>
      <c r="EF220" s="0"/>
      <c r="EG220" s="0" t="n">
        <v>0</v>
      </c>
      <c r="EI220" s="0" t="n">
        <f aca="false">IF(AND(DM220=1,DN220&lt;=48),"",IF(AND(DM220=2,DN220&lt;=42),"",IF(AND(DM220=3,DN220&lt;=45),"",EH220)))</f>
        <v>0</v>
      </c>
      <c r="EJ220" s="0" t="str">
        <f aca="false">IF(EI220="","",IF(EI220&lt;9,EI220,9))</f>
        <v/>
      </c>
      <c r="EK220" s="0" t="str">
        <f aca="false">IF(EI220="","",IF(EI220&gt;9,EI220-EJ220,0))</f>
        <v/>
      </c>
      <c r="EL220" s="0" t="str">
        <f aca="false">IF(EI220="","",EJ220*DA220*2+EK220*DA220*3)</f>
        <v/>
      </c>
      <c r="EP220" s="0" t="n">
        <v>0</v>
      </c>
      <c r="EQ220" s="0"/>
      <c r="ER220" s="0" t="n">
        <v>0</v>
      </c>
      <c r="ET220" s="0" t="n">
        <v>0</v>
      </c>
      <c r="EV220" s="0" t="n">
        <v>0</v>
      </c>
      <c r="EX220" s="0" t="n">
        <v>0</v>
      </c>
      <c r="EY220" s="0" t="n">
        <v>0</v>
      </c>
      <c r="EZ220" s="0"/>
      <c r="FA220" s="0"/>
      <c r="FB220" s="0" t="n">
        <v>0</v>
      </c>
      <c r="FF220" s="120" t="n">
        <f aca="false">(CJ220-CI220+1)/365</f>
        <v>23.4438356164384</v>
      </c>
      <c r="FG220" s="0" t="str">
        <f aca="false">CONCATENATE(F220,"/",G220)</f>
        <v>668/2011</v>
      </c>
      <c r="FH220" s="0" t="n">
        <v>0</v>
      </c>
      <c r="FI220" s="0" t="n">
        <v>0</v>
      </c>
    </row>
    <row r="221" customFormat="false" ht="15" hidden="false" customHeight="false" outlineLevel="0" collapsed="false">
      <c r="A221" s="5" t="str">
        <f aca="false">E221&amp;G221&amp;F221</f>
        <v>72011671</v>
      </c>
      <c r="B221" s="0" t="s">
        <v>2392</v>
      </c>
      <c r="C221" s="1" t="n">
        <v>42409</v>
      </c>
      <c r="E221" s="0" t="n">
        <v>7</v>
      </c>
      <c r="F221" s="0" t="n">
        <v>671</v>
      </c>
      <c r="G221" s="0" t="n">
        <v>2011</v>
      </c>
      <c r="H221" s="0" t="str">
        <f aca="false">"J"&amp;E221&amp;"\"&amp;F221&amp;"\"&amp;G221&amp;"\"&amp;W221</f>
        <v>J7\671\2011\1</v>
      </c>
      <c r="I221" s="0"/>
      <c r="J221" s="1" t="n">
        <v>40646</v>
      </c>
      <c r="K221" s="0" t="n">
        <v>0</v>
      </c>
      <c r="M221" s="1" t="n">
        <v>40646</v>
      </c>
      <c r="N221" s="1" t="n">
        <v>40764</v>
      </c>
      <c r="O221" s="1"/>
      <c r="P221" s="1"/>
      <c r="Q221" s="1"/>
      <c r="T221" s="121"/>
      <c r="U221" s="121"/>
      <c r="V221" s="122" t="n">
        <f aca="false">IF(AND(E221&gt;0,F221&gt;0,G221&gt;0),COUNTIFS($E:$E,E221,$F:$F,F221,$G:$G,G221),"")</f>
        <v>1</v>
      </c>
      <c r="W221" s="122" t="n">
        <f aca="false">IF(V221="","",IF(V221=1,1,IF(AND(E220=E221,F220=F221,G220=G221),W220+1,1)))</f>
        <v>1</v>
      </c>
      <c r="X221" s="0" t="n">
        <v>1</v>
      </c>
      <c r="Y221" s="0" t="n">
        <v>4</v>
      </c>
      <c r="Z221" s="0" t="s">
        <v>2458</v>
      </c>
      <c r="AA221" s="0" t="n">
        <v>0</v>
      </c>
      <c r="AB221" s="0" t="s">
        <v>2459</v>
      </c>
      <c r="AC221" s="0" t="s">
        <v>2460</v>
      </c>
      <c r="AD221" s="0" t="s">
        <v>229</v>
      </c>
      <c r="AE221" s="0" t="n">
        <v>0</v>
      </c>
      <c r="AF221" s="0" t="s">
        <v>2461</v>
      </c>
      <c r="AG221" s="0" t="n">
        <v>0</v>
      </c>
      <c r="AH221" s="0" t="s">
        <v>2462</v>
      </c>
      <c r="AI221" s="0" t="s">
        <v>2049</v>
      </c>
      <c r="AJ221" s="0" t="s">
        <v>229</v>
      </c>
      <c r="AL221" s="0" t="s">
        <v>2463</v>
      </c>
      <c r="AM221" s="0" t="n">
        <v>1</v>
      </c>
      <c r="AN221" s="0" t="s">
        <v>2462</v>
      </c>
      <c r="AO221" s="0" t="s">
        <v>2049</v>
      </c>
      <c r="AP221" s="0" t="s">
        <v>229</v>
      </c>
      <c r="AR221" s="0" t="s">
        <v>2464</v>
      </c>
      <c r="AS221" s="0" t="n">
        <v>1</v>
      </c>
      <c r="AT221" s="0" t="s">
        <v>2462</v>
      </c>
      <c r="AU221" s="0" t="s">
        <v>2049</v>
      </c>
      <c r="AV221" s="0" t="s">
        <v>229</v>
      </c>
      <c r="AX221" s="0" t="s">
        <v>1931</v>
      </c>
      <c r="AY221" s="0" t="n">
        <v>1</v>
      </c>
      <c r="AZ221" s="0" t="s">
        <v>2462</v>
      </c>
      <c r="BA221" s="0" t="s">
        <v>2049</v>
      </c>
      <c r="BB221" s="0" t="s">
        <v>229</v>
      </c>
      <c r="BP221" s="0" t="n">
        <v>0</v>
      </c>
      <c r="BQ221" s="0" t="n">
        <v>0</v>
      </c>
      <c r="BR221" s="0" t="n">
        <v>1</v>
      </c>
      <c r="BS221" s="0" t="s">
        <v>2465</v>
      </c>
      <c r="BT221" s="0" t="s">
        <v>2466</v>
      </c>
      <c r="BU221" s="0" t="s">
        <v>2467</v>
      </c>
      <c r="BV221" s="123"/>
      <c r="BW221" s="123"/>
      <c r="BX221" s="123"/>
      <c r="BY221" s="123"/>
      <c r="BZ221" s="0" t="n">
        <v>0</v>
      </c>
      <c r="CA221" s="0" t="s">
        <v>2468</v>
      </c>
      <c r="CD221" s="0" t="s">
        <v>256</v>
      </c>
      <c r="CE221" s="0" t="n">
        <v>0</v>
      </c>
      <c r="CF221" s="0" t="s">
        <v>2469</v>
      </c>
      <c r="CI221" s="1" t="n">
        <v>40018</v>
      </c>
      <c r="CJ221" s="1" t="n">
        <v>40644</v>
      </c>
      <c r="CK221" s="124" t="n">
        <v>0.3125</v>
      </c>
      <c r="CL221" s="0" t="s">
        <v>2463</v>
      </c>
      <c r="CM221" s="0" t="n">
        <f aca="false">IF(OR(CI221="",CJ221=""),"",DAYS360(CI221,CJ221)/360)</f>
        <v>1.71388888888889</v>
      </c>
      <c r="CN221" s="0" t="n">
        <f aca="false">IF(OR(CI221="",CJ221=""),"",DAYS360(CI221,CJ221)/30)</f>
        <v>20.5666666666667</v>
      </c>
      <c r="CO221" s="0" t="n">
        <f aca="false">IF(OR(CI221="",CJ221=""),"",DAYS360(CI221,CJ221)/7)</f>
        <v>88.1428571428571</v>
      </c>
      <c r="CP221" s="0" t="n">
        <f aca="false">IF(OR(CI221="",CJ221=""),"",DAYS360(CI221,CJ221))</f>
        <v>617</v>
      </c>
      <c r="CQ221" s="0" t="s">
        <v>2021</v>
      </c>
      <c r="CR221" s="0" t="n">
        <v>1</v>
      </c>
      <c r="CT221" s="0" t="n">
        <v>1500</v>
      </c>
      <c r="CU221" s="0" t="n">
        <v>3</v>
      </c>
      <c r="CV221" s="0" t="n">
        <f aca="false">IF(OR(CT221="",CT221="NO ESPECIFICA",CT221="NO MENCIONA"),"",IF(CU221=0,CT221,IF(CU221=1,CT221/30,IF(CU221=2,CT221/15,IF(CU221=3,CT221/7,"")))))</f>
        <v>214.285714285714</v>
      </c>
      <c r="CW221" s="125" t="n">
        <v>488.72</v>
      </c>
      <c r="CX221" s="0" t="n">
        <v>0</v>
      </c>
      <c r="CY221" s="0" t="n">
        <f aca="false">IF(CW221="","",IF(CX221=0,CW221,IF(CX221=1,CW221/30,IF(CX221=2,CW221/15,IF(CX221=3,CW221/7,CW221)))))</f>
        <v>488.72</v>
      </c>
      <c r="CZ221" s="0" t="n">
        <f aca="false">IF(DI221&gt;0,DI221,IF(CY221&gt;0,CY221,IF(CV221&gt;0,CV221,"")))</f>
        <v>488.72</v>
      </c>
      <c r="DA221" s="0" t="n">
        <f aca="false">IF(DM221=1,CZ221/8,IF(OR(DM221=2,DM221=4),CZ221/7,IF(DM221=3,CZ221/7.5,"")))</f>
        <v>61.09</v>
      </c>
      <c r="DB221" s="0" t="s">
        <v>259</v>
      </c>
      <c r="DC221" s="0" t="s">
        <v>2023</v>
      </c>
      <c r="DD221" s="0" t="s">
        <v>2470</v>
      </c>
      <c r="DE221" s="0" t="s">
        <v>2471</v>
      </c>
      <c r="DF221" s="0" t="s">
        <v>216</v>
      </c>
      <c r="DG221" s="0" t="s">
        <v>216</v>
      </c>
      <c r="DH221" s="0" t="n">
        <v>0</v>
      </c>
      <c r="DI221" s="126" t="n">
        <v>488.72</v>
      </c>
      <c r="DK221" s="0" t="n">
        <v>0</v>
      </c>
      <c r="DM221" s="0" t="n">
        <v>1</v>
      </c>
      <c r="DN221" s="0" t="n">
        <v>60</v>
      </c>
      <c r="DO221" s="0" t="n">
        <v>3</v>
      </c>
      <c r="DP221" s="0" t="n">
        <v>1</v>
      </c>
      <c r="DQ221" s="0" t="n">
        <v>1</v>
      </c>
      <c r="DR221" s="0"/>
      <c r="DS221" s="0" t="n">
        <v>1</v>
      </c>
      <c r="DU221" s="0" t="n">
        <v>1</v>
      </c>
      <c r="DW221" s="1" t="n">
        <v>40383</v>
      </c>
      <c r="DX221" s="1" t="n">
        <v>40644</v>
      </c>
      <c r="DZ221" s="0"/>
      <c r="EA221" s="0" t="n">
        <v>1</v>
      </c>
      <c r="EC221" s="1" t="n">
        <v>40544</v>
      </c>
      <c r="ED221" s="1" t="n">
        <v>40644</v>
      </c>
      <c r="EF221" s="0"/>
      <c r="EG221" s="0" t="n">
        <v>1</v>
      </c>
      <c r="EH221" s="0" t="n">
        <v>12</v>
      </c>
      <c r="EI221" s="0" t="n">
        <f aca="false">IF(AND(DM221=1,DN221&lt;=48),"",IF(AND(DM221=2,DN221&lt;=42),"",IF(AND(DM221=3,DN221&lt;=45),"",EH221)))</f>
        <v>12</v>
      </c>
      <c r="EJ221" s="0" t="n">
        <f aca="false">IF(EI221="","",IF(EI221&lt;9,EI221,9))</f>
        <v>9</v>
      </c>
      <c r="EK221" s="0" t="n">
        <f aca="false">IF(EI221="","",IF(EI221&gt;9,EI221-EJ221,0))</f>
        <v>3</v>
      </c>
      <c r="EL221" s="0" t="n">
        <f aca="false">IF(EI221="","",EJ221*DA221*2+EK221*DA221*3)</f>
        <v>1649.43</v>
      </c>
      <c r="EP221" s="0" t="n">
        <v>1</v>
      </c>
      <c r="EQ221" s="0"/>
      <c r="ER221" s="0" t="n">
        <v>0</v>
      </c>
      <c r="ET221" s="0" t="n">
        <v>1</v>
      </c>
      <c r="EV221" s="0" t="n">
        <v>1</v>
      </c>
      <c r="EX221" s="0" t="n">
        <v>1</v>
      </c>
      <c r="EY221" s="0" t="n">
        <v>1</v>
      </c>
      <c r="EZ221" s="4" t="n">
        <v>2896.25</v>
      </c>
      <c r="FA221" s="4" t="n">
        <f aca="false">3600+(2*488.72)</f>
        <v>4577.44</v>
      </c>
      <c r="FB221" s="0" t="n">
        <v>0</v>
      </c>
      <c r="FF221" s="120" t="n">
        <f aca="false">(CJ221-CI221+1)/365</f>
        <v>1.71780821917808</v>
      </c>
      <c r="FG221" s="0" t="str">
        <f aca="false">CONCATENATE(F221,"/",G221)</f>
        <v>671/2011</v>
      </c>
      <c r="FH221" s="0" t="n">
        <v>0</v>
      </c>
      <c r="FI221" s="0" t="n">
        <v>0</v>
      </c>
    </row>
    <row r="222" customFormat="false" ht="15" hidden="false" customHeight="false" outlineLevel="0" collapsed="false">
      <c r="A222" s="5" t="str">
        <f aca="false">E222&amp;G222&amp;F222</f>
        <v>72011674</v>
      </c>
      <c r="B222" s="0" t="s">
        <v>2392</v>
      </c>
      <c r="C222" s="1" t="n">
        <v>42409</v>
      </c>
      <c r="D222" s="0" t="s">
        <v>2393</v>
      </c>
      <c r="E222" s="0" t="n">
        <v>7</v>
      </c>
      <c r="F222" s="0" t="n">
        <v>674</v>
      </c>
      <c r="G222" s="0" t="n">
        <v>2011</v>
      </c>
      <c r="H222" s="0" t="str">
        <f aca="false">"J"&amp;E222&amp;"\"&amp;F222&amp;"\"&amp;G222&amp;"\"&amp;W222</f>
        <v>J7\674\2011\1</v>
      </c>
      <c r="I222" s="0"/>
      <c r="J222" s="1" t="n">
        <v>40646</v>
      </c>
      <c r="K222" s="0" t="n">
        <v>0</v>
      </c>
      <c r="M222" s="1"/>
      <c r="N222" s="1"/>
      <c r="O222" s="1"/>
      <c r="P222" s="1"/>
      <c r="Q222" s="1"/>
      <c r="T222" s="121"/>
      <c r="U222" s="121"/>
      <c r="V222" s="122" t="n">
        <f aca="false">IF(AND(E222&gt;0,F222&gt;0,G222&gt;0),COUNTIFS($E:$E,E222,$F:$F,F222,$G:$G,G222),"")</f>
        <v>1</v>
      </c>
      <c r="W222" s="122" t="n">
        <f aca="false">IF(V222="","",IF(V222=1,1,IF(AND(E221=E222,F221=F222,G221=G222),W221+1,1)))</f>
        <v>1</v>
      </c>
      <c r="X222" s="0" t="n">
        <v>1</v>
      </c>
      <c r="Y222" s="0" t="n">
        <v>8</v>
      </c>
      <c r="Z222" s="0" t="s">
        <v>2472</v>
      </c>
      <c r="AA222" s="0" t="n">
        <v>0</v>
      </c>
      <c r="AB222" s="0" t="s">
        <v>2473</v>
      </c>
      <c r="AC222" s="0" t="s">
        <v>287</v>
      </c>
      <c r="AD222" s="0" t="s">
        <v>207</v>
      </c>
      <c r="AE222" s="0" t="n">
        <v>0</v>
      </c>
      <c r="AF222" s="0" t="s">
        <v>2474</v>
      </c>
      <c r="AG222" s="0" t="n">
        <v>0</v>
      </c>
      <c r="AH222" s="0" t="s">
        <v>2475</v>
      </c>
      <c r="AI222" s="0" t="s">
        <v>484</v>
      </c>
      <c r="AJ222" s="0" t="s">
        <v>485</v>
      </c>
      <c r="AL222" s="0" t="s">
        <v>2476</v>
      </c>
      <c r="AM222" s="0" t="n">
        <v>1</v>
      </c>
      <c r="AN222" s="0" t="s">
        <v>2475</v>
      </c>
      <c r="AO222" s="0" t="s">
        <v>484</v>
      </c>
      <c r="AP222" s="0" t="s">
        <v>485</v>
      </c>
      <c r="AR222" s="0" t="s">
        <v>2477</v>
      </c>
      <c r="AS222" s="0" t="n">
        <v>1</v>
      </c>
      <c r="AT222" s="0" t="s">
        <v>2475</v>
      </c>
      <c r="AU222" s="0" t="s">
        <v>484</v>
      </c>
      <c r="AV222" s="0" t="s">
        <v>485</v>
      </c>
      <c r="AX222" s="0" t="s">
        <v>2478</v>
      </c>
      <c r="AY222" s="0" t="n">
        <v>1</v>
      </c>
      <c r="AZ222" s="0" t="s">
        <v>2475</v>
      </c>
      <c r="BA222" s="0" t="s">
        <v>484</v>
      </c>
      <c r="BB222" s="0" t="s">
        <v>485</v>
      </c>
      <c r="BD222" s="0" t="s">
        <v>2479</v>
      </c>
      <c r="BE222" s="0" t="n">
        <v>1</v>
      </c>
      <c r="BF222" s="0" t="s">
        <v>2475</v>
      </c>
      <c r="BG222" s="0" t="s">
        <v>484</v>
      </c>
      <c r="BH222" s="0" t="s">
        <v>485</v>
      </c>
      <c r="BJ222" s="0" t="s">
        <v>2480</v>
      </c>
      <c r="BK222" s="0" t="n">
        <v>1</v>
      </c>
      <c r="BL222" s="0" t="s">
        <v>2475</v>
      </c>
      <c r="BM222" s="0" t="s">
        <v>484</v>
      </c>
      <c r="BN222" s="0" t="s">
        <v>485</v>
      </c>
      <c r="BP222" s="0" t="n">
        <v>0</v>
      </c>
      <c r="BQ222" s="0" t="n">
        <v>0</v>
      </c>
      <c r="BR222" s="0" t="n">
        <v>1</v>
      </c>
      <c r="BS222" s="0" t="s">
        <v>2481</v>
      </c>
      <c r="BT222" s="0" t="s">
        <v>2482</v>
      </c>
      <c r="BU222" s="0" t="s">
        <v>2483</v>
      </c>
      <c r="BV222" s="123"/>
      <c r="BW222" s="123"/>
      <c r="BX222" s="123"/>
      <c r="BY222" s="123"/>
      <c r="BZ222" s="0" t="n">
        <v>0</v>
      </c>
      <c r="CA222" s="0" t="s">
        <v>2484</v>
      </c>
      <c r="CD222" s="0" t="s">
        <v>256</v>
      </c>
      <c r="CE222" s="0" t="n">
        <v>0</v>
      </c>
      <c r="CF222" s="0" t="s">
        <v>2485</v>
      </c>
      <c r="CI222" s="1" t="n">
        <v>40406</v>
      </c>
      <c r="CJ222" s="1" t="n">
        <v>40602</v>
      </c>
      <c r="CK222" s="124" t="s">
        <v>221</v>
      </c>
      <c r="CL222" s="0" t="s">
        <v>2479</v>
      </c>
      <c r="CM222" s="0" t="n">
        <f aca="false">IF(OR(CI222="",CJ222=""),"",DAYS360(CI222,CJ222)/360)</f>
        <v>0.533333333333333</v>
      </c>
      <c r="CN222" s="0" t="n">
        <f aca="false">IF(OR(CI222="",CJ222=""),"",DAYS360(CI222,CJ222)/30)</f>
        <v>6.4</v>
      </c>
      <c r="CO222" s="0" t="n">
        <f aca="false">IF(OR(CI222="",CJ222=""),"",DAYS360(CI222,CJ222)/7)</f>
        <v>27.4285714285714</v>
      </c>
      <c r="CP222" s="0" t="n">
        <f aca="false">IF(OR(CI222="",CJ222=""),"",DAYS360(CI222,CJ222))</f>
        <v>192</v>
      </c>
      <c r="CQ222" s="0" t="s">
        <v>240</v>
      </c>
      <c r="CR222" s="0" t="n">
        <v>1</v>
      </c>
      <c r="CT222" s="0" t="n">
        <v>114.92</v>
      </c>
      <c r="CU222" s="0" t="n">
        <v>0</v>
      </c>
      <c r="CV222" s="0" t="n">
        <f aca="false">IF(OR(CT222="",CT222="NO ESPECIFICA",CT222="NO MENCIONA"),"",IF(CU222=0,CT222,IF(CU222=1,CT222/30,IF(CU222=2,CT222/15,IF(CU222=3,CT222/7,"")))))</f>
        <v>114.92</v>
      </c>
      <c r="CW222" s="125" t="n">
        <v>1193.54</v>
      </c>
      <c r="CX222" s="0" t="n">
        <v>0</v>
      </c>
      <c r="CY222" s="0" t="n">
        <f aca="false">IF(CW222="","",IF(CX222=0,CW222,IF(CX222=1,CW222/30,IF(CX222=2,CW222/15,IF(CX222=3,CW222/7,CW222)))))</f>
        <v>1193.54</v>
      </c>
      <c r="CZ222" s="0" t="n">
        <f aca="false">IF(DI222&gt;0,DI222,IF(CY222&gt;0,CY222,IF(CV222&gt;0,CV222,"")))</f>
        <v>1193.54</v>
      </c>
      <c r="DA222" s="0" t="n">
        <f aca="false">IF(DM222=1,CZ222/8,IF(OR(DM222=2,DM222=4),CZ222/7,IF(DM222=3,CZ222/7.5,"")))</f>
        <v>149.1925</v>
      </c>
      <c r="DB222" s="0" t="s">
        <v>1997</v>
      </c>
      <c r="DC222" s="0" t="s">
        <v>2486</v>
      </c>
      <c r="DD222" s="0" t="s">
        <v>301</v>
      </c>
      <c r="DE222" s="0" t="s">
        <v>303</v>
      </c>
      <c r="DF222" s="0" t="s">
        <v>216</v>
      </c>
      <c r="DG222" s="0" t="s">
        <v>216</v>
      </c>
      <c r="DH222" s="0" t="n">
        <v>0</v>
      </c>
      <c r="DI222" s="126" t="n">
        <v>1193.54</v>
      </c>
      <c r="DK222" s="0" t="n">
        <v>0</v>
      </c>
      <c r="DM222" s="0" t="n">
        <v>1</v>
      </c>
      <c r="DN222" s="0" t="n">
        <v>66</v>
      </c>
      <c r="DO222" s="0" t="n">
        <v>3</v>
      </c>
      <c r="DP222" s="0" t="n">
        <v>0</v>
      </c>
      <c r="DQ222" s="0" t="n">
        <v>1</v>
      </c>
      <c r="DR222" s="0"/>
      <c r="DS222" s="0" t="n">
        <v>1</v>
      </c>
      <c r="DU222" s="0" t="n">
        <v>1</v>
      </c>
      <c r="DW222" s="1" t="n">
        <v>40406</v>
      </c>
      <c r="DX222" s="1" t="n">
        <v>40602</v>
      </c>
      <c r="DZ222" s="0"/>
      <c r="EA222" s="0" t="n">
        <v>1</v>
      </c>
      <c r="EC222" s="1" t="n">
        <v>40179</v>
      </c>
      <c r="ED222" s="1" t="n">
        <v>40602</v>
      </c>
      <c r="EF222" s="0"/>
      <c r="EG222" s="0" t="n">
        <v>1</v>
      </c>
      <c r="EH222" s="0" t="n">
        <v>18</v>
      </c>
      <c r="EI222" s="0" t="n">
        <f aca="false">IF(AND(DM222=1,DN222&lt;=48),"",IF(AND(DM222=2,DN222&lt;=42),"",IF(AND(DM222=3,DN222&lt;=45),"",EH222)))</f>
        <v>18</v>
      </c>
      <c r="EJ222" s="0" t="n">
        <f aca="false">IF(EI222="","",IF(EI222&lt;9,EI222,9))</f>
        <v>9</v>
      </c>
      <c r="EK222" s="0" t="n">
        <f aca="false">IF(EI222="","",IF(EI222&gt;9,EI222-EJ222,0))</f>
        <v>9</v>
      </c>
      <c r="EL222" s="0" t="n">
        <f aca="false">IF(EI222="","",EJ222*DA222*2+EK222*DA222*3)</f>
        <v>6713.6625</v>
      </c>
      <c r="EP222" s="0" t="n">
        <v>0</v>
      </c>
      <c r="EQ222" s="0"/>
      <c r="ER222" s="0" t="n">
        <v>0</v>
      </c>
      <c r="ET222" s="0" t="n">
        <v>0</v>
      </c>
      <c r="EV222" s="0" t="n">
        <v>0</v>
      </c>
      <c r="EX222" s="0" t="n">
        <v>1</v>
      </c>
      <c r="EY222" s="0" t="n">
        <v>0</v>
      </c>
      <c r="EZ222" s="0"/>
      <c r="FA222" s="4" t="n">
        <f aca="false">75*1193.54</f>
        <v>89515.5</v>
      </c>
      <c r="FB222" s="0" t="n">
        <v>1</v>
      </c>
      <c r="FF222" s="120" t="n">
        <f aca="false">(CJ222-CI222+1)/365</f>
        <v>0.53972602739726</v>
      </c>
      <c r="FG222" s="0" t="str">
        <f aca="false">CONCATENATE(F222,"/",G222)</f>
        <v>674/2011</v>
      </c>
      <c r="FH222" s="0" t="n">
        <v>0</v>
      </c>
      <c r="FI222" s="0" t="n">
        <v>0</v>
      </c>
    </row>
    <row r="223" customFormat="false" ht="15" hidden="false" customHeight="false" outlineLevel="0" collapsed="false">
      <c r="A223" s="5" t="str">
        <f aca="false">E223&amp;G223&amp;F223</f>
        <v>72011677</v>
      </c>
      <c r="B223" s="0" t="s">
        <v>2392</v>
      </c>
      <c r="C223" s="1" t="n">
        <v>42409</v>
      </c>
      <c r="E223" s="0" t="n">
        <v>7</v>
      </c>
      <c r="F223" s="0" t="n">
        <v>677</v>
      </c>
      <c r="G223" s="0" t="n">
        <v>2011</v>
      </c>
      <c r="H223" s="0" t="str">
        <f aca="false">"J"&amp;E223&amp;"\"&amp;F223&amp;"\"&amp;G223&amp;"\"&amp;W223</f>
        <v>J7\677\2011\1</v>
      </c>
      <c r="I223" s="0"/>
      <c r="J223" s="1" t="n">
        <v>40646</v>
      </c>
      <c r="K223" s="0" t="n">
        <v>0</v>
      </c>
      <c r="M223" s="1" t="n">
        <v>40646</v>
      </c>
      <c r="N223" s="1" t="n">
        <v>40765</v>
      </c>
      <c r="O223" s="1"/>
      <c r="P223" s="1"/>
      <c r="Q223" s="1"/>
      <c r="T223" s="121"/>
      <c r="U223" s="121"/>
      <c r="V223" s="122" t="n">
        <f aca="false">IF(AND(E223&gt;0,F223&gt;0,G223&gt;0),COUNTIFS($E:$E,E223,$F:$F,F223,$G:$G,G223),"")</f>
        <v>1</v>
      </c>
      <c r="W223" s="122" t="n">
        <f aca="false">IF(V223="","",IF(V223=1,1,IF(AND(E222=E223,F222=F223,G222=G223),W222+1,1)))</f>
        <v>1</v>
      </c>
      <c r="X223" s="0" t="n">
        <v>1</v>
      </c>
      <c r="Y223" s="0" t="n">
        <v>5</v>
      </c>
      <c r="Z223" s="0" t="s">
        <v>2487</v>
      </c>
      <c r="AA223" s="0" t="n">
        <v>0</v>
      </c>
      <c r="AB223" s="0" t="s">
        <v>2488</v>
      </c>
      <c r="AC223" s="0" t="s">
        <v>728</v>
      </c>
      <c r="AD223" s="0" t="s">
        <v>352</v>
      </c>
      <c r="AE223" s="0" t="n">
        <v>0</v>
      </c>
      <c r="AF223" s="0" t="s">
        <v>2489</v>
      </c>
      <c r="AG223" s="0" t="n">
        <v>0</v>
      </c>
      <c r="AH223" s="0" t="s">
        <v>2490</v>
      </c>
      <c r="AI223" s="0" t="s">
        <v>680</v>
      </c>
      <c r="AJ223" s="0" t="s">
        <v>322</v>
      </c>
      <c r="AL223" s="0" t="s">
        <v>2491</v>
      </c>
      <c r="AM223" s="0" t="n">
        <v>2</v>
      </c>
      <c r="AN223" s="0" t="s">
        <v>2490</v>
      </c>
      <c r="AO223" s="0" t="s">
        <v>680</v>
      </c>
      <c r="AP223" s="0" t="s">
        <v>322</v>
      </c>
      <c r="AR223" s="0" t="s">
        <v>1880</v>
      </c>
      <c r="AS223" s="0" t="n">
        <v>1</v>
      </c>
      <c r="AT223" s="0" t="s">
        <v>2490</v>
      </c>
      <c r="AU223" s="0" t="s">
        <v>680</v>
      </c>
      <c r="AV223" s="0" t="s">
        <v>322</v>
      </c>
      <c r="AX223" s="0" t="s">
        <v>2492</v>
      </c>
      <c r="AY223" s="0" t="n">
        <v>0</v>
      </c>
      <c r="AZ223" s="0" t="s">
        <v>2493</v>
      </c>
      <c r="BA223" s="0" t="s">
        <v>410</v>
      </c>
      <c r="BB223" s="0" t="s">
        <v>411</v>
      </c>
      <c r="BD223" s="0" t="s">
        <v>2494</v>
      </c>
      <c r="BE223" s="0" t="n">
        <v>0</v>
      </c>
      <c r="BF223" s="0" t="s">
        <v>2495</v>
      </c>
      <c r="BG223" s="0" t="s">
        <v>438</v>
      </c>
      <c r="BH223" s="0" t="s">
        <v>352</v>
      </c>
      <c r="BP223" s="0" t="n">
        <v>0</v>
      </c>
      <c r="BQ223" s="0" t="n">
        <v>0</v>
      </c>
      <c r="BR223" s="0" t="n">
        <v>1</v>
      </c>
      <c r="BS223" s="0" t="s">
        <v>2496</v>
      </c>
      <c r="BT223" s="0" t="s">
        <v>2497</v>
      </c>
      <c r="BU223" s="0" t="s">
        <v>662</v>
      </c>
      <c r="BV223" s="123"/>
      <c r="BW223" s="123"/>
      <c r="BX223" s="123"/>
      <c r="BY223" s="123"/>
      <c r="BZ223" s="0" t="n">
        <v>0</v>
      </c>
      <c r="CA223" s="0" t="s">
        <v>216</v>
      </c>
      <c r="CD223" s="0" t="s">
        <v>256</v>
      </c>
      <c r="CE223" s="0" t="n">
        <v>0</v>
      </c>
      <c r="CF223" s="0" t="s">
        <v>2498</v>
      </c>
      <c r="CI223" s="1" t="n">
        <v>39510</v>
      </c>
      <c r="CJ223" s="1" t="n">
        <v>40603</v>
      </c>
      <c r="CK223" s="124" t="n">
        <v>0.458333333333333</v>
      </c>
      <c r="CL223" s="0" t="s">
        <v>2499</v>
      </c>
      <c r="CM223" s="0" t="n">
        <f aca="false">IF(OR(CI223="",CJ223=""),"",DAYS360(CI223,CJ223)/360)</f>
        <v>2.99444444444444</v>
      </c>
      <c r="CN223" s="0" t="n">
        <f aca="false">IF(OR(CI223="",CJ223=""),"",DAYS360(CI223,CJ223)/30)</f>
        <v>35.9333333333333</v>
      </c>
      <c r="CO223" s="0" t="n">
        <f aca="false">IF(OR(CI223="",CJ223=""),"",DAYS360(CI223,CJ223)/7)</f>
        <v>154</v>
      </c>
      <c r="CP223" s="0" t="n">
        <f aca="false">IF(OR(CI223="",CJ223=""),"",DAYS360(CI223,CJ223))</f>
        <v>1078</v>
      </c>
      <c r="CQ223" s="0" t="s">
        <v>2021</v>
      </c>
      <c r="CR223" s="0" t="n">
        <v>1</v>
      </c>
      <c r="CT223" s="0" t="n">
        <v>2000</v>
      </c>
      <c r="CU223" s="0" t="n">
        <v>3</v>
      </c>
      <c r="CV223" s="0" t="n">
        <f aca="false">IF(OR(CT223="",CT223="NO ESPECIFICA",CT223="NO MENCIONA"),"",IF(CU223=0,CT223,IF(CU223=1,CT223/30,IF(CU223=2,CT223/15,IF(CU223=3,CT223/7,"")))))</f>
        <v>285.714285714286</v>
      </c>
      <c r="CW223" s="125" t="s">
        <v>1895</v>
      </c>
      <c r="CX223" s="0" t="s">
        <v>216</v>
      </c>
      <c r="CY223" s="0" t="str">
        <f aca="false">IF(CW223="","",IF(CX223=0,CW223,IF(CX223=1,CW223/30,IF(CX223=2,CW223/15,IF(CX223=3,CW223/7,CW223)))))</f>
        <v>NO MENCIONA </v>
      </c>
      <c r="CZ223" s="0" t="n">
        <f aca="false">IF(DI223&gt;0,DI223,IF(CY223&gt;0,CY223,IF(CV223&gt;0,CV223,"")))</f>
        <v>552.380952380952</v>
      </c>
      <c r="DA223" s="0" t="n">
        <f aca="false">IF(DM223=1,CZ223/8,IF(OR(DM223=2,DM223=4),CZ223/7,IF(DM223=3,CZ223/7.5,"")))</f>
        <v>69.0476190476191</v>
      </c>
      <c r="DB223" s="0" t="s">
        <v>216</v>
      </c>
      <c r="DC223" s="0" t="s">
        <v>216</v>
      </c>
      <c r="DD223" s="0" t="s">
        <v>216</v>
      </c>
      <c r="DE223" s="0" t="s">
        <v>216</v>
      </c>
      <c r="DF223" s="0" t="s">
        <v>216</v>
      </c>
      <c r="DG223" s="0" t="s">
        <v>216</v>
      </c>
      <c r="DH223" s="0" t="n">
        <v>0</v>
      </c>
      <c r="DI223" s="126" t="n">
        <f aca="false">(8000/30)+(2000/7)</f>
        <v>552.380952380952</v>
      </c>
      <c r="DK223" s="0" t="n">
        <v>0</v>
      </c>
      <c r="DM223" s="0" t="n">
        <v>1</v>
      </c>
      <c r="DN223" s="0" t="n">
        <v>60</v>
      </c>
      <c r="DO223" s="0" t="n">
        <v>3</v>
      </c>
      <c r="DP223" s="0" t="n">
        <v>1</v>
      </c>
      <c r="DQ223" s="0" t="n">
        <v>1</v>
      </c>
      <c r="DR223" s="0"/>
      <c r="DS223" s="0" t="n">
        <v>1</v>
      </c>
      <c r="DU223" s="0" t="n">
        <v>1</v>
      </c>
      <c r="DW223" s="1" t="n">
        <v>39510</v>
      </c>
      <c r="DX223" s="1" t="n">
        <v>40603</v>
      </c>
      <c r="DZ223" s="0"/>
      <c r="EA223" s="0" t="n">
        <v>1</v>
      </c>
      <c r="EC223" s="1" t="n">
        <v>39510</v>
      </c>
      <c r="ED223" s="1" t="n">
        <v>40603</v>
      </c>
      <c r="EF223" s="0"/>
      <c r="EG223" s="0" t="n">
        <v>1</v>
      </c>
      <c r="EH223" s="0" t="n">
        <v>12</v>
      </c>
      <c r="EI223" s="0" t="n">
        <f aca="false">IF(AND(DM223=1,DN223&lt;=48),"",IF(AND(DM223=2,DN223&lt;=42),"",IF(AND(DM223=3,DN223&lt;=45),"",EH223)))</f>
        <v>12</v>
      </c>
      <c r="EJ223" s="0" t="n">
        <f aca="false">IF(EI223="","",IF(EI223&lt;9,EI223,9))</f>
        <v>9</v>
      </c>
      <c r="EK223" s="0" t="n">
        <f aca="false">IF(EI223="","",IF(EI223&gt;9,EI223-EJ223,0))</f>
        <v>3</v>
      </c>
      <c r="EL223" s="0" t="n">
        <f aca="false">IF(EI223="","",EJ223*DA223*2+EK223*DA223*3)</f>
        <v>1864.28571428571</v>
      </c>
      <c r="EP223" s="0" t="n">
        <v>0</v>
      </c>
      <c r="EQ223" s="0"/>
      <c r="ER223" s="0" t="n">
        <v>1</v>
      </c>
      <c r="ET223" s="0" t="n">
        <v>1</v>
      </c>
      <c r="EV223" s="0" t="n">
        <v>1</v>
      </c>
      <c r="EX223" s="0" t="n">
        <v>1</v>
      </c>
      <c r="EY223" s="0" t="n">
        <v>1</v>
      </c>
      <c r="EZ223" s="4" t="n">
        <v>20000</v>
      </c>
      <c r="FA223" s="4" t="n">
        <f aca="false">552.38*28</f>
        <v>15466.64</v>
      </c>
      <c r="FB223" s="0" t="n">
        <v>1</v>
      </c>
      <c r="FF223" s="120" t="n">
        <f aca="false">(CJ223-CI223+1)/365</f>
        <v>2.9972602739726</v>
      </c>
      <c r="FG223" s="0" t="str">
        <f aca="false">CONCATENATE(F223,"/",G223)</f>
        <v>677/2011</v>
      </c>
      <c r="FH223" s="0" t="n">
        <v>0</v>
      </c>
      <c r="FI223" s="0" t="n">
        <v>0</v>
      </c>
    </row>
    <row r="224" customFormat="false" ht="15" hidden="false" customHeight="false" outlineLevel="0" collapsed="false">
      <c r="A224" s="5" t="str">
        <f aca="false">E224&amp;G224&amp;F224</f>
        <v>72011698</v>
      </c>
      <c r="B224" s="0" t="s">
        <v>2392</v>
      </c>
      <c r="C224" s="1" t="n">
        <v>42409</v>
      </c>
      <c r="E224" s="0" t="n">
        <v>7</v>
      </c>
      <c r="F224" s="0" t="n">
        <v>698</v>
      </c>
      <c r="G224" s="0" t="n">
        <v>2011</v>
      </c>
      <c r="H224" s="0" t="str">
        <f aca="false">"J"&amp;E224&amp;"\"&amp;F224&amp;"\"&amp;G224&amp;"\"&amp;W224</f>
        <v>J7\698\2011\1</v>
      </c>
      <c r="I224" s="0"/>
      <c r="J224" s="1" t="n">
        <v>40648</v>
      </c>
      <c r="K224" s="0" t="n">
        <v>0</v>
      </c>
      <c r="M224" s="1" t="n">
        <v>40648</v>
      </c>
      <c r="N224" s="1" t="n">
        <v>40772</v>
      </c>
      <c r="O224" s="1"/>
      <c r="P224" s="1"/>
      <c r="Q224" s="1"/>
      <c r="T224" s="121"/>
      <c r="U224" s="121"/>
      <c r="V224" s="122" t="n">
        <f aca="false">IF(AND(E224&gt;0,F224&gt;0,G224&gt;0),COUNTIFS($E:$E,E224,$F:$F,F224,$G:$G,G224),"")</f>
        <v>2</v>
      </c>
      <c r="W224" s="122" t="n">
        <f aca="false">IF(V224="","",IF(V224=1,1,IF(AND(E223=E224,F223=F224,G223=G224),W223+1,1)))</f>
        <v>1</v>
      </c>
      <c r="X224" s="0" t="n">
        <v>2</v>
      </c>
      <c r="Y224" s="0" t="n">
        <v>3</v>
      </c>
      <c r="Z224" s="0" t="s">
        <v>2500</v>
      </c>
      <c r="AA224" s="0" t="n">
        <v>0</v>
      </c>
      <c r="AB224" s="0" t="s">
        <v>2501</v>
      </c>
      <c r="AC224" s="0" t="s">
        <v>2460</v>
      </c>
      <c r="AD224" s="0" t="s">
        <v>229</v>
      </c>
      <c r="AE224" s="0" t="n">
        <v>0</v>
      </c>
      <c r="AF224" s="0" t="s">
        <v>2502</v>
      </c>
      <c r="AG224" s="0" t="n">
        <v>0</v>
      </c>
      <c r="AH224" s="0" t="s">
        <v>2503</v>
      </c>
      <c r="AI224" s="0" t="s">
        <v>2504</v>
      </c>
      <c r="AJ224" s="0" t="s">
        <v>755</v>
      </c>
      <c r="AL224" s="0" t="s">
        <v>2505</v>
      </c>
      <c r="AM224" s="0" t="n">
        <v>1</v>
      </c>
      <c r="AN224" s="0" t="s">
        <v>2503</v>
      </c>
      <c r="AO224" s="0" t="s">
        <v>2504</v>
      </c>
      <c r="AP224" s="0" t="s">
        <v>755</v>
      </c>
      <c r="AR224" s="0" t="s">
        <v>1880</v>
      </c>
      <c r="AS224" s="0" t="n">
        <v>1</v>
      </c>
      <c r="AT224" s="0" t="s">
        <v>2503</v>
      </c>
      <c r="AU224" s="0" t="s">
        <v>2504</v>
      </c>
      <c r="AV224" s="0" t="s">
        <v>755</v>
      </c>
      <c r="BP224" s="0" t="n">
        <v>0</v>
      </c>
      <c r="BQ224" s="0" t="n">
        <v>0</v>
      </c>
      <c r="BR224" s="0" t="n">
        <v>1</v>
      </c>
      <c r="BS224" s="0" t="s">
        <v>2506</v>
      </c>
      <c r="BT224" s="0" t="s">
        <v>2507</v>
      </c>
      <c r="BU224" s="0" t="s">
        <v>609</v>
      </c>
      <c r="BV224" s="123"/>
      <c r="BW224" s="123"/>
      <c r="BX224" s="123"/>
      <c r="BY224" s="123"/>
      <c r="BZ224" s="0" t="n">
        <v>0</v>
      </c>
      <c r="CA224" s="0" t="s">
        <v>216</v>
      </c>
      <c r="CD224" s="0" t="s">
        <v>256</v>
      </c>
      <c r="CE224" s="0" t="n">
        <v>0</v>
      </c>
      <c r="CF224" s="0" t="s">
        <v>2508</v>
      </c>
      <c r="CI224" s="1" t="n">
        <v>38842</v>
      </c>
      <c r="CJ224" s="1" t="n">
        <v>40610</v>
      </c>
      <c r="CK224" s="124" t="n">
        <v>0.520833333333333</v>
      </c>
      <c r="CL224" s="0" t="s">
        <v>2509</v>
      </c>
      <c r="CM224" s="0" t="n">
        <f aca="false">IF(OR(CI224="",CJ224=""),"",DAYS360(CI224,CJ224)/360)</f>
        <v>4.84166666666667</v>
      </c>
      <c r="CN224" s="0" t="n">
        <f aca="false">IF(OR(CI224="",CJ224=""),"",DAYS360(CI224,CJ224)/30)</f>
        <v>58.1</v>
      </c>
      <c r="CO224" s="0" t="n">
        <f aca="false">IF(OR(CI224="",CJ224=""),"",DAYS360(CI224,CJ224)/7)</f>
        <v>249</v>
      </c>
      <c r="CP224" s="0" t="n">
        <f aca="false">IF(OR(CI224="",CJ224=""),"",DAYS360(CI224,CJ224))</f>
        <v>1743</v>
      </c>
      <c r="CQ224" s="0" t="s">
        <v>240</v>
      </c>
      <c r="CR224" s="0" t="n">
        <v>1</v>
      </c>
      <c r="CT224" s="0" t="n">
        <v>400</v>
      </c>
      <c r="CU224" s="0" t="n">
        <v>400</v>
      </c>
      <c r="CV224" s="0" t="str">
        <f aca="false">IF(OR(CT224="",CT224="NO ESPECIFICA",CT224="NO MENCIONA"),"",IF(CU224=0,CT224,IF(CU224=1,CT224/30,IF(CU224=2,CT224/15,IF(CU224=3,CT224/7,"")))))</f>
        <v/>
      </c>
      <c r="CW224" s="125" t="s">
        <v>1895</v>
      </c>
      <c r="CX224" s="0" t="s">
        <v>216</v>
      </c>
      <c r="CY224" s="0" t="str">
        <f aca="false">IF(CW224="","",IF(CX224=0,CW224,IF(CX224=1,CW224/30,IF(CX224=2,CW224/15,IF(CX224=3,CW224/7,CW224)))))</f>
        <v>NO MENCIONA </v>
      </c>
      <c r="CZ224" s="0" t="n">
        <f aca="false">IF(DI224&gt;0,DI224,IF(CY224&gt;0,CY224,IF(CV224&gt;0,CV224,"")))</f>
        <v>400</v>
      </c>
      <c r="DA224" s="0" t="n">
        <f aca="false">IF(DM224=1,CZ224/8,IF(OR(DM224=2,DM224=4),CZ224/7,IF(DM224=3,CZ224/7.5,"")))</f>
        <v>50</v>
      </c>
      <c r="DB224" s="0" t="s">
        <v>216</v>
      </c>
      <c r="DC224" s="0" t="s">
        <v>216</v>
      </c>
      <c r="DD224" s="0" t="s">
        <v>216</v>
      </c>
      <c r="DE224" s="0" t="s">
        <v>216</v>
      </c>
      <c r="DF224" s="0" t="s">
        <v>216</v>
      </c>
      <c r="DG224" s="0" t="s">
        <v>216</v>
      </c>
      <c r="DH224" s="0" t="n">
        <v>0</v>
      </c>
      <c r="DI224" s="126" t="n">
        <v>400</v>
      </c>
      <c r="DK224" s="0" t="n">
        <v>0</v>
      </c>
      <c r="DM224" s="0" t="n">
        <v>1</v>
      </c>
      <c r="DN224" s="0" t="n">
        <v>66</v>
      </c>
      <c r="DO224" s="0" t="n">
        <v>3</v>
      </c>
      <c r="DP224" s="0" t="n">
        <v>0</v>
      </c>
      <c r="DQ224" s="0" t="n">
        <v>1</v>
      </c>
      <c r="DR224" s="0"/>
      <c r="DS224" s="0" t="n">
        <v>1</v>
      </c>
      <c r="DU224" s="0" t="n">
        <v>1</v>
      </c>
      <c r="DW224" s="1" t="n">
        <v>38842</v>
      </c>
      <c r="DX224" s="1" t="n">
        <v>40610</v>
      </c>
      <c r="DZ224" s="0"/>
      <c r="EA224" s="0" t="n">
        <v>1</v>
      </c>
      <c r="EC224" s="1" t="n">
        <v>38842</v>
      </c>
      <c r="ED224" s="1" t="n">
        <v>40610</v>
      </c>
      <c r="EF224" s="0"/>
      <c r="EG224" s="0" t="n">
        <v>1</v>
      </c>
      <c r="EH224" s="0" t="n">
        <v>18</v>
      </c>
      <c r="EI224" s="0" t="n">
        <f aca="false">IF(AND(DM224=1,DN224&lt;=48),"",IF(AND(DM224=2,DN224&lt;=42),"",IF(AND(DM224=3,DN224&lt;=45),"",EH224)))</f>
        <v>18</v>
      </c>
      <c r="EJ224" s="0" t="n">
        <f aca="false">IF(EI224="","",IF(EI224&lt;9,EI224,9))</f>
        <v>9</v>
      </c>
      <c r="EK224" s="0" t="n">
        <f aca="false">IF(EI224="","",IF(EI224&gt;9,EI224-EJ224,0))</f>
        <v>9</v>
      </c>
      <c r="EL224" s="0" t="n">
        <f aca="false">IF(EI224="","",EJ224*DA224*2+EK224*DA224*3)</f>
        <v>2250</v>
      </c>
      <c r="EP224" s="0" t="n">
        <v>0</v>
      </c>
      <c r="EQ224" s="0"/>
      <c r="ER224" s="0" t="n">
        <v>0</v>
      </c>
      <c r="ET224" s="0" t="n">
        <v>1</v>
      </c>
      <c r="EV224" s="0" t="n">
        <v>1</v>
      </c>
      <c r="EX224" s="0" t="n">
        <v>1</v>
      </c>
      <c r="EY224" s="0" t="n">
        <v>1</v>
      </c>
      <c r="EZ224" s="4" t="n">
        <v>3000</v>
      </c>
      <c r="FA224" s="0"/>
      <c r="FB224" s="0" t="n">
        <v>0</v>
      </c>
      <c r="FF224" s="120" t="n">
        <f aca="false">(CJ224-CI224+1)/365</f>
        <v>4.84657534246575</v>
      </c>
      <c r="FG224" s="0" t="str">
        <f aca="false">CONCATENATE(F224,"/",G224)</f>
        <v>698/2011</v>
      </c>
      <c r="FH224" s="0" t="n">
        <v>0</v>
      </c>
      <c r="FI224" s="0" t="n">
        <v>0</v>
      </c>
    </row>
    <row r="225" customFormat="false" ht="15" hidden="false" customHeight="false" outlineLevel="0" collapsed="false">
      <c r="A225" s="5" t="str">
        <f aca="false">E225&amp;G225&amp;F225</f>
        <v>72011698</v>
      </c>
      <c r="B225" s="0" t="s">
        <v>2392</v>
      </c>
      <c r="C225" s="1" t="n">
        <v>42409</v>
      </c>
      <c r="E225" s="0" t="n">
        <v>7</v>
      </c>
      <c r="F225" s="0" t="n">
        <v>698</v>
      </c>
      <c r="G225" s="0" t="n">
        <v>2011</v>
      </c>
      <c r="H225" s="0" t="str">
        <f aca="false">"J"&amp;E225&amp;"\"&amp;F225&amp;"\"&amp;G225&amp;"\"&amp;W225</f>
        <v>J7\698\2011\2</v>
      </c>
      <c r="I225" s="0"/>
      <c r="J225" s="1" t="n">
        <v>40648</v>
      </c>
      <c r="K225" s="0" t="n">
        <v>0</v>
      </c>
      <c r="M225" s="1" t="n">
        <v>40648</v>
      </c>
      <c r="N225" s="1" t="n">
        <v>40772</v>
      </c>
      <c r="O225" s="1"/>
      <c r="P225" s="1"/>
      <c r="Q225" s="1"/>
      <c r="T225" s="121"/>
      <c r="U225" s="121"/>
      <c r="V225" s="122" t="n">
        <f aca="false">IF(AND(E225&gt;0,F225&gt;0,G225&gt;0),COUNTIFS($E:$E,E225,$F:$F,F225,$G:$G,G225),"")</f>
        <v>2</v>
      </c>
      <c r="W225" s="122" t="n">
        <f aca="false">IF(V225="","",IF(V225=1,1,IF(AND(E224=E225,F224=F225,G224=G225),W224+1,1)))</f>
        <v>2</v>
      </c>
      <c r="X225" s="0" t="n">
        <v>2</v>
      </c>
      <c r="Y225" s="0" t="n">
        <v>3</v>
      </c>
      <c r="Z225" s="0" t="s">
        <v>2510</v>
      </c>
      <c r="AA225" s="0" t="n">
        <v>0</v>
      </c>
      <c r="AB225" s="0" t="s">
        <v>2501</v>
      </c>
      <c r="AC225" s="0" t="s">
        <v>2460</v>
      </c>
      <c r="AD225" s="0" t="s">
        <v>229</v>
      </c>
      <c r="AE225" s="0" t="n">
        <v>0</v>
      </c>
      <c r="AF225" s="0" t="s">
        <v>2502</v>
      </c>
      <c r="AG225" s="0" t="n">
        <v>0</v>
      </c>
      <c r="AH225" s="0" t="s">
        <v>2503</v>
      </c>
      <c r="AI225" s="0" t="s">
        <v>2504</v>
      </c>
      <c r="AJ225" s="0" t="s">
        <v>755</v>
      </c>
      <c r="AL225" s="0" t="s">
        <v>2505</v>
      </c>
      <c r="AM225" s="0" t="n">
        <v>1</v>
      </c>
      <c r="AN225" s="0" t="s">
        <v>2503</v>
      </c>
      <c r="AO225" s="0" t="s">
        <v>2504</v>
      </c>
      <c r="AP225" s="0" t="s">
        <v>755</v>
      </c>
      <c r="AR225" s="0" t="s">
        <v>1880</v>
      </c>
      <c r="AS225" s="0" t="n">
        <v>1</v>
      </c>
      <c r="AT225" s="0" t="s">
        <v>2503</v>
      </c>
      <c r="AU225" s="0" t="s">
        <v>2504</v>
      </c>
      <c r="AV225" s="0" t="s">
        <v>755</v>
      </c>
      <c r="BP225" s="0" t="n">
        <v>0</v>
      </c>
      <c r="BQ225" s="0" t="n">
        <v>0</v>
      </c>
      <c r="BR225" s="0" t="n">
        <v>1</v>
      </c>
      <c r="BS225" s="0" t="s">
        <v>2506</v>
      </c>
      <c r="BT225" s="0" t="s">
        <v>2507</v>
      </c>
      <c r="BU225" s="0" t="s">
        <v>609</v>
      </c>
      <c r="BV225" s="123"/>
      <c r="BW225" s="123"/>
      <c r="BX225" s="123"/>
      <c r="BY225" s="123"/>
      <c r="BZ225" s="0" t="n">
        <v>0</v>
      </c>
      <c r="CA225" s="0" t="s">
        <v>216</v>
      </c>
      <c r="CD225" s="0" t="s">
        <v>256</v>
      </c>
      <c r="CE225" s="0" t="n">
        <v>0</v>
      </c>
      <c r="CF225" s="0" t="s">
        <v>2508</v>
      </c>
      <c r="CI225" s="1" t="n">
        <v>38203</v>
      </c>
      <c r="CJ225" s="1" t="n">
        <v>40610</v>
      </c>
      <c r="CK225" s="124" t="n">
        <v>0.520833333333333</v>
      </c>
      <c r="CL225" s="0" t="s">
        <v>2509</v>
      </c>
      <c r="CM225" s="0" t="n">
        <f aca="false">IF(OR(CI225="",CJ225=""),"",DAYS360(CI225,CJ225)/360)</f>
        <v>6.59444444444444</v>
      </c>
      <c r="CN225" s="0" t="n">
        <f aca="false">IF(OR(CI225="",CJ225=""),"",DAYS360(CI225,CJ225)/30)</f>
        <v>79.1333333333333</v>
      </c>
      <c r="CO225" s="0" t="n">
        <f aca="false">IF(OR(CI225="",CJ225=""),"",DAYS360(CI225,CJ225)/7)</f>
        <v>339.142857142857</v>
      </c>
      <c r="CP225" s="0" t="n">
        <f aca="false">IF(OR(CI225="",CJ225=""),"",DAYS360(CI225,CJ225))</f>
        <v>2374</v>
      </c>
      <c r="CQ225" s="0" t="s">
        <v>240</v>
      </c>
      <c r="CR225" s="0" t="n">
        <v>1</v>
      </c>
      <c r="CT225" s="0" t="n">
        <v>400</v>
      </c>
      <c r="CU225" s="0" t="n">
        <v>400</v>
      </c>
      <c r="CV225" s="0" t="str">
        <f aca="false">IF(OR(CT225="",CT225="NO ESPECIFICA",CT225="NO MENCIONA"),"",IF(CU225=0,CT225,IF(CU225=1,CT225/30,IF(CU225=2,CT225/15,IF(CU225=3,CT225/7,"")))))</f>
        <v/>
      </c>
      <c r="CW225" s="125" t="s">
        <v>1895</v>
      </c>
      <c r="CX225" s="0" t="s">
        <v>216</v>
      </c>
      <c r="CY225" s="0" t="str">
        <f aca="false">IF(CW225="","",IF(CX225=0,CW225,IF(CX225=1,CW225/30,IF(CX225=2,CW225/15,IF(CX225=3,CW225/7,CW225)))))</f>
        <v>NO MENCIONA </v>
      </c>
      <c r="CZ225" s="0" t="n">
        <f aca="false">IF(DI225&gt;0,DI225,IF(CY225&gt;0,CY225,IF(CV225&gt;0,CV225,"")))</f>
        <v>400</v>
      </c>
      <c r="DA225" s="0" t="n">
        <f aca="false">IF(DM225=1,CZ225/8,IF(OR(DM225=2,DM225=4),CZ225/7,IF(DM225=3,CZ225/7.5,"")))</f>
        <v>50</v>
      </c>
      <c r="DB225" s="0" t="s">
        <v>216</v>
      </c>
      <c r="DC225" s="0" t="s">
        <v>216</v>
      </c>
      <c r="DD225" s="0" t="s">
        <v>216</v>
      </c>
      <c r="DE225" s="0" t="s">
        <v>216</v>
      </c>
      <c r="DF225" s="0" t="s">
        <v>216</v>
      </c>
      <c r="DG225" s="0" t="s">
        <v>216</v>
      </c>
      <c r="DH225" s="0" t="n">
        <v>0</v>
      </c>
      <c r="DI225" s="126" t="n">
        <v>400</v>
      </c>
      <c r="DK225" s="0" t="n">
        <v>0</v>
      </c>
      <c r="DM225" s="0" t="n">
        <v>1</v>
      </c>
      <c r="DN225" s="0" t="n">
        <v>66</v>
      </c>
      <c r="DO225" s="0" t="n">
        <v>3</v>
      </c>
      <c r="DP225" s="0" t="n">
        <v>0</v>
      </c>
      <c r="DQ225" s="0" t="n">
        <v>1</v>
      </c>
      <c r="DR225" s="0"/>
      <c r="DS225" s="0" t="n">
        <v>1</v>
      </c>
      <c r="DU225" s="0" t="n">
        <v>1</v>
      </c>
      <c r="DW225" s="1" t="n">
        <v>38203</v>
      </c>
      <c r="DX225" s="1" t="n">
        <v>40610</v>
      </c>
      <c r="DZ225" s="0"/>
      <c r="EA225" s="0" t="n">
        <v>1</v>
      </c>
      <c r="EC225" s="1" t="n">
        <v>38203</v>
      </c>
      <c r="ED225" s="1" t="n">
        <v>40610</v>
      </c>
      <c r="EF225" s="0"/>
      <c r="EG225" s="0" t="n">
        <v>1</v>
      </c>
      <c r="EH225" s="0" t="n">
        <v>18</v>
      </c>
      <c r="EI225" s="0" t="n">
        <f aca="false">IF(AND(DM225=1,DN225&lt;=48),"",IF(AND(DM225=2,DN225&lt;=42),"",IF(AND(DM225=3,DN225&lt;=45),"",EH225)))</f>
        <v>18</v>
      </c>
      <c r="EJ225" s="0" t="n">
        <f aca="false">IF(EI225="","",IF(EI225&lt;9,EI225,9))</f>
        <v>9</v>
      </c>
      <c r="EK225" s="0" t="n">
        <f aca="false">IF(EI225="","",IF(EI225&gt;9,EI225-EJ225,0))</f>
        <v>9</v>
      </c>
      <c r="EL225" s="0" t="n">
        <f aca="false">IF(EI225="","",EJ225*DA225*2+EK225*DA225*3)</f>
        <v>2250</v>
      </c>
      <c r="EP225" s="0" t="n">
        <v>0</v>
      </c>
      <c r="EQ225" s="0"/>
      <c r="ER225" s="0" t="n">
        <v>0</v>
      </c>
      <c r="ET225" s="0" t="n">
        <v>1</v>
      </c>
      <c r="EV225" s="0" t="n">
        <v>1</v>
      </c>
      <c r="EX225" s="0" t="n">
        <v>1</v>
      </c>
      <c r="EY225" s="0" t="n">
        <v>1</v>
      </c>
      <c r="EZ225" s="4" t="n">
        <v>3000</v>
      </c>
      <c r="FA225" s="0"/>
      <c r="FB225" s="0" t="n">
        <v>0</v>
      </c>
      <c r="FF225" s="120" t="n">
        <f aca="false">(CJ225-CI225+1)/365</f>
        <v>6.5972602739726</v>
      </c>
      <c r="FG225" s="0" t="str">
        <f aca="false">CONCATENATE(F225,"/",G225)</f>
        <v>698/2011</v>
      </c>
      <c r="FH225" s="0" t="n">
        <v>0</v>
      </c>
      <c r="FI225" s="0" t="n">
        <v>0</v>
      </c>
    </row>
    <row r="226" customFormat="false" ht="15" hidden="false" customHeight="false" outlineLevel="0" collapsed="false">
      <c r="A226" s="5" t="str">
        <f aca="false">E226&amp;G226&amp;F226</f>
        <v>72011699</v>
      </c>
      <c r="B226" s="0" t="s">
        <v>2392</v>
      </c>
      <c r="C226" s="1" t="n">
        <v>42409</v>
      </c>
      <c r="E226" s="0" t="n">
        <v>7</v>
      </c>
      <c r="F226" s="0" t="n">
        <v>699</v>
      </c>
      <c r="G226" s="0" t="n">
        <v>2011</v>
      </c>
      <c r="H226" s="0" t="str">
        <f aca="false">"J"&amp;E226&amp;"\"&amp;F226&amp;"\"&amp;G226&amp;"\"&amp;W226</f>
        <v>J7\699\2011\1</v>
      </c>
      <c r="I226" s="0"/>
      <c r="J226" s="1" t="n">
        <v>40648</v>
      </c>
      <c r="K226" s="0" t="n">
        <v>1</v>
      </c>
      <c r="L226" s="0" t="s">
        <v>2511</v>
      </c>
      <c r="M226" s="1" t="n">
        <v>40648</v>
      </c>
      <c r="N226" s="1" t="n">
        <v>40772</v>
      </c>
      <c r="O226" s="1"/>
      <c r="P226" s="1"/>
      <c r="Q226" s="1"/>
      <c r="T226" s="121"/>
      <c r="U226" s="121"/>
      <c r="V226" s="122" t="n">
        <f aca="false">IF(AND(E226&gt;0,F226&gt;0,G226&gt;0),COUNTIFS($E:$E,E226,$F:$F,F226,$G:$G,G226),"")</f>
        <v>1</v>
      </c>
      <c r="W226" s="122" t="n">
        <f aca="false">IF(V226="","",IF(V226=1,1,IF(AND(E225=E226,F225=F226,G225=G226),W225+1,1)))</f>
        <v>1</v>
      </c>
      <c r="X226" s="0" t="n">
        <v>1</v>
      </c>
      <c r="Y226" s="0" t="n">
        <v>1</v>
      </c>
      <c r="Z226" s="0" t="s">
        <v>2512</v>
      </c>
      <c r="AA226" s="0" t="n">
        <v>0</v>
      </c>
      <c r="AB226" s="0" t="s">
        <v>1947</v>
      </c>
      <c r="AE226" s="0" t="n">
        <v>0</v>
      </c>
      <c r="AF226" s="0" t="s">
        <v>2513</v>
      </c>
      <c r="AG226" s="0" t="n">
        <v>0</v>
      </c>
      <c r="AH226" s="0" t="s">
        <v>2514</v>
      </c>
      <c r="AI226" s="0" t="s">
        <v>2515</v>
      </c>
      <c r="AJ226" s="0" t="s">
        <v>2516</v>
      </c>
      <c r="BP226" s="0" t="n">
        <v>0</v>
      </c>
      <c r="BQ226" s="0" t="n">
        <v>0</v>
      </c>
      <c r="BR226" s="0" t="n">
        <v>1</v>
      </c>
      <c r="BS226" s="0" t="s">
        <v>2517</v>
      </c>
      <c r="BT226" s="0" t="s">
        <v>2518</v>
      </c>
      <c r="BU226" s="0" t="s">
        <v>2519</v>
      </c>
      <c r="BV226" s="123"/>
      <c r="BW226" s="123"/>
      <c r="BX226" s="123"/>
      <c r="BY226" s="123"/>
      <c r="BZ226" s="0" t="n">
        <v>0</v>
      </c>
      <c r="CA226" s="0" t="s">
        <v>216</v>
      </c>
      <c r="CD226" s="0" t="s">
        <v>256</v>
      </c>
      <c r="CE226" s="0" t="n">
        <v>0</v>
      </c>
      <c r="CF226" s="0" t="s">
        <v>2520</v>
      </c>
      <c r="CI226" s="1" t="n">
        <v>38231</v>
      </c>
      <c r="CJ226" s="1" t="n">
        <v>40241</v>
      </c>
      <c r="CK226" s="124" t="s">
        <v>216</v>
      </c>
      <c r="CL226" s="0" t="s">
        <v>216</v>
      </c>
      <c r="CM226" s="0" t="n">
        <f aca="false">IF(OR(CI226="",CJ226=""),"",DAYS360(CI226,CJ226)/360)</f>
        <v>5.50833333333333</v>
      </c>
      <c r="CN226" s="0" t="n">
        <f aca="false">IF(OR(CI226="",CJ226=""),"",DAYS360(CI226,CJ226)/30)</f>
        <v>66.1</v>
      </c>
      <c r="CO226" s="0" t="n">
        <f aca="false">IF(OR(CI226="",CJ226=""),"",DAYS360(CI226,CJ226)/7)</f>
        <v>283.285714285714</v>
      </c>
      <c r="CP226" s="0" t="n">
        <f aca="false">IF(OR(CI226="",CJ226=""),"",DAYS360(CI226,CJ226))</f>
        <v>1983</v>
      </c>
      <c r="CQ226" s="0" t="s">
        <v>1493</v>
      </c>
      <c r="CR226" s="0" t="n">
        <v>5</v>
      </c>
      <c r="CS226" s="0" t="s">
        <v>1494</v>
      </c>
      <c r="CT226" s="0" t="s">
        <v>221</v>
      </c>
      <c r="CU226" s="0" t="s">
        <v>221</v>
      </c>
      <c r="CV226" s="0" t="str">
        <f aca="false">IF(OR(CT226="",CT226="NO ESPECIFICA",CT226="NO MENCIONA"),"",IF(CU226=0,CT226,IF(CU226=1,CT226/30,IF(CU226=2,CT226/15,IF(CU226=3,CT226/7,"")))))</f>
        <v/>
      </c>
      <c r="CW226" s="125" t="n">
        <v>206.71</v>
      </c>
      <c r="CX226" s="0" t="n">
        <v>0</v>
      </c>
      <c r="CY226" s="0" t="n">
        <f aca="false">IF(CW226="","",IF(CX226=0,CW226,IF(CX226=1,CW226/30,IF(CX226=2,CW226/15,IF(CX226=3,CW226/7,CW226)))))</f>
        <v>206.71</v>
      </c>
      <c r="CZ226" s="0" t="n">
        <f aca="false">IF(DI226&gt;0,DI226,IF(CY226&gt;0,CY226,IF(CV226&gt;0,CV226,"")))</f>
        <v>206.71</v>
      </c>
      <c r="DA226" s="0" t="n">
        <f aca="false">IF(DM226=1,CZ226/8,IF(OR(DM226=2,DM226=4),CZ226/7,IF(DM226=3,CZ226/7.5,"")))</f>
        <v>27.5613333333333</v>
      </c>
      <c r="DB226" s="0" t="s">
        <v>216</v>
      </c>
      <c r="DC226" s="0" t="s">
        <v>216</v>
      </c>
      <c r="DD226" s="0" t="s">
        <v>216</v>
      </c>
      <c r="DE226" s="0" t="s">
        <v>216</v>
      </c>
      <c r="DF226" s="0" t="s">
        <v>216</v>
      </c>
      <c r="DG226" s="0" t="s">
        <v>216</v>
      </c>
      <c r="DH226" s="0" t="n">
        <v>0</v>
      </c>
      <c r="DI226" s="126" t="n">
        <v>206.71</v>
      </c>
      <c r="DK226" s="0" t="n">
        <v>0</v>
      </c>
      <c r="DM226" s="0" t="n">
        <v>3</v>
      </c>
      <c r="DN226" s="0" t="n">
        <v>73</v>
      </c>
      <c r="DO226" s="0" t="n">
        <v>3</v>
      </c>
      <c r="DP226" s="0" t="n">
        <v>0</v>
      </c>
      <c r="DQ226" s="0" t="n">
        <v>0</v>
      </c>
      <c r="DR226" s="0"/>
      <c r="DS226" s="0" t="n">
        <v>0</v>
      </c>
      <c r="DU226" s="0" t="n">
        <v>1</v>
      </c>
      <c r="DW226" s="1" t="n">
        <v>40057</v>
      </c>
      <c r="DX226" s="1" t="n">
        <v>40241</v>
      </c>
      <c r="DZ226" s="0"/>
      <c r="EA226" s="0" t="n">
        <v>1</v>
      </c>
      <c r="EC226" s="1" t="n">
        <v>40179</v>
      </c>
      <c r="ED226" s="1" t="n">
        <v>40241</v>
      </c>
      <c r="EF226" s="0"/>
      <c r="EG226" s="0" t="n">
        <v>1</v>
      </c>
      <c r="EH226" s="0" t="n">
        <v>31</v>
      </c>
      <c r="EI226" s="0" t="n">
        <f aca="false">IF(AND(DM226=1,DN226&lt;=48),"",IF(AND(DM226=2,DN226&lt;=42),"",IF(AND(DM226=3,DN226&lt;=45),"",EH226)))</f>
        <v>31</v>
      </c>
      <c r="EJ226" s="0" t="n">
        <f aca="false">IF(EI226="","",IF(EI226&lt;9,EI226,9))</f>
        <v>9</v>
      </c>
      <c r="EK226" s="0" t="n">
        <f aca="false">IF(EI226="","",IF(EI226&gt;9,EI226-EJ226,0))</f>
        <v>22</v>
      </c>
      <c r="EL226" s="0" t="n">
        <f aca="false">IF(EI226="","",EJ226*DA226*2+EK226*DA226*3)</f>
        <v>2315.152</v>
      </c>
      <c r="EP226" s="0" t="n">
        <v>0</v>
      </c>
      <c r="EQ226" s="0"/>
      <c r="ER226" s="0" t="n">
        <v>0</v>
      </c>
      <c r="ET226" s="0" t="n">
        <v>0</v>
      </c>
      <c r="EV226" s="0" t="n">
        <v>0</v>
      </c>
      <c r="EX226" s="0" t="n">
        <v>0</v>
      </c>
      <c r="EY226" s="0" t="n">
        <v>0</v>
      </c>
      <c r="EZ226" s="0"/>
      <c r="FA226" s="4" t="n">
        <f aca="false">206.71*4</f>
        <v>826.84</v>
      </c>
      <c r="FB226" s="0" t="n">
        <v>0</v>
      </c>
      <c r="FF226" s="120" t="n">
        <f aca="false">(CJ226-CI226+1)/365</f>
        <v>5.50958904109589</v>
      </c>
      <c r="FG226" s="0" t="str">
        <f aca="false">CONCATENATE(F226,"/",G226)</f>
        <v>699/2011</v>
      </c>
      <c r="FH226" s="0" t="n">
        <v>0</v>
      </c>
      <c r="FI226" s="0" t="n">
        <v>0</v>
      </c>
    </row>
    <row r="227" customFormat="false" ht="15" hidden="false" customHeight="false" outlineLevel="0" collapsed="false">
      <c r="A227" s="5" t="str">
        <f aca="false">E227&amp;G227&amp;F227</f>
        <v>72011702</v>
      </c>
      <c r="B227" s="0" t="s">
        <v>2392</v>
      </c>
      <c r="C227" s="1" t="n">
        <v>42409</v>
      </c>
      <c r="D227" s="0" t="s">
        <v>2393</v>
      </c>
      <c r="E227" s="0" t="n">
        <v>7</v>
      </c>
      <c r="F227" s="0" t="n">
        <v>702</v>
      </c>
      <c r="G227" s="0" t="n">
        <v>2011</v>
      </c>
      <c r="H227" s="0" t="str">
        <f aca="false">"J"&amp;E227&amp;"\"&amp;F227&amp;"\"&amp;G227&amp;"\"&amp;W227</f>
        <v>J7\702\2011\1</v>
      </c>
      <c r="I227" s="0"/>
      <c r="J227" s="1" t="n">
        <v>40648</v>
      </c>
      <c r="K227" s="0" t="n">
        <v>0</v>
      </c>
      <c r="M227" s="1"/>
      <c r="N227" s="1"/>
      <c r="O227" s="1"/>
      <c r="P227" s="1"/>
      <c r="Q227" s="1"/>
      <c r="T227" s="121"/>
      <c r="U227" s="121"/>
      <c r="V227" s="122" t="n">
        <f aca="false">IF(AND(E227&gt;0,F227&gt;0,G227&gt;0),COUNTIFS($E:$E,E227,$F:$F,F227,$G:$G,G227),"")</f>
        <v>1</v>
      </c>
      <c r="W227" s="122" t="n">
        <f aca="false">IF(V227="","",IF(V227=1,1,IF(AND(E226=E227,F226=F227,G226=G227),W226+1,1)))</f>
        <v>1</v>
      </c>
      <c r="X227" s="0" t="n">
        <v>1</v>
      </c>
      <c r="Y227" s="0" t="n">
        <v>2</v>
      </c>
      <c r="Z227" s="0" t="s">
        <v>2521</v>
      </c>
      <c r="AA227" s="0" t="n">
        <v>0</v>
      </c>
      <c r="AB227" s="0" t="s">
        <v>2522</v>
      </c>
      <c r="AC227" s="0" t="s">
        <v>244</v>
      </c>
      <c r="AD227" s="0" t="s">
        <v>229</v>
      </c>
      <c r="AE227" s="0" t="n">
        <v>0</v>
      </c>
      <c r="AF227" s="0" t="s">
        <v>2523</v>
      </c>
      <c r="AG227" s="0" t="n">
        <v>0</v>
      </c>
      <c r="AH227" s="0" t="s">
        <v>2524</v>
      </c>
      <c r="AI227" s="0" t="s">
        <v>380</v>
      </c>
      <c r="AJ227" s="0" t="s">
        <v>322</v>
      </c>
      <c r="AL227" s="0" t="s">
        <v>2525</v>
      </c>
      <c r="AM227" s="0" t="n">
        <v>0</v>
      </c>
      <c r="AN227" s="0" t="s">
        <v>2526</v>
      </c>
      <c r="AO227" s="0" t="s">
        <v>287</v>
      </c>
      <c r="AP227" s="0" t="s">
        <v>207</v>
      </c>
      <c r="BP227" s="0" t="n">
        <v>0</v>
      </c>
      <c r="BQ227" s="0" t="n">
        <v>0</v>
      </c>
      <c r="BR227" s="0" t="n">
        <v>1</v>
      </c>
      <c r="BS227" s="0" t="s">
        <v>2527</v>
      </c>
      <c r="BT227" s="0" t="s">
        <v>2528</v>
      </c>
      <c r="BU227" s="0" t="s">
        <v>216</v>
      </c>
      <c r="BV227" s="123"/>
      <c r="BW227" s="123"/>
      <c r="BX227" s="123"/>
      <c r="BY227" s="123"/>
      <c r="BZ227" s="0" t="n">
        <v>0</v>
      </c>
      <c r="CA227" s="0" t="s">
        <v>216</v>
      </c>
      <c r="CD227" s="0" t="s">
        <v>256</v>
      </c>
      <c r="CE227" s="0" t="n">
        <v>1</v>
      </c>
      <c r="CF227" s="0" t="s">
        <v>1943</v>
      </c>
      <c r="CI227" s="1" t="n">
        <v>39980</v>
      </c>
      <c r="CJ227" s="1" t="n">
        <v>40598</v>
      </c>
      <c r="CK227" s="124" t="s">
        <v>221</v>
      </c>
      <c r="CL227" s="0" t="s">
        <v>2529</v>
      </c>
      <c r="CM227" s="0" t="n">
        <f aca="false">IF(OR(CI227="",CJ227=""),"",DAYS360(CI227,CJ227)/360)</f>
        <v>1.68888888888889</v>
      </c>
      <c r="CN227" s="0" t="n">
        <f aca="false">IF(OR(CI227="",CJ227=""),"",DAYS360(CI227,CJ227)/30)</f>
        <v>20.2666666666667</v>
      </c>
      <c r="CO227" s="0" t="n">
        <f aca="false">IF(OR(CI227="",CJ227=""),"",DAYS360(CI227,CJ227)/7)</f>
        <v>86.8571428571429</v>
      </c>
      <c r="CP227" s="0" t="n">
        <f aca="false">IF(OR(CI227="",CJ227=""),"",DAYS360(CI227,CJ227))</f>
        <v>608</v>
      </c>
      <c r="CQ227" s="0" t="s">
        <v>240</v>
      </c>
      <c r="CR227" s="0" t="n">
        <v>1</v>
      </c>
      <c r="CT227" s="0" t="n">
        <v>266.66</v>
      </c>
      <c r="CU227" s="0" t="n">
        <v>0</v>
      </c>
      <c r="CV227" s="0" t="n">
        <f aca="false">IF(OR(CT227="",CT227="NO ESPECIFICA",CT227="NO MENCIONA"),"",IF(CU227=0,CT227,IF(CU227=1,CT227/30,IF(CU227=2,CT227/15,IF(CU227=3,CT227/7,"")))))</f>
        <v>266.66</v>
      </c>
      <c r="CW227" s="125" t="n">
        <v>4900</v>
      </c>
      <c r="CX227" s="0" t="n">
        <v>2</v>
      </c>
      <c r="CY227" s="0" t="n">
        <f aca="false">IF(CW227="","",IF(CX227=0,CW227,IF(CX227=1,CW227/30,IF(CX227=2,CW227/15,IF(CX227=3,CW227/7,CW227)))))</f>
        <v>326.666666666667</v>
      </c>
      <c r="CZ227" s="0" t="n">
        <f aca="false">IF(DI227&gt;0,DI227,IF(CY227&gt;0,CY227,IF(CV227&gt;0,CV227,"")))</f>
        <v>326.66</v>
      </c>
      <c r="DA227" s="0" t="str">
        <f aca="false">IF(DM227=1,CZ227/8,IF(OR(DM227=2,DM227=4),CZ227/7,IF(DM227=3,CZ227/7.5,"")))</f>
        <v/>
      </c>
      <c r="DB227" s="0" t="s">
        <v>2530</v>
      </c>
      <c r="DC227" s="0" t="s">
        <v>2531</v>
      </c>
      <c r="DD227" s="0" t="s">
        <v>2532</v>
      </c>
      <c r="DE227" s="0" t="s">
        <v>216</v>
      </c>
      <c r="DF227" s="0" t="s">
        <v>216</v>
      </c>
      <c r="DG227" s="0" t="s">
        <v>216</v>
      </c>
      <c r="DH227" s="0" t="n">
        <v>0</v>
      </c>
      <c r="DI227" s="126" t="n">
        <v>326.66</v>
      </c>
      <c r="DK227" s="0" t="n">
        <v>0</v>
      </c>
      <c r="DM227" s="0" t="s">
        <v>221</v>
      </c>
      <c r="DN227" s="0" t="s">
        <v>221</v>
      </c>
      <c r="DO227" s="0" t="s">
        <v>221</v>
      </c>
      <c r="DP227" s="0" t="n">
        <v>0</v>
      </c>
      <c r="DQ227" s="0" t="n">
        <v>1</v>
      </c>
      <c r="DR227" s="0" t="n">
        <v>24000</v>
      </c>
      <c r="DS227" s="0" t="n">
        <v>1</v>
      </c>
      <c r="DT227" s="0" t="n">
        <v>8533.33</v>
      </c>
      <c r="DU227" s="0" t="n">
        <v>0</v>
      </c>
      <c r="DW227" s="1" t="n">
        <v>39980</v>
      </c>
      <c r="DX227" s="1" t="n">
        <v>40233</v>
      </c>
      <c r="DZ227" s="0" t="n">
        <v>3791.78</v>
      </c>
      <c r="EA227" s="0" t="n">
        <v>1</v>
      </c>
      <c r="EB227" s="0" t="n">
        <v>6470.17</v>
      </c>
      <c r="EC227" s="1" t="n">
        <v>40179</v>
      </c>
      <c r="ED227" s="1" t="n">
        <v>40598</v>
      </c>
      <c r="EF227" s="0"/>
      <c r="EG227" s="0" t="n">
        <v>0</v>
      </c>
      <c r="EI227" s="0" t="n">
        <f aca="false">IF(AND(DM227=1,DN227&lt;=48),"",IF(AND(DM227=2,DN227&lt;=42),"",IF(AND(DM227=3,DN227&lt;=45),"",EH227)))</f>
        <v>0</v>
      </c>
      <c r="EJ227" s="0" t="str">
        <f aca="false">IF(EI227="","",IF(EI227&lt;9,EI227,9))</f>
        <v/>
      </c>
      <c r="EK227" s="0" t="str">
        <f aca="false">IF(EI227="","",IF(EI227&gt;9,EI227-EJ227,0))</f>
        <v/>
      </c>
      <c r="EL227" s="0" t="str">
        <f aca="false">IF(EI227="","",EJ227*DA227*2+EK227*DA227*3)</f>
        <v/>
      </c>
      <c r="EP227" s="0" t="n">
        <v>1</v>
      </c>
      <c r="EQ227" s="0" t="n">
        <v>10783.56</v>
      </c>
      <c r="ER227" s="0" t="n">
        <v>0</v>
      </c>
      <c r="ET227" s="0" t="n">
        <v>0</v>
      </c>
      <c r="EV227" s="0" t="n">
        <v>0</v>
      </c>
      <c r="EX227" s="0" t="n">
        <v>0</v>
      </c>
      <c r="EY227" s="0" t="n">
        <v>1</v>
      </c>
      <c r="EZ227" s="0"/>
      <c r="FA227" s="4" t="n">
        <v>4000</v>
      </c>
      <c r="FB227" s="0" t="n">
        <v>0</v>
      </c>
      <c r="FF227" s="120" t="n">
        <f aca="false">(CJ227-CI227+1)/365</f>
        <v>1.6958904109589</v>
      </c>
      <c r="FG227" s="0" t="str">
        <f aca="false">CONCATENATE(F227,"/",G227)</f>
        <v>702/2011</v>
      </c>
      <c r="FH227" s="0" t="n">
        <v>0</v>
      </c>
      <c r="FI227" s="0" t="n">
        <v>0</v>
      </c>
    </row>
    <row r="228" customFormat="false" ht="15" hidden="false" customHeight="false" outlineLevel="0" collapsed="false">
      <c r="A228" s="5" t="str">
        <f aca="false">E228&amp;G228&amp;F228</f>
        <v>72011704</v>
      </c>
      <c r="B228" s="0" t="s">
        <v>2392</v>
      </c>
      <c r="C228" s="1" t="n">
        <v>42409</v>
      </c>
      <c r="E228" s="0" t="n">
        <v>7</v>
      </c>
      <c r="F228" s="0" t="n">
        <v>704</v>
      </c>
      <c r="G228" s="0" t="n">
        <v>2011</v>
      </c>
      <c r="H228" s="0" t="str">
        <f aca="false">"J"&amp;E228&amp;"\"&amp;F228&amp;"\"&amp;G228&amp;"\"&amp;W228</f>
        <v>J7\704\2011\1</v>
      </c>
      <c r="I228" s="0"/>
      <c r="J228" s="1" t="n">
        <v>40648</v>
      </c>
      <c r="K228" s="0" t="n">
        <v>0</v>
      </c>
      <c r="M228" s="1"/>
      <c r="N228" s="1"/>
      <c r="O228" s="1"/>
      <c r="P228" s="1"/>
      <c r="Q228" s="1"/>
      <c r="T228" s="121"/>
      <c r="U228" s="121"/>
      <c r="V228" s="122" t="n">
        <f aca="false">IF(AND(E228&gt;0,F228&gt;0,G228&gt;0),COUNTIFS($E:$E,E228,$F:$F,F228,$G:$G,G228),"")</f>
        <v>1</v>
      </c>
      <c r="W228" s="122" t="n">
        <f aca="false">IF(V228="","",IF(V228=1,1,IF(AND(E227=E228,F227=F228,G227=G228),W227+1,1)))</f>
        <v>1</v>
      </c>
      <c r="X228" s="0" t="n">
        <v>1</v>
      </c>
      <c r="Y228" s="0" t="n">
        <v>7</v>
      </c>
      <c r="Z228" s="0" t="s">
        <v>2533</v>
      </c>
      <c r="AA228" s="0" t="n">
        <v>0</v>
      </c>
      <c r="AB228" s="0" t="s">
        <v>2534</v>
      </c>
      <c r="AC228" s="0" t="s">
        <v>251</v>
      </c>
      <c r="AD228" s="0" t="s">
        <v>229</v>
      </c>
      <c r="AE228" s="0" t="n">
        <v>0</v>
      </c>
      <c r="AF228" s="0" t="s">
        <v>2535</v>
      </c>
      <c r="AG228" s="0" t="n">
        <v>0</v>
      </c>
      <c r="AH228" s="0" t="s">
        <v>2536</v>
      </c>
      <c r="AI228" s="0" t="s">
        <v>728</v>
      </c>
      <c r="AJ228" s="0" t="s">
        <v>2112</v>
      </c>
      <c r="AL228" s="0" t="s">
        <v>2537</v>
      </c>
      <c r="AM228" s="0" t="n">
        <v>1</v>
      </c>
      <c r="AN228" s="0" t="s">
        <v>2536</v>
      </c>
      <c r="AO228" s="0" t="s">
        <v>728</v>
      </c>
      <c r="AP228" s="0" t="s">
        <v>2112</v>
      </c>
      <c r="AR228" s="0" t="s">
        <v>2538</v>
      </c>
      <c r="AS228" s="0" t="n">
        <v>1</v>
      </c>
      <c r="AT228" s="0" t="s">
        <v>2536</v>
      </c>
      <c r="AU228" s="0" t="s">
        <v>728</v>
      </c>
      <c r="AV228" s="0" t="s">
        <v>2112</v>
      </c>
      <c r="AX228" s="0" t="s">
        <v>2539</v>
      </c>
      <c r="AY228" s="0" t="n">
        <v>1</v>
      </c>
      <c r="AZ228" s="0" t="s">
        <v>2536</v>
      </c>
      <c r="BA228" s="0" t="s">
        <v>728</v>
      </c>
      <c r="BB228" s="0" t="s">
        <v>2112</v>
      </c>
      <c r="BD228" s="0" t="s">
        <v>2540</v>
      </c>
      <c r="BE228" s="0" t="n">
        <v>1</v>
      </c>
      <c r="BF228" s="0" t="s">
        <v>2536</v>
      </c>
      <c r="BG228" s="0" t="s">
        <v>728</v>
      </c>
      <c r="BH228" s="0" t="s">
        <v>2112</v>
      </c>
      <c r="BJ228" s="0" t="s">
        <v>2541</v>
      </c>
      <c r="BL228" s="0" t="s">
        <v>2536</v>
      </c>
      <c r="BM228" s="0" t="s">
        <v>728</v>
      </c>
      <c r="BN228" s="0" t="s">
        <v>2112</v>
      </c>
      <c r="BP228" s="0" t="n">
        <v>0</v>
      </c>
      <c r="BQ228" s="0" t="n">
        <v>0</v>
      </c>
      <c r="BR228" s="0" t="n">
        <v>1</v>
      </c>
      <c r="BS228" s="0" t="s">
        <v>2542</v>
      </c>
      <c r="BT228" s="0" t="s">
        <v>2543</v>
      </c>
      <c r="BU228" s="0" t="s">
        <v>2544</v>
      </c>
      <c r="BV228" s="123"/>
      <c r="BW228" s="123"/>
      <c r="BX228" s="123"/>
      <c r="BY228" s="123"/>
      <c r="BZ228" s="0" t="n">
        <v>0</v>
      </c>
      <c r="CA228" s="0" t="s">
        <v>2545</v>
      </c>
      <c r="CD228" s="0" t="s">
        <v>2546</v>
      </c>
      <c r="CE228" s="0" t="n">
        <v>0</v>
      </c>
      <c r="CF228" s="0" t="s">
        <v>2547</v>
      </c>
      <c r="CI228" s="1" t="n">
        <v>40253</v>
      </c>
      <c r="CJ228" s="1" t="n">
        <v>40589</v>
      </c>
      <c r="CK228" s="124" t="n">
        <v>0.75</v>
      </c>
      <c r="CL228" s="0" t="s">
        <v>2539</v>
      </c>
      <c r="CM228" s="0" t="n">
        <f aca="false">IF(OR(CI228="",CJ228=""),"",DAYS360(CI228,CJ228)/360)</f>
        <v>0.913888888888889</v>
      </c>
      <c r="CN228" s="0" t="n">
        <f aca="false">IF(OR(CI228="",CJ228=""),"",DAYS360(CI228,CJ228)/30)</f>
        <v>10.9666666666667</v>
      </c>
      <c r="CO228" s="0" t="n">
        <f aca="false">IF(OR(CI228="",CJ228=""),"",DAYS360(CI228,CJ228)/7)</f>
        <v>47</v>
      </c>
      <c r="CP228" s="0" t="n">
        <f aca="false">IF(OR(CI228="",CJ228=""),"",DAYS360(CI228,CJ228))</f>
        <v>329</v>
      </c>
      <c r="CQ228" s="0" t="s">
        <v>2021</v>
      </c>
      <c r="CR228" s="0" t="n">
        <v>1</v>
      </c>
      <c r="CT228" s="0" t="n">
        <v>683.06</v>
      </c>
      <c r="CU228" s="0" t="n">
        <v>0</v>
      </c>
      <c r="CV228" s="0" t="n">
        <f aca="false">IF(OR(CT228="",CT228="NO ESPECIFICA",CT228="NO MENCIONA"),"",IF(CU228=0,CT228,IF(CU228=1,CT228/30,IF(CU228=2,CT228/15,IF(CU228=3,CT228/7,"")))))</f>
        <v>683.06</v>
      </c>
      <c r="CW228" s="125" t="n">
        <v>870.37</v>
      </c>
      <c r="CX228" s="0" t="n">
        <v>0</v>
      </c>
      <c r="CY228" s="0" t="n">
        <f aca="false">IF(CW228="","",IF(CX228=0,CW228,IF(CX228=1,CW228/30,IF(CX228=2,CW228/15,IF(CX228=3,CW228/7,CW228)))))</f>
        <v>870.37</v>
      </c>
      <c r="CZ228" s="0" t="n">
        <f aca="false">IF(DI228&gt;0,DI228,IF(CY228&gt;0,CY228,IF(CV228&gt;0,CV228,"")))</f>
        <v>870.37</v>
      </c>
      <c r="DA228" s="0" t="n">
        <f aca="false">IF(DM228=1,CZ228/8,IF(OR(DM228=2,DM228=4),CZ228/7,IF(DM228=3,CZ228/7.5,"")))</f>
        <v>108.79625</v>
      </c>
      <c r="DB228" s="0" t="s">
        <v>1935</v>
      </c>
      <c r="DC228" s="0" t="s">
        <v>301</v>
      </c>
      <c r="DD228" s="0" t="s">
        <v>299</v>
      </c>
      <c r="DE228" s="0" t="s">
        <v>2548</v>
      </c>
      <c r="DF228" s="0" t="s">
        <v>216</v>
      </c>
      <c r="DG228" s="0" t="s">
        <v>216</v>
      </c>
      <c r="DH228" s="0" t="n">
        <v>0</v>
      </c>
      <c r="DI228" s="126" t="n">
        <v>870.37</v>
      </c>
      <c r="DK228" s="0" t="n">
        <v>1</v>
      </c>
      <c r="DM228" s="0" t="n">
        <v>1</v>
      </c>
      <c r="DN228" s="0" t="n">
        <v>50</v>
      </c>
      <c r="DO228" s="0" t="n">
        <v>3</v>
      </c>
      <c r="DP228" s="0" t="n">
        <v>1</v>
      </c>
      <c r="DQ228" s="0" t="n">
        <v>0</v>
      </c>
      <c r="DR228" s="0"/>
      <c r="DS228" s="0" t="n">
        <v>1</v>
      </c>
      <c r="DU228" s="0" t="n">
        <v>0</v>
      </c>
      <c r="DW228" s="1" t="n">
        <v>40253</v>
      </c>
      <c r="DX228" s="1" t="n">
        <v>40589</v>
      </c>
      <c r="DZ228" s="0"/>
      <c r="EA228" s="0" t="n">
        <v>1</v>
      </c>
      <c r="EC228" s="1" t="n">
        <v>40253</v>
      </c>
      <c r="ED228" s="1" t="n">
        <v>40589</v>
      </c>
      <c r="EF228" s="0"/>
      <c r="EG228" s="0" t="n">
        <v>1</v>
      </c>
      <c r="EH228" s="0" t="n">
        <v>10</v>
      </c>
      <c r="EI228" s="0" t="n">
        <f aca="false">IF(AND(DM228=1,DN228&lt;=48),"",IF(AND(DM228=2,DN228&lt;=42),"",IF(AND(DM228=3,DN228&lt;=45),"",EH228)))</f>
        <v>10</v>
      </c>
      <c r="EJ228" s="0" t="n">
        <f aca="false">IF(EI228="","",IF(EI228&lt;9,EI228,9))</f>
        <v>9</v>
      </c>
      <c r="EK228" s="0" t="n">
        <f aca="false">IF(EI228="","",IF(EI228&gt;9,EI228-EJ228,0))</f>
        <v>1</v>
      </c>
      <c r="EL228" s="0" t="n">
        <f aca="false">IF(EI228="","",EJ228*DA228*2+EK228*DA228*3)</f>
        <v>2284.72125</v>
      </c>
      <c r="EP228" s="0" t="n">
        <v>0</v>
      </c>
      <c r="EQ228" s="0"/>
      <c r="ER228" s="0" t="n">
        <v>0</v>
      </c>
      <c r="ET228" s="0" t="n">
        <v>0</v>
      </c>
      <c r="EV228" s="0" t="n">
        <v>0</v>
      </c>
      <c r="EX228" s="0" t="n">
        <v>1</v>
      </c>
      <c r="EY228" s="0" t="n">
        <v>0</v>
      </c>
      <c r="EZ228" s="0"/>
      <c r="FA228" s="4" t="n">
        <f aca="false">3*870.37</f>
        <v>2611.11</v>
      </c>
      <c r="FB228" s="0" t="n">
        <v>0</v>
      </c>
      <c r="FF228" s="120" t="n">
        <f aca="false">(CJ228-CI228+1)/365</f>
        <v>0.923287671232877</v>
      </c>
      <c r="FG228" s="0" t="str">
        <f aca="false">CONCATENATE(F228,"/",G228)</f>
        <v>704/2011</v>
      </c>
      <c r="FH228" s="0" t="n">
        <v>0</v>
      </c>
      <c r="FI228" s="0" t="n">
        <v>0</v>
      </c>
    </row>
    <row r="229" customFormat="false" ht="15" hidden="false" customHeight="false" outlineLevel="0" collapsed="false">
      <c r="A229" s="5" t="str">
        <f aca="false">E229&amp;G229&amp;F229</f>
        <v>72011705</v>
      </c>
      <c r="B229" s="0" t="s">
        <v>2392</v>
      </c>
      <c r="C229" s="1" t="n">
        <v>42410</v>
      </c>
      <c r="D229" s="0" t="s">
        <v>2549</v>
      </c>
      <c r="E229" s="0" t="n">
        <v>7</v>
      </c>
      <c r="F229" s="0" t="n">
        <v>705</v>
      </c>
      <c r="G229" s="0" t="n">
        <v>2011</v>
      </c>
      <c r="H229" s="0" t="str">
        <f aca="false">"J"&amp;E229&amp;"\"&amp;F229&amp;"\"&amp;G229&amp;"\"&amp;W229</f>
        <v>J7\705\2011\1</v>
      </c>
      <c r="I229" s="0"/>
      <c r="J229" s="1" t="n">
        <v>40651</v>
      </c>
      <c r="K229" s="0" t="n">
        <v>0</v>
      </c>
      <c r="M229" s="1" t="n">
        <v>40651</v>
      </c>
      <c r="N229" s="1" t="n">
        <v>40773</v>
      </c>
      <c r="O229" s="1"/>
      <c r="P229" s="1"/>
      <c r="Q229" s="1"/>
      <c r="T229" s="121"/>
      <c r="U229" s="121"/>
      <c r="V229" s="122" t="n">
        <f aca="false">IF(AND(E229&gt;0,F229&gt;0,G229&gt;0),COUNTIFS($E:$E,E229,$F:$F,F229,$G:$G,G229),"")</f>
        <v>1</v>
      </c>
      <c r="W229" s="122" t="n">
        <f aca="false">IF(V229="","",IF(V229=1,1,IF(AND(E228=E229,F228=F229,G228=G229),W228+1,1)))</f>
        <v>1</v>
      </c>
      <c r="X229" s="0" t="n">
        <v>1</v>
      </c>
      <c r="BV229" s="123"/>
      <c r="BW229" s="123"/>
      <c r="BX229" s="123"/>
      <c r="BY229" s="123"/>
      <c r="CI229" s="0"/>
      <c r="CJ229" s="0"/>
      <c r="CK229" s="124"/>
      <c r="CM229" s="0" t="str">
        <f aca="false">IF(OR(CI229="",CJ229=""),"",DAYS360(CI229,CJ229)/360)</f>
        <v/>
      </c>
      <c r="CN229" s="0" t="str">
        <f aca="false">IF(OR(CI229="",CJ229=""),"",DAYS360(CI229,CJ229)/30)</f>
        <v/>
      </c>
      <c r="CO229" s="0" t="str">
        <f aca="false">IF(OR(CI229="",CJ229=""),"",DAYS360(CI229,CJ229)/7)</f>
        <v/>
      </c>
      <c r="CP229" s="0" t="str">
        <f aca="false">IF(OR(CI229="",CJ229=""),"",DAYS360(CI229,CJ229))</f>
        <v/>
      </c>
      <c r="CT229" s="0"/>
      <c r="CV229" s="0" t="str">
        <f aca="false">IF(OR(CT229="",CT229="NO ESPECIFICA",CT229="NO MENCIONA"),"",IF(CU229=0,CT229,IF(CU229=1,CT229/30,IF(CU229=2,CT229/15,IF(CU229=3,CT229/7,"")))))</f>
        <v/>
      </c>
      <c r="CW229" s="0"/>
      <c r="CY229" s="0" t="str">
        <f aca="false">IF(CW229="","",IF(CX229=0,CW229,IF(CX229=1,CW229/30,IF(CX229=2,CW229/15,IF(CX229=3,CW229/7,CW229)))))</f>
        <v/>
      </c>
      <c r="CZ229" s="0" t="str">
        <f aca="false">IF(DI229&gt;0,DI229,IF(CY229&gt;0,CY229,IF(CV229&gt;0,CV229,"")))</f>
        <v/>
      </c>
      <c r="DA229" s="0" t="str">
        <f aca="false">IF(DM229=1,CZ229/8,IF(OR(DM229=2,DM229=4),CZ229/7,IF(DM229=3,CZ229/7.5,"")))</f>
        <v/>
      </c>
      <c r="DI229" s="0"/>
      <c r="DR229" s="0"/>
      <c r="DW229" s="0"/>
      <c r="DX229" s="0"/>
      <c r="DZ229" s="0"/>
      <c r="EC229" s="0"/>
      <c r="ED229" s="0"/>
      <c r="EF229" s="0"/>
      <c r="EI229" s="0" t="n">
        <f aca="false">IF(AND(DM229=1,DN229&lt;=48),"",IF(AND(DM229=2,DN229&lt;=42),"",IF(AND(DM229=3,DN229&lt;=45),"",EH229)))</f>
        <v>0</v>
      </c>
      <c r="EJ229" s="0" t="str">
        <f aca="false">IF(EI229="","",IF(EI229&lt;9,EI229,9))</f>
        <v/>
      </c>
      <c r="EK229" s="0" t="str">
        <f aca="false">IF(EI229="","",IF(EI229&gt;9,EI229-EJ229,0))</f>
        <v/>
      </c>
      <c r="EL229" s="0" t="str">
        <f aca="false">IF(EI229="","",EJ229*DA229*2+EK229*DA229*3)</f>
        <v/>
      </c>
      <c r="EQ229" s="0"/>
      <c r="EZ229" s="0"/>
      <c r="FA229" s="0"/>
      <c r="FF229" s="120" t="n">
        <f aca="false">(CJ229-CI229+1)/365</f>
        <v>0.00273972602739726</v>
      </c>
      <c r="FG229" s="0" t="str">
        <f aca="false">CONCATENATE(F229,"/",G229)</f>
        <v>705/2011</v>
      </c>
      <c r="FH229" s="0" t="n">
        <v>0</v>
      </c>
      <c r="FI229" s="0" t="n">
        <v>0</v>
      </c>
    </row>
    <row r="230" customFormat="false" ht="15" hidden="false" customHeight="false" outlineLevel="0" collapsed="false">
      <c r="A230" s="5" t="str">
        <f aca="false">E230&amp;G230&amp;F230</f>
        <v>72011708</v>
      </c>
      <c r="B230" s="0" t="s">
        <v>2392</v>
      </c>
      <c r="C230" s="1" t="n">
        <v>42410</v>
      </c>
      <c r="E230" s="0" t="n">
        <v>7</v>
      </c>
      <c r="F230" s="0" t="n">
        <v>708</v>
      </c>
      <c r="G230" s="0" t="n">
        <v>2011</v>
      </c>
      <c r="H230" s="0" t="str">
        <f aca="false">"J"&amp;E230&amp;"\"&amp;F230&amp;"\"&amp;G230&amp;"\"&amp;W230</f>
        <v>J7\708\2011\1</v>
      </c>
      <c r="I230" s="0"/>
      <c r="J230" s="1" t="n">
        <v>40651</v>
      </c>
      <c r="K230" s="0" t="n">
        <v>1</v>
      </c>
      <c r="L230" s="0" t="s">
        <v>528</v>
      </c>
      <c r="M230" s="1" t="n">
        <v>40651</v>
      </c>
      <c r="N230" s="1" t="n">
        <v>40773</v>
      </c>
      <c r="O230" s="1"/>
      <c r="P230" s="1"/>
      <c r="Q230" s="1"/>
      <c r="T230" s="121"/>
      <c r="U230" s="121"/>
      <c r="V230" s="122" t="n">
        <f aca="false">IF(AND(E230&gt;0,F230&gt;0,G230&gt;0),COUNTIFS($E:$E,E230,$F:$F,F230,$G:$G,G230),"")</f>
        <v>1</v>
      </c>
      <c r="W230" s="122" t="n">
        <f aca="false">IF(V230="","",IF(V230=1,1,IF(AND(E229=E230,F229=F230,G229=G230),W229+1,1)))</f>
        <v>1</v>
      </c>
      <c r="X230" s="0" t="n">
        <v>1</v>
      </c>
      <c r="Y230" s="0" t="n">
        <v>5</v>
      </c>
      <c r="Z230" s="0" t="s">
        <v>2550</v>
      </c>
      <c r="AA230" s="0" t="n">
        <v>0</v>
      </c>
      <c r="AB230" s="0" t="s">
        <v>2551</v>
      </c>
      <c r="AD230" s="0" t="s">
        <v>411</v>
      </c>
      <c r="AE230" s="0" t="n">
        <v>0</v>
      </c>
      <c r="AF230" s="0" t="s">
        <v>2552</v>
      </c>
      <c r="AG230" s="0" t="n">
        <v>0</v>
      </c>
      <c r="AH230" s="0" t="s">
        <v>2553</v>
      </c>
      <c r="AI230" s="0" t="s">
        <v>2554</v>
      </c>
      <c r="AL230" s="0" t="s">
        <v>2555</v>
      </c>
      <c r="AM230" s="0" t="n">
        <v>1</v>
      </c>
      <c r="AN230" s="0" t="s">
        <v>2553</v>
      </c>
      <c r="AO230" s="0" t="s">
        <v>2554</v>
      </c>
      <c r="AR230" s="0" t="s">
        <v>2556</v>
      </c>
      <c r="AS230" s="0" t="n">
        <v>1</v>
      </c>
      <c r="AT230" s="0" t="s">
        <v>2553</v>
      </c>
      <c r="AU230" s="0" t="s">
        <v>2554</v>
      </c>
      <c r="AX230" s="0" t="s">
        <v>2557</v>
      </c>
      <c r="AY230" s="0" t="n">
        <v>1</v>
      </c>
      <c r="AZ230" s="0" t="s">
        <v>2553</v>
      </c>
      <c r="BA230" s="0" t="s">
        <v>2554</v>
      </c>
      <c r="BD230" s="0" t="s">
        <v>1931</v>
      </c>
      <c r="BE230" s="0" t="n">
        <v>1</v>
      </c>
      <c r="BF230" s="0" t="s">
        <v>2553</v>
      </c>
      <c r="BG230" s="0" t="s">
        <v>2554</v>
      </c>
      <c r="BP230" s="0" t="n">
        <v>0</v>
      </c>
      <c r="BQ230" s="0" t="n">
        <v>0</v>
      </c>
      <c r="BR230" s="0" t="n">
        <v>1</v>
      </c>
      <c r="BS230" s="0" t="s">
        <v>2558</v>
      </c>
      <c r="BT230" s="0" t="s">
        <v>2559</v>
      </c>
      <c r="BU230" s="0" t="s">
        <v>2560</v>
      </c>
      <c r="BV230" s="123"/>
      <c r="BW230" s="123"/>
      <c r="BX230" s="123"/>
      <c r="BY230" s="123"/>
      <c r="BZ230" s="0" t="n">
        <v>0</v>
      </c>
      <c r="CA230" s="0" t="s">
        <v>1895</v>
      </c>
      <c r="CD230" s="0" t="s">
        <v>1919</v>
      </c>
      <c r="CE230" s="0" t="n">
        <v>0</v>
      </c>
      <c r="CF230" s="0" t="s">
        <v>2561</v>
      </c>
      <c r="CI230" s="1" t="n">
        <v>33735</v>
      </c>
      <c r="CJ230" s="1" t="n">
        <v>40596</v>
      </c>
      <c r="CK230" s="124" t="n">
        <v>0.291666666666667</v>
      </c>
      <c r="CL230" s="0" t="s">
        <v>2557</v>
      </c>
      <c r="CM230" s="0" t="n">
        <f aca="false">IF(OR(CI230="",CJ230=""),"",DAYS360(CI230,CJ230)/360)</f>
        <v>18.7805555555556</v>
      </c>
      <c r="CN230" s="0" t="n">
        <f aca="false">IF(OR(CI230="",CJ230=""),"",DAYS360(CI230,CJ230)/30)</f>
        <v>225.366666666667</v>
      </c>
      <c r="CO230" s="0" t="n">
        <f aca="false">IF(OR(CI230="",CJ230=""),"",DAYS360(CI230,CJ230)/7)</f>
        <v>965.857142857143</v>
      </c>
      <c r="CP230" s="0" t="n">
        <f aca="false">IF(OR(CI230="",CJ230=""),"",DAYS360(CI230,CJ230))</f>
        <v>6761</v>
      </c>
      <c r="CQ230" s="0" t="s">
        <v>240</v>
      </c>
      <c r="CR230" s="0" t="n">
        <v>1</v>
      </c>
      <c r="CT230" s="0" t="n">
        <v>1800</v>
      </c>
      <c r="CU230" s="0" t="n">
        <v>3</v>
      </c>
      <c r="CV230" s="0" t="n">
        <f aca="false">IF(OR(CT230="",CT230="NO ESPECIFICA",CT230="NO MENCIONA"),"",IF(CU230=0,CT230,IF(CU230=1,CT230/30,IF(CU230=2,CT230/15,IF(CU230=3,CT230/7,"")))))</f>
        <v>257.142857142857</v>
      </c>
      <c r="CW230" s="125" t="s">
        <v>1895</v>
      </c>
      <c r="CX230" s="0" t="s">
        <v>216</v>
      </c>
      <c r="CY230" s="0" t="str">
        <f aca="false">IF(CW230="","",IF(CX230=0,CW230,IF(CX230=1,CW230/30,IF(CX230=2,CW230/15,IF(CX230=3,CW230/7,CW230)))))</f>
        <v>NO MENCIONA </v>
      </c>
      <c r="CZ230" s="0" t="n">
        <f aca="false">IF(DI230&gt;0,DI230,IF(CY230&gt;0,CY230,IF(CV230&gt;0,CV230,"")))</f>
        <v>257.14</v>
      </c>
      <c r="DA230" s="0" t="str">
        <f aca="false">IF(DM230=1,CZ230/8,IF(OR(DM230=2,DM230=4),CZ230/7,IF(DM230=3,CZ230/7.5,"")))</f>
        <v/>
      </c>
      <c r="DB230" s="0" t="s">
        <v>216</v>
      </c>
      <c r="DC230" s="0" t="s">
        <v>216</v>
      </c>
      <c r="DD230" s="0" t="s">
        <v>216</v>
      </c>
      <c r="DE230" s="0" t="s">
        <v>216</v>
      </c>
      <c r="DF230" s="0" t="s">
        <v>216</v>
      </c>
      <c r="DG230" s="0" t="s">
        <v>216</v>
      </c>
      <c r="DH230" s="0" t="n">
        <v>0</v>
      </c>
      <c r="DI230" s="126" t="n">
        <v>257.14</v>
      </c>
      <c r="DK230" s="0" t="n">
        <v>0</v>
      </c>
      <c r="DM230" s="0" t="s">
        <v>1899</v>
      </c>
      <c r="DN230" s="0" t="s">
        <v>221</v>
      </c>
      <c r="DO230" s="0" t="s">
        <v>221</v>
      </c>
      <c r="DP230" s="0" t="n">
        <v>0</v>
      </c>
      <c r="DQ230" s="0" t="n">
        <v>1</v>
      </c>
      <c r="DR230" s="0"/>
      <c r="DS230" s="0" t="n">
        <v>1</v>
      </c>
      <c r="DU230" s="0" t="n">
        <v>1</v>
      </c>
      <c r="DW230" s="1" t="n">
        <v>33735</v>
      </c>
      <c r="DX230" s="1" t="n">
        <v>40596</v>
      </c>
      <c r="DZ230" s="0"/>
      <c r="EA230" s="0" t="n">
        <v>1</v>
      </c>
      <c r="EC230" s="1" t="n">
        <v>33735</v>
      </c>
      <c r="ED230" s="1" t="n">
        <v>40596</v>
      </c>
      <c r="EF230" s="0"/>
      <c r="EG230" s="0" t="n">
        <v>0</v>
      </c>
      <c r="EI230" s="0" t="n">
        <f aca="false">IF(AND(DM230=1,DN230&lt;=48),"",IF(AND(DM230=2,DN230&lt;=42),"",IF(AND(DM230=3,DN230&lt;=45),"",EH230)))</f>
        <v>0</v>
      </c>
      <c r="EJ230" s="0" t="str">
        <f aca="false">IF(EI230="","",IF(EI230&lt;9,EI230,9))</f>
        <v/>
      </c>
      <c r="EK230" s="0" t="str">
        <f aca="false">IF(EI230="","",IF(EI230&gt;9,EI230-EJ230,0))</f>
        <v/>
      </c>
      <c r="EL230" s="0" t="str">
        <f aca="false">IF(EI230="","",EJ230*DA230*2+EK230*DA230*3)</f>
        <v/>
      </c>
      <c r="EP230" s="0" t="n">
        <v>1</v>
      </c>
      <c r="EQ230" s="0"/>
      <c r="ER230" s="0" t="n">
        <v>0</v>
      </c>
      <c r="ET230" s="0" t="n">
        <v>0</v>
      </c>
      <c r="EV230" s="0" t="n">
        <v>0</v>
      </c>
      <c r="EX230" s="0" t="n">
        <v>1</v>
      </c>
      <c r="EY230" s="0" t="n">
        <v>1</v>
      </c>
      <c r="EZ230" s="0"/>
      <c r="FA230" s="0"/>
      <c r="FB230" s="0" t="n">
        <v>0</v>
      </c>
      <c r="FF230" s="120" t="n">
        <f aca="false">(CJ230-CI230+1)/365</f>
        <v>18.8</v>
      </c>
      <c r="FG230" s="0" t="str">
        <f aca="false">CONCATENATE(F230,"/",G230)</f>
        <v>708/2011</v>
      </c>
      <c r="FH230" s="0" t="n">
        <v>0</v>
      </c>
      <c r="FI230" s="0" t="n">
        <v>0</v>
      </c>
    </row>
    <row r="231" customFormat="false" ht="15" hidden="false" customHeight="false" outlineLevel="0" collapsed="false">
      <c r="A231" s="5" t="str">
        <f aca="false">E231&amp;G231&amp;F231</f>
        <v>72011714</v>
      </c>
      <c r="B231" s="0" t="s">
        <v>2392</v>
      </c>
      <c r="C231" s="1" t="n">
        <v>42410</v>
      </c>
      <c r="E231" s="0" t="n">
        <v>7</v>
      </c>
      <c r="F231" s="0" t="n">
        <v>714</v>
      </c>
      <c r="G231" s="0" t="n">
        <v>2011</v>
      </c>
      <c r="H231" s="0" t="str">
        <f aca="false">"J"&amp;E231&amp;"\"&amp;F231&amp;"\"&amp;G231&amp;"\"&amp;W231</f>
        <v>J7\714\2011\1</v>
      </c>
      <c r="I231" s="0"/>
      <c r="J231" s="1" t="n">
        <v>40651</v>
      </c>
      <c r="K231" s="0" t="n">
        <v>0</v>
      </c>
      <c r="M231" s="1" t="n">
        <v>40651</v>
      </c>
      <c r="N231" s="1" t="n">
        <v>40777</v>
      </c>
      <c r="O231" s="1"/>
      <c r="P231" s="1"/>
      <c r="Q231" s="1"/>
      <c r="T231" s="121"/>
      <c r="U231" s="121"/>
      <c r="V231" s="122" t="n">
        <f aca="false">IF(AND(E231&gt;0,F231&gt;0,G231&gt;0),COUNTIFS($E:$E,E231,$F:$F,F231,$G:$G,G231),"")</f>
        <v>1</v>
      </c>
      <c r="W231" s="122" t="n">
        <f aca="false">IF(V231="","",IF(V231=1,1,IF(AND(E230=E231,F230=F231,G230=G231),W230+1,1)))</f>
        <v>1</v>
      </c>
      <c r="X231" s="0" t="n">
        <v>1</v>
      </c>
      <c r="Y231" s="0" t="n">
        <v>3</v>
      </c>
      <c r="Z231" s="0" t="s">
        <v>2562</v>
      </c>
      <c r="AA231" s="0" t="n">
        <v>0</v>
      </c>
      <c r="AB231" s="0" t="s">
        <v>2563</v>
      </c>
      <c r="AC231" s="0" t="s">
        <v>2564</v>
      </c>
      <c r="AD231" s="0" t="s">
        <v>485</v>
      </c>
      <c r="AE231" s="0" t="n">
        <v>0</v>
      </c>
      <c r="AF231" s="0" t="s">
        <v>2565</v>
      </c>
      <c r="AG231" s="0" t="n">
        <v>0</v>
      </c>
      <c r="AH231" s="0" t="s">
        <v>2566</v>
      </c>
      <c r="AI231" s="0" t="s">
        <v>2567</v>
      </c>
      <c r="AJ231" s="0" t="s">
        <v>755</v>
      </c>
      <c r="AL231" s="0" t="s">
        <v>2568</v>
      </c>
      <c r="AM231" s="0" t="n">
        <v>1</v>
      </c>
      <c r="AN231" s="0" t="s">
        <v>2566</v>
      </c>
      <c r="AO231" s="0" t="s">
        <v>2567</v>
      </c>
      <c r="AP231" s="0" t="s">
        <v>755</v>
      </c>
      <c r="AR231" s="0" t="s">
        <v>1931</v>
      </c>
      <c r="AS231" s="0" t="n">
        <v>1</v>
      </c>
      <c r="AT231" s="0" t="s">
        <v>2566</v>
      </c>
      <c r="AU231" s="0" t="s">
        <v>2567</v>
      </c>
      <c r="AV231" s="0" t="s">
        <v>755</v>
      </c>
      <c r="BP231" s="0" t="n">
        <v>0</v>
      </c>
      <c r="BQ231" s="0" t="n">
        <v>0</v>
      </c>
      <c r="BR231" s="0" t="n">
        <v>1</v>
      </c>
      <c r="BS231" s="0" t="s">
        <v>2569</v>
      </c>
      <c r="BT231" s="0" t="s">
        <v>2570</v>
      </c>
      <c r="BU231" s="0" t="s">
        <v>2571</v>
      </c>
      <c r="BV231" s="123"/>
      <c r="BW231" s="123"/>
      <c r="BX231" s="123"/>
      <c r="BY231" s="123"/>
      <c r="BZ231" s="0" t="n">
        <v>0</v>
      </c>
      <c r="CA231" s="0" t="s">
        <v>1895</v>
      </c>
      <c r="CD231" s="0" t="s">
        <v>2572</v>
      </c>
      <c r="CE231" s="0" t="n">
        <v>0</v>
      </c>
      <c r="CF231" s="0" t="s">
        <v>2573</v>
      </c>
      <c r="CI231" s="1" t="n">
        <v>39217</v>
      </c>
      <c r="CJ231" s="1" t="n">
        <v>40633</v>
      </c>
      <c r="CK231" s="124" t="s">
        <v>221</v>
      </c>
      <c r="CL231" s="0" t="s">
        <v>221</v>
      </c>
      <c r="CM231" s="0" t="n">
        <f aca="false">IF(OR(CI231="",CJ231=""),"",DAYS360(CI231,CJ231)/360)</f>
        <v>3.87777777777778</v>
      </c>
      <c r="CN231" s="0" t="n">
        <f aca="false">IF(OR(CI231="",CJ231=""),"",DAYS360(CI231,CJ231)/30)</f>
        <v>46.5333333333333</v>
      </c>
      <c r="CO231" s="0" t="n">
        <f aca="false">IF(OR(CI231="",CJ231=""),"",DAYS360(CI231,CJ231)/7)</f>
        <v>199.428571428571</v>
      </c>
      <c r="CP231" s="0" t="n">
        <f aca="false">IF(OR(CI231="",CJ231=""),"",DAYS360(CI231,CJ231))</f>
        <v>1396</v>
      </c>
      <c r="CQ231" s="0" t="s">
        <v>2574</v>
      </c>
      <c r="CR231" s="0" t="n">
        <v>5</v>
      </c>
      <c r="CS231" s="0" t="s">
        <v>2575</v>
      </c>
      <c r="CT231" s="0" t="s">
        <v>221</v>
      </c>
      <c r="CU231" s="0" t="s">
        <v>221</v>
      </c>
      <c r="CV231" s="0" t="str">
        <f aca="false">IF(OR(CT231="",CT231="NO ESPECIFICA",CT231="NO MENCIONA"),"",IF(CU231=0,CT231,IF(CU231=1,CT231/30,IF(CU231=2,CT231/15,IF(CU231=3,CT231/7,"")))))</f>
        <v/>
      </c>
      <c r="CW231" s="125" t="n">
        <v>13500</v>
      </c>
      <c r="CX231" s="0" t="n">
        <v>1</v>
      </c>
      <c r="CY231" s="0" t="n">
        <f aca="false">IF(CW231="","",IF(CX231=0,CW231,IF(CX231=1,CW231/30,IF(CX231=2,CW231/15,IF(CX231=3,CW231/7,CW231)))))</f>
        <v>450</v>
      </c>
      <c r="CZ231" s="0" t="n">
        <f aca="false">IF(DI231&gt;0,DI231,IF(CY231&gt;0,CY231,IF(CV231&gt;0,CV231,"")))</f>
        <v>450</v>
      </c>
      <c r="DA231" s="0" t="n">
        <f aca="false">IF(DM231=1,CZ231/8,IF(OR(DM231=2,DM231=4),CZ231/7,IF(DM231=3,CZ231/7.5,"")))</f>
        <v>56.25</v>
      </c>
      <c r="DB231" s="0" t="s">
        <v>216</v>
      </c>
      <c r="DC231" s="0" t="s">
        <v>216</v>
      </c>
      <c r="DD231" s="0" t="s">
        <v>216</v>
      </c>
      <c r="DE231" s="0" t="s">
        <v>216</v>
      </c>
      <c r="DF231" s="0" t="s">
        <v>216</v>
      </c>
      <c r="DG231" s="0" t="s">
        <v>216</v>
      </c>
      <c r="DH231" s="0" t="n">
        <v>0</v>
      </c>
      <c r="DI231" s="126" t="n">
        <v>450</v>
      </c>
      <c r="DK231" s="0" t="n">
        <v>0</v>
      </c>
      <c r="DM231" s="0" t="n">
        <v>1</v>
      </c>
      <c r="DN231" s="0" t="n">
        <v>50</v>
      </c>
      <c r="DO231" s="0" t="n">
        <v>3</v>
      </c>
      <c r="DP231" s="0" t="n">
        <v>0</v>
      </c>
      <c r="DQ231" s="0" t="n">
        <v>1</v>
      </c>
      <c r="DR231" s="0"/>
      <c r="DS231" s="0" t="n">
        <v>1</v>
      </c>
      <c r="DU231" s="0" t="n">
        <v>0</v>
      </c>
      <c r="DW231" s="1" t="n">
        <v>40299</v>
      </c>
      <c r="DX231" s="1" t="n">
        <v>40633</v>
      </c>
      <c r="DZ231" s="0"/>
      <c r="EA231" s="0" t="n">
        <v>1</v>
      </c>
      <c r="EC231" s="1" t="n">
        <v>40299</v>
      </c>
      <c r="ED231" s="1" t="n">
        <v>40633</v>
      </c>
      <c r="EF231" s="0"/>
      <c r="EG231" s="0" t="n">
        <v>1</v>
      </c>
      <c r="EH231" s="0" t="n">
        <v>10</v>
      </c>
      <c r="EI231" s="0" t="n">
        <f aca="false">IF(AND(DM231=1,DN231&lt;=48),"",IF(AND(DM231=2,DN231&lt;=42),"",IF(AND(DM231=3,DN231&lt;=45),"",EH231)))</f>
        <v>10</v>
      </c>
      <c r="EJ231" s="0" t="n">
        <f aca="false">IF(EI231="","",IF(EI231&lt;9,EI231,9))</f>
        <v>9</v>
      </c>
      <c r="EK231" s="0" t="n">
        <f aca="false">IF(EI231="","",IF(EI231&gt;9,EI231-EJ231,0))</f>
        <v>1</v>
      </c>
      <c r="EL231" s="0" t="n">
        <f aca="false">IF(EI231="","",EJ231*DA231*2+EK231*DA231*3)</f>
        <v>1181.25</v>
      </c>
      <c r="EP231" s="0" t="n">
        <v>0</v>
      </c>
      <c r="EQ231" s="0"/>
      <c r="ER231" s="0" t="n">
        <v>0</v>
      </c>
      <c r="ET231" s="0" t="n">
        <v>0</v>
      </c>
      <c r="EV231" s="0" t="n">
        <v>0</v>
      </c>
      <c r="EX231" s="0" t="n">
        <v>0</v>
      </c>
      <c r="EY231" s="0" t="n">
        <v>1</v>
      </c>
      <c r="EZ231" s="0"/>
      <c r="FA231" s="4" t="n">
        <v>18000</v>
      </c>
      <c r="FB231" s="0" t="n">
        <v>0</v>
      </c>
      <c r="FF231" s="120" t="n">
        <f aca="false">(CJ231-CI231+1)/365</f>
        <v>3.88219178082192</v>
      </c>
      <c r="FG231" s="0" t="str">
        <f aca="false">CONCATENATE(F231,"/",G231)</f>
        <v>714/2011</v>
      </c>
      <c r="FH231" s="0" t="n">
        <v>0</v>
      </c>
      <c r="FI231" s="0" t="n">
        <v>0</v>
      </c>
    </row>
    <row r="232" customFormat="false" ht="15" hidden="false" customHeight="false" outlineLevel="0" collapsed="false">
      <c r="A232" s="5" t="str">
        <f aca="false">E232&amp;G232&amp;F232</f>
        <v>72011718</v>
      </c>
      <c r="B232" s="0" t="s">
        <v>2392</v>
      </c>
      <c r="C232" s="1" t="n">
        <v>42410</v>
      </c>
      <c r="D232" s="0" t="s">
        <v>2393</v>
      </c>
      <c r="E232" s="0" t="n">
        <v>7</v>
      </c>
      <c r="F232" s="0" t="n">
        <v>718</v>
      </c>
      <c r="G232" s="0" t="n">
        <v>2011</v>
      </c>
      <c r="H232" s="0" t="str">
        <f aca="false">"J"&amp;E232&amp;"\"&amp;F232&amp;"\"&amp;G232&amp;"\"&amp;W232</f>
        <v>J7\718\2011\1</v>
      </c>
      <c r="I232" s="0"/>
      <c r="J232" s="1" t="n">
        <v>40652</v>
      </c>
      <c r="K232" s="0" t="n">
        <v>0</v>
      </c>
      <c r="M232" s="1"/>
      <c r="N232" s="1"/>
      <c r="O232" s="1"/>
      <c r="P232" s="1"/>
      <c r="Q232" s="1"/>
      <c r="T232" s="121"/>
      <c r="U232" s="121"/>
      <c r="V232" s="122" t="n">
        <f aca="false">IF(AND(E232&gt;0,F232&gt;0,G232&gt;0),COUNTIFS($E:$E,E232,$F:$F,F232,$G:$G,G232),"")</f>
        <v>1</v>
      </c>
      <c r="W232" s="122" t="n">
        <f aca="false">IF(V232="","",IF(V232=1,1,IF(AND(E231=E232,F231=F232,G231=G232),W231+1,1)))</f>
        <v>1</v>
      </c>
      <c r="X232" s="0" t="n">
        <v>1</v>
      </c>
      <c r="Y232" s="0" t="n">
        <v>3</v>
      </c>
      <c r="Z232" s="0" t="s">
        <v>2576</v>
      </c>
      <c r="AA232" s="0" t="n">
        <v>0</v>
      </c>
      <c r="AB232" s="0" t="s">
        <v>2577</v>
      </c>
      <c r="AC232" s="0" t="s">
        <v>2578</v>
      </c>
      <c r="AD232" s="0" t="s">
        <v>2579</v>
      </c>
      <c r="AE232" s="0" t="n">
        <v>0</v>
      </c>
      <c r="AF232" s="0" t="s">
        <v>2580</v>
      </c>
      <c r="AG232" s="0" t="n">
        <v>0</v>
      </c>
      <c r="AH232" s="0" t="s">
        <v>2581</v>
      </c>
      <c r="AI232" s="0" t="s">
        <v>2582</v>
      </c>
      <c r="AJ232" s="0" t="s">
        <v>352</v>
      </c>
      <c r="AL232" s="0" t="s">
        <v>2583</v>
      </c>
      <c r="AM232" s="0" t="n">
        <v>0</v>
      </c>
      <c r="AN232" s="0" t="s">
        <v>2581</v>
      </c>
      <c r="AO232" s="0" t="s">
        <v>2582</v>
      </c>
      <c r="AP232" s="0" t="s">
        <v>352</v>
      </c>
      <c r="AR232" s="0" t="s">
        <v>1931</v>
      </c>
      <c r="AS232" s="0" t="n">
        <v>1</v>
      </c>
      <c r="AT232" s="0" t="s">
        <v>2581</v>
      </c>
      <c r="AU232" s="0" t="s">
        <v>2582</v>
      </c>
      <c r="AV232" s="0" t="s">
        <v>352</v>
      </c>
      <c r="BP232" s="0" t="n">
        <v>0</v>
      </c>
      <c r="BQ232" s="0" t="n">
        <v>0</v>
      </c>
      <c r="BR232" s="0" t="n">
        <v>1</v>
      </c>
      <c r="BS232" s="0" t="s">
        <v>2584</v>
      </c>
      <c r="BT232" s="0" t="s">
        <v>2585</v>
      </c>
      <c r="BU232" s="0" t="s">
        <v>2586</v>
      </c>
      <c r="BV232" s="123"/>
      <c r="BW232" s="123"/>
      <c r="BX232" s="123"/>
      <c r="BY232" s="123"/>
      <c r="BZ232" s="0" t="n">
        <v>0</v>
      </c>
      <c r="CA232" s="0" t="s">
        <v>1895</v>
      </c>
      <c r="CD232" s="0" t="s">
        <v>2572</v>
      </c>
      <c r="CE232" s="0" t="n">
        <v>0</v>
      </c>
      <c r="CF232" s="0" t="s">
        <v>2587</v>
      </c>
      <c r="CI232" s="1" t="n">
        <v>40451</v>
      </c>
      <c r="CJ232" s="1" t="n">
        <v>40604</v>
      </c>
      <c r="CK232" s="124" t="n">
        <v>0.5625</v>
      </c>
      <c r="CL232" s="0" t="s">
        <v>2588</v>
      </c>
      <c r="CM232" s="0" t="n">
        <f aca="false">IF(OR(CI232="",CJ232=""),"",DAYS360(CI232,CJ232)/360)</f>
        <v>0.422222222222222</v>
      </c>
      <c r="CN232" s="0" t="n">
        <f aca="false">IF(OR(CI232="",CJ232=""),"",DAYS360(CI232,CJ232)/30)</f>
        <v>5.06666666666667</v>
      </c>
      <c r="CO232" s="0" t="n">
        <f aca="false">IF(OR(CI232="",CJ232=""),"",DAYS360(CI232,CJ232)/7)</f>
        <v>21.7142857142857</v>
      </c>
      <c r="CP232" s="0" t="n">
        <f aca="false">IF(OR(CI232="",CJ232=""),"",DAYS360(CI232,CJ232))</f>
        <v>152</v>
      </c>
      <c r="CQ232" s="0" t="s">
        <v>2021</v>
      </c>
      <c r="CR232" s="0" t="n">
        <v>1</v>
      </c>
      <c r="CT232" s="0" t="n">
        <v>6000</v>
      </c>
      <c r="CU232" s="0" t="n">
        <v>2</v>
      </c>
      <c r="CV232" s="0" t="n">
        <f aca="false">IF(OR(CT232="",CT232="NO ESPECIFICA",CT232="NO MENCIONA"),"",IF(CU232=0,CT232,IF(CU232=1,CT232/30,IF(CU232=2,CT232/15,IF(CU232=3,CT232/7,"")))))</f>
        <v>400</v>
      </c>
      <c r="CW232" s="125" t="s">
        <v>1895</v>
      </c>
      <c r="CX232" s="0" t="s">
        <v>216</v>
      </c>
      <c r="CY232" s="0" t="str">
        <f aca="false">IF(CW232="","",IF(CX232=0,CW232,IF(CX232=1,CW232/30,IF(CX232=2,CW232/15,IF(CX232=3,CW232/7,CW232)))))</f>
        <v>NO MENCIONA </v>
      </c>
      <c r="CZ232" s="0" t="n">
        <f aca="false">IF(DI232&gt;0,DI232,IF(CY232&gt;0,CY232,IF(CV232&gt;0,CV232,"")))</f>
        <v>400</v>
      </c>
      <c r="DA232" s="0" t="n">
        <f aca="false">IF(DM232=1,CZ232/8,IF(OR(DM232=2,DM232=4),CZ232/7,IF(DM232=3,CZ232/7.5,"")))</f>
        <v>50</v>
      </c>
      <c r="DB232" s="0" t="s">
        <v>216</v>
      </c>
      <c r="DC232" s="0" t="s">
        <v>216</v>
      </c>
      <c r="DD232" s="0" t="s">
        <v>216</v>
      </c>
      <c r="DE232" s="0" t="s">
        <v>216</v>
      </c>
      <c r="DF232" s="0" t="s">
        <v>216</v>
      </c>
      <c r="DG232" s="0" t="s">
        <v>216</v>
      </c>
      <c r="DH232" s="0" t="n">
        <v>0</v>
      </c>
      <c r="DI232" s="126" t="n">
        <v>400</v>
      </c>
      <c r="DK232" s="0" t="n">
        <v>1</v>
      </c>
      <c r="DM232" s="0" t="n">
        <v>1</v>
      </c>
      <c r="DN232" s="0" t="n">
        <f aca="false">(9.5*5)+5</f>
        <v>52.5</v>
      </c>
      <c r="DO232" s="0" t="n">
        <v>3</v>
      </c>
      <c r="DP232" s="0" t="n">
        <v>1</v>
      </c>
      <c r="DQ232" s="0" t="n">
        <v>1</v>
      </c>
      <c r="DR232" s="0"/>
      <c r="DS232" s="0" t="n">
        <v>1</v>
      </c>
      <c r="DU232" s="0" t="n">
        <v>1</v>
      </c>
      <c r="DW232" s="1" t="n">
        <v>40451</v>
      </c>
      <c r="DX232" s="1" t="n">
        <v>40604</v>
      </c>
      <c r="DZ232" s="0"/>
      <c r="EA232" s="0" t="n">
        <v>1</v>
      </c>
      <c r="EC232" s="1" t="n">
        <v>40544</v>
      </c>
      <c r="ED232" s="1" t="n">
        <v>40604</v>
      </c>
      <c r="EF232" s="0"/>
      <c r="EG232" s="0" t="n">
        <v>0</v>
      </c>
      <c r="EI232" s="0" t="n">
        <f aca="false">IF(AND(DM232=1,DN232&lt;=48),"",IF(AND(DM232=2,DN232&lt;=42),"",IF(AND(DM232=3,DN232&lt;=45),"",EH232)))</f>
        <v>0</v>
      </c>
      <c r="EJ232" s="0" t="str">
        <f aca="false">IF(EI232="","",IF(EI232&lt;9,EI232,9))</f>
        <v/>
      </c>
      <c r="EK232" s="0" t="str">
        <f aca="false">IF(EI232="","",IF(EI232&gt;9,EI232-EJ232,0))</f>
        <v/>
      </c>
      <c r="EL232" s="0" t="str">
        <f aca="false">IF(EI232="","",EJ232*DA232*2+EK232*DA232*3)</f>
        <v/>
      </c>
      <c r="EP232" s="0" t="n">
        <v>0</v>
      </c>
      <c r="EQ232" s="0"/>
      <c r="ER232" s="0" t="n">
        <v>0</v>
      </c>
      <c r="ET232" s="0" t="n">
        <v>0</v>
      </c>
      <c r="EV232" s="0" t="n">
        <v>0</v>
      </c>
      <c r="EX232" s="0" t="n">
        <v>0</v>
      </c>
      <c r="EY232" s="0" t="n">
        <v>1</v>
      </c>
      <c r="EZ232" s="0"/>
      <c r="FA232" s="0"/>
      <c r="FB232" s="0" t="n">
        <v>0</v>
      </c>
      <c r="FF232" s="120" t="n">
        <f aca="false">(CJ232-CI232+1)/365</f>
        <v>0.421917808219178</v>
      </c>
      <c r="FG232" s="0" t="str">
        <f aca="false">CONCATENATE(F232,"/",G232)</f>
        <v>718/2011</v>
      </c>
      <c r="FH232" s="0" t="n">
        <v>0</v>
      </c>
      <c r="FI232" s="0" t="n">
        <v>0</v>
      </c>
    </row>
    <row r="233" customFormat="false" ht="15" hidden="false" customHeight="false" outlineLevel="0" collapsed="false">
      <c r="A233" s="5" t="str">
        <f aca="false">E233&amp;G233&amp;F233</f>
        <v>72011719</v>
      </c>
      <c r="B233" s="0" t="s">
        <v>2392</v>
      </c>
      <c r="C233" s="1" t="n">
        <v>42410</v>
      </c>
      <c r="E233" s="0" t="n">
        <v>7</v>
      </c>
      <c r="F233" s="0" t="n">
        <v>719</v>
      </c>
      <c r="G233" s="0" t="n">
        <v>2011</v>
      </c>
      <c r="H233" s="0" t="str">
        <f aca="false">"J"&amp;E233&amp;"\"&amp;F233&amp;"\"&amp;G233&amp;"\"&amp;W233</f>
        <v>J7\719\2011\1</v>
      </c>
      <c r="I233" s="0"/>
      <c r="J233" s="1" t="n">
        <v>40652</v>
      </c>
      <c r="K233" s="0" t="n">
        <v>0</v>
      </c>
      <c r="M233" s="1" t="n">
        <v>40652</v>
      </c>
      <c r="N233" s="1" t="n">
        <v>40777</v>
      </c>
      <c r="O233" s="1"/>
      <c r="P233" s="1"/>
      <c r="Q233" s="1"/>
      <c r="T233" s="121"/>
      <c r="U233" s="121"/>
      <c r="V233" s="122" t="n">
        <f aca="false">IF(AND(E233&gt;0,F233&gt;0,G233&gt;0),COUNTIFS($E:$E,E233,$F:$F,F233,$G:$G,G233),"")</f>
        <v>1</v>
      </c>
      <c r="W233" s="122" t="n">
        <f aca="false">IF(V233="","",IF(V233=1,1,IF(AND(E232=E233,F232=F233,G232=G233),W232+1,1)))</f>
        <v>1</v>
      </c>
      <c r="X233" s="0" t="n">
        <v>1</v>
      </c>
      <c r="Y233" s="0" t="n">
        <v>4</v>
      </c>
      <c r="Z233" s="0" t="s">
        <v>2589</v>
      </c>
      <c r="AA233" s="0" t="n">
        <v>0</v>
      </c>
      <c r="AB233" s="0" t="s">
        <v>2590</v>
      </c>
      <c r="AC233" s="0" t="s">
        <v>2591</v>
      </c>
      <c r="AD233" s="0" t="s">
        <v>229</v>
      </c>
      <c r="AE233" s="0" t="n">
        <v>0</v>
      </c>
      <c r="AF233" s="0" t="s">
        <v>2592</v>
      </c>
      <c r="AG233" s="0" t="n">
        <v>0</v>
      </c>
      <c r="AH233" s="0" t="s">
        <v>2593</v>
      </c>
      <c r="AI233" s="0" t="s">
        <v>2594</v>
      </c>
      <c r="AJ233" s="0" t="s">
        <v>1972</v>
      </c>
      <c r="AL233" s="0" t="s">
        <v>2595</v>
      </c>
      <c r="AM233" s="0" t="n">
        <v>0</v>
      </c>
      <c r="AN233" s="0" t="s">
        <v>2593</v>
      </c>
      <c r="AO233" s="0" t="s">
        <v>2594</v>
      </c>
      <c r="AP233" s="0" t="s">
        <v>1972</v>
      </c>
      <c r="AR233" s="0" t="s">
        <v>2596</v>
      </c>
      <c r="AS233" s="0" t="n">
        <v>1</v>
      </c>
      <c r="AT233" s="0" t="s">
        <v>2597</v>
      </c>
      <c r="AU233" s="0" t="s">
        <v>221</v>
      </c>
      <c r="AV233" s="0" t="s">
        <v>411</v>
      </c>
      <c r="AX233" s="0" t="s">
        <v>1880</v>
      </c>
      <c r="AY233" s="0" t="n">
        <v>1</v>
      </c>
      <c r="AZ233" s="0" t="s">
        <v>2593</v>
      </c>
      <c r="BA233" s="0" t="s">
        <v>2594</v>
      </c>
      <c r="BB233" s="0" t="s">
        <v>1972</v>
      </c>
      <c r="BP233" s="0" t="n">
        <v>0</v>
      </c>
      <c r="BQ233" s="0" t="n">
        <v>0</v>
      </c>
      <c r="BR233" s="0" t="n">
        <v>1</v>
      </c>
      <c r="BS233" s="0" t="s">
        <v>2598</v>
      </c>
      <c r="BT233" s="0" t="s">
        <v>2599</v>
      </c>
      <c r="BU233" s="0" t="s">
        <v>2600</v>
      </c>
      <c r="BV233" s="123"/>
      <c r="BW233" s="123"/>
      <c r="BX233" s="123"/>
      <c r="BY233" s="123"/>
      <c r="BZ233" s="0" t="n">
        <v>0</v>
      </c>
      <c r="CA233" s="0" t="s">
        <v>1895</v>
      </c>
      <c r="CD233" s="0" t="s">
        <v>1919</v>
      </c>
      <c r="CE233" s="0" t="n">
        <v>0</v>
      </c>
      <c r="CF233" s="0" t="s">
        <v>503</v>
      </c>
      <c r="CI233" s="1" t="n">
        <v>33459</v>
      </c>
      <c r="CJ233" s="1" t="n">
        <v>40607</v>
      </c>
      <c r="CK233" s="124" t="n">
        <v>0.291666666666667</v>
      </c>
      <c r="CL233" s="0" t="s">
        <v>2601</v>
      </c>
      <c r="CM233" s="0" t="n">
        <f aca="false">IF(OR(CI233="",CJ233=""),"",DAYS360(CI233,CJ233)/360)</f>
        <v>19.5722222222222</v>
      </c>
      <c r="CN233" s="0" t="n">
        <f aca="false">IF(OR(CI233="",CJ233=""),"",DAYS360(CI233,CJ233)/30)</f>
        <v>234.866666666667</v>
      </c>
      <c r="CO233" s="0" t="n">
        <f aca="false">IF(OR(CI233="",CJ233=""),"",DAYS360(CI233,CJ233)/7)</f>
        <v>1006.57142857143</v>
      </c>
      <c r="CP233" s="0" t="n">
        <f aca="false">IF(OR(CI233="",CJ233=""),"",DAYS360(CI233,CJ233))</f>
        <v>7046</v>
      </c>
      <c r="CQ233" s="0" t="s">
        <v>2021</v>
      </c>
      <c r="CR233" s="0" t="n">
        <v>1</v>
      </c>
      <c r="CT233" s="0" t="s">
        <v>221</v>
      </c>
      <c r="CU233" s="0" t="s">
        <v>221</v>
      </c>
      <c r="CV233" s="0" t="str">
        <f aca="false">IF(OR(CT233="",CT233="NO ESPECIFICA",CT233="NO MENCIONA"),"",IF(CU233=0,CT233,IF(CU233=1,CT233/30,IF(CU233=2,CT233/15,IF(CU233=3,CT233/7,"")))))</f>
        <v/>
      </c>
      <c r="CW233" s="125" t="n">
        <v>750</v>
      </c>
      <c r="CX233" s="0" t="n">
        <v>0</v>
      </c>
      <c r="CY233" s="0" t="n">
        <f aca="false">IF(CW233="","",IF(CX233=0,CW233,IF(CX233=1,CW233/30,IF(CX233=2,CW233/15,IF(CX233=3,CW233/7,CW233)))))</f>
        <v>750</v>
      </c>
      <c r="CZ233" s="0" t="n">
        <f aca="false">IF(DI233&gt;0,DI233,IF(CY233&gt;0,CY233,IF(CV233&gt;0,CV233,"")))</f>
        <v>750</v>
      </c>
      <c r="DA233" s="0" t="n">
        <f aca="false">IF(DM233=1,CZ233/8,IF(OR(DM233=2,DM233=4),CZ233/7,IF(DM233=3,CZ233/7.5,"")))</f>
        <v>100</v>
      </c>
      <c r="DB233" s="0" t="s">
        <v>216</v>
      </c>
      <c r="DC233" s="0" t="s">
        <v>216</v>
      </c>
      <c r="DD233" s="0" t="s">
        <v>216</v>
      </c>
      <c r="DE233" s="0" t="s">
        <v>216</v>
      </c>
      <c r="DF233" s="0" t="s">
        <v>216</v>
      </c>
      <c r="DG233" s="0" t="s">
        <v>216</v>
      </c>
      <c r="DH233" s="0" t="n">
        <v>0</v>
      </c>
      <c r="DI233" s="126" t="n">
        <v>750</v>
      </c>
      <c r="DK233" s="0" t="n">
        <v>0</v>
      </c>
      <c r="DM233" s="0" t="n">
        <v>3</v>
      </c>
      <c r="DN233" s="0" t="n">
        <v>70</v>
      </c>
      <c r="DO233" s="0" t="n">
        <v>3</v>
      </c>
      <c r="DP233" s="0" t="n">
        <v>1</v>
      </c>
      <c r="DQ233" s="0" t="n">
        <v>0</v>
      </c>
      <c r="DR233" s="0"/>
      <c r="DS233" s="0" t="n">
        <v>1</v>
      </c>
      <c r="DU233" s="0" t="n">
        <v>0</v>
      </c>
      <c r="DW233" s="1" t="n">
        <v>40399</v>
      </c>
      <c r="DX233" s="1" t="n">
        <v>40607</v>
      </c>
      <c r="DZ233" s="0"/>
      <c r="EA233" s="0" t="n">
        <v>1</v>
      </c>
      <c r="EC233" s="1" t="n">
        <v>40179</v>
      </c>
      <c r="ED233" s="1" t="n">
        <v>40607</v>
      </c>
      <c r="EF233" s="0"/>
      <c r="EG233" s="0" t="n">
        <v>1</v>
      </c>
      <c r="EH233" s="0" t="n">
        <v>10</v>
      </c>
      <c r="EI233" s="0" t="n">
        <f aca="false">IF(AND(DM233=1,DN233&lt;=48),"",IF(AND(DM233=2,DN233&lt;=42),"",IF(AND(DM233=3,DN233&lt;=45),"",EH233)))</f>
        <v>10</v>
      </c>
      <c r="EJ233" s="0" t="n">
        <f aca="false">IF(EI233="","",IF(EI233&lt;9,EI233,9))</f>
        <v>9</v>
      </c>
      <c r="EK233" s="0" t="n">
        <f aca="false">IF(EI233="","",IF(EI233&gt;9,EI233-EJ233,0))</f>
        <v>1</v>
      </c>
      <c r="EL233" s="0" t="n">
        <f aca="false">IF(EI233="","",EJ233*DA233*2+EK233*DA233*3)</f>
        <v>2100</v>
      </c>
      <c r="EP233" s="0" t="n">
        <v>0</v>
      </c>
      <c r="EQ233" s="0"/>
      <c r="ER233" s="0" t="n">
        <v>1</v>
      </c>
      <c r="ET233" s="0" t="n">
        <v>0</v>
      </c>
      <c r="EV233" s="0" t="n">
        <v>1</v>
      </c>
      <c r="EX233" s="0" t="n">
        <v>1</v>
      </c>
      <c r="EY233" s="0" t="n">
        <v>0</v>
      </c>
      <c r="EZ233" s="0"/>
      <c r="FA233" s="4" t="n">
        <f aca="false">750*6</f>
        <v>4500</v>
      </c>
      <c r="FB233" s="0" t="n">
        <v>0</v>
      </c>
      <c r="FF233" s="120" t="n">
        <f aca="false">(CJ233-CI233+1)/365</f>
        <v>19.586301369863</v>
      </c>
      <c r="FG233" s="0" t="str">
        <f aca="false">CONCATENATE(F233,"/",G233)</f>
        <v>719/2011</v>
      </c>
      <c r="FH233" s="0" t="n">
        <v>0</v>
      </c>
      <c r="FI233" s="0" t="n">
        <v>0</v>
      </c>
    </row>
    <row r="234" customFormat="false" ht="15" hidden="false" customHeight="false" outlineLevel="0" collapsed="false">
      <c r="A234" s="5" t="str">
        <f aca="false">E234&amp;G234&amp;F234</f>
        <v>72011733</v>
      </c>
      <c r="B234" s="0" t="s">
        <v>2392</v>
      </c>
      <c r="C234" s="1" t="n">
        <v>42410</v>
      </c>
      <c r="E234" s="0" t="n">
        <v>7</v>
      </c>
      <c r="F234" s="0" t="n">
        <v>733</v>
      </c>
      <c r="G234" s="0" t="n">
        <v>2011</v>
      </c>
      <c r="H234" s="0" t="str">
        <f aca="false">"J"&amp;E234&amp;"\"&amp;F234&amp;"\"&amp;G234&amp;"\"&amp;W234</f>
        <v>J7\733\2011\1</v>
      </c>
      <c r="I234" s="0"/>
      <c r="J234" s="1" t="n">
        <v>40658</v>
      </c>
      <c r="K234" s="0" t="n">
        <v>0</v>
      </c>
      <c r="M234" s="1" t="n">
        <v>40658</v>
      </c>
      <c r="N234" s="1" t="n">
        <v>40780</v>
      </c>
      <c r="O234" s="1"/>
      <c r="P234" s="1"/>
      <c r="Q234" s="1"/>
      <c r="T234" s="121"/>
      <c r="U234" s="121"/>
      <c r="V234" s="122" t="n">
        <f aca="false">IF(AND(E234&gt;0,F234&gt;0,G234&gt;0),COUNTIFS($E:$E,E234,$F:$F,F234,$G:$G,G234),"")</f>
        <v>1</v>
      </c>
      <c r="W234" s="122" t="n">
        <f aca="false">IF(V234="","",IF(V234=1,1,IF(AND(E233=E234,F233=F234,G233=G234),W233+1,1)))</f>
        <v>1</v>
      </c>
      <c r="X234" s="0" t="n">
        <v>1</v>
      </c>
      <c r="Y234" s="0" t="n">
        <v>3</v>
      </c>
      <c r="Z234" s="0" t="s">
        <v>2602</v>
      </c>
      <c r="AA234" s="0" t="n">
        <v>0</v>
      </c>
      <c r="AB234" s="0" t="s">
        <v>2603</v>
      </c>
      <c r="AC234" s="0" t="s">
        <v>1924</v>
      </c>
      <c r="AD234" s="0" t="s">
        <v>229</v>
      </c>
      <c r="AE234" s="0" t="n">
        <v>0</v>
      </c>
      <c r="AF234" s="0" t="s">
        <v>2604</v>
      </c>
      <c r="AG234" s="0" t="n">
        <v>0</v>
      </c>
      <c r="AH234" s="0" t="s">
        <v>2605</v>
      </c>
      <c r="AI234" s="0" t="s">
        <v>2606</v>
      </c>
      <c r="AJ234" s="0" t="s">
        <v>2005</v>
      </c>
      <c r="AL234" s="0" t="s">
        <v>2607</v>
      </c>
      <c r="AM234" s="0" t="n">
        <v>1</v>
      </c>
      <c r="AN234" s="0" t="s">
        <v>2605</v>
      </c>
      <c r="AO234" s="0" t="s">
        <v>2606</v>
      </c>
      <c r="AP234" s="0" t="s">
        <v>2005</v>
      </c>
      <c r="AR234" s="0" t="s">
        <v>1931</v>
      </c>
      <c r="AS234" s="0" t="n">
        <v>1</v>
      </c>
      <c r="AT234" s="0" t="s">
        <v>2605</v>
      </c>
      <c r="AU234" s="0" t="s">
        <v>2606</v>
      </c>
      <c r="AV234" s="0" t="s">
        <v>2005</v>
      </c>
      <c r="BP234" s="0" t="n">
        <v>0</v>
      </c>
      <c r="BQ234" s="0" t="n">
        <v>0</v>
      </c>
      <c r="BR234" s="0" t="n">
        <v>3</v>
      </c>
      <c r="BS234" s="0" t="s">
        <v>2608</v>
      </c>
      <c r="BT234" s="0" t="s">
        <v>1933</v>
      </c>
      <c r="BU234" s="0" t="s">
        <v>501</v>
      </c>
      <c r="BV234" s="123"/>
      <c r="BW234" s="123"/>
      <c r="BX234" s="123"/>
      <c r="BY234" s="123"/>
      <c r="BZ234" s="0" t="n">
        <v>0</v>
      </c>
      <c r="CA234" s="0" t="s">
        <v>348</v>
      </c>
      <c r="CD234" s="0" t="s">
        <v>1919</v>
      </c>
      <c r="CE234" s="0" t="n">
        <v>0</v>
      </c>
      <c r="CF234" s="0" t="s">
        <v>269</v>
      </c>
      <c r="CI234" s="1" t="n">
        <v>38042</v>
      </c>
      <c r="CJ234" s="1" t="n">
        <v>40599</v>
      </c>
      <c r="CK234" s="124" t="n">
        <v>0.8125</v>
      </c>
      <c r="CL234" s="0" t="s">
        <v>2609</v>
      </c>
      <c r="CM234" s="0" t="n">
        <f aca="false">IF(OR(CI234="",CJ234=""),"",DAYS360(CI234,CJ234)/360)</f>
        <v>7</v>
      </c>
      <c r="CN234" s="0" t="n">
        <f aca="false">IF(OR(CI234="",CJ234=""),"",DAYS360(CI234,CJ234)/30)</f>
        <v>84</v>
      </c>
      <c r="CO234" s="0" t="n">
        <f aca="false">IF(OR(CI234="",CJ234=""),"",DAYS360(CI234,CJ234)/7)</f>
        <v>360</v>
      </c>
      <c r="CP234" s="0" t="n">
        <f aca="false">IF(OR(CI234="",CJ234=""),"",DAYS360(CI234,CJ234))</f>
        <v>2520</v>
      </c>
      <c r="CQ234" s="0" t="s">
        <v>240</v>
      </c>
      <c r="CR234" s="0" t="n">
        <v>1</v>
      </c>
      <c r="CT234" s="0" t="n">
        <v>114.28</v>
      </c>
      <c r="CU234" s="0" t="n">
        <v>0</v>
      </c>
      <c r="CV234" s="0" t="n">
        <f aca="false">IF(OR(CT234="",CT234="NO ESPECIFICA",CT234="NO MENCIONA"),"",IF(CU234=0,CT234,IF(CU234=1,CT234/30,IF(CU234=2,CT234/15,IF(CU234=3,CT234/7,"")))))</f>
        <v>114.28</v>
      </c>
      <c r="CW234" s="125" t="n">
        <v>120.12</v>
      </c>
      <c r="CX234" s="0" t="n">
        <v>0</v>
      </c>
      <c r="CY234" s="0" t="n">
        <f aca="false">IF(CW234="","",IF(CX234=0,CW234,IF(CX234=1,CW234/30,IF(CX234=2,CW234/15,IF(CX234=3,CW234/7,CW234)))))</f>
        <v>120.12</v>
      </c>
      <c r="CZ234" s="0" t="n">
        <f aca="false">IF(DI234&gt;0,DI234,IF(CY234&gt;0,CY234,IF(CV234&gt;0,CV234,"")))</f>
        <v>120.12</v>
      </c>
      <c r="DA234" s="0" t="n">
        <f aca="false">IF(DM234=1,CZ234/8,IF(OR(DM234=2,DM234=4),CZ234/7,IF(DM234=3,CZ234/7.5,"")))</f>
        <v>17.16</v>
      </c>
      <c r="DB234" s="0" t="s">
        <v>1935</v>
      </c>
      <c r="DC234" s="0" t="s">
        <v>301</v>
      </c>
      <c r="DD234" s="0" t="s">
        <v>216</v>
      </c>
      <c r="DE234" s="0" t="s">
        <v>216</v>
      </c>
      <c r="DF234" s="0" t="s">
        <v>216</v>
      </c>
      <c r="DG234" s="0" t="s">
        <v>216</v>
      </c>
      <c r="DH234" s="0" t="n">
        <v>0</v>
      </c>
      <c r="DI234" s="126" t="n">
        <v>120.12</v>
      </c>
      <c r="DK234" s="0" t="n">
        <v>0</v>
      </c>
      <c r="DM234" s="0" t="n">
        <v>2</v>
      </c>
      <c r="DN234" s="0" t="n">
        <f aca="false">13*7</f>
        <v>91</v>
      </c>
      <c r="DO234" s="0" t="n">
        <v>3</v>
      </c>
      <c r="DP234" s="0" t="n">
        <v>0</v>
      </c>
      <c r="DQ234" s="0" t="n">
        <v>1</v>
      </c>
      <c r="DR234" s="0"/>
      <c r="DS234" s="0" t="n">
        <v>1</v>
      </c>
      <c r="DU234" s="0" t="n">
        <v>1</v>
      </c>
      <c r="DW234" s="1" t="n">
        <v>38042</v>
      </c>
      <c r="DX234" s="1" t="n">
        <v>40599</v>
      </c>
      <c r="DZ234" s="0"/>
      <c r="EA234" s="0" t="n">
        <v>1</v>
      </c>
      <c r="EC234" s="1" t="n">
        <v>38042</v>
      </c>
      <c r="ED234" s="1" t="n">
        <v>40599</v>
      </c>
      <c r="EF234" s="0"/>
      <c r="EG234" s="0" t="n">
        <v>0</v>
      </c>
      <c r="EI234" s="0" t="n">
        <f aca="false">IF(AND(DM234=1,DN234&lt;=48),"",IF(AND(DM234=2,DN234&lt;=42),"",IF(AND(DM234=3,DN234&lt;=45),"",EH234)))</f>
        <v>0</v>
      </c>
      <c r="EJ234" s="0" t="str">
        <f aca="false">IF(EI234="","",IF(EI234&lt;9,EI234,9))</f>
        <v/>
      </c>
      <c r="EK234" s="0" t="str">
        <f aca="false">IF(EI234="","",IF(EI234&gt;9,EI234-EJ234,0))</f>
        <v/>
      </c>
      <c r="EL234" s="0" t="str">
        <f aca="false">IF(EI234="","",EJ234*DA234*2+EK234*DA234*3)</f>
        <v/>
      </c>
      <c r="EP234" s="0" t="n">
        <v>0</v>
      </c>
      <c r="EQ234" s="0"/>
      <c r="ER234" s="0" t="n">
        <v>0</v>
      </c>
      <c r="ET234" s="0" t="n">
        <v>0</v>
      </c>
      <c r="EV234" s="0" t="n">
        <v>0</v>
      </c>
      <c r="EX234" s="0" t="n">
        <v>0</v>
      </c>
      <c r="EY234" s="0" t="n">
        <v>0</v>
      </c>
      <c r="EZ234" s="0"/>
      <c r="FA234" s="4" t="n">
        <f aca="false">120.12*6</f>
        <v>720.72</v>
      </c>
      <c r="FB234" s="0" t="n">
        <v>0</v>
      </c>
      <c r="FF234" s="120" t="n">
        <f aca="false">(CJ234-CI234+1)/365</f>
        <v>7.00821917808219</v>
      </c>
      <c r="FG234" s="0" t="str">
        <f aca="false">CONCATENATE(F234,"/",G234)</f>
        <v>733/2011</v>
      </c>
      <c r="FH234" s="0" t="n">
        <v>0</v>
      </c>
      <c r="FI234" s="0" t="n">
        <v>0</v>
      </c>
    </row>
    <row r="235" customFormat="false" ht="15" hidden="false" customHeight="false" outlineLevel="0" collapsed="false">
      <c r="A235" s="5" t="str">
        <f aca="false">E235&amp;G235&amp;F235</f>
        <v>72011742</v>
      </c>
      <c r="B235" s="0" t="s">
        <v>2392</v>
      </c>
      <c r="C235" s="1" t="n">
        <v>42410</v>
      </c>
      <c r="D235" s="0" t="s">
        <v>2393</v>
      </c>
      <c r="E235" s="0" t="n">
        <v>7</v>
      </c>
      <c r="F235" s="0" t="n">
        <v>742</v>
      </c>
      <c r="G235" s="0" t="n">
        <v>2011</v>
      </c>
      <c r="H235" s="0" t="str">
        <f aca="false">"J"&amp;E235&amp;"\"&amp;F235&amp;"\"&amp;G235&amp;"\"&amp;W235</f>
        <v>J7\742\2011\1</v>
      </c>
      <c r="I235" s="0"/>
      <c r="J235" s="1" t="n">
        <v>40659</v>
      </c>
      <c r="K235" s="0" t="n">
        <v>0</v>
      </c>
      <c r="M235" s="1"/>
      <c r="N235" s="1"/>
      <c r="O235" s="1"/>
      <c r="P235" s="1"/>
      <c r="Q235" s="1"/>
      <c r="T235" s="121"/>
      <c r="U235" s="121"/>
      <c r="V235" s="122" t="n">
        <f aca="false">IF(AND(E235&gt;0,F235&gt;0,G235&gt;0),COUNTIFS($E:$E,E235,$F:$F,F235,$G:$G,G235),"")</f>
        <v>1</v>
      </c>
      <c r="W235" s="122" t="n">
        <f aca="false">IF(V235="","",IF(V235=1,1,IF(AND(E234=E235,F234=F235,G234=G235),W234+1,1)))</f>
        <v>1</v>
      </c>
      <c r="X235" s="0" t="n">
        <v>1</v>
      </c>
      <c r="Y235" s="0" t="n">
        <v>4</v>
      </c>
      <c r="Z235" s="0" t="s">
        <v>2610</v>
      </c>
      <c r="AA235" s="0" t="n">
        <v>0</v>
      </c>
      <c r="AB235" s="0" t="s">
        <v>2611</v>
      </c>
      <c r="AC235" s="0" t="s">
        <v>2612</v>
      </c>
      <c r="AD235" s="0" t="s">
        <v>485</v>
      </c>
      <c r="AE235" s="0" t="n">
        <v>0</v>
      </c>
      <c r="AF235" s="0" t="s">
        <v>2613</v>
      </c>
      <c r="AG235" s="0" t="n">
        <v>1</v>
      </c>
      <c r="AH235" s="0" t="s">
        <v>2614</v>
      </c>
      <c r="AI235" s="0" t="s">
        <v>2615</v>
      </c>
      <c r="AJ235" s="0" t="s">
        <v>2112</v>
      </c>
      <c r="AL235" s="0" t="s">
        <v>2616</v>
      </c>
      <c r="AM235" s="0" t="n">
        <v>1</v>
      </c>
      <c r="AN235" s="0" t="s">
        <v>2614</v>
      </c>
      <c r="AO235" s="0" t="s">
        <v>2615</v>
      </c>
      <c r="AP235" s="0" t="s">
        <v>2112</v>
      </c>
      <c r="AR235" s="0" t="s">
        <v>2617</v>
      </c>
      <c r="AS235" s="0" t="n">
        <v>1</v>
      </c>
      <c r="AT235" s="0" t="s">
        <v>2614</v>
      </c>
      <c r="AU235" s="0" t="s">
        <v>2615</v>
      </c>
      <c r="AV235" s="0" t="s">
        <v>2112</v>
      </c>
      <c r="AX235" s="0" t="s">
        <v>1880</v>
      </c>
      <c r="AY235" s="0" t="n">
        <v>1</v>
      </c>
      <c r="AZ235" s="0" t="s">
        <v>2614</v>
      </c>
      <c r="BA235" s="0" t="s">
        <v>2615</v>
      </c>
      <c r="BB235" s="0" t="s">
        <v>2112</v>
      </c>
      <c r="BP235" s="0" t="n">
        <v>0</v>
      </c>
      <c r="BQ235" s="0" t="n">
        <v>0</v>
      </c>
      <c r="BR235" s="0" t="n">
        <v>1</v>
      </c>
      <c r="BS235" s="0" t="s">
        <v>2618</v>
      </c>
      <c r="BT235" s="0" t="s">
        <v>2619</v>
      </c>
      <c r="BU235" s="0" t="s">
        <v>2620</v>
      </c>
      <c r="BV235" s="123"/>
      <c r="BW235" s="123"/>
      <c r="BX235" s="123"/>
      <c r="BY235" s="123"/>
      <c r="BZ235" s="0" t="n">
        <v>0</v>
      </c>
      <c r="CA235" s="0" t="s">
        <v>2621</v>
      </c>
      <c r="CD235" s="0" t="s">
        <v>2572</v>
      </c>
      <c r="CE235" s="0" t="n">
        <v>0</v>
      </c>
      <c r="CF235" s="0" t="s">
        <v>2622</v>
      </c>
      <c r="CI235" s="1" t="n">
        <v>36073</v>
      </c>
      <c r="CJ235" s="1" t="n">
        <v>40606</v>
      </c>
      <c r="CK235" s="124" t="n">
        <v>0.708333333333333</v>
      </c>
      <c r="CL235" s="0" t="s">
        <v>2616</v>
      </c>
      <c r="CM235" s="0" t="n">
        <f aca="false">IF(OR(CI235="",CJ235=""),"",DAYS360(CI235,CJ235)/360)</f>
        <v>12.4138888888889</v>
      </c>
      <c r="CN235" s="0" t="n">
        <f aca="false">IF(OR(CI235="",CJ235=""),"",DAYS360(CI235,CJ235)/30)</f>
        <v>148.966666666667</v>
      </c>
      <c r="CO235" s="0" t="n">
        <f aca="false">IF(OR(CI235="",CJ235=""),"",DAYS360(CI235,CJ235)/7)</f>
        <v>638.428571428571</v>
      </c>
      <c r="CP235" s="0" t="n">
        <f aca="false">IF(OR(CI235="",CJ235=""),"",DAYS360(CI235,CJ235))</f>
        <v>4469</v>
      </c>
      <c r="CQ235" s="0" t="s">
        <v>240</v>
      </c>
      <c r="CR235" s="0" t="n">
        <v>1</v>
      </c>
      <c r="CT235" s="0" t="s">
        <v>221</v>
      </c>
      <c r="CU235" s="0" t="s">
        <v>221</v>
      </c>
      <c r="CV235" s="0" t="str">
        <f aca="false">IF(OR(CT235="",CT235="NO ESPECIFICA",CT235="NO MENCIONA"),"",IF(CU235=0,CT235,IF(CU235=1,CT235/30,IF(CU235=2,CT235/15,IF(CU235=3,CT235/7,"")))))</f>
        <v/>
      </c>
      <c r="CW235" s="125" t="n">
        <v>216.5</v>
      </c>
      <c r="CX235" s="0" t="n">
        <v>0</v>
      </c>
      <c r="CY235" s="0" t="n">
        <f aca="false">IF(CW235="","",IF(CX235=0,CW235,IF(CX235=1,CW235/30,IF(CX235=2,CW235/15,IF(CX235=3,CW235/7,CW235)))))</f>
        <v>216.5</v>
      </c>
      <c r="CZ235" s="0" t="n">
        <f aca="false">IF(DI235&gt;0,DI235,IF(CY235&gt;0,CY235,IF(CV235&gt;0,CV235,"")))</f>
        <v>216.5</v>
      </c>
      <c r="DA235" s="0" t="n">
        <f aca="false">IF(DM235=1,CZ235/8,IF(OR(DM235=2,DM235=4),CZ235/7,IF(DM235=3,CZ235/7.5,"")))</f>
        <v>27.0625</v>
      </c>
      <c r="DB235" s="0" t="s">
        <v>216</v>
      </c>
      <c r="DC235" s="0" t="s">
        <v>216</v>
      </c>
      <c r="DD235" s="0" t="s">
        <v>216</v>
      </c>
      <c r="DE235" s="0" t="s">
        <v>216</v>
      </c>
      <c r="DF235" s="0" t="s">
        <v>216</v>
      </c>
      <c r="DG235" s="0" t="s">
        <v>216</v>
      </c>
      <c r="DH235" s="0" t="n">
        <v>0</v>
      </c>
      <c r="DI235" s="126" t="n">
        <v>216.5</v>
      </c>
      <c r="DK235" s="0" t="n">
        <v>1</v>
      </c>
      <c r="DM235" s="0" t="n">
        <v>1</v>
      </c>
      <c r="DN235" s="0" t="n">
        <v>57</v>
      </c>
      <c r="DO235" s="0" t="n">
        <v>3</v>
      </c>
      <c r="DP235" s="0" t="n">
        <v>0</v>
      </c>
      <c r="DQ235" s="0" t="n">
        <v>1</v>
      </c>
      <c r="DR235" s="0" t="n">
        <v>19485.87</v>
      </c>
      <c r="DS235" s="0" t="n">
        <v>1</v>
      </c>
      <c r="DU235" s="0" t="n">
        <v>1</v>
      </c>
      <c r="DW235" s="1" t="n">
        <v>36073</v>
      </c>
      <c r="DX235" s="1" t="n">
        <v>40606</v>
      </c>
      <c r="DZ235" s="0"/>
      <c r="EA235" s="0" t="n">
        <v>1</v>
      </c>
      <c r="EC235" s="1" t="n">
        <v>40179</v>
      </c>
      <c r="ED235" s="1" t="n">
        <v>40606</v>
      </c>
      <c r="EF235" s="0"/>
      <c r="EG235" s="0" t="n">
        <v>1</v>
      </c>
      <c r="EH235" s="0" t="n">
        <v>10</v>
      </c>
      <c r="EI235" s="0" t="n">
        <f aca="false">IF(AND(DM235=1,DN235&lt;=48),"",IF(AND(DM235=2,DN235&lt;=42),"",IF(AND(DM235=3,DN235&lt;=45),"",EH235)))</f>
        <v>10</v>
      </c>
      <c r="EJ235" s="0" t="n">
        <f aca="false">IF(EI235="","",IF(EI235&lt;9,EI235,9))</f>
        <v>9</v>
      </c>
      <c r="EK235" s="0" t="n">
        <f aca="false">IF(EI235="","",IF(EI235&gt;9,EI235-EJ235,0))</f>
        <v>1</v>
      </c>
      <c r="EL235" s="0" t="n">
        <f aca="false">IF(EI235="","",EJ235*DA235*2+EK235*DA235*3)</f>
        <v>568.3125</v>
      </c>
      <c r="EP235" s="0" t="n">
        <v>1</v>
      </c>
      <c r="EQ235" s="0"/>
      <c r="ER235" s="0" t="n">
        <v>1</v>
      </c>
      <c r="ET235" s="0" t="n">
        <v>1</v>
      </c>
      <c r="EV235" s="0" t="n">
        <v>1</v>
      </c>
      <c r="EX235" s="0" t="n">
        <v>1</v>
      </c>
      <c r="EY235" s="0" t="n">
        <v>1</v>
      </c>
      <c r="EZ235" s="0"/>
      <c r="FA235" s="4" t="s">
        <v>1899</v>
      </c>
      <c r="FB235" s="0" t="n">
        <v>0</v>
      </c>
      <c r="FF235" s="120" t="n">
        <f aca="false">(CJ235-CI235+1)/365</f>
        <v>12.4219178082192</v>
      </c>
      <c r="FG235" s="0" t="str">
        <f aca="false">CONCATENATE(F235,"/",G235)</f>
        <v>742/2011</v>
      </c>
      <c r="FH235" s="0" t="n">
        <v>0</v>
      </c>
      <c r="FI235" s="0" t="n">
        <v>0</v>
      </c>
    </row>
    <row r="236" customFormat="false" ht="15" hidden="false" customHeight="false" outlineLevel="0" collapsed="false">
      <c r="A236" s="5" t="str">
        <f aca="false">E236&amp;G236&amp;F236</f>
        <v>72011752</v>
      </c>
      <c r="B236" s="0" t="s">
        <v>2392</v>
      </c>
      <c r="C236" s="1" t="n">
        <v>42411</v>
      </c>
      <c r="D236" s="0" t="s">
        <v>2393</v>
      </c>
      <c r="E236" s="0" t="n">
        <v>7</v>
      </c>
      <c r="F236" s="0" t="n">
        <v>752</v>
      </c>
      <c r="G236" s="0" t="n">
        <v>2011</v>
      </c>
      <c r="H236" s="0" t="str">
        <f aca="false">"J"&amp;E236&amp;"\"&amp;F236&amp;"\"&amp;G236&amp;"\"&amp;W236</f>
        <v>J7\752\2011\1</v>
      </c>
      <c r="I236" s="0"/>
      <c r="J236" s="1" t="n">
        <v>40659</v>
      </c>
      <c r="K236" s="0" t="n">
        <v>0</v>
      </c>
      <c r="M236" s="1"/>
      <c r="N236" s="1"/>
      <c r="O236" s="1"/>
      <c r="P236" s="1"/>
      <c r="Q236" s="1"/>
      <c r="T236" s="121"/>
      <c r="U236" s="121"/>
      <c r="V236" s="122" t="n">
        <f aca="false">IF(AND(E236&gt;0,F236&gt;0,G236&gt;0),COUNTIFS($E:$E,E236,$F:$F,F236,$G:$G,G236),"")</f>
        <v>1</v>
      </c>
      <c r="W236" s="122" t="n">
        <f aca="false">IF(V236="","",IF(V236=1,1,IF(AND(E235=E236,F235=F236,G235=G236),W235+1,1)))</f>
        <v>1</v>
      </c>
      <c r="X236" s="0" t="n">
        <v>1</v>
      </c>
      <c r="Y236" s="0" t="n">
        <v>2</v>
      </c>
      <c r="Z236" s="0" t="s">
        <v>2623</v>
      </c>
      <c r="AA236" s="0" t="n">
        <v>0</v>
      </c>
      <c r="AB236" s="0" t="s">
        <v>2603</v>
      </c>
      <c r="AC236" s="0" t="s">
        <v>1924</v>
      </c>
      <c r="AD236" s="0" t="s">
        <v>229</v>
      </c>
      <c r="AE236" s="0" t="n">
        <v>0</v>
      </c>
      <c r="AF236" s="0" t="s">
        <v>2624</v>
      </c>
      <c r="AG236" s="0" t="n">
        <v>1</v>
      </c>
      <c r="AH236" s="0" t="s">
        <v>2625</v>
      </c>
      <c r="AI236" s="0" t="s">
        <v>2626</v>
      </c>
      <c r="AJ236" s="0" t="s">
        <v>2627</v>
      </c>
      <c r="AL236" s="0" t="s">
        <v>1880</v>
      </c>
      <c r="AM236" s="0" t="n">
        <v>1</v>
      </c>
      <c r="AN236" s="0" t="s">
        <v>2625</v>
      </c>
      <c r="AO236" s="0" t="s">
        <v>2626</v>
      </c>
      <c r="AP236" s="0" t="s">
        <v>2627</v>
      </c>
      <c r="BP236" s="0" t="n">
        <v>0</v>
      </c>
      <c r="BQ236" s="0" t="n">
        <v>0</v>
      </c>
      <c r="BR236" s="0" t="n">
        <v>3</v>
      </c>
      <c r="BS236" s="0" t="s">
        <v>651</v>
      </c>
      <c r="BT236" s="0" t="s">
        <v>1933</v>
      </c>
      <c r="BU236" s="0" t="s">
        <v>501</v>
      </c>
      <c r="BV236" s="123"/>
      <c r="BW236" s="123"/>
      <c r="BX236" s="123"/>
      <c r="BY236" s="123"/>
      <c r="BZ236" s="0" t="n">
        <v>0</v>
      </c>
      <c r="CA236" s="0" t="s">
        <v>348</v>
      </c>
      <c r="CD236" s="0" t="s">
        <v>1919</v>
      </c>
      <c r="CE236" s="0" t="n">
        <v>0</v>
      </c>
      <c r="CF236" s="0" t="s">
        <v>2628</v>
      </c>
      <c r="CI236" s="1" t="n">
        <v>40527</v>
      </c>
      <c r="CJ236" s="1" t="n">
        <v>40597</v>
      </c>
      <c r="CK236" s="124" t="n">
        <v>0.333333333333333</v>
      </c>
      <c r="CL236" s="0" t="s">
        <v>2629</v>
      </c>
      <c r="CM236" s="0" t="n">
        <f aca="false">IF(OR(CI236="",CJ236=""),"",DAYS360(CI236,CJ236)/360)</f>
        <v>0.188888888888889</v>
      </c>
      <c r="CN236" s="0" t="n">
        <f aca="false">IF(OR(CI236="",CJ236=""),"",DAYS360(CI236,CJ236)/30)</f>
        <v>2.26666666666667</v>
      </c>
      <c r="CO236" s="0" t="n">
        <f aca="false">IF(OR(CI236="",CJ236=""),"",DAYS360(CI236,CJ236)/7)</f>
        <v>9.71428571428571</v>
      </c>
      <c r="CP236" s="0" t="n">
        <f aca="false">IF(OR(CI236="",CJ236=""),"",DAYS360(CI236,CJ236))</f>
        <v>68</v>
      </c>
      <c r="CQ236" s="0" t="s">
        <v>1493</v>
      </c>
      <c r="CR236" s="0" t="n">
        <v>1</v>
      </c>
      <c r="CT236" s="0" t="n">
        <v>400</v>
      </c>
      <c r="CU236" s="0" t="n">
        <v>0</v>
      </c>
      <c r="CV236" s="0" t="n">
        <f aca="false">IF(OR(CT236="",CT236="NO ESPECIFICA",CT236="NO MENCIONA"),"",IF(CU236=0,CT236,IF(CU236=1,CT236/30,IF(CU236=2,CT236/15,IF(CU236=3,CT236/7,"")))))</f>
        <v>400</v>
      </c>
      <c r="CW236" s="125" t="n">
        <v>418.08</v>
      </c>
      <c r="CX236" s="0" t="n">
        <v>0</v>
      </c>
      <c r="CY236" s="0" t="n">
        <f aca="false">IF(CW236="","",IF(CX236=0,CW236,IF(CX236=1,CW236/30,IF(CX236=2,CW236/15,IF(CX236=3,CW236/7,CW236)))))</f>
        <v>418.08</v>
      </c>
      <c r="CZ236" s="0" t="n">
        <f aca="false">IF(DI236&gt;0,DI236,IF(CY236&gt;0,CY236,IF(CV236&gt;0,CV236,"")))</f>
        <v>418.08</v>
      </c>
      <c r="DA236" s="0" t="n">
        <f aca="false">IF(DM236=1,CZ236/8,IF(OR(DM236=2,DM236=4),CZ236/7,IF(DM236=3,CZ236/7.5,"")))</f>
        <v>52.26</v>
      </c>
      <c r="DB236" s="0" t="s">
        <v>1935</v>
      </c>
      <c r="DC236" s="0" t="s">
        <v>301</v>
      </c>
      <c r="DD236" s="0" t="s">
        <v>216</v>
      </c>
      <c r="DE236" s="0" t="s">
        <v>216</v>
      </c>
      <c r="DF236" s="0" t="s">
        <v>216</v>
      </c>
      <c r="DG236" s="0" t="s">
        <v>216</v>
      </c>
      <c r="DH236" s="0" t="n">
        <v>0</v>
      </c>
      <c r="DI236" s="126" t="n">
        <v>418.08</v>
      </c>
      <c r="DK236" s="0" t="n">
        <v>0</v>
      </c>
      <c r="DM236" s="0" t="n">
        <v>1</v>
      </c>
      <c r="DN236" s="0" t="n">
        <v>48</v>
      </c>
      <c r="DO236" s="0" t="n">
        <v>3</v>
      </c>
      <c r="DP236" s="0" t="n">
        <v>0</v>
      </c>
      <c r="DQ236" s="0" t="n">
        <v>0</v>
      </c>
      <c r="DR236" s="0"/>
      <c r="DS236" s="0" t="n">
        <v>0</v>
      </c>
      <c r="DU236" s="0" t="n">
        <v>1</v>
      </c>
      <c r="DW236" s="1" t="n">
        <v>40527</v>
      </c>
      <c r="DX236" s="1" t="n">
        <v>40597</v>
      </c>
      <c r="DZ236" s="0"/>
      <c r="EA236" s="0" t="n">
        <v>1</v>
      </c>
      <c r="EC236" s="1" t="n">
        <v>40527</v>
      </c>
      <c r="ED236" s="1" t="n">
        <v>40597</v>
      </c>
      <c r="EF236" s="0"/>
      <c r="EG236" s="0" t="n">
        <v>0</v>
      </c>
      <c r="EI236" s="0" t="str">
        <f aca="false">IF(AND(DM236=1,DN236&lt;=48),"",IF(AND(DM236=2,DN236&lt;=42),"",IF(AND(DM236=3,DN236&lt;=45),"",EH236)))</f>
        <v/>
      </c>
      <c r="EJ236" s="0" t="str">
        <f aca="false">IF(EI236="","",IF(EI236&lt;9,EI236,9))</f>
        <v/>
      </c>
      <c r="EK236" s="0" t="str">
        <f aca="false">IF(EI236="","",IF(EI236&gt;9,EI236-EJ236,0))</f>
        <v/>
      </c>
      <c r="EL236" s="0" t="str">
        <f aca="false">IF(EI236="","",EJ236*DA236*2+EK236*DA236*3)</f>
        <v/>
      </c>
      <c r="EP236" s="0" t="n">
        <v>0</v>
      </c>
      <c r="EQ236" s="0"/>
      <c r="ER236" s="0" t="n">
        <v>0</v>
      </c>
      <c r="ET236" s="0" t="n">
        <v>0</v>
      </c>
      <c r="EV236" s="0" t="n">
        <v>0</v>
      </c>
      <c r="EX236" s="0" t="n">
        <v>0</v>
      </c>
      <c r="EY236" s="0" t="n">
        <v>0</v>
      </c>
      <c r="EZ236" s="0"/>
      <c r="FA236" s="4" t="n">
        <f aca="false">(418.08*70)+28000</f>
        <v>57265.6</v>
      </c>
      <c r="FB236" s="0" t="n">
        <v>0</v>
      </c>
      <c r="FF236" s="120" t="n">
        <f aca="false">(CJ236-CI236+1)/365</f>
        <v>0.194520547945205</v>
      </c>
      <c r="FG236" s="0" t="str">
        <f aca="false">CONCATENATE(F236,"/",G236)</f>
        <v>752/2011</v>
      </c>
      <c r="FH236" s="0" t="n">
        <v>0</v>
      </c>
      <c r="FI236" s="0" t="n">
        <v>0</v>
      </c>
    </row>
    <row r="237" customFormat="false" ht="15" hidden="false" customHeight="false" outlineLevel="0" collapsed="false">
      <c r="A237" s="5" t="str">
        <f aca="false">E237&amp;G237&amp;F237</f>
        <v>72011774</v>
      </c>
      <c r="B237" s="0" t="s">
        <v>2392</v>
      </c>
      <c r="C237" s="1" t="n">
        <v>42411</v>
      </c>
      <c r="E237" s="0" t="n">
        <v>7</v>
      </c>
      <c r="F237" s="0" t="n">
        <v>774</v>
      </c>
      <c r="G237" s="0" t="n">
        <v>2011</v>
      </c>
      <c r="H237" s="0" t="str">
        <f aca="false">"J"&amp;E237&amp;"\"&amp;F237&amp;"\"&amp;G237&amp;"\"&amp;W237</f>
        <v>J7\774\2011\1</v>
      </c>
      <c r="I237" s="0"/>
      <c r="J237" s="1" t="n">
        <v>40662</v>
      </c>
      <c r="K237" s="0" t="n">
        <v>0</v>
      </c>
      <c r="M237" s="1" t="n">
        <v>40662</v>
      </c>
      <c r="N237" s="1" t="n">
        <v>40791</v>
      </c>
      <c r="O237" s="1"/>
      <c r="P237" s="1"/>
      <c r="Q237" s="1"/>
      <c r="T237" s="121"/>
      <c r="U237" s="121"/>
      <c r="V237" s="122" t="n">
        <f aca="false">IF(AND(E237&gt;0,F237&gt;0,G237&gt;0),COUNTIFS($E:$E,E237,$F:$F,F237,$G:$G,G237),"")</f>
        <v>1</v>
      </c>
      <c r="W237" s="122" t="n">
        <f aca="false">IF(V237="","",IF(V237=1,1,IF(AND(E236=E237,F236=F237,G236=G237),W236+1,1)))</f>
        <v>1</v>
      </c>
      <c r="X237" s="0" t="n">
        <v>1</v>
      </c>
      <c r="Y237" s="0" t="n">
        <v>3</v>
      </c>
      <c r="Z237" s="0" t="s">
        <v>2630</v>
      </c>
      <c r="AA237" s="0" t="n">
        <v>0</v>
      </c>
      <c r="AB237" s="0" t="s">
        <v>2603</v>
      </c>
      <c r="AC237" s="0" t="s">
        <v>1924</v>
      </c>
      <c r="AD237" s="0" t="s">
        <v>229</v>
      </c>
      <c r="AE237" s="0" t="n">
        <v>0</v>
      </c>
      <c r="AF237" s="0" t="s">
        <v>2631</v>
      </c>
      <c r="AG237" s="0" t="n">
        <v>1</v>
      </c>
      <c r="AH237" s="0" t="s">
        <v>2632</v>
      </c>
      <c r="AI237" s="0" t="s">
        <v>1939</v>
      </c>
      <c r="AJ237" s="0" t="s">
        <v>229</v>
      </c>
      <c r="AL237" s="0" t="s">
        <v>2633</v>
      </c>
      <c r="AM237" s="0" t="n">
        <v>2</v>
      </c>
      <c r="AN237" s="0" t="s">
        <v>2632</v>
      </c>
      <c r="AO237" s="0" t="s">
        <v>1939</v>
      </c>
      <c r="AP237" s="0" t="s">
        <v>229</v>
      </c>
      <c r="AR237" s="0" t="s">
        <v>1931</v>
      </c>
      <c r="AS237" s="0" t="n">
        <v>1</v>
      </c>
      <c r="AT237" s="0" t="s">
        <v>2632</v>
      </c>
      <c r="AU237" s="0" t="s">
        <v>1939</v>
      </c>
      <c r="AV237" s="0" t="s">
        <v>229</v>
      </c>
      <c r="BP237" s="0" t="n">
        <v>0</v>
      </c>
      <c r="BQ237" s="0" t="n">
        <v>0</v>
      </c>
      <c r="BR237" s="0" t="n">
        <v>3</v>
      </c>
      <c r="BS237" s="0" t="s">
        <v>2634</v>
      </c>
      <c r="BT237" s="0" t="s">
        <v>2635</v>
      </c>
      <c r="BU237" s="0" t="s">
        <v>1933</v>
      </c>
      <c r="BV237" s="123"/>
      <c r="BW237" s="123"/>
      <c r="BX237" s="123"/>
      <c r="BY237" s="123"/>
      <c r="BZ237" s="0" t="n">
        <v>0</v>
      </c>
      <c r="CA237" s="0" t="s">
        <v>348</v>
      </c>
      <c r="CD237" s="0" t="s">
        <v>2572</v>
      </c>
      <c r="CE237" s="0" t="n">
        <v>0</v>
      </c>
      <c r="CF237" s="0" t="s">
        <v>2636</v>
      </c>
      <c r="CI237" s="1" t="n">
        <v>40306</v>
      </c>
      <c r="CJ237" s="1" t="n">
        <v>40602</v>
      </c>
      <c r="CK237" s="124" t="n">
        <v>0.833333333333333</v>
      </c>
      <c r="CL237" s="0" t="s">
        <v>2637</v>
      </c>
      <c r="CM237" s="0" t="n">
        <f aca="false">IF(OR(CI237="",CJ237=""),"",DAYS360(CI237,CJ237)/360)</f>
        <v>0.805555555555556</v>
      </c>
      <c r="CN237" s="0" t="n">
        <f aca="false">IF(OR(CI237="",CJ237=""),"",DAYS360(CI237,CJ237)/30)</f>
        <v>9.66666666666667</v>
      </c>
      <c r="CO237" s="0" t="n">
        <f aca="false">IF(OR(CI237="",CJ237=""),"",DAYS360(CI237,CJ237)/7)</f>
        <v>41.4285714285714</v>
      </c>
      <c r="CP237" s="0" t="n">
        <f aca="false">IF(OR(CI237="",CJ237=""),"",DAYS360(CI237,CJ237))</f>
        <v>290</v>
      </c>
      <c r="CQ237" s="0" t="s">
        <v>1493</v>
      </c>
      <c r="CR237" s="0" t="n">
        <v>1</v>
      </c>
      <c r="CT237" s="0" t="n">
        <v>200</v>
      </c>
      <c r="CU237" s="0" t="n">
        <v>0</v>
      </c>
      <c r="CV237" s="0" t="n">
        <f aca="false">IF(OR(CT237="",CT237="NO ESPECIFICA",CT237="NO MENCIONA"),"",IF(CU237=0,CT237,IF(CU237=1,CT237/30,IF(CU237=2,CT237/15,IF(CU237=3,CT237/7,"")))))</f>
        <v>200</v>
      </c>
      <c r="CW237" s="125" t="n">
        <v>209.04</v>
      </c>
      <c r="CX237" s="0" t="n">
        <v>0</v>
      </c>
      <c r="CY237" s="0" t="n">
        <f aca="false">IF(CW237="","",IF(CX237=0,CW237,IF(CX237=1,CW237/30,IF(CX237=2,CW237/15,IF(CX237=3,CW237/7,CW237)))))</f>
        <v>209.04</v>
      </c>
      <c r="CZ237" s="0" t="n">
        <f aca="false">IF(DI237&gt;0,DI237,IF(CY237&gt;0,CY237,IF(CV237&gt;0,CV237,"")))</f>
        <v>209.04</v>
      </c>
      <c r="DA237" s="0" t="n">
        <f aca="false">IF(DM237=1,CZ237/8,IF(OR(DM237=2,DM237=4),CZ237/7,IF(DM237=3,CZ237/7.5,"")))</f>
        <v>26.13</v>
      </c>
      <c r="DB237" s="0" t="s">
        <v>1935</v>
      </c>
      <c r="DC237" s="0" t="s">
        <v>301</v>
      </c>
      <c r="DD237" s="0" t="s">
        <v>216</v>
      </c>
      <c r="DE237" s="0" t="s">
        <v>216</v>
      </c>
      <c r="DF237" s="0" t="s">
        <v>216</v>
      </c>
      <c r="DG237" s="0" t="s">
        <v>216</v>
      </c>
      <c r="DH237" s="0" t="n">
        <v>0</v>
      </c>
      <c r="DI237" s="126" t="n">
        <v>209.04</v>
      </c>
      <c r="DK237" s="0" t="n">
        <v>0</v>
      </c>
      <c r="DM237" s="0" t="n">
        <v>1</v>
      </c>
      <c r="DN237" s="0" t="n">
        <v>66</v>
      </c>
      <c r="DO237" s="0" t="n">
        <v>3</v>
      </c>
      <c r="DP237" s="0" t="n">
        <v>0</v>
      </c>
      <c r="DQ237" s="0" t="n">
        <v>0</v>
      </c>
      <c r="DR237" s="0"/>
      <c r="DS237" s="0" t="n">
        <v>0</v>
      </c>
      <c r="DU237" s="0" t="n">
        <v>1</v>
      </c>
      <c r="DW237" s="1" t="n">
        <v>40306</v>
      </c>
      <c r="DX237" s="1" t="n">
        <v>40602</v>
      </c>
      <c r="DZ237" s="0"/>
      <c r="EA237" s="0" t="n">
        <v>1</v>
      </c>
      <c r="EC237" s="1" t="n">
        <v>40306</v>
      </c>
      <c r="ED237" s="1" t="n">
        <v>40602</v>
      </c>
      <c r="EF237" s="0"/>
      <c r="EG237" s="0" t="n">
        <v>1</v>
      </c>
      <c r="EH237" s="0" t="n">
        <v>18</v>
      </c>
      <c r="EI237" s="0" t="n">
        <f aca="false">IF(AND(DM237=1,DN237&lt;=48),"",IF(AND(DM237=2,DN237&lt;=42),"",IF(AND(DM237=3,DN237&lt;=45),"",EH237)))</f>
        <v>18</v>
      </c>
      <c r="EJ237" s="0" t="n">
        <f aca="false">IF(EI237="","",IF(EI237&lt;9,EI237,9))</f>
        <v>9</v>
      </c>
      <c r="EK237" s="0" t="n">
        <f aca="false">IF(EI237="","",IF(EI237&gt;9,EI237-EJ237,0))</f>
        <v>9</v>
      </c>
      <c r="EL237" s="0" t="n">
        <f aca="false">IF(EI237="","",EJ237*DA237*2+EK237*DA237*3)</f>
        <v>1175.85</v>
      </c>
      <c r="EP237" s="0" t="n">
        <v>0</v>
      </c>
      <c r="EQ237" s="0"/>
      <c r="ER237" s="0" t="n">
        <v>0</v>
      </c>
      <c r="ET237" s="0" t="n">
        <v>0</v>
      </c>
      <c r="EV237" s="0" t="n">
        <v>0</v>
      </c>
      <c r="EX237" s="0" t="n">
        <v>0</v>
      </c>
      <c r="EY237" s="0" t="n">
        <v>0</v>
      </c>
      <c r="EZ237" s="0"/>
      <c r="FA237" s="4" t="n">
        <f aca="false">14*209.08</f>
        <v>2927.12</v>
      </c>
      <c r="FB237" s="0" t="n">
        <v>1</v>
      </c>
      <c r="FF237" s="120" t="n">
        <f aca="false">(CJ237-CI237+1)/365</f>
        <v>0.813698630136986</v>
      </c>
      <c r="FG237" s="0" t="str">
        <f aca="false">CONCATENATE(F237,"/",G237)</f>
        <v>774/2011</v>
      </c>
      <c r="FH237" s="0" t="n">
        <v>0</v>
      </c>
      <c r="FI237" s="0" t="n">
        <v>0</v>
      </c>
    </row>
    <row r="238" customFormat="false" ht="15" hidden="false" customHeight="false" outlineLevel="0" collapsed="false">
      <c r="A238" s="5" t="str">
        <f aca="false">E238&amp;G238&amp;F238</f>
        <v>72011782</v>
      </c>
      <c r="B238" s="0" t="s">
        <v>2392</v>
      </c>
      <c r="C238" s="1" t="n">
        <v>42411</v>
      </c>
      <c r="D238" s="0" t="s">
        <v>2393</v>
      </c>
      <c r="E238" s="0" t="n">
        <v>7</v>
      </c>
      <c r="F238" s="0" t="n">
        <v>782</v>
      </c>
      <c r="G238" s="0" t="n">
        <v>2011</v>
      </c>
      <c r="H238" s="0" t="str">
        <f aca="false">"J"&amp;E238&amp;"\"&amp;F238&amp;"\"&amp;G238&amp;"\"&amp;W238</f>
        <v>J7\782\2011\1</v>
      </c>
      <c r="I238" s="0"/>
      <c r="J238" s="1" t="n">
        <v>40666</v>
      </c>
      <c r="K238" s="0" t="n">
        <v>0</v>
      </c>
      <c r="M238" s="1"/>
      <c r="N238" s="1"/>
      <c r="O238" s="1"/>
      <c r="P238" s="1"/>
      <c r="Q238" s="1"/>
      <c r="T238" s="121"/>
      <c r="U238" s="121"/>
      <c r="V238" s="122" t="n">
        <f aca="false">IF(AND(E238&gt;0,F238&gt;0,G238&gt;0),COUNTIFS($E:$E,E238,$F:$F,F238,$G:$G,G238),"")</f>
        <v>1</v>
      </c>
      <c r="W238" s="122" t="n">
        <f aca="false">IF(V238="","",IF(V238=1,1,IF(AND(E237=E238,F237=F238,G237=G238),W237+1,1)))</f>
        <v>1</v>
      </c>
      <c r="X238" s="0" t="n">
        <v>1</v>
      </c>
      <c r="Y238" s="0" t="n">
        <v>4</v>
      </c>
      <c r="Z238" s="0" t="s">
        <v>2638</v>
      </c>
      <c r="AA238" s="0" t="n">
        <v>0</v>
      </c>
      <c r="AB238" s="0" t="s">
        <v>2639</v>
      </c>
      <c r="AC238" s="0" t="s">
        <v>2640</v>
      </c>
      <c r="AD238" s="0" t="s">
        <v>207</v>
      </c>
      <c r="AE238" s="0" t="n">
        <v>0</v>
      </c>
      <c r="AF238" s="0" t="s">
        <v>2641</v>
      </c>
      <c r="AG238" s="0" t="n">
        <v>0</v>
      </c>
      <c r="AH238" s="0" t="s">
        <v>2642</v>
      </c>
      <c r="AI238" s="0" t="s">
        <v>2643</v>
      </c>
      <c r="AJ238" s="0" t="s">
        <v>2644</v>
      </c>
      <c r="AL238" s="0" t="s">
        <v>2645</v>
      </c>
      <c r="AM238" s="0" t="n">
        <v>0</v>
      </c>
      <c r="AN238" s="0" t="s">
        <v>2642</v>
      </c>
      <c r="AO238" s="0" t="s">
        <v>2643</v>
      </c>
      <c r="AP238" s="0" t="s">
        <v>2644</v>
      </c>
      <c r="AR238" s="0" t="s">
        <v>2646</v>
      </c>
      <c r="AS238" s="0" t="n">
        <v>1</v>
      </c>
      <c r="AT238" s="0" t="s">
        <v>2642</v>
      </c>
      <c r="AU238" s="0" t="s">
        <v>2643</v>
      </c>
      <c r="AV238" s="0" t="s">
        <v>2644</v>
      </c>
      <c r="AX238" s="0" t="s">
        <v>1880</v>
      </c>
      <c r="AY238" s="0" t="n">
        <v>1</v>
      </c>
      <c r="AZ238" s="0" t="s">
        <v>2642</v>
      </c>
      <c r="BA238" s="0" t="s">
        <v>2643</v>
      </c>
      <c r="BB238" s="0" t="s">
        <v>2644</v>
      </c>
      <c r="BP238" s="0" t="n">
        <v>0</v>
      </c>
      <c r="BQ238" s="0" t="n">
        <v>0</v>
      </c>
      <c r="BR238" s="0" t="n">
        <v>1</v>
      </c>
      <c r="BS238" s="0" t="s">
        <v>2647</v>
      </c>
      <c r="BT238" s="0" t="s">
        <v>2648</v>
      </c>
      <c r="BU238" s="0" t="s">
        <v>2649</v>
      </c>
      <c r="BV238" s="123"/>
      <c r="BW238" s="123"/>
      <c r="BX238" s="123"/>
      <c r="BY238" s="123"/>
      <c r="BZ238" s="0" t="n">
        <v>0</v>
      </c>
      <c r="CA238" s="0" t="s">
        <v>2650</v>
      </c>
      <c r="CD238" s="0" t="s">
        <v>1919</v>
      </c>
      <c r="CE238" s="0" t="n">
        <v>0</v>
      </c>
      <c r="CF238" s="0" t="s">
        <v>2651</v>
      </c>
      <c r="CI238" s="1" t="n">
        <v>39084</v>
      </c>
      <c r="CJ238" s="1" t="n">
        <v>40663</v>
      </c>
      <c r="CK238" s="124" t="n">
        <v>0.791666666666667</v>
      </c>
      <c r="CL238" s="0" t="s">
        <v>2646</v>
      </c>
      <c r="CM238" s="0" t="n">
        <f aca="false">IF(OR(CI238="",CJ238=""),"",DAYS360(CI238,CJ238)/360)</f>
        <v>4.32777777777778</v>
      </c>
      <c r="CN238" s="0" t="n">
        <f aca="false">IF(OR(CI238="",CJ238=""),"",DAYS360(CI238,CJ238)/30)</f>
        <v>51.9333333333333</v>
      </c>
      <c r="CO238" s="0" t="n">
        <f aca="false">IF(OR(CI238="",CJ238=""),"",DAYS360(CI238,CJ238)/7)</f>
        <v>222.571428571429</v>
      </c>
      <c r="CP238" s="0" t="n">
        <f aca="false">IF(OR(CI238="",CJ238=""),"",DAYS360(CI238,CJ238))</f>
        <v>1558</v>
      </c>
      <c r="CQ238" s="0" t="s">
        <v>240</v>
      </c>
      <c r="CR238" s="0" t="n">
        <v>1</v>
      </c>
      <c r="CT238" s="0" t="n">
        <v>158.32</v>
      </c>
      <c r="CU238" s="0" t="n">
        <v>0</v>
      </c>
      <c r="CV238" s="0" t="n">
        <f aca="false">IF(OR(CT238="",CT238="NO ESPECIFICA",CT238="NO MENCIONA"),"",IF(CU238=0,CT238,IF(CU238=1,CT238/30,IF(CU238=2,CT238/15,IF(CU238=3,CT238/7,"")))))</f>
        <v>158.32</v>
      </c>
      <c r="CW238" s="125" t="n">
        <v>358.32</v>
      </c>
      <c r="CX238" s="0" t="n">
        <v>0</v>
      </c>
      <c r="CY238" s="0" t="n">
        <f aca="false">IF(CW238="","",IF(CX238=0,CW238,IF(CX238=1,CW238/30,IF(CX238=2,CW238/15,IF(CX238=3,CW238/7,CW238)))))</f>
        <v>358.32</v>
      </c>
      <c r="CZ238" s="0" t="n">
        <f aca="false">IF(DI238&gt;0,DI238,IF(CY238&gt;0,CY238,IF(CV238&gt;0,CV238,"")))</f>
        <v>358.32</v>
      </c>
      <c r="DA238" s="0" t="n">
        <f aca="false">IF(DM238=1,CZ238/8,IF(OR(DM238=2,DM238=4),CZ238/7,IF(DM238=3,CZ238/7.5,"")))</f>
        <v>44.79</v>
      </c>
      <c r="DB238" s="0" t="s">
        <v>2652</v>
      </c>
      <c r="DC238" s="0" t="s">
        <v>216</v>
      </c>
      <c r="DD238" s="0" t="s">
        <v>216</v>
      </c>
      <c r="DE238" s="0" t="s">
        <v>216</v>
      </c>
      <c r="DF238" s="0" t="s">
        <v>216</v>
      </c>
      <c r="DG238" s="0" t="s">
        <v>216</v>
      </c>
      <c r="DH238" s="0" t="n">
        <v>0</v>
      </c>
      <c r="DI238" s="126" t="n">
        <v>358.32</v>
      </c>
      <c r="DK238" s="0" t="n">
        <v>1</v>
      </c>
      <c r="DM238" s="0" t="n">
        <v>1</v>
      </c>
      <c r="DN238" s="0" t="n">
        <v>66</v>
      </c>
      <c r="DO238" s="0" t="n">
        <v>3</v>
      </c>
      <c r="DP238" s="0" t="n">
        <v>0</v>
      </c>
      <c r="DQ238" s="0" t="n">
        <v>1</v>
      </c>
      <c r="DR238" s="0"/>
      <c r="DS238" s="0" t="n">
        <v>1</v>
      </c>
      <c r="DU238" s="0" t="n">
        <v>1</v>
      </c>
      <c r="DW238" s="1" t="n">
        <v>39084</v>
      </c>
      <c r="DX238" s="1" t="n">
        <v>40663</v>
      </c>
      <c r="DZ238" s="0"/>
      <c r="EA238" s="0" t="n">
        <v>1</v>
      </c>
      <c r="EC238" s="1" t="n">
        <v>39084</v>
      </c>
      <c r="ED238" s="1" t="n">
        <v>40663</v>
      </c>
      <c r="EF238" s="0"/>
      <c r="EG238" s="0" t="n">
        <v>1</v>
      </c>
      <c r="EH238" s="0" t="n">
        <v>18</v>
      </c>
      <c r="EI238" s="0" t="n">
        <f aca="false">IF(AND(DM238=1,DN238&lt;=48),"",IF(AND(DM238=2,DN238&lt;=42),"",IF(AND(DM238=3,DN238&lt;=45),"",EH238)))</f>
        <v>18</v>
      </c>
      <c r="EJ238" s="0" t="n">
        <f aca="false">IF(EI238="","",IF(EI238&lt;9,EI238,9))</f>
        <v>9</v>
      </c>
      <c r="EK238" s="0" t="n">
        <f aca="false">IF(EI238="","",IF(EI238&gt;9,EI238-EJ238,0))</f>
        <v>9</v>
      </c>
      <c r="EL238" s="0" t="n">
        <f aca="false">IF(EI238="","",EJ238*DA238*2+EK238*DA238*3)</f>
        <v>2015.55</v>
      </c>
      <c r="EP238" s="0" t="n">
        <v>0</v>
      </c>
      <c r="EQ238" s="0"/>
      <c r="ER238" s="0" t="n">
        <v>1</v>
      </c>
      <c r="ET238" s="0" t="n">
        <v>0</v>
      </c>
      <c r="EV238" s="0" t="n">
        <v>1</v>
      </c>
      <c r="EX238" s="0" t="n">
        <v>0</v>
      </c>
      <c r="EY238" s="0" t="n">
        <v>1</v>
      </c>
      <c r="EZ238" s="4" t="n">
        <v>5000</v>
      </c>
      <c r="FA238" s="4" t="n">
        <v>4096</v>
      </c>
      <c r="FB238" s="0" t="n">
        <v>1</v>
      </c>
      <c r="FF238" s="120" t="n">
        <f aca="false">(CJ238-CI238+1)/365</f>
        <v>4.32876712328767</v>
      </c>
      <c r="FG238" s="0" t="str">
        <f aca="false">CONCATENATE(F238,"/",G238)</f>
        <v>782/2011</v>
      </c>
      <c r="FH238" s="0" t="n">
        <v>0</v>
      </c>
      <c r="FI238" s="0" t="n">
        <v>0</v>
      </c>
    </row>
    <row r="239" customFormat="false" ht="15" hidden="false" customHeight="false" outlineLevel="0" collapsed="false">
      <c r="A239" s="5" t="str">
        <f aca="false">E239&amp;G239&amp;F239</f>
        <v>72011798</v>
      </c>
      <c r="B239" s="0" t="s">
        <v>2392</v>
      </c>
      <c r="C239" s="1" t="n">
        <v>42411</v>
      </c>
      <c r="E239" s="0" t="n">
        <v>7</v>
      </c>
      <c r="F239" s="0" t="n">
        <v>798</v>
      </c>
      <c r="G239" s="0" t="n">
        <v>2011</v>
      </c>
      <c r="H239" s="0" t="str">
        <f aca="false">"J"&amp;E239&amp;"\"&amp;F239&amp;"\"&amp;G239&amp;"\"&amp;W239</f>
        <v>J7\798\2011\1</v>
      </c>
      <c r="I239" s="0"/>
      <c r="J239" s="1" t="n">
        <v>40669</v>
      </c>
      <c r="K239" s="0" t="n">
        <v>0</v>
      </c>
      <c r="M239" s="1" t="n">
        <v>40669</v>
      </c>
      <c r="N239" s="1" t="n">
        <v>40805</v>
      </c>
      <c r="O239" s="1"/>
      <c r="P239" s="1"/>
      <c r="Q239" s="1"/>
      <c r="T239" s="121"/>
      <c r="U239" s="121"/>
      <c r="V239" s="122" t="n">
        <f aca="false">IF(AND(E239&gt;0,F239&gt;0,G239&gt;0),COUNTIFS($E:$E,E239,$F:$F,F239,$G:$G,G239),"")</f>
        <v>1</v>
      </c>
      <c r="W239" s="122" t="n">
        <f aca="false">IF(V239="","",IF(V239=1,1,IF(AND(E238=E239,F238=F239,G238=G239),W238+1,1)))</f>
        <v>1</v>
      </c>
      <c r="X239" s="0" t="n">
        <v>1</v>
      </c>
      <c r="Y239" s="0" t="n">
        <v>3</v>
      </c>
      <c r="Z239" s="0" t="s">
        <v>2653</v>
      </c>
      <c r="AA239" s="0" t="n">
        <v>0</v>
      </c>
      <c r="AB239" s="0" t="s">
        <v>2603</v>
      </c>
      <c r="AC239" s="0" t="s">
        <v>1924</v>
      </c>
      <c r="AD239" s="0" t="s">
        <v>229</v>
      </c>
      <c r="AE239" s="0" t="n">
        <v>0</v>
      </c>
      <c r="AF239" s="0" t="s">
        <v>2654</v>
      </c>
      <c r="AG239" s="0" t="n">
        <v>0</v>
      </c>
      <c r="AH239" s="0" t="s">
        <v>2655</v>
      </c>
      <c r="AI239" s="0" t="s">
        <v>2656</v>
      </c>
      <c r="AJ239" s="0" t="s">
        <v>2657</v>
      </c>
      <c r="AL239" s="0" t="s">
        <v>2658</v>
      </c>
      <c r="AM239" s="0" t="n">
        <v>1</v>
      </c>
      <c r="AN239" s="0" t="s">
        <v>2655</v>
      </c>
      <c r="AO239" s="0" t="s">
        <v>2656</v>
      </c>
      <c r="AP239" s="0" t="s">
        <v>2657</v>
      </c>
      <c r="AR239" s="0" t="s">
        <v>1931</v>
      </c>
      <c r="AS239" s="0" t="n">
        <v>1</v>
      </c>
      <c r="AT239" s="0" t="s">
        <v>2655</v>
      </c>
      <c r="AU239" s="0" t="s">
        <v>2656</v>
      </c>
      <c r="AV239" s="0" t="s">
        <v>2657</v>
      </c>
      <c r="BP239" s="0" t="n">
        <v>0</v>
      </c>
      <c r="BQ239" s="0" t="n">
        <v>0</v>
      </c>
      <c r="BR239" s="0" t="n">
        <v>3</v>
      </c>
      <c r="BS239" s="0" t="s">
        <v>2608</v>
      </c>
      <c r="BT239" s="0" t="s">
        <v>1933</v>
      </c>
      <c r="BU239" s="0" t="s">
        <v>501</v>
      </c>
      <c r="BV239" s="123"/>
      <c r="BW239" s="123"/>
      <c r="BX239" s="123"/>
      <c r="BY239" s="123"/>
      <c r="BZ239" s="0" t="n">
        <v>0</v>
      </c>
      <c r="CA239" s="0" t="s">
        <v>348</v>
      </c>
      <c r="CD239" s="0" t="s">
        <v>1919</v>
      </c>
      <c r="CE239" s="0" t="n">
        <v>0</v>
      </c>
      <c r="CF239" s="0" t="s">
        <v>503</v>
      </c>
      <c r="CI239" s="1" t="n">
        <v>40132</v>
      </c>
      <c r="CJ239" s="1" t="n">
        <v>40610</v>
      </c>
      <c r="CK239" s="124" t="n">
        <v>0.291666666666667</v>
      </c>
      <c r="CL239" s="0" t="s">
        <v>2658</v>
      </c>
      <c r="CM239" s="0" t="n">
        <f aca="false">IF(OR(CI239="",CJ239=""),"",DAYS360(CI239,CJ239)/360)</f>
        <v>1.31388888888889</v>
      </c>
      <c r="CN239" s="0" t="n">
        <f aca="false">IF(OR(CI239="",CJ239=""),"",DAYS360(CI239,CJ239)/30)</f>
        <v>15.7666666666667</v>
      </c>
      <c r="CO239" s="0" t="n">
        <f aca="false">IF(OR(CI239="",CJ239=""),"",DAYS360(CI239,CJ239)/7)</f>
        <v>67.5714285714286</v>
      </c>
      <c r="CP239" s="0" t="n">
        <f aca="false">IF(OR(CI239="",CJ239=""),"",DAYS360(CI239,CJ239))</f>
        <v>473</v>
      </c>
      <c r="CQ239" s="0" t="s">
        <v>240</v>
      </c>
      <c r="CR239" s="0" t="n">
        <v>1</v>
      </c>
      <c r="CT239" s="0" t="n">
        <v>233.33</v>
      </c>
      <c r="CU239" s="0" t="n">
        <v>0</v>
      </c>
      <c r="CV239" s="0" t="n">
        <f aca="false">IF(OR(CT239="",CT239="NO ESPECIFICA",CT239="NO MENCIONA"),"",IF(CU239=0,CT239,IF(CU239=1,CT239/30,IF(CU239=2,CT239/15,IF(CU239=3,CT239/7,"")))))</f>
        <v>233.33</v>
      </c>
      <c r="CW239" s="125" t="n">
        <v>244.02</v>
      </c>
      <c r="CX239" s="0" t="n">
        <v>0</v>
      </c>
      <c r="CY239" s="0" t="n">
        <f aca="false">IF(CW239="","",IF(CX239=0,CW239,IF(CX239=1,CW239/30,IF(CX239=2,CW239/15,IF(CX239=3,CW239/7,CW239)))))</f>
        <v>244.02</v>
      </c>
      <c r="CZ239" s="0" t="n">
        <f aca="false">IF(DI239&gt;0,DI239,IF(CY239&gt;0,CY239,IF(CV239&gt;0,CV239,"")))</f>
        <v>244.02</v>
      </c>
      <c r="DA239" s="0" t="n">
        <f aca="false">IF(DM239=1,CZ239/8,IF(OR(DM239=2,DM239=4),CZ239/7,IF(DM239=3,CZ239/7.5,"")))</f>
        <v>30.5025</v>
      </c>
      <c r="DB239" s="0" t="s">
        <v>1935</v>
      </c>
      <c r="DC239" s="0" t="s">
        <v>301</v>
      </c>
      <c r="DD239" s="0" t="s">
        <v>216</v>
      </c>
      <c r="DE239" s="0" t="s">
        <v>216</v>
      </c>
      <c r="DF239" s="0" t="s">
        <v>216</v>
      </c>
      <c r="DG239" s="0" t="s">
        <v>216</v>
      </c>
      <c r="DH239" s="0" t="n">
        <v>0</v>
      </c>
      <c r="DI239" s="126" t="n">
        <v>244.02</v>
      </c>
      <c r="DK239" s="0" t="n">
        <v>0</v>
      </c>
      <c r="DM239" s="0" t="n">
        <v>1</v>
      </c>
      <c r="DN239" s="0" t="n">
        <v>72</v>
      </c>
      <c r="DO239" s="0" t="n">
        <v>3</v>
      </c>
      <c r="DP239" s="0" t="n">
        <v>0</v>
      </c>
      <c r="DQ239" s="0" t="n">
        <v>1</v>
      </c>
      <c r="DR239" s="0"/>
      <c r="DS239" s="0" t="n">
        <v>1</v>
      </c>
      <c r="DU239" s="0" t="n">
        <v>1</v>
      </c>
      <c r="DW239" s="1" t="n">
        <v>40132</v>
      </c>
      <c r="DX239" s="1" t="n">
        <v>40610</v>
      </c>
      <c r="DZ239" s="0"/>
      <c r="EA239" s="0" t="n">
        <v>1</v>
      </c>
      <c r="EC239" s="1" t="n">
        <v>40132</v>
      </c>
      <c r="ED239" s="1" t="n">
        <v>40610</v>
      </c>
      <c r="EF239" s="0"/>
      <c r="EG239" s="0" t="n">
        <v>0</v>
      </c>
      <c r="EI239" s="0" t="n">
        <f aca="false">IF(AND(DM239=1,DN239&lt;=48),"",IF(AND(DM239=2,DN239&lt;=42),"",IF(AND(DM239=3,DN239&lt;=45),"",EH239)))</f>
        <v>0</v>
      </c>
      <c r="EJ239" s="0" t="str">
        <f aca="false">IF(EI239="","",IF(EI239&lt;9,EI239,9))</f>
        <v/>
      </c>
      <c r="EK239" s="0" t="str">
        <f aca="false">IF(EI239="","",IF(EI239&gt;9,EI239-EJ239,0))</f>
        <v/>
      </c>
      <c r="EL239" s="0" t="str">
        <f aca="false">IF(EI239="","",EJ239*DA239*2+EK239*DA239*3)</f>
        <v/>
      </c>
      <c r="EP239" s="0" t="n">
        <v>0</v>
      </c>
      <c r="EQ239" s="0"/>
      <c r="ER239" s="0" t="n">
        <v>0</v>
      </c>
      <c r="ET239" s="0" t="n">
        <v>0</v>
      </c>
      <c r="EV239" s="0" t="n">
        <v>0</v>
      </c>
      <c r="EX239" s="0" t="n">
        <v>0</v>
      </c>
      <c r="EY239" s="0" t="n">
        <v>0</v>
      </c>
      <c r="EZ239" s="0"/>
      <c r="FA239" s="4" t="n">
        <f aca="false">244.02*7</f>
        <v>1708.14</v>
      </c>
      <c r="FB239" s="0" t="n">
        <v>0</v>
      </c>
      <c r="FF239" s="120" t="n">
        <f aca="false">(CJ239-CI239+1)/365</f>
        <v>1.31232876712329</v>
      </c>
      <c r="FG239" s="0" t="str">
        <f aca="false">CONCATENATE(F239,"/",G239)</f>
        <v>798/2011</v>
      </c>
      <c r="FH239" s="0" t="n">
        <v>0</v>
      </c>
      <c r="FI239" s="0" t="n">
        <v>0</v>
      </c>
    </row>
    <row r="240" customFormat="false" ht="15" hidden="false" customHeight="false" outlineLevel="0" collapsed="false">
      <c r="A240" s="5" t="str">
        <f aca="false">E240&amp;G240&amp;F240</f>
        <v>72011801</v>
      </c>
      <c r="B240" s="0" t="s">
        <v>2392</v>
      </c>
      <c r="C240" s="1" t="n">
        <v>42411</v>
      </c>
      <c r="E240" s="0" t="n">
        <v>7</v>
      </c>
      <c r="F240" s="0" t="n">
        <v>801</v>
      </c>
      <c r="G240" s="0" t="n">
        <v>2011</v>
      </c>
      <c r="H240" s="0" t="str">
        <f aca="false">"J"&amp;E240&amp;"\"&amp;F240&amp;"\"&amp;G240&amp;"\"&amp;W240</f>
        <v>J7\801\2011\1</v>
      </c>
      <c r="I240" s="0"/>
      <c r="J240" s="1" t="n">
        <v>40669</v>
      </c>
      <c r="K240" s="0" t="n">
        <v>1</v>
      </c>
      <c r="L240" s="0" t="s">
        <v>2659</v>
      </c>
      <c r="M240" s="1" t="n">
        <v>40669</v>
      </c>
      <c r="N240" s="1" t="n">
        <v>40806</v>
      </c>
      <c r="O240" s="1"/>
      <c r="P240" s="1"/>
      <c r="Q240" s="1"/>
      <c r="T240" s="121"/>
      <c r="U240" s="121"/>
      <c r="V240" s="122" t="n">
        <f aca="false">IF(AND(E240&gt;0,F240&gt;0,G240&gt;0),COUNTIFS($E:$E,E240,$F:$F,F240,$G:$G,G240),"")</f>
        <v>1</v>
      </c>
      <c r="W240" s="122" t="n">
        <f aca="false">IF(V240="","",IF(V240=1,1,IF(AND(E239=E240,F239=F240,G239=G240),W239+1,1)))</f>
        <v>1</v>
      </c>
      <c r="X240" s="0" t="n">
        <v>1</v>
      </c>
      <c r="Y240" s="0" t="n">
        <v>7</v>
      </c>
      <c r="Z240" s="0" t="s">
        <v>2660</v>
      </c>
      <c r="AA240" s="0" t="n">
        <v>0</v>
      </c>
      <c r="AB240" s="0" t="s">
        <v>1947</v>
      </c>
      <c r="AE240" s="0" t="n">
        <v>0</v>
      </c>
      <c r="AF240" s="0" t="s">
        <v>2661</v>
      </c>
      <c r="AG240" s="0" t="n">
        <v>0</v>
      </c>
      <c r="AH240" s="0" t="s">
        <v>2662</v>
      </c>
      <c r="AI240" s="0" t="s">
        <v>2663</v>
      </c>
      <c r="AJ240" s="0" t="s">
        <v>1972</v>
      </c>
      <c r="AL240" s="0" t="s">
        <v>2664</v>
      </c>
      <c r="AM240" s="0" t="n">
        <v>0</v>
      </c>
      <c r="AN240" s="0" t="s">
        <v>2662</v>
      </c>
      <c r="AO240" s="0" t="s">
        <v>2663</v>
      </c>
      <c r="AP240" s="0" t="s">
        <v>1972</v>
      </c>
      <c r="AR240" s="0" t="s">
        <v>2665</v>
      </c>
      <c r="AS240" s="0" t="n">
        <v>0</v>
      </c>
      <c r="AT240" s="0" t="s">
        <v>2662</v>
      </c>
      <c r="AU240" s="0" t="s">
        <v>2663</v>
      </c>
      <c r="AV240" s="0" t="s">
        <v>1972</v>
      </c>
      <c r="AX240" s="0" t="s">
        <v>2666</v>
      </c>
      <c r="AY240" s="0" t="n">
        <v>1</v>
      </c>
      <c r="AZ240" s="0" t="s">
        <v>2662</v>
      </c>
      <c r="BA240" s="0" t="s">
        <v>2663</v>
      </c>
      <c r="BB240" s="0" t="s">
        <v>1972</v>
      </c>
      <c r="BD240" s="0" t="s">
        <v>2667</v>
      </c>
      <c r="BE240" s="0" t="n">
        <v>1</v>
      </c>
      <c r="BF240" s="0" t="s">
        <v>2662</v>
      </c>
      <c r="BG240" s="0" t="s">
        <v>2663</v>
      </c>
      <c r="BH240" s="0" t="s">
        <v>1972</v>
      </c>
      <c r="BJ240" s="0" t="s">
        <v>2668</v>
      </c>
      <c r="BK240" s="0" t="n">
        <v>1</v>
      </c>
      <c r="BL240" s="0" t="s">
        <v>2662</v>
      </c>
      <c r="BM240" s="0" t="s">
        <v>2663</v>
      </c>
      <c r="BN240" s="0" t="s">
        <v>1972</v>
      </c>
      <c r="BP240" s="0" t="n">
        <v>0</v>
      </c>
      <c r="BQ240" s="0" t="n">
        <v>0</v>
      </c>
      <c r="BR240" s="0" t="n">
        <v>1</v>
      </c>
      <c r="BS240" s="0" t="s">
        <v>2669</v>
      </c>
      <c r="BT240" s="0" t="s">
        <v>2670</v>
      </c>
      <c r="BU240" s="0" t="s">
        <v>2671</v>
      </c>
      <c r="BV240" s="123"/>
      <c r="BW240" s="123"/>
      <c r="BX240" s="123"/>
      <c r="BY240" s="123"/>
      <c r="BZ240" s="0" t="n">
        <v>0</v>
      </c>
      <c r="CA240" s="0" t="s">
        <v>1895</v>
      </c>
      <c r="CD240" s="0" t="s">
        <v>2572</v>
      </c>
      <c r="CE240" s="0" t="n">
        <v>0</v>
      </c>
      <c r="CF240" s="0" t="s">
        <v>2672</v>
      </c>
      <c r="CI240" s="1" t="n">
        <v>38880</v>
      </c>
      <c r="CJ240" s="1" t="n">
        <v>40641</v>
      </c>
      <c r="CK240" s="124" t="n">
        <v>0.333333333333333</v>
      </c>
      <c r="CL240" s="0" t="s">
        <v>2673</v>
      </c>
      <c r="CM240" s="0" t="n">
        <f aca="false">IF(OR(CI240="",CJ240=""),"",DAYS360(CI240,CJ240)/360)</f>
        <v>4.82222222222222</v>
      </c>
      <c r="CN240" s="0" t="n">
        <f aca="false">IF(OR(CI240="",CJ240=""),"",DAYS360(CI240,CJ240)/30)</f>
        <v>57.8666666666667</v>
      </c>
      <c r="CO240" s="0" t="n">
        <f aca="false">IF(OR(CI240="",CJ240=""),"",DAYS360(CI240,CJ240)/7)</f>
        <v>248</v>
      </c>
      <c r="CP240" s="0" t="n">
        <f aca="false">IF(OR(CI240="",CJ240=""),"",DAYS360(CI240,CJ240))</f>
        <v>1736</v>
      </c>
      <c r="CQ240" s="0" t="s">
        <v>240</v>
      </c>
      <c r="CR240" s="0" t="n">
        <v>1</v>
      </c>
      <c r="CT240" s="0" t="s">
        <v>221</v>
      </c>
      <c r="CU240" s="0" t="s">
        <v>221</v>
      </c>
      <c r="CV240" s="0" t="str">
        <f aca="false">IF(OR(CT240="",CT240="NO ESPECIFICA",CT240="NO MENCIONA"),"",IF(CU240=0,CT240,IF(CU240=1,CT240/30,IF(CU240=2,CT240/15,IF(CU240=3,CT240/7,"")))))</f>
        <v/>
      </c>
      <c r="CW240" s="125" t="n">
        <v>8500</v>
      </c>
      <c r="CX240" s="0" t="n">
        <v>1</v>
      </c>
      <c r="CY240" s="0" t="n">
        <f aca="false">IF(CW240="","",IF(CX240=0,CW240,IF(CX240=1,CW240/30,IF(CX240=2,CW240/15,IF(CX240=3,CW240/7,CW240)))))</f>
        <v>283.333333333333</v>
      </c>
      <c r="CZ240" s="0" t="n">
        <f aca="false">IF(DI240&gt;0,DI240,IF(CY240&gt;0,CY240,IF(CV240&gt;0,CV240,"")))</f>
        <v>283.33</v>
      </c>
      <c r="DA240" s="0" t="n">
        <f aca="false">IF(DM240=1,CZ240/8,IF(OR(DM240=2,DM240=4),CZ240/7,IF(DM240=3,CZ240/7.5,"")))</f>
        <v>35.41625</v>
      </c>
      <c r="DB240" s="0" t="s">
        <v>216</v>
      </c>
      <c r="DC240" s="0" t="s">
        <v>216</v>
      </c>
      <c r="DD240" s="0" t="s">
        <v>216</v>
      </c>
      <c r="DE240" s="0" t="s">
        <v>216</v>
      </c>
      <c r="DF240" s="0" t="s">
        <v>216</v>
      </c>
      <c r="DG240" s="0" t="s">
        <v>216</v>
      </c>
      <c r="DH240" s="0" t="n">
        <v>0</v>
      </c>
      <c r="DI240" s="126" t="n">
        <v>283.33</v>
      </c>
      <c r="DK240" s="0" t="n">
        <v>0</v>
      </c>
      <c r="DM240" s="0" t="n">
        <v>1</v>
      </c>
      <c r="DN240" s="0" t="n">
        <v>66</v>
      </c>
      <c r="DO240" s="0" t="n">
        <v>3</v>
      </c>
      <c r="DP240" s="0" t="n">
        <v>0</v>
      </c>
      <c r="DQ240" s="0" t="n">
        <v>1</v>
      </c>
      <c r="DR240" s="0"/>
      <c r="DS240" s="0" t="n">
        <v>1</v>
      </c>
      <c r="DU240" s="0" t="n">
        <v>1</v>
      </c>
      <c r="DW240" s="1" t="n">
        <v>38880</v>
      </c>
      <c r="DX240" s="1" t="n">
        <v>40641</v>
      </c>
      <c r="DZ240" s="0"/>
      <c r="EA240" s="0" t="n">
        <v>1</v>
      </c>
      <c r="EC240" s="1" t="n">
        <v>38880</v>
      </c>
      <c r="ED240" s="1" t="n">
        <v>40641</v>
      </c>
      <c r="EF240" s="0"/>
      <c r="EG240" s="0" t="n">
        <v>1</v>
      </c>
      <c r="EH240" s="0" t="n">
        <v>18</v>
      </c>
      <c r="EI240" s="0" t="n">
        <f aca="false">IF(AND(DM240=1,DN240&lt;=48),"",IF(AND(DM240=2,DN240&lt;=42),"",IF(AND(DM240=3,DN240&lt;=45),"",EH240)))</f>
        <v>18</v>
      </c>
      <c r="EJ240" s="0" t="n">
        <f aca="false">IF(EI240="","",IF(EI240&lt;9,EI240,9))</f>
        <v>9</v>
      </c>
      <c r="EK240" s="0" t="n">
        <f aca="false">IF(EI240="","",IF(EI240&gt;9,EI240-EJ240,0))</f>
        <v>9</v>
      </c>
      <c r="EL240" s="0" t="n">
        <f aca="false">IF(EI240="","",EJ240*DA240*2+EK240*DA240*3)</f>
        <v>1593.73125</v>
      </c>
      <c r="EP240" s="0" t="n">
        <v>0</v>
      </c>
      <c r="EQ240" s="0"/>
      <c r="ER240" s="0" t="n">
        <v>1</v>
      </c>
      <c r="ET240" s="0" t="n">
        <v>1</v>
      </c>
      <c r="EV240" s="0" t="n">
        <v>1</v>
      </c>
      <c r="EX240" s="0" t="n">
        <v>1</v>
      </c>
      <c r="EY240" s="0" t="n">
        <v>1</v>
      </c>
      <c r="EZ240" s="0"/>
      <c r="FA240" s="4" t="n">
        <v>283.33</v>
      </c>
      <c r="FB240" s="0" t="n">
        <v>1</v>
      </c>
      <c r="FF240" s="120" t="n">
        <f aca="false">(CJ240-CI240+1)/365</f>
        <v>4.82739726027397</v>
      </c>
      <c r="FG240" s="0" t="str">
        <f aca="false">CONCATENATE(F240,"/",G240)</f>
        <v>801/2011</v>
      </c>
      <c r="FH240" s="0" t="n">
        <v>0</v>
      </c>
      <c r="FI240" s="0" t="n">
        <v>0</v>
      </c>
    </row>
    <row r="241" customFormat="false" ht="15" hidden="false" customHeight="false" outlineLevel="0" collapsed="false">
      <c r="A241" s="5" t="str">
        <f aca="false">E241&amp;G241&amp;F241</f>
        <v>72011804</v>
      </c>
      <c r="B241" s="0" t="s">
        <v>2392</v>
      </c>
      <c r="C241" s="1" t="n">
        <v>42412</v>
      </c>
      <c r="D241" s="0" t="s">
        <v>2393</v>
      </c>
      <c r="E241" s="0" t="n">
        <v>7</v>
      </c>
      <c r="F241" s="0" t="n">
        <v>804</v>
      </c>
      <c r="G241" s="0" t="n">
        <v>2011</v>
      </c>
      <c r="H241" s="0" t="str">
        <f aca="false">"J"&amp;E241&amp;"\"&amp;F241&amp;"\"&amp;G241&amp;"\"&amp;W241</f>
        <v>J7\804\2011\1</v>
      </c>
      <c r="I241" s="0"/>
      <c r="J241" s="1" t="n">
        <v>40669</v>
      </c>
      <c r="K241" s="0" t="n">
        <v>0</v>
      </c>
      <c r="M241" s="1"/>
      <c r="N241" s="1"/>
      <c r="O241" s="1"/>
      <c r="P241" s="1"/>
      <c r="Q241" s="1"/>
      <c r="T241" s="121"/>
      <c r="U241" s="121"/>
      <c r="V241" s="122" t="n">
        <f aca="false">IF(AND(E241&gt;0,F241&gt;0,G241&gt;0),COUNTIFS($E:$E,E241,$F:$F,F241,$G:$G,G241),"")</f>
        <v>5</v>
      </c>
      <c r="W241" s="122" t="n">
        <f aca="false">IF(V241="","",IF(V241=1,1,IF(AND(E240=E241,F240=F241,G240=G241),W240+1,1)))</f>
        <v>1</v>
      </c>
      <c r="X241" s="0" t="n">
        <v>5</v>
      </c>
      <c r="Y241" s="0" t="n">
        <v>3</v>
      </c>
      <c r="Z241" s="0" t="s">
        <v>2674</v>
      </c>
      <c r="AA241" s="0" t="n">
        <v>0</v>
      </c>
      <c r="AB241" s="0" t="s">
        <v>2603</v>
      </c>
      <c r="AC241" s="0" t="s">
        <v>1924</v>
      </c>
      <c r="AD241" s="0" t="s">
        <v>229</v>
      </c>
      <c r="AE241" s="0" t="n">
        <v>0</v>
      </c>
      <c r="AF241" s="0" t="s">
        <v>2675</v>
      </c>
      <c r="AG241" s="0" t="n">
        <v>1</v>
      </c>
      <c r="AH241" s="0" t="s">
        <v>2676</v>
      </c>
      <c r="AI241" s="0" t="s">
        <v>2677</v>
      </c>
      <c r="AJ241" s="0" t="s">
        <v>2678</v>
      </c>
      <c r="AL241" s="0" t="s">
        <v>2679</v>
      </c>
      <c r="AM241" s="0" t="n">
        <v>1</v>
      </c>
      <c r="AN241" s="0" t="s">
        <v>2676</v>
      </c>
      <c r="AO241" s="0" t="s">
        <v>2677</v>
      </c>
      <c r="AP241" s="0" t="s">
        <v>2678</v>
      </c>
      <c r="AR241" s="0" t="s">
        <v>1931</v>
      </c>
      <c r="AS241" s="0" t="n">
        <v>1</v>
      </c>
      <c r="AT241" s="0" t="s">
        <v>2676</v>
      </c>
      <c r="AU241" s="0" t="s">
        <v>2677</v>
      </c>
      <c r="AV241" s="0" t="s">
        <v>2678</v>
      </c>
      <c r="BP241" s="0" t="n">
        <v>0</v>
      </c>
      <c r="BQ241" s="0" t="n">
        <v>0</v>
      </c>
      <c r="BR241" s="0" t="n">
        <v>3</v>
      </c>
      <c r="BS241" s="0" t="s">
        <v>651</v>
      </c>
      <c r="BT241" s="0" t="s">
        <v>1933</v>
      </c>
      <c r="BU241" s="0" t="s">
        <v>501</v>
      </c>
      <c r="BV241" s="123"/>
      <c r="BW241" s="123"/>
      <c r="BX241" s="123"/>
      <c r="BY241" s="123"/>
      <c r="BZ241" s="0" t="n">
        <v>0</v>
      </c>
      <c r="CA241" s="0" t="s">
        <v>348</v>
      </c>
      <c r="CD241" s="0" t="s">
        <v>1919</v>
      </c>
      <c r="CE241" s="0" t="n">
        <v>0</v>
      </c>
      <c r="CF241" s="0" t="s">
        <v>2680</v>
      </c>
      <c r="CI241" s="1" t="n">
        <v>40438</v>
      </c>
      <c r="CJ241" s="1" t="n">
        <v>40609</v>
      </c>
      <c r="CK241" s="124" t="n">
        <v>0.625</v>
      </c>
      <c r="CL241" s="0" t="s">
        <v>2679</v>
      </c>
      <c r="CM241" s="0" t="n">
        <f aca="false">IF(OR(CI241="",CJ241=""),"",DAYS360(CI241,CJ241)/360)</f>
        <v>0.472222222222222</v>
      </c>
      <c r="CN241" s="0" t="n">
        <f aca="false">IF(OR(CI241="",CJ241=""),"",DAYS360(CI241,CJ241)/30)</f>
        <v>5.66666666666667</v>
      </c>
      <c r="CO241" s="0" t="n">
        <f aca="false">IF(OR(CI241="",CJ241=""),"",DAYS360(CI241,CJ241)/7)</f>
        <v>24.2857142857143</v>
      </c>
      <c r="CP241" s="0" t="n">
        <f aca="false">IF(OR(CI241="",CJ241=""),"",DAYS360(CI241,CJ241))</f>
        <v>170</v>
      </c>
      <c r="CQ241" s="0" t="s">
        <v>240</v>
      </c>
      <c r="CR241" s="0" t="n">
        <v>1</v>
      </c>
      <c r="CT241" s="0" t="n">
        <v>150</v>
      </c>
      <c r="CU241" s="0" t="n">
        <v>0</v>
      </c>
      <c r="CV241" s="0" t="n">
        <f aca="false">IF(OR(CT241="",CT241="NO ESPECIFICA",CT241="NO MENCIONA"),"",IF(CU241=0,CT241,IF(CU241=1,CT241/30,IF(CU241=2,CT241/15,IF(CU241=3,CT241/7,"")))))</f>
        <v>150</v>
      </c>
      <c r="CW241" s="125" t="n">
        <v>156.77</v>
      </c>
      <c r="CX241" s="0" t="n">
        <v>0</v>
      </c>
      <c r="CY241" s="0" t="n">
        <f aca="false">IF(CW241="","",IF(CX241=0,CW241,IF(CX241=1,CW241/30,IF(CX241=2,CW241/15,IF(CX241=3,CW241/7,CW241)))))</f>
        <v>156.77</v>
      </c>
      <c r="CZ241" s="0" t="n">
        <f aca="false">IF(DI241&gt;0,DI241,IF(CY241&gt;0,CY241,IF(CV241&gt;0,CV241,"")))</f>
        <v>156.77</v>
      </c>
      <c r="DA241" s="0" t="n">
        <f aca="false">IF(DM241=1,CZ241/8,IF(OR(DM241=2,DM241=4),CZ241/7,IF(DM241=3,CZ241/7.5,"")))</f>
        <v>19.59625</v>
      </c>
      <c r="DB241" s="0" t="s">
        <v>1935</v>
      </c>
      <c r="DC241" s="0" t="s">
        <v>301</v>
      </c>
      <c r="DD241" s="0" t="s">
        <v>216</v>
      </c>
      <c r="DE241" s="0" t="s">
        <v>216</v>
      </c>
      <c r="DF241" s="0" t="s">
        <v>216</v>
      </c>
      <c r="DG241" s="0" t="s">
        <v>216</v>
      </c>
      <c r="DH241" s="0" t="n">
        <v>0</v>
      </c>
      <c r="DI241" s="126" t="n">
        <v>156.77</v>
      </c>
      <c r="DK241" s="0" t="n">
        <v>1</v>
      </c>
      <c r="DM241" s="0" t="n">
        <v>1</v>
      </c>
      <c r="DN241" s="0" t="n">
        <v>48</v>
      </c>
      <c r="DO241" s="0" t="n">
        <v>3</v>
      </c>
      <c r="DP241" s="0" t="n">
        <v>0</v>
      </c>
      <c r="DQ241" s="0" t="n">
        <v>1</v>
      </c>
      <c r="DR241" s="0"/>
      <c r="DS241" s="0" t="n">
        <v>1</v>
      </c>
      <c r="DU241" s="0" t="n">
        <v>1</v>
      </c>
      <c r="DW241" s="1" t="n">
        <v>40438</v>
      </c>
      <c r="DX241" s="1" t="n">
        <v>40609</v>
      </c>
      <c r="DZ241" s="0"/>
      <c r="EA241" s="0" t="n">
        <v>1</v>
      </c>
      <c r="EC241" s="1" t="n">
        <v>40438</v>
      </c>
      <c r="ED241" s="1" t="n">
        <v>40609</v>
      </c>
      <c r="EF241" s="0"/>
      <c r="EG241" s="0" t="n">
        <v>0</v>
      </c>
      <c r="EI241" s="0" t="str">
        <f aca="false">IF(AND(DM241=1,DN241&lt;=48),"",IF(AND(DM241=2,DN241&lt;=42),"",IF(AND(DM241=3,DN241&lt;=45),"",EH241)))</f>
        <v/>
      </c>
      <c r="EJ241" s="0" t="str">
        <f aca="false">IF(EI241="","",IF(EI241&lt;9,EI241,9))</f>
        <v/>
      </c>
      <c r="EK241" s="0" t="str">
        <f aca="false">IF(EI241="","",IF(EI241&gt;9,EI241-EJ241,0))</f>
        <v/>
      </c>
      <c r="EL241" s="0" t="str">
        <f aca="false">IF(EI241="","",EJ241*DA241*2+EK241*DA241*3)</f>
        <v/>
      </c>
      <c r="EP241" s="0" t="n">
        <v>0</v>
      </c>
      <c r="EQ241" s="0"/>
      <c r="ER241" s="0" t="n">
        <v>0</v>
      </c>
      <c r="ET241" s="0" t="n">
        <v>0</v>
      </c>
      <c r="EV241" s="0" t="n">
        <v>0</v>
      </c>
      <c r="EX241" s="0" t="n">
        <v>0</v>
      </c>
      <c r="EY241" s="0" t="n">
        <v>0</v>
      </c>
      <c r="EZ241" s="0"/>
      <c r="FA241" s="4" t="n">
        <f aca="false">15*156.77</f>
        <v>2351.55</v>
      </c>
      <c r="FB241" s="0" t="n">
        <v>1</v>
      </c>
      <c r="FF241" s="120" t="n">
        <f aca="false">(CJ241-CI241+1)/365</f>
        <v>0.471232876712329</v>
      </c>
      <c r="FG241" s="0" t="str">
        <f aca="false">CONCATENATE(F241,"/",G241)</f>
        <v>804/2011</v>
      </c>
      <c r="FH241" s="0" t="n">
        <v>0</v>
      </c>
      <c r="FI241" s="0" t="n">
        <v>0</v>
      </c>
    </row>
    <row r="242" customFormat="false" ht="15" hidden="false" customHeight="false" outlineLevel="0" collapsed="false">
      <c r="A242" s="5" t="str">
        <f aca="false">E242&amp;G242&amp;F242</f>
        <v>72011804</v>
      </c>
      <c r="B242" s="0" t="s">
        <v>2392</v>
      </c>
      <c r="C242" s="1" t="n">
        <v>42412</v>
      </c>
      <c r="D242" s="0" t="s">
        <v>2393</v>
      </c>
      <c r="E242" s="0" t="n">
        <v>7</v>
      </c>
      <c r="F242" s="0" t="n">
        <v>804</v>
      </c>
      <c r="G242" s="0" t="n">
        <v>2011</v>
      </c>
      <c r="H242" s="0" t="str">
        <f aca="false">"J"&amp;E242&amp;"\"&amp;F242&amp;"\"&amp;G242&amp;"\"&amp;W242</f>
        <v>J7\804\2011\2</v>
      </c>
      <c r="I242" s="0"/>
      <c r="J242" s="1" t="n">
        <v>40669</v>
      </c>
      <c r="K242" s="0" t="n">
        <v>0</v>
      </c>
      <c r="M242" s="1"/>
      <c r="N242" s="1"/>
      <c r="O242" s="1"/>
      <c r="P242" s="1"/>
      <c r="Q242" s="1"/>
      <c r="T242" s="121"/>
      <c r="U242" s="121"/>
      <c r="V242" s="122" t="n">
        <f aca="false">IF(AND(E242&gt;0,F242&gt;0,G242&gt;0),COUNTIFS($E:$E,E242,$F:$F,F242,$G:$G,G242),"")</f>
        <v>5</v>
      </c>
      <c r="W242" s="122" t="n">
        <f aca="false">IF(V242="","",IF(V242=1,1,IF(AND(E241=E242,F241=F242,G241=G242),W241+1,1)))</f>
        <v>2</v>
      </c>
      <c r="X242" s="0" t="n">
        <v>5</v>
      </c>
      <c r="Y242" s="0" t="n">
        <v>3</v>
      </c>
      <c r="Z242" s="0" t="s">
        <v>2681</v>
      </c>
      <c r="AA242" s="0" t="n">
        <v>0</v>
      </c>
      <c r="AB242" s="0" t="s">
        <v>2603</v>
      </c>
      <c r="AC242" s="0" t="s">
        <v>1924</v>
      </c>
      <c r="AD242" s="0" t="s">
        <v>229</v>
      </c>
      <c r="AE242" s="0" t="n">
        <v>0</v>
      </c>
      <c r="AF242" s="0" t="s">
        <v>2675</v>
      </c>
      <c r="AG242" s="0" t="n">
        <v>1</v>
      </c>
      <c r="AH242" s="0" t="s">
        <v>2676</v>
      </c>
      <c r="AI242" s="0" t="s">
        <v>2677</v>
      </c>
      <c r="AJ242" s="0" t="s">
        <v>2678</v>
      </c>
      <c r="AL242" s="0" t="s">
        <v>2679</v>
      </c>
      <c r="AM242" s="0" t="n">
        <v>1</v>
      </c>
      <c r="AN242" s="0" t="s">
        <v>2676</v>
      </c>
      <c r="AO242" s="0" t="s">
        <v>2677</v>
      </c>
      <c r="AP242" s="0" t="s">
        <v>2678</v>
      </c>
      <c r="AR242" s="0" t="s">
        <v>1931</v>
      </c>
      <c r="AS242" s="0" t="n">
        <v>1</v>
      </c>
      <c r="AT242" s="0" t="s">
        <v>2676</v>
      </c>
      <c r="AU242" s="0" t="s">
        <v>2677</v>
      </c>
      <c r="AV242" s="0" t="s">
        <v>2678</v>
      </c>
      <c r="BP242" s="0" t="n">
        <v>0</v>
      </c>
      <c r="BQ242" s="0" t="n">
        <v>0</v>
      </c>
      <c r="BR242" s="0" t="n">
        <v>3</v>
      </c>
      <c r="BS242" s="0" t="s">
        <v>651</v>
      </c>
      <c r="BT242" s="0" t="s">
        <v>1933</v>
      </c>
      <c r="BU242" s="0" t="s">
        <v>501</v>
      </c>
      <c r="BV242" s="123"/>
      <c r="BW242" s="123"/>
      <c r="BX242" s="123"/>
      <c r="BY242" s="123"/>
      <c r="BZ242" s="0" t="n">
        <v>0</v>
      </c>
      <c r="CA242" s="0" t="s">
        <v>348</v>
      </c>
      <c r="CD242" s="0" t="s">
        <v>1919</v>
      </c>
      <c r="CE242" s="0" t="n">
        <v>0</v>
      </c>
      <c r="CF242" s="0" t="s">
        <v>2680</v>
      </c>
      <c r="CI242" s="1" t="n">
        <v>40422</v>
      </c>
      <c r="CJ242" s="1" t="n">
        <v>40609</v>
      </c>
      <c r="CK242" s="124" t="n">
        <v>0.625</v>
      </c>
      <c r="CL242" s="0" t="s">
        <v>2679</v>
      </c>
      <c r="CM242" s="0" t="n">
        <f aca="false">IF(OR(CI242="",CJ242=""),"",DAYS360(CI242,CJ242)/360)</f>
        <v>0.516666666666667</v>
      </c>
      <c r="CN242" s="0" t="n">
        <f aca="false">IF(OR(CI242="",CJ242=""),"",DAYS360(CI242,CJ242)/30)</f>
        <v>6.2</v>
      </c>
      <c r="CO242" s="0" t="n">
        <f aca="false">IF(OR(CI242="",CJ242=""),"",DAYS360(CI242,CJ242)/7)</f>
        <v>26.5714285714286</v>
      </c>
      <c r="CP242" s="0" t="n">
        <f aca="false">IF(OR(CI242="",CJ242=""),"",DAYS360(CI242,CJ242))</f>
        <v>186</v>
      </c>
      <c r="CQ242" s="0" t="s">
        <v>240</v>
      </c>
      <c r="CR242" s="0" t="n">
        <v>1</v>
      </c>
      <c r="CT242" s="0" t="n">
        <v>150</v>
      </c>
      <c r="CU242" s="0" t="n">
        <v>0</v>
      </c>
      <c r="CV242" s="0" t="n">
        <f aca="false">IF(OR(CT242="",CT242="NO ESPECIFICA",CT242="NO MENCIONA"),"",IF(CU242=0,CT242,IF(CU242=1,CT242/30,IF(CU242=2,CT242/15,IF(CU242=3,CT242/7,"")))))</f>
        <v>150</v>
      </c>
      <c r="CW242" s="125" t="n">
        <v>156.77</v>
      </c>
      <c r="CX242" s="0" t="n">
        <v>0</v>
      </c>
      <c r="CY242" s="0" t="n">
        <f aca="false">IF(CW242="","",IF(CX242=0,CW242,IF(CX242=1,CW242/30,IF(CX242=2,CW242/15,IF(CX242=3,CW242/7,CW242)))))</f>
        <v>156.77</v>
      </c>
      <c r="CZ242" s="0" t="n">
        <f aca="false">IF(DI242&gt;0,DI242,IF(CY242&gt;0,CY242,IF(CV242&gt;0,CV242,"")))</f>
        <v>156.77</v>
      </c>
      <c r="DA242" s="0" t="n">
        <f aca="false">IF(DM242=1,CZ242/8,IF(OR(DM242=2,DM242=4),CZ242/7,IF(DM242=3,CZ242/7.5,"")))</f>
        <v>19.59625</v>
      </c>
      <c r="DB242" s="0" t="s">
        <v>1935</v>
      </c>
      <c r="DC242" s="0" t="s">
        <v>301</v>
      </c>
      <c r="DD242" s="0" t="s">
        <v>216</v>
      </c>
      <c r="DE242" s="0" t="s">
        <v>216</v>
      </c>
      <c r="DF242" s="0" t="s">
        <v>216</v>
      </c>
      <c r="DG242" s="0" t="s">
        <v>216</v>
      </c>
      <c r="DH242" s="0" t="n">
        <v>0</v>
      </c>
      <c r="DI242" s="126" t="n">
        <v>156.77</v>
      </c>
      <c r="DK242" s="0" t="n">
        <v>1</v>
      </c>
      <c r="DM242" s="0" t="n">
        <v>1</v>
      </c>
      <c r="DN242" s="0" t="n">
        <v>48</v>
      </c>
      <c r="DO242" s="0" t="n">
        <v>3</v>
      </c>
      <c r="DP242" s="0" t="n">
        <v>0</v>
      </c>
      <c r="DQ242" s="0" t="n">
        <v>1</v>
      </c>
      <c r="DR242" s="0"/>
      <c r="DS242" s="0" t="n">
        <v>1</v>
      </c>
      <c r="DU242" s="0" t="n">
        <v>1</v>
      </c>
      <c r="DW242" s="1" t="n">
        <v>40422</v>
      </c>
      <c r="DX242" s="1" t="n">
        <v>40609</v>
      </c>
      <c r="DZ242" s="0"/>
      <c r="EA242" s="0" t="n">
        <v>1</v>
      </c>
      <c r="EC242" s="1" t="n">
        <v>40422</v>
      </c>
      <c r="ED242" s="1" t="n">
        <v>40609</v>
      </c>
      <c r="EF242" s="0"/>
      <c r="EG242" s="0" t="n">
        <v>0</v>
      </c>
      <c r="EI242" s="0" t="str">
        <f aca="false">IF(AND(DM242=1,DN242&lt;=48),"",IF(AND(DM242=2,DN242&lt;=42),"",IF(AND(DM242=3,DN242&lt;=45),"",EH242)))</f>
        <v/>
      </c>
      <c r="EJ242" s="0" t="str">
        <f aca="false">IF(EI242="","",IF(EI242&lt;9,EI242,9))</f>
        <v/>
      </c>
      <c r="EK242" s="0" t="str">
        <f aca="false">IF(EI242="","",IF(EI242&gt;9,EI242-EJ242,0))</f>
        <v/>
      </c>
      <c r="EL242" s="0" t="str">
        <f aca="false">IF(EI242="","",EJ242*DA242*2+EK242*DA242*3)</f>
        <v/>
      </c>
      <c r="EP242" s="0" t="n">
        <v>0</v>
      </c>
      <c r="EQ242" s="0"/>
      <c r="ER242" s="0" t="n">
        <v>0</v>
      </c>
      <c r="ET242" s="0" t="n">
        <v>0</v>
      </c>
      <c r="EV242" s="0" t="n">
        <v>0</v>
      </c>
      <c r="EX242" s="0" t="n">
        <v>0</v>
      </c>
      <c r="EY242" s="0" t="n">
        <v>0</v>
      </c>
      <c r="EZ242" s="0"/>
      <c r="FA242" s="4" t="n">
        <f aca="false">15*156.77</f>
        <v>2351.55</v>
      </c>
      <c r="FB242" s="0" t="n">
        <v>1</v>
      </c>
      <c r="FF242" s="120" t="n">
        <f aca="false">(CJ242-CI242+1)/365</f>
        <v>0.515068493150685</v>
      </c>
      <c r="FG242" s="0" t="str">
        <f aca="false">CONCATENATE(F242,"/",G242)</f>
        <v>804/2011</v>
      </c>
      <c r="FH242" s="0" t="n">
        <v>0</v>
      </c>
      <c r="FI242" s="0" t="n">
        <v>0</v>
      </c>
    </row>
    <row r="243" customFormat="false" ht="15" hidden="false" customHeight="false" outlineLevel="0" collapsed="false">
      <c r="A243" s="5" t="str">
        <f aca="false">E243&amp;G243&amp;F243</f>
        <v>72011804</v>
      </c>
      <c r="B243" s="0" t="s">
        <v>2392</v>
      </c>
      <c r="C243" s="1" t="n">
        <v>42412</v>
      </c>
      <c r="D243" s="0" t="s">
        <v>2393</v>
      </c>
      <c r="E243" s="0" t="n">
        <v>7</v>
      </c>
      <c r="F243" s="0" t="n">
        <v>804</v>
      </c>
      <c r="G243" s="0" t="n">
        <v>2011</v>
      </c>
      <c r="H243" s="0" t="str">
        <f aca="false">"J"&amp;E243&amp;"\"&amp;F243&amp;"\"&amp;G243&amp;"\"&amp;W243</f>
        <v>J7\804\2011\3</v>
      </c>
      <c r="I243" s="0"/>
      <c r="J243" s="1" t="n">
        <v>40669</v>
      </c>
      <c r="K243" s="0" t="n">
        <v>0</v>
      </c>
      <c r="M243" s="1"/>
      <c r="N243" s="1"/>
      <c r="O243" s="1"/>
      <c r="P243" s="1"/>
      <c r="Q243" s="1"/>
      <c r="T243" s="121"/>
      <c r="U243" s="121"/>
      <c r="V243" s="122" t="n">
        <f aca="false">IF(AND(E243&gt;0,F243&gt;0,G243&gt;0),COUNTIFS($E:$E,E243,$F:$F,F243,$G:$G,G243),"")</f>
        <v>5</v>
      </c>
      <c r="W243" s="122" t="n">
        <f aca="false">IF(V243="","",IF(V243=1,1,IF(AND(E242=E243,F242=F243,G242=G243),W242+1,1)))</f>
        <v>3</v>
      </c>
      <c r="X243" s="0" t="n">
        <v>5</v>
      </c>
      <c r="Y243" s="0" t="n">
        <v>3</v>
      </c>
      <c r="Z243" s="0" t="s">
        <v>2682</v>
      </c>
      <c r="AA243" s="0" t="n">
        <v>0</v>
      </c>
      <c r="AB243" s="0" t="s">
        <v>2603</v>
      </c>
      <c r="AC243" s="0" t="s">
        <v>1924</v>
      </c>
      <c r="AD243" s="0" t="s">
        <v>229</v>
      </c>
      <c r="AE243" s="0" t="n">
        <v>0</v>
      </c>
      <c r="AF243" s="0" t="s">
        <v>2675</v>
      </c>
      <c r="AG243" s="0" t="n">
        <v>1</v>
      </c>
      <c r="AH243" s="0" t="s">
        <v>2676</v>
      </c>
      <c r="AI243" s="0" t="s">
        <v>2677</v>
      </c>
      <c r="AJ243" s="0" t="s">
        <v>2678</v>
      </c>
      <c r="AL243" s="0" t="s">
        <v>2679</v>
      </c>
      <c r="AM243" s="0" t="n">
        <v>1</v>
      </c>
      <c r="AN243" s="0" t="s">
        <v>2676</v>
      </c>
      <c r="AO243" s="0" t="s">
        <v>2677</v>
      </c>
      <c r="AP243" s="0" t="s">
        <v>2678</v>
      </c>
      <c r="AR243" s="0" t="s">
        <v>1931</v>
      </c>
      <c r="AS243" s="0" t="n">
        <v>1</v>
      </c>
      <c r="AT243" s="0" t="s">
        <v>2676</v>
      </c>
      <c r="AU243" s="0" t="s">
        <v>2677</v>
      </c>
      <c r="AV243" s="0" t="s">
        <v>2678</v>
      </c>
      <c r="BP243" s="0" t="n">
        <v>0</v>
      </c>
      <c r="BQ243" s="0" t="n">
        <v>0</v>
      </c>
      <c r="BR243" s="0" t="n">
        <v>3</v>
      </c>
      <c r="BS243" s="0" t="s">
        <v>651</v>
      </c>
      <c r="BT243" s="0" t="s">
        <v>1933</v>
      </c>
      <c r="BU243" s="0" t="s">
        <v>501</v>
      </c>
      <c r="BV243" s="123"/>
      <c r="BW243" s="123"/>
      <c r="BX243" s="123"/>
      <c r="BY243" s="123"/>
      <c r="BZ243" s="0" t="n">
        <v>0</v>
      </c>
      <c r="CA243" s="0" t="s">
        <v>348</v>
      </c>
      <c r="CD243" s="0" t="s">
        <v>1919</v>
      </c>
      <c r="CE243" s="0" t="n">
        <v>0</v>
      </c>
      <c r="CF243" s="0" t="s">
        <v>2680</v>
      </c>
      <c r="CI243" s="1" t="n">
        <v>40452</v>
      </c>
      <c r="CJ243" s="1" t="n">
        <v>40609</v>
      </c>
      <c r="CK243" s="124" t="n">
        <v>0.625</v>
      </c>
      <c r="CL243" s="0" t="s">
        <v>2679</v>
      </c>
      <c r="CM243" s="0" t="n">
        <f aca="false">IF(OR(CI243="",CJ243=""),"",DAYS360(CI243,CJ243)/360)</f>
        <v>0.433333333333333</v>
      </c>
      <c r="CN243" s="0" t="n">
        <f aca="false">IF(OR(CI243="",CJ243=""),"",DAYS360(CI243,CJ243)/30)</f>
        <v>5.2</v>
      </c>
      <c r="CO243" s="0" t="n">
        <f aca="false">IF(OR(CI243="",CJ243=""),"",DAYS360(CI243,CJ243)/7)</f>
        <v>22.2857142857143</v>
      </c>
      <c r="CP243" s="0" t="n">
        <f aca="false">IF(OR(CI243="",CJ243=""),"",DAYS360(CI243,CJ243))</f>
        <v>156</v>
      </c>
      <c r="CQ243" s="0" t="s">
        <v>240</v>
      </c>
      <c r="CR243" s="0" t="n">
        <v>1</v>
      </c>
      <c r="CT243" s="0" t="n">
        <v>150</v>
      </c>
      <c r="CU243" s="0" t="n">
        <v>0</v>
      </c>
      <c r="CV243" s="0" t="n">
        <f aca="false">IF(OR(CT243="",CT243="NO ESPECIFICA",CT243="NO MENCIONA"),"",IF(CU243=0,CT243,IF(CU243=1,CT243/30,IF(CU243=2,CT243/15,IF(CU243=3,CT243/7,"")))))</f>
        <v>150</v>
      </c>
      <c r="CW243" s="125" t="n">
        <v>156.77</v>
      </c>
      <c r="CX243" s="0" t="n">
        <v>0</v>
      </c>
      <c r="CY243" s="0" t="n">
        <f aca="false">IF(CW243="","",IF(CX243=0,CW243,IF(CX243=1,CW243/30,IF(CX243=2,CW243/15,IF(CX243=3,CW243/7,CW243)))))</f>
        <v>156.77</v>
      </c>
      <c r="CZ243" s="0" t="n">
        <f aca="false">IF(DI243&gt;0,DI243,IF(CY243&gt;0,CY243,IF(CV243&gt;0,CV243,"")))</f>
        <v>156.77</v>
      </c>
      <c r="DA243" s="0" t="n">
        <f aca="false">IF(DM243=1,CZ243/8,IF(OR(DM243=2,DM243=4),CZ243/7,IF(DM243=3,CZ243/7.5,"")))</f>
        <v>19.59625</v>
      </c>
      <c r="DB243" s="0" t="s">
        <v>1935</v>
      </c>
      <c r="DC243" s="0" t="s">
        <v>301</v>
      </c>
      <c r="DD243" s="0" t="s">
        <v>216</v>
      </c>
      <c r="DE243" s="0" t="s">
        <v>216</v>
      </c>
      <c r="DF243" s="0" t="s">
        <v>216</v>
      </c>
      <c r="DG243" s="0" t="s">
        <v>216</v>
      </c>
      <c r="DH243" s="0" t="n">
        <v>0</v>
      </c>
      <c r="DI243" s="126" t="n">
        <v>156.77</v>
      </c>
      <c r="DK243" s="0" t="n">
        <v>1</v>
      </c>
      <c r="DM243" s="0" t="n">
        <v>1</v>
      </c>
      <c r="DN243" s="0" t="n">
        <v>48</v>
      </c>
      <c r="DO243" s="0" t="n">
        <v>3</v>
      </c>
      <c r="DP243" s="0" t="n">
        <v>0</v>
      </c>
      <c r="DQ243" s="0" t="n">
        <v>1</v>
      </c>
      <c r="DR243" s="0"/>
      <c r="DS243" s="0" t="n">
        <v>1</v>
      </c>
      <c r="DU243" s="0" t="n">
        <v>1</v>
      </c>
      <c r="DW243" s="1" t="n">
        <v>40452</v>
      </c>
      <c r="DX243" s="1" t="n">
        <v>40609</v>
      </c>
      <c r="DZ243" s="0"/>
      <c r="EA243" s="0" t="n">
        <v>1</v>
      </c>
      <c r="EC243" s="1" t="n">
        <v>40452</v>
      </c>
      <c r="ED243" s="1" t="n">
        <v>40609</v>
      </c>
      <c r="EF243" s="0"/>
      <c r="EG243" s="0" t="n">
        <v>0</v>
      </c>
      <c r="EI243" s="0" t="str">
        <f aca="false">IF(AND(DM243=1,DN243&lt;=48),"",IF(AND(DM243=2,DN243&lt;=42),"",IF(AND(DM243=3,DN243&lt;=45),"",EH243)))</f>
        <v/>
      </c>
      <c r="EJ243" s="0" t="str">
        <f aca="false">IF(EI243="","",IF(EI243&lt;9,EI243,9))</f>
        <v/>
      </c>
      <c r="EK243" s="0" t="str">
        <f aca="false">IF(EI243="","",IF(EI243&gt;9,EI243-EJ243,0))</f>
        <v/>
      </c>
      <c r="EL243" s="0" t="str">
        <f aca="false">IF(EI243="","",EJ243*DA243*2+EK243*DA243*3)</f>
        <v/>
      </c>
      <c r="EP243" s="0" t="n">
        <v>0</v>
      </c>
      <c r="EQ243" s="0"/>
      <c r="ER243" s="0" t="n">
        <v>0</v>
      </c>
      <c r="ET243" s="0" t="n">
        <v>0</v>
      </c>
      <c r="EV243" s="0" t="n">
        <v>0</v>
      </c>
      <c r="EX243" s="0" t="n">
        <v>0</v>
      </c>
      <c r="EY243" s="0" t="n">
        <v>0</v>
      </c>
      <c r="EZ243" s="0"/>
      <c r="FA243" s="4" t="n">
        <f aca="false">15*156.77</f>
        <v>2351.55</v>
      </c>
      <c r="FB243" s="0" t="n">
        <v>1</v>
      </c>
      <c r="FF243" s="120" t="n">
        <f aca="false">(CJ243-CI243+1)/365</f>
        <v>0.432876712328767</v>
      </c>
      <c r="FG243" s="0" t="str">
        <f aca="false">CONCATENATE(F243,"/",G243)</f>
        <v>804/2011</v>
      </c>
      <c r="FH243" s="0" t="n">
        <v>0</v>
      </c>
      <c r="FI243" s="0" t="n">
        <v>0</v>
      </c>
    </row>
    <row r="244" customFormat="false" ht="15" hidden="false" customHeight="false" outlineLevel="0" collapsed="false">
      <c r="A244" s="5" t="str">
        <f aca="false">E244&amp;G244&amp;F244</f>
        <v>72011804</v>
      </c>
      <c r="B244" s="0" t="s">
        <v>2392</v>
      </c>
      <c r="C244" s="1" t="n">
        <v>42412</v>
      </c>
      <c r="D244" s="0" t="s">
        <v>2393</v>
      </c>
      <c r="E244" s="0" t="n">
        <v>7</v>
      </c>
      <c r="F244" s="0" t="n">
        <v>804</v>
      </c>
      <c r="G244" s="0" t="n">
        <v>2011</v>
      </c>
      <c r="H244" s="0" t="str">
        <f aca="false">"J"&amp;E244&amp;"\"&amp;F244&amp;"\"&amp;G244&amp;"\"&amp;W244</f>
        <v>J7\804\2011\4</v>
      </c>
      <c r="I244" s="0"/>
      <c r="J244" s="1" t="n">
        <v>40669</v>
      </c>
      <c r="K244" s="0" t="n">
        <v>0</v>
      </c>
      <c r="M244" s="1"/>
      <c r="N244" s="1"/>
      <c r="O244" s="1"/>
      <c r="P244" s="1"/>
      <c r="Q244" s="1"/>
      <c r="T244" s="121"/>
      <c r="U244" s="121"/>
      <c r="V244" s="122" t="n">
        <f aca="false">IF(AND(E244&gt;0,F244&gt;0,G244&gt;0),COUNTIFS($E:$E,E244,$F:$F,F244,$G:$G,G244),"")</f>
        <v>5</v>
      </c>
      <c r="W244" s="122" t="n">
        <f aca="false">IF(V244="","",IF(V244=1,1,IF(AND(E243=E244,F243=F244,G243=G244),W243+1,1)))</f>
        <v>4</v>
      </c>
      <c r="X244" s="0" t="n">
        <v>5</v>
      </c>
      <c r="Y244" s="0" t="n">
        <v>3</v>
      </c>
      <c r="Z244" s="0" t="s">
        <v>2683</v>
      </c>
      <c r="AA244" s="0" t="n">
        <v>0</v>
      </c>
      <c r="AB244" s="0" t="s">
        <v>2603</v>
      </c>
      <c r="AC244" s="0" t="s">
        <v>1924</v>
      </c>
      <c r="AD244" s="0" t="s">
        <v>229</v>
      </c>
      <c r="AE244" s="0" t="n">
        <v>0</v>
      </c>
      <c r="AF244" s="0" t="s">
        <v>2675</v>
      </c>
      <c r="AG244" s="0" t="n">
        <v>1</v>
      </c>
      <c r="AH244" s="0" t="s">
        <v>2676</v>
      </c>
      <c r="AI244" s="0" t="s">
        <v>2677</v>
      </c>
      <c r="AJ244" s="0" t="s">
        <v>2678</v>
      </c>
      <c r="AL244" s="0" t="s">
        <v>2679</v>
      </c>
      <c r="AM244" s="0" t="n">
        <v>1</v>
      </c>
      <c r="AN244" s="0" t="s">
        <v>2676</v>
      </c>
      <c r="AO244" s="0" t="s">
        <v>2677</v>
      </c>
      <c r="AP244" s="0" t="s">
        <v>2678</v>
      </c>
      <c r="AR244" s="0" t="s">
        <v>1931</v>
      </c>
      <c r="AS244" s="0" t="n">
        <v>1</v>
      </c>
      <c r="AT244" s="0" t="s">
        <v>2676</v>
      </c>
      <c r="AU244" s="0" t="s">
        <v>2677</v>
      </c>
      <c r="AV244" s="0" t="s">
        <v>2678</v>
      </c>
      <c r="BP244" s="0" t="n">
        <v>0</v>
      </c>
      <c r="BQ244" s="0" t="n">
        <v>0</v>
      </c>
      <c r="BR244" s="0" t="n">
        <v>3</v>
      </c>
      <c r="BS244" s="0" t="s">
        <v>651</v>
      </c>
      <c r="BT244" s="0" t="s">
        <v>1933</v>
      </c>
      <c r="BU244" s="0" t="s">
        <v>501</v>
      </c>
      <c r="BV244" s="123"/>
      <c r="BW244" s="123"/>
      <c r="BX244" s="123"/>
      <c r="BY244" s="123"/>
      <c r="BZ244" s="0" t="n">
        <v>0</v>
      </c>
      <c r="CA244" s="0" t="s">
        <v>348</v>
      </c>
      <c r="CD244" s="0" t="s">
        <v>1919</v>
      </c>
      <c r="CE244" s="0" t="n">
        <v>0</v>
      </c>
      <c r="CF244" s="0" t="s">
        <v>2680</v>
      </c>
      <c r="CI244" s="1" t="n">
        <v>40422</v>
      </c>
      <c r="CJ244" s="1" t="n">
        <v>40609</v>
      </c>
      <c r="CK244" s="124" t="n">
        <v>0.625</v>
      </c>
      <c r="CL244" s="0" t="s">
        <v>2679</v>
      </c>
      <c r="CM244" s="0" t="n">
        <f aca="false">IF(OR(CI244="",CJ244=""),"",DAYS360(CI244,CJ244)/360)</f>
        <v>0.516666666666667</v>
      </c>
      <c r="CN244" s="0" t="n">
        <f aca="false">IF(OR(CI244="",CJ244=""),"",DAYS360(CI244,CJ244)/30)</f>
        <v>6.2</v>
      </c>
      <c r="CO244" s="0" t="n">
        <f aca="false">IF(OR(CI244="",CJ244=""),"",DAYS360(CI244,CJ244)/7)</f>
        <v>26.5714285714286</v>
      </c>
      <c r="CP244" s="0" t="n">
        <f aca="false">IF(OR(CI244="",CJ244=""),"",DAYS360(CI244,CJ244))</f>
        <v>186</v>
      </c>
      <c r="CQ244" s="0" t="s">
        <v>240</v>
      </c>
      <c r="CR244" s="0" t="n">
        <v>1</v>
      </c>
      <c r="CT244" s="0" t="n">
        <v>150</v>
      </c>
      <c r="CU244" s="0" t="n">
        <v>0</v>
      </c>
      <c r="CV244" s="0" t="n">
        <f aca="false">IF(OR(CT244="",CT244="NO ESPECIFICA",CT244="NO MENCIONA"),"",IF(CU244=0,CT244,IF(CU244=1,CT244/30,IF(CU244=2,CT244/15,IF(CU244=3,CT244/7,"")))))</f>
        <v>150</v>
      </c>
      <c r="CW244" s="125" t="n">
        <v>156.77</v>
      </c>
      <c r="CX244" s="0" t="n">
        <v>0</v>
      </c>
      <c r="CY244" s="0" t="n">
        <f aca="false">IF(CW244="","",IF(CX244=0,CW244,IF(CX244=1,CW244/30,IF(CX244=2,CW244/15,IF(CX244=3,CW244/7,CW244)))))</f>
        <v>156.77</v>
      </c>
      <c r="CZ244" s="0" t="n">
        <f aca="false">IF(DI244&gt;0,DI244,IF(CY244&gt;0,CY244,IF(CV244&gt;0,CV244,"")))</f>
        <v>156.77</v>
      </c>
      <c r="DA244" s="0" t="n">
        <f aca="false">IF(DM244=1,CZ244/8,IF(OR(DM244=2,DM244=4),CZ244/7,IF(DM244=3,CZ244/7.5,"")))</f>
        <v>19.59625</v>
      </c>
      <c r="DB244" s="0" t="s">
        <v>1935</v>
      </c>
      <c r="DC244" s="0" t="s">
        <v>301</v>
      </c>
      <c r="DD244" s="0" t="s">
        <v>216</v>
      </c>
      <c r="DE244" s="0" t="s">
        <v>216</v>
      </c>
      <c r="DF244" s="0" t="s">
        <v>216</v>
      </c>
      <c r="DG244" s="0" t="s">
        <v>216</v>
      </c>
      <c r="DH244" s="0" t="n">
        <v>0</v>
      </c>
      <c r="DI244" s="126" t="n">
        <v>156.77</v>
      </c>
      <c r="DK244" s="0" t="n">
        <v>1</v>
      </c>
      <c r="DM244" s="0" t="n">
        <v>1</v>
      </c>
      <c r="DN244" s="0" t="n">
        <v>48</v>
      </c>
      <c r="DO244" s="0" t="n">
        <v>3</v>
      </c>
      <c r="DP244" s="0" t="n">
        <v>0</v>
      </c>
      <c r="DQ244" s="0" t="n">
        <v>1</v>
      </c>
      <c r="DR244" s="0"/>
      <c r="DS244" s="0" t="n">
        <v>1</v>
      </c>
      <c r="DU244" s="0" t="n">
        <v>1</v>
      </c>
      <c r="DW244" s="1" t="n">
        <v>40422</v>
      </c>
      <c r="DX244" s="1" t="n">
        <v>40609</v>
      </c>
      <c r="DZ244" s="0"/>
      <c r="EA244" s="0" t="n">
        <v>1</v>
      </c>
      <c r="EC244" s="1" t="n">
        <v>40422</v>
      </c>
      <c r="ED244" s="1" t="n">
        <v>40609</v>
      </c>
      <c r="EF244" s="0"/>
      <c r="EG244" s="0" t="n">
        <v>0</v>
      </c>
      <c r="EI244" s="0" t="str">
        <f aca="false">IF(AND(DM244=1,DN244&lt;=48),"",IF(AND(DM244=2,DN244&lt;=42),"",IF(AND(DM244=3,DN244&lt;=45),"",EH244)))</f>
        <v/>
      </c>
      <c r="EJ244" s="0" t="str">
        <f aca="false">IF(EI244="","",IF(EI244&lt;9,EI244,9))</f>
        <v/>
      </c>
      <c r="EK244" s="0" t="str">
        <f aca="false">IF(EI244="","",IF(EI244&gt;9,EI244-EJ244,0))</f>
        <v/>
      </c>
      <c r="EL244" s="0" t="str">
        <f aca="false">IF(EI244="","",EJ244*DA244*2+EK244*DA244*3)</f>
        <v/>
      </c>
      <c r="EP244" s="0" t="n">
        <v>0</v>
      </c>
      <c r="EQ244" s="0"/>
      <c r="ER244" s="0" t="n">
        <v>0</v>
      </c>
      <c r="ET244" s="0" t="n">
        <v>0</v>
      </c>
      <c r="EV244" s="0" t="n">
        <v>0</v>
      </c>
      <c r="EX244" s="0" t="n">
        <v>0</v>
      </c>
      <c r="EY244" s="0" t="n">
        <v>0</v>
      </c>
      <c r="EZ244" s="0"/>
      <c r="FA244" s="4" t="n">
        <f aca="false">15*156.77</f>
        <v>2351.55</v>
      </c>
      <c r="FB244" s="0" t="n">
        <v>1</v>
      </c>
      <c r="FF244" s="120" t="n">
        <f aca="false">(CJ244-CI244+1)/365</f>
        <v>0.515068493150685</v>
      </c>
      <c r="FG244" s="0" t="str">
        <f aca="false">CONCATENATE(F244,"/",G244)</f>
        <v>804/2011</v>
      </c>
      <c r="FH244" s="0" t="n">
        <v>0</v>
      </c>
      <c r="FI244" s="0" t="n">
        <v>0</v>
      </c>
    </row>
    <row r="245" customFormat="false" ht="15" hidden="false" customHeight="false" outlineLevel="0" collapsed="false">
      <c r="A245" s="5" t="str">
        <f aca="false">E245&amp;G245&amp;F245</f>
        <v>72011804</v>
      </c>
      <c r="B245" s="0" t="s">
        <v>2392</v>
      </c>
      <c r="C245" s="1" t="n">
        <v>42412</v>
      </c>
      <c r="D245" s="0" t="s">
        <v>2393</v>
      </c>
      <c r="E245" s="0" t="n">
        <v>7</v>
      </c>
      <c r="F245" s="0" t="n">
        <v>804</v>
      </c>
      <c r="G245" s="0" t="n">
        <v>2011</v>
      </c>
      <c r="H245" s="0" t="str">
        <f aca="false">"J"&amp;E245&amp;"\"&amp;F245&amp;"\"&amp;G245&amp;"\"&amp;W245</f>
        <v>J7\804\2011\5</v>
      </c>
      <c r="I245" s="0"/>
      <c r="J245" s="1" t="n">
        <v>40669</v>
      </c>
      <c r="K245" s="0" t="n">
        <v>0</v>
      </c>
      <c r="M245" s="1"/>
      <c r="N245" s="1"/>
      <c r="O245" s="1"/>
      <c r="P245" s="1"/>
      <c r="Q245" s="1"/>
      <c r="T245" s="121"/>
      <c r="U245" s="121"/>
      <c r="V245" s="122" t="n">
        <f aca="false">IF(AND(E245&gt;0,F245&gt;0,G245&gt;0),COUNTIFS($E:$E,E245,$F:$F,F245,$G:$G,G245),"")</f>
        <v>5</v>
      </c>
      <c r="W245" s="122" t="n">
        <f aca="false">IF(V245="","",IF(V245=1,1,IF(AND(E244=E245,F244=F245,G244=G245),W244+1,1)))</f>
        <v>5</v>
      </c>
      <c r="X245" s="0" t="n">
        <v>5</v>
      </c>
      <c r="Y245" s="0" t="n">
        <v>3</v>
      </c>
      <c r="Z245" s="0" t="s">
        <v>2684</v>
      </c>
      <c r="AA245" s="0" t="n">
        <v>0</v>
      </c>
      <c r="AB245" s="0" t="s">
        <v>2603</v>
      </c>
      <c r="AC245" s="0" t="s">
        <v>1924</v>
      </c>
      <c r="AD245" s="0" t="s">
        <v>229</v>
      </c>
      <c r="AE245" s="0" t="n">
        <v>0</v>
      </c>
      <c r="AF245" s="0" t="s">
        <v>2675</v>
      </c>
      <c r="AG245" s="0" t="n">
        <v>1</v>
      </c>
      <c r="AH245" s="0" t="s">
        <v>2676</v>
      </c>
      <c r="AI245" s="0" t="s">
        <v>2677</v>
      </c>
      <c r="AJ245" s="0" t="s">
        <v>2678</v>
      </c>
      <c r="AL245" s="0" t="s">
        <v>2679</v>
      </c>
      <c r="AM245" s="0" t="n">
        <v>1</v>
      </c>
      <c r="AN245" s="0" t="s">
        <v>2676</v>
      </c>
      <c r="AO245" s="0" t="s">
        <v>2677</v>
      </c>
      <c r="AP245" s="0" t="s">
        <v>2678</v>
      </c>
      <c r="AR245" s="0" t="s">
        <v>1931</v>
      </c>
      <c r="AS245" s="0" t="n">
        <v>1</v>
      </c>
      <c r="AT245" s="0" t="s">
        <v>2676</v>
      </c>
      <c r="AU245" s="0" t="s">
        <v>2677</v>
      </c>
      <c r="AV245" s="0" t="s">
        <v>2678</v>
      </c>
      <c r="BP245" s="0" t="n">
        <v>0</v>
      </c>
      <c r="BQ245" s="0" t="n">
        <v>0</v>
      </c>
      <c r="BR245" s="0" t="n">
        <v>3</v>
      </c>
      <c r="BS245" s="0" t="s">
        <v>651</v>
      </c>
      <c r="BT245" s="0" t="s">
        <v>1933</v>
      </c>
      <c r="BU245" s="0" t="s">
        <v>501</v>
      </c>
      <c r="BV245" s="123"/>
      <c r="BW245" s="123"/>
      <c r="BX245" s="123"/>
      <c r="BY245" s="123"/>
      <c r="BZ245" s="0" t="n">
        <v>0</v>
      </c>
      <c r="CA245" s="0" t="s">
        <v>348</v>
      </c>
      <c r="CD245" s="0" t="s">
        <v>1919</v>
      </c>
      <c r="CE245" s="0" t="n">
        <v>0</v>
      </c>
      <c r="CF245" s="0" t="s">
        <v>2680</v>
      </c>
      <c r="CI245" s="1" t="n">
        <v>40422</v>
      </c>
      <c r="CJ245" s="1" t="n">
        <v>40609</v>
      </c>
      <c r="CK245" s="124" t="n">
        <v>0.625</v>
      </c>
      <c r="CL245" s="0" t="s">
        <v>2679</v>
      </c>
      <c r="CM245" s="0" t="n">
        <f aca="false">IF(OR(CI245="",CJ245=""),"",DAYS360(CI245,CJ245)/360)</f>
        <v>0.516666666666667</v>
      </c>
      <c r="CN245" s="0" t="n">
        <f aca="false">IF(OR(CI245="",CJ245=""),"",DAYS360(CI245,CJ245)/30)</f>
        <v>6.2</v>
      </c>
      <c r="CO245" s="0" t="n">
        <f aca="false">IF(OR(CI245="",CJ245=""),"",DAYS360(CI245,CJ245)/7)</f>
        <v>26.5714285714286</v>
      </c>
      <c r="CP245" s="0" t="n">
        <f aca="false">IF(OR(CI245="",CJ245=""),"",DAYS360(CI245,CJ245))</f>
        <v>186</v>
      </c>
      <c r="CQ245" s="0" t="s">
        <v>240</v>
      </c>
      <c r="CR245" s="0" t="n">
        <v>1</v>
      </c>
      <c r="CT245" s="0" t="n">
        <v>150</v>
      </c>
      <c r="CU245" s="0" t="n">
        <v>0</v>
      </c>
      <c r="CV245" s="0" t="n">
        <f aca="false">IF(OR(CT245="",CT245="NO ESPECIFICA",CT245="NO MENCIONA"),"",IF(CU245=0,CT245,IF(CU245=1,CT245/30,IF(CU245=2,CT245/15,IF(CU245=3,CT245/7,"")))))</f>
        <v>150</v>
      </c>
      <c r="CW245" s="125" t="n">
        <v>156.77</v>
      </c>
      <c r="CX245" s="0" t="n">
        <v>0</v>
      </c>
      <c r="CY245" s="0" t="n">
        <f aca="false">IF(CW245="","",IF(CX245=0,CW245,IF(CX245=1,CW245/30,IF(CX245=2,CW245/15,IF(CX245=3,CW245/7,CW245)))))</f>
        <v>156.77</v>
      </c>
      <c r="CZ245" s="0" t="n">
        <f aca="false">IF(DI245&gt;0,DI245,IF(CY245&gt;0,CY245,IF(CV245&gt;0,CV245,"")))</f>
        <v>156.77</v>
      </c>
      <c r="DA245" s="0" t="n">
        <f aca="false">IF(DM245=1,CZ245/8,IF(OR(DM245=2,DM245=4),CZ245/7,IF(DM245=3,CZ245/7.5,"")))</f>
        <v>19.59625</v>
      </c>
      <c r="DB245" s="0" t="s">
        <v>1935</v>
      </c>
      <c r="DC245" s="0" t="s">
        <v>301</v>
      </c>
      <c r="DD245" s="0" t="s">
        <v>216</v>
      </c>
      <c r="DE245" s="0" t="s">
        <v>216</v>
      </c>
      <c r="DF245" s="0" t="s">
        <v>216</v>
      </c>
      <c r="DG245" s="0" t="s">
        <v>216</v>
      </c>
      <c r="DH245" s="0" t="n">
        <v>0</v>
      </c>
      <c r="DI245" s="126" t="n">
        <v>156.77</v>
      </c>
      <c r="DK245" s="0" t="n">
        <v>1</v>
      </c>
      <c r="DM245" s="0" t="n">
        <v>1</v>
      </c>
      <c r="DN245" s="0" t="n">
        <v>48</v>
      </c>
      <c r="DO245" s="0" t="n">
        <v>3</v>
      </c>
      <c r="DP245" s="0" t="n">
        <v>0</v>
      </c>
      <c r="DQ245" s="0" t="n">
        <v>1</v>
      </c>
      <c r="DR245" s="0"/>
      <c r="DS245" s="0" t="n">
        <v>1</v>
      </c>
      <c r="DU245" s="0" t="n">
        <v>1</v>
      </c>
      <c r="DW245" s="1" t="n">
        <v>40422</v>
      </c>
      <c r="DX245" s="1" t="n">
        <v>40609</v>
      </c>
      <c r="DZ245" s="0"/>
      <c r="EA245" s="0" t="n">
        <v>1</v>
      </c>
      <c r="EC245" s="1" t="n">
        <v>40422</v>
      </c>
      <c r="ED245" s="1" t="n">
        <v>40609</v>
      </c>
      <c r="EF245" s="0"/>
      <c r="EG245" s="0" t="n">
        <v>0</v>
      </c>
      <c r="EI245" s="0" t="str">
        <f aca="false">IF(AND(DM245=1,DN245&lt;=48),"",IF(AND(DM245=2,DN245&lt;=42),"",IF(AND(DM245=3,DN245&lt;=45),"",EH245)))</f>
        <v/>
      </c>
      <c r="EJ245" s="0" t="str">
        <f aca="false">IF(EI245="","",IF(EI245&lt;9,EI245,9))</f>
        <v/>
      </c>
      <c r="EK245" s="0" t="str">
        <f aca="false">IF(EI245="","",IF(EI245&gt;9,EI245-EJ245,0))</f>
        <v/>
      </c>
      <c r="EL245" s="0" t="str">
        <f aca="false">IF(EI245="","",EJ245*DA245*2+EK245*DA245*3)</f>
        <v/>
      </c>
      <c r="EP245" s="0" t="n">
        <v>0</v>
      </c>
      <c r="EQ245" s="0"/>
      <c r="ER245" s="0" t="n">
        <v>0</v>
      </c>
      <c r="ET245" s="0" t="n">
        <v>0</v>
      </c>
      <c r="EV245" s="0" t="n">
        <v>0</v>
      </c>
      <c r="EX245" s="0" t="n">
        <v>0</v>
      </c>
      <c r="EY245" s="0" t="n">
        <v>0</v>
      </c>
      <c r="EZ245" s="0"/>
      <c r="FA245" s="4" t="n">
        <f aca="false">15*156.77</f>
        <v>2351.55</v>
      </c>
      <c r="FB245" s="0" t="n">
        <v>1</v>
      </c>
      <c r="FF245" s="120" t="n">
        <f aca="false">(CJ245-CI245+1)/365</f>
        <v>0.515068493150685</v>
      </c>
      <c r="FG245" s="0" t="str">
        <f aca="false">CONCATENATE(F245,"/",G245)</f>
        <v>804/2011</v>
      </c>
      <c r="FH245" s="0" t="n">
        <v>0</v>
      </c>
      <c r="FI245" s="0" t="n">
        <v>0</v>
      </c>
    </row>
    <row r="246" customFormat="false" ht="15" hidden="false" customHeight="false" outlineLevel="0" collapsed="false">
      <c r="A246" s="5" t="str">
        <f aca="false">E246&amp;G246&amp;F246</f>
        <v>72011806</v>
      </c>
      <c r="B246" s="0" t="s">
        <v>2392</v>
      </c>
      <c r="C246" s="1" t="n">
        <v>42412</v>
      </c>
      <c r="D246" s="0" t="s">
        <v>2393</v>
      </c>
      <c r="E246" s="0" t="n">
        <v>7</v>
      </c>
      <c r="F246" s="0" t="n">
        <v>806</v>
      </c>
      <c r="G246" s="0" t="n">
        <v>2011</v>
      </c>
      <c r="H246" s="0" t="str">
        <f aca="false">"J"&amp;E246&amp;"\"&amp;F246&amp;"\"&amp;G246&amp;"\"&amp;W246</f>
        <v>J7\806\2011\1</v>
      </c>
      <c r="I246" s="0"/>
      <c r="J246" s="1" t="n">
        <v>40669</v>
      </c>
      <c r="K246" s="0" t="n">
        <v>0</v>
      </c>
      <c r="M246" s="1"/>
      <c r="N246" s="1"/>
      <c r="O246" s="1"/>
      <c r="P246" s="1"/>
      <c r="Q246" s="1"/>
      <c r="T246" s="121"/>
      <c r="U246" s="121"/>
      <c r="V246" s="122" t="n">
        <f aca="false">IF(AND(E246&gt;0,F246&gt;0,G246&gt;0),COUNTIFS($E:$E,E246,$F:$F,F246,$G:$G,G246),"")</f>
        <v>1</v>
      </c>
      <c r="W246" s="122" t="n">
        <f aca="false">IF(V246="","",IF(V246=1,1,IF(AND(E245=E246,F245=F246,G245=G246),W245+1,1)))</f>
        <v>1</v>
      </c>
      <c r="X246" s="0" t="n">
        <v>1</v>
      </c>
      <c r="Y246" s="0" t="n">
        <v>5</v>
      </c>
      <c r="Z246" s="0" t="s">
        <v>2685</v>
      </c>
      <c r="AA246" s="0" t="n">
        <v>0</v>
      </c>
      <c r="AB246" s="0" t="s">
        <v>2686</v>
      </c>
      <c r="AC246" s="0" t="s">
        <v>2049</v>
      </c>
      <c r="AD246" s="0" t="s">
        <v>229</v>
      </c>
      <c r="AE246" s="0" t="n">
        <v>0</v>
      </c>
      <c r="AF246" s="0" t="s">
        <v>2687</v>
      </c>
      <c r="AG246" s="0" t="n">
        <v>0</v>
      </c>
      <c r="AH246" s="0" t="s">
        <v>2688</v>
      </c>
      <c r="AI246" s="0" t="s">
        <v>1887</v>
      </c>
      <c r="AJ246" s="0" t="s">
        <v>229</v>
      </c>
      <c r="AL246" s="0" t="s">
        <v>2689</v>
      </c>
      <c r="AM246" s="0" t="n">
        <v>0</v>
      </c>
      <c r="AN246" s="0" t="s">
        <v>2688</v>
      </c>
      <c r="AO246" s="0" t="s">
        <v>1887</v>
      </c>
      <c r="AP246" s="0" t="s">
        <v>229</v>
      </c>
      <c r="AR246" s="0" t="s">
        <v>2690</v>
      </c>
      <c r="AS246" s="0" t="n">
        <v>1</v>
      </c>
      <c r="AT246" s="0" t="s">
        <v>2688</v>
      </c>
      <c r="AU246" s="0" t="s">
        <v>1887</v>
      </c>
      <c r="AV246" s="0" t="s">
        <v>229</v>
      </c>
      <c r="AX246" s="0" t="s">
        <v>2691</v>
      </c>
      <c r="AY246" s="0" t="n">
        <v>1</v>
      </c>
      <c r="AZ246" s="0" t="s">
        <v>2688</v>
      </c>
      <c r="BA246" s="0" t="s">
        <v>1887</v>
      </c>
      <c r="BB246" s="0" t="s">
        <v>229</v>
      </c>
      <c r="BD246" s="0" t="s">
        <v>1931</v>
      </c>
      <c r="BE246" s="0" t="n">
        <v>1</v>
      </c>
      <c r="BF246" s="0" t="s">
        <v>2688</v>
      </c>
      <c r="BG246" s="0" t="s">
        <v>1887</v>
      </c>
      <c r="BH246" s="0" t="s">
        <v>229</v>
      </c>
      <c r="BP246" s="0" t="n">
        <v>0</v>
      </c>
      <c r="BQ246" s="0" t="n">
        <v>0</v>
      </c>
      <c r="BR246" s="0" t="n">
        <v>1</v>
      </c>
      <c r="BS246" s="0" t="s">
        <v>2692</v>
      </c>
      <c r="BT246" s="0" t="s">
        <v>2693</v>
      </c>
      <c r="BU246" s="0" t="s">
        <v>2694</v>
      </c>
      <c r="BV246" s="123"/>
      <c r="BW246" s="123"/>
      <c r="BX246" s="123"/>
      <c r="BY246" s="123"/>
      <c r="BZ246" s="0" t="n">
        <v>0</v>
      </c>
      <c r="CA246" s="0" t="s">
        <v>1895</v>
      </c>
      <c r="CD246" s="0" t="s">
        <v>1919</v>
      </c>
      <c r="CE246" s="0" t="n">
        <v>0</v>
      </c>
      <c r="CF246" s="0" t="s">
        <v>2695</v>
      </c>
      <c r="CI246" s="1" t="n">
        <v>40596</v>
      </c>
      <c r="CJ246" s="1" t="n">
        <v>40618</v>
      </c>
      <c r="CK246" s="124" t="n">
        <v>0.333333333333333</v>
      </c>
      <c r="CL246" s="0" t="s">
        <v>2696</v>
      </c>
      <c r="CM246" s="0" t="n">
        <f aca="false">IF(OR(CI246="",CJ246=""),"",DAYS360(CI246,CJ246)/360)</f>
        <v>0.0666666666666667</v>
      </c>
      <c r="CN246" s="0" t="n">
        <f aca="false">IF(OR(CI246="",CJ246=""),"",DAYS360(CI246,CJ246)/30)</f>
        <v>0.8</v>
      </c>
      <c r="CO246" s="0" t="n">
        <f aca="false">IF(OR(CI246="",CJ246=""),"",DAYS360(CI246,CJ246)/7)</f>
        <v>3.42857142857143</v>
      </c>
      <c r="CP246" s="0" t="n">
        <f aca="false">IF(OR(CI246="",CJ246=""),"",DAYS360(CI246,CJ246))</f>
        <v>24</v>
      </c>
      <c r="CQ246" s="0" t="s">
        <v>240</v>
      </c>
      <c r="CR246" s="0" t="n">
        <v>1</v>
      </c>
      <c r="CT246" s="0" t="n">
        <v>266.66</v>
      </c>
      <c r="CU246" s="0" t="n">
        <v>0</v>
      </c>
      <c r="CV246" s="0" t="n">
        <f aca="false">IF(OR(CT246="",CT246="NO ESPECIFICA",CT246="NO MENCIONA"),"",IF(CU246=0,CT246,IF(CU246=1,CT246/30,IF(CU246=2,CT246/15,IF(CU246=3,CT246/7,"")))))</f>
        <v>266.66</v>
      </c>
      <c r="CW246" s="125" t="n">
        <v>530.58</v>
      </c>
      <c r="CX246" s="0" t="n">
        <v>0</v>
      </c>
      <c r="CY246" s="0" t="n">
        <f aca="false">IF(CW246="","",IF(CX246=0,CW246,IF(CX246=1,CW246/30,IF(CX246=2,CW246/15,IF(CX246=3,CW246/7,CW246)))))</f>
        <v>530.58</v>
      </c>
      <c r="CZ246" s="0" t="n">
        <f aca="false">IF(DI246&gt;0,DI246,IF(CY246&gt;0,CY246,IF(CV246&gt;0,CV246,"")))</f>
        <v>530.58</v>
      </c>
      <c r="DA246" s="0" t="n">
        <f aca="false">IF(DM246=1,CZ246/8,IF(OR(DM246=2,DM246=4),CZ246/7,IF(DM246=3,CZ246/7.5,"")))</f>
        <v>66.3225</v>
      </c>
      <c r="DB246" s="0" t="s">
        <v>1935</v>
      </c>
      <c r="DC246" s="0" t="s">
        <v>301</v>
      </c>
      <c r="DD246" s="0" t="s">
        <v>1997</v>
      </c>
      <c r="DE246" s="0" t="s">
        <v>2486</v>
      </c>
      <c r="DF246" s="0" t="s">
        <v>216</v>
      </c>
      <c r="DG246" s="0" t="s">
        <v>216</v>
      </c>
      <c r="DH246" s="0" t="n">
        <v>0</v>
      </c>
      <c r="DI246" s="126" t="n">
        <v>530.58</v>
      </c>
      <c r="DK246" s="0" t="n">
        <v>1</v>
      </c>
      <c r="DM246" s="0" t="n">
        <v>1</v>
      </c>
      <c r="DN246" s="0" t="n">
        <v>66</v>
      </c>
      <c r="DO246" s="0" t="n">
        <v>3</v>
      </c>
      <c r="DP246" s="0" t="n">
        <v>0</v>
      </c>
      <c r="DQ246" s="0" t="n">
        <v>1</v>
      </c>
      <c r="DR246" s="0"/>
      <c r="DS246" s="0" t="n">
        <v>1</v>
      </c>
      <c r="DU246" s="0" t="n">
        <v>1</v>
      </c>
      <c r="DW246" s="1" t="n">
        <v>40596</v>
      </c>
      <c r="DX246" s="1" t="n">
        <v>40618</v>
      </c>
      <c r="DZ246" s="0" t="n">
        <v>241.08</v>
      </c>
      <c r="EA246" s="0" t="n">
        <v>1</v>
      </c>
      <c r="EB246" s="0" t="n">
        <v>60.27</v>
      </c>
      <c r="EC246" s="1" t="n">
        <v>40596</v>
      </c>
      <c r="ED246" s="1" t="n">
        <v>40618</v>
      </c>
      <c r="EF246" s="0"/>
      <c r="EG246" s="0" t="n">
        <v>1</v>
      </c>
      <c r="EH246" s="0" t="n">
        <v>18</v>
      </c>
      <c r="EI246" s="0" t="n">
        <f aca="false">IF(AND(DM246=1,DN246&lt;=48),"",IF(AND(DM246=2,DN246&lt;=42),"",IF(AND(DM246=3,DN246&lt;=45),"",EH246)))</f>
        <v>18</v>
      </c>
      <c r="EJ246" s="0" t="n">
        <f aca="false">IF(EI246="","",IF(EI246&lt;9,EI246,9))</f>
        <v>9</v>
      </c>
      <c r="EK246" s="0" t="n">
        <f aca="false">IF(EI246="","",IF(EI246&gt;9,EI246-EJ246,0))</f>
        <v>9</v>
      </c>
      <c r="EL246" s="0" t="n">
        <f aca="false">IF(EI246="","",EJ246*DA246*2+EK246*DA246*3)</f>
        <v>2984.5125</v>
      </c>
      <c r="EP246" s="0" t="n">
        <v>0</v>
      </c>
      <c r="EQ246" s="0"/>
      <c r="ER246" s="0" t="n">
        <v>1</v>
      </c>
      <c r="ET246" s="0" t="n">
        <v>1</v>
      </c>
      <c r="EV246" s="0" t="n">
        <v>1</v>
      </c>
      <c r="EX246" s="0" t="n">
        <v>1</v>
      </c>
      <c r="EY246" s="0" t="n">
        <v>0</v>
      </c>
      <c r="EZ246" s="0"/>
      <c r="FA246" s="4" t="n">
        <v>6616.52</v>
      </c>
      <c r="FB246" s="0" t="n">
        <v>1</v>
      </c>
      <c r="FF246" s="120" t="n">
        <f aca="false">(CJ246-CI246+1)/365</f>
        <v>0.063013698630137</v>
      </c>
      <c r="FG246" s="0" t="str">
        <f aca="false">CONCATENATE(F246,"/",G246)</f>
        <v>806/2011</v>
      </c>
      <c r="FH246" s="0" t="n">
        <v>0</v>
      </c>
      <c r="FI246" s="0" t="n">
        <v>0</v>
      </c>
    </row>
    <row r="247" customFormat="false" ht="15" hidden="false" customHeight="false" outlineLevel="0" collapsed="false">
      <c r="A247" s="5" t="str">
        <f aca="false">E247&amp;G247&amp;F247</f>
        <v>72011811</v>
      </c>
      <c r="B247" s="0" t="s">
        <v>2392</v>
      </c>
      <c r="C247" s="1" t="n">
        <v>42412</v>
      </c>
      <c r="E247" s="0" t="n">
        <v>7</v>
      </c>
      <c r="F247" s="0" t="n">
        <v>811</v>
      </c>
      <c r="G247" s="0" t="n">
        <v>2011</v>
      </c>
      <c r="H247" s="0" t="str">
        <f aca="false">"J"&amp;E247&amp;"\"&amp;F247&amp;"\"&amp;G247&amp;"\"&amp;W247</f>
        <v>J7\811\2011\1</v>
      </c>
      <c r="I247" s="0"/>
      <c r="J247" s="1" t="n">
        <v>40672</v>
      </c>
      <c r="K247" s="0" t="n">
        <v>0</v>
      </c>
      <c r="M247" s="1" t="n">
        <v>40672</v>
      </c>
      <c r="N247" s="1" t="n">
        <v>40808</v>
      </c>
      <c r="O247" s="1"/>
      <c r="P247" s="1"/>
      <c r="Q247" s="1"/>
      <c r="T247" s="121"/>
      <c r="U247" s="121"/>
      <c r="V247" s="122" t="n">
        <f aca="false">IF(AND(E247&gt;0,F247&gt;0,G247&gt;0),COUNTIFS($E:$E,E247,$F:$F,F247,$G:$G,G247),"")</f>
        <v>1</v>
      </c>
      <c r="W247" s="122" t="n">
        <f aca="false">IF(V247="","",IF(V247=1,1,IF(AND(E246=E247,F246=F247,G246=G247),W246+1,1)))</f>
        <v>1</v>
      </c>
      <c r="X247" s="0" t="n">
        <v>1</v>
      </c>
      <c r="Y247" s="0" t="n">
        <v>6</v>
      </c>
      <c r="Z247" s="0" t="s">
        <v>2697</v>
      </c>
      <c r="AA247" s="0" t="n">
        <v>0</v>
      </c>
      <c r="AB247" s="0" t="s">
        <v>2698</v>
      </c>
      <c r="AC247" s="0" t="s">
        <v>318</v>
      </c>
      <c r="AD247" s="0" t="s">
        <v>229</v>
      </c>
      <c r="AE247" s="0" t="n">
        <v>0</v>
      </c>
      <c r="AF247" s="0" t="s">
        <v>2699</v>
      </c>
      <c r="AG247" s="0" t="n">
        <v>0</v>
      </c>
      <c r="AH247" s="0" t="s">
        <v>2700</v>
      </c>
      <c r="AI247" s="0" t="s">
        <v>672</v>
      </c>
      <c r="AJ247" s="0" t="s">
        <v>352</v>
      </c>
      <c r="AL247" s="0" t="s">
        <v>2701</v>
      </c>
      <c r="AM247" s="0" t="n">
        <v>0</v>
      </c>
      <c r="AN247" s="0" t="s">
        <v>2700</v>
      </c>
      <c r="AO247" s="0" t="s">
        <v>672</v>
      </c>
      <c r="AP247" s="0" t="s">
        <v>352</v>
      </c>
      <c r="AR247" s="0" t="s">
        <v>2702</v>
      </c>
      <c r="AS247" s="0" t="n">
        <v>1</v>
      </c>
      <c r="AT247" s="0" t="s">
        <v>2700</v>
      </c>
      <c r="AU247" s="0" t="s">
        <v>672</v>
      </c>
      <c r="AV247" s="0" t="s">
        <v>352</v>
      </c>
      <c r="AX247" s="0" t="s">
        <v>2703</v>
      </c>
      <c r="AY247" s="0" t="n">
        <v>1</v>
      </c>
      <c r="AZ247" s="0" t="s">
        <v>2700</v>
      </c>
      <c r="BA247" s="0" t="s">
        <v>672</v>
      </c>
      <c r="BB247" s="0" t="s">
        <v>352</v>
      </c>
      <c r="BD247" s="0" t="s">
        <v>2704</v>
      </c>
      <c r="BE247" s="0" t="n">
        <v>0</v>
      </c>
      <c r="BF247" s="0" t="s">
        <v>2705</v>
      </c>
      <c r="BG247" s="0" t="s">
        <v>2640</v>
      </c>
      <c r="BH247" s="0" t="s">
        <v>207</v>
      </c>
      <c r="BJ247" s="0" t="s">
        <v>2706</v>
      </c>
      <c r="BK247" s="0" t="n">
        <v>1</v>
      </c>
      <c r="BL247" s="0" t="s">
        <v>2705</v>
      </c>
      <c r="BM247" s="0" t="s">
        <v>2640</v>
      </c>
      <c r="BN247" s="0" t="s">
        <v>207</v>
      </c>
      <c r="BP247" s="0" t="n">
        <v>0</v>
      </c>
      <c r="BQ247" s="0" t="n">
        <v>0</v>
      </c>
      <c r="BR247" s="0" t="n">
        <v>1</v>
      </c>
      <c r="BS247" s="0" t="s">
        <v>2707</v>
      </c>
      <c r="BT247" s="0" t="s">
        <v>2708</v>
      </c>
      <c r="BU247" s="0" t="s">
        <v>2709</v>
      </c>
      <c r="BV247" s="123"/>
      <c r="BW247" s="123"/>
      <c r="BX247" s="123"/>
      <c r="BY247" s="123"/>
      <c r="BZ247" s="0" t="n">
        <v>0</v>
      </c>
      <c r="CA247" s="0" t="s">
        <v>2710</v>
      </c>
      <c r="CD247" s="0" t="s">
        <v>1943</v>
      </c>
      <c r="CE247" s="0" t="n">
        <v>0</v>
      </c>
      <c r="CF247" s="0" t="s">
        <v>2711</v>
      </c>
      <c r="CI247" s="1" t="n">
        <v>39624</v>
      </c>
      <c r="CJ247" s="1" t="n">
        <v>40648</v>
      </c>
      <c r="CK247" s="124" t="n">
        <v>0.833333333333333</v>
      </c>
      <c r="CL247" s="0" t="s">
        <v>2702</v>
      </c>
      <c r="CM247" s="0" t="n">
        <f aca="false">IF(OR(CI247="",CJ247=""),"",DAYS360(CI247,CJ247)/360)</f>
        <v>2.80555555555556</v>
      </c>
      <c r="CN247" s="0" t="n">
        <f aca="false">IF(OR(CI247="",CJ247=""),"",DAYS360(CI247,CJ247)/30)</f>
        <v>33.6666666666667</v>
      </c>
      <c r="CO247" s="0" t="n">
        <f aca="false">IF(OR(CI247="",CJ247=""),"",DAYS360(CI247,CJ247)/7)</f>
        <v>144.285714285714</v>
      </c>
      <c r="CP247" s="0" t="n">
        <f aca="false">IF(OR(CI247="",CJ247=""),"",DAYS360(CI247,CJ247))</f>
        <v>1010</v>
      </c>
      <c r="CQ247" s="0" t="s">
        <v>240</v>
      </c>
      <c r="CR247" s="0" t="n">
        <v>1</v>
      </c>
      <c r="CT247" s="0" t="n">
        <v>933.33</v>
      </c>
      <c r="CU247" s="0" t="n">
        <v>0</v>
      </c>
      <c r="CV247" s="0" t="n">
        <f aca="false">IF(OR(CT247="",CT247="NO ESPECIFICA",CT247="NO MENCIONA"),"",IF(CU247=0,CT247,IF(CU247=1,CT247/30,IF(CU247=2,CT247/15,IF(CU247=3,CT247/7,"")))))</f>
        <v>933.33</v>
      </c>
      <c r="CW247" s="125" t="n">
        <v>1981.95</v>
      </c>
      <c r="CX247" s="0" t="n">
        <v>0</v>
      </c>
      <c r="CY247" s="0" t="n">
        <f aca="false">IF(CW247="","",IF(CX247=0,CW247,IF(CX247=1,CW247/30,IF(CX247=2,CW247/15,IF(CX247=3,CW247/7,CW247)))))</f>
        <v>1981.95</v>
      </c>
      <c r="CZ247" s="0" t="n">
        <f aca="false">IF(DI247&gt;0,DI247,IF(CY247&gt;0,CY247,IF(CV247&gt;0,CV247,"")))</f>
        <v>1981.95</v>
      </c>
      <c r="DA247" s="0" t="n">
        <f aca="false">IF(DM247=1,CZ247/8,IF(OR(DM247=2,DM247=4),CZ247/7,IF(DM247=3,CZ247/7.5,"")))</f>
        <v>247.74375</v>
      </c>
      <c r="DB247" s="0" t="s">
        <v>2712</v>
      </c>
      <c r="DC247" s="0" t="s">
        <v>2713</v>
      </c>
      <c r="DD247" s="0" t="s">
        <v>301</v>
      </c>
      <c r="DE247" s="0" t="s">
        <v>303</v>
      </c>
      <c r="DF247" s="0" t="s">
        <v>216</v>
      </c>
      <c r="DG247" s="0" t="s">
        <v>216</v>
      </c>
      <c r="DH247" s="0" t="n">
        <v>0</v>
      </c>
      <c r="DI247" s="126" t="n">
        <v>1981.95</v>
      </c>
      <c r="DK247" s="0" t="n">
        <v>0</v>
      </c>
      <c r="DM247" s="0" t="n">
        <v>1</v>
      </c>
      <c r="DN247" s="0" t="n">
        <v>55</v>
      </c>
      <c r="DO247" s="0" t="n">
        <v>3</v>
      </c>
      <c r="DP247" s="0" t="n">
        <v>0</v>
      </c>
      <c r="DQ247" s="0" t="n">
        <v>1</v>
      </c>
      <c r="DR247" s="0"/>
      <c r="DS247" s="0" t="n">
        <v>1</v>
      </c>
      <c r="DU247" s="0" t="n">
        <v>1</v>
      </c>
      <c r="DW247" s="1" t="n">
        <v>39624</v>
      </c>
      <c r="DX247" s="1" t="n">
        <v>40648</v>
      </c>
      <c r="DZ247" s="0"/>
      <c r="EA247" s="0" t="n">
        <v>1</v>
      </c>
      <c r="EC247" s="1" t="n">
        <v>39624</v>
      </c>
      <c r="ED247" s="1" t="n">
        <v>40648</v>
      </c>
      <c r="EF247" s="0"/>
      <c r="EG247" s="0" t="n">
        <v>1</v>
      </c>
      <c r="EH247" s="0" t="n">
        <v>15</v>
      </c>
      <c r="EI247" s="0" t="n">
        <f aca="false">IF(AND(DM247=1,DN247&lt;=48),"",IF(AND(DM247=2,DN247&lt;=42),"",IF(AND(DM247=3,DN247&lt;=45),"",EH247)))</f>
        <v>15</v>
      </c>
      <c r="EJ247" s="0" t="n">
        <f aca="false">IF(EI247="","",IF(EI247&lt;9,EI247,9))</f>
        <v>9</v>
      </c>
      <c r="EK247" s="0" t="n">
        <f aca="false">IF(EI247="","",IF(EI247&gt;9,EI247-EJ247,0))</f>
        <v>6</v>
      </c>
      <c r="EL247" s="0" t="n">
        <f aca="false">IF(EI247="","",EJ247*DA247*2+EK247*DA247*3)</f>
        <v>8918.775</v>
      </c>
      <c r="EP247" s="0" t="n">
        <v>0</v>
      </c>
      <c r="EQ247" s="0"/>
      <c r="ER247" s="0" t="n">
        <v>0</v>
      </c>
      <c r="ET247" s="0" t="n">
        <v>0</v>
      </c>
      <c r="EV247" s="0" t="n">
        <v>0</v>
      </c>
      <c r="EX247" s="0" t="n">
        <v>1</v>
      </c>
      <c r="EY247" s="0" t="n">
        <v>0</v>
      </c>
      <c r="EZ247" s="0"/>
      <c r="FA247" s="4" t="n">
        <f aca="false">15*1981.95</f>
        <v>29729.25</v>
      </c>
      <c r="FB247" s="0" t="n">
        <v>0</v>
      </c>
      <c r="FF247" s="120" t="n">
        <f aca="false">(CJ247-CI247+1)/365</f>
        <v>2.80821917808219</v>
      </c>
      <c r="FG247" s="0" t="str">
        <f aca="false">CONCATENATE(F247,"/",G247)</f>
        <v>811/2011</v>
      </c>
      <c r="FH247" s="0" t="n">
        <v>0</v>
      </c>
      <c r="FI247" s="0" t="n">
        <v>0</v>
      </c>
    </row>
    <row r="248" customFormat="false" ht="15" hidden="false" customHeight="false" outlineLevel="0" collapsed="false">
      <c r="A248" s="5" t="str">
        <f aca="false">E248&amp;G248&amp;F248</f>
        <v>72011816</v>
      </c>
      <c r="B248" s="0" t="s">
        <v>2392</v>
      </c>
      <c r="C248" s="1" t="n">
        <v>42412</v>
      </c>
      <c r="E248" s="0" t="n">
        <v>7</v>
      </c>
      <c r="F248" s="0" t="n">
        <v>816</v>
      </c>
      <c r="G248" s="0" t="n">
        <v>2011</v>
      </c>
      <c r="H248" s="0" t="str">
        <f aca="false">"J"&amp;E248&amp;"\"&amp;F248&amp;"\"&amp;G248&amp;"\"&amp;W248</f>
        <v>J7\816\2011\1</v>
      </c>
      <c r="I248" s="0"/>
      <c r="J248" s="1" t="n">
        <v>40672</v>
      </c>
      <c r="K248" s="0" t="n">
        <v>0</v>
      </c>
      <c r="M248" s="1" t="n">
        <v>40672</v>
      </c>
      <c r="N248" s="1" t="n">
        <v>40809</v>
      </c>
      <c r="O248" s="1"/>
      <c r="P248" s="1"/>
      <c r="Q248" s="1"/>
      <c r="T248" s="121"/>
      <c r="U248" s="121"/>
      <c r="V248" s="122" t="n">
        <f aca="false">IF(AND(E248&gt;0,F248&gt;0,G248&gt;0),COUNTIFS($E:$E,E248,$F:$F,F248,$G:$G,G248),"")</f>
        <v>1</v>
      </c>
      <c r="W248" s="122" t="n">
        <f aca="false">IF(V248="","",IF(V248=1,1,IF(AND(E247=E248,F247=F248,G247=G248),W247+1,1)))</f>
        <v>1</v>
      </c>
      <c r="X248" s="0" t="n">
        <v>1</v>
      </c>
      <c r="Y248" s="0" t="n">
        <v>4</v>
      </c>
      <c r="Z248" s="0" t="s">
        <v>2714</v>
      </c>
      <c r="AA248" s="0" t="n">
        <v>0</v>
      </c>
      <c r="AB248" s="0" t="s">
        <v>2715</v>
      </c>
      <c r="AC248" s="0" t="s">
        <v>1160</v>
      </c>
      <c r="AD248" s="0" t="s">
        <v>229</v>
      </c>
      <c r="AE248" s="0" t="n">
        <v>0</v>
      </c>
      <c r="AF248" s="0" t="s">
        <v>2716</v>
      </c>
      <c r="AG248" s="0" t="n">
        <v>0</v>
      </c>
      <c r="AH248" s="0" t="s">
        <v>2717</v>
      </c>
      <c r="AI248" s="0" t="s">
        <v>1887</v>
      </c>
      <c r="AJ248" s="0" t="s">
        <v>229</v>
      </c>
      <c r="AL248" s="0" t="s">
        <v>2718</v>
      </c>
      <c r="AM248" s="0" t="n">
        <v>1</v>
      </c>
      <c r="AN248" s="0" t="s">
        <v>2717</v>
      </c>
      <c r="AO248" s="0" t="s">
        <v>1887</v>
      </c>
      <c r="AP248" s="0" t="s">
        <v>229</v>
      </c>
      <c r="AR248" s="0" t="s">
        <v>1931</v>
      </c>
      <c r="AS248" s="0" t="n">
        <v>1</v>
      </c>
      <c r="AT248" s="0" t="s">
        <v>2717</v>
      </c>
      <c r="AU248" s="0" t="s">
        <v>1887</v>
      </c>
      <c r="AV248" s="0" t="s">
        <v>229</v>
      </c>
      <c r="AX248" s="0" t="s">
        <v>2719</v>
      </c>
      <c r="AY248" s="0" t="n">
        <v>0</v>
      </c>
      <c r="AZ248" s="0" t="s">
        <v>2720</v>
      </c>
      <c r="BA248" s="0" t="s">
        <v>274</v>
      </c>
      <c r="BB248" s="0" t="s">
        <v>229</v>
      </c>
      <c r="BP248" s="0" t="n">
        <v>0</v>
      </c>
      <c r="BQ248" s="0" t="n">
        <v>0</v>
      </c>
      <c r="BR248" s="0" t="n">
        <v>1</v>
      </c>
      <c r="BS248" s="0" t="s">
        <v>2721</v>
      </c>
      <c r="BT248" s="0" t="s">
        <v>2722</v>
      </c>
      <c r="BU248" s="0" t="s">
        <v>2723</v>
      </c>
      <c r="BV248" s="123"/>
      <c r="BW248" s="123"/>
      <c r="BX248" s="123"/>
      <c r="BY248" s="123"/>
      <c r="BZ248" s="0" t="n">
        <v>0</v>
      </c>
      <c r="CA248" s="0" t="s">
        <v>1895</v>
      </c>
      <c r="CD248" s="0" t="s">
        <v>1943</v>
      </c>
      <c r="CE248" s="0" t="n">
        <v>0</v>
      </c>
      <c r="CF248" s="0" t="s">
        <v>2724</v>
      </c>
      <c r="CI248" s="1" t="n">
        <v>39210</v>
      </c>
      <c r="CJ248" s="1" t="n">
        <v>40660</v>
      </c>
      <c r="CK248" s="124" t="n">
        <v>0.625</v>
      </c>
      <c r="CL248" s="0" t="s">
        <v>2718</v>
      </c>
      <c r="CM248" s="0" t="n">
        <f aca="false">IF(OR(CI248="",CJ248=""),"",DAYS360(CI248,CJ248)/360)</f>
        <v>3.96944444444444</v>
      </c>
      <c r="CN248" s="0" t="n">
        <f aca="false">IF(OR(CI248="",CJ248=""),"",DAYS360(CI248,CJ248)/30)</f>
        <v>47.6333333333333</v>
      </c>
      <c r="CO248" s="0" t="n">
        <f aca="false">IF(OR(CI248="",CJ248=""),"",DAYS360(CI248,CJ248)/7)</f>
        <v>204.142857142857</v>
      </c>
      <c r="CP248" s="0" t="n">
        <f aca="false">IF(OR(CI248="",CJ248=""),"",DAYS360(CI248,CJ248))</f>
        <v>1429</v>
      </c>
      <c r="CQ248" s="0" t="s">
        <v>240</v>
      </c>
      <c r="CR248" s="0" t="n">
        <v>1</v>
      </c>
      <c r="CT248" s="0" t="n">
        <v>125.14</v>
      </c>
      <c r="CU248" s="0" t="n">
        <v>0</v>
      </c>
      <c r="CV248" s="0" t="n">
        <f aca="false">IF(OR(CT248="",CT248="NO ESPECIFICA",CT248="NO MENCIONA"),"",IF(CU248=0,CT248,IF(CU248=1,CT248/30,IF(CU248=2,CT248/15,IF(CU248=3,CT248/7,"")))))</f>
        <v>125.14</v>
      </c>
      <c r="CW248" s="125" t="n">
        <v>138.5</v>
      </c>
      <c r="CX248" s="0" t="n">
        <v>0</v>
      </c>
      <c r="CY248" s="0" t="n">
        <f aca="false">IF(CW248="","",IF(CX248=0,CW248,IF(CX248=1,CW248/30,IF(CX248=2,CW248/15,IF(CX248=3,CW248/7,CW248)))))</f>
        <v>138.5</v>
      </c>
      <c r="CZ248" s="0" t="n">
        <f aca="false">IF(DI248&gt;0,DI248,IF(CY248&gt;0,CY248,IF(CV248&gt;0,CV248,"")))</f>
        <v>138.5</v>
      </c>
      <c r="DA248" s="0" t="n">
        <f aca="false">IF(DM248=1,CZ248/8,IF(OR(DM248=2,DM248=4),CZ248/7,IF(DM248=3,CZ248/7.5,"")))</f>
        <v>17.3125</v>
      </c>
      <c r="DB248" s="0" t="s">
        <v>1842</v>
      </c>
      <c r="DC248" s="0" t="s">
        <v>216</v>
      </c>
      <c r="DD248" s="0" t="s">
        <v>216</v>
      </c>
      <c r="DE248" s="0" t="s">
        <v>216</v>
      </c>
      <c r="DF248" s="0" t="s">
        <v>216</v>
      </c>
      <c r="DG248" s="0" t="s">
        <v>216</v>
      </c>
      <c r="DH248" s="0" t="n">
        <v>0</v>
      </c>
      <c r="DI248" s="126" t="n">
        <v>138.5</v>
      </c>
      <c r="DK248" s="0" t="n">
        <v>0</v>
      </c>
      <c r="DM248" s="0" t="n">
        <v>1</v>
      </c>
      <c r="DN248" s="0" t="n">
        <v>48</v>
      </c>
      <c r="DO248" s="0" t="n">
        <v>3</v>
      </c>
      <c r="DP248" s="0" t="n">
        <v>0</v>
      </c>
      <c r="DQ248" s="0" t="n">
        <v>1</v>
      </c>
      <c r="DR248" s="0"/>
      <c r="DS248" s="0" t="n">
        <v>1</v>
      </c>
      <c r="DU248" s="0" t="n">
        <v>1</v>
      </c>
      <c r="DW248" s="1" t="n">
        <v>39210</v>
      </c>
      <c r="DX248" s="1" t="n">
        <v>40660</v>
      </c>
      <c r="DZ248" s="0"/>
      <c r="EA248" s="0" t="n">
        <v>1</v>
      </c>
      <c r="EC248" s="1" t="n">
        <v>39210</v>
      </c>
      <c r="ED248" s="1" t="n">
        <v>40660</v>
      </c>
      <c r="EF248" s="0"/>
      <c r="EG248" s="0" t="n">
        <v>0</v>
      </c>
      <c r="EI248" s="0" t="str">
        <f aca="false">IF(AND(DM248=1,DN248&lt;=48),"",IF(AND(DM248=2,DN248&lt;=42),"",IF(AND(DM248=3,DN248&lt;=45),"",EH248)))</f>
        <v/>
      </c>
      <c r="EJ248" s="0" t="str">
        <f aca="false">IF(EI248="","",IF(EI248&lt;9,EI248,9))</f>
        <v/>
      </c>
      <c r="EK248" s="0" t="str">
        <f aca="false">IF(EI248="","",IF(EI248&gt;9,EI248-EJ248,0))</f>
        <v/>
      </c>
      <c r="EL248" s="0" t="str">
        <f aca="false">IF(EI248="","",EJ248*DA248*2+EK248*DA248*3)</f>
        <v/>
      </c>
      <c r="EP248" s="0" t="n">
        <v>0</v>
      </c>
      <c r="EQ248" s="0"/>
      <c r="ER248" s="0" t="n">
        <v>0</v>
      </c>
      <c r="ET248" s="0" t="n">
        <v>0</v>
      </c>
      <c r="EV248" s="0" t="n">
        <v>0</v>
      </c>
      <c r="EX248" s="0" t="n">
        <v>1</v>
      </c>
      <c r="EY248" s="0" t="n">
        <v>0</v>
      </c>
      <c r="EZ248" s="0"/>
      <c r="FA248" s="0"/>
      <c r="FB248" s="0" t="n">
        <v>1</v>
      </c>
      <c r="FF248" s="120" t="n">
        <f aca="false">(CJ248-CI248+1)/365</f>
        <v>3.97534246575342</v>
      </c>
      <c r="FG248" s="0" t="str">
        <f aca="false">CONCATENATE(F248,"/",G248)</f>
        <v>816/2011</v>
      </c>
      <c r="FH248" s="0" t="n">
        <v>0</v>
      </c>
      <c r="FI248" s="0" t="n">
        <v>0</v>
      </c>
    </row>
    <row r="249" customFormat="false" ht="15" hidden="false" customHeight="false" outlineLevel="0" collapsed="false">
      <c r="A249" s="5" t="str">
        <f aca="false">E249&amp;G249&amp;F249</f>
        <v>72011821</v>
      </c>
      <c r="B249" s="0" t="s">
        <v>2392</v>
      </c>
      <c r="C249" s="1" t="n">
        <v>42412</v>
      </c>
      <c r="E249" s="0" t="n">
        <v>7</v>
      </c>
      <c r="F249" s="0" t="n">
        <v>821</v>
      </c>
      <c r="G249" s="0" t="n">
        <v>2011</v>
      </c>
      <c r="H249" s="0" t="str">
        <f aca="false">"J"&amp;E249&amp;"\"&amp;F249&amp;"\"&amp;G249&amp;"\"&amp;W249</f>
        <v>J7\821\2011\1</v>
      </c>
      <c r="I249" s="0"/>
      <c r="J249" s="1" t="n">
        <v>40673</v>
      </c>
      <c r="K249" s="0" t="n">
        <v>0</v>
      </c>
      <c r="M249" s="1" t="n">
        <v>40673</v>
      </c>
      <c r="N249" s="1" t="n">
        <v>40812</v>
      </c>
      <c r="O249" s="1"/>
      <c r="P249" s="1"/>
      <c r="Q249" s="1"/>
      <c r="T249" s="121"/>
      <c r="U249" s="121"/>
      <c r="V249" s="122" t="n">
        <f aca="false">IF(AND(E249&gt;0,F249&gt;0,G249&gt;0),COUNTIFS($E:$E,E249,$F:$F,F249,$G:$G,G249),"")</f>
        <v>1</v>
      </c>
      <c r="W249" s="122" t="n">
        <f aca="false">IF(V249="","",IF(V249=1,1,IF(AND(E248=E249,F248=F249,G248=G249),W248+1,1)))</f>
        <v>1</v>
      </c>
      <c r="X249" s="0" t="n">
        <v>1</v>
      </c>
      <c r="Y249" s="0" t="n">
        <v>4</v>
      </c>
      <c r="Z249" s="0" t="s">
        <v>2725</v>
      </c>
      <c r="AA249" s="0" t="n">
        <v>0</v>
      </c>
      <c r="AB249" s="0" t="s">
        <v>926</v>
      </c>
      <c r="AC249" s="0" t="s">
        <v>2726</v>
      </c>
      <c r="AD249" s="0" t="s">
        <v>590</v>
      </c>
      <c r="AE249" s="0" t="n">
        <v>0</v>
      </c>
      <c r="AF249" s="0" t="s">
        <v>2727</v>
      </c>
      <c r="AG249" s="0" t="n">
        <v>0</v>
      </c>
      <c r="AH249" s="0" t="s">
        <v>2728</v>
      </c>
      <c r="AI249" s="0" t="s">
        <v>2729</v>
      </c>
      <c r="AJ249" s="0" t="s">
        <v>659</v>
      </c>
      <c r="AL249" s="0" t="s">
        <v>2730</v>
      </c>
      <c r="AM249" s="0" t="n">
        <v>1</v>
      </c>
      <c r="AN249" s="0" t="s">
        <v>2728</v>
      </c>
      <c r="AO249" s="0" t="s">
        <v>2729</v>
      </c>
      <c r="AP249" s="0" t="s">
        <v>659</v>
      </c>
      <c r="AR249" s="0" t="s">
        <v>2731</v>
      </c>
      <c r="AS249" s="0" t="n">
        <v>1</v>
      </c>
      <c r="AT249" s="0" t="s">
        <v>2728</v>
      </c>
      <c r="AU249" s="0" t="s">
        <v>2729</v>
      </c>
      <c r="AV249" s="0" t="s">
        <v>659</v>
      </c>
      <c r="AX249" s="0" t="s">
        <v>1880</v>
      </c>
      <c r="AY249" s="0" t="n">
        <v>1</v>
      </c>
      <c r="AZ249" s="0" t="s">
        <v>2728</v>
      </c>
      <c r="BA249" s="0" t="s">
        <v>2729</v>
      </c>
      <c r="BB249" s="0" t="s">
        <v>659</v>
      </c>
      <c r="BP249" s="0" t="n">
        <v>0</v>
      </c>
      <c r="BQ249" s="0" t="n">
        <v>0</v>
      </c>
      <c r="BR249" s="0" t="n">
        <v>1</v>
      </c>
      <c r="BS249" s="0" t="s">
        <v>2732</v>
      </c>
      <c r="BT249" s="0" t="s">
        <v>2733</v>
      </c>
      <c r="BU249" s="0" t="s">
        <v>2734</v>
      </c>
      <c r="BV249" s="123"/>
      <c r="BW249" s="123"/>
      <c r="BX249" s="123"/>
      <c r="BY249" s="123"/>
      <c r="BZ249" s="0" t="n">
        <v>0</v>
      </c>
      <c r="CA249" s="0" t="s">
        <v>1895</v>
      </c>
      <c r="CD249" s="0" t="s">
        <v>2572</v>
      </c>
      <c r="CE249" s="0" t="n">
        <v>0</v>
      </c>
      <c r="CF249" s="0" t="s">
        <v>2735</v>
      </c>
      <c r="CI249" s="1" t="n">
        <v>37164</v>
      </c>
      <c r="CJ249" s="1" t="n">
        <v>40669</v>
      </c>
      <c r="CK249" s="124" t="n">
        <v>0.375</v>
      </c>
      <c r="CL249" s="0" t="s">
        <v>2736</v>
      </c>
      <c r="CM249" s="0" t="n">
        <f aca="false">IF(OR(CI249="",CJ249=""),"",DAYS360(CI249,CJ249)/360)</f>
        <v>9.6</v>
      </c>
      <c r="CN249" s="0" t="n">
        <f aca="false">IF(OR(CI249="",CJ249=""),"",DAYS360(CI249,CJ249)/30)</f>
        <v>115.2</v>
      </c>
      <c r="CO249" s="0" t="n">
        <f aca="false">IF(OR(CI249="",CJ249=""),"",DAYS360(CI249,CJ249)/7)</f>
        <v>493.714285714286</v>
      </c>
      <c r="CP249" s="0" t="n">
        <f aca="false">IF(OR(CI249="",CJ249=""),"",DAYS360(CI249,CJ249))</f>
        <v>3456</v>
      </c>
      <c r="CQ249" s="0" t="s">
        <v>2021</v>
      </c>
      <c r="CR249" s="0" t="n">
        <v>1</v>
      </c>
      <c r="CT249" s="0" t="n">
        <v>12000</v>
      </c>
      <c r="CU249" s="0" t="n">
        <v>1</v>
      </c>
      <c r="CV249" s="0" t="n">
        <f aca="false">IF(OR(CT249="",CT249="NO ESPECIFICA",CT249="NO MENCIONA"),"",IF(CU249=0,CT249,IF(CU249=1,CT249/30,IF(CU249=2,CT249/15,IF(CU249=3,CT249/7,"")))))</f>
        <v>400</v>
      </c>
      <c r="CW249" s="125" t="n">
        <v>854.77</v>
      </c>
      <c r="CX249" s="0" t="n">
        <v>0</v>
      </c>
      <c r="CY249" s="0" t="n">
        <f aca="false">IF(CW249="","",IF(CX249=0,CW249,IF(CX249=1,CW249/30,IF(CX249=2,CW249/15,IF(CX249=3,CW249/7,CW249)))))</f>
        <v>854.77</v>
      </c>
      <c r="CZ249" s="0" t="n">
        <f aca="false">IF(DI249&gt;0,DI249,IF(CY249&gt;0,CY249,IF(CV249&gt;0,CV249,"")))</f>
        <v>857.77</v>
      </c>
      <c r="DA249" s="0" t="n">
        <f aca="false">IF(DM249=1,CZ249/8,IF(OR(DM249=2,DM249=4),CZ249/7,IF(DM249=3,CZ249/7.5,"")))</f>
        <v>107.22125</v>
      </c>
      <c r="DB249" s="0" t="s">
        <v>1997</v>
      </c>
      <c r="DC249" s="0" t="s">
        <v>216</v>
      </c>
      <c r="DD249" s="0" t="s">
        <v>216</v>
      </c>
      <c r="DE249" s="0" t="s">
        <v>216</v>
      </c>
      <c r="DF249" s="0" t="s">
        <v>216</v>
      </c>
      <c r="DG249" s="0" t="s">
        <v>216</v>
      </c>
      <c r="DH249" s="0" t="n">
        <v>0</v>
      </c>
      <c r="DI249" s="126" t="n">
        <v>857.77</v>
      </c>
      <c r="DK249" s="0" t="n">
        <v>0</v>
      </c>
      <c r="DM249" s="0" t="n">
        <v>1</v>
      </c>
      <c r="DN249" s="0" t="n">
        <f aca="false">56+(6/30)</f>
        <v>56.2</v>
      </c>
      <c r="DO249" s="0" t="n">
        <v>3</v>
      </c>
      <c r="DP249" s="0" t="n">
        <v>1</v>
      </c>
      <c r="DQ249" s="0" t="n">
        <v>0</v>
      </c>
      <c r="DR249" s="0"/>
      <c r="DS249" s="0" t="n">
        <v>1</v>
      </c>
      <c r="DU249" s="0" t="n">
        <v>0</v>
      </c>
      <c r="DW249" s="1" t="n">
        <v>40451</v>
      </c>
      <c r="DX249" s="1" t="n">
        <v>40669</v>
      </c>
      <c r="DZ249" s="0"/>
      <c r="EA249" s="0" t="n">
        <v>1</v>
      </c>
      <c r="EC249" s="1" t="n">
        <v>40179</v>
      </c>
      <c r="ED249" s="1" t="n">
        <v>40669</v>
      </c>
      <c r="EF249" s="0"/>
      <c r="EG249" s="0" t="n">
        <v>0</v>
      </c>
      <c r="EI249" s="0" t="n">
        <f aca="false">IF(AND(DM249=1,DN249&lt;=48),"",IF(AND(DM249=2,DN249&lt;=42),"",IF(AND(DM249=3,DN249&lt;=45),"",EH249)))</f>
        <v>0</v>
      </c>
      <c r="EJ249" s="0" t="str">
        <f aca="false">IF(EI249="","",IF(EI249&lt;9,EI249,9))</f>
        <v/>
      </c>
      <c r="EK249" s="0" t="str">
        <f aca="false">IF(EI249="","",IF(EI249&gt;9,EI249-EJ249,0))</f>
        <v/>
      </c>
      <c r="EL249" s="0" t="str">
        <f aca="false">IF(EI249="","",EJ249*DA249*2+EK249*DA249*3)</f>
        <v/>
      </c>
      <c r="EP249" s="0" t="n">
        <v>0</v>
      </c>
      <c r="EQ249" s="0"/>
      <c r="ER249" s="0" t="n">
        <v>0</v>
      </c>
      <c r="ET249" s="0" t="n">
        <v>0</v>
      </c>
      <c r="EV249" s="0" t="n">
        <v>0</v>
      </c>
      <c r="EX249" s="0" t="n">
        <v>0</v>
      </c>
      <c r="EY249" s="0" t="n">
        <v>0</v>
      </c>
      <c r="EZ249" s="0"/>
      <c r="FA249" s="4" t="n">
        <v>14000</v>
      </c>
      <c r="FB249" s="0" t="n">
        <v>0</v>
      </c>
      <c r="FF249" s="120" t="n">
        <f aca="false">(CJ249-CI249+1)/365</f>
        <v>9.60547945205479</v>
      </c>
      <c r="FG249" s="0" t="str">
        <f aca="false">CONCATENATE(F249,"/",G249)</f>
        <v>821/2011</v>
      </c>
      <c r="FH249" s="0" t="n">
        <v>0</v>
      </c>
      <c r="FI249" s="0" t="n">
        <v>0</v>
      </c>
    </row>
    <row r="250" customFormat="false" ht="15" hidden="false" customHeight="false" outlineLevel="0" collapsed="false">
      <c r="A250" s="5" t="str">
        <f aca="false">E250&amp;G250&amp;F250</f>
        <v>720112011</v>
      </c>
      <c r="B250" s="0" t="s">
        <v>2737</v>
      </c>
      <c r="C250" s="1" t="n">
        <v>42412</v>
      </c>
      <c r="E250" s="0" t="n">
        <v>7</v>
      </c>
      <c r="F250" s="0" t="n">
        <v>2011</v>
      </c>
      <c r="G250" s="0" t="n">
        <v>2011</v>
      </c>
      <c r="H250" s="0" t="str">
        <f aca="false">"J"&amp;E250&amp;"\"&amp;F250&amp;"\"&amp;G250&amp;"\"&amp;W250</f>
        <v>J7\2011\2011\1</v>
      </c>
      <c r="I250" s="0"/>
      <c r="J250" s="1" t="n">
        <v>40878</v>
      </c>
      <c r="K250" s="0" t="n">
        <v>0</v>
      </c>
      <c r="M250" s="1"/>
      <c r="N250" s="1"/>
      <c r="O250" s="1"/>
      <c r="P250" s="1"/>
      <c r="Q250" s="1"/>
      <c r="T250" s="121"/>
      <c r="U250" s="121"/>
      <c r="V250" s="122" t="n">
        <f aca="false">IF(AND(E250&gt;0,F250&gt;0,G250&gt;0),COUNTIFS($E:$E,E250,$F:$F,F250,$G:$G,G250),"")</f>
        <v>1</v>
      </c>
      <c r="W250" s="122" t="n">
        <f aca="false">IF(V250="","",IF(V250=1,1,IF(AND(E249=E250,F249=F250,G249=G250),W249+1,1)))</f>
        <v>1</v>
      </c>
      <c r="X250" s="0" t="n">
        <v>1</v>
      </c>
      <c r="Y250" s="0" t="n">
        <v>3</v>
      </c>
      <c r="Z250" s="0" t="s">
        <v>2738</v>
      </c>
      <c r="AA250" s="0" t="n">
        <v>0</v>
      </c>
      <c r="AB250" s="0" t="s">
        <v>2739</v>
      </c>
      <c r="AC250" s="0" t="s">
        <v>2740</v>
      </c>
      <c r="AD250" s="0" t="s">
        <v>207</v>
      </c>
      <c r="AE250" s="0" t="n">
        <v>0</v>
      </c>
      <c r="AF250" s="0" t="s">
        <v>2741</v>
      </c>
      <c r="AG250" s="0" t="n">
        <v>0</v>
      </c>
      <c r="AH250" s="0" t="s">
        <v>2742</v>
      </c>
      <c r="AI250" s="0" t="s">
        <v>2743</v>
      </c>
      <c r="AJ250" s="0" t="s">
        <v>411</v>
      </c>
      <c r="AL250" s="0" t="s">
        <v>2744</v>
      </c>
      <c r="AM250" s="0" t="n">
        <v>1</v>
      </c>
      <c r="AN250" s="0" t="s">
        <v>2742</v>
      </c>
      <c r="AO250" s="0" t="s">
        <v>2743</v>
      </c>
      <c r="AP250" s="0" t="s">
        <v>411</v>
      </c>
      <c r="AR250" s="0" t="s">
        <v>1637</v>
      </c>
      <c r="AS250" s="0" t="n">
        <v>1</v>
      </c>
      <c r="AT250" s="0" t="s">
        <v>2742</v>
      </c>
      <c r="AU250" s="0" t="s">
        <v>2743</v>
      </c>
      <c r="AV250" s="0" t="s">
        <v>411</v>
      </c>
      <c r="BP250" s="0" t="n">
        <v>0</v>
      </c>
      <c r="BQ250" s="0" t="n">
        <v>0</v>
      </c>
      <c r="BR250" s="0" t="n">
        <v>1</v>
      </c>
      <c r="BS250" s="0" t="s">
        <v>2745</v>
      </c>
      <c r="BT250" s="0" t="s">
        <v>2746</v>
      </c>
      <c r="BU250" s="0" t="s">
        <v>2747</v>
      </c>
      <c r="BV250" s="123"/>
      <c r="BW250" s="123"/>
      <c r="BX250" s="123"/>
      <c r="BY250" s="123"/>
      <c r="BZ250" s="0" t="n">
        <v>0</v>
      </c>
      <c r="CA250" s="0" t="s">
        <v>216</v>
      </c>
      <c r="CD250" s="0" t="s">
        <v>370</v>
      </c>
      <c r="CE250" s="0" t="n">
        <v>0</v>
      </c>
      <c r="CF250" s="0" t="s">
        <v>2748</v>
      </c>
      <c r="CI250" s="1" t="n">
        <v>40182</v>
      </c>
      <c r="CJ250" s="1" t="n">
        <v>40821</v>
      </c>
      <c r="CK250" s="124" t="n">
        <v>0.375</v>
      </c>
      <c r="CL250" s="0" t="s">
        <v>2744</v>
      </c>
      <c r="CM250" s="0" t="n">
        <f aca="false">IF(OR(CI250="",CJ250=""),"",DAYS360(CI250,CJ250)/360)</f>
        <v>1.75277777777778</v>
      </c>
      <c r="CN250" s="0" t="n">
        <f aca="false">IF(OR(CI250="",CJ250=""),"",DAYS360(CI250,CJ250)/30)</f>
        <v>21.0333333333333</v>
      </c>
      <c r="CO250" s="0" t="n">
        <f aca="false">IF(OR(CI250="",CJ250=""),"",DAYS360(CI250,CJ250)/7)</f>
        <v>90.1428571428571</v>
      </c>
      <c r="CP250" s="0" t="n">
        <f aca="false">IF(OR(CI250="",CJ250=""),"",DAYS360(CI250,CJ250))</f>
        <v>631</v>
      </c>
      <c r="CQ250" s="0" t="s">
        <v>240</v>
      </c>
      <c r="CR250" s="0" t="n">
        <v>1</v>
      </c>
      <c r="CT250" s="0" t="n">
        <v>4000</v>
      </c>
      <c r="CU250" s="0" t="n">
        <v>3</v>
      </c>
      <c r="CV250" s="0" t="n">
        <f aca="false">IF(OR(CT250="",CT250="NO ESPECIFICA",CT250="NO MENCIONA"),"",IF(CU250=0,CT250,IF(CU250=1,CT250/30,IF(CU250=2,CT250/15,IF(CU250=3,CT250/7,"")))))</f>
        <v>571.428571428571</v>
      </c>
      <c r="CW250" s="125" t="s">
        <v>216</v>
      </c>
      <c r="CX250" s="0" t="s">
        <v>216</v>
      </c>
      <c r="CY250" s="0" t="str">
        <f aca="false">IF(CW250="","",IF(CX250=0,CW250,IF(CX250=1,CW250/30,IF(CX250=2,CW250/15,IF(CX250=3,CW250/7,CW250)))))</f>
        <v>NO MENCIONA</v>
      </c>
      <c r="CZ250" s="0" t="n">
        <f aca="false">IF(DI250&gt;0,DI250,IF(CY250&gt;0,CY250,IF(CV250&gt;0,CV250,"")))</f>
        <v>571.428571428571</v>
      </c>
      <c r="DA250" s="0" t="n">
        <f aca="false">IF(DM250=1,CZ250/8,IF(OR(DM250=2,DM250=4),CZ250/7,IF(DM250=3,CZ250/7.5,"")))</f>
        <v>71.4285714285714</v>
      </c>
      <c r="DB250" s="0" t="s">
        <v>216</v>
      </c>
      <c r="DC250" s="0" t="s">
        <v>216</v>
      </c>
      <c r="DD250" s="0" t="s">
        <v>216</v>
      </c>
      <c r="DE250" s="0" t="s">
        <v>216</v>
      </c>
      <c r="DF250" s="0" t="s">
        <v>216</v>
      </c>
      <c r="DG250" s="0" t="s">
        <v>216</v>
      </c>
      <c r="DH250" s="0" t="n">
        <v>0</v>
      </c>
      <c r="DI250" s="126" t="n">
        <v>571.428571428571</v>
      </c>
      <c r="DK250" s="0" t="n">
        <v>0</v>
      </c>
      <c r="DM250" s="0" t="n">
        <v>1</v>
      </c>
      <c r="DN250" s="0" t="n">
        <v>50</v>
      </c>
      <c r="DO250" s="0" t="n">
        <v>3</v>
      </c>
      <c r="DP250" s="0" t="n">
        <v>0</v>
      </c>
      <c r="DQ250" s="0" t="n">
        <v>1</v>
      </c>
      <c r="DR250" s="0" t="n">
        <v>48000</v>
      </c>
      <c r="DS250" s="0" t="n">
        <v>1</v>
      </c>
      <c r="DU250" s="0" t="n">
        <v>1</v>
      </c>
      <c r="DW250" s="1" t="n">
        <v>40547</v>
      </c>
      <c r="DX250" s="1" t="n">
        <v>40821</v>
      </c>
      <c r="DY250" s="0" t="n">
        <v>7.21</v>
      </c>
      <c r="DZ250" s="0" t="n">
        <v>4344</v>
      </c>
      <c r="EA250" s="0" t="n">
        <v>0</v>
      </c>
      <c r="EC250" s="1" t="n">
        <v>40544</v>
      </c>
      <c r="ED250" s="1" t="n">
        <v>40821</v>
      </c>
      <c r="EF250" s="0"/>
      <c r="EG250" s="0" t="n">
        <v>1</v>
      </c>
      <c r="EH250" s="0" t="n">
        <v>10</v>
      </c>
      <c r="EI250" s="0" t="n">
        <f aca="false">IF(AND(DM250=1,DN250&lt;=48),"",IF(AND(DM250=2,DN250&lt;=42),"",IF(AND(DM250=3,DN250&lt;=45),"",EH250)))</f>
        <v>10</v>
      </c>
      <c r="EJ250" s="0" t="n">
        <f aca="false">IF(EI250="","",IF(EI250&lt;9,EI250,9))</f>
        <v>9</v>
      </c>
      <c r="EK250" s="0" t="n">
        <f aca="false">IF(EI250="","",IF(EI250&gt;9,EI250-EJ250,0))</f>
        <v>1</v>
      </c>
      <c r="EL250" s="0" t="n">
        <f aca="false">IF(EI250="","",EJ250*DA250*2+EK250*DA250*3)</f>
        <v>1500</v>
      </c>
      <c r="EN250" s="0" t="n">
        <v>64287</v>
      </c>
      <c r="EP250" s="0" t="n">
        <v>0</v>
      </c>
      <c r="EQ250" s="0"/>
      <c r="ER250" s="0" t="n">
        <v>0</v>
      </c>
      <c r="ET250" s="0" t="n">
        <v>0</v>
      </c>
      <c r="EV250" s="0" t="n">
        <v>0</v>
      </c>
      <c r="EX250" s="0" t="n">
        <v>1</v>
      </c>
      <c r="EY250" s="0" t="n">
        <v>1</v>
      </c>
      <c r="EZ250" s="0"/>
      <c r="FA250" s="4" t="n">
        <v>0</v>
      </c>
      <c r="FB250" s="0" t="n">
        <v>1</v>
      </c>
      <c r="FF250" s="120" t="n">
        <f aca="false">(CJ250-CI250+1)/365</f>
        <v>1.75342465753425</v>
      </c>
      <c r="FG250" s="0" t="str">
        <f aca="false">CONCATENATE(F250,"/",G250)</f>
        <v>2011/2011</v>
      </c>
      <c r="FH250" s="0" t="n">
        <v>0</v>
      </c>
      <c r="FI250" s="0" t="n">
        <v>0</v>
      </c>
    </row>
    <row r="251" customFormat="false" ht="15" hidden="false" customHeight="false" outlineLevel="0" collapsed="false">
      <c r="A251" s="5" t="str">
        <f aca="false">E251&amp;G251&amp;F251</f>
        <v>720112015</v>
      </c>
      <c r="B251" s="0" t="s">
        <v>2737</v>
      </c>
      <c r="C251" s="1" t="n">
        <v>42412</v>
      </c>
      <c r="E251" s="0" t="n">
        <v>7</v>
      </c>
      <c r="F251" s="0" t="n">
        <v>2015</v>
      </c>
      <c r="G251" s="0" t="n">
        <v>2011</v>
      </c>
      <c r="H251" s="0" t="str">
        <f aca="false">"J"&amp;E251&amp;"\"&amp;F251&amp;"\"&amp;G251&amp;"\"&amp;W251</f>
        <v>J7\2015\2011\1</v>
      </c>
      <c r="I251" s="0"/>
      <c r="J251" s="1" t="n">
        <v>40879</v>
      </c>
      <c r="K251" s="0" t="n">
        <v>1</v>
      </c>
      <c r="L251" s="0" t="s">
        <v>838</v>
      </c>
      <c r="M251" s="1" t="n">
        <v>40879</v>
      </c>
      <c r="N251" s="1" t="n">
        <v>40949</v>
      </c>
      <c r="O251" s="1"/>
      <c r="P251" s="1"/>
      <c r="Q251" s="1"/>
      <c r="T251" s="121"/>
      <c r="U251" s="121"/>
      <c r="V251" s="122" t="n">
        <f aca="false">IF(AND(E251&gt;0,F251&gt;0,G251&gt;0),COUNTIFS($E:$E,E251,$F:$F,F251,$G:$G,G251),"")</f>
        <v>1</v>
      </c>
      <c r="W251" s="122" t="n">
        <f aca="false">IF(V251="","",IF(V251=1,1,IF(AND(E250=E251,F250=F251,G250=G251),W250+1,1)))</f>
        <v>1</v>
      </c>
      <c r="X251" s="0" t="n">
        <v>1</v>
      </c>
      <c r="Y251" s="0" t="n">
        <v>3</v>
      </c>
      <c r="Z251" s="0" t="s">
        <v>2749</v>
      </c>
      <c r="AA251" s="0" t="n">
        <v>0</v>
      </c>
      <c r="AB251" s="0" t="s">
        <v>2750</v>
      </c>
      <c r="AC251" s="0" t="s">
        <v>1661</v>
      </c>
      <c r="AD251" s="0" t="s">
        <v>229</v>
      </c>
      <c r="AE251" s="0" t="n">
        <v>0</v>
      </c>
      <c r="AF251" s="0" t="s">
        <v>2751</v>
      </c>
      <c r="AG251" s="0" t="n">
        <v>0</v>
      </c>
      <c r="AH251" s="0" t="s">
        <v>2752</v>
      </c>
      <c r="AI251" s="0" t="s">
        <v>206</v>
      </c>
      <c r="AJ251" s="0" t="s">
        <v>207</v>
      </c>
      <c r="AL251" s="0" t="s">
        <v>2753</v>
      </c>
      <c r="AM251" s="0" t="n">
        <v>1</v>
      </c>
      <c r="AN251" s="0" t="s">
        <v>2752</v>
      </c>
      <c r="AO251" s="0" t="s">
        <v>206</v>
      </c>
      <c r="AP251" s="0" t="s">
        <v>207</v>
      </c>
      <c r="AR251" s="0" t="s">
        <v>1637</v>
      </c>
      <c r="AS251" s="0" t="n">
        <v>1</v>
      </c>
      <c r="AT251" s="0" t="s">
        <v>2752</v>
      </c>
      <c r="AU251" s="0" t="s">
        <v>206</v>
      </c>
      <c r="AV251" s="0" t="s">
        <v>207</v>
      </c>
      <c r="BP251" s="0" t="n">
        <v>0</v>
      </c>
      <c r="BQ251" s="0" t="n">
        <v>0</v>
      </c>
      <c r="BR251" s="0" t="n">
        <v>1</v>
      </c>
      <c r="BS251" s="0" t="s">
        <v>2754</v>
      </c>
      <c r="BT251" s="0" t="s">
        <v>2755</v>
      </c>
      <c r="BU251" s="0" t="s">
        <v>2756</v>
      </c>
      <c r="BV251" s="123"/>
      <c r="BW251" s="123"/>
      <c r="BX251" s="123"/>
      <c r="BY251" s="123"/>
      <c r="BZ251" s="0" t="n">
        <v>0</v>
      </c>
      <c r="CA251" s="0" t="s">
        <v>216</v>
      </c>
      <c r="CD251" s="0" t="s">
        <v>256</v>
      </c>
      <c r="CE251" s="0" t="n">
        <v>0</v>
      </c>
      <c r="CF251" s="0" t="s">
        <v>1508</v>
      </c>
      <c r="CI251" s="1" t="n">
        <v>40348</v>
      </c>
      <c r="CJ251" s="1" t="n">
        <v>40851</v>
      </c>
      <c r="CK251" s="124" t="n">
        <v>0.625</v>
      </c>
      <c r="CL251" s="0" t="s">
        <v>2753</v>
      </c>
      <c r="CM251" s="0" t="n">
        <f aca="false">IF(OR(CI251="",CJ251=""),"",DAYS360(CI251,CJ251)/360)</f>
        <v>1.375</v>
      </c>
      <c r="CN251" s="0" t="n">
        <f aca="false">IF(OR(CI251="",CJ251=""),"",DAYS360(CI251,CJ251)/30)</f>
        <v>16.5</v>
      </c>
      <c r="CO251" s="0" t="n">
        <f aca="false">IF(OR(CI251="",CJ251=""),"",DAYS360(CI251,CJ251)/7)</f>
        <v>70.7142857142857</v>
      </c>
      <c r="CP251" s="0" t="n">
        <f aca="false">IF(OR(CI251="",CJ251=""),"",DAYS360(CI251,CJ251))</f>
        <v>495</v>
      </c>
      <c r="CQ251" s="0" t="s">
        <v>240</v>
      </c>
      <c r="CR251" s="0" t="n">
        <v>1</v>
      </c>
      <c r="CT251" s="0" t="s">
        <v>221</v>
      </c>
      <c r="CU251" s="0" t="s">
        <v>221</v>
      </c>
      <c r="CV251" s="0" t="str">
        <f aca="false">IF(OR(CT251="",CT251="NO ESPECIFICA",CT251="NO MENCIONA"),"",IF(CU251=0,CT251,IF(CU251=1,CT251/30,IF(CU251=2,CT251/15,IF(CU251=3,CT251/7,"")))))</f>
        <v/>
      </c>
      <c r="CW251" s="125" t="n">
        <v>1700</v>
      </c>
      <c r="CX251" s="0" t="n">
        <v>2</v>
      </c>
      <c r="CY251" s="0" t="n">
        <f aca="false">IF(CW251="","",IF(CX251=0,CW251,IF(CX251=1,CW251/30,IF(CX251=2,CW251/15,IF(CX251=3,CW251/7,CW251)))))</f>
        <v>113.333333333333</v>
      </c>
      <c r="CZ251" s="0" t="n">
        <f aca="false">IF(DI251&gt;0,DI251,IF(CY251&gt;0,CY251,IF(CV251&gt;0,CV251,"")))</f>
        <v>242.857142857143</v>
      </c>
      <c r="DA251" s="0" t="n">
        <f aca="false">IF(DM251=1,CZ251/8,IF(OR(DM251=2,DM251=4),CZ251/7,IF(DM251=3,CZ251/7.5,"")))</f>
        <v>30.3571428571429</v>
      </c>
      <c r="DB251" s="0" t="s">
        <v>216</v>
      </c>
      <c r="DC251" s="0" t="s">
        <v>216</v>
      </c>
      <c r="DD251" s="0" t="s">
        <v>216</v>
      </c>
      <c r="DE251" s="0" t="s">
        <v>216</v>
      </c>
      <c r="DF251" s="0" t="s">
        <v>216</v>
      </c>
      <c r="DG251" s="0" t="s">
        <v>216</v>
      </c>
      <c r="DH251" s="0" t="n">
        <v>0</v>
      </c>
      <c r="DI251" s="126" t="n">
        <v>242.857142857143</v>
      </c>
      <c r="DK251" s="0" t="n">
        <v>1</v>
      </c>
      <c r="DM251" s="0" t="n">
        <v>1</v>
      </c>
      <c r="DN251" s="0" t="n">
        <v>87</v>
      </c>
      <c r="DO251" s="0" t="n">
        <v>3</v>
      </c>
      <c r="DP251" s="0" t="n">
        <v>0</v>
      </c>
      <c r="DQ251" s="0" t="n">
        <v>1</v>
      </c>
      <c r="DR251" s="0" t="n">
        <v>10200</v>
      </c>
      <c r="DS251" s="0" t="n">
        <v>1</v>
      </c>
      <c r="DU251" s="0" t="n">
        <v>0</v>
      </c>
      <c r="DW251" s="1" t="n">
        <v>40348</v>
      </c>
      <c r="DX251" s="1" t="n">
        <v>40851</v>
      </c>
      <c r="DZ251" s="0"/>
      <c r="EA251" s="0" t="n">
        <v>1</v>
      </c>
      <c r="EC251" s="1" t="n">
        <v>40348</v>
      </c>
      <c r="ED251" s="1" t="n">
        <v>40851</v>
      </c>
      <c r="EF251" s="0"/>
      <c r="EG251" s="0" t="n">
        <v>1</v>
      </c>
      <c r="EH251" s="0" t="s">
        <v>221</v>
      </c>
      <c r="EI251" s="0" t="str">
        <f aca="false">IF(AND(DM251=1,DN251&lt;=48),"",IF(AND(DM251=2,DN251&lt;=42),"",IF(AND(DM251=3,DN251&lt;=45),"",EH251)))</f>
        <v>NO ESPECIFICA</v>
      </c>
      <c r="EJ251" s="0" t="n">
        <f aca="false">IF(EI251="","",IF(EI251&lt;9,EI251,9))</f>
        <v>9</v>
      </c>
      <c r="EK251" s="0" t="e">
        <f aca="false">IF(EI251="","",IF(EI251&gt;9,EI251-EJ251,0))</f>
        <v>#VALUE!</v>
      </c>
      <c r="EL251" s="0" t="e">
        <f aca="false">IF(EI251="","",EJ251*DA251*2+EK251*DA251*3)</f>
        <v>#VALUE!</v>
      </c>
      <c r="EP251" s="0" t="n">
        <v>1</v>
      </c>
      <c r="EQ251" s="0"/>
      <c r="ER251" s="0" t="n">
        <v>0</v>
      </c>
      <c r="ET251" s="0" t="n">
        <v>1</v>
      </c>
      <c r="EV251" s="0" t="n">
        <v>1</v>
      </c>
      <c r="EX251" s="0" t="n">
        <v>1</v>
      </c>
      <c r="EY251" s="0" t="n">
        <v>0</v>
      </c>
      <c r="EZ251" s="0"/>
      <c r="FA251" s="4" t="n">
        <v>0</v>
      </c>
      <c r="FB251" s="0" t="n">
        <v>0</v>
      </c>
      <c r="FF251" s="120" t="n">
        <f aca="false">(CJ251-CI251+1)/365</f>
        <v>1.38082191780822</v>
      </c>
      <c r="FG251" s="0" t="str">
        <f aca="false">CONCATENATE(F251,"/",G251)</f>
        <v>2015/2011</v>
      </c>
      <c r="FH251" s="0" t="n">
        <v>0</v>
      </c>
      <c r="FI251" s="0" t="n">
        <v>0</v>
      </c>
    </row>
    <row r="252" customFormat="false" ht="15" hidden="false" customHeight="false" outlineLevel="0" collapsed="false">
      <c r="A252" s="5" t="str">
        <f aca="false">E252&amp;G252&amp;F252</f>
        <v>720112018</v>
      </c>
      <c r="B252" s="0" t="s">
        <v>2737</v>
      </c>
      <c r="C252" s="1" t="n">
        <v>42412</v>
      </c>
      <c r="E252" s="0" t="n">
        <v>7</v>
      </c>
      <c r="F252" s="0" t="n">
        <v>2018</v>
      </c>
      <c r="G252" s="0" t="n">
        <v>2011</v>
      </c>
      <c r="H252" s="0" t="str">
        <f aca="false">"J"&amp;E252&amp;"\"&amp;F252&amp;"\"&amp;G252&amp;"\"&amp;W252</f>
        <v>J7\2018\2011\1</v>
      </c>
      <c r="I252" s="0"/>
      <c r="J252" s="1" t="n">
        <v>40879</v>
      </c>
      <c r="K252" s="0" t="n">
        <v>0</v>
      </c>
      <c r="M252" s="1"/>
      <c r="N252" s="1"/>
      <c r="O252" s="1"/>
      <c r="P252" s="1"/>
      <c r="Q252" s="1"/>
      <c r="T252" s="121"/>
      <c r="U252" s="121"/>
      <c r="V252" s="122" t="n">
        <f aca="false">IF(AND(E252&gt;0,F252&gt;0,G252&gt;0),COUNTIFS($E:$E,E252,$F:$F,F252,$G:$G,G252),"")</f>
        <v>2</v>
      </c>
      <c r="W252" s="122" t="n">
        <f aca="false">IF(V252="","",IF(V252=1,1,IF(AND(E251=E252,F251=F252,G251=G252),W251+1,1)))</f>
        <v>1</v>
      </c>
      <c r="X252" s="0" t="n">
        <v>2</v>
      </c>
      <c r="Y252" s="0" t="n">
        <v>3</v>
      </c>
      <c r="Z252" s="0" t="s">
        <v>2757</v>
      </c>
      <c r="AA252" s="0" t="n">
        <v>0</v>
      </c>
      <c r="AB252" s="0" t="s">
        <v>1557</v>
      </c>
      <c r="AC252" s="0" t="s">
        <v>1558</v>
      </c>
      <c r="AD252" s="0" t="s">
        <v>411</v>
      </c>
      <c r="AE252" s="0" t="n">
        <v>0</v>
      </c>
      <c r="AF252" s="0" t="s">
        <v>2758</v>
      </c>
      <c r="AG252" s="0" t="n">
        <v>1</v>
      </c>
      <c r="AH252" s="0" t="s">
        <v>2759</v>
      </c>
      <c r="AI252" s="0" t="s">
        <v>2760</v>
      </c>
      <c r="AJ252" s="0" t="s">
        <v>322</v>
      </c>
      <c r="AL252" s="0" t="s">
        <v>2761</v>
      </c>
      <c r="AM252" s="0" t="n">
        <v>0</v>
      </c>
      <c r="AN252" s="0" t="s">
        <v>2759</v>
      </c>
      <c r="AO252" s="0" t="s">
        <v>2760</v>
      </c>
      <c r="AP252" s="0" t="s">
        <v>322</v>
      </c>
      <c r="AR252" s="0" t="s">
        <v>1637</v>
      </c>
      <c r="AS252" s="0" t="n">
        <v>1</v>
      </c>
      <c r="AT252" s="0" t="s">
        <v>2759</v>
      </c>
      <c r="AU252" s="0" t="s">
        <v>2760</v>
      </c>
      <c r="AV252" s="0" t="s">
        <v>322</v>
      </c>
      <c r="BP252" s="0" t="n">
        <v>0</v>
      </c>
      <c r="BQ252" s="0" t="n">
        <v>0</v>
      </c>
      <c r="BR252" s="0" t="n">
        <v>1</v>
      </c>
      <c r="BS252" s="0" t="s">
        <v>1564</v>
      </c>
      <c r="BT252" s="0" t="s">
        <v>1565</v>
      </c>
      <c r="BU252" s="0" t="s">
        <v>1566</v>
      </c>
      <c r="BV252" s="123"/>
      <c r="BW252" s="123"/>
      <c r="BX252" s="123"/>
      <c r="BY252" s="123"/>
      <c r="BZ252" s="0" t="n">
        <v>0</v>
      </c>
      <c r="CA252" s="0" t="s">
        <v>216</v>
      </c>
      <c r="CD252" s="0" t="s">
        <v>357</v>
      </c>
      <c r="CE252" s="0" t="n">
        <v>0</v>
      </c>
      <c r="CF252" s="0" t="s">
        <v>2762</v>
      </c>
      <c r="CI252" s="1" t="n">
        <v>40179</v>
      </c>
      <c r="CJ252" s="1" t="n">
        <v>40821</v>
      </c>
      <c r="CK252" s="124" t="n">
        <v>0.541666666666667</v>
      </c>
      <c r="CL252" s="0" t="s">
        <v>2758</v>
      </c>
      <c r="CM252" s="0" t="n">
        <f aca="false">IF(OR(CI252="",CJ252=""),"",DAYS360(CI252,CJ252)/360)</f>
        <v>1.76111111111111</v>
      </c>
      <c r="CN252" s="0" t="n">
        <f aca="false">IF(OR(CI252="",CJ252=""),"",DAYS360(CI252,CJ252)/30)</f>
        <v>21.1333333333333</v>
      </c>
      <c r="CO252" s="0" t="n">
        <f aca="false">IF(OR(CI252="",CJ252=""),"",DAYS360(CI252,CJ252)/7)</f>
        <v>90.5714285714286</v>
      </c>
      <c r="CP252" s="0" t="n">
        <f aca="false">IF(OR(CI252="",CJ252=""),"",DAYS360(CI252,CJ252))</f>
        <v>634</v>
      </c>
      <c r="CQ252" s="0" t="s">
        <v>220</v>
      </c>
      <c r="CR252" s="0" t="n">
        <v>1</v>
      </c>
      <c r="CT252" s="0" t="n">
        <v>250</v>
      </c>
      <c r="CU252" s="0" t="n">
        <v>0</v>
      </c>
      <c r="CV252" s="0" t="n">
        <f aca="false">IF(OR(CT252="",CT252="NO ESPECIFICA",CT252="NO MENCIONA"),"",IF(CU252=0,CT252,IF(CU252=1,CT252/30,IF(CU252=2,CT252/15,IF(CU252=3,CT252/7,"")))))</f>
        <v>250</v>
      </c>
      <c r="CW252" s="125" t="n">
        <v>267.12</v>
      </c>
      <c r="CX252" s="0" t="n">
        <v>0</v>
      </c>
      <c r="CY252" s="0" t="n">
        <f aca="false">IF(CW252="","",IF(CX252=0,CW252,IF(CX252=1,CW252/30,IF(CX252=2,CW252/15,IF(CX252=3,CW252/7,CW252)))))</f>
        <v>267.12</v>
      </c>
      <c r="CZ252" s="0" t="n">
        <f aca="false">IF(DI252&gt;0,DI252,IF(CY252&gt;0,CY252,IF(CV252&gt;0,CV252,"")))</f>
        <v>267.12</v>
      </c>
      <c r="DA252" s="0" t="n">
        <f aca="false">IF(DM252=1,CZ252/8,IF(OR(DM252=2,DM252=4),CZ252/7,IF(DM252=3,CZ252/7.5,"")))</f>
        <v>33.39</v>
      </c>
      <c r="DB252" s="0" t="s">
        <v>216</v>
      </c>
      <c r="DC252" s="0" t="s">
        <v>216</v>
      </c>
      <c r="DD252" s="0" t="s">
        <v>216</v>
      </c>
      <c r="DE252" s="0" t="s">
        <v>216</v>
      </c>
      <c r="DF252" s="0" t="s">
        <v>216</v>
      </c>
      <c r="DG252" s="0" t="s">
        <v>216</v>
      </c>
      <c r="DH252" s="0" t="n">
        <v>0</v>
      </c>
      <c r="DI252" s="126" t="n">
        <v>267.12</v>
      </c>
      <c r="DK252" s="0" t="n">
        <v>1</v>
      </c>
      <c r="DM252" s="0" t="n">
        <v>1</v>
      </c>
      <c r="DN252" s="0" t="n">
        <v>65</v>
      </c>
      <c r="DO252" s="0" t="n">
        <v>3</v>
      </c>
      <c r="DP252" s="0" t="n">
        <v>1</v>
      </c>
      <c r="DQ252" s="0" t="n">
        <v>0</v>
      </c>
      <c r="DR252" s="0"/>
      <c r="DS252" s="0" t="n">
        <v>1</v>
      </c>
      <c r="DU252" s="0" t="n">
        <v>0</v>
      </c>
      <c r="DW252" s="1" t="s">
        <v>221</v>
      </c>
      <c r="DX252" s="1" t="s">
        <v>221</v>
      </c>
      <c r="DY252" s="0" t="s">
        <v>221</v>
      </c>
      <c r="DZ252" s="0" t="s">
        <v>221</v>
      </c>
      <c r="EA252" s="0" t="n">
        <v>1</v>
      </c>
      <c r="EC252" s="1" t="s">
        <v>221</v>
      </c>
      <c r="ED252" s="1" t="s">
        <v>221</v>
      </c>
      <c r="EE252" s="0" t="s">
        <v>221</v>
      </c>
      <c r="EF252" s="0" t="s">
        <v>221</v>
      </c>
      <c r="EG252" s="0" t="n">
        <v>1</v>
      </c>
      <c r="EH252" s="0" t="n">
        <v>17</v>
      </c>
      <c r="EI252" s="0" t="n">
        <f aca="false">IF(AND(DM252=1,DN252&lt;=48),"",IF(AND(DM252=2,DN252&lt;=42),"",IF(AND(DM252=3,DN252&lt;=45),"",EH252)))</f>
        <v>17</v>
      </c>
      <c r="EJ252" s="0" t="n">
        <f aca="false">IF(EI252="","",IF(EI252&lt;9,EI252,9))</f>
        <v>9</v>
      </c>
      <c r="EK252" s="0" t="n">
        <f aca="false">IF(EI252="","",IF(EI252&gt;9,EI252-EJ252,0))</f>
        <v>8</v>
      </c>
      <c r="EL252" s="0" t="n">
        <f aca="false">IF(EI252="","",EJ252*DA252*2+EK252*DA252*3)</f>
        <v>1402.38</v>
      </c>
      <c r="EP252" s="0" t="n">
        <v>0</v>
      </c>
      <c r="EQ252" s="0"/>
      <c r="ER252" s="0" t="n">
        <v>0</v>
      </c>
      <c r="ET252" s="0" t="n">
        <v>1</v>
      </c>
      <c r="EV252" s="0" t="n">
        <v>1</v>
      </c>
      <c r="EX252" s="0" t="n">
        <v>1</v>
      </c>
      <c r="EY252" s="0" t="n">
        <v>0</v>
      </c>
      <c r="EZ252" s="0"/>
      <c r="FA252" s="4" t="n">
        <v>0</v>
      </c>
      <c r="FB252" s="0" t="n">
        <v>0</v>
      </c>
      <c r="FF252" s="120" t="n">
        <f aca="false">(CJ252-CI252+1)/365</f>
        <v>1.76164383561644</v>
      </c>
      <c r="FG252" s="0" t="str">
        <f aca="false">CONCATENATE(F252,"/",G252)</f>
        <v>2018/2011</v>
      </c>
      <c r="FH252" s="0" t="n">
        <v>0</v>
      </c>
      <c r="FI252" s="0" t="n">
        <v>0</v>
      </c>
    </row>
    <row r="253" customFormat="false" ht="15" hidden="false" customHeight="false" outlineLevel="0" collapsed="false">
      <c r="A253" s="5" t="str">
        <f aca="false">E253&amp;G253&amp;F253</f>
        <v>720112018</v>
      </c>
      <c r="B253" s="0" t="s">
        <v>2737</v>
      </c>
      <c r="C253" s="1" t="n">
        <v>42412</v>
      </c>
      <c r="E253" s="0" t="n">
        <v>7</v>
      </c>
      <c r="F253" s="0" t="n">
        <v>2018</v>
      </c>
      <c r="G253" s="0" t="n">
        <v>2011</v>
      </c>
      <c r="H253" s="0" t="str">
        <f aca="false">"J"&amp;E253&amp;"\"&amp;F253&amp;"\"&amp;G253&amp;"\"&amp;W253</f>
        <v>J7\2018\2011\2</v>
      </c>
      <c r="I253" s="0"/>
      <c r="J253" s="1" t="n">
        <v>40879</v>
      </c>
      <c r="K253" s="0" t="n">
        <v>0</v>
      </c>
      <c r="M253" s="1"/>
      <c r="N253" s="1"/>
      <c r="O253" s="1"/>
      <c r="P253" s="1"/>
      <c r="Q253" s="1"/>
      <c r="T253" s="121"/>
      <c r="U253" s="121"/>
      <c r="V253" s="122" t="n">
        <f aca="false">IF(AND(E253&gt;0,F253&gt;0,G253&gt;0),COUNTIFS($E:$E,E253,$F:$F,F253,$G:$G,G253),"")</f>
        <v>2</v>
      </c>
      <c r="W253" s="122" t="n">
        <f aca="false">IF(V253="","",IF(V253=1,1,IF(AND(E252=E253,F252=F253,G252=G253),W252+1,1)))</f>
        <v>2</v>
      </c>
      <c r="X253" s="0" t="n">
        <v>2</v>
      </c>
      <c r="Y253" s="0" t="n">
        <v>3</v>
      </c>
      <c r="Z253" s="0" t="s">
        <v>2763</v>
      </c>
      <c r="AA253" s="0" t="n">
        <v>0</v>
      </c>
      <c r="AB253" s="0" t="s">
        <v>1557</v>
      </c>
      <c r="AC253" s="0" t="s">
        <v>1558</v>
      </c>
      <c r="AD253" s="0" t="s">
        <v>411</v>
      </c>
      <c r="AE253" s="0" t="n">
        <v>0</v>
      </c>
      <c r="AF253" s="0" t="s">
        <v>2758</v>
      </c>
      <c r="AG253" s="0" t="n">
        <v>1</v>
      </c>
      <c r="AH253" s="0" t="s">
        <v>2759</v>
      </c>
      <c r="AI253" s="0" t="s">
        <v>2760</v>
      </c>
      <c r="AJ253" s="0" t="s">
        <v>322</v>
      </c>
      <c r="AL253" s="0" t="s">
        <v>2761</v>
      </c>
      <c r="AM253" s="0" t="n">
        <v>0</v>
      </c>
      <c r="AN253" s="0" t="s">
        <v>2759</v>
      </c>
      <c r="AO253" s="0" t="s">
        <v>2760</v>
      </c>
      <c r="AP253" s="0" t="s">
        <v>322</v>
      </c>
      <c r="AR253" s="0" t="s">
        <v>1637</v>
      </c>
      <c r="AS253" s="0" t="n">
        <v>1</v>
      </c>
      <c r="AT253" s="0" t="s">
        <v>2759</v>
      </c>
      <c r="AU253" s="0" t="s">
        <v>2760</v>
      </c>
      <c r="AV253" s="0" t="s">
        <v>322</v>
      </c>
      <c r="BP253" s="0" t="n">
        <v>0</v>
      </c>
      <c r="BQ253" s="0" t="n">
        <v>0</v>
      </c>
      <c r="BR253" s="0" t="n">
        <v>1</v>
      </c>
      <c r="BS253" s="0" t="s">
        <v>1564</v>
      </c>
      <c r="BT253" s="0" t="s">
        <v>1565</v>
      </c>
      <c r="BU253" s="0" t="s">
        <v>1566</v>
      </c>
      <c r="BV253" s="123"/>
      <c r="BW253" s="123"/>
      <c r="BX253" s="123"/>
      <c r="BY253" s="123"/>
      <c r="BZ253" s="0" t="n">
        <v>0</v>
      </c>
      <c r="CA253" s="0" t="s">
        <v>216</v>
      </c>
      <c r="CD253" s="0" t="s">
        <v>357</v>
      </c>
      <c r="CE253" s="0" t="n">
        <v>0</v>
      </c>
      <c r="CF253" s="0" t="s">
        <v>2764</v>
      </c>
      <c r="CI253" s="1" t="n">
        <v>40179</v>
      </c>
      <c r="CJ253" s="1" t="n">
        <v>40836</v>
      </c>
      <c r="CK253" s="124" t="n">
        <v>0.541666666666667</v>
      </c>
      <c r="CL253" s="0" t="s">
        <v>2758</v>
      </c>
      <c r="CM253" s="0" t="n">
        <f aca="false">IF(OR(CI253="",CJ253=""),"",DAYS360(CI253,CJ253)/360)</f>
        <v>1.80277777777778</v>
      </c>
      <c r="CN253" s="0" t="n">
        <f aca="false">IF(OR(CI253="",CJ253=""),"",DAYS360(CI253,CJ253)/30)</f>
        <v>21.6333333333333</v>
      </c>
      <c r="CO253" s="0" t="n">
        <f aca="false">IF(OR(CI253="",CJ253=""),"",DAYS360(CI253,CJ253)/7)</f>
        <v>92.7142857142857</v>
      </c>
      <c r="CP253" s="0" t="n">
        <f aca="false">IF(OR(CI253="",CJ253=""),"",DAYS360(CI253,CJ253))</f>
        <v>649</v>
      </c>
      <c r="CQ253" s="0" t="s">
        <v>220</v>
      </c>
      <c r="CR253" s="0" t="n">
        <v>1</v>
      </c>
      <c r="CT253" s="0" t="n">
        <v>400</v>
      </c>
      <c r="CU253" s="0" t="n">
        <v>0</v>
      </c>
      <c r="CV253" s="0" t="n">
        <f aca="false">IF(OR(CT253="",CT253="NO ESPECIFICA",CT253="NO MENCIONA"),"",IF(CU253=0,CT253,IF(CU253=1,CT253/30,IF(CU253=2,CT253/15,IF(CU253=3,CT253/7,"")))))</f>
        <v>400</v>
      </c>
      <c r="CW253" s="125" t="n">
        <v>427.4</v>
      </c>
      <c r="CX253" s="0" t="n">
        <v>0</v>
      </c>
      <c r="CY253" s="0" t="n">
        <f aca="false">IF(CW253="","",IF(CX253=0,CW253,IF(CX253=1,CW253/30,IF(CX253=2,CW253/15,IF(CX253=3,CW253/7,CW253)))))</f>
        <v>427.4</v>
      </c>
      <c r="CZ253" s="0" t="n">
        <f aca="false">IF(DI253&gt;0,DI253,IF(CY253&gt;0,CY253,IF(CV253&gt;0,CV253,"")))</f>
        <v>427.4</v>
      </c>
      <c r="DA253" s="0" t="n">
        <f aca="false">IF(DM253=1,CZ253/8,IF(OR(DM253=2,DM253=4),CZ253/7,IF(DM253=3,CZ253/7.5,"")))</f>
        <v>53.425</v>
      </c>
      <c r="DB253" s="0" t="s">
        <v>216</v>
      </c>
      <c r="DC253" s="0" t="s">
        <v>216</v>
      </c>
      <c r="DD253" s="0" t="s">
        <v>216</v>
      </c>
      <c r="DE253" s="0" t="s">
        <v>216</v>
      </c>
      <c r="DF253" s="0" t="s">
        <v>216</v>
      </c>
      <c r="DG253" s="0" t="s">
        <v>216</v>
      </c>
      <c r="DH253" s="0" t="n">
        <v>0</v>
      </c>
      <c r="DI253" s="126" t="n">
        <v>427.4</v>
      </c>
      <c r="DK253" s="0" t="n">
        <v>0</v>
      </c>
      <c r="DM253" s="0" t="n">
        <v>1</v>
      </c>
      <c r="DN253" s="0" t="n">
        <v>98</v>
      </c>
      <c r="DO253" s="0" t="n">
        <v>3</v>
      </c>
      <c r="DP253" s="0" t="n">
        <v>1</v>
      </c>
      <c r="DQ253" s="0" t="n">
        <v>0</v>
      </c>
      <c r="DR253" s="0"/>
      <c r="DS253" s="0" t="n">
        <v>1</v>
      </c>
      <c r="DU253" s="0" t="n">
        <v>0</v>
      </c>
      <c r="DW253" s="1" t="s">
        <v>221</v>
      </c>
      <c r="DX253" s="1" t="s">
        <v>221</v>
      </c>
      <c r="DY253" s="0" t="s">
        <v>221</v>
      </c>
      <c r="DZ253" s="0" t="s">
        <v>221</v>
      </c>
      <c r="EA253" s="0" t="n">
        <v>1</v>
      </c>
      <c r="EC253" s="1" t="s">
        <v>221</v>
      </c>
      <c r="ED253" s="1" t="s">
        <v>221</v>
      </c>
      <c r="EE253" s="0" t="s">
        <v>221</v>
      </c>
      <c r="EF253" s="0" t="s">
        <v>221</v>
      </c>
      <c r="EG253" s="0" t="n">
        <v>1</v>
      </c>
      <c r="EH253" s="0" t="n">
        <v>50</v>
      </c>
      <c r="EI253" s="0" t="n">
        <f aca="false">IF(AND(DM253=1,DN253&lt;=48),"",IF(AND(DM253=2,DN253&lt;=42),"",IF(AND(DM253=3,DN253&lt;=45),"",EH253)))</f>
        <v>50</v>
      </c>
      <c r="EJ253" s="0" t="n">
        <f aca="false">IF(EI253="","",IF(EI253&lt;9,EI253,9))</f>
        <v>9</v>
      </c>
      <c r="EK253" s="0" t="n">
        <f aca="false">IF(EI253="","",IF(EI253&gt;9,EI253-EJ253,0))</f>
        <v>41</v>
      </c>
      <c r="EL253" s="0" t="n">
        <f aca="false">IF(EI253="","",EJ253*DA253*2+EK253*DA253*3)</f>
        <v>7532.925</v>
      </c>
      <c r="EP253" s="0" t="n">
        <v>0</v>
      </c>
      <c r="EQ253" s="0"/>
      <c r="ER253" s="0" t="n">
        <v>0</v>
      </c>
      <c r="ET253" s="0" t="n">
        <v>1</v>
      </c>
      <c r="EV253" s="0" t="n">
        <v>1</v>
      </c>
      <c r="EX253" s="0" t="n">
        <v>1</v>
      </c>
      <c r="EY253" s="0" t="n">
        <v>0</v>
      </c>
      <c r="EZ253" s="0"/>
      <c r="FA253" s="4" t="n">
        <v>13000</v>
      </c>
      <c r="FB253" s="0" t="n">
        <v>0</v>
      </c>
      <c r="FF253" s="120" t="n">
        <f aca="false">(CJ253-CI253+1)/365</f>
        <v>1.8027397260274</v>
      </c>
      <c r="FG253" s="0" t="str">
        <f aca="false">CONCATENATE(F253,"/",G253)</f>
        <v>2018/2011</v>
      </c>
      <c r="FH253" s="0" t="n">
        <v>0</v>
      </c>
      <c r="FI253" s="0" t="n">
        <v>0</v>
      </c>
    </row>
    <row r="254" customFormat="false" ht="15" hidden="false" customHeight="false" outlineLevel="0" collapsed="false">
      <c r="A254" s="5" t="str">
        <f aca="false">E254&amp;G254&amp;F254</f>
        <v>720112020</v>
      </c>
      <c r="B254" s="0" t="s">
        <v>2737</v>
      </c>
      <c r="C254" s="1" t="n">
        <v>42412</v>
      </c>
      <c r="E254" s="0" t="n">
        <v>7</v>
      </c>
      <c r="F254" s="0" t="n">
        <v>2020</v>
      </c>
      <c r="G254" s="0" t="n">
        <v>2011</v>
      </c>
      <c r="H254" s="0" t="str">
        <f aca="false">"J"&amp;E254&amp;"\"&amp;F254&amp;"\"&amp;G254&amp;"\"&amp;W254</f>
        <v>J7\2020\2011\1</v>
      </c>
      <c r="I254" s="0"/>
      <c r="J254" s="1" t="n">
        <v>40879</v>
      </c>
      <c r="K254" s="0" t="n">
        <v>0</v>
      </c>
      <c r="M254" s="1" t="n">
        <v>40879</v>
      </c>
      <c r="N254" s="1" t="n">
        <v>40949</v>
      </c>
      <c r="O254" s="1"/>
      <c r="P254" s="1"/>
      <c r="Q254" s="1"/>
      <c r="T254" s="121"/>
      <c r="U254" s="121"/>
      <c r="V254" s="122" t="n">
        <f aca="false">IF(AND(E254&gt;0,F254&gt;0,G254&gt;0),COUNTIFS($E:$E,E254,$F:$F,F254,$G:$G,G254),"")</f>
        <v>1</v>
      </c>
      <c r="W254" s="122" t="n">
        <f aca="false">IF(V254="","",IF(V254=1,1,IF(AND(E253=E254,F253=F254,G253=G254),W253+1,1)))</f>
        <v>1</v>
      </c>
      <c r="X254" s="0" t="n">
        <v>1</v>
      </c>
      <c r="Y254" s="0" t="n">
        <v>5</v>
      </c>
      <c r="Z254" s="0" t="s">
        <v>2765</v>
      </c>
      <c r="AA254" s="0" t="n">
        <v>0</v>
      </c>
      <c r="AB254" s="0" t="s">
        <v>1875</v>
      </c>
      <c r="AC254" s="0" t="s">
        <v>228</v>
      </c>
      <c r="AD254" s="0" t="s">
        <v>229</v>
      </c>
      <c r="AE254" s="0" t="n">
        <v>0</v>
      </c>
      <c r="AF254" s="0" t="s">
        <v>2766</v>
      </c>
      <c r="AG254" s="0" t="n">
        <v>0</v>
      </c>
      <c r="AH254" s="0" t="s">
        <v>2767</v>
      </c>
      <c r="AI254" s="0" t="s">
        <v>598</v>
      </c>
      <c r="AJ254" s="0" t="s">
        <v>411</v>
      </c>
      <c r="AL254" s="0" t="s">
        <v>2768</v>
      </c>
      <c r="AM254" s="0" t="n">
        <v>0</v>
      </c>
      <c r="AN254" s="0" t="s">
        <v>2767</v>
      </c>
      <c r="AO254" s="0" t="s">
        <v>598</v>
      </c>
      <c r="AP254" s="0" t="s">
        <v>411</v>
      </c>
      <c r="AR254" s="0" t="s">
        <v>1637</v>
      </c>
      <c r="AS254" s="0" t="n">
        <v>1</v>
      </c>
      <c r="AT254" s="0" t="s">
        <v>2767</v>
      </c>
      <c r="AU254" s="0" t="s">
        <v>598</v>
      </c>
      <c r="AV254" s="0" t="s">
        <v>411</v>
      </c>
      <c r="AX254" s="0" t="s">
        <v>2769</v>
      </c>
      <c r="AY254" s="0" t="n">
        <v>1</v>
      </c>
      <c r="AZ254" s="0" t="s">
        <v>2767</v>
      </c>
      <c r="BA254" s="0" t="s">
        <v>598</v>
      </c>
      <c r="BB254" s="0" t="s">
        <v>411</v>
      </c>
      <c r="BP254" s="0" t="n">
        <v>0</v>
      </c>
      <c r="BQ254" s="0" t="n">
        <v>0</v>
      </c>
      <c r="BR254" s="0" t="n">
        <v>3</v>
      </c>
      <c r="BS254" s="0" t="s">
        <v>2770</v>
      </c>
      <c r="BT254" s="0" t="s">
        <v>1818</v>
      </c>
      <c r="BU254" s="0" t="s">
        <v>1841</v>
      </c>
      <c r="BV254" s="123"/>
      <c r="BW254" s="123"/>
      <c r="BX254" s="123"/>
      <c r="BY254" s="123"/>
      <c r="BZ254" s="0" t="n">
        <v>0</v>
      </c>
      <c r="CA254" s="0" t="s">
        <v>348</v>
      </c>
      <c r="CD254" s="0" t="s">
        <v>296</v>
      </c>
      <c r="CE254" s="0" t="n">
        <v>0</v>
      </c>
      <c r="CF254" s="0" t="s">
        <v>1651</v>
      </c>
      <c r="CI254" s="1" t="n">
        <v>40778</v>
      </c>
      <c r="CJ254" s="1" t="n">
        <v>40830</v>
      </c>
      <c r="CK254" s="124" t="n">
        <v>0.625</v>
      </c>
      <c r="CL254" s="0" t="s">
        <v>2769</v>
      </c>
      <c r="CM254" s="0" t="n">
        <f aca="false">IF(OR(CI254="",CJ254=""),"",DAYS360(CI254,CJ254)/360)</f>
        <v>0.141666666666667</v>
      </c>
      <c r="CN254" s="0" t="n">
        <f aca="false">IF(OR(CI254="",CJ254=""),"",DAYS360(CI254,CJ254)/30)</f>
        <v>1.7</v>
      </c>
      <c r="CO254" s="0" t="n">
        <f aca="false">IF(OR(CI254="",CJ254=""),"",DAYS360(CI254,CJ254)/7)</f>
        <v>7.28571428571429</v>
      </c>
      <c r="CP254" s="0" t="n">
        <f aca="false">IF(OR(CI254="",CJ254=""),"",DAYS360(CI254,CJ254))</f>
        <v>51</v>
      </c>
      <c r="CQ254" s="0" t="s">
        <v>240</v>
      </c>
      <c r="CR254" s="0" t="n">
        <v>1</v>
      </c>
      <c r="CT254" s="0" t="n">
        <v>550</v>
      </c>
      <c r="CU254" s="0" t="n">
        <v>0</v>
      </c>
      <c r="CV254" s="0" t="n">
        <f aca="false">IF(OR(CT254="",CT254="NO ESPECIFICA",CT254="NO MENCIONA"),"",IF(CU254=0,CT254,IF(CU254=1,CT254/30,IF(CU254=2,CT254/15,IF(CU254=3,CT254/7,"")))))</f>
        <v>550</v>
      </c>
      <c r="CW254" s="125" t="n">
        <v>554.13</v>
      </c>
      <c r="CX254" s="0" t="n">
        <v>0</v>
      </c>
      <c r="CY254" s="0" t="n">
        <f aca="false">IF(CW254="","",IF(CX254=0,CW254,IF(CX254=1,CW254/30,IF(CX254=2,CW254/15,IF(CX254=3,CW254/7,CW254)))))</f>
        <v>554.13</v>
      </c>
      <c r="CZ254" s="0" t="n">
        <f aca="false">IF(DI254&gt;0,DI254,IF(CY254&gt;0,CY254,IF(CV254&gt;0,CV254,"")))</f>
        <v>554.13</v>
      </c>
      <c r="DA254" s="0" t="n">
        <f aca="false">IF(DM254=1,CZ254/8,IF(OR(DM254=2,DM254=4),CZ254/7,IF(DM254=3,CZ254/7.5,"")))</f>
        <v>69.26625</v>
      </c>
      <c r="DB254" s="0" t="s">
        <v>303</v>
      </c>
      <c r="DC254" s="0" t="s">
        <v>301</v>
      </c>
      <c r="DD254" s="0" t="s">
        <v>216</v>
      </c>
      <c r="DE254" s="0" t="s">
        <v>216</v>
      </c>
      <c r="DF254" s="0" t="s">
        <v>216</v>
      </c>
      <c r="DG254" s="0" t="s">
        <v>216</v>
      </c>
      <c r="DH254" s="0" t="n">
        <v>0</v>
      </c>
      <c r="DI254" s="126" t="n">
        <v>554.13</v>
      </c>
      <c r="DK254" s="0" t="n">
        <v>1</v>
      </c>
      <c r="DM254" s="0" t="n">
        <v>1</v>
      </c>
      <c r="DN254" s="0" t="n">
        <v>61.25</v>
      </c>
      <c r="DO254" s="0" t="n">
        <v>3</v>
      </c>
      <c r="DP254" s="0" t="n">
        <v>0</v>
      </c>
      <c r="DQ254" s="0" t="n">
        <v>1</v>
      </c>
      <c r="DR254" s="0"/>
      <c r="DS254" s="0" t="n">
        <v>1</v>
      </c>
      <c r="DU254" s="0" t="n">
        <v>1</v>
      </c>
      <c r="DW254" s="1" t="n">
        <v>40778</v>
      </c>
      <c r="DX254" s="1" t="n">
        <v>40830</v>
      </c>
      <c r="DZ254" s="0"/>
      <c r="EA254" s="0" t="n">
        <v>1</v>
      </c>
      <c r="EC254" s="1" t="n">
        <v>40778</v>
      </c>
      <c r="ED254" s="1" t="n">
        <v>40830</v>
      </c>
      <c r="EF254" s="0"/>
      <c r="EG254" s="0" t="n">
        <v>0</v>
      </c>
      <c r="EI254" s="0" t="n">
        <f aca="false">IF(AND(DM254=1,DN254&lt;=48),"",IF(AND(DM254=2,DN254&lt;=42),"",IF(AND(DM254=3,DN254&lt;=45),"",EH254)))</f>
        <v>0</v>
      </c>
      <c r="EJ254" s="0" t="str">
        <f aca="false">IF(EI254="","",IF(EI254&lt;9,EI254,9))</f>
        <v/>
      </c>
      <c r="EK254" s="0" t="str">
        <f aca="false">IF(EI254="","",IF(EI254&gt;9,EI254-EJ254,0))</f>
        <v/>
      </c>
      <c r="EL254" s="0" t="str">
        <f aca="false">IF(EI254="","",EJ254*DA254*2+EK254*DA254*3)</f>
        <v/>
      </c>
      <c r="EP254" s="0" t="n">
        <v>0</v>
      </c>
      <c r="EQ254" s="0"/>
      <c r="ER254" s="0" t="n">
        <v>0</v>
      </c>
      <c r="ET254" s="0" t="n">
        <v>0</v>
      </c>
      <c r="EV254" s="0" t="n">
        <v>0</v>
      </c>
      <c r="EX254" s="0" t="n">
        <v>0</v>
      </c>
      <c r="EY254" s="0" t="n">
        <v>0</v>
      </c>
      <c r="EZ254" s="0"/>
      <c r="FA254" s="4" t="n">
        <v>0</v>
      </c>
      <c r="FB254" s="0" t="n">
        <v>1</v>
      </c>
      <c r="FF254" s="120" t="n">
        <f aca="false">(CJ254-CI254+1)/365</f>
        <v>0.145205479452055</v>
      </c>
      <c r="FG254" s="0" t="str">
        <f aca="false">CONCATENATE(F254,"/",G254)</f>
        <v>2020/2011</v>
      </c>
      <c r="FH254" s="0" t="n">
        <v>0</v>
      </c>
      <c r="FI254" s="0" t="n">
        <v>0</v>
      </c>
    </row>
    <row r="255" customFormat="false" ht="15" hidden="false" customHeight="false" outlineLevel="0" collapsed="false">
      <c r="A255" s="5" t="str">
        <f aca="false">E255&amp;G255&amp;F255</f>
        <v>720112024</v>
      </c>
      <c r="B255" s="0" t="s">
        <v>2737</v>
      </c>
      <c r="C255" s="1" t="n">
        <v>42412</v>
      </c>
      <c r="E255" s="0" t="n">
        <v>7</v>
      </c>
      <c r="F255" s="0" t="n">
        <v>2024</v>
      </c>
      <c r="G255" s="0" t="n">
        <v>2011</v>
      </c>
      <c r="H255" s="0" t="str">
        <f aca="false">"J"&amp;E255&amp;"\"&amp;F255&amp;"\"&amp;G255&amp;"\"&amp;W255</f>
        <v>J7\2024\2011\1</v>
      </c>
      <c r="I255" s="0"/>
      <c r="J255" s="1" t="n">
        <v>40879</v>
      </c>
      <c r="K255" s="0" t="n">
        <v>0</v>
      </c>
      <c r="M255" s="1"/>
      <c r="N255" s="1"/>
      <c r="O255" s="1"/>
      <c r="P255" s="1"/>
      <c r="Q255" s="1"/>
      <c r="T255" s="121"/>
      <c r="U255" s="121"/>
      <c r="V255" s="122" t="n">
        <f aca="false">IF(AND(E255&gt;0,F255&gt;0,G255&gt;0),COUNTIFS($E:$E,E255,$F:$F,F255,$G:$G,G255),"")</f>
        <v>1</v>
      </c>
      <c r="W255" s="122" t="n">
        <f aca="false">IF(V255="","",IF(V255=1,1,IF(AND(E254=E255,F254=F255,G254=G255),W254+1,1)))</f>
        <v>1</v>
      </c>
      <c r="X255" s="0" t="n">
        <v>1</v>
      </c>
      <c r="Y255" s="0" t="n">
        <v>4</v>
      </c>
      <c r="Z255" s="0" t="s">
        <v>2771</v>
      </c>
      <c r="AA255" s="0" t="n">
        <v>0</v>
      </c>
      <c r="AB255" s="0" t="s">
        <v>1398</v>
      </c>
      <c r="AC255" s="0" t="s">
        <v>643</v>
      </c>
      <c r="AD255" s="0" t="s">
        <v>207</v>
      </c>
      <c r="AE255" s="0" t="n">
        <v>0</v>
      </c>
      <c r="AF255" s="0" t="s">
        <v>2772</v>
      </c>
      <c r="AG255" s="0" t="n">
        <v>0</v>
      </c>
      <c r="AH255" s="0" t="s">
        <v>2773</v>
      </c>
      <c r="AI255" s="0" t="s">
        <v>1123</v>
      </c>
      <c r="AJ255" s="0" t="s">
        <v>216</v>
      </c>
      <c r="AL255" s="0" t="s">
        <v>2774</v>
      </c>
      <c r="AM255" s="0" t="n">
        <v>0</v>
      </c>
      <c r="AN255" s="0" t="s">
        <v>2773</v>
      </c>
      <c r="AO255" s="0" t="s">
        <v>1123</v>
      </c>
      <c r="AP255" s="0" t="s">
        <v>216</v>
      </c>
      <c r="AR255" s="0" t="s">
        <v>2775</v>
      </c>
      <c r="AS255" s="0" t="n">
        <v>0</v>
      </c>
      <c r="AT255" s="0" t="s">
        <v>2773</v>
      </c>
      <c r="AU255" s="0" t="s">
        <v>1123</v>
      </c>
      <c r="AV255" s="0" t="s">
        <v>216</v>
      </c>
      <c r="AX255" s="0" t="s">
        <v>1637</v>
      </c>
      <c r="AY255" s="0" t="n">
        <v>1</v>
      </c>
      <c r="AZ255" s="0" t="s">
        <v>2773</v>
      </c>
      <c r="BA255" s="0" t="s">
        <v>1123</v>
      </c>
      <c r="BB255" s="0" t="s">
        <v>216</v>
      </c>
      <c r="BP255" s="0" t="n">
        <v>0</v>
      </c>
      <c r="BQ255" s="0" t="n">
        <v>0</v>
      </c>
      <c r="BR255" s="0" t="n">
        <v>1</v>
      </c>
      <c r="BS255" s="0" t="s">
        <v>2776</v>
      </c>
      <c r="BT255" s="0" t="s">
        <v>2777</v>
      </c>
      <c r="BU255" s="0" t="s">
        <v>1408</v>
      </c>
      <c r="BV255" s="123"/>
      <c r="BW255" s="123"/>
      <c r="BX255" s="123"/>
      <c r="BY255" s="123"/>
      <c r="BZ255" s="0" t="n">
        <v>0</v>
      </c>
      <c r="CA255" s="0" t="s">
        <v>2778</v>
      </c>
      <c r="CD255" s="0" t="s">
        <v>296</v>
      </c>
      <c r="CE255" s="0" t="n">
        <v>0</v>
      </c>
      <c r="CF255" s="0" t="s">
        <v>2779</v>
      </c>
      <c r="CI255" s="1" t="n">
        <v>37935</v>
      </c>
      <c r="CJ255" s="1" t="n">
        <v>40821</v>
      </c>
      <c r="CK255" s="124" t="n">
        <v>0.53125</v>
      </c>
      <c r="CL255" s="0" t="s">
        <v>2780</v>
      </c>
      <c r="CM255" s="0" t="n">
        <f aca="false">IF(OR(CI255="",CJ255=""),"",DAYS360(CI255,CJ255)/360)</f>
        <v>7.90277777777778</v>
      </c>
      <c r="CN255" s="0" t="n">
        <f aca="false">IF(OR(CI255="",CJ255=""),"",DAYS360(CI255,CJ255)/30)</f>
        <v>94.8333333333333</v>
      </c>
      <c r="CO255" s="0" t="n">
        <f aca="false">IF(OR(CI255="",CJ255=""),"",DAYS360(CI255,CJ255)/7)</f>
        <v>406.428571428571</v>
      </c>
      <c r="CP255" s="0" t="n">
        <f aca="false">IF(OR(CI255="",CJ255=""),"",DAYS360(CI255,CJ255))</f>
        <v>2845</v>
      </c>
      <c r="CQ255" s="0" t="s">
        <v>220</v>
      </c>
      <c r="CR255" s="0" t="n">
        <v>1</v>
      </c>
      <c r="CT255" s="0" t="n">
        <v>231.96</v>
      </c>
      <c r="CU255" s="0" t="n">
        <v>0</v>
      </c>
      <c r="CV255" s="0" t="n">
        <f aca="false">IF(OR(CT255="",CT255="NO ESPECIFICA",CT255="NO MENCIONA"),"",IF(CU255=0,CT255,IF(CU255=1,CT255/30,IF(CU255=2,CT255/15,IF(CU255=3,CT255/7,"")))))</f>
        <v>231.96</v>
      </c>
      <c r="CW255" s="125" t="n">
        <v>16236.74</v>
      </c>
      <c r="CX255" s="0" t="n">
        <v>0</v>
      </c>
      <c r="CY255" s="0" t="n">
        <f aca="false">IF(CW255="","",IF(CX255=0,CW255,IF(CX255=1,CW255/30,IF(CX255=2,CW255/15,IF(CX255=3,CW255/7,CW255)))))</f>
        <v>16236.74</v>
      </c>
      <c r="CZ255" s="0" t="n">
        <f aca="false">IF(DI255&gt;0,DI255,IF(CY255&gt;0,CY255,IF(CV255&gt;0,CV255,"")))</f>
        <v>16236.74</v>
      </c>
      <c r="DA255" s="0" t="n">
        <f aca="false">IF(DM255=1,CZ255/8,IF(OR(DM255=2,DM255=4),CZ255/7,IF(DM255=3,CZ255/7.5,"")))</f>
        <v>2029.5925</v>
      </c>
      <c r="DB255" s="0" t="s">
        <v>259</v>
      </c>
      <c r="DC255" s="0" t="s">
        <v>258</v>
      </c>
      <c r="DD255" s="0" t="s">
        <v>299</v>
      </c>
      <c r="DE255" s="0" t="s">
        <v>2781</v>
      </c>
      <c r="DF255" s="0" t="s">
        <v>2782</v>
      </c>
      <c r="DG255" s="0" t="s">
        <v>2783</v>
      </c>
      <c r="DH255" s="0" t="n">
        <v>0</v>
      </c>
      <c r="DI255" s="126" t="n">
        <v>16236.74</v>
      </c>
      <c r="DK255" s="0" t="n">
        <v>0</v>
      </c>
      <c r="DM255" s="0" t="n">
        <v>1</v>
      </c>
      <c r="DN255" s="0" t="n">
        <v>72</v>
      </c>
      <c r="DO255" s="0" t="n">
        <v>3</v>
      </c>
      <c r="DP255" s="0" t="n">
        <v>1</v>
      </c>
      <c r="DQ255" s="0" t="n">
        <v>1</v>
      </c>
      <c r="DR255" s="0"/>
      <c r="DS255" s="0" t="n">
        <v>1</v>
      </c>
      <c r="DU255" s="0" t="n">
        <v>1</v>
      </c>
      <c r="DW255" s="1" t="n">
        <v>37935</v>
      </c>
      <c r="DX255" s="1" t="n">
        <v>40821</v>
      </c>
      <c r="DZ255" s="0"/>
      <c r="EA255" s="0" t="n">
        <v>1</v>
      </c>
      <c r="EC255" s="1" t="n">
        <v>37935</v>
      </c>
      <c r="ED255" s="1" t="n">
        <v>40821</v>
      </c>
      <c r="EF255" s="0"/>
      <c r="EG255" s="0" t="n">
        <v>1</v>
      </c>
      <c r="EH255" s="0" t="s">
        <v>221</v>
      </c>
      <c r="EI255" s="0" t="str">
        <f aca="false">IF(AND(DM255=1,DN255&lt;=48),"",IF(AND(DM255=2,DN255&lt;=42),"",IF(AND(DM255=3,DN255&lt;=45),"",EH255)))</f>
        <v>NO ESPECIFICA</v>
      </c>
      <c r="EJ255" s="0" t="n">
        <f aca="false">IF(EI255="","",IF(EI255&lt;9,EI255,9))</f>
        <v>9</v>
      </c>
      <c r="EK255" s="0" t="e">
        <f aca="false">IF(EI255="","",IF(EI255&gt;9,EI255-EJ255,0))</f>
        <v>#VALUE!</v>
      </c>
      <c r="EL255" s="0" t="e">
        <f aca="false">IF(EI255="","",EJ255*DA255*2+EK255*DA255*3)</f>
        <v>#VALUE!</v>
      </c>
      <c r="EP255" s="0" t="n">
        <v>1</v>
      </c>
      <c r="EQ255" s="0"/>
      <c r="ER255" s="0" t="n">
        <v>1</v>
      </c>
      <c r="ET255" s="0" t="n">
        <v>0</v>
      </c>
      <c r="EV255" s="0" t="n">
        <v>0</v>
      </c>
      <c r="EX255" s="0" t="n">
        <v>1</v>
      </c>
      <c r="EY255" s="0" t="n">
        <v>1</v>
      </c>
      <c r="EZ255" s="4" t="n">
        <v>40000</v>
      </c>
      <c r="FA255" s="4" t="n">
        <v>64946.96</v>
      </c>
      <c r="FB255" s="0" t="n">
        <v>0</v>
      </c>
      <c r="FF255" s="120" t="n">
        <f aca="false">(CJ255-CI255+1)/365</f>
        <v>7.90958904109589</v>
      </c>
      <c r="FG255" s="0" t="str">
        <f aca="false">CONCATENATE(F255,"/",G255)</f>
        <v>2024/2011</v>
      </c>
      <c r="FH255" s="0" t="n">
        <v>0</v>
      </c>
      <c r="FI255" s="0" t="n">
        <v>0</v>
      </c>
    </row>
    <row r="256" customFormat="false" ht="15" hidden="false" customHeight="false" outlineLevel="0" collapsed="false">
      <c r="A256" s="5" t="str">
        <f aca="false">E256&amp;G256&amp;F256</f>
        <v>720112025</v>
      </c>
      <c r="B256" s="0" t="s">
        <v>2737</v>
      </c>
      <c r="C256" s="1" t="n">
        <v>42412</v>
      </c>
      <c r="E256" s="0" t="n">
        <v>7</v>
      </c>
      <c r="F256" s="0" t="n">
        <v>2025</v>
      </c>
      <c r="G256" s="0" t="n">
        <v>2011</v>
      </c>
      <c r="H256" s="0" t="str">
        <f aca="false">"J"&amp;E256&amp;"\"&amp;F256&amp;"\"&amp;G256&amp;"\"&amp;W256</f>
        <v>J7\2025\2011\1</v>
      </c>
      <c r="I256" s="0"/>
      <c r="J256" s="1" t="n">
        <v>40881</v>
      </c>
      <c r="K256" s="0" t="n">
        <v>0</v>
      </c>
      <c r="M256" s="1" t="n">
        <v>40882</v>
      </c>
      <c r="N256" s="1" t="n">
        <v>40949</v>
      </c>
      <c r="O256" s="1"/>
      <c r="P256" s="1"/>
      <c r="Q256" s="1"/>
      <c r="T256" s="121"/>
      <c r="U256" s="121"/>
      <c r="V256" s="122" t="n">
        <f aca="false">IF(AND(E256&gt;0,F256&gt;0,G256&gt;0),COUNTIFS($E:$E,E256,$F:$F,F256,$G:$G,G256),"")</f>
        <v>1</v>
      </c>
      <c r="W256" s="122" t="n">
        <f aca="false">IF(V256="","",IF(V256=1,1,IF(AND(E255=E256,F255=F256,G255=G256),W255+1,1)))</f>
        <v>1</v>
      </c>
      <c r="X256" s="0" t="n">
        <v>1</v>
      </c>
      <c r="Y256" s="0" t="n">
        <v>3</v>
      </c>
      <c r="Z256" s="0" t="s">
        <v>2784</v>
      </c>
      <c r="AA256" s="0" t="n">
        <v>0</v>
      </c>
      <c r="AB256" s="0" t="s">
        <v>2785</v>
      </c>
      <c r="AC256" s="0" t="s">
        <v>1561</v>
      </c>
      <c r="AD256" s="0" t="s">
        <v>207</v>
      </c>
      <c r="AE256" s="0" t="n">
        <v>0</v>
      </c>
      <c r="AF256" s="0" t="s">
        <v>2786</v>
      </c>
      <c r="AG256" s="0" t="n">
        <v>0</v>
      </c>
      <c r="AH256" s="0" t="s">
        <v>1177</v>
      </c>
      <c r="AI256" s="0" t="s">
        <v>2787</v>
      </c>
      <c r="AJ256" s="0" t="s">
        <v>207</v>
      </c>
      <c r="AL256" s="0" t="s">
        <v>2788</v>
      </c>
      <c r="AM256" s="0" t="n">
        <v>0</v>
      </c>
      <c r="AN256" s="0" t="s">
        <v>1177</v>
      </c>
      <c r="AO256" s="0" t="s">
        <v>2787</v>
      </c>
      <c r="AP256" s="0" t="s">
        <v>207</v>
      </c>
      <c r="AR256" s="0" t="s">
        <v>2789</v>
      </c>
      <c r="AS256" s="0" t="n">
        <v>0</v>
      </c>
      <c r="AT256" s="0" t="s">
        <v>2790</v>
      </c>
      <c r="AU256" s="0" t="s">
        <v>2791</v>
      </c>
      <c r="AV256" s="0" t="s">
        <v>352</v>
      </c>
      <c r="BP256" s="0" t="n">
        <v>0</v>
      </c>
      <c r="BQ256" s="0" t="n">
        <v>0</v>
      </c>
      <c r="BR256" s="0" t="n">
        <v>1</v>
      </c>
      <c r="BS256" s="0" t="s">
        <v>2792</v>
      </c>
      <c r="BT256" s="0" t="s">
        <v>2793</v>
      </c>
      <c r="BU256" s="0" t="s">
        <v>2794</v>
      </c>
      <c r="BV256" s="123"/>
      <c r="BW256" s="123"/>
      <c r="BX256" s="123"/>
      <c r="BY256" s="123"/>
      <c r="BZ256" s="0" t="n">
        <v>0</v>
      </c>
      <c r="CA256" s="0" t="s">
        <v>216</v>
      </c>
      <c r="CD256" s="0" t="s">
        <v>216</v>
      </c>
      <c r="CE256" s="0" t="n">
        <v>0</v>
      </c>
      <c r="CF256" s="0" t="s">
        <v>2795</v>
      </c>
      <c r="CI256" s="1" t="n">
        <v>35125</v>
      </c>
      <c r="CJ256" s="1" t="n">
        <v>40821</v>
      </c>
      <c r="CK256" s="124" t="n">
        <v>0.458333333333333</v>
      </c>
      <c r="CL256" s="0" t="s">
        <v>2796</v>
      </c>
      <c r="CM256" s="0" t="n">
        <f aca="false">IF(OR(CI256="",CJ256=""),"",DAYS360(CI256,CJ256)/360)</f>
        <v>15.5944444444444</v>
      </c>
      <c r="CN256" s="0" t="n">
        <f aca="false">IF(OR(CI256="",CJ256=""),"",DAYS360(CI256,CJ256)/30)</f>
        <v>187.133333333333</v>
      </c>
      <c r="CO256" s="0" t="n">
        <f aca="false">IF(OR(CI256="",CJ256=""),"",DAYS360(CI256,CJ256)/7)</f>
        <v>802</v>
      </c>
      <c r="CP256" s="0" t="n">
        <f aca="false">IF(OR(CI256="",CJ256=""),"",DAYS360(CI256,CJ256))</f>
        <v>5614</v>
      </c>
      <c r="CQ256" s="0" t="s">
        <v>240</v>
      </c>
      <c r="CR256" s="0" t="n">
        <v>1</v>
      </c>
      <c r="CT256" s="0" t="s">
        <v>221</v>
      </c>
      <c r="CU256" s="0" t="s">
        <v>221</v>
      </c>
      <c r="CV256" s="0" t="str">
        <f aca="false">IF(OR(CT256="",CT256="NO ESPECIFICA",CT256="NO MENCIONA"),"",IF(CU256=0,CT256,IF(CU256=1,CT256/30,IF(CU256=2,CT256/15,IF(CU256=3,CT256/7,"")))))</f>
        <v/>
      </c>
      <c r="CW256" s="125" t="n">
        <v>6550</v>
      </c>
      <c r="CX256" s="0" t="n">
        <v>1</v>
      </c>
      <c r="CY256" s="0" t="n">
        <f aca="false">IF(CW256="","",IF(CX256=0,CW256,IF(CX256=1,CW256/30,IF(CX256=2,CW256/15,IF(CX256=3,CW256/7,CW256)))))</f>
        <v>218.333333333333</v>
      </c>
      <c r="CZ256" s="0" t="n">
        <f aca="false">IF(DI256&gt;0,DI256,IF(CY256&gt;0,CY256,IF(CV256&gt;0,CV256,"")))</f>
        <v>218.333333333333</v>
      </c>
      <c r="DA256" s="0" t="n">
        <f aca="false">IF(DM256=1,CZ256/8,IF(OR(DM256=2,DM256=4),CZ256/7,IF(DM256=3,CZ256/7.5,"")))</f>
        <v>27.2916666666667</v>
      </c>
      <c r="DB256" s="0" t="s">
        <v>216</v>
      </c>
      <c r="DC256" s="0" t="s">
        <v>216</v>
      </c>
      <c r="DD256" s="0" t="s">
        <v>216</v>
      </c>
      <c r="DE256" s="0" t="s">
        <v>216</v>
      </c>
      <c r="DF256" s="0" t="s">
        <v>216</v>
      </c>
      <c r="DG256" s="0" t="s">
        <v>216</v>
      </c>
      <c r="DH256" s="0" t="n">
        <v>0</v>
      </c>
      <c r="DI256" s="126" t="n">
        <v>218.333333333333</v>
      </c>
      <c r="DK256" s="0" t="n">
        <v>1</v>
      </c>
      <c r="DM256" s="0" t="n">
        <v>1</v>
      </c>
      <c r="DN256" s="0" t="n">
        <v>72</v>
      </c>
      <c r="DO256" s="0" t="n">
        <v>3</v>
      </c>
      <c r="DP256" s="0" t="n">
        <v>0</v>
      </c>
      <c r="DQ256" s="0" t="n">
        <v>1</v>
      </c>
      <c r="DR256" s="0"/>
      <c r="DS256" s="0" t="n">
        <v>1</v>
      </c>
      <c r="DU256" s="0" t="n">
        <v>1</v>
      </c>
      <c r="DW256" s="1" t="s">
        <v>216</v>
      </c>
      <c r="DX256" s="1" t="s">
        <v>216</v>
      </c>
      <c r="DY256" s="0" t="s">
        <v>216</v>
      </c>
      <c r="DZ256" s="0" t="s">
        <v>216</v>
      </c>
      <c r="EA256" s="0" t="n">
        <v>0</v>
      </c>
      <c r="EC256" s="1" t="n">
        <v>40544</v>
      </c>
      <c r="ED256" s="1" t="n">
        <v>40821</v>
      </c>
      <c r="EF256" s="0"/>
      <c r="EG256" s="0" t="n">
        <v>1</v>
      </c>
      <c r="EH256" s="0" t="n">
        <v>24</v>
      </c>
      <c r="EI256" s="0" t="n">
        <f aca="false">IF(AND(DM256=1,DN256&lt;=48),"",IF(AND(DM256=2,DN256&lt;=42),"",IF(AND(DM256=3,DN256&lt;=45),"",EH256)))</f>
        <v>24</v>
      </c>
      <c r="EJ256" s="0" t="n">
        <f aca="false">IF(EI256="","",IF(EI256&lt;9,EI256,9))</f>
        <v>9</v>
      </c>
      <c r="EK256" s="0" t="n">
        <f aca="false">IF(EI256="","",IF(EI256&gt;9,EI256-EJ256,0))</f>
        <v>15</v>
      </c>
      <c r="EL256" s="0" t="n">
        <f aca="false">IF(EI256="","",EJ256*DA256*2+EK256*DA256*3)</f>
        <v>1719.375</v>
      </c>
      <c r="EP256" s="0" t="n">
        <v>0</v>
      </c>
      <c r="EQ256" s="0"/>
      <c r="ER256" s="0" t="n">
        <v>1</v>
      </c>
      <c r="ET256" s="0" t="n">
        <v>0</v>
      </c>
      <c r="EV256" s="0" t="n">
        <v>0</v>
      </c>
      <c r="EX256" s="0" t="n">
        <v>0</v>
      </c>
      <c r="EY256" s="0" t="n">
        <v>0</v>
      </c>
      <c r="EZ256" s="0"/>
      <c r="FA256" s="4" t="n">
        <v>4366.66666666667</v>
      </c>
      <c r="FB256" s="0" t="n">
        <v>1</v>
      </c>
      <c r="FF256" s="120" t="n">
        <f aca="false">(CJ256-CI256+1)/365</f>
        <v>15.6082191780822</v>
      </c>
      <c r="FG256" s="0" t="str">
        <f aca="false">CONCATENATE(F256,"/",G256)</f>
        <v>2025/2011</v>
      </c>
      <c r="FH256" s="0" t="n">
        <v>0</v>
      </c>
      <c r="FI256" s="0" t="n">
        <v>0</v>
      </c>
    </row>
    <row r="257" customFormat="false" ht="15" hidden="false" customHeight="false" outlineLevel="0" collapsed="false">
      <c r="A257" s="5" t="str">
        <f aca="false">E257&amp;G257&amp;F257</f>
        <v>720112033</v>
      </c>
      <c r="B257" s="0" t="s">
        <v>2737</v>
      </c>
      <c r="C257" s="1" t="n">
        <v>42412</v>
      </c>
      <c r="E257" s="0" t="n">
        <v>7</v>
      </c>
      <c r="F257" s="0" t="n">
        <v>2033</v>
      </c>
      <c r="G257" s="0" t="n">
        <v>2011</v>
      </c>
      <c r="H257" s="0" t="str">
        <f aca="false">"J"&amp;E257&amp;"\"&amp;F257&amp;"\"&amp;G257&amp;"\"&amp;W257</f>
        <v>J7\2033\2011\1</v>
      </c>
      <c r="I257" s="0" t="n">
        <v>40819</v>
      </c>
      <c r="J257" s="1" t="n">
        <v>40882</v>
      </c>
      <c r="K257" s="0" t="n">
        <v>0</v>
      </c>
      <c r="M257" s="1"/>
      <c r="N257" s="1"/>
      <c r="O257" s="1"/>
      <c r="P257" s="1"/>
      <c r="Q257" s="1"/>
      <c r="T257" s="121"/>
      <c r="U257" s="121"/>
      <c r="V257" s="122" t="n">
        <f aca="false">IF(AND(E257&gt;0,F257&gt;0,G257&gt;0),COUNTIFS($E:$E,E257,$F:$F,F257,$G:$G,G257),"")</f>
        <v>1</v>
      </c>
      <c r="W257" s="122" t="n">
        <f aca="false">IF(V257="","",IF(V257=1,1,IF(AND(E256=E257,F256=F257,G256=G257),W256+1,1)))</f>
        <v>1</v>
      </c>
      <c r="X257" s="0" t="n">
        <v>1</v>
      </c>
      <c r="Y257" s="0" t="n">
        <v>6</v>
      </c>
      <c r="Z257" s="0" t="s">
        <v>2797</v>
      </c>
      <c r="AA257" s="0" t="n">
        <v>0</v>
      </c>
      <c r="AB257" s="0" t="s">
        <v>2798</v>
      </c>
      <c r="AC257" s="0" t="s">
        <v>274</v>
      </c>
      <c r="AD257" s="0" t="s">
        <v>229</v>
      </c>
      <c r="AE257" s="0" t="n">
        <v>0</v>
      </c>
      <c r="AF257" s="0" t="s">
        <v>2799</v>
      </c>
      <c r="AG257" s="0" t="n">
        <v>0</v>
      </c>
      <c r="AH257" s="0" t="s">
        <v>2800</v>
      </c>
      <c r="AI257" s="0" t="s">
        <v>618</v>
      </c>
      <c r="AJ257" s="0" t="s">
        <v>322</v>
      </c>
      <c r="AL257" s="0" t="s">
        <v>2801</v>
      </c>
      <c r="AM257" s="0" t="n">
        <v>0</v>
      </c>
      <c r="AN257" s="0" t="s">
        <v>2802</v>
      </c>
      <c r="AO257" s="0" t="s">
        <v>2803</v>
      </c>
      <c r="AP257" s="0" t="s">
        <v>485</v>
      </c>
      <c r="AR257" s="0" t="s">
        <v>2804</v>
      </c>
      <c r="AS257" s="0" t="n">
        <v>0</v>
      </c>
      <c r="AT257" s="0" t="s">
        <v>2802</v>
      </c>
      <c r="AU257" s="0" t="s">
        <v>2803</v>
      </c>
      <c r="AV257" s="0" t="s">
        <v>485</v>
      </c>
      <c r="AX257" s="0" t="s">
        <v>2805</v>
      </c>
      <c r="AY257" s="0" t="n">
        <v>0</v>
      </c>
      <c r="AZ257" s="0" t="s">
        <v>2802</v>
      </c>
      <c r="BA257" s="0" t="s">
        <v>2803</v>
      </c>
      <c r="BB257" s="0" t="s">
        <v>485</v>
      </c>
      <c r="BD257" s="0" t="s">
        <v>2806</v>
      </c>
      <c r="BE257" s="0" t="n">
        <v>1</v>
      </c>
      <c r="BF257" s="0" t="s">
        <v>2802</v>
      </c>
      <c r="BG257" s="0" t="s">
        <v>2803</v>
      </c>
      <c r="BH257" s="0" t="s">
        <v>485</v>
      </c>
      <c r="BJ257" s="0" t="s">
        <v>1637</v>
      </c>
      <c r="BK257" s="0" t="n">
        <v>1</v>
      </c>
      <c r="BL257" s="0" t="s">
        <v>2800</v>
      </c>
      <c r="BM257" s="0" t="s">
        <v>618</v>
      </c>
      <c r="BN257" s="0" t="s">
        <v>322</v>
      </c>
      <c r="BP257" s="0" t="n">
        <v>0</v>
      </c>
      <c r="BQ257" s="0" t="n">
        <v>0</v>
      </c>
      <c r="BR257" s="0" t="n">
        <v>1</v>
      </c>
      <c r="BS257" s="0" t="s">
        <v>2807</v>
      </c>
      <c r="BT257" s="0" t="s">
        <v>2808</v>
      </c>
      <c r="BU257" s="0" t="s">
        <v>2809</v>
      </c>
      <c r="BV257" s="123"/>
      <c r="BW257" s="123"/>
      <c r="BX257" s="123"/>
      <c r="BY257" s="123"/>
      <c r="BZ257" s="0" t="n">
        <v>0</v>
      </c>
      <c r="CA257" s="0" t="s">
        <v>216</v>
      </c>
      <c r="CD257" s="0" t="s">
        <v>556</v>
      </c>
      <c r="CE257" s="0" t="n">
        <v>0</v>
      </c>
      <c r="CF257" s="0" t="s">
        <v>968</v>
      </c>
      <c r="CI257" s="1" t="n">
        <v>38777</v>
      </c>
      <c r="CJ257" s="1" t="n">
        <v>40103</v>
      </c>
      <c r="CK257" s="124" t="n">
        <v>0.458333333333333</v>
      </c>
      <c r="CL257" s="0" t="s">
        <v>2810</v>
      </c>
      <c r="CM257" s="0" t="n">
        <f aca="false">IF(OR(CI257="",CJ257=""),"",DAYS360(CI257,CJ257)/360)</f>
        <v>3.62777777777778</v>
      </c>
      <c r="CN257" s="0" t="n">
        <f aca="false">IF(OR(CI257="",CJ257=""),"",DAYS360(CI257,CJ257)/30)</f>
        <v>43.5333333333333</v>
      </c>
      <c r="CO257" s="0" t="n">
        <f aca="false">IF(OR(CI257="",CJ257=""),"",DAYS360(CI257,CJ257)/7)</f>
        <v>186.571428571429</v>
      </c>
      <c r="CP257" s="0" t="n">
        <f aca="false">IF(OR(CI257="",CJ257=""),"",DAYS360(CI257,CJ257))</f>
        <v>1306</v>
      </c>
      <c r="CQ257" s="0" t="s">
        <v>220</v>
      </c>
      <c r="CR257" s="0" t="n">
        <v>1</v>
      </c>
      <c r="CT257" s="0" t="n">
        <v>3954.6</v>
      </c>
      <c r="CU257" s="0" t="n">
        <v>3</v>
      </c>
      <c r="CV257" s="0" t="n">
        <f aca="false">IF(OR(CT257="",CT257="NO ESPECIFICA",CT257="NO MENCIONA"),"",IF(CU257=0,CT257,IF(CU257=1,CT257/30,IF(CU257=2,CT257/15,IF(CU257=3,CT257/7,"")))))</f>
        <v>564.942857142857</v>
      </c>
      <c r="CW257" s="125" t="n">
        <v>5842.45</v>
      </c>
      <c r="CX257" s="0" t="n">
        <v>3</v>
      </c>
      <c r="CY257" s="0" t="n">
        <f aca="false">IF(CW257="","",IF(CX257=0,CW257,IF(CX257=1,CW257/30,IF(CX257=2,CW257/15,IF(CX257=3,CW257/7,CW257)))))</f>
        <v>834.635714285714</v>
      </c>
      <c r="CZ257" s="0" t="n">
        <f aca="false">IF(DI257&gt;0,DI257,IF(CY257&gt;0,CY257,IF(CV257&gt;0,CV257,"")))</f>
        <v>834.635714285714</v>
      </c>
      <c r="DA257" s="0" t="n">
        <f aca="false">IF(DM257=1,CZ257/8,IF(OR(DM257=2,DM257=4),CZ257/7,IF(DM257=3,CZ257/7.5,"")))</f>
        <v>104.329464285714</v>
      </c>
      <c r="DB257" s="0" t="s">
        <v>2811</v>
      </c>
      <c r="DC257" s="0" t="s">
        <v>2812</v>
      </c>
      <c r="DD257" s="0" t="s">
        <v>2813</v>
      </c>
      <c r="DE257" s="0" t="s">
        <v>2063</v>
      </c>
      <c r="DF257" s="0" t="s">
        <v>2814</v>
      </c>
      <c r="DG257" s="0" t="s">
        <v>216</v>
      </c>
      <c r="DH257" s="0" t="n">
        <v>0</v>
      </c>
      <c r="DI257" s="126" t="n">
        <v>834.635714285714</v>
      </c>
      <c r="DK257" s="0" t="n">
        <v>0</v>
      </c>
      <c r="DM257" s="0" t="n">
        <v>1</v>
      </c>
      <c r="DN257" s="0" t="n">
        <v>60</v>
      </c>
      <c r="DO257" s="0" t="n">
        <v>3</v>
      </c>
      <c r="DP257" s="0" t="n">
        <v>1</v>
      </c>
      <c r="DQ257" s="0" t="n">
        <v>1</v>
      </c>
      <c r="DR257" s="0"/>
      <c r="DS257" s="0" t="n">
        <v>1</v>
      </c>
      <c r="DU257" s="0" t="n">
        <v>1</v>
      </c>
      <c r="DW257" s="1" t="n">
        <v>38777</v>
      </c>
      <c r="DX257" s="1" t="n">
        <v>40103</v>
      </c>
      <c r="DZ257" s="0"/>
      <c r="EA257" s="0" t="n">
        <v>1</v>
      </c>
      <c r="EC257" s="1" t="n">
        <v>38777</v>
      </c>
      <c r="ED257" s="1" t="n">
        <v>40103</v>
      </c>
      <c r="EF257" s="0"/>
      <c r="EG257" s="0" t="n">
        <v>1</v>
      </c>
      <c r="EH257" s="0" t="n">
        <v>12</v>
      </c>
      <c r="EI257" s="0" t="n">
        <f aca="false">IF(AND(DM257=1,DN257&lt;=48),"",IF(AND(DM257=2,DN257&lt;=42),"",IF(AND(DM257=3,DN257&lt;=45),"",EH257)))</f>
        <v>12</v>
      </c>
      <c r="EJ257" s="0" t="n">
        <f aca="false">IF(EI257="","",IF(EI257&lt;9,EI257,9))</f>
        <v>9</v>
      </c>
      <c r="EK257" s="0" t="n">
        <f aca="false">IF(EI257="","",IF(EI257&gt;9,EI257-EJ257,0))</f>
        <v>3</v>
      </c>
      <c r="EL257" s="0" t="n">
        <f aca="false">IF(EI257="","",EJ257*DA257*2+EK257*DA257*3)</f>
        <v>2816.89553571429</v>
      </c>
      <c r="EP257" s="0" t="n">
        <v>1</v>
      </c>
      <c r="EQ257" s="0"/>
      <c r="ER257" s="0" t="n">
        <v>0</v>
      </c>
      <c r="ET257" s="0" t="n">
        <v>0</v>
      </c>
      <c r="EV257" s="0" t="n">
        <v>0</v>
      </c>
      <c r="EX257" s="0" t="n">
        <v>1</v>
      </c>
      <c r="EY257" s="0" t="n">
        <v>1</v>
      </c>
      <c r="EZ257" s="4" t="n">
        <v>18500</v>
      </c>
      <c r="FA257" s="4" t="n">
        <v>139200</v>
      </c>
      <c r="FB257" s="0" t="n">
        <v>1</v>
      </c>
      <c r="FF257" s="120" t="n">
        <f aca="false">(CJ257-CI257+1)/365</f>
        <v>3.63561643835616</v>
      </c>
      <c r="FG257" s="0" t="str">
        <f aca="false">CONCATENATE(F257,"/",G257)</f>
        <v>2033/2011</v>
      </c>
      <c r="FH257" s="0" t="n">
        <v>0</v>
      </c>
      <c r="FI257" s="0" t="n">
        <v>0</v>
      </c>
    </row>
    <row r="258" customFormat="false" ht="15" hidden="false" customHeight="false" outlineLevel="0" collapsed="false">
      <c r="A258" s="5" t="str">
        <f aca="false">E258&amp;G258&amp;F258</f>
        <v>720112035</v>
      </c>
      <c r="B258" s="0" t="s">
        <v>2737</v>
      </c>
      <c r="C258" s="1" t="n">
        <v>42412</v>
      </c>
      <c r="E258" s="0" t="n">
        <v>7</v>
      </c>
      <c r="F258" s="0" t="n">
        <v>2035</v>
      </c>
      <c r="G258" s="0" t="n">
        <v>2011</v>
      </c>
      <c r="H258" s="0" t="str">
        <f aca="false">"J"&amp;E258&amp;"\"&amp;F258&amp;"\"&amp;G258&amp;"\"&amp;W258</f>
        <v>J7\2035\2011\1</v>
      </c>
      <c r="I258" s="0"/>
      <c r="J258" s="1" t="n">
        <v>40883</v>
      </c>
      <c r="K258" s="0" t="n">
        <v>0</v>
      </c>
      <c r="M258" s="1"/>
      <c r="N258" s="1"/>
      <c r="O258" s="1"/>
      <c r="P258" s="1"/>
      <c r="Q258" s="1"/>
      <c r="T258" s="121"/>
      <c r="U258" s="121"/>
      <c r="V258" s="122" t="n">
        <f aca="false">IF(AND(E258&gt;0,F258&gt;0,G258&gt;0),COUNTIFS($E:$E,E258,$F:$F,F258,$G:$G,G258),"")</f>
        <v>1</v>
      </c>
      <c r="W258" s="122" t="n">
        <f aca="false">IF(V258="","",IF(V258=1,1,IF(AND(E257=E258,F257=F258,G257=G258),W257+1,1)))</f>
        <v>1</v>
      </c>
      <c r="X258" s="0" t="n">
        <v>1</v>
      </c>
      <c r="Y258" s="0" t="n">
        <v>3</v>
      </c>
      <c r="Z258" s="0" t="s">
        <v>2815</v>
      </c>
      <c r="AA258" s="0" t="n">
        <v>0</v>
      </c>
      <c r="AB258" s="0" t="s">
        <v>1875</v>
      </c>
      <c r="AC258" s="0" t="s">
        <v>228</v>
      </c>
      <c r="AD258" s="0" t="s">
        <v>229</v>
      </c>
      <c r="AE258" s="0" t="n">
        <v>0</v>
      </c>
      <c r="AF258" s="0" t="s">
        <v>2816</v>
      </c>
      <c r="AG258" s="0" t="n">
        <v>1</v>
      </c>
      <c r="AH258" s="0" t="s">
        <v>2817</v>
      </c>
      <c r="AI258" s="0" t="s">
        <v>2818</v>
      </c>
      <c r="AJ258" s="0" t="s">
        <v>485</v>
      </c>
      <c r="AL258" s="0" t="s">
        <v>2819</v>
      </c>
      <c r="AM258" s="0" t="n">
        <v>2</v>
      </c>
      <c r="AN258" s="0" t="s">
        <v>2817</v>
      </c>
      <c r="AO258" s="0" t="s">
        <v>2818</v>
      </c>
      <c r="AP258" s="0" t="s">
        <v>485</v>
      </c>
      <c r="AR258" s="0" t="s">
        <v>1637</v>
      </c>
      <c r="AS258" s="0" t="n">
        <v>1</v>
      </c>
      <c r="AT258" s="0" t="s">
        <v>2817</v>
      </c>
      <c r="AU258" s="0" t="s">
        <v>2818</v>
      </c>
      <c r="AV258" s="0" t="s">
        <v>485</v>
      </c>
      <c r="BP258" s="0" t="n">
        <v>0</v>
      </c>
      <c r="BQ258" s="0" t="n">
        <v>0</v>
      </c>
      <c r="BR258" s="0" t="n">
        <v>3</v>
      </c>
      <c r="BS258" s="0" t="s">
        <v>1154</v>
      </c>
      <c r="BT258" s="0" t="s">
        <v>1818</v>
      </c>
      <c r="BU258" s="0" t="s">
        <v>1841</v>
      </c>
      <c r="BV258" s="123"/>
      <c r="BW258" s="123"/>
      <c r="BX258" s="123"/>
      <c r="BY258" s="123"/>
      <c r="BZ258" s="0" t="n">
        <v>0</v>
      </c>
      <c r="CA258" s="0" t="s">
        <v>348</v>
      </c>
      <c r="CD258" s="0" t="s">
        <v>256</v>
      </c>
      <c r="CE258" s="0" t="n">
        <v>0</v>
      </c>
      <c r="CF258" s="0" t="s">
        <v>2820</v>
      </c>
      <c r="CI258" s="1" t="n">
        <v>39442</v>
      </c>
      <c r="CJ258" s="1" t="n">
        <v>40848</v>
      </c>
      <c r="CK258" s="124" t="n">
        <v>0.958333333333333</v>
      </c>
      <c r="CL258" s="0" t="s">
        <v>2816</v>
      </c>
      <c r="CM258" s="0" t="n">
        <f aca="false">IF(OR(CI258="",CJ258=""),"",DAYS360(CI258,CJ258)/360)</f>
        <v>3.84722222222222</v>
      </c>
      <c r="CN258" s="0" t="n">
        <f aca="false">IF(OR(CI258="",CJ258=""),"",DAYS360(CI258,CJ258)/30)</f>
        <v>46.1666666666667</v>
      </c>
      <c r="CO258" s="0" t="n">
        <f aca="false">IF(OR(CI258="",CJ258=""),"",DAYS360(CI258,CJ258)/7)</f>
        <v>197.857142857143</v>
      </c>
      <c r="CP258" s="0" t="n">
        <f aca="false">IF(OR(CI258="",CJ258=""),"",DAYS360(CI258,CJ258))</f>
        <v>1385</v>
      </c>
      <c r="CQ258" s="0" t="s">
        <v>240</v>
      </c>
      <c r="CR258" s="0" t="n">
        <v>1</v>
      </c>
      <c r="CT258" s="0" t="n">
        <v>60</v>
      </c>
      <c r="CU258" s="0" t="n">
        <v>0</v>
      </c>
      <c r="CV258" s="0" t="n">
        <f aca="false">IF(OR(CT258="",CT258="NO ESPECIFICA",CT258="NO MENCIONA"),"",IF(CU258=0,CT258,IF(CU258=1,CT258/30,IF(CU258=2,CT258/15,IF(CU258=3,CT258/7,"")))))</f>
        <v>60</v>
      </c>
      <c r="CW258" s="125" t="n">
        <v>62.95</v>
      </c>
      <c r="CX258" s="0" t="n">
        <v>0</v>
      </c>
      <c r="CY258" s="0" t="n">
        <f aca="false">IF(CW258="","",IF(CX258=0,CW258,IF(CX258=1,CW258/30,IF(CX258=2,CW258/15,IF(CX258=3,CW258/7,CW258)))))</f>
        <v>62.95</v>
      </c>
      <c r="CZ258" s="0" t="n">
        <f aca="false">IF(DI258&gt;0,DI258,IF(CY258&gt;0,CY258,IF(CV258&gt;0,CV258,"")))</f>
        <v>62.95</v>
      </c>
      <c r="DA258" s="0" t="n">
        <f aca="false">IF(DM258=1,CZ258/8,IF(OR(DM258=2,DM258=4),CZ258/7,IF(DM258=3,CZ258/7.5,"")))</f>
        <v>8.39333333333333</v>
      </c>
      <c r="DB258" s="0" t="s">
        <v>303</v>
      </c>
      <c r="DC258" s="0" t="s">
        <v>301</v>
      </c>
      <c r="DD258" s="0" t="s">
        <v>216</v>
      </c>
      <c r="DE258" s="0" t="s">
        <v>216</v>
      </c>
      <c r="DF258" s="0" t="s">
        <v>216</v>
      </c>
      <c r="DG258" s="0" t="s">
        <v>216</v>
      </c>
      <c r="DH258" s="0" t="n">
        <v>0</v>
      </c>
      <c r="DI258" s="126" t="n">
        <v>62.95</v>
      </c>
      <c r="DK258" s="0" t="n">
        <v>0</v>
      </c>
      <c r="DM258" s="0" t="n">
        <v>3</v>
      </c>
      <c r="DN258" s="0" t="n">
        <v>42</v>
      </c>
      <c r="DO258" s="0" t="n">
        <v>3</v>
      </c>
      <c r="DP258" s="0" t="n">
        <v>0</v>
      </c>
      <c r="DQ258" s="0" t="n">
        <v>1</v>
      </c>
      <c r="DR258" s="0"/>
      <c r="DS258" s="0" t="n">
        <v>1</v>
      </c>
      <c r="DU258" s="0" t="n">
        <v>1</v>
      </c>
      <c r="DW258" s="1" t="n">
        <v>39442</v>
      </c>
      <c r="DX258" s="1" t="n">
        <v>40848</v>
      </c>
      <c r="DZ258" s="0"/>
      <c r="EA258" s="0" t="n">
        <v>1</v>
      </c>
      <c r="EC258" s="1" t="n">
        <v>39442</v>
      </c>
      <c r="ED258" s="1" t="n">
        <v>40848</v>
      </c>
      <c r="EF258" s="0"/>
      <c r="EG258" s="0" t="n">
        <v>0</v>
      </c>
      <c r="EI258" s="0" t="str">
        <f aca="false">IF(AND(DM258=1,DN258&lt;=48),"",IF(AND(DM258=2,DN258&lt;=42),"",IF(AND(DM258=3,DN258&lt;=45),"",EH258)))</f>
        <v/>
      </c>
      <c r="EJ258" s="0" t="str">
        <f aca="false">IF(EI258="","",IF(EI258&lt;9,EI258,9))</f>
        <v/>
      </c>
      <c r="EK258" s="0" t="str">
        <f aca="false">IF(EI258="","",IF(EI258&gt;9,EI258-EJ258,0))</f>
        <v/>
      </c>
      <c r="EL258" s="0" t="str">
        <f aca="false">IF(EI258="","",EJ258*DA258*2+EK258*DA258*3)</f>
        <v/>
      </c>
      <c r="EP258" s="0" t="n">
        <v>0</v>
      </c>
      <c r="EQ258" s="0"/>
      <c r="ER258" s="0" t="n">
        <v>0</v>
      </c>
      <c r="ET258" s="0" t="n">
        <v>0</v>
      </c>
      <c r="EV258" s="0" t="n">
        <v>0</v>
      </c>
      <c r="EX258" s="0" t="n">
        <v>0</v>
      </c>
      <c r="EY258" s="0" t="n">
        <v>0</v>
      </c>
      <c r="EZ258" s="0"/>
      <c r="FA258" s="4" t="n">
        <v>0</v>
      </c>
      <c r="FB258" s="0" t="n">
        <v>1</v>
      </c>
      <c r="FF258" s="120" t="n">
        <f aca="false">(CJ258-CI258+1)/365</f>
        <v>3.85479452054795</v>
      </c>
      <c r="FG258" s="0" t="str">
        <f aca="false">CONCATENATE(F258,"/",G258)</f>
        <v>2035/2011</v>
      </c>
      <c r="FH258" s="0" t="n">
        <v>0</v>
      </c>
      <c r="FI258" s="0" t="n">
        <v>0</v>
      </c>
    </row>
    <row r="259" customFormat="false" ht="15" hidden="false" customHeight="false" outlineLevel="0" collapsed="false">
      <c r="A259" s="5" t="str">
        <f aca="false">E259&amp;G259&amp;F259</f>
        <v>720112037</v>
      </c>
      <c r="B259" s="0" t="s">
        <v>2737</v>
      </c>
      <c r="C259" s="1" t="n">
        <v>42412</v>
      </c>
      <c r="E259" s="0" t="n">
        <v>7</v>
      </c>
      <c r="F259" s="0" t="n">
        <v>2037</v>
      </c>
      <c r="G259" s="0" t="n">
        <v>2011</v>
      </c>
      <c r="H259" s="0" t="str">
        <f aca="false">"J"&amp;E259&amp;"\"&amp;F259&amp;"\"&amp;G259&amp;"\"&amp;W259</f>
        <v>J7\2037\2011\1</v>
      </c>
      <c r="I259" s="0"/>
      <c r="J259" s="1" t="n">
        <v>40883</v>
      </c>
      <c r="K259" s="0" t="n">
        <v>0</v>
      </c>
      <c r="M259" s="1"/>
      <c r="N259" s="1"/>
      <c r="O259" s="1"/>
      <c r="P259" s="1"/>
      <c r="Q259" s="1"/>
      <c r="T259" s="121"/>
      <c r="U259" s="121"/>
      <c r="V259" s="122" t="n">
        <f aca="false">IF(AND(E259&gt;0,F259&gt;0,G259&gt;0),COUNTIFS($E:$E,E259,$F:$F,F259,$G:$G,G259),"")</f>
        <v>1</v>
      </c>
      <c r="W259" s="122" t="n">
        <f aca="false">IF(V259="","",IF(V259=1,1,IF(AND(E258=E259,F258=F259,G258=G259),W258+1,1)))</f>
        <v>1</v>
      </c>
      <c r="X259" s="0" t="n">
        <v>1</v>
      </c>
      <c r="Y259" s="0" t="n">
        <v>6</v>
      </c>
      <c r="Z259" s="0" t="s">
        <v>2821</v>
      </c>
      <c r="AA259" s="0" t="n">
        <v>0</v>
      </c>
      <c r="AB259" s="0" t="s">
        <v>2822</v>
      </c>
      <c r="AC259" s="0" t="s">
        <v>2823</v>
      </c>
      <c r="AD259" s="0" t="s">
        <v>411</v>
      </c>
      <c r="AE259" s="0" t="n">
        <v>0</v>
      </c>
      <c r="AF259" s="0" t="s">
        <v>2824</v>
      </c>
      <c r="AG259" s="0" t="n">
        <v>0</v>
      </c>
      <c r="AH259" s="0" t="s">
        <v>2825</v>
      </c>
      <c r="AI259" s="0" t="s">
        <v>380</v>
      </c>
      <c r="AJ259" s="0" t="s">
        <v>322</v>
      </c>
      <c r="AL259" s="0" t="s">
        <v>2826</v>
      </c>
      <c r="AM259" s="0" t="n">
        <v>0</v>
      </c>
      <c r="AN259" s="0" t="s">
        <v>2825</v>
      </c>
      <c r="AO259" s="0" t="s">
        <v>380</v>
      </c>
      <c r="AP259" s="0" t="s">
        <v>322</v>
      </c>
      <c r="AR259" s="0" t="s">
        <v>2827</v>
      </c>
      <c r="AS259" s="0" t="n">
        <v>1</v>
      </c>
      <c r="AT259" s="0" t="s">
        <v>2825</v>
      </c>
      <c r="AU259" s="0" t="s">
        <v>380</v>
      </c>
      <c r="AV259" s="0" t="s">
        <v>322</v>
      </c>
      <c r="AX259" s="0" t="s">
        <v>2828</v>
      </c>
      <c r="AY259" s="0" t="n">
        <v>1</v>
      </c>
      <c r="AZ259" s="0" t="s">
        <v>2825</v>
      </c>
      <c r="BA259" s="0" t="s">
        <v>380</v>
      </c>
      <c r="BB259" s="0" t="s">
        <v>322</v>
      </c>
      <c r="BD259" s="0" t="s">
        <v>2829</v>
      </c>
      <c r="BE259" s="0" t="n">
        <v>1</v>
      </c>
      <c r="BF259" s="0" t="s">
        <v>2825</v>
      </c>
      <c r="BG259" s="0" t="s">
        <v>380</v>
      </c>
      <c r="BH259" s="0" t="s">
        <v>322</v>
      </c>
      <c r="BJ259" s="0" t="s">
        <v>1637</v>
      </c>
      <c r="BK259" s="0" t="n">
        <v>1</v>
      </c>
      <c r="BL259" s="0" t="s">
        <v>2825</v>
      </c>
      <c r="BM259" s="0" t="s">
        <v>380</v>
      </c>
      <c r="BN259" s="0" t="s">
        <v>322</v>
      </c>
      <c r="BP259" s="0" t="n">
        <v>0</v>
      </c>
      <c r="BQ259" s="0" t="n">
        <v>0</v>
      </c>
      <c r="BR259" s="0" t="n">
        <v>1</v>
      </c>
      <c r="BS259" s="0" t="s">
        <v>2830</v>
      </c>
      <c r="BT259" s="0" t="s">
        <v>2831</v>
      </c>
      <c r="BU259" s="0" t="s">
        <v>2832</v>
      </c>
      <c r="BV259" s="123"/>
      <c r="BW259" s="123"/>
      <c r="BX259" s="123"/>
      <c r="BY259" s="123"/>
      <c r="BZ259" s="0" t="n">
        <v>0</v>
      </c>
      <c r="CA259" s="0" t="s">
        <v>216</v>
      </c>
      <c r="CD259" s="0" t="s">
        <v>370</v>
      </c>
      <c r="CE259" s="0" t="n">
        <v>0</v>
      </c>
      <c r="CF259" s="0" t="s">
        <v>2833</v>
      </c>
      <c r="CI259" s="1" t="n">
        <v>38295</v>
      </c>
      <c r="CJ259" s="1" t="n">
        <v>40855</v>
      </c>
      <c r="CK259" s="124" t="n">
        <v>0.5625</v>
      </c>
      <c r="CL259" s="0" t="s">
        <v>2834</v>
      </c>
      <c r="CM259" s="0" t="n">
        <f aca="false">IF(OR(CI259="",CJ259=""),"",DAYS360(CI259,CJ259)/360)</f>
        <v>7.01111111111111</v>
      </c>
      <c r="CN259" s="0" t="n">
        <f aca="false">IF(OR(CI259="",CJ259=""),"",DAYS360(CI259,CJ259)/30)</f>
        <v>84.1333333333333</v>
      </c>
      <c r="CO259" s="0" t="n">
        <f aca="false">IF(OR(CI259="",CJ259=""),"",DAYS360(CI259,CJ259)/7)</f>
        <v>360.571428571429</v>
      </c>
      <c r="CP259" s="0" t="n">
        <f aca="false">IF(OR(CI259="",CJ259=""),"",DAYS360(CI259,CJ259))</f>
        <v>2524</v>
      </c>
      <c r="CQ259" s="0" t="s">
        <v>240</v>
      </c>
      <c r="CR259" s="0" t="n">
        <v>1</v>
      </c>
      <c r="CT259" s="0" t="n">
        <v>59.82</v>
      </c>
      <c r="CU259" s="0" t="n">
        <v>0</v>
      </c>
      <c r="CV259" s="0" t="n">
        <f aca="false">IF(OR(CT259="",CT259="NO ESPECIFICA",CT259="NO MENCIONA"),"",IF(CU259=0,CT259,IF(CU259=1,CT259/30,IF(CU259=2,CT259/15,IF(CU259=3,CT259/7,"")))))</f>
        <v>59.82</v>
      </c>
      <c r="CW259" s="125" t="n">
        <v>239.82</v>
      </c>
      <c r="CX259" s="0" t="n">
        <v>0</v>
      </c>
      <c r="CY259" s="0" t="n">
        <f aca="false">IF(CW259="","",IF(CX259=0,CW259,IF(CX259=1,CW259/30,IF(CX259=2,CW259/15,IF(CX259=3,CW259/7,CW259)))))</f>
        <v>239.82</v>
      </c>
      <c r="CZ259" s="0" t="n">
        <f aca="false">IF(DI259&gt;0,DI259,IF(CY259&gt;0,CY259,IF(CV259&gt;0,CV259,"")))</f>
        <v>239.82</v>
      </c>
      <c r="DA259" s="0" t="n">
        <f aca="false">IF(DM259=1,CZ259/8,IF(OR(DM259=2,DM259=4),CZ259/7,IF(DM259=3,CZ259/7.5,"")))</f>
        <v>31.976</v>
      </c>
      <c r="DB259" s="0" t="s">
        <v>302</v>
      </c>
      <c r="DC259" s="0" t="s">
        <v>303</v>
      </c>
      <c r="DD259" s="0" t="s">
        <v>301</v>
      </c>
      <c r="DE259" s="0" t="s">
        <v>2835</v>
      </c>
      <c r="DF259" s="0" t="s">
        <v>1446</v>
      </c>
      <c r="DG259" s="0" t="s">
        <v>216</v>
      </c>
      <c r="DH259" s="0" t="n">
        <v>0</v>
      </c>
      <c r="DI259" s="126" t="n">
        <v>239.82</v>
      </c>
      <c r="DK259" s="0" t="n">
        <v>0</v>
      </c>
      <c r="DM259" s="0" t="n">
        <v>3</v>
      </c>
      <c r="DN259" s="0" t="n">
        <v>42</v>
      </c>
      <c r="DO259" s="0" t="n">
        <v>3</v>
      </c>
      <c r="DP259" s="0" t="n">
        <v>0</v>
      </c>
      <c r="DQ259" s="0" t="n">
        <v>1</v>
      </c>
      <c r="DR259" s="0"/>
      <c r="DS259" s="0" t="n">
        <v>1</v>
      </c>
      <c r="DU259" s="0" t="n">
        <v>1</v>
      </c>
      <c r="DW259" s="1" t="n">
        <v>38295</v>
      </c>
      <c r="DX259" s="1" t="n">
        <v>40855</v>
      </c>
      <c r="DZ259" s="0"/>
      <c r="EA259" s="0" t="n">
        <v>1</v>
      </c>
      <c r="EC259" s="1" t="n">
        <v>38295</v>
      </c>
      <c r="ED259" s="1" t="n">
        <v>40855</v>
      </c>
      <c r="EF259" s="0"/>
      <c r="EG259" s="0" t="n">
        <v>1</v>
      </c>
      <c r="EH259" s="0" t="s">
        <v>221</v>
      </c>
      <c r="EI259" s="0" t="str">
        <f aca="false">IF(AND(DM259=1,DN259&lt;=48),"",IF(AND(DM259=2,DN259&lt;=42),"",IF(AND(DM259=3,DN259&lt;=45),"",EH259)))</f>
        <v/>
      </c>
      <c r="EJ259" s="0" t="str">
        <f aca="false">IF(EI259="","",IF(EI259&lt;9,EI259,9))</f>
        <v/>
      </c>
      <c r="EK259" s="0" t="str">
        <f aca="false">IF(EI259="","",IF(EI259&gt;9,EI259-EJ259,0))</f>
        <v/>
      </c>
      <c r="EL259" s="0" t="str">
        <f aca="false">IF(EI259="","",EJ259*DA259*2+EK259*DA259*3)</f>
        <v/>
      </c>
      <c r="EP259" s="0" t="n">
        <v>0</v>
      </c>
      <c r="EQ259" s="0"/>
      <c r="ER259" s="0" t="n">
        <v>0</v>
      </c>
      <c r="ET259" s="0" t="n">
        <v>0</v>
      </c>
      <c r="EV259" s="0" t="n">
        <v>0</v>
      </c>
      <c r="EX259" s="0" t="n">
        <v>1</v>
      </c>
      <c r="EY259" s="0" t="n">
        <v>0</v>
      </c>
      <c r="EZ259" s="0"/>
      <c r="FA259" s="4" t="n">
        <v>0</v>
      </c>
      <c r="FB259" s="0" t="n">
        <v>1</v>
      </c>
      <c r="FF259" s="120" t="n">
        <f aca="false">(CJ259-CI259+1)/365</f>
        <v>7.01643835616438</v>
      </c>
      <c r="FG259" s="0" t="str">
        <f aca="false">CONCATENATE(F259,"/",G259)</f>
        <v>2037/2011</v>
      </c>
      <c r="FH259" s="0" t="n">
        <v>0</v>
      </c>
      <c r="FI259" s="0" t="n">
        <v>0</v>
      </c>
    </row>
    <row r="260" customFormat="false" ht="15" hidden="false" customHeight="false" outlineLevel="0" collapsed="false">
      <c r="A260" s="5" t="str">
        <f aca="false">E260&amp;G260&amp;F260</f>
        <v>720112038</v>
      </c>
      <c r="B260" s="0" t="s">
        <v>2737</v>
      </c>
      <c r="C260" s="1" t="n">
        <v>42412</v>
      </c>
      <c r="E260" s="0" t="n">
        <v>7</v>
      </c>
      <c r="F260" s="0" t="n">
        <v>2038</v>
      </c>
      <c r="G260" s="0" t="n">
        <v>2011</v>
      </c>
      <c r="H260" s="0" t="str">
        <f aca="false">"J"&amp;E260&amp;"\"&amp;F260&amp;"\"&amp;G260&amp;"\"&amp;W260</f>
        <v>J7\2038\2011\1</v>
      </c>
      <c r="I260" s="0"/>
      <c r="J260" s="1" t="n">
        <v>40883</v>
      </c>
      <c r="K260" s="0" t="n">
        <v>0</v>
      </c>
      <c r="M260" s="1"/>
      <c r="N260" s="1"/>
      <c r="O260" s="1"/>
      <c r="P260" s="1"/>
      <c r="Q260" s="1"/>
      <c r="T260" s="121"/>
      <c r="U260" s="121"/>
      <c r="V260" s="122" t="n">
        <f aca="false">IF(AND(E260&gt;0,F260&gt;0,G260&gt;0),COUNTIFS($E:$E,E260,$F:$F,F260,$G:$G,G260),"")</f>
        <v>1</v>
      </c>
      <c r="W260" s="122" t="n">
        <f aca="false">IF(V260="","",IF(V260=1,1,IF(AND(E259=E260,F259=F260,G259=G260),W259+1,1)))</f>
        <v>1</v>
      </c>
      <c r="X260" s="0" t="n">
        <v>1</v>
      </c>
      <c r="Y260" s="0" t="n">
        <v>6</v>
      </c>
      <c r="Z260" s="0" t="s">
        <v>2836</v>
      </c>
      <c r="AA260" s="0" t="n">
        <v>0</v>
      </c>
      <c r="AB260" s="0" t="s">
        <v>2822</v>
      </c>
      <c r="AC260" s="0" t="s">
        <v>2823</v>
      </c>
      <c r="AD260" s="0" t="s">
        <v>411</v>
      </c>
      <c r="AE260" s="0" t="n">
        <v>0</v>
      </c>
      <c r="AF260" s="0" t="s">
        <v>2824</v>
      </c>
      <c r="AG260" s="0" t="n">
        <v>0</v>
      </c>
      <c r="AH260" s="0" t="s">
        <v>2825</v>
      </c>
      <c r="AI260" s="0" t="s">
        <v>380</v>
      </c>
      <c r="AJ260" s="0" t="s">
        <v>322</v>
      </c>
      <c r="AL260" s="0" t="s">
        <v>2826</v>
      </c>
      <c r="AM260" s="0" t="n">
        <v>0</v>
      </c>
      <c r="AN260" s="0" t="s">
        <v>2825</v>
      </c>
      <c r="AO260" s="0" t="s">
        <v>380</v>
      </c>
      <c r="AP260" s="0" t="s">
        <v>322</v>
      </c>
      <c r="AR260" s="0" t="s">
        <v>2827</v>
      </c>
      <c r="AS260" s="0" t="n">
        <v>1</v>
      </c>
      <c r="AT260" s="0" t="s">
        <v>2825</v>
      </c>
      <c r="AU260" s="0" t="s">
        <v>380</v>
      </c>
      <c r="AV260" s="0" t="s">
        <v>322</v>
      </c>
      <c r="AX260" s="0" t="s">
        <v>2828</v>
      </c>
      <c r="AY260" s="0" t="n">
        <v>1</v>
      </c>
      <c r="AZ260" s="0" t="s">
        <v>2825</v>
      </c>
      <c r="BA260" s="0" t="s">
        <v>380</v>
      </c>
      <c r="BB260" s="0" t="s">
        <v>322</v>
      </c>
      <c r="BD260" s="0" t="s">
        <v>2829</v>
      </c>
      <c r="BE260" s="0" t="n">
        <v>1</v>
      </c>
      <c r="BF260" s="0" t="s">
        <v>2825</v>
      </c>
      <c r="BG260" s="0" t="s">
        <v>380</v>
      </c>
      <c r="BH260" s="0" t="s">
        <v>322</v>
      </c>
      <c r="BJ260" s="0" t="s">
        <v>1637</v>
      </c>
      <c r="BK260" s="0" t="n">
        <v>1</v>
      </c>
      <c r="BL260" s="0" t="s">
        <v>2825</v>
      </c>
      <c r="BM260" s="0" t="s">
        <v>380</v>
      </c>
      <c r="BN260" s="0" t="s">
        <v>322</v>
      </c>
      <c r="BP260" s="0" t="n">
        <v>0</v>
      </c>
      <c r="BQ260" s="0" t="n">
        <v>0</v>
      </c>
      <c r="BR260" s="0" t="n">
        <v>1</v>
      </c>
      <c r="BS260" s="0" t="s">
        <v>2830</v>
      </c>
      <c r="BT260" s="0" t="s">
        <v>2831</v>
      </c>
      <c r="BU260" s="0" t="s">
        <v>2832</v>
      </c>
      <c r="BV260" s="123"/>
      <c r="BW260" s="123"/>
      <c r="BX260" s="123"/>
      <c r="BY260" s="123"/>
      <c r="BZ260" s="0" t="n">
        <v>0</v>
      </c>
      <c r="CA260" s="0" t="s">
        <v>216</v>
      </c>
      <c r="CD260" s="0" t="s">
        <v>370</v>
      </c>
      <c r="CE260" s="0" t="n">
        <v>0</v>
      </c>
      <c r="CF260" s="0" t="s">
        <v>1789</v>
      </c>
      <c r="CI260" s="1" t="n">
        <v>34442</v>
      </c>
      <c r="CJ260" s="1" t="n">
        <v>40855</v>
      </c>
      <c r="CK260" s="124" t="n">
        <v>0.5625</v>
      </c>
      <c r="CL260" s="0" t="s">
        <v>2834</v>
      </c>
      <c r="CM260" s="0" t="n">
        <f aca="false">IF(OR(CI260="",CJ260=""),"",DAYS360(CI260,CJ260)/360)</f>
        <v>17.5555555555556</v>
      </c>
      <c r="CN260" s="0" t="n">
        <f aca="false">IF(OR(CI260="",CJ260=""),"",DAYS360(CI260,CJ260)/30)</f>
        <v>210.666666666667</v>
      </c>
      <c r="CO260" s="0" t="n">
        <f aca="false">IF(OR(CI260="",CJ260=""),"",DAYS360(CI260,CJ260)/7)</f>
        <v>902.857142857143</v>
      </c>
      <c r="CP260" s="0" t="n">
        <f aca="false">IF(OR(CI260="",CJ260=""),"",DAYS360(CI260,CJ260))</f>
        <v>6320</v>
      </c>
      <c r="CQ260" s="0" t="s">
        <v>240</v>
      </c>
      <c r="CR260" s="0" t="n">
        <v>1</v>
      </c>
      <c r="CT260" s="0" t="n">
        <v>77.2</v>
      </c>
      <c r="CU260" s="0" t="n">
        <v>0</v>
      </c>
      <c r="CV260" s="0" t="n">
        <f aca="false">IF(OR(CT260="",CT260="NO ESPECIFICA",CT260="NO MENCIONA"),"",IF(CU260=0,CT260,IF(CU260=1,CT260/30,IF(CU260=2,CT260/15,IF(CU260=3,CT260/7,"")))))</f>
        <v>77.2</v>
      </c>
      <c r="CW260" s="125" t="n">
        <v>327.2</v>
      </c>
      <c r="CX260" s="0" t="n">
        <v>0</v>
      </c>
      <c r="CY260" s="0" t="n">
        <f aca="false">IF(CW260="","",IF(CX260=0,CW260,IF(CX260=1,CW260/30,IF(CX260=2,CW260/15,IF(CX260=3,CW260/7,CW260)))))</f>
        <v>327.2</v>
      </c>
      <c r="CZ260" s="0" t="n">
        <f aca="false">IF(DI260&gt;0,DI260,IF(CY260&gt;0,CY260,IF(CV260&gt;0,CV260,"")))</f>
        <v>327.2</v>
      </c>
      <c r="DA260" s="0" t="n">
        <f aca="false">IF(DM260=1,CZ260/8,IF(OR(DM260=2,DM260=4),CZ260/7,IF(DM260=3,CZ260/7.5,"")))</f>
        <v>43.6266666666667</v>
      </c>
      <c r="DB260" s="0" t="s">
        <v>302</v>
      </c>
      <c r="DC260" s="0" t="s">
        <v>303</v>
      </c>
      <c r="DD260" s="0" t="s">
        <v>301</v>
      </c>
      <c r="DE260" s="0" t="s">
        <v>2835</v>
      </c>
      <c r="DF260" s="0" t="s">
        <v>1446</v>
      </c>
      <c r="DG260" s="0" t="s">
        <v>216</v>
      </c>
      <c r="DH260" s="0" t="n">
        <v>0</v>
      </c>
      <c r="DI260" s="126" t="n">
        <v>327.2</v>
      </c>
      <c r="DK260" s="0" t="n">
        <v>0</v>
      </c>
      <c r="DM260" s="0" t="n">
        <v>3</v>
      </c>
      <c r="DN260" s="0" t="n">
        <v>42</v>
      </c>
      <c r="DO260" s="0" t="n">
        <v>3</v>
      </c>
      <c r="DP260" s="0" t="n">
        <v>0</v>
      </c>
      <c r="DQ260" s="0" t="n">
        <v>1</v>
      </c>
      <c r="DR260" s="0"/>
      <c r="DS260" s="0" t="n">
        <v>1</v>
      </c>
      <c r="DU260" s="0" t="n">
        <v>1</v>
      </c>
      <c r="DW260" s="1" t="n">
        <v>34442</v>
      </c>
      <c r="DX260" s="1" t="n">
        <v>40855</v>
      </c>
      <c r="DZ260" s="0"/>
      <c r="EA260" s="0" t="n">
        <v>1</v>
      </c>
      <c r="EC260" s="1" t="n">
        <v>34442</v>
      </c>
      <c r="ED260" s="1" t="n">
        <v>40855</v>
      </c>
      <c r="EF260" s="0"/>
      <c r="EG260" s="0" t="n">
        <v>1</v>
      </c>
      <c r="EH260" s="0" t="s">
        <v>221</v>
      </c>
      <c r="EI260" s="0" t="str">
        <f aca="false">IF(AND(DM260=1,DN260&lt;=48),"",IF(AND(DM260=2,DN260&lt;=42),"",IF(AND(DM260=3,DN260&lt;=45),"",EH260)))</f>
        <v/>
      </c>
      <c r="EJ260" s="0" t="str">
        <f aca="false">IF(EI260="","",IF(EI260&lt;9,EI260,9))</f>
        <v/>
      </c>
      <c r="EK260" s="0" t="str">
        <f aca="false">IF(EI260="","",IF(EI260&gt;9,EI260-EJ260,0))</f>
        <v/>
      </c>
      <c r="EL260" s="0" t="str">
        <f aca="false">IF(EI260="","",EJ260*DA260*2+EK260*DA260*3)</f>
        <v/>
      </c>
      <c r="EP260" s="0" t="n">
        <v>0</v>
      </c>
      <c r="EQ260" s="0"/>
      <c r="ER260" s="0" t="n">
        <v>0</v>
      </c>
      <c r="ET260" s="0" t="n">
        <v>0</v>
      </c>
      <c r="EV260" s="0" t="n">
        <v>0</v>
      </c>
      <c r="EX260" s="0" t="n">
        <v>1</v>
      </c>
      <c r="EY260" s="0" t="n">
        <v>0</v>
      </c>
      <c r="EZ260" s="0"/>
      <c r="FA260" s="4" t="n">
        <v>0</v>
      </c>
      <c r="FB260" s="0" t="n">
        <v>1</v>
      </c>
      <c r="FF260" s="120" t="n">
        <f aca="false">(CJ260-CI260+1)/365</f>
        <v>17.572602739726</v>
      </c>
      <c r="FG260" s="0" t="str">
        <f aca="false">CONCATENATE(F260,"/",G260)</f>
        <v>2038/2011</v>
      </c>
      <c r="FH260" s="0" t="n">
        <v>0</v>
      </c>
      <c r="FI260" s="0" t="n">
        <v>0</v>
      </c>
    </row>
    <row r="261" customFormat="false" ht="15" hidden="false" customHeight="false" outlineLevel="0" collapsed="false">
      <c r="A261" s="5" t="str">
        <f aca="false">E261&amp;G261&amp;F261</f>
        <v>720112039</v>
      </c>
      <c r="B261" s="0" t="s">
        <v>2737</v>
      </c>
      <c r="C261" s="1" t="n">
        <v>42412</v>
      </c>
      <c r="E261" s="0" t="n">
        <v>7</v>
      </c>
      <c r="F261" s="0" t="n">
        <v>2039</v>
      </c>
      <c r="G261" s="0" t="n">
        <v>2011</v>
      </c>
      <c r="H261" s="0" t="str">
        <f aca="false">"J"&amp;E261&amp;"\"&amp;F261&amp;"\"&amp;G261&amp;"\"&amp;W261</f>
        <v>J7\2039\2011\1</v>
      </c>
      <c r="I261" s="0"/>
      <c r="J261" s="1" t="n">
        <v>40883</v>
      </c>
      <c r="K261" s="0" t="n">
        <v>0</v>
      </c>
      <c r="M261" s="1"/>
      <c r="N261" s="1"/>
      <c r="O261" s="1"/>
      <c r="P261" s="1"/>
      <c r="Q261" s="1"/>
      <c r="T261" s="121"/>
      <c r="U261" s="121"/>
      <c r="V261" s="122" t="n">
        <f aca="false">IF(AND(E261&gt;0,F261&gt;0,G261&gt;0),COUNTIFS($E:$E,E261,$F:$F,F261,$G:$G,G261),"")</f>
        <v>1</v>
      </c>
      <c r="W261" s="122" t="n">
        <f aca="false">IF(V261="","",IF(V261=1,1,IF(AND(E260=E261,F260=F261,G260=G261),W260+1,1)))</f>
        <v>1</v>
      </c>
      <c r="X261" s="0" t="n">
        <v>1</v>
      </c>
      <c r="Y261" s="0" t="n">
        <v>6</v>
      </c>
      <c r="Z261" s="0" t="s">
        <v>2837</v>
      </c>
      <c r="AA261" s="0" t="n">
        <v>0</v>
      </c>
      <c r="AB261" s="0" t="s">
        <v>2822</v>
      </c>
      <c r="AC261" s="0" t="s">
        <v>2823</v>
      </c>
      <c r="AD261" s="0" t="s">
        <v>411</v>
      </c>
      <c r="AE261" s="0" t="n">
        <v>0</v>
      </c>
      <c r="AF261" s="0" t="s">
        <v>2824</v>
      </c>
      <c r="AG261" s="0" t="n">
        <v>0</v>
      </c>
      <c r="AH261" s="0" t="s">
        <v>2825</v>
      </c>
      <c r="AI261" s="0" t="s">
        <v>380</v>
      </c>
      <c r="AJ261" s="0" t="s">
        <v>322</v>
      </c>
      <c r="AL261" s="0" t="s">
        <v>2826</v>
      </c>
      <c r="AM261" s="0" t="n">
        <v>0</v>
      </c>
      <c r="AN261" s="0" t="s">
        <v>2825</v>
      </c>
      <c r="AO261" s="0" t="s">
        <v>380</v>
      </c>
      <c r="AP261" s="0" t="s">
        <v>322</v>
      </c>
      <c r="AR261" s="0" t="s">
        <v>2827</v>
      </c>
      <c r="AS261" s="0" t="n">
        <v>1</v>
      </c>
      <c r="AT261" s="0" t="s">
        <v>2825</v>
      </c>
      <c r="AU261" s="0" t="s">
        <v>380</v>
      </c>
      <c r="AV261" s="0" t="s">
        <v>322</v>
      </c>
      <c r="AX261" s="0" t="s">
        <v>2828</v>
      </c>
      <c r="AY261" s="0" t="n">
        <v>1</v>
      </c>
      <c r="AZ261" s="0" t="s">
        <v>2825</v>
      </c>
      <c r="BA261" s="0" t="s">
        <v>380</v>
      </c>
      <c r="BB261" s="0" t="s">
        <v>322</v>
      </c>
      <c r="BD261" s="0" t="s">
        <v>2829</v>
      </c>
      <c r="BE261" s="0" t="n">
        <v>1</v>
      </c>
      <c r="BF261" s="0" t="s">
        <v>2825</v>
      </c>
      <c r="BG261" s="0" t="s">
        <v>380</v>
      </c>
      <c r="BH261" s="0" t="s">
        <v>322</v>
      </c>
      <c r="BJ261" s="0" t="s">
        <v>1637</v>
      </c>
      <c r="BK261" s="0" t="n">
        <v>1</v>
      </c>
      <c r="BL261" s="0" t="s">
        <v>2825</v>
      </c>
      <c r="BM261" s="0" t="s">
        <v>380</v>
      </c>
      <c r="BN261" s="0" t="s">
        <v>322</v>
      </c>
      <c r="BP261" s="0" t="n">
        <v>0</v>
      </c>
      <c r="BQ261" s="0" t="n">
        <v>0</v>
      </c>
      <c r="BR261" s="0" t="n">
        <v>1</v>
      </c>
      <c r="BS261" s="0" t="s">
        <v>2830</v>
      </c>
      <c r="BT261" s="0" t="s">
        <v>2831</v>
      </c>
      <c r="BU261" s="0" t="s">
        <v>2832</v>
      </c>
      <c r="BV261" s="123"/>
      <c r="BW261" s="123"/>
      <c r="BX261" s="123"/>
      <c r="BY261" s="123"/>
      <c r="BZ261" s="0" t="n">
        <v>0</v>
      </c>
      <c r="CA261" s="0" t="s">
        <v>216</v>
      </c>
      <c r="CD261" s="0" t="s">
        <v>370</v>
      </c>
      <c r="CE261" s="0" t="n">
        <v>0</v>
      </c>
      <c r="CF261" s="0" t="s">
        <v>2838</v>
      </c>
      <c r="CI261" s="1" t="n">
        <v>40752</v>
      </c>
      <c r="CJ261" s="1" t="n">
        <v>40855</v>
      </c>
      <c r="CK261" s="124" t="n">
        <v>0.5625</v>
      </c>
      <c r="CL261" s="0" t="s">
        <v>2834</v>
      </c>
      <c r="CM261" s="0" t="n">
        <f aca="false">IF(OR(CI261="",CJ261=""),"",DAYS360(CI261,CJ261)/360)</f>
        <v>0.277777777777778</v>
      </c>
      <c r="CN261" s="0" t="n">
        <f aca="false">IF(OR(CI261="",CJ261=""),"",DAYS360(CI261,CJ261)/30)</f>
        <v>3.33333333333333</v>
      </c>
      <c r="CO261" s="0" t="n">
        <f aca="false">IF(OR(CI261="",CJ261=""),"",DAYS360(CI261,CJ261)/7)</f>
        <v>14.2857142857143</v>
      </c>
      <c r="CP261" s="0" t="n">
        <f aca="false">IF(OR(CI261="",CJ261=""),"",DAYS360(CI261,CJ261))</f>
        <v>100</v>
      </c>
      <c r="CQ261" s="0" t="s">
        <v>240</v>
      </c>
      <c r="CR261" s="0" t="n">
        <v>1</v>
      </c>
      <c r="CT261" s="0" t="n">
        <v>59.82</v>
      </c>
      <c r="CU261" s="0" t="n">
        <v>0</v>
      </c>
      <c r="CV261" s="0" t="n">
        <f aca="false">IF(OR(CT261="",CT261="NO ESPECIFICA",CT261="NO MENCIONA"),"",IF(CU261=0,CT261,IF(CU261=1,CT261/30,IF(CU261=2,CT261/15,IF(CU261=3,CT261/7,"")))))</f>
        <v>59.82</v>
      </c>
      <c r="CW261" s="125" t="n">
        <v>239.82</v>
      </c>
      <c r="CX261" s="0" t="n">
        <v>0</v>
      </c>
      <c r="CY261" s="0" t="n">
        <f aca="false">IF(CW261="","",IF(CX261=0,CW261,IF(CX261=1,CW261/30,IF(CX261=2,CW261/15,IF(CX261=3,CW261/7,CW261)))))</f>
        <v>239.82</v>
      </c>
      <c r="CZ261" s="0" t="n">
        <f aca="false">IF(DI261&gt;0,DI261,IF(CY261&gt;0,CY261,IF(CV261&gt;0,CV261,"")))</f>
        <v>239.82</v>
      </c>
      <c r="DA261" s="0" t="n">
        <f aca="false">IF(DM261=1,CZ261/8,IF(OR(DM261=2,DM261=4),CZ261/7,IF(DM261=3,CZ261/7.5,"")))</f>
        <v>31.976</v>
      </c>
      <c r="DB261" s="0" t="s">
        <v>302</v>
      </c>
      <c r="DC261" s="0" t="s">
        <v>303</v>
      </c>
      <c r="DD261" s="0" t="s">
        <v>301</v>
      </c>
      <c r="DE261" s="0" t="s">
        <v>2835</v>
      </c>
      <c r="DF261" s="0" t="s">
        <v>1446</v>
      </c>
      <c r="DG261" s="0" t="s">
        <v>216</v>
      </c>
      <c r="DH261" s="0" t="n">
        <v>0</v>
      </c>
      <c r="DI261" s="126" t="n">
        <v>239.82</v>
      </c>
      <c r="DK261" s="0" t="n">
        <v>0</v>
      </c>
      <c r="DM261" s="0" t="n">
        <v>3</v>
      </c>
      <c r="DN261" s="0" t="n">
        <v>42</v>
      </c>
      <c r="DO261" s="0" t="n">
        <v>3</v>
      </c>
      <c r="DP261" s="0" t="n">
        <v>0</v>
      </c>
      <c r="DQ261" s="0" t="n">
        <v>1</v>
      </c>
      <c r="DR261" s="0"/>
      <c r="DS261" s="0" t="n">
        <v>1</v>
      </c>
      <c r="DU261" s="0" t="n">
        <v>1</v>
      </c>
      <c r="DW261" s="1" t="n">
        <v>40752</v>
      </c>
      <c r="DX261" s="1" t="n">
        <v>40855</v>
      </c>
      <c r="DZ261" s="0"/>
      <c r="EA261" s="0" t="n">
        <v>1</v>
      </c>
      <c r="EC261" s="1" t="n">
        <v>40752</v>
      </c>
      <c r="ED261" s="1" t="n">
        <v>40855</v>
      </c>
      <c r="EF261" s="0"/>
      <c r="EG261" s="0" t="n">
        <v>1</v>
      </c>
      <c r="EH261" s="0" t="s">
        <v>221</v>
      </c>
      <c r="EI261" s="0" t="str">
        <f aca="false">IF(AND(DM261=1,DN261&lt;=48),"",IF(AND(DM261=2,DN261&lt;=42),"",IF(AND(DM261=3,DN261&lt;=45),"",EH261)))</f>
        <v/>
      </c>
      <c r="EJ261" s="0" t="str">
        <f aca="false">IF(EI261="","",IF(EI261&lt;9,EI261,9))</f>
        <v/>
      </c>
      <c r="EK261" s="0" t="str">
        <f aca="false">IF(EI261="","",IF(EI261&gt;9,EI261-EJ261,0))</f>
        <v/>
      </c>
      <c r="EL261" s="0" t="str">
        <f aca="false">IF(EI261="","",EJ261*DA261*2+EK261*DA261*3)</f>
        <v/>
      </c>
      <c r="EP261" s="0" t="n">
        <v>0</v>
      </c>
      <c r="EQ261" s="0"/>
      <c r="ER261" s="0" t="n">
        <v>0</v>
      </c>
      <c r="ET261" s="0" t="n">
        <v>0</v>
      </c>
      <c r="EV261" s="0" t="n">
        <v>0</v>
      </c>
      <c r="EX261" s="0" t="n">
        <v>1</v>
      </c>
      <c r="EY261" s="0" t="n">
        <v>0</v>
      </c>
      <c r="EZ261" s="0"/>
      <c r="FA261" s="4" t="n">
        <v>0</v>
      </c>
      <c r="FB261" s="0" t="n">
        <v>1</v>
      </c>
      <c r="FF261" s="120" t="n">
        <f aca="false">(CJ261-CI261+1)/365</f>
        <v>0.284931506849315</v>
      </c>
      <c r="FG261" s="0" t="str">
        <f aca="false">CONCATENATE(F261,"/",G261)</f>
        <v>2039/2011</v>
      </c>
      <c r="FH261" s="0" t="n">
        <v>0</v>
      </c>
      <c r="FI261" s="0" t="n">
        <v>0</v>
      </c>
    </row>
    <row r="262" customFormat="false" ht="15" hidden="false" customHeight="false" outlineLevel="0" collapsed="false">
      <c r="A262" s="5" t="str">
        <f aca="false">E262&amp;G262&amp;F262</f>
        <v>720112044</v>
      </c>
      <c r="B262" s="0" t="s">
        <v>2737</v>
      </c>
      <c r="C262" s="1" t="n">
        <v>42412</v>
      </c>
      <c r="E262" s="0" t="n">
        <v>7</v>
      </c>
      <c r="F262" s="0" t="n">
        <v>2044</v>
      </c>
      <c r="G262" s="0" t="n">
        <v>2011</v>
      </c>
      <c r="H262" s="0" t="str">
        <f aca="false">"J"&amp;E262&amp;"\"&amp;F262&amp;"\"&amp;G262&amp;"\"&amp;W262</f>
        <v>J7\2044\2011\1</v>
      </c>
      <c r="I262" s="0"/>
      <c r="J262" s="1" t="n">
        <v>40883</v>
      </c>
      <c r="K262" s="0" t="n">
        <v>0</v>
      </c>
      <c r="M262" s="1"/>
      <c r="N262" s="1"/>
      <c r="O262" s="1"/>
      <c r="P262" s="1"/>
      <c r="Q262" s="1"/>
      <c r="T262" s="121"/>
      <c r="U262" s="121"/>
      <c r="V262" s="122" t="n">
        <f aca="false">IF(AND(E262&gt;0,F262&gt;0,G262&gt;0),COUNTIFS($E:$E,E262,$F:$F,F262,$G:$G,G262),"")</f>
        <v>1</v>
      </c>
      <c r="W262" s="122" t="n">
        <f aca="false">IF(V262="","",IF(V262=1,1,IF(AND(E261=E262,F261=F262,G261=G262),W261+1,1)))</f>
        <v>1</v>
      </c>
      <c r="X262" s="0" t="n">
        <v>1</v>
      </c>
      <c r="Y262" s="0" t="n">
        <v>4</v>
      </c>
      <c r="Z262" s="0" t="s">
        <v>2839</v>
      </c>
      <c r="AA262" s="0" t="n">
        <v>0</v>
      </c>
      <c r="AB262" s="0" t="s">
        <v>2840</v>
      </c>
      <c r="AC262" s="0" t="s">
        <v>318</v>
      </c>
      <c r="AD262" s="0" t="s">
        <v>229</v>
      </c>
      <c r="AE262" s="0" t="n">
        <v>0</v>
      </c>
      <c r="AF262" s="0" t="s">
        <v>2841</v>
      </c>
      <c r="AG262" s="0" t="n">
        <v>0</v>
      </c>
      <c r="AH262" s="0" t="s">
        <v>2842</v>
      </c>
      <c r="AI262" s="0" t="s">
        <v>438</v>
      </c>
      <c r="AJ262" s="0" t="s">
        <v>352</v>
      </c>
      <c r="AL262" s="0" t="s">
        <v>2843</v>
      </c>
      <c r="AM262" s="0" t="n">
        <v>1</v>
      </c>
      <c r="AN262" s="0" t="s">
        <v>2842</v>
      </c>
      <c r="AO262" s="0" t="s">
        <v>438</v>
      </c>
      <c r="AP262" s="0" t="s">
        <v>352</v>
      </c>
      <c r="AR262" s="0" t="s">
        <v>1637</v>
      </c>
      <c r="AS262" s="0" t="n">
        <v>1</v>
      </c>
      <c r="AT262" s="0" t="s">
        <v>2842</v>
      </c>
      <c r="AU262" s="0" t="s">
        <v>438</v>
      </c>
      <c r="AV262" s="0" t="s">
        <v>352</v>
      </c>
      <c r="AX262" s="0" t="s">
        <v>2844</v>
      </c>
      <c r="AY262" s="0" t="n">
        <v>0</v>
      </c>
      <c r="AZ262" s="0" t="s">
        <v>2845</v>
      </c>
      <c r="BA262" s="0" t="s">
        <v>380</v>
      </c>
      <c r="BB262" s="0" t="s">
        <v>322</v>
      </c>
      <c r="BP262" s="0" t="n">
        <v>0</v>
      </c>
      <c r="BQ262" s="0" t="n">
        <v>0</v>
      </c>
      <c r="BR262" s="0" t="n">
        <v>1</v>
      </c>
      <c r="BS262" s="0" t="s">
        <v>2846</v>
      </c>
      <c r="BT262" s="0" t="s">
        <v>2847</v>
      </c>
      <c r="BU262" s="0" t="s">
        <v>2848</v>
      </c>
      <c r="BV262" s="123"/>
      <c r="BW262" s="123"/>
      <c r="BX262" s="123"/>
      <c r="BY262" s="123"/>
      <c r="BZ262" s="0" t="n">
        <v>0</v>
      </c>
      <c r="CA262" s="0" t="s">
        <v>2849</v>
      </c>
      <c r="CD262" s="0" t="s">
        <v>216</v>
      </c>
      <c r="CE262" s="0" t="n">
        <v>0</v>
      </c>
      <c r="CF262" s="0" t="s">
        <v>2850</v>
      </c>
      <c r="CI262" s="1" t="n">
        <v>40366</v>
      </c>
      <c r="CJ262" s="1" t="n">
        <v>40848</v>
      </c>
      <c r="CK262" s="124" t="n">
        <v>0.291666666666667</v>
      </c>
      <c r="CL262" s="0" t="s">
        <v>2843</v>
      </c>
      <c r="CM262" s="0" t="n">
        <f aca="false">IF(OR(CI262="",CJ262=""),"",DAYS360(CI262,CJ262)/360)</f>
        <v>1.31666666666667</v>
      </c>
      <c r="CN262" s="0" t="n">
        <f aca="false">IF(OR(CI262="",CJ262=""),"",DAYS360(CI262,CJ262)/30)</f>
        <v>15.8</v>
      </c>
      <c r="CO262" s="0" t="n">
        <f aca="false">IF(OR(CI262="",CJ262=""),"",DAYS360(CI262,CJ262)/7)</f>
        <v>67.7142857142857</v>
      </c>
      <c r="CP262" s="0" t="n">
        <f aca="false">IF(OR(CI262="",CJ262=""),"",DAYS360(CI262,CJ262))</f>
        <v>474</v>
      </c>
      <c r="CQ262" s="0" t="s">
        <v>240</v>
      </c>
      <c r="CR262" s="0" t="n">
        <v>1</v>
      </c>
      <c r="CT262" s="0" t="s">
        <v>216</v>
      </c>
      <c r="CU262" s="0" t="s">
        <v>216</v>
      </c>
      <c r="CV262" s="0" t="str">
        <f aca="false">IF(OR(CT262="",CT262="NO ESPECIFICA",CT262="NO MENCIONA"),"",IF(CU262=0,CT262,IF(CU262=1,CT262/30,IF(CU262=2,CT262/15,IF(CU262=3,CT262/7,"")))))</f>
        <v/>
      </c>
      <c r="CW262" s="125" t="n">
        <v>300</v>
      </c>
      <c r="CX262" s="0" t="n">
        <v>0</v>
      </c>
      <c r="CY262" s="0" t="n">
        <f aca="false">IF(CW262="","",IF(CX262=0,CW262,IF(CX262=1,CW262/30,IF(CX262=2,CW262/15,IF(CX262=3,CW262/7,CW262)))))</f>
        <v>300</v>
      </c>
      <c r="CZ262" s="0" t="n">
        <f aca="false">IF(DI262&gt;0,DI262,IF(CY262&gt;0,CY262,IF(CV262&gt;0,CV262,"")))</f>
        <v>300</v>
      </c>
      <c r="DA262" s="0" t="n">
        <f aca="false">IF(DM262=1,CZ262/8,IF(OR(DM262=2,DM262=4),CZ262/7,IF(DM262=3,CZ262/7.5,"")))</f>
        <v>37.5</v>
      </c>
      <c r="DB262" s="0" t="s">
        <v>216</v>
      </c>
      <c r="DC262" s="0" t="s">
        <v>216</v>
      </c>
      <c r="DD262" s="0" t="s">
        <v>216</v>
      </c>
      <c r="DE262" s="0" t="s">
        <v>216</v>
      </c>
      <c r="DF262" s="0" t="s">
        <v>216</v>
      </c>
      <c r="DG262" s="0" t="s">
        <v>216</v>
      </c>
      <c r="DH262" s="0" t="n">
        <v>0</v>
      </c>
      <c r="DI262" s="126" t="n">
        <v>300</v>
      </c>
      <c r="DK262" s="0" t="n">
        <v>0</v>
      </c>
      <c r="DM262" s="0" t="n">
        <v>1</v>
      </c>
      <c r="DN262" s="0" t="n">
        <v>60</v>
      </c>
      <c r="DO262" s="0" t="n">
        <v>3</v>
      </c>
      <c r="DP262" s="0" t="n">
        <v>0</v>
      </c>
      <c r="DQ262" s="0" t="n">
        <v>1</v>
      </c>
      <c r="DR262" s="0"/>
      <c r="DS262" s="0" t="n">
        <v>1</v>
      </c>
      <c r="DU262" s="0" t="n">
        <v>1</v>
      </c>
      <c r="DW262" s="1" t="n">
        <v>40366</v>
      </c>
      <c r="DX262" s="1" t="n">
        <v>40848</v>
      </c>
      <c r="DZ262" s="0"/>
      <c r="EA262" s="0" t="n">
        <v>1</v>
      </c>
      <c r="EC262" s="1" t="n">
        <v>40366</v>
      </c>
      <c r="ED262" s="1" t="n">
        <v>40848</v>
      </c>
      <c r="EF262" s="0"/>
      <c r="EG262" s="0" t="n">
        <v>1</v>
      </c>
      <c r="EH262" s="0" t="n">
        <v>12</v>
      </c>
      <c r="EI262" s="0" t="n">
        <f aca="false">IF(AND(DM262=1,DN262&lt;=48),"",IF(AND(DM262=2,DN262&lt;=42),"",IF(AND(DM262=3,DN262&lt;=45),"",EH262)))</f>
        <v>12</v>
      </c>
      <c r="EJ262" s="0" t="n">
        <f aca="false">IF(EI262="","",IF(EI262&lt;9,EI262,9))</f>
        <v>9</v>
      </c>
      <c r="EK262" s="0" t="n">
        <f aca="false">IF(EI262="","",IF(EI262&gt;9,EI262-EJ262,0))</f>
        <v>3</v>
      </c>
      <c r="EL262" s="0" t="n">
        <f aca="false">IF(EI262="","",EJ262*DA262*2+EK262*DA262*3)</f>
        <v>1012.5</v>
      </c>
      <c r="EP262" s="0" t="n">
        <v>0</v>
      </c>
      <c r="EQ262" s="0"/>
      <c r="ER262" s="0" t="n">
        <v>0</v>
      </c>
      <c r="ET262" s="0" t="n">
        <v>0</v>
      </c>
      <c r="EV262" s="0" t="n">
        <v>1</v>
      </c>
      <c r="EX262" s="0" t="n">
        <v>0</v>
      </c>
      <c r="EY262" s="0" t="n">
        <v>0</v>
      </c>
      <c r="EZ262" s="0"/>
      <c r="FA262" s="4" t="n">
        <v>0</v>
      </c>
      <c r="FB262" s="0" t="n">
        <v>1</v>
      </c>
      <c r="FF262" s="120" t="n">
        <f aca="false">(CJ262-CI262+1)/365</f>
        <v>1.32328767123288</v>
      </c>
      <c r="FG262" s="0" t="str">
        <f aca="false">CONCATENATE(F262,"/",G262)</f>
        <v>2044/2011</v>
      </c>
      <c r="FH262" s="0" t="n">
        <v>0</v>
      </c>
      <c r="FI262" s="0" t="n">
        <v>0</v>
      </c>
    </row>
    <row r="263" customFormat="false" ht="15" hidden="false" customHeight="false" outlineLevel="0" collapsed="false">
      <c r="A263" s="5" t="str">
        <f aca="false">E263&amp;G263&amp;F263</f>
        <v>720112051</v>
      </c>
      <c r="B263" s="0" t="s">
        <v>2737</v>
      </c>
      <c r="C263" s="1" t="n">
        <v>42412</v>
      </c>
      <c r="E263" s="0" t="n">
        <v>7</v>
      </c>
      <c r="F263" s="0" t="n">
        <v>2051</v>
      </c>
      <c r="G263" s="0" t="n">
        <v>2011</v>
      </c>
      <c r="H263" s="0" t="str">
        <f aca="false">"J"&amp;E263&amp;"\"&amp;F263&amp;"\"&amp;G263&amp;"\"&amp;W263</f>
        <v>J7\2051\2011\1</v>
      </c>
      <c r="I263" s="0"/>
      <c r="J263" s="1" t="n">
        <v>40885</v>
      </c>
      <c r="K263" s="0" t="n">
        <v>0</v>
      </c>
      <c r="M263" s="1"/>
      <c r="N263" s="1"/>
      <c r="O263" s="1"/>
      <c r="P263" s="1"/>
      <c r="Q263" s="1"/>
      <c r="T263" s="121"/>
      <c r="U263" s="121"/>
      <c r="V263" s="122" t="n">
        <f aca="false">IF(AND(E263&gt;0,F263&gt;0,G263&gt;0),COUNTIFS($E:$E,E263,$F:$F,F263,$G:$G,G263),"")</f>
        <v>1</v>
      </c>
      <c r="W263" s="122" t="n">
        <f aca="false">IF(V263="","",IF(V263=1,1,IF(AND(E262=E263,F262=F263,G262=G263),W262+1,1)))</f>
        <v>1</v>
      </c>
      <c r="X263" s="0" t="n">
        <v>1</v>
      </c>
      <c r="Y263" s="0" t="n">
        <v>3</v>
      </c>
      <c r="Z263" s="0" t="s">
        <v>2851</v>
      </c>
      <c r="AA263" s="0" t="n">
        <v>0</v>
      </c>
      <c r="AB263" s="0" t="s">
        <v>2852</v>
      </c>
      <c r="AC263" s="0" t="s">
        <v>2853</v>
      </c>
      <c r="AD263" s="0" t="s">
        <v>659</v>
      </c>
      <c r="AE263" s="0" t="n">
        <v>0</v>
      </c>
      <c r="AF263" s="0" t="s">
        <v>2854</v>
      </c>
      <c r="AG263" s="0" t="n">
        <v>0</v>
      </c>
      <c r="AH263" s="0" t="s">
        <v>2855</v>
      </c>
      <c r="AI263" s="0" t="s">
        <v>2856</v>
      </c>
      <c r="AJ263" s="0" t="s">
        <v>411</v>
      </c>
      <c r="AL263" s="0" t="s">
        <v>2857</v>
      </c>
      <c r="AM263" s="0" t="n">
        <v>1</v>
      </c>
      <c r="AN263" s="0" t="s">
        <v>2855</v>
      </c>
      <c r="AO263" s="0" t="s">
        <v>2856</v>
      </c>
      <c r="AP263" s="0" t="s">
        <v>411</v>
      </c>
      <c r="AR263" s="0" t="s">
        <v>1637</v>
      </c>
      <c r="AS263" s="0" t="n">
        <v>1</v>
      </c>
      <c r="AT263" s="0" t="s">
        <v>2855</v>
      </c>
      <c r="AU263" s="0" t="s">
        <v>2856</v>
      </c>
      <c r="AV263" s="0" t="s">
        <v>411</v>
      </c>
      <c r="BP263" s="0" t="n">
        <v>0</v>
      </c>
      <c r="BQ263" s="0" t="n">
        <v>0</v>
      </c>
      <c r="BR263" s="0" t="n">
        <v>1</v>
      </c>
      <c r="BS263" s="0" t="s">
        <v>2858</v>
      </c>
      <c r="BT263" s="0" t="s">
        <v>2859</v>
      </c>
      <c r="BU263" s="0" t="s">
        <v>2860</v>
      </c>
      <c r="BV263" s="123"/>
      <c r="BW263" s="123"/>
      <c r="BX263" s="123"/>
      <c r="BY263" s="123"/>
      <c r="BZ263" s="0" t="n">
        <v>0</v>
      </c>
      <c r="CA263" s="0" t="s">
        <v>216</v>
      </c>
      <c r="CD263" s="0" t="s">
        <v>216</v>
      </c>
      <c r="CE263" s="0" t="n">
        <v>0</v>
      </c>
      <c r="CF263" s="0" t="s">
        <v>2861</v>
      </c>
      <c r="CI263" s="1" t="n">
        <v>40686</v>
      </c>
      <c r="CJ263" s="1" t="n">
        <v>40830</v>
      </c>
      <c r="CK263" s="124" t="s">
        <v>216</v>
      </c>
      <c r="CL263" s="0" t="s">
        <v>2857</v>
      </c>
      <c r="CM263" s="0" t="n">
        <f aca="false">IF(OR(CI263="",CJ263=""),"",DAYS360(CI263,CJ263)/360)</f>
        <v>0.391666666666667</v>
      </c>
      <c r="CN263" s="0" t="n">
        <f aca="false">IF(OR(CI263="",CJ263=""),"",DAYS360(CI263,CJ263)/30)</f>
        <v>4.7</v>
      </c>
      <c r="CO263" s="0" t="n">
        <f aca="false">IF(OR(CI263="",CJ263=""),"",DAYS360(CI263,CJ263)/7)</f>
        <v>20.1428571428571</v>
      </c>
      <c r="CP263" s="0" t="n">
        <f aca="false">IF(OR(CI263="",CJ263=""),"",DAYS360(CI263,CJ263))</f>
        <v>141</v>
      </c>
      <c r="CQ263" s="0" t="s">
        <v>240</v>
      </c>
      <c r="CR263" s="0" t="n">
        <v>1</v>
      </c>
      <c r="CT263" s="0" t="s">
        <v>221</v>
      </c>
      <c r="CU263" s="0" t="s">
        <v>221</v>
      </c>
      <c r="CV263" s="0" t="str">
        <f aca="false">IF(OR(CT263="",CT263="NO ESPECIFICA",CT263="NO MENCIONA"),"",IF(CU263=0,CT263,IF(CU263=1,CT263/30,IF(CU263=2,CT263/15,IF(CU263=3,CT263/7,"")))))</f>
        <v/>
      </c>
      <c r="CW263" s="125" t="n">
        <v>6000</v>
      </c>
      <c r="CX263" s="0" t="n">
        <v>1</v>
      </c>
      <c r="CY263" s="0" t="n">
        <f aca="false">IF(CW263="","",IF(CX263=0,CW263,IF(CX263=1,CW263/30,IF(CX263=2,CW263/15,IF(CX263=3,CW263/7,CW263)))))</f>
        <v>200</v>
      </c>
      <c r="CZ263" s="0" t="n">
        <f aca="false">IF(DI263&gt;0,DI263,IF(CY263&gt;0,CY263,IF(CV263&gt;0,CV263,"")))</f>
        <v>200</v>
      </c>
      <c r="DA263" s="0" t="n">
        <f aca="false">IF(DM263=1,CZ263/8,IF(OR(DM263=2,DM263=4),CZ263/7,IF(DM263=3,CZ263/7.5,"")))</f>
        <v>25</v>
      </c>
      <c r="DB263" s="0" t="s">
        <v>216</v>
      </c>
      <c r="DC263" s="0" t="s">
        <v>216</v>
      </c>
      <c r="DD263" s="0" t="s">
        <v>216</v>
      </c>
      <c r="DE263" s="0" t="s">
        <v>216</v>
      </c>
      <c r="DF263" s="0" t="s">
        <v>216</v>
      </c>
      <c r="DG263" s="0" t="s">
        <v>216</v>
      </c>
      <c r="DH263" s="0" t="n">
        <v>0</v>
      </c>
      <c r="DI263" s="126" t="n">
        <v>200</v>
      </c>
      <c r="DK263" s="0" t="n">
        <v>1</v>
      </c>
      <c r="DM263" s="0" t="n">
        <v>1</v>
      </c>
      <c r="DN263" s="0" t="n">
        <v>54</v>
      </c>
      <c r="DO263" s="0" t="n">
        <v>3</v>
      </c>
      <c r="DP263" s="0" t="n">
        <v>0</v>
      </c>
      <c r="DQ263" s="0" t="n">
        <v>1</v>
      </c>
      <c r="DR263" s="0"/>
      <c r="DS263" s="0" t="n">
        <v>1</v>
      </c>
      <c r="DU263" s="0" t="n">
        <v>0</v>
      </c>
      <c r="DW263" s="1" t="n">
        <v>40686</v>
      </c>
      <c r="DX263" s="1" t="n">
        <v>40830</v>
      </c>
      <c r="DZ263" s="0"/>
      <c r="EA263" s="0" t="n">
        <v>1</v>
      </c>
      <c r="EC263" s="1" t="n">
        <v>40686</v>
      </c>
      <c r="ED263" s="1" t="n">
        <v>40830</v>
      </c>
      <c r="EF263" s="0"/>
      <c r="EG263" s="0" t="n">
        <v>1</v>
      </c>
      <c r="EH263" s="0" t="n">
        <v>12</v>
      </c>
      <c r="EI263" s="0" t="n">
        <f aca="false">IF(AND(DM263=1,DN263&lt;=48),"",IF(AND(DM263=2,DN263&lt;=42),"",IF(AND(DM263=3,DN263&lt;=45),"",EH263)))</f>
        <v>12</v>
      </c>
      <c r="EJ263" s="0" t="n">
        <f aca="false">IF(EI263="","",IF(EI263&lt;9,EI263,9))</f>
        <v>9</v>
      </c>
      <c r="EK263" s="0" t="n">
        <f aca="false">IF(EI263="","",IF(EI263&gt;9,EI263-EJ263,0))</f>
        <v>3</v>
      </c>
      <c r="EL263" s="0" t="n">
        <f aca="false">IF(EI263="","",EJ263*DA263*2+EK263*DA263*3)</f>
        <v>675</v>
      </c>
      <c r="EP263" s="0" t="n">
        <v>0</v>
      </c>
      <c r="EQ263" s="0"/>
      <c r="ER263" s="0" t="n">
        <v>0</v>
      </c>
      <c r="ET263" s="0" t="n">
        <v>0</v>
      </c>
      <c r="EV263" s="0" t="n">
        <v>1</v>
      </c>
      <c r="EX263" s="0" t="n">
        <v>0</v>
      </c>
      <c r="EY263" s="0" t="n">
        <v>1</v>
      </c>
      <c r="EZ263" s="4" t="n">
        <v>5000</v>
      </c>
      <c r="FA263" s="4" t="n">
        <v>0</v>
      </c>
      <c r="FB263" s="0" t="n">
        <v>1</v>
      </c>
      <c r="FF263" s="120" t="n">
        <f aca="false">(CJ263-CI263+1)/365</f>
        <v>0.397260273972603</v>
      </c>
      <c r="FG263" s="0" t="str">
        <f aca="false">CONCATENATE(F263,"/",G263)</f>
        <v>2051/2011</v>
      </c>
      <c r="FH263" s="0" t="n">
        <v>0</v>
      </c>
      <c r="FI263" s="0" t="n">
        <v>0</v>
      </c>
    </row>
    <row r="264" customFormat="false" ht="15" hidden="false" customHeight="false" outlineLevel="0" collapsed="false">
      <c r="A264" s="5" t="str">
        <f aca="false">E264&amp;G264&amp;F264</f>
        <v>720112055</v>
      </c>
      <c r="B264" s="0" t="s">
        <v>2737</v>
      </c>
      <c r="C264" s="1" t="n">
        <v>42412</v>
      </c>
      <c r="E264" s="0" t="n">
        <v>7</v>
      </c>
      <c r="F264" s="0" t="n">
        <v>2055</v>
      </c>
      <c r="G264" s="0" t="n">
        <v>2011</v>
      </c>
      <c r="H264" s="0" t="str">
        <f aca="false">"J"&amp;E264&amp;"\"&amp;F264&amp;"\"&amp;G264&amp;"\"&amp;W264</f>
        <v>J7\2055\2011\1</v>
      </c>
      <c r="I264" s="0"/>
      <c r="J264" s="1" t="n">
        <v>40885</v>
      </c>
      <c r="K264" s="0" t="n">
        <v>0</v>
      </c>
      <c r="M264" s="1"/>
      <c r="N264" s="1"/>
      <c r="O264" s="1"/>
      <c r="P264" s="1"/>
      <c r="Q264" s="1"/>
      <c r="T264" s="121"/>
      <c r="U264" s="121"/>
      <c r="V264" s="122" t="n">
        <f aca="false">IF(AND(E264&gt;0,F264&gt;0,G264&gt;0),COUNTIFS($E:$E,E264,$F:$F,F264,$G:$G,G264),"")</f>
        <v>1</v>
      </c>
      <c r="W264" s="122" t="n">
        <f aca="false">IF(V264="","",IF(V264=1,1,IF(AND(E263=E264,F263=F264,G263=G264),W263+1,1)))</f>
        <v>1</v>
      </c>
      <c r="X264" s="0" t="n">
        <v>1</v>
      </c>
      <c r="Y264" s="0" t="n">
        <v>2</v>
      </c>
      <c r="Z264" s="0" t="s">
        <v>2862</v>
      </c>
      <c r="AA264" s="0" t="n">
        <v>0</v>
      </c>
      <c r="AB264" s="0" t="s">
        <v>2863</v>
      </c>
      <c r="AC264" s="0" t="s">
        <v>2740</v>
      </c>
      <c r="AD264" s="0" t="s">
        <v>207</v>
      </c>
      <c r="AE264" s="0" t="n">
        <v>0</v>
      </c>
      <c r="AF264" s="0" t="s">
        <v>2864</v>
      </c>
      <c r="AG264" s="0" t="n">
        <v>0</v>
      </c>
      <c r="AH264" s="0" t="s">
        <v>2865</v>
      </c>
      <c r="AI264" s="0" t="s">
        <v>1591</v>
      </c>
      <c r="AJ264" s="0" t="s">
        <v>352</v>
      </c>
      <c r="AL264" s="0" t="s">
        <v>1637</v>
      </c>
      <c r="AM264" s="0" t="n">
        <v>1</v>
      </c>
      <c r="AN264" s="0" t="s">
        <v>2865</v>
      </c>
      <c r="AO264" s="0" t="s">
        <v>1591</v>
      </c>
      <c r="AP264" s="0" t="s">
        <v>352</v>
      </c>
      <c r="BP264" s="0" t="n">
        <v>0</v>
      </c>
      <c r="BQ264" s="0" t="n">
        <v>0</v>
      </c>
      <c r="BR264" s="0" t="n">
        <v>1</v>
      </c>
      <c r="BS264" s="0" t="s">
        <v>2866</v>
      </c>
      <c r="BT264" s="0" t="s">
        <v>2867</v>
      </c>
      <c r="BU264" s="0" t="s">
        <v>2868</v>
      </c>
      <c r="BV264" s="123"/>
      <c r="BW264" s="123"/>
      <c r="BX264" s="123"/>
      <c r="BY264" s="123"/>
      <c r="BZ264" s="0" t="n">
        <v>0</v>
      </c>
      <c r="CA264" s="0" t="s">
        <v>216</v>
      </c>
      <c r="CD264" s="0" t="s">
        <v>256</v>
      </c>
      <c r="CE264" s="0" t="n">
        <v>0</v>
      </c>
      <c r="CF264" s="0" t="s">
        <v>2869</v>
      </c>
      <c r="CI264" s="1" t="n">
        <v>38936</v>
      </c>
      <c r="CJ264" s="1" t="n">
        <v>40852</v>
      </c>
      <c r="CK264" s="124" t="n">
        <v>0.34375</v>
      </c>
      <c r="CL264" s="0" t="s">
        <v>2870</v>
      </c>
      <c r="CM264" s="0" t="n">
        <f aca="false">IF(OR(CI264="",CJ264=""),"",DAYS360(CI264,CJ264)/360)</f>
        <v>5.24444444444444</v>
      </c>
      <c r="CN264" s="0" t="n">
        <f aca="false">IF(OR(CI264="",CJ264=""),"",DAYS360(CI264,CJ264)/30)</f>
        <v>62.9333333333333</v>
      </c>
      <c r="CO264" s="0" t="n">
        <f aca="false">IF(OR(CI264="",CJ264=""),"",DAYS360(CI264,CJ264)/7)</f>
        <v>269.714285714286</v>
      </c>
      <c r="CP264" s="0" t="n">
        <f aca="false">IF(OR(CI264="",CJ264=""),"",DAYS360(CI264,CJ264))</f>
        <v>1888</v>
      </c>
      <c r="CQ264" s="0" t="s">
        <v>220</v>
      </c>
      <c r="CR264" s="0" t="n">
        <v>1</v>
      </c>
      <c r="CT264" s="0" t="s">
        <v>221</v>
      </c>
      <c r="CU264" s="0" t="s">
        <v>221</v>
      </c>
      <c r="CV264" s="0" t="str">
        <f aca="false">IF(OR(CT264="",CT264="NO ESPECIFICA",CT264="NO MENCIONA"),"",IF(CU264=0,CT264,IF(CU264=1,CT264/30,IF(CU264=2,CT264/15,IF(CU264=3,CT264/7,"")))))</f>
        <v/>
      </c>
      <c r="CW264" s="125" t="n">
        <v>270.36</v>
      </c>
      <c r="CX264" s="0" t="n">
        <v>0</v>
      </c>
      <c r="CY264" s="0" t="n">
        <f aca="false">IF(CW264="","",IF(CX264=0,CW264,IF(CX264=1,CW264/30,IF(CX264=2,CW264/15,IF(CX264=3,CW264/7,CW264)))))</f>
        <v>270.36</v>
      </c>
      <c r="CZ264" s="0" t="n">
        <f aca="false">IF(DI264&gt;0,DI264,IF(CY264&gt;0,CY264,IF(CV264&gt;0,CV264,"")))</f>
        <v>270.36</v>
      </c>
      <c r="DA264" s="0" t="n">
        <f aca="false">IF(DM264=1,CZ264/8,IF(OR(DM264=2,DM264=4),CZ264/7,IF(DM264=3,CZ264/7.5,"")))</f>
        <v>33.795</v>
      </c>
      <c r="DB264" s="0" t="s">
        <v>216</v>
      </c>
      <c r="DC264" s="0" t="s">
        <v>216</v>
      </c>
      <c r="DD264" s="0" t="s">
        <v>216</v>
      </c>
      <c r="DE264" s="0" t="s">
        <v>216</v>
      </c>
      <c r="DF264" s="0" t="s">
        <v>216</v>
      </c>
      <c r="DG264" s="0" t="s">
        <v>216</v>
      </c>
      <c r="DH264" s="0" t="n">
        <v>0</v>
      </c>
      <c r="DI264" s="126" t="n">
        <v>270.36</v>
      </c>
      <c r="DK264" s="0" t="n">
        <v>1</v>
      </c>
      <c r="DM264" s="0" t="n">
        <v>1</v>
      </c>
      <c r="DN264" s="0" t="n">
        <v>54</v>
      </c>
      <c r="DO264" s="0" t="n">
        <v>3</v>
      </c>
      <c r="DP264" s="0" t="n">
        <v>1</v>
      </c>
      <c r="DQ264" s="0" t="n">
        <v>0</v>
      </c>
      <c r="DR264" s="0"/>
      <c r="DS264" s="0" t="n">
        <v>1</v>
      </c>
      <c r="DU264" s="0" t="n">
        <v>0</v>
      </c>
      <c r="DW264" s="1" t="n">
        <v>38936</v>
      </c>
      <c r="DX264" s="1" t="n">
        <v>40852</v>
      </c>
      <c r="DZ264" s="0"/>
      <c r="EA264" s="0" t="n">
        <v>1</v>
      </c>
      <c r="EC264" s="1" t="n">
        <v>38936</v>
      </c>
      <c r="ED264" s="1" t="n">
        <v>40852</v>
      </c>
      <c r="EF264" s="0"/>
      <c r="EG264" s="0" t="n">
        <v>1</v>
      </c>
      <c r="EH264" s="0" t="n">
        <v>6</v>
      </c>
      <c r="EI264" s="0" t="n">
        <f aca="false">IF(AND(DM264=1,DN264&lt;=48),"",IF(AND(DM264=2,DN264&lt;=42),"",IF(AND(DM264=3,DN264&lt;=45),"",EH264)))</f>
        <v>6</v>
      </c>
      <c r="EJ264" s="0" t="n">
        <f aca="false">IF(EI264="","",IF(EI264&lt;9,EI264,9))</f>
        <v>6</v>
      </c>
      <c r="EK264" s="0" t="n">
        <f aca="false">IF(EI264="","",IF(EI264&gt;9,EI264-EJ264,0))</f>
        <v>0</v>
      </c>
      <c r="EL264" s="0" t="n">
        <f aca="false">IF(EI264="","",EJ264*DA264*2+EK264*DA264*3)</f>
        <v>405.54</v>
      </c>
      <c r="EP264" s="0" t="n">
        <v>0</v>
      </c>
      <c r="EQ264" s="0"/>
      <c r="ER264" s="0" t="n">
        <v>0</v>
      </c>
      <c r="ET264" s="0" t="n">
        <v>0</v>
      </c>
      <c r="EV264" s="0" t="n">
        <v>0</v>
      </c>
      <c r="EX264" s="0" t="n">
        <v>0</v>
      </c>
      <c r="EY264" s="0" t="n">
        <v>0</v>
      </c>
      <c r="EZ264" s="0"/>
      <c r="FA264" s="4" t="n">
        <v>0</v>
      </c>
      <c r="FB264" s="0" t="n">
        <v>0</v>
      </c>
      <c r="FF264" s="120" t="n">
        <f aca="false">(CJ264-CI264+1)/365</f>
        <v>5.25205479452055</v>
      </c>
      <c r="FG264" s="0" t="str">
        <f aca="false">CONCATENATE(F264,"/",G264)</f>
        <v>2055/2011</v>
      </c>
      <c r="FH264" s="0" t="n">
        <v>0</v>
      </c>
      <c r="FI264" s="0" t="n">
        <v>0</v>
      </c>
    </row>
    <row r="265" customFormat="false" ht="15" hidden="false" customHeight="false" outlineLevel="0" collapsed="false">
      <c r="A265" s="5" t="str">
        <f aca="false">E265&amp;G265&amp;F265</f>
        <v>720112058</v>
      </c>
      <c r="B265" s="0" t="s">
        <v>2737</v>
      </c>
      <c r="C265" s="1" t="n">
        <v>42412</v>
      </c>
      <c r="E265" s="0" t="n">
        <v>7</v>
      </c>
      <c r="F265" s="0" t="n">
        <v>2058</v>
      </c>
      <c r="G265" s="0" t="n">
        <v>2011</v>
      </c>
      <c r="H265" s="0" t="str">
        <f aca="false">"J"&amp;E265&amp;"\"&amp;F265&amp;"\"&amp;G265&amp;"\"&amp;W265</f>
        <v>J7\2058\2011\1</v>
      </c>
      <c r="I265" s="0"/>
      <c r="J265" s="1" t="n">
        <v>40886</v>
      </c>
      <c r="K265" s="0" t="n">
        <v>0</v>
      </c>
      <c r="M265" s="1"/>
      <c r="N265" s="1"/>
      <c r="O265" s="1"/>
      <c r="P265" s="1"/>
      <c r="Q265" s="1"/>
      <c r="T265" s="121"/>
      <c r="U265" s="121"/>
      <c r="V265" s="122" t="n">
        <f aca="false">IF(AND(E265&gt;0,F265&gt;0,G265&gt;0),COUNTIFS($E:$E,E265,$F:$F,F265,$G:$G,G265),"")</f>
        <v>1</v>
      </c>
      <c r="W265" s="122" t="n">
        <f aca="false">IF(V265="","",IF(V265=1,1,IF(AND(E264=E265,F264=F265,G264=G265),W264+1,1)))</f>
        <v>1</v>
      </c>
      <c r="X265" s="0" t="n">
        <v>1</v>
      </c>
      <c r="Y265" s="0" t="n">
        <v>2</v>
      </c>
      <c r="Z265" s="0" t="s">
        <v>2871</v>
      </c>
      <c r="AA265" s="0" t="n">
        <v>0</v>
      </c>
      <c r="AB265" s="0" t="s">
        <v>1812</v>
      </c>
      <c r="AC265" s="0" t="s">
        <v>228</v>
      </c>
      <c r="AD265" s="0" t="s">
        <v>229</v>
      </c>
      <c r="AE265" s="0" t="n">
        <v>0</v>
      </c>
      <c r="AF265" s="0" t="s">
        <v>2872</v>
      </c>
      <c r="AG265" s="0" t="n">
        <v>1</v>
      </c>
      <c r="AH265" s="0" t="s">
        <v>2873</v>
      </c>
      <c r="AI265" s="0" t="s">
        <v>2874</v>
      </c>
      <c r="AJ265" s="0" t="s">
        <v>411</v>
      </c>
      <c r="AL265" s="0" t="s">
        <v>1637</v>
      </c>
      <c r="AM265" s="0" t="n">
        <v>1</v>
      </c>
      <c r="AN265" s="0" t="s">
        <v>2873</v>
      </c>
      <c r="AO265" s="0" t="s">
        <v>2874</v>
      </c>
      <c r="AP265" s="0" t="s">
        <v>411</v>
      </c>
      <c r="BP265" s="0" t="n">
        <v>0</v>
      </c>
      <c r="BQ265" s="0" t="n">
        <v>0</v>
      </c>
      <c r="BR265" s="0" t="n">
        <v>3</v>
      </c>
      <c r="BS265" s="0" t="s">
        <v>2875</v>
      </c>
      <c r="BT265" s="0" t="s">
        <v>1818</v>
      </c>
      <c r="BU265" s="0" t="s">
        <v>1841</v>
      </c>
      <c r="BV265" s="123"/>
      <c r="BW265" s="123"/>
      <c r="BX265" s="123"/>
      <c r="BY265" s="123"/>
      <c r="BZ265" s="0" t="n">
        <v>0</v>
      </c>
      <c r="CA265" s="0" t="s">
        <v>348</v>
      </c>
      <c r="CD265" s="0" t="s">
        <v>502</v>
      </c>
      <c r="CE265" s="0" t="n">
        <v>0</v>
      </c>
      <c r="CF265" s="0" t="s">
        <v>503</v>
      </c>
      <c r="CI265" s="1" t="n">
        <v>40728</v>
      </c>
      <c r="CJ265" s="1" t="n">
        <v>40848</v>
      </c>
      <c r="CK265" s="124" t="n">
        <v>0.5</v>
      </c>
      <c r="CL265" s="0" t="s">
        <v>2872</v>
      </c>
      <c r="CM265" s="0" t="n">
        <f aca="false">IF(OR(CI265="",CJ265=""),"",DAYS360(CI265,CJ265)/360)</f>
        <v>0.325</v>
      </c>
      <c r="CN265" s="0" t="n">
        <f aca="false">IF(OR(CI265="",CJ265=""),"",DAYS360(CI265,CJ265)/30)</f>
        <v>3.9</v>
      </c>
      <c r="CO265" s="0" t="n">
        <f aca="false">IF(OR(CI265="",CJ265=""),"",DAYS360(CI265,CJ265)/7)</f>
        <v>16.7142857142857</v>
      </c>
      <c r="CP265" s="0" t="n">
        <f aca="false">IF(OR(CI265="",CJ265=""),"",DAYS360(CI265,CJ265))</f>
        <v>117</v>
      </c>
      <c r="CQ265" s="0" t="s">
        <v>240</v>
      </c>
      <c r="CR265" s="0" t="n">
        <v>1</v>
      </c>
      <c r="CT265" s="0" t="n">
        <v>250</v>
      </c>
      <c r="CU265" s="0" t="n">
        <v>0</v>
      </c>
      <c r="CV265" s="0" t="n">
        <f aca="false">IF(OR(CT265="",CT265="NO ESPECIFICA",CT265="NO MENCIONA"),"",IF(CU265=0,CT265,IF(CU265=1,CT265/30,IF(CU265=2,CT265/15,IF(CU265=3,CT265/7,"")))))</f>
        <v>250</v>
      </c>
      <c r="CW265" s="125" t="n">
        <v>261.29</v>
      </c>
      <c r="CX265" s="0" t="n">
        <v>0</v>
      </c>
      <c r="CY265" s="0" t="n">
        <f aca="false">IF(CW265="","",IF(CX265=0,CW265,IF(CX265=1,CW265/30,IF(CX265=2,CW265/15,IF(CX265=3,CW265/7,CW265)))))</f>
        <v>261.29</v>
      </c>
      <c r="CZ265" s="0" t="n">
        <f aca="false">IF(DI265&gt;0,DI265,IF(CY265&gt;0,CY265,IF(CV265&gt;0,CV265,"")))</f>
        <v>261.29</v>
      </c>
      <c r="DA265" s="0" t="n">
        <f aca="false">IF(DM265=1,CZ265/8,IF(OR(DM265=2,DM265=4),CZ265/7,IF(DM265=3,CZ265/7.5,"")))</f>
        <v>32.66125</v>
      </c>
      <c r="DB265" s="0" t="s">
        <v>303</v>
      </c>
      <c r="DC265" s="0" t="s">
        <v>301</v>
      </c>
      <c r="DD265" s="0" t="s">
        <v>216</v>
      </c>
      <c r="DE265" s="0" t="s">
        <v>216</v>
      </c>
      <c r="DF265" s="0" t="s">
        <v>216</v>
      </c>
      <c r="DG265" s="0" t="s">
        <v>216</v>
      </c>
      <c r="DH265" s="0" t="n">
        <v>0</v>
      </c>
      <c r="DI265" s="126" t="n">
        <v>261.29</v>
      </c>
      <c r="DK265" s="0" t="n">
        <v>0</v>
      </c>
      <c r="DM265" s="0" t="n">
        <v>1</v>
      </c>
      <c r="DN265" s="0" t="n">
        <v>72</v>
      </c>
      <c r="DO265" s="0" t="n">
        <v>3</v>
      </c>
      <c r="DP265" s="0" t="n">
        <v>0</v>
      </c>
      <c r="DQ265" s="0" t="n">
        <v>1</v>
      </c>
      <c r="DR265" s="0"/>
      <c r="DS265" s="0" t="n">
        <v>1</v>
      </c>
      <c r="DU265" s="0" t="n">
        <v>1</v>
      </c>
      <c r="DW265" s="1" t="n">
        <v>40728</v>
      </c>
      <c r="DX265" s="1" t="n">
        <v>40848</v>
      </c>
      <c r="DZ265" s="0"/>
      <c r="EA265" s="0" t="n">
        <v>1</v>
      </c>
      <c r="EC265" s="1" t="n">
        <v>40728</v>
      </c>
      <c r="ED265" s="1" t="n">
        <v>40848</v>
      </c>
      <c r="EF265" s="0"/>
      <c r="EG265" s="0" t="n">
        <v>0</v>
      </c>
      <c r="EI265" s="0" t="n">
        <f aca="false">IF(AND(DM265=1,DN265&lt;=48),"",IF(AND(DM265=2,DN265&lt;=42),"",IF(AND(DM265=3,DN265&lt;=45),"",EH265)))</f>
        <v>0</v>
      </c>
      <c r="EJ265" s="0" t="str">
        <f aca="false">IF(EI265="","",IF(EI265&lt;9,EI265,9))</f>
        <v/>
      </c>
      <c r="EK265" s="0" t="str">
        <f aca="false">IF(EI265="","",IF(EI265&gt;9,EI265-EJ265,0))</f>
        <v/>
      </c>
      <c r="EL265" s="0" t="str">
        <f aca="false">IF(EI265="","",EJ265*DA265*2+EK265*DA265*3)</f>
        <v/>
      </c>
      <c r="EP265" s="0" t="n">
        <v>0</v>
      </c>
      <c r="EQ265" s="0"/>
      <c r="ER265" s="0" t="n">
        <v>0</v>
      </c>
      <c r="ET265" s="0" t="n">
        <v>0</v>
      </c>
      <c r="EV265" s="0" t="n">
        <v>0</v>
      </c>
      <c r="EX265" s="0" t="n">
        <v>0</v>
      </c>
      <c r="EY265" s="0" t="n">
        <v>0</v>
      </c>
      <c r="EZ265" s="0"/>
      <c r="FA265" s="4" t="n">
        <v>0</v>
      </c>
      <c r="FB265" s="0" t="n">
        <v>1</v>
      </c>
      <c r="FF265" s="120" t="n">
        <f aca="false">(CJ265-CI265+1)/365</f>
        <v>0.331506849315068</v>
      </c>
      <c r="FG265" s="0" t="str">
        <f aca="false">CONCATENATE(F265,"/",G265)</f>
        <v>2058/2011</v>
      </c>
      <c r="FH265" s="0" t="n">
        <v>0</v>
      </c>
      <c r="FI265" s="0" t="n">
        <v>0</v>
      </c>
    </row>
    <row r="266" customFormat="false" ht="15" hidden="false" customHeight="false" outlineLevel="0" collapsed="false">
      <c r="A266" s="5" t="str">
        <f aca="false">E266&amp;G266&amp;F266</f>
        <v>720112059</v>
      </c>
      <c r="B266" s="0" t="s">
        <v>2737</v>
      </c>
      <c r="C266" s="1" t="n">
        <v>42412</v>
      </c>
      <c r="E266" s="0" t="n">
        <v>7</v>
      </c>
      <c r="F266" s="0" t="n">
        <v>2059</v>
      </c>
      <c r="G266" s="0" t="n">
        <v>2011</v>
      </c>
      <c r="H266" s="0" t="str">
        <f aca="false">"J"&amp;E266&amp;"\"&amp;F266&amp;"\"&amp;G266&amp;"\"&amp;W266</f>
        <v>J7\2059\2011\1</v>
      </c>
      <c r="I266" s="0"/>
      <c r="J266" s="1" t="n">
        <v>40886</v>
      </c>
      <c r="K266" s="0" t="n">
        <v>0</v>
      </c>
      <c r="M266" s="1"/>
      <c r="N266" s="1"/>
      <c r="O266" s="1"/>
      <c r="P266" s="1"/>
      <c r="Q266" s="1"/>
      <c r="T266" s="121"/>
      <c r="U266" s="121"/>
      <c r="V266" s="122" t="n">
        <f aca="false">IF(AND(E266&gt;0,F266&gt;0,G266&gt;0),COUNTIFS($E:$E,E266,$F:$F,F266,$G:$G,G266),"")</f>
        <v>1</v>
      </c>
      <c r="W266" s="122" t="n">
        <f aca="false">IF(V266="","",IF(V266=1,1,IF(AND(E265=E266,F265=F266,G265=G266),W265+1,1)))</f>
        <v>1</v>
      </c>
      <c r="X266" s="0" t="n">
        <v>1</v>
      </c>
      <c r="Y266" s="0" t="n">
        <v>3</v>
      </c>
      <c r="Z266" s="0" t="s">
        <v>2876</v>
      </c>
      <c r="AA266" s="0" t="n">
        <v>0</v>
      </c>
      <c r="AB266" s="0" t="s">
        <v>2877</v>
      </c>
      <c r="AC266" s="0" t="s">
        <v>318</v>
      </c>
      <c r="AD266" s="0" t="s">
        <v>216</v>
      </c>
      <c r="AE266" s="0" t="n">
        <v>0</v>
      </c>
      <c r="AF266" s="0" t="s">
        <v>2878</v>
      </c>
      <c r="AG266" s="0" t="n">
        <v>0</v>
      </c>
      <c r="AH266" s="0" t="s">
        <v>2879</v>
      </c>
      <c r="AI266" s="0" t="s">
        <v>2880</v>
      </c>
      <c r="AJ266" s="0" t="s">
        <v>659</v>
      </c>
      <c r="AL266" s="0" t="s">
        <v>2881</v>
      </c>
      <c r="AM266" s="0" t="n">
        <v>1</v>
      </c>
      <c r="AN266" s="0" t="s">
        <v>2879</v>
      </c>
      <c r="AO266" s="0" t="s">
        <v>2880</v>
      </c>
      <c r="AP266" s="0" t="s">
        <v>659</v>
      </c>
      <c r="AR266" s="0" t="s">
        <v>1637</v>
      </c>
      <c r="AS266" s="0" t="n">
        <v>1</v>
      </c>
      <c r="AT266" s="0" t="s">
        <v>2879</v>
      </c>
      <c r="AU266" s="0" t="s">
        <v>2880</v>
      </c>
      <c r="AV266" s="0" t="s">
        <v>659</v>
      </c>
      <c r="BP266" s="0" t="n">
        <v>0</v>
      </c>
      <c r="BQ266" s="0" t="n">
        <v>0</v>
      </c>
      <c r="BR266" s="0" t="n">
        <v>1</v>
      </c>
      <c r="BS266" s="0" t="s">
        <v>2882</v>
      </c>
      <c r="BT266" s="0" t="s">
        <v>2883</v>
      </c>
      <c r="BU266" s="0" t="s">
        <v>2884</v>
      </c>
      <c r="BV266" s="123"/>
      <c r="BW266" s="123"/>
      <c r="BX266" s="123"/>
      <c r="BY266" s="123"/>
      <c r="BZ266" s="0" t="n">
        <v>0</v>
      </c>
      <c r="CA266" s="0" t="s">
        <v>216</v>
      </c>
      <c r="CD266" s="0" t="s">
        <v>357</v>
      </c>
      <c r="CE266" s="0" t="n">
        <v>0</v>
      </c>
      <c r="CF266" s="0" t="s">
        <v>2885</v>
      </c>
      <c r="CI266" s="1" t="n">
        <v>39815</v>
      </c>
      <c r="CJ266" s="1" t="n">
        <v>40877</v>
      </c>
      <c r="CK266" s="124" t="n">
        <v>0.666666666666667</v>
      </c>
      <c r="CL266" s="0" t="s">
        <v>2881</v>
      </c>
      <c r="CM266" s="0" t="n">
        <f aca="false">IF(OR(CI266="",CJ266=""),"",DAYS360(CI266,CJ266)/360)</f>
        <v>2.91111111111111</v>
      </c>
      <c r="CN266" s="0" t="n">
        <f aca="false">IF(OR(CI266="",CJ266=""),"",DAYS360(CI266,CJ266)/30)</f>
        <v>34.9333333333333</v>
      </c>
      <c r="CO266" s="0" t="n">
        <f aca="false">IF(OR(CI266="",CJ266=""),"",DAYS360(CI266,CJ266)/7)</f>
        <v>149.714285714286</v>
      </c>
      <c r="CP266" s="0" t="n">
        <f aca="false">IF(OR(CI266="",CJ266=""),"",DAYS360(CI266,CJ266))</f>
        <v>1048</v>
      </c>
      <c r="CQ266" s="0" t="s">
        <v>240</v>
      </c>
      <c r="CR266" s="0" t="n">
        <v>1</v>
      </c>
      <c r="CT266" s="0" t="s">
        <v>221</v>
      </c>
      <c r="CU266" s="0" t="s">
        <v>221</v>
      </c>
      <c r="CV266" s="0" t="str">
        <f aca="false">IF(OR(CT266="",CT266="NO ESPECIFICA",CT266="NO MENCIONA"),"",IF(CU266=0,CT266,IF(CU266=1,CT266/30,IF(CU266=2,CT266/15,IF(CU266=3,CT266/7,"")))))</f>
        <v/>
      </c>
      <c r="CW266" s="125" t="n">
        <v>7000</v>
      </c>
      <c r="CX266" s="0" t="n">
        <v>2</v>
      </c>
      <c r="CY266" s="0" t="n">
        <f aca="false">IF(CW266="","",IF(CX266=0,CW266,IF(CX266=1,CW266/30,IF(CX266=2,CW266/15,IF(CX266=3,CW266/7,CW266)))))</f>
        <v>466.666666666667</v>
      </c>
      <c r="CZ266" s="0" t="n">
        <f aca="false">IF(DI266&gt;0,DI266,IF(CY266&gt;0,CY266,IF(CV266&gt;0,CV266,"")))</f>
        <v>466.666666666667</v>
      </c>
      <c r="DA266" s="0" t="n">
        <f aca="false">IF(DM266=1,CZ266/8,IF(OR(DM266=2,DM266=4),CZ266/7,IF(DM266=3,CZ266/7.5,"")))</f>
        <v>58.3333333333333</v>
      </c>
      <c r="DB266" s="0" t="s">
        <v>216</v>
      </c>
      <c r="DC266" s="0" t="s">
        <v>216</v>
      </c>
      <c r="DD266" s="0" t="s">
        <v>216</v>
      </c>
      <c r="DE266" s="0" t="s">
        <v>216</v>
      </c>
      <c r="DF266" s="0" t="s">
        <v>216</v>
      </c>
      <c r="DG266" s="0" t="s">
        <v>216</v>
      </c>
      <c r="DH266" s="0" t="n">
        <v>0</v>
      </c>
      <c r="DI266" s="126" t="n">
        <v>466.666666666667</v>
      </c>
      <c r="DK266" s="0" t="n">
        <v>0</v>
      </c>
      <c r="DM266" s="0" t="n">
        <v>1</v>
      </c>
      <c r="DN266" s="0" t="n">
        <v>45</v>
      </c>
      <c r="DO266" s="0" t="n">
        <v>3</v>
      </c>
      <c r="DP266" s="0" t="n">
        <v>0</v>
      </c>
      <c r="DQ266" s="0" t="n">
        <v>1</v>
      </c>
      <c r="DR266" s="0"/>
      <c r="DS266" s="0" t="n">
        <v>1</v>
      </c>
      <c r="DU266" s="0" t="n">
        <v>1</v>
      </c>
      <c r="DW266" s="1" t="n">
        <v>40545</v>
      </c>
      <c r="DX266" s="1" t="n">
        <v>40877</v>
      </c>
      <c r="DZ266" s="0"/>
      <c r="EA266" s="0" t="n">
        <v>1</v>
      </c>
      <c r="EC266" s="1" t="n">
        <v>40544</v>
      </c>
      <c r="ED266" s="1" t="n">
        <v>40877</v>
      </c>
      <c r="EF266" s="0"/>
      <c r="EG266" s="0" t="n">
        <v>0</v>
      </c>
      <c r="EI266" s="0" t="str">
        <f aca="false">IF(AND(DM266=1,DN266&lt;=48),"",IF(AND(DM266=2,DN266&lt;=42),"",IF(AND(DM266=3,DN266&lt;=45),"",EH266)))</f>
        <v/>
      </c>
      <c r="EJ266" s="0" t="str">
        <f aca="false">IF(EI266="","",IF(EI266&lt;9,EI266,9))</f>
        <v/>
      </c>
      <c r="EK266" s="0" t="str">
        <f aca="false">IF(EI266="","",IF(EI266&gt;9,EI266-EJ266,0))</f>
        <v/>
      </c>
      <c r="EL266" s="0" t="str">
        <f aca="false">IF(EI266="","",EJ266*DA266*2+EK266*DA266*3)</f>
        <v/>
      </c>
      <c r="EP266" s="0" t="n">
        <v>0</v>
      </c>
      <c r="EQ266" s="0"/>
      <c r="ER266" s="0" t="n">
        <v>0</v>
      </c>
      <c r="ET266" s="0" t="n">
        <v>0</v>
      </c>
      <c r="EV266" s="0" t="n">
        <v>0</v>
      </c>
      <c r="EX266" s="0" t="n">
        <v>0</v>
      </c>
      <c r="EY266" s="0" t="n">
        <v>0</v>
      </c>
      <c r="EZ266" s="0"/>
      <c r="FA266" s="4" t="n">
        <v>7466.66666666667</v>
      </c>
      <c r="FB266" s="0" t="n">
        <v>0</v>
      </c>
      <c r="FF266" s="120" t="n">
        <f aca="false">(CJ266-CI266+1)/365</f>
        <v>2.91232876712329</v>
      </c>
      <c r="FG266" s="0" t="str">
        <f aca="false">CONCATENATE(F266,"/",G266)</f>
        <v>2059/2011</v>
      </c>
      <c r="FH266" s="0" t="n">
        <v>0</v>
      </c>
      <c r="FI266" s="0" t="n">
        <v>0</v>
      </c>
    </row>
    <row r="267" customFormat="false" ht="15" hidden="false" customHeight="false" outlineLevel="0" collapsed="false">
      <c r="A267" s="5" t="str">
        <f aca="false">E267&amp;G267&amp;F267</f>
        <v>720112066</v>
      </c>
      <c r="B267" s="0" t="s">
        <v>2737</v>
      </c>
      <c r="C267" s="1" t="n">
        <v>42412</v>
      </c>
      <c r="E267" s="0" t="n">
        <v>7</v>
      </c>
      <c r="F267" s="0" t="n">
        <v>2066</v>
      </c>
      <c r="G267" s="0" t="n">
        <v>2011</v>
      </c>
      <c r="H267" s="0" t="str">
        <f aca="false">"J"&amp;E267&amp;"\"&amp;F267&amp;"\"&amp;G267&amp;"\"&amp;W267</f>
        <v>J7\2066\2011\1</v>
      </c>
      <c r="I267" s="0"/>
      <c r="J267" s="1" t="n">
        <v>40886</v>
      </c>
      <c r="K267" s="0" t="n">
        <v>0</v>
      </c>
      <c r="M267" s="1" t="n">
        <v>40886</v>
      </c>
      <c r="N267" s="1" t="n">
        <v>40956</v>
      </c>
      <c r="O267" s="1"/>
      <c r="P267" s="1"/>
      <c r="Q267" s="1"/>
      <c r="T267" s="121"/>
      <c r="U267" s="121"/>
      <c r="V267" s="122" t="n">
        <f aca="false">IF(AND(E267&gt;0,F267&gt;0,G267&gt;0),COUNTIFS($E:$E,E267,$F:$F,F267,$G:$G,G267),"")</f>
        <v>1</v>
      </c>
      <c r="W267" s="122" t="n">
        <f aca="false">IF(V267="","",IF(V267=1,1,IF(AND(E266=E267,F266=F267,G266=G267),W266+1,1)))</f>
        <v>1</v>
      </c>
      <c r="X267" s="0" t="n">
        <v>1</v>
      </c>
      <c r="Y267" s="0" t="n">
        <v>5</v>
      </c>
      <c r="Z267" s="0" t="s">
        <v>2886</v>
      </c>
      <c r="AA267" s="0" t="n">
        <v>0</v>
      </c>
      <c r="AB267" s="0" t="s">
        <v>702</v>
      </c>
      <c r="AE267" s="0" t="n">
        <v>0</v>
      </c>
      <c r="AF267" s="0" t="s">
        <v>2887</v>
      </c>
      <c r="AG267" s="0" t="n">
        <v>0</v>
      </c>
      <c r="AH267" s="0" t="s">
        <v>2888</v>
      </c>
      <c r="AI267" s="0" t="s">
        <v>206</v>
      </c>
      <c r="AJ267" s="0" t="s">
        <v>207</v>
      </c>
      <c r="AL267" s="0" t="s">
        <v>2889</v>
      </c>
      <c r="AM267" s="0" t="n">
        <v>0</v>
      </c>
      <c r="AN267" s="0" t="s">
        <v>2888</v>
      </c>
      <c r="AO267" s="0" t="s">
        <v>206</v>
      </c>
      <c r="AP267" s="0" t="s">
        <v>207</v>
      </c>
      <c r="AR267" s="0" t="s">
        <v>2890</v>
      </c>
      <c r="AS267" s="0" t="n">
        <v>1</v>
      </c>
      <c r="AT267" s="0" t="s">
        <v>2888</v>
      </c>
      <c r="AU267" s="0" t="s">
        <v>206</v>
      </c>
      <c r="AV267" s="0" t="s">
        <v>207</v>
      </c>
      <c r="AX267" s="0" t="s">
        <v>2891</v>
      </c>
      <c r="AY267" s="0" t="n">
        <v>1</v>
      </c>
      <c r="AZ267" s="0" t="s">
        <v>2888</v>
      </c>
      <c r="BA267" s="0" t="s">
        <v>206</v>
      </c>
      <c r="BB267" s="0" t="s">
        <v>207</v>
      </c>
      <c r="BD267" s="0" t="s">
        <v>1637</v>
      </c>
      <c r="BE267" s="0" t="n">
        <v>1</v>
      </c>
      <c r="BF267" s="0" t="s">
        <v>2888</v>
      </c>
      <c r="BG267" s="0" t="s">
        <v>206</v>
      </c>
      <c r="BH267" s="0" t="s">
        <v>207</v>
      </c>
      <c r="BP267" s="0" t="n">
        <v>0</v>
      </c>
      <c r="BQ267" s="0" t="n">
        <v>0</v>
      </c>
      <c r="BR267" s="0" t="n">
        <v>1</v>
      </c>
      <c r="BS267" s="0" t="s">
        <v>2892</v>
      </c>
      <c r="BT267" s="0" t="s">
        <v>2893</v>
      </c>
      <c r="BU267" s="0" t="s">
        <v>2894</v>
      </c>
      <c r="BV267" s="123"/>
      <c r="BW267" s="123"/>
      <c r="BX267" s="123"/>
      <c r="BY267" s="123"/>
      <c r="BZ267" s="0" t="n">
        <v>0</v>
      </c>
      <c r="CA267" s="0" t="s">
        <v>216</v>
      </c>
      <c r="CD267" s="0" t="s">
        <v>256</v>
      </c>
      <c r="CE267" s="0" t="n">
        <v>0</v>
      </c>
      <c r="CF267" s="0" t="s">
        <v>2895</v>
      </c>
      <c r="CI267" s="1" t="n">
        <v>40637</v>
      </c>
      <c r="CJ267" s="1" t="n">
        <v>40837</v>
      </c>
      <c r="CK267" s="124" t="s">
        <v>216</v>
      </c>
      <c r="CL267" s="0" t="s">
        <v>2891</v>
      </c>
      <c r="CM267" s="0" t="n">
        <f aca="false">IF(OR(CI267="",CJ267=""),"",DAYS360(CI267,CJ267)/360)</f>
        <v>0.547222222222222</v>
      </c>
      <c r="CN267" s="0" t="n">
        <f aca="false">IF(OR(CI267="",CJ267=""),"",DAYS360(CI267,CJ267)/30)</f>
        <v>6.56666666666667</v>
      </c>
      <c r="CO267" s="0" t="n">
        <f aca="false">IF(OR(CI267="",CJ267=""),"",DAYS360(CI267,CJ267)/7)</f>
        <v>28.1428571428571</v>
      </c>
      <c r="CP267" s="0" t="n">
        <f aca="false">IF(OR(CI267="",CJ267=""),"",DAYS360(CI267,CJ267))</f>
        <v>197</v>
      </c>
      <c r="CQ267" s="0" t="s">
        <v>220</v>
      </c>
      <c r="CR267" s="0" t="n">
        <v>1</v>
      </c>
      <c r="CT267" s="0" t="s">
        <v>221</v>
      </c>
      <c r="CU267" s="0" t="s">
        <v>221</v>
      </c>
      <c r="CV267" s="0" t="str">
        <f aca="false">IF(OR(CT267="",CT267="NO ESPECIFICA",CT267="NO MENCIONA"),"",IF(CU267=0,CT267,IF(CU267=1,CT267/30,IF(CU267=2,CT267/15,IF(CU267=3,CT267/7,"")))))</f>
        <v/>
      </c>
      <c r="CW267" s="125" t="n">
        <v>10000</v>
      </c>
      <c r="CX267" s="0" t="n">
        <v>1</v>
      </c>
      <c r="CY267" s="0" t="n">
        <f aca="false">IF(CW267="","",IF(CX267=0,CW267,IF(CX267=1,CW267/30,IF(CX267=2,CW267/15,IF(CX267=3,CW267/7,CW267)))))</f>
        <v>333.333333333333</v>
      </c>
      <c r="CZ267" s="0" t="n">
        <f aca="false">IF(DI267&gt;0,DI267,IF(CY267&gt;0,CY267,IF(CV267&gt;0,CV267,"")))</f>
        <v>333.333333333333</v>
      </c>
      <c r="DA267" s="0" t="n">
        <f aca="false">IF(DM267=1,CZ267/8,IF(OR(DM267=2,DM267=4),CZ267/7,IF(DM267=3,CZ267/7.5,"")))</f>
        <v>41.6666666666667</v>
      </c>
      <c r="DB267" s="0" t="s">
        <v>216</v>
      </c>
      <c r="DC267" s="0" t="s">
        <v>216</v>
      </c>
      <c r="DD267" s="0" t="s">
        <v>216</v>
      </c>
      <c r="DE267" s="0" t="s">
        <v>216</v>
      </c>
      <c r="DF267" s="0" t="s">
        <v>216</v>
      </c>
      <c r="DG267" s="0" t="s">
        <v>216</v>
      </c>
      <c r="DH267" s="0" t="n">
        <v>0</v>
      </c>
      <c r="DI267" s="126" t="n">
        <v>333.333333333333</v>
      </c>
      <c r="DK267" s="0" t="n">
        <v>0</v>
      </c>
      <c r="DM267" s="0" t="n">
        <v>1</v>
      </c>
      <c r="DN267" s="0" t="n">
        <v>9</v>
      </c>
      <c r="DO267" s="0" t="n">
        <v>0</v>
      </c>
      <c r="DP267" s="0" t="n">
        <v>1</v>
      </c>
      <c r="DQ267" s="0" t="n">
        <v>1</v>
      </c>
      <c r="DR267" s="0"/>
      <c r="DS267" s="0" t="n">
        <v>1</v>
      </c>
      <c r="DU267" s="0" t="n">
        <v>1</v>
      </c>
      <c r="DV267" s="0" t="n">
        <v>735.54</v>
      </c>
      <c r="DW267" s="1" t="n">
        <v>40637</v>
      </c>
      <c r="DX267" s="1" t="n">
        <v>40837</v>
      </c>
      <c r="DZ267" s="0" t="n">
        <v>922.192</v>
      </c>
      <c r="EA267" s="0" t="n">
        <v>1</v>
      </c>
      <c r="EB267" s="0" t="n">
        <v>230.548</v>
      </c>
      <c r="EC267" s="1" t="n">
        <v>40637</v>
      </c>
      <c r="ED267" s="1" t="n">
        <v>40837</v>
      </c>
      <c r="EF267" s="0" t="n">
        <v>2561.64</v>
      </c>
      <c r="EG267" s="0" t="n">
        <v>0</v>
      </c>
      <c r="EI267" s="0" t="str">
        <f aca="false">IF(AND(DM267=1,DN267&lt;=48),"",IF(AND(DM267=2,DN267&lt;=42),"",IF(AND(DM267=3,DN267&lt;=45),"",EH267)))</f>
        <v/>
      </c>
      <c r="EJ267" s="0" t="str">
        <f aca="false">IF(EI267="","",IF(EI267&lt;9,EI267,9))</f>
        <v/>
      </c>
      <c r="EK267" s="0" t="str">
        <f aca="false">IF(EI267="","",IF(EI267&gt;9,EI267-EJ267,0))</f>
        <v/>
      </c>
      <c r="EL267" s="0" t="str">
        <f aca="false">IF(EI267="","",EJ267*DA267*2+EK267*DA267*3)</f>
        <v/>
      </c>
      <c r="EP267" s="0" t="n">
        <v>1</v>
      </c>
      <c r="EQ267" s="0" t="n">
        <v>6666.6</v>
      </c>
      <c r="ER267" s="0" t="n">
        <v>0</v>
      </c>
      <c r="ET267" s="0" t="n">
        <v>1</v>
      </c>
      <c r="EU267" s="0" t="n">
        <v>8666.58</v>
      </c>
      <c r="EV267" s="0" t="n">
        <v>0</v>
      </c>
      <c r="EX267" s="0" t="n">
        <v>1</v>
      </c>
      <c r="EY267" s="0" t="n">
        <v>1</v>
      </c>
      <c r="EZ267" s="0"/>
      <c r="FA267" s="4" t="n">
        <v>1400</v>
      </c>
      <c r="FB267" s="0" t="n">
        <v>0</v>
      </c>
      <c r="FF267" s="120" t="n">
        <f aca="false">(CJ267-CI267+1)/365</f>
        <v>0.550684931506849</v>
      </c>
      <c r="FG267" s="0" t="str">
        <f aca="false">CONCATENATE(F267,"/",G267)</f>
        <v>2066/2011</v>
      </c>
      <c r="FH267" s="0" t="n">
        <v>0</v>
      </c>
      <c r="FI267" s="0" t="n">
        <v>0</v>
      </c>
    </row>
    <row r="268" customFormat="false" ht="15" hidden="false" customHeight="false" outlineLevel="0" collapsed="false">
      <c r="A268" s="5" t="str">
        <f aca="false">E268&amp;G268&amp;F268</f>
        <v>720112076</v>
      </c>
      <c r="B268" s="0" t="s">
        <v>2737</v>
      </c>
      <c r="C268" s="1" t="n">
        <v>42412</v>
      </c>
      <c r="E268" s="0" t="n">
        <v>7</v>
      </c>
      <c r="F268" s="0" t="n">
        <v>2076</v>
      </c>
      <c r="G268" s="0" t="n">
        <v>2011</v>
      </c>
      <c r="H268" s="0" t="str">
        <f aca="false">"J"&amp;E268&amp;"\"&amp;F268&amp;"\"&amp;G268&amp;"\"&amp;W268</f>
        <v>J7\2076\2011\1</v>
      </c>
      <c r="I268" s="0"/>
      <c r="J268" s="1" t="n">
        <v>40889</v>
      </c>
      <c r="K268" s="0" t="n">
        <v>0</v>
      </c>
      <c r="M268" s="1" t="n">
        <v>40889</v>
      </c>
      <c r="N268" s="1" t="n">
        <v>40956</v>
      </c>
      <c r="O268" s="1"/>
      <c r="P268" s="1"/>
      <c r="Q268" s="1"/>
      <c r="T268" s="121"/>
      <c r="U268" s="121"/>
      <c r="V268" s="122" t="n">
        <f aca="false">IF(AND(E268&gt;0,F268&gt;0,G268&gt;0),COUNTIFS($E:$E,E268,$F:$F,F268,$G:$G,G268),"")</f>
        <v>1</v>
      </c>
      <c r="W268" s="122" t="n">
        <f aca="false">IF(V268="","",IF(V268=1,1,IF(AND(E267=E268,F267=F268,G267=G268),W267+1,1)))</f>
        <v>1</v>
      </c>
      <c r="X268" s="0" t="n">
        <v>1</v>
      </c>
      <c r="Y268" s="0" t="n">
        <v>4</v>
      </c>
      <c r="Z268" s="0" t="s">
        <v>2896</v>
      </c>
      <c r="AA268" s="0" t="n">
        <v>0</v>
      </c>
      <c r="AB268" s="0" t="s">
        <v>1875</v>
      </c>
      <c r="AC268" s="0" t="s">
        <v>228</v>
      </c>
      <c r="AD268" s="0" t="s">
        <v>229</v>
      </c>
      <c r="AE268" s="0" t="n">
        <v>0</v>
      </c>
      <c r="AF268" s="0" t="s">
        <v>2897</v>
      </c>
      <c r="AG268" s="0" t="n">
        <v>0</v>
      </c>
      <c r="AH268" s="0" t="s">
        <v>2898</v>
      </c>
      <c r="AI268" s="0" t="s">
        <v>206</v>
      </c>
      <c r="AJ268" s="0" t="s">
        <v>207</v>
      </c>
      <c r="AL268" s="0" t="s">
        <v>869</v>
      </c>
      <c r="AM268" s="0" t="n">
        <v>0</v>
      </c>
      <c r="AN268" s="0" t="s">
        <v>2898</v>
      </c>
      <c r="AO268" s="0" t="s">
        <v>206</v>
      </c>
      <c r="AP268" s="0" t="s">
        <v>207</v>
      </c>
      <c r="AR268" s="0" t="s">
        <v>2899</v>
      </c>
      <c r="AS268" s="0" t="n">
        <v>1</v>
      </c>
      <c r="AT268" s="0" t="s">
        <v>2898</v>
      </c>
      <c r="AU268" s="0" t="s">
        <v>206</v>
      </c>
      <c r="AV268" s="0" t="s">
        <v>207</v>
      </c>
      <c r="AX268" s="0" t="s">
        <v>1637</v>
      </c>
      <c r="AY268" s="0" t="n">
        <v>1</v>
      </c>
      <c r="AZ268" s="0" t="s">
        <v>2898</v>
      </c>
      <c r="BA268" s="0" t="s">
        <v>206</v>
      </c>
      <c r="BB268" s="0" t="s">
        <v>207</v>
      </c>
      <c r="BP268" s="0" t="n">
        <v>0</v>
      </c>
      <c r="BQ268" s="0" t="n">
        <v>0</v>
      </c>
      <c r="BR268" s="0" t="n">
        <v>3</v>
      </c>
      <c r="BS268" s="0" t="s">
        <v>2900</v>
      </c>
      <c r="BT268" s="0" t="s">
        <v>1818</v>
      </c>
      <c r="BU268" s="0" t="s">
        <v>1841</v>
      </c>
      <c r="BV268" s="123"/>
      <c r="BW268" s="123"/>
      <c r="BX268" s="123"/>
      <c r="BY268" s="123"/>
      <c r="BZ268" s="0" t="n">
        <v>0</v>
      </c>
      <c r="CA268" s="0" t="s">
        <v>348</v>
      </c>
      <c r="CD268" s="0" t="s">
        <v>296</v>
      </c>
      <c r="CE268" s="0" t="n">
        <v>0</v>
      </c>
      <c r="CF268" s="0" t="s">
        <v>2901</v>
      </c>
      <c r="CI268" s="1" t="n">
        <v>40803</v>
      </c>
      <c r="CJ268" s="1" t="n">
        <v>40827</v>
      </c>
      <c r="CK268" s="124" t="n">
        <v>0.458333333333333</v>
      </c>
      <c r="CL268" s="0" t="s">
        <v>2899</v>
      </c>
      <c r="CM268" s="0" t="n">
        <f aca="false">IF(OR(CI268="",CJ268=""),"",DAYS360(CI268,CJ268)/360)</f>
        <v>0.0666666666666667</v>
      </c>
      <c r="CN268" s="0" t="n">
        <f aca="false">IF(OR(CI268="",CJ268=""),"",DAYS360(CI268,CJ268)/30)</f>
        <v>0.8</v>
      </c>
      <c r="CO268" s="0" t="n">
        <f aca="false">IF(OR(CI268="",CJ268=""),"",DAYS360(CI268,CJ268)/7)</f>
        <v>3.42857142857143</v>
      </c>
      <c r="CP268" s="0" t="n">
        <f aca="false">IF(OR(CI268="",CJ268=""),"",DAYS360(CI268,CJ268))</f>
        <v>24</v>
      </c>
      <c r="CQ268" s="0" t="s">
        <v>240</v>
      </c>
      <c r="CR268" s="0" t="n">
        <v>1</v>
      </c>
      <c r="CT268" s="0" t="n">
        <v>100</v>
      </c>
      <c r="CU268" s="0" t="n">
        <v>0</v>
      </c>
      <c r="CV268" s="0" t="n">
        <f aca="false">IF(OR(CT268="",CT268="NO ESPECIFICA",CT268="NO MENCIONA"),"",IF(CU268=0,CT268,IF(CU268=1,CT268/30,IF(CU268=2,CT268/15,IF(CU268=3,CT268/7,"")))))</f>
        <v>100</v>
      </c>
      <c r="CW268" s="125" t="n">
        <v>104.66</v>
      </c>
      <c r="CX268" s="0" t="n">
        <v>0</v>
      </c>
      <c r="CY268" s="0" t="n">
        <f aca="false">IF(CW268="","",IF(CX268=0,CW268,IF(CX268=1,CW268/30,IF(CX268=2,CW268/15,IF(CX268=3,CW268/7,CW268)))))</f>
        <v>104.66</v>
      </c>
      <c r="CZ268" s="0" t="n">
        <f aca="false">IF(DI268&gt;0,DI268,IF(CY268&gt;0,CY268,IF(CV268&gt;0,CV268,"")))</f>
        <v>104.66</v>
      </c>
      <c r="DA268" s="0" t="n">
        <f aca="false">IF(DM268=1,CZ268/8,IF(OR(DM268=2,DM268=4),CZ268/7,IF(DM268=3,CZ268/7.5,"")))</f>
        <v>13.0825</v>
      </c>
      <c r="DB268" s="0" t="s">
        <v>303</v>
      </c>
      <c r="DC268" s="0" t="s">
        <v>301</v>
      </c>
      <c r="DD268" s="0" t="s">
        <v>216</v>
      </c>
      <c r="DE268" s="0" t="s">
        <v>216</v>
      </c>
      <c r="DF268" s="0" t="s">
        <v>216</v>
      </c>
      <c r="DG268" s="0" t="s">
        <v>216</v>
      </c>
      <c r="DH268" s="0" t="n">
        <v>0</v>
      </c>
      <c r="DI268" s="126" t="n">
        <v>104.66</v>
      </c>
      <c r="DK268" s="0" t="n">
        <v>0</v>
      </c>
      <c r="DM268" s="0" t="n">
        <v>1</v>
      </c>
      <c r="DN268" s="0" t="n">
        <v>48</v>
      </c>
      <c r="DO268" s="0" t="n">
        <v>3</v>
      </c>
      <c r="DP268" s="0" t="n">
        <v>0</v>
      </c>
      <c r="DQ268" s="0" t="n">
        <v>1</v>
      </c>
      <c r="DR268" s="0"/>
      <c r="DS268" s="0" t="n">
        <v>1</v>
      </c>
      <c r="DU268" s="0" t="n">
        <v>1</v>
      </c>
      <c r="DW268" s="1" t="n">
        <v>40803</v>
      </c>
      <c r="DX268" s="1" t="n">
        <v>40827</v>
      </c>
      <c r="DZ268" s="0"/>
      <c r="EA268" s="0" t="n">
        <v>1</v>
      </c>
      <c r="EC268" s="1" t="n">
        <v>40803</v>
      </c>
      <c r="ED268" s="1" t="n">
        <v>40827</v>
      </c>
      <c r="EF268" s="0"/>
      <c r="EG268" s="0" t="n">
        <v>0</v>
      </c>
      <c r="EI268" s="0" t="str">
        <f aca="false">IF(AND(DM268=1,DN268&lt;=48),"",IF(AND(DM268=2,DN268&lt;=42),"",IF(AND(DM268=3,DN268&lt;=45),"",EH268)))</f>
        <v/>
      </c>
      <c r="EJ268" s="0" t="str">
        <f aca="false">IF(EI268="","",IF(EI268&lt;9,EI268,9))</f>
        <v/>
      </c>
      <c r="EK268" s="0" t="str">
        <f aca="false">IF(EI268="","",IF(EI268&gt;9,EI268-EJ268,0))</f>
        <v/>
      </c>
      <c r="EL268" s="0" t="str">
        <f aca="false">IF(EI268="","",EJ268*DA268*2+EK268*DA268*3)</f>
        <v/>
      </c>
      <c r="EP268" s="0" t="n">
        <v>0</v>
      </c>
      <c r="EQ268" s="0"/>
      <c r="ER268" s="0" t="n">
        <v>1</v>
      </c>
      <c r="ET268" s="0" t="n">
        <v>0</v>
      </c>
      <c r="EV268" s="0" t="n">
        <v>0</v>
      </c>
      <c r="EX268" s="0" t="n">
        <v>0</v>
      </c>
      <c r="EY268" s="0" t="n">
        <v>0</v>
      </c>
      <c r="EZ268" s="0"/>
      <c r="FA268" s="4" t="n">
        <v>1046.6</v>
      </c>
      <c r="FB268" s="0" t="n">
        <v>1</v>
      </c>
      <c r="FF268" s="120" t="n">
        <f aca="false">(CJ268-CI268+1)/365</f>
        <v>0.0684931506849315</v>
      </c>
      <c r="FG268" s="0" t="str">
        <f aca="false">CONCATENATE(F268,"/",G268)</f>
        <v>2076/2011</v>
      </c>
      <c r="FH268" s="0" t="n">
        <v>0</v>
      </c>
      <c r="FI268" s="0" t="n">
        <v>0</v>
      </c>
    </row>
    <row r="269" customFormat="false" ht="15" hidden="false" customHeight="false" outlineLevel="0" collapsed="false">
      <c r="A269" s="5" t="str">
        <f aca="false">E269&amp;G269&amp;F269</f>
        <v>720112081</v>
      </c>
      <c r="B269" s="0" t="s">
        <v>2737</v>
      </c>
      <c r="C269" s="1" t="n">
        <v>42412</v>
      </c>
      <c r="E269" s="0" t="n">
        <v>7</v>
      </c>
      <c r="F269" s="0" t="n">
        <v>2081</v>
      </c>
      <c r="G269" s="0" t="n">
        <v>2011</v>
      </c>
      <c r="H269" s="0" t="str">
        <f aca="false">"J"&amp;E269&amp;"\"&amp;F269&amp;"\"&amp;G269&amp;"\"&amp;W269</f>
        <v>J7\2081\2011\1</v>
      </c>
      <c r="I269" s="0"/>
      <c r="J269" s="1" t="n">
        <v>40890</v>
      </c>
      <c r="K269" s="0" t="n">
        <v>0</v>
      </c>
      <c r="M269" s="1"/>
      <c r="N269" s="1"/>
      <c r="O269" s="1"/>
      <c r="P269" s="1"/>
      <c r="Q269" s="1"/>
      <c r="T269" s="121"/>
      <c r="U269" s="121"/>
      <c r="V269" s="122" t="n">
        <f aca="false">IF(AND(E269&gt;0,F269&gt;0,G269&gt;0),COUNTIFS($E:$E,E269,$F:$F,F269,$G:$G,G269),"")</f>
        <v>1</v>
      </c>
      <c r="W269" s="122" t="n">
        <f aca="false">IF(V269="","",IF(V269=1,1,IF(AND(E268=E269,F268=F269,G268=G269),W268+1,1)))</f>
        <v>1</v>
      </c>
      <c r="X269" s="0" t="n">
        <v>1</v>
      </c>
      <c r="Y269" s="0" t="n">
        <v>7</v>
      </c>
      <c r="Z269" s="0" t="s">
        <v>2902</v>
      </c>
      <c r="AA269" s="0" t="n">
        <v>0</v>
      </c>
      <c r="AB269" s="0" t="s">
        <v>2903</v>
      </c>
      <c r="AC269" s="0" t="s">
        <v>318</v>
      </c>
      <c r="AD269" s="0" t="s">
        <v>216</v>
      </c>
      <c r="AE269" s="0" t="n">
        <v>0</v>
      </c>
      <c r="AF269" s="0" t="s">
        <v>2904</v>
      </c>
      <c r="AG269" s="0" t="n">
        <v>0</v>
      </c>
      <c r="AH269" s="0" t="s">
        <v>2905</v>
      </c>
      <c r="AI269" s="0" t="s">
        <v>2906</v>
      </c>
      <c r="AJ269" s="0" t="s">
        <v>411</v>
      </c>
      <c r="AL269" s="0" t="s">
        <v>2907</v>
      </c>
      <c r="AM269" s="0" t="n">
        <v>1</v>
      </c>
      <c r="AN269" s="0" t="s">
        <v>2905</v>
      </c>
      <c r="AO269" s="0" t="s">
        <v>2906</v>
      </c>
      <c r="AP269" s="0" t="s">
        <v>411</v>
      </c>
      <c r="AR269" s="0" t="s">
        <v>2908</v>
      </c>
      <c r="AS269" s="0" t="n">
        <v>1</v>
      </c>
      <c r="AT269" s="0" t="s">
        <v>2905</v>
      </c>
      <c r="AU269" s="0" t="s">
        <v>2906</v>
      </c>
      <c r="AV269" s="0" t="s">
        <v>411</v>
      </c>
      <c r="AX269" s="0" t="s">
        <v>1637</v>
      </c>
      <c r="AY269" s="0" t="n">
        <v>1</v>
      </c>
      <c r="AZ269" s="0" t="s">
        <v>2905</v>
      </c>
      <c r="BA269" s="0" t="s">
        <v>2906</v>
      </c>
      <c r="BB269" s="0" t="s">
        <v>411</v>
      </c>
      <c r="BD269" s="0" t="s">
        <v>249</v>
      </c>
      <c r="BE269" s="0" t="n">
        <v>0</v>
      </c>
      <c r="BF269" s="0" t="s">
        <v>2909</v>
      </c>
      <c r="BG269" s="0" t="s">
        <v>216</v>
      </c>
      <c r="BH269" s="0" t="s">
        <v>216</v>
      </c>
      <c r="BJ269" s="0" t="s">
        <v>412</v>
      </c>
      <c r="BK269" s="0" t="n">
        <v>0</v>
      </c>
      <c r="BL269" s="0" t="s">
        <v>437</v>
      </c>
      <c r="BM269" s="0" t="s">
        <v>438</v>
      </c>
      <c r="BN269" s="0" t="s">
        <v>352</v>
      </c>
      <c r="BP269" s="0" t="n">
        <v>0</v>
      </c>
      <c r="BQ269" s="0" t="n">
        <v>0</v>
      </c>
      <c r="BR269" s="0" t="n">
        <v>1</v>
      </c>
      <c r="BS269" s="0" t="s">
        <v>2910</v>
      </c>
      <c r="BT269" s="0" t="s">
        <v>2911</v>
      </c>
      <c r="BU269" s="0" t="s">
        <v>2912</v>
      </c>
      <c r="BV269" s="123"/>
      <c r="BW269" s="123"/>
      <c r="BX269" s="123"/>
      <c r="BY269" s="123"/>
      <c r="BZ269" s="0" t="n">
        <v>0</v>
      </c>
      <c r="CA269" s="0" t="s">
        <v>216</v>
      </c>
      <c r="CD269" s="0" t="s">
        <v>216</v>
      </c>
      <c r="CE269" s="0" t="n">
        <v>0</v>
      </c>
      <c r="CF269" s="0" t="s">
        <v>2913</v>
      </c>
      <c r="CI269" s="1" t="n">
        <v>37567</v>
      </c>
      <c r="CJ269" s="1" t="n">
        <v>40850</v>
      </c>
      <c r="CK269" s="124" t="n">
        <v>0.833333333333333</v>
      </c>
      <c r="CL269" s="0" t="s">
        <v>2907</v>
      </c>
      <c r="CM269" s="0" t="n">
        <f aca="false">IF(OR(CI269="",CJ269=""),"",DAYS360(CI269,CJ269)/360)</f>
        <v>8.98888888888889</v>
      </c>
      <c r="CN269" s="0" t="n">
        <f aca="false">IF(OR(CI269="",CJ269=""),"",DAYS360(CI269,CJ269)/30)</f>
        <v>107.866666666667</v>
      </c>
      <c r="CO269" s="0" t="n">
        <f aca="false">IF(OR(CI269="",CJ269=""),"",DAYS360(CI269,CJ269)/7)</f>
        <v>462.285714285714</v>
      </c>
      <c r="CP269" s="0" t="n">
        <f aca="false">IF(OR(CI269="",CJ269=""),"",DAYS360(CI269,CJ269))</f>
        <v>3236</v>
      </c>
      <c r="CQ269" s="0" t="s">
        <v>240</v>
      </c>
      <c r="CR269" s="0" t="n">
        <v>1</v>
      </c>
      <c r="CT269" s="0" t="s">
        <v>221</v>
      </c>
      <c r="CU269" s="0" t="s">
        <v>221</v>
      </c>
      <c r="CV269" s="0" t="str">
        <f aca="false">IF(OR(CT269="",CT269="NO ESPECIFICA",CT269="NO MENCIONA"),"",IF(CU269=0,CT269,IF(CU269=1,CT269/30,IF(CU269=2,CT269/15,IF(CU269=3,CT269/7,"")))))</f>
        <v/>
      </c>
      <c r="CW269" s="125" t="n">
        <v>200</v>
      </c>
      <c r="CX269" s="0" t="n">
        <v>0</v>
      </c>
      <c r="CY269" s="0" t="n">
        <f aca="false">IF(CW269="","",IF(CX269=0,CW269,IF(CX269=1,CW269/30,IF(CX269=2,CW269/15,IF(CX269=3,CW269/7,CW269)))))</f>
        <v>200</v>
      </c>
      <c r="CZ269" s="0" t="n">
        <f aca="false">IF(DI269&gt;0,DI269,IF(CY269&gt;0,CY269,IF(CV269&gt;0,CV269,"")))</f>
        <v>200</v>
      </c>
      <c r="DA269" s="0" t="n">
        <f aca="false">IF(DM269=1,CZ269/8,IF(OR(DM269=2,DM269=4),CZ269/7,IF(DM269=3,CZ269/7.5,"")))</f>
        <v>25</v>
      </c>
      <c r="DB269" s="0" t="s">
        <v>216</v>
      </c>
      <c r="DC269" s="0" t="s">
        <v>216</v>
      </c>
      <c r="DD269" s="0" t="s">
        <v>216</v>
      </c>
      <c r="DE269" s="0" t="s">
        <v>216</v>
      </c>
      <c r="DF269" s="0" t="s">
        <v>216</v>
      </c>
      <c r="DG269" s="0" t="s">
        <v>216</v>
      </c>
      <c r="DH269" s="0" t="n">
        <v>0</v>
      </c>
      <c r="DI269" s="126" t="n">
        <v>200</v>
      </c>
      <c r="DK269" s="0" t="n">
        <v>1</v>
      </c>
      <c r="DM269" s="0" t="n">
        <v>1</v>
      </c>
      <c r="DN269" s="0" t="n">
        <v>60</v>
      </c>
      <c r="DO269" s="0" t="n">
        <v>3</v>
      </c>
      <c r="DP269" s="0" t="n">
        <v>0</v>
      </c>
      <c r="DQ269" s="0" t="n">
        <v>1</v>
      </c>
      <c r="DR269" s="0"/>
      <c r="DS269" s="0" t="n">
        <v>1</v>
      </c>
      <c r="DU269" s="0" t="n">
        <v>1</v>
      </c>
      <c r="DW269" s="1" t="n">
        <v>37567</v>
      </c>
      <c r="DX269" s="1" t="n">
        <v>40850</v>
      </c>
      <c r="DZ269" s="0"/>
      <c r="EA269" s="0" t="n">
        <v>1</v>
      </c>
      <c r="EC269" s="1" t="n">
        <v>37567</v>
      </c>
      <c r="ED269" s="1" t="n">
        <v>40850</v>
      </c>
      <c r="EF269" s="0"/>
      <c r="EG269" s="0" t="n">
        <v>1</v>
      </c>
      <c r="EH269" s="0" t="n">
        <v>14</v>
      </c>
      <c r="EI269" s="0" t="n">
        <f aca="false">IF(AND(DM269=1,DN269&lt;=48),"",IF(AND(DM269=2,DN269&lt;=42),"",IF(AND(DM269=3,DN269&lt;=45),"",EH269)))</f>
        <v>14</v>
      </c>
      <c r="EJ269" s="0" t="n">
        <f aca="false">IF(EI269="","",IF(EI269&lt;9,EI269,9))</f>
        <v>9</v>
      </c>
      <c r="EK269" s="0" t="n">
        <f aca="false">IF(EI269="","",IF(EI269&gt;9,EI269-EJ269,0))</f>
        <v>5</v>
      </c>
      <c r="EL269" s="0" t="n">
        <f aca="false">IF(EI269="","",EJ269*DA269*2+EK269*DA269*3)</f>
        <v>825</v>
      </c>
      <c r="EP269" s="0" t="n">
        <v>0</v>
      </c>
      <c r="EQ269" s="0"/>
      <c r="ER269" s="0" t="n">
        <v>0</v>
      </c>
      <c r="ET269" s="0" t="n">
        <v>0</v>
      </c>
      <c r="EV269" s="0" t="n">
        <v>1</v>
      </c>
      <c r="EX269" s="0" t="n">
        <v>1</v>
      </c>
      <c r="EY269" s="0" t="n">
        <v>0</v>
      </c>
      <c r="EZ269" s="0"/>
      <c r="FA269" s="4" t="n">
        <v>17150</v>
      </c>
      <c r="FB269" s="0" t="n">
        <v>0</v>
      </c>
      <c r="FF269" s="120" t="n">
        <f aca="false">(CJ269-CI269+1)/365</f>
        <v>8.9972602739726</v>
      </c>
      <c r="FG269" s="0" t="str">
        <f aca="false">CONCATENATE(F269,"/",G269)</f>
        <v>2081/2011</v>
      </c>
      <c r="FH269" s="0" t="n">
        <v>0</v>
      </c>
      <c r="FI269" s="0" t="n">
        <v>0</v>
      </c>
    </row>
    <row r="270" customFormat="false" ht="15" hidden="false" customHeight="false" outlineLevel="0" collapsed="false">
      <c r="A270" s="5" t="str">
        <f aca="false">E270&amp;G270&amp;F270</f>
        <v>720112087</v>
      </c>
      <c r="B270" s="0" t="s">
        <v>2737</v>
      </c>
      <c r="C270" s="1" t="n">
        <v>42412</v>
      </c>
      <c r="E270" s="0" t="n">
        <v>7</v>
      </c>
      <c r="F270" s="0" t="n">
        <v>2087</v>
      </c>
      <c r="G270" s="0" t="n">
        <v>2011</v>
      </c>
      <c r="H270" s="0" t="str">
        <f aca="false">"J"&amp;E270&amp;"\"&amp;F270&amp;"\"&amp;G270&amp;"\"&amp;W270</f>
        <v>J7\2087\2011\1</v>
      </c>
      <c r="I270" s="0" t="n">
        <v>40847</v>
      </c>
      <c r="J270" s="1" t="n">
        <v>40890</v>
      </c>
      <c r="K270" s="0" t="n">
        <v>0</v>
      </c>
      <c r="M270" s="1"/>
      <c r="N270" s="1"/>
      <c r="O270" s="1"/>
      <c r="P270" s="1"/>
      <c r="Q270" s="1"/>
      <c r="T270" s="121"/>
      <c r="U270" s="121"/>
      <c r="V270" s="122" t="n">
        <f aca="false">IF(AND(E270&gt;0,F270&gt;0,G270&gt;0),COUNTIFS($E:$E,E270,$F:$F,F270,$G:$G,G270),"")</f>
        <v>1</v>
      </c>
      <c r="W270" s="122" t="n">
        <f aca="false">IF(V270="","",IF(V270=1,1,IF(AND(E269=E270,F269=F270,G269=G270),W269+1,1)))</f>
        <v>1</v>
      </c>
      <c r="X270" s="0" t="n">
        <v>1</v>
      </c>
      <c r="Y270" s="0" t="n">
        <v>4</v>
      </c>
      <c r="Z270" s="0" t="s">
        <v>2914</v>
      </c>
      <c r="AA270" s="0" t="n">
        <v>0</v>
      </c>
      <c r="AB270" s="0" t="s">
        <v>216</v>
      </c>
      <c r="AC270" s="0" t="s">
        <v>216</v>
      </c>
      <c r="AD270" s="0" t="s">
        <v>216</v>
      </c>
      <c r="AE270" s="0" t="n">
        <v>0</v>
      </c>
      <c r="AF270" s="0" t="s">
        <v>2915</v>
      </c>
      <c r="AG270" s="0" t="n">
        <v>0</v>
      </c>
      <c r="AH270" s="0" t="s">
        <v>2916</v>
      </c>
      <c r="AI270" s="0" t="s">
        <v>2917</v>
      </c>
      <c r="AJ270" s="0" t="s">
        <v>2918</v>
      </c>
      <c r="AL270" s="0" t="s">
        <v>2919</v>
      </c>
      <c r="AM270" s="0" t="n">
        <v>1</v>
      </c>
      <c r="AN270" s="0" t="s">
        <v>2916</v>
      </c>
      <c r="AO270" s="0" t="s">
        <v>2917</v>
      </c>
      <c r="AP270" s="0" t="s">
        <v>2918</v>
      </c>
      <c r="AR270" s="0" t="s">
        <v>2920</v>
      </c>
      <c r="AS270" s="0" t="n">
        <v>1</v>
      </c>
      <c r="AT270" s="0" t="s">
        <v>2916</v>
      </c>
      <c r="AU270" s="0" t="s">
        <v>2917</v>
      </c>
      <c r="AV270" s="0" t="s">
        <v>2918</v>
      </c>
      <c r="AX270" s="0" t="s">
        <v>1637</v>
      </c>
      <c r="AY270" s="0" t="n">
        <v>1</v>
      </c>
      <c r="AZ270" s="0" t="s">
        <v>2916</v>
      </c>
      <c r="BA270" s="0" t="s">
        <v>2917</v>
      </c>
      <c r="BB270" s="0" t="s">
        <v>2918</v>
      </c>
      <c r="BP270" s="0" t="n">
        <v>0</v>
      </c>
      <c r="BQ270" s="0" t="n">
        <v>0</v>
      </c>
      <c r="BR270" s="0" t="n">
        <v>1</v>
      </c>
      <c r="BS270" s="0" t="s">
        <v>2921</v>
      </c>
      <c r="BT270" s="0" t="s">
        <v>2922</v>
      </c>
      <c r="BU270" s="0" t="s">
        <v>2923</v>
      </c>
      <c r="BV270" s="123"/>
      <c r="BW270" s="123"/>
      <c r="BX270" s="123"/>
      <c r="BY270" s="123"/>
      <c r="BZ270" s="0" t="n">
        <v>0</v>
      </c>
      <c r="CA270" s="0" t="s">
        <v>216</v>
      </c>
      <c r="CD270" s="0" t="s">
        <v>502</v>
      </c>
      <c r="CE270" s="0" t="n">
        <v>0</v>
      </c>
      <c r="CF270" s="0" t="s">
        <v>2924</v>
      </c>
      <c r="CI270" s="1" t="n">
        <v>32146</v>
      </c>
      <c r="CJ270" s="1" t="n">
        <v>38608</v>
      </c>
      <c r="CK270" s="124" t="n">
        <v>0.375</v>
      </c>
      <c r="CL270" s="0" t="s">
        <v>2919</v>
      </c>
      <c r="CM270" s="0" t="n">
        <f aca="false">IF(OR(CI270="",CJ270=""),"",DAYS360(CI270,CJ270)/360)</f>
        <v>17.6916666666667</v>
      </c>
      <c r="CN270" s="0" t="n">
        <f aca="false">IF(OR(CI270="",CJ270=""),"",DAYS360(CI270,CJ270)/30)</f>
        <v>212.3</v>
      </c>
      <c r="CO270" s="0" t="n">
        <f aca="false">IF(OR(CI270="",CJ270=""),"",DAYS360(CI270,CJ270)/7)</f>
        <v>909.857142857143</v>
      </c>
      <c r="CP270" s="0" t="n">
        <f aca="false">IF(OR(CI270="",CJ270=""),"",DAYS360(CI270,CJ270))</f>
        <v>6369</v>
      </c>
      <c r="CQ270" s="0" t="s">
        <v>220</v>
      </c>
      <c r="CR270" s="0" t="n">
        <v>1</v>
      </c>
      <c r="CT270" s="0" t="s">
        <v>221</v>
      </c>
      <c r="CU270" s="0" t="s">
        <v>221</v>
      </c>
      <c r="CV270" s="0" t="str">
        <f aca="false">IF(OR(CT270="",CT270="NO ESPECIFICA",CT270="NO MENCIONA"),"",IF(CU270=0,CT270,IF(CU270=1,CT270/30,IF(CU270=2,CT270/15,IF(CU270=3,CT270/7,"")))))</f>
        <v/>
      </c>
      <c r="CW270" s="125" t="n">
        <v>500</v>
      </c>
      <c r="CX270" s="0" t="n">
        <v>0</v>
      </c>
      <c r="CY270" s="0" t="n">
        <f aca="false">IF(CW270="","",IF(CX270=0,CW270,IF(CX270=1,CW270/30,IF(CX270=2,CW270/15,IF(CX270=3,CW270/7,CW270)))))</f>
        <v>500</v>
      </c>
      <c r="CZ270" s="0" t="n">
        <f aca="false">IF(DI270&gt;0,DI270,IF(CY270&gt;0,CY270,IF(CV270&gt;0,CV270,"")))</f>
        <v>500</v>
      </c>
      <c r="DA270" s="0" t="n">
        <f aca="false">IF(DM270=1,CZ270/8,IF(OR(DM270=2,DM270=4),CZ270/7,IF(DM270=3,CZ270/7.5,"")))</f>
        <v>62.5</v>
      </c>
      <c r="DB270" s="0" t="s">
        <v>216</v>
      </c>
      <c r="DC270" s="0" t="s">
        <v>216</v>
      </c>
      <c r="DD270" s="0" t="s">
        <v>216</v>
      </c>
      <c r="DE270" s="0" t="s">
        <v>216</v>
      </c>
      <c r="DF270" s="0" t="s">
        <v>216</v>
      </c>
      <c r="DG270" s="0" t="s">
        <v>216</v>
      </c>
      <c r="DH270" s="0" t="n">
        <v>0</v>
      </c>
      <c r="DI270" s="126" t="n">
        <v>500</v>
      </c>
      <c r="DK270" s="0" t="n">
        <v>0</v>
      </c>
      <c r="DM270" s="0" t="n">
        <v>1</v>
      </c>
      <c r="DN270" s="0" t="n">
        <v>56</v>
      </c>
      <c r="DO270" s="0" t="n">
        <v>3</v>
      </c>
      <c r="DP270" s="0" t="n">
        <v>1</v>
      </c>
      <c r="DQ270" s="0" t="n">
        <v>1</v>
      </c>
      <c r="DR270" s="0"/>
      <c r="DS270" s="0" t="n">
        <v>1</v>
      </c>
      <c r="DU270" s="0" t="n">
        <v>1</v>
      </c>
      <c r="DW270" s="1" t="n">
        <v>32146</v>
      </c>
      <c r="DX270" s="1" t="n">
        <v>38608</v>
      </c>
      <c r="DZ270" s="0"/>
      <c r="EA270" s="0" t="n">
        <v>1</v>
      </c>
      <c r="EC270" s="1" t="n">
        <v>32146</v>
      </c>
      <c r="ED270" s="1" t="n">
        <v>38608</v>
      </c>
      <c r="EF270" s="0"/>
      <c r="EG270" s="0" t="n">
        <v>1</v>
      </c>
      <c r="EH270" s="0" t="n">
        <v>8</v>
      </c>
      <c r="EI270" s="0" t="n">
        <f aca="false">IF(AND(DM270=1,DN270&lt;=48),"",IF(AND(DM270=2,DN270&lt;=42),"",IF(AND(DM270=3,DN270&lt;=45),"",EH270)))</f>
        <v>8</v>
      </c>
      <c r="EJ270" s="0" t="n">
        <f aca="false">IF(EI270="","",IF(EI270&lt;9,EI270,9))</f>
        <v>8</v>
      </c>
      <c r="EK270" s="0" t="n">
        <f aca="false">IF(EI270="","",IF(EI270&gt;9,EI270-EJ270,0))</f>
        <v>0</v>
      </c>
      <c r="EL270" s="0" t="n">
        <f aca="false">IF(EI270="","",EJ270*DA270*2+EK270*DA270*3)</f>
        <v>1000</v>
      </c>
      <c r="EP270" s="0" t="n">
        <v>1</v>
      </c>
      <c r="EQ270" s="0"/>
      <c r="ER270" s="0" t="n">
        <v>1</v>
      </c>
      <c r="ET270" s="0" t="n">
        <v>0</v>
      </c>
      <c r="EV270" s="0" t="n">
        <v>1</v>
      </c>
      <c r="EX270" s="0" t="n">
        <v>1</v>
      </c>
      <c r="EY270" s="0" t="n">
        <v>0</v>
      </c>
      <c r="EZ270" s="0"/>
      <c r="FA270" s="4" t="n">
        <v>12000</v>
      </c>
      <c r="FB270" s="0" t="n">
        <v>0</v>
      </c>
      <c r="FF270" s="120" t="n">
        <f aca="false">(CJ270-CI270+1)/365</f>
        <v>17.7068493150685</v>
      </c>
      <c r="FG270" s="0" t="str">
        <f aca="false">CONCATENATE(F270,"/",G270)</f>
        <v>2087/2011</v>
      </c>
      <c r="FH270" s="0" t="n">
        <v>0</v>
      </c>
      <c r="FI270" s="0" t="n">
        <v>0</v>
      </c>
    </row>
    <row r="271" customFormat="false" ht="15" hidden="false" customHeight="false" outlineLevel="0" collapsed="false">
      <c r="A271" s="5" t="str">
        <f aca="false">E271&amp;G271&amp;F271</f>
        <v>720111213</v>
      </c>
      <c r="B271" s="0" t="s">
        <v>2925</v>
      </c>
      <c r="C271" s="1" t="n">
        <v>42408</v>
      </c>
      <c r="D271" s="0" t="s">
        <v>1856</v>
      </c>
      <c r="E271" s="0" t="n">
        <v>7</v>
      </c>
      <c r="F271" s="0" t="n">
        <v>1213</v>
      </c>
      <c r="G271" s="0" t="n">
        <v>2011</v>
      </c>
      <c r="H271" s="0" t="str">
        <f aca="false">"J"&amp;E271&amp;"\"&amp;F271&amp;"\"&amp;G271&amp;"\"&amp;W271</f>
        <v>J7\1213\2011\1</v>
      </c>
      <c r="I271" s="0"/>
      <c r="J271" s="1" t="n">
        <v>40738</v>
      </c>
      <c r="K271" s="0" t="n">
        <v>0</v>
      </c>
      <c r="M271" s="1"/>
      <c r="N271" s="1"/>
      <c r="O271" s="1"/>
      <c r="P271" s="1"/>
      <c r="Q271" s="1"/>
      <c r="T271" s="121"/>
      <c r="U271" s="121"/>
      <c r="V271" s="122" t="n">
        <f aca="false">IF(AND(E271&gt;0,F271&gt;0,G271&gt;0),COUNTIFS($E:$E,E271,$F:$F,F271,$G:$G,G271),"")</f>
        <v>1</v>
      </c>
      <c r="W271" s="122" t="n">
        <f aca="false">IF(V271="","",IF(V271=1,1,IF(AND(E270=E271,F270=F271,G270=G271),W270+1,1)))</f>
        <v>1</v>
      </c>
      <c r="X271" s="0" t="n">
        <v>1</v>
      </c>
      <c r="Y271" s="0" t="n">
        <v>17</v>
      </c>
      <c r="Z271" s="0" t="s">
        <v>2926</v>
      </c>
      <c r="AA271" s="0" t="n">
        <v>0</v>
      </c>
      <c r="AB271" s="0" t="s">
        <v>2927</v>
      </c>
      <c r="AC271" s="0" t="s">
        <v>930</v>
      </c>
      <c r="AD271" s="0" t="s">
        <v>211</v>
      </c>
      <c r="AE271" s="0" t="n">
        <v>0</v>
      </c>
      <c r="AF271" s="0" t="s">
        <v>2928</v>
      </c>
      <c r="AG271" s="0" t="n">
        <v>0</v>
      </c>
      <c r="AH271" s="0" t="s">
        <v>2929</v>
      </c>
      <c r="AI271" s="0" t="s">
        <v>789</v>
      </c>
      <c r="AJ271" s="0" t="s">
        <v>229</v>
      </c>
      <c r="AL271" s="0" t="s">
        <v>2930</v>
      </c>
      <c r="AM271" s="0" t="n">
        <v>0</v>
      </c>
      <c r="AN271" s="0" t="s">
        <v>2929</v>
      </c>
      <c r="AO271" s="0" t="s">
        <v>789</v>
      </c>
      <c r="AP271" s="0" t="s">
        <v>229</v>
      </c>
      <c r="AR271" s="0" t="s">
        <v>2931</v>
      </c>
      <c r="AS271" s="0" t="n">
        <v>0</v>
      </c>
      <c r="AT271" s="0" t="s">
        <v>2929</v>
      </c>
      <c r="AU271" s="0" t="s">
        <v>789</v>
      </c>
      <c r="AV271" s="0" t="s">
        <v>229</v>
      </c>
      <c r="AX271" s="0" t="s">
        <v>2932</v>
      </c>
      <c r="AY271" s="0" t="n">
        <v>0</v>
      </c>
      <c r="AZ271" s="0" t="s">
        <v>2929</v>
      </c>
      <c r="BA271" s="0" t="s">
        <v>789</v>
      </c>
      <c r="BB271" s="0" t="s">
        <v>229</v>
      </c>
      <c r="BD271" s="0" t="s">
        <v>2933</v>
      </c>
      <c r="BE271" s="0" t="n">
        <v>0</v>
      </c>
      <c r="BF271" s="0" t="s">
        <v>2929</v>
      </c>
      <c r="BG271" s="0" t="s">
        <v>789</v>
      </c>
      <c r="BH271" s="0" t="s">
        <v>229</v>
      </c>
      <c r="BJ271" s="0" t="s">
        <v>2934</v>
      </c>
      <c r="BK271" s="0" t="n">
        <v>0</v>
      </c>
      <c r="BL271" s="0" t="s">
        <v>2929</v>
      </c>
      <c r="BM271" s="0" t="s">
        <v>789</v>
      </c>
      <c r="BN271" s="0" t="s">
        <v>229</v>
      </c>
      <c r="BP271" s="0" t="n">
        <v>0</v>
      </c>
      <c r="BQ271" s="0" t="n">
        <v>0</v>
      </c>
      <c r="BR271" s="0" t="n">
        <v>1</v>
      </c>
      <c r="BS271" s="0" t="s">
        <v>2935</v>
      </c>
      <c r="BT271" s="0" t="s">
        <v>2936</v>
      </c>
      <c r="BV271" s="123"/>
      <c r="BW271" s="123"/>
      <c r="BX271" s="123"/>
      <c r="BY271" s="123"/>
      <c r="BZ271" s="0" t="n">
        <v>0</v>
      </c>
      <c r="CA271" s="0" t="s">
        <v>216</v>
      </c>
      <c r="CD271" s="0" t="s">
        <v>256</v>
      </c>
      <c r="CE271" s="0" t="n">
        <v>0</v>
      </c>
      <c r="CF271" s="0" t="s">
        <v>2937</v>
      </c>
      <c r="CI271" s="1" t="n">
        <v>39455</v>
      </c>
      <c r="CJ271" s="1" t="n">
        <v>40690</v>
      </c>
      <c r="CK271" s="124" t="n">
        <v>0.479166666666667</v>
      </c>
      <c r="CL271" s="0" t="s">
        <v>2938</v>
      </c>
      <c r="CM271" s="0" t="n">
        <f aca="false">IF(OR(CI271="",CJ271=""),"",DAYS360(CI271,CJ271)/360)</f>
        <v>3.38611111111111</v>
      </c>
      <c r="CN271" s="0" t="n">
        <f aca="false">IF(OR(CI271="",CJ271=""),"",DAYS360(CI271,CJ271)/30)</f>
        <v>40.6333333333333</v>
      </c>
      <c r="CO271" s="0" t="n">
        <f aca="false">IF(OR(CI271="",CJ271=""),"",DAYS360(CI271,CJ271)/7)</f>
        <v>174.142857142857</v>
      </c>
      <c r="CP271" s="0" t="n">
        <f aca="false">IF(OR(CI271="",CJ271=""),"",DAYS360(CI271,CJ271))</f>
        <v>1219</v>
      </c>
      <c r="CQ271" s="0" t="s">
        <v>240</v>
      </c>
      <c r="CR271" s="0" t="n">
        <v>1</v>
      </c>
      <c r="CT271" s="0" t="s">
        <v>221</v>
      </c>
      <c r="CU271" s="0" t="s">
        <v>221</v>
      </c>
      <c r="CV271" s="0" t="str">
        <f aca="false">IF(OR(CT271="",CT271="NO ESPECIFICA",CT271="NO MENCIONA"),"",IF(CU271=0,CT271,IF(CU271=1,CT271/30,IF(CU271=2,CT271/15,IF(CU271=3,CT271/7,"")))))</f>
        <v/>
      </c>
      <c r="CW271" s="125" t="n">
        <v>9600</v>
      </c>
      <c r="CX271" s="0" t="n">
        <v>1</v>
      </c>
      <c r="CY271" s="0" t="n">
        <f aca="false">IF(CW271="","",IF(CX271=0,CW271,IF(CX271=1,CW271/30,IF(CX271=2,CW271/15,IF(CX271=3,CW271/7,CW271)))))</f>
        <v>320</v>
      </c>
      <c r="CZ271" s="0" t="n">
        <f aca="false">IF(DI271&gt;0,DI271,IF(CY271&gt;0,CY271,IF(CV271&gt;0,CV271,"")))</f>
        <v>320</v>
      </c>
      <c r="DA271" s="0" t="n">
        <f aca="false">IF(DM271=1,CZ271/8,IF(OR(DM271=2,DM271=4),CZ271/7,IF(DM271=3,CZ271/7.5,"")))</f>
        <v>40</v>
      </c>
      <c r="DB271" s="0" t="s">
        <v>216</v>
      </c>
      <c r="DC271" s="0" t="s">
        <v>216</v>
      </c>
      <c r="DD271" s="0" t="s">
        <v>216</v>
      </c>
      <c r="DE271" s="0" t="s">
        <v>216</v>
      </c>
      <c r="DF271" s="0" t="s">
        <v>216</v>
      </c>
      <c r="DG271" s="0" t="s">
        <v>216</v>
      </c>
      <c r="DH271" s="0" t="n">
        <v>0</v>
      </c>
      <c r="DI271" s="126" t="n">
        <f aca="false">9600/30</f>
        <v>320</v>
      </c>
      <c r="DK271" s="0" t="n">
        <v>1</v>
      </c>
      <c r="DM271" s="0" t="n">
        <v>1</v>
      </c>
      <c r="DN271" s="0" t="n">
        <v>41</v>
      </c>
      <c r="DO271" s="0" t="n">
        <v>3</v>
      </c>
      <c r="DP271" s="0" t="n">
        <v>0</v>
      </c>
      <c r="DQ271" s="0" t="n">
        <v>1</v>
      </c>
      <c r="DR271" s="0"/>
      <c r="DS271" s="0" t="n">
        <v>1</v>
      </c>
      <c r="DU271" s="0" t="n">
        <v>1</v>
      </c>
      <c r="DW271" s="1" t="n">
        <v>39455</v>
      </c>
      <c r="DX271" s="1" t="n">
        <v>40690</v>
      </c>
      <c r="DZ271" s="0"/>
      <c r="EA271" s="0" t="n">
        <v>1</v>
      </c>
      <c r="EC271" s="1" t="n">
        <v>39661</v>
      </c>
      <c r="ED271" s="1" t="s">
        <v>2939</v>
      </c>
      <c r="EF271" s="0"/>
      <c r="EG271" s="0" t="n">
        <v>1</v>
      </c>
      <c r="EH271" s="0" t="n">
        <v>4</v>
      </c>
      <c r="EI271" s="0" t="str">
        <f aca="false">IF(AND(DM271=1,DN271&lt;=48),"",IF(AND(DM271=2,DN271&lt;=42),"",IF(AND(DM271=3,DN271&lt;=45),"",EH271)))</f>
        <v/>
      </c>
      <c r="EJ271" s="0" t="str">
        <f aca="false">IF(EI271="","",IF(EI271&lt;9,EI271,9))</f>
        <v/>
      </c>
      <c r="EK271" s="0" t="str">
        <f aca="false">IF(EI271="","",IF(EI271&gt;9,EI271-EJ271,0))</f>
        <v/>
      </c>
      <c r="EL271" s="0" t="str">
        <f aca="false">IF(EI271="","",EJ271*DA271*2+EK271*DA271*3)</f>
        <v/>
      </c>
      <c r="EP271" s="0" t="n">
        <v>0</v>
      </c>
      <c r="EQ271" s="0"/>
      <c r="ER271" s="0" t="n">
        <v>0</v>
      </c>
      <c r="ET271" s="0" t="n">
        <v>0</v>
      </c>
      <c r="EV271" s="0" t="n">
        <v>0</v>
      </c>
      <c r="EX271" s="0" t="n">
        <v>1</v>
      </c>
      <c r="EY271" s="0" t="n">
        <v>0</v>
      </c>
      <c r="EZ271" s="0"/>
      <c r="FA271" s="4" t="n">
        <v>4796</v>
      </c>
      <c r="FB271" s="0" t="n">
        <v>0</v>
      </c>
      <c r="FF271" s="120" t="n">
        <f aca="false">(CJ271-CI271+1)/365</f>
        <v>3.38630136986301</v>
      </c>
      <c r="FG271" s="0" t="str">
        <f aca="false">CONCATENATE(F271,"/",G271)</f>
        <v>1213/2011</v>
      </c>
      <c r="FH271" s="0" t="n">
        <v>0</v>
      </c>
      <c r="FI271" s="0" t="n">
        <v>0</v>
      </c>
    </row>
    <row r="272" customFormat="false" ht="15" hidden="false" customHeight="false" outlineLevel="0" collapsed="false">
      <c r="A272" s="5" t="str">
        <f aca="false">E272&amp;G272&amp;F272</f>
        <v>720111214</v>
      </c>
      <c r="B272" s="0" t="s">
        <v>2925</v>
      </c>
      <c r="C272" s="1" t="n">
        <v>42408</v>
      </c>
      <c r="D272" s="0" t="s">
        <v>1856</v>
      </c>
      <c r="E272" s="0" t="n">
        <v>7</v>
      </c>
      <c r="F272" s="0" t="n">
        <v>1214</v>
      </c>
      <c r="G272" s="0" t="n">
        <v>2011</v>
      </c>
      <c r="H272" s="0" t="str">
        <f aca="false">"J"&amp;E272&amp;"\"&amp;F272&amp;"\"&amp;G272&amp;"\"&amp;W272</f>
        <v>J7\1214\2011\1</v>
      </c>
      <c r="I272" s="0"/>
      <c r="J272" s="1" t="n">
        <v>40738</v>
      </c>
      <c r="K272" s="0" t="n">
        <v>0</v>
      </c>
      <c r="M272" s="1"/>
      <c r="N272" s="1"/>
      <c r="O272" s="1"/>
      <c r="P272" s="1"/>
      <c r="Q272" s="1"/>
      <c r="T272" s="121"/>
      <c r="U272" s="121"/>
      <c r="V272" s="122" t="n">
        <f aca="false">IF(AND(E272&gt;0,F272&gt;0,G272&gt;0),COUNTIFS($E:$E,E272,$F:$F,F272,$G:$G,G272),"")</f>
        <v>1</v>
      </c>
      <c r="W272" s="122" t="n">
        <f aca="false">IF(V272="","",IF(V272=1,1,IF(AND(E271=E272,F271=F272,G271=G272),W271+1,1)))</f>
        <v>1</v>
      </c>
      <c r="X272" s="0" t="n">
        <v>1</v>
      </c>
      <c r="Y272" s="0" t="n">
        <v>2</v>
      </c>
      <c r="Z272" s="0" t="s">
        <v>2940</v>
      </c>
      <c r="AA272" s="0" t="n">
        <v>0</v>
      </c>
      <c r="AB272" s="0" t="s">
        <v>2941</v>
      </c>
      <c r="AC272" s="0" t="s">
        <v>228</v>
      </c>
      <c r="AD272" s="0" t="s">
        <v>229</v>
      </c>
      <c r="AE272" s="0" t="n">
        <v>0</v>
      </c>
      <c r="AF272" s="0" t="s">
        <v>2942</v>
      </c>
      <c r="AG272" s="0" t="n">
        <v>1</v>
      </c>
      <c r="AH272" s="0" t="s">
        <v>2943</v>
      </c>
      <c r="AI272" s="0" t="s">
        <v>2944</v>
      </c>
      <c r="AJ272" s="0" t="s">
        <v>229</v>
      </c>
      <c r="AL272" s="0" t="s">
        <v>1637</v>
      </c>
      <c r="AM272" s="0" t="n">
        <v>1</v>
      </c>
      <c r="AN272" s="0" t="s">
        <v>2943</v>
      </c>
      <c r="AO272" s="0" t="s">
        <v>2944</v>
      </c>
      <c r="AP272" s="0" t="s">
        <v>229</v>
      </c>
      <c r="BP272" s="0" t="n">
        <v>0</v>
      </c>
      <c r="BQ272" s="0" t="n">
        <v>0</v>
      </c>
      <c r="BR272" s="0" t="n">
        <v>3</v>
      </c>
      <c r="BS272" s="0" t="s">
        <v>651</v>
      </c>
      <c r="BT272" s="0" t="s">
        <v>1818</v>
      </c>
      <c r="BU272" s="0" t="s">
        <v>2945</v>
      </c>
      <c r="BV272" s="123"/>
      <c r="BW272" s="123"/>
      <c r="BX272" s="123"/>
      <c r="BY272" s="123"/>
      <c r="BZ272" s="0" t="n">
        <v>0</v>
      </c>
      <c r="CA272" s="0" t="s">
        <v>348</v>
      </c>
      <c r="CD272" s="0" t="s">
        <v>256</v>
      </c>
      <c r="CE272" s="0" t="n">
        <v>0</v>
      </c>
      <c r="CF272" s="0" t="s">
        <v>2946</v>
      </c>
      <c r="CI272" s="1" t="n">
        <v>40554</v>
      </c>
      <c r="CJ272" s="1" t="n">
        <v>40694</v>
      </c>
      <c r="CK272" s="124" t="n">
        <v>0.416666666666667</v>
      </c>
      <c r="CL272" s="0" t="s">
        <v>2942</v>
      </c>
      <c r="CM272" s="0" t="n">
        <f aca="false">IF(OR(CI272="",CJ272=""),"",DAYS360(CI272,CJ272)/360)</f>
        <v>0.388888888888889</v>
      </c>
      <c r="CN272" s="0" t="n">
        <f aca="false">IF(OR(CI272="",CJ272=""),"",DAYS360(CI272,CJ272)/30)</f>
        <v>4.66666666666667</v>
      </c>
      <c r="CO272" s="0" t="n">
        <f aca="false">IF(OR(CI272="",CJ272=""),"",DAYS360(CI272,CJ272)/7)</f>
        <v>20</v>
      </c>
      <c r="CP272" s="0" t="n">
        <f aca="false">IF(OR(CI272="",CJ272=""),"",DAYS360(CI272,CJ272))</f>
        <v>140</v>
      </c>
      <c r="CQ272" s="0" t="s">
        <v>240</v>
      </c>
      <c r="CR272" s="0" t="n">
        <v>1</v>
      </c>
      <c r="CT272" s="0" t="n">
        <v>142.85</v>
      </c>
      <c r="CU272" s="0" t="n">
        <v>0</v>
      </c>
      <c r="CV272" s="0" t="n">
        <f aca="false">IF(OR(CT272="",CT272="NO ESPECIFICA",CT272="NO MENCIONA"),"",IF(CU272=0,CT272,IF(CU272=1,CT272/30,IF(CU272=2,CT272/15,IF(CU272=3,CT272/7,"")))))</f>
        <v>142.85</v>
      </c>
      <c r="CW272" s="125" t="n">
        <v>149.3</v>
      </c>
      <c r="CX272" s="0" t="n">
        <v>0</v>
      </c>
      <c r="CY272" s="0" t="n">
        <f aca="false">IF(CW272="","",IF(CX272=0,CW272,IF(CX272=1,CW272/30,IF(CX272=2,CW272/15,IF(CX272=3,CW272/7,CW272)))))</f>
        <v>149.3</v>
      </c>
      <c r="CZ272" s="0" t="n">
        <f aca="false">IF(DI272&gt;0,DI272,IF(CY272&gt;0,CY272,IF(CV272&gt;0,CV272,"")))</f>
        <v>149.3</v>
      </c>
      <c r="DA272" s="0" t="n">
        <f aca="false">IF(DM272=1,CZ272/8,IF(OR(DM272=2,DM272=4),CZ272/7,IF(DM272=3,CZ272/7.5,"")))</f>
        <v>18.6625</v>
      </c>
      <c r="DB272" s="0" t="s">
        <v>1935</v>
      </c>
      <c r="DC272" s="0" t="s">
        <v>301</v>
      </c>
      <c r="DD272" s="0" t="s">
        <v>216</v>
      </c>
      <c r="DE272" s="0" t="s">
        <v>216</v>
      </c>
      <c r="DF272" s="0" t="s">
        <v>216</v>
      </c>
      <c r="DG272" s="0" t="s">
        <v>216</v>
      </c>
      <c r="DH272" s="0" t="n">
        <v>0</v>
      </c>
      <c r="DI272" s="126" t="n">
        <v>149.3</v>
      </c>
      <c r="DK272" s="0" t="n">
        <v>0</v>
      </c>
      <c r="DM272" s="0" t="n">
        <v>1</v>
      </c>
      <c r="DN272" s="0" t="n">
        <v>54</v>
      </c>
      <c r="DO272" s="0" t="n">
        <v>3</v>
      </c>
      <c r="DP272" s="0" t="n">
        <v>0</v>
      </c>
      <c r="DQ272" s="0" t="n">
        <v>1</v>
      </c>
      <c r="DR272" s="0"/>
      <c r="DS272" s="0" t="n">
        <v>1</v>
      </c>
      <c r="DU272" s="0" t="n">
        <v>1</v>
      </c>
      <c r="DW272" s="1" t="n">
        <v>40554</v>
      </c>
      <c r="DX272" s="1" t="n">
        <v>40694</v>
      </c>
      <c r="DZ272" s="0"/>
      <c r="EA272" s="0" t="n">
        <v>1</v>
      </c>
      <c r="EC272" s="1" t="n">
        <v>40554</v>
      </c>
      <c r="ED272" s="1" t="n">
        <v>40694</v>
      </c>
      <c r="EF272" s="0"/>
      <c r="EG272" s="0" t="n">
        <v>0</v>
      </c>
      <c r="EI272" s="0" t="n">
        <f aca="false">IF(AND(DM272=1,DN272&lt;=48),"",IF(AND(DM272=2,DN272&lt;=42),"",IF(AND(DM272=3,DN272&lt;=45),"",EH272)))</f>
        <v>0</v>
      </c>
      <c r="EJ272" s="0" t="str">
        <f aca="false">IF(EI272="","",IF(EI272&lt;9,EI272,9))</f>
        <v/>
      </c>
      <c r="EK272" s="0" t="str">
        <f aca="false">IF(EI272="","",IF(EI272&gt;9,EI272-EJ272,0))</f>
        <v/>
      </c>
      <c r="EL272" s="0" t="str">
        <f aca="false">IF(EI272="","",EJ272*DA272*2+EK272*DA272*3)</f>
        <v/>
      </c>
      <c r="EP272" s="0" t="n">
        <v>0</v>
      </c>
      <c r="EQ272" s="0"/>
      <c r="ER272" s="0" t="n">
        <v>0</v>
      </c>
      <c r="ET272" s="0" t="n">
        <v>0</v>
      </c>
      <c r="EV272" s="0" t="n">
        <v>0</v>
      </c>
      <c r="EX272" s="0" t="n">
        <v>0</v>
      </c>
      <c r="EY272" s="0" t="n">
        <v>0</v>
      </c>
      <c r="EZ272" s="0"/>
      <c r="FA272" s="4" t="n">
        <f aca="false">30*DI272</f>
        <v>4479</v>
      </c>
      <c r="FB272" s="0" t="n">
        <v>1</v>
      </c>
      <c r="FF272" s="120" t="n">
        <f aca="false">(CJ272-CI272+1)/365</f>
        <v>0.386301369863014</v>
      </c>
      <c r="FG272" s="0" t="str">
        <f aca="false">CONCATENATE(F272,"/",G272)</f>
        <v>1214/2011</v>
      </c>
      <c r="FH272" s="0" t="n">
        <v>0</v>
      </c>
      <c r="FI272" s="0" t="n">
        <v>0</v>
      </c>
    </row>
    <row r="273" customFormat="false" ht="15" hidden="false" customHeight="false" outlineLevel="0" collapsed="false">
      <c r="A273" s="5" t="str">
        <f aca="false">E273&amp;G273&amp;F273</f>
        <v>720111216</v>
      </c>
      <c r="B273" s="0" t="s">
        <v>2925</v>
      </c>
      <c r="C273" s="1" t="n">
        <v>42408</v>
      </c>
      <c r="D273" s="0" t="s">
        <v>1856</v>
      </c>
      <c r="E273" s="0" t="n">
        <v>7</v>
      </c>
      <c r="F273" s="0" t="n">
        <v>1216</v>
      </c>
      <c r="G273" s="0" t="n">
        <v>2011</v>
      </c>
      <c r="H273" s="0" t="str">
        <f aca="false">"J"&amp;E273&amp;"\"&amp;F273&amp;"\"&amp;G273&amp;"\"&amp;W273</f>
        <v>J7\1216\2011\1</v>
      </c>
      <c r="I273" s="0"/>
      <c r="J273" s="1" t="n">
        <v>40738</v>
      </c>
      <c r="K273" s="0" t="n">
        <v>0</v>
      </c>
      <c r="M273" s="1"/>
      <c r="N273" s="1"/>
      <c r="O273" s="1"/>
      <c r="P273" s="1"/>
      <c r="Q273" s="1"/>
      <c r="T273" s="121"/>
      <c r="U273" s="121"/>
      <c r="V273" s="122" t="n">
        <f aca="false">IF(AND(E273&gt;0,F273&gt;0,G273&gt;0),COUNTIFS($E:$E,E273,$F:$F,F273,$G:$G,G273),"")</f>
        <v>1</v>
      </c>
      <c r="W273" s="122" t="n">
        <f aca="false">IF(V273="","",IF(V273=1,1,IF(AND(E272=E273,F272=F273,G272=G273),W272+1,1)))</f>
        <v>1</v>
      </c>
      <c r="X273" s="0" t="n">
        <v>1</v>
      </c>
      <c r="Y273" s="0" t="n">
        <v>13</v>
      </c>
      <c r="Z273" s="0" t="s">
        <v>2947</v>
      </c>
      <c r="AA273" s="0" t="n">
        <v>0</v>
      </c>
      <c r="AB273" s="0" t="s">
        <v>2948</v>
      </c>
      <c r="AC273" s="0" t="s">
        <v>1611</v>
      </c>
      <c r="AD273" s="0" t="s">
        <v>221</v>
      </c>
      <c r="AE273" s="0" t="n">
        <v>0</v>
      </c>
      <c r="AF273" s="0" t="s">
        <v>2949</v>
      </c>
      <c r="AG273" s="0" t="n">
        <v>0</v>
      </c>
      <c r="AH273" s="0" t="s">
        <v>2950</v>
      </c>
      <c r="AI273" s="0" t="s">
        <v>380</v>
      </c>
      <c r="AJ273" s="0" t="s">
        <v>221</v>
      </c>
      <c r="AL273" s="0" t="s">
        <v>2826</v>
      </c>
      <c r="AM273" s="0" t="n">
        <v>0</v>
      </c>
      <c r="AN273" s="0" t="s">
        <v>2950</v>
      </c>
      <c r="AO273" s="0" t="s">
        <v>380</v>
      </c>
      <c r="AP273" s="0" t="s">
        <v>221</v>
      </c>
      <c r="AR273" s="0" t="s">
        <v>2824</v>
      </c>
      <c r="AS273" s="0" t="n">
        <v>0</v>
      </c>
      <c r="AT273" s="0" t="s">
        <v>2950</v>
      </c>
      <c r="AU273" s="0" t="s">
        <v>380</v>
      </c>
      <c r="AV273" s="0" t="s">
        <v>221</v>
      </c>
      <c r="AX273" s="0" t="s">
        <v>2951</v>
      </c>
      <c r="AY273" s="0" t="n">
        <v>0</v>
      </c>
      <c r="AZ273" s="0" t="s">
        <v>2950</v>
      </c>
      <c r="BA273" s="0" t="s">
        <v>380</v>
      </c>
      <c r="BB273" s="0" t="s">
        <v>221</v>
      </c>
      <c r="BD273" s="0" t="s">
        <v>2952</v>
      </c>
      <c r="BE273" s="0" t="n">
        <v>1</v>
      </c>
      <c r="BF273" s="0" t="s">
        <v>2950</v>
      </c>
      <c r="BG273" s="0" t="s">
        <v>380</v>
      </c>
      <c r="BH273" s="0" t="s">
        <v>221</v>
      </c>
      <c r="BJ273" s="0" t="s">
        <v>2953</v>
      </c>
      <c r="BK273" s="0" t="n">
        <v>1</v>
      </c>
      <c r="BL273" s="0" t="s">
        <v>2950</v>
      </c>
      <c r="BM273" s="0" t="s">
        <v>380</v>
      </c>
      <c r="BN273" s="0" t="s">
        <v>221</v>
      </c>
      <c r="BP273" s="0" t="n">
        <v>0</v>
      </c>
      <c r="BQ273" s="0" t="n">
        <v>0</v>
      </c>
      <c r="BR273" s="0" t="n">
        <v>1</v>
      </c>
      <c r="BS273" s="0" t="s">
        <v>2954</v>
      </c>
      <c r="BT273" s="0" t="s">
        <v>2955</v>
      </c>
      <c r="BU273" s="0" t="s">
        <v>2956</v>
      </c>
      <c r="BV273" s="123"/>
      <c r="BW273" s="123"/>
      <c r="BX273" s="123"/>
      <c r="BY273" s="123"/>
      <c r="BZ273" s="0" t="n">
        <v>0</v>
      </c>
      <c r="CA273" s="0" t="s">
        <v>216</v>
      </c>
      <c r="CD273" s="0" t="s">
        <v>370</v>
      </c>
      <c r="CE273" s="0" t="n">
        <v>0</v>
      </c>
      <c r="CF273" s="0" t="s">
        <v>1789</v>
      </c>
      <c r="CI273" s="1" t="n">
        <v>37459</v>
      </c>
      <c r="CJ273" s="1" t="n">
        <v>40741</v>
      </c>
      <c r="CK273" s="124" t="n">
        <v>0.416666666666667</v>
      </c>
      <c r="CL273" s="0" t="s">
        <v>2829</v>
      </c>
      <c r="CM273" s="0" t="n">
        <f aca="false">IF(OR(CI273="",CJ273=""),"",DAYS360(CI273,CJ273)/360)</f>
        <v>8.98611111111111</v>
      </c>
      <c r="CN273" s="0" t="n">
        <f aca="false">IF(OR(CI273="",CJ273=""),"",DAYS360(CI273,CJ273)/30)</f>
        <v>107.833333333333</v>
      </c>
      <c r="CO273" s="0" t="n">
        <f aca="false">IF(OR(CI273="",CJ273=""),"",DAYS360(CI273,CJ273)/7)</f>
        <v>462.142857142857</v>
      </c>
      <c r="CP273" s="0" t="n">
        <f aca="false">IF(OR(CI273="",CJ273=""),"",DAYS360(CI273,CJ273))</f>
        <v>3235</v>
      </c>
      <c r="CQ273" s="0" t="s">
        <v>240</v>
      </c>
      <c r="CR273" s="0" t="n">
        <v>1</v>
      </c>
      <c r="CT273" s="0" t="n">
        <v>250.15</v>
      </c>
      <c r="CU273" s="0" t="n">
        <v>0</v>
      </c>
      <c r="CV273" s="0" t="n">
        <f aca="false">IF(OR(CT273="",CT273="NO ESPECIFICA",CT273="NO MENCIONA"),"",IF(CU273=0,CT273,IF(CU273=1,CT273/30,IF(CU273=2,CT273/15,IF(CU273=3,CT273/7,"")))))</f>
        <v>250.15</v>
      </c>
      <c r="CW273" s="125" t="s">
        <v>221</v>
      </c>
      <c r="CX273" s="0" t="s">
        <v>221</v>
      </c>
      <c r="CY273" s="0" t="str">
        <f aca="false">IF(CW273="","",IF(CX273=0,CW273,IF(CX273=1,CW273/30,IF(CX273=2,CW273/15,IF(CX273=3,CW273/7,CW273)))))</f>
        <v>NO ESPECIFICA</v>
      </c>
      <c r="CZ273" s="0" t="n">
        <f aca="false">IF(DI273&gt;0,DI273,IF(CY273&gt;0,CY273,IF(CV273&gt;0,CV273,"")))</f>
        <v>250.15</v>
      </c>
      <c r="DA273" s="0" t="n">
        <f aca="false">IF(DM273=1,CZ273/8,IF(OR(DM273=2,DM273=4),CZ273/7,IF(DM273=3,CZ273/7.5,"")))</f>
        <v>31.26875</v>
      </c>
      <c r="DB273" s="0" t="s">
        <v>2957</v>
      </c>
      <c r="DC273" s="0" t="s">
        <v>2958</v>
      </c>
      <c r="DD273" s="0" t="s">
        <v>299</v>
      </c>
      <c r="DE273" s="0" t="s">
        <v>2959</v>
      </c>
      <c r="DF273" s="0" t="s">
        <v>1446</v>
      </c>
      <c r="DG273" s="0" t="s">
        <v>216</v>
      </c>
      <c r="DH273" s="0" t="n">
        <v>0</v>
      </c>
      <c r="DI273" s="126" t="n">
        <v>250.15</v>
      </c>
      <c r="DK273" s="0" t="n">
        <v>0</v>
      </c>
      <c r="DM273" s="0" t="n">
        <v>1</v>
      </c>
      <c r="DN273" s="0" t="n">
        <f aca="false">14*7</f>
        <v>98</v>
      </c>
      <c r="DO273" s="0" t="n">
        <v>3</v>
      </c>
      <c r="DP273" s="0" t="n">
        <v>0</v>
      </c>
      <c r="DQ273" s="0" t="n">
        <v>1</v>
      </c>
      <c r="DR273" s="0"/>
      <c r="DS273" s="0" t="n">
        <v>1</v>
      </c>
      <c r="DU273" s="0" t="n">
        <v>1</v>
      </c>
      <c r="DW273" s="1" t="n">
        <v>40016</v>
      </c>
      <c r="DX273" s="1" t="n">
        <v>40741</v>
      </c>
      <c r="DZ273" s="0"/>
      <c r="EA273" s="0" t="n">
        <v>1</v>
      </c>
      <c r="EC273" s="1" t="n">
        <v>39814</v>
      </c>
      <c r="ED273" s="1" t="s">
        <v>2960</v>
      </c>
      <c r="EF273" s="0"/>
      <c r="EG273" s="0" t="n">
        <v>1</v>
      </c>
      <c r="EH273" s="0" t="n">
        <v>42</v>
      </c>
      <c r="EI273" s="0" t="n">
        <f aca="false">IF(AND(DM273=1,DN273&lt;=48),"",IF(AND(DM273=2,DN273&lt;=42),"",IF(AND(DM273=3,DN273&lt;=45),"",EH273)))</f>
        <v>42</v>
      </c>
      <c r="EJ273" s="0" t="n">
        <f aca="false">IF(EI273="","",IF(EI273&lt;9,EI273,9))</f>
        <v>9</v>
      </c>
      <c r="EK273" s="0" t="n">
        <f aca="false">IF(EI273="","",IF(EI273&gt;9,EI273-EJ273,0))</f>
        <v>33</v>
      </c>
      <c r="EL273" s="0" t="n">
        <f aca="false">IF(EI273="","",EJ273*DA273*2+EK273*DA273*3)</f>
        <v>3658.44375</v>
      </c>
      <c r="EP273" s="0" t="n">
        <v>0</v>
      </c>
      <c r="EQ273" s="0"/>
      <c r="ER273" s="0" t="n">
        <v>0</v>
      </c>
      <c r="ET273" s="0" t="n">
        <v>1</v>
      </c>
      <c r="EV273" s="0" t="n">
        <v>1</v>
      </c>
      <c r="EX273" s="0" t="n">
        <v>1</v>
      </c>
      <c r="EY273" s="0" t="n">
        <v>1</v>
      </c>
      <c r="EZ273" s="4" t="n">
        <v>19000</v>
      </c>
      <c r="FA273" s="0"/>
      <c r="FB273" s="0" t="n">
        <v>1</v>
      </c>
      <c r="FF273" s="120" t="n">
        <f aca="false">(CJ273-CI273+1)/365</f>
        <v>8.99452054794521</v>
      </c>
      <c r="FG273" s="0" t="str">
        <f aca="false">CONCATENATE(F273,"/",G273)</f>
        <v>1216/2011</v>
      </c>
      <c r="FH273" s="0" t="n">
        <v>0</v>
      </c>
      <c r="FI273" s="0" t="n">
        <v>0</v>
      </c>
    </row>
    <row r="274" customFormat="false" ht="15" hidden="false" customHeight="false" outlineLevel="0" collapsed="false">
      <c r="A274" s="5" t="str">
        <f aca="false">E274&amp;G274&amp;F274</f>
        <v>720111217</v>
      </c>
      <c r="B274" s="0" t="s">
        <v>2925</v>
      </c>
      <c r="C274" s="1" t="n">
        <v>42408</v>
      </c>
      <c r="D274" s="0" t="s">
        <v>1856</v>
      </c>
      <c r="E274" s="0" t="n">
        <v>7</v>
      </c>
      <c r="F274" s="0" t="n">
        <v>1217</v>
      </c>
      <c r="G274" s="0" t="n">
        <v>2011</v>
      </c>
      <c r="H274" s="0" t="str">
        <f aca="false">"J"&amp;E274&amp;"\"&amp;F274&amp;"\"&amp;G274&amp;"\"&amp;W274</f>
        <v>J7\1217\2011\1</v>
      </c>
      <c r="I274" s="0"/>
      <c r="J274" s="1" t="n">
        <v>40738</v>
      </c>
      <c r="K274" s="0" t="n">
        <v>0</v>
      </c>
      <c r="M274" s="1"/>
      <c r="N274" s="1"/>
      <c r="O274" s="1"/>
      <c r="P274" s="1"/>
      <c r="Q274" s="1"/>
      <c r="T274" s="121"/>
      <c r="U274" s="121"/>
      <c r="V274" s="122" t="n">
        <f aca="false">IF(AND(E274&gt;0,F274&gt;0,G274&gt;0),COUNTIFS($E:$E,E274,$F:$F,F274,$G:$G,G274),"")</f>
        <v>2</v>
      </c>
      <c r="W274" s="122" t="n">
        <f aca="false">IF(V274="","",IF(V274=1,1,IF(AND(E273=E274,F273=F274,G273=G274),W273+1,1)))</f>
        <v>1</v>
      </c>
      <c r="X274" s="0" t="n">
        <v>2</v>
      </c>
      <c r="Y274" s="0" t="n">
        <v>3</v>
      </c>
      <c r="Z274" s="0" t="s">
        <v>2961</v>
      </c>
      <c r="AA274" s="0" t="n">
        <v>0</v>
      </c>
      <c r="AB274" s="0" t="s">
        <v>2962</v>
      </c>
      <c r="AC274" s="0" t="s">
        <v>2963</v>
      </c>
      <c r="AD274" s="0" t="s">
        <v>485</v>
      </c>
      <c r="AE274" s="0" t="n">
        <v>0</v>
      </c>
      <c r="AF274" s="0" t="s">
        <v>2964</v>
      </c>
      <c r="AG274" s="0" t="n">
        <v>1</v>
      </c>
      <c r="AH274" s="0" t="s">
        <v>2965</v>
      </c>
      <c r="AI274" s="0" t="s">
        <v>1123</v>
      </c>
      <c r="AJ274" s="0" t="s">
        <v>322</v>
      </c>
      <c r="AL274" s="0" t="s">
        <v>2966</v>
      </c>
      <c r="AM274" s="0" t="n">
        <v>0</v>
      </c>
      <c r="AN274" s="0" t="s">
        <v>2965</v>
      </c>
      <c r="AO274" s="0" t="s">
        <v>1123</v>
      </c>
      <c r="AP274" s="0" t="s">
        <v>322</v>
      </c>
      <c r="AR274" s="0" t="s">
        <v>2967</v>
      </c>
      <c r="AS274" s="0" t="n">
        <v>0</v>
      </c>
      <c r="AT274" s="0" t="s">
        <v>2968</v>
      </c>
      <c r="AU274" s="0" t="s">
        <v>760</v>
      </c>
      <c r="AV274" s="0" t="s">
        <v>268</v>
      </c>
      <c r="BP274" s="0" t="n">
        <v>0</v>
      </c>
      <c r="BQ274" s="0" t="n">
        <v>0</v>
      </c>
      <c r="BR274" s="0" t="n">
        <v>1</v>
      </c>
      <c r="BS274" s="0" t="s">
        <v>2969</v>
      </c>
      <c r="BT274" s="0" t="s">
        <v>2970</v>
      </c>
      <c r="BU274" s="0" t="s">
        <v>2971</v>
      </c>
      <c r="BV274" s="123"/>
      <c r="BW274" s="123"/>
      <c r="BX274" s="123"/>
      <c r="BY274" s="123"/>
      <c r="BZ274" s="0" t="n">
        <v>0</v>
      </c>
      <c r="CA274" s="0" t="s">
        <v>216</v>
      </c>
      <c r="CD274" s="0" t="s">
        <v>256</v>
      </c>
      <c r="CE274" s="0" t="n">
        <v>0</v>
      </c>
      <c r="CF274" s="0" t="s">
        <v>2972</v>
      </c>
      <c r="CI274" s="1" t="n">
        <v>40083</v>
      </c>
      <c r="CJ274" s="1" t="n">
        <v>40696</v>
      </c>
      <c r="CK274" s="124" t="n">
        <v>0.354166666666667</v>
      </c>
      <c r="CL274" s="0" t="s">
        <v>2964</v>
      </c>
      <c r="CM274" s="0" t="n">
        <f aca="false">IF(OR(CI274="",CJ274=""),"",DAYS360(CI274,CJ274)/360)</f>
        <v>1.68055555555556</v>
      </c>
      <c r="CN274" s="0" t="n">
        <f aca="false">IF(OR(CI274="",CJ274=""),"",DAYS360(CI274,CJ274)/30)</f>
        <v>20.1666666666667</v>
      </c>
      <c r="CO274" s="0" t="n">
        <f aca="false">IF(OR(CI274="",CJ274=""),"",DAYS360(CI274,CJ274)/7)</f>
        <v>86.4285714285714</v>
      </c>
      <c r="CP274" s="0" t="n">
        <f aca="false">IF(OR(CI274="",CJ274=""),"",DAYS360(CI274,CJ274))</f>
        <v>605</v>
      </c>
      <c r="CQ274" s="0" t="s">
        <v>240</v>
      </c>
      <c r="CR274" s="0" t="n">
        <v>1</v>
      </c>
      <c r="CT274" s="0" t="s">
        <v>221</v>
      </c>
      <c r="CU274" s="0" t="s">
        <v>221</v>
      </c>
      <c r="CV274" s="0" t="str">
        <f aca="false">IF(OR(CT274="",CT274="NO ESPECIFICA",CT274="NO MENCIONA"),"",IF(CU274=0,CT274,IF(CU274=1,CT274/30,IF(CU274=2,CT274/15,IF(CU274=3,CT274/7,"")))))</f>
        <v/>
      </c>
      <c r="CW274" s="125" t="n">
        <v>4500</v>
      </c>
      <c r="CX274" s="0" t="n">
        <v>3</v>
      </c>
      <c r="CY274" s="0" t="n">
        <f aca="false">IF(CW274="","",IF(CX274=0,CW274,IF(CX274=1,CW274/30,IF(CX274=2,CW274/15,IF(CX274=3,CW274/7,CW274)))))</f>
        <v>642.857142857143</v>
      </c>
      <c r="CZ274" s="0" t="n">
        <f aca="false">IF(DI274&gt;0,DI274,IF(CY274&gt;0,CY274,IF(CV274&gt;0,CV274,"")))</f>
        <v>642.857142857143</v>
      </c>
      <c r="DA274" s="0" t="n">
        <f aca="false">IF(DM274=1,CZ274/8,IF(OR(DM274=2,DM274=4),CZ274/7,IF(DM274=3,CZ274/7.5,"")))</f>
        <v>80.3571428571429</v>
      </c>
      <c r="DB274" s="0" t="s">
        <v>216</v>
      </c>
      <c r="DC274" s="0" t="s">
        <v>216</v>
      </c>
      <c r="DD274" s="0" t="s">
        <v>216</v>
      </c>
      <c r="DE274" s="0" t="s">
        <v>216</v>
      </c>
      <c r="DF274" s="0" t="s">
        <v>216</v>
      </c>
      <c r="DG274" s="0" t="s">
        <v>216</v>
      </c>
      <c r="DH274" s="0" t="n">
        <v>0</v>
      </c>
      <c r="DI274" s="126" t="n">
        <f aca="false">4500/7</f>
        <v>642.857142857143</v>
      </c>
      <c r="DK274" s="0" t="n">
        <v>0</v>
      </c>
      <c r="DM274" s="0" t="n">
        <v>1</v>
      </c>
      <c r="DN274" s="0" t="n">
        <v>54</v>
      </c>
      <c r="DO274" s="0" t="n">
        <v>3</v>
      </c>
      <c r="DP274" s="0" t="n">
        <v>0</v>
      </c>
      <c r="DQ274" s="0" t="n">
        <v>1</v>
      </c>
      <c r="DR274" s="0"/>
      <c r="DS274" s="0" t="n">
        <v>1</v>
      </c>
      <c r="DU274" s="0" t="n">
        <v>1</v>
      </c>
      <c r="DW274" s="1" t="s">
        <v>2973</v>
      </c>
      <c r="DX274" s="1" t="n">
        <v>40580</v>
      </c>
      <c r="DZ274" s="0"/>
      <c r="EA274" s="0" t="n">
        <v>1</v>
      </c>
      <c r="EC274" s="1" t="n">
        <v>40179</v>
      </c>
      <c r="ED274" s="1" t="n">
        <v>40696</v>
      </c>
      <c r="EF274" s="0"/>
      <c r="EG274" s="0" t="n">
        <v>1</v>
      </c>
      <c r="EH274" s="0" t="n">
        <v>6</v>
      </c>
      <c r="EI274" s="0" t="n">
        <f aca="false">IF(AND(DM274=1,DN274&lt;=48),"",IF(AND(DM274=2,DN274&lt;=42),"",IF(AND(DM274=3,DN274&lt;=45),"",EH274)))</f>
        <v>6</v>
      </c>
      <c r="EJ274" s="0" t="n">
        <f aca="false">IF(EI274="","",IF(EI274&lt;9,EI274,9))</f>
        <v>6</v>
      </c>
      <c r="EK274" s="0" t="n">
        <f aca="false">IF(EI274="","",IF(EI274&gt;9,EI274-EJ274,0))</f>
        <v>0</v>
      </c>
      <c r="EL274" s="0" t="n">
        <f aca="false">IF(EI274="","",EJ274*DA274*2+EK274*DA274*3)</f>
        <v>964.285714285714</v>
      </c>
      <c r="EP274" s="0" t="n">
        <v>0</v>
      </c>
      <c r="EQ274" s="0"/>
      <c r="ER274" s="0" t="n">
        <v>0</v>
      </c>
      <c r="ET274" s="0" t="n">
        <v>0</v>
      </c>
      <c r="EV274" s="0" t="n">
        <v>0</v>
      </c>
      <c r="EX274" s="0" t="n">
        <v>0</v>
      </c>
      <c r="EY274" s="0" t="n">
        <v>0</v>
      </c>
      <c r="EZ274" s="0"/>
      <c r="FA274" s="0"/>
      <c r="FB274" s="0" t="n">
        <v>0</v>
      </c>
      <c r="FF274" s="120" t="n">
        <f aca="false">(CJ274-CI274+1)/365</f>
        <v>1.68219178082192</v>
      </c>
      <c r="FG274" s="0" t="str">
        <f aca="false">CONCATENATE(F274,"/",G274)</f>
        <v>1217/2011</v>
      </c>
      <c r="FH274" s="0" t="n">
        <v>0</v>
      </c>
      <c r="FI274" s="0" t="n">
        <v>0</v>
      </c>
    </row>
    <row r="275" customFormat="false" ht="15" hidden="false" customHeight="false" outlineLevel="0" collapsed="false">
      <c r="A275" s="5" t="str">
        <f aca="false">E275&amp;G275&amp;F275</f>
        <v>720111217</v>
      </c>
      <c r="B275" s="0" t="s">
        <v>2925</v>
      </c>
      <c r="C275" s="1" t="n">
        <v>42408</v>
      </c>
      <c r="D275" s="0" t="s">
        <v>1856</v>
      </c>
      <c r="E275" s="0" t="n">
        <v>7</v>
      </c>
      <c r="F275" s="0" t="n">
        <v>1217</v>
      </c>
      <c r="G275" s="0" t="n">
        <v>2011</v>
      </c>
      <c r="H275" s="0" t="str">
        <f aca="false">"J"&amp;E275&amp;"\"&amp;F275&amp;"\"&amp;G275&amp;"\"&amp;W275</f>
        <v>J7\1217\2011\2</v>
      </c>
      <c r="I275" s="0"/>
      <c r="J275" s="1" t="n">
        <v>40738</v>
      </c>
      <c r="K275" s="0" t="n">
        <v>0</v>
      </c>
      <c r="M275" s="1"/>
      <c r="N275" s="1"/>
      <c r="O275" s="1"/>
      <c r="P275" s="1"/>
      <c r="Q275" s="1"/>
      <c r="T275" s="121"/>
      <c r="U275" s="121"/>
      <c r="V275" s="122" t="n">
        <f aca="false">IF(AND(E275&gt;0,F275&gt;0,G275&gt;0),COUNTIFS($E:$E,E275,$F:$F,F275,$G:$G,G275),"")</f>
        <v>2</v>
      </c>
      <c r="W275" s="122" t="n">
        <f aca="false">IF(V275="","",IF(V275=1,1,IF(AND(E274=E275,F274=F275,G274=G275),W274+1,1)))</f>
        <v>2</v>
      </c>
      <c r="X275" s="0" t="n">
        <v>2</v>
      </c>
      <c r="Y275" s="0" t="n">
        <v>3</v>
      </c>
      <c r="Z275" s="0" t="s">
        <v>2974</v>
      </c>
      <c r="AA275" s="0" t="n">
        <v>0</v>
      </c>
      <c r="AB275" s="0" t="s">
        <v>2962</v>
      </c>
      <c r="AC275" s="0" t="s">
        <v>2963</v>
      </c>
      <c r="AD275" s="0" t="s">
        <v>485</v>
      </c>
      <c r="AE275" s="0" t="n">
        <v>0</v>
      </c>
      <c r="AF275" s="0" t="s">
        <v>2964</v>
      </c>
      <c r="AG275" s="0" t="n">
        <v>1</v>
      </c>
      <c r="AH275" s="0" t="s">
        <v>2965</v>
      </c>
      <c r="AI275" s="0" t="s">
        <v>1123</v>
      </c>
      <c r="AJ275" s="0" t="s">
        <v>322</v>
      </c>
      <c r="AL275" s="0" t="s">
        <v>2966</v>
      </c>
      <c r="AM275" s="0" t="n">
        <v>0</v>
      </c>
      <c r="AN275" s="0" t="s">
        <v>2965</v>
      </c>
      <c r="AO275" s="0" t="s">
        <v>1123</v>
      </c>
      <c r="AP275" s="0" t="s">
        <v>322</v>
      </c>
      <c r="AR275" s="0" t="s">
        <v>2967</v>
      </c>
      <c r="AS275" s="0" t="n">
        <v>0</v>
      </c>
      <c r="AT275" s="0" t="s">
        <v>2968</v>
      </c>
      <c r="AU275" s="0" t="s">
        <v>760</v>
      </c>
      <c r="AV275" s="0" t="s">
        <v>268</v>
      </c>
      <c r="BP275" s="0" t="n">
        <v>0</v>
      </c>
      <c r="BQ275" s="0" t="n">
        <v>0</v>
      </c>
      <c r="BR275" s="0" t="n">
        <v>1</v>
      </c>
      <c r="BS275" s="0" t="s">
        <v>2969</v>
      </c>
      <c r="BT275" s="0" t="s">
        <v>2970</v>
      </c>
      <c r="BU275" s="0" t="s">
        <v>2971</v>
      </c>
      <c r="BV275" s="123"/>
      <c r="BW275" s="123"/>
      <c r="BX275" s="123"/>
      <c r="BY275" s="123"/>
      <c r="BZ275" s="0" t="n">
        <v>0</v>
      </c>
      <c r="CA275" s="0" t="s">
        <v>216</v>
      </c>
      <c r="CD275" s="0" t="s">
        <v>256</v>
      </c>
      <c r="CE275" s="0" t="n">
        <v>0</v>
      </c>
      <c r="CF275" s="0" t="s">
        <v>2972</v>
      </c>
      <c r="CI275" s="1" t="n">
        <v>40083</v>
      </c>
      <c r="CJ275" s="1" t="n">
        <v>40696</v>
      </c>
      <c r="CK275" s="124" t="n">
        <v>0.354166666666667</v>
      </c>
      <c r="CL275" s="0" t="s">
        <v>2964</v>
      </c>
      <c r="CM275" s="0" t="n">
        <f aca="false">IF(OR(CI275="",CJ275=""),"",DAYS360(CI275,CJ275)/360)</f>
        <v>1.68055555555556</v>
      </c>
      <c r="CN275" s="0" t="n">
        <f aca="false">IF(OR(CI275="",CJ275=""),"",DAYS360(CI275,CJ275)/30)</f>
        <v>20.1666666666667</v>
      </c>
      <c r="CO275" s="0" t="n">
        <f aca="false">IF(OR(CI275="",CJ275=""),"",DAYS360(CI275,CJ275)/7)</f>
        <v>86.4285714285714</v>
      </c>
      <c r="CP275" s="0" t="n">
        <f aca="false">IF(OR(CI275="",CJ275=""),"",DAYS360(CI275,CJ275))</f>
        <v>605</v>
      </c>
      <c r="CQ275" s="0" t="s">
        <v>240</v>
      </c>
      <c r="CR275" s="0" t="n">
        <v>1</v>
      </c>
      <c r="CT275" s="0" t="s">
        <v>221</v>
      </c>
      <c r="CU275" s="0" t="s">
        <v>221</v>
      </c>
      <c r="CV275" s="0" t="str">
        <f aca="false">IF(OR(CT275="",CT275="NO ESPECIFICA",CT275="NO MENCIONA"),"",IF(CU275=0,CT275,IF(CU275=1,CT275/30,IF(CU275=2,CT275/15,IF(CU275=3,CT275/7,"")))))</f>
        <v/>
      </c>
      <c r="CW275" s="125" t="n">
        <v>4500</v>
      </c>
      <c r="CX275" s="0" t="n">
        <v>3</v>
      </c>
      <c r="CY275" s="0" t="n">
        <f aca="false">IF(CW275="","",IF(CX275=0,CW275,IF(CX275=1,CW275/30,IF(CX275=2,CW275/15,IF(CX275=3,CW275/7,CW275)))))</f>
        <v>642.857142857143</v>
      </c>
      <c r="CZ275" s="0" t="n">
        <f aca="false">IF(DI275&gt;0,DI275,IF(CY275&gt;0,CY275,IF(CV275&gt;0,CV275,"")))</f>
        <v>642.857142857143</v>
      </c>
      <c r="DA275" s="0" t="n">
        <f aca="false">IF(DM275=1,CZ275/8,IF(OR(DM275=2,DM275=4),CZ275/7,IF(DM275=3,CZ275/7.5,"")))</f>
        <v>80.3571428571429</v>
      </c>
      <c r="DB275" s="0" t="s">
        <v>216</v>
      </c>
      <c r="DC275" s="0" t="s">
        <v>216</v>
      </c>
      <c r="DD275" s="0" t="s">
        <v>216</v>
      </c>
      <c r="DE275" s="0" t="s">
        <v>216</v>
      </c>
      <c r="DF275" s="0" t="s">
        <v>216</v>
      </c>
      <c r="DG275" s="0" t="s">
        <v>216</v>
      </c>
      <c r="DH275" s="0" t="n">
        <v>0</v>
      </c>
      <c r="DI275" s="126" t="n">
        <f aca="false">4500/7</f>
        <v>642.857142857143</v>
      </c>
      <c r="DK275" s="0" t="n">
        <v>0</v>
      </c>
      <c r="DM275" s="0" t="n">
        <v>1</v>
      </c>
      <c r="DN275" s="0" t="n">
        <v>54</v>
      </c>
      <c r="DO275" s="0" t="n">
        <v>3</v>
      </c>
      <c r="DP275" s="0" t="n">
        <v>0</v>
      </c>
      <c r="DQ275" s="0" t="n">
        <v>1</v>
      </c>
      <c r="DR275" s="0"/>
      <c r="DS275" s="0" t="n">
        <v>1</v>
      </c>
      <c r="DU275" s="0" t="n">
        <v>1</v>
      </c>
      <c r="DW275" s="1" t="s">
        <v>2973</v>
      </c>
      <c r="DX275" s="1" t="n">
        <v>40580</v>
      </c>
      <c r="DZ275" s="0"/>
      <c r="EA275" s="0" t="n">
        <v>1</v>
      </c>
      <c r="EC275" s="1" t="n">
        <v>40179</v>
      </c>
      <c r="ED275" s="1" t="n">
        <v>40696</v>
      </c>
      <c r="EF275" s="0"/>
      <c r="EG275" s="0" t="n">
        <v>1</v>
      </c>
      <c r="EH275" s="0" t="n">
        <v>6</v>
      </c>
      <c r="EI275" s="0" t="n">
        <f aca="false">IF(AND(DM275=1,DN275&lt;=48),"",IF(AND(DM275=2,DN275&lt;=42),"",IF(AND(DM275=3,DN275&lt;=45),"",EH275)))</f>
        <v>6</v>
      </c>
      <c r="EJ275" s="0" t="n">
        <f aca="false">IF(EI275="","",IF(EI275&lt;9,EI275,9))</f>
        <v>6</v>
      </c>
      <c r="EK275" s="0" t="n">
        <f aca="false">IF(EI275="","",IF(EI275&gt;9,EI275-EJ275,0))</f>
        <v>0</v>
      </c>
      <c r="EL275" s="0" t="n">
        <f aca="false">IF(EI275="","",EJ275*DA275*2+EK275*DA275*3)</f>
        <v>964.285714285714</v>
      </c>
      <c r="EP275" s="0" t="n">
        <v>0</v>
      </c>
      <c r="EQ275" s="0"/>
      <c r="ER275" s="0" t="n">
        <v>0</v>
      </c>
      <c r="ET275" s="0" t="n">
        <v>0</v>
      </c>
      <c r="EV275" s="0" t="n">
        <v>0</v>
      </c>
      <c r="EX275" s="0" t="n">
        <v>0</v>
      </c>
      <c r="EY275" s="0" t="n">
        <v>0</v>
      </c>
      <c r="EZ275" s="0"/>
      <c r="FA275" s="0"/>
      <c r="FB275" s="0" t="n">
        <v>0</v>
      </c>
      <c r="FF275" s="120" t="n">
        <f aca="false">(CJ275-CI275+1)/365</f>
        <v>1.68219178082192</v>
      </c>
      <c r="FG275" s="0" t="str">
        <f aca="false">CONCATENATE(F275,"/",G275)</f>
        <v>1217/2011</v>
      </c>
      <c r="FH275" s="0" t="n">
        <v>0</v>
      </c>
      <c r="FI275" s="0" t="n">
        <v>0</v>
      </c>
    </row>
    <row r="276" customFormat="false" ht="15" hidden="false" customHeight="false" outlineLevel="0" collapsed="false">
      <c r="A276" s="5" t="str">
        <f aca="false">E276&amp;G276&amp;F276</f>
        <v>720111218</v>
      </c>
      <c r="B276" s="0" t="s">
        <v>2925</v>
      </c>
      <c r="C276" s="1" t="n">
        <v>42408</v>
      </c>
      <c r="D276" s="0" t="s">
        <v>1856</v>
      </c>
      <c r="E276" s="0" t="n">
        <v>7</v>
      </c>
      <c r="F276" s="0" t="n">
        <v>1218</v>
      </c>
      <c r="G276" s="0" t="n">
        <v>2011</v>
      </c>
      <c r="H276" s="0" t="str">
        <f aca="false">"J"&amp;E276&amp;"\"&amp;F276&amp;"\"&amp;G276&amp;"\"&amp;W276</f>
        <v>J7\1218\2011\1</v>
      </c>
      <c r="I276" s="0"/>
      <c r="J276" s="1" t="n">
        <v>40738</v>
      </c>
      <c r="K276" s="0" t="n">
        <v>0</v>
      </c>
      <c r="M276" s="1"/>
      <c r="N276" s="1"/>
      <c r="O276" s="1"/>
      <c r="P276" s="1"/>
      <c r="Q276" s="1"/>
      <c r="T276" s="121"/>
      <c r="U276" s="121"/>
      <c r="V276" s="122" t="n">
        <f aca="false">IF(AND(E276&gt;0,F276&gt;0,G276&gt;0),COUNTIFS($E:$E,E276,$F:$F,F276,$G:$G,G276),"")</f>
        <v>1</v>
      </c>
      <c r="W276" s="122" t="n">
        <f aca="false">IF(V276="","",IF(V276=1,1,IF(AND(E275=E276,F275=F276,G275=G276),W275+1,1)))</f>
        <v>1</v>
      </c>
      <c r="X276" s="0" t="n">
        <v>1</v>
      </c>
      <c r="Y276" s="0" t="n">
        <v>3</v>
      </c>
      <c r="Z276" s="0" t="s">
        <v>2975</v>
      </c>
      <c r="AA276" s="0" t="n">
        <v>0</v>
      </c>
      <c r="AB276" s="0" t="s">
        <v>2250</v>
      </c>
      <c r="AC276" s="0" t="s">
        <v>274</v>
      </c>
      <c r="AD276" s="0" t="s">
        <v>221</v>
      </c>
      <c r="AE276" s="0" t="n">
        <v>0</v>
      </c>
      <c r="AF276" s="0" t="s">
        <v>2804</v>
      </c>
      <c r="AG276" s="0" t="n">
        <v>0</v>
      </c>
      <c r="AH276" s="0" t="s">
        <v>2976</v>
      </c>
      <c r="AI276" s="0" t="s">
        <v>221</v>
      </c>
      <c r="AJ276" s="0" t="s">
        <v>485</v>
      </c>
      <c r="AL276" s="0" t="s">
        <v>2977</v>
      </c>
      <c r="AM276" s="0" t="n">
        <v>1</v>
      </c>
      <c r="AN276" s="0" t="s">
        <v>2976</v>
      </c>
      <c r="AO276" s="0" t="s">
        <v>221</v>
      </c>
      <c r="AP276" s="0" t="s">
        <v>485</v>
      </c>
      <c r="AR276" s="0" t="s">
        <v>1637</v>
      </c>
      <c r="AS276" s="0" t="n">
        <v>1</v>
      </c>
      <c r="AT276" s="0" t="s">
        <v>2976</v>
      </c>
      <c r="AU276" s="0" t="s">
        <v>221</v>
      </c>
      <c r="AV276" s="0" t="s">
        <v>485</v>
      </c>
      <c r="BP276" s="0" t="n">
        <v>0</v>
      </c>
      <c r="BQ276" s="0" t="n">
        <v>0</v>
      </c>
      <c r="BR276" s="0" t="n">
        <v>1</v>
      </c>
      <c r="BS276" s="0" t="s">
        <v>2256</v>
      </c>
      <c r="BT276" s="0" t="s">
        <v>2978</v>
      </c>
      <c r="BU276" s="0" t="s">
        <v>2258</v>
      </c>
      <c r="BV276" s="123"/>
      <c r="BW276" s="123"/>
      <c r="BX276" s="123"/>
      <c r="BY276" s="123"/>
      <c r="BZ276" s="0" t="n">
        <v>0</v>
      </c>
      <c r="CA276" s="0" t="s">
        <v>2979</v>
      </c>
      <c r="CD276" s="0" t="s">
        <v>296</v>
      </c>
      <c r="CE276" s="0" t="n">
        <v>0</v>
      </c>
      <c r="CF276" s="0" t="s">
        <v>600</v>
      </c>
      <c r="CI276" s="1" t="n">
        <v>40581</v>
      </c>
      <c r="CJ276" s="1" t="n">
        <v>40680</v>
      </c>
      <c r="CK276" s="124" t="n">
        <v>0.479166666666667</v>
      </c>
      <c r="CL276" s="0" t="s">
        <v>2977</v>
      </c>
      <c r="CM276" s="0" t="n">
        <f aca="false">IF(OR(CI276="",CJ276=""),"",DAYS360(CI276,CJ276)/360)</f>
        <v>0.277777777777778</v>
      </c>
      <c r="CN276" s="0" t="n">
        <f aca="false">IF(OR(CI276="",CJ276=""),"",DAYS360(CI276,CJ276)/30)</f>
        <v>3.33333333333333</v>
      </c>
      <c r="CO276" s="0" t="n">
        <f aca="false">IF(OR(CI276="",CJ276=""),"",DAYS360(CI276,CJ276)/7)</f>
        <v>14.2857142857143</v>
      </c>
      <c r="CP276" s="0" t="n">
        <f aca="false">IF(OR(CI276="",CJ276=""),"",DAYS360(CI276,CJ276))</f>
        <v>100</v>
      </c>
      <c r="CQ276" s="0" t="s">
        <v>240</v>
      </c>
      <c r="CR276" s="0" t="n">
        <v>1</v>
      </c>
      <c r="CT276" s="0" t="n">
        <v>2000</v>
      </c>
      <c r="CU276" s="0" t="n">
        <v>2</v>
      </c>
      <c r="CV276" s="0" t="n">
        <f aca="false">IF(OR(CT276="",CT276="NO ESPECIFICA",CT276="NO MENCIONA"),"",IF(CU276=0,CT276,IF(CU276=1,CT276/30,IF(CU276=2,CT276/15,IF(CU276=3,CT276/7,"")))))</f>
        <v>133.333333333333</v>
      </c>
      <c r="CW276" s="125" t="s">
        <v>221</v>
      </c>
      <c r="CX276" s="0" t="s">
        <v>221</v>
      </c>
      <c r="CY276" s="0" t="str">
        <f aca="false">IF(CW276="","",IF(CX276=0,CW276,IF(CX276=1,CW276/30,IF(CX276=2,CW276/15,IF(CX276=3,CW276/7,CW276)))))</f>
        <v>NO ESPECIFICA</v>
      </c>
      <c r="CZ276" s="0" t="n">
        <f aca="false">IF(DI276&gt;0,DI276,IF(CY276&gt;0,CY276,IF(CV276&gt;0,CV276,"")))</f>
        <v>133.333333333333</v>
      </c>
      <c r="DA276" s="0" t="n">
        <f aca="false">IF(DM276=1,CZ276/8,IF(OR(DM276=2,DM276=4),CZ276/7,IF(DM276=3,CZ276/7.5,"")))</f>
        <v>16.6666666666667</v>
      </c>
      <c r="DB276" s="0" t="s">
        <v>216</v>
      </c>
      <c r="DC276" s="0" t="s">
        <v>216</v>
      </c>
      <c r="DD276" s="0" t="s">
        <v>216</v>
      </c>
      <c r="DE276" s="0" t="s">
        <v>216</v>
      </c>
      <c r="DF276" s="0" t="s">
        <v>216</v>
      </c>
      <c r="DG276" s="0" t="s">
        <v>216</v>
      </c>
      <c r="DH276" s="0" t="n">
        <v>0</v>
      </c>
      <c r="DI276" s="126" t="n">
        <f aca="false">2000/15</f>
        <v>133.333333333333</v>
      </c>
      <c r="DK276" s="0" t="n">
        <v>1</v>
      </c>
      <c r="DM276" s="0" t="n">
        <v>1</v>
      </c>
      <c r="DN276" s="0" t="n">
        <v>48</v>
      </c>
      <c r="DO276" s="0" t="n">
        <v>3</v>
      </c>
      <c r="DP276" s="0" t="n">
        <v>0</v>
      </c>
      <c r="DQ276" s="0" t="n">
        <v>1</v>
      </c>
      <c r="DR276" s="0"/>
      <c r="DS276" s="0" t="n">
        <v>1</v>
      </c>
      <c r="DU276" s="0" t="n">
        <v>1</v>
      </c>
      <c r="DW276" s="1" t="n">
        <v>40581</v>
      </c>
      <c r="DX276" s="1" t="n">
        <v>40680</v>
      </c>
      <c r="DZ276" s="0"/>
      <c r="EA276" s="0" t="n">
        <v>1</v>
      </c>
      <c r="EC276" s="1" t="n">
        <v>40726</v>
      </c>
      <c r="ED276" s="1" t="s">
        <v>2980</v>
      </c>
      <c r="EF276" s="0"/>
      <c r="EG276" s="0" t="n">
        <v>0</v>
      </c>
      <c r="EI276" s="0" t="str">
        <f aca="false">IF(AND(DM276=1,DN276&lt;=48),"",IF(AND(DM276=2,DN276&lt;=42),"",IF(AND(DM276=3,DN276&lt;=45),"",EH276)))</f>
        <v/>
      </c>
      <c r="EJ276" s="0" t="str">
        <f aca="false">IF(EI276="","",IF(EI276&lt;9,EI276,9))</f>
        <v/>
      </c>
      <c r="EK276" s="0" t="str">
        <f aca="false">IF(EI276="","",IF(EI276&gt;9,EI276-EJ276,0))</f>
        <v/>
      </c>
      <c r="EL276" s="0" t="str">
        <f aca="false">IF(EI276="","",EJ276*DA276*2+EK276*DA276*3)</f>
        <v/>
      </c>
      <c r="EP276" s="0" t="n">
        <v>0</v>
      </c>
      <c r="EQ276" s="0"/>
      <c r="ER276" s="0" t="n">
        <v>0</v>
      </c>
      <c r="ET276" s="0" t="n">
        <v>0</v>
      </c>
      <c r="EV276" s="0" t="n">
        <v>1</v>
      </c>
      <c r="EX276" s="0" t="n">
        <v>1</v>
      </c>
      <c r="EY276" s="0" t="n">
        <v>1</v>
      </c>
      <c r="EZ276" s="0"/>
      <c r="FA276" s="0"/>
      <c r="FB276" s="0" t="n">
        <v>0</v>
      </c>
      <c r="FF276" s="120" t="n">
        <f aca="false">(CJ276-CI276+1)/365</f>
        <v>0.273972602739726</v>
      </c>
      <c r="FG276" s="0" t="str">
        <f aca="false">CONCATENATE(F276,"/",G276)</f>
        <v>1218/2011</v>
      </c>
      <c r="FH276" s="0" t="n">
        <v>0</v>
      </c>
      <c r="FI276" s="0" t="n">
        <v>0</v>
      </c>
    </row>
    <row r="277" customFormat="false" ht="15" hidden="false" customHeight="false" outlineLevel="0" collapsed="false">
      <c r="A277" s="5" t="str">
        <f aca="false">E277&amp;G277&amp;F277</f>
        <v>720111221</v>
      </c>
      <c r="B277" s="0" t="s">
        <v>2925</v>
      </c>
      <c r="C277" s="1" t="n">
        <v>42408</v>
      </c>
      <c r="E277" s="0" t="n">
        <v>7</v>
      </c>
      <c r="F277" s="0" t="n">
        <v>1221</v>
      </c>
      <c r="G277" s="0" t="n">
        <v>2011</v>
      </c>
      <c r="H277" s="0" t="str">
        <f aca="false">"J"&amp;E277&amp;"\"&amp;F277&amp;"\"&amp;G277&amp;"\"&amp;W277</f>
        <v>J7\1221\2011\1</v>
      </c>
      <c r="I277" s="0"/>
      <c r="J277" s="1" t="n">
        <v>40739</v>
      </c>
      <c r="K277" s="0" t="n">
        <v>0</v>
      </c>
      <c r="M277" s="1" t="n">
        <v>40739</v>
      </c>
      <c r="N277" s="1" t="n">
        <v>40933</v>
      </c>
      <c r="O277" s="1"/>
      <c r="P277" s="1"/>
      <c r="Q277" s="1"/>
      <c r="T277" s="121"/>
      <c r="U277" s="121"/>
      <c r="V277" s="122" t="n">
        <f aca="false">IF(AND(E277&gt;0,F277&gt;0,G277&gt;0),COUNTIFS($E:$E,E277,$F:$F,F277,$G:$G,G277),"")</f>
        <v>1</v>
      </c>
      <c r="W277" s="122" t="n">
        <f aca="false">IF(V277="","",IF(V277=1,1,IF(AND(E276=E277,F276=F277,G276=G277),W276+1,1)))</f>
        <v>1</v>
      </c>
      <c r="X277" s="0" t="n">
        <v>1</v>
      </c>
      <c r="Y277" s="0" t="n">
        <v>3</v>
      </c>
      <c r="Z277" s="0" t="s">
        <v>2981</v>
      </c>
      <c r="AA277" s="0" t="n">
        <v>0</v>
      </c>
      <c r="AB277" s="0" t="s">
        <v>2982</v>
      </c>
      <c r="AC277" s="0" t="s">
        <v>1661</v>
      </c>
      <c r="AD277" s="0" t="s">
        <v>229</v>
      </c>
      <c r="AE277" s="0" t="n">
        <v>0</v>
      </c>
      <c r="AF277" s="0" t="s">
        <v>2983</v>
      </c>
      <c r="AG277" s="0" t="n">
        <v>0</v>
      </c>
      <c r="AH277" s="0" t="s">
        <v>2984</v>
      </c>
      <c r="AI277" s="0" t="s">
        <v>1868</v>
      </c>
      <c r="AJ277" s="0" t="s">
        <v>590</v>
      </c>
      <c r="AL277" s="0" t="s">
        <v>2985</v>
      </c>
      <c r="AM277" s="0" t="n">
        <v>1</v>
      </c>
      <c r="AN277" s="0" t="s">
        <v>2984</v>
      </c>
      <c r="AO277" s="0" t="s">
        <v>1868</v>
      </c>
      <c r="AP277" s="0" t="s">
        <v>590</v>
      </c>
      <c r="AR277" s="0" t="s">
        <v>1637</v>
      </c>
      <c r="AS277" s="0" t="n">
        <v>1</v>
      </c>
      <c r="AT277" s="0" t="s">
        <v>2984</v>
      </c>
      <c r="AU277" s="0" t="s">
        <v>1868</v>
      </c>
      <c r="AV277" s="0" t="s">
        <v>590</v>
      </c>
      <c r="BP277" s="0" t="n">
        <v>0</v>
      </c>
      <c r="BQ277" s="0" t="n">
        <v>0</v>
      </c>
      <c r="BR277" s="0" t="n">
        <v>1</v>
      </c>
      <c r="BS277" s="0" t="s">
        <v>2986</v>
      </c>
      <c r="BT277" s="0" t="s">
        <v>2987</v>
      </c>
      <c r="BU277" s="0" t="s">
        <v>2988</v>
      </c>
      <c r="BV277" s="123"/>
      <c r="BW277" s="123"/>
      <c r="BX277" s="123"/>
      <c r="BY277" s="123"/>
      <c r="BZ277" s="0" t="n">
        <v>0</v>
      </c>
      <c r="CA277" s="0" t="s">
        <v>2989</v>
      </c>
      <c r="CD277" s="0" t="s">
        <v>502</v>
      </c>
      <c r="CE277" s="0" t="n">
        <v>0</v>
      </c>
      <c r="CF277" s="0" t="s">
        <v>503</v>
      </c>
      <c r="CI277" s="1" t="n">
        <v>37790</v>
      </c>
      <c r="CJ277" s="1" t="n">
        <v>40738</v>
      </c>
      <c r="CK277" s="124" t="n">
        <v>0.25</v>
      </c>
      <c r="CL277" s="0" t="s">
        <v>2985</v>
      </c>
      <c r="CM277" s="0" t="n">
        <f aca="false">IF(OR(CI277="",CJ277=""),"",DAYS360(CI277,CJ277)/360)</f>
        <v>8.07222222222222</v>
      </c>
      <c r="CN277" s="0" t="n">
        <f aca="false">IF(OR(CI277="",CJ277=""),"",DAYS360(CI277,CJ277)/30)</f>
        <v>96.8666666666667</v>
      </c>
      <c r="CO277" s="0" t="n">
        <f aca="false">IF(OR(CI277="",CJ277=""),"",DAYS360(CI277,CJ277)/7)</f>
        <v>415.142857142857</v>
      </c>
      <c r="CP277" s="0" t="n">
        <f aca="false">IF(OR(CI277="",CJ277=""),"",DAYS360(CI277,CJ277))</f>
        <v>2906</v>
      </c>
      <c r="CQ277" s="0" t="s">
        <v>240</v>
      </c>
      <c r="CR277" s="0" t="n">
        <v>1</v>
      </c>
      <c r="CT277" s="0" t="n">
        <v>3500</v>
      </c>
      <c r="CU277" s="0" t="n">
        <v>3</v>
      </c>
      <c r="CV277" s="0" t="n">
        <f aca="false">IF(OR(CT277="",CT277="NO ESPECIFICA",CT277="NO MENCIONA"),"",IF(CU277=0,CT277,IF(CU277=1,CT277/30,IF(CU277=2,CT277/15,IF(CU277=3,CT277/7,"")))))</f>
        <v>500</v>
      </c>
      <c r="CW277" s="125" t="n">
        <v>528.57</v>
      </c>
      <c r="CX277" s="0" t="n">
        <v>0</v>
      </c>
      <c r="CY277" s="0" t="n">
        <f aca="false">IF(CW277="","",IF(CX277=0,CW277,IF(CX277=1,CW277/30,IF(CX277=2,CW277/15,IF(CX277=3,CW277/7,CW277)))))</f>
        <v>528.57</v>
      </c>
      <c r="CZ277" s="0" t="n">
        <f aca="false">IF(DI277&gt;0,DI277,IF(CY277&gt;0,CY277,IF(CV277&gt;0,CV277,"")))</f>
        <v>528.57</v>
      </c>
      <c r="DA277" s="0" t="n">
        <f aca="false">IF(DM277=1,CZ277/8,IF(OR(DM277=2,DM277=4),CZ277/7,IF(DM277=3,CZ277/7.5,"")))</f>
        <v>66.07125</v>
      </c>
      <c r="DB277" s="0" t="s">
        <v>2990</v>
      </c>
      <c r="DC277" s="0" t="s">
        <v>2283</v>
      </c>
      <c r="DD277" s="0" t="s">
        <v>216</v>
      </c>
      <c r="DE277" s="0" t="s">
        <v>216</v>
      </c>
      <c r="DF277" s="0" t="s">
        <v>216</v>
      </c>
      <c r="DG277" s="0" t="s">
        <v>216</v>
      </c>
      <c r="DH277" s="0" t="n">
        <v>0</v>
      </c>
      <c r="DI277" s="126" t="n">
        <v>528.57</v>
      </c>
      <c r="DK277" s="0" t="n">
        <v>0</v>
      </c>
      <c r="DM277" s="0" t="n">
        <v>1</v>
      </c>
      <c r="DN277" s="0" t="n">
        <f aca="false">12*6</f>
        <v>72</v>
      </c>
      <c r="DO277" s="0" t="n">
        <v>3</v>
      </c>
      <c r="DP277" s="0" t="n">
        <v>0</v>
      </c>
      <c r="DQ277" s="0" t="n">
        <v>1</v>
      </c>
      <c r="DR277" s="0"/>
      <c r="DS277" s="0" t="n">
        <v>1</v>
      </c>
      <c r="DU277" s="0" t="n">
        <v>1</v>
      </c>
      <c r="DW277" s="1" t="n">
        <v>37790</v>
      </c>
      <c r="DX277" s="1" t="n">
        <v>40738</v>
      </c>
      <c r="DZ277" s="0"/>
      <c r="EA277" s="0" t="n">
        <v>1</v>
      </c>
      <c r="EC277" s="1" t="n">
        <v>37790</v>
      </c>
      <c r="ED277" s="1" t="n">
        <v>40738</v>
      </c>
      <c r="EF277" s="0"/>
      <c r="EG277" s="0" t="n">
        <v>1</v>
      </c>
      <c r="EH277" s="0" t="n">
        <v>12</v>
      </c>
      <c r="EI277" s="0" t="n">
        <f aca="false">IF(AND(DM277=1,DN277&lt;=48),"",IF(AND(DM277=2,DN277&lt;=42),"",IF(AND(DM277=3,DN277&lt;=45),"",EH277)))</f>
        <v>12</v>
      </c>
      <c r="EJ277" s="0" t="n">
        <f aca="false">IF(EI277="","",IF(EI277&lt;9,EI277,9))</f>
        <v>9</v>
      </c>
      <c r="EK277" s="0" t="n">
        <f aca="false">IF(EI277="","",IF(EI277&gt;9,EI277-EJ277,0))</f>
        <v>3</v>
      </c>
      <c r="EL277" s="0" t="n">
        <f aca="false">IF(EI277="","",EJ277*DA277*2+EK277*DA277*3)</f>
        <v>1783.92375</v>
      </c>
      <c r="EP277" s="0" t="n">
        <v>0</v>
      </c>
      <c r="EQ277" s="0"/>
      <c r="ER277" s="0" t="n">
        <v>0</v>
      </c>
      <c r="ET277" s="0" t="n">
        <v>0</v>
      </c>
      <c r="EV277" s="0" t="n">
        <v>1</v>
      </c>
      <c r="EX277" s="0" t="n">
        <v>1</v>
      </c>
      <c r="EY277" s="0" t="n">
        <v>0</v>
      </c>
      <c r="EZ277" s="0"/>
      <c r="FA277" s="4" t="n">
        <f aca="false">13*DI277</f>
        <v>6871.41</v>
      </c>
      <c r="FB277" s="0" t="n">
        <v>1</v>
      </c>
      <c r="FF277" s="120" t="n">
        <f aca="false">(CJ277-CI277+1)/365</f>
        <v>8.07945205479452</v>
      </c>
      <c r="FG277" s="0" t="str">
        <f aca="false">CONCATENATE(F277,"/",G277)</f>
        <v>1221/2011</v>
      </c>
      <c r="FH277" s="0" t="n">
        <v>0</v>
      </c>
      <c r="FI277" s="0" t="n">
        <v>0</v>
      </c>
    </row>
    <row r="278" customFormat="false" ht="15" hidden="false" customHeight="false" outlineLevel="0" collapsed="false">
      <c r="A278" s="5" t="str">
        <f aca="false">E278&amp;G278&amp;F278</f>
        <v>720111222</v>
      </c>
      <c r="B278" s="0" t="s">
        <v>2925</v>
      </c>
      <c r="C278" s="1" t="n">
        <v>42409</v>
      </c>
      <c r="D278" s="0" t="s">
        <v>1856</v>
      </c>
      <c r="E278" s="0" t="n">
        <v>7</v>
      </c>
      <c r="F278" s="0" t="n">
        <v>1222</v>
      </c>
      <c r="G278" s="0" t="n">
        <v>2011</v>
      </c>
      <c r="H278" s="0" t="str">
        <f aca="false">"J"&amp;E278&amp;"\"&amp;F278&amp;"\"&amp;G278&amp;"\"&amp;W278</f>
        <v>J7\1222\2011\1</v>
      </c>
      <c r="I278" s="0"/>
      <c r="J278" s="1" t="n">
        <v>40739</v>
      </c>
      <c r="K278" s="0" t="n">
        <v>0</v>
      </c>
      <c r="M278" s="1"/>
      <c r="N278" s="1"/>
      <c r="O278" s="1"/>
      <c r="P278" s="1"/>
      <c r="Q278" s="1"/>
      <c r="T278" s="121"/>
      <c r="U278" s="121"/>
      <c r="V278" s="122" t="n">
        <f aca="false">IF(AND(E278&gt;0,F278&gt;0,G278&gt;0),COUNTIFS($E:$E,E278,$F:$F,F278,$G:$G,G278),"")</f>
        <v>1</v>
      </c>
      <c r="W278" s="122" t="n">
        <f aca="false">IF(V278="","",IF(V278=1,1,IF(AND(E277=E278,F277=F278,G277=G278),W277+1,1)))</f>
        <v>1</v>
      </c>
      <c r="X278" s="0" t="n">
        <v>1</v>
      </c>
      <c r="Y278" s="0" t="n">
        <v>2</v>
      </c>
      <c r="Z278" s="0" t="s">
        <v>2991</v>
      </c>
      <c r="AA278" s="0" t="n">
        <v>0</v>
      </c>
      <c r="AB278" s="0" t="s">
        <v>2941</v>
      </c>
      <c r="AC278" s="0" t="s">
        <v>228</v>
      </c>
      <c r="AD278" s="0" t="s">
        <v>229</v>
      </c>
      <c r="AE278" s="0" t="n">
        <v>0</v>
      </c>
      <c r="AF278" s="0" t="s">
        <v>2992</v>
      </c>
      <c r="AG278" s="0" t="n">
        <v>0</v>
      </c>
      <c r="AH278" s="0" t="s">
        <v>2993</v>
      </c>
      <c r="AI278" s="0" t="s">
        <v>1241</v>
      </c>
      <c r="AJ278" s="0" t="s">
        <v>207</v>
      </c>
      <c r="AL278" s="0" t="s">
        <v>1637</v>
      </c>
      <c r="AM278" s="0" t="n">
        <v>1</v>
      </c>
      <c r="AN278" s="0" t="s">
        <v>2993</v>
      </c>
      <c r="AO278" s="0" t="s">
        <v>1241</v>
      </c>
      <c r="AP278" s="0" t="s">
        <v>207</v>
      </c>
      <c r="BP278" s="0" t="n">
        <v>0</v>
      </c>
      <c r="BQ278" s="0" t="n">
        <v>0</v>
      </c>
      <c r="BR278" s="0" t="n">
        <v>3</v>
      </c>
      <c r="BS278" s="0" t="s">
        <v>651</v>
      </c>
      <c r="BT278" s="0" t="s">
        <v>1818</v>
      </c>
      <c r="BU278" s="0" t="s">
        <v>2945</v>
      </c>
      <c r="BV278" s="123"/>
      <c r="BW278" s="123"/>
      <c r="BX278" s="123"/>
      <c r="BY278" s="123"/>
      <c r="BZ278" s="0" t="n">
        <v>0</v>
      </c>
      <c r="CA278" s="0" t="s">
        <v>348</v>
      </c>
      <c r="CD278" s="0" t="s">
        <v>256</v>
      </c>
      <c r="CE278" s="0" t="n">
        <v>1</v>
      </c>
      <c r="CF278" s="0" t="s">
        <v>2994</v>
      </c>
      <c r="CI278" s="1" t="n">
        <v>38867</v>
      </c>
      <c r="CJ278" s="1" t="n">
        <v>40640</v>
      </c>
      <c r="CK278" s="124" t="n">
        <v>0.354166666666667</v>
      </c>
      <c r="CL278" s="0" t="s">
        <v>216</v>
      </c>
      <c r="CM278" s="0" t="n">
        <f aca="false">IF(OR(CI278="",CJ278=""),"",DAYS360(CI278,CJ278)/360)</f>
        <v>4.85277777777778</v>
      </c>
      <c r="CN278" s="0" t="n">
        <f aca="false">IF(OR(CI278="",CJ278=""),"",DAYS360(CI278,CJ278)/30)</f>
        <v>58.2333333333333</v>
      </c>
      <c r="CO278" s="0" t="n">
        <f aca="false">IF(OR(CI278="",CJ278=""),"",DAYS360(CI278,CJ278)/7)</f>
        <v>249.571428571429</v>
      </c>
      <c r="CP278" s="0" t="n">
        <f aca="false">IF(OR(CI278="",CJ278=""),"",DAYS360(CI278,CJ278))</f>
        <v>1747</v>
      </c>
      <c r="CQ278" s="0" t="s">
        <v>1761</v>
      </c>
      <c r="CR278" s="0" t="n">
        <v>6</v>
      </c>
      <c r="CS278" s="0" t="s">
        <v>1494</v>
      </c>
      <c r="CT278" s="0" t="n">
        <v>68.47</v>
      </c>
      <c r="CU278" s="0" t="n">
        <v>0</v>
      </c>
      <c r="CV278" s="0" t="n">
        <f aca="false">IF(OR(CT278="",CT278="NO ESPECIFICA",CT278="NO MENCIONA"),"",IF(CU278=0,CT278,IF(CU278=1,CT278/30,IF(CU278=2,CT278/15,IF(CU278=3,CT278/7,"")))))</f>
        <v>68.47</v>
      </c>
      <c r="CW278" s="125" t="n">
        <v>71.89</v>
      </c>
      <c r="CX278" s="0" t="n">
        <v>0</v>
      </c>
      <c r="CY278" s="0" t="n">
        <f aca="false">IF(CW278="","",IF(CX278=0,CW278,IF(CX278=1,CW278/30,IF(CX278=2,CW278/15,IF(CX278=3,CW278/7,CW278)))))</f>
        <v>71.89</v>
      </c>
      <c r="CZ278" s="0" t="n">
        <f aca="false">IF(DI278&gt;0,DI278,IF(CY278&gt;0,CY278,IF(CV278&gt;0,CV278,"")))</f>
        <v>71.89</v>
      </c>
      <c r="DA278" s="0" t="n">
        <f aca="false">IF(DM278=1,CZ278/8,IF(OR(DM278=2,DM278=4),CZ278/7,IF(DM278=3,CZ278/7.5,"")))</f>
        <v>9.58533333333333</v>
      </c>
      <c r="DB278" s="0" t="s">
        <v>303</v>
      </c>
      <c r="DC278" s="0" t="s">
        <v>301</v>
      </c>
      <c r="DD278" s="0" t="s">
        <v>216</v>
      </c>
      <c r="DE278" s="0" t="s">
        <v>216</v>
      </c>
      <c r="DF278" s="0" t="s">
        <v>216</v>
      </c>
      <c r="DG278" s="0" t="s">
        <v>216</v>
      </c>
      <c r="DH278" s="0" t="n">
        <v>0</v>
      </c>
      <c r="DI278" s="126" t="n">
        <v>71.89</v>
      </c>
      <c r="DK278" s="0" t="n">
        <v>0</v>
      </c>
      <c r="DM278" s="0" t="n">
        <v>3</v>
      </c>
      <c r="DN278" s="0" t="n">
        <v>48</v>
      </c>
      <c r="DO278" s="0" t="n">
        <v>3</v>
      </c>
      <c r="DP278" s="0" t="n">
        <v>0</v>
      </c>
      <c r="DQ278" s="0" t="n">
        <v>0</v>
      </c>
      <c r="DR278" s="0"/>
      <c r="DS278" s="0" t="n">
        <v>0</v>
      </c>
      <c r="DU278" s="0" t="n">
        <v>1</v>
      </c>
      <c r="DW278" s="1" t="n">
        <v>40328</v>
      </c>
      <c r="DX278" s="1" t="n">
        <v>40640</v>
      </c>
      <c r="DZ278" s="0"/>
      <c r="EA278" s="0" t="n">
        <v>1</v>
      </c>
      <c r="EC278" s="1" t="n">
        <v>40179</v>
      </c>
      <c r="ED278" s="1" t="n">
        <v>40728</v>
      </c>
      <c r="EF278" s="0"/>
      <c r="EG278" s="0" t="n">
        <v>0</v>
      </c>
      <c r="EI278" s="0" t="n">
        <f aca="false">IF(AND(DM278=1,DN278&lt;=48),"",IF(AND(DM278=2,DN278&lt;=42),"",IF(AND(DM278=3,DN278&lt;=45),"",EH278)))</f>
        <v>0</v>
      </c>
      <c r="EJ278" s="0" t="str">
        <f aca="false">IF(EI278="","",IF(EI278&lt;9,EI278,9))</f>
        <v/>
      </c>
      <c r="EK278" s="0" t="str">
        <f aca="false">IF(EI278="","",IF(EI278&gt;9,EI278-EJ278,0))</f>
        <v/>
      </c>
      <c r="EL278" s="0" t="str">
        <f aca="false">IF(EI278="","",EJ278*DA278*2+EK278*DA278*3)</f>
        <v/>
      </c>
      <c r="EP278" s="0" t="n">
        <v>0</v>
      </c>
      <c r="EQ278" s="0"/>
      <c r="ER278" s="0" t="n">
        <v>0</v>
      </c>
      <c r="ET278" s="0" t="n">
        <v>0</v>
      </c>
      <c r="EV278" s="0" t="n">
        <v>0</v>
      </c>
      <c r="EX278" s="0" t="n">
        <v>0</v>
      </c>
      <c r="EY278" s="0" t="n">
        <v>0</v>
      </c>
      <c r="EZ278" s="0"/>
      <c r="FA278" s="0"/>
      <c r="FB278" s="0" t="n">
        <v>1</v>
      </c>
      <c r="FF278" s="120" t="n">
        <f aca="false">(CJ278-CI278+1)/365</f>
        <v>4.86027397260274</v>
      </c>
      <c r="FG278" s="0" t="str">
        <f aca="false">CONCATENATE(F278,"/",G278)</f>
        <v>1222/2011</v>
      </c>
      <c r="FH278" s="0" t="n">
        <v>0</v>
      </c>
      <c r="FI278" s="0" t="n">
        <v>0</v>
      </c>
    </row>
    <row r="279" customFormat="false" ht="15" hidden="false" customHeight="false" outlineLevel="0" collapsed="false">
      <c r="A279" s="5" t="str">
        <f aca="false">E279&amp;G279&amp;F279</f>
        <v>720111227</v>
      </c>
      <c r="B279" s="0" t="s">
        <v>2925</v>
      </c>
      <c r="C279" s="1" t="n">
        <v>42409</v>
      </c>
      <c r="D279" s="0" t="s">
        <v>1856</v>
      </c>
      <c r="E279" s="0" t="n">
        <v>7</v>
      </c>
      <c r="F279" s="0" t="n">
        <v>1227</v>
      </c>
      <c r="G279" s="0" t="n">
        <v>2011</v>
      </c>
      <c r="H279" s="0" t="str">
        <f aca="false">"J"&amp;E279&amp;"\"&amp;F279&amp;"\"&amp;G279&amp;"\"&amp;W279</f>
        <v>J7\1227\2011\1</v>
      </c>
      <c r="I279" s="0"/>
      <c r="J279" s="1" t="n">
        <v>40739</v>
      </c>
      <c r="K279" s="0" t="n">
        <v>0</v>
      </c>
      <c r="M279" s="1"/>
      <c r="N279" s="1"/>
      <c r="O279" s="1"/>
      <c r="P279" s="1"/>
      <c r="Q279" s="1"/>
      <c r="T279" s="121"/>
      <c r="U279" s="121"/>
      <c r="V279" s="122" t="n">
        <f aca="false">IF(AND(E279&gt;0,F279&gt;0,G279&gt;0),COUNTIFS($E:$E,E279,$F:$F,F279,$G:$G,G279),"")</f>
        <v>3</v>
      </c>
      <c r="W279" s="122" t="n">
        <f aca="false">IF(V279="","",IF(V279=1,1,IF(AND(E278=E279,F278=F279,G278=G279),W278+1,1)))</f>
        <v>1</v>
      </c>
      <c r="X279" s="0" t="n">
        <v>3</v>
      </c>
      <c r="Y279" s="0" t="n">
        <v>4</v>
      </c>
      <c r="Z279" s="0" t="s">
        <v>2995</v>
      </c>
      <c r="AA279" s="0" t="n">
        <v>0</v>
      </c>
      <c r="AB279" s="0" t="s">
        <v>2996</v>
      </c>
      <c r="AC279" s="0" t="s">
        <v>1611</v>
      </c>
      <c r="AD279" s="0" t="s">
        <v>229</v>
      </c>
      <c r="AE279" s="0" t="n">
        <v>0</v>
      </c>
      <c r="AF279" s="0" t="s">
        <v>2997</v>
      </c>
      <c r="AG279" s="0" t="n">
        <v>0</v>
      </c>
      <c r="AH279" s="0" t="s">
        <v>2998</v>
      </c>
      <c r="AI279" s="0" t="s">
        <v>244</v>
      </c>
      <c r="AJ279" s="0" t="s">
        <v>221</v>
      </c>
      <c r="AL279" s="0" t="s">
        <v>2999</v>
      </c>
      <c r="AM279" s="0" t="n">
        <v>1</v>
      </c>
      <c r="AN279" s="0" t="s">
        <v>2998</v>
      </c>
      <c r="AO279" s="0" t="s">
        <v>244</v>
      </c>
      <c r="AP279" s="0" t="s">
        <v>221</v>
      </c>
      <c r="AR279" s="0" t="s">
        <v>3000</v>
      </c>
      <c r="AS279" s="0" t="n">
        <v>1</v>
      </c>
      <c r="AT279" s="0" t="s">
        <v>2998</v>
      </c>
      <c r="AU279" s="0" t="s">
        <v>244</v>
      </c>
      <c r="AV279" s="0" t="s">
        <v>221</v>
      </c>
      <c r="AX279" s="0" t="s">
        <v>1637</v>
      </c>
      <c r="AY279" s="0" t="n">
        <v>1</v>
      </c>
      <c r="AZ279" s="0" t="s">
        <v>2998</v>
      </c>
      <c r="BA279" s="0" t="s">
        <v>244</v>
      </c>
      <c r="BB279" s="0" t="s">
        <v>221</v>
      </c>
      <c r="BP279" s="0" t="n">
        <v>0</v>
      </c>
      <c r="BQ279" s="0" t="n">
        <v>0</v>
      </c>
      <c r="BR279" s="0" t="n">
        <v>1</v>
      </c>
      <c r="BS279" s="0" t="s">
        <v>3001</v>
      </c>
      <c r="BT279" s="0" t="s">
        <v>3002</v>
      </c>
      <c r="BU279" s="0" t="s">
        <v>3003</v>
      </c>
      <c r="BV279" s="123"/>
      <c r="BW279" s="123"/>
      <c r="BX279" s="123"/>
      <c r="BY279" s="123"/>
      <c r="BZ279" s="0" t="n">
        <v>0</v>
      </c>
      <c r="CA279" s="0" t="s">
        <v>216</v>
      </c>
      <c r="CD279" s="0" t="s">
        <v>370</v>
      </c>
      <c r="CE279" s="0" t="n">
        <v>0</v>
      </c>
      <c r="CF279" s="0" t="s">
        <v>3004</v>
      </c>
      <c r="CI279" s="1" t="n">
        <v>29605</v>
      </c>
      <c r="CJ279" s="1" t="s">
        <v>216</v>
      </c>
      <c r="CK279" s="124" t="s">
        <v>216</v>
      </c>
      <c r="CL279" s="0" t="s">
        <v>216</v>
      </c>
      <c r="CM279" s="0" t="e">
        <f aca="false">IF(OR(CI279="",CJ279=""),"",DAYS360(CI279,CJ279)/360)</f>
        <v>#VALUE!</v>
      </c>
      <c r="CN279" s="0" t="e">
        <f aca="false">IF(OR(CI279="",CJ279=""),"",DAYS360(CI279,CJ279)/30)</f>
        <v>#VALUE!</v>
      </c>
      <c r="CO279" s="0" t="e">
        <f aca="false">IF(OR(CI279="",CJ279=""),"",DAYS360(CI279,CJ279)/7)</f>
        <v>#VALUE!</v>
      </c>
      <c r="CP279" s="0" t="e">
        <f aca="false">IF(OR(CI279="",CJ279=""),"",DAYS360(CI279,CJ279))</f>
        <v>#VALUE!</v>
      </c>
      <c r="CQ279" s="0" t="s">
        <v>1493</v>
      </c>
      <c r="CR279" s="0" t="n">
        <v>6</v>
      </c>
      <c r="CS279" s="0" t="s">
        <v>3005</v>
      </c>
      <c r="CT279" s="0" t="s">
        <v>221</v>
      </c>
      <c r="CU279" s="0" t="s">
        <v>221</v>
      </c>
      <c r="CV279" s="0" t="str">
        <f aca="false">IF(OR(CT279="",CT279="NO ESPECIFICA",CT279="NO MENCIONA"),"",IF(CU279=0,CT279,IF(CU279=1,CT279/30,IF(CU279=2,CT279/15,IF(CU279=3,CT279/7,"")))))</f>
        <v/>
      </c>
      <c r="CW279" s="125" t="n">
        <v>80</v>
      </c>
      <c r="CX279" s="0" t="n">
        <v>0</v>
      </c>
      <c r="CY279" s="0" t="n">
        <f aca="false">IF(CW279="","",IF(CX279=0,CW279,IF(CX279=1,CW279/30,IF(CX279=2,CW279/15,IF(CX279=3,CW279/7,CW279)))))</f>
        <v>80</v>
      </c>
      <c r="CZ279" s="0" t="n">
        <f aca="false">IF(DI279&gt;0,DI279,IF(CY279&gt;0,CY279,IF(CV279&gt;0,CV279,"")))</f>
        <v>80</v>
      </c>
      <c r="DA279" s="0" t="n">
        <f aca="false">IF(DM279=1,CZ279/8,IF(OR(DM279=2,DM279=4),CZ279/7,IF(DM279=3,CZ279/7.5,"")))</f>
        <v>10</v>
      </c>
      <c r="DB279" s="0" t="s">
        <v>216</v>
      </c>
      <c r="DC279" s="0" t="s">
        <v>216</v>
      </c>
      <c r="DD279" s="0" t="s">
        <v>216</v>
      </c>
      <c r="DE279" s="0" t="s">
        <v>216</v>
      </c>
      <c r="DF279" s="0" t="s">
        <v>216</v>
      </c>
      <c r="DG279" s="0" t="s">
        <v>216</v>
      </c>
      <c r="DH279" s="0" t="n">
        <v>0</v>
      </c>
      <c r="DI279" s="126" t="n">
        <v>80</v>
      </c>
      <c r="DK279" s="0" t="n">
        <v>1</v>
      </c>
      <c r="DM279" s="0" t="n">
        <v>1</v>
      </c>
      <c r="DN279" s="0" t="n">
        <v>54</v>
      </c>
      <c r="DO279" s="0" t="n">
        <v>3</v>
      </c>
      <c r="DP279" s="0" t="n">
        <v>0</v>
      </c>
      <c r="DQ279" s="0" t="n">
        <v>0</v>
      </c>
      <c r="DR279" s="0"/>
      <c r="DS279" s="0" t="n">
        <v>1</v>
      </c>
      <c r="DU279" s="0" t="n">
        <v>0</v>
      </c>
      <c r="DW279" s="1" t="n">
        <v>29605</v>
      </c>
      <c r="DX279" s="1" t="s">
        <v>221</v>
      </c>
      <c r="DZ279" s="0"/>
      <c r="EA279" s="0" t="n">
        <v>1</v>
      </c>
      <c r="EC279" s="1" t="s">
        <v>3006</v>
      </c>
      <c r="ED279" s="1" t="s">
        <v>221</v>
      </c>
      <c r="EF279" s="0"/>
      <c r="EG279" s="0" t="n">
        <v>0</v>
      </c>
      <c r="EI279" s="0" t="n">
        <f aca="false">IF(AND(DM279=1,DN279&lt;=48),"",IF(AND(DM279=2,DN279&lt;=42),"",IF(AND(DM279=3,DN279&lt;=45),"",EH279)))</f>
        <v>0</v>
      </c>
      <c r="EJ279" s="0" t="str">
        <f aca="false">IF(EI279="","",IF(EI279&lt;9,EI279,9))</f>
        <v/>
      </c>
      <c r="EK279" s="0" t="str">
        <f aca="false">IF(EI279="","",IF(EI279&gt;9,EI279-EJ279,0))</f>
        <v/>
      </c>
      <c r="EL279" s="0" t="str">
        <f aca="false">IF(EI279="","",EJ279*DA279*2+EK279*DA279*3)</f>
        <v/>
      </c>
      <c r="EP279" s="0" t="n">
        <v>0</v>
      </c>
      <c r="EQ279" s="0"/>
      <c r="ER279" s="0" t="n">
        <v>0</v>
      </c>
      <c r="ET279" s="0" t="n">
        <v>0</v>
      </c>
      <c r="EV279" s="0" t="n">
        <v>1</v>
      </c>
      <c r="EX279" s="0" t="n">
        <v>1</v>
      </c>
      <c r="EY279" s="0" t="n">
        <v>0</v>
      </c>
      <c r="EZ279" s="0"/>
      <c r="FA279" s="0"/>
      <c r="FB279" s="0" t="n">
        <v>0</v>
      </c>
      <c r="FF279" s="120" t="e">
        <f aca="false">(CJ279-CI279+1)/365</f>
        <v>#VALUE!</v>
      </c>
      <c r="FG279" s="0" t="str">
        <f aca="false">CONCATENATE(F279,"/",G279)</f>
        <v>1227/2011</v>
      </c>
      <c r="FH279" s="0" t="n">
        <v>0</v>
      </c>
      <c r="FI279" s="0" t="n">
        <v>0</v>
      </c>
    </row>
    <row r="280" customFormat="false" ht="15" hidden="false" customHeight="false" outlineLevel="0" collapsed="false">
      <c r="A280" s="5" t="str">
        <f aca="false">E280&amp;G280&amp;F280</f>
        <v>720111227</v>
      </c>
      <c r="B280" s="0" t="s">
        <v>2925</v>
      </c>
      <c r="C280" s="1" t="n">
        <v>42409</v>
      </c>
      <c r="D280" s="0" t="s">
        <v>1856</v>
      </c>
      <c r="E280" s="0" t="n">
        <v>7</v>
      </c>
      <c r="F280" s="0" t="n">
        <v>1227</v>
      </c>
      <c r="G280" s="0" t="n">
        <v>2011</v>
      </c>
      <c r="H280" s="0" t="str">
        <f aca="false">"J"&amp;E280&amp;"\"&amp;F280&amp;"\"&amp;G280&amp;"\"&amp;W280</f>
        <v>J7\1227\2011\2</v>
      </c>
      <c r="I280" s="0"/>
      <c r="J280" s="1" t="n">
        <v>40739</v>
      </c>
      <c r="K280" s="0" t="n">
        <v>0</v>
      </c>
      <c r="M280" s="1"/>
      <c r="N280" s="1"/>
      <c r="O280" s="1"/>
      <c r="P280" s="1"/>
      <c r="Q280" s="1"/>
      <c r="T280" s="121"/>
      <c r="U280" s="121"/>
      <c r="V280" s="122" t="n">
        <f aca="false">IF(AND(E280&gt;0,F280&gt;0,G280&gt;0),COUNTIFS($E:$E,E280,$F:$F,F280,$G:$G,G280),"")</f>
        <v>3</v>
      </c>
      <c r="W280" s="122" t="n">
        <f aca="false">IF(V280="","",IF(V280=1,1,IF(AND(E279=E280,F279=F280,G279=G280),W279+1,1)))</f>
        <v>2</v>
      </c>
      <c r="X280" s="0" t="n">
        <v>3</v>
      </c>
      <c r="Y280" s="0" t="n">
        <v>4</v>
      </c>
      <c r="Z280" s="0" t="s">
        <v>3007</v>
      </c>
      <c r="AA280" s="0" t="n">
        <v>0</v>
      </c>
      <c r="AB280" s="0" t="s">
        <v>2996</v>
      </c>
      <c r="AC280" s="0" t="s">
        <v>1611</v>
      </c>
      <c r="AD280" s="0" t="s">
        <v>229</v>
      </c>
      <c r="AE280" s="0" t="n">
        <v>0</v>
      </c>
      <c r="AF280" s="0" t="s">
        <v>2997</v>
      </c>
      <c r="AG280" s="0" t="n">
        <v>0</v>
      </c>
      <c r="AH280" s="0" t="s">
        <v>2998</v>
      </c>
      <c r="AI280" s="0" t="s">
        <v>244</v>
      </c>
      <c r="AJ280" s="0" t="s">
        <v>221</v>
      </c>
      <c r="AL280" s="0" t="s">
        <v>2999</v>
      </c>
      <c r="AM280" s="0" t="n">
        <v>1</v>
      </c>
      <c r="AN280" s="0" t="s">
        <v>2998</v>
      </c>
      <c r="AO280" s="0" t="s">
        <v>244</v>
      </c>
      <c r="AP280" s="0" t="s">
        <v>221</v>
      </c>
      <c r="AR280" s="0" t="s">
        <v>3000</v>
      </c>
      <c r="AS280" s="0" t="n">
        <v>1</v>
      </c>
      <c r="AT280" s="0" t="s">
        <v>2998</v>
      </c>
      <c r="AU280" s="0" t="s">
        <v>244</v>
      </c>
      <c r="AV280" s="0" t="s">
        <v>221</v>
      </c>
      <c r="AX280" s="0" t="s">
        <v>1637</v>
      </c>
      <c r="AY280" s="0" t="n">
        <v>1</v>
      </c>
      <c r="AZ280" s="0" t="s">
        <v>2998</v>
      </c>
      <c r="BA280" s="0" t="s">
        <v>244</v>
      </c>
      <c r="BB280" s="0" t="s">
        <v>221</v>
      </c>
      <c r="BP280" s="0" t="n">
        <v>0</v>
      </c>
      <c r="BQ280" s="0" t="n">
        <v>0</v>
      </c>
      <c r="BR280" s="0" t="n">
        <v>1</v>
      </c>
      <c r="BS280" s="0" t="s">
        <v>3001</v>
      </c>
      <c r="BT280" s="0" t="s">
        <v>3002</v>
      </c>
      <c r="BU280" s="0" t="s">
        <v>3003</v>
      </c>
      <c r="BV280" s="123"/>
      <c r="BW280" s="123"/>
      <c r="BX280" s="123"/>
      <c r="BY280" s="123"/>
      <c r="BZ280" s="0" t="n">
        <v>0</v>
      </c>
      <c r="CA280" s="0" t="s">
        <v>216</v>
      </c>
      <c r="CD280" s="0" t="s">
        <v>370</v>
      </c>
      <c r="CE280" s="0" t="n">
        <v>0</v>
      </c>
      <c r="CF280" s="0" t="s">
        <v>3004</v>
      </c>
      <c r="CI280" s="1" t="n">
        <v>36225</v>
      </c>
      <c r="CJ280" s="1" t="s">
        <v>216</v>
      </c>
      <c r="CK280" s="124" t="s">
        <v>216</v>
      </c>
      <c r="CL280" s="0" t="s">
        <v>216</v>
      </c>
      <c r="CM280" s="0" t="e">
        <f aca="false">IF(OR(CI280="",CJ280=""),"",DAYS360(CI280,CJ280)/360)</f>
        <v>#VALUE!</v>
      </c>
      <c r="CN280" s="0" t="e">
        <f aca="false">IF(OR(CI280="",CJ280=""),"",DAYS360(CI280,CJ280)/30)</f>
        <v>#VALUE!</v>
      </c>
      <c r="CO280" s="0" t="e">
        <f aca="false">IF(OR(CI280="",CJ280=""),"",DAYS360(CI280,CJ280)/7)</f>
        <v>#VALUE!</v>
      </c>
      <c r="CP280" s="0" t="e">
        <f aca="false">IF(OR(CI280="",CJ280=""),"",DAYS360(CI280,CJ280))</f>
        <v>#VALUE!</v>
      </c>
      <c r="CQ280" s="0" t="s">
        <v>1493</v>
      </c>
      <c r="CR280" s="0" t="n">
        <v>6</v>
      </c>
      <c r="CS280" s="0" t="s">
        <v>3005</v>
      </c>
      <c r="CT280" s="0" t="s">
        <v>221</v>
      </c>
      <c r="CU280" s="0" t="s">
        <v>221</v>
      </c>
      <c r="CV280" s="0" t="str">
        <f aca="false">IF(OR(CT280="",CT280="NO ESPECIFICA",CT280="NO MENCIONA"),"",IF(CU280=0,CT280,IF(CU280=1,CT280/30,IF(CU280=2,CT280/15,IF(CU280=3,CT280/7,"")))))</f>
        <v/>
      </c>
      <c r="CW280" s="125" t="n">
        <v>102</v>
      </c>
      <c r="CX280" s="0" t="n">
        <v>0</v>
      </c>
      <c r="CY280" s="0" t="n">
        <f aca="false">IF(CW280="","",IF(CX280=0,CW280,IF(CX280=1,CW280/30,IF(CX280=2,CW280/15,IF(CX280=3,CW280/7,CW280)))))</f>
        <v>102</v>
      </c>
      <c r="CZ280" s="0" t="n">
        <f aca="false">IF(DI280&gt;0,DI280,IF(CY280&gt;0,CY280,IF(CV280&gt;0,CV280,"")))</f>
        <v>102</v>
      </c>
      <c r="DA280" s="0" t="n">
        <f aca="false">IF(DM280=1,CZ280/8,IF(OR(DM280=2,DM280=4),CZ280/7,IF(DM280=3,CZ280/7.5,"")))</f>
        <v>12.75</v>
      </c>
      <c r="DB280" s="0" t="s">
        <v>216</v>
      </c>
      <c r="DC280" s="0" t="s">
        <v>216</v>
      </c>
      <c r="DD280" s="0" t="s">
        <v>216</v>
      </c>
      <c r="DE280" s="0" t="s">
        <v>216</v>
      </c>
      <c r="DF280" s="0" t="s">
        <v>216</v>
      </c>
      <c r="DG280" s="0" t="s">
        <v>216</v>
      </c>
      <c r="DH280" s="0" t="n">
        <v>0</v>
      </c>
      <c r="DI280" s="126" t="n">
        <v>102</v>
      </c>
      <c r="DK280" s="0" t="n">
        <v>0</v>
      </c>
      <c r="DM280" s="0" t="n">
        <v>1</v>
      </c>
      <c r="DN280" s="0" t="n">
        <v>54</v>
      </c>
      <c r="DO280" s="0" t="n">
        <v>3</v>
      </c>
      <c r="DP280" s="0" t="n">
        <v>0</v>
      </c>
      <c r="DQ280" s="0" t="n">
        <v>0</v>
      </c>
      <c r="DR280" s="0"/>
      <c r="DS280" s="0" t="n">
        <v>1</v>
      </c>
      <c r="DU280" s="0" t="n">
        <v>0</v>
      </c>
      <c r="DW280" s="1" t="n">
        <v>29605</v>
      </c>
      <c r="DX280" s="1" t="s">
        <v>221</v>
      </c>
      <c r="DZ280" s="0"/>
      <c r="EA280" s="0" t="n">
        <v>1</v>
      </c>
      <c r="EC280" s="1" t="s">
        <v>3006</v>
      </c>
      <c r="ED280" s="1" t="s">
        <v>221</v>
      </c>
      <c r="EF280" s="0"/>
      <c r="EG280" s="0" t="n">
        <v>0</v>
      </c>
      <c r="EI280" s="0" t="n">
        <f aca="false">IF(AND(DM280=1,DN280&lt;=48),"",IF(AND(DM280=2,DN280&lt;=42),"",IF(AND(DM280=3,DN280&lt;=45),"",EH280)))</f>
        <v>0</v>
      </c>
      <c r="EJ280" s="0" t="str">
        <f aca="false">IF(EI280="","",IF(EI280&lt;9,EI280,9))</f>
        <v/>
      </c>
      <c r="EK280" s="0" t="str">
        <f aca="false">IF(EI280="","",IF(EI280&gt;9,EI280-EJ280,0))</f>
        <v/>
      </c>
      <c r="EL280" s="0" t="str">
        <f aca="false">IF(EI280="","",EJ280*DA280*2+EK280*DA280*3)</f>
        <v/>
      </c>
      <c r="EP280" s="0" t="n">
        <v>0</v>
      </c>
      <c r="EQ280" s="0"/>
      <c r="ER280" s="0" t="n">
        <v>0</v>
      </c>
      <c r="ET280" s="0" t="n">
        <v>0</v>
      </c>
      <c r="EV280" s="0" t="n">
        <v>1</v>
      </c>
      <c r="EX280" s="0" t="n">
        <v>1</v>
      </c>
      <c r="EY280" s="0" t="n">
        <v>0</v>
      </c>
      <c r="EZ280" s="0"/>
      <c r="FA280" s="0"/>
      <c r="FB280" s="0" t="n">
        <v>0</v>
      </c>
      <c r="FF280" s="120" t="e">
        <f aca="false">(CJ280-CI280+1)/365</f>
        <v>#VALUE!</v>
      </c>
      <c r="FG280" s="0" t="str">
        <f aca="false">CONCATENATE(F280,"/",G280)</f>
        <v>1227/2011</v>
      </c>
      <c r="FH280" s="0" t="n">
        <v>0</v>
      </c>
      <c r="FI280" s="0" t="n">
        <v>0</v>
      </c>
    </row>
    <row r="281" customFormat="false" ht="15" hidden="false" customHeight="false" outlineLevel="0" collapsed="false">
      <c r="A281" s="5" t="str">
        <f aca="false">E281&amp;G281&amp;F281</f>
        <v>720111227</v>
      </c>
      <c r="B281" s="0" t="s">
        <v>2925</v>
      </c>
      <c r="C281" s="1" t="n">
        <v>42409</v>
      </c>
      <c r="D281" s="0" t="s">
        <v>1856</v>
      </c>
      <c r="E281" s="0" t="n">
        <v>7</v>
      </c>
      <c r="F281" s="0" t="n">
        <v>1227</v>
      </c>
      <c r="G281" s="0" t="n">
        <v>2011</v>
      </c>
      <c r="H281" s="0" t="str">
        <f aca="false">"J"&amp;E281&amp;"\"&amp;F281&amp;"\"&amp;G281&amp;"\"&amp;W281</f>
        <v>J7\1227\2011\3</v>
      </c>
      <c r="I281" s="0"/>
      <c r="J281" s="1" t="n">
        <v>40739</v>
      </c>
      <c r="K281" s="0" t="n">
        <v>0</v>
      </c>
      <c r="M281" s="1"/>
      <c r="N281" s="1"/>
      <c r="O281" s="1"/>
      <c r="P281" s="1"/>
      <c r="Q281" s="1"/>
      <c r="T281" s="121"/>
      <c r="U281" s="121"/>
      <c r="V281" s="122" t="n">
        <f aca="false">IF(AND(E281&gt;0,F281&gt;0,G281&gt;0),COUNTIFS($E:$E,E281,$F:$F,F281,$G:$G,G281),"")</f>
        <v>3</v>
      </c>
      <c r="W281" s="122" t="n">
        <f aca="false">IF(V281="","",IF(V281=1,1,IF(AND(E280=E281,F280=F281,G280=G281),W280+1,1)))</f>
        <v>3</v>
      </c>
      <c r="X281" s="0" t="n">
        <v>3</v>
      </c>
      <c r="Y281" s="0" t="n">
        <v>4</v>
      </c>
      <c r="Z281" s="0" t="s">
        <v>3008</v>
      </c>
      <c r="AA281" s="0" t="n">
        <v>0</v>
      </c>
      <c r="AB281" s="0" t="s">
        <v>2996</v>
      </c>
      <c r="AC281" s="0" t="s">
        <v>1611</v>
      </c>
      <c r="AD281" s="0" t="s">
        <v>229</v>
      </c>
      <c r="AE281" s="0" t="n">
        <v>0</v>
      </c>
      <c r="AF281" s="0" t="s">
        <v>2997</v>
      </c>
      <c r="AG281" s="0" t="n">
        <v>0</v>
      </c>
      <c r="AH281" s="0" t="s">
        <v>2998</v>
      </c>
      <c r="AI281" s="0" t="s">
        <v>244</v>
      </c>
      <c r="AJ281" s="0" t="s">
        <v>221</v>
      </c>
      <c r="AL281" s="0" t="s">
        <v>2999</v>
      </c>
      <c r="AM281" s="0" t="n">
        <v>1</v>
      </c>
      <c r="AN281" s="0" t="s">
        <v>2998</v>
      </c>
      <c r="AO281" s="0" t="s">
        <v>244</v>
      </c>
      <c r="AP281" s="0" t="s">
        <v>221</v>
      </c>
      <c r="AR281" s="0" t="s">
        <v>3000</v>
      </c>
      <c r="AS281" s="0" t="n">
        <v>1</v>
      </c>
      <c r="AT281" s="0" t="s">
        <v>2998</v>
      </c>
      <c r="AU281" s="0" t="s">
        <v>244</v>
      </c>
      <c r="AV281" s="0" t="s">
        <v>221</v>
      </c>
      <c r="AX281" s="0" t="s">
        <v>1637</v>
      </c>
      <c r="AY281" s="0" t="n">
        <v>1</v>
      </c>
      <c r="AZ281" s="0" t="s">
        <v>2998</v>
      </c>
      <c r="BA281" s="0" t="s">
        <v>244</v>
      </c>
      <c r="BB281" s="0" t="s">
        <v>221</v>
      </c>
      <c r="BP281" s="0" t="n">
        <v>0</v>
      </c>
      <c r="BQ281" s="0" t="n">
        <v>0</v>
      </c>
      <c r="BR281" s="0" t="n">
        <v>1</v>
      </c>
      <c r="BS281" s="0" t="s">
        <v>3001</v>
      </c>
      <c r="BT281" s="0" t="s">
        <v>3002</v>
      </c>
      <c r="BU281" s="0" t="s">
        <v>3003</v>
      </c>
      <c r="BV281" s="123"/>
      <c r="BW281" s="123"/>
      <c r="BX281" s="123"/>
      <c r="BY281" s="123"/>
      <c r="BZ281" s="0" t="n">
        <v>0</v>
      </c>
      <c r="CA281" s="0" t="s">
        <v>216</v>
      </c>
      <c r="CD281" s="0" t="s">
        <v>370</v>
      </c>
      <c r="CE281" s="0" t="n">
        <v>0</v>
      </c>
      <c r="CF281" s="0" t="s">
        <v>3004</v>
      </c>
      <c r="CI281" s="1" t="n">
        <v>36225</v>
      </c>
      <c r="CJ281" s="1" t="s">
        <v>216</v>
      </c>
      <c r="CK281" s="124" t="s">
        <v>216</v>
      </c>
      <c r="CL281" s="0" t="s">
        <v>216</v>
      </c>
      <c r="CM281" s="0" t="e">
        <f aca="false">IF(OR(CI281="",CJ281=""),"",DAYS360(CI281,CJ281)/360)</f>
        <v>#VALUE!</v>
      </c>
      <c r="CN281" s="0" t="e">
        <f aca="false">IF(OR(CI281="",CJ281=""),"",DAYS360(CI281,CJ281)/30)</f>
        <v>#VALUE!</v>
      </c>
      <c r="CO281" s="0" t="e">
        <f aca="false">IF(OR(CI281="",CJ281=""),"",DAYS360(CI281,CJ281)/7)</f>
        <v>#VALUE!</v>
      </c>
      <c r="CP281" s="0" t="e">
        <f aca="false">IF(OR(CI281="",CJ281=""),"",DAYS360(CI281,CJ281))</f>
        <v>#VALUE!</v>
      </c>
      <c r="CQ281" s="0" t="s">
        <v>1493</v>
      </c>
      <c r="CR281" s="0" t="n">
        <v>6</v>
      </c>
      <c r="CS281" s="0" t="s">
        <v>3005</v>
      </c>
      <c r="CT281" s="0" t="s">
        <v>221</v>
      </c>
      <c r="CU281" s="0" t="s">
        <v>221</v>
      </c>
      <c r="CV281" s="0" t="str">
        <f aca="false">IF(OR(CT281="",CT281="NO ESPECIFICA",CT281="NO MENCIONA"),"",IF(CU281=0,CT281,IF(CU281=1,CT281/30,IF(CU281=2,CT281/15,IF(CU281=3,CT281/7,"")))))</f>
        <v/>
      </c>
      <c r="CW281" s="125" t="n">
        <v>132</v>
      </c>
      <c r="CX281" s="0" t="n">
        <v>0</v>
      </c>
      <c r="CY281" s="0" t="n">
        <f aca="false">IF(CW281="","",IF(CX281=0,CW281,IF(CX281=1,CW281/30,IF(CX281=2,CW281/15,IF(CX281=3,CW281/7,CW281)))))</f>
        <v>132</v>
      </c>
      <c r="CZ281" s="0" t="n">
        <f aca="false">IF(DI281&gt;0,DI281,IF(CY281&gt;0,CY281,IF(CV281&gt;0,CV281,"")))</f>
        <v>132</v>
      </c>
      <c r="DA281" s="0" t="n">
        <f aca="false">IF(DM281=1,CZ281/8,IF(OR(DM281=2,DM281=4),CZ281/7,IF(DM281=3,CZ281/7.5,"")))</f>
        <v>16.5</v>
      </c>
      <c r="DB281" s="0" t="s">
        <v>216</v>
      </c>
      <c r="DC281" s="0" t="s">
        <v>216</v>
      </c>
      <c r="DD281" s="0" t="s">
        <v>216</v>
      </c>
      <c r="DE281" s="0" t="s">
        <v>216</v>
      </c>
      <c r="DF281" s="0" t="s">
        <v>216</v>
      </c>
      <c r="DG281" s="0" t="s">
        <v>216</v>
      </c>
      <c r="DH281" s="0" t="n">
        <v>0</v>
      </c>
      <c r="DI281" s="126" t="n">
        <v>132</v>
      </c>
      <c r="DK281" s="0" t="n">
        <v>0</v>
      </c>
      <c r="DM281" s="0" t="n">
        <v>1</v>
      </c>
      <c r="DN281" s="0" t="n">
        <v>54</v>
      </c>
      <c r="DO281" s="0" t="n">
        <v>3</v>
      </c>
      <c r="DP281" s="0" t="n">
        <v>0</v>
      </c>
      <c r="DQ281" s="0" t="n">
        <v>0</v>
      </c>
      <c r="DR281" s="0"/>
      <c r="DS281" s="0" t="n">
        <v>1</v>
      </c>
      <c r="DU281" s="0" t="n">
        <v>0</v>
      </c>
      <c r="DW281" s="1" t="n">
        <v>29605</v>
      </c>
      <c r="DX281" s="1" t="s">
        <v>221</v>
      </c>
      <c r="DZ281" s="0"/>
      <c r="EA281" s="0" t="n">
        <v>1</v>
      </c>
      <c r="EC281" s="1" t="s">
        <v>3006</v>
      </c>
      <c r="ED281" s="1" t="s">
        <v>221</v>
      </c>
      <c r="EF281" s="0"/>
      <c r="EG281" s="0" t="n">
        <v>0</v>
      </c>
      <c r="EI281" s="0" t="n">
        <f aca="false">IF(AND(DM281=1,DN281&lt;=48),"",IF(AND(DM281=2,DN281&lt;=42),"",IF(AND(DM281=3,DN281&lt;=45),"",EH281)))</f>
        <v>0</v>
      </c>
      <c r="EJ281" s="0" t="str">
        <f aca="false">IF(EI281="","",IF(EI281&lt;9,EI281,9))</f>
        <v/>
      </c>
      <c r="EK281" s="0" t="str">
        <f aca="false">IF(EI281="","",IF(EI281&gt;9,EI281-EJ281,0))</f>
        <v/>
      </c>
      <c r="EL281" s="0" t="str">
        <f aca="false">IF(EI281="","",EJ281*DA281*2+EK281*DA281*3)</f>
        <v/>
      </c>
      <c r="EP281" s="0" t="n">
        <v>0</v>
      </c>
      <c r="EQ281" s="0"/>
      <c r="ER281" s="0" t="n">
        <v>0</v>
      </c>
      <c r="ET281" s="0" t="n">
        <v>0</v>
      </c>
      <c r="EV281" s="0" t="n">
        <v>1</v>
      </c>
      <c r="EX281" s="0" t="n">
        <v>1</v>
      </c>
      <c r="EY281" s="0" t="n">
        <v>0</v>
      </c>
      <c r="EZ281" s="0"/>
      <c r="FA281" s="0"/>
      <c r="FB281" s="0" t="n">
        <v>0</v>
      </c>
      <c r="FF281" s="120" t="e">
        <f aca="false">(CJ281-CI281+1)/365</f>
        <v>#VALUE!</v>
      </c>
      <c r="FG281" s="0" t="str">
        <f aca="false">CONCATENATE(F281,"/",G281)</f>
        <v>1227/2011</v>
      </c>
      <c r="FH281" s="0" t="n">
        <v>0</v>
      </c>
      <c r="FI281" s="0" t="n">
        <v>0</v>
      </c>
    </row>
    <row r="282" customFormat="false" ht="15" hidden="false" customHeight="false" outlineLevel="0" collapsed="false">
      <c r="A282" s="5" t="str">
        <f aca="false">E282&amp;G282&amp;F282</f>
        <v>720111234</v>
      </c>
      <c r="B282" s="0" t="s">
        <v>2925</v>
      </c>
      <c r="C282" s="1" t="n">
        <v>42409</v>
      </c>
      <c r="D282" s="0" t="s">
        <v>1856</v>
      </c>
      <c r="E282" s="0" t="n">
        <v>7</v>
      </c>
      <c r="F282" s="0" t="n">
        <v>1234</v>
      </c>
      <c r="G282" s="0" t="n">
        <v>2011</v>
      </c>
      <c r="H282" s="0" t="str">
        <f aca="false">"J"&amp;E282&amp;"\"&amp;F282&amp;"\"&amp;G282&amp;"\"&amp;W282</f>
        <v>J7\1234\2011\1</v>
      </c>
      <c r="I282" s="0"/>
      <c r="J282" s="1" t="n">
        <v>40739</v>
      </c>
      <c r="K282" s="0" t="n">
        <v>0</v>
      </c>
      <c r="M282" s="1"/>
      <c r="N282" s="1"/>
      <c r="O282" s="1"/>
      <c r="P282" s="1"/>
      <c r="Q282" s="1"/>
      <c r="T282" s="121"/>
      <c r="U282" s="121"/>
      <c r="V282" s="122" t="n">
        <f aca="false">IF(AND(E282&gt;0,F282&gt;0,G282&gt;0),COUNTIFS($E:$E,E282,$F:$F,F282,$G:$G,G282),"")</f>
        <v>1</v>
      </c>
      <c r="W282" s="122" t="n">
        <f aca="false">IF(V282="","",IF(V282=1,1,IF(AND(E281=E282,F281=F282,G281=G282),W281+1,1)))</f>
        <v>1</v>
      </c>
      <c r="X282" s="0" t="n">
        <v>1</v>
      </c>
      <c r="Y282" s="0" t="n">
        <v>8</v>
      </c>
      <c r="Z282" s="0" t="s">
        <v>3009</v>
      </c>
      <c r="AA282" s="0" t="n">
        <v>0</v>
      </c>
      <c r="AB282" s="0" t="s">
        <v>3010</v>
      </c>
      <c r="AC282" s="0" t="s">
        <v>1611</v>
      </c>
      <c r="AD282" s="0" t="s">
        <v>229</v>
      </c>
      <c r="AE282" s="0" t="n">
        <v>0</v>
      </c>
      <c r="AF282" s="0" t="s">
        <v>3011</v>
      </c>
      <c r="AG282" s="0" t="n">
        <v>0</v>
      </c>
      <c r="AH282" s="0" t="s">
        <v>3012</v>
      </c>
      <c r="AI282" s="0" t="s">
        <v>3013</v>
      </c>
      <c r="AJ282" s="0" t="s">
        <v>322</v>
      </c>
      <c r="AL282" s="0" t="s">
        <v>3014</v>
      </c>
      <c r="AM282" s="0" t="n">
        <v>1</v>
      </c>
      <c r="AN282" s="0" t="s">
        <v>3012</v>
      </c>
      <c r="AO282" s="0" t="s">
        <v>3013</v>
      </c>
      <c r="AP282" s="0" t="s">
        <v>322</v>
      </c>
      <c r="AR282" s="0" t="s">
        <v>3015</v>
      </c>
      <c r="AS282" s="0" t="n">
        <v>1</v>
      </c>
      <c r="AT282" s="0" t="s">
        <v>3012</v>
      </c>
      <c r="AU282" s="0" t="s">
        <v>3013</v>
      </c>
      <c r="AV282" s="0" t="s">
        <v>322</v>
      </c>
      <c r="AX282" s="0" t="s">
        <v>3016</v>
      </c>
      <c r="AY282" s="0" t="n">
        <v>1</v>
      </c>
      <c r="AZ282" s="0" t="s">
        <v>3012</v>
      </c>
      <c r="BA282" s="0" t="s">
        <v>3013</v>
      </c>
      <c r="BB282" s="0" t="s">
        <v>322</v>
      </c>
      <c r="BD282" s="0" t="s">
        <v>3017</v>
      </c>
      <c r="BE282" s="0" t="n">
        <v>1</v>
      </c>
      <c r="BF282" s="0" t="s">
        <v>3012</v>
      </c>
      <c r="BG282" s="0" t="s">
        <v>3013</v>
      </c>
      <c r="BH282" s="0" t="s">
        <v>322</v>
      </c>
      <c r="BJ282" s="0" t="s">
        <v>3018</v>
      </c>
      <c r="BK282" s="0" t="n">
        <v>1</v>
      </c>
      <c r="BL282" s="0" t="s">
        <v>3012</v>
      </c>
      <c r="BM282" s="0" t="s">
        <v>3013</v>
      </c>
      <c r="BN282" s="0" t="s">
        <v>322</v>
      </c>
      <c r="BP282" s="0" t="n">
        <v>0</v>
      </c>
      <c r="BQ282" s="0" t="n">
        <v>0</v>
      </c>
      <c r="BR282" s="0" t="n">
        <v>1</v>
      </c>
      <c r="BS282" s="0" t="s">
        <v>3019</v>
      </c>
      <c r="BT282" s="0" t="s">
        <v>3020</v>
      </c>
      <c r="BU282" s="0" t="s">
        <v>3021</v>
      </c>
      <c r="BV282" s="123"/>
      <c r="BW282" s="123"/>
      <c r="BX282" s="123"/>
      <c r="BY282" s="123"/>
      <c r="BZ282" s="0" t="n">
        <v>0</v>
      </c>
      <c r="CA282" s="0" t="s">
        <v>216</v>
      </c>
      <c r="CD282" s="0" t="s">
        <v>256</v>
      </c>
      <c r="CE282" s="0" t="n">
        <v>1</v>
      </c>
      <c r="CF282" s="0" t="s">
        <v>3022</v>
      </c>
      <c r="CI282" s="1" t="n">
        <v>39624</v>
      </c>
      <c r="CJ282" s="1" t="n">
        <v>40711</v>
      </c>
      <c r="CK282" s="124" t="n">
        <v>0.645833333333333</v>
      </c>
      <c r="CL282" s="0" t="s">
        <v>3023</v>
      </c>
      <c r="CM282" s="0" t="n">
        <f aca="false">IF(OR(CI282="",CJ282=""),"",DAYS360(CI282,CJ282)/360)</f>
        <v>2.97777777777778</v>
      </c>
      <c r="CN282" s="0" t="n">
        <f aca="false">IF(OR(CI282="",CJ282=""),"",DAYS360(CI282,CJ282)/30)</f>
        <v>35.7333333333333</v>
      </c>
      <c r="CO282" s="0" t="n">
        <f aca="false">IF(OR(CI282="",CJ282=""),"",DAYS360(CI282,CJ282)/7)</f>
        <v>153.142857142857</v>
      </c>
      <c r="CP282" s="0" t="n">
        <f aca="false">IF(OR(CI282="",CJ282=""),"",DAYS360(CI282,CJ282))</f>
        <v>1072</v>
      </c>
      <c r="CQ282" s="0" t="s">
        <v>240</v>
      </c>
      <c r="CR282" s="0" t="n">
        <v>1</v>
      </c>
      <c r="CT282" s="0" t="n">
        <v>675</v>
      </c>
      <c r="CU282" s="0" t="n">
        <v>0</v>
      </c>
      <c r="CV282" s="0" t="n">
        <f aca="false">IF(OR(CT282="",CT282="NO ESPECIFICA",CT282="NO MENCIONA"),"",IF(CU282=0,CT282,IF(CU282=1,CT282/30,IF(CU282=2,CT282/15,IF(CU282=3,CT282/7,"")))))</f>
        <v>675</v>
      </c>
      <c r="CW282" s="125" t="n">
        <v>1025.01</v>
      </c>
      <c r="CX282" s="0" t="n">
        <v>0</v>
      </c>
      <c r="CY282" s="0" t="n">
        <f aca="false">IF(CW282="","",IF(CX282=0,CW282,IF(CX282=1,CW282/30,IF(CX282=2,CW282/15,IF(CX282=3,CW282/7,CW282)))))</f>
        <v>1025.01</v>
      </c>
      <c r="CZ282" s="0" t="n">
        <f aca="false">IF(DI282&gt;0,DI282,IF(CY282&gt;0,CY282,IF(CV282&gt;0,CV282,"")))</f>
        <v>1025.01</v>
      </c>
      <c r="DA282" s="0" t="n">
        <f aca="false">IF(DM282=1,CZ282/8,IF(OR(DM282=2,DM282=4),CZ282/7,IF(DM282=3,CZ282/7.5,"")))</f>
        <v>128.12625</v>
      </c>
      <c r="DB282" s="0" t="s">
        <v>3024</v>
      </c>
      <c r="DC282" s="0" t="s">
        <v>1582</v>
      </c>
      <c r="DE282" s="0" t="s">
        <v>216</v>
      </c>
      <c r="DF282" s="0" t="s">
        <v>216</v>
      </c>
      <c r="DG282" s="0" t="s">
        <v>216</v>
      </c>
      <c r="DH282" s="0" t="n">
        <v>0</v>
      </c>
      <c r="DI282" s="126" t="n">
        <v>1025.01</v>
      </c>
      <c r="DK282" s="0" t="n">
        <v>1</v>
      </c>
      <c r="DM282" s="0" t="n">
        <v>1</v>
      </c>
      <c r="DN282" s="0" t="n">
        <v>60</v>
      </c>
      <c r="DO282" s="0" t="n">
        <v>3</v>
      </c>
      <c r="DP282" s="0" t="n">
        <v>0</v>
      </c>
      <c r="DQ282" s="0" t="n">
        <v>1</v>
      </c>
      <c r="DR282" s="0"/>
      <c r="DS282" s="0" t="n">
        <v>1</v>
      </c>
      <c r="DU282" s="0" t="n">
        <v>1</v>
      </c>
      <c r="DW282" s="1" t="n">
        <v>39624</v>
      </c>
      <c r="DX282" s="1" t="n">
        <v>40711</v>
      </c>
      <c r="DZ282" s="0"/>
      <c r="EA282" s="0" t="n">
        <v>1</v>
      </c>
      <c r="EC282" s="1" t="n">
        <v>39624</v>
      </c>
      <c r="ED282" s="1" t="n">
        <v>40711</v>
      </c>
      <c r="EF282" s="0"/>
      <c r="EG282" s="0" t="n">
        <v>1</v>
      </c>
      <c r="EH282" s="0" t="n">
        <v>9</v>
      </c>
      <c r="EI282" s="0" t="n">
        <f aca="false">IF(AND(DM282=1,DN282&lt;=48),"",IF(AND(DM282=2,DN282&lt;=42),"",IF(AND(DM282=3,DN282&lt;=45),"",EH282)))</f>
        <v>9</v>
      </c>
      <c r="EJ282" s="0" t="n">
        <f aca="false">IF(EI282="","",IF(EI282&lt;9,EI282,9))</f>
        <v>9</v>
      </c>
      <c r="EK282" s="0" t="n">
        <f aca="false">IF(EI282="","",IF(EI282&gt;9,EI282-EJ282,0))</f>
        <v>0</v>
      </c>
      <c r="EL282" s="0" t="n">
        <f aca="false">IF(EI282="","",EJ282*DA282*2+EK282*DA282*3)</f>
        <v>2306.2725</v>
      </c>
      <c r="EP282" s="0" t="n">
        <v>1</v>
      </c>
      <c r="EQ282" s="0"/>
      <c r="ER282" s="0" t="n">
        <v>0</v>
      </c>
      <c r="ET282" s="0" t="n">
        <v>0</v>
      </c>
      <c r="EV282" s="0" t="n">
        <v>0</v>
      </c>
      <c r="EX282" s="0" t="n">
        <v>1</v>
      </c>
      <c r="EY282" s="0" t="n">
        <v>0</v>
      </c>
      <c r="EZ282" s="0"/>
      <c r="FA282" s="4" t="n">
        <f aca="false">16*DI282</f>
        <v>16400.16</v>
      </c>
      <c r="FB282" s="0" t="n">
        <v>0</v>
      </c>
      <c r="FF282" s="120" t="n">
        <f aca="false">(CJ282-CI282+1)/365</f>
        <v>2.98082191780822</v>
      </c>
      <c r="FG282" s="0" t="str">
        <f aca="false">CONCATENATE(F282,"/",G282)</f>
        <v>1234/2011</v>
      </c>
      <c r="FH282" s="0" t="n">
        <v>0</v>
      </c>
      <c r="FI282" s="0" t="n">
        <v>0</v>
      </c>
    </row>
    <row r="283" customFormat="false" ht="15" hidden="false" customHeight="false" outlineLevel="0" collapsed="false">
      <c r="A283" s="5" t="str">
        <f aca="false">E283&amp;G283&amp;F283</f>
        <v>720111239</v>
      </c>
      <c r="B283" s="0" t="s">
        <v>2925</v>
      </c>
      <c r="C283" s="1" t="n">
        <v>42409</v>
      </c>
      <c r="E283" s="0" t="n">
        <v>7</v>
      </c>
      <c r="F283" s="0" t="n">
        <v>1239</v>
      </c>
      <c r="G283" s="0" t="n">
        <v>2011</v>
      </c>
      <c r="H283" s="0" t="str">
        <f aca="false">"J"&amp;E283&amp;"\"&amp;F283&amp;"\"&amp;G283&amp;"\"&amp;W283</f>
        <v>J7\1239\2011\1</v>
      </c>
      <c r="I283" s="0"/>
      <c r="J283" s="1" t="n">
        <v>40743</v>
      </c>
      <c r="K283" s="0" t="n">
        <v>1</v>
      </c>
      <c r="L283" s="0" t="s">
        <v>3025</v>
      </c>
      <c r="M283" s="1" t="n">
        <v>40756</v>
      </c>
      <c r="N283" s="1" t="n">
        <v>40941</v>
      </c>
      <c r="O283" s="1"/>
      <c r="P283" s="1"/>
      <c r="Q283" s="1"/>
      <c r="T283" s="121"/>
      <c r="U283" s="121"/>
      <c r="V283" s="122" t="n">
        <f aca="false">IF(AND(E283&gt;0,F283&gt;0,G283&gt;0),COUNTIFS($E:$E,E283,$F:$F,F283,$G:$G,G283),"")</f>
        <v>1</v>
      </c>
      <c r="W283" s="122" t="n">
        <f aca="false">IF(V283="","",IF(V283=1,1,IF(AND(E282=E283,F282=F283,G282=G283),W282+1,1)))</f>
        <v>1</v>
      </c>
      <c r="X283" s="0" t="n">
        <v>1</v>
      </c>
      <c r="Y283" s="0" t="n">
        <v>6</v>
      </c>
      <c r="Z283" s="0" t="s">
        <v>3026</v>
      </c>
      <c r="AA283" s="0" t="n">
        <v>0</v>
      </c>
      <c r="AB283" s="0" t="s">
        <v>3027</v>
      </c>
      <c r="AC283" s="0" t="s">
        <v>274</v>
      </c>
      <c r="AD283" s="0" t="s">
        <v>229</v>
      </c>
      <c r="AE283" s="0" t="n">
        <v>0</v>
      </c>
      <c r="AF283" s="0" t="s">
        <v>3028</v>
      </c>
      <c r="AG283" s="0" t="n">
        <v>2</v>
      </c>
      <c r="AH283" s="0" t="s">
        <v>3029</v>
      </c>
      <c r="AI283" s="0" t="s">
        <v>3030</v>
      </c>
      <c r="AJ283" s="0" t="s">
        <v>755</v>
      </c>
      <c r="AL283" s="0" t="s">
        <v>3031</v>
      </c>
      <c r="AM283" s="0" t="n">
        <v>1</v>
      </c>
      <c r="AN283" s="0" t="s">
        <v>3029</v>
      </c>
      <c r="AO283" s="0" t="s">
        <v>3030</v>
      </c>
      <c r="AP283" s="0" t="s">
        <v>755</v>
      </c>
      <c r="AR283" s="0" t="s">
        <v>1637</v>
      </c>
      <c r="AS283" s="0" t="n">
        <v>1</v>
      </c>
      <c r="AT283" s="0" t="s">
        <v>3029</v>
      </c>
      <c r="AU283" s="0" t="s">
        <v>3030</v>
      </c>
      <c r="AV283" s="0" t="s">
        <v>755</v>
      </c>
      <c r="AX283" s="0" t="s">
        <v>249</v>
      </c>
      <c r="AY283" s="0" t="n">
        <v>0</v>
      </c>
      <c r="AZ283" s="0" t="s">
        <v>911</v>
      </c>
      <c r="BA283" s="0" t="s">
        <v>251</v>
      </c>
      <c r="BB283" s="0" t="s">
        <v>229</v>
      </c>
      <c r="BD283" s="0" t="s">
        <v>412</v>
      </c>
      <c r="BE283" s="0" t="n">
        <v>1</v>
      </c>
      <c r="BF283" s="0" t="s">
        <v>3032</v>
      </c>
      <c r="BG283" s="0" t="s">
        <v>438</v>
      </c>
      <c r="BH283" s="0" t="s">
        <v>221</v>
      </c>
      <c r="BJ283" s="0" t="s">
        <v>3033</v>
      </c>
      <c r="BK283" s="0" t="s">
        <v>221</v>
      </c>
      <c r="BL283" s="0" t="s">
        <v>221</v>
      </c>
      <c r="BM283" s="0" t="s">
        <v>221</v>
      </c>
      <c r="BN283" s="0" t="s">
        <v>221</v>
      </c>
      <c r="BP283" s="0" t="n">
        <v>0</v>
      </c>
      <c r="BQ283" s="0" t="n">
        <v>0</v>
      </c>
      <c r="BR283" s="0" t="n">
        <v>1</v>
      </c>
      <c r="BS283" s="0" t="s">
        <v>3034</v>
      </c>
      <c r="BT283" s="0" t="s">
        <v>3035</v>
      </c>
      <c r="BU283" s="0" t="s">
        <v>3036</v>
      </c>
      <c r="BV283" s="123"/>
      <c r="BW283" s="123"/>
      <c r="BX283" s="123"/>
      <c r="BY283" s="123"/>
      <c r="BZ283" s="0" t="n">
        <v>0</v>
      </c>
      <c r="CA283" s="0" t="s">
        <v>216</v>
      </c>
      <c r="CD283" s="0" t="s">
        <v>256</v>
      </c>
      <c r="CE283" s="0" t="n">
        <v>0</v>
      </c>
      <c r="CF283" s="0" t="s">
        <v>3037</v>
      </c>
      <c r="CI283" s="1" t="n">
        <v>40294</v>
      </c>
      <c r="CJ283" s="1" t="n">
        <v>40318</v>
      </c>
      <c r="CK283" s="124" t="n">
        <v>0.739583333333333</v>
      </c>
      <c r="CL283" s="0" t="s">
        <v>3038</v>
      </c>
      <c r="CM283" s="0" t="n">
        <f aca="false">IF(OR(CI283="",CJ283=""),"",DAYS360(CI283,CJ283)/360)</f>
        <v>0.0666666666666667</v>
      </c>
      <c r="CN283" s="0" t="n">
        <f aca="false">IF(OR(CI283="",CJ283=""),"",DAYS360(CI283,CJ283)/30)</f>
        <v>0.8</v>
      </c>
      <c r="CO283" s="0" t="n">
        <f aca="false">IF(OR(CI283="",CJ283=""),"",DAYS360(CI283,CJ283)/7)</f>
        <v>3.42857142857143</v>
      </c>
      <c r="CP283" s="0" t="n">
        <f aca="false">IF(OR(CI283="",CJ283=""),"",DAYS360(CI283,CJ283))</f>
        <v>24</v>
      </c>
      <c r="CQ283" s="0" t="s">
        <v>240</v>
      </c>
      <c r="CR283" s="0" t="n">
        <v>1</v>
      </c>
      <c r="CT283" s="0" t="s">
        <v>221</v>
      </c>
      <c r="CU283" s="0" t="s">
        <v>221</v>
      </c>
      <c r="CV283" s="0" t="str">
        <f aca="false">IF(OR(CT283="",CT283="NO ESPECIFICA",CT283="NO MENCIONA"),"",IF(CU283=0,CT283,IF(CU283=1,CT283/30,IF(CU283=2,CT283/15,IF(CU283=3,CT283/7,"")))))</f>
        <v/>
      </c>
      <c r="CW283" s="125" t="n">
        <v>1400</v>
      </c>
      <c r="CX283" s="0" t="n">
        <v>3</v>
      </c>
      <c r="CY283" s="0" t="n">
        <f aca="false">IF(CW283="","",IF(CX283=0,CW283,IF(CX283=1,CW283/30,IF(CX283=2,CW283/15,IF(CX283=3,CW283/7,CW283)))))</f>
        <v>200</v>
      </c>
      <c r="CZ283" s="0" t="n">
        <f aca="false">IF(DI283&gt;0,DI283,IF(CY283&gt;0,CY283,IF(CV283&gt;0,CV283,"")))</f>
        <v>200</v>
      </c>
      <c r="DA283" s="0" t="n">
        <f aca="false">IF(DM283=1,CZ283/8,IF(OR(DM283=2,DM283=4),CZ283/7,IF(DM283=3,CZ283/7.5,"")))</f>
        <v>25</v>
      </c>
      <c r="DB283" s="0" t="s">
        <v>216</v>
      </c>
      <c r="DC283" s="0" t="s">
        <v>216</v>
      </c>
      <c r="DD283" s="0" t="s">
        <v>216</v>
      </c>
      <c r="DE283" s="0" t="s">
        <v>216</v>
      </c>
      <c r="DF283" s="0" t="s">
        <v>216</v>
      </c>
      <c r="DG283" s="0" t="s">
        <v>216</v>
      </c>
      <c r="DH283" s="0" t="n">
        <v>0</v>
      </c>
      <c r="DI283" s="126" t="n">
        <f aca="false">1400/7</f>
        <v>200</v>
      </c>
      <c r="DK283" s="0" t="n">
        <v>0</v>
      </c>
      <c r="DM283" s="0" t="n">
        <v>1</v>
      </c>
      <c r="DN283" s="0" t="n">
        <v>56</v>
      </c>
      <c r="DO283" s="0" t="n">
        <v>3</v>
      </c>
      <c r="DP283" s="0" t="n">
        <v>0</v>
      </c>
      <c r="DQ283" s="0" t="n">
        <v>1</v>
      </c>
      <c r="DR283" s="0"/>
      <c r="DS283" s="0" t="n">
        <v>1</v>
      </c>
      <c r="DU283" s="0" t="n">
        <v>0</v>
      </c>
      <c r="DW283" s="1" t="n">
        <v>40294</v>
      </c>
      <c r="DX283" s="1" t="n">
        <v>40318</v>
      </c>
      <c r="DZ283" s="0"/>
      <c r="EA283" s="0" t="n">
        <v>1</v>
      </c>
      <c r="EC283" s="1" t="n">
        <v>40294</v>
      </c>
      <c r="ED283" s="1" t="n">
        <v>40318</v>
      </c>
      <c r="EF283" s="0"/>
      <c r="EG283" s="0" t="n">
        <v>0</v>
      </c>
      <c r="EI283" s="0" t="n">
        <f aca="false">IF(AND(DM283=1,DN283&lt;=48),"",IF(AND(DM283=2,DN283&lt;=42),"",IF(AND(DM283=3,DN283&lt;=45),"",EH283)))</f>
        <v>0</v>
      </c>
      <c r="EJ283" s="0" t="str">
        <f aca="false">IF(EI283="","",IF(EI283&lt;9,EI283,9))</f>
        <v/>
      </c>
      <c r="EK283" s="0" t="str">
        <f aca="false">IF(EI283="","",IF(EI283&gt;9,EI283-EJ283,0))</f>
        <v/>
      </c>
      <c r="EL283" s="0" t="str">
        <f aca="false">IF(EI283="","",EJ283*DA283*2+EK283*DA283*3)</f>
        <v/>
      </c>
      <c r="EP283" s="0" t="n">
        <v>0</v>
      </c>
      <c r="EQ283" s="0"/>
      <c r="ER283" s="0" t="n">
        <v>0</v>
      </c>
      <c r="ET283" s="0" t="n">
        <v>0</v>
      </c>
      <c r="EV283" s="0" t="n">
        <v>0</v>
      </c>
      <c r="EX283" s="0" t="n">
        <v>0</v>
      </c>
      <c r="EY283" s="0" t="n">
        <v>1</v>
      </c>
      <c r="EZ283" s="0"/>
      <c r="FA283" s="0"/>
      <c r="FB283" s="0" t="n">
        <v>0</v>
      </c>
      <c r="FF283" s="120" t="n">
        <f aca="false">(CJ283-CI283+1)/365</f>
        <v>0.0684931506849315</v>
      </c>
      <c r="FG283" s="0" t="str">
        <f aca="false">CONCATENATE(F283,"/",G283)</f>
        <v>1239/2011</v>
      </c>
      <c r="FH283" s="0" t="n">
        <v>0</v>
      </c>
      <c r="FI283" s="0" t="n">
        <v>0</v>
      </c>
    </row>
    <row r="284" customFormat="false" ht="15" hidden="false" customHeight="false" outlineLevel="0" collapsed="false">
      <c r="A284" s="5" t="str">
        <f aca="false">E284&amp;G284&amp;F284</f>
        <v>720111242</v>
      </c>
      <c r="B284" s="0" t="s">
        <v>2925</v>
      </c>
      <c r="C284" s="1" t="n">
        <v>42409</v>
      </c>
      <c r="E284" s="0" t="n">
        <v>7</v>
      </c>
      <c r="F284" s="0" t="n">
        <v>1242</v>
      </c>
      <c r="G284" s="0" t="n">
        <v>2011</v>
      </c>
      <c r="H284" s="0" t="str">
        <f aca="false">"J"&amp;E284&amp;"\"&amp;F284&amp;"\"&amp;G284&amp;"\"&amp;W284</f>
        <v>J7\1242\2011\1</v>
      </c>
      <c r="I284" s="0"/>
      <c r="J284" s="1" t="n">
        <v>40745</v>
      </c>
      <c r="K284" s="0" t="n">
        <v>0</v>
      </c>
      <c r="M284" s="1" t="n">
        <v>40756</v>
      </c>
      <c r="N284" s="1" t="n">
        <v>40941</v>
      </c>
      <c r="O284" s="1"/>
      <c r="P284" s="1"/>
      <c r="Q284" s="1"/>
      <c r="T284" s="121"/>
      <c r="U284" s="121"/>
      <c r="V284" s="122" t="n">
        <f aca="false">IF(AND(E284&gt;0,F284&gt;0,G284&gt;0),COUNTIFS($E:$E,E284,$F:$F,F284,$G:$G,G284),"")</f>
        <v>1</v>
      </c>
      <c r="W284" s="122" t="n">
        <f aca="false">IF(V284="","",IF(V284=1,1,IF(AND(E283=E284,F283=F284,G283=G284),W283+1,1)))</f>
        <v>1</v>
      </c>
      <c r="X284" s="0" t="n">
        <v>1</v>
      </c>
      <c r="Y284" s="0" t="n">
        <v>3</v>
      </c>
      <c r="Z284" s="0" t="s">
        <v>3039</v>
      </c>
      <c r="AA284" s="0" t="n">
        <v>0</v>
      </c>
      <c r="AB284" s="0" t="s">
        <v>3040</v>
      </c>
      <c r="AC284" s="0" t="s">
        <v>318</v>
      </c>
      <c r="AD284" s="0" t="s">
        <v>229</v>
      </c>
      <c r="AE284" s="0" t="n">
        <v>0</v>
      </c>
      <c r="AF284" s="0" t="s">
        <v>3041</v>
      </c>
      <c r="AG284" s="0" t="n">
        <v>0</v>
      </c>
      <c r="AH284" s="0" t="s">
        <v>3042</v>
      </c>
      <c r="AI284" s="0" t="s">
        <v>3043</v>
      </c>
      <c r="AJ284" s="0" t="s">
        <v>211</v>
      </c>
      <c r="AL284" s="0" t="s">
        <v>364</v>
      </c>
      <c r="AM284" s="0" t="n">
        <v>1</v>
      </c>
      <c r="AN284" s="0" t="s">
        <v>3042</v>
      </c>
      <c r="AO284" s="0" t="s">
        <v>3043</v>
      </c>
      <c r="AP284" s="0" t="s">
        <v>211</v>
      </c>
      <c r="AR284" s="0" t="s">
        <v>3044</v>
      </c>
      <c r="AS284" s="0" t="n">
        <v>1</v>
      </c>
      <c r="AT284" s="0" t="s">
        <v>3042</v>
      </c>
      <c r="AU284" s="0" t="s">
        <v>3043</v>
      </c>
      <c r="AV284" s="0" t="s">
        <v>211</v>
      </c>
      <c r="BP284" s="0" t="n">
        <v>0</v>
      </c>
      <c r="BQ284" s="0" t="n">
        <v>0</v>
      </c>
      <c r="BR284" s="0" t="n">
        <v>1</v>
      </c>
      <c r="BS284" s="0" t="s">
        <v>3045</v>
      </c>
      <c r="BT284" s="0" t="s">
        <v>367</v>
      </c>
      <c r="BU284" s="0" t="s">
        <v>368</v>
      </c>
      <c r="BV284" s="123"/>
      <c r="BW284" s="123"/>
      <c r="BX284" s="123"/>
      <c r="BY284" s="123"/>
      <c r="BZ284" s="0" t="n">
        <v>0</v>
      </c>
      <c r="CA284" s="0" t="s">
        <v>369</v>
      </c>
      <c r="CD284" s="0" t="s">
        <v>370</v>
      </c>
      <c r="CE284" s="0" t="n">
        <v>0</v>
      </c>
      <c r="CF284" s="0" t="s">
        <v>3046</v>
      </c>
      <c r="CI284" s="1" t="n">
        <v>36983</v>
      </c>
      <c r="CJ284" s="1" t="n">
        <v>40684</v>
      </c>
      <c r="CK284" s="124" t="n">
        <v>0.645833333333333</v>
      </c>
      <c r="CL284" s="0" t="s">
        <v>364</v>
      </c>
      <c r="CM284" s="0" t="n">
        <f aca="false">IF(OR(CI284="",CJ284=""),"",DAYS360(CI284,CJ284)/360)</f>
        <v>10.1361111111111</v>
      </c>
      <c r="CN284" s="0" t="n">
        <f aca="false">IF(OR(CI284="",CJ284=""),"",DAYS360(CI284,CJ284)/30)</f>
        <v>121.633333333333</v>
      </c>
      <c r="CO284" s="0" t="n">
        <f aca="false">IF(OR(CI284="",CJ284=""),"",DAYS360(CI284,CJ284)/7)</f>
        <v>521.285714285714</v>
      </c>
      <c r="CP284" s="0" t="n">
        <f aca="false">IF(OR(CI284="",CJ284=""),"",DAYS360(CI284,CJ284))</f>
        <v>3649</v>
      </c>
      <c r="CQ284" s="0" t="s">
        <v>220</v>
      </c>
      <c r="CR284" s="0" t="n">
        <v>1</v>
      </c>
      <c r="CT284" s="0" t="n">
        <v>3000</v>
      </c>
      <c r="CU284" s="0" t="n">
        <v>2</v>
      </c>
      <c r="CV284" s="0" t="n">
        <f aca="false">IF(OR(CT284="",CT284="NO ESPECIFICA",CT284="NO MENCIONA"),"",IF(CU284=0,CT284,IF(CU284=1,CT284/30,IF(CU284=2,CT284/15,IF(CU284=3,CT284/7,"")))))</f>
        <v>200</v>
      </c>
      <c r="CW284" s="125" t="s">
        <v>221</v>
      </c>
      <c r="CX284" s="0" t="s">
        <v>221</v>
      </c>
      <c r="CY284" s="0" t="str">
        <f aca="false">IF(CW284="","",IF(CX284=0,CW284,IF(CX284=1,CW284/30,IF(CX284=2,CW284/15,IF(CX284=3,CW284/7,CW284)))))</f>
        <v>NO ESPECIFICA</v>
      </c>
      <c r="CZ284" s="0" t="n">
        <f aca="false">IF(DI284&gt;0,DI284,IF(CY284&gt;0,CY284,IF(CV284&gt;0,CV284,"")))</f>
        <v>333.333333333333</v>
      </c>
      <c r="DA284" s="0" t="n">
        <f aca="false">IF(DM284=1,CZ284/8,IF(OR(DM284=2,DM284=4),CZ284/7,IF(DM284=3,CZ284/7.5,"")))</f>
        <v>41.6666666666667</v>
      </c>
      <c r="DB284" s="0" t="s">
        <v>259</v>
      </c>
      <c r="DC284" s="0" t="s">
        <v>258</v>
      </c>
      <c r="DD284" s="0" t="s">
        <v>373</v>
      </c>
      <c r="DE284" s="0" t="s">
        <v>299</v>
      </c>
      <c r="DF284" s="0" t="s">
        <v>374</v>
      </c>
      <c r="DG284" s="0" t="s">
        <v>3047</v>
      </c>
      <c r="DH284" s="0" t="n">
        <v>0</v>
      </c>
      <c r="DI284" s="126" t="n">
        <f aca="false">(3000+250+400+350+300+300+200+200)/15</f>
        <v>333.333333333333</v>
      </c>
      <c r="DK284" s="0" t="n">
        <v>1</v>
      </c>
      <c r="DM284" s="0" t="n">
        <v>1</v>
      </c>
      <c r="DN284" s="0" t="n">
        <v>20</v>
      </c>
      <c r="DO284" s="0" t="n">
        <v>3</v>
      </c>
      <c r="DP284" s="0" t="n">
        <v>1</v>
      </c>
      <c r="DQ284" s="0" t="n">
        <v>0</v>
      </c>
      <c r="DR284" s="0"/>
      <c r="DS284" s="0" t="n">
        <v>1</v>
      </c>
      <c r="DU284" s="0" t="n">
        <v>0</v>
      </c>
      <c r="DW284" s="1" t="n">
        <v>36983</v>
      </c>
      <c r="DX284" s="1" t="n">
        <v>40684</v>
      </c>
      <c r="DZ284" s="0"/>
      <c r="EA284" s="0" t="n">
        <v>1</v>
      </c>
      <c r="EC284" s="1" t="n">
        <v>36983</v>
      </c>
      <c r="ED284" s="1" t="n">
        <v>40684</v>
      </c>
      <c r="EF284" s="0"/>
      <c r="EG284" s="0" t="n">
        <v>1</v>
      </c>
      <c r="EH284" s="0" t="n">
        <v>10</v>
      </c>
      <c r="EI284" s="0" t="str">
        <f aca="false">IF(AND(DM284=1,DN284&lt;=48),"",IF(AND(DM284=2,DN284&lt;=42),"",IF(AND(DM284=3,DN284&lt;=45),"",EH284)))</f>
        <v/>
      </c>
      <c r="EJ284" s="0" t="str">
        <f aca="false">IF(EI284="","",IF(EI284&lt;9,EI284,9))</f>
        <v/>
      </c>
      <c r="EK284" s="0" t="str">
        <f aca="false">IF(EI284="","",IF(EI284&gt;9,EI284-EJ284,0))</f>
        <v/>
      </c>
      <c r="EL284" s="0" t="str">
        <f aca="false">IF(EI284="","",EJ284*DA284*2+EK284*DA284*3)</f>
        <v/>
      </c>
      <c r="EP284" s="0" t="n">
        <v>0</v>
      </c>
      <c r="EQ284" s="0"/>
      <c r="ER284" s="0" t="n">
        <v>0</v>
      </c>
      <c r="ET284" s="0" t="n">
        <v>0</v>
      </c>
      <c r="EV284" s="0" t="n">
        <v>0</v>
      </c>
      <c r="EX284" s="0" t="n">
        <v>1</v>
      </c>
      <c r="EY284" s="0" t="n">
        <v>0</v>
      </c>
      <c r="EZ284" s="0"/>
      <c r="FA284" s="0"/>
      <c r="FB284" s="0" t="n">
        <v>1</v>
      </c>
      <c r="FF284" s="120" t="n">
        <f aca="false">(CJ284-CI284+1)/365</f>
        <v>10.1424657534247</v>
      </c>
      <c r="FG284" s="0" t="str">
        <f aca="false">CONCATENATE(F284,"/",G284)</f>
        <v>1242/2011</v>
      </c>
      <c r="FH284" s="0" t="n">
        <v>0</v>
      </c>
      <c r="FI284" s="0" t="n">
        <v>0</v>
      </c>
    </row>
    <row r="285" customFormat="false" ht="15" hidden="false" customHeight="false" outlineLevel="0" collapsed="false">
      <c r="A285" s="5" t="str">
        <f aca="false">E285&amp;G285&amp;F285</f>
        <v>720111248</v>
      </c>
      <c r="B285" s="0" t="s">
        <v>2925</v>
      </c>
      <c r="C285" s="1" t="n">
        <v>42410</v>
      </c>
      <c r="D285" s="0" t="s">
        <v>1856</v>
      </c>
      <c r="E285" s="0" t="n">
        <v>7</v>
      </c>
      <c r="F285" s="0" t="n">
        <v>1248</v>
      </c>
      <c r="G285" s="0" t="n">
        <v>2011</v>
      </c>
      <c r="H285" s="0" t="str">
        <f aca="false">"J"&amp;E285&amp;"\"&amp;F285&amp;"\"&amp;G285&amp;"\"&amp;W285</f>
        <v>J7\1248\2011\1</v>
      </c>
      <c r="I285" s="0"/>
      <c r="J285" s="1" t="n">
        <v>40753</v>
      </c>
      <c r="K285" s="0" t="n">
        <v>0</v>
      </c>
      <c r="M285" s="1"/>
      <c r="N285" s="1"/>
      <c r="O285" s="1"/>
      <c r="P285" s="1"/>
      <c r="Q285" s="1"/>
      <c r="T285" s="121"/>
      <c r="U285" s="121"/>
      <c r="V285" s="122" t="n">
        <f aca="false">IF(AND(E285&gt;0,F285&gt;0,G285&gt;0),COUNTIFS($E:$E,E285,$F:$F,F285,$G:$G,G285),"")</f>
        <v>1</v>
      </c>
      <c r="W285" s="122" t="n">
        <f aca="false">IF(V285="","",IF(V285=1,1,IF(AND(E284=E285,F284=F285,G284=G285),W284+1,1)))</f>
        <v>1</v>
      </c>
      <c r="X285" s="0" t="n">
        <v>1</v>
      </c>
      <c r="Y285" s="0" t="n">
        <v>2</v>
      </c>
      <c r="Z285" s="0" t="s">
        <v>3048</v>
      </c>
      <c r="AA285" s="0" t="n">
        <v>0</v>
      </c>
      <c r="AB285" s="0" t="s">
        <v>3049</v>
      </c>
      <c r="AC285" s="0" t="s">
        <v>287</v>
      </c>
      <c r="AD285" s="0" t="s">
        <v>207</v>
      </c>
      <c r="AE285" s="0" t="n">
        <v>0</v>
      </c>
      <c r="AF285" s="0" t="s">
        <v>3050</v>
      </c>
      <c r="AG285" s="0" t="n">
        <v>0</v>
      </c>
      <c r="AH285" s="0" t="s">
        <v>3051</v>
      </c>
      <c r="AI285" s="0" t="s">
        <v>3052</v>
      </c>
      <c r="AJ285" s="0" t="s">
        <v>221</v>
      </c>
      <c r="AL285" s="0" t="s">
        <v>3053</v>
      </c>
      <c r="AM285" s="0" t="n">
        <v>0</v>
      </c>
      <c r="AN285" s="0" t="s">
        <v>3054</v>
      </c>
      <c r="AO285" s="0" t="s">
        <v>672</v>
      </c>
      <c r="AP285" s="0" t="s">
        <v>221</v>
      </c>
      <c r="BP285" s="0" t="n">
        <v>0</v>
      </c>
      <c r="BQ285" s="0" t="n">
        <v>0</v>
      </c>
      <c r="BR285" s="0" t="n">
        <v>1</v>
      </c>
      <c r="BS285" s="0" t="s">
        <v>3055</v>
      </c>
      <c r="BT285" s="0" t="s">
        <v>3056</v>
      </c>
      <c r="BU285" s="0" t="s">
        <v>3057</v>
      </c>
      <c r="BV285" s="123"/>
      <c r="BW285" s="123"/>
      <c r="BX285" s="123"/>
      <c r="BY285" s="123"/>
      <c r="BZ285" s="0" t="n">
        <v>0</v>
      </c>
      <c r="CA285" s="0" t="s">
        <v>216</v>
      </c>
      <c r="CD285" s="0" t="s">
        <v>216</v>
      </c>
      <c r="CE285" s="0" t="n">
        <v>0</v>
      </c>
      <c r="CF285" s="0" t="s">
        <v>3058</v>
      </c>
      <c r="CI285" s="1" t="n">
        <v>36735</v>
      </c>
      <c r="CJ285" s="1" t="n">
        <v>40692</v>
      </c>
      <c r="CK285" s="124" t="s">
        <v>216</v>
      </c>
      <c r="CL285" s="0" t="s">
        <v>3059</v>
      </c>
      <c r="CM285" s="0" t="n">
        <f aca="false">IF(OR(CI285="",CJ285=""),"",DAYS360(CI285,CJ285)/360)</f>
        <v>10.8361111111111</v>
      </c>
      <c r="CN285" s="0" t="n">
        <f aca="false">IF(OR(CI285="",CJ285=""),"",DAYS360(CI285,CJ285)/30)</f>
        <v>130.033333333333</v>
      </c>
      <c r="CO285" s="0" t="n">
        <f aca="false">IF(OR(CI285="",CJ285=""),"",DAYS360(CI285,CJ285)/7)</f>
        <v>557.285714285714</v>
      </c>
      <c r="CP285" s="0" t="n">
        <f aca="false">IF(OR(CI285="",CJ285=""),"",DAYS360(CI285,CJ285))</f>
        <v>3901</v>
      </c>
      <c r="CQ285" s="0" t="s">
        <v>240</v>
      </c>
      <c r="CR285" s="0" t="n">
        <v>1</v>
      </c>
      <c r="CT285" s="0" t="s">
        <v>221</v>
      </c>
      <c r="CU285" s="0" t="s">
        <v>221</v>
      </c>
      <c r="CV285" s="0" t="str">
        <f aca="false">IF(OR(CT285="",CT285="NO ESPECIFICA",CT285="NO MENCIONA"),"",IF(CU285=0,CT285,IF(CU285=1,CT285/30,IF(CU285=2,CT285/15,IF(CU285=3,CT285/7,"")))))</f>
        <v/>
      </c>
      <c r="CW285" s="125" t="s">
        <v>3060</v>
      </c>
      <c r="CX285" s="0" t="n">
        <v>0</v>
      </c>
      <c r="CY285" s="0" t="str">
        <f aca="false">IF(CW285="","",IF(CX285=0,CW285,IF(CX285=1,CW285/30,IF(CX285=2,CW285/15,IF(CX285=3,CW285/7,CW285)))))</f>
        <v> $366.67</v>
      </c>
      <c r="CZ285" s="0" t="n">
        <f aca="false">IF(DI285&gt;0,DI285,IF(CY285&gt;0,CY285,IF(CV285&gt;0,CV285,"")))</f>
        <v>366.67</v>
      </c>
      <c r="DA285" s="0" t="str">
        <f aca="false">IF(DM285=1,CZ285/8,IF(OR(DM285=2,DM285=4),CZ285/7,IF(DM285=3,CZ285/7.5,"")))</f>
        <v/>
      </c>
      <c r="DB285" s="0" t="s">
        <v>216</v>
      </c>
      <c r="DC285" s="0" t="s">
        <v>216</v>
      </c>
      <c r="DD285" s="0" t="s">
        <v>216</v>
      </c>
      <c r="DE285" s="0" t="s">
        <v>216</v>
      </c>
      <c r="DF285" s="0" t="s">
        <v>216</v>
      </c>
      <c r="DG285" s="0" t="s">
        <v>216</v>
      </c>
      <c r="DH285" s="0" t="n">
        <v>0</v>
      </c>
      <c r="DI285" s="126" t="n">
        <v>366.67</v>
      </c>
      <c r="DK285" s="0" t="n">
        <v>1</v>
      </c>
      <c r="DM285" s="0" t="s">
        <v>216</v>
      </c>
      <c r="DN285" s="0" t="s">
        <v>216</v>
      </c>
      <c r="DO285" s="0" t="s">
        <v>216</v>
      </c>
      <c r="DP285" s="0" t="n">
        <v>0</v>
      </c>
      <c r="DQ285" s="0" t="n">
        <v>1</v>
      </c>
      <c r="DR285" s="0" t="n">
        <v>74999</v>
      </c>
      <c r="DS285" s="0" t="n">
        <v>1</v>
      </c>
      <c r="DU285" s="0" t="n">
        <v>1</v>
      </c>
      <c r="DW285" s="1" t="s">
        <v>216</v>
      </c>
      <c r="DX285" s="1" t="s">
        <v>216</v>
      </c>
      <c r="DY285" s="0" t="s">
        <v>216</v>
      </c>
      <c r="DZ285" s="0" t="s">
        <v>216</v>
      </c>
      <c r="EA285" s="0" t="n">
        <v>0</v>
      </c>
      <c r="EC285" s="1" t="s">
        <v>216</v>
      </c>
      <c r="ED285" s="1" t="s">
        <v>216</v>
      </c>
      <c r="EE285" s="0" t="s">
        <v>216</v>
      </c>
      <c r="EF285" s="0" t="s">
        <v>216</v>
      </c>
      <c r="EG285" s="0" t="n">
        <v>0</v>
      </c>
      <c r="EI285" s="0" t="n">
        <f aca="false">IF(AND(DM285=1,DN285&lt;=48),"",IF(AND(DM285=2,DN285&lt;=42),"",IF(AND(DM285=3,DN285&lt;=45),"",EH285)))</f>
        <v>0</v>
      </c>
      <c r="EJ285" s="0" t="str">
        <f aca="false">IF(EI285="","",IF(EI285&lt;9,EI285,9))</f>
        <v/>
      </c>
      <c r="EK285" s="0" t="str">
        <f aca="false">IF(EI285="","",IF(EI285&gt;9,EI285-EJ285,0))</f>
        <v/>
      </c>
      <c r="EL285" s="0" t="str">
        <f aca="false">IF(EI285="","",EJ285*DA285*2+EK285*DA285*3)</f>
        <v/>
      </c>
      <c r="EP285" s="0" t="n">
        <v>0</v>
      </c>
      <c r="EQ285" s="0"/>
      <c r="ER285" s="0" t="n">
        <v>0</v>
      </c>
      <c r="ET285" s="0" t="n">
        <v>0</v>
      </c>
      <c r="EV285" s="0" t="n">
        <v>0</v>
      </c>
      <c r="EX285" s="0" t="n">
        <v>0</v>
      </c>
      <c r="EY285" s="0" t="n">
        <v>1</v>
      </c>
      <c r="EZ285" s="0"/>
      <c r="FA285" s="0"/>
      <c r="FB285" s="0" t="n">
        <v>0</v>
      </c>
      <c r="FF285" s="120" t="n">
        <f aca="false">(CJ285-CI285+1)/365</f>
        <v>10.8438356164384</v>
      </c>
      <c r="FG285" s="0" t="str">
        <f aca="false">CONCATENATE(F285,"/",G285)</f>
        <v>1248/2011</v>
      </c>
      <c r="FH285" s="0" t="n">
        <v>0</v>
      </c>
      <c r="FI285" s="0" t="n">
        <v>0</v>
      </c>
    </row>
    <row r="286" customFormat="false" ht="15" hidden="false" customHeight="false" outlineLevel="0" collapsed="false">
      <c r="A286" s="5" t="str">
        <f aca="false">E286&amp;G286&amp;F286</f>
        <v>720111252</v>
      </c>
      <c r="B286" s="0" t="s">
        <v>2925</v>
      </c>
      <c r="C286" s="1" t="n">
        <v>42410</v>
      </c>
      <c r="E286" s="0" t="n">
        <v>7</v>
      </c>
      <c r="F286" s="0" t="n">
        <v>1252</v>
      </c>
      <c r="G286" s="0" t="n">
        <v>2011</v>
      </c>
      <c r="H286" s="0" t="str">
        <f aca="false">"J"&amp;E286&amp;"\"&amp;F286&amp;"\"&amp;G286&amp;"\"&amp;W286</f>
        <v>J7\1252\2011\1</v>
      </c>
      <c r="I286" s="0"/>
      <c r="J286" s="1" t="n">
        <v>40756</v>
      </c>
      <c r="K286" s="0" t="n">
        <v>0</v>
      </c>
      <c r="M286" s="1" t="n">
        <v>40756</v>
      </c>
      <c r="N286" s="1" t="n">
        <v>40940</v>
      </c>
      <c r="O286" s="1"/>
      <c r="P286" s="1"/>
      <c r="Q286" s="1"/>
      <c r="T286" s="121"/>
      <c r="U286" s="121"/>
      <c r="V286" s="122" t="n">
        <f aca="false">IF(AND(E286&gt;0,F286&gt;0,G286&gt;0),COUNTIFS($E:$E,E286,$F:$F,F286,$G:$G,G286),"")</f>
        <v>1</v>
      </c>
      <c r="W286" s="122" t="n">
        <f aca="false">IF(V286="","",IF(V286=1,1,IF(AND(E285=E286,F285=F286,G285=G286),W285+1,1)))</f>
        <v>1</v>
      </c>
      <c r="X286" s="0" t="n">
        <v>1</v>
      </c>
      <c r="Y286" s="0" t="n">
        <v>3</v>
      </c>
      <c r="Z286" s="0" t="s">
        <v>3061</v>
      </c>
      <c r="AA286" s="0" t="n">
        <v>0</v>
      </c>
      <c r="AB286" s="0" t="s">
        <v>2639</v>
      </c>
      <c r="AC286" s="0" t="s">
        <v>287</v>
      </c>
      <c r="AD286" s="0" t="s">
        <v>207</v>
      </c>
      <c r="AE286" s="0" t="n">
        <v>0</v>
      </c>
      <c r="AF286" s="0" t="s">
        <v>3062</v>
      </c>
      <c r="AG286" s="0" t="n">
        <v>0</v>
      </c>
      <c r="AH286" s="0" t="s">
        <v>3063</v>
      </c>
      <c r="AI286" s="0" t="s">
        <v>3064</v>
      </c>
      <c r="AJ286" s="0" t="s">
        <v>485</v>
      </c>
      <c r="AL286" s="0" t="s">
        <v>3065</v>
      </c>
      <c r="AM286" s="0" t="n">
        <v>1</v>
      </c>
      <c r="AN286" s="0" t="s">
        <v>3063</v>
      </c>
      <c r="AO286" s="0" t="s">
        <v>3064</v>
      </c>
      <c r="AP286" s="0" t="s">
        <v>485</v>
      </c>
      <c r="AR286" s="0" t="s">
        <v>1637</v>
      </c>
      <c r="AS286" s="0" t="n">
        <v>1</v>
      </c>
      <c r="AT286" s="0" t="s">
        <v>3063</v>
      </c>
      <c r="AU286" s="0" t="s">
        <v>3064</v>
      </c>
      <c r="AV286" s="0" t="s">
        <v>485</v>
      </c>
      <c r="BP286" s="0" t="n">
        <v>0</v>
      </c>
      <c r="BQ286" s="0" t="n">
        <v>0</v>
      </c>
      <c r="BR286" s="0" t="n">
        <v>1</v>
      </c>
      <c r="BS286" s="0" t="s">
        <v>3066</v>
      </c>
      <c r="BT286" s="0" t="s">
        <v>3067</v>
      </c>
      <c r="BU286" s="0" t="s">
        <v>3068</v>
      </c>
      <c r="BV286" s="123"/>
      <c r="BW286" s="123"/>
      <c r="BX286" s="123"/>
      <c r="BY286" s="123"/>
      <c r="BZ286" s="0" t="n">
        <v>0</v>
      </c>
      <c r="CA286" s="0" t="s">
        <v>2650</v>
      </c>
      <c r="CD286" s="0" t="s">
        <v>296</v>
      </c>
      <c r="CE286" s="0" t="n">
        <v>0</v>
      </c>
      <c r="CF286" s="0" t="s">
        <v>3069</v>
      </c>
      <c r="CI286" s="1" t="n">
        <v>39814</v>
      </c>
      <c r="CJ286" s="1" t="n">
        <v>40732</v>
      </c>
      <c r="CK286" s="124" t="n">
        <v>0.791666666666667</v>
      </c>
      <c r="CL286" s="0" t="s">
        <v>3065</v>
      </c>
      <c r="CM286" s="0" t="n">
        <f aca="false">IF(OR(CI286="",CJ286=""),"",DAYS360(CI286,CJ286)/360)</f>
        <v>2.51944444444444</v>
      </c>
      <c r="CN286" s="0" t="n">
        <f aca="false">IF(OR(CI286="",CJ286=""),"",DAYS360(CI286,CJ286)/30)</f>
        <v>30.2333333333333</v>
      </c>
      <c r="CO286" s="0" t="n">
        <f aca="false">IF(OR(CI286="",CJ286=""),"",DAYS360(CI286,CJ286)/7)</f>
        <v>129.571428571429</v>
      </c>
      <c r="CP286" s="0" t="n">
        <f aca="false">IF(OR(CI286="",CJ286=""),"",DAYS360(CI286,CJ286))</f>
        <v>907</v>
      </c>
      <c r="CQ286" s="0" t="s">
        <v>240</v>
      </c>
      <c r="CR286" s="0" t="n">
        <v>1</v>
      </c>
      <c r="CT286" s="0" t="n">
        <v>2500</v>
      </c>
      <c r="CU286" s="0" t="n">
        <v>3</v>
      </c>
      <c r="CV286" s="0" t="n">
        <f aca="false">IF(OR(CT286="",CT286="NO ESPECIFICA",CT286="NO MENCIONA"),"",IF(CU286=0,CT286,IF(CU286=1,CT286/30,IF(CU286=2,CT286/15,IF(CU286=3,CT286/7,"")))))</f>
        <v>357.142857142857</v>
      </c>
      <c r="CW286" s="125" t="s">
        <v>221</v>
      </c>
      <c r="CX286" s="0" t="s">
        <v>221</v>
      </c>
      <c r="CY286" s="0" t="str">
        <f aca="false">IF(CW286="","",IF(CX286=0,CW286,IF(CX286=1,CW286/30,IF(CX286=2,CW286/15,IF(CX286=3,CW286/7,CW286)))))</f>
        <v>NO ESPECIFICA</v>
      </c>
      <c r="CZ286" s="0" t="n">
        <f aca="false">IF(DI286&gt;0,DI286,IF(CY286&gt;0,CY286,IF(CV286&gt;0,CV286,"")))</f>
        <v>850</v>
      </c>
      <c r="DA286" s="0" t="n">
        <f aca="false">IF(DM286=1,CZ286/8,IF(OR(DM286=2,DM286=4),CZ286/7,IF(DM286=3,CZ286/7.5,"")))</f>
        <v>106.25</v>
      </c>
      <c r="DB286" s="0" t="s">
        <v>216</v>
      </c>
      <c r="DC286" s="0" t="s">
        <v>216</v>
      </c>
      <c r="DD286" s="0" t="s">
        <v>216</v>
      </c>
      <c r="DE286" s="0" t="s">
        <v>216</v>
      </c>
      <c r="DF286" s="0" t="s">
        <v>216</v>
      </c>
      <c r="DG286" s="0" t="s">
        <v>216</v>
      </c>
      <c r="DH286" s="0" t="n">
        <v>0</v>
      </c>
      <c r="DI286" s="126" t="n">
        <v>850</v>
      </c>
      <c r="DK286" s="0" t="n">
        <v>1</v>
      </c>
      <c r="DM286" s="0" t="n">
        <v>1</v>
      </c>
      <c r="DN286" s="0" t="n">
        <v>66</v>
      </c>
      <c r="DO286" s="0" t="n">
        <v>3</v>
      </c>
      <c r="DP286" s="0" t="n">
        <v>0</v>
      </c>
      <c r="DQ286" s="0" t="n">
        <v>1</v>
      </c>
      <c r="DR286" s="0"/>
      <c r="DS286" s="0" t="n">
        <v>1</v>
      </c>
      <c r="DU286" s="0" t="n">
        <v>0</v>
      </c>
      <c r="DW286" s="1" t="n">
        <v>39814</v>
      </c>
      <c r="DX286" s="1" t="n">
        <v>40732</v>
      </c>
      <c r="DZ286" s="0"/>
      <c r="EA286" s="0" t="n">
        <v>1</v>
      </c>
      <c r="EC286" s="1" t="n">
        <v>39814</v>
      </c>
      <c r="ED286" s="1" t="n">
        <v>40732</v>
      </c>
      <c r="EF286" s="0"/>
      <c r="EG286" s="0" t="n">
        <v>1</v>
      </c>
      <c r="EH286" s="0" t="n">
        <v>18</v>
      </c>
      <c r="EI286" s="0" t="n">
        <f aca="false">IF(AND(DM286=1,DN286&lt;=48),"",IF(AND(DM286=2,DN286&lt;=42),"",IF(AND(DM286=3,DN286&lt;=45),"",EH286)))</f>
        <v>18</v>
      </c>
      <c r="EJ286" s="0" t="n">
        <f aca="false">IF(EI286="","",IF(EI286&lt;9,EI286,9))</f>
        <v>9</v>
      </c>
      <c r="EK286" s="0" t="n">
        <f aca="false">IF(EI286="","",IF(EI286&gt;9,EI286-EJ286,0))</f>
        <v>9</v>
      </c>
      <c r="EL286" s="0" t="n">
        <f aca="false">IF(EI286="","",EJ286*DA286*2+EK286*DA286*3)</f>
        <v>4781.25</v>
      </c>
      <c r="EP286" s="0" t="n">
        <v>0</v>
      </c>
      <c r="EQ286" s="0"/>
      <c r="ER286" s="0" t="n">
        <v>1</v>
      </c>
      <c r="ET286" s="0" t="n">
        <v>0</v>
      </c>
      <c r="EV286" s="0" t="n">
        <v>1</v>
      </c>
      <c r="EX286" s="0" t="n">
        <v>1</v>
      </c>
      <c r="EY286" s="0" t="n">
        <v>1</v>
      </c>
      <c r="EZ286" s="4" t="n">
        <v>5000</v>
      </c>
      <c r="FA286" s="4" t="n">
        <f aca="false">1944+44800+3840+1640+3360</f>
        <v>55584</v>
      </c>
      <c r="FB286" s="0" t="n">
        <v>1</v>
      </c>
      <c r="FF286" s="120" t="n">
        <f aca="false">(CJ286-CI286+1)/365</f>
        <v>2.51780821917808</v>
      </c>
      <c r="FG286" s="0" t="str">
        <f aca="false">CONCATENATE(F286,"/",G286)</f>
        <v>1252/2011</v>
      </c>
      <c r="FH286" s="0" t="n">
        <v>0</v>
      </c>
      <c r="FI286" s="0" t="n">
        <v>0</v>
      </c>
    </row>
    <row r="287" customFormat="false" ht="15" hidden="false" customHeight="false" outlineLevel="0" collapsed="false">
      <c r="A287" s="5" t="str">
        <f aca="false">E287&amp;G287&amp;F287</f>
        <v>720111256</v>
      </c>
      <c r="B287" s="0" t="s">
        <v>2925</v>
      </c>
      <c r="C287" s="1" t="n">
        <v>42410</v>
      </c>
      <c r="E287" s="0" t="n">
        <v>7</v>
      </c>
      <c r="F287" s="0" t="n">
        <v>1256</v>
      </c>
      <c r="G287" s="0" t="n">
        <v>2011</v>
      </c>
      <c r="H287" s="0" t="str">
        <f aca="false">"J"&amp;E287&amp;"\"&amp;F287&amp;"\"&amp;G287&amp;"\"&amp;W287</f>
        <v>J7\1256\2011\1</v>
      </c>
      <c r="I287" s="0"/>
      <c r="J287" s="1" t="n">
        <v>40756</v>
      </c>
      <c r="K287" s="0" t="n">
        <v>0</v>
      </c>
      <c r="M287" s="1"/>
      <c r="N287" s="1"/>
      <c r="O287" s="1"/>
      <c r="P287" s="1"/>
      <c r="Q287" s="1"/>
      <c r="T287" s="121"/>
      <c r="U287" s="121"/>
      <c r="V287" s="122" t="n">
        <f aca="false">IF(AND(E287&gt;0,F287&gt;0,G287&gt;0),COUNTIFS($E:$E,E287,$F:$F,F287,$G:$G,G287),"")</f>
        <v>1</v>
      </c>
      <c r="W287" s="122" t="n">
        <f aca="false">IF(V287="","",IF(V287=1,1,IF(AND(E286=E287,F286=F287,G286=G287),W286+1,1)))</f>
        <v>1</v>
      </c>
      <c r="X287" s="0" t="n">
        <v>1</v>
      </c>
      <c r="Y287" s="0" t="n">
        <v>2</v>
      </c>
      <c r="Z287" s="0" t="s">
        <v>3070</v>
      </c>
      <c r="AA287" s="0" t="n">
        <v>0</v>
      </c>
      <c r="AB287" s="0" t="s">
        <v>2121</v>
      </c>
      <c r="AE287" s="0" t="n">
        <v>0</v>
      </c>
      <c r="AF287" s="0" t="s">
        <v>3071</v>
      </c>
      <c r="AG287" s="0" t="n">
        <v>0</v>
      </c>
      <c r="AH287" s="0" t="s">
        <v>3072</v>
      </c>
      <c r="AI287" s="0" t="s">
        <v>1136</v>
      </c>
      <c r="AJ287" s="0" t="s">
        <v>755</v>
      </c>
      <c r="AL287" s="0" t="s">
        <v>1637</v>
      </c>
      <c r="AM287" s="0" t="n">
        <v>1</v>
      </c>
      <c r="AN287" s="0" t="s">
        <v>3072</v>
      </c>
      <c r="AO287" s="0" t="s">
        <v>1136</v>
      </c>
      <c r="AP287" s="0" t="s">
        <v>755</v>
      </c>
      <c r="BP287" s="0" t="n">
        <v>0</v>
      </c>
      <c r="BQ287" s="0" t="n">
        <v>0</v>
      </c>
      <c r="BR287" s="0" t="n">
        <v>1</v>
      </c>
      <c r="BS287" s="0" t="s">
        <v>673</v>
      </c>
      <c r="BV287" s="123"/>
      <c r="BW287" s="123"/>
      <c r="BX287" s="123"/>
      <c r="BY287" s="123"/>
      <c r="BZ287" s="0" t="n">
        <v>0</v>
      </c>
      <c r="CA287" s="0" t="s">
        <v>216</v>
      </c>
      <c r="CD287" s="0" t="s">
        <v>256</v>
      </c>
      <c r="CE287" s="0" t="n">
        <v>0</v>
      </c>
      <c r="CF287" s="0" t="s">
        <v>3073</v>
      </c>
      <c r="CI287" s="1" t="n">
        <v>39456</v>
      </c>
      <c r="CJ287" s="1" t="n">
        <v>40738</v>
      </c>
      <c r="CK287" s="124" t="n">
        <v>0.833333333333333</v>
      </c>
      <c r="CL287" s="0" t="s">
        <v>3074</v>
      </c>
      <c r="CM287" s="0" t="n">
        <f aca="false">IF(OR(CI287="",CJ287=""),"",DAYS360(CI287,CJ287)/360)</f>
        <v>3.51388888888889</v>
      </c>
      <c r="CN287" s="0" t="n">
        <f aca="false">IF(OR(CI287="",CJ287=""),"",DAYS360(CI287,CJ287)/30)</f>
        <v>42.1666666666667</v>
      </c>
      <c r="CO287" s="0" t="n">
        <f aca="false">IF(OR(CI287="",CJ287=""),"",DAYS360(CI287,CJ287)/7)</f>
        <v>180.714285714286</v>
      </c>
      <c r="CP287" s="0" t="n">
        <f aca="false">IF(OR(CI287="",CJ287=""),"",DAYS360(CI287,CJ287))</f>
        <v>1265</v>
      </c>
      <c r="CQ287" s="0" t="s">
        <v>240</v>
      </c>
      <c r="CR287" s="0" t="n">
        <v>1</v>
      </c>
      <c r="CT287" s="0" t="n">
        <v>1477.48</v>
      </c>
      <c r="CU287" s="0" t="n">
        <v>2</v>
      </c>
      <c r="CV287" s="0" t="n">
        <f aca="false">IF(OR(CT287="",CT287="NO ESPECIFICA",CT287="NO MENCIONA"),"",IF(CU287=0,CT287,IF(CU287=1,CT287/30,IF(CU287=2,CT287/15,IF(CU287=3,CT287/7,"")))))</f>
        <v>98.4986666666667</v>
      </c>
      <c r="CW287" s="125" t="n">
        <v>9477.48</v>
      </c>
      <c r="CX287" s="0" t="n">
        <v>2</v>
      </c>
      <c r="CY287" s="0" t="n">
        <f aca="false">IF(CW287="","",IF(CX287=0,CW287,IF(CX287=1,CW287/30,IF(CX287=2,CW287/15,IF(CX287=3,CW287/7,CW287)))))</f>
        <v>631.832</v>
      </c>
      <c r="CZ287" s="0" t="n">
        <f aca="false">IF(DI287&gt;0,DI287,IF(CY287&gt;0,CY287,IF(CV287&gt;0,CV287,"")))</f>
        <v>631.832</v>
      </c>
      <c r="DA287" s="0" t="n">
        <f aca="false">IF(DM287=1,CZ287/8,IF(OR(DM287=2,DM287=4),CZ287/7,IF(DM287=3,CZ287/7.5,"")))</f>
        <v>78.979</v>
      </c>
      <c r="DB287" s="0" t="s">
        <v>216</v>
      </c>
      <c r="DC287" s="0" t="s">
        <v>216</v>
      </c>
      <c r="DD287" s="0" t="s">
        <v>216</v>
      </c>
      <c r="DE287" s="0" t="s">
        <v>216</v>
      </c>
      <c r="DF287" s="0" t="s">
        <v>216</v>
      </c>
      <c r="DG287" s="0" t="s">
        <v>216</v>
      </c>
      <c r="DH287" s="0" t="n">
        <v>0</v>
      </c>
      <c r="DI287" s="126" t="n">
        <f aca="false">9477.48/15</f>
        <v>631.832</v>
      </c>
      <c r="DK287" s="0" t="n">
        <v>0</v>
      </c>
      <c r="DM287" s="0" t="n">
        <v>1</v>
      </c>
      <c r="DN287" s="0" t="n">
        <v>70</v>
      </c>
      <c r="DO287" s="0" t="n">
        <v>3</v>
      </c>
      <c r="DP287" s="0" t="n">
        <v>0</v>
      </c>
      <c r="DQ287" s="0" t="n">
        <v>1</v>
      </c>
      <c r="DR287" s="0"/>
      <c r="DS287" s="0" t="n">
        <v>1</v>
      </c>
      <c r="DU287" s="0" t="n">
        <v>1</v>
      </c>
      <c r="DW287" s="1" t="n">
        <v>40187</v>
      </c>
      <c r="DX287" s="1" t="n">
        <v>40738</v>
      </c>
      <c r="DZ287" s="0"/>
      <c r="EA287" s="0" t="n">
        <v>1</v>
      </c>
      <c r="EC287" s="1" t="n">
        <v>40179</v>
      </c>
      <c r="ED287" s="1" t="s">
        <v>3075</v>
      </c>
      <c r="EF287" s="0"/>
      <c r="EG287" s="0" t="n">
        <v>1</v>
      </c>
      <c r="EH287" s="0" t="n">
        <v>22</v>
      </c>
      <c r="EI287" s="0" t="n">
        <f aca="false">IF(AND(DM287=1,DN287&lt;=48),"",IF(AND(DM287=2,DN287&lt;=42),"",IF(AND(DM287=3,DN287&lt;=45),"",EH287)))</f>
        <v>22</v>
      </c>
      <c r="EJ287" s="0" t="n">
        <f aca="false">IF(EI287="","",IF(EI287&lt;9,EI287,9))</f>
        <v>9</v>
      </c>
      <c r="EK287" s="0" t="n">
        <f aca="false">IF(EI287="","",IF(EI287&gt;9,EI287-EJ287,0))</f>
        <v>13</v>
      </c>
      <c r="EL287" s="0" t="n">
        <f aca="false">IF(EI287="","",EJ287*DA287*2+EK287*DA287*3)</f>
        <v>4501.803</v>
      </c>
      <c r="EP287" s="0" t="n">
        <v>0</v>
      </c>
      <c r="EQ287" s="0"/>
      <c r="ER287" s="0" t="n">
        <v>0</v>
      </c>
      <c r="ET287" s="0" t="n">
        <v>0</v>
      </c>
      <c r="EV287" s="0" t="n">
        <v>0</v>
      </c>
      <c r="EX287" s="0" t="n">
        <v>1</v>
      </c>
      <c r="EY287" s="0" t="n">
        <v>0</v>
      </c>
      <c r="EZ287" s="0"/>
      <c r="FA287" s="4" t="n">
        <f aca="false">14*DI287</f>
        <v>8845.648</v>
      </c>
      <c r="FB287" s="0" t="n">
        <v>1</v>
      </c>
      <c r="FF287" s="120" t="n">
        <f aca="false">(CJ287-CI287+1)/365</f>
        <v>3.51506849315068</v>
      </c>
      <c r="FG287" s="0" t="str">
        <f aca="false">CONCATENATE(F287,"/",G287)</f>
        <v>1256/2011</v>
      </c>
      <c r="FH287" s="0" t="n">
        <v>0</v>
      </c>
      <c r="FI287" s="0" t="n">
        <v>0</v>
      </c>
    </row>
    <row r="288" customFormat="false" ht="15" hidden="false" customHeight="false" outlineLevel="0" collapsed="false">
      <c r="A288" s="5" t="str">
        <f aca="false">E288&amp;G288&amp;F288</f>
        <v>720111257</v>
      </c>
      <c r="B288" s="0" t="s">
        <v>2925</v>
      </c>
      <c r="C288" s="1" t="n">
        <v>42411</v>
      </c>
      <c r="D288" s="0" t="s">
        <v>1856</v>
      </c>
      <c r="E288" s="0" t="n">
        <v>7</v>
      </c>
      <c r="F288" s="0" t="n">
        <v>1257</v>
      </c>
      <c r="G288" s="0" t="n">
        <v>2011</v>
      </c>
      <c r="H288" s="0" t="str">
        <f aca="false">"J"&amp;E288&amp;"\"&amp;F288&amp;"\"&amp;G288&amp;"\"&amp;W288</f>
        <v>J7\1257\2011\1</v>
      </c>
      <c r="I288" s="0"/>
      <c r="J288" s="1" t="n">
        <v>40756</v>
      </c>
      <c r="K288" s="0" t="n">
        <v>0</v>
      </c>
      <c r="M288" s="1"/>
      <c r="N288" s="1"/>
      <c r="O288" s="1"/>
      <c r="P288" s="1"/>
      <c r="Q288" s="1"/>
      <c r="T288" s="121"/>
      <c r="U288" s="121"/>
      <c r="V288" s="122" t="n">
        <f aca="false">IF(AND(E288&gt;0,F288&gt;0,G288&gt;0),COUNTIFS($E:$E,E288,$F:$F,F288,$G:$G,G288),"")</f>
        <v>1</v>
      </c>
      <c r="W288" s="122" t="n">
        <f aca="false">IF(V288="","",IF(V288=1,1,IF(AND(E287=E288,F287=F288,G287=G288),W287+1,1)))</f>
        <v>1</v>
      </c>
      <c r="X288" s="0" t="n">
        <v>1</v>
      </c>
      <c r="Y288" s="0" t="n">
        <v>2</v>
      </c>
      <c r="Z288" s="0" t="s">
        <v>3076</v>
      </c>
      <c r="AA288" s="0" t="n">
        <v>0</v>
      </c>
      <c r="AB288" s="0" t="s">
        <v>3077</v>
      </c>
      <c r="AC288" s="0" t="s">
        <v>251</v>
      </c>
      <c r="AD288" s="0" t="s">
        <v>229</v>
      </c>
      <c r="AE288" s="0" t="n">
        <v>0</v>
      </c>
      <c r="AF288" s="0" t="s">
        <v>3078</v>
      </c>
      <c r="AG288" s="0" t="n">
        <v>0</v>
      </c>
      <c r="AH288" s="0" t="s">
        <v>3079</v>
      </c>
      <c r="AI288" s="0" t="s">
        <v>1123</v>
      </c>
      <c r="AJ288" s="0" t="s">
        <v>322</v>
      </c>
      <c r="AL288" s="0" t="s">
        <v>1637</v>
      </c>
      <c r="AM288" s="0" t="n">
        <v>1</v>
      </c>
      <c r="AN288" s="0" t="s">
        <v>3079</v>
      </c>
      <c r="AO288" s="0" t="s">
        <v>1123</v>
      </c>
      <c r="AP288" s="0" t="s">
        <v>322</v>
      </c>
      <c r="BP288" s="0" t="n">
        <v>0</v>
      </c>
      <c r="BQ288" s="0" t="n">
        <v>0</v>
      </c>
      <c r="BR288" s="0" t="n">
        <v>1</v>
      </c>
      <c r="BS288" s="0" t="s">
        <v>3080</v>
      </c>
      <c r="BT288" s="0" t="s">
        <v>3081</v>
      </c>
      <c r="BU288" s="0" t="s">
        <v>3082</v>
      </c>
      <c r="BV288" s="123"/>
      <c r="BW288" s="123"/>
      <c r="BX288" s="123"/>
      <c r="BY288" s="123"/>
      <c r="BZ288" s="0" t="n">
        <v>0</v>
      </c>
      <c r="CA288" s="0" t="s">
        <v>216</v>
      </c>
      <c r="CD288" s="0" t="s">
        <v>370</v>
      </c>
      <c r="CE288" s="0" t="n">
        <v>0</v>
      </c>
      <c r="CF288" s="0" t="s">
        <v>3083</v>
      </c>
      <c r="CI288" s="1" t="s">
        <v>216</v>
      </c>
      <c r="CJ288" s="1" t="n">
        <v>40715</v>
      </c>
      <c r="CK288" s="124" t="n">
        <v>0.458333333333333</v>
      </c>
      <c r="CL288" s="0" t="s">
        <v>2883</v>
      </c>
      <c r="CM288" s="0" t="e">
        <f aca="false">IF(OR(CI288="",CJ288=""),"",DAYS360(CI288,CJ288)/360)</f>
        <v>#VALUE!</v>
      </c>
      <c r="CN288" s="0" t="e">
        <f aca="false">IF(OR(CI288="",CJ288=""),"",DAYS360(CI288,CJ288)/30)</f>
        <v>#VALUE!</v>
      </c>
      <c r="CO288" s="0" t="e">
        <f aca="false">IF(OR(CI288="",CJ288=""),"",DAYS360(CI288,CJ288)/7)</f>
        <v>#VALUE!</v>
      </c>
      <c r="CP288" s="0" t="e">
        <f aca="false">IF(OR(CI288="",CJ288=""),"",DAYS360(CI288,CJ288))</f>
        <v>#VALUE!</v>
      </c>
      <c r="CQ288" s="0" t="s">
        <v>240</v>
      </c>
      <c r="CR288" s="0" t="n">
        <v>1</v>
      </c>
      <c r="CT288" s="0" t="s">
        <v>221</v>
      </c>
      <c r="CU288" s="0" t="s">
        <v>221</v>
      </c>
      <c r="CV288" s="0" t="str">
        <f aca="false">IF(OR(CT288="",CT288="NO ESPECIFICA",CT288="NO MENCIONA"),"",IF(CU288=0,CT288,IF(CU288=1,CT288/30,IF(CU288=2,CT288/15,IF(CU288=3,CT288/7,"")))))</f>
        <v/>
      </c>
      <c r="CW288" s="125" t="n">
        <v>620</v>
      </c>
      <c r="CX288" s="0" t="n">
        <v>0</v>
      </c>
      <c r="CY288" s="0" t="n">
        <f aca="false">IF(CW288="","",IF(CX288=0,CW288,IF(CX288=1,CW288/30,IF(CX288=2,CW288/15,IF(CX288=3,CW288/7,CW288)))))</f>
        <v>620</v>
      </c>
      <c r="CZ288" s="0" t="n">
        <f aca="false">IF(DI288&gt;0,DI288,IF(CY288&gt;0,CY288,IF(CV288&gt;0,CV288,"")))</f>
        <v>620</v>
      </c>
      <c r="DA288" s="0" t="n">
        <f aca="false">IF(DM288=1,CZ288/8,IF(OR(DM288=2,DM288=4),CZ288/7,IF(DM288=3,CZ288/7.5,"")))</f>
        <v>77.5</v>
      </c>
      <c r="DB288" s="0" t="s">
        <v>216</v>
      </c>
      <c r="DC288" s="0" t="s">
        <v>216</v>
      </c>
      <c r="DD288" s="0" t="s">
        <v>216</v>
      </c>
      <c r="DE288" s="0" t="s">
        <v>216</v>
      </c>
      <c r="DF288" s="0" t="s">
        <v>216</v>
      </c>
      <c r="DG288" s="0" t="s">
        <v>216</v>
      </c>
      <c r="DH288" s="0" t="n">
        <v>0</v>
      </c>
      <c r="DI288" s="126" t="n">
        <v>620</v>
      </c>
      <c r="DK288" s="0" t="n">
        <v>0</v>
      </c>
      <c r="DM288" s="0" t="n">
        <v>1</v>
      </c>
      <c r="DN288" s="0" t="n">
        <v>60</v>
      </c>
      <c r="DO288" s="0" t="n">
        <v>3</v>
      </c>
      <c r="DP288" s="0" t="n">
        <v>0</v>
      </c>
      <c r="DQ288" s="0" t="n">
        <v>1</v>
      </c>
      <c r="DR288" s="0"/>
      <c r="DS288" s="0" t="n">
        <v>1</v>
      </c>
      <c r="DU288" s="0" t="n">
        <v>1</v>
      </c>
      <c r="DW288" s="1" t="s">
        <v>221</v>
      </c>
      <c r="DX288" s="1" t="s">
        <v>221</v>
      </c>
      <c r="DY288" s="0" t="s">
        <v>221</v>
      </c>
      <c r="DZ288" s="0" t="s">
        <v>221</v>
      </c>
      <c r="EA288" s="0" t="n">
        <v>1</v>
      </c>
      <c r="EC288" s="1" t="s">
        <v>221</v>
      </c>
      <c r="ED288" s="1" t="s">
        <v>221</v>
      </c>
      <c r="EE288" s="0" t="s">
        <v>221</v>
      </c>
      <c r="EF288" s="0" t="s">
        <v>221</v>
      </c>
      <c r="EG288" s="0" t="n">
        <v>0</v>
      </c>
      <c r="EI288" s="0" t="n">
        <f aca="false">IF(AND(DM288=1,DN288&lt;=48),"",IF(AND(DM288=2,DN288&lt;=42),"",IF(AND(DM288=3,DN288&lt;=45),"",EH288)))</f>
        <v>0</v>
      </c>
      <c r="EJ288" s="0" t="str">
        <f aca="false">IF(EI288="","",IF(EI288&lt;9,EI288,9))</f>
        <v/>
      </c>
      <c r="EK288" s="0" t="str">
        <f aca="false">IF(EI288="","",IF(EI288&gt;9,EI288-EJ288,0))</f>
        <v/>
      </c>
      <c r="EL288" s="0" t="str">
        <f aca="false">IF(EI288="","",EJ288*DA288*2+EK288*DA288*3)</f>
        <v/>
      </c>
      <c r="EP288" s="0" t="n">
        <v>0</v>
      </c>
      <c r="EQ288" s="0"/>
      <c r="ER288" s="0" t="n">
        <v>0</v>
      </c>
      <c r="ET288" s="0" t="n">
        <v>0</v>
      </c>
      <c r="EV288" s="0" t="n">
        <v>0</v>
      </c>
      <c r="EX288" s="0" t="n">
        <v>0</v>
      </c>
      <c r="EY288" s="0" t="n">
        <v>0</v>
      </c>
      <c r="EZ288" s="0"/>
      <c r="FA288" s="0"/>
      <c r="FB288" s="0" t="n">
        <v>0</v>
      </c>
      <c r="FF288" s="120" t="e">
        <f aca="false">(CJ288-CI288+1)/365</f>
        <v>#VALUE!</v>
      </c>
      <c r="FG288" s="0" t="str">
        <f aca="false">CONCATENATE(F288,"/",G288)</f>
        <v>1257/2011</v>
      </c>
      <c r="FH288" s="0" t="n">
        <v>0</v>
      </c>
      <c r="FI288" s="0" t="n">
        <v>0</v>
      </c>
    </row>
    <row r="289" customFormat="false" ht="15" hidden="false" customHeight="false" outlineLevel="0" collapsed="false">
      <c r="A289" s="5" t="str">
        <f aca="false">E289&amp;G289&amp;F289</f>
        <v>720111275</v>
      </c>
      <c r="B289" s="0" t="s">
        <v>2925</v>
      </c>
      <c r="C289" s="1" t="n">
        <v>42411</v>
      </c>
      <c r="D289" s="0" t="s">
        <v>1856</v>
      </c>
      <c r="E289" s="0" t="n">
        <v>7</v>
      </c>
      <c r="F289" s="0" t="n">
        <v>1275</v>
      </c>
      <c r="G289" s="0" t="n">
        <v>2011</v>
      </c>
      <c r="H289" s="0" t="str">
        <f aca="false">"J"&amp;E289&amp;"\"&amp;F289&amp;"\"&amp;G289&amp;"\"&amp;W289</f>
        <v>J7\1275\2011\1</v>
      </c>
      <c r="I289" s="0"/>
      <c r="J289" s="1" t="n">
        <v>40756</v>
      </c>
      <c r="K289" s="0" t="n">
        <v>0</v>
      </c>
      <c r="M289" s="1"/>
      <c r="N289" s="1"/>
      <c r="O289" s="1"/>
      <c r="P289" s="1"/>
      <c r="Q289" s="1"/>
      <c r="T289" s="121"/>
      <c r="U289" s="121"/>
      <c r="V289" s="122" t="n">
        <f aca="false">IF(AND(E289&gt;0,F289&gt;0,G289&gt;0),COUNTIFS($E:$E,E289,$F:$F,F289,$G:$G,G289),"")</f>
        <v>1</v>
      </c>
      <c r="W289" s="122" t="n">
        <f aca="false">IF(V289="","",IF(V289=1,1,IF(AND(E288=E289,F288=F289,G288=G289),W288+1,1)))</f>
        <v>1</v>
      </c>
      <c r="X289" s="0" t="n">
        <v>1</v>
      </c>
      <c r="Y289" s="0" t="n">
        <v>3</v>
      </c>
      <c r="Z289" s="0" t="s">
        <v>3084</v>
      </c>
      <c r="AA289" s="0" t="n">
        <v>0</v>
      </c>
      <c r="AB289" s="0" t="s">
        <v>2941</v>
      </c>
      <c r="AC289" s="0" t="s">
        <v>228</v>
      </c>
      <c r="AD289" s="0" t="s">
        <v>229</v>
      </c>
      <c r="AE289" s="0" t="n">
        <v>0</v>
      </c>
      <c r="AF289" s="0" t="s">
        <v>3085</v>
      </c>
      <c r="AG289" s="0" t="n">
        <v>0</v>
      </c>
      <c r="AH289" s="0" t="s">
        <v>3086</v>
      </c>
      <c r="AI289" s="0" t="s">
        <v>380</v>
      </c>
      <c r="AJ289" s="0" t="s">
        <v>322</v>
      </c>
      <c r="AL289" s="0" t="s">
        <v>3087</v>
      </c>
      <c r="AM289" s="0" t="n">
        <v>1</v>
      </c>
      <c r="AN289" s="0" t="s">
        <v>3086</v>
      </c>
      <c r="AO289" s="0" t="s">
        <v>380</v>
      </c>
      <c r="AP289" s="0" t="s">
        <v>322</v>
      </c>
      <c r="AR289" s="0" t="s">
        <v>3088</v>
      </c>
      <c r="AS289" s="0" t="n">
        <v>1</v>
      </c>
      <c r="AT289" s="0" t="s">
        <v>3086</v>
      </c>
      <c r="AU289" s="0" t="s">
        <v>380</v>
      </c>
      <c r="AV289" s="0" t="s">
        <v>322</v>
      </c>
      <c r="BP289" s="0" t="n">
        <v>0</v>
      </c>
      <c r="BQ289" s="0" t="n">
        <v>0</v>
      </c>
      <c r="BR289" s="0" t="n">
        <v>3</v>
      </c>
      <c r="BS289" s="0" t="s">
        <v>499</v>
      </c>
      <c r="BT289" s="0" t="s">
        <v>1818</v>
      </c>
      <c r="BU289" s="0" t="s">
        <v>2945</v>
      </c>
      <c r="BV289" s="123"/>
      <c r="BW289" s="123"/>
      <c r="BX289" s="123"/>
      <c r="BY289" s="123"/>
      <c r="BZ289" s="0" t="n">
        <v>0</v>
      </c>
      <c r="CA289" s="0" t="s">
        <v>348</v>
      </c>
      <c r="CD289" s="0" t="s">
        <v>370</v>
      </c>
      <c r="CE289" s="0" t="n">
        <v>0</v>
      </c>
      <c r="CF289" s="0" t="s">
        <v>3089</v>
      </c>
      <c r="CI289" s="1" t="n">
        <v>40570</v>
      </c>
      <c r="CJ289" s="1" t="n">
        <v>40694</v>
      </c>
      <c r="CK289" s="124" t="n">
        <v>0.5</v>
      </c>
      <c r="CL289" s="0" t="s">
        <v>3087</v>
      </c>
      <c r="CM289" s="0" t="n">
        <f aca="false">IF(OR(CI289="",CJ289=""),"",DAYS360(CI289,CJ289)/360)</f>
        <v>0.344444444444444</v>
      </c>
      <c r="CN289" s="0" t="n">
        <f aca="false">IF(OR(CI289="",CJ289=""),"",DAYS360(CI289,CJ289)/30)</f>
        <v>4.13333333333333</v>
      </c>
      <c r="CO289" s="0" t="n">
        <f aca="false">IF(OR(CI289="",CJ289=""),"",DAYS360(CI289,CJ289)/7)</f>
        <v>17.7142857142857</v>
      </c>
      <c r="CP289" s="0" t="n">
        <f aca="false">IF(OR(CI289="",CJ289=""),"",DAYS360(CI289,CJ289))</f>
        <v>124</v>
      </c>
      <c r="CQ289" s="0" t="s">
        <v>240</v>
      </c>
      <c r="CR289" s="0" t="n">
        <v>1</v>
      </c>
      <c r="CT289" s="0" t="n">
        <v>266.66</v>
      </c>
      <c r="CU289" s="0" t="n">
        <v>0</v>
      </c>
      <c r="CV289" s="0" t="n">
        <f aca="false">IF(OR(CT289="",CT289="NO ESPECIFICA",CT289="NO MENCIONA"),"",IF(CU289=0,CT289,IF(CU289=1,CT289/30,IF(CU289=2,CT289/15,IF(CU289=3,CT289/7,"")))))</f>
        <v>266.66</v>
      </c>
      <c r="CW289" s="125" t="n">
        <v>282.2</v>
      </c>
      <c r="CX289" s="0" t="n">
        <v>0</v>
      </c>
      <c r="CY289" s="0" t="n">
        <f aca="false">IF(CW289="","",IF(CX289=0,CW289,IF(CX289=1,CW289/30,IF(CX289=2,CW289/15,IF(CX289=3,CW289/7,CW289)))))</f>
        <v>282.2</v>
      </c>
      <c r="CZ289" s="0" t="n">
        <f aca="false">IF(DI289&gt;0,DI289,IF(CY289&gt;0,CY289,IF(CV289&gt;0,CV289,"")))</f>
        <v>282.2</v>
      </c>
      <c r="DA289" s="0" t="n">
        <f aca="false">IF(DM289=1,CZ289/8,IF(OR(DM289=2,DM289=4),CZ289/7,IF(DM289=3,CZ289/7.5,"")))</f>
        <v>35.275</v>
      </c>
      <c r="DB289" s="0" t="s">
        <v>303</v>
      </c>
      <c r="DC289" s="0" t="s">
        <v>301</v>
      </c>
      <c r="DD289" s="0" t="s">
        <v>216</v>
      </c>
      <c r="DE289" s="0" t="s">
        <v>216</v>
      </c>
      <c r="DF289" s="0" t="s">
        <v>216</v>
      </c>
      <c r="DG289" s="0" t="s">
        <v>216</v>
      </c>
      <c r="DH289" s="0" t="n">
        <v>0</v>
      </c>
      <c r="DI289" s="126" t="n">
        <v>282.2</v>
      </c>
      <c r="DK289" s="0" t="n">
        <v>0</v>
      </c>
      <c r="DM289" s="0" t="n">
        <v>1</v>
      </c>
      <c r="DN289" s="0" t="n">
        <v>72</v>
      </c>
      <c r="DO289" s="0" t="n">
        <v>3</v>
      </c>
      <c r="DP289" s="0" t="n">
        <v>0</v>
      </c>
      <c r="DQ289" s="0" t="n">
        <v>1</v>
      </c>
      <c r="DR289" s="0"/>
      <c r="DS289" s="0" t="n">
        <v>1</v>
      </c>
      <c r="DU289" s="0" t="n">
        <v>1</v>
      </c>
      <c r="DW289" s="1" t="n">
        <v>40570</v>
      </c>
      <c r="DX289" s="1" t="n">
        <v>40694</v>
      </c>
      <c r="DZ289" s="0"/>
      <c r="EA289" s="0" t="n">
        <v>1</v>
      </c>
      <c r="EC289" s="1" t="n">
        <v>40570</v>
      </c>
      <c r="ED289" s="1" t="n">
        <v>40694</v>
      </c>
      <c r="EF289" s="0"/>
      <c r="EG289" s="0" t="n">
        <v>0</v>
      </c>
      <c r="EI289" s="0" t="n">
        <f aca="false">IF(AND(DM289=1,DN289&lt;=48),"",IF(AND(DM289=2,DN289&lt;=42),"",IF(AND(DM289=3,DN289&lt;=45),"",EH289)))</f>
        <v>0</v>
      </c>
      <c r="EJ289" s="0" t="str">
        <f aca="false">IF(EI289="","",IF(EI289&lt;9,EI289,9))</f>
        <v/>
      </c>
      <c r="EK289" s="0" t="str">
        <f aca="false">IF(EI289="","",IF(EI289&gt;9,EI289-EJ289,0))</f>
        <v/>
      </c>
      <c r="EL289" s="0" t="str">
        <f aca="false">IF(EI289="","",EJ289*DA289*2+EK289*DA289*3)</f>
        <v/>
      </c>
      <c r="EP289" s="0" t="n">
        <v>0</v>
      </c>
      <c r="EQ289" s="0"/>
      <c r="ER289" s="0" t="n">
        <v>0</v>
      </c>
      <c r="ET289" s="0" t="n">
        <v>0</v>
      </c>
      <c r="EV289" s="0" t="n">
        <v>0</v>
      </c>
      <c r="EX289" s="0" t="n">
        <v>0</v>
      </c>
      <c r="EY289" s="0" t="n">
        <v>0</v>
      </c>
      <c r="EZ289" s="0"/>
      <c r="FA289" s="0"/>
      <c r="FB289" s="0" t="n">
        <v>0</v>
      </c>
      <c r="FF289" s="120" t="n">
        <f aca="false">(CJ289-CI289+1)/365</f>
        <v>0.342465753424657</v>
      </c>
      <c r="FG289" s="0" t="str">
        <f aca="false">CONCATENATE(F289,"/",G289)</f>
        <v>1275/2011</v>
      </c>
      <c r="FH289" s="0" t="n">
        <v>0</v>
      </c>
      <c r="FI289" s="0" t="n">
        <v>0</v>
      </c>
    </row>
    <row r="290" customFormat="false" ht="15" hidden="false" customHeight="false" outlineLevel="0" collapsed="false">
      <c r="A290" s="5" t="str">
        <f aca="false">E290&amp;G290&amp;F290</f>
        <v>720111280</v>
      </c>
      <c r="B290" s="0" t="s">
        <v>2925</v>
      </c>
      <c r="C290" s="1" t="n">
        <v>42411</v>
      </c>
      <c r="D290" s="0" t="s">
        <v>1856</v>
      </c>
      <c r="E290" s="0" t="n">
        <v>7</v>
      </c>
      <c r="F290" s="0" t="n">
        <v>1280</v>
      </c>
      <c r="G290" s="0" t="n">
        <v>2011</v>
      </c>
      <c r="H290" s="0" t="str">
        <f aca="false">"J"&amp;E290&amp;"\"&amp;F290&amp;"\"&amp;G290&amp;"\"&amp;W290</f>
        <v>J7\1280\2011\1</v>
      </c>
      <c r="I290" s="0"/>
      <c r="J290" s="1" t="n">
        <v>40756</v>
      </c>
      <c r="K290" s="0" t="n">
        <v>0</v>
      </c>
      <c r="M290" s="1"/>
      <c r="N290" s="1"/>
      <c r="O290" s="1"/>
      <c r="P290" s="1"/>
      <c r="Q290" s="1"/>
      <c r="T290" s="121"/>
      <c r="U290" s="121"/>
      <c r="V290" s="122" t="n">
        <f aca="false">IF(AND(E290&gt;0,F290&gt;0,G290&gt;0),COUNTIFS($E:$E,E290,$F:$F,F290,$G:$G,G290),"")</f>
        <v>1</v>
      </c>
      <c r="W290" s="122" t="n">
        <f aca="false">IF(V290="","",IF(V290=1,1,IF(AND(E289=E290,F289=F290,G289=G290),W289+1,1)))</f>
        <v>1</v>
      </c>
      <c r="X290" s="0" t="n">
        <v>1</v>
      </c>
      <c r="Y290" s="0" t="n">
        <v>3</v>
      </c>
      <c r="Z290" s="0" t="s">
        <v>3090</v>
      </c>
      <c r="AA290" s="0" t="n">
        <v>0</v>
      </c>
      <c r="AB290" s="0" t="s">
        <v>243</v>
      </c>
      <c r="AC290" s="0" t="s">
        <v>1963</v>
      </c>
      <c r="AD290" s="0" t="s">
        <v>229</v>
      </c>
      <c r="AE290" s="0" t="n">
        <v>0</v>
      </c>
      <c r="AF290" s="0" t="s">
        <v>3091</v>
      </c>
      <c r="AG290" s="0" t="n">
        <v>0</v>
      </c>
      <c r="AH290" s="0" t="s">
        <v>3092</v>
      </c>
      <c r="AI290" s="0" t="s">
        <v>1123</v>
      </c>
      <c r="AJ290" s="0" t="s">
        <v>322</v>
      </c>
      <c r="AL290" s="0" t="s">
        <v>3093</v>
      </c>
      <c r="AM290" s="0" t="n">
        <v>0</v>
      </c>
      <c r="AN290" s="0" t="s">
        <v>3092</v>
      </c>
      <c r="AO290" s="0" t="s">
        <v>1123</v>
      </c>
      <c r="AP290" s="0" t="s">
        <v>322</v>
      </c>
      <c r="AR290" s="0" t="s">
        <v>3088</v>
      </c>
      <c r="AS290" s="0" t="n">
        <v>1</v>
      </c>
      <c r="AT290" s="0" t="s">
        <v>3092</v>
      </c>
      <c r="AU290" s="0" t="s">
        <v>1123</v>
      </c>
      <c r="AV290" s="0" t="s">
        <v>322</v>
      </c>
      <c r="BP290" s="0" t="n">
        <v>0</v>
      </c>
      <c r="BQ290" s="0" t="n">
        <v>0</v>
      </c>
      <c r="BR290" s="0" t="n">
        <v>1</v>
      </c>
      <c r="BS290" s="0" t="s">
        <v>253</v>
      </c>
      <c r="BT290" s="0" t="s">
        <v>252</v>
      </c>
      <c r="BU290" s="0" t="s">
        <v>254</v>
      </c>
      <c r="BV290" s="123"/>
      <c r="BW290" s="123"/>
      <c r="BX290" s="123"/>
      <c r="BY290" s="123"/>
      <c r="BZ290" s="0" t="n">
        <v>0</v>
      </c>
      <c r="CA290" s="0" t="s">
        <v>216</v>
      </c>
      <c r="CD290" s="0" t="s">
        <v>216</v>
      </c>
      <c r="CE290" s="0" t="n">
        <v>1</v>
      </c>
      <c r="CF290" s="0" t="s">
        <v>3094</v>
      </c>
      <c r="CI290" s="1" t="n">
        <v>40213</v>
      </c>
      <c r="CJ290" s="1" t="n">
        <v>40689</v>
      </c>
      <c r="CK290" s="124" t="n">
        <v>0.333333333333333</v>
      </c>
      <c r="CL290" s="0" t="s">
        <v>3095</v>
      </c>
      <c r="CM290" s="0" t="n">
        <f aca="false">IF(OR(CI290="",CJ290=""),"",DAYS360(CI290,CJ290)/360)</f>
        <v>1.31111111111111</v>
      </c>
      <c r="CN290" s="0" t="n">
        <f aca="false">IF(OR(CI290="",CJ290=""),"",DAYS360(CI290,CJ290)/30)</f>
        <v>15.7333333333333</v>
      </c>
      <c r="CO290" s="0" t="n">
        <f aca="false">IF(OR(CI290="",CJ290=""),"",DAYS360(CI290,CJ290)/7)</f>
        <v>67.4285714285714</v>
      </c>
      <c r="CP290" s="0" t="n">
        <f aca="false">IF(OR(CI290="",CJ290=""),"",DAYS360(CI290,CJ290))</f>
        <v>472</v>
      </c>
      <c r="CQ290" s="0" t="s">
        <v>220</v>
      </c>
      <c r="CR290" s="0" t="n">
        <v>1</v>
      </c>
      <c r="CT290" s="0" t="n">
        <v>20400</v>
      </c>
      <c r="CU290" s="0" t="n">
        <v>2</v>
      </c>
      <c r="CV290" s="0" t="n">
        <f aca="false">IF(OR(CT290="",CT290="NO ESPECIFICA",CT290="NO MENCIONA"),"",IF(CU290=0,CT290,IF(CU290=1,CT290/30,IF(CU290=2,CT290/15,IF(CU290=3,CT290/7,"")))))</f>
        <v>1360</v>
      </c>
      <c r="CW290" s="125" t="n">
        <v>28815</v>
      </c>
      <c r="CX290" s="0" t="n">
        <v>2</v>
      </c>
      <c r="CY290" s="0" t="n">
        <f aca="false">IF(CW290="","",IF(CX290=0,CW290,IF(CX290=1,CW290/30,IF(CX290=2,CW290/15,IF(CX290=3,CW290/7,CW290)))))</f>
        <v>1921</v>
      </c>
      <c r="CZ290" s="0" t="n">
        <f aca="false">IF(DI290&gt;0,DI290,IF(CY290&gt;0,CY290,IF(CV290&gt;0,CV290,"")))</f>
        <v>1921</v>
      </c>
      <c r="DA290" s="0" t="n">
        <f aca="false">IF(DM290=1,CZ290/8,IF(OR(DM290=2,DM290=4),CZ290/7,IF(DM290=3,CZ290/7.5,"")))</f>
        <v>240.125</v>
      </c>
      <c r="DB290" s="0" t="s">
        <v>3096</v>
      </c>
      <c r="DC290" s="0" t="s">
        <v>3097</v>
      </c>
      <c r="DD290" s="0" t="s">
        <v>3098</v>
      </c>
      <c r="DE290" s="0" t="s">
        <v>3099</v>
      </c>
      <c r="DF290" s="0" t="s">
        <v>262</v>
      </c>
      <c r="DG290" s="0" t="s">
        <v>3100</v>
      </c>
      <c r="DH290" s="0" t="n">
        <v>0</v>
      </c>
      <c r="DI290" s="126" t="n">
        <f aca="false">28815/15</f>
        <v>1921</v>
      </c>
      <c r="DK290" s="0" t="n">
        <v>0</v>
      </c>
      <c r="DM290" s="0" t="n">
        <v>1</v>
      </c>
      <c r="DN290" s="0" t="n">
        <f aca="false">2.5*6</f>
        <v>15</v>
      </c>
      <c r="DO290" s="0" t="n">
        <v>3</v>
      </c>
      <c r="DP290" s="0" t="n">
        <v>1</v>
      </c>
      <c r="DQ290" s="0" t="n">
        <v>0</v>
      </c>
      <c r="DR290" s="0"/>
      <c r="DS290" s="0" t="n">
        <v>1</v>
      </c>
      <c r="DU290" s="0" t="n">
        <v>0</v>
      </c>
      <c r="DW290" s="1" t="n">
        <v>40213</v>
      </c>
      <c r="DX290" s="1" t="n">
        <v>40689</v>
      </c>
      <c r="DZ290" s="0"/>
      <c r="EA290" s="0" t="n">
        <v>1</v>
      </c>
      <c r="EC290" s="1" t="n">
        <v>40213</v>
      </c>
      <c r="ED290" s="1" t="n">
        <v>40689</v>
      </c>
      <c r="EF290" s="0"/>
      <c r="EG290" s="0" t="n">
        <v>0</v>
      </c>
      <c r="EI290" s="0" t="str">
        <f aca="false">IF(AND(DM290=1,DN290&lt;=48),"",IF(AND(DM290=2,DN290&lt;=42),"",IF(AND(DM290=3,DN290&lt;=45),"",EH290)))</f>
        <v/>
      </c>
      <c r="EJ290" s="0" t="str">
        <f aca="false">IF(EI290="","",IF(EI290&lt;9,EI290,9))</f>
        <v/>
      </c>
      <c r="EK290" s="0" t="str">
        <f aca="false">IF(EI290="","",IF(EI290&gt;9,EI290-EJ290,0))</f>
        <v/>
      </c>
      <c r="EL290" s="0" t="str">
        <f aca="false">IF(EI290="","",EJ290*DA290*2+EK290*DA290*3)</f>
        <v/>
      </c>
      <c r="EP290" s="0" t="n">
        <v>0</v>
      </c>
      <c r="EQ290" s="0"/>
      <c r="ER290" s="0" t="n">
        <v>1</v>
      </c>
      <c r="ET290" s="0" t="n">
        <v>0</v>
      </c>
      <c r="EV290" s="0" t="n">
        <v>0</v>
      </c>
      <c r="EX290" s="0" t="n">
        <v>1</v>
      </c>
      <c r="EY290" s="0" t="n">
        <v>0</v>
      </c>
      <c r="EZ290" s="0"/>
      <c r="FA290" s="0"/>
      <c r="FB290" s="0" t="n">
        <v>1</v>
      </c>
      <c r="FF290" s="120" t="n">
        <f aca="false">(CJ290-CI290+1)/365</f>
        <v>1.30684931506849</v>
      </c>
      <c r="FG290" s="0" t="str">
        <f aca="false">CONCATENATE(F290,"/",G290)</f>
        <v>1280/2011</v>
      </c>
      <c r="FH290" s="0" t="n">
        <v>0</v>
      </c>
      <c r="FI290" s="0" t="n">
        <v>0</v>
      </c>
    </row>
    <row r="291" customFormat="false" ht="15" hidden="false" customHeight="false" outlineLevel="0" collapsed="false">
      <c r="A291" s="5" t="str">
        <f aca="false">E291&amp;G291&amp;F291</f>
        <v>720111289</v>
      </c>
      <c r="B291" s="0" t="s">
        <v>2925</v>
      </c>
      <c r="C291" s="1" t="n">
        <v>42411</v>
      </c>
      <c r="D291" s="0" t="s">
        <v>3101</v>
      </c>
      <c r="E291" s="0" t="n">
        <v>7</v>
      </c>
      <c r="F291" s="0" t="n">
        <v>1289</v>
      </c>
      <c r="G291" s="0" t="n">
        <v>2011</v>
      </c>
      <c r="H291" s="0" t="str">
        <f aca="false">"J"&amp;E291&amp;"\"&amp;F291&amp;"\"&amp;G291&amp;"\"&amp;W291</f>
        <v>J7\1289\2011\1</v>
      </c>
      <c r="I291" s="0"/>
      <c r="J291" s="1" t="n">
        <v>40757</v>
      </c>
      <c r="K291" s="0" t="n">
        <v>0</v>
      </c>
      <c r="M291" s="1"/>
      <c r="N291" s="1"/>
      <c r="O291" s="1"/>
      <c r="P291" s="1"/>
      <c r="Q291" s="1"/>
      <c r="T291" s="121"/>
      <c r="U291" s="121"/>
      <c r="V291" s="122" t="n">
        <f aca="false">IF(AND(E291&gt;0,F291&gt;0,G291&gt;0),COUNTIFS($E:$E,E291,$F:$F,F291,$G:$G,G291),"")</f>
        <v>1</v>
      </c>
      <c r="W291" s="122" t="n">
        <f aca="false">IF(V291="","",IF(V291=1,1,IF(AND(E290=E291,F290=F291,G290=G291),W290+1,1)))</f>
        <v>1</v>
      </c>
      <c r="X291" s="0" t="n">
        <v>1</v>
      </c>
      <c r="Y291" s="0" t="n">
        <v>5</v>
      </c>
      <c r="Z291" s="0" t="s">
        <v>3102</v>
      </c>
      <c r="AA291" s="0" t="n">
        <v>0</v>
      </c>
      <c r="AB291" s="0" t="s">
        <v>3103</v>
      </c>
      <c r="AC291" s="0" t="s">
        <v>3104</v>
      </c>
      <c r="AD291" s="0" t="s">
        <v>3105</v>
      </c>
      <c r="AE291" s="0" t="n">
        <v>0</v>
      </c>
      <c r="AF291" s="0" t="s">
        <v>3106</v>
      </c>
      <c r="AG291" s="0" t="n">
        <v>1</v>
      </c>
      <c r="AH291" s="0" t="s">
        <v>3107</v>
      </c>
      <c r="AI291" s="0" t="s">
        <v>3108</v>
      </c>
      <c r="AJ291" s="0" t="s">
        <v>3109</v>
      </c>
      <c r="AL291" s="0" t="s">
        <v>3110</v>
      </c>
      <c r="AM291" s="0" t="n">
        <v>1</v>
      </c>
      <c r="AN291" s="0" t="s">
        <v>3107</v>
      </c>
      <c r="AO291" s="0" t="s">
        <v>3108</v>
      </c>
      <c r="AP291" s="0" t="s">
        <v>3109</v>
      </c>
      <c r="AR291" s="0" t="s">
        <v>3088</v>
      </c>
      <c r="AS291" s="0" t="n">
        <v>1</v>
      </c>
      <c r="AT291" s="0" t="s">
        <v>3107</v>
      </c>
      <c r="AU291" s="0" t="s">
        <v>3108</v>
      </c>
      <c r="AV291" s="0" t="s">
        <v>3109</v>
      </c>
      <c r="AX291" s="0" t="s">
        <v>249</v>
      </c>
      <c r="AY291" s="0" t="n">
        <v>0</v>
      </c>
      <c r="AZ291" s="0" t="s">
        <v>996</v>
      </c>
      <c r="BA291" s="0" t="s">
        <v>410</v>
      </c>
      <c r="BB291" s="0" t="s">
        <v>411</v>
      </c>
      <c r="BD291" s="0" t="s">
        <v>412</v>
      </c>
      <c r="BE291" s="0" t="n">
        <v>0</v>
      </c>
      <c r="BF291" s="0" t="s">
        <v>437</v>
      </c>
      <c r="BG291" s="0" t="s">
        <v>438</v>
      </c>
      <c r="BH291" s="0" t="s">
        <v>221</v>
      </c>
      <c r="BP291" s="0" t="n">
        <v>0</v>
      </c>
      <c r="BQ291" s="0" t="n">
        <v>0</v>
      </c>
      <c r="BR291" s="0" t="n">
        <v>1</v>
      </c>
      <c r="BS291" s="0" t="s">
        <v>3111</v>
      </c>
      <c r="BT291" s="0" t="s">
        <v>3112</v>
      </c>
      <c r="BU291" s="0" t="s">
        <v>3113</v>
      </c>
      <c r="BV291" s="123"/>
      <c r="BW291" s="123"/>
      <c r="BX291" s="123"/>
      <c r="BY291" s="123"/>
      <c r="BZ291" s="0" t="n">
        <v>0</v>
      </c>
      <c r="CA291" s="0" t="s">
        <v>216</v>
      </c>
      <c r="CD291" s="0" t="s">
        <v>370</v>
      </c>
      <c r="CE291" s="0" t="n">
        <v>0</v>
      </c>
      <c r="CF291" s="0" t="s">
        <v>3114</v>
      </c>
      <c r="CI291" s="1" t="n">
        <v>39888</v>
      </c>
      <c r="CJ291" s="1" t="n">
        <v>40694</v>
      </c>
      <c r="CK291" s="124" t="n">
        <v>0.375</v>
      </c>
      <c r="CL291" s="0" t="s">
        <v>3115</v>
      </c>
      <c r="CM291" s="0" t="n">
        <f aca="false">IF(OR(CI291="",CJ291=""),"",DAYS360(CI291,CJ291)/360)</f>
        <v>2.20833333333333</v>
      </c>
      <c r="CN291" s="0" t="n">
        <f aca="false">IF(OR(CI291="",CJ291=""),"",DAYS360(CI291,CJ291)/30)</f>
        <v>26.5</v>
      </c>
      <c r="CO291" s="0" t="n">
        <f aca="false">IF(OR(CI291="",CJ291=""),"",DAYS360(CI291,CJ291)/7)</f>
        <v>113.571428571429</v>
      </c>
      <c r="CP291" s="0" t="n">
        <f aca="false">IF(OR(CI291="",CJ291=""),"",DAYS360(CI291,CJ291))</f>
        <v>795</v>
      </c>
      <c r="CQ291" s="0" t="s">
        <v>220</v>
      </c>
      <c r="CR291" s="0" t="n">
        <v>1</v>
      </c>
      <c r="CT291" s="0" t="n">
        <v>24600</v>
      </c>
      <c r="CU291" s="0" t="n">
        <v>1</v>
      </c>
      <c r="CV291" s="0" t="n">
        <f aca="false">IF(OR(CT291="",CT291="NO ESPECIFICA",CT291="NO MENCIONA"),"",IF(CU291=0,CT291,IF(CU291=1,CT291/30,IF(CU291=2,CT291/15,IF(CU291=3,CT291/7,"")))))</f>
        <v>820</v>
      </c>
      <c r="CW291" s="125" t="n">
        <v>27800</v>
      </c>
      <c r="CX291" s="0" t="n">
        <v>1</v>
      </c>
      <c r="CY291" s="0" t="n">
        <f aca="false">IF(CW291="","",IF(CX291=0,CW291,IF(CX291=1,CW291/30,IF(CX291=2,CW291/15,IF(CX291=3,CW291/7,CW291)))))</f>
        <v>926.666666666667</v>
      </c>
      <c r="CZ291" s="0" t="n">
        <f aca="false">IF(DI291&gt;0,DI291,IF(CY291&gt;0,CY291,IF(CV291&gt;0,CV291,"")))</f>
        <v>926.666666666667</v>
      </c>
      <c r="DA291" s="0" t="n">
        <f aca="false">IF(DM291=1,CZ291/8,IF(OR(DM291=2,DM291=4),CZ291/7,IF(DM291=3,CZ291/7.5,"")))</f>
        <v>115.833333333333</v>
      </c>
      <c r="DB291" s="0" t="s">
        <v>259</v>
      </c>
      <c r="DC291" s="0" t="s">
        <v>2306</v>
      </c>
      <c r="DD291" s="0" t="s">
        <v>3116</v>
      </c>
      <c r="DE291" s="0" t="s">
        <v>3117</v>
      </c>
      <c r="DF291" s="0" t="s">
        <v>216</v>
      </c>
      <c r="DG291" s="0" t="s">
        <v>216</v>
      </c>
      <c r="DH291" s="0" t="n">
        <v>0</v>
      </c>
      <c r="DI291" s="126" t="n">
        <f aca="false">27800/30</f>
        <v>926.666666666667</v>
      </c>
      <c r="DK291" s="0" t="n">
        <v>0</v>
      </c>
      <c r="DM291" s="0" t="n">
        <v>1</v>
      </c>
      <c r="DN291" s="0" t="n">
        <v>60</v>
      </c>
      <c r="DO291" s="0" t="n">
        <v>3</v>
      </c>
      <c r="DP291" s="0" t="n">
        <v>1</v>
      </c>
      <c r="DQ291" s="0" t="n">
        <v>0</v>
      </c>
      <c r="DR291" s="0"/>
      <c r="DS291" s="0" t="n">
        <v>1</v>
      </c>
      <c r="DU291" s="0" t="n">
        <v>1</v>
      </c>
      <c r="DW291" s="1" t="n">
        <v>39888</v>
      </c>
      <c r="DX291" s="1" t="n">
        <v>40694</v>
      </c>
      <c r="DZ291" s="0"/>
      <c r="EA291" s="0" t="n">
        <v>1</v>
      </c>
      <c r="EC291" s="1" t="n">
        <v>39888</v>
      </c>
      <c r="ED291" s="1" t="n">
        <v>40694</v>
      </c>
      <c r="EF291" s="0"/>
      <c r="EG291" s="0" t="n">
        <v>1</v>
      </c>
      <c r="EH291" s="0" t="n">
        <v>12</v>
      </c>
      <c r="EI291" s="0" t="n">
        <f aca="false">IF(AND(DM291=1,DN291&lt;=48),"",IF(AND(DM291=2,DN291&lt;=42),"",IF(AND(DM291=3,DN291&lt;=45),"",EH291)))</f>
        <v>12</v>
      </c>
      <c r="EJ291" s="0" t="n">
        <f aca="false">IF(EI291="","",IF(EI291&lt;9,EI291,9))</f>
        <v>9</v>
      </c>
      <c r="EK291" s="0" t="n">
        <f aca="false">IF(EI291="","",IF(EI291&gt;9,EI291-EJ291,0))</f>
        <v>3</v>
      </c>
      <c r="EL291" s="0" t="n">
        <f aca="false">IF(EI291="","",EJ291*DA291*2+EK291*DA291*3)</f>
        <v>3127.5</v>
      </c>
      <c r="EP291" s="0" t="n">
        <v>0</v>
      </c>
      <c r="EQ291" s="0"/>
      <c r="ER291" s="0" t="n">
        <v>1</v>
      </c>
      <c r="ET291" s="0" t="n">
        <v>0</v>
      </c>
      <c r="EV291" s="0" t="n">
        <v>1</v>
      </c>
      <c r="EX291" s="0" t="n">
        <v>1</v>
      </c>
      <c r="EY291" s="0" t="n">
        <v>0</v>
      </c>
      <c r="EZ291" s="0"/>
      <c r="FA291" s="0"/>
      <c r="FB291" s="0" t="n">
        <v>1</v>
      </c>
      <c r="FF291" s="120" t="n">
        <f aca="false">(CJ291-CI291+1)/365</f>
        <v>2.21095890410959</v>
      </c>
      <c r="FG291" s="0" t="str">
        <f aca="false">CONCATENATE(F291,"/",G291)</f>
        <v>1289/2011</v>
      </c>
      <c r="FH291" s="0" t="n">
        <v>0</v>
      </c>
      <c r="FI291" s="0" t="n">
        <v>0</v>
      </c>
    </row>
    <row r="292" customFormat="false" ht="15" hidden="false" customHeight="false" outlineLevel="0" collapsed="false">
      <c r="A292" s="5" t="str">
        <f aca="false">E292&amp;G292&amp;F292</f>
        <v>720111291</v>
      </c>
      <c r="B292" s="0" t="s">
        <v>2925</v>
      </c>
      <c r="C292" s="1" t="n">
        <v>42411</v>
      </c>
      <c r="D292" s="0" t="s">
        <v>1856</v>
      </c>
      <c r="E292" s="0" t="n">
        <v>7</v>
      </c>
      <c r="F292" s="0" t="n">
        <v>1291</v>
      </c>
      <c r="G292" s="0" t="n">
        <v>2011</v>
      </c>
      <c r="H292" s="0" t="str">
        <f aca="false">"J"&amp;E292&amp;"\"&amp;F292&amp;"\"&amp;G292&amp;"\"&amp;W292</f>
        <v>J7\1291\2011\1</v>
      </c>
      <c r="I292" s="0"/>
      <c r="J292" s="1" t="n">
        <v>40757</v>
      </c>
      <c r="K292" s="0" t="n">
        <v>0</v>
      </c>
      <c r="M292" s="1"/>
      <c r="N292" s="1"/>
      <c r="O292" s="1"/>
      <c r="P292" s="1"/>
      <c r="Q292" s="1"/>
      <c r="T292" s="121"/>
      <c r="U292" s="121"/>
      <c r="V292" s="122" t="n">
        <f aca="false">IF(AND(E292&gt;0,F292&gt;0,G292&gt;0),COUNTIFS($E:$E,E292,$F:$F,F292,$G:$G,G292),"")</f>
        <v>1</v>
      </c>
      <c r="W292" s="122" t="n">
        <f aca="false">IF(V292="","",IF(V292=1,1,IF(AND(E291=E292,F291=F292,G291=G292),W291+1,1)))</f>
        <v>1</v>
      </c>
      <c r="X292" s="0" t="n">
        <v>1</v>
      </c>
      <c r="Y292" s="0" t="n">
        <v>3</v>
      </c>
      <c r="Z292" s="0" t="s">
        <v>3118</v>
      </c>
      <c r="AA292" s="0" t="n">
        <v>0</v>
      </c>
      <c r="AB292" s="0" t="s">
        <v>3119</v>
      </c>
      <c r="AC292" s="0" t="s">
        <v>3120</v>
      </c>
      <c r="AD292" s="0" t="s">
        <v>755</v>
      </c>
      <c r="AE292" s="0" t="n">
        <v>0</v>
      </c>
      <c r="AF292" s="0" t="s">
        <v>2992</v>
      </c>
      <c r="AG292" s="0" t="n">
        <v>0</v>
      </c>
      <c r="AH292" s="0" t="s">
        <v>3121</v>
      </c>
      <c r="AI292" s="0" t="s">
        <v>1123</v>
      </c>
      <c r="AJ292" s="0" t="s">
        <v>322</v>
      </c>
      <c r="AL292" s="0" t="s">
        <v>3122</v>
      </c>
      <c r="AM292" s="0" t="n">
        <v>1</v>
      </c>
      <c r="AN292" s="0" t="s">
        <v>3121</v>
      </c>
      <c r="AO292" s="0" t="s">
        <v>1123</v>
      </c>
      <c r="AP292" s="0" t="s">
        <v>322</v>
      </c>
      <c r="AR292" s="0" t="s">
        <v>3088</v>
      </c>
      <c r="AS292" s="0" t="n">
        <v>1</v>
      </c>
      <c r="AT292" s="0" t="s">
        <v>3121</v>
      </c>
      <c r="AU292" s="0" t="s">
        <v>1123</v>
      </c>
      <c r="AV292" s="0" t="s">
        <v>322</v>
      </c>
      <c r="BP292" s="0" t="n">
        <v>0</v>
      </c>
      <c r="BQ292" s="0" t="n">
        <v>0</v>
      </c>
      <c r="BR292" s="0" t="n">
        <v>1</v>
      </c>
      <c r="BS292" s="0" t="s">
        <v>3123</v>
      </c>
      <c r="BT292" s="0" t="s">
        <v>3124</v>
      </c>
      <c r="BU292" s="0" t="s">
        <v>3125</v>
      </c>
      <c r="BV292" s="123"/>
      <c r="BW292" s="123"/>
      <c r="BX292" s="123"/>
      <c r="BY292" s="123"/>
      <c r="BZ292" s="0" t="n">
        <v>0</v>
      </c>
      <c r="CA292" s="0" t="s">
        <v>216</v>
      </c>
      <c r="CD292" s="0" t="s">
        <v>256</v>
      </c>
      <c r="CE292" s="0" t="n">
        <v>0</v>
      </c>
      <c r="CF292" s="0" t="s">
        <v>3126</v>
      </c>
      <c r="CI292" s="1" t="n">
        <v>40518</v>
      </c>
      <c r="CJ292" s="1" t="n">
        <v>40731</v>
      </c>
      <c r="CK292" s="124" t="n">
        <v>0.75</v>
      </c>
      <c r="CL292" s="0" t="s">
        <v>3122</v>
      </c>
      <c r="CM292" s="0" t="n">
        <f aca="false">IF(OR(CI292="",CJ292=""),"",DAYS360(CI292,CJ292)/360)</f>
        <v>0.586111111111111</v>
      </c>
      <c r="CN292" s="0" t="n">
        <f aca="false">IF(OR(CI292="",CJ292=""),"",DAYS360(CI292,CJ292)/30)</f>
        <v>7.03333333333333</v>
      </c>
      <c r="CO292" s="0" t="n">
        <f aca="false">IF(OR(CI292="",CJ292=""),"",DAYS360(CI292,CJ292)/7)</f>
        <v>30.1428571428571</v>
      </c>
      <c r="CP292" s="0" t="n">
        <f aca="false">IF(OR(CI292="",CJ292=""),"",DAYS360(CI292,CJ292))</f>
        <v>211</v>
      </c>
      <c r="CQ292" s="0" t="s">
        <v>240</v>
      </c>
      <c r="CR292" s="0" t="n">
        <v>1</v>
      </c>
      <c r="CT292" s="0" t="n">
        <v>1550</v>
      </c>
      <c r="CU292" s="0" t="n">
        <v>2</v>
      </c>
      <c r="CV292" s="0" t="n">
        <f aca="false">IF(OR(CT292="",CT292="NO ESPECIFICA",CT292="NO MENCIONA"),"",IF(CU292=0,CT292,IF(CU292=1,CT292/30,IF(CU292=2,CT292/15,IF(CU292=3,CT292/7,"")))))</f>
        <v>103.333333333333</v>
      </c>
      <c r="CW292" s="125" t="s">
        <v>221</v>
      </c>
      <c r="CX292" s="0" t="s">
        <v>221</v>
      </c>
      <c r="CY292" s="0" t="str">
        <f aca="false">IF(CW292="","",IF(CX292=0,CW292,IF(CX292=1,CW292/30,IF(CX292=2,CW292/15,IF(CX292=3,CW292/7,CW292)))))</f>
        <v>NO ESPECIFICA</v>
      </c>
      <c r="CZ292" s="0" t="n">
        <f aca="false">IF(DI292&gt;0,DI292,IF(CY292&gt;0,CY292,IF(CV292&gt;0,CV292,"")))</f>
        <v>221.428571428571</v>
      </c>
      <c r="DA292" s="0" t="n">
        <f aca="false">IF(DM292=1,CZ292/8,IF(OR(DM292=2,DM292=4),CZ292/7,IF(DM292=3,CZ292/7.5,"")))</f>
        <v>31.6326530612245</v>
      </c>
      <c r="DB292" s="0" t="s">
        <v>216</v>
      </c>
      <c r="DC292" s="0" t="s">
        <v>216</v>
      </c>
      <c r="DD292" s="0" t="s">
        <v>216</v>
      </c>
      <c r="DE292" s="0" t="s">
        <v>216</v>
      </c>
      <c r="DF292" s="0" t="s">
        <v>216</v>
      </c>
      <c r="DG292" s="0" t="s">
        <v>216</v>
      </c>
      <c r="DH292" s="0" t="n">
        <v>0</v>
      </c>
      <c r="DI292" s="126" t="n">
        <f aca="false">1550/7</f>
        <v>221.428571428571</v>
      </c>
      <c r="DK292" s="0" t="n">
        <v>0</v>
      </c>
      <c r="DM292" s="0" t="n">
        <v>2</v>
      </c>
      <c r="DN292" s="0" t="n">
        <v>24</v>
      </c>
      <c r="DO292" s="0" t="n">
        <v>3</v>
      </c>
      <c r="DP292" s="0" t="n">
        <v>0</v>
      </c>
      <c r="DQ292" s="0" t="n">
        <v>1</v>
      </c>
      <c r="DR292" s="0"/>
      <c r="DS292" s="0" t="n">
        <v>1</v>
      </c>
      <c r="DU292" s="0" t="n">
        <v>1</v>
      </c>
      <c r="DW292" s="1" t="n">
        <v>40341</v>
      </c>
      <c r="DX292" s="1" t="n">
        <v>40731</v>
      </c>
      <c r="DZ292" s="0"/>
      <c r="EA292" s="0" t="n">
        <v>1</v>
      </c>
      <c r="EC292" s="1" t="n">
        <v>40341</v>
      </c>
      <c r="ED292" s="1" t="n">
        <v>40731</v>
      </c>
      <c r="EF292" s="0"/>
      <c r="EG292" s="0" t="n">
        <v>1</v>
      </c>
      <c r="EH292" s="0" t="n">
        <v>24</v>
      </c>
      <c r="EI292" s="0" t="str">
        <f aca="false">IF(AND(DM292=1,DN292&lt;=48),"",IF(AND(DM292=2,DN292&lt;=42),"",IF(AND(DM292=3,DN292&lt;=45),"",EH292)))</f>
        <v/>
      </c>
      <c r="EJ292" s="0" t="str">
        <f aca="false">IF(EI292="","",IF(EI292&lt;9,EI292,9))</f>
        <v/>
      </c>
      <c r="EK292" s="0" t="str">
        <f aca="false">IF(EI292="","",IF(EI292&gt;9,EI292-EJ292,0))</f>
        <v/>
      </c>
      <c r="EL292" s="0" t="str">
        <f aca="false">IF(EI292="","",EJ292*DA292*2+EK292*DA292*3)</f>
        <v/>
      </c>
      <c r="EP292" s="0" t="n">
        <v>0</v>
      </c>
      <c r="EQ292" s="0"/>
      <c r="ER292" s="0" t="n">
        <v>0</v>
      </c>
      <c r="ET292" s="0" t="n">
        <v>0</v>
      </c>
      <c r="EV292" s="0" t="n">
        <v>0</v>
      </c>
      <c r="EX292" s="0" t="n">
        <v>0</v>
      </c>
      <c r="EY292" s="0" t="n">
        <v>0</v>
      </c>
      <c r="EZ292" s="0"/>
      <c r="FA292" s="0"/>
      <c r="FB292" s="0" t="n">
        <v>0</v>
      </c>
      <c r="FF292" s="120" t="n">
        <f aca="false">(CJ292-CI292+1)/365</f>
        <v>0.586301369863014</v>
      </c>
      <c r="FG292" s="0" t="str">
        <f aca="false">CONCATENATE(F292,"/",G292)</f>
        <v>1291/2011</v>
      </c>
      <c r="FH292" s="0" t="n">
        <v>0</v>
      </c>
      <c r="FI292" s="0" t="n">
        <v>0</v>
      </c>
    </row>
    <row r="293" customFormat="false" ht="15" hidden="false" customHeight="false" outlineLevel="0" collapsed="false">
      <c r="A293" s="5" t="str">
        <f aca="false">E293&amp;G293&amp;F293</f>
        <v>720111294</v>
      </c>
      <c r="B293" s="0" t="s">
        <v>2925</v>
      </c>
      <c r="C293" s="1" t="n">
        <v>42412</v>
      </c>
      <c r="D293" s="0" t="s">
        <v>1856</v>
      </c>
      <c r="E293" s="0" t="n">
        <v>7</v>
      </c>
      <c r="F293" s="0" t="n">
        <v>1294</v>
      </c>
      <c r="G293" s="0" t="n">
        <v>2011</v>
      </c>
      <c r="H293" s="0" t="str">
        <f aca="false">"J"&amp;E293&amp;"\"&amp;F293&amp;"\"&amp;G293&amp;"\"&amp;W293</f>
        <v>J7\1294\2011\1</v>
      </c>
      <c r="I293" s="0"/>
      <c r="J293" s="1" t="n">
        <v>40757</v>
      </c>
      <c r="K293" s="0" t="n">
        <v>0</v>
      </c>
      <c r="M293" s="1"/>
      <c r="N293" s="1"/>
      <c r="O293" s="1"/>
      <c r="P293" s="1"/>
      <c r="Q293" s="1"/>
      <c r="T293" s="121"/>
      <c r="U293" s="121"/>
      <c r="V293" s="122" t="n">
        <f aca="false">IF(AND(E293&gt;0,F293&gt;0,G293&gt;0),COUNTIFS($E:$E,E293,$F:$F,F293,$G:$G,G293),"")</f>
        <v>1</v>
      </c>
      <c r="W293" s="122" t="n">
        <f aca="false">IF(V293="","",IF(V293=1,1,IF(AND(E292=E293,F292=F293,G292=G293),W292+1,1)))</f>
        <v>1</v>
      </c>
      <c r="X293" s="0" t="n">
        <v>1</v>
      </c>
      <c r="Y293" s="0" t="n">
        <v>7</v>
      </c>
      <c r="Z293" s="0" t="s">
        <v>3127</v>
      </c>
      <c r="AA293" s="0" t="n">
        <v>0</v>
      </c>
      <c r="AB293" s="0" t="s">
        <v>3128</v>
      </c>
      <c r="AC293" s="0" t="s">
        <v>318</v>
      </c>
      <c r="AD293" s="0" t="s">
        <v>229</v>
      </c>
      <c r="AE293" s="0" t="n">
        <v>0</v>
      </c>
      <c r="AF293" s="0" t="s">
        <v>3129</v>
      </c>
      <c r="AG293" s="0" t="n">
        <v>1</v>
      </c>
      <c r="AH293" s="0" t="s">
        <v>3130</v>
      </c>
      <c r="AI293" s="0" t="s">
        <v>3131</v>
      </c>
      <c r="AJ293" s="0" t="s">
        <v>590</v>
      </c>
      <c r="AL293" s="0" t="s">
        <v>3132</v>
      </c>
      <c r="AM293" s="0" t="n">
        <v>0</v>
      </c>
      <c r="AN293" s="0" t="s">
        <v>3130</v>
      </c>
      <c r="AO293" s="0" t="s">
        <v>3131</v>
      </c>
      <c r="AP293" s="0" t="s">
        <v>590</v>
      </c>
      <c r="AR293" s="0" t="s">
        <v>3133</v>
      </c>
      <c r="AS293" s="0" t="n">
        <v>1</v>
      </c>
      <c r="AT293" s="0" t="s">
        <v>3130</v>
      </c>
      <c r="AU293" s="0" t="s">
        <v>3131</v>
      </c>
      <c r="AV293" s="0" t="s">
        <v>590</v>
      </c>
      <c r="AX293" s="0" t="s">
        <v>3134</v>
      </c>
      <c r="AY293" s="0" t="n">
        <v>1</v>
      </c>
      <c r="AZ293" s="0" t="s">
        <v>3130</v>
      </c>
      <c r="BA293" s="0" t="s">
        <v>3131</v>
      </c>
      <c r="BB293" s="0" t="s">
        <v>590</v>
      </c>
      <c r="BD293" s="0" t="s">
        <v>3135</v>
      </c>
      <c r="BE293" s="0" t="n">
        <v>1</v>
      </c>
      <c r="BF293" s="0" t="s">
        <v>3130</v>
      </c>
      <c r="BG293" s="0" t="s">
        <v>3131</v>
      </c>
      <c r="BH293" s="0" t="s">
        <v>590</v>
      </c>
      <c r="BJ293" s="0" t="s">
        <v>3136</v>
      </c>
      <c r="BK293" s="0" t="n">
        <v>1</v>
      </c>
      <c r="BL293" s="0" t="s">
        <v>3130</v>
      </c>
      <c r="BM293" s="0" t="s">
        <v>3131</v>
      </c>
      <c r="BN293" s="0" t="s">
        <v>590</v>
      </c>
      <c r="BP293" s="0" t="n">
        <v>0</v>
      </c>
      <c r="BQ293" s="0" t="n">
        <v>0</v>
      </c>
      <c r="BR293" s="0" t="n">
        <v>1</v>
      </c>
      <c r="BS293" s="0" t="s">
        <v>3137</v>
      </c>
      <c r="BT293" s="0" t="s">
        <v>3138</v>
      </c>
      <c r="BU293" s="0" t="s">
        <v>2694</v>
      </c>
      <c r="BV293" s="123"/>
      <c r="BW293" s="123"/>
      <c r="BX293" s="123"/>
      <c r="BY293" s="123"/>
      <c r="BZ293" s="0" t="n">
        <v>0</v>
      </c>
      <c r="CA293" s="0" t="s">
        <v>216</v>
      </c>
      <c r="CD293" s="0" t="s">
        <v>370</v>
      </c>
      <c r="CE293" s="0" t="n">
        <v>0</v>
      </c>
      <c r="CF293" s="0" t="s">
        <v>3139</v>
      </c>
      <c r="CI293" s="1" t="n">
        <v>40035</v>
      </c>
      <c r="CJ293" s="1" t="n">
        <v>40731</v>
      </c>
      <c r="CK293" s="124" t="n">
        <v>0.25</v>
      </c>
      <c r="CL293" s="0" t="s">
        <v>3134</v>
      </c>
      <c r="CM293" s="0" t="n">
        <f aca="false">IF(OR(CI293="",CJ293=""),"",DAYS360(CI293,CJ293)/360)</f>
        <v>1.90833333333333</v>
      </c>
      <c r="CN293" s="0" t="n">
        <f aca="false">IF(OR(CI293="",CJ293=""),"",DAYS360(CI293,CJ293)/30)</f>
        <v>22.9</v>
      </c>
      <c r="CO293" s="0" t="n">
        <f aca="false">IF(OR(CI293="",CJ293=""),"",DAYS360(CI293,CJ293)/7)</f>
        <v>98.1428571428571</v>
      </c>
      <c r="CP293" s="0" t="n">
        <f aca="false">IF(OR(CI293="",CJ293=""),"",DAYS360(CI293,CJ293))</f>
        <v>687</v>
      </c>
      <c r="CQ293" s="0" t="s">
        <v>240</v>
      </c>
      <c r="CR293" s="0" t="n">
        <v>1</v>
      </c>
      <c r="CT293" s="0" t="n">
        <v>180</v>
      </c>
      <c r="CU293" s="0" t="n">
        <v>0</v>
      </c>
      <c r="CV293" s="0" t="n">
        <f aca="false">IF(OR(CT293="",CT293="NO ESPECIFICA",CT293="NO MENCIONA"),"",IF(CU293=0,CT293,IF(CU293=1,CT293/30,IF(CU293=2,CT293/15,IF(CU293=3,CT293/7,"")))))</f>
        <v>180</v>
      </c>
      <c r="CW293" s="125" t="n">
        <v>1272.01</v>
      </c>
      <c r="CX293" s="0" t="n">
        <v>0</v>
      </c>
      <c r="CY293" s="0" t="n">
        <f aca="false">IF(CW293="","",IF(CX293=0,CW293,IF(CX293=1,CW293/30,IF(CX293=2,CW293/15,IF(CX293=3,CW293/7,CW293)))))</f>
        <v>1272.01</v>
      </c>
      <c r="CZ293" s="0" t="n">
        <f aca="false">IF(DI293&gt;0,DI293,IF(CY293&gt;0,CY293,IF(CV293&gt;0,CV293,"")))</f>
        <v>1272.01</v>
      </c>
      <c r="DA293" s="0" t="n">
        <f aca="false">IF(DM293=1,CZ293/8,IF(OR(DM293=2,DM293=4),CZ293/7,IF(DM293=3,CZ293/7.5,"")))</f>
        <v>159.00125</v>
      </c>
      <c r="DB293" s="0" t="s">
        <v>303</v>
      </c>
      <c r="DC293" s="0" t="s">
        <v>301</v>
      </c>
      <c r="DD293" s="0" t="s">
        <v>3140</v>
      </c>
      <c r="DE293" s="0" t="s">
        <v>216</v>
      </c>
      <c r="DF293" s="0" t="s">
        <v>216</v>
      </c>
      <c r="DG293" s="0" t="s">
        <v>216</v>
      </c>
      <c r="DH293" s="0" t="n">
        <v>0</v>
      </c>
      <c r="DI293" s="126" t="n">
        <v>1272.01</v>
      </c>
      <c r="DK293" s="0" t="n">
        <v>1</v>
      </c>
      <c r="DM293" s="0" t="n">
        <v>1</v>
      </c>
      <c r="DN293" s="0" t="n">
        <v>54</v>
      </c>
      <c r="DO293" s="0" t="n">
        <v>3</v>
      </c>
      <c r="DP293" s="0" t="n">
        <v>0</v>
      </c>
      <c r="DQ293" s="0" t="n">
        <v>1</v>
      </c>
      <c r="DR293" s="0"/>
      <c r="DS293" s="0" t="n">
        <v>1</v>
      </c>
      <c r="DU293" s="0" t="n">
        <v>0</v>
      </c>
      <c r="DW293" s="1" t="n">
        <v>40035</v>
      </c>
      <c r="DX293" s="1" t="n">
        <v>40731</v>
      </c>
      <c r="DZ293" s="0"/>
      <c r="EA293" s="0" t="n">
        <v>1</v>
      </c>
      <c r="EC293" s="1" t="n">
        <v>40035</v>
      </c>
      <c r="ED293" s="1" t="n">
        <v>40731</v>
      </c>
      <c r="EF293" s="0" t="n">
        <f aca="false">5400+5400+2781.36</f>
        <v>13581.36</v>
      </c>
      <c r="EG293" s="0" t="n">
        <v>1</v>
      </c>
      <c r="EH293" s="0" t="n">
        <v>18</v>
      </c>
      <c r="EI293" s="0" t="n">
        <f aca="false">IF(AND(DM293=1,DN293&lt;=48),"",IF(AND(DM293=2,DN293&lt;=42),"",IF(AND(DM293=3,DN293&lt;=45),"",EH293)))</f>
        <v>18</v>
      </c>
      <c r="EJ293" s="0" t="n">
        <f aca="false">IF(EI293="","",IF(EI293&lt;9,EI293,9))</f>
        <v>9</v>
      </c>
      <c r="EK293" s="0" t="n">
        <f aca="false">IF(EI293="","",IF(EI293&gt;9,EI293-EJ293,0))</f>
        <v>9</v>
      </c>
      <c r="EL293" s="0" t="n">
        <f aca="false">IF(EI293="","",EJ293*DA293*2+EK293*DA293*3)</f>
        <v>7155.05625</v>
      </c>
      <c r="EP293" s="0" t="n">
        <v>0</v>
      </c>
      <c r="EQ293" s="0"/>
      <c r="ER293" s="0" t="n">
        <v>1</v>
      </c>
      <c r="ET293" s="0" t="n">
        <v>1</v>
      </c>
      <c r="EU293" s="0" t="n">
        <v>15300</v>
      </c>
      <c r="EV293" s="0" t="n">
        <v>1</v>
      </c>
      <c r="EX293" s="0" t="n">
        <v>1</v>
      </c>
      <c r="EY293" s="0" t="n">
        <v>0</v>
      </c>
      <c r="EZ293" s="0"/>
      <c r="FA293" s="4" t="n">
        <f aca="false">12*DI293+5040</f>
        <v>20304.12</v>
      </c>
      <c r="FB293" s="0" t="n">
        <v>1</v>
      </c>
      <c r="FF293" s="120" t="n">
        <f aca="false">(CJ293-CI293+1)/365</f>
        <v>1.90958904109589</v>
      </c>
      <c r="FG293" s="0" t="str">
        <f aca="false">CONCATENATE(F293,"/",G293)</f>
        <v>1294/2011</v>
      </c>
      <c r="FH293" s="0" t="n">
        <v>0</v>
      </c>
      <c r="FI293" s="0" t="n">
        <v>0</v>
      </c>
    </row>
    <row r="294" customFormat="false" ht="15" hidden="false" customHeight="false" outlineLevel="0" collapsed="false">
      <c r="A294" s="5" t="str">
        <f aca="false">E294&amp;G294&amp;F294</f>
        <v>720111295</v>
      </c>
      <c r="B294" s="0" t="s">
        <v>2925</v>
      </c>
      <c r="C294" s="1" t="n">
        <v>42412</v>
      </c>
      <c r="D294" s="0" t="s">
        <v>1856</v>
      </c>
      <c r="E294" s="0" t="n">
        <v>7</v>
      </c>
      <c r="F294" s="0" t="n">
        <v>1295</v>
      </c>
      <c r="G294" s="0" t="n">
        <v>2011</v>
      </c>
      <c r="H294" s="0" t="str">
        <f aca="false">"J"&amp;E294&amp;"\"&amp;F294&amp;"\"&amp;G294&amp;"\"&amp;W294</f>
        <v>J7\1295\2011\1</v>
      </c>
      <c r="I294" s="0"/>
      <c r="J294" s="1" t="n">
        <v>40757</v>
      </c>
      <c r="K294" s="0" t="n">
        <v>0</v>
      </c>
      <c r="M294" s="1"/>
      <c r="N294" s="1"/>
      <c r="O294" s="1"/>
      <c r="P294" s="1"/>
      <c r="Q294" s="1"/>
      <c r="T294" s="121"/>
      <c r="U294" s="121"/>
      <c r="V294" s="122" t="n">
        <f aca="false">IF(AND(E294&gt;0,F294&gt;0,G294&gt;0),COUNTIFS($E:$E,E294,$F:$F,F294,$G:$G,G294),"")</f>
        <v>1</v>
      </c>
      <c r="W294" s="122" t="n">
        <f aca="false">IF(V294="","",IF(V294=1,1,IF(AND(E293=E294,F293=F294,G293=G294),W293+1,1)))</f>
        <v>1</v>
      </c>
      <c r="X294" s="0" t="n">
        <v>1</v>
      </c>
      <c r="Y294" s="0" t="n">
        <v>3</v>
      </c>
      <c r="Z294" s="0" t="s">
        <v>3141</v>
      </c>
      <c r="AA294" s="0" t="n">
        <v>0</v>
      </c>
      <c r="AB294" s="0" t="s">
        <v>3142</v>
      </c>
      <c r="AC294" s="0" t="s">
        <v>3143</v>
      </c>
      <c r="AD294" s="0" t="s">
        <v>411</v>
      </c>
      <c r="AE294" s="0" t="n">
        <v>0</v>
      </c>
      <c r="AF294" s="0" t="s">
        <v>3144</v>
      </c>
      <c r="AG294" s="0" t="n">
        <v>0</v>
      </c>
      <c r="AH294" s="0" t="s">
        <v>3145</v>
      </c>
      <c r="AI294" s="0" t="s">
        <v>1611</v>
      </c>
      <c r="AJ294" s="0" t="s">
        <v>229</v>
      </c>
      <c r="AL294" s="0" t="s">
        <v>3146</v>
      </c>
      <c r="AM294" s="0" t="n">
        <v>1</v>
      </c>
      <c r="AN294" s="0" t="s">
        <v>3145</v>
      </c>
      <c r="AO294" s="0" t="s">
        <v>1611</v>
      </c>
      <c r="AP294" s="0" t="s">
        <v>229</v>
      </c>
      <c r="AR294" s="0" t="s">
        <v>3088</v>
      </c>
      <c r="AS294" s="0" t="n">
        <v>1</v>
      </c>
      <c r="AT294" s="0" t="s">
        <v>3145</v>
      </c>
      <c r="AU294" s="0" t="s">
        <v>1611</v>
      </c>
      <c r="AV294" s="0" t="s">
        <v>229</v>
      </c>
      <c r="BP294" s="0" t="n">
        <v>0</v>
      </c>
      <c r="BQ294" s="0" t="n">
        <v>0</v>
      </c>
      <c r="BR294" s="0" t="n">
        <v>1</v>
      </c>
      <c r="BS294" s="0" t="s">
        <v>3147</v>
      </c>
      <c r="BV294" s="123"/>
      <c r="BW294" s="123"/>
      <c r="BX294" s="123"/>
      <c r="BY294" s="123"/>
      <c r="BZ294" s="0" t="n">
        <v>0</v>
      </c>
      <c r="CA294" s="0" t="s">
        <v>216</v>
      </c>
      <c r="CD294" s="0" t="s">
        <v>256</v>
      </c>
      <c r="CE294" s="0" t="n">
        <v>0</v>
      </c>
      <c r="CF294" s="0" t="s">
        <v>1348</v>
      </c>
      <c r="CI294" s="1" t="n">
        <v>40603</v>
      </c>
      <c r="CJ294" s="1" t="n">
        <v>40729</v>
      </c>
      <c r="CK294" s="124" t="s">
        <v>216</v>
      </c>
      <c r="CL294" s="0" t="s">
        <v>3146</v>
      </c>
      <c r="CM294" s="0" t="n">
        <f aca="false">IF(OR(CI294="",CJ294=""),"",DAYS360(CI294,CJ294)/360)</f>
        <v>0.344444444444444</v>
      </c>
      <c r="CN294" s="0" t="n">
        <f aca="false">IF(OR(CI294="",CJ294=""),"",DAYS360(CI294,CJ294)/30)</f>
        <v>4.13333333333333</v>
      </c>
      <c r="CO294" s="0" t="n">
        <f aca="false">IF(OR(CI294="",CJ294=""),"",DAYS360(CI294,CJ294)/7)</f>
        <v>17.7142857142857</v>
      </c>
      <c r="CP294" s="0" t="n">
        <f aca="false">IF(OR(CI294="",CJ294=""),"",DAYS360(CI294,CJ294))</f>
        <v>124</v>
      </c>
      <c r="CQ294" s="0" t="s">
        <v>240</v>
      </c>
      <c r="CR294" s="0" t="n">
        <v>1</v>
      </c>
      <c r="CT294" s="0" t="s">
        <v>221</v>
      </c>
      <c r="CU294" s="0" t="s">
        <v>221</v>
      </c>
      <c r="CV294" s="0" t="str">
        <f aca="false">IF(OR(CT294="",CT294="NO ESPECIFICA",CT294="NO MENCIONA"),"",IF(CU294=0,CT294,IF(CU294=1,CT294/30,IF(CU294=2,CT294/15,IF(CU294=3,CT294/7,"")))))</f>
        <v/>
      </c>
      <c r="CW294" s="125" t="n">
        <v>4000</v>
      </c>
      <c r="CX294" s="0" t="n">
        <v>1</v>
      </c>
      <c r="CY294" s="0" t="n">
        <f aca="false">IF(CW294="","",IF(CX294=0,CW294,IF(CX294=1,CW294/30,IF(CX294=2,CW294/15,IF(CX294=3,CW294/7,CW294)))))</f>
        <v>133.333333333333</v>
      </c>
      <c r="CZ294" s="0" t="n">
        <f aca="false">IF(DI294&gt;0,DI294,IF(CY294&gt;0,CY294,IF(CV294&gt;0,CV294,"")))</f>
        <v>133.333333333333</v>
      </c>
      <c r="DA294" s="0" t="n">
        <f aca="false">IF(DM294=1,CZ294/8,IF(OR(DM294=2,DM294=4),CZ294/7,IF(DM294=3,CZ294/7.5,"")))</f>
        <v>17.7777777777778</v>
      </c>
      <c r="DB294" s="0" t="s">
        <v>216</v>
      </c>
      <c r="DC294" s="0" t="s">
        <v>216</v>
      </c>
      <c r="DD294" s="0" t="s">
        <v>216</v>
      </c>
      <c r="DE294" s="0" t="s">
        <v>216</v>
      </c>
      <c r="DF294" s="0" t="s">
        <v>216</v>
      </c>
      <c r="DG294" s="0" t="s">
        <v>216</v>
      </c>
      <c r="DH294" s="0" t="n">
        <v>0</v>
      </c>
      <c r="DI294" s="126" t="n">
        <f aca="false">4000/30</f>
        <v>133.333333333333</v>
      </c>
      <c r="DK294" s="0" t="n">
        <v>1</v>
      </c>
      <c r="DM294" s="0" t="n">
        <v>3</v>
      </c>
      <c r="DN294" s="0" t="n">
        <v>7</v>
      </c>
      <c r="DO294" s="0" t="n">
        <v>0</v>
      </c>
      <c r="DP294" s="0" t="n">
        <v>0</v>
      </c>
      <c r="DQ294" s="0" t="n">
        <v>1</v>
      </c>
      <c r="DR294" s="0" t="n">
        <v>12000</v>
      </c>
      <c r="DS294" s="0" t="n">
        <v>1</v>
      </c>
      <c r="DU294" s="0" t="n">
        <v>1</v>
      </c>
      <c r="DV294" s="0" t="n">
        <v>399.99</v>
      </c>
      <c r="DW294" s="1" t="n">
        <v>40603</v>
      </c>
      <c r="DX294" s="1" t="n">
        <v>40729</v>
      </c>
      <c r="DZ294" s="0"/>
      <c r="EA294" s="0" t="n">
        <v>0</v>
      </c>
      <c r="EC294" s="1" t="n">
        <v>40603</v>
      </c>
      <c r="ED294" s="1" t="n">
        <v>40729</v>
      </c>
      <c r="EF294" s="0" t="n">
        <v>533.32</v>
      </c>
      <c r="EG294" s="0" t="n">
        <v>0</v>
      </c>
      <c r="EI294" s="0" t="str">
        <f aca="false">IF(AND(DM294=1,DN294&lt;=48),"",IF(AND(DM294=2,DN294&lt;=42),"",IF(AND(DM294=3,DN294&lt;=45),"",EH294)))</f>
        <v/>
      </c>
      <c r="EJ294" s="0" t="str">
        <f aca="false">IF(EI294="","",IF(EI294&lt;9,EI294,9))</f>
        <v/>
      </c>
      <c r="EK294" s="0" t="str">
        <f aca="false">IF(EI294="","",IF(EI294&gt;9,EI294-EJ294,0))</f>
        <v/>
      </c>
      <c r="EL294" s="0" t="str">
        <f aca="false">IF(EI294="","",EJ294*DA294*2+EK294*DA294*3)</f>
        <v/>
      </c>
      <c r="EP294" s="0" t="n">
        <v>0</v>
      </c>
      <c r="EQ294" s="0"/>
      <c r="ER294" s="0" t="n">
        <v>0</v>
      </c>
      <c r="ET294" s="0" t="n">
        <v>0</v>
      </c>
      <c r="EV294" s="0" t="n">
        <v>0</v>
      </c>
      <c r="EX294" s="0" t="n">
        <v>0</v>
      </c>
      <c r="EY294" s="0" t="n">
        <v>0</v>
      </c>
      <c r="EZ294" s="0"/>
      <c r="FA294" s="0"/>
      <c r="FB294" s="0" t="n">
        <v>0</v>
      </c>
      <c r="FF294" s="120" t="n">
        <f aca="false">(CJ294-CI294+1)/365</f>
        <v>0.347945205479452</v>
      </c>
      <c r="FG294" s="0" t="str">
        <f aca="false">CONCATENATE(F294,"/",G294)</f>
        <v>1295/2011</v>
      </c>
      <c r="FH294" s="0" t="n">
        <v>0</v>
      </c>
      <c r="FI294" s="0" t="n">
        <v>0</v>
      </c>
    </row>
    <row r="295" customFormat="false" ht="15" hidden="false" customHeight="false" outlineLevel="0" collapsed="false">
      <c r="A295" s="5" t="str">
        <f aca="false">E295&amp;G295&amp;F295</f>
        <v>720111297</v>
      </c>
      <c r="B295" s="0" t="s">
        <v>2925</v>
      </c>
      <c r="C295" s="1" t="n">
        <v>42412</v>
      </c>
      <c r="E295" s="0" t="n">
        <v>7</v>
      </c>
      <c r="F295" s="0" t="n">
        <v>1297</v>
      </c>
      <c r="G295" s="0" t="n">
        <v>2011</v>
      </c>
      <c r="H295" s="0" t="str">
        <f aca="false">"J"&amp;E295&amp;"\"&amp;F295&amp;"\"&amp;G295&amp;"\"&amp;W295</f>
        <v>J7\1297\2011\1</v>
      </c>
      <c r="I295" s="0"/>
      <c r="J295" s="1" t="n">
        <v>40758</v>
      </c>
      <c r="K295" s="0" t="n">
        <v>0</v>
      </c>
      <c r="M295" s="1" t="n">
        <v>40758</v>
      </c>
      <c r="N295" s="1" t="n">
        <v>40956</v>
      </c>
      <c r="O295" s="1"/>
      <c r="P295" s="1"/>
      <c r="Q295" s="1"/>
      <c r="T295" s="121"/>
      <c r="U295" s="121"/>
      <c r="V295" s="122" t="n">
        <f aca="false">IF(AND(E295&gt;0,F295&gt;0,G295&gt;0),COUNTIFS($E:$E,E295,$F:$F,F295,$G:$G,G295),"")</f>
        <v>1</v>
      </c>
      <c r="W295" s="122" t="n">
        <f aca="false">IF(V295="","",IF(V295=1,1,IF(AND(E294=E295,F294=F295,G294=G295),W294+1,1)))</f>
        <v>1</v>
      </c>
      <c r="X295" s="0" t="n">
        <v>1</v>
      </c>
      <c r="Y295" s="0" t="n">
        <v>7</v>
      </c>
      <c r="Z295" s="0" t="s">
        <v>3148</v>
      </c>
      <c r="AA295" s="0" t="n">
        <v>0</v>
      </c>
      <c r="AB295" s="0" t="s">
        <v>3149</v>
      </c>
      <c r="AC295" s="0" t="s">
        <v>461</v>
      </c>
      <c r="AD295" s="0" t="s">
        <v>207</v>
      </c>
      <c r="AE295" s="0" t="n">
        <v>0</v>
      </c>
      <c r="AF295" s="0" t="s">
        <v>3150</v>
      </c>
      <c r="AG295" s="0" t="n">
        <v>0</v>
      </c>
      <c r="AH295" s="0" t="s">
        <v>3151</v>
      </c>
      <c r="AI295" s="0" t="s">
        <v>3152</v>
      </c>
      <c r="AJ295" s="0" t="s">
        <v>268</v>
      </c>
      <c r="AL295" s="0" t="s">
        <v>3153</v>
      </c>
      <c r="AM295" s="0" t="n">
        <v>0</v>
      </c>
      <c r="AN295" s="0" t="s">
        <v>3151</v>
      </c>
      <c r="AO295" s="0" t="s">
        <v>3152</v>
      </c>
      <c r="AP295" s="0" t="s">
        <v>268</v>
      </c>
      <c r="AR295" s="0" t="s">
        <v>3154</v>
      </c>
      <c r="AS295" s="0" t="n">
        <v>0</v>
      </c>
      <c r="AT295" s="0" t="s">
        <v>3151</v>
      </c>
      <c r="AU295" s="0" t="s">
        <v>3152</v>
      </c>
      <c r="AV295" s="0" t="s">
        <v>268</v>
      </c>
      <c r="AX295" s="0" t="s">
        <v>3155</v>
      </c>
      <c r="AY295" s="0" t="n">
        <v>1</v>
      </c>
      <c r="AZ295" s="0" t="s">
        <v>3151</v>
      </c>
      <c r="BA295" s="0" t="s">
        <v>3152</v>
      </c>
      <c r="BB295" s="0" t="s">
        <v>268</v>
      </c>
      <c r="BD295" s="0" t="s">
        <v>3156</v>
      </c>
      <c r="BE295" s="0" t="n">
        <v>1</v>
      </c>
      <c r="BF295" s="0" t="s">
        <v>3151</v>
      </c>
      <c r="BG295" s="0" t="s">
        <v>3152</v>
      </c>
      <c r="BH295" s="0" t="s">
        <v>268</v>
      </c>
      <c r="BJ295" s="0" t="s">
        <v>3157</v>
      </c>
      <c r="BK295" s="0" t="n">
        <v>1</v>
      </c>
      <c r="BL295" s="0" t="s">
        <v>3151</v>
      </c>
      <c r="BM295" s="0" t="s">
        <v>3152</v>
      </c>
      <c r="BN295" s="0" t="s">
        <v>268</v>
      </c>
      <c r="BP295" s="0" t="n">
        <v>0</v>
      </c>
      <c r="BQ295" s="0" t="n">
        <v>0</v>
      </c>
      <c r="BR295" s="0" t="n">
        <v>1</v>
      </c>
      <c r="BS295" s="0" t="s">
        <v>3158</v>
      </c>
      <c r="BT295" s="0" t="s">
        <v>3159</v>
      </c>
      <c r="BU295" s="0" t="s">
        <v>3160</v>
      </c>
      <c r="BV295" s="123"/>
      <c r="BW295" s="123"/>
      <c r="BX295" s="123"/>
      <c r="BY295" s="123"/>
      <c r="BZ295" s="0" t="n">
        <v>0</v>
      </c>
      <c r="CA295" s="0" t="s">
        <v>216</v>
      </c>
      <c r="CD295" s="0" t="s">
        <v>296</v>
      </c>
      <c r="CE295" s="0" t="n">
        <v>0</v>
      </c>
      <c r="CF295" s="0" t="s">
        <v>3161</v>
      </c>
      <c r="CI295" s="1" t="n">
        <v>39286</v>
      </c>
      <c r="CJ295" s="1" t="n">
        <v>40716</v>
      </c>
      <c r="CK295" s="124" t="n">
        <v>0.541666666666667</v>
      </c>
      <c r="CL295" s="0" t="s">
        <v>3155</v>
      </c>
      <c r="CM295" s="0" t="n">
        <f aca="false">IF(OR(CI295="",CJ295=""),"",DAYS360(CI295,CJ295)/360)</f>
        <v>3.91388888888889</v>
      </c>
      <c r="CN295" s="0" t="n">
        <f aca="false">IF(OR(CI295="",CJ295=""),"",DAYS360(CI295,CJ295)/30)</f>
        <v>46.9666666666667</v>
      </c>
      <c r="CO295" s="0" t="n">
        <f aca="false">IF(OR(CI295="",CJ295=""),"",DAYS360(CI295,CJ295)/7)</f>
        <v>201.285714285714</v>
      </c>
      <c r="CP295" s="0" t="n">
        <f aca="false">IF(OR(CI295="",CJ295=""),"",DAYS360(CI295,CJ295))</f>
        <v>1409</v>
      </c>
      <c r="CQ295" s="0" t="s">
        <v>220</v>
      </c>
      <c r="CR295" s="0" t="n">
        <v>1</v>
      </c>
      <c r="CT295" s="0" t="s">
        <v>221</v>
      </c>
      <c r="CU295" s="0" t="s">
        <v>221</v>
      </c>
      <c r="CV295" s="0" t="str">
        <f aca="false">IF(OR(CT295="",CT295="NO ESPECIFICA",CT295="NO MENCIONA"),"",IF(CU295=0,CT295,IF(CU295=1,CT295/30,IF(CU295=2,CT295/15,IF(CU295=3,CT295/7,"")))))</f>
        <v/>
      </c>
      <c r="CW295" s="125" t="n">
        <v>333.33</v>
      </c>
      <c r="CX295" s="0" t="n">
        <v>0</v>
      </c>
      <c r="CY295" s="0" t="n">
        <f aca="false">IF(CW295="","",IF(CX295=0,CW295,IF(CX295=1,CW295/30,IF(CX295=2,CW295/15,IF(CX295=3,CW295/7,CW295)))))</f>
        <v>333.33</v>
      </c>
      <c r="CZ295" s="0" t="n">
        <f aca="false">IF(DI295&gt;0,DI295,IF(CY295&gt;0,CY295,IF(CV295&gt;0,CV295,"")))</f>
        <v>333.33</v>
      </c>
      <c r="DA295" s="0" t="n">
        <f aca="false">IF(DM295=1,CZ295/8,IF(OR(DM295=2,DM295=4),CZ295/7,IF(DM295=3,CZ295/7.5,"")))</f>
        <v>44.444</v>
      </c>
      <c r="DB295" s="0" t="s">
        <v>216</v>
      </c>
      <c r="DC295" s="0" t="s">
        <v>216</v>
      </c>
      <c r="DD295" s="0" t="s">
        <v>216</v>
      </c>
      <c r="DE295" s="0" t="s">
        <v>216</v>
      </c>
      <c r="DF295" s="0" t="s">
        <v>216</v>
      </c>
      <c r="DG295" s="0" t="s">
        <v>216</v>
      </c>
      <c r="DH295" s="0" t="n">
        <v>0</v>
      </c>
      <c r="DI295" s="126" t="n">
        <v>333.33</v>
      </c>
      <c r="DK295" s="0" t="n">
        <v>0</v>
      </c>
      <c r="DM295" s="0" t="n">
        <v>3</v>
      </c>
      <c r="DN295" s="0" t="n">
        <v>63</v>
      </c>
      <c r="DO295" s="0" t="n">
        <v>3</v>
      </c>
      <c r="DP295" s="0" t="n">
        <v>1</v>
      </c>
      <c r="DQ295" s="0" t="n">
        <v>1</v>
      </c>
      <c r="DR295" s="0"/>
      <c r="DS295" s="0" t="n">
        <v>1</v>
      </c>
      <c r="DU295" s="0" t="n">
        <v>1</v>
      </c>
      <c r="DW295" s="1" t="n">
        <v>39286</v>
      </c>
      <c r="DX295" s="1" t="n">
        <v>40716</v>
      </c>
      <c r="DZ295" s="0"/>
      <c r="EA295" s="0" t="n">
        <v>1</v>
      </c>
      <c r="EC295" s="1" t="n">
        <v>40382</v>
      </c>
      <c r="ED295" s="1" t="n">
        <v>40716</v>
      </c>
      <c r="EF295" s="0"/>
      <c r="EG295" s="0" t="n">
        <v>1</v>
      </c>
      <c r="EH295" s="0" t="n">
        <v>10.5</v>
      </c>
      <c r="EI295" s="0" t="n">
        <f aca="false">IF(AND(DM295=1,DN295&lt;=48),"",IF(AND(DM295=2,DN295&lt;=42),"",IF(AND(DM295=3,DN295&lt;=45),"",EH295)))</f>
        <v>10.5</v>
      </c>
      <c r="EJ295" s="0" t="n">
        <f aca="false">IF(EI295="","",IF(EI295&lt;9,EI295,9))</f>
        <v>9</v>
      </c>
      <c r="EK295" s="0" t="n">
        <f aca="false">IF(EI295="","",IF(EI295&gt;9,EI295-EJ295,0))</f>
        <v>1.5</v>
      </c>
      <c r="EL295" s="0" t="n">
        <f aca="false">IF(EI295="","",EJ295*DA295*2+EK295*DA295*3)</f>
        <v>999.99</v>
      </c>
      <c r="EN295" s="0" t="n">
        <v>76993.45</v>
      </c>
      <c r="EP295" s="0" t="n">
        <v>1</v>
      </c>
      <c r="EQ295" s="0"/>
      <c r="ER295" s="0" t="n">
        <v>0</v>
      </c>
      <c r="ET295" s="0" t="n">
        <v>1</v>
      </c>
      <c r="EV295" s="0" t="n">
        <v>1</v>
      </c>
      <c r="EX295" s="0" t="n">
        <v>0</v>
      </c>
      <c r="EY295" s="0" t="n">
        <v>1</v>
      </c>
      <c r="EZ295" s="0"/>
      <c r="FA295" s="4" t="n">
        <f aca="false">9333.24+15000+500+19620+2098</f>
        <v>46551.24</v>
      </c>
      <c r="FB295" s="0" t="n">
        <v>0</v>
      </c>
      <c r="FF295" s="120" t="n">
        <f aca="false">(CJ295-CI295+1)/365</f>
        <v>3.92054794520548</v>
      </c>
      <c r="FG295" s="0" t="str">
        <f aca="false">CONCATENATE(F295,"/",G295)</f>
        <v>1297/2011</v>
      </c>
      <c r="FH295" s="0" t="n">
        <v>0</v>
      </c>
      <c r="FI295" s="0" t="n">
        <v>0</v>
      </c>
    </row>
    <row r="296" customFormat="false" ht="15" hidden="false" customHeight="false" outlineLevel="0" collapsed="false">
      <c r="A296" s="5" t="str">
        <f aca="false">E296&amp;G296&amp;F296</f>
        <v>720111298</v>
      </c>
      <c r="B296" s="0" t="s">
        <v>2925</v>
      </c>
      <c r="C296" s="1" t="n">
        <v>42412</v>
      </c>
      <c r="E296" s="0" t="n">
        <v>7</v>
      </c>
      <c r="F296" s="0" t="n">
        <v>1298</v>
      </c>
      <c r="G296" s="0" t="n">
        <v>2011</v>
      </c>
      <c r="H296" s="0" t="str">
        <f aca="false">"J"&amp;E296&amp;"\"&amp;F296&amp;"\"&amp;G296&amp;"\"&amp;W296</f>
        <v>J7\1298\2011\1</v>
      </c>
      <c r="I296" s="0"/>
      <c r="J296" s="1" t="n">
        <v>40758</v>
      </c>
      <c r="K296" s="0" t="n">
        <v>0</v>
      </c>
      <c r="M296" s="1" t="n">
        <v>40758</v>
      </c>
      <c r="N296" s="1" t="n">
        <v>40956</v>
      </c>
      <c r="O296" s="1"/>
      <c r="P296" s="1"/>
      <c r="Q296" s="1"/>
      <c r="T296" s="121"/>
      <c r="U296" s="121"/>
      <c r="V296" s="122" t="n">
        <f aca="false">IF(AND(E296&gt;0,F296&gt;0,G296&gt;0),COUNTIFS($E:$E,E296,$F:$F,F296,$G:$G,G296),"")</f>
        <v>1</v>
      </c>
      <c r="W296" s="122" t="n">
        <f aca="false">IF(V296="","",IF(V296=1,1,IF(AND(E295=E296,F295=F296,G295=G296),W295+1,1)))</f>
        <v>1</v>
      </c>
      <c r="X296" s="0" t="n">
        <v>1</v>
      </c>
      <c r="Y296" s="0" t="n">
        <v>3</v>
      </c>
      <c r="Z296" s="0" t="s">
        <v>3162</v>
      </c>
      <c r="AA296" s="0" t="n">
        <v>0</v>
      </c>
      <c r="AB296" s="0" t="s">
        <v>3163</v>
      </c>
      <c r="AC296" s="0" t="s">
        <v>244</v>
      </c>
      <c r="AD296" s="0" t="s">
        <v>229</v>
      </c>
      <c r="AE296" s="0" t="n">
        <v>0</v>
      </c>
      <c r="AF296" s="0" t="s">
        <v>3164</v>
      </c>
      <c r="AG296" s="0" t="n">
        <v>0</v>
      </c>
      <c r="AH296" s="0" t="s">
        <v>3165</v>
      </c>
      <c r="AI296" s="0" t="s">
        <v>1160</v>
      </c>
      <c r="AJ296" s="0" t="s">
        <v>229</v>
      </c>
      <c r="AL296" s="0" t="s">
        <v>3166</v>
      </c>
      <c r="AM296" s="0" t="n">
        <v>1</v>
      </c>
      <c r="AN296" s="0" t="s">
        <v>3165</v>
      </c>
      <c r="AO296" s="0" t="s">
        <v>1160</v>
      </c>
      <c r="AP296" s="0" t="s">
        <v>229</v>
      </c>
      <c r="AR296" s="0" t="s">
        <v>3088</v>
      </c>
      <c r="AS296" s="0" t="n">
        <v>1</v>
      </c>
      <c r="AT296" s="0" t="s">
        <v>3165</v>
      </c>
      <c r="AU296" s="0" t="s">
        <v>1160</v>
      </c>
      <c r="AV296" s="0" t="s">
        <v>229</v>
      </c>
      <c r="BP296" s="0" t="n">
        <v>0</v>
      </c>
      <c r="BQ296" s="0" t="n">
        <v>0</v>
      </c>
      <c r="BR296" s="0" t="n">
        <v>1</v>
      </c>
      <c r="BS296" s="0" t="s">
        <v>3167</v>
      </c>
      <c r="BT296" s="0" t="s">
        <v>3168</v>
      </c>
      <c r="BU296" s="0" t="s">
        <v>3169</v>
      </c>
      <c r="BV296" s="123"/>
      <c r="BW296" s="123"/>
      <c r="BX296" s="123"/>
      <c r="BY296" s="123"/>
      <c r="BZ296" s="0" t="n">
        <v>0</v>
      </c>
      <c r="CA296" s="0" t="s">
        <v>3170</v>
      </c>
      <c r="CD296" s="0" t="s">
        <v>296</v>
      </c>
      <c r="CE296" s="0" t="n">
        <v>0</v>
      </c>
      <c r="CF296" s="0" t="s">
        <v>3171</v>
      </c>
      <c r="CI296" s="1" t="n">
        <v>39495</v>
      </c>
      <c r="CJ296" s="1" t="n">
        <v>40716</v>
      </c>
      <c r="CK296" s="124" t="n">
        <v>0.427083333333333</v>
      </c>
      <c r="CL296" s="0" t="s">
        <v>3166</v>
      </c>
      <c r="CM296" s="0" t="n">
        <f aca="false">IF(OR(CI296="",CJ296=""),"",DAYS360(CI296,CJ296)/360)</f>
        <v>3.34722222222222</v>
      </c>
      <c r="CN296" s="0" t="n">
        <f aca="false">IF(OR(CI296="",CJ296=""),"",DAYS360(CI296,CJ296)/30)</f>
        <v>40.1666666666667</v>
      </c>
      <c r="CO296" s="0" t="n">
        <f aca="false">IF(OR(CI296="",CJ296=""),"",DAYS360(CI296,CJ296)/7)</f>
        <v>172.142857142857</v>
      </c>
      <c r="CP296" s="0" t="n">
        <f aca="false">IF(OR(CI296="",CJ296=""),"",DAYS360(CI296,CJ296))</f>
        <v>1205</v>
      </c>
      <c r="CQ296" s="0" t="s">
        <v>240</v>
      </c>
      <c r="CR296" s="0" t="n">
        <v>1</v>
      </c>
      <c r="CT296" s="0" t="s">
        <v>221</v>
      </c>
      <c r="CU296" s="0" t="s">
        <v>221</v>
      </c>
      <c r="CV296" s="0" t="str">
        <f aca="false">IF(OR(CT296="",CT296="NO ESPECIFICA",CT296="NO MENCIONA"),"",IF(CU296=0,CT296,IF(CU296=1,CT296/30,IF(CU296=2,CT296/15,IF(CU296=3,CT296/7,"")))))</f>
        <v/>
      </c>
      <c r="CW296" s="125" t="n">
        <v>489</v>
      </c>
      <c r="CX296" s="0" t="n">
        <v>0</v>
      </c>
      <c r="CY296" s="0" t="n">
        <f aca="false">IF(CW296="","",IF(CX296=0,CW296,IF(CX296=1,CW296/30,IF(CX296=2,CW296/15,IF(CX296=3,CW296/7,CW296)))))</f>
        <v>489</v>
      </c>
      <c r="CZ296" s="0" t="n">
        <f aca="false">IF(DI296&gt;0,DI296,IF(CY296&gt;0,CY296,IF(CV296&gt;0,CV296,"")))</f>
        <v>489</v>
      </c>
      <c r="DA296" s="0" t="n">
        <f aca="false">IF(DM296=1,CZ296/8,IF(OR(DM296=2,DM296=4),CZ296/7,IF(DM296=3,CZ296/7.5,"")))</f>
        <v>61.125</v>
      </c>
      <c r="DB296" s="0" t="s">
        <v>216</v>
      </c>
      <c r="DC296" s="0" t="s">
        <v>216</v>
      </c>
      <c r="DD296" s="0" t="s">
        <v>216</v>
      </c>
      <c r="DE296" s="0" t="s">
        <v>216</v>
      </c>
      <c r="DF296" s="0" t="s">
        <v>216</v>
      </c>
      <c r="DG296" s="0" t="s">
        <v>216</v>
      </c>
      <c r="DH296" s="0" t="n">
        <v>0</v>
      </c>
      <c r="DI296" s="126" t="n">
        <v>489</v>
      </c>
      <c r="DK296" s="0" t="n">
        <v>1</v>
      </c>
      <c r="DM296" s="0" t="n">
        <v>1</v>
      </c>
      <c r="DN296" s="0" t="n">
        <v>66</v>
      </c>
      <c r="DO296" s="0" t="n">
        <v>3</v>
      </c>
      <c r="DP296" s="0" t="n">
        <v>0</v>
      </c>
      <c r="DQ296" s="0" t="n">
        <v>1</v>
      </c>
      <c r="DR296" s="0"/>
      <c r="DS296" s="0" t="n">
        <v>1</v>
      </c>
      <c r="DU296" s="0" t="n">
        <v>1</v>
      </c>
      <c r="DW296" s="1" t="n">
        <v>39495</v>
      </c>
      <c r="DX296" s="1" t="n">
        <v>40716</v>
      </c>
      <c r="DZ296" s="0"/>
      <c r="EA296" s="0" t="n">
        <v>1</v>
      </c>
      <c r="EC296" s="1" t="n">
        <v>39495</v>
      </c>
      <c r="ED296" s="1" t="n">
        <v>40716</v>
      </c>
      <c r="EF296" s="0"/>
      <c r="EG296" s="0" t="n">
        <v>1</v>
      </c>
      <c r="EH296" s="0" t="s">
        <v>221</v>
      </c>
      <c r="EI296" s="0" t="str">
        <f aca="false">IF(AND(DM296=1,DN296&lt;=48),"",IF(AND(DM296=2,DN296&lt;=42),"",IF(AND(DM296=3,DN296&lt;=45),"",EH296)))</f>
        <v>NO ESPECIFICA</v>
      </c>
      <c r="EJ296" s="0" t="n">
        <f aca="false">IF(EI296="","",IF(EI296&lt;9,EI296,9))</f>
        <v>9</v>
      </c>
      <c r="EK296" s="0" t="e">
        <f aca="false">IF(EI296="","",IF(EI296&gt;9,EI296-EJ296,0))</f>
        <v>#VALUE!</v>
      </c>
      <c r="EL296" s="0" t="e">
        <f aca="false">IF(EI296="","",EJ296*DA296*2+EK296*DA296*3)</f>
        <v>#VALUE!</v>
      </c>
      <c r="EP296" s="0" t="n">
        <v>0</v>
      </c>
      <c r="EQ296" s="0"/>
      <c r="ER296" s="0" t="n">
        <v>0</v>
      </c>
      <c r="ET296" s="0" t="n">
        <v>0</v>
      </c>
      <c r="EV296" s="0" t="n">
        <v>0</v>
      </c>
      <c r="EX296" s="0" t="n">
        <v>0</v>
      </c>
      <c r="EY296" s="0" t="n">
        <v>1</v>
      </c>
      <c r="EZ296" s="0"/>
      <c r="FA296" s="0"/>
      <c r="FB296" s="0" t="n">
        <v>0</v>
      </c>
      <c r="FF296" s="120" t="n">
        <f aca="false">(CJ296-CI296+1)/365</f>
        <v>3.34794520547945</v>
      </c>
      <c r="FG296" s="0" t="str">
        <f aca="false">CONCATENATE(F296,"/",G296)</f>
        <v>1298/2011</v>
      </c>
      <c r="FH296" s="0" t="n">
        <v>0</v>
      </c>
      <c r="FI296" s="0" t="n">
        <v>0</v>
      </c>
    </row>
    <row r="297" customFormat="false" ht="15" hidden="false" customHeight="false" outlineLevel="0" collapsed="false">
      <c r="A297" s="5" t="str">
        <f aca="false">E297&amp;G297&amp;F297</f>
        <v>720111300</v>
      </c>
      <c r="B297" s="0" t="s">
        <v>2925</v>
      </c>
      <c r="C297" s="1" t="n">
        <v>42412</v>
      </c>
      <c r="D297" s="0" t="s">
        <v>1856</v>
      </c>
      <c r="E297" s="0" t="n">
        <v>7</v>
      </c>
      <c r="F297" s="0" t="n">
        <v>1300</v>
      </c>
      <c r="G297" s="0" t="n">
        <v>2011</v>
      </c>
      <c r="H297" s="0" t="str">
        <f aca="false">"J"&amp;E297&amp;"\"&amp;F297&amp;"\"&amp;G297&amp;"\"&amp;W297</f>
        <v>J7\1300\2011\1</v>
      </c>
      <c r="I297" s="0"/>
      <c r="J297" s="1" t="n">
        <v>40758</v>
      </c>
      <c r="K297" s="0" t="n">
        <v>0</v>
      </c>
      <c r="M297" s="1"/>
      <c r="N297" s="1"/>
      <c r="O297" s="1"/>
      <c r="P297" s="1"/>
      <c r="Q297" s="1"/>
      <c r="T297" s="121"/>
      <c r="U297" s="121"/>
      <c r="V297" s="122" t="n">
        <f aca="false">IF(AND(E297&gt;0,F297&gt;0,G297&gt;0),COUNTIFS($E:$E,E297,$F:$F,F297,$G:$G,G297),"")</f>
        <v>1</v>
      </c>
      <c r="W297" s="122" t="n">
        <f aca="false">IF(V297="","",IF(V297=1,1,IF(AND(E296=E297,F296=F297,G296=G297),W296+1,1)))</f>
        <v>1</v>
      </c>
      <c r="X297" s="0" t="n">
        <v>1</v>
      </c>
      <c r="Y297" s="0" t="n">
        <v>3</v>
      </c>
      <c r="Z297" s="0" t="s">
        <v>3172</v>
      </c>
      <c r="AA297" s="0" t="n">
        <v>0</v>
      </c>
      <c r="AB297" s="0" t="s">
        <v>2941</v>
      </c>
      <c r="AC297" s="0" t="s">
        <v>228</v>
      </c>
      <c r="AD297" s="0" t="s">
        <v>229</v>
      </c>
      <c r="AE297" s="0" t="n">
        <v>0</v>
      </c>
      <c r="AF297" s="0" t="s">
        <v>3173</v>
      </c>
      <c r="AG297" s="0" t="n">
        <v>0</v>
      </c>
      <c r="AH297" s="0" t="s">
        <v>3174</v>
      </c>
      <c r="AI297" s="0" t="s">
        <v>287</v>
      </c>
      <c r="AJ297" s="0" t="s">
        <v>322</v>
      </c>
      <c r="AL297" s="0" t="s">
        <v>3175</v>
      </c>
      <c r="AM297" s="0" t="n">
        <v>1</v>
      </c>
      <c r="AN297" s="0" t="s">
        <v>3174</v>
      </c>
      <c r="AO297" s="0" t="s">
        <v>287</v>
      </c>
      <c r="AP297" s="0" t="s">
        <v>322</v>
      </c>
      <c r="AR297" s="0" t="s">
        <v>3088</v>
      </c>
      <c r="AS297" s="0" t="n">
        <v>1</v>
      </c>
      <c r="AT297" s="0" t="s">
        <v>3174</v>
      </c>
      <c r="AU297" s="0" t="s">
        <v>287</v>
      </c>
      <c r="AV297" s="0" t="s">
        <v>322</v>
      </c>
      <c r="BP297" s="0" t="n">
        <v>0</v>
      </c>
      <c r="BQ297" s="0" t="n">
        <v>0</v>
      </c>
      <c r="BR297" s="0" t="n">
        <v>3</v>
      </c>
      <c r="BS297" s="0" t="s">
        <v>499</v>
      </c>
      <c r="BT297" s="0" t="s">
        <v>1818</v>
      </c>
      <c r="BU297" s="0" t="s">
        <v>2945</v>
      </c>
      <c r="BV297" s="123"/>
      <c r="BW297" s="123"/>
      <c r="BX297" s="123"/>
      <c r="BY297" s="123"/>
      <c r="BZ297" s="0" t="n">
        <v>0</v>
      </c>
      <c r="CA297" s="0" t="s">
        <v>348</v>
      </c>
      <c r="CD297" s="0" t="s">
        <v>256</v>
      </c>
      <c r="CE297" s="0" t="n">
        <v>0</v>
      </c>
      <c r="CF297" s="0" t="s">
        <v>3176</v>
      </c>
      <c r="CI297" s="1" t="n">
        <v>38901</v>
      </c>
      <c r="CJ297" s="1" t="n">
        <v>40620</v>
      </c>
      <c r="CK297" s="124" t="n">
        <v>0.375</v>
      </c>
      <c r="CL297" s="0" t="s">
        <v>3175</v>
      </c>
      <c r="CM297" s="0" t="n">
        <f aca="false">IF(OR(CI297="",CJ297=""),"",DAYS360(CI297,CJ297)/360)</f>
        <v>4.70833333333333</v>
      </c>
      <c r="CN297" s="0" t="n">
        <f aca="false">IF(OR(CI297="",CJ297=""),"",DAYS360(CI297,CJ297)/30)</f>
        <v>56.5</v>
      </c>
      <c r="CO297" s="0" t="n">
        <f aca="false">IF(OR(CI297="",CJ297=""),"",DAYS360(CI297,CJ297)/7)</f>
        <v>242.142857142857</v>
      </c>
      <c r="CP297" s="0" t="n">
        <f aca="false">IF(OR(CI297="",CJ297=""),"",DAYS360(CI297,CJ297))</f>
        <v>1695</v>
      </c>
      <c r="CQ297" s="0" t="s">
        <v>1493</v>
      </c>
      <c r="CR297" s="0" t="n">
        <v>6</v>
      </c>
      <c r="CS297" s="0" t="s">
        <v>2457</v>
      </c>
      <c r="CT297" s="0" t="s">
        <v>3177</v>
      </c>
      <c r="CV297" s="0" t="str">
        <f aca="false">IF(OR(CT297="",CT297="NO ESPECIFICA",CT297="NO MENCIONA"),"",IF(CU297=0,CT297,IF(CU297=1,CT297/30,IF(CU297=2,CT297/15,IF(CU297=3,CT297/7,"")))))</f>
        <v> NO ESPECIFICA NO ESPECIFICA</v>
      </c>
      <c r="CW297" s="125" t="n">
        <v>211.7</v>
      </c>
      <c r="CX297" s="0" t="n">
        <v>0</v>
      </c>
      <c r="CY297" s="0" t="n">
        <f aca="false">IF(CW297="","",IF(CX297=0,CW297,IF(CX297=1,CW297/30,IF(CX297=2,CW297/15,IF(CX297=3,CW297/7,CW297)))))</f>
        <v>211.7</v>
      </c>
      <c r="CZ297" s="0" t="n">
        <f aca="false">IF(DI297&gt;0,DI297,IF(CY297&gt;0,CY297,IF(CV297&gt;0,CV297,"")))</f>
        <v>211.7</v>
      </c>
      <c r="DA297" s="0" t="n">
        <f aca="false">IF(DM297=1,CZ297/8,IF(OR(DM297=2,DM297=4),CZ297/7,IF(DM297=3,CZ297/7.5,"")))</f>
        <v>26.4625</v>
      </c>
      <c r="DB297" s="0" t="s">
        <v>216</v>
      </c>
      <c r="DC297" s="0" t="s">
        <v>216</v>
      </c>
      <c r="DD297" s="0" t="s">
        <v>216</v>
      </c>
      <c r="DE297" s="0" t="s">
        <v>216</v>
      </c>
      <c r="DF297" s="0" t="s">
        <v>216</v>
      </c>
      <c r="DG297" s="0" t="s">
        <v>216</v>
      </c>
      <c r="DH297" s="0" t="n">
        <v>0</v>
      </c>
      <c r="DI297" s="126" t="n">
        <v>211.7</v>
      </c>
      <c r="DK297" s="0" t="n">
        <v>0</v>
      </c>
      <c r="DM297" s="0" t="n">
        <v>1</v>
      </c>
      <c r="DN297" s="0" t="n">
        <f aca="false">9.5*5</f>
        <v>47.5</v>
      </c>
      <c r="DO297" s="0" t="n">
        <v>3</v>
      </c>
      <c r="DP297" s="0" t="n">
        <v>0</v>
      </c>
      <c r="DQ297" s="0" t="n">
        <v>0</v>
      </c>
      <c r="DR297" s="0"/>
      <c r="DS297" s="0" t="n">
        <v>0</v>
      </c>
      <c r="DU297" s="0" t="n">
        <v>0</v>
      </c>
      <c r="DW297" s="1" t="n">
        <v>38901</v>
      </c>
      <c r="DX297" s="1" t="n">
        <v>40620</v>
      </c>
      <c r="DZ297" s="0"/>
      <c r="EA297" s="0" t="n">
        <v>1</v>
      </c>
      <c r="EC297" s="1" t="n">
        <v>38901</v>
      </c>
      <c r="ED297" s="1" t="n">
        <v>40620</v>
      </c>
      <c r="EF297" s="0"/>
      <c r="EG297" s="0" t="n">
        <v>0</v>
      </c>
      <c r="EI297" s="0" t="str">
        <f aca="false">IF(AND(DM297=1,DN297&lt;=48),"",IF(AND(DM297=2,DN297&lt;=42),"",IF(AND(DM297=3,DN297&lt;=45),"",EH297)))</f>
        <v/>
      </c>
      <c r="EJ297" s="0" t="str">
        <f aca="false">IF(EI297="","",IF(EI297&lt;9,EI297,9))</f>
        <v/>
      </c>
      <c r="EK297" s="0" t="str">
        <f aca="false">IF(EI297="","",IF(EI297&gt;9,EI297-EJ297,0))</f>
        <v/>
      </c>
      <c r="EL297" s="0" t="str">
        <f aca="false">IF(EI297="","",EJ297*DA297*2+EK297*DA297*3)</f>
        <v/>
      </c>
      <c r="EP297" s="0" t="n">
        <v>0</v>
      </c>
      <c r="EQ297" s="0"/>
      <c r="ER297" s="0" t="n">
        <v>0</v>
      </c>
      <c r="ET297" s="0" t="n">
        <v>0</v>
      </c>
      <c r="EV297" s="0" t="n">
        <v>0</v>
      </c>
      <c r="EX297" s="0" t="n">
        <v>0</v>
      </c>
      <c r="EY297" s="0" t="n">
        <v>0</v>
      </c>
      <c r="EZ297" s="0"/>
      <c r="FA297" s="4" t="n">
        <v>5716.1</v>
      </c>
      <c r="FB297" s="0" t="n">
        <v>0</v>
      </c>
      <c r="FF297" s="120" t="n">
        <f aca="false">(CJ297-CI297+1)/365</f>
        <v>4.71232876712329</v>
      </c>
      <c r="FG297" s="0" t="str">
        <f aca="false">CONCATENATE(F297,"/",G297)</f>
        <v>1300/2011</v>
      </c>
      <c r="FH297" s="0" t="n">
        <v>0</v>
      </c>
      <c r="FI297" s="0" t="n">
        <v>0</v>
      </c>
    </row>
    <row r="298" customFormat="false" ht="15" hidden="false" customHeight="false" outlineLevel="0" collapsed="false">
      <c r="A298" s="5" t="str">
        <f aca="false">E298&amp;G298&amp;F298</f>
        <v>720111312</v>
      </c>
      <c r="B298" s="0" t="s">
        <v>2925</v>
      </c>
      <c r="C298" s="1" t="n">
        <v>42412</v>
      </c>
      <c r="D298" s="0" t="s">
        <v>1856</v>
      </c>
      <c r="E298" s="0" t="n">
        <v>7</v>
      </c>
      <c r="F298" s="0" t="n">
        <v>1312</v>
      </c>
      <c r="G298" s="0" t="n">
        <v>2011</v>
      </c>
      <c r="H298" s="0" t="str">
        <f aca="false">"J"&amp;E298&amp;"\"&amp;F298&amp;"\"&amp;G298&amp;"\"&amp;W298</f>
        <v>J7\1312\2011\1</v>
      </c>
      <c r="I298" s="0"/>
      <c r="J298" s="1" t="n">
        <v>40759</v>
      </c>
      <c r="K298" s="0" t="n">
        <v>0</v>
      </c>
      <c r="M298" s="1"/>
      <c r="N298" s="1"/>
      <c r="O298" s="1"/>
      <c r="P298" s="1"/>
      <c r="Q298" s="1"/>
      <c r="T298" s="121"/>
      <c r="U298" s="121"/>
      <c r="V298" s="122" t="n">
        <f aca="false">IF(AND(E298&gt;0,F298&gt;0,G298&gt;0),COUNTIFS($E:$E,E298,$F:$F,F298,$G:$G,G298),"")</f>
        <v>1</v>
      </c>
      <c r="W298" s="122" t="n">
        <f aca="false">IF(V298="","",IF(V298=1,1,IF(AND(E297=E298,F297=F298,G297=G298),W297+1,1)))</f>
        <v>1</v>
      </c>
      <c r="X298" s="0" t="n">
        <v>1</v>
      </c>
      <c r="Y298" s="0" t="n">
        <v>4</v>
      </c>
      <c r="Z298" s="0" t="s">
        <v>3178</v>
      </c>
      <c r="AA298" s="0" t="n">
        <v>0</v>
      </c>
      <c r="AB298" s="0" t="s">
        <v>3179</v>
      </c>
      <c r="AC298" s="0" t="s">
        <v>244</v>
      </c>
      <c r="AD298" s="0" t="s">
        <v>229</v>
      </c>
      <c r="AE298" s="0" t="n">
        <v>0</v>
      </c>
      <c r="AF298" s="0" t="s">
        <v>3180</v>
      </c>
      <c r="AG298" s="0" t="n">
        <v>0</v>
      </c>
      <c r="AH298" s="0" t="s">
        <v>3181</v>
      </c>
      <c r="AI298" s="0" t="s">
        <v>287</v>
      </c>
      <c r="AJ298" s="0" t="s">
        <v>207</v>
      </c>
      <c r="AL298" s="0" t="s">
        <v>3182</v>
      </c>
      <c r="AM298" s="0" t="n">
        <v>1</v>
      </c>
      <c r="AN298" s="0" t="s">
        <v>3181</v>
      </c>
      <c r="AO298" s="0" t="s">
        <v>287</v>
      </c>
      <c r="AP298" s="0" t="s">
        <v>207</v>
      </c>
      <c r="AR298" s="0" t="s">
        <v>3183</v>
      </c>
      <c r="AS298" s="0" t="n">
        <v>1</v>
      </c>
      <c r="AT298" s="0" t="s">
        <v>3181</v>
      </c>
      <c r="AU298" s="0" t="s">
        <v>287</v>
      </c>
      <c r="AV298" s="0" t="s">
        <v>207</v>
      </c>
      <c r="AX298" s="0" t="s">
        <v>1637</v>
      </c>
      <c r="AY298" s="0" t="n">
        <v>1</v>
      </c>
      <c r="AZ298" s="0" t="s">
        <v>3181</v>
      </c>
      <c r="BA298" s="0" t="s">
        <v>287</v>
      </c>
      <c r="BB298" s="0" t="s">
        <v>207</v>
      </c>
      <c r="BP298" s="0" t="n">
        <v>0</v>
      </c>
      <c r="BQ298" s="0" t="n">
        <v>0</v>
      </c>
      <c r="BR298" s="0" t="n">
        <v>1</v>
      </c>
      <c r="BS298" s="0" t="s">
        <v>3184</v>
      </c>
      <c r="BT298" s="0" t="s">
        <v>3185</v>
      </c>
      <c r="BU298" s="0" t="s">
        <v>3186</v>
      </c>
      <c r="BV298" s="123"/>
      <c r="BW298" s="123"/>
      <c r="BX298" s="123"/>
      <c r="BY298" s="123"/>
      <c r="BZ298" s="0" t="n">
        <v>0</v>
      </c>
      <c r="CA298" s="0" t="s">
        <v>216</v>
      </c>
      <c r="CD298" s="0" t="s">
        <v>256</v>
      </c>
      <c r="CE298" s="0" t="n">
        <v>0</v>
      </c>
      <c r="CF298" s="0" t="s">
        <v>645</v>
      </c>
      <c r="CI298" s="1" t="n">
        <v>40637</v>
      </c>
      <c r="CJ298" s="1" t="n">
        <v>40730</v>
      </c>
      <c r="CK298" s="124" t="n">
        <v>0.375</v>
      </c>
      <c r="CL298" s="0" t="s">
        <v>3182</v>
      </c>
      <c r="CM298" s="0" t="n">
        <f aca="false">IF(OR(CI298="",CJ298=""),"",DAYS360(CI298,CJ298)/360)</f>
        <v>0.255555555555556</v>
      </c>
      <c r="CN298" s="0" t="n">
        <f aca="false">IF(OR(CI298="",CJ298=""),"",DAYS360(CI298,CJ298)/30)</f>
        <v>3.06666666666667</v>
      </c>
      <c r="CO298" s="0" t="n">
        <f aca="false">IF(OR(CI298="",CJ298=""),"",DAYS360(CI298,CJ298)/7)</f>
        <v>13.1428571428571</v>
      </c>
      <c r="CP298" s="0" t="n">
        <f aca="false">IF(OR(CI298="",CJ298=""),"",DAYS360(CI298,CJ298))</f>
        <v>92</v>
      </c>
      <c r="CQ298" s="0" t="s">
        <v>220</v>
      </c>
      <c r="CR298" s="0" t="n">
        <v>1</v>
      </c>
      <c r="CT298" s="0" t="n">
        <v>150</v>
      </c>
      <c r="CU298" s="0" t="n">
        <v>0</v>
      </c>
      <c r="CV298" s="0" t="n">
        <f aca="false">IF(OR(CT298="",CT298="NO ESPECIFICA",CT298="NO MENCIONA"),"",IF(CU298=0,CT298,IF(CU298=1,CT298/30,IF(CU298=2,CT298/15,IF(CU298=3,CT298/7,"")))))</f>
        <v>150</v>
      </c>
      <c r="CW298" s="125" t="n">
        <v>439.77</v>
      </c>
      <c r="CX298" s="0" t="n">
        <v>0</v>
      </c>
      <c r="CY298" s="0" t="n">
        <f aca="false">IF(CW298="","",IF(CX298=0,CW298,IF(CX298=1,CW298/30,IF(CX298=2,CW298/15,IF(CX298=3,CW298/7,CW298)))))</f>
        <v>439.77</v>
      </c>
      <c r="CZ298" s="0" t="n">
        <f aca="false">IF(DI298&gt;0,DI298,IF(CY298&gt;0,CY298,IF(CV298&gt;0,CV298,"")))</f>
        <v>439.77</v>
      </c>
      <c r="DA298" s="0" t="n">
        <f aca="false">IF(DM298=1,CZ298/8,IF(OR(DM298=2,DM298=4),CZ298/7,IF(DM298=3,CZ298/7.5,"")))</f>
        <v>54.97125</v>
      </c>
      <c r="DB298" s="0" t="s">
        <v>1935</v>
      </c>
      <c r="DC298" s="0" t="s">
        <v>1945</v>
      </c>
      <c r="DD298" s="0" t="s">
        <v>258</v>
      </c>
      <c r="DE298" s="0" t="s">
        <v>3187</v>
      </c>
      <c r="DF298" s="0" t="s">
        <v>569</v>
      </c>
      <c r="DG298" s="0" t="s">
        <v>3188</v>
      </c>
      <c r="DH298" s="0" t="n">
        <v>0</v>
      </c>
      <c r="DI298" s="126" t="n">
        <v>439.77</v>
      </c>
      <c r="DK298" s="0" t="n">
        <v>0</v>
      </c>
      <c r="DM298" s="0" t="n">
        <v>1</v>
      </c>
      <c r="DN298" s="0" t="n">
        <v>72</v>
      </c>
      <c r="DO298" s="0" t="n">
        <v>3</v>
      </c>
      <c r="DP298" s="0" t="n">
        <v>1</v>
      </c>
      <c r="DQ298" s="0" t="n">
        <v>1</v>
      </c>
      <c r="DR298" s="0"/>
      <c r="DS298" s="0" t="n">
        <v>1</v>
      </c>
      <c r="DU298" s="0" t="n">
        <v>1</v>
      </c>
      <c r="DW298" s="1" t="n">
        <v>40637</v>
      </c>
      <c r="DX298" s="1" t="n">
        <v>40730</v>
      </c>
      <c r="DZ298" s="0"/>
      <c r="EA298" s="0" t="n">
        <v>1</v>
      </c>
      <c r="EC298" s="1" t="n">
        <v>40637</v>
      </c>
      <c r="ED298" s="1" t="n">
        <v>40730</v>
      </c>
      <c r="EF298" s="0"/>
      <c r="EG298" s="0" t="n">
        <v>1</v>
      </c>
      <c r="EH298" s="0" t="n">
        <v>24</v>
      </c>
      <c r="EI298" s="0" t="n">
        <f aca="false">IF(AND(DM298=1,DN298&lt;=48),"",IF(AND(DM298=2,DN298&lt;=42),"",IF(AND(DM298=3,DN298&lt;=45),"",EH298)))</f>
        <v>24</v>
      </c>
      <c r="EJ298" s="0" t="n">
        <f aca="false">IF(EI298="","",IF(EI298&lt;9,EI298,9))</f>
        <v>9</v>
      </c>
      <c r="EK298" s="0" t="n">
        <f aca="false">IF(EI298="","",IF(EI298&gt;9,EI298-EJ298,0))</f>
        <v>15</v>
      </c>
      <c r="EL298" s="0" t="n">
        <f aca="false">IF(EI298="","",EJ298*DA298*2+EK298*DA298*3)</f>
        <v>3463.18875</v>
      </c>
      <c r="EP298" s="0" t="n">
        <v>0</v>
      </c>
      <c r="EQ298" s="0"/>
      <c r="ER298" s="0" t="n">
        <v>0</v>
      </c>
      <c r="ET298" s="0" t="n">
        <v>0</v>
      </c>
      <c r="EV298" s="0" t="n">
        <v>1</v>
      </c>
      <c r="EX298" s="0" t="n">
        <v>1</v>
      </c>
      <c r="EY298" s="0" t="n">
        <v>0</v>
      </c>
      <c r="EZ298" s="0"/>
      <c r="FA298" s="4" t="n">
        <f aca="false">2638.62+1800+1500+1350+750+3000</f>
        <v>11038.62</v>
      </c>
      <c r="FB298" s="0" t="n">
        <v>1</v>
      </c>
      <c r="FF298" s="120" t="n">
        <f aca="false">(CJ298-CI298+1)/365</f>
        <v>0.257534246575342</v>
      </c>
      <c r="FG298" s="0" t="str">
        <f aca="false">CONCATENATE(F298,"/",G298)</f>
        <v>1312/2011</v>
      </c>
      <c r="FH298" s="0" t="n">
        <v>0</v>
      </c>
      <c r="FI298" s="0" t="n">
        <v>0</v>
      </c>
    </row>
    <row r="299" customFormat="false" ht="15" hidden="false" customHeight="false" outlineLevel="0" collapsed="false">
      <c r="A299" s="5" t="str">
        <f aca="false">E299&amp;G299&amp;F299</f>
        <v>720111313</v>
      </c>
      <c r="B299" s="0" t="s">
        <v>2925</v>
      </c>
      <c r="C299" s="1" t="n">
        <v>42412</v>
      </c>
      <c r="D299" s="0" t="s">
        <v>1856</v>
      </c>
      <c r="E299" s="0" t="n">
        <v>7</v>
      </c>
      <c r="F299" s="0" t="n">
        <v>1313</v>
      </c>
      <c r="G299" s="0" t="n">
        <v>2011</v>
      </c>
      <c r="H299" s="0" t="str">
        <f aca="false">"J"&amp;E299&amp;"\"&amp;F299&amp;"\"&amp;G299&amp;"\"&amp;W299</f>
        <v>J7\1313\2011\1</v>
      </c>
      <c r="I299" s="0" t="n">
        <v>40723</v>
      </c>
      <c r="J299" s="1" t="n">
        <v>40759</v>
      </c>
      <c r="K299" s="0" t="n">
        <v>0</v>
      </c>
      <c r="M299" s="1"/>
      <c r="N299" s="1"/>
      <c r="O299" s="1"/>
      <c r="P299" s="1"/>
      <c r="Q299" s="1"/>
      <c r="T299" s="121"/>
      <c r="U299" s="121"/>
      <c r="V299" s="122" t="n">
        <f aca="false">IF(AND(E299&gt;0,F299&gt;0,G299&gt;0),COUNTIFS($E:$E,E299,$F:$F,F299,$G:$G,G299),"")</f>
        <v>1</v>
      </c>
      <c r="W299" s="122" t="n">
        <f aca="false">IF(V299="","",IF(V299=1,1,IF(AND(E298=E299,F298=F299,G298=G299),W298+1,1)))</f>
        <v>1</v>
      </c>
      <c r="X299" s="0" t="n">
        <v>1</v>
      </c>
      <c r="Y299" s="0" t="n">
        <v>2</v>
      </c>
      <c r="Z299" s="0" t="s">
        <v>3189</v>
      </c>
      <c r="AA299" s="0" t="n">
        <v>0</v>
      </c>
      <c r="AB299" s="0" t="s">
        <v>3190</v>
      </c>
      <c r="AC299" s="0" t="s">
        <v>318</v>
      </c>
      <c r="AD299" s="0" t="s">
        <v>229</v>
      </c>
      <c r="AE299" s="0" t="n">
        <v>0</v>
      </c>
      <c r="AF299" s="0" t="s">
        <v>3191</v>
      </c>
      <c r="AG299" s="0" t="n">
        <v>0</v>
      </c>
      <c r="AH299" s="0" t="s">
        <v>3192</v>
      </c>
      <c r="AI299" s="0" t="s">
        <v>3193</v>
      </c>
      <c r="AJ299" s="0" t="s">
        <v>519</v>
      </c>
      <c r="AL299" s="0" t="s">
        <v>1637</v>
      </c>
      <c r="AM299" s="0" t="n">
        <v>1</v>
      </c>
      <c r="AN299" s="0" t="s">
        <v>3192</v>
      </c>
      <c r="AO299" s="0" t="s">
        <v>3193</v>
      </c>
      <c r="AP299" s="0" t="s">
        <v>519</v>
      </c>
      <c r="BP299" s="0" t="n">
        <v>0</v>
      </c>
      <c r="BQ299" s="0" t="n">
        <v>0</v>
      </c>
      <c r="BR299" s="0" t="n">
        <v>3</v>
      </c>
      <c r="BS299" s="0" t="s">
        <v>3194</v>
      </c>
      <c r="BT299" s="0" t="s">
        <v>3195</v>
      </c>
      <c r="BU299" s="0" t="s">
        <v>3196</v>
      </c>
      <c r="BV299" s="123"/>
      <c r="BW299" s="123"/>
      <c r="BX299" s="123"/>
      <c r="BY299" s="123"/>
      <c r="BZ299" s="0" t="n">
        <v>0</v>
      </c>
      <c r="CA299" s="0" t="s">
        <v>348</v>
      </c>
      <c r="CD299" s="0" t="s">
        <v>502</v>
      </c>
      <c r="CE299" s="0" t="n">
        <v>0</v>
      </c>
      <c r="CF299" s="0" t="s">
        <v>3197</v>
      </c>
      <c r="CI299" s="1" t="n">
        <v>35936</v>
      </c>
      <c r="CJ299" s="1" t="n">
        <v>40546</v>
      </c>
      <c r="CK299" s="124" t="n">
        <v>0.583333333333333</v>
      </c>
      <c r="CL299" s="0" t="s">
        <v>3198</v>
      </c>
      <c r="CM299" s="0" t="n">
        <f aca="false">IF(OR(CI299="",CJ299=""),"",DAYS360(CI299,CJ299)/360)</f>
        <v>12.6166666666667</v>
      </c>
      <c r="CN299" s="0" t="n">
        <f aca="false">IF(OR(CI299="",CJ299=""),"",DAYS360(CI299,CJ299)/30)</f>
        <v>151.4</v>
      </c>
      <c r="CO299" s="0" t="n">
        <f aca="false">IF(OR(CI299="",CJ299=""),"",DAYS360(CI299,CJ299)/7)</f>
        <v>648.857142857143</v>
      </c>
      <c r="CP299" s="0" t="n">
        <f aca="false">IF(OR(CI299="",CJ299=""),"",DAYS360(CI299,CJ299))</f>
        <v>4542</v>
      </c>
      <c r="CQ299" s="0" t="s">
        <v>240</v>
      </c>
      <c r="CR299" s="0" t="n">
        <v>1</v>
      </c>
      <c r="CT299" s="0" t="n">
        <v>191.53</v>
      </c>
      <c r="CU299" s="0" t="n">
        <v>0</v>
      </c>
      <c r="CV299" s="0" t="n">
        <f aca="false">IF(OR(CT299="",CT299="NO ESPECIFICA",CT299="NO MENCIONA"),"",IF(CU299=0,CT299,IF(CU299=1,CT299/30,IF(CU299=2,CT299/15,IF(CU299=3,CT299/7,"")))))</f>
        <v>191.53</v>
      </c>
      <c r="CW299" s="125" t="n">
        <v>210.5</v>
      </c>
      <c r="CX299" s="0" t="n">
        <v>0</v>
      </c>
      <c r="CY299" s="0" t="n">
        <f aca="false">IF(CW299="","",IF(CX299=0,CW299,IF(CX299=1,CW299/30,IF(CX299=2,CW299/15,IF(CX299=3,CW299/7,CW299)))))</f>
        <v>210.5</v>
      </c>
      <c r="CZ299" s="0" t="n">
        <f aca="false">IF(DI299&gt;0,DI299,IF(CY299&gt;0,CY299,IF(CV299&gt;0,CV299,"")))</f>
        <v>210.5</v>
      </c>
      <c r="DA299" s="0" t="n">
        <f aca="false">IF(DM299=1,CZ299/8,IF(OR(DM299=2,DM299=4),CZ299/7,IF(DM299=3,CZ299/7.5,"")))</f>
        <v>28.0666666666667</v>
      </c>
      <c r="DB299" s="0" t="s">
        <v>301</v>
      </c>
      <c r="DC299" s="0" t="s">
        <v>303</v>
      </c>
      <c r="DD299" s="0" t="s">
        <v>216</v>
      </c>
      <c r="DE299" s="0" t="s">
        <v>216</v>
      </c>
      <c r="DF299" s="0" t="s">
        <v>216</v>
      </c>
      <c r="DG299" s="0" t="s">
        <v>216</v>
      </c>
      <c r="DH299" s="0" t="n">
        <v>0</v>
      </c>
      <c r="DI299" s="126" t="n">
        <v>210.5</v>
      </c>
      <c r="DK299" s="0" t="n">
        <v>0</v>
      </c>
      <c r="DM299" s="0" t="n">
        <v>3</v>
      </c>
      <c r="DN299" s="0" t="n">
        <v>48</v>
      </c>
      <c r="DO299" s="0" t="n">
        <v>3</v>
      </c>
      <c r="DP299" s="0" t="n">
        <v>0</v>
      </c>
      <c r="DQ299" s="0" t="n">
        <v>1</v>
      </c>
      <c r="DR299" s="0"/>
      <c r="DS299" s="0" t="n">
        <v>1</v>
      </c>
      <c r="DU299" s="0" t="n">
        <v>1</v>
      </c>
      <c r="DW299" s="1" t="n">
        <v>40319</v>
      </c>
      <c r="DX299" s="1" t="n">
        <v>40545</v>
      </c>
      <c r="DZ299" s="0"/>
      <c r="EA299" s="0" t="n">
        <v>1</v>
      </c>
      <c r="EC299" s="1" t="n">
        <v>40544</v>
      </c>
      <c r="ED299" s="1" t="n">
        <v>40545</v>
      </c>
      <c r="EF299" s="0"/>
      <c r="EG299" s="0" t="n">
        <v>0</v>
      </c>
      <c r="EI299" s="0" t="n">
        <f aca="false">IF(AND(DM299=1,DN299&lt;=48),"",IF(AND(DM299=2,DN299&lt;=42),"",IF(AND(DM299=3,DN299&lt;=45),"",EH299)))</f>
        <v>0</v>
      </c>
      <c r="EJ299" s="0" t="str">
        <f aca="false">IF(EI299="","",IF(EI299&lt;9,EI299,9))</f>
        <v/>
      </c>
      <c r="EK299" s="0" t="str">
        <f aca="false">IF(EI299="","",IF(EI299&gt;9,EI299-EJ299,0))</f>
        <v/>
      </c>
      <c r="EL299" s="0" t="str">
        <f aca="false">IF(EI299="","",EJ299*DA299*2+EK299*DA299*3)</f>
        <v/>
      </c>
      <c r="EP299" s="0" t="n">
        <v>0</v>
      </c>
      <c r="EQ299" s="0"/>
      <c r="ER299" s="0" t="n">
        <v>0</v>
      </c>
      <c r="ET299" s="0" t="n">
        <v>1</v>
      </c>
      <c r="EV299" s="0" t="n">
        <v>1</v>
      </c>
      <c r="EX299" s="0" t="n">
        <v>0</v>
      </c>
      <c r="EY299" s="0" t="n">
        <v>0</v>
      </c>
      <c r="EZ299" s="0"/>
      <c r="FA299" s="0"/>
      <c r="FB299" s="0" t="n">
        <v>0</v>
      </c>
      <c r="FF299" s="120" t="n">
        <f aca="false">(CJ299-CI299+1)/365</f>
        <v>12.6328767123288</v>
      </c>
      <c r="FG299" s="0" t="str">
        <f aca="false">CONCATENATE(F299,"/",G299)</f>
        <v>1313/2011</v>
      </c>
      <c r="FH299" s="0" t="n">
        <v>0</v>
      </c>
      <c r="FI299" s="0" t="n">
        <v>0</v>
      </c>
    </row>
    <row r="300" customFormat="false" ht="15" hidden="false" customHeight="false" outlineLevel="0" collapsed="false">
      <c r="A300" s="5" t="str">
        <f aca="false">E300&amp;G300&amp;F300</f>
        <v>720111314</v>
      </c>
      <c r="B300" s="0" t="s">
        <v>2925</v>
      </c>
      <c r="C300" s="1" t="n">
        <v>42412</v>
      </c>
      <c r="E300" s="0" t="n">
        <v>7</v>
      </c>
      <c r="F300" s="0" t="n">
        <v>1314</v>
      </c>
      <c r="G300" s="0" t="n">
        <v>2011</v>
      </c>
      <c r="H300" s="0" t="str">
        <f aca="false">"J"&amp;E300&amp;"\"&amp;F300&amp;"\"&amp;G300&amp;"\"&amp;W300</f>
        <v>J7\1314\2011\1</v>
      </c>
      <c r="I300" s="0"/>
      <c r="J300" s="1" t="n">
        <v>40759</v>
      </c>
      <c r="K300" s="0" t="n">
        <v>1</v>
      </c>
      <c r="L300" s="0" t="s">
        <v>3199</v>
      </c>
      <c r="M300" s="1" t="n">
        <v>40759</v>
      </c>
      <c r="N300" s="1" t="n">
        <v>40960</v>
      </c>
      <c r="O300" s="1"/>
      <c r="P300" s="1"/>
      <c r="Q300" s="1"/>
      <c r="T300" s="121"/>
      <c r="U300" s="121"/>
      <c r="V300" s="122" t="n">
        <f aca="false">IF(AND(E300&gt;0,F300&gt;0,G300&gt;0),COUNTIFS($E:$E,E300,$F:$F,F300,$G:$G,G300),"")</f>
        <v>1</v>
      </c>
      <c r="W300" s="122" t="n">
        <f aca="false">IF(V300="","",IF(V300=1,1,IF(AND(E299=E300,F299=F300,G299=G300),W299+1,1)))</f>
        <v>1</v>
      </c>
      <c r="X300" s="0" t="n">
        <v>1</v>
      </c>
      <c r="Y300" s="0" t="n">
        <v>3</v>
      </c>
      <c r="Z300" s="0" t="s">
        <v>3200</v>
      </c>
      <c r="AA300" s="0" t="n">
        <v>0</v>
      </c>
      <c r="AB300" s="0" t="s">
        <v>3201</v>
      </c>
      <c r="AC300" s="0" t="s">
        <v>287</v>
      </c>
      <c r="AD300" s="0" t="s">
        <v>207</v>
      </c>
      <c r="AE300" s="0" t="n">
        <v>0</v>
      </c>
      <c r="AF300" s="0" t="s">
        <v>3202</v>
      </c>
      <c r="AG300" s="0" t="n">
        <v>0</v>
      </c>
      <c r="AH300" s="0" t="s">
        <v>3203</v>
      </c>
      <c r="AI300" s="0" t="s">
        <v>287</v>
      </c>
      <c r="AJ300" s="0" t="s">
        <v>207</v>
      </c>
      <c r="AL300" s="0" t="s">
        <v>3204</v>
      </c>
      <c r="AM300" s="0" t="n">
        <v>1</v>
      </c>
      <c r="AN300" s="0" t="s">
        <v>3203</v>
      </c>
      <c r="AO300" s="0" t="s">
        <v>287</v>
      </c>
      <c r="AP300" s="0" t="s">
        <v>207</v>
      </c>
      <c r="AR300" s="0" t="s">
        <v>1637</v>
      </c>
      <c r="AS300" s="0" t="n">
        <v>1</v>
      </c>
      <c r="AT300" s="0" t="s">
        <v>3203</v>
      </c>
      <c r="AU300" s="0" t="s">
        <v>287</v>
      </c>
      <c r="AV300" s="0" t="s">
        <v>207</v>
      </c>
      <c r="BP300" s="0" t="n">
        <v>0</v>
      </c>
      <c r="BQ300" s="0" t="n">
        <v>0</v>
      </c>
      <c r="BR300" s="0" t="n">
        <v>1</v>
      </c>
      <c r="BS300" s="0" t="s">
        <v>3205</v>
      </c>
      <c r="BT300" s="0" t="s">
        <v>3206</v>
      </c>
      <c r="BU300" s="0" t="s">
        <v>3207</v>
      </c>
      <c r="BV300" s="123"/>
      <c r="BW300" s="123"/>
      <c r="BX300" s="123"/>
      <c r="BY300" s="123"/>
      <c r="BZ300" s="0" t="n">
        <v>0</v>
      </c>
      <c r="CA300" s="0" t="s">
        <v>216</v>
      </c>
      <c r="CD300" s="0" t="s">
        <v>370</v>
      </c>
      <c r="CE300" s="0" t="n">
        <v>0</v>
      </c>
      <c r="CF300" s="0" t="s">
        <v>3208</v>
      </c>
      <c r="CI300" s="1" t="n">
        <v>39570</v>
      </c>
      <c r="CJ300" s="1" t="n">
        <v>40707</v>
      </c>
      <c r="CK300" s="124" t="n">
        <v>0.375</v>
      </c>
      <c r="CL300" s="0" t="s">
        <v>3204</v>
      </c>
      <c r="CM300" s="0" t="n">
        <f aca="false">IF(OR(CI300="",CJ300=""),"",DAYS360(CI300,CJ300)/360)</f>
        <v>3.11388888888889</v>
      </c>
      <c r="CN300" s="0" t="n">
        <f aca="false">IF(OR(CI300="",CJ300=""),"",DAYS360(CI300,CJ300)/30)</f>
        <v>37.3666666666667</v>
      </c>
      <c r="CO300" s="0" t="n">
        <f aca="false">IF(OR(CI300="",CJ300=""),"",DAYS360(CI300,CJ300)/7)</f>
        <v>160.142857142857</v>
      </c>
      <c r="CP300" s="0" t="n">
        <f aca="false">IF(OR(CI300="",CJ300=""),"",DAYS360(CI300,CJ300))</f>
        <v>1121</v>
      </c>
      <c r="CQ300" s="0" t="s">
        <v>240</v>
      </c>
      <c r="CR300" s="0" t="n">
        <v>1</v>
      </c>
      <c r="CT300" s="0" t="s">
        <v>221</v>
      </c>
      <c r="CU300" s="0" t="s">
        <v>221</v>
      </c>
      <c r="CV300" s="0" t="str">
        <f aca="false">IF(OR(CT300="",CT300="NO ESPECIFICA",CT300="NO MENCIONA"),"",IF(CU300=0,CT300,IF(CU300=1,CT300/30,IF(CU300=2,CT300/15,IF(CU300=3,CT300/7,"")))))</f>
        <v/>
      </c>
      <c r="CW300" s="125" t="n">
        <v>60000</v>
      </c>
      <c r="CX300" s="0" t="n">
        <v>1</v>
      </c>
      <c r="CY300" s="0" t="n">
        <f aca="false">IF(CW300="","",IF(CX300=0,CW300,IF(CX300=1,CW300/30,IF(CX300=2,CW300/15,IF(CX300=3,CW300/7,CW300)))))</f>
        <v>2000</v>
      </c>
      <c r="CZ300" s="0" t="n">
        <f aca="false">IF(DI300&gt;0,DI300,IF(CY300&gt;0,CY300,IF(CV300&gt;0,CV300,"")))</f>
        <v>2000</v>
      </c>
      <c r="DA300" s="0" t="n">
        <f aca="false">IF(DM300=1,CZ300/8,IF(OR(DM300=2,DM300=4),CZ300/7,IF(DM300=3,CZ300/7.5,"")))</f>
        <v>250</v>
      </c>
      <c r="DB300" s="0" t="s">
        <v>216</v>
      </c>
      <c r="DC300" s="0" t="s">
        <v>216</v>
      </c>
      <c r="DD300" s="0" t="s">
        <v>216</v>
      </c>
      <c r="DE300" s="0" t="s">
        <v>216</v>
      </c>
      <c r="DF300" s="0" t="s">
        <v>216</v>
      </c>
      <c r="DG300" s="0" t="s">
        <v>216</v>
      </c>
      <c r="DH300" s="0" t="n">
        <v>0</v>
      </c>
      <c r="DI300" s="126" t="n">
        <f aca="false">60000/30</f>
        <v>2000</v>
      </c>
      <c r="DK300" s="0" t="n">
        <v>1</v>
      </c>
      <c r="DM300" s="0" t="n">
        <v>1</v>
      </c>
      <c r="DN300" s="0" t="n">
        <v>70</v>
      </c>
      <c r="DO300" s="0" t="n">
        <v>3</v>
      </c>
      <c r="DP300" s="0" t="n">
        <v>0</v>
      </c>
      <c r="DQ300" s="0" t="n">
        <v>1</v>
      </c>
      <c r="DR300" s="0"/>
      <c r="DS300" s="0" t="n">
        <v>1</v>
      </c>
      <c r="DU300" s="0" t="n">
        <v>1</v>
      </c>
      <c r="DW300" s="1" t="s">
        <v>216</v>
      </c>
      <c r="DX300" s="1" t="s">
        <v>216</v>
      </c>
      <c r="DY300" s="0" t="s">
        <v>216</v>
      </c>
      <c r="DZ300" s="0" t="s">
        <v>216</v>
      </c>
      <c r="EA300" s="0" t="n">
        <v>0</v>
      </c>
      <c r="EC300" s="1" t="s">
        <v>221</v>
      </c>
      <c r="ED300" s="1" t="s">
        <v>221</v>
      </c>
      <c r="EE300" s="0" t="s">
        <v>221</v>
      </c>
      <c r="EF300" s="0" t="s">
        <v>221</v>
      </c>
      <c r="EG300" s="0" t="n">
        <v>1</v>
      </c>
      <c r="EH300" s="0" t="n">
        <v>14</v>
      </c>
      <c r="EI300" s="0" t="n">
        <f aca="false">IF(AND(DM300=1,DN300&lt;=48),"",IF(AND(DM300=2,DN300&lt;=42),"",IF(AND(DM300=3,DN300&lt;=45),"",EH300)))</f>
        <v>14</v>
      </c>
      <c r="EJ300" s="0" t="n">
        <f aca="false">IF(EI300="","",IF(EI300&lt;9,EI300,9))</f>
        <v>9</v>
      </c>
      <c r="EK300" s="0" t="n">
        <f aca="false">IF(EI300="","",IF(EI300&gt;9,EI300-EJ300,0))</f>
        <v>5</v>
      </c>
      <c r="EL300" s="0" t="n">
        <f aca="false">IF(EI300="","",EJ300*DA300*2+EK300*DA300*3)</f>
        <v>8250</v>
      </c>
      <c r="EP300" s="0" t="n">
        <v>0</v>
      </c>
      <c r="EQ300" s="0"/>
      <c r="ER300" s="0" t="n">
        <v>1</v>
      </c>
      <c r="ET300" s="0" t="n">
        <v>0</v>
      </c>
      <c r="EV300" s="0" t="n">
        <v>0</v>
      </c>
      <c r="EX300" s="0" t="n">
        <v>1</v>
      </c>
      <c r="EY300" s="0" t="n">
        <v>0</v>
      </c>
      <c r="EZ300" s="0"/>
      <c r="FA300" s="0"/>
      <c r="FB300" s="0" t="n">
        <v>0</v>
      </c>
      <c r="FF300" s="120" t="n">
        <f aca="false">(CJ300-CI300+1)/365</f>
        <v>3.11780821917808</v>
      </c>
      <c r="FG300" s="0" t="str">
        <f aca="false">CONCATENATE(F300,"/",G300)</f>
        <v>1314/2011</v>
      </c>
      <c r="FH300" s="0" t="n">
        <v>0</v>
      </c>
      <c r="FI300" s="0" t="n">
        <v>0</v>
      </c>
    </row>
    <row r="301" customFormat="false" ht="15" hidden="false" customHeight="false" outlineLevel="0" collapsed="false">
      <c r="A301" s="5" t="str">
        <f aca="false">E301&amp;G301&amp;F301</f>
        <v>720111319</v>
      </c>
      <c r="B301" s="0" t="s">
        <v>2925</v>
      </c>
      <c r="C301" s="1" t="n">
        <v>42412</v>
      </c>
      <c r="D301" s="0" t="s">
        <v>1856</v>
      </c>
      <c r="E301" s="0" t="n">
        <v>7</v>
      </c>
      <c r="F301" s="0" t="n">
        <v>1319</v>
      </c>
      <c r="G301" s="0" t="n">
        <v>2011</v>
      </c>
      <c r="H301" s="0" t="str">
        <f aca="false">"J"&amp;E301&amp;"\"&amp;F301&amp;"\"&amp;G301&amp;"\"&amp;W301</f>
        <v>J7\1319\2011\1</v>
      </c>
      <c r="I301" s="0"/>
      <c r="J301" s="1" t="n">
        <v>40760</v>
      </c>
      <c r="K301" s="0" t="n">
        <v>0</v>
      </c>
      <c r="M301" s="1"/>
      <c r="N301" s="1"/>
      <c r="O301" s="1"/>
      <c r="P301" s="1"/>
      <c r="Q301" s="1"/>
      <c r="T301" s="121"/>
      <c r="U301" s="121"/>
      <c r="V301" s="122" t="n">
        <f aca="false">IF(AND(E301&gt;0,F301&gt;0,G301&gt;0),COUNTIFS($E:$E,E301,$F:$F,F301,$G:$G,G301),"")</f>
        <v>1</v>
      </c>
      <c r="W301" s="122" t="n">
        <f aca="false">IF(V301="","",IF(V301=1,1,IF(AND(E300=E301,F300=F301,G300=G301),W300+1,1)))</f>
        <v>1</v>
      </c>
      <c r="X301" s="0" t="n">
        <v>1</v>
      </c>
      <c r="Y301" s="0" t="n">
        <v>4</v>
      </c>
      <c r="Z301" s="0" t="s">
        <v>3209</v>
      </c>
      <c r="AA301" s="0" t="n">
        <v>0</v>
      </c>
      <c r="AB301" s="0" t="s">
        <v>2941</v>
      </c>
      <c r="AC301" s="0" t="s">
        <v>228</v>
      </c>
      <c r="AD301" s="0" t="s">
        <v>229</v>
      </c>
      <c r="AE301" s="0" t="n">
        <v>0</v>
      </c>
      <c r="AF301" s="0" t="s">
        <v>3210</v>
      </c>
      <c r="AG301" s="0" t="n">
        <v>0</v>
      </c>
      <c r="AH301" s="0" t="s">
        <v>712</v>
      </c>
      <c r="AI301" s="0" t="s">
        <v>251</v>
      </c>
      <c r="AJ301" s="0" t="s">
        <v>229</v>
      </c>
      <c r="AL301" s="0" t="s">
        <v>3211</v>
      </c>
      <c r="AM301" s="0" t="n">
        <v>1</v>
      </c>
      <c r="AN301" s="0" t="s">
        <v>712</v>
      </c>
      <c r="AO301" s="0" t="s">
        <v>251</v>
      </c>
      <c r="AP301" s="0" t="s">
        <v>229</v>
      </c>
      <c r="AR301" s="0" t="s">
        <v>3212</v>
      </c>
      <c r="AS301" s="0" t="n">
        <v>1</v>
      </c>
      <c r="AT301" s="0" t="s">
        <v>712</v>
      </c>
      <c r="AU301" s="0" t="s">
        <v>251</v>
      </c>
      <c r="AV301" s="0" t="s">
        <v>229</v>
      </c>
      <c r="AX301" s="0" t="s">
        <v>1637</v>
      </c>
      <c r="AY301" s="0" t="n">
        <v>1</v>
      </c>
      <c r="AZ301" s="0" t="s">
        <v>712</v>
      </c>
      <c r="BA301" s="0" t="s">
        <v>251</v>
      </c>
      <c r="BB301" s="0" t="s">
        <v>229</v>
      </c>
      <c r="BP301" s="0" t="n">
        <v>0</v>
      </c>
      <c r="BQ301" s="0" t="n">
        <v>0</v>
      </c>
      <c r="BR301" s="0" t="n">
        <v>3</v>
      </c>
      <c r="BS301" s="0" t="s">
        <v>3213</v>
      </c>
      <c r="BT301" s="0" t="s">
        <v>1818</v>
      </c>
      <c r="BU301" s="0" t="s">
        <v>2945</v>
      </c>
      <c r="BV301" s="123"/>
      <c r="BW301" s="123"/>
      <c r="BX301" s="123"/>
      <c r="BY301" s="123"/>
      <c r="BZ301" s="0" t="n">
        <v>0</v>
      </c>
      <c r="CA301" s="0" t="s">
        <v>348</v>
      </c>
      <c r="CD301" s="0" t="s">
        <v>256</v>
      </c>
      <c r="CE301" s="0" t="n">
        <v>0</v>
      </c>
      <c r="CF301" s="0" t="s">
        <v>2082</v>
      </c>
      <c r="CI301" s="1" t="n">
        <v>40534</v>
      </c>
      <c r="CJ301" s="1" t="n">
        <v>40720</v>
      </c>
      <c r="CK301" s="124" t="n">
        <v>0.791666666666667</v>
      </c>
      <c r="CL301" s="0" t="s">
        <v>3211</v>
      </c>
      <c r="CM301" s="0" t="n">
        <f aca="false">IF(OR(CI301="",CJ301=""),"",DAYS360(CI301,CJ301)/360)</f>
        <v>0.511111111111111</v>
      </c>
      <c r="CN301" s="0" t="n">
        <f aca="false">IF(OR(CI301="",CJ301=""),"",DAYS360(CI301,CJ301)/30)</f>
        <v>6.13333333333333</v>
      </c>
      <c r="CO301" s="0" t="n">
        <f aca="false">IF(OR(CI301="",CJ301=""),"",DAYS360(CI301,CJ301)/7)</f>
        <v>26.2857142857143</v>
      </c>
      <c r="CP301" s="0" t="n">
        <f aca="false">IF(OR(CI301="",CJ301=""),"",DAYS360(CI301,CJ301))</f>
        <v>184</v>
      </c>
      <c r="CQ301" s="0" t="s">
        <v>240</v>
      </c>
      <c r="CR301" s="0" t="n">
        <v>1</v>
      </c>
      <c r="CT301" s="0" t="n">
        <v>322.4</v>
      </c>
      <c r="CU301" s="0" t="n">
        <v>0</v>
      </c>
      <c r="CV301" s="0" t="n">
        <f aca="false">IF(OR(CT301="",CT301="NO ESPECIFICA",CT301="NO MENCIONA"),"",IF(CU301=0,CT301,IF(CU301=1,CT301/30,IF(CU301=2,CT301/15,IF(CU301=3,CT301/7,"")))))</f>
        <v>322.4</v>
      </c>
      <c r="CW301" s="125" t="n">
        <v>336.9</v>
      </c>
      <c r="CX301" s="0" t="n">
        <v>0</v>
      </c>
      <c r="CY301" s="0" t="n">
        <f aca="false">IF(CW301="","",IF(CX301=0,CW301,IF(CX301=1,CW301/30,IF(CX301=2,CW301/15,IF(CX301=3,CW301/7,CW301)))))</f>
        <v>336.9</v>
      </c>
      <c r="CZ301" s="0" t="n">
        <f aca="false">IF(DI301&gt;0,DI301,IF(CY301&gt;0,CY301,IF(CV301&gt;0,CV301,"")))</f>
        <v>336.9</v>
      </c>
      <c r="DA301" s="0" t="n">
        <f aca="false">IF(DM301=1,CZ301/8,IF(OR(DM301=2,DM301=4),CZ301/7,IF(DM301=3,CZ301/7.5,"")))</f>
        <v>42.1125</v>
      </c>
      <c r="DB301" s="0" t="s">
        <v>1935</v>
      </c>
      <c r="DC301" s="0" t="s">
        <v>301</v>
      </c>
      <c r="DD301" s="0" t="s">
        <v>1119</v>
      </c>
      <c r="DE301" s="0" t="s">
        <v>216</v>
      </c>
      <c r="DF301" s="0" t="s">
        <v>216</v>
      </c>
      <c r="DG301" s="0" t="s">
        <v>216</v>
      </c>
      <c r="DH301" s="0" t="n">
        <v>0</v>
      </c>
      <c r="DI301" s="126" t="n">
        <v>336.9</v>
      </c>
      <c r="DK301" s="0" t="n">
        <v>1</v>
      </c>
      <c r="DM301" s="0" t="n">
        <v>1</v>
      </c>
      <c r="DN301" s="0" t="n">
        <v>42</v>
      </c>
      <c r="DO301" s="0" t="n">
        <v>3</v>
      </c>
      <c r="DP301" s="0" t="n">
        <v>0</v>
      </c>
      <c r="DQ301" s="0" t="n">
        <v>1</v>
      </c>
      <c r="DR301" s="0"/>
      <c r="DS301" s="0" t="n">
        <v>1</v>
      </c>
      <c r="DU301" s="0" t="n">
        <v>1</v>
      </c>
      <c r="DW301" s="1" t="n">
        <v>40534</v>
      </c>
      <c r="DX301" s="1" t="n">
        <v>40720</v>
      </c>
      <c r="DZ301" s="0"/>
      <c r="EA301" s="0" t="n">
        <v>1</v>
      </c>
      <c r="EC301" s="1" t="s">
        <v>3214</v>
      </c>
      <c r="ED301" s="1" t="s">
        <v>3215</v>
      </c>
      <c r="EF301" s="0"/>
      <c r="EG301" s="0" t="n">
        <v>0</v>
      </c>
      <c r="EI301" s="0" t="str">
        <f aca="false">IF(AND(DM301=1,DN301&lt;=48),"",IF(AND(DM301=2,DN301&lt;=42),"",IF(AND(DM301=3,DN301&lt;=45),"",EH301)))</f>
        <v/>
      </c>
      <c r="EJ301" s="0" t="str">
        <f aca="false">IF(EI301="","",IF(EI301&lt;9,EI301,9))</f>
        <v/>
      </c>
      <c r="EK301" s="0" t="str">
        <f aca="false">IF(EI301="","",IF(EI301&gt;9,EI301-EJ301,0))</f>
        <v/>
      </c>
      <c r="EL301" s="0" t="str">
        <f aca="false">IF(EI301="","",EJ301*DA301*2+EK301*DA301*3)</f>
        <v/>
      </c>
      <c r="EP301" s="0" t="n">
        <v>0</v>
      </c>
      <c r="EQ301" s="0"/>
      <c r="ER301" s="0" t="n">
        <v>0</v>
      </c>
      <c r="ET301" s="0" t="n">
        <v>0</v>
      </c>
      <c r="EV301" s="0" t="n">
        <v>0</v>
      </c>
      <c r="EX301" s="0" t="n">
        <v>0</v>
      </c>
      <c r="EY301" s="0" t="n">
        <v>0</v>
      </c>
      <c r="EZ301" s="0"/>
      <c r="FA301" s="4" t="n">
        <f aca="false">7*DI301</f>
        <v>2358.3</v>
      </c>
      <c r="FB301" s="0" t="n">
        <v>1</v>
      </c>
      <c r="FF301" s="120" t="n">
        <f aca="false">(CJ301-CI301+1)/365</f>
        <v>0.512328767123288</v>
      </c>
      <c r="FG301" s="0" t="str">
        <f aca="false">CONCATENATE(F301,"/",G301)</f>
        <v>1319/2011</v>
      </c>
      <c r="FH301" s="0" t="n">
        <v>0</v>
      </c>
      <c r="FI301" s="0" t="n">
        <v>0</v>
      </c>
    </row>
    <row r="302" customFormat="false" ht="15" hidden="false" customHeight="false" outlineLevel="0" collapsed="false">
      <c r="A302" s="5" t="str">
        <f aca="false">E302&amp;G302&amp;F302</f>
        <v>720111315</v>
      </c>
      <c r="B302" s="0" t="s">
        <v>2925</v>
      </c>
      <c r="C302" s="1" t="n">
        <v>42412</v>
      </c>
      <c r="D302" s="0" t="s">
        <v>3216</v>
      </c>
      <c r="E302" s="0" t="n">
        <v>7</v>
      </c>
      <c r="F302" s="0" t="n">
        <v>1315</v>
      </c>
      <c r="G302" s="0" t="n">
        <v>2011</v>
      </c>
      <c r="H302" s="0" t="str">
        <f aca="false">"J"&amp;E302&amp;"\"&amp;F302&amp;"\"&amp;G302&amp;"\"&amp;W302</f>
        <v>J7\1315\2011\1</v>
      </c>
      <c r="I302" s="0"/>
      <c r="M302" s="1"/>
      <c r="N302" s="1"/>
      <c r="O302" s="1"/>
      <c r="P302" s="1"/>
      <c r="Q302" s="1"/>
      <c r="T302" s="121"/>
      <c r="U302" s="121"/>
      <c r="V302" s="122" t="n">
        <f aca="false">IF(AND(E302&gt;0,F302&gt;0,G302&gt;0),COUNTIFS($E:$E,E302,$F:$F,F302,$G:$G,G302),"")</f>
        <v>1</v>
      </c>
      <c r="W302" s="122" t="n">
        <f aca="false">IF(V302="","",IF(V302=1,1,IF(AND(E301=E302,F301=F302,G301=G302),W301+1,1)))</f>
        <v>1</v>
      </c>
      <c r="BV302" s="123"/>
      <c r="BW302" s="123"/>
      <c r="BX302" s="123"/>
      <c r="BY302" s="123"/>
      <c r="CK302" s="124"/>
      <c r="CM302" s="0" t="str">
        <f aca="false">IF(OR(CI302="",CJ302=""),"",DAYS360(CI302,CJ302)/360)</f>
        <v/>
      </c>
      <c r="CN302" s="0" t="str">
        <f aca="false">IF(OR(CI302="",CJ302=""),"",DAYS360(CI302,CJ302)/30)</f>
        <v/>
      </c>
      <c r="CO302" s="0" t="str">
        <f aca="false">IF(OR(CI302="",CJ302=""),"",DAYS360(CI302,CJ302)/7)</f>
        <v/>
      </c>
      <c r="CP302" s="0" t="str">
        <f aca="false">IF(OR(CI302="",CJ302=""),"",DAYS360(CI302,CJ302))</f>
        <v/>
      </c>
      <c r="CT302" s="0"/>
      <c r="CV302" s="0" t="str">
        <f aca="false">IF(OR(CT302="",CT302="NO ESPECIFICA",CT302="NO MENCIONA"),"",IF(CU302=0,CT302,IF(CU302=1,CT302/30,IF(CU302=2,CT302/15,IF(CU302=3,CT302/7,"")))))</f>
        <v/>
      </c>
      <c r="CW302" s="125"/>
      <c r="CY302" s="0" t="str">
        <f aca="false">IF(CW302="","",IF(CX302=0,CW302,IF(CX302=1,CW302/30,IF(CX302=2,CW302/15,IF(CX302=3,CW302/7,CW302)))))</f>
        <v/>
      </c>
      <c r="CZ302" s="0" t="str">
        <f aca="false">IF(DI302&gt;0,DI302,IF(CY302&gt;0,CY302,IF(CV302&gt;0,CV302,"")))</f>
        <v/>
      </c>
      <c r="DA302" s="0" t="str">
        <f aca="false">IF(DM302=1,CZ302/8,IF(OR(DM302=2,DM302=4),CZ302/7,IF(DM302=3,CZ302/7.5,"")))</f>
        <v/>
      </c>
      <c r="DI302" s="126"/>
      <c r="DR302" s="0"/>
      <c r="DZ302" s="0"/>
      <c r="EF302" s="0"/>
      <c r="EI302" s="0" t="n">
        <f aca="false">IF(AND(DM302=1,DN302&lt;=48),"",IF(AND(DM302=2,DN302&lt;=42),"",IF(AND(DM302=3,DN302&lt;=45),"",EH302)))</f>
        <v>0</v>
      </c>
      <c r="EJ302" s="0" t="str">
        <f aca="false">IF(EI302="","",IF(EI302&lt;9,EI302,9))</f>
        <v/>
      </c>
      <c r="EK302" s="0" t="str">
        <f aca="false">IF(EI302="","",IF(EI302&gt;9,EI302-EJ302,0))</f>
        <v/>
      </c>
      <c r="EL302" s="0" t="str">
        <f aca="false">IF(EI302="","",EJ302*DA302*2+EK302*DA302*3)</f>
        <v/>
      </c>
      <c r="EQ302" s="0"/>
      <c r="FF302" s="120" t="n">
        <f aca="false">(CJ302-CI302+1)/365</f>
        <v>0.00273972602739726</v>
      </c>
      <c r="FG302" s="0" t="str">
        <f aca="false">CONCATENATE(F302,"/",G302)</f>
        <v>1315/2011</v>
      </c>
      <c r="FH302" s="0" t="n">
        <v>0</v>
      </c>
      <c r="FI302" s="0" t="n">
        <v>0</v>
      </c>
    </row>
    <row r="303" customFormat="false" ht="15" hidden="false" customHeight="false" outlineLevel="0" collapsed="false">
      <c r="A303" s="5" t="str">
        <f aca="false">E303&amp;G303&amp;F303</f>
        <v>720111317</v>
      </c>
      <c r="B303" s="0" t="s">
        <v>2925</v>
      </c>
      <c r="C303" s="1" t="n">
        <v>42412</v>
      </c>
      <c r="D303" s="0" t="s">
        <v>3216</v>
      </c>
      <c r="E303" s="0" t="n">
        <v>7</v>
      </c>
      <c r="F303" s="0" t="n">
        <v>1317</v>
      </c>
      <c r="G303" s="0" t="n">
        <v>2011</v>
      </c>
      <c r="H303" s="0" t="str">
        <f aca="false">"J"&amp;E303&amp;"\"&amp;F303&amp;"\"&amp;G303&amp;"\"&amp;W303</f>
        <v>J7\1317\2011\1</v>
      </c>
      <c r="I303" s="0"/>
      <c r="M303" s="1"/>
      <c r="N303" s="1"/>
      <c r="O303" s="1"/>
      <c r="P303" s="1"/>
      <c r="Q303" s="1"/>
      <c r="T303" s="121"/>
      <c r="U303" s="121"/>
      <c r="V303" s="122" t="n">
        <f aca="false">IF(AND(E303&gt;0,F303&gt;0,G303&gt;0),COUNTIFS($E:$E,E303,$F:$F,F303,$G:$G,G303),"")</f>
        <v>1</v>
      </c>
      <c r="W303" s="122" t="n">
        <f aca="false">IF(V303="","",IF(V303=1,1,IF(AND(E302=E303,F302=F303,G302=G303),W302+1,1)))</f>
        <v>1</v>
      </c>
      <c r="BV303" s="123"/>
      <c r="BW303" s="123"/>
      <c r="BX303" s="123"/>
      <c r="BY303" s="123"/>
      <c r="CK303" s="124"/>
      <c r="CM303" s="0" t="str">
        <f aca="false">IF(OR(CI303="",CJ303=""),"",DAYS360(CI303,CJ303)/360)</f>
        <v/>
      </c>
      <c r="CN303" s="0" t="str">
        <f aca="false">IF(OR(CI303="",CJ303=""),"",DAYS360(CI303,CJ303)/30)</f>
        <v/>
      </c>
      <c r="CO303" s="0" t="str">
        <f aca="false">IF(OR(CI303="",CJ303=""),"",DAYS360(CI303,CJ303)/7)</f>
        <v/>
      </c>
      <c r="CP303" s="0" t="str">
        <f aca="false">IF(OR(CI303="",CJ303=""),"",DAYS360(CI303,CJ303))</f>
        <v/>
      </c>
      <c r="CT303" s="0"/>
      <c r="CV303" s="0" t="str">
        <f aca="false">IF(OR(CT303="",CT303="NO ESPECIFICA",CT303="NO MENCIONA"),"",IF(CU303=0,CT303,IF(CU303=1,CT303/30,IF(CU303=2,CT303/15,IF(CU303=3,CT303/7,"")))))</f>
        <v/>
      </c>
      <c r="CW303" s="125"/>
      <c r="CY303" s="0" t="str">
        <f aca="false">IF(CW303="","",IF(CX303=0,CW303,IF(CX303=1,CW303/30,IF(CX303=2,CW303/15,IF(CX303=3,CW303/7,CW303)))))</f>
        <v/>
      </c>
      <c r="CZ303" s="0" t="str">
        <f aca="false">IF(DI303&gt;0,DI303,IF(CY303&gt;0,CY303,IF(CV303&gt;0,CV303,"")))</f>
        <v/>
      </c>
      <c r="DA303" s="0" t="str">
        <f aca="false">IF(DM303=1,CZ303/8,IF(OR(DM303=2,DM303=4),CZ303/7,IF(DM303=3,CZ303/7.5,"")))</f>
        <v/>
      </c>
      <c r="DI303" s="126"/>
      <c r="DR303" s="0"/>
      <c r="DZ303" s="0"/>
      <c r="EF303" s="0"/>
      <c r="EI303" s="0" t="n">
        <f aca="false">IF(AND(DM303=1,DN303&lt;=48),"",IF(AND(DM303=2,DN303&lt;=42),"",IF(AND(DM303=3,DN303&lt;=45),"",EH303)))</f>
        <v>0</v>
      </c>
      <c r="EJ303" s="0" t="str">
        <f aca="false">IF(EI303="","",IF(EI303&lt;9,EI303,9))</f>
        <v/>
      </c>
      <c r="EK303" s="0" t="str">
        <f aca="false">IF(EI303="","",IF(EI303&gt;9,EI303-EJ303,0))</f>
        <v/>
      </c>
      <c r="EL303" s="0" t="str">
        <f aca="false">IF(EI303="","",EJ303*DA303*2+EK303*DA303*3)</f>
        <v/>
      </c>
      <c r="EQ303" s="0"/>
      <c r="FF303" s="120" t="n">
        <f aca="false">(CJ303-CI303+1)/365</f>
        <v>0.00273972602739726</v>
      </c>
      <c r="FG303" s="0" t="str">
        <f aca="false">CONCATENATE(F303,"/",G303)</f>
        <v>1317/2011</v>
      </c>
      <c r="FH303" s="0" t="n">
        <v>0</v>
      </c>
      <c r="FI303" s="0" t="n">
        <v>0</v>
      </c>
    </row>
    <row r="304" customFormat="false" ht="15" hidden="false" customHeight="false" outlineLevel="0" collapsed="false">
      <c r="A304" s="5" t="str">
        <f aca="false">E304&amp;G304&amp;F304</f>
        <v>720111011</v>
      </c>
      <c r="B304" s="0" t="s">
        <v>3217</v>
      </c>
      <c r="C304" s="1" t="n">
        <v>42406</v>
      </c>
      <c r="E304" s="0" t="n">
        <v>7</v>
      </c>
      <c r="F304" s="0" t="n">
        <v>1011</v>
      </c>
      <c r="G304" s="0" t="n">
        <v>2011</v>
      </c>
      <c r="H304" s="0" t="str">
        <f aca="false">"J"&amp;E304&amp;"\"&amp;F304&amp;"\"&amp;G304&amp;"\"&amp;W304</f>
        <v>J7\1011\2011\1</v>
      </c>
      <c r="I304" s="0"/>
      <c r="J304" s="1" t="n">
        <v>40704</v>
      </c>
      <c r="K304" s="0" t="n">
        <v>0</v>
      </c>
      <c r="M304" s="1" t="n">
        <v>40704</v>
      </c>
      <c r="N304" s="1" t="n">
        <v>40864</v>
      </c>
      <c r="O304" s="1"/>
      <c r="P304" s="1"/>
      <c r="Q304" s="1"/>
      <c r="T304" s="121"/>
      <c r="U304" s="121"/>
      <c r="V304" s="122" t="n">
        <f aca="false">IF(AND(E304&gt;0,F304&gt;0,G304&gt;0),COUNTIFS($E:$E,E304,$F:$F,F304,$G:$G,G304),"")</f>
        <v>1</v>
      </c>
      <c r="W304" s="122" t="n">
        <f aca="false">IF(V304="","",IF(V304=1,1,IF(AND(E303=E304,F303=F304,G303=G304),W303+1,1)))</f>
        <v>1</v>
      </c>
      <c r="X304" s="0" t="n">
        <v>1</v>
      </c>
      <c r="Y304" s="0" t="n">
        <v>7</v>
      </c>
      <c r="Z304" s="0" t="s">
        <v>3218</v>
      </c>
      <c r="AA304" s="0" t="n">
        <v>0</v>
      </c>
      <c r="AB304" s="0" t="s">
        <v>2941</v>
      </c>
      <c r="AC304" s="0" t="s">
        <v>228</v>
      </c>
      <c r="AD304" s="0" t="s">
        <v>229</v>
      </c>
      <c r="AE304" s="0" t="n">
        <v>0</v>
      </c>
      <c r="AF304" s="0" t="s">
        <v>3219</v>
      </c>
      <c r="AG304" s="0" t="n">
        <v>0</v>
      </c>
      <c r="AH304" s="0" t="s">
        <v>3220</v>
      </c>
      <c r="AI304" s="0" t="s">
        <v>2640</v>
      </c>
      <c r="AJ304" s="0" t="s">
        <v>207</v>
      </c>
      <c r="AL304" s="0" t="s">
        <v>3221</v>
      </c>
      <c r="AM304" s="0" t="n">
        <v>1</v>
      </c>
      <c r="AN304" s="0" t="s">
        <v>3220</v>
      </c>
      <c r="AO304" s="0" t="s">
        <v>2640</v>
      </c>
      <c r="AP304" s="0" t="s">
        <v>207</v>
      </c>
      <c r="AR304" s="0" t="s">
        <v>3222</v>
      </c>
      <c r="AS304" s="0" t="n">
        <v>1</v>
      </c>
      <c r="AT304" s="0" t="s">
        <v>3220</v>
      </c>
      <c r="AU304" s="0" t="s">
        <v>2640</v>
      </c>
      <c r="AV304" s="0" t="s">
        <v>207</v>
      </c>
      <c r="AX304" s="0" t="s">
        <v>1880</v>
      </c>
      <c r="AY304" s="0" t="n">
        <v>1</v>
      </c>
      <c r="AZ304" s="0" t="s">
        <v>3220</v>
      </c>
      <c r="BA304" s="0" t="s">
        <v>2640</v>
      </c>
      <c r="BB304" s="0" t="s">
        <v>207</v>
      </c>
      <c r="BD304" s="0" t="s">
        <v>249</v>
      </c>
      <c r="BE304" s="0" t="n">
        <v>0</v>
      </c>
      <c r="BF304" s="0" t="s">
        <v>964</v>
      </c>
      <c r="BG304" s="0" t="s">
        <v>410</v>
      </c>
      <c r="BH304" s="0" t="s">
        <v>411</v>
      </c>
      <c r="BJ304" s="0" t="s">
        <v>3223</v>
      </c>
      <c r="BK304" s="0" t="n">
        <v>0</v>
      </c>
      <c r="BL304" s="0" t="s">
        <v>3224</v>
      </c>
      <c r="BM304" s="0" t="s">
        <v>3225</v>
      </c>
      <c r="BN304" s="0" t="s">
        <v>659</v>
      </c>
      <c r="BP304" s="0" t="n">
        <v>0</v>
      </c>
      <c r="BQ304" s="0" t="n">
        <v>0</v>
      </c>
      <c r="BR304" s="0" t="n">
        <v>3</v>
      </c>
      <c r="BS304" s="0" t="s">
        <v>3226</v>
      </c>
      <c r="BT304" s="0" t="s">
        <v>3227</v>
      </c>
      <c r="BU304" s="0" t="s">
        <v>3228</v>
      </c>
      <c r="BV304" s="123"/>
      <c r="BW304" s="123"/>
      <c r="BX304" s="123"/>
      <c r="BY304" s="123"/>
      <c r="BZ304" s="0" t="n">
        <v>0</v>
      </c>
      <c r="CA304" s="0" t="s">
        <v>348</v>
      </c>
      <c r="CD304" s="0" t="s">
        <v>357</v>
      </c>
      <c r="CE304" s="0" t="n">
        <v>0</v>
      </c>
      <c r="CF304" s="0" t="s">
        <v>600</v>
      </c>
      <c r="CI304" s="1" t="n">
        <v>39955</v>
      </c>
      <c r="CJ304" s="1" t="n">
        <v>40663</v>
      </c>
      <c r="CK304" s="124" t="n">
        <v>0.8875</v>
      </c>
      <c r="CL304" s="0" t="s">
        <v>3222</v>
      </c>
      <c r="CM304" s="0" t="n">
        <f aca="false">IF(OR(CI304="",CJ304=""),"",DAYS360(CI304,CJ304)/360)</f>
        <v>1.93888888888889</v>
      </c>
      <c r="CN304" s="0" t="n">
        <f aca="false">IF(OR(CI304="",CJ304=""),"",DAYS360(CI304,CJ304)/30)</f>
        <v>23.2666666666667</v>
      </c>
      <c r="CO304" s="0" t="n">
        <f aca="false">IF(OR(CI304="",CJ304=""),"",DAYS360(CI304,CJ304)/7)</f>
        <v>99.7142857142857</v>
      </c>
      <c r="CP304" s="0" t="n">
        <f aca="false">IF(OR(CI304="",CJ304=""),"",DAYS360(CI304,CJ304))</f>
        <v>698</v>
      </c>
      <c r="CQ304" s="0" t="s">
        <v>240</v>
      </c>
      <c r="CR304" s="0" t="n">
        <v>1</v>
      </c>
      <c r="CT304" s="0" t="n">
        <v>53.33</v>
      </c>
      <c r="CU304" s="0" t="n">
        <v>0</v>
      </c>
      <c r="CV304" s="0" t="n">
        <f aca="false">IF(OR(CT304="",CT304="NO ESPECIFICA",CT304="NO MENCIONA"),"",IF(CU304=0,CT304,IF(CU304=1,CT304/30,IF(CU304=2,CT304/15,IF(CU304=3,CT304/7,"")))))</f>
        <v>53.33</v>
      </c>
      <c r="CW304" s="125" t="n">
        <v>55.81</v>
      </c>
      <c r="CX304" s="0" t="n">
        <v>0</v>
      </c>
      <c r="CY304" s="0" t="n">
        <f aca="false">IF(CW304="","",IF(CX304=0,CW304,IF(CX304=1,CW304/30,IF(CX304=2,CW304/15,IF(CX304=3,CW304/7,CW304)))))</f>
        <v>55.81</v>
      </c>
      <c r="CZ304" s="0" t="n">
        <f aca="false">IF(DI304&gt;0,DI304,IF(CY304&gt;0,CY304,IF(CV304&gt;0,CV304,"")))</f>
        <v>55.81</v>
      </c>
      <c r="DA304" s="0" t="n">
        <f aca="false">IF(DM304=1,CZ304/8,IF(OR(DM304=2,DM304=4),CZ304/7,IF(DM304=3,CZ304/7.5,"")))</f>
        <v>6.97625</v>
      </c>
      <c r="DB304" s="0" t="s">
        <v>303</v>
      </c>
      <c r="DC304" s="0" t="s">
        <v>301</v>
      </c>
      <c r="DD304" s="0" t="s">
        <v>216</v>
      </c>
      <c r="DE304" s="0" t="s">
        <v>216</v>
      </c>
      <c r="DF304" s="0" t="s">
        <v>216</v>
      </c>
      <c r="DG304" s="0" t="s">
        <v>216</v>
      </c>
      <c r="DH304" s="0" t="n">
        <v>0</v>
      </c>
      <c r="DI304" s="126" t="n">
        <v>55.81</v>
      </c>
      <c r="DK304" s="0" t="n">
        <v>1</v>
      </c>
      <c r="DM304" s="0" t="n">
        <v>1</v>
      </c>
      <c r="DN304" s="0" t="n">
        <v>19</v>
      </c>
      <c r="DO304" s="0" t="n">
        <v>3</v>
      </c>
      <c r="DP304" s="0" t="n">
        <v>0</v>
      </c>
      <c r="DQ304" s="0" t="n">
        <v>1</v>
      </c>
      <c r="DR304" s="0"/>
      <c r="DS304" s="0" t="n">
        <v>1</v>
      </c>
      <c r="DU304" s="0" t="n">
        <v>1</v>
      </c>
      <c r="DW304" s="1" t="n">
        <v>40320</v>
      </c>
      <c r="DX304" s="1" t="n">
        <v>40663</v>
      </c>
      <c r="DZ304" s="0"/>
      <c r="EA304" s="0" t="n">
        <v>1</v>
      </c>
      <c r="EC304" s="1" t="n">
        <v>40179</v>
      </c>
      <c r="ED304" s="1" t="n">
        <v>40663</v>
      </c>
      <c r="EF304" s="0"/>
      <c r="EG304" s="0" t="n">
        <v>0</v>
      </c>
      <c r="EI304" s="0" t="str">
        <f aca="false">IF(AND(DM304=1,DN304&lt;=48),"",IF(AND(DM304=2,DN304&lt;=42),"",IF(AND(DM304=3,DN304&lt;=45),"",EH304)))</f>
        <v/>
      </c>
      <c r="EJ304" s="0" t="str">
        <f aca="false">IF(EI304="","",IF(EI304&lt;9,EI304,9))</f>
        <v/>
      </c>
      <c r="EK304" s="0" t="str">
        <f aca="false">IF(EI304="","",IF(EI304&gt;9,EI304-EJ304,0))</f>
        <v/>
      </c>
      <c r="EL304" s="0" t="str">
        <f aca="false">IF(EI304="","",EJ304*DA304*2+EK304*DA304*3)</f>
        <v/>
      </c>
      <c r="EP304" s="0" t="n">
        <v>0</v>
      </c>
      <c r="EQ304" s="0"/>
      <c r="ER304" s="0" t="n">
        <v>0</v>
      </c>
      <c r="ET304" s="0" t="n">
        <v>0</v>
      </c>
      <c r="EV304" s="0" t="n">
        <v>0</v>
      </c>
      <c r="EX304" s="0" t="n">
        <v>1</v>
      </c>
      <c r="EY304" s="0" t="n">
        <v>0</v>
      </c>
      <c r="EZ304" s="0"/>
      <c r="FA304" s="4" t="n">
        <f aca="false">4479.72+2500+2500+3500</f>
        <v>12979.72</v>
      </c>
      <c r="FB304" s="0" t="n">
        <v>1</v>
      </c>
      <c r="FF304" s="120" t="n">
        <f aca="false">(CJ304-CI304+1)/365</f>
        <v>1.94246575342466</v>
      </c>
      <c r="FG304" s="0" t="str">
        <f aca="false">CONCATENATE(F304,"/",G304)</f>
        <v>1011/2011</v>
      </c>
      <c r="FH304" s="0" t="n">
        <v>0</v>
      </c>
      <c r="FI304" s="0" t="n">
        <v>0</v>
      </c>
    </row>
    <row r="305" customFormat="false" ht="15" hidden="false" customHeight="false" outlineLevel="0" collapsed="false">
      <c r="A305" s="5" t="str">
        <f aca="false">E305&amp;G305&amp;F305</f>
        <v>720111017</v>
      </c>
      <c r="B305" s="0" t="s">
        <v>3217</v>
      </c>
      <c r="C305" s="1" t="n">
        <v>42406</v>
      </c>
      <c r="E305" s="0" t="n">
        <v>7</v>
      </c>
      <c r="F305" s="0" t="n">
        <v>1017</v>
      </c>
      <c r="G305" s="0" t="n">
        <v>2011</v>
      </c>
      <c r="H305" s="0" t="str">
        <f aca="false">"J"&amp;E305&amp;"\"&amp;F305&amp;"\"&amp;G305&amp;"\"&amp;W305</f>
        <v>J7\1017\2011\1</v>
      </c>
      <c r="I305" s="0"/>
      <c r="J305" s="1" t="n">
        <v>40707</v>
      </c>
      <c r="K305" s="0" t="n">
        <v>1</v>
      </c>
      <c r="L305" s="0" t="s">
        <v>838</v>
      </c>
      <c r="M305" s="1" t="n">
        <v>40707</v>
      </c>
      <c r="N305" s="1" t="n">
        <v>40869</v>
      </c>
      <c r="O305" s="1"/>
      <c r="P305" s="1"/>
      <c r="Q305" s="1"/>
      <c r="T305" s="121"/>
      <c r="U305" s="121"/>
      <c r="V305" s="122" t="n">
        <f aca="false">IF(AND(E305&gt;0,F305&gt;0,G305&gt;0),COUNTIFS($E:$E,E305,$F:$F,F305,$G:$G,G305),"")</f>
        <v>1</v>
      </c>
      <c r="W305" s="122" t="n">
        <f aca="false">IF(V305="","",IF(V305=1,1,IF(AND(E304=E305,F304=F305,G304=G305),W304+1,1)))</f>
        <v>1</v>
      </c>
      <c r="X305" s="0" t="n">
        <v>1</v>
      </c>
      <c r="Y305" s="0" t="n">
        <v>4</v>
      </c>
      <c r="Z305" s="0" t="s">
        <v>3229</v>
      </c>
      <c r="AA305" s="0" t="n">
        <v>0</v>
      </c>
      <c r="AB305" s="0" t="s">
        <v>3230</v>
      </c>
      <c r="AC305" s="0" t="s">
        <v>3231</v>
      </c>
      <c r="AD305" s="0" t="s">
        <v>3232</v>
      </c>
      <c r="AE305" s="0" t="n">
        <v>0</v>
      </c>
      <c r="AF305" s="0" t="s">
        <v>3233</v>
      </c>
      <c r="AG305" s="0" t="n">
        <v>0</v>
      </c>
      <c r="AH305" s="0" t="s">
        <v>3234</v>
      </c>
      <c r="AI305" s="0" t="s">
        <v>3235</v>
      </c>
      <c r="AJ305" s="0" t="s">
        <v>221</v>
      </c>
      <c r="AL305" s="0" t="s">
        <v>3236</v>
      </c>
      <c r="AM305" s="0" t="n">
        <v>0</v>
      </c>
      <c r="AN305" s="0" t="s">
        <v>3234</v>
      </c>
      <c r="AO305" s="0" t="s">
        <v>3235</v>
      </c>
      <c r="AP305" s="0" t="s">
        <v>221</v>
      </c>
      <c r="AR305" s="0" t="s">
        <v>249</v>
      </c>
      <c r="AS305" s="0" t="n">
        <v>0</v>
      </c>
      <c r="AT305" s="0" t="s">
        <v>3237</v>
      </c>
      <c r="AU305" s="0" t="s">
        <v>251</v>
      </c>
      <c r="AV305" s="0" t="s">
        <v>221</v>
      </c>
      <c r="AX305" s="0" t="s">
        <v>412</v>
      </c>
      <c r="AY305" s="0" t="n">
        <v>0</v>
      </c>
      <c r="AZ305" s="0" t="s">
        <v>437</v>
      </c>
      <c r="BA305" s="0" t="s">
        <v>221</v>
      </c>
      <c r="BB305" s="0" t="s">
        <v>221</v>
      </c>
      <c r="BP305" s="0" t="n">
        <v>0</v>
      </c>
      <c r="BQ305" s="0" t="n">
        <v>0</v>
      </c>
      <c r="BR305" s="0" t="n">
        <v>1</v>
      </c>
      <c r="BS305" s="0" t="s">
        <v>3238</v>
      </c>
      <c r="BT305" s="0" t="s">
        <v>3239</v>
      </c>
      <c r="BU305" s="0" t="s">
        <v>3240</v>
      </c>
      <c r="BV305" s="123"/>
      <c r="BW305" s="123"/>
      <c r="BX305" s="123"/>
      <c r="BY305" s="123"/>
      <c r="BZ305" s="0" t="n">
        <v>0</v>
      </c>
      <c r="CA305" s="0" t="s">
        <v>216</v>
      </c>
      <c r="CD305" s="0" t="s">
        <v>370</v>
      </c>
      <c r="CE305" s="0" t="n">
        <v>1</v>
      </c>
      <c r="CF305" s="0" t="s">
        <v>3241</v>
      </c>
      <c r="CI305" s="1" t="n">
        <v>37718</v>
      </c>
      <c r="CJ305" s="1" t="n">
        <v>40653</v>
      </c>
      <c r="CK305" s="124" t="n">
        <v>0.375</v>
      </c>
      <c r="CL305" s="0" t="s">
        <v>3242</v>
      </c>
      <c r="CM305" s="0" t="n">
        <f aca="false">IF(OR(CI305="",CJ305=""),"",DAYS360(CI305,CJ305)/360)</f>
        <v>8.03611111111111</v>
      </c>
      <c r="CN305" s="0" t="n">
        <f aca="false">IF(OR(CI305="",CJ305=""),"",DAYS360(CI305,CJ305)/30)</f>
        <v>96.4333333333333</v>
      </c>
      <c r="CO305" s="0" t="n">
        <f aca="false">IF(OR(CI305="",CJ305=""),"",DAYS360(CI305,CJ305)/7)</f>
        <v>413.285714285714</v>
      </c>
      <c r="CP305" s="0" t="n">
        <f aca="false">IF(OR(CI305="",CJ305=""),"",DAYS360(CI305,CJ305))</f>
        <v>2893</v>
      </c>
      <c r="CQ305" s="0" t="s">
        <v>220</v>
      </c>
      <c r="CR305" s="0" t="n">
        <v>1</v>
      </c>
      <c r="CT305" s="0" t="n">
        <v>40000</v>
      </c>
      <c r="CU305" s="0" t="n">
        <v>1</v>
      </c>
      <c r="CV305" s="0" t="n">
        <f aca="false">IF(OR(CT305="",CT305="NO ESPECIFICA",CT305="NO MENCIONA"),"",IF(CU305=0,CT305,IF(CU305=1,CT305/30,IF(CU305=2,CT305/15,IF(CU305=3,CT305/7,"")))))</f>
        <v>1333.33333333333</v>
      </c>
      <c r="CW305" s="125" t="n">
        <v>45125</v>
      </c>
      <c r="CX305" s="0" t="n">
        <v>1</v>
      </c>
      <c r="CY305" s="0" t="n">
        <f aca="false">IF(CW305="","",IF(CX305=0,CW305,IF(CX305=1,CW305/30,IF(CX305=2,CW305/15,IF(CX305=3,CW305/7,CW305)))))</f>
        <v>1504.16666666667</v>
      </c>
      <c r="CZ305" s="0" t="n">
        <f aca="false">IF(DI305&gt;0,DI305,IF(CY305&gt;0,CY305,IF(CV305&gt;0,CV305,"")))</f>
        <v>1504.16666666667</v>
      </c>
      <c r="DA305" s="0" t="n">
        <f aca="false">IF(DM305=1,CZ305/8,IF(OR(DM305=2,DM305=4),CZ305/7,IF(DM305=3,CZ305/7.5,"")))</f>
        <v>188.020833333333</v>
      </c>
      <c r="DB305" s="0" t="s">
        <v>303</v>
      </c>
      <c r="DC305" s="0" t="s">
        <v>301</v>
      </c>
      <c r="DD305" s="0" t="s">
        <v>216</v>
      </c>
      <c r="DE305" s="0" t="s">
        <v>216</v>
      </c>
      <c r="DF305" s="0" t="s">
        <v>216</v>
      </c>
      <c r="DG305" s="0" t="s">
        <v>216</v>
      </c>
      <c r="DH305" s="0" t="n">
        <v>0</v>
      </c>
      <c r="DI305" s="126" t="n">
        <f aca="false">45125/30</f>
        <v>1504.16666666667</v>
      </c>
      <c r="DK305" s="0" t="n">
        <v>1</v>
      </c>
      <c r="DM305" s="0" t="n">
        <v>1</v>
      </c>
      <c r="DN305" s="0" t="n">
        <v>72</v>
      </c>
      <c r="DO305" s="0" t="n">
        <v>3</v>
      </c>
      <c r="DP305" s="0" t="n">
        <v>1</v>
      </c>
      <c r="DQ305" s="0" t="n">
        <v>0</v>
      </c>
      <c r="DR305" s="0"/>
      <c r="DS305" s="0" t="n">
        <v>1</v>
      </c>
      <c r="DU305" s="0" t="n">
        <v>0</v>
      </c>
      <c r="DW305" s="1" t="n">
        <v>37718</v>
      </c>
      <c r="DX305" s="1" t="n">
        <v>40653</v>
      </c>
      <c r="DZ305" s="0"/>
      <c r="EA305" s="0" t="n">
        <v>1</v>
      </c>
      <c r="EC305" s="1" t="n">
        <v>37718</v>
      </c>
      <c r="ED305" s="1" t="n">
        <v>40653</v>
      </c>
      <c r="EF305" s="0"/>
      <c r="EG305" s="0" t="n">
        <v>1</v>
      </c>
      <c r="EH305" s="0" t="n">
        <v>24</v>
      </c>
      <c r="EI305" s="0" t="n">
        <f aca="false">IF(AND(DM305=1,DN305&lt;=48),"",IF(AND(DM305=2,DN305&lt;=42),"",IF(AND(DM305=3,DN305&lt;=45),"",EH305)))</f>
        <v>24</v>
      </c>
      <c r="EJ305" s="0" t="n">
        <f aca="false">IF(EI305="","",IF(EI305&lt;9,EI305,9))</f>
        <v>9</v>
      </c>
      <c r="EK305" s="0" t="n">
        <f aca="false">IF(EI305="","",IF(EI305&gt;9,EI305-EJ305,0))</f>
        <v>15</v>
      </c>
      <c r="EL305" s="0" t="n">
        <f aca="false">IF(EI305="","",EJ305*DA305*2+EK305*DA305*3)</f>
        <v>11845.3125</v>
      </c>
      <c r="EP305" s="0" t="n">
        <v>0</v>
      </c>
      <c r="EQ305" s="0"/>
      <c r="ER305" s="0" t="n">
        <v>0</v>
      </c>
      <c r="ET305" s="0" t="n">
        <v>0</v>
      </c>
      <c r="EV305" s="0" t="n">
        <v>0</v>
      </c>
      <c r="EX305" s="0" t="n">
        <v>0</v>
      </c>
      <c r="EY305" s="0" t="n">
        <v>0</v>
      </c>
      <c r="EZ305" s="0"/>
      <c r="FA305" s="4" t="n">
        <v>70000</v>
      </c>
      <c r="FB305" s="0" t="n">
        <v>0</v>
      </c>
      <c r="FF305" s="120" t="n">
        <f aca="false">(CJ305-CI305+1)/365</f>
        <v>8.04383561643836</v>
      </c>
      <c r="FG305" s="0" t="str">
        <f aca="false">CONCATENATE(F305,"/",G305)</f>
        <v>1017/2011</v>
      </c>
      <c r="FH305" s="0" t="n">
        <v>0</v>
      </c>
      <c r="FI305" s="0" t="n">
        <v>0</v>
      </c>
    </row>
    <row r="306" customFormat="false" ht="15" hidden="false" customHeight="false" outlineLevel="0" collapsed="false">
      <c r="A306" s="5" t="str">
        <f aca="false">E306&amp;G306&amp;F306</f>
        <v>720111030</v>
      </c>
      <c r="B306" s="0" t="s">
        <v>3217</v>
      </c>
      <c r="C306" s="1" t="n">
        <v>42406</v>
      </c>
      <c r="E306" s="0" t="n">
        <v>7</v>
      </c>
      <c r="F306" s="0" t="n">
        <v>1030</v>
      </c>
      <c r="G306" s="0" t="n">
        <v>2011</v>
      </c>
      <c r="H306" s="0" t="str">
        <f aca="false">"J"&amp;E306&amp;"\"&amp;F306&amp;"\"&amp;G306&amp;"\"&amp;W306</f>
        <v>J7\1030\2011\1</v>
      </c>
      <c r="I306" s="0"/>
      <c r="J306" s="1" t="n">
        <v>40708</v>
      </c>
      <c r="K306" s="0" t="n">
        <v>0</v>
      </c>
      <c r="M306" s="1" t="n">
        <v>40708</v>
      </c>
      <c r="N306" s="1" t="n">
        <v>40871</v>
      </c>
      <c r="O306" s="1"/>
      <c r="P306" s="1"/>
      <c r="Q306" s="1"/>
      <c r="T306" s="121"/>
      <c r="U306" s="121"/>
      <c r="V306" s="122" t="n">
        <f aca="false">IF(AND(E306&gt;0,F306&gt;0,G306&gt;0),COUNTIFS($E:$E,E306,$F:$F,F306,$G:$G,G306),"")</f>
        <v>1</v>
      </c>
      <c r="W306" s="122" t="n">
        <f aca="false">IF(V306="","",IF(V306=1,1,IF(AND(E305=E306,F305=F306,G305=G306),W305+1,1)))</f>
        <v>1</v>
      </c>
      <c r="X306" s="0" t="n">
        <v>1</v>
      </c>
      <c r="Y306" s="0" t="n">
        <v>7</v>
      </c>
      <c r="Z306" s="0" t="s">
        <v>3243</v>
      </c>
      <c r="AA306" s="0" t="n">
        <v>0</v>
      </c>
      <c r="AB306" s="0" t="s">
        <v>3244</v>
      </c>
      <c r="AC306" s="0" t="s">
        <v>3245</v>
      </c>
      <c r="AD306" s="0" t="s">
        <v>207</v>
      </c>
      <c r="AE306" s="0" t="n">
        <v>0</v>
      </c>
      <c r="AF306" s="0" t="s">
        <v>3246</v>
      </c>
      <c r="AG306" s="0" t="n">
        <v>0</v>
      </c>
      <c r="AH306" s="0" t="s">
        <v>3247</v>
      </c>
      <c r="AI306" s="0" t="s">
        <v>3248</v>
      </c>
      <c r="AJ306" s="0" t="s">
        <v>352</v>
      </c>
      <c r="AL306" s="0" t="s">
        <v>3249</v>
      </c>
      <c r="AM306" s="0" t="n">
        <v>0</v>
      </c>
      <c r="AN306" s="0" t="s">
        <v>3247</v>
      </c>
      <c r="AO306" s="0" t="s">
        <v>3248</v>
      </c>
      <c r="AP306" s="0" t="s">
        <v>352</v>
      </c>
      <c r="AR306" s="0" t="s">
        <v>3250</v>
      </c>
      <c r="AS306" s="0" t="n">
        <v>0</v>
      </c>
      <c r="AT306" s="0" t="s">
        <v>3247</v>
      </c>
      <c r="AU306" s="0" t="s">
        <v>3248</v>
      </c>
      <c r="AV306" s="0" t="s">
        <v>352</v>
      </c>
      <c r="AX306" s="0" t="s">
        <v>3251</v>
      </c>
      <c r="AY306" s="0" t="n">
        <v>1</v>
      </c>
      <c r="AZ306" s="0" t="s">
        <v>3247</v>
      </c>
      <c r="BA306" s="0" t="s">
        <v>3248</v>
      </c>
      <c r="BB306" s="0" t="s">
        <v>352</v>
      </c>
      <c r="BD306" s="0" t="s">
        <v>3252</v>
      </c>
      <c r="BE306" s="0" t="n">
        <v>1</v>
      </c>
      <c r="BF306" s="0" t="s">
        <v>3247</v>
      </c>
      <c r="BG306" s="0" t="s">
        <v>3248</v>
      </c>
      <c r="BH306" s="0" t="s">
        <v>352</v>
      </c>
      <c r="BJ306" s="0" t="s">
        <v>3253</v>
      </c>
      <c r="BK306" s="0" t="n">
        <v>1</v>
      </c>
      <c r="BL306" s="0" t="s">
        <v>3247</v>
      </c>
      <c r="BM306" s="0" t="s">
        <v>3248</v>
      </c>
      <c r="BN306" s="0" t="s">
        <v>352</v>
      </c>
      <c r="BP306" s="0" t="n">
        <v>0</v>
      </c>
      <c r="BQ306" s="0" t="n">
        <v>0</v>
      </c>
      <c r="BR306" s="0" t="n">
        <v>1</v>
      </c>
      <c r="BS306" s="0" t="s">
        <v>3254</v>
      </c>
      <c r="BV306" s="123"/>
      <c r="BW306" s="123"/>
      <c r="BX306" s="123"/>
      <c r="BY306" s="123"/>
      <c r="BZ306" s="0" t="n">
        <v>0</v>
      </c>
      <c r="CA306" s="0" t="s">
        <v>216</v>
      </c>
      <c r="CD306" s="0" t="s">
        <v>357</v>
      </c>
      <c r="CE306" s="0" t="n">
        <v>0</v>
      </c>
      <c r="CF306" s="0" t="s">
        <v>3255</v>
      </c>
      <c r="CI306" s="1" t="n">
        <v>40196</v>
      </c>
      <c r="CJ306" s="1" t="n">
        <v>40648</v>
      </c>
      <c r="CK306" s="124" t="n">
        <v>0.791666666666667</v>
      </c>
      <c r="CL306" s="0" t="s">
        <v>3251</v>
      </c>
      <c r="CM306" s="0" t="n">
        <f aca="false">IF(OR(CI306="",CJ306=""),"",DAYS360(CI306,CJ306)/360)</f>
        <v>1.24166666666667</v>
      </c>
      <c r="CN306" s="0" t="n">
        <f aca="false">IF(OR(CI306="",CJ306=""),"",DAYS360(CI306,CJ306)/30)</f>
        <v>14.9</v>
      </c>
      <c r="CO306" s="0" t="n">
        <f aca="false">IF(OR(CI306="",CJ306=""),"",DAYS360(CI306,CJ306)/7)</f>
        <v>63.8571428571429</v>
      </c>
      <c r="CP306" s="0" t="n">
        <f aca="false">IF(OR(CI306="",CJ306=""),"",DAYS360(CI306,CJ306))</f>
        <v>447</v>
      </c>
      <c r="CQ306" s="0" t="s">
        <v>240</v>
      </c>
      <c r="CR306" s="0" t="n">
        <v>1</v>
      </c>
      <c r="CT306" s="0" t="n">
        <v>400</v>
      </c>
      <c r="CU306" s="0" t="n">
        <v>0</v>
      </c>
      <c r="CV306" s="0" t="n">
        <f aca="false">IF(OR(CT306="",CT306="NO ESPECIFICA",CT306="NO MENCIONA"),"",IF(CU306=0,CT306,IF(CU306=1,CT306/30,IF(CU306=2,CT306/15,IF(CU306=3,CT306/7,"")))))</f>
        <v>400</v>
      </c>
      <c r="CW306" s="125" t="n">
        <v>418.08</v>
      </c>
      <c r="CX306" s="0" t="n">
        <v>0</v>
      </c>
      <c r="CY306" s="0" t="n">
        <f aca="false">IF(CW306="","",IF(CX306=0,CW306,IF(CX306=1,CW306/30,IF(CX306=2,CW306/15,IF(CX306=3,CW306/7,CW306)))))</f>
        <v>418.08</v>
      </c>
      <c r="CZ306" s="0" t="n">
        <f aca="false">IF(DI306&gt;0,DI306,IF(CY306&gt;0,CY306,IF(CV306&gt;0,CV306,"")))</f>
        <v>418.08</v>
      </c>
      <c r="DA306" s="0" t="n">
        <f aca="false">IF(DM306=1,CZ306/8,IF(OR(DM306=2,DM306=4),CZ306/7,IF(DM306=3,CZ306/7.5,"")))</f>
        <v>52.26</v>
      </c>
      <c r="DB306" s="0" t="s">
        <v>417</v>
      </c>
      <c r="DC306" s="0" t="s">
        <v>303</v>
      </c>
      <c r="DD306" s="0" t="s">
        <v>301</v>
      </c>
      <c r="DE306" s="0" t="s">
        <v>216</v>
      </c>
      <c r="DF306" s="0" t="s">
        <v>216</v>
      </c>
      <c r="DG306" s="0" t="s">
        <v>216</v>
      </c>
      <c r="DH306" s="0" t="n">
        <v>0</v>
      </c>
      <c r="DI306" s="126" t="n">
        <v>418.08</v>
      </c>
      <c r="DK306" s="0" t="n">
        <v>1</v>
      </c>
      <c r="DM306" s="0" t="n">
        <v>1</v>
      </c>
      <c r="DN306" s="0" t="n">
        <v>50</v>
      </c>
      <c r="DO306" s="0" t="n">
        <v>3</v>
      </c>
      <c r="DP306" s="0" t="n">
        <v>0</v>
      </c>
      <c r="DQ306" s="0" t="n">
        <v>1</v>
      </c>
      <c r="DR306" s="0"/>
      <c r="DS306" s="0" t="n">
        <v>1</v>
      </c>
      <c r="DU306" s="0" t="n">
        <v>1</v>
      </c>
      <c r="DW306" s="1" t="n">
        <v>40196</v>
      </c>
      <c r="DX306" s="1" t="n">
        <v>40648</v>
      </c>
      <c r="DZ306" s="0"/>
      <c r="EA306" s="0" t="n">
        <v>1</v>
      </c>
      <c r="EC306" s="1" t="n">
        <v>40196</v>
      </c>
      <c r="ED306" s="1" t="n">
        <v>40648</v>
      </c>
      <c r="EF306" s="0"/>
      <c r="EG306" s="0" t="n">
        <v>0</v>
      </c>
      <c r="EI306" s="0" t="n">
        <f aca="false">IF(AND(DM306=1,DN306&lt;=48),"",IF(AND(DM306=2,DN306&lt;=42),"",IF(AND(DM306=3,DN306&lt;=45),"",EH306)))</f>
        <v>0</v>
      </c>
      <c r="EJ306" s="0" t="str">
        <f aca="false">IF(EI306="","",IF(EI306&lt;9,EI306,9))</f>
        <v/>
      </c>
      <c r="EK306" s="0" t="str">
        <f aca="false">IF(EI306="","",IF(EI306&gt;9,EI306-EJ306,0))</f>
        <v/>
      </c>
      <c r="EL306" s="0" t="str">
        <f aca="false">IF(EI306="","",EJ306*DA306*2+EK306*DA306*3)</f>
        <v/>
      </c>
      <c r="EP306" s="0" t="n">
        <v>0</v>
      </c>
      <c r="EQ306" s="0"/>
      <c r="ER306" s="0" t="n">
        <v>0</v>
      </c>
      <c r="ET306" s="0" t="n">
        <v>0</v>
      </c>
      <c r="EV306" s="0" t="n">
        <v>0</v>
      </c>
      <c r="EX306" s="0" t="n">
        <v>0</v>
      </c>
      <c r="EY306" s="0" t="n">
        <v>0</v>
      </c>
      <c r="EZ306" s="0"/>
      <c r="FA306" s="4" t="n">
        <v>0</v>
      </c>
      <c r="FB306" s="0" t="n">
        <v>1</v>
      </c>
      <c r="FF306" s="120" t="n">
        <f aca="false">(CJ306-CI306+1)/365</f>
        <v>1.24109589041096</v>
      </c>
      <c r="FG306" s="0" t="str">
        <f aca="false">CONCATENATE(F306,"/",G306)</f>
        <v>1030/2011</v>
      </c>
      <c r="FH306" s="0" t="n">
        <v>0</v>
      </c>
      <c r="FI306" s="0" t="n">
        <v>0</v>
      </c>
    </row>
    <row r="307" customFormat="false" ht="15" hidden="false" customHeight="false" outlineLevel="0" collapsed="false">
      <c r="A307" s="5" t="str">
        <f aca="false">E307&amp;G307&amp;F307</f>
        <v>720111037</v>
      </c>
      <c r="B307" s="0" t="s">
        <v>3217</v>
      </c>
      <c r="C307" s="1" t="n">
        <v>42406</v>
      </c>
      <c r="E307" s="0" t="n">
        <v>7</v>
      </c>
      <c r="F307" s="0" t="n">
        <v>1037</v>
      </c>
      <c r="G307" s="0" t="n">
        <v>2011</v>
      </c>
      <c r="H307" s="0" t="str">
        <f aca="false">"J"&amp;E307&amp;"\"&amp;F307&amp;"\"&amp;G307&amp;"\"&amp;W307</f>
        <v>J7\1037\2011\1</v>
      </c>
      <c r="I307" s="0"/>
      <c r="J307" s="1" t="n">
        <v>40709</v>
      </c>
      <c r="K307" s="0" t="n">
        <v>0</v>
      </c>
      <c r="M307" s="1" t="n">
        <v>40709</v>
      </c>
      <c r="N307" s="1" t="n">
        <v>40872</v>
      </c>
      <c r="O307" s="1"/>
      <c r="P307" s="1"/>
      <c r="Q307" s="1"/>
      <c r="T307" s="121"/>
      <c r="U307" s="121"/>
      <c r="V307" s="122" t="n">
        <f aca="false">IF(AND(E307&gt;0,F307&gt;0,G307&gt;0),COUNTIFS($E:$E,E307,$F:$F,F307,$G:$G,G307),"")</f>
        <v>1</v>
      </c>
      <c r="W307" s="122" t="n">
        <f aca="false">IF(V307="","",IF(V307=1,1,IF(AND(E306=E307,F306=F307,G306=G307),W306+1,1)))</f>
        <v>1</v>
      </c>
      <c r="X307" s="0" t="n">
        <v>1</v>
      </c>
      <c r="Y307" s="0" t="n">
        <v>2</v>
      </c>
      <c r="Z307" s="0" t="s">
        <v>3256</v>
      </c>
      <c r="AA307" s="0" t="n">
        <v>0</v>
      </c>
      <c r="AB307" s="0" t="s">
        <v>3257</v>
      </c>
      <c r="AC307" s="0" t="s">
        <v>643</v>
      </c>
      <c r="AD307" s="0" t="s">
        <v>207</v>
      </c>
      <c r="AE307" s="0" t="n">
        <v>0</v>
      </c>
      <c r="AF307" s="0" t="s">
        <v>3258</v>
      </c>
      <c r="AG307" s="0" t="n">
        <v>0</v>
      </c>
      <c r="AH307" s="0" t="s">
        <v>3259</v>
      </c>
      <c r="AI307" s="0" t="s">
        <v>3260</v>
      </c>
      <c r="AJ307" s="0" t="s">
        <v>411</v>
      </c>
      <c r="AL307" s="0" t="s">
        <v>1880</v>
      </c>
      <c r="AM307" s="0" t="n">
        <v>1</v>
      </c>
      <c r="AN307" s="0" t="s">
        <v>3259</v>
      </c>
      <c r="AO307" s="0" t="s">
        <v>3260</v>
      </c>
      <c r="AP307" s="0" t="s">
        <v>411</v>
      </c>
      <c r="BP307" s="0" t="n">
        <v>0</v>
      </c>
      <c r="BQ307" s="0" t="n">
        <v>0</v>
      </c>
      <c r="BR307" s="0" t="n">
        <v>1</v>
      </c>
      <c r="BS307" s="0" t="s">
        <v>3261</v>
      </c>
      <c r="BT307" s="0" t="s">
        <v>3262</v>
      </c>
      <c r="BU307" s="0" t="s">
        <v>3263</v>
      </c>
      <c r="BV307" s="123"/>
      <c r="BW307" s="123"/>
      <c r="BX307" s="123"/>
      <c r="BY307" s="123"/>
      <c r="BZ307" s="0" t="n">
        <v>0</v>
      </c>
      <c r="CA307" s="0" t="s">
        <v>216</v>
      </c>
      <c r="CD307" s="0" t="s">
        <v>1308</v>
      </c>
      <c r="CE307" s="0" t="n">
        <v>0</v>
      </c>
      <c r="CF307" s="0" t="s">
        <v>3264</v>
      </c>
      <c r="CI307" s="1" t="n">
        <v>39506</v>
      </c>
      <c r="CJ307" s="1" t="n">
        <v>40688</v>
      </c>
      <c r="CK307" s="124" t="s">
        <v>216</v>
      </c>
      <c r="CL307" s="0" t="s">
        <v>216</v>
      </c>
      <c r="CM307" s="0" t="n">
        <f aca="false">IF(OR(CI307="",CJ307=""),"",DAYS360(CI307,CJ307)/360)</f>
        <v>3.24166666666667</v>
      </c>
      <c r="CN307" s="0" t="n">
        <f aca="false">IF(OR(CI307="",CJ307=""),"",DAYS360(CI307,CJ307)/30)</f>
        <v>38.9</v>
      </c>
      <c r="CO307" s="0" t="n">
        <f aca="false">IF(OR(CI307="",CJ307=""),"",DAYS360(CI307,CJ307)/7)</f>
        <v>166.714285714286</v>
      </c>
      <c r="CP307" s="0" t="n">
        <f aca="false">IF(OR(CI307="",CJ307=""),"",DAYS360(CI307,CJ307))</f>
        <v>1167</v>
      </c>
      <c r="CQ307" s="0" t="s">
        <v>240</v>
      </c>
      <c r="CR307" s="0" t="n">
        <v>1</v>
      </c>
      <c r="CT307" s="0" t="s">
        <v>221</v>
      </c>
      <c r="CU307" s="0" t="s">
        <v>221</v>
      </c>
      <c r="CV307" s="0" t="str">
        <f aca="false">IF(OR(CT307="",CT307="NO ESPECIFICA",CT307="NO MENCIONA"),"",IF(CU307=0,CT307,IF(CU307=1,CT307/30,IF(CU307=2,CT307/15,IF(CU307=3,CT307/7,"")))))</f>
        <v/>
      </c>
      <c r="CW307" s="125" t="n">
        <v>9000</v>
      </c>
      <c r="CX307" s="0" t="n">
        <v>1</v>
      </c>
      <c r="CY307" s="0" t="n">
        <f aca="false">IF(CW307="","",IF(CX307=0,CW307,IF(CX307=1,CW307/30,IF(CX307=2,CW307/15,IF(CX307=3,CW307/7,CW307)))))</f>
        <v>300</v>
      </c>
      <c r="CZ307" s="0" t="n">
        <f aca="false">IF(DI307&gt;0,DI307,IF(CY307&gt;0,CY307,IF(CV307&gt;0,CV307,"")))</f>
        <v>300</v>
      </c>
      <c r="DA307" s="0" t="n">
        <f aca="false">IF(DM307=1,CZ307/8,IF(OR(DM307=2,DM307=4),CZ307/7,IF(DM307=3,CZ307/7.5,"")))</f>
        <v>37.5</v>
      </c>
      <c r="DB307" s="0" t="s">
        <v>216</v>
      </c>
      <c r="DC307" s="0" t="s">
        <v>216</v>
      </c>
      <c r="DD307" s="0" t="s">
        <v>216</v>
      </c>
      <c r="DE307" s="0" t="s">
        <v>216</v>
      </c>
      <c r="DF307" s="0" t="s">
        <v>216</v>
      </c>
      <c r="DG307" s="0" t="s">
        <v>216</v>
      </c>
      <c r="DH307" s="0" t="n">
        <v>0</v>
      </c>
      <c r="DI307" s="126" t="n">
        <v>300</v>
      </c>
      <c r="DK307" s="0" t="n">
        <v>0</v>
      </c>
      <c r="DM307" s="0" t="n">
        <v>1</v>
      </c>
      <c r="DN307" s="0" t="n">
        <v>54</v>
      </c>
      <c r="DO307" s="0" t="n">
        <v>3</v>
      </c>
      <c r="DP307" s="0" t="n">
        <v>0</v>
      </c>
      <c r="DQ307" s="0" t="n">
        <v>1</v>
      </c>
      <c r="DR307" s="0"/>
      <c r="DS307" s="0" t="n">
        <v>1</v>
      </c>
      <c r="DU307" s="0" t="n">
        <v>1</v>
      </c>
      <c r="DW307" s="1" t="n">
        <v>40602</v>
      </c>
      <c r="DX307" s="1" t="n">
        <v>40688</v>
      </c>
      <c r="DZ307" s="0"/>
      <c r="EA307" s="0" t="n">
        <v>1</v>
      </c>
      <c r="EC307" s="1" t="n">
        <v>40544</v>
      </c>
      <c r="ED307" s="1" t="n">
        <v>40688</v>
      </c>
      <c r="EF307" s="0"/>
      <c r="EG307" s="0" t="n">
        <v>1</v>
      </c>
      <c r="EH307" s="0" t="n">
        <v>30</v>
      </c>
      <c r="EI307" s="0" t="n">
        <f aca="false">IF(AND(DM307=1,DN307&lt;=48),"",IF(AND(DM307=2,DN307&lt;=42),"",IF(AND(DM307=3,DN307&lt;=45),"",EH307)))</f>
        <v>30</v>
      </c>
      <c r="EJ307" s="0" t="n">
        <f aca="false">IF(EI307="","",IF(EI307&lt;9,EI307,9))</f>
        <v>9</v>
      </c>
      <c r="EK307" s="0" t="n">
        <f aca="false">IF(EI307="","",IF(EI307&gt;9,EI307-EJ307,0))</f>
        <v>21</v>
      </c>
      <c r="EL307" s="0" t="n">
        <f aca="false">IF(EI307="","",EJ307*DA307*2+EK307*DA307*3)</f>
        <v>3037.5</v>
      </c>
      <c r="EO307" s="0" t="n">
        <v>325.6</v>
      </c>
      <c r="EP307" s="0" t="n">
        <v>0</v>
      </c>
      <c r="EQ307" s="0"/>
      <c r="ER307" s="0" t="n">
        <v>0</v>
      </c>
      <c r="ET307" s="0" t="n">
        <v>0</v>
      </c>
      <c r="EV307" s="0" t="n">
        <v>0</v>
      </c>
      <c r="EX307" s="0" t="n">
        <v>0</v>
      </c>
      <c r="EY307" s="0" t="n">
        <v>1</v>
      </c>
      <c r="EZ307" s="0"/>
      <c r="FA307" s="4" t="n">
        <f aca="false">5700</f>
        <v>5700</v>
      </c>
      <c r="FB307" s="0" t="n">
        <v>0</v>
      </c>
      <c r="FF307" s="120" t="n">
        <f aca="false">(CJ307-CI307+1)/365</f>
        <v>3.24109589041096</v>
      </c>
      <c r="FG307" s="0" t="str">
        <f aca="false">CONCATENATE(F307,"/",G307)</f>
        <v>1037/2011</v>
      </c>
      <c r="FH307" s="0" t="n">
        <v>0</v>
      </c>
      <c r="FI307" s="0" t="n">
        <v>0</v>
      </c>
    </row>
    <row r="308" customFormat="false" ht="15" hidden="false" customHeight="false" outlineLevel="0" collapsed="false">
      <c r="A308" s="5" t="str">
        <f aca="false">E308&amp;G308&amp;F308</f>
        <v>720111038</v>
      </c>
      <c r="B308" s="0" t="s">
        <v>3217</v>
      </c>
      <c r="C308" s="1" t="n">
        <v>42406</v>
      </c>
      <c r="D308" s="0" t="s">
        <v>3265</v>
      </c>
      <c r="E308" s="0" t="n">
        <v>7</v>
      </c>
      <c r="F308" s="0" t="n">
        <v>1038</v>
      </c>
      <c r="G308" s="0" t="n">
        <v>2011</v>
      </c>
      <c r="H308" s="0" t="str">
        <f aca="false">"J"&amp;E308&amp;"\"&amp;F308&amp;"\"&amp;G308&amp;"\"&amp;W308</f>
        <v>J7\1038\2011\1</v>
      </c>
      <c r="I308" s="0"/>
      <c r="J308" s="1" t="n">
        <v>40709</v>
      </c>
      <c r="K308" s="0" t="n">
        <v>0</v>
      </c>
      <c r="M308" s="1"/>
      <c r="N308" s="1"/>
      <c r="O308" s="1"/>
      <c r="P308" s="1"/>
      <c r="Q308" s="1"/>
      <c r="T308" s="121"/>
      <c r="U308" s="121"/>
      <c r="V308" s="122" t="n">
        <f aca="false">IF(AND(E308&gt;0,F308&gt;0,G308&gt;0),COUNTIFS($E:$E,E308,$F:$F,F308,$G:$G,G308),"")</f>
        <v>1</v>
      </c>
      <c r="W308" s="122" t="n">
        <f aca="false">IF(V308="","",IF(V308=1,1,IF(AND(E307=E308,F307=F308,G307=G308),W307+1,1)))</f>
        <v>1</v>
      </c>
      <c r="X308" s="0" t="n">
        <v>1</v>
      </c>
      <c r="Y308" s="0" t="n">
        <v>3</v>
      </c>
      <c r="Z308" s="0" t="s">
        <v>3266</v>
      </c>
      <c r="AA308" s="0" t="n">
        <v>0</v>
      </c>
      <c r="AB308" s="0" t="s">
        <v>2941</v>
      </c>
      <c r="AC308" s="0" t="s">
        <v>228</v>
      </c>
      <c r="AD308" s="0" t="s">
        <v>229</v>
      </c>
      <c r="AE308" s="0" t="n">
        <v>0</v>
      </c>
      <c r="AF308" s="0" t="s">
        <v>3267</v>
      </c>
      <c r="AG308" s="0" t="n">
        <v>0</v>
      </c>
      <c r="AH308" s="0" t="s">
        <v>3268</v>
      </c>
      <c r="AI308" s="0" t="s">
        <v>3269</v>
      </c>
      <c r="AJ308" s="0" t="s">
        <v>3270</v>
      </c>
      <c r="AL308" s="0" t="s">
        <v>3271</v>
      </c>
      <c r="AM308" s="0" t="n">
        <v>1</v>
      </c>
      <c r="AN308" s="0" t="s">
        <v>3268</v>
      </c>
      <c r="AO308" s="0" t="s">
        <v>3269</v>
      </c>
      <c r="AP308" s="0" t="s">
        <v>3270</v>
      </c>
      <c r="AR308" s="0" t="s">
        <v>1880</v>
      </c>
      <c r="AS308" s="0" t="n">
        <v>1</v>
      </c>
      <c r="AT308" s="0" t="s">
        <v>3268</v>
      </c>
      <c r="AU308" s="0" t="s">
        <v>3269</v>
      </c>
      <c r="AV308" s="0" t="s">
        <v>3270</v>
      </c>
      <c r="BP308" s="0" t="n">
        <v>0</v>
      </c>
      <c r="BQ308" s="0" t="n">
        <v>0</v>
      </c>
      <c r="BR308" s="0" t="n">
        <v>3</v>
      </c>
      <c r="BS308" s="0" t="s">
        <v>3272</v>
      </c>
      <c r="BT308" s="0" t="s">
        <v>1818</v>
      </c>
      <c r="BU308" s="0" t="s">
        <v>1841</v>
      </c>
      <c r="BV308" s="123"/>
      <c r="BW308" s="123"/>
      <c r="BX308" s="123"/>
      <c r="BY308" s="123"/>
      <c r="BZ308" s="0" t="n">
        <v>0</v>
      </c>
      <c r="CA308" s="0" t="s">
        <v>348</v>
      </c>
      <c r="CD308" s="0" t="s">
        <v>256</v>
      </c>
      <c r="CE308" s="0" t="n">
        <v>0</v>
      </c>
      <c r="CF308" s="0" t="s">
        <v>3273</v>
      </c>
      <c r="CI308" s="1" t="n">
        <v>39888</v>
      </c>
      <c r="CJ308" s="1" t="n">
        <v>40651</v>
      </c>
      <c r="CK308" s="124" t="s">
        <v>216</v>
      </c>
      <c r="CL308" s="0" t="s">
        <v>216</v>
      </c>
      <c r="CM308" s="0" t="n">
        <f aca="false">IF(OR(CI308="",CJ308=""),"",DAYS360(CI308,CJ308)/360)</f>
        <v>2.08888888888889</v>
      </c>
      <c r="CN308" s="0" t="n">
        <f aca="false">IF(OR(CI308="",CJ308=""),"",DAYS360(CI308,CJ308)/30)</f>
        <v>25.0666666666667</v>
      </c>
      <c r="CO308" s="0" t="n">
        <f aca="false">IF(OR(CI308="",CJ308=""),"",DAYS360(CI308,CJ308)/7)</f>
        <v>107.428571428571</v>
      </c>
      <c r="CP308" s="0" t="n">
        <f aca="false">IF(OR(CI308="",CJ308=""),"",DAYS360(CI308,CJ308))</f>
        <v>752</v>
      </c>
      <c r="CQ308" s="0" t="s">
        <v>1761</v>
      </c>
      <c r="CR308" s="0" t="n">
        <v>5</v>
      </c>
      <c r="CS308" s="0" t="s">
        <v>1494</v>
      </c>
      <c r="CT308" s="0" t="n">
        <v>416.67</v>
      </c>
      <c r="CU308" s="0" t="n">
        <v>0</v>
      </c>
      <c r="CV308" s="0" t="n">
        <f aca="false">IF(OR(CT308="",CT308="NO ESPECIFICA",CT308="NO MENCIONA"),"",IF(CU308=0,CT308,IF(CU308=1,CT308/30,IF(CU308=2,CT308/15,IF(CU308=3,CT308/7,"")))))</f>
        <v>416.67</v>
      </c>
      <c r="CW308" s="125" t="n">
        <v>436.07</v>
      </c>
      <c r="CX308" s="0" t="n">
        <v>0</v>
      </c>
      <c r="CY308" s="0" t="n">
        <f aca="false">IF(CW308="","",IF(CX308=0,CW308,IF(CX308=1,CW308/30,IF(CX308=2,CW308/15,IF(CX308=3,CW308/7,CW308)))))</f>
        <v>436.07</v>
      </c>
      <c r="CZ308" s="0" t="n">
        <f aca="false">IF(DI308&gt;0,DI308,IF(CY308&gt;0,CY308,IF(CV308&gt;0,CV308,"")))</f>
        <v>436.07</v>
      </c>
      <c r="DA308" s="0" t="n">
        <f aca="false">IF(DM308=1,CZ308/8,IF(OR(DM308=2,DM308=4),CZ308/7,IF(DM308=3,CZ308/7.5,"")))</f>
        <v>54.50875</v>
      </c>
      <c r="DB308" s="0" t="s">
        <v>303</v>
      </c>
      <c r="DC308" s="0" t="s">
        <v>301</v>
      </c>
      <c r="DD308" s="0" t="s">
        <v>216</v>
      </c>
      <c r="DE308" s="0" t="s">
        <v>216</v>
      </c>
      <c r="DF308" s="0" t="s">
        <v>216</v>
      </c>
      <c r="DG308" s="0" t="s">
        <v>216</v>
      </c>
      <c r="DH308" s="0" t="n">
        <v>0</v>
      </c>
      <c r="DI308" s="126" t="n">
        <v>436.07</v>
      </c>
      <c r="DK308" s="0" t="n">
        <v>0</v>
      </c>
      <c r="DM308" s="0" t="n">
        <v>1</v>
      </c>
      <c r="DN308" s="0" t="n">
        <v>42.5</v>
      </c>
      <c r="DO308" s="0" t="n">
        <v>3</v>
      </c>
      <c r="DP308" s="0" t="n">
        <v>0</v>
      </c>
      <c r="DQ308" s="0" t="n">
        <v>0</v>
      </c>
      <c r="DR308" s="0"/>
      <c r="DS308" s="0" t="n">
        <v>0</v>
      </c>
      <c r="DU308" s="0" t="n">
        <v>1</v>
      </c>
      <c r="DW308" s="1" t="n">
        <v>39888</v>
      </c>
      <c r="DX308" s="1" t="n">
        <v>40651</v>
      </c>
      <c r="DZ308" s="0"/>
      <c r="EA308" s="0" t="n">
        <v>1</v>
      </c>
      <c r="EC308" s="1" t="n">
        <v>39888</v>
      </c>
      <c r="ED308" s="1" t="n">
        <v>40651</v>
      </c>
      <c r="EF308" s="0"/>
      <c r="EG308" s="0" t="n">
        <v>0</v>
      </c>
      <c r="EI308" s="0" t="str">
        <f aca="false">IF(AND(DM308=1,DN308&lt;=48),"",IF(AND(DM308=2,DN308&lt;=42),"",IF(AND(DM308=3,DN308&lt;=45),"",EH308)))</f>
        <v/>
      </c>
      <c r="EJ308" s="0" t="str">
        <f aca="false">IF(EI308="","",IF(EI308&lt;9,EI308,9))</f>
        <v/>
      </c>
      <c r="EK308" s="0" t="str">
        <f aca="false">IF(EI308="","",IF(EI308&gt;9,EI308-EJ308,0))</f>
        <v/>
      </c>
      <c r="EL308" s="0" t="str">
        <f aca="false">IF(EI308="","",EJ308*DA308*2+EK308*DA308*3)</f>
        <v/>
      </c>
      <c r="EP308" s="0" t="n">
        <v>0</v>
      </c>
      <c r="EQ308" s="0"/>
      <c r="ER308" s="0" t="n">
        <v>0</v>
      </c>
      <c r="ET308" s="0" t="n">
        <v>0</v>
      </c>
      <c r="EV308" s="0" t="n">
        <v>0</v>
      </c>
      <c r="EX308" s="0" t="n">
        <v>0</v>
      </c>
      <c r="EY308" s="0" t="n">
        <v>0</v>
      </c>
      <c r="EZ308" s="0"/>
      <c r="FA308" s="4" t="n">
        <v>0</v>
      </c>
      <c r="FB308" s="0" t="n">
        <v>1</v>
      </c>
      <c r="FF308" s="120" t="n">
        <f aca="false">(CJ308-CI308+1)/365</f>
        <v>2.09315068493151</v>
      </c>
      <c r="FG308" s="0" t="str">
        <f aca="false">CONCATENATE(F308,"/",G308)</f>
        <v>1038/2011</v>
      </c>
      <c r="FH308" s="0" t="n">
        <v>0</v>
      </c>
      <c r="FI308" s="0" t="n">
        <v>0</v>
      </c>
    </row>
    <row r="309" customFormat="false" ht="15" hidden="false" customHeight="false" outlineLevel="0" collapsed="false">
      <c r="A309" s="5" t="str">
        <f aca="false">E309&amp;G309&amp;F309</f>
        <v>720111063</v>
      </c>
      <c r="B309" s="0" t="s">
        <v>3217</v>
      </c>
      <c r="C309" s="1" t="n">
        <v>42407</v>
      </c>
      <c r="E309" s="0" t="n">
        <v>7</v>
      </c>
      <c r="F309" s="0" t="n">
        <v>1063</v>
      </c>
      <c r="G309" s="0" t="n">
        <v>2011</v>
      </c>
      <c r="H309" s="0" t="str">
        <f aca="false">"J"&amp;E309&amp;"\"&amp;F309&amp;"\"&amp;G309&amp;"\"&amp;W309</f>
        <v>J7\1063\2011\1</v>
      </c>
      <c r="I309" s="0"/>
      <c r="J309" s="1" t="n">
        <v>40714</v>
      </c>
      <c r="K309" s="0" t="n">
        <v>0</v>
      </c>
      <c r="M309" s="1" t="n">
        <v>40714</v>
      </c>
      <c r="N309" s="1" t="n">
        <v>40878</v>
      </c>
      <c r="O309" s="1"/>
      <c r="P309" s="1"/>
      <c r="Q309" s="1"/>
      <c r="T309" s="121"/>
      <c r="U309" s="121"/>
      <c r="V309" s="122" t="n">
        <f aca="false">IF(AND(E309&gt;0,F309&gt;0,G309&gt;0),COUNTIFS($E:$E,E309,$F:$F,F309,$G:$G,G309),"")</f>
        <v>3</v>
      </c>
      <c r="W309" s="122" t="n">
        <f aca="false">IF(V309="","",IF(V309=1,1,IF(AND(E308=E309,F308=F309,G308=G309),W308+1,1)))</f>
        <v>1</v>
      </c>
      <c r="X309" s="0" t="n">
        <v>3</v>
      </c>
      <c r="Y309" s="0" t="n">
        <v>4</v>
      </c>
      <c r="Z309" s="0" t="s">
        <v>3274</v>
      </c>
      <c r="AA309" s="0" t="n">
        <v>0</v>
      </c>
      <c r="AB309" s="0" t="s">
        <v>3275</v>
      </c>
      <c r="AC309" s="0" t="s">
        <v>321</v>
      </c>
      <c r="AD309" s="0" t="s">
        <v>221</v>
      </c>
      <c r="AE309" s="0" t="n">
        <v>0</v>
      </c>
      <c r="AF309" s="0" t="s">
        <v>3276</v>
      </c>
      <c r="AG309" s="0" t="n">
        <v>1</v>
      </c>
      <c r="AH309" s="0" t="s">
        <v>3277</v>
      </c>
      <c r="AI309" s="0" t="s">
        <v>3278</v>
      </c>
      <c r="AJ309" s="0" t="s">
        <v>3279</v>
      </c>
      <c r="AL309" s="0" t="s">
        <v>3280</v>
      </c>
      <c r="AM309" s="0" t="n">
        <v>1</v>
      </c>
      <c r="AN309" s="0" t="s">
        <v>3277</v>
      </c>
      <c r="AO309" s="0" t="s">
        <v>3278</v>
      </c>
      <c r="AP309" s="0" t="s">
        <v>3279</v>
      </c>
      <c r="AR309" s="0" t="s">
        <v>3281</v>
      </c>
      <c r="AS309" s="0" t="n">
        <v>1</v>
      </c>
      <c r="AT309" s="0" t="s">
        <v>3277</v>
      </c>
      <c r="AU309" s="0" t="s">
        <v>3278</v>
      </c>
      <c r="AV309" s="0" t="s">
        <v>3279</v>
      </c>
      <c r="AX309" s="0" t="s">
        <v>1880</v>
      </c>
      <c r="AY309" s="0" t="n">
        <v>1</v>
      </c>
      <c r="AZ309" s="0" t="s">
        <v>3277</v>
      </c>
      <c r="BA309" s="0" t="s">
        <v>3278</v>
      </c>
      <c r="BB309" s="0" t="s">
        <v>3279</v>
      </c>
      <c r="BP309" s="0" t="n">
        <v>0</v>
      </c>
      <c r="BQ309" s="0" t="n">
        <v>0</v>
      </c>
      <c r="BR309" s="0" t="n">
        <v>1</v>
      </c>
      <c r="BS309" s="0" t="s">
        <v>3282</v>
      </c>
      <c r="BT309" s="0" t="s">
        <v>3283</v>
      </c>
      <c r="BU309" s="0" t="s">
        <v>3284</v>
      </c>
      <c r="BV309" s="123"/>
      <c r="BW309" s="123"/>
      <c r="BX309" s="123"/>
      <c r="BY309" s="123"/>
      <c r="BZ309" s="0" t="n">
        <v>0</v>
      </c>
      <c r="CA309" s="0" t="s">
        <v>216</v>
      </c>
      <c r="CD309" s="0" t="s">
        <v>256</v>
      </c>
      <c r="CE309" s="0" t="n">
        <v>0</v>
      </c>
      <c r="CF309" s="0" t="s">
        <v>3285</v>
      </c>
      <c r="CI309" s="1" t="n">
        <v>39083</v>
      </c>
      <c r="CJ309" s="1" t="n">
        <v>40652</v>
      </c>
      <c r="CK309" s="124" t="n">
        <v>0.375</v>
      </c>
      <c r="CL309" s="0" t="s">
        <v>3276</v>
      </c>
      <c r="CM309" s="0" t="n">
        <f aca="false">IF(OR(CI309="",CJ309=""),"",DAYS360(CI309,CJ309)/360)</f>
        <v>4.3</v>
      </c>
      <c r="CN309" s="0" t="n">
        <f aca="false">IF(OR(CI309="",CJ309=""),"",DAYS360(CI309,CJ309)/30)</f>
        <v>51.6</v>
      </c>
      <c r="CO309" s="0" t="n">
        <f aca="false">IF(OR(CI309="",CJ309=""),"",DAYS360(CI309,CJ309)/7)</f>
        <v>221.142857142857</v>
      </c>
      <c r="CP309" s="0" t="n">
        <f aca="false">IF(OR(CI309="",CJ309=""),"",DAYS360(CI309,CJ309))</f>
        <v>1548</v>
      </c>
      <c r="CQ309" s="0" t="s">
        <v>240</v>
      </c>
      <c r="CR309" s="0" t="n">
        <v>1</v>
      </c>
      <c r="CT309" s="0" t="n">
        <v>400</v>
      </c>
      <c r="CU309" s="0" t="n">
        <v>0</v>
      </c>
      <c r="CV309" s="0" t="n">
        <f aca="false">IF(OR(CT309="",CT309="NO ESPECIFICA",CT309="NO MENCIONA"),"",IF(CU309=0,CT309,IF(CU309=1,CT309/30,IF(CU309=2,CT309/15,IF(CU309=3,CT309/7,"")))))</f>
        <v>400</v>
      </c>
      <c r="CW309" s="125" t="s">
        <v>216</v>
      </c>
      <c r="CX309" s="0" t="s">
        <v>216</v>
      </c>
      <c r="CY309" s="0" t="str">
        <f aca="false">IF(CW309="","",IF(CX309=0,CW309,IF(CX309=1,CW309/30,IF(CX309=2,CW309/15,IF(CX309=3,CW309/7,CW309)))))</f>
        <v>NO MENCIONA</v>
      </c>
      <c r="CZ309" s="0" t="n">
        <f aca="false">IF(DI309&gt;0,DI309,IF(CY309&gt;0,CY309,IF(CV309&gt;0,CV309,"")))</f>
        <v>471.428571428571</v>
      </c>
      <c r="DA309" s="0" t="str">
        <f aca="false">IF(DM309=1,CZ309/8,IF(OR(DM309=2,DM309=4),CZ309/7,IF(DM309=3,CZ309/7.5,"")))</f>
        <v/>
      </c>
      <c r="DB309" s="0" t="s">
        <v>3286</v>
      </c>
      <c r="DC309" s="0" t="s">
        <v>374</v>
      </c>
      <c r="DD309" s="0" t="s">
        <v>2283</v>
      </c>
      <c r="DE309" s="0" t="s">
        <v>216</v>
      </c>
      <c r="DF309" s="0" t="s">
        <v>216</v>
      </c>
      <c r="DG309" s="0" t="s">
        <v>216</v>
      </c>
      <c r="DH309" s="0" t="n">
        <v>0</v>
      </c>
      <c r="DI309" s="126" t="n">
        <f aca="false">400+(500/7)</f>
        <v>471.428571428571</v>
      </c>
      <c r="DK309" s="0" t="n">
        <v>0</v>
      </c>
      <c r="DM309" s="0" t="s">
        <v>221</v>
      </c>
      <c r="DN309" s="0" t="n">
        <v>30</v>
      </c>
      <c r="DO309" s="0" t="n">
        <v>3</v>
      </c>
      <c r="DP309" s="0" t="n">
        <v>0</v>
      </c>
      <c r="DQ309" s="0" t="n">
        <v>1</v>
      </c>
      <c r="DR309" s="0"/>
      <c r="DS309" s="0" t="n">
        <v>1</v>
      </c>
      <c r="DU309" s="0" t="n">
        <v>1</v>
      </c>
      <c r="DW309" s="1" t="n">
        <v>39814</v>
      </c>
      <c r="DX309" s="1" t="n">
        <v>40652</v>
      </c>
      <c r="DZ309" s="0"/>
      <c r="EA309" s="0" t="n">
        <v>1</v>
      </c>
      <c r="EC309" s="1" t="n">
        <v>39814</v>
      </c>
      <c r="ED309" s="1" t="n">
        <v>40652</v>
      </c>
      <c r="EF309" s="0"/>
      <c r="EG309" s="0" t="n">
        <v>1</v>
      </c>
      <c r="EH309" s="0" t="n">
        <v>18</v>
      </c>
      <c r="EI309" s="0" t="n">
        <f aca="false">IF(AND(DM309=1,DN309&lt;=48),"",IF(AND(DM309=2,DN309&lt;=42),"",IF(AND(DM309=3,DN309&lt;=45),"",EH309)))</f>
        <v>18</v>
      </c>
      <c r="EJ309" s="0" t="n">
        <f aca="false">IF(EI309="","",IF(EI309&lt;9,EI309,9))</f>
        <v>9</v>
      </c>
      <c r="EK309" s="0" t="n">
        <f aca="false">IF(EI309="","",IF(EI309&gt;9,EI309-EJ309,0))</f>
        <v>9</v>
      </c>
      <c r="EL309" s="0" t="e">
        <f aca="false">IF(EI309="","",EJ309*DA309*2+EK309*DA309*3)</f>
        <v>#VALUE!</v>
      </c>
      <c r="EP309" s="0" t="n">
        <v>0</v>
      </c>
      <c r="EQ309" s="0"/>
      <c r="ER309" s="0" t="n">
        <v>1</v>
      </c>
      <c r="ET309" s="0" t="n">
        <v>1</v>
      </c>
      <c r="EV309" s="0" t="n">
        <v>0</v>
      </c>
      <c r="EX309" s="0" t="n">
        <v>1</v>
      </c>
      <c r="EY309" s="0" t="n">
        <v>0</v>
      </c>
      <c r="EZ309" s="0"/>
      <c r="FA309" s="4" t="n">
        <v>0</v>
      </c>
      <c r="FB309" s="0" t="n">
        <v>0</v>
      </c>
      <c r="FF309" s="120" t="n">
        <f aca="false">(CJ309-CI309+1)/365</f>
        <v>4.3013698630137</v>
      </c>
      <c r="FG309" s="0" t="str">
        <f aca="false">CONCATENATE(F309,"/",G309)</f>
        <v>1063/2011</v>
      </c>
      <c r="FH309" s="0" t="n">
        <v>0</v>
      </c>
      <c r="FI309" s="0" t="n">
        <v>0</v>
      </c>
    </row>
    <row r="310" customFormat="false" ht="15" hidden="false" customHeight="false" outlineLevel="0" collapsed="false">
      <c r="A310" s="5" t="str">
        <f aca="false">E310&amp;G310&amp;F310</f>
        <v>720111063</v>
      </c>
      <c r="B310" s="0" t="s">
        <v>3217</v>
      </c>
      <c r="C310" s="1" t="n">
        <v>42407</v>
      </c>
      <c r="E310" s="0" t="n">
        <v>7</v>
      </c>
      <c r="F310" s="0" t="n">
        <v>1063</v>
      </c>
      <c r="G310" s="0" t="n">
        <v>2011</v>
      </c>
      <c r="H310" s="0" t="str">
        <f aca="false">"J"&amp;E310&amp;"\"&amp;F310&amp;"\"&amp;G310&amp;"\"&amp;W310</f>
        <v>J7\1063\2011\2</v>
      </c>
      <c r="I310" s="0"/>
      <c r="J310" s="1" t="n">
        <v>40714</v>
      </c>
      <c r="K310" s="0" t="n">
        <v>0</v>
      </c>
      <c r="M310" s="1" t="n">
        <v>40714</v>
      </c>
      <c r="N310" s="1" t="n">
        <v>40878</v>
      </c>
      <c r="O310" s="1"/>
      <c r="P310" s="1"/>
      <c r="Q310" s="1"/>
      <c r="T310" s="121"/>
      <c r="U310" s="121"/>
      <c r="V310" s="122" t="n">
        <f aca="false">IF(AND(E310&gt;0,F310&gt;0,G310&gt;0),COUNTIFS($E:$E,E310,$F:$F,F310,$G:$G,G310),"")</f>
        <v>3</v>
      </c>
      <c r="W310" s="122" t="n">
        <f aca="false">IF(V310="","",IF(V310=1,1,IF(AND(E309=E310,F309=F310,G309=G310),W309+1,1)))</f>
        <v>2</v>
      </c>
      <c r="X310" s="0" t="n">
        <v>3</v>
      </c>
      <c r="Y310" s="0" t="n">
        <v>4</v>
      </c>
      <c r="Z310" s="0" t="s">
        <v>3287</v>
      </c>
      <c r="AA310" s="0" t="n">
        <v>0</v>
      </c>
      <c r="AB310" s="0" t="s">
        <v>3275</v>
      </c>
      <c r="AC310" s="0" t="s">
        <v>321</v>
      </c>
      <c r="AD310" s="0" t="s">
        <v>221</v>
      </c>
      <c r="AE310" s="0" t="n">
        <v>0</v>
      </c>
      <c r="AF310" s="0" t="s">
        <v>3276</v>
      </c>
      <c r="AG310" s="0" t="n">
        <v>1</v>
      </c>
      <c r="AH310" s="0" t="s">
        <v>3277</v>
      </c>
      <c r="AI310" s="0" t="s">
        <v>3278</v>
      </c>
      <c r="AJ310" s="0" t="s">
        <v>3279</v>
      </c>
      <c r="AL310" s="0" t="s">
        <v>3280</v>
      </c>
      <c r="AM310" s="0" t="n">
        <v>1</v>
      </c>
      <c r="AN310" s="0" t="s">
        <v>3277</v>
      </c>
      <c r="AO310" s="0" t="s">
        <v>3278</v>
      </c>
      <c r="AP310" s="0" t="s">
        <v>3279</v>
      </c>
      <c r="AR310" s="0" t="s">
        <v>3281</v>
      </c>
      <c r="AS310" s="0" t="n">
        <v>1</v>
      </c>
      <c r="AT310" s="0" t="s">
        <v>3277</v>
      </c>
      <c r="AU310" s="0" t="s">
        <v>3278</v>
      </c>
      <c r="AV310" s="0" t="s">
        <v>3279</v>
      </c>
      <c r="AX310" s="0" t="s">
        <v>1880</v>
      </c>
      <c r="AY310" s="0" t="n">
        <v>1</v>
      </c>
      <c r="AZ310" s="0" t="s">
        <v>3277</v>
      </c>
      <c r="BA310" s="0" t="s">
        <v>3278</v>
      </c>
      <c r="BB310" s="0" t="s">
        <v>3279</v>
      </c>
      <c r="BP310" s="0" t="n">
        <v>0</v>
      </c>
      <c r="BQ310" s="0" t="n">
        <v>0</v>
      </c>
      <c r="BR310" s="0" t="n">
        <v>1</v>
      </c>
      <c r="BS310" s="0" t="s">
        <v>3282</v>
      </c>
      <c r="BT310" s="0" t="s">
        <v>3283</v>
      </c>
      <c r="BU310" s="0" t="s">
        <v>3284</v>
      </c>
      <c r="BV310" s="123"/>
      <c r="BW310" s="123"/>
      <c r="BX310" s="123"/>
      <c r="BY310" s="123"/>
      <c r="BZ310" s="0" t="n">
        <v>0</v>
      </c>
      <c r="CA310" s="0" t="s">
        <v>216</v>
      </c>
      <c r="CD310" s="0" t="s">
        <v>256</v>
      </c>
      <c r="CE310" s="0" t="n">
        <v>0</v>
      </c>
      <c r="CF310" s="0" t="s">
        <v>3288</v>
      </c>
      <c r="CI310" s="1" t="n">
        <v>39083</v>
      </c>
      <c r="CJ310" s="1" t="n">
        <v>40652</v>
      </c>
      <c r="CK310" s="124" t="n">
        <v>0.375</v>
      </c>
      <c r="CL310" s="0" t="s">
        <v>3276</v>
      </c>
      <c r="CM310" s="0" t="n">
        <f aca="false">IF(OR(CI310="",CJ310=""),"",DAYS360(CI310,CJ310)/360)</f>
        <v>4.3</v>
      </c>
      <c r="CN310" s="0" t="n">
        <f aca="false">IF(OR(CI310="",CJ310=""),"",DAYS360(CI310,CJ310)/30)</f>
        <v>51.6</v>
      </c>
      <c r="CO310" s="0" t="n">
        <f aca="false">IF(OR(CI310="",CJ310=""),"",DAYS360(CI310,CJ310)/7)</f>
        <v>221.142857142857</v>
      </c>
      <c r="CP310" s="0" t="n">
        <f aca="false">IF(OR(CI310="",CJ310=""),"",DAYS360(CI310,CJ310))</f>
        <v>1548</v>
      </c>
      <c r="CQ310" s="0" t="s">
        <v>240</v>
      </c>
      <c r="CR310" s="0" t="n">
        <v>1</v>
      </c>
      <c r="CT310" s="0" t="n">
        <v>350</v>
      </c>
      <c r="CU310" s="0" t="n">
        <v>0</v>
      </c>
      <c r="CV310" s="0" t="n">
        <f aca="false">IF(OR(CT310="",CT310="NO ESPECIFICA",CT310="NO MENCIONA"),"",IF(CU310=0,CT310,IF(CU310=1,CT310/30,IF(CU310=2,CT310/15,IF(CU310=3,CT310/7,"")))))</f>
        <v>350</v>
      </c>
      <c r="CW310" s="125" t="s">
        <v>216</v>
      </c>
      <c r="CX310" s="0" t="s">
        <v>216</v>
      </c>
      <c r="CY310" s="0" t="str">
        <f aca="false">IF(CW310="","",IF(CX310=0,CW310,IF(CX310=1,CW310/30,IF(CX310=2,CW310/15,IF(CX310=3,CW310/7,CW310)))))</f>
        <v>NO MENCIONA</v>
      </c>
      <c r="CZ310" s="0" t="n">
        <f aca="false">IF(DI310&gt;0,DI310,IF(CY310&gt;0,CY310,IF(CV310&gt;0,CV310,"")))</f>
        <v>421.428571428571</v>
      </c>
      <c r="DA310" s="0" t="str">
        <f aca="false">IF(DM310=1,CZ310/8,IF(OR(DM310=2,DM310=4),CZ310/7,IF(DM310=3,CZ310/7.5,"")))</f>
        <v/>
      </c>
      <c r="DB310" s="0" t="s">
        <v>3286</v>
      </c>
      <c r="DC310" s="0" t="s">
        <v>374</v>
      </c>
      <c r="DD310" s="0" t="s">
        <v>2283</v>
      </c>
      <c r="DE310" s="0" t="s">
        <v>216</v>
      </c>
      <c r="DF310" s="0" t="s">
        <v>216</v>
      </c>
      <c r="DG310" s="0" t="s">
        <v>216</v>
      </c>
      <c r="DH310" s="0" t="n">
        <v>0</v>
      </c>
      <c r="DI310" s="126" t="n">
        <f aca="false">350+(500/7)</f>
        <v>421.428571428571</v>
      </c>
      <c r="DK310" s="0" t="n">
        <v>0</v>
      </c>
      <c r="DM310" s="0" t="s">
        <v>221</v>
      </c>
      <c r="DN310" s="0" t="n">
        <v>30</v>
      </c>
      <c r="DO310" s="0" t="n">
        <v>3</v>
      </c>
      <c r="DP310" s="0" t="n">
        <v>0</v>
      </c>
      <c r="DQ310" s="0" t="n">
        <v>1</v>
      </c>
      <c r="DR310" s="0"/>
      <c r="DS310" s="0" t="n">
        <v>1</v>
      </c>
      <c r="DU310" s="0" t="n">
        <v>1</v>
      </c>
      <c r="DW310" s="1" t="n">
        <v>39814</v>
      </c>
      <c r="DX310" s="1" t="n">
        <v>40652</v>
      </c>
      <c r="DZ310" s="0"/>
      <c r="EA310" s="0" t="n">
        <v>1</v>
      </c>
      <c r="EC310" s="1" t="n">
        <v>39814</v>
      </c>
      <c r="ED310" s="1" t="n">
        <v>40652</v>
      </c>
      <c r="EF310" s="0"/>
      <c r="EG310" s="0" t="n">
        <v>1</v>
      </c>
      <c r="EH310" s="0" t="n">
        <v>18</v>
      </c>
      <c r="EI310" s="0" t="n">
        <f aca="false">IF(AND(DM310=1,DN310&lt;=48),"",IF(AND(DM310=2,DN310&lt;=42),"",IF(AND(DM310=3,DN310&lt;=45),"",EH310)))</f>
        <v>18</v>
      </c>
      <c r="EJ310" s="0" t="n">
        <f aca="false">IF(EI310="","",IF(EI310&lt;9,EI310,9))</f>
        <v>9</v>
      </c>
      <c r="EK310" s="0" t="n">
        <f aca="false">IF(EI310="","",IF(EI310&gt;9,EI310-EJ310,0))</f>
        <v>9</v>
      </c>
      <c r="EL310" s="0" t="e">
        <f aca="false">IF(EI310="","",EJ310*DA310*2+EK310*DA310*3)</f>
        <v>#VALUE!</v>
      </c>
      <c r="EP310" s="0" t="n">
        <v>0</v>
      </c>
      <c r="EQ310" s="0"/>
      <c r="ER310" s="0" t="n">
        <v>1</v>
      </c>
      <c r="ET310" s="0" t="n">
        <v>1</v>
      </c>
      <c r="EV310" s="0" t="n">
        <v>0</v>
      </c>
      <c r="EX310" s="0" t="n">
        <v>1</v>
      </c>
      <c r="EY310" s="0" t="n">
        <v>0</v>
      </c>
      <c r="EZ310" s="0"/>
      <c r="FA310" s="4" t="n">
        <v>0</v>
      </c>
      <c r="FB310" s="0" t="n">
        <v>0</v>
      </c>
      <c r="FF310" s="120" t="n">
        <f aca="false">(CJ310-CI310+1)/365</f>
        <v>4.3013698630137</v>
      </c>
      <c r="FG310" s="0" t="str">
        <f aca="false">CONCATENATE(F310,"/",G310)</f>
        <v>1063/2011</v>
      </c>
      <c r="FH310" s="0" t="n">
        <v>0</v>
      </c>
      <c r="FI310" s="0" t="n">
        <v>0</v>
      </c>
    </row>
    <row r="311" customFormat="false" ht="15" hidden="false" customHeight="false" outlineLevel="0" collapsed="false">
      <c r="A311" s="5" t="str">
        <f aca="false">E311&amp;G311&amp;F311</f>
        <v>720111063</v>
      </c>
      <c r="B311" s="0" t="s">
        <v>3217</v>
      </c>
      <c r="C311" s="1" t="n">
        <v>42407</v>
      </c>
      <c r="E311" s="0" t="n">
        <v>7</v>
      </c>
      <c r="F311" s="0" t="n">
        <v>1063</v>
      </c>
      <c r="G311" s="0" t="n">
        <v>2011</v>
      </c>
      <c r="H311" s="0" t="str">
        <f aca="false">"J"&amp;E311&amp;"\"&amp;F311&amp;"\"&amp;G311&amp;"\"&amp;W311</f>
        <v>J7\1063\2011\3</v>
      </c>
      <c r="I311" s="0"/>
      <c r="J311" s="1" t="n">
        <v>40714</v>
      </c>
      <c r="K311" s="0" t="n">
        <v>0</v>
      </c>
      <c r="M311" s="1" t="n">
        <v>40714</v>
      </c>
      <c r="N311" s="1" t="n">
        <v>40878</v>
      </c>
      <c r="O311" s="1"/>
      <c r="P311" s="1"/>
      <c r="Q311" s="1"/>
      <c r="T311" s="121"/>
      <c r="U311" s="121"/>
      <c r="V311" s="122" t="n">
        <f aca="false">IF(AND(E311&gt;0,F311&gt;0,G311&gt;0),COUNTIFS($E:$E,E311,$F:$F,F311,$G:$G,G311),"")</f>
        <v>3</v>
      </c>
      <c r="W311" s="122" t="n">
        <f aca="false">IF(V311="","",IF(V311=1,1,IF(AND(E310=E311,F310=F311,G310=G311),W310+1,1)))</f>
        <v>3</v>
      </c>
      <c r="X311" s="0" t="n">
        <v>3</v>
      </c>
      <c r="Y311" s="0" t="n">
        <v>4</v>
      </c>
      <c r="Z311" s="0" t="s">
        <v>3289</v>
      </c>
      <c r="AA311" s="0" t="n">
        <v>0</v>
      </c>
      <c r="AB311" s="0" t="s">
        <v>3275</v>
      </c>
      <c r="AC311" s="0" t="s">
        <v>321</v>
      </c>
      <c r="AD311" s="0" t="s">
        <v>221</v>
      </c>
      <c r="AE311" s="0" t="n">
        <v>0</v>
      </c>
      <c r="AF311" s="0" t="s">
        <v>3276</v>
      </c>
      <c r="AG311" s="0" t="n">
        <v>1</v>
      </c>
      <c r="AH311" s="0" t="s">
        <v>3277</v>
      </c>
      <c r="AI311" s="0" t="s">
        <v>3278</v>
      </c>
      <c r="AJ311" s="0" t="s">
        <v>3279</v>
      </c>
      <c r="AL311" s="0" t="s">
        <v>3280</v>
      </c>
      <c r="AM311" s="0" t="n">
        <v>1</v>
      </c>
      <c r="AN311" s="0" t="s">
        <v>3277</v>
      </c>
      <c r="AO311" s="0" t="s">
        <v>3278</v>
      </c>
      <c r="AP311" s="0" t="s">
        <v>3279</v>
      </c>
      <c r="AR311" s="0" t="s">
        <v>3281</v>
      </c>
      <c r="AS311" s="0" t="n">
        <v>1</v>
      </c>
      <c r="AT311" s="0" t="s">
        <v>3277</v>
      </c>
      <c r="AU311" s="0" t="s">
        <v>3278</v>
      </c>
      <c r="AV311" s="0" t="s">
        <v>3279</v>
      </c>
      <c r="AX311" s="0" t="s">
        <v>1880</v>
      </c>
      <c r="AY311" s="0" t="n">
        <v>1</v>
      </c>
      <c r="AZ311" s="0" t="s">
        <v>3277</v>
      </c>
      <c r="BA311" s="0" t="s">
        <v>3278</v>
      </c>
      <c r="BB311" s="0" t="s">
        <v>3279</v>
      </c>
      <c r="BP311" s="0" t="n">
        <v>0</v>
      </c>
      <c r="BQ311" s="0" t="n">
        <v>0</v>
      </c>
      <c r="BR311" s="0" t="n">
        <v>1</v>
      </c>
      <c r="BS311" s="0" t="s">
        <v>3282</v>
      </c>
      <c r="BT311" s="0" t="s">
        <v>3283</v>
      </c>
      <c r="BU311" s="0" t="s">
        <v>3284</v>
      </c>
      <c r="BV311" s="123"/>
      <c r="BW311" s="123"/>
      <c r="BX311" s="123"/>
      <c r="BY311" s="123"/>
      <c r="BZ311" s="0" t="n">
        <v>0</v>
      </c>
      <c r="CA311" s="0" t="s">
        <v>216</v>
      </c>
      <c r="CD311" s="0" t="s">
        <v>256</v>
      </c>
      <c r="CE311" s="0" t="n">
        <v>0</v>
      </c>
      <c r="CF311" s="0" t="s">
        <v>257</v>
      </c>
      <c r="CI311" s="1" t="n">
        <v>39083</v>
      </c>
      <c r="CJ311" s="1" t="n">
        <v>40652</v>
      </c>
      <c r="CK311" s="124" t="n">
        <v>0.375</v>
      </c>
      <c r="CL311" s="0" t="s">
        <v>3276</v>
      </c>
      <c r="CM311" s="0" t="n">
        <f aca="false">IF(OR(CI311="",CJ311=""),"",DAYS360(CI311,CJ311)/360)</f>
        <v>4.3</v>
      </c>
      <c r="CN311" s="0" t="n">
        <f aca="false">IF(OR(CI311="",CJ311=""),"",DAYS360(CI311,CJ311)/30)</f>
        <v>51.6</v>
      </c>
      <c r="CO311" s="0" t="n">
        <f aca="false">IF(OR(CI311="",CJ311=""),"",DAYS360(CI311,CJ311)/7)</f>
        <v>221.142857142857</v>
      </c>
      <c r="CP311" s="0" t="n">
        <f aca="false">IF(OR(CI311="",CJ311=""),"",DAYS360(CI311,CJ311))</f>
        <v>1548</v>
      </c>
      <c r="CQ311" s="0" t="s">
        <v>240</v>
      </c>
      <c r="CR311" s="0" t="n">
        <v>1</v>
      </c>
      <c r="CT311" s="0" t="n">
        <v>300</v>
      </c>
      <c r="CU311" s="0" t="n">
        <v>0</v>
      </c>
      <c r="CV311" s="0" t="n">
        <f aca="false">IF(OR(CT311="",CT311="NO ESPECIFICA",CT311="NO MENCIONA"),"",IF(CU311=0,CT311,IF(CU311=1,CT311/30,IF(CU311=2,CT311/15,IF(CU311=3,CT311/7,"")))))</f>
        <v>300</v>
      </c>
      <c r="CW311" s="125" t="s">
        <v>216</v>
      </c>
      <c r="CX311" s="0" t="s">
        <v>216</v>
      </c>
      <c r="CY311" s="0" t="str">
        <f aca="false">IF(CW311="","",IF(CX311=0,CW311,IF(CX311=1,CW311/30,IF(CX311=2,CW311/15,IF(CX311=3,CW311/7,CW311)))))</f>
        <v>NO MENCIONA</v>
      </c>
      <c r="CZ311" s="0" t="n">
        <f aca="false">IF(DI311&gt;0,DI311,IF(CY311&gt;0,CY311,IF(CV311&gt;0,CV311,"")))</f>
        <v>371.428571428571</v>
      </c>
      <c r="DA311" s="0" t="str">
        <f aca="false">IF(DM311=1,CZ311/8,IF(OR(DM311=2,DM311=4),CZ311/7,IF(DM311=3,CZ311/7.5,"")))</f>
        <v/>
      </c>
      <c r="DB311" s="0" t="s">
        <v>3286</v>
      </c>
      <c r="DC311" s="0" t="s">
        <v>374</v>
      </c>
      <c r="DD311" s="0" t="s">
        <v>2283</v>
      </c>
      <c r="DE311" s="0" t="s">
        <v>216</v>
      </c>
      <c r="DF311" s="0" t="s">
        <v>216</v>
      </c>
      <c r="DG311" s="0" t="s">
        <v>216</v>
      </c>
      <c r="DH311" s="0" t="n">
        <v>0</v>
      </c>
      <c r="DI311" s="126" t="n">
        <f aca="false">300+(500/7)</f>
        <v>371.428571428571</v>
      </c>
      <c r="DK311" s="0" t="n">
        <v>0</v>
      </c>
      <c r="DM311" s="0" t="s">
        <v>221</v>
      </c>
      <c r="DN311" s="0" t="n">
        <v>30</v>
      </c>
      <c r="DO311" s="0" t="n">
        <v>3</v>
      </c>
      <c r="DP311" s="0" t="n">
        <v>0</v>
      </c>
      <c r="DQ311" s="0" t="n">
        <v>1</v>
      </c>
      <c r="DR311" s="0"/>
      <c r="DS311" s="0" t="n">
        <v>1</v>
      </c>
      <c r="DU311" s="0" t="n">
        <v>1</v>
      </c>
      <c r="DW311" s="1" t="n">
        <v>39814</v>
      </c>
      <c r="DX311" s="1" t="n">
        <v>40652</v>
      </c>
      <c r="DZ311" s="0"/>
      <c r="EA311" s="0" t="n">
        <v>1</v>
      </c>
      <c r="EC311" s="1" t="n">
        <v>39814</v>
      </c>
      <c r="ED311" s="1" t="n">
        <v>40652</v>
      </c>
      <c r="EF311" s="0"/>
      <c r="EG311" s="0" t="n">
        <v>1</v>
      </c>
      <c r="EH311" s="0" t="n">
        <v>18</v>
      </c>
      <c r="EI311" s="0" t="n">
        <f aca="false">IF(AND(DM311=1,DN311&lt;=48),"",IF(AND(DM311=2,DN311&lt;=42),"",IF(AND(DM311=3,DN311&lt;=45),"",EH311)))</f>
        <v>18</v>
      </c>
      <c r="EJ311" s="0" t="n">
        <f aca="false">IF(EI311="","",IF(EI311&lt;9,EI311,9))</f>
        <v>9</v>
      </c>
      <c r="EK311" s="0" t="n">
        <f aca="false">IF(EI311="","",IF(EI311&gt;9,EI311-EJ311,0))</f>
        <v>9</v>
      </c>
      <c r="EL311" s="0" t="e">
        <f aca="false">IF(EI311="","",EJ311*DA311*2+EK311*DA311*3)</f>
        <v>#VALUE!</v>
      </c>
      <c r="EP311" s="0" t="n">
        <v>0</v>
      </c>
      <c r="EQ311" s="0"/>
      <c r="ER311" s="0" t="n">
        <v>1</v>
      </c>
      <c r="ET311" s="0" t="n">
        <v>1</v>
      </c>
      <c r="EV311" s="0" t="n">
        <v>0</v>
      </c>
      <c r="EX311" s="0" t="n">
        <v>1</v>
      </c>
      <c r="EY311" s="0" t="n">
        <v>0</v>
      </c>
      <c r="EZ311" s="0"/>
      <c r="FA311" s="4" t="n">
        <v>0</v>
      </c>
      <c r="FB311" s="0" t="n">
        <v>0</v>
      </c>
      <c r="FF311" s="120" t="n">
        <f aca="false">(CJ311-CI311+1)/365</f>
        <v>4.3013698630137</v>
      </c>
      <c r="FG311" s="0" t="str">
        <f aca="false">CONCATENATE(F311,"/",G311)</f>
        <v>1063/2011</v>
      </c>
      <c r="FH311" s="0" t="n">
        <v>0</v>
      </c>
      <c r="FI311" s="0" t="n">
        <v>0</v>
      </c>
    </row>
    <row r="312" customFormat="false" ht="15" hidden="false" customHeight="false" outlineLevel="0" collapsed="false">
      <c r="A312" s="5" t="str">
        <f aca="false">E312&amp;G312&amp;F312</f>
        <v>720111065</v>
      </c>
      <c r="B312" s="0" t="s">
        <v>3217</v>
      </c>
      <c r="C312" s="1" t="n">
        <v>42407</v>
      </c>
      <c r="D312" s="0" t="s">
        <v>3290</v>
      </c>
      <c r="E312" s="0" t="n">
        <v>7</v>
      </c>
      <c r="F312" s="0" t="n">
        <v>1065</v>
      </c>
      <c r="G312" s="0" t="n">
        <v>2011</v>
      </c>
      <c r="H312" s="0" t="str">
        <f aca="false">"J"&amp;E312&amp;"\"&amp;F312&amp;"\"&amp;G312&amp;"\"&amp;W312</f>
        <v>J7\1065\2011\1</v>
      </c>
      <c r="I312" s="0"/>
      <c r="J312" s="1" t="n">
        <v>40714</v>
      </c>
      <c r="K312" s="0" t="n">
        <v>0</v>
      </c>
      <c r="M312" s="1"/>
      <c r="N312" s="1"/>
      <c r="O312" s="1"/>
      <c r="P312" s="1"/>
      <c r="Q312" s="1"/>
      <c r="T312" s="121"/>
      <c r="U312" s="121"/>
      <c r="V312" s="122" t="n">
        <f aca="false">IF(AND(E312&gt;0,F312&gt;0,G312&gt;0),COUNTIFS($E:$E,E312,$F:$F,F312,$G:$G,G312),"")</f>
        <v>1</v>
      </c>
      <c r="W312" s="122" t="n">
        <f aca="false">IF(V312="","",IF(V312=1,1,IF(AND(E311=E312,F311=F312,G311=G312),W311+1,1)))</f>
        <v>1</v>
      </c>
      <c r="X312" s="0" t="n">
        <v>1</v>
      </c>
      <c r="Y312" s="0" t="n">
        <v>6</v>
      </c>
      <c r="Z312" s="0" t="s">
        <v>3291</v>
      </c>
      <c r="AA312" s="0" t="n">
        <v>0</v>
      </c>
      <c r="AB312" s="0" t="s">
        <v>3292</v>
      </c>
      <c r="AC312" s="0" t="s">
        <v>789</v>
      </c>
      <c r="AD312" s="0" t="s">
        <v>229</v>
      </c>
      <c r="AE312" s="0" t="n">
        <v>0</v>
      </c>
      <c r="AF312" s="0" t="s">
        <v>3293</v>
      </c>
      <c r="AG312" s="0" t="n">
        <v>0</v>
      </c>
      <c r="AH312" s="0" t="s">
        <v>3294</v>
      </c>
      <c r="AI312" s="0" t="s">
        <v>3295</v>
      </c>
      <c r="AJ312" s="0" t="s">
        <v>207</v>
      </c>
      <c r="AL312" s="0" t="s">
        <v>3296</v>
      </c>
      <c r="AM312" s="0" t="n">
        <v>1</v>
      </c>
      <c r="AN312" s="0" t="s">
        <v>3294</v>
      </c>
      <c r="AO312" s="0" t="s">
        <v>3295</v>
      </c>
      <c r="AP312" s="0" t="s">
        <v>207</v>
      </c>
      <c r="AR312" s="0" t="s">
        <v>3297</v>
      </c>
      <c r="AS312" s="0" t="n">
        <v>0</v>
      </c>
      <c r="AT312" s="0" t="s">
        <v>3294</v>
      </c>
      <c r="AU312" s="0" t="s">
        <v>3295</v>
      </c>
      <c r="AV312" s="0" t="s">
        <v>207</v>
      </c>
      <c r="AX312" s="0" t="s">
        <v>1880</v>
      </c>
      <c r="AY312" s="0" t="n">
        <v>1</v>
      </c>
      <c r="AZ312" s="0" t="s">
        <v>3294</v>
      </c>
      <c r="BA312" s="0" t="s">
        <v>3295</v>
      </c>
      <c r="BB312" s="0" t="s">
        <v>207</v>
      </c>
      <c r="BD312" s="0" t="s">
        <v>249</v>
      </c>
      <c r="BE312" s="0" t="n">
        <v>0</v>
      </c>
      <c r="BF312" s="0" t="s">
        <v>964</v>
      </c>
      <c r="BG312" s="0" t="s">
        <v>410</v>
      </c>
      <c r="BH312" s="0" t="s">
        <v>411</v>
      </c>
      <c r="BJ312" s="0" t="s">
        <v>412</v>
      </c>
      <c r="BK312" s="0" t="n">
        <v>0</v>
      </c>
      <c r="BL312" s="0" t="s">
        <v>437</v>
      </c>
      <c r="BM312" s="0" t="s">
        <v>438</v>
      </c>
      <c r="BN312" s="0" t="s">
        <v>352</v>
      </c>
      <c r="BP312" s="0" t="n">
        <v>0</v>
      </c>
      <c r="BQ312" s="0" t="n">
        <v>0</v>
      </c>
      <c r="BR312" s="0" t="n">
        <v>1</v>
      </c>
      <c r="BS312" s="0" t="s">
        <v>3298</v>
      </c>
      <c r="BT312" s="0" t="s">
        <v>3299</v>
      </c>
      <c r="BU312" s="0" t="s">
        <v>3300</v>
      </c>
      <c r="BV312" s="123"/>
      <c r="BW312" s="123"/>
      <c r="BX312" s="123"/>
      <c r="BY312" s="123"/>
      <c r="BZ312" s="0" t="n">
        <v>0</v>
      </c>
      <c r="CA312" s="0" t="s">
        <v>3301</v>
      </c>
      <c r="CD312" s="0" t="s">
        <v>216</v>
      </c>
      <c r="CE312" s="0" t="n">
        <v>0</v>
      </c>
      <c r="CF312" s="0" t="s">
        <v>3302</v>
      </c>
      <c r="CI312" s="1" t="n">
        <v>39933</v>
      </c>
      <c r="CJ312" s="1" t="n">
        <v>40498</v>
      </c>
      <c r="CK312" s="124" t="s">
        <v>216</v>
      </c>
      <c r="CL312" s="0" t="s">
        <v>216</v>
      </c>
      <c r="CM312" s="0" t="n">
        <f aca="false">IF(OR(CI312="",CJ312=""),"",DAYS360(CI312,CJ312)/360)</f>
        <v>1.54444444444444</v>
      </c>
      <c r="CN312" s="0" t="n">
        <f aca="false">IF(OR(CI312="",CJ312=""),"",DAYS360(CI312,CJ312)/30)</f>
        <v>18.5333333333333</v>
      </c>
      <c r="CO312" s="0" t="n">
        <f aca="false">IF(OR(CI312="",CJ312=""),"",DAYS360(CI312,CJ312)/7)</f>
        <v>79.4285714285714</v>
      </c>
      <c r="CP312" s="0" t="n">
        <f aca="false">IF(OR(CI312="",CJ312=""),"",DAYS360(CI312,CJ312))</f>
        <v>556</v>
      </c>
      <c r="CQ312" s="0" t="s">
        <v>1761</v>
      </c>
      <c r="CR312" s="0" t="n">
        <v>5</v>
      </c>
      <c r="CS312" s="0" t="s">
        <v>1494</v>
      </c>
      <c r="CT312" s="0" t="s">
        <v>221</v>
      </c>
      <c r="CU312" s="0" t="s">
        <v>221</v>
      </c>
      <c r="CV312" s="0" t="str">
        <f aca="false">IF(OR(CT312="",CT312="NO ESPECIFICA",CT312="NO MENCIONA"),"",IF(CU312=0,CT312,IF(CU312=1,CT312/30,IF(CU312=2,CT312/15,IF(CU312=3,CT312/7,"")))))</f>
        <v/>
      </c>
      <c r="CW312" s="125" t="n">
        <v>666.66</v>
      </c>
      <c r="CX312" s="0" t="n">
        <v>0</v>
      </c>
      <c r="CY312" s="0" t="n">
        <f aca="false">IF(CW312="","",IF(CX312=0,CW312,IF(CX312=1,CW312/30,IF(CX312=2,CW312/15,IF(CX312=3,CW312/7,CW312)))))</f>
        <v>666.66</v>
      </c>
      <c r="CZ312" s="0" t="n">
        <f aca="false">IF(DI312&gt;0,DI312,IF(CY312&gt;0,CY312,IF(CV312&gt;0,CV312,"")))</f>
        <v>666.66</v>
      </c>
      <c r="DA312" s="0" t="str">
        <f aca="false">IF(DM312=1,CZ312/8,IF(OR(DM312=2,DM312=4),CZ312/7,IF(DM312=3,CZ312/7.5,"")))</f>
        <v/>
      </c>
      <c r="DB312" s="0" t="s">
        <v>216</v>
      </c>
      <c r="DC312" s="0" t="s">
        <v>216</v>
      </c>
      <c r="DD312" s="0" t="s">
        <v>216</v>
      </c>
      <c r="DE312" s="0" t="s">
        <v>216</v>
      </c>
      <c r="DF312" s="0" t="s">
        <v>216</v>
      </c>
      <c r="DG312" s="0" t="s">
        <v>216</v>
      </c>
      <c r="DH312" s="0" t="n">
        <v>0</v>
      </c>
      <c r="DI312" s="126" t="n">
        <v>666.66</v>
      </c>
      <c r="DK312" s="0" t="n">
        <v>0</v>
      </c>
      <c r="DM312" s="0" t="s">
        <v>221</v>
      </c>
      <c r="DN312" s="0" t="s">
        <v>221</v>
      </c>
      <c r="DO312" s="0" t="s">
        <v>221</v>
      </c>
      <c r="DP312" s="0" t="n">
        <v>0</v>
      </c>
      <c r="DQ312" s="0" t="n">
        <v>0</v>
      </c>
      <c r="DR312" s="0"/>
      <c r="DS312" s="0" t="n">
        <v>0</v>
      </c>
      <c r="DU312" s="0" t="n">
        <v>1</v>
      </c>
      <c r="DW312" s="1" t="n">
        <v>39933</v>
      </c>
      <c r="DX312" s="1" t="n">
        <v>40498</v>
      </c>
      <c r="DZ312" s="0"/>
      <c r="EA312" s="0" t="n">
        <v>1</v>
      </c>
      <c r="EC312" s="1" t="n">
        <v>39933</v>
      </c>
      <c r="ED312" s="1" t="n">
        <v>40498</v>
      </c>
      <c r="EF312" s="0"/>
      <c r="EG312" s="0" t="n">
        <v>0</v>
      </c>
      <c r="EI312" s="0" t="n">
        <f aca="false">IF(AND(DM312=1,DN312&lt;=48),"",IF(AND(DM312=2,DN312&lt;=42),"",IF(AND(DM312=3,DN312&lt;=45),"",EH312)))</f>
        <v>0</v>
      </c>
      <c r="EJ312" s="0" t="str">
        <f aca="false">IF(EI312="","",IF(EI312&lt;9,EI312,9))</f>
        <v/>
      </c>
      <c r="EK312" s="0" t="str">
        <f aca="false">IF(EI312="","",IF(EI312&gt;9,EI312-EJ312,0))</f>
        <v/>
      </c>
      <c r="EL312" s="0" t="str">
        <f aca="false">IF(EI312="","",EJ312*DA312*2+EK312*DA312*3)</f>
        <v/>
      </c>
      <c r="EP312" s="0" t="n">
        <v>0</v>
      </c>
      <c r="EQ312" s="0"/>
      <c r="ER312" s="0" t="n">
        <v>0</v>
      </c>
      <c r="ET312" s="0" t="n">
        <v>0</v>
      </c>
      <c r="EV312" s="0" t="n">
        <v>0</v>
      </c>
      <c r="EX312" s="0" t="n">
        <v>1</v>
      </c>
      <c r="EY312" s="0" t="n">
        <v>0</v>
      </c>
      <c r="EZ312" s="0"/>
      <c r="FA312" s="4" t="n">
        <v>0</v>
      </c>
      <c r="FB312" s="0" t="n">
        <v>0</v>
      </c>
      <c r="FF312" s="120" t="n">
        <f aca="false">(CJ312-CI312+1)/365</f>
        <v>1.55068493150685</v>
      </c>
      <c r="FG312" s="0" t="str">
        <f aca="false">CONCATENATE(F312,"/",G312)</f>
        <v>1065/2011</v>
      </c>
      <c r="FH312" s="0" t="n">
        <v>0</v>
      </c>
      <c r="FI312" s="0" t="n">
        <v>0</v>
      </c>
    </row>
    <row r="313" customFormat="false" ht="15" hidden="false" customHeight="false" outlineLevel="0" collapsed="false">
      <c r="A313" s="5" t="str">
        <f aca="false">E313&amp;G313&amp;F313</f>
        <v>720111070</v>
      </c>
      <c r="B313" s="0" t="s">
        <v>3217</v>
      </c>
      <c r="C313" s="1" t="n">
        <v>42407</v>
      </c>
      <c r="E313" s="0" t="n">
        <v>7</v>
      </c>
      <c r="F313" s="0" t="n">
        <v>1070</v>
      </c>
      <c r="G313" s="0" t="n">
        <v>2011</v>
      </c>
      <c r="H313" s="0" t="str">
        <f aca="false">"J"&amp;E313&amp;"\"&amp;F313&amp;"\"&amp;G313&amp;"\"&amp;W313</f>
        <v>J7\1070\2011\1</v>
      </c>
      <c r="I313" s="0"/>
      <c r="J313" s="1" t="n">
        <v>40715</v>
      </c>
      <c r="K313" s="0" t="n">
        <v>0</v>
      </c>
      <c r="M313" s="1" t="n">
        <v>40715</v>
      </c>
      <c r="N313" s="1" t="n">
        <v>40882</v>
      </c>
      <c r="O313" s="1"/>
      <c r="P313" s="1"/>
      <c r="Q313" s="1"/>
      <c r="T313" s="121"/>
      <c r="U313" s="121"/>
      <c r="V313" s="122" t="n">
        <f aca="false">IF(AND(E313&gt;0,F313&gt;0,G313&gt;0),COUNTIFS($E:$E,E313,$F:$F,F313,$G:$G,G313),"")</f>
        <v>1</v>
      </c>
      <c r="W313" s="122" t="n">
        <f aca="false">IF(V313="","",IF(V313=1,1,IF(AND(E312=E313,F312=F313,G312=G313),W312+1,1)))</f>
        <v>1</v>
      </c>
      <c r="X313" s="0" t="n">
        <v>1</v>
      </c>
      <c r="Y313" s="0" t="n">
        <v>8</v>
      </c>
      <c r="Z313" s="0" t="s">
        <v>3303</v>
      </c>
      <c r="AA313" s="0" t="n">
        <v>0</v>
      </c>
      <c r="AB313" s="0" t="s">
        <v>3304</v>
      </c>
      <c r="AC313" s="0" t="s">
        <v>1827</v>
      </c>
      <c r="AD313" s="0" t="s">
        <v>207</v>
      </c>
      <c r="AE313" s="0" t="n">
        <v>0</v>
      </c>
      <c r="AF313" s="0" t="s">
        <v>2334</v>
      </c>
      <c r="AG313" s="0" t="n">
        <v>0</v>
      </c>
      <c r="AH313" s="0" t="s">
        <v>3305</v>
      </c>
      <c r="AI313" s="0" t="s">
        <v>2640</v>
      </c>
      <c r="AJ313" s="0" t="s">
        <v>207</v>
      </c>
      <c r="AL313" s="0" t="s">
        <v>3306</v>
      </c>
      <c r="AM313" s="0" t="n">
        <v>0</v>
      </c>
      <c r="AN313" s="0" t="s">
        <v>3307</v>
      </c>
      <c r="AO313" s="0" t="s">
        <v>3308</v>
      </c>
      <c r="AP313" s="0" t="s">
        <v>3309</v>
      </c>
      <c r="AR313" s="0" t="s">
        <v>3310</v>
      </c>
      <c r="AS313" s="0" t="n">
        <v>0</v>
      </c>
      <c r="AT313" s="0" t="s">
        <v>3307</v>
      </c>
      <c r="AU313" s="0" t="s">
        <v>3308</v>
      </c>
      <c r="AV313" s="0" t="s">
        <v>3309</v>
      </c>
      <c r="AX313" s="0" t="s">
        <v>3311</v>
      </c>
      <c r="AY313" s="0" t="n">
        <v>1</v>
      </c>
      <c r="AZ313" s="0" t="s">
        <v>3307</v>
      </c>
      <c r="BA313" s="0" t="s">
        <v>3308</v>
      </c>
      <c r="BB313" s="0" t="s">
        <v>3309</v>
      </c>
      <c r="BD313" s="0" t="s">
        <v>3312</v>
      </c>
      <c r="BE313" s="0" t="n">
        <v>1</v>
      </c>
      <c r="BF313" s="0" t="s">
        <v>3307</v>
      </c>
      <c r="BG313" s="0" t="s">
        <v>3308</v>
      </c>
      <c r="BH313" s="0" t="s">
        <v>3309</v>
      </c>
      <c r="BJ313" s="0" t="s">
        <v>3313</v>
      </c>
      <c r="BK313" s="0" t="n">
        <v>1</v>
      </c>
      <c r="BL313" s="0" t="s">
        <v>3307</v>
      </c>
      <c r="BM313" s="0" t="s">
        <v>3308</v>
      </c>
      <c r="BN313" s="0" t="s">
        <v>3309</v>
      </c>
      <c r="BP313" s="0" t="n">
        <v>0</v>
      </c>
      <c r="BQ313" s="0" t="n">
        <v>0</v>
      </c>
      <c r="BR313" s="0" t="n">
        <v>1</v>
      </c>
      <c r="BS313" s="0" t="s">
        <v>3314</v>
      </c>
      <c r="BT313" s="0" t="s">
        <v>3315</v>
      </c>
      <c r="BU313" s="0" t="s">
        <v>967</v>
      </c>
      <c r="BV313" s="123"/>
      <c r="BW313" s="123"/>
      <c r="BX313" s="123"/>
      <c r="BY313" s="123"/>
      <c r="BZ313" s="0" t="n">
        <v>0</v>
      </c>
      <c r="CA313" s="0" t="s">
        <v>503</v>
      </c>
      <c r="CD313" s="0" t="s">
        <v>296</v>
      </c>
      <c r="CE313" s="0" t="n">
        <v>0</v>
      </c>
      <c r="CF313" s="0" t="s">
        <v>611</v>
      </c>
      <c r="CI313" s="1" t="n">
        <v>38910</v>
      </c>
      <c r="CJ313" s="1" t="n">
        <v>40676</v>
      </c>
      <c r="CK313" s="124" t="n">
        <v>0.729166666666667</v>
      </c>
      <c r="CL313" s="0" t="s">
        <v>3313</v>
      </c>
      <c r="CM313" s="0" t="n">
        <f aca="false">IF(OR(CI313="",CJ313=""),"",DAYS360(CI313,CJ313)/360)</f>
        <v>4.83611111111111</v>
      </c>
      <c r="CN313" s="0" t="n">
        <f aca="false">IF(OR(CI313="",CJ313=""),"",DAYS360(CI313,CJ313)/30)</f>
        <v>58.0333333333333</v>
      </c>
      <c r="CO313" s="0" t="n">
        <f aca="false">IF(OR(CI313="",CJ313=""),"",DAYS360(CI313,CJ313)/7)</f>
        <v>248.714285714286</v>
      </c>
      <c r="CP313" s="0" t="n">
        <f aca="false">IF(OR(CI313="",CJ313=""),"",DAYS360(CI313,CJ313))</f>
        <v>1741</v>
      </c>
      <c r="CQ313" s="0" t="s">
        <v>240</v>
      </c>
      <c r="CR313" s="0" t="n">
        <v>1</v>
      </c>
      <c r="CT313" s="0" t="s">
        <v>221</v>
      </c>
      <c r="CU313" s="0" t="s">
        <v>221</v>
      </c>
      <c r="CV313" s="0" t="str">
        <f aca="false">IF(OR(CT313="",CT313="NO ESPECIFICA",CT313="NO MENCIONA"),"",IF(CU313=0,CT313,IF(CU313=1,CT313/30,IF(CU313=2,CT313/15,IF(CU313=3,CT313/7,"")))))</f>
        <v/>
      </c>
      <c r="CW313" s="125" t="n">
        <v>185.71</v>
      </c>
      <c r="CX313" s="0" t="n">
        <v>0</v>
      </c>
      <c r="CY313" s="0" t="n">
        <f aca="false">IF(CW313="","",IF(CX313=0,CW313,IF(CX313=1,CW313/30,IF(CX313=2,CW313/15,IF(CX313=3,CW313/7,CW313)))))</f>
        <v>185.71</v>
      </c>
      <c r="CZ313" s="0" t="n">
        <f aca="false">IF(DI313&gt;0,DI313,IF(CY313&gt;0,CY313,IF(CV313&gt;0,CV313,"")))</f>
        <v>185.71</v>
      </c>
      <c r="DA313" s="0" t="n">
        <f aca="false">IF(DM313=1,CZ313/8,IF(OR(DM313=2,DM313=4),CZ313/7,IF(DM313=3,CZ313/7.5,"")))</f>
        <v>23.21375</v>
      </c>
      <c r="DB313" s="0" t="s">
        <v>302</v>
      </c>
      <c r="DC313" s="0" t="s">
        <v>303</v>
      </c>
      <c r="DD313" s="0" t="s">
        <v>301</v>
      </c>
      <c r="DE313" s="0" t="s">
        <v>216</v>
      </c>
      <c r="DF313" s="0" t="s">
        <v>216</v>
      </c>
      <c r="DG313" s="0" t="s">
        <v>216</v>
      </c>
      <c r="DH313" s="0" t="n">
        <v>0</v>
      </c>
      <c r="DI313" s="126" t="n">
        <v>185.71</v>
      </c>
      <c r="DK313" s="0" t="n">
        <v>0</v>
      </c>
      <c r="DM313" s="0" t="n">
        <v>1</v>
      </c>
      <c r="DN313" s="0" t="n">
        <v>55</v>
      </c>
      <c r="DO313" s="0" t="n">
        <v>3</v>
      </c>
      <c r="DP313" s="0" t="n">
        <v>0</v>
      </c>
      <c r="DQ313" s="0" t="n">
        <v>1</v>
      </c>
      <c r="DR313" s="0"/>
      <c r="DS313" s="0" t="n">
        <v>1</v>
      </c>
      <c r="DU313" s="0" t="n">
        <v>1</v>
      </c>
      <c r="DW313" s="1" t="n">
        <v>40006</v>
      </c>
      <c r="DX313" s="1" t="n">
        <v>40676</v>
      </c>
      <c r="DZ313" s="0"/>
      <c r="EA313" s="0" t="n">
        <v>1</v>
      </c>
      <c r="EC313" s="1" t="n">
        <v>40179</v>
      </c>
      <c r="ED313" s="1" t="n">
        <v>40676</v>
      </c>
      <c r="EF313" s="0"/>
      <c r="EG313" s="0" t="n">
        <v>1</v>
      </c>
      <c r="EH313" s="0" t="n">
        <v>12</v>
      </c>
      <c r="EI313" s="0" t="n">
        <f aca="false">IF(AND(DM313=1,DN313&lt;=48),"",IF(AND(DM313=2,DN313&lt;=42),"",IF(AND(DM313=3,DN313&lt;=45),"",EH313)))</f>
        <v>12</v>
      </c>
      <c r="EJ313" s="0" t="n">
        <f aca="false">IF(EI313="","",IF(EI313&lt;9,EI313,9))</f>
        <v>9</v>
      </c>
      <c r="EK313" s="0" t="n">
        <f aca="false">IF(EI313="","",IF(EI313&gt;9,EI313-EJ313,0))</f>
        <v>3</v>
      </c>
      <c r="EL313" s="0" t="n">
        <f aca="false">IF(EI313="","",EJ313*DA313*2+EK313*DA313*3)</f>
        <v>626.77125</v>
      </c>
      <c r="EP313" s="0" t="n">
        <v>0</v>
      </c>
      <c r="EQ313" s="0"/>
      <c r="ER313" s="0" t="n">
        <v>0</v>
      </c>
      <c r="ET313" s="0" t="n">
        <v>0</v>
      </c>
      <c r="EV313" s="0" t="n">
        <v>0</v>
      </c>
      <c r="EX313" s="0" t="n">
        <v>1</v>
      </c>
      <c r="EY313" s="0" t="n">
        <v>0</v>
      </c>
      <c r="EZ313" s="0"/>
      <c r="FA313" s="4" t="n">
        <v>0</v>
      </c>
      <c r="FB313" s="0" t="n">
        <v>1</v>
      </c>
      <c r="FF313" s="120" t="n">
        <f aca="false">(CJ313-CI313+1)/365</f>
        <v>4.84109589041096</v>
      </c>
      <c r="FG313" s="0" t="str">
        <f aca="false">CONCATENATE(F313,"/",G313)</f>
        <v>1070/2011</v>
      </c>
      <c r="FH313" s="0" t="n">
        <v>0</v>
      </c>
      <c r="FI313" s="0" t="n">
        <v>0</v>
      </c>
    </row>
    <row r="314" customFormat="false" ht="15" hidden="false" customHeight="false" outlineLevel="0" collapsed="false">
      <c r="A314" s="5" t="str">
        <f aca="false">E314&amp;G314&amp;F314</f>
        <v>720111073</v>
      </c>
      <c r="B314" s="0" t="s">
        <v>3217</v>
      </c>
      <c r="C314" s="1" t="n">
        <v>42407</v>
      </c>
      <c r="D314" s="0" t="s">
        <v>3265</v>
      </c>
      <c r="E314" s="0" t="n">
        <v>7</v>
      </c>
      <c r="F314" s="0" t="n">
        <v>1073</v>
      </c>
      <c r="G314" s="0" t="n">
        <v>2011</v>
      </c>
      <c r="H314" s="0" t="str">
        <f aca="false">"J"&amp;E314&amp;"\"&amp;F314&amp;"\"&amp;G314&amp;"\"&amp;W314</f>
        <v>J7\1073\2011\1</v>
      </c>
      <c r="I314" s="0"/>
      <c r="J314" s="1" t="n">
        <v>40716</v>
      </c>
      <c r="K314" s="0" t="n">
        <v>0</v>
      </c>
      <c r="M314" s="1"/>
      <c r="N314" s="1"/>
      <c r="O314" s="1"/>
      <c r="P314" s="1"/>
      <c r="Q314" s="1"/>
      <c r="T314" s="121"/>
      <c r="U314" s="121"/>
      <c r="V314" s="122" t="n">
        <f aca="false">IF(AND(E314&gt;0,F314&gt;0,G314&gt;0),COUNTIFS($E:$E,E314,$F:$F,F314,$G:$G,G314),"")</f>
        <v>1</v>
      </c>
      <c r="W314" s="122" t="n">
        <f aca="false">IF(V314="","",IF(V314=1,1,IF(AND(E313=E314,F313=F314,G313=G314),W313+1,1)))</f>
        <v>1</v>
      </c>
      <c r="X314" s="0" t="n">
        <v>1</v>
      </c>
      <c r="Y314" s="0" t="n">
        <v>5</v>
      </c>
      <c r="Z314" s="0" t="s">
        <v>3316</v>
      </c>
      <c r="AA314" s="0" t="n">
        <v>0</v>
      </c>
      <c r="AB314" s="0" t="s">
        <v>273</v>
      </c>
      <c r="AC314" s="0" t="s">
        <v>2460</v>
      </c>
      <c r="AD314" s="0" t="s">
        <v>229</v>
      </c>
      <c r="AE314" s="0" t="n">
        <v>0</v>
      </c>
      <c r="AF314" s="0" t="s">
        <v>3317</v>
      </c>
      <c r="AG314" s="0" t="n">
        <v>0</v>
      </c>
      <c r="AH314" s="0" t="s">
        <v>3318</v>
      </c>
      <c r="AI314" s="0" t="s">
        <v>3319</v>
      </c>
      <c r="AJ314" s="0" t="s">
        <v>229</v>
      </c>
      <c r="AL314" s="0" t="s">
        <v>3320</v>
      </c>
      <c r="AM314" s="0" t="n">
        <v>1</v>
      </c>
      <c r="AN314" s="0" t="s">
        <v>3318</v>
      </c>
      <c r="AO314" s="0" t="s">
        <v>3319</v>
      </c>
      <c r="AP314" s="0" t="s">
        <v>229</v>
      </c>
      <c r="AR314" s="0" t="s">
        <v>3321</v>
      </c>
      <c r="AS314" s="0" t="n">
        <v>1</v>
      </c>
      <c r="AT314" s="0" t="s">
        <v>3318</v>
      </c>
      <c r="AU314" s="0" t="s">
        <v>3319</v>
      </c>
      <c r="AV314" s="0" t="s">
        <v>229</v>
      </c>
      <c r="AX314" s="0" t="s">
        <v>3322</v>
      </c>
      <c r="AY314" s="0" t="n">
        <v>1</v>
      </c>
      <c r="AZ314" s="0" t="s">
        <v>3318</v>
      </c>
      <c r="BA314" s="0" t="s">
        <v>3319</v>
      </c>
      <c r="BB314" s="0" t="s">
        <v>229</v>
      </c>
      <c r="BD314" s="0" t="s">
        <v>1880</v>
      </c>
      <c r="BE314" s="0" t="n">
        <v>1</v>
      </c>
      <c r="BF314" s="0" t="s">
        <v>3318</v>
      </c>
      <c r="BG314" s="0" t="s">
        <v>3319</v>
      </c>
      <c r="BH314" s="0" t="s">
        <v>229</v>
      </c>
      <c r="BP314" s="0" t="n">
        <v>0</v>
      </c>
      <c r="BQ314" s="0" t="n">
        <v>0</v>
      </c>
      <c r="BR314" s="0" t="n">
        <v>1</v>
      </c>
      <c r="BS314" s="0" t="s">
        <v>3323</v>
      </c>
      <c r="BT314" s="0" t="s">
        <v>280</v>
      </c>
      <c r="BU314" s="0" t="s">
        <v>281</v>
      </c>
      <c r="BV314" s="123"/>
      <c r="BW314" s="123"/>
      <c r="BX314" s="123"/>
      <c r="BY314" s="123"/>
      <c r="BZ314" s="0" t="n">
        <v>0</v>
      </c>
      <c r="CA314" s="0" t="s">
        <v>282</v>
      </c>
      <c r="CD314" s="0" t="s">
        <v>296</v>
      </c>
      <c r="CE314" s="0" t="n">
        <v>0</v>
      </c>
      <c r="CF314" s="0" t="s">
        <v>3324</v>
      </c>
      <c r="CI314" s="1" t="n">
        <v>40276</v>
      </c>
      <c r="CJ314" s="1" t="n">
        <v>40677</v>
      </c>
      <c r="CK314" s="124" t="n">
        <v>0.583333333333333</v>
      </c>
      <c r="CL314" s="0" t="s">
        <v>3325</v>
      </c>
      <c r="CM314" s="0" t="n">
        <f aca="false">IF(OR(CI314="",CJ314=""),"",DAYS360(CI314,CJ314)/360)</f>
        <v>1.1</v>
      </c>
      <c r="CN314" s="0" t="n">
        <f aca="false">IF(OR(CI314="",CJ314=""),"",DAYS360(CI314,CJ314)/30)</f>
        <v>13.2</v>
      </c>
      <c r="CO314" s="0" t="n">
        <f aca="false">IF(OR(CI314="",CJ314=""),"",DAYS360(CI314,CJ314)/7)</f>
        <v>56.5714285714286</v>
      </c>
      <c r="CP314" s="0" t="n">
        <f aca="false">IF(OR(CI314="",CJ314=""),"",DAYS360(CI314,CJ314))</f>
        <v>396</v>
      </c>
      <c r="CQ314" s="0" t="s">
        <v>240</v>
      </c>
      <c r="CR314" s="0" t="n">
        <v>1</v>
      </c>
      <c r="CT314" s="0" t="s">
        <v>221</v>
      </c>
      <c r="CU314" s="0" t="s">
        <v>221</v>
      </c>
      <c r="CV314" s="0" t="str">
        <f aca="false">IF(OR(CT314="",CT314="NO ESPECIFICA",CT314="NO MENCIONA"),"",IF(CU314=0,CT314,IF(CU314=1,CT314/30,IF(CU314=2,CT314/15,IF(CU314=3,CT314/7,"")))))</f>
        <v/>
      </c>
      <c r="CW314" s="125" t="n">
        <v>1500</v>
      </c>
      <c r="CX314" s="0" t="n">
        <v>2</v>
      </c>
      <c r="CY314" s="0" t="n">
        <f aca="false">IF(CW314="","",IF(CX314=0,CW314,IF(CX314=1,CW314/30,IF(CX314=2,CW314/15,IF(CX314=3,CW314/7,CW314)))))</f>
        <v>100</v>
      </c>
      <c r="CZ314" s="0" t="n">
        <f aca="false">IF(DI314&gt;0,DI314,IF(CY314&gt;0,CY314,IF(CV314&gt;0,CV314,"")))</f>
        <v>100</v>
      </c>
      <c r="DA314" s="0" t="n">
        <f aca="false">IF(DM314=1,CZ314/8,IF(OR(DM314=2,DM314=4),CZ314/7,IF(DM314=3,CZ314/7.5,"")))</f>
        <v>13.3333333333333</v>
      </c>
      <c r="DB314" s="0" t="s">
        <v>216</v>
      </c>
      <c r="DC314" s="0" t="s">
        <v>216</v>
      </c>
      <c r="DD314" s="0" t="s">
        <v>216</v>
      </c>
      <c r="DE314" s="0" t="s">
        <v>216</v>
      </c>
      <c r="DF314" s="0" t="s">
        <v>216</v>
      </c>
      <c r="DG314" s="0" t="s">
        <v>216</v>
      </c>
      <c r="DH314" s="0" t="n">
        <v>0</v>
      </c>
      <c r="DI314" s="126" t="n">
        <v>100</v>
      </c>
      <c r="DK314" s="0" t="n">
        <v>0</v>
      </c>
      <c r="DM314" s="0" t="n">
        <v>3</v>
      </c>
      <c r="DN314" s="0" t="n">
        <v>63</v>
      </c>
      <c r="DO314" s="0" t="n">
        <v>3</v>
      </c>
      <c r="DP314" s="0" t="n">
        <v>0</v>
      </c>
      <c r="DQ314" s="0" t="n">
        <v>1</v>
      </c>
      <c r="DR314" s="0"/>
      <c r="DS314" s="0" t="n">
        <v>1</v>
      </c>
      <c r="DU314" s="0" t="n">
        <v>1</v>
      </c>
      <c r="DW314" s="1" t="n">
        <v>40276</v>
      </c>
      <c r="DX314" s="1" t="n">
        <v>40677</v>
      </c>
      <c r="DZ314" s="0"/>
      <c r="EA314" s="0" t="n">
        <v>1</v>
      </c>
      <c r="EC314" s="1" t="n">
        <v>40276</v>
      </c>
      <c r="ED314" s="1" t="n">
        <v>40677</v>
      </c>
      <c r="EF314" s="0"/>
      <c r="EG314" s="0" t="n">
        <v>1</v>
      </c>
      <c r="EH314" s="0" t="n">
        <v>7</v>
      </c>
      <c r="EI314" s="0" t="n">
        <f aca="false">IF(AND(DM314=1,DN314&lt;=48),"",IF(AND(DM314=2,DN314&lt;=42),"",IF(AND(DM314=3,DN314&lt;=45),"",EH314)))</f>
        <v>7</v>
      </c>
      <c r="EJ314" s="0" t="n">
        <f aca="false">IF(EI314="","",IF(EI314&lt;9,EI314,9))</f>
        <v>7</v>
      </c>
      <c r="EK314" s="0" t="n">
        <f aca="false">IF(EI314="","",IF(EI314&gt;9,EI314-EJ314,0))</f>
        <v>0</v>
      </c>
      <c r="EL314" s="0" t="n">
        <f aca="false">IF(EI314="","",EJ314*DA314*2+EK314*DA314*3)</f>
        <v>186.666666666667</v>
      </c>
      <c r="EP314" s="0" t="n">
        <v>0</v>
      </c>
      <c r="EQ314" s="0"/>
      <c r="ER314" s="0" t="n">
        <v>0</v>
      </c>
      <c r="ET314" s="0" t="n">
        <v>0</v>
      </c>
      <c r="EV314" s="0" t="n">
        <v>0</v>
      </c>
      <c r="EX314" s="0" t="n">
        <v>0</v>
      </c>
      <c r="EY314" s="0" t="n">
        <v>0</v>
      </c>
      <c r="EZ314" s="0"/>
      <c r="FA314" s="4" t="n">
        <f aca="false">13*100</f>
        <v>1300</v>
      </c>
      <c r="FB314" s="0" t="n">
        <v>0</v>
      </c>
      <c r="FF314" s="120" t="n">
        <f aca="false">(CJ314-CI314+1)/365</f>
        <v>1.1013698630137</v>
      </c>
      <c r="FG314" s="0" t="str">
        <f aca="false">CONCATENATE(F314,"/",G314)</f>
        <v>1073/2011</v>
      </c>
      <c r="FH314" s="0" t="n">
        <v>0</v>
      </c>
      <c r="FI314" s="0" t="n">
        <v>0</v>
      </c>
    </row>
    <row r="315" customFormat="false" ht="15" hidden="false" customHeight="false" outlineLevel="0" collapsed="false">
      <c r="A315" s="5" t="str">
        <f aca="false">E315&amp;G315&amp;F315</f>
        <v>720111084</v>
      </c>
      <c r="B315" s="0" t="s">
        <v>3217</v>
      </c>
      <c r="C315" s="1" t="n">
        <v>42407</v>
      </c>
      <c r="D315" s="0" t="s">
        <v>3326</v>
      </c>
      <c r="E315" s="0" t="n">
        <v>7</v>
      </c>
      <c r="F315" s="0" t="n">
        <v>1084</v>
      </c>
      <c r="G315" s="0" t="n">
        <v>2011</v>
      </c>
      <c r="H315" s="0" t="str">
        <f aca="false">"J"&amp;E315&amp;"\"&amp;F315&amp;"\"&amp;G315&amp;"\"&amp;W315</f>
        <v>J7\1084\2011\1</v>
      </c>
      <c r="I315" s="0"/>
      <c r="J315" s="1" t="n">
        <v>40717</v>
      </c>
      <c r="K315" s="0" t="n">
        <v>0</v>
      </c>
      <c r="M315" s="1"/>
      <c r="N315" s="1"/>
      <c r="O315" s="1"/>
      <c r="P315" s="1"/>
      <c r="Q315" s="1"/>
      <c r="T315" s="121"/>
      <c r="U315" s="121"/>
      <c r="V315" s="122" t="n">
        <f aca="false">IF(AND(E315&gt;0,F315&gt;0,G315&gt;0),COUNTIFS($E:$E,E315,$F:$F,F315,$G:$G,G315),"")</f>
        <v>1</v>
      </c>
      <c r="W315" s="122" t="n">
        <f aca="false">IF(V315="","",IF(V315=1,1,IF(AND(E314=E315,F314=F315,G314=G315),W314+1,1)))</f>
        <v>1</v>
      </c>
      <c r="X315" s="0" t="n">
        <v>1</v>
      </c>
      <c r="Y315" s="0" t="n">
        <v>3</v>
      </c>
      <c r="Z315" s="0" t="s">
        <v>3327</v>
      </c>
      <c r="AA315" s="0" t="n">
        <v>0</v>
      </c>
      <c r="AB315" s="0" t="s">
        <v>3328</v>
      </c>
      <c r="AC315" s="0" t="s">
        <v>3329</v>
      </c>
      <c r="AD315" s="0" t="s">
        <v>3330</v>
      </c>
      <c r="AE315" s="0" t="n">
        <v>0</v>
      </c>
      <c r="AF315" s="0" t="s">
        <v>3331</v>
      </c>
      <c r="AG315" s="0" t="n">
        <v>1</v>
      </c>
      <c r="AH315" s="0" t="s">
        <v>3332</v>
      </c>
      <c r="AI315" s="0" t="s">
        <v>251</v>
      </c>
      <c r="AJ315" s="0" t="s">
        <v>229</v>
      </c>
      <c r="AL315" s="0" t="s">
        <v>3333</v>
      </c>
      <c r="AM315" s="0" t="n">
        <v>1</v>
      </c>
      <c r="AN315" s="0" t="s">
        <v>3332</v>
      </c>
      <c r="AO315" s="0" t="s">
        <v>251</v>
      </c>
      <c r="AP315" s="0" t="s">
        <v>229</v>
      </c>
      <c r="AR315" s="0" t="s">
        <v>1880</v>
      </c>
      <c r="AS315" s="0" t="n">
        <v>1</v>
      </c>
      <c r="AT315" s="0" t="s">
        <v>3332</v>
      </c>
      <c r="AU315" s="0" t="s">
        <v>251</v>
      </c>
      <c r="AV315" s="0" t="s">
        <v>229</v>
      </c>
      <c r="BP315" s="0" t="n">
        <v>0</v>
      </c>
      <c r="BQ315" s="0" t="n">
        <v>0</v>
      </c>
      <c r="BR315" s="0" t="n">
        <v>1</v>
      </c>
      <c r="BS315" s="0" t="s">
        <v>3334</v>
      </c>
      <c r="BT315" s="0" t="s">
        <v>3335</v>
      </c>
      <c r="BU315" s="0" t="s">
        <v>3336</v>
      </c>
      <c r="BV315" s="123"/>
      <c r="BW315" s="123"/>
      <c r="BX315" s="123"/>
      <c r="BY315" s="123"/>
      <c r="BZ315" s="0" t="n">
        <v>0</v>
      </c>
      <c r="CA315" s="0" t="s">
        <v>216</v>
      </c>
      <c r="CD315" s="0" t="s">
        <v>370</v>
      </c>
      <c r="CE315" s="0" t="n">
        <v>0</v>
      </c>
      <c r="CF315" s="0" t="s">
        <v>3337</v>
      </c>
      <c r="CI315" s="1" t="s">
        <v>221</v>
      </c>
      <c r="CJ315" s="1" t="n">
        <v>40715</v>
      </c>
      <c r="CK315" s="124" t="s">
        <v>216</v>
      </c>
      <c r="CL315" s="0" t="s">
        <v>3331</v>
      </c>
      <c r="CM315" s="0" t="e">
        <f aca="false">IF(OR(CI315="",CJ315=""),"",DAYS360(CI315,CJ315)/360)</f>
        <v>#VALUE!</v>
      </c>
      <c r="CN315" s="0" t="e">
        <f aca="false">IF(OR(CI315="",CJ315=""),"",DAYS360(CI315,CJ315)/30)</f>
        <v>#VALUE!</v>
      </c>
      <c r="CO315" s="0" t="e">
        <f aca="false">IF(OR(CI315="",CJ315=""),"",DAYS360(CI315,CJ315)/7)</f>
        <v>#VALUE!</v>
      </c>
      <c r="CP315" s="0" t="e">
        <f aca="false">IF(OR(CI315="",CJ315=""),"",DAYS360(CI315,CJ315))</f>
        <v>#VALUE!</v>
      </c>
      <c r="CQ315" s="0" t="s">
        <v>240</v>
      </c>
      <c r="CR315" s="0" t="n">
        <v>1</v>
      </c>
      <c r="CT315" s="0" t="n">
        <v>8500</v>
      </c>
      <c r="CU315" s="0" t="n">
        <v>1</v>
      </c>
      <c r="CV315" s="0" t="n">
        <f aca="false">IF(OR(CT315="",CT315="NO ESPECIFICA",CT315="NO MENCIONA"),"",IF(CU315=0,CT315,IF(CU315=1,CT315/30,IF(CU315=2,CT315/15,IF(CU315=3,CT315/7,"")))))</f>
        <v>283.333333333333</v>
      </c>
      <c r="CW315" s="125" t="s">
        <v>216</v>
      </c>
      <c r="CX315" s="0" t="s">
        <v>216</v>
      </c>
      <c r="CY315" s="0" t="str">
        <f aca="false">IF(CW315="","",IF(CX315=0,CW315,IF(CX315=1,CW315/30,IF(CX315=2,CW315/15,IF(CX315=3,CW315/7,CW315)))))</f>
        <v>NO MENCIONA</v>
      </c>
      <c r="CZ315" s="0" t="n">
        <f aca="false">IF(DI315&gt;0,DI315,IF(CY315&gt;0,CY315,IF(CV315&gt;0,CV315,"")))</f>
        <v>303.333333333333</v>
      </c>
      <c r="DA315" s="0" t="n">
        <f aca="false">IF(DM315=1,CZ315/8,IF(OR(DM315=2,DM315=4),CZ315/7,IF(DM315=3,CZ315/7.5,"")))</f>
        <v>37.9166666666667</v>
      </c>
      <c r="DB315" s="0" t="s">
        <v>1842</v>
      </c>
      <c r="DC315" s="0" t="s">
        <v>216</v>
      </c>
      <c r="DD315" s="0" t="s">
        <v>216</v>
      </c>
      <c r="DE315" s="0" t="s">
        <v>216</v>
      </c>
      <c r="DF315" s="0" t="s">
        <v>216</v>
      </c>
      <c r="DG315" s="0" t="s">
        <v>216</v>
      </c>
      <c r="DH315" s="0" t="n">
        <v>0</v>
      </c>
      <c r="DI315" s="126" t="n">
        <f aca="false">(8500+600)/30</f>
        <v>303.333333333333</v>
      </c>
      <c r="DK315" s="0" t="n">
        <v>1</v>
      </c>
      <c r="DM315" s="0" t="n">
        <v>1</v>
      </c>
      <c r="DN315" s="0" t="n">
        <v>45</v>
      </c>
      <c r="DO315" s="0" t="n">
        <v>3</v>
      </c>
      <c r="DP315" s="0" t="n">
        <v>0</v>
      </c>
      <c r="DQ315" s="0" t="n">
        <v>1</v>
      </c>
      <c r="DR315" s="0"/>
      <c r="DS315" s="0" t="n">
        <v>1</v>
      </c>
      <c r="DU315" s="0" t="n">
        <v>1</v>
      </c>
      <c r="DW315" s="1" t="n">
        <v>40452</v>
      </c>
      <c r="DX315" s="1" t="n">
        <v>40715</v>
      </c>
      <c r="DZ315" s="0"/>
      <c r="EA315" s="0" t="n">
        <v>1</v>
      </c>
      <c r="EC315" s="1" t="n">
        <v>40452</v>
      </c>
      <c r="ED315" s="1" t="n">
        <v>40715</v>
      </c>
      <c r="EF315" s="0"/>
      <c r="EG315" s="0" t="n">
        <v>1</v>
      </c>
      <c r="EH315" s="0" t="s">
        <v>221</v>
      </c>
      <c r="EI315" s="0" t="str">
        <f aca="false">IF(AND(DM315=1,DN315&lt;=48),"",IF(AND(DM315=2,DN315&lt;=42),"",IF(AND(DM315=3,DN315&lt;=45),"",EH315)))</f>
        <v/>
      </c>
      <c r="EJ315" s="0" t="str">
        <f aca="false">IF(EI315="","",IF(EI315&lt;9,EI315,9))</f>
        <v/>
      </c>
      <c r="EK315" s="0" t="str">
        <f aca="false">IF(EI315="","",IF(EI315&gt;9,EI315-EJ315,0))</f>
        <v/>
      </c>
      <c r="EL315" s="0" t="str">
        <f aca="false">IF(EI315="","",EJ315*DA315*2+EK315*DA315*3)</f>
        <v/>
      </c>
      <c r="EP315" s="0" t="n">
        <v>0</v>
      </c>
      <c r="EQ315" s="0"/>
      <c r="ER315" s="0" t="n">
        <v>0</v>
      </c>
      <c r="ET315" s="0" t="n">
        <v>0</v>
      </c>
      <c r="EV315" s="0" t="n">
        <v>1</v>
      </c>
      <c r="EX315" s="0" t="n">
        <v>1</v>
      </c>
      <c r="EY315" s="0" t="n">
        <v>1</v>
      </c>
      <c r="EZ315" s="0"/>
      <c r="FA315" s="4" t="n">
        <v>0</v>
      </c>
      <c r="FB315" s="0" t="n">
        <v>0</v>
      </c>
      <c r="FF315" s="120" t="e">
        <f aca="false">(CJ315-CI315+1)/365</f>
        <v>#VALUE!</v>
      </c>
      <c r="FG315" s="0" t="str">
        <f aca="false">CONCATENATE(F315,"/",G315)</f>
        <v>1084/2011</v>
      </c>
      <c r="FH315" s="0" t="n">
        <v>0</v>
      </c>
      <c r="FI315" s="0" t="n">
        <v>0</v>
      </c>
    </row>
    <row r="316" customFormat="false" ht="15" hidden="false" customHeight="false" outlineLevel="0" collapsed="false">
      <c r="A316" s="5" t="str">
        <f aca="false">E316&amp;G316&amp;F316</f>
        <v>720111085</v>
      </c>
      <c r="B316" s="0" t="s">
        <v>3217</v>
      </c>
      <c r="C316" s="1" t="n">
        <v>42407</v>
      </c>
      <c r="D316" s="0" t="s">
        <v>3265</v>
      </c>
      <c r="E316" s="0" t="n">
        <v>7</v>
      </c>
      <c r="F316" s="0" t="n">
        <v>1085</v>
      </c>
      <c r="G316" s="0" t="n">
        <v>2011</v>
      </c>
      <c r="H316" s="0" t="str">
        <f aca="false">"J"&amp;E316&amp;"\"&amp;F316&amp;"\"&amp;G316&amp;"\"&amp;W316</f>
        <v>J7\1085\2011\1</v>
      </c>
      <c r="I316" s="0"/>
      <c r="J316" s="1" t="n">
        <v>40717</v>
      </c>
      <c r="K316" s="0" t="n">
        <v>0</v>
      </c>
      <c r="M316" s="1"/>
      <c r="N316" s="1"/>
      <c r="O316" s="1"/>
      <c r="P316" s="1"/>
      <c r="Q316" s="1"/>
      <c r="T316" s="121"/>
      <c r="U316" s="121"/>
      <c r="V316" s="122" t="n">
        <f aca="false">IF(AND(E316&gt;0,F316&gt;0,G316&gt;0),COUNTIFS($E:$E,E316,$F:$F,F316,$G:$G,G316),"")</f>
        <v>1</v>
      </c>
      <c r="W316" s="122" t="n">
        <f aca="false">IF(V316="","",IF(V316=1,1,IF(AND(E315=E316,F315=F316,G315=G316),W315+1,1)))</f>
        <v>1</v>
      </c>
      <c r="X316" s="0" t="n">
        <v>1</v>
      </c>
      <c r="Y316" s="0" t="n">
        <v>7</v>
      </c>
      <c r="Z316" s="0" t="s">
        <v>3338</v>
      </c>
      <c r="AA316" s="0" t="n">
        <v>0</v>
      </c>
      <c r="AB316" s="0" t="s">
        <v>3339</v>
      </c>
      <c r="AC316" s="0" t="s">
        <v>3340</v>
      </c>
      <c r="AD316" s="0" t="s">
        <v>221</v>
      </c>
      <c r="AE316" s="0" t="n">
        <v>0</v>
      </c>
      <c r="AF316" s="0" t="s">
        <v>3341</v>
      </c>
      <c r="AG316" s="0" t="n">
        <v>0</v>
      </c>
      <c r="AH316" s="0" t="s">
        <v>3342</v>
      </c>
      <c r="AI316" s="0" t="s">
        <v>3343</v>
      </c>
      <c r="AJ316" s="0" t="s">
        <v>229</v>
      </c>
      <c r="AL316" s="0" t="s">
        <v>3344</v>
      </c>
      <c r="AM316" s="0" t="n">
        <v>0</v>
      </c>
      <c r="AN316" s="0" t="s">
        <v>3342</v>
      </c>
      <c r="AO316" s="0" t="s">
        <v>3343</v>
      </c>
      <c r="AP316" s="0" t="s">
        <v>229</v>
      </c>
      <c r="AR316" s="0" t="s">
        <v>3345</v>
      </c>
      <c r="AS316" s="0" t="n">
        <v>1</v>
      </c>
      <c r="AT316" s="0" t="s">
        <v>3342</v>
      </c>
      <c r="AU316" s="0" t="s">
        <v>3343</v>
      </c>
      <c r="AV316" s="0" t="s">
        <v>229</v>
      </c>
      <c r="AX316" s="0" t="s">
        <v>3346</v>
      </c>
      <c r="AY316" s="0" t="n">
        <v>1</v>
      </c>
      <c r="AZ316" s="0" t="s">
        <v>3342</v>
      </c>
      <c r="BA316" s="0" t="s">
        <v>3343</v>
      </c>
      <c r="BB316" s="0" t="s">
        <v>229</v>
      </c>
      <c r="BD316" s="0" t="s">
        <v>3347</v>
      </c>
      <c r="BE316" s="0" t="n">
        <v>1</v>
      </c>
      <c r="BF316" s="0" t="s">
        <v>3342</v>
      </c>
      <c r="BG316" s="0" t="s">
        <v>3343</v>
      </c>
      <c r="BH316" s="0" t="s">
        <v>229</v>
      </c>
      <c r="BJ316" s="0" t="s">
        <v>3348</v>
      </c>
      <c r="BK316" s="0" t="n">
        <v>1</v>
      </c>
      <c r="BL316" s="0" t="s">
        <v>3342</v>
      </c>
      <c r="BM316" s="0" t="s">
        <v>3343</v>
      </c>
      <c r="BN316" s="0" t="s">
        <v>229</v>
      </c>
      <c r="BP316" s="0" t="n">
        <v>0</v>
      </c>
      <c r="BQ316" s="0" t="n">
        <v>0</v>
      </c>
      <c r="BR316" s="0" t="n">
        <v>1</v>
      </c>
      <c r="BS316" s="0" t="s">
        <v>3349</v>
      </c>
      <c r="BT316" s="0" t="s">
        <v>3350</v>
      </c>
      <c r="BU316" s="0" t="s">
        <v>3351</v>
      </c>
      <c r="BV316" s="123"/>
      <c r="BW316" s="123"/>
      <c r="BX316" s="123"/>
      <c r="BY316" s="123"/>
      <c r="BZ316" s="0" t="n">
        <v>0</v>
      </c>
      <c r="CA316" s="0" t="s">
        <v>2710</v>
      </c>
      <c r="CD316" s="0" t="s">
        <v>256</v>
      </c>
      <c r="CE316" s="0" t="n">
        <v>0</v>
      </c>
      <c r="CF316" s="0" t="s">
        <v>3073</v>
      </c>
      <c r="CI316" s="1" t="n">
        <v>38276</v>
      </c>
      <c r="CJ316" s="1" t="n">
        <v>40696</v>
      </c>
      <c r="CK316" s="124" t="n">
        <v>0.465277777777778</v>
      </c>
      <c r="CL316" s="0" t="s">
        <v>216</v>
      </c>
      <c r="CM316" s="0" t="n">
        <f aca="false">IF(OR(CI316="",CJ316=""),"",DAYS360(CI316,CJ316)/360)</f>
        <v>6.62777777777778</v>
      </c>
      <c r="CN316" s="0" t="n">
        <f aca="false">IF(OR(CI316="",CJ316=""),"",DAYS360(CI316,CJ316)/30)</f>
        <v>79.5333333333333</v>
      </c>
      <c r="CO316" s="0" t="n">
        <f aca="false">IF(OR(CI316="",CJ316=""),"",DAYS360(CI316,CJ316)/7)</f>
        <v>340.857142857143</v>
      </c>
      <c r="CP316" s="0" t="n">
        <f aca="false">IF(OR(CI316="",CJ316=""),"",DAYS360(CI316,CJ316))</f>
        <v>2386</v>
      </c>
      <c r="CQ316" s="0" t="s">
        <v>240</v>
      </c>
      <c r="CR316" s="0" t="n">
        <v>5</v>
      </c>
      <c r="CS316" s="0" t="s">
        <v>2457</v>
      </c>
      <c r="CT316" s="0" t="n">
        <v>93.33</v>
      </c>
      <c r="CU316" s="0" t="n">
        <v>0</v>
      </c>
      <c r="CV316" s="0" t="n">
        <f aca="false">IF(OR(CT316="",CT316="NO ESPECIFICA",CT316="NO MENCIONA"),"",IF(CU316=0,CT316,IF(CU316=1,CT316/30,IF(CU316=2,CT316/15,IF(CU316=3,CT316/7,"")))))</f>
        <v>93.33</v>
      </c>
      <c r="CW316" s="125" t="n">
        <v>121.84</v>
      </c>
      <c r="CX316" s="0" t="n">
        <v>0</v>
      </c>
      <c r="CY316" s="0" t="n">
        <f aca="false">IF(CW316="","",IF(CX316=0,CW316,IF(CX316=1,CW316/30,IF(CX316=2,CW316/15,IF(CX316=3,CW316/7,CW316)))))</f>
        <v>121.84</v>
      </c>
      <c r="CZ316" s="0" t="n">
        <f aca="false">IF(DI316&gt;0,DI316,IF(CY316&gt;0,CY316,IF(CV316&gt;0,CV316,"")))</f>
        <v>121.84</v>
      </c>
      <c r="DA316" s="0" t="n">
        <f aca="false">IF(DM316=1,CZ316/8,IF(OR(DM316=2,DM316=4),CZ316/7,IF(DM316=3,CZ316/7.5,"")))</f>
        <v>15.23</v>
      </c>
      <c r="DB316" s="0" t="s">
        <v>301</v>
      </c>
      <c r="DC316" s="0" t="s">
        <v>303</v>
      </c>
      <c r="DD316" s="0" t="s">
        <v>216</v>
      </c>
      <c r="DE316" s="0" t="s">
        <v>216</v>
      </c>
      <c r="DF316" s="0" t="s">
        <v>216</v>
      </c>
      <c r="DG316" s="0" t="s">
        <v>216</v>
      </c>
      <c r="DH316" s="0" t="n">
        <v>0</v>
      </c>
      <c r="DI316" s="126" t="n">
        <v>121.84</v>
      </c>
      <c r="DK316" s="0" t="n">
        <v>1</v>
      </c>
      <c r="DM316" s="0" t="n">
        <v>1</v>
      </c>
      <c r="DN316" s="0" t="n">
        <v>57</v>
      </c>
      <c r="DO316" s="0" t="n">
        <v>3</v>
      </c>
      <c r="DP316" s="0" t="n">
        <v>0</v>
      </c>
      <c r="DQ316" s="0" t="n">
        <v>1</v>
      </c>
      <c r="DR316" s="0"/>
      <c r="DS316" s="0" t="n">
        <v>1</v>
      </c>
      <c r="DU316" s="0" t="n">
        <v>1</v>
      </c>
      <c r="DW316" s="1" t="s">
        <v>216</v>
      </c>
      <c r="DX316" s="1" t="s">
        <v>216</v>
      </c>
      <c r="DY316" s="0" t="s">
        <v>216</v>
      </c>
      <c r="DZ316" s="0" t="s">
        <v>216</v>
      </c>
      <c r="EA316" s="0" t="s">
        <v>216</v>
      </c>
      <c r="EB316" s="0" t="s">
        <v>216</v>
      </c>
      <c r="EC316" s="1" t="s">
        <v>216</v>
      </c>
      <c r="ED316" s="1" t="s">
        <v>216</v>
      </c>
      <c r="EE316" s="0" t="s">
        <v>216</v>
      </c>
      <c r="EF316" s="0" t="s">
        <v>216</v>
      </c>
      <c r="EG316" s="0" t="n">
        <v>0</v>
      </c>
      <c r="EI316" s="0" t="n">
        <f aca="false">IF(AND(DM316=1,DN316&lt;=48),"",IF(AND(DM316=2,DN316&lt;=42),"",IF(AND(DM316=3,DN316&lt;=45),"",EH316)))</f>
        <v>0</v>
      </c>
      <c r="EJ316" s="0" t="str">
        <f aca="false">IF(EI316="","",IF(EI316&lt;9,EI316,9))</f>
        <v/>
      </c>
      <c r="EK316" s="0" t="str">
        <f aca="false">IF(EI316="","",IF(EI316&gt;9,EI316-EJ316,0))</f>
        <v/>
      </c>
      <c r="EL316" s="0" t="str">
        <f aca="false">IF(EI316="","",EJ316*DA316*2+EK316*DA316*3)</f>
        <v/>
      </c>
      <c r="EP316" s="0" t="n">
        <v>1</v>
      </c>
      <c r="EQ316" s="0"/>
      <c r="ER316" s="0" t="n">
        <v>0</v>
      </c>
      <c r="ET316" s="0" t="n">
        <v>0</v>
      </c>
      <c r="EV316" s="0" t="n">
        <v>0</v>
      </c>
      <c r="EX316" s="0" t="n">
        <v>0</v>
      </c>
      <c r="EY316" s="0" t="n">
        <v>0</v>
      </c>
      <c r="EZ316" s="0"/>
      <c r="FA316" s="4" t="n">
        <f aca="false">10*121.84</f>
        <v>1218.4</v>
      </c>
      <c r="FB316" s="0" t="n">
        <v>0</v>
      </c>
      <c r="FF316" s="120" t="n">
        <f aca="false">(CJ316-CI316+1)/365</f>
        <v>6.63287671232877</v>
      </c>
      <c r="FG316" s="0" t="str">
        <f aca="false">CONCATENATE(F316,"/",G316)</f>
        <v>1085/2011</v>
      </c>
      <c r="FH316" s="0" t="n">
        <v>0</v>
      </c>
      <c r="FI316" s="0" t="n">
        <v>0</v>
      </c>
    </row>
    <row r="317" customFormat="false" ht="15" hidden="false" customHeight="false" outlineLevel="0" collapsed="false">
      <c r="A317" s="5" t="str">
        <f aca="false">E317&amp;G317&amp;F317</f>
        <v>720111089</v>
      </c>
      <c r="B317" s="0" t="s">
        <v>3217</v>
      </c>
      <c r="C317" s="1" t="n">
        <v>42407</v>
      </c>
      <c r="D317" s="0" t="s">
        <v>3265</v>
      </c>
      <c r="E317" s="0" t="n">
        <v>7</v>
      </c>
      <c r="F317" s="0" t="n">
        <v>1089</v>
      </c>
      <c r="G317" s="0" t="n">
        <v>2011</v>
      </c>
      <c r="H317" s="0" t="str">
        <f aca="false">"J"&amp;E317&amp;"\"&amp;F317&amp;"\"&amp;G317&amp;"\"&amp;W317</f>
        <v>J7\1089\2011\1</v>
      </c>
      <c r="I317" s="0"/>
      <c r="J317" s="1" t="n">
        <v>40718</v>
      </c>
      <c r="K317" s="0" t="n">
        <v>0</v>
      </c>
      <c r="M317" s="1"/>
      <c r="N317" s="1"/>
      <c r="O317" s="1"/>
      <c r="P317" s="1"/>
      <c r="Q317" s="1"/>
      <c r="T317" s="121"/>
      <c r="U317" s="121"/>
      <c r="V317" s="122" t="n">
        <f aca="false">IF(AND(E317&gt;0,F317&gt;0,G317&gt;0),COUNTIFS($E:$E,E317,$F:$F,F317,$G:$G,G317),"")</f>
        <v>1</v>
      </c>
      <c r="W317" s="122" t="n">
        <f aca="false">IF(V317="","",IF(V317=1,1,IF(AND(E316=E317,F316=F317,G316=G317),W316+1,1)))</f>
        <v>1</v>
      </c>
      <c r="X317" s="0" t="n">
        <v>1</v>
      </c>
      <c r="Y317" s="0" t="n">
        <v>3</v>
      </c>
      <c r="Z317" s="0" t="s">
        <v>3352</v>
      </c>
      <c r="AA317" s="0" t="n">
        <v>0</v>
      </c>
      <c r="AB317" s="0" t="s">
        <v>2941</v>
      </c>
      <c r="AC317" s="0" t="s">
        <v>228</v>
      </c>
      <c r="AD317" s="0" t="s">
        <v>229</v>
      </c>
      <c r="AE317" s="0" t="n">
        <v>0</v>
      </c>
      <c r="AF317" s="0" t="s">
        <v>3353</v>
      </c>
      <c r="AG317" s="0" t="n">
        <v>0</v>
      </c>
      <c r="AH317" s="0" t="s">
        <v>3354</v>
      </c>
      <c r="AI317" s="0" t="s">
        <v>2640</v>
      </c>
      <c r="AJ317" s="0" t="s">
        <v>207</v>
      </c>
      <c r="AL317" s="0" t="s">
        <v>3355</v>
      </c>
      <c r="AM317" s="0" t="n">
        <v>1</v>
      </c>
      <c r="AN317" s="0" t="s">
        <v>3354</v>
      </c>
      <c r="AO317" s="0" t="s">
        <v>2640</v>
      </c>
      <c r="AP317" s="0" t="s">
        <v>207</v>
      </c>
      <c r="AR317" s="0" t="s">
        <v>1880</v>
      </c>
      <c r="AS317" s="0" t="n">
        <v>1</v>
      </c>
      <c r="AT317" s="0" t="s">
        <v>3354</v>
      </c>
      <c r="AU317" s="0" t="s">
        <v>2640</v>
      </c>
      <c r="AV317" s="0" t="s">
        <v>207</v>
      </c>
      <c r="BP317" s="0" t="n">
        <v>0</v>
      </c>
      <c r="BQ317" s="0" t="n">
        <v>0</v>
      </c>
      <c r="BR317" s="0" t="n">
        <v>3</v>
      </c>
      <c r="BS317" s="0" t="s">
        <v>499</v>
      </c>
      <c r="BT317" s="0" t="s">
        <v>1818</v>
      </c>
      <c r="BU317" s="0" t="s">
        <v>1841</v>
      </c>
      <c r="BV317" s="123"/>
      <c r="BW317" s="123"/>
      <c r="BX317" s="123"/>
      <c r="BY317" s="123"/>
      <c r="BZ317" s="0" t="n">
        <v>0</v>
      </c>
      <c r="CA317" s="0" t="s">
        <v>348</v>
      </c>
      <c r="CD317" s="0" t="s">
        <v>256</v>
      </c>
      <c r="CE317" s="0" t="n">
        <v>0</v>
      </c>
      <c r="CF317" s="0" t="s">
        <v>3356</v>
      </c>
      <c r="CI317" s="1" t="n">
        <v>40234</v>
      </c>
      <c r="CJ317" s="1" t="n">
        <v>40359</v>
      </c>
      <c r="CK317" s="124" t="n">
        <v>0.375</v>
      </c>
      <c r="CL317" s="0" t="s">
        <v>216</v>
      </c>
      <c r="CM317" s="0" t="n">
        <f aca="false">IF(OR(CI317="",CJ317=""),"",DAYS360(CI317,CJ317)/360)</f>
        <v>0.347222222222222</v>
      </c>
      <c r="CN317" s="0" t="n">
        <f aca="false">IF(OR(CI317="",CJ317=""),"",DAYS360(CI317,CJ317)/30)</f>
        <v>4.16666666666667</v>
      </c>
      <c r="CO317" s="0" t="n">
        <f aca="false">IF(OR(CI317="",CJ317=""),"",DAYS360(CI317,CJ317)/7)</f>
        <v>17.8571428571429</v>
      </c>
      <c r="CP317" s="0" t="n">
        <f aca="false">IF(OR(CI317="",CJ317=""),"",DAYS360(CI317,CJ317))</f>
        <v>125</v>
      </c>
      <c r="CQ317" s="0" t="s">
        <v>1493</v>
      </c>
      <c r="CR317" s="0" t="n">
        <v>5</v>
      </c>
      <c r="CS317" s="0" t="s">
        <v>2457</v>
      </c>
      <c r="CT317" s="0" t="s">
        <v>221</v>
      </c>
      <c r="CU317" s="0" t="s">
        <v>221</v>
      </c>
      <c r="CV317" s="0" t="str">
        <f aca="false">IF(OR(CT317="",CT317="NO ESPECIFICA",CT317="NO MENCIONA"),"",IF(CU317=0,CT317,IF(CU317=1,CT317/30,IF(CU317=2,CT317/15,IF(CU317=3,CT317/7,"")))))</f>
        <v/>
      </c>
      <c r="CW317" s="125" t="n">
        <v>533.63</v>
      </c>
      <c r="CX317" s="0" t="n">
        <v>0</v>
      </c>
      <c r="CY317" s="0" t="n">
        <f aca="false">IF(CW317="","",IF(CX317=0,CW317,IF(CX317=1,CW317/30,IF(CX317=2,CW317/15,IF(CX317=3,CW317/7,CW317)))))</f>
        <v>533.63</v>
      </c>
      <c r="CZ317" s="0" t="n">
        <f aca="false">IF(DI317&gt;0,DI317,IF(CY317&gt;0,CY317,IF(CV317&gt;0,CV317,"")))</f>
        <v>533.63</v>
      </c>
      <c r="DA317" s="0" t="n">
        <f aca="false">IF(DM317=1,CZ317/8,IF(OR(DM317=2,DM317=4),CZ317/7,IF(DM317=3,CZ317/7.5,"")))</f>
        <v>76.2328571428571</v>
      </c>
      <c r="DB317" s="0" t="s">
        <v>216</v>
      </c>
      <c r="DC317" s="0" t="s">
        <v>216</v>
      </c>
      <c r="DD317" s="0" t="s">
        <v>216</v>
      </c>
      <c r="DE317" s="0" t="s">
        <v>216</v>
      </c>
      <c r="DF317" s="0" t="s">
        <v>216</v>
      </c>
      <c r="DG317" s="0" t="s">
        <v>216</v>
      </c>
      <c r="DH317" s="0" t="n">
        <v>0</v>
      </c>
      <c r="DI317" s="126" t="n">
        <v>533.63</v>
      </c>
      <c r="DK317" s="0" t="n">
        <v>0</v>
      </c>
      <c r="DM317" s="0" t="n">
        <v>2</v>
      </c>
      <c r="DN317" s="0" t="n">
        <v>37.5</v>
      </c>
      <c r="DO317" s="0" t="n">
        <v>3</v>
      </c>
      <c r="DP317" s="0" t="n">
        <v>0</v>
      </c>
      <c r="DQ317" s="0" t="n">
        <v>0</v>
      </c>
      <c r="DR317" s="0"/>
      <c r="DS317" s="0" t="n">
        <v>0</v>
      </c>
      <c r="DU317" s="0" t="n">
        <v>1</v>
      </c>
      <c r="DW317" s="1" t="n">
        <v>40234</v>
      </c>
      <c r="DX317" s="1" t="n">
        <v>40359</v>
      </c>
      <c r="DZ317" s="0"/>
      <c r="EA317" s="0" t="n">
        <v>1</v>
      </c>
      <c r="EC317" s="1" t="n">
        <v>40234</v>
      </c>
      <c r="ED317" s="1" t="n">
        <v>40359</v>
      </c>
      <c r="EF317" s="0"/>
      <c r="EG317" s="0" t="n">
        <v>0</v>
      </c>
      <c r="EI317" s="0" t="str">
        <f aca="false">IF(AND(DM317=1,DN317&lt;=48),"",IF(AND(DM317=2,DN317&lt;=42),"",IF(AND(DM317=3,DN317&lt;=45),"",EH317)))</f>
        <v/>
      </c>
      <c r="EJ317" s="0" t="str">
        <f aca="false">IF(EI317="","",IF(EI317&lt;9,EI317,9))</f>
        <v/>
      </c>
      <c r="EK317" s="0" t="str">
        <f aca="false">IF(EI317="","",IF(EI317&gt;9,EI317-EJ317,0))</f>
        <v/>
      </c>
      <c r="EL317" s="0" t="str">
        <f aca="false">IF(EI317="","",EJ317*DA317*2+EK317*DA317*3)</f>
        <v/>
      </c>
      <c r="EP317" s="0" t="n">
        <v>0</v>
      </c>
      <c r="EQ317" s="0"/>
      <c r="ER317" s="0" t="n">
        <v>0</v>
      </c>
      <c r="ET317" s="0" t="n">
        <v>0</v>
      </c>
      <c r="EV317" s="0" t="n">
        <v>0</v>
      </c>
      <c r="EX317" s="0" t="n">
        <v>0</v>
      </c>
      <c r="EY317" s="0" t="n">
        <v>0</v>
      </c>
      <c r="EZ317" s="0"/>
      <c r="FA317" s="4" t="n">
        <v>0</v>
      </c>
      <c r="FB317" s="0" t="n">
        <v>0</v>
      </c>
      <c r="FF317" s="120" t="n">
        <f aca="false">(CJ317-CI317+1)/365</f>
        <v>0.345205479452055</v>
      </c>
      <c r="FG317" s="0" t="str">
        <f aca="false">CONCATENATE(F317,"/",G317)</f>
        <v>1089/2011</v>
      </c>
      <c r="FH317" s="0" t="n">
        <v>0</v>
      </c>
      <c r="FI317" s="0" t="n">
        <v>0</v>
      </c>
    </row>
    <row r="318" customFormat="false" ht="15" hidden="false" customHeight="false" outlineLevel="0" collapsed="false">
      <c r="A318" s="5" t="str">
        <f aca="false">E318&amp;G318&amp;F318</f>
        <v>720111090</v>
      </c>
      <c r="B318" s="0" t="s">
        <v>3217</v>
      </c>
      <c r="C318" s="1" t="n">
        <v>42407</v>
      </c>
      <c r="D318" s="0" t="s">
        <v>3265</v>
      </c>
      <c r="E318" s="0" t="n">
        <v>7</v>
      </c>
      <c r="F318" s="0" t="n">
        <v>1090</v>
      </c>
      <c r="G318" s="0" t="n">
        <v>2011</v>
      </c>
      <c r="H318" s="0" t="str">
        <f aca="false">"J"&amp;E318&amp;"\"&amp;F318&amp;"\"&amp;G318&amp;"\"&amp;W318</f>
        <v>J7\1090\2011\1</v>
      </c>
      <c r="I318" s="0"/>
      <c r="J318" s="1" t="n">
        <v>40718</v>
      </c>
      <c r="K318" s="0" t="n">
        <v>0</v>
      </c>
      <c r="M318" s="1"/>
      <c r="N318" s="1"/>
      <c r="O318" s="1"/>
      <c r="P318" s="1"/>
      <c r="Q318" s="1"/>
      <c r="T318" s="121"/>
      <c r="U318" s="121"/>
      <c r="V318" s="122" t="n">
        <f aca="false">IF(AND(E318&gt;0,F318&gt;0,G318&gt;0),COUNTIFS($E:$E,E318,$F:$F,F318,$G:$G,G318),"")</f>
        <v>1</v>
      </c>
      <c r="W318" s="122" t="n">
        <f aca="false">IF(V318="","",IF(V318=1,1,IF(AND(E317=E318,F317=F318,G317=G318),W317+1,1)))</f>
        <v>1</v>
      </c>
      <c r="X318" s="0" t="n">
        <v>1</v>
      </c>
      <c r="Y318" s="0" t="n">
        <v>3</v>
      </c>
      <c r="Z318" s="0" t="s">
        <v>3357</v>
      </c>
      <c r="AA318" s="0" t="n">
        <v>0</v>
      </c>
      <c r="AB318" s="0" t="s">
        <v>702</v>
      </c>
      <c r="AC318" s="0" t="s">
        <v>221</v>
      </c>
      <c r="AD318" s="0" t="s">
        <v>221</v>
      </c>
      <c r="AE318" s="0" t="n">
        <v>0</v>
      </c>
      <c r="AF318" s="0" t="s">
        <v>3358</v>
      </c>
      <c r="AG318" s="0" t="n">
        <v>0</v>
      </c>
      <c r="AH318" s="0" t="s">
        <v>3359</v>
      </c>
      <c r="AI318" s="0" t="s">
        <v>3360</v>
      </c>
      <c r="AJ318" s="0" t="s">
        <v>3361</v>
      </c>
      <c r="AL318" s="0" t="s">
        <v>3362</v>
      </c>
      <c r="AM318" s="0" t="n">
        <v>1</v>
      </c>
      <c r="AN318" s="0" t="s">
        <v>3363</v>
      </c>
      <c r="AO318" s="0" t="s">
        <v>1184</v>
      </c>
      <c r="AP318" s="0" t="s">
        <v>755</v>
      </c>
      <c r="AR318" s="0" t="s">
        <v>1880</v>
      </c>
      <c r="AS318" s="0" t="n">
        <v>1</v>
      </c>
      <c r="AT318" s="0" t="s">
        <v>3359</v>
      </c>
      <c r="AU318" s="0" t="s">
        <v>3360</v>
      </c>
      <c r="AV318" s="0" t="s">
        <v>3361</v>
      </c>
      <c r="BP318" s="0" t="n">
        <v>0</v>
      </c>
      <c r="BQ318" s="0" t="n">
        <v>0</v>
      </c>
      <c r="BR318" s="0" t="n">
        <v>1</v>
      </c>
      <c r="BS318" s="0" t="s">
        <v>3364</v>
      </c>
      <c r="BT318" s="0" t="s">
        <v>3365</v>
      </c>
      <c r="BU318" s="0" t="s">
        <v>3366</v>
      </c>
      <c r="BV318" s="123"/>
      <c r="BW318" s="123"/>
      <c r="BX318" s="123"/>
      <c r="BY318" s="123"/>
      <c r="BZ318" s="0" t="n">
        <v>0</v>
      </c>
      <c r="CA318" s="0" t="s">
        <v>3367</v>
      </c>
      <c r="CD318" s="0" t="s">
        <v>357</v>
      </c>
      <c r="CE318" s="0" t="n">
        <v>0</v>
      </c>
      <c r="CF318" s="0" t="s">
        <v>3368</v>
      </c>
      <c r="CI318" s="1" t="n">
        <v>39493</v>
      </c>
      <c r="CJ318" s="1" t="n">
        <v>40666</v>
      </c>
      <c r="CK318" s="124" t="n">
        <v>0.361111111111111</v>
      </c>
      <c r="CL318" s="0" t="s">
        <v>3362</v>
      </c>
      <c r="CM318" s="0" t="n">
        <f aca="false">IF(OR(CI318="",CJ318=""),"",DAYS360(CI318,CJ318)/360)</f>
        <v>3.21666666666667</v>
      </c>
      <c r="CN318" s="0" t="n">
        <f aca="false">IF(OR(CI318="",CJ318=""),"",DAYS360(CI318,CJ318)/30)</f>
        <v>38.6</v>
      </c>
      <c r="CO318" s="0" t="n">
        <f aca="false">IF(OR(CI318="",CJ318=""),"",DAYS360(CI318,CJ318)/7)</f>
        <v>165.428571428571</v>
      </c>
      <c r="CP318" s="0" t="n">
        <f aca="false">IF(OR(CI318="",CJ318=""),"",DAYS360(CI318,CJ318))</f>
        <v>1158</v>
      </c>
      <c r="CQ318" s="0" t="s">
        <v>240</v>
      </c>
      <c r="CR318" s="0" t="n">
        <v>1</v>
      </c>
      <c r="CT318" s="0" t="n">
        <v>350</v>
      </c>
      <c r="CU318" s="0" t="n">
        <v>0</v>
      </c>
      <c r="CV318" s="0" t="n">
        <f aca="false">IF(OR(CT318="",CT318="NO ESPECIFICA",CT318="NO MENCIONA"),"",IF(CU318=0,CT318,IF(CU318=1,CT318/30,IF(CU318=2,CT318/15,IF(CU318=3,CT318/7,"")))))</f>
        <v>350</v>
      </c>
      <c r="CW318" s="125" t="n">
        <v>507.04</v>
      </c>
      <c r="CX318" s="0" t="n">
        <v>9</v>
      </c>
      <c r="CY318" s="0" t="n">
        <f aca="false">IF(CW318="","",IF(CX318=0,CW318,IF(CX318=1,CW318/30,IF(CX318=2,CW318/15,IF(CX318=3,CW318/7,CW318)))))</f>
        <v>507.04</v>
      </c>
      <c r="CZ318" s="0" t="n">
        <f aca="false">IF(DI318&gt;0,DI318,IF(CY318&gt;0,CY318,IF(CV318&gt;0,CV318,"")))</f>
        <v>507.04</v>
      </c>
      <c r="DA318" s="0" t="n">
        <f aca="false">IF(DM318=1,CZ318/8,IF(OR(DM318=2,DM318=4),CZ318/7,IF(DM318=3,CZ318/7.5,"")))</f>
        <v>63.38</v>
      </c>
      <c r="DB318" s="0" t="s">
        <v>303</v>
      </c>
      <c r="DC318" s="0" t="s">
        <v>299</v>
      </c>
      <c r="DD318" s="0" t="s">
        <v>3369</v>
      </c>
      <c r="DE318" s="0" t="s">
        <v>301</v>
      </c>
      <c r="DF318" s="0" t="s">
        <v>216</v>
      </c>
      <c r="DG318" s="0" t="s">
        <v>216</v>
      </c>
      <c r="DH318" s="0" t="n">
        <v>0</v>
      </c>
      <c r="DI318" s="126" t="n">
        <v>507.04</v>
      </c>
      <c r="DK318" s="0" t="n">
        <v>1</v>
      </c>
      <c r="DM318" s="0" t="n">
        <v>1</v>
      </c>
      <c r="DN318" s="0" t="n">
        <v>89.5</v>
      </c>
      <c r="DO318" s="0" t="n">
        <v>3</v>
      </c>
      <c r="DP318" s="0" t="n">
        <v>0</v>
      </c>
      <c r="DQ318" s="0" t="n">
        <v>1</v>
      </c>
      <c r="DR318" s="0"/>
      <c r="DS318" s="0" t="n">
        <v>1</v>
      </c>
      <c r="DU318" s="0" t="n">
        <v>1</v>
      </c>
      <c r="DW318" s="1" t="n">
        <v>39493</v>
      </c>
      <c r="DX318" s="1" t="n">
        <v>40666</v>
      </c>
      <c r="DZ318" s="0"/>
      <c r="EA318" s="0" t="n">
        <v>1</v>
      </c>
      <c r="EC318" s="1" t="n">
        <v>39493</v>
      </c>
      <c r="ED318" s="1" t="n">
        <v>40666</v>
      </c>
      <c r="EF318" s="0"/>
      <c r="EG318" s="0" t="n">
        <v>1</v>
      </c>
      <c r="EH318" s="0" t="n">
        <v>36</v>
      </c>
      <c r="EI318" s="0" t="n">
        <f aca="false">IF(AND(DM318=1,DN318&lt;=48),"",IF(AND(DM318=2,DN318&lt;=42),"",IF(AND(DM318=3,DN318&lt;=45),"",EH318)))</f>
        <v>36</v>
      </c>
      <c r="EJ318" s="0" t="n">
        <f aca="false">IF(EI318="","",IF(EI318&lt;9,EI318,9))</f>
        <v>9</v>
      </c>
      <c r="EK318" s="0" t="n">
        <f aca="false">IF(EI318="","",IF(EI318&gt;9,EI318-EJ318,0))</f>
        <v>27</v>
      </c>
      <c r="EL318" s="0" t="n">
        <f aca="false">IF(EI318="","",EJ318*DA318*2+EK318*DA318*3)</f>
        <v>6274.62</v>
      </c>
      <c r="EN318" s="0" t="n">
        <v>225215.64</v>
      </c>
      <c r="EO318" s="0" t="n">
        <v>1872</v>
      </c>
      <c r="EP318" s="0" t="n">
        <v>0</v>
      </c>
      <c r="EQ318" s="0"/>
      <c r="ER318" s="0" t="n">
        <v>0</v>
      </c>
      <c r="ET318" s="0" t="n">
        <v>1</v>
      </c>
      <c r="EV318" s="0" t="n">
        <v>0</v>
      </c>
      <c r="EX318" s="0" t="n">
        <v>1</v>
      </c>
      <c r="EY318" s="0" t="n">
        <v>1</v>
      </c>
      <c r="EZ318" s="4" t="n">
        <v>10500</v>
      </c>
      <c r="FA318" s="4" t="n">
        <f aca="false">620+19292</f>
        <v>19912</v>
      </c>
      <c r="FB318" s="0" t="n">
        <v>0</v>
      </c>
      <c r="FF318" s="120" t="n">
        <f aca="false">(CJ318-CI318+1)/365</f>
        <v>3.21643835616438</v>
      </c>
      <c r="FG318" s="0" t="str">
        <f aca="false">CONCATENATE(F318,"/",G318)</f>
        <v>1090/2011</v>
      </c>
      <c r="FH318" s="0" t="n">
        <v>0</v>
      </c>
      <c r="FI318" s="0" t="n">
        <v>0</v>
      </c>
    </row>
    <row r="319" customFormat="false" ht="15" hidden="false" customHeight="false" outlineLevel="0" collapsed="false">
      <c r="A319" s="5" t="str">
        <f aca="false">E319&amp;G319&amp;F319</f>
        <v>720111099</v>
      </c>
      <c r="B319" s="0" t="s">
        <v>3217</v>
      </c>
      <c r="C319" s="1" t="n">
        <v>42408</v>
      </c>
      <c r="D319" s="0" t="s">
        <v>3265</v>
      </c>
      <c r="E319" s="0" t="n">
        <v>7</v>
      </c>
      <c r="F319" s="0" t="n">
        <v>1099</v>
      </c>
      <c r="G319" s="0" t="n">
        <v>2011</v>
      </c>
      <c r="H319" s="0" t="str">
        <f aca="false">"J"&amp;E319&amp;"\"&amp;F319&amp;"\"&amp;G319&amp;"\"&amp;W319</f>
        <v>J7\1099\2011\1</v>
      </c>
      <c r="I319" s="0"/>
      <c r="J319" s="1" t="n">
        <v>40721</v>
      </c>
      <c r="K319" s="0" t="n">
        <v>0</v>
      </c>
      <c r="M319" s="1"/>
      <c r="N319" s="1"/>
      <c r="O319" s="1"/>
      <c r="P319" s="1"/>
      <c r="Q319" s="1"/>
      <c r="T319" s="121"/>
      <c r="U319" s="121"/>
      <c r="V319" s="122" t="n">
        <f aca="false">IF(AND(E319&gt;0,F319&gt;0,G319&gt;0),COUNTIFS($E:$E,E319,$F:$F,F319,$G:$G,G319),"")</f>
        <v>1</v>
      </c>
      <c r="W319" s="122" t="n">
        <f aca="false">IF(V319="","",IF(V319=1,1,IF(AND(E318=E319,F318=F319,G318=G319),W318+1,1)))</f>
        <v>1</v>
      </c>
      <c r="X319" s="0" t="n">
        <v>1</v>
      </c>
      <c r="Y319" s="0" t="n">
        <v>5</v>
      </c>
      <c r="Z319" s="0" t="s">
        <v>3370</v>
      </c>
      <c r="AA319" s="0" t="n">
        <v>0</v>
      </c>
      <c r="AB319" s="0" t="s">
        <v>3163</v>
      </c>
      <c r="AC319" s="0" t="s">
        <v>1963</v>
      </c>
      <c r="AD319" s="0" t="s">
        <v>229</v>
      </c>
      <c r="AE319" s="0" t="n">
        <v>0</v>
      </c>
      <c r="AF319" s="0" t="s">
        <v>3371</v>
      </c>
      <c r="AG319" s="0" t="n">
        <v>0</v>
      </c>
      <c r="AH319" s="0" t="s">
        <v>3372</v>
      </c>
      <c r="AI319" s="0" t="s">
        <v>3373</v>
      </c>
      <c r="AJ319" s="0" t="s">
        <v>590</v>
      </c>
      <c r="AL319" s="0" t="s">
        <v>3374</v>
      </c>
      <c r="AM319" s="0" t="n">
        <v>1</v>
      </c>
      <c r="AN319" s="0" t="s">
        <v>3372</v>
      </c>
      <c r="AO319" s="0" t="s">
        <v>3373</v>
      </c>
      <c r="AP319" s="0" t="s">
        <v>590</v>
      </c>
      <c r="AR319" s="0" t="s">
        <v>3375</v>
      </c>
      <c r="AS319" s="0" t="n">
        <v>1</v>
      </c>
      <c r="AT319" s="0" t="s">
        <v>3372</v>
      </c>
      <c r="AU319" s="0" t="s">
        <v>3373</v>
      </c>
      <c r="AV319" s="0" t="s">
        <v>590</v>
      </c>
      <c r="AX319" s="0" t="s">
        <v>3376</v>
      </c>
      <c r="AY319" s="0" t="n">
        <v>1</v>
      </c>
      <c r="AZ319" s="0" t="s">
        <v>3372</v>
      </c>
      <c r="BA319" s="0" t="s">
        <v>3373</v>
      </c>
      <c r="BB319" s="0" t="s">
        <v>590</v>
      </c>
      <c r="BD319" s="0" t="s">
        <v>1880</v>
      </c>
      <c r="BE319" s="0" t="n">
        <v>1</v>
      </c>
      <c r="BF319" s="0" t="s">
        <v>3372</v>
      </c>
      <c r="BG319" s="0" t="s">
        <v>3373</v>
      </c>
      <c r="BH319" s="0" t="s">
        <v>590</v>
      </c>
      <c r="BP319" s="0" t="n">
        <v>0</v>
      </c>
      <c r="BQ319" s="0" t="n">
        <v>0</v>
      </c>
      <c r="BR319" s="0" t="n">
        <v>1</v>
      </c>
      <c r="BS319" s="0" t="s">
        <v>3167</v>
      </c>
      <c r="BT319" s="0" t="s">
        <v>3377</v>
      </c>
      <c r="BU319" s="0" t="s">
        <v>3378</v>
      </c>
      <c r="BV319" s="123"/>
      <c r="BW319" s="123"/>
      <c r="BX319" s="123"/>
      <c r="BY319" s="123"/>
      <c r="BZ319" s="0" t="n">
        <v>0</v>
      </c>
      <c r="CA319" s="0" t="s">
        <v>3379</v>
      </c>
      <c r="CD319" s="0" t="s">
        <v>1308</v>
      </c>
      <c r="CE319" s="0" t="n">
        <v>0</v>
      </c>
      <c r="CF319" s="0" t="s">
        <v>3380</v>
      </c>
      <c r="CI319" s="1" t="n">
        <v>37600</v>
      </c>
      <c r="CJ319" s="1" t="n">
        <v>40665</v>
      </c>
      <c r="CK319" s="124" t="n">
        <v>0.4375</v>
      </c>
      <c r="CL319" s="0" t="s">
        <v>3375</v>
      </c>
      <c r="CM319" s="0" t="n">
        <f aca="false">IF(OR(CI319="",CJ319=""),"",DAYS360(CI319,CJ319)/360)</f>
        <v>8.39444444444444</v>
      </c>
      <c r="CN319" s="0" t="n">
        <f aca="false">IF(OR(CI319="",CJ319=""),"",DAYS360(CI319,CJ319)/30)</f>
        <v>100.733333333333</v>
      </c>
      <c r="CO319" s="0" t="n">
        <f aca="false">IF(OR(CI319="",CJ319=""),"",DAYS360(CI319,CJ319)/7)</f>
        <v>431.714285714286</v>
      </c>
      <c r="CP319" s="0" t="n">
        <f aca="false">IF(OR(CI319="",CJ319=""),"",DAYS360(CI319,CJ319))</f>
        <v>3022</v>
      </c>
      <c r="CQ319" s="0" t="s">
        <v>240</v>
      </c>
      <c r="CR319" s="0" t="n">
        <v>1</v>
      </c>
      <c r="CT319" s="0" t="n">
        <v>430.48</v>
      </c>
      <c r="CU319" s="0" t="n">
        <v>0</v>
      </c>
      <c r="CV319" s="0" t="n">
        <f aca="false">IF(OR(CT319="",CT319="NO ESPECIFICA",CT319="NO MENCIONA"),"",IF(CU319=0,CT319,IF(CU319=1,CT319/30,IF(CU319=2,CT319/15,IF(CU319=3,CT319/7,"")))))</f>
        <v>430.48</v>
      </c>
      <c r="CW319" s="125" t="n">
        <v>610.48</v>
      </c>
      <c r="CX319" s="0" t="n">
        <v>0</v>
      </c>
      <c r="CY319" s="0" t="n">
        <f aca="false">IF(CW319="","",IF(CX319=0,CW319,IF(CX319=1,CW319/30,IF(CX319=2,CW319/15,IF(CX319=3,CW319/7,CW319)))))</f>
        <v>610.48</v>
      </c>
      <c r="CZ319" s="0" t="n">
        <f aca="false">IF(DI319&gt;0,DI319,IF(CY319&gt;0,CY319,IF(CV319&gt;0,CV319,"")))</f>
        <v>610.48</v>
      </c>
      <c r="DA319" s="0" t="n">
        <f aca="false">IF(DM319=1,CZ319/8,IF(OR(DM319=2,DM319=4),CZ319/7,IF(DM319=3,CZ319/7.5,"")))</f>
        <v>76.31</v>
      </c>
      <c r="DB319" s="0" t="s">
        <v>299</v>
      </c>
      <c r="DC319" s="0" t="s">
        <v>1582</v>
      </c>
      <c r="DD319" s="0" t="s">
        <v>216</v>
      </c>
      <c r="DE319" s="0" t="s">
        <v>216</v>
      </c>
      <c r="DF319" s="0" t="s">
        <v>216</v>
      </c>
      <c r="DG319" s="0" t="s">
        <v>216</v>
      </c>
      <c r="DH319" s="0" t="n">
        <v>0</v>
      </c>
      <c r="DI319" s="126" t="n">
        <v>610.48</v>
      </c>
      <c r="DK319" s="0" t="n">
        <v>0</v>
      </c>
      <c r="DM319" s="0" t="n">
        <v>1</v>
      </c>
      <c r="DN319" s="0" t="n">
        <f aca="false">16*6</f>
        <v>96</v>
      </c>
      <c r="DO319" s="0" t="n">
        <v>3</v>
      </c>
      <c r="DP319" s="0" t="n">
        <v>0</v>
      </c>
      <c r="DQ319" s="0" t="n">
        <v>1</v>
      </c>
      <c r="DR319" s="0"/>
      <c r="DS319" s="0" t="n">
        <v>1</v>
      </c>
      <c r="DU319" s="0" t="n">
        <v>1</v>
      </c>
      <c r="DW319" s="1" t="n">
        <v>37600</v>
      </c>
      <c r="DX319" s="1" t="n">
        <v>40665</v>
      </c>
      <c r="DZ319" s="0"/>
      <c r="EA319" s="0" t="n">
        <v>1</v>
      </c>
      <c r="EC319" s="1" t="n">
        <v>37600</v>
      </c>
      <c r="ED319" s="1" t="n">
        <v>40665</v>
      </c>
      <c r="EF319" s="0"/>
      <c r="EG319" s="0" t="n">
        <v>1</v>
      </c>
      <c r="EH319" s="0" t="n">
        <v>26</v>
      </c>
      <c r="EI319" s="0" t="n">
        <f aca="false">IF(AND(DM319=1,DN319&lt;=48),"",IF(AND(DM319=2,DN319&lt;=42),"",IF(AND(DM319=3,DN319&lt;=45),"",EH319)))</f>
        <v>26</v>
      </c>
      <c r="EJ319" s="0" t="n">
        <f aca="false">IF(EI319="","",IF(EI319&lt;9,EI319,9))</f>
        <v>9</v>
      </c>
      <c r="EK319" s="0" t="n">
        <f aca="false">IF(EI319="","",IF(EI319&gt;9,EI319-EJ319,0))</f>
        <v>17</v>
      </c>
      <c r="EL319" s="0" t="n">
        <f aca="false">IF(EI319="","",EJ319*DA319*2+EK319*DA319*3)</f>
        <v>5265.39</v>
      </c>
      <c r="EP319" s="0" t="n">
        <v>0</v>
      </c>
      <c r="EQ319" s="0"/>
      <c r="ER319" s="0" t="n">
        <v>1</v>
      </c>
      <c r="ET319" s="0" t="n">
        <v>0</v>
      </c>
      <c r="EV319" s="0" t="n">
        <v>0</v>
      </c>
      <c r="EX319" s="0" t="n">
        <v>0</v>
      </c>
      <c r="EY319" s="0" t="n">
        <v>1</v>
      </c>
      <c r="EZ319" s="0"/>
      <c r="FA319" s="4" t="n">
        <v>0</v>
      </c>
      <c r="FB319" s="0" t="n">
        <v>0</v>
      </c>
      <c r="FF319" s="120" t="n">
        <f aca="false">(CJ319-CI319+1)/365</f>
        <v>8.4</v>
      </c>
      <c r="FG319" s="0" t="str">
        <f aca="false">CONCATENATE(F319,"/",G319)</f>
        <v>1099/2011</v>
      </c>
      <c r="FH319" s="0" t="n">
        <v>0</v>
      </c>
      <c r="FI319" s="0" t="n">
        <v>0</v>
      </c>
    </row>
    <row r="320" customFormat="false" ht="15" hidden="false" customHeight="false" outlineLevel="0" collapsed="false">
      <c r="A320" s="5" t="str">
        <f aca="false">E320&amp;G320&amp;F320</f>
        <v>720111101</v>
      </c>
      <c r="B320" s="0" t="s">
        <v>3217</v>
      </c>
      <c r="C320" s="1" t="n">
        <v>42408</v>
      </c>
      <c r="E320" s="0" t="n">
        <v>7</v>
      </c>
      <c r="F320" s="0" t="n">
        <v>1101</v>
      </c>
      <c r="G320" s="0" t="n">
        <v>2011</v>
      </c>
      <c r="H320" s="0" t="str">
        <f aca="false">"J"&amp;E320&amp;"\"&amp;F320&amp;"\"&amp;G320&amp;"\"&amp;W320</f>
        <v>J7\1101\2011\1</v>
      </c>
      <c r="I320" s="0"/>
      <c r="J320" s="1" t="n">
        <v>40721</v>
      </c>
      <c r="K320" s="0" t="n">
        <v>0</v>
      </c>
      <c r="M320" s="1" t="n">
        <v>40721</v>
      </c>
      <c r="N320" s="1" t="n">
        <v>40889</v>
      </c>
      <c r="O320" s="1"/>
      <c r="P320" s="1"/>
      <c r="Q320" s="1"/>
      <c r="T320" s="121"/>
      <c r="U320" s="121"/>
      <c r="V320" s="122" t="n">
        <f aca="false">IF(AND(E320&gt;0,F320&gt;0,G320&gt;0),COUNTIFS($E:$E,E320,$F:$F,F320,$G:$G,G320),"")</f>
        <v>1</v>
      </c>
      <c r="W320" s="122" t="n">
        <f aca="false">IF(V320="","",IF(V320=1,1,IF(AND(E319=E320,F319=F320,G319=G320),W319+1,1)))</f>
        <v>1</v>
      </c>
      <c r="X320" s="0" t="n">
        <v>1</v>
      </c>
      <c r="Y320" s="0" t="n">
        <v>4</v>
      </c>
      <c r="Z320" s="0" t="s">
        <v>3381</v>
      </c>
      <c r="AA320" s="0" t="n">
        <v>0</v>
      </c>
      <c r="AB320" s="0" t="s">
        <v>3382</v>
      </c>
      <c r="AC320" s="0" t="s">
        <v>274</v>
      </c>
      <c r="AD320" s="0" t="s">
        <v>229</v>
      </c>
      <c r="AE320" s="0" t="n">
        <v>0</v>
      </c>
      <c r="AF320" s="0" t="s">
        <v>3383</v>
      </c>
      <c r="AG320" s="0" t="n">
        <v>0</v>
      </c>
      <c r="AH320" s="0" t="s">
        <v>3384</v>
      </c>
      <c r="AI320" s="0" t="s">
        <v>2190</v>
      </c>
      <c r="AJ320" s="0" t="s">
        <v>221</v>
      </c>
      <c r="AL320" s="0" t="s">
        <v>3385</v>
      </c>
      <c r="AM320" s="0" t="n">
        <v>0</v>
      </c>
      <c r="AN320" s="0" t="s">
        <v>3386</v>
      </c>
      <c r="AO320" s="0" t="s">
        <v>3387</v>
      </c>
      <c r="AP320" s="0" t="s">
        <v>3388</v>
      </c>
      <c r="AR320" s="0" t="s">
        <v>3389</v>
      </c>
      <c r="AS320" s="0" t="n">
        <v>1</v>
      </c>
      <c r="AT320" s="0" t="s">
        <v>3386</v>
      </c>
      <c r="AU320" s="0" t="s">
        <v>3387</v>
      </c>
      <c r="AV320" s="0" t="s">
        <v>3388</v>
      </c>
      <c r="AX320" s="0" t="s">
        <v>1880</v>
      </c>
      <c r="AY320" s="0" t="n">
        <v>1</v>
      </c>
      <c r="AZ320" s="0" t="s">
        <v>3390</v>
      </c>
      <c r="BA320" s="0" t="s">
        <v>3391</v>
      </c>
      <c r="BB320" s="0" t="s">
        <v>3392</v>
      </c>
      <c r="BP320" s="0" t="n">
        <v>0</v>
      </c>
      <c r="BQ320" s="0" t="n">
        <v>0</v>
      </c>
      <c r="BR320" s="0" t="n">
        <v>1</v>
      </c>
      <c r="BS320" s="0" t="s">
        <v>3393</v>
      </c>
      <c r="BT320" s="0" t="s">
        <v>3394</v>
      </c>
      <c r="BU320" s="0" t="s">
        <v>3395</v>
      </c>
      <c r="BV320" s="123"/>
      <c r="BW320" s="123"/>
      <c r="BX320" s="123"/>
      <c r="BY320" s="123"/>
      <c r="BZ320" s="0" t="n">
        <v>0</v>
      </c>
      <c r="CA320" s="0" t="s">
        <v>3396</v>
      </c>
      <c r="CD320" s="0" t="s">
        <v>370</v>
      </c>
      <c r="CE320" s="0" t="n">
        <v>0</v>
      </c>
      <c r="CF320" s="0" t="s">
        <v>3397</v>
      </c>
      <c r="CI320" s="1" t="n">
        <v>40290</v>
      </c>
      <c r="CJ320" s="1" t="n">
        <v>41066</v>
      </c>
      <c r="CK320" s="124" t="n">
        <v>0.333333333333333</v>
      </c>
      <c r="CL320" s="0" t="s">
        <v>3389</v>
      </c>
      <c r="CM320" s="0" t="n">
        <f aca="false">IF(OR(CI320="",CJ320=""),"",DAYS360(CI320,CJ320)/360)</f>
        <v>2.12222222222222</v>
      </c>
      <c r="CN320" s="0" t="n">
        <f aca="false">IF(OR(CI320="",CJ320=""),"",DAYS360(CI320,CJ320)/30)</f>
        <v>25.4666666666667</v>
      </c>
      <c r="CO320" s="0" t="n">
        <f aca="false">IF(OR(CI320="",CJ320=""),"",DAYS360(CI320,CJ320)/7)</f>
        <v>109.142857142857</v>
      </c>
      <c r="CP320" s="0" t="n">
        <f aca="false">IF(OR(CI320="",CJ320=""),"",DAYS360(CI320,CJ320))</f>
        <v>764</v>
      </c>
      <c r="CQ320" s="0" t="s">
        <v>240</v>
      </c>
      <c r="CR320" s="0" t="n">
        <v>1</v>
      </c>
      <c r="CT320" s="0" t="s">
        <v>221</v>
      </c>
      <c r="CU320" s="0" t="s">
        <v>221</v>
      </c>
      <c r="CV320" s="0" t="str">
        <f aca="false">IF(OR(CT320="",CT320="NO ESPECIFICA",CT320="NO MENCIONA"),"",IF(CU320=0,CT320,IF(CU320=1,CT320/30,IF(CU320=2,CT320/15,IF(CU320=3,CT320/7,"")))))</f>
        <v/>
      </c>
      <c r="CW320" s="125" t="n">
        <v>2700</v>
      </c>
      <c r="CX320" s="0" t="n">
        <v>2</v>
      </c>
      <c r="CY320" s="0" t="n">
        <f aca="false">IF(CW320="","",IF(CX320=0,CW320,IF(CX320=1,CW320/30,IF(CX320=2,CW320/15,IF(CX320=3,CW320/7,CW320)))))</f>
        <v>180</v>
      </c>
      <c r="CZ320" s="0" t="n">
        <f aca="false">IF(DI320&gt;0,DI320,IF(CY320&gt;0,CY320,IF(CV320&gt;0,CV320,"")))</f>
        <v>180</v>
      </c>
      <c r="DA320" s="0" t="n">
        <f aca="false">IF(DM320=1,CZ320/8,IF(OR(DM320=2,DM320=4),CZ320/7,IF(DM320=3,CZ320/7.5,"")))</f>
        <v>22.5</v>
      </c>
      <c r="DB320" s="0" t="s">
        <v>216</v>
      </c>
      <c r="DC320" s="0" t="s">
        <v>216</v>
      </c>
      <c r="DD320" s="0" t="s">
        <v>216</v>
      </c>
      <c r="DE320" s="0" t="s">
        <v>216</v>
      </c>
      <c r="DF320" s="0" t="s">
        <v>216</v>
      </c>
      <c r="DG320" s="0" t="s">
        <v>216</v>
      </c>
      <c r="DH320" s="0" t="n">
        <v>0</v>
      </c>
      <c r="DI320" s="126" t="n">
        <v>180</v>
      </c>
      <c r="DK320" s="0" t="n">
        <v>0</v>
      </c>
      <c r="DM320" s="0" t="n">
        <v>1</v>
      </c>
      <c r="DN320" s="0" t="n">
        <v>72</v>
      </c>
      <c r="DO320" s="0" t="n">
        <v>3</v>
      </c>
      <c r="DP320" s="0" t="n">
        <v>0</v>
      </c>
      <c r="DQ320" s="0" t="n">
        <v>1</v>
      </c>
      <c r="DR320" s="0"/>
      <c r="DS320" s="0" t="n">
        <v>1</v>
      </c>
      <c r="DU320" s="0" t="n">
        <v>1</v>
      </c>
      <c r="DW320" s="1" t="n">
        <v>40290</v>
      </c>
      <c r="DX320" s="1" t="n">
        <v>41021</v>
      </c>
      <c r="DZ320" s="0"/>
      <c r="EA320" s="0" t="n">
        <v>1</v>
      </c>
      <c r="EC320" s="1" t="n">
        <v>40290</v>
      </c>
      <c r="ED320" s="1" t="n">
        <v>40908</v>
      </c>
      <c r="EF320" s="0" t="n">
        <v>4408.26</v>
      </c>
      <c r="EG320" s="0" t="n">
        <v>1</v>
      </c>
      <c r="EH320" s="0" t="n">
        <v>24</v>
      </c>
      <c r="EI320" s="0" t="n">
        <f aca="false">IF(AND(DM320=1,DN320&lt;=48),"",IF(AND(DM320=2,DN320&lt;=42),"",IF(AND(DM320=3,DN320&lt;=45),"",EH320)))</f>
        <v>24</v>
      </c>
      <c r="EJ320" s="0" t="n">
        <f aca="false">IF(EI320="","",IF(EI320&lt;9,EI320,9))</f>
        <v>9</v>
      </c>
      <c r="EK320" s="0" t="n">
        <f aca="false">IF(EI320="","",IF(EI320&gt;9,EI320-EJ320,0))</f>
        <v>15</v>
      </c>
      <c r="EL320" s="0" t="n">
        <f aca="false">IF(EI320="","",EJ320*DA320*2+EK320*DA320*3)</f>
        <v>1417.5</v>
      </c>
      <c r="EP320" s="0" t="n">
        <v>0</v>
      </c>
      <c r="EQ320" s="0"/>
      <c r="ER320" s="0" t="n">
        <v>1</v>
      </c>
      <c r="ET320" s="0" t="n">
        <v>1</v>
      </c>
      <c r="EV320" s="0" t="n">
        <v>1</v>
      </c>
      <c r="EX320" s="0" t="n">
        <v>0</v>
      </c>
      <c r="EY320" s="0" t="n">
        <v>1</v>
      </c>
      <c r="EZ320" s="0"/>
      <c r="FA320" s="4" t="n">
        <f aca="false">180*30</f>
        <v>5400</v>
      </c>
      <c r="FB320" s="0" t="n">
        <v>1</v>
      </c>
      <c r="FF320" s="120" t="n">
        <f aca="false">(CJ320-CI320+1)/365</f>
        <v>2.12876712328767</v>
      </c>
      <c r="FG320" s="0" t="str">
        <f aca="false">CONCATENATE(F320,"/",G320)</f>
        <v>1101/2011</v>
      </c>
      <c r="FH320" s="0" t="n">
        <v>0</v>
      </c>
      <c r="FI320" s="0" t="n">
        <v>0</v>
      </c>
    </row>
    <row r="321" customFormat="false" ht="15" hidden="false" customHeight="false" outlineLevel="0" collapsed="false">
      <c r="A321" s="5" t="str">
        <f aca="false">E321&amp;G321&amp;F321</f>
        <v>720111116</v>
      </c>
      <c r="B321" s="0" t="s">
        <v>3217</v>
      </c>
      <c r="C321" s="1" t="n">
        <v>42408</v>
      </c>
      <c r="E321" s="0" t="n">
        <v>7</v>
      </c>
      <c r="F321" s="0" t="n">
        <v>1116</v>
      </c>
      <c r="G321" s="0" t="n">
        <v>2011</v>
      </c>
      <c r="H321" s="0" t="str">
        <f aca="false">"J"&amp;E321&amp;"\"&amp;F321&amp;"\"&amp;G321&amp;"\"&amp;W321</f>
        <v>J7\1116\2011\1</v>
      </c>
      <c r="I321" s="0"/>
      <c r="J321" s="1" t="n">
        <v>40723</v>
      </c>
      <c r="K321" s="0" t="n">
        <v>0</v>
      </c>
      <c r="M321" s="1" t="n">
        <v>40723</v>
      </c>
      <c r="N321" s="1" t="n">
        <v>40892</v>
      </c>
      <c r="O321" s="1"/>
      <c r="P321" s="1"/>
      <c r="Q321" s="1"/>
      <c r="T321" s="121"/>
      <c r="U321" s="121"/>
      <c r="V321" s="122" t="n">
        <f aca="false">IF(AND(E321&gt;0,F321&gt;0,G321&gt;0),COUNTIFS($E:$E,E321,$F:$F,F321,$G:$G,G321),"")</f>
        <v>1</v>
      </c>
      <c r="W321" s="122" t="n">
        <f aca="false">IF(V321="","",IF(V321=1,1,IF(AND(E320=E321,F320=F321,G320=G321),W320+1,1)))</f>
        <v>1</v>
      </c>
      <c r="X321" s="0" t="n">
        <v>1</v>
      </c>
      <c r="Y321" s="0" t="n">
        <v>2</v>
      </c>
      <c r="Z321" s="0" t="s">
        <v>3398</v>
      </c>
      <c r="AA321" s="0" t="n">
        <v>0</v>
      </c>
      <c r="AB321" s="0" t="s">
        <v>3399</v>
      </c>
      <c r="AC321" s="0" t="s">
        <v>789</v>
      </c>
      <c r="AD321" s="0" t="s">
        <v>229</v>
      </c>
      <c r="AE321" s="0" t="n">
        <v>0</v>
      </c>
      <c r="AF321" s="0" t="s">
        <v>3400</v>
      </c>
      <c r="AG321" s="0" t="n">
        <v>1</v>
      </c>
      <c r="AH321" s="0" t="s">
        <v>3401</v>
      </c>
      <c r="AI321" s="0" t="s">
        <v>508</v>
      </c>
      <c r="AJ321" s="0" t="s">
        <v>322</v>
      </c>
      <c r="AL321" s="0" t="s">
        <v>1880</v>
      </c>
      <c r="AM321" s="0" t="n">
        <v>1</v>
      </c>
      <c r="AN321" s="0" t="s">
        <v>3401</v>
      </c>
      <c r="AO321" s="0" t="s">
        <v>508</v>
      </c>
      <c r="AP321" s="0" t="s">
        <v>322</v>
      </c>
      <c r="BP321" s="0" t="n">
        <v>0</v>
      </c>
      <c r="BQ321" s="0" t="n">
        <v>0</v>
      </c>
      <c r="BR321" s="0" t="n">
        <v>1</v>
      </c>
      <c r="BS321" s="0" t="s">
        <v>3402</v>
      </c>
      <c r="BT321" s="0" t="s">
        <v>3403</v>
      </c>
      <c r="BU321" s="0" t="s">
        <v>2115</v>
      </c>
      <c r="BV321" s="123"/>
      <c r="BW321" s="123"/>
      <c r="BX321" s="123"/>
      <c r="BY321" s="123"/>
      <c r="BZ321" s="0" t="n">
        <v>0</v>
      </c>
      <c r="CA321" s="0" t="s">
        <v>2116</v>
      </c>
      <c r="CD321" s="0" t="s">
        <v>256</v>
      </c>
      <c r="CE321" s="0" t="n">
        <v>0</v>
      </c>
      <c r="CF321" s="0" t="s">
        <v>3404</v>
      </c>
      <c r="CI321" s="1" t="n">
        <v>40682</v>
      </c>
      <c r="CJ321" s="1" t="n">
        <v>40709</v>
      </c>
      <c r="CK321" s="124" t="n">
        <v>0.416666666666667</v>
      </c>
      <c r="CL321" s="0" t="s">
        <v>3400</v>
      </c>
      <c r="CM321" s="0" t="n">
        <f aca="false">IF(OR(CI321="",CJ321=""),"",DAYS360(CI321,CJ321)/360)</f>
        <v>0.0722222222222222</v>
      </c>
      <c r="CN321" s="0" t="n">
        <f aca="false">IF(OR(CI321="",CJ321=""),"",DAYS360(CI321,CJ321)/30)</f>
        <v>0.866666666666667</v>
      </c>
      <c r="CO321" s="0" t="n">
        <f aca="false">IF(OR(CI321="",CJ321=""),"",DAYS360(CI321,CJ321)/7)</f>
        <v>3.71428571428571</v>
      </c>
      <c r="CP321" s="0" t="n">
        <f aca="false">IF(OR(CI321="",CJ321=""),"",DAYS360(CI321,CJ321))</f>
        <v>26</v>
      </c>
      <c r="CQ321" s="0" t="s">
        <v>220</v>
      </c>
      <c r="CR321" s="0" t="n">
        <v>1</v>
      </c>
      <c r="CT321" s="0" t="n">
        <v>1200</v>
      </c>
      <c r="CU321" s="0" t="n">
        <v>0</v>
      </c>
      <c r="CV321" s="0" t="n">
        <f aca="false">IF(OR(CT321="",CT321="NO ESPECIFICA",CT321="NO MENCIONA"),"",IF(CU321=0,CT321,IF(CU321=1,CT321/30,IF(CU321=2,CT321/15,IF(CU321=3,CT321/7,"")))))</f>
        <v>1200</v>
      </c>
      <c r="CW321" s="125" t="n">
        <v>1433.33</v>
      </c>
      <c r="CX321" s="0" t="n">
        <v>0</v>
      </c>
      <c r="CY321" s="0" t="n">
        <f aca="false">IF(CW321="","",IF(CX321=0,CW321,IF(CX321=1,CW321/30,IF(CX321=2,CW321/15,IF(CX321=3,CW321/7,CW321)))))</f>
        <v>1433.33</v>
      </c>
      <c r="CZ321" s="0" t="n">
        <f aca="false">IF(DI321&gt;0,DI321,IF(CY321&gt;0,CY321,IF(CV321&gt;0,CV321,"")))</f>
        <v>1433.33</v>
      </c>
      <c r="DA321" s="0" t="n">
        <f aca="false">IF(DM321=1,CZ321/8,IF(OR(DM321=2,DM321=4),CZ321/7,IF(DM321=3,CZ321/7.5,"")))</f>
        <v>179.16625</v>
      </c>
      <c r="DB321" s="0" t="s">
        <v>3405</v>
      </c>
      <c r="DC321" s="0" t="s">
        <v>216</v>
      </c>
      <c r="DD321" s="0" t="s">
        <v>216</v>
      </c>
      <c r="DE321" s="0" t="s">
        <v>216</v>
      </c>
      <c r="DF321" s="0" t="s">
        <v>216</v>
      </c>
      <c r="DG321" s="0" t="s">
        <v>216</v>
      </c>
      <c r="DH321" s="0" t="n">
        <v>0</v>
      </c>
      <c r="DI321" s="126" t="n">
        <v>1433.33</v>
      </c>
      <c r="DK321" s="0" t="n">
        <v>0</v>
      </c>
      <c r="DM321" s="0" t="n">
        <v>1</v>
      </c>
      <c r="DN321" s="0" t="n">
        <v>60</v>
      </c>
      <c r="DO321" s="0" t="n">
        <v>3</v>
      </c>
      <c r="DP321" s="0" t="n">
        <v>1</v>
      </c>
      <c r="DQ321" s="0" t="n">
        <v>1</v>
      </c>
      <c r="DR321" s="0"/>
      <c r="DS321" s="0" t="n">
        <v>1</v>
      </c>
      <c r="DU321" s="0" t="n">
        <v>1</v>
      </c>
      <c r="DW321" s="1" t="n">
        <v>40682</v>
      </c>
      <c r="DX321" s="1" t="n">
        <v>40709</v>
      </c>
      <c r="DZ321" s="0"/>
      <c r="EA321" s="0" t="n">
        <v>1</v>
      </c>
      <c r="EC321" s="1" t="n">
        <v>40682</v>
      </c>
      <c r="ED321" s="1" t="n">
        <v>40709</v>
      </c>
      <c r="EF321" s="0"/>
      <c r="EG321" s="0" t="n">
        <v>1</v>
      </c>
      <c r="EH321" s="0" t="n">
        <v>12</v>
      </c>
      <c r="EI321" s="0" t="n">
        <f aca="false">IF(AND(DM321=1,DN321&lt;=48),"",IF(AND(DM321=2,DN321&lt;=42),"",IF(AND(DM321=3,DN321&lt;=45),"",EH321)))</f>
        <v>12</v>
      </c>
      <c r="EJ321" s="0" t="n">
        <f aca="false">IF(EI321="","",IF(EI321&lt;9,EI321,9))</f>
        <v>9</v>
      </c>
      <c r="EK321" s="0" t="n">
        <f aca="false">IF(EI321="","",IF(EI321&gt;9,EI321-EJ321,0))</f>
        <v>3</v>
      </c>
      <c r="EL321" s="0" t="n">
        <f aca="false">IF(EI321="","",EJ321*DA321*2+EK321*DA321*3)</f>
        <v>4837.48875</v>
      </c>
      <c r="EP321" s="0" t="n">
        <v>0</v>
      </c>
      <c r="EQ321" s="0"/>
      <c r="ER321" s="0" t="n">
        <v>1</v>
      </c>
      <c r="ET321" s="0" t="n">
        <v>1</v>
      </c>
      <c r="EV321" s="0" t="n">
        <v>1</v>
      </c>
      <c r="EX321" s="0" t="n">
        <v>1</v>
      </c>
      <c r="EY321" s="0" t="n">
        <v>0</v>
      </c>
      <c r="EZ321" s="0"/>
      <c r="FA321" s="4" t="n">
        <f aca="false">10833.25</f>
        <v>10833.25</v>
      </c>
      <c r="FB321" s="0" t="n">
        <v>1</v>
      </c>
      <c r="FF321" s="120" t="n">
        <f aca="false">(CJ321-CI321+1)/365</f>
        <v>0.0767123287671233</v>
      </c>
      <c r="FG321" s="0" t="str">
        <f aca="false">CONCATENATE(F321,"/",G321)</f>
        <v>1116/2011</v>
      </c>
      <c r="FH321" s="0" t="n">
        <v>0</v>
      </c>
      <c r="FI321" s="0" t="n">
        <v>0</v>
      </c>
    </row>
    <row r="322" customFormat="false" ht="15" hidden="false" customHeight="false" outlineLevel="0" collapsed="false">
      <c r="A322" s="5" t="str">
        <f aca="false">E322&amp;G322&amp;F322</f>
        <v>720111120</v>
      </c>
      <c r="B322" s="0" t="s">
        <v>3217</v>
      </c>
      <c r="C322" s="1" t="n">
        <v>42408</v>
      </c>
      <c r="D322" s="0" t="s">
        <v>3406</v>
      </c>
      <c r="E322" s="0" t="n">
        <v>7</v>
      </c>
      <c r="F322" s="0" t="n">
        <v>1120</v>
      </c>
      <c r="G322" s="0" t="n">
        <v>2011</v>
      </c>
      <c r="H322" s="0" t="str">
        <f aca="false">"J"&amp;E322&amp;"\"&amp;F322&amp;"\"&amp;G322&amp;"\"&amp;W322</f>
        <v>J7\1120\2011\1</v>
      </c>
      <c r="I322" s="0"/>
      <c r="J322" s="1" t="n">
        <v>40723</v>
      </c>
      <c r="K322" s="0" t="n">
        <v>0</v>
      </c>
      <c r="M322" s="1"/>
      <c r="N322" s="1"/>
      <c r="O322" s="1"/>
      <c r="P322" s="1"/>
      <c r="Q322" s="1"/>
      <c r="T322" s="121"/>
      <c r="U322" s="121"/>
      <c r="V322" s="122" t="n">
        <f aca="false">IF(AND(E322&gt;0,F322&gt;0,G322&gt;0),COUNTIFS($E:$E,E322,$F:$F,F322,$G:$G,G322),"")</f>
        <v>1</v>
      </c>
      <c r="W322" s="122" t="n">
        <f aca="false">IF(V322="","",IF(V322=1,1,IF(AND(E321=E322,F321=F322,G321=G322),W321+1,1)))</f>
        <v>1</v>
      </c>
      <c r="X322" s="0" t="n">
        <v>1</v>
      </c>
      <c r="Y322" s="0" t="n">
        <v>4</v>
      </c>
      <c r="Z322" s="0" t="s">
        <v>3407</v>
      </c>
      <c r="AA322" s="0" t="n">
        <v>0</v>
      </c>
      <c r="AB322" s="0" t="s">
        <v>3408</v>
      </c>
      <c r="AC322" s="0" t="s">
        <v>3409</v>
      </c>
      <c r="AD322" s="0" t="s">
        <v>322</v>
      </c>
      <c r="AE322" s="0" t="n">
        <v>0</v>
      </c>
      <c r="AF322" s="0" t="s">
        <v>3410</v>
      </c>
      <c r="AG322" s="0" t="s">
        <v>221</v>
      </c>
      <c r="AH322" s="0" t="s">
        <v>3411</v>
      </c>
      <c r="AI322" s="0" t="s">
        <v>1160</v>
      </c>
      <c r="AJ322" s="0" t="s">
        <v>229</v>
      </c>
      <c r="AL322" s="0" t="s">
        <v>3412</v>
      </c>
      <c r="AM322" s="0" t="n">
        <v>1</v>
      </c>
      <c r="AN322" s="0" t="s">
        <v>3411</v>
      </c>
      <c r="AO322" s="0" t="s">
        <v>1160</v>
      </c>
      <c r="AP322" s="0" t="s">
        <v>229</v>
      </c>
      <c r="AR322" s="0" t="s">
        <v>1880</v>
      </c>
      <c r="AS322" s="0" t="n">
        <v>1</v>
      </c>
      <c r="AT322" s="0" t="s">
        <v>3411</v>
      </c>
      <c r="AU322" s="0" t="s">
        <v>1160</v>
      </c>
      <c r="AV322" s="0" t="s">
        <v>229</v>
      </c>
      <c r="AX322" s="0" t="s">
        <v>249</v>
      </c>
      <c r="AY322" s="0" t="n">
        <v>0</v>
      </c>
      <c r="AZ322" s="0" t="s">
        <v>3237</v>
      </c>
      <c r="BA322" s="0" t="s">
        <v>251</v>
      </c>
      <c r="BB322" s="0" t="s">
        <v>229</v>
      </c>
      <c r="BP322" s="0" t="n">
        <v>0</v>
      </c>
      <c r="BQ322" s="0" t="n">
        <v>0</v>
      </c>
      <c r="BR322" s="0" t="n">
        <v>1</v>
      </c>
      <c r="BS322" s="0" t="s">
        <v>3413</v>
      </c>
      <c r="BT322" s="0" t="s">
        <v>3414</v>
      </c>
      <c r="BU322" s="0" t="s">
        <v>3415</v>
      </c>
      <c r="BV322" s="123"/>
      <c r="BW322" s="123"/>
      <c r="BX322" s="123"/>
      <c r="BY322" s="123"/>
      <c r="BZ322" s="0" t="n">
        <v>0</v>
      </c>
      <c r="CA322" s="0" t="s">
        <v>216</v>
      </c>
      <c r="CD322" s="0" t="s">
        <v>256</v>
      </c>
      <c r="CE322" s="0" t="n">
        <v>0</v>
      </c>
      <c r="CF322" s="0" t="s">
        <v>3416</v>
      </c>
      <c r="CI322" s="1" t="n">
        <v>38811</v>
      </c>
      <c r="CJ322" s="1" t="n">
        <v>40667</v>
      </c>
      <c r="CK322" s="124" t="n">
        <v>0.458333333333333</v>
      </c>
      <c r="CL322" s="0" t="s">
        <v>3412</v>
      </c>
      <c r="CM322" s="0" t="n">
        <f aca="false">IF(OR(CI322="",CJ322=""),"",DAYS360(CI322,CJ322)/360)</f>
        <v>5.08333333333333</v>
      </c>
      <c r="CN322" s="0" t="n">
        <f aca="false">IF(OR(CI322="",CJ322=""),"",DAYS360(CI322,CJ322)/30)</f>
        <v>61</v>
      </c>
      <c r="CO322" s="0" t="n">
        <f aca="false">IF(OR(CI322="",CJ322=""),"",DAYS360(CI322,CJ322)/7)</f>
        <v>261.428571428571</v>
      </c>
      <c r="CP322" s="0" t="n">
        <f aca="false">IF(OR(CI322="",CJ322=""),"",DAYS360(CI322,CJ322))</f>
        <v>1830</v>
      </c>
      <c r="CQ322" s="0" t="s">
        <v>240</v>
      </c>
      <c r="CR322" s="0" t="n">
        <v>1</v>
      </c>
      <c r="CT322" s="0" t="s">
        <v>221</v>
      </c>
      <c r="CU322" s="0" t="s">
        <v>221</v>
      </c>
      <c r="CV322" s="0" t="str">
        <f aca="false">IF(OR(CT322="",CT322="NO ESPECIFICA",CT322="NO MENCIONA"),"",IF(CU322=0,CT322,IF(CU322=1,CT322/30,IF(CU322=2,CT322/15,IF(CU322=3,CT322/7,"")))))</f>
        <v/>
      </c>
      <c r="CW322" s="125" t="n">
        <v>500</v>
      </c>
      <c r="CX322" s="0" t="n">
        <v>0</v>
      </c>
      <c r="CY322" s="0" t="n">
        <f aca="false">IF(CW322="","",IF(CX322=0,CW322,IF(CX322=1,CW322/30,IF(CX322=2,CW322/15,IF(CX322=3,CW322/7,CW322)))))</f>
        <v>500</v>
      </c>
      <c r="CZ322" s="0" t="n">
        <f aca="false">IF(DI322&gt;0,DI322,IF(CY322&gt;0,CY322,IF(CV322&gt;0,CV322,"")))</f>
        <v>500</v>
      </c>
      <c r="DA322" s="0" t="n">
        <f aca="false">IF(DM322=1,CZ322/8,IF(OR(DM322=2,DM322=4),CZ322/7,IF(DM322=3,CZ322/7.5,"")))</f>
        <v>62.5</v>
      </c>
      <c r="DB322" s="0" t="s">
        <v>216</v>
      </c>
      <c r="DC322" s="0" t="s">
        <v>216</v>
      </c>
      <c r="DD322" s="0" t="s">
        <v>216</v>
      </c>
      <c r="DE322" s="0" t="s">
        <v>216</v>
      </c>
      <c r="DF322" s="0" t="s">
        <v>216</v>
      </c>
      <c r="DG322" s="0" t="s">
        <v>216</v>
      </c>
      <c r="DH322" s="0" t="n">
        <v>0</v>
      </c>
      <c r="DI322" s="126" t="n">
        <v>500</v>
      </c>
      <c r="DK322" s="0" t="n">
        <v>0</v>
      </c>
      <c r="DM322" s="0" t="n">
        <v>1</v>
      </c>
      <c r="DN322" s="0" t="n">
        <v>66</v>
      </c>
      <c r="DO322" s="0" t="n">
        <v>3</v>
      </c>
      <c r="DP322" s="0" t="n">
        <v>0</v>
      </c>
      <c r="DQ322" s="0" t="n">
        <v>1</v>
      </c>
      <c r="DR322" s="0"/>
      <c r="DS322" s="0" t="n">
        <v>1</v>
      </c>
      <c r="DU322" s="0" t="n">
        <v>1</v>
      </c>
      <c r="DW322" s="1" t="n">
        <v>39907</v>
      </c>
      <c r="DX322" s="1" t="n">
        <v>40637</v>
      </c>
      <c r="DZ322" s="0"/>
      <c r="EA322" s="0" t="n">
        <v>1</v>
      </c>
      <c r="EC322" s="1" t="n">
        <v>40544</v>
      </c>
      <c r="ED322" s="1" t="n">
        <v>40667</v>
      </c>
      <c r="EF322" s="0"/>
      <c r="EG322" s="0" t="n">
        <v>1</v>
      </c>
      <c r="EH322" s="0" t="n">
        <v>12</v>
      </c>
      <c r="EI322" s="0" t="n">
        <f aca="false">IF(AND(DM322=1,DN322&lt;=48),"",IF(AND(DM322=2,DN322&lt;=42),"",IF(AND(DM322=3,DN322&lt;=45),"",EH322)))</f>
        <v>12</v>
      </c>
      <c r="EJ322" s="0" t="n">
        <f aca="false">IF(EI322="","",IF(EI322&lt;9,EI322,9))</f>
        <v>9</v>
      </c>
      <c r="EK322" s="0" t="n">
        <f aca="false">IF(EI322="","",IF(EI322&gt;9,EI322-EJ322,0))</f>
        <v>3</v>
      </c>
      <c r="EL322" s="0" t="n">
        <f aca="false">IF(EI322="","",EJ322*DA322*2+EK322*DA322*3)</f>
        <v>1687.5</v>
      </c>
      <c r="EP322" s="0" t="n">
        <v>1</v>
      </c>
      <c r="EQ322" s="0"/>
      <c r="ER322" s="0" t="n">
        <v>0</v>
      </c>
      <c r="ET322" s="0" t="n">
        <v>0</v>
      </c>
      <c r="EV322" s="0" t="n">
        <v>0</v>
      </c>
      <c r="EX322" s="0" t="n">
        <v>1</v>
      </c>
      <c r="EY322" s="0" t="n">
        <v>0</v>
      </c>
      <c r="EZ322" s="0"/>
      <c r="FA322" s="4" t="n">
        <v>0</v>
      </c>
      <c r="FB322" s="0" t="n">
        <v>0</v>
      </c>
      <c r="FF322" s="120" t="n">
        <f aca="false">(CJ322-CI322+1)/365</f>
        <v>5.08767123287671</v>
      </c>
      <c r="FG322" s="0" t="str">
        <f aca="false">CONCATENATE(F322,"/",G322)</f>
        <v>1120/2011</v>
      </c>
      <c r="FH322" s="0" t="n">
        <v>0</v>
      </c>
      <c r="FI322" s="0" t="n">
        <v>0</v>
      </c>
    </row>
    <row r="323" customFormat="false" ht="15" hidden="false" customHeight="false" outlineLevel="0" collapsed="false">
      <c r="A323" s="5" t="str">
        <f aca="false">E323&amp;G323&amp;F323</f>
        <v>720111123</v>
      </c>
      <c r="B323" s="0" t="s">
        <v>3217</v>
      </c>
      <c r="C323" s="1" t="n">
        <v>42408</v>
      </c>
      <c r="D323" s="0" t="s">
        <v>3417</v>
      </c>
      <c r="E323" s="0" t="n">
        <v>7</v>
      </c>
      <c r="F323" s="0" t="n">
        <v>1123</v>
      </c>
      <c r="G323" s="0" t="n">
        <v>2011</v>
      </c>
      <c r="H323" s="0" t="str">
        <f aca="false">"J"&amp;E323&amp;"\"&amp;F323&amp;"\"&amp;G323&amp;"\"&amp;W323</f>
        <v>J7\1123\2011\1</v>
      </c>
      <c r="I323" s="0"/>
      <c r="J323" s="1" t="n">
        <v>40723</v>
      </c>
      <c r="K323" s="0" t="n">
        <v>0</v>
      </c>
      <c r="M323" s="1" t="n">
        <v>40723</v>
      </c>
      <c r="N323" s="1" t="n">
        <v>40910</v>
      </c>
      <c r="O323" s="1"/>
      <c r="P323" s="1"/>
      <c r="Q323" s="1"/>
      <c r="T323" s="121"/>
      <c r="U323" s="121"/>
      <c r="V323" s="122" t="n">
        <f aca="false">IF(AND(E323&gt;0,F323&gt;0,G323&gt;0),COUNTIFS($E:$E,E323,$F:$F,F323,$G:$G,G323),"")</f>
        <v>1</v>
      </c>
      <c r="W323" s="122" t="n">
        <f aca="false">IF(V323="","",IF(V323=1,1,IF(AND(E322=E323,F322=F323,G322=G323),W322+1,1)))</f>
        <v>1</v>
      </c>
      <c r="X323" s="0" t="n">
        <v>1</v>
      </c>
      <c r="Y323" s="0" t="n">
        <v>4</v>
      </c>
      <c r="Z323" s="0" t="s">
        <v>3418</v>
      </c>
      <c r="AA323" s="0" t="n">
        <v>0</v>
      </c>
      <c r="AB323" s="0" t="s">
        <v>3419</v>
      </c>
      <c r="AC323" s="0" t="s">
        <v>318</v>
      </c>
      <c r="AD323" s="0" t="s">
        <v>221</v>
      </c>
      <c r="AE323" s="0" t="n">
        <v>0</v>
      </c>
      <c r="AF323" s="0" t="s">
        <v>3420</v>
      </c>
      <c r="AG323" s="0" t="n">
        <v>0</v>
      </c>
      <c r="AH323" s="0" t="s">
        <v>3421</v>
      </c>
      <c r="AI323" s="0" t="s">
        <v>3422</v>
      </c>
      <c r="AJ323" s="0" t="s">
        <v>3423</v>
      </c>
      <c r="AL323" s="0" t="s">
        <v>3424</v>
      </c>
      <c r="AM323" s="0" t="n">
        <v>1</v>
      </c>
      <c r="AN323" s="0" t="s">
        <v>3421</v>
      </c>
      <c r="AO323" s="0" t="s">
        <v>3422</v>
      </c>
      <c r="AP323" s="0" t="s">
        <v>3423</v>
      </c>
      <c r="AR323" s="0" t="s">
        <v>3425</v>
      </c>
      <c r="AS323" s="0" t="n">
        <v>1</v>
      </c>
      <c r="AT323" s="0" t="s">
        <v>3421</v>
      </c>
      <c r="AU323" s="0" t="s">
        <v>3422</v>
      </c>
      <c r="AV323" s="0" t="s">
        <v>3423</v>
      </c>
      <c r="AX323" s="0" t="s">
        <v>1880</v>
      </c>
      <c r="AY323" s="0" t="n">
        <v>1</v>
      </c>
      <c r="AZ323" s="0" t="s">
        <v>3421</v>
      </c>
      <c r="BA323" s="0" t="s">
        <v>3422</v>
      </c>
      <c r="BB323" s="0" t="s">
        <v>3423</v>
      </c>
      <c r="BP323" s="0" t="n">
        <v>0</v>
      </c>
      <c r="BQ323" s="0" t="n">
        <v>0</v>
      </c>
      <c r="BR323" s="0" t="n">
        <v>1</v>
      </c>
      <c r="BS323" s="0" t="s">
        <v>3426</v>
      </c>
      <c r="BV323" s="123"/>
      <c r="BW323" s="123"/>
      <c r="BX323" s="123"/>
      <c r="BY323" s="123"/>
      <c r="BZ323" s="0" t="n">
        <v>0</v>
      </c>
      <c r="CA323" s="0" t="s">
        <v>3427</v>
      </c>
      <c r="CD323" s="0" t="s">
        <v>370</v>
      </c>
      <c r="CE323" s="0" t="n">
        <v>0</v>
      </c>
      <c r="CF323" s="0" t="s">
        <v>457</v>
      </c>
      <c r="CI323" s="1" t="n">
        <v>40210</v>
      </c>
      <c r="CJ323" s="1" t="n">
        <v>40694</v>
      </c>
      <c r="CK323" s="124" t="n">
        <v>0.375</v>
      </c>
      <c r="CL323" s="0" t="s">
        <v>3424</v>
      </c>
      <c r="CM323" s="0" t="n">
        <f aca="false">IF(OR(CI323="",CJ323=""),"",DAYS360(CI323,CJ323)/360)</f>
        <v>1.33333333333333</v>
      </c>
      <c r="CN323" s="0" t="n">
        <f aca="false">IF(OR(CI323="",CJ323=""),"",DAYS360(CI323,CJ323)/30)</f>
        <v>16</v>
      </c>
      <c r="CO323" s="0" t="n">
        <f aca="false">IF(OR(CI323="",CJ323=""),"",DAYS360(CI323,CJ323)/7)</f>
        <v>68.5714285714286</v>
      </c>
      <c r="CP323" s="0" t="n">
        <f aca="false">IF(OR(CI323="",CJ323=""),"",DAYS360(CI323,CJ323))</f>
        <v>480</v>
      </c>
      <c r="CQ323" s="0" t="s">
        <v>220</v>
      </c>
      <c r="CR323" s="0" t="n">
        <v>1</v>
      </c>
      <c r="CT323" s="0" t="s">
        <v>221</v>
      </c>
      <c r="CU323" s="0" t="s">
        <v>221</v>
      </c>
      <c r="CV323" s="0" t="str">
        <f aca="false">IF(OR(CT323="",CT323="NO ESPECIFICA",CT323="NO MENCIONA"),"",IF(CU323=0,CT323,IF(CU323=1,CT323/30,IF(CU323=2,CT323/15,IF(CU323=3,CT323/7,"")))))</f>
        <v/>
      </c>
      <c r="CW323" s="125" t="n">
        <v>439.51</v>
      </c>
      <c r="CX323" s="0" t="n">
        <v>0</v>
      </c>
      <c r="CY323" s="0" t="n">
        <f aca="false">IF(CW323="","",IF(CX323=0,CW323,IF(CX323=1,CW323/30,IF(CX323=2,CW323/15,IF(CX323=3,CW323/7,CW323)))))</f>
        <v>439.51</v>
      </c>
      <c r="CZ323" s="0" t="n">
        <f aca="false">IF(DI323&gt;0,DI323,IF(CY323&gt;0,CY323,IF(CV323&gt;0,CV323,"")))</f>
        <v>439.51</v>
      </c>
      <c r="DA323" s="0" t="n">
        <f aca="false">IF(DM323=1,CZ323/8,IF(OR(DM323=2,DM323=4),CZ323/7,IF(DM323=3,CZ323/7.5,"")))</f>
        <v>54.93875</v>
      </c>
      <c r="DB323" s="0" t="s">
        <v>216</v>
      </c>
      <c r="DC323" s="0" t="s">
        <v>216</v>
      </c>
      <c r="DD323" s="0" t="s">
        <v>216</v>
      </c>
      <c r="DE323" s="0" t="s">
        <v>216</v>
      </c>
      <c r="DF323" s="0" t="s">
        <v>216</v>
      </c>
      <c r="DG323" s="0" t="s">
        <v>216</v>
      </c>
      <c r="DH323" s="0" t="n">
        <v>0</v>
      </c>
      <c r="DI323" s="126" t="n">
        <v>439.51</v>
      </c>
      <c r="DK323" s="0" t="n">
        <v>1</v>
      </c>
      <c r="DM323" s="0" t="n">
        <v>1</v>
      </c>
      <c r="DN323" s="0" t="n">
        <v>55</v>
      </c>
      <c r="DO323" s="0" t="n">
        <v>3</v>
      </c>
      <c r="DP323" s="0" t="n">
        <v>1</v>
      </c>
      <c r="DQ323" s="0" t="n">
        <v>0</v>
      </c>
      <c r="DR323" s="0"/>
      <c r="DS323" s="0" t="n">
        <v>1</v>
      </c>
      <c r="DU323" s="0" t="n">
        <v>0</v>
      </c>
      <c r="DW323" s="1" t="n">
        <v>40210</v>
      </c>
      <c r="DX323" s="1" t="n">
        <v>40694</v>
      </c>
      <c r="DZ323" s="0"/>
      <c r="EA323" s="0" t="n">
        <v>1</v>
      </c>
      <c r="EC323" s="1" t="n">
        <v>40544</v>
      </c>
      <c r="ED323" s="1" t="n">
        <v>40694</v>
      </c>
      <c r="EF323" s="0"/>
      <c r="EG323" s="0" t="n">
        <v>1</v>
      </c>
      <c r="EH323" s="0" t="s">
        <v>221</v>
      </c>
      <c r="EI323" s="0" t="str">
        <f aca="false">IF(AND(DM323=1,DN323&lt;=48),"",IF(AND(DM323=2,DN323&lt;=42),"",IF(AND(DM323=3,DN323&lt;=45),"",EH323)))</f>
        <v>NO ESPECIFICA</v>
      </c>
      <c r="EJ323" s="0" t="n">
        <f aca="false">IF(EI323="","",IF(EI323&lt;9,EI323,9))</f>
        <v>9</v>
      </c>
      <c r="EK323" s="0" t="e">
        <f aca="false">IF(EI323="","",IF(EI323&gt;9,EI323-EJ323,0))</f>
        <v>#VALUE!</v>
      </c>
      <c r="EL323" s="0" t="e">
        <f aca="false">IF(EI323="","",EJ323*DA323*2+EK323*DA323*3)</f>
        <v>#VALUE!</v>
      </c>
      <c r="EP323" s="0" t="n">
        <v>0</v>
      </c>
      <c r="EQ323" s="0"/>
      <c r="ER323" s="0" t="n">
        <v>0</v>
      </c>
      <c r="ET323" s="0" t="n">
        <v>0</v>
      </c>
      <c r="EV323" s="0" t="n">
        <v>0</v>
      </c>
      <c r="EX323" s="0" t="n">
        <v>0</v>
      </c>
      <c r="EY323" s="0" t="n">
        <v>0</v>
      </c>
      <c r="EZ323" s="0"/>
      <c r="FA323" s="4" t="n">
        <v>0</v>
      </c>
      <c r="FB323" s="0" t="n">
        <v>0</v>
      </c>
      <c r="FF323" s="120" t="n">
        <f aca="false">(CJ323-CI323+1)/365</f>
        <v>1.32876712328767</v>
      </c>
      <c r="FG323" s="0" t="str">
        <f aca="false">CONCATENATE(F323,"/",G323)</f>
        <v>1123/2011</v>
      </c>
      <c r="FH323" s="0" t="n">
        <v>0</v>
      </c>
      <c r="FI323" s="0" t="n">
        <v>0</v>
      </c>
    </row>
    <row r="324" customFormat="false" ht="15" hidden="false" customHeight="false" outlineLevel="0" collapsed="false">
      <c r="A324" s="5" t="str">
        <f aca="false">E324&amp;G324&amp;F324</f>
        <v>720111155</v>
      </c>
      <c r="B324" s="0" t="s">
        <v>3217</v>
      </c>
      <c r="C324" s="1" t="n">
        <v>42408</v>
      </c>
      <c r="D324" s="0" t="s">
        <v>3265</v>
      </c>
      <c r="E324" s="0" t="n">
        <v>7</v>
      </c>
      <c r="F324" s="0" t="n">
        <v>1155</v>
      </c>
      <c r="G324" s="0" t="n">
        <v>2011</v>
      </c>
      <c r="H324" s="0" t="str">
        <f aca="false">"J"&amp;E324&amp;"\"&amp;F324&amp;"\"&amp;G324&amp;"\"&amp;W324</f>
        <v>J7\1155\2011\1</v>
      </c>
      <c r="I324" s="0" t="n">
        <v>40721</v>
      </c>
      <c r="J324" s="1" t="n">
        <v>40729</v>
      </c>
      <c r="K324" s="0" t="n">
        <v>0</v>
      </c>
      <c r="M324" s="1"/>
      <c r="N324" s="1"/>
      <c r="O324" s="1"/>
      <c r="P324" s="1"/>
      <c r="Q324" s="1"/>
      <c r="T324" s="121"/>
      <c r="U324" s="121"/>
      <c r="V324" s="122" t="n">
        <f aca="false">IF(AND(E324&gt;0,F324&gt;0,G324&gt;0),COUNTIFS($E:$E,E324,$F:$F,F324,$G:$G,G324),"")</f>
        <v>1</v>
      </c>
      <c r="W324" s="122" t="n">
        <f aca="false">IF(V324="","",IF(V324=1,1,IF(AND(E323=E324,F323=F324,G323=G324),W323+1,1)))</f>
        <v>1</v>
      </c>
      <c r="X324" s="0" t="n">
        <v>1</v>
      </c>
      <c r="Y324" s="0" t="n">
        <v>2</v>
      </c>
      <c r="Z324" s="0" t="s">
        <v>3428</v>
      </c>
      <c r="AA324" s="0" t="n">
        <v>0</v>
      </c>
      <c r="AB324" s="0" t="s">
        <v>3429</v>
      </c>
      <c r="AC324" s="0" t="s">
        <v>389</v>
      </c>
      <c r="AD324" s="0" t="s">
        <v>352</v>
      </c>
      <c r="AE324" s="0" t="n">
        <v>0</v>
      </c>
      <c r="AF324" s="0" t="s">
        <v>3430</v>
      </c>
      <c r="AG324" s="0" t="n">
        <v>0</v>
      </c>
      <c r="AH324" s="0" t="s">
        <v>3431</v>
      </c>
      <c r="AI324" s="0" t="s">
        <v>3432</v>
      </c>
      <c r="AJ324" s="0" t="s">
        <v>221</v>
      </c>
      <c r="AL324" s="0" t="s">
        <v>3433</v>
      </c>
      <c r="AM324" s="0" t="n">
        <v>1</v>
      </c>
      <c r="AN324" s="0" t="s">
        <v>3431</v>
      </c>
      <c r="AO324" s="0" t="s">
        <v>3432</v>
      </c>
      <c r="AP324" s="0" t="s">
        <v>221</v>
      </c>
      <c r="BP324" s="0" t="n">
        <v>0</v>
      </c>
      <c r="BQ324" s="0" t="n">
        <v>0</v>
      </c>
      <c r="BR324" s="0" t="n">
        <v>1</v>
      </c>
      <c r="BS324" s="0" t="s">
        <v>3434</v>
      </c>
      <c r="BT324" s="0" t="s">
        <v>397</v>
      </c>
      <c r="BU324" s="0" t="s">
        <v>398</v>
      </c>
      <c r="BV324" s="123"/>
      <c r="BW324" s="123"/>
      <c r="BX324" s="123"/>
      <c r="BY324" s="123"/>
      <c r="BZ324" s="0" t="n">
        <v>0</v>
      </c>
      <c r="CA324" s="0" t="s">
        <v>216</v>
      </c>
      <c r="CD324" s="0" t="s">
        <v>502</v>
      </c>
      <c r="CE324" s="0" t="n">
        <v>0</v>
      </c>
      <c r="CF324" s="0" t="s">
        <v>3435</v>
      </c>
      <c r="CI324" s="1" t="n">
        <v>40210</v>
      </c>
      <c r="CJ324" s="1" t="n">
        <v>40421</v>
      </c>
      <c r="CK324" s="124" t="n">
        <v>0.354166666666667</v>
      </c>
      <c r="CL324" s="0" t="s">
        <v>3433</v>
      </c>
      <c r="CM324" s="0" t="n">
        <f aca="false">IF(OR(CI324="",CJ324=""),"",DAYS360(CI324,CJ324)/360)</f>
        <v>0.583333333333333</v>
      </c>
      <c r="CN324" s="0" t="n">
        <f aca="false">IF(OR(CI324="",CJ324=""),"",DAYS360(CI324,CJ324)/30)</f>
        <v>7</v>
      </c>
      <c r="CO324" s="0" t="n">
        <f aca="false">IF(OR(CI324="",CJ324=""),"",DAYS360(CI324,CJ324)/7)</f>
        <v>30</v>
      </c>
      <c r="CP324" s="0" t="n">
        <f aca="false">IF(OR(CI324="",CJ324=""),"",DAYS360(CI324,CJ324))</f>
        <v>210</v>
      </c>
      <c r="CQ324" s="0" t="s">
        <v>240</v>
      </c>
      <c r="CR324" s="0" t="n">
        <v>1</v>
      </c>
      <c r="CT324" s="0" t="s">
        <v>221</v>
      </c>
      <c r="CU324" s="0" t="s">
        <v>221</v>
      </c>
      <c r="CV324" s="0" t="str">
        <f aca="false">IF(OR(CT324="",CT324="NO ESPECIFICA",CT324="NO MENCIONA"),"",IF(CU324=0,CT324,IF(CU324=1,CT324/30,IF(CU324=2,CT324/15,IF(CU324=3,CT324/7,"")))))</f>
        <v/>
      </c>
      <c r="CW324" s="125" t="n">
        <v>5000</v>
      </c>
      <c r="CX324" s="0" t="n">
        <v>2</v>
      </c>
      <c r="CY324" s="0" t="n">
        <f aca="false">IF(CW324="","",IF(CX324=0,CW324,IF(CX324=1,CW324/30,IF(CX324=2,CW324/15,IF(CX324=3,CW324/7,CW324)))))</f>
        <v>333.333333333333</v>
      </c>
      <c r="CZ324" s="0" t="n">
        <f aca="false">IF(DI324&gt;0,DI324,IF(CY324&gt;0,CY324,IF(CV324&gt;0,CV324,"")))</f>
        <v>333.33</v>
      </c>
      <c r="DA324" s="0" t="n">
        <f aca="false">IF(DM324=1,CZ324/8,IF(OR(DM324=2,DM324=4),CZ324/7,IF(DM324=3,CZ324/7.5,"")))</f>
        <v>41.66625</v>
      </c>
      <c r="DB324" s="0" t="s">
        <v>216</v>
      </c>
      <c r="DC324" s="0" t="s">
        <v>216</v>
      </c>
      <c r="DD324" s="0" t="s">
        <v>216</v>
      </c>
      <c r="DE324" s="0" t="s">
        <v>216</v>
      </c>
      <c r="DF324" s="0" t="s">
        <v>216</v>
      </c>
      <c r="DG324" s="0" t="s">
        <v>216</v>
      </c>
      <c r="DH324" s="0" t="n">
        <v>0</v>
      </c>
      <c r="DI324" s="126" t="n">
        <v>333.33</v>
      </c>
      <c r="DK324" s="0" t="n">
        <v>0</v>
      </c>
      <c r="DM324" s="0" t="n">
        <v>1</v>
      </c>
      <c r="DN324" s="0" t="n">
        <v>60</v>
      </c>
      <c r="DO324" s="0" t="n">
        <v>3</v>
      </c>
      <c r="DP324" s="0" t="n">
        <v>0</v>
      </c>
      <c r="DQ324" s="0" t="n">
        <v>1</v>
      </c>
      <c r="DR324" s="0"/>
      <c r="DS324" s="0" t="n">
        <v>1</v>
      </c>
      <c r="DU324" s="0" t="n">
        <v>1</v>
      </c>
      <c r="DW324" s="1" t="n">
        <v>40210</v>
      </c>
      <c r="DX324" s="1" t="n">
        <v>40421</v>
      </c>
      <c r="DZ324" s="0"/>
      <c r="EA324" s="0" t="n">
        <v>1</v>
      </c>
      <c r="EC324" s="1" t="n">
        <v>40210</v>
      </c>
      <c r="ED324" s="1" t="n">
        <v>40421</v>
      </c>
      <c r="EF324" s="0"/>
      <c r="EG324" s="0" t="n">
        <v>1</v>
      </c>
      <c r="EH324" s="0" t="n">
        <v>9</v>
      </c>
      <c r="EI324" s="0" t="n">
        <f aca="false">IF(AND(DM324=1,DN324&lt;=48),"",IF(AND(DM324=2,DN324&lt;=42),"",IF(AND(DM324=3,DN324&lt;=45),"",EH324)))</f>
        <v>9</v>
      </c>
      <c r="EJ324" s="0" t="n">
        <f aca="false">IF(EI324="","",IF(EI324&lt;9,EI324,9))</f>
        <v>9</v>
      </c>
      <c r="EK324" s="0" t="n">
        <f aca="false">IF(EI324="","",IF(EI324&gt;9,EI324-EJ324,0))</f>
        <v>0</v>
      </c>
      <c r="EL324" s="0" t="n">
        <f aca="false">IF(EI324="","",EJ324*DA324*2+EK324*DA324*3)</f>
        <v>749.9925</v>
      </c>
      <c r="EP324" s="0" t="n">
        <v>0</v>
      </c>
      <c r="EQ324" s="0"/>
      <c r="ER324" s="0" t="n">
        <v>0</v>
      </c>
      <c r="ET324" s="0" t="n">
        <v>0</v>
      </c>
      <c r="EV324" s="0" t="n">
        <v>0</v>
      </c>
      <c r="EX324" s="0" t="n">
        <v>0</v>
      </c>
      <c r="EY324" s="0" t="n">
        <v>0</v>
      </c>
      <c r="EZ324" s="0"/>
      <c r="FA324" s="4" t="n">
        <f aca="false">333.33*60</f>
        <v>19999.8</v>
      </c>
      <c r="FB324" s="0" t="n">
        <v>1</v>
      </c>
      <c r="FF324" s="120" t="n">
        <f aca="false">(CJ324-CI324+1)/365</f>
        <v>0.580821917808219</v>
      </c>
      <c r="FG324" s="0" t="str">
        <f aca="false">CONCATENATE(F324,"/",G324)</f>
        <v>1155/2011</v>
      </c>
      <c r="FH324" s="0" t="n">
        <v>0</v>
      </c>
      <c r="FI324" s="0" t="n">
        <v>0</v>
      </c>
    </row>
    <row r="325" customFormat="false" ht="15" hidden="false" customHeight="false" outlineLevel="0" collapsed="false">
      <c r="A325" s="5" t="str">
        <f aca="false">E325&amp;G325&amp;F325</f>
        <v>720111165</v>
      </c>
      <c r="B325" s="0" t="s">
        <v>3217</v>
      </c>
      <c r="C325" s="1" t="n">
        <v>42410</v>
      </c>
      <c r="D325" s="0" t="s">
        <v>3265</v>
      </c>
      <c r="E325" s="0" t="n">
        <v>7</v>
      </c>
      <c r="F325" s="0" t="n">
        <v>1165</v>
      </c>
      <c r="G325" s="0" t="n">
        <v>2011</v>
      </c>
      <c r="H325" s="0" t="str">
        <f aca="false">"J"&amp;E325&amp;"\"&amp;F325&amp;"\"&amp;G325&amp;"\"&amp;W325</f>
        <v>J7\1165\2011\1</v>
      </c>
      <c r="I325" s="0"/>
      <c r="J325" s="1" t="n">
        <v>40730</v>
      </c>
      <c r="K325" s="0" t="n">
        <v>0</v>
      </c>
      <c r="M325" s="1"/>
      <c r="N325" s="1"/>
      <c r="O325" s="1"/>
      <c r="P325" s="1"/>
      <c r="Q325" s="1"/>
      <c r="T325" s="121"/>
      <c r="U325" s="121"/>
      <c r="V325" s="122" t="n">
        <f aca="false">IF(AND(E325&gt;0,F325&gt;0,G325&gt;0),COUNTIFS($E:$E,E325,$F:$F,F325,$G:$G,G325),"")</f>
        <v>1</v>
      </c>
      <c r="W325" s="122" t="n">
        <f aca="false">IF(V325="","",IF(V325=1,1,IF(AND(E324=E325,F324=F325,G324=G325),W324+1,1)))</f>
        <v>1</v>
      </c>
      <c r="X325" s="0" t="n">
        <v>1</v>
      </c>
      <c r="Y325" s="0" t="n">
        <v>4</v>
      </c>
      <c r="Z325" s="0" t="s">
        <v>3436</v>
      </c>
      <c r="AA325" s="0" t="n">
        <v>0</v>
      </c>
      <c r="AB325" s="0" t="s">
        <v>3437</v>
      </c>
      <c r="AC325" s="0" t="s">
        <v>318</v>
      </c>
      <c r="AD325" s="0" t="s">
        <v>229</v>
      </c>
      <c r="AE325" s="0" t="n">
        <v>0</v>
      </c>
      <c r="AF325" s="0" t="s">
        <v>3438</v>
      </c>
      <c r="AG325" s="0" t="n">
        <v>0</v>
      </c>
      <c r="AH325" s="0" t="s">
        <v>3439</v>
      </c>
      <c r="AI325" s="0" t="s">
        <v>1661</v>
      </c>
      <c r="AJ325" s="0" t="s">
        <v>229</v>
      </c>
      <c r="AL325" s="0" t="s">
        <v>1880</v>
      </c>
      <c r="AM325" s="0" t="n">
        <v>1</v>
      </c>
      <c r="AN325" s="0" t="s">
        <v>3439</v>
      </c>
      <c r="AO325" s="0" t="s">
        <v>1661</v>
      </c>
      <c r="AP325" s="0" t="s">
        <v>229</v>
      </c>
      <c r="AR325" s="0" t="s">
        <v>249</v>
      </c>
      <c r="AS325" s="0" t="n">
        <v>0</v>
      </c>
      <c r="AT325" s="0" t="s">
        <v>964</v>
      </c>
      <c r="AU325" s="0" t="s">
        <v>410</v>
      </c>
      <c r="AV325" s="0" t="s">
        <v>411</v>
      </c>
      <c r="AX325" s="0" t="s">
        <v>412</v>
      </c>
      <c r="AY325" s="0" t="n">
        <v>0</v>
      </c>
      <c r="AZ325" s="0" t="s">
        <v>437</v>
      </c>
      <c r="BA325" s="0" t="s">
        <v>438</v>
      </c>
      <c r="BB325" s="0" t="s">
        <v>352</v>
      </c>
      <c r="BP325" s="0" t="n">
        <v>0</v>
      </c>
      <c r="BQ325" s="0" t="n">
        <v>0</v>
      </c>
      <c r="BR325" s="0" t="n">
        <v>1</v>
      </c>
      <c r="BS325" s="0" t="s">
        <v>3440</v>
      </c>
      <c r="BT325" s="0" t="s">
        <v>3441</v>
      </c>
      <c r="BU325" s="0" t="s">
        <v>3442</v>
      </c>
      <c r="BV325" s="123"/>
      <c r="BW325" s="123"/>
      <c r="BX325" s="123"/>
      <c r="BY325" s="123"/>
      <c r="BZ325" s="0" t="n">
        <v>0</v>
      </c>
      <c r="CA325" s="0" t="s">
        <v>216</v>
      </c>
      <c r="CD325" s="0" t="s">
        <v>296</v>
      </c>
      <c r="CE325" s="0" t="n">
        <v>0</v>
      </c>
      <c r="CF325" s="0" t="s">
        <v>3443</v>
      </c>
      <c r="CI325" s="1" t="n">
        <v>40618</v>
      </c>
      <c r="CJ325" s="1" t="n">
        <v>40665</v>
      </c>
      <c r="CK325" s="124" t="n">
        <v>0.458333333333333</v>
      </c>
      <c r="CL325" s="0" t="s">
        <v>3444</v>
      </c>
      <c r="CM325" s="0" t="n">
        <f aca="false">IF(OR(CI325="",CJ325=""),"",DAYS360(CI325,CJ325)/360)</f>
        <v>0.127777777777778</v>
      </c>
      <c r="CN325" s="0" t="n">
        <f aca="false">IF(OR(CI325="",CJ325=""),"",DAYS360(CI325,CJ325)/30)</f>
        <v>1.53333333333333</v>
      </c>
      <c r="CO325" s="0" t="n">
        <f aca="false">IF(OR(CI325="",CJ325=""),"",DAYS360(CI325,CJ325)/7)</f>
        <v>6.57142857142857</v>
      </c>
      <c r="CP325" s="0" t="n">
        <f aca="false">IF(OR(CI325="",CJ325=""),"",DAYS360(CI325,CJ325))</f>
        <v>46</v>
      </c>
      <c r="CQ325" s="0" t="s">
        <v>240</v>
      </c>
      <c r="CR325" s="0" t="n">
        <v>1</v>
      </c>
      <c r="CT325" s="0" t="s">
        <v>221</v>
      </c>
      <c r="CU325" s="0" t="s">
        <v>221</v>
      </c>
      <c r="CV325" s="0" t="str">
        <f aca="false">IF(OR(CT325="",CT325="NO ESPECIFICA",CT325="NO MENCIONA"),"",IF(CU325=0,CT325,IF(CU325=1,CT325/30,IF(CU325=2,CT325/15,IF(CU325=3,CT325/7,"")))))</f>
        <v/>
      </c>
      <c r="CW325" s="125" t="n">
        <v>68700</v>
      </c>
      <c r="CX325" s="0" t="n">
        <v>1</v>
      </c>
      <c r="CY325" s="0" t="n">
        <f aca="false">IF(CW325="","",IF(CX325=0,CW325,IF(CX325=1,CW325/30,IF(CX325=2,CW325/15,IF(CX325=3,CW325/7,CW325)))))</f>
        <v>2290</v>
      </c>
      <c r="CZ325" s="0" t="n">
        <f aca="false">IF(DI325&gt;0,DI325,IF(CY325&gt;0,CY325,IF(CV325&gt;0,CV325,"")))</f>
        <v>2290</v>
      </c>
      <c r="DA325" s="0" t="n">
        <f aca="false">IF(DM325=1,CZ325/8,IF(OR(DM325=2,DM325=4),CZ325/7,IF(DM325=3,CZ325/7.5,"")))</f>
        <v>286.25</v>
      </c>
      <c r="DB325" s="0" t="s">
        <v>216</v>
      </c>
      <c r="DC325" s="0" t="s">
        <v>216</v>
      </c>
      <c r="DD325" s="0" t="s">
        <v>216</v>
      </c>
      <c r="DE325" s="0" t="s">
        <v>216</v>
      </c>
      <c r="DF325" s="0" t="s">
        <v>216</v>
      </c>
      <c r="DG325" s="0" t="s">
        <v>216</v>
      </c>
      <c r="DH325" s="0" t="n">
        <v>0</v>
      </c>
      <c r="DI325" s="126" t="n">
        <v>2290</v>
      </c>
      <c r="DK325" s="0" t="n">
        <v>0</v>
      </c>
      <c r="DM325" s="0" t="n">
        <v>1</v>
      </c>
      <c r="DN325" s="0" t="n">
        <v>45</v>
      </c>
      <c r="DO325" s="0" t="n">
        <v>3</v>
      </c>
      <c r="DP325" s="0" t="n">
        <v>0</v>
      </c>
      <c r="DQ325" s="0" t="n">
        <v>1</v>
      </c>
      <c r="DR325" s="0"/>
      <c r="DS325" s="0" t="n">
        <v>1</v>
      </c>
      <c r="DU325" s="0" t="n">
        <v>0</v>
      </c>
      <c r="DW325" s="1" t="s">
        <v>216</v>
      </c>
      <c r="DX325" s="1" t="s">
        <v>216</v>
      </c>
      <c r="DY325" s="0" t="s">
        <v>216</v>
      </c>
      <c r="DZ325" s="0" t="s">
        <v>216</v>
      </c>
      <c r="EA325" s="0" t="s">
        <v>216</v>
      </c>
      <c r="EB325" s="0" t="s">
        <v>216</v>
      </c>
      <c r="EC325" s="1" t="s">
        <v>216</v>
      </c>
      <c r="ED325" s="1" t="s">
        <v>216</v>
      </c>
      <c r="EE325" s="0" t="s">
        <v>216</v>
      </c>
      <c r="EF325" s="0" t="s">
        <v>216</v>
      </c>
      <c r="EG325" s="0" t="n">
        <v>0</v>
      </c>
      <c r="EI325" s="0" t="str">
        <f aca="false">IF(AND(DM325=1,DN325&lt;=48),"",IF(AND(DM325=2,DN325&lt;=42),"",IF(AND(DM325=3,DN325&lt;=45),"",EH325)))</f>
        <v/>
      </c>
      <c r="EJ325" s="0" t="str">
        <f aca="false">IF(EI325="","",IF(EI325&lt;9,EI325,9))</f>
        <v/>
      </c>
      <c r="EK325" s="0" t="str">
        <f aca="false">IF(EI325="","",IF(EI325&gt;9,EI325-EJ325,0))</f>
        <v/>
      </c>
      <c r="EL325" s="0" t="str">
        <f aca="false">IF(EI325="","",EJ325*DA325*2+EK325*DA325*3)</f>
        <v/>
      </c>
      <c r="EP325" s="0" t="n">
        <v>0</v>
      </c>
      <c r="EQ325" s="0"/>
      <c r="ER325" s="0" t="n">
        <v>0</v>
      </c>
      <c r="ET325" s="0" t="n">
        <v>0</v>
      </c>
      <c r="EV325" s="0" t="n">
        <v>0</v>
      </c>
      <c r="EX325" s="0" t="n">
        <v>1</v>
      </c>
      <c r="EY325" s="0" t="n">
        <v>0</v>
      </c>
      <c r="EZ325" s="0"/>
      <c r="FA325" s="4" t="n">
        <v>0</v>
      </c>
      <c r="FB325" s="0" t="n">
        <v>0</v>
      </c>
      <c r="FF325" s="120" t="n">
        <f aca="false">(CJ325-CI325+1)/365</f>
        <v>0.131506849315068</v>
      </c>
      <c r="FG325" s="0" t="str">
        <f aca="false">CONCATENATE(F325,"/",G325)</f>
        <v>1165/2011</v>
      </c>
      <c r="FH325" s="0" t="n">
        <v>0</v>
      </c>
      <c r="FI325" s="0" t="n">
        <v>0</v>
      </c>
    </row>
    <row r="326" customFormat="false" ht="15" hidden="false" customHeight="false" outlineLevel="0" collapsed="false">
      <c r="A326" s="5" t="str">
        <f aca="false">E326&amp;G326&amp;F326</f>
        <v>720111173</v>
      </c>
      <c r="B326" s="0" t="s">
        <v>3217</v>
      </c>
      <c r="C326" s="1" t="n">
        <v>42410</v>
      </c>
      <c r="D326" s="0" t="s">
        <v>3265</v>
      </c>
      <c r="E326" s="0" t="n">
        <v>7</v>
      </c>
      <c r="F326" s="0" t="n">
        <v>1173</v>
      </c>
      <c r="G326" s="0" t="n">
        <v>2011</v>
      </c>
      <c r="H326" s="0" t="str">
        <f aca="false">"J"&amp;E326&amp;"\"&amp;F326&amp;"\"&amp;G326&amp;"\"&amp;W326</f>
        <v>J7\1173\2011\1</v>
      </c>
      <c r="I326" s="0"/>
      <c r="J326" s="1" t="n">
        <v>40731</v>
      </c>
      <c r="K326" s="0" t="n">
        <v>0</v>
      </c>
      <c r="M326" s="1"/>
      <c r="N326" s="1"/>
      <c r="O326" s="1"/>
      <c r="P326" s="1"/>
      <c r="Q326" s="1"/>
      <c r="T326" s="121"/>
      <c r="U326" s="121"/>
      <c r="V326" s="122" t="n">
        <f aca="false">IF(AND(E326&gt;0,F326&gt;0,G326&gt;0),COUNTIFS($E:$E,E326,$F:$F,F326,$G:$G,G326),"")</f>
        <v>1</v>
      </c>
      <c r="W326" s="122" t="n">
        <f aca="false">IF(V326="","",IF(V326=1,1,IF(AND(E325=E326,F325=F326,G325=G326),W325+1,1)))</f>
        <v>1</v>
      </c>
      <c r="X326" s="0" t="n">
        <v>1</v>
      </c>
      <c r="Y326" s="0" t="n">
        <v>9</v>
      </c>
      <c r="Z326" s="0" t="s">
        <v>3445</v>
      </c>
      <c r="AA326" s="0" t="n">
        <v>0</v>
      </c>
      <c r="AB326" s="0" t="s">
        <v>3446</v>
      </c>
      <c r="AC326" s="0" t="s">
        <v>3447</v>
      </c>
      <c r="AD326" s="0" t="s">
        <v>485</v>
      </c>
      <c r="AE326" s="0" t="n">
        <v>0</v>
      </c>
      <c r="AF326" s="0" t="s">
        <v>3448</v>
      </c>
      <c r="AG326" s="0" t="n">
        <v>0</v>
      </c>
      <c r="AH326" s="0" t="s">
        <v>3449</v>
      </c>
      <c r="AI326" s="0" t="s">
        <v>1796</v>
      </c>
      <c r="AJ326" s="0" t="s">
        <v>322</v>
      </c>
      <c r="AL326" s="0" t="s">
        <v>3450</v>
      </c>
      <c r="AM326" s="0" t="n">
        <v>0</v>
      </c>
      <c r="AN326" s="0" t="s">
        <v>3449</v>
      </c>
      <c r="AO326" s="0" t="s">
        <v>1796</v>
      </c>
      <c r="AP326" s="0" t="s">
        <v>322</v>
      </c>
      <c r="AR326" s="0" t="s">
        <v>3451</v>
      </c>
      <c r="AS326" s="0" t="n">
        <v>0</v>
      </c>
      <c r="AT326" s="0" t="s">
        <v>3449</v>
      </c>
      <c r="AU326" s="0" t="s">
        <v>1796</v>
      </c>
      <c r="AV326" s="0" t="s">
        <v>322</v>
      </c>
      <c r="AX326" s="0" t="s">
        <v>3452</v>
      </c>
      <c r="AY326" s="0" t="n">
        <v>1</v>
      </c>
      <c r="AZ326" s="0" t="s">
        <v>3449</v>
      </c>
      <c r="BA326" s="0" t="s">
        <v>1796</v>
      </c>
      <c r="BB326" s="0" t="s">
        <v>322</v>
      </c>
      <c r="BD326" s="0" t="s">
        <v>3453</v>
      </c>
      <c r="BE326" s="0" t="n">
        <v>1</v>
      </c>
      <c r="BF326" s="0" t="s">
        <v>3449</v>
      </c>
      <c r="BG326" s="0" t="s">
        <v>1796</v>
      </c>
      <c r="BH326" s="0" t="s">
        <v>322</v>
      </c>
      <c r="BJ326" s="0" t="s">
        <v>3454</v>
      </c>
      <c r="BK326" s="0" t="n">
        <v>1</v>
      </c>
      <c r="BL326" s="0" t="s">
        <v>3449</v>
      </c>
      <c r="BM326" s="0" t="s">
        <v>1796</v>
      </c>
      <c r="BN326" s="0" t="s">
        <v>322</v>
      </c>
      <c r="BP326" s="0" t="n">
        <v>0</v>
      </c>
      <c r="BQ326" s="0" t="n">
        <v>0</v>
      </c>
      <c r="BR326" s="0" t="n">
        <v>1</v>
      </c>
      <c r="BS326" s="0" t="s">
        <v>3455</v>
      </c>
      <c r="BT326" s="0" t="s">
        <v>3456</v>
      </c>
      <c r="BU326" s="0" t="s">
        <v>3457</v>
      </c>
      <c r="BV326" s="123"/>
      <c r="BW326" s="123"/>
      <c r="BX326" s="123"/>
      <c r="BY326" s="123"/>
      <c r="BZ326" s="0" t="n">
        <v>0</v>
      </c>
      <c r="CA326" s="0" t="s">
        <v>216</v>
      </c>
      <c r="CD326" s="0" t="s">
        <v>357</v>
      </c>
      <c r="CE326" s="0" t="n">
        <v>0</v>
      </c>
      <c r="CF326" s="0" t="s">
        <v>3458</v>
      </c>
      <c r="CI326" s="1" t="n">
        <v>39965</v>
      </c>
      <c r="CJ326" s="1" t="n">
        <v>40695</v>
      </c>
      <c r="CK326" s="124" t="n">
        <v>0.25</v>
      </c>
      <c r="CL326" s="0" t="s">
        <v>3452</v>
      </c>
      <c r="CM326" s="0" t="n">
        <f aca="false">IF(OR(CI326="",CJ326=""),"",DAYS360(CI326,CJ326)/360)</f>
        <v>2</v>
      </c>
      <c r="CN326" s="0" t="n">
        <f aca="false">IF(OR(CI326="",CJ326=""),"",DAYS360(CI326,CJ326)/30)</f>
        <v>24</v>
      </c>
      <c r="CO326" s="0" t="n">
        <f aca="false">IF(OR(CI326="",CJ326=""),"",DAYS360(CI326,CJ326)/7)</f>
        <v>102.857142857143</v>
      </c>
      <c r="CP326" s="0" t="n">
        <f aca="false">IF(OR(CI326="",CJ326=""),"",DAYS360(CI326,CJ326))</f>
        <v>720</v>
      </c>
      <c r="CQ326" s="0" t="s">
        <v>240</v>
      </c>
      <c r="CR326" s="0" t="n">
        <v>1</v>
      </c>
      <c r="CT326" s="0" t="s">
        <v>221</v>
      </c>
      <c r="CU326" s="0" t="s">
        <v>221</v>
      </c>
      <c r="CV326" s="0" t="str">
        <f aca="false">IF(OR(CT326="",CT326="NO ESPECIFICA",CT326="NO MENCIONA"),"",IF(CU326=0,CT326,IF(CU326=1,CT326/30,IF(CU326=2,CT326/15,IF(CU326=3,CT326/7,"")))))</f>
        <v/>
      </c>
      <c r="CW326" s="125" t="n">
        <v>233.33</v>
      </c>
      <c r="CX326" s="0" t="n">
        <v>0</v>
      </c>
      <c r="CY326" s="0" t="n">
        <f aca="false">IF(CW326="","",IF(CX326=0,CW326,IF(CX326=1,CW326/30,IF(CX326=2,CW326/15,IF(CX326=3,CW326/7,CW326)))))</f>
        <v>233.33</v>
      </c>
      <c r="CZ326" s="0" t="n">
        <f aca="false">IF(DI326&gt;0,DI326,IF(CY326&gt;0,CY326,IF(CV326&gt;0,CV326,"")))</f>
        <v>233.33</v>
      </c>
      <c r="DA326" s="0" t="n">
        <f aca="false">IF(DM326=1,CZ326/8,IF(OR(DM326=2,DM326=4),CZ326/7,IF(DM326=3,CZ326/7.5,"")))</f>
        <v>29.16625</v>
      </c>
      <c r="DB326" s="0" t="s">
        <v>259</v>
      </c>
      <c r="DC326" s="0" t="s">
        <v>258</v>
      </c>
      <c r="DD326" s="0" t="s">
        <v>1842</v>
      </c>
      <c r="DE326" s="0" t="s">
        <v>216</v>
      </c>
      <c r="DF326" s="0" t="s">
        <v>216</v>
      </c>
      <c r="DG326" s="0" t="s">
        <v>216</v>
      </c>
      <c r="DH326" s="0" t="n">
        <v>0</v>
      </c>
      <c r="DI326" s="126" t="n">
        <v>233.33</v>
      </c>
      <c r="DK326" s="0" t="n">
        <v>1</v>
      </c>
      <c r="DM326" s="0" t="n">
        <v>1</v>
      </c>
      <c r="DN326" s="0" t="n">
        <v>60</v>
      </c>
      <c r="DO326" s="0" t="n">
        <v>3</v>
      </c>
      <c r="DP326" s="0" t="n">
        <v>0</v>
      </c>
      <c r="DQ326" s="0" t="n">
        <v>1</v>
      </c>
      <c r="DR326" s="0"/>
      <c r="DS326" s="0" t="n">
        <v>1</v>
      </c>
      <c r="DU326" s="0" t="n">
        <v>1</v>
      </c>
      <c r="DW326" s="1" t="n">
        <v>39965</v>
      </c>
      <c r="DX326" s="1" t="n">
        <v>40695</v>
      </c>
      <c r="DZ326" s="0"/>
      <c r="EA326" s="0" t="n">
        <v>1</v>
      </c>
      <c r="EC326" s="1" t="n">
        <v>39965</v>
      </c>
      <c r="ED326" s="1" t="n">
        <v>40695</v>
      </c>
      <c r="EF326" s="0"/>
      <c r="EG326" s="0" t="n">
        <v>1</v>
      </c>
      <c r="EH326" s="0" t="n">
        <v>18</v>
      </c>
      <c r="EI326" s="0" t="n">
        <f aca="false">IF(AND(DM326=1,DN326&lt;=48),"",IF(AND(DM326=2,DN326&lt;=42),"",IF(AND(DM326=3,DN326&lt;=45),"",EH326)))</f>
        <v>18</v>
      </c>
      <c r="EJ326" s="0" t="n">
        <f aca="false">IF(EI326="","",IF(EI326&lt;9,EI326,9))</f>
        <v>9</v>
      </c>
      <c r="EK326" s="0" t="n">
        <f aca="false">IF(EI326="","",IF(EI326&gt;9,EI326-EJ326,0))</f>
        <v>9</v>
      </c>
      <c r="EL326" s="0" t="n">
        <f aca="false">IF(EI326="","",EJ326*DA326*2+EK326*DA326*3)</f>
        <v>1312.48125</v>
      </c>
      <c r="EP326" s="0" t="n">
        <v>1</v>
      </c>
      <c r="EQ326" s="0"/>
      <c r="ER326" s="0" t="n">
        <v>1</v>
      </c>
      <c r="ET326" s="0" t="n">
        <v>1</v>
      </c>
      <c r="EV326" s="0" t="n">
        <v>1</v>
      </c>
      <c r="EX326" s="0" t="n">
        <v>1</v>
      </c>
      <c r="EY326" s="0" t="n">
        <v>0</v>
      </c>
      <c r="EZ326" s="0"/>
      <c r="FA326" s="4" t="n">
        <f aca="false">20000+(100*8)+(250*4)+(233.33*9)</f>
        <v>23899.97</v>
      </c>
      <c r="FB326" s="0" t="n">
        <v>1</v>
      </c>
      <c r="FF326" s="120" t="n">
        <f aca="false">(CJ326-CI326+1)/365</f>
        <v>2.0027397260274</v>
      </c>
      <c r="FG326" s="0" t="str">
        <f aca="false">CONCATENATE(F326,"/",G326)</f>
        <v>1173/2011</v>
      </c>
      <c r="FH326" s="0" t="n">
        <v>0</v>
      </c>
      <c r="FI326" s="0" t="n">
        <v>0</v>
      </c>
    </row>
    <row r="327" customFormat="false" ht="15" hidden="false" customHeight="false" outlineLevel="0" collapsed="false">
      <c r="A327" s="5" t="str">
        <f aca="false">E327&amp;G327&amp;F327</f>
        <v>720111174</v>
      </c>
      <c r="B327" s="0" t="s">
        <v>3217</v>
      </c>
      <c r="C327" s="1" t="n">
        <v>42410</v>
      </c>
      <c r="D327" s="0" t="s">
        <v>3459</v>
      </c>
      <c r="E327" s="0" t="n">
        <v>7</v>
      </c>
      <c r="F327" s="0" t="n">
        <v>1174</v>
      </c>
      <c r="G327" s="0" t="n">
        <v>2011</v>
      </c>
      <c r="H327" s="0" t="str">
        <f aca="false">"J"&amp;E327&amp;"\"&amp;F327&amp;"\"&amp;G327&amp;"\"&amp;W327</f>
        <v>J7\1174\2011\1</v>
      </c>
      <c r="I327" s="0"/>
      <c r="J327" s="1" t="n">
        <v>40731</v>
      </c>
      <c r="K327" s="0" t="n">
        <v>0</v>
      </c>
      <c r="M327" s="1"/>
      <c r="N327" s="1"/>
      <c r="O327" s="1"/>
      <c r="P327" s="1"/>
      <c r="Q327" s="1"/>
      <c r="T327" s="121"/>
      <c r="U327" s="121"/>
      <c r="V327" s="122" t="n">
        <f aca="false">IF(AND(E327&gt;0,F327&gt;0,G327&gt;0),COUNTIFS($E:$E,E327,$F:$F,F327,$G:$G,G327),"")</f>
        <v>1</v>
      </c>
      <c r="W327" s="122" t="n">
        <f aca="false">IF(V327="","",IF(V327=1,1,IF(AND(E326=E327,F326=F327,G326=G327),W326+1,1)))</f>
        <v>1</v>
      </c>
      <c r="X327" s="0" t="n">
        <v>1</v>
      </c>
      <c r="Y327" s="0" t="n">
        <v>3</v>
      </c>
      <c r="Z327" s="0" t="s">
        <v>3460</v>
      </c>
      <c r="AA327" s="0" t="n">
        <v>0</v>
      </c>
      <c r="AB327" s="0" t="s">
        <v>3461</v>
      </c>
      <c r="AC327" s="0" t="s">
        <v>1160</v>
      </c>
      <c r="AD327" s="0" t="s">
        <v>229</v>
      </c>
      <c r="AE327" s="0" t="n">
        <v>0</v>
      </c>
      <c r="AF327" s="0" t="s">
        <v>3462</v>
      </c>
      <c r="AG327" s="0" t="n">
        <v>1</v>
      </c>
      <c r="AH327" s="0" t="s">
        <v>3463</v>
      </c>
      <c r="AI327" s="0" t="s">
        <v>3464</v>
      </c>
      <c r="AJ327" s="0" t="s">
        <v>411</v>
      </c>
      <c r="AL327" s="0" t="s">
        <v>3465</v>
      </c>
      <c r="AM327" s="0" t="n">
        <v>1</v>
      </c>
      <c r="AN327" s="0" t="s">
        <v>3463</v>
      </c>
      <c r="AO327" s="0" t="s">
        <v>3464</v>
      </c>
      <c r="AP327" s="0" t="s">
        <v>411</v>
      </c>
      <c r="AR327" s="0" t="s">
        <v>1880</v>
      </c>
      <c r="AS327" s="0" t="n">
        <v>1</v>
      </c>
      <c r="AT327" s="0" t="s">
        <v>3463</v>
      </c>
      <c r="AU327" s="0" t="s">
        <v>3464</v>
      </c>
      <c r="AV327" s="0" t="s">
        <v>411</v>
      </c>
      <c r="BP327" s="0" t="n">
        <v>0</v>
      </c>
      <c r="BQ327" s="0" t="n">
        <v>0</v>
      </c>
      <c r="BR327" s="0" t="n">
        <v>1</v>
      </c>
      <c r="BS327" s="0" t="s">
        <v>3466</v>
      </c>
      <c r="BV327" s="123"/>
      <c r="BW327" s="123"/>
      <c r="BX327" s="123"/>
      <c r="BY327" s="123"/>
      <c r="BZ327" s="0" t="n">
        <v>0</v>
      </c>
      <c r="CA327" s="0" t="s">
        <v>216</v>
      </c>
      <c r="CD327" s="0" t="s">
        <v>256</v>
      </c>
      <c r="CE327" s="0" t="n">
        <v>0</v>
      </c>
      <c r="CF327" s="0" t="s">
        <v>3467</v>
      </c>
      <c r="CI327" s="1" t="n">
        <v>36836</v>
      </c>
      <c r="CJ327" s="1" t="n">
        <v>40721</v>
      </c>
      <c r="CK327" s="124" t="n">
        <v>0.333333333333333</v>
      </c>
      <c r="CL327" s="0" t="s">
        <v>3462</v>
      </c>
      <c r="CM327" s="0" t="n">
        <f aca="false">IF(OR(CI327="",CJ327=""),"",DAYS360(CI327,CJ327)/360)</f>
        <v>10.6416666666667</v>
      </c>
      <c r="CN327" s="0" t="n">
        <f aca="false">IF(OR(CI327="",CJ327=""),"",DAYS360(CI327,CJ327)/30)</f>
        <v>127.7</v>
      </c>
      <c r="CO327" s="0" t="n">
        <f aca="false">IF(OR(CI327="",CJ327=""),"",DAYS360(CI327,CJ327)/7)</f>
        <v>547.285714285714</v>
      </c>
      <c r="CP327" s="0" t="n">
        <f aca="false">IF(OR(CI327="",CJ327=""),"",DAYS360(CI327,CJ327))</f>
        <v>3831</v>
      </c>
      <c r="CQ327" s="0" t="s">
        <v>240</v>
      </c>
      <c r="CR327" s="0" t="n">
        <v>1</v>
      </c>
      <c r="CT327" s="0" t="s">
        <v>221</v>
      </c>
      <c r="CU327" s="0" t="s">
        <v>221</v>
      </c>
      <c r="CV327" s="0" t="str">
        <f aca="false">IF(OR(CT327="",CT327="NO ESPECIFICA",CT327="NO MENCIONA"),"",IF(CU327=0,CT327,IF(CU327=1,CT327/30,IF(CU327=2,CT327/15,IF(CU327=3,CT327/7,"")))))</f>
        <v/>
      </c>
      <c r="CW327" s="125" t="n">
        <v>200</v>
      </c>
      <c r="CX327" s="0" t="n">
        <v>0</v>
      </c>
      <c r="CY327" s="0" t="n">
        <f aca="false">IF(CW327="","",IF(CX327=0,CW327,IF(CX327=1,CW327/30,IF(CX327=2,CW327/15,IF(CX327=3,CW327/7,CW327)))))</f>
        <v>200</v>
      </c>
      <c r="CZ327" s="0" t="n">
        <f aca="false">IF(DI327&gt;0,DI327,IF(CY327&gt;0,CY327,IF(CV327&gt;0,CV327,"")))</f>
        <v>200</v>
      </c>
      <c r="DA327" s="0" t="n">
        <f aca="false">IF(DM327=1,CZ327/8,IF(OR(DM327=2,DM327=4),CZ327/7,IF(DM327=3,CZ327/7.5,"")))</f>
        <v>25</v>
      </c>
      <c r="DB327" s="0" t="s">
        <v>216</v>
      </c>
      <c r="DC327" s="0" t="s">
        <v>216</v>
      </c>
      <c r="DD327" s="0" t="s">
        <v>216</v>
      </c>
      <c r="DE327" s="0" t="s">
        <v>216</v>
      </c>
      <c r="DF327" s="0" t="s">
        <v>216</v>
      </c>
      <c r="DG327" s="0" t="s">
        <v>216</v>
      </c>
      <c r="DH327" s="0" t="n">
        <v>0</v>
      </c>
      <c r="DI327" s="126" t="n">
        <v>200</v>
      </c>
      <c r="DK327" s="0" t="n">
        <v>0</v>
      </c>
      <c r="DM327" s="0" t="n">
        <v>1</v>
      </c>
      <c r="DN327" s="0" t="n">
        <v>52</v>
      </c>
      <c r="DO327" s="0" t="n">
        <v>3</v>
      </c>
      <c r="DP327" s="0" t="n">
        <v>0</v>
      </c>
      <c r="DQ327" s="0" t="n">
        <v>1</v>
      </c>
      <c r="DR327" s="0"/>
      <c r="DS327" s="0" t="n">
        <v>1</v>
      </c>
      <c r="DU327" s="0" t="n">
        <v>1</v>
      </c>
      <c r="DW327" s="1" t="n">
        <v>36836</v>
      </c>
      <c r="DX327" s="1" t="n">
        <v>40721</v>
      </c>
      <c r="DZ327" s="0"/>
      <c r="EA327" s="0" t="n">
        <v>1</v>
      </c>
      <c r="EC327" s="1" t="n">
        <v>36836</v>
      </c>
      <c r="ED327" s="1" t="n">
        <v>40721</v>
      </c>
      <c r="EF327" s="0"/>
      <c r="EG327" s="0" t="n">
        <v>1</v>
      </c>
      <c r="EH327" s="0" t="n">
        <v>5</v>
      </c>
      <c r="EI327" s="0" t="n">
        <f aca="false">IF(AND(DM327=1,DN327&lt;=48),"",IF(AND(DM327=2,DN327&lt;=42),"",IF(AND(DM327=3,DN327&lt;=45),"",EH327)))</f>
        <v>5</v>
      </c>
      <c r="EJ327" s="0" t="n">
        <f aca="false">IF(EI327="","",IF(EI327&lt;9,EI327,9))</f>
        <v>5</v>
      </c>
      <c r="EK327" s="0" t="n">
        <f aca="false">IF(EI327="","",IF(EI327&gt;9,EI327-EJ327,0))</f>
        <v>0</v>
      </c>
      <c r="EL327" s="0" t="n">
        <f aca="false">IF(EI327="","",EJ327*DA327*2+EK327*DA327*3)</f>
        <v>250</v>
      </c>
      <c r="EP327" s="0" t="n">
        <v>0</v>
      </c>
      <c r="EQ327" s="0"/>
      <c r="ER327" s="0" t="n">
        <v>0</v>
      </c>
      <c r="ET327" s="0" t="n">
        <v>0</v>
      </c>
      <c r="EV327" s="0" t="n">
        <v>0</v>
      </c>
      <c r="EX327" s="0" t="n">
        <v>0</v>
      </c>
      <c r="EY327" s="0" t="n">
        <v>0</v>
      </c>
      <c r="EZ327" s="0"/>
      <c r="FA327" s="4" t="n">
        <v>0</v>
      </c>
      <c r="FB327" s="0" t="n">
        <v>1</v>
      </c>
      <c r="FF327" s="120" t="n">
        <f aca="false">(CJ327-CI327+1)/365</f>
        <v>10.6465753424658</v>
      </c>
      <c r="FG327" s="0" t="str">
        <f aca="false">CONCATENATE(F327,"/",G327)</f>
        <v>1174/2011</v>
      </c>
      <c r="FH327" s="0" t="n">
        <v>0</v>
      </c>
      <c r="FI327" s="0" t="n">
        <v>0</v>
      </c>
    </row>
    <row r="328" customFormat="false" ht="15" hidden="false" customHeight="false" outlineLevel="0" collapsed="false">
      <c r="A328" s="5" t="str">
        <f aca="false">E328&amp;G328&amp;F328</f>
        <v>720111176</v>
      </c>
      <c r="B328" s="0" t="s">
        <v>3217</v>
      </c>
      <c r="C328" s="1" t="n">
        <v>42410</v>
      </c>
      <c r="D328" s="0" t="s">
        <v>3265</v>
      </c>
      <c r="E328" s="0" t="n">
        <v>7</v>
      </c>
      <c r="F328" s="0" t="n">
        <v>1176</v>
      </c>
      <c r="G328" s="0" t="n">
        <v>2011</v>
      </c>
      <c r="H328" s="0" t="str">
        <f aca="false">"J"&amp;E328&amp;"\"&amp;F328&amp;"\"&amp;G328&amp;"\"&amp;W328</f>
        <v>J7\1176\2011\1</v>
      </c>
      <c r="I328" s="0" t="n">
        <v>40674</v>
      </c>
      <c r="J328" s="1" t="n">
        <v>40731</v>
      </c>
      <c r="K328" s="0" t="n">
        <v>0</v>
      </c>
      <c r="M328" s="1"/>
      <c r="N328" s="1"/>
      <c r="O328" s="1"/>
      <c r="P328" s="1"/>
      <c r="Q328" s="1"/>
      <c r="T328" s="121"/>
      <c r="U328" s="121"/>
      <c r="V328" s="122" t="n">
        <f aca="false">IF(AND(E328&gt;0,F328&gt;0,G328&gt;0),COUNTIFS($E:$E,E328,$F:$F,F328,$G:$G,G328),"")</f>
        <v>1</v>
      </c>
      <c r="W328" s="122" t="n">
        <f aca="false">IF(V328="","",IF(V328=1,1,IF(AND(E327=E328,F327=F328,G327=G328),W327+1,1)))</f>
        <v>1</v>
      </c>
      <c r="X328" s="0" t="n">
        <v>1</v>
      </c>
      <c r="Y328" s="0" t="n">
        <v>3</v>
      </c>
      <c r="Z328" s="0" t="s">
        <v>3468</v>
      </c>
      <c r="AA328" s="0" t="n">
        <v>0</v>
      </c>
      <c r="AB328" s="0" t="s">
        <v>3469</v>
      </c>
      <c r="AC328" s="0" t="s">
        <v>3470</v>
      </c>
      <c r="AD328" s="0" t="s">
        <v>590</v>
      </c>
      <c r="AE328" s="0" t="n">
        <v>0</v>
      </c>
      <c r="AF328" s="0" t="s">
        <v>3471</v>
      </c>
      <c r="AG328" s="0" t="n">
        <v>1</v>
      </c>
      <c r="AH328" s="0" t="s">
        <v>3472</v>
      </c>
      <c r="AI328" s="0" t="s">
        <v>3473</v>
      </c>
      <c r="AJ328" s="0" t="s">
        <v>211</v>
      </c>
      <c r="AL328" s="0" t="s">
        <v>3474</v>
      </c>
      <c r="AM328" s="0" t="n">
        <v>1</v>
      </c>
      <c r="AN328" s="0" t="s">
        <v>3472</v>
      </c>
      <c r="AO328" s="0" t="s">
        <v>3473</v>
      </c>
      <c r="AP328" s="0" t="s">
        <v>211</v>
      </c>
      <c r="AR328" s="0" t="s">
        <v>1880</v>
      </c>
      <c r="AS328" s="0" t="n">
        <v>1</v>
      </c>
      <c r="AT328" s="0" t="s">
        <v>3472</v>
      </c>
      <c r="AU328" s="0" t="s">
        <v>3473</v>
      </c>
      <c r="AV328" s="0" t="s">
        <v>211</v>
      </c>
      <c r="BP328" s="0" t="n">
        <v>0</v>
      </c>
      <c r="BQ328" s="0" t="n">
        <v>0</v>
      </c>
      <c r="BR328" s="0" t="n">
        <v>1</v>
      </c>
      <c r="BS328" s="0" t="s">
        <v>3475</v>
      </c>
      <c r="BT328" s="0" t="s">
        <v>3476</v>
      </c>
      <c r="BU328" s="0" t="s">
        <v>3477</v>
      </c>
      <c r="BV328" s="123"/>
      <c r="BW328" s="123"/>
      <c r="BX328" s="123"/>
      <c r="BY328" s="123"/>
      <c r="BZ328" s="0" t="n">
        <v>0</v>
      </c>
      <c r="CA328" s="0" t="s">
        <v>216</v>
      </c>
      <c r="CD328" s="0" t="s">
        <v>1308</v>
      </c>
      <c r="CE328" s="0" t="n">
        <v>0</v>
      </c>
      <c r="CF328" s="0" t="s">
        <v>503</v>
      </c>
      <c r="CI328" s="1" t="n">
        <v>39398</v>
      </c>
      <c r="CJ328" s="1" t="n">
        <v>40589</v>
      </c>
      <c r="CK328" s="124" t="n">
        <v>0.875</v>
      </c>
      <c r="CL328" s="0" t="s">
        <v>3474</v>
      </c>
      <c r="CM328" s="0" t="n">
        <f aca="false">IF(OR(CI328="",CJ328=""),"",DAYS360(CI328,CJ328)/360)</f>
        <v>3.25833333333333</v>
      </c>
      <c r="CN328" s="0" t="n">
        <f aca="false">IF(OR(CI328="",CJ328=""),"",DAYS360(CI328,CJ328)/30)</f>
        <v>39.1</v>
      </c>
      <c r="CO328" s="0" t="n">
        <f aca="false">IF(OR(CI328="",CJ328=""),"",DAYS360(CI328,CJ328)/7)</f>
        <v>167.571428571429</v>
      </c>
      <c r="CP328" s="0" t="n">
        <f aca="false">IF(OR(CI328="",CJ328=""),"",DAYS360(CI328,CJ328))</f>
        <v>1173</v>
      </c>
      <c r="CQ328" s="0" t="s">
        <v>240</v>
      </c>
      <c r="CR328" s="0" t="n">
        <v>1</v>
      </c>
      <c r="CT328" s="0" t="n">
        <v>185.71</v>
      </c>
      <c r="CU328" s="0" t="n">
        <v>0</v>
      </c>
      <c r="CV328" s="0" t="n">
        <f aca="false">IF(OR(CT328="",CT328="NO ESPECIFICA",CT328="NO MENCIONA"),"",IF(CU328=0,CT328,IF(CU328=1,CT328/30,IF(CU328=2,CT328/15,IF(CU328=3,CT328/7,"")))))</f>
        <v>185.71</v>
      </c>
      <c r="CW328" s="125" t="n">
        <v>335.71</v>
      </c>
      <c r="CX328" s="0" t="n">
        <v>0</v>
      </c>
      <c r="CY328" s="0" t="n">
        <f aca="false">IF(CW328="","",IF(CX328=0,CW328,IF(CX328=1,CW328/30,IF(CX328=2,CW328/15,IF(CX328=3,CW328/7,CW328)))))</f>
        <v>335.71</v>
      </c>
      <c r="CZ328" s="0" t="n">
        <f aca="false">IF(DI328&gt;0,DI328,IF(CY328&gt;0,CY328,IF(CV328&gt;0,CV328,"")))</f>
        <v>335.71</v>
      </c>
      <c r="DA328" s="0" t="n">
        <f aca="false">IF(DM328=1,CZ328/8,IF(OR(DM328=2,DM328=4),CZ328/7,IF(DM328=3,CZ328/7.5,"")))</f>
        <v>41.96375</v>
      </c>
      <c r="DB328" s="0" t="s">
        <v>3478</v>
      </c>
      <c r="DC328" s="0" t="s">
        <v>3479</v>
      </c>
      <c r="DD328" s="0" t="s">
        <v>216</v>
      </c>
      <c r="DE328" s="0" t="s">
        <v>216</v>
      </c>
      <c r="DF328" s="0" t="s">
        <v>216</v>
      </c>
      <c r="DG328" s="0" t="s">
        <v>216</v>
      </c>
      <c r="DH328" s="0" t="n">
        <v>0</v>
      </c>
      <c r="DI328" s="126" t="n">
        <v>335.71</v>
      </c>
      <c r="DK328" s="0" t="n">
        <v>0</v>
      </c>
      <c r="DM328" s="0" t="n">
        <v>1</v>
      </c>
      <c r="DN328" s="0" t="n">
        <f aca="false">12*7</f>
        <v>84</v>
      </c>
      <c r="DO328" s="0" t="n">
        <v>3</v>
      </c>
      <c r="DP328" s="0" t="n">
        <v>0</v>
      </c>
      <c r="DQ328" s="0" t="n">
        <v>1</v>
      </c>
      <c r="DR328" s="0"/>
      <c r="DS328" s="0" t="n">
        <v>1</v>
      </c>
      <c r="DU328" s="0" t="n">
        <v>1</v>
      </c>
      <c r="DW328" s="1" t="n">
        <v>39398</v>
      </c>
      <c r="DX328" s="1" t="n">
        <v>40589</v>
      </c>
      <c r="DZ328" s="0"/>
      <c r="EA328" s="0" t="n">
        <v>1</v>
      </c>
      <c r="EC328" s="1" t="n">
        <v>39398</v>
      </c>
      <c r="ED328" s="1" t="n">
        <v>40589</v>
      </c>
      <c r="EF328" s="0"/>
      <c r="EG328" s="0" t="n">
        <v>1</v>
      </c>
      <c r="EH328" s="0" t="n">
        <v>21</v>
      </c>
      <c r="EI328" s="0" t="n">
        <f aca="false">IF(AND(DM328=1,DN328&lt;=48),"",IF(AND(DM328=2,DN328&lt;=42),"",IF(AND(DM328=3,DN328&lt;=45),"",EH328)))</f>
        <v>21</v>
      </c>
      <c r="EJ328" s="0" t="n">
        <f aca="false">IF(EI328="","",IF(EI328&lt;9,EI328,9))</f>
        <v>9</v>
      </c>
      <c r="EK328" s="0" t="n">
        <f aca="false">IF(EI328="","",IF(EI328&gt;9,EI328-EJ328,0))</f>
        <v>12</v>
      </c>
      <c r="EL328" s="0" t="n">
        <f aca="false">IF(EI328="","",EJ328*DA328*2+EK328*DA328*3)</f>
        <v>2266.0425</v>
      </c>
      <c r="EP328" s="0" t="n">
        <v>1</v>
      </c>
      <c r="EQ328" s="0"/>
      <c r="ER328" s="0" t="n">
        <v>0</v>
      </c>
      <c r="ET328" s="0" t="n">
        <v>0</v>
      </c>
      <c r="EV328" s="0" t="n">
        <v>0</v>
      </c>
      <c r="EX328" s="0" t="n">
        <v>1</v>
      </c>
      <c r="EY328" s="0" t="n">
        <v>1</v>
      </c>
      <c r="EZ328" s="0"/>
      <c r="FA328" s="4" t="n">
        <v>5000</v>
      </c>
      <c r="FB328" s="0" t="n">
        <v>0</v>
      </c>
      <c r="FF328" s="120" t="n">
        <f aca="false">(CJ328-CI328+1)/365</f>
        <v>3.26575342465753</v>
      </c>
      <c r="FG328" s="0" t="str">
        <f aca="false">CONCATENATE(F328,"/",G328)</f>
        <v>1176/2011</v>
      </c>
      <c r="FH328" s="0" t="n">
        <v>0</v>
      </c>
      <c r="FI328" s="0" t="n">
        <v>0</v>
      </c>
    </row>
    <row r="329" customFormat="false" ht="15" hidden="false" customHeight="false" outlineLevel="0" collapsed="false">
      <c r="A329" s="5" t="str">
        <f aca="false">E329&amp;G329&amp;F329</f>
        <v>720111179</v>
      </c>
      <c r="B329" s="0" t="s">
        <v>3217</v>
      </c>
      <c r="C329" s="1" t="n">
        <v>42410</v>
      </c>
      <c r="D329" s="0" t="s">
        <v>3459</v>
      </c>
      <c r="E329" s="0" t="n">
        <v>7</v>
      </c>
      <c r="F329" s="0" t="n">
        <v>1179</v>
      </c>
      <c r="G329" s="0" t="n">
        <v>2011</v>
      </c>
      <c r="H329" s="0" t="str">
        <f aca="false">"J"&amp;E329&amp;"\"&amp;F329&amp;"\"&amp;G329&amp;"\"&amp;W329</f>
        <v>J7\1179\2011\1</v>
      </c>
      <c r="I329" s="0"/>
      <c r="J329" s="1" t="n">
        <v>40732</v>
      </c>
      <c r="K329" s="0" t="n">
        <v>0</v>
      </c>
      <c r="M329" s="1"/>
      <c r="N329" s="1"/>
      <c r="O329" s="1"/>
      <c r="P329" s="1"/>
      <c r="Q329" s="1"/>
      <c r="T329" s="121"/>
      <c r="U329" s="121"/>
      <c r="V329" s="122" t="n">
        <f aca="false">IF(AND(E329&gt;0,F329&gt;0,G329&gt;0),COUNTIFS($E:$E,E329,$F:$F,F329,$G:$G,G329),"")</f>
        <v>1</v>
      </c>
      <c r="W329" s="122" t="n">
        <f aca="false">IF(V329="","",IF(V329=1,1,IF(AND(E328=E329,F328=F329,G328=G329),W328+1,1)))</f>
        <v>1</v>
      </c>
      <c r="X329" s="0" t="n">
        <v>1</v>
      </c>
      <c r="Y329" s="0" t="n">
        <v>6</v>
      </c>
      <c r="Z329" s="0" t="s">
        <v>3480</v>
      </c>
      <c r="AA329" s="0" t="n">
        <v>0</v>
      </c>
      <c r="AB329" s="0" t="s">
        <v>3481</v>
      </c>
      <c r="AC329" s="0" t="s">
        <v>3482</v>
      </c>
      <c r="AD329" s="0" t="s">
        <v>411</v>
      </c>
      <c r="AE329" s="0" t="n">
        <v>0</v>
      </c>
      <c r="AF329" s="0" t="s">
        <v>3483</v>
      </c>
      <c r="AG329" s="0" t="n">
        <v>0</v>
      </c>
      <c r="AH329" s="0" t="s">
        <v>3484</v>
      </c>
      <c r="AI329" s="0" t="s">
        <v>3485</v>
      </c>
      <c r="AJ329" s="0" t="s">
        <v>352</v>
      </c>
      <c r="AL329" s="0" t="s">
        <v>3486</v>
      </c>
      <c r="AM329" s="0" t="n">
        <v>0</v>
      </c>
      <c r="AN329" s="0" t="s">
        <v>3484</v>
      </c>
      <c r="AO329" s="0" t="s">
        <v>3485</v>
      </c>
      <c r="AP329" s="0" t="s">
        <v>352</v>
      </c>
      <c r="AR329" s="0" t="s">
        <v>3487</v>
      </c>
      <c r="AS329" s="0" t="n">
        <v>1</v>
      </c>
      <c r="AT329" s="0" t="s">
        <v>3484</v>
      </c>
      <c r="AU329" s="0" t="s">
        <v>3485</v>
      </c>
      <c r="AV329" s="0" t="s">
        <v>352</v>
      </c>
      <c r="AX329" s="0" t="s">
        <v>3488</v>
      </c>
      <c r="AY329" s="0" t="n">
        <v>1</v>
      </c>
      <c r="AZ329" s="0" t="s">
        <v>3484</v>
      </c>
      <c r="BA329" s="0" t="s">
        <v>3485</v>
      </c>
      <c r="BB329" s="0" t="s">
        <v>352</v>
      </c>
      <c r="BD329" s="0" t="s">
        <v>3489</v>
      </c>
      <c r="BE329" s="0" t="n">
        <v>1</v>
      </c>
      <c r="BF329" s="0" t="s">
        <v>3484</v>
      </c>
      <c r="BG329" s="0" t="s">
        <v>3485</v>
      </c>
      <c r="BH329" s="0" t="s">
        <v>352</v>
      </c>
      <c r="BJ329" s="0" t="s">
        <v>1880</v>
      </c>
      <c r="BK329" s="0" t="n">
        <v>1</v>
      </c>
      <c r="BL329" s="0" t="s">
        <v>3484</v>
      </c>
      <c r="BM329" s="0" t="s">
        <v>3485</v>
      </c>
      <c r="BN329" s="0" t="s">
        <v>352</v>
      </c>
      <c r="BP329" s="0" t="n">
        <v>0</v>
      </c>
      <c r="BQ329" s="0" t="n">
        <v>0</v>
      </c>
      <c r="BR329" s="0" t="n">
        <v>1</v>
      </c>
      <c r="BS329" s="0" t="s">
        <v>3490</v>
      </c>
      <c r="BT329" s="0" t="s">
        <v>3491</v>
      </c>
      <c r="BV329" s="123"/>
      <c r="BW329" s="123"/>
      <c r="BX329" s="123"/>
      <c r="BY329" s="123"/>
      <c r="BZ329" s="0" t="n">
        <v>0</v>
      </c>
      <c r="CA329" s="0" t="s">
        <v>216</v>
      </c>
      <c r="CD329" s="0" t="s">
        <v>256</v>
      </c>
      <c r="CE329" s="0" t="n">
        <v>0</v>
      </c>
      <c r="CF329" s="0" t="s">
        <v>3492</v>
      </c>
      <c r="CI329" s="1" t="n">
        <v>40483</v>
      </c>
      <c r="CJ329" s="1" t="n">
        <v>40673</v>
      </c>
      <c r="CK329" s="124" t="n">
        <v>0.666666666666667</v>
      </c>
      <c r="CL329" s="0" t="s">
        <v>3493</v>
      </c>
      <c r="CM329" s="0" t="n">
        <f aca="false">IF(OR(CI329="",CJ329=""),"",DAYS360(CI329,CJ329)/360)</f>
        <v>0.525</v>
      </c>
      <c r="CN329" s="0" t="n">
        <f aca="false">IF(OR(CI329="",CJ329=""),"",DAYS360(CI329,CJ329)/30)</f>
        <v>6.3</v>
      </c>
      <c r="CO329" s="0" t="n">
        <f aca="false">IF(OR(CI329="",CJ329=""),"",DAYS360(CI329,CJ329)/7)</f>
        <v>27</v>
      </c>
      <c r="CP329" s="0" t="n">
        <f aca="false">IF(OR(CI329="",CJ329=""),"",DAYS360(CI329,CJ329))</f>
        <v>189</v>
      </c>
      <c r="CQ329" s="0" t="s">
        <v>240</v>
      </c>
      <c r="CR329" s="0" t="n">
        <v>1</v>
      </c>
      <c r="CT329" s="0" t="s">
        <v>221</v>
      </c>
      <c r="CU329" s="0" t="s">
        <v>221</v>
      </c>
      <c r="CV329" s="0" t="str">
        <f aca="false">IF(OR(CT329="",CT329="NO ESPECIFICA",CT329="NO MENCIONA"),"",IF(CU329=0,CT329,IF(CU329=1,CT329/30,IF(CU329=2,CT329/15,IF(CU329=3,CT329/7,"")))))</f>
        <v/>
      </c>
      <c r="CW329" s="125" t="n">
        <v>23077.18</v>
      </c>
      <c r="CX329" s="0" t="n">
        <v>1</v>
      </c>
      <c r="CY329" s="0" t="n">
        <f aca="false">IF(CW329="","",IF(CX329=0,CW329,IF(CX329=1,CW329/30,IF(CX329=2,CW329/15,IF(CX329=3,CW329/7,CW329)))))</f>
        <v>769.239333333333</v>
      </c>
      <c r="CZ329" s="0" t="n">
        <f aca="false">IF(DI329&gt;0,DI329,IF(CY329&gt;0,CY329,IF(CV329&gt;0,CV329,"")))</f>
        <v>769.23</v>
      </c>
      <c r="DA329" s="0" t="n">
        <f aca="false">IF(DM329=1,CZ329/8,IF(OR(DM329=2,DM329=4),CZ329/7,IF(DM329=3,CZ329/7.5,"")))</f>
        <v>96.15375</v>
      </c>
      <c r="DB329" s="0" t="s">
        <v>216</v>
      </c>
      <c r="DC329" s="0" t="s">
        <v>216</v>
      </c>
      <c r="DD329" s="0" t="s">
        <v>216</v>
      </c>
      <c r="DE329" s="0" t="s">
        <v>216</v>
      </c>
      <c r="DF329" s="0" t="s">
        <v>216</v>
      </c>
      <c r="DG329" s="0" t="s">
        <v>216</v>
      </c>
      <c r="DH329" s="0" t="n">
        <v>0</v>
      </c>
      <c r="DI329" s="126" t="n">
        <v>769.23</v>
      </c>
      <c r="DK329" s="0" t="n">
        <v>0</v>
      </c>
      <c r="DM329" s="0" t="n">
        <v>1</v>
      </c>
      <c r="DN329" s="0" t="n">
        <v>55</v>
      </c>
      <c r="DO329" s="0" t="n">
        <v>3</v>
      </c>
      <c r="DP329" s="0" t="n">
        <v>0</v>
      </c>
      <c r="DQ329" s="0" t="n">
        <v>1</v>
      </c>
      <c r="DR329" s="0" t="n">
        <v>69231.54</v>
      </c>
      <c r="DS329" s="0" t="n">
        <v>1</v>
      </c>
      <c r="DU329" s="0" t="n">
        <v>1</v>
      </c>
      <c r="DV329" s="0" t="n">
        <v>1346.1</v>
      </c>
      <c r="DW329" s="1" t="n">
        <v>40483</v>
      </c>
      <c r="DX329" s="1" t="n">
        <v>40673</v>
      </c>
      <c r="DZ329" s="0" t="n">
        <v>841.31</v>
      </c>
      <c r="EA329" s="0" t="n">
        <v>1</v>
      </c>
      <c r="EC329" s="1" t="n">
        <v>40544</v>
      </c>
      <c r="ED329" s="1" t="n">
        <v>40673</v>
      </c>
      <c r="EF329" s="0" t="n">
        <v>4807.72</v>
      </c>
      <c r="EG329" s="0" t="n">
        <v>1</v>
      </c>
      <c r="EH329" s="0" t="n">
        <v>10</v>
      </c>
      <c r="EI329" s="0" t="n">
        <f aca="false">IF(AND(DM329=1,DN329&lt;=48),"",IF(AND(DM329=2,DN329&lt;=42),"",IF(AND(DM329=3,DN329&lt;=45),"",EH329)))</f>
        <v>10</v>
      </c>
      <c r="EJ329" s="0" t="n">
        <f aca="false">IF(EI329="","",IF(EI329&lt;9,EI329,9))</f>
        <v>9</v>
      </c>
      <c r="EK329" s="0" t="n">
        <f aca="false">IF(EI329="","",IF(EI329&gt;9,EI329-EJ329,0))</f>
        <v>1</v>
      </c>
      <c r="EL329" s="0" t="n">
        <f aca="false">IF(EI329="","",EJ329*DA329*2+EK329*DA329*3)</f>
        <v>2019.22875</v>
      </c>
      <c r="EN329" s="0" t="n">
        <v>103846.05</v>
      </c>
      <c r="EO329" s="0" t="n">
        <v>540</v>
      </c>
      <c r="EP329" s="0" t="n">
        <v>0</v>
      </c>
      <c r="EQ329" s="0"/>
      <c r="ER329" s="0" t="n">
        <v>0</v>
      </c>
      <c r="ET329" s="0" t="n">
        <v>0</v>
      </c>
      <c r="EV329" s="0" t="n">
        <v>0</v>
      </c>
      <c r="EX329" s="0" t="n">
        <v>0</v>
      </c>
      <c r="EY329" s="0" t="n">
        <v>0</v>
      </c>
      <c r="EZ329" s="0"/>
      <c r="FA329" s="4" t="n">
        <f aca="false">7692.3</f>
        <v>7692.3</v>
      </c>
      <c r="FB329" s="0" t="n">
        <v>0</v>
      </c>
      <c r="FF329" s="120" t="n">
        <f aca="false">(CJ329-CI329+1)/365</f>
        <v>0.523287671232877</v>
      </c>
      <c r="FG329" s="0" t="str">
        <f aca="false">CONCATENATE(F329,"/",G329)</f>
        <v>1179/2011</v>
      </c>
      <c r="FH329" s="0" t="n">
        <v>0</v>
      </c>
      <c r="FI329" s="0" t="n">
        <v>0</v>
      </c>
    </row>
    <row r="330" customFormat="false" ht="15" hidden="false" customHeight="false" outlineLevel="0" collapsed="false">
      <c r="A330" s="5" t="str">
        <f aca="false">E330&amp;G330&amp;F330</f>
        <v>720111184</v>
      </c>
      <c r="B330" s="0" t="s">
        <v>3217</v>
      </c>
      <c r="C330" s="1" t="n">
        <v>42410</v>
      </c>
      <c r="E330" s="0" t="n">
        <v>7</v>
      </c>
      <c r="F330" s="0" t="n">
        <v>1184</v>
      </c>
      <c r="G330" s="0" t="n">
        <v>2011</v>
      </c>
      <c r="H330" s="0" t="str">
        <f aca="false">"J"&amp;E330&amp;"\"&amp;F330&amp;"\"&amp;G330&amp;"\"&amp;W330</f>
        <v>J7\1184\2011\1</v>
      </c>
      <c r="I330" s="0"/>
      <c r="J330" s="1" t="n">
        <v>40735</v>
      </c>
      <c r="K330" s="0" t="n">
        <v>0</v>
      </c>
      <c r="M330" s="1" t="n">
        <v>40766</v>
      </c>
      <c r="N330" s="1" t="n">
        <v>40863</v>
      </c>
      <c r="O330" s="1"/>
      <c r="P330" s="1"/>
      <c r="Q330" s="1"/>
      <c r="T330" s="121"/>
      <c r="U330" s="121"/>
      <c r="V330" s="122" t="n">
        <f aca="false">IF(AND(E330&gt;0,F330&gt;0,G330&gt;0),COUNTIFS($E:$E,E330,$F:$F,F330,$G:$G,G330),"")</f>
        <v>1</v>
      </c>
      <c r="W330" s="122" t="n">
        <f aca="false">IF(V330="","",IF(V330=1,1,IF(AND(E329=E330,F329=F330,G329=G330),W329+1,1)))</f>
        <v>1</v>
      </c>
      <c r="X330" s="0" t="n">
        <v>1</v>
      </c>
      <c r="Y330" s="0" t="n">
        <v>8</v>
      </c>
      <c r="Z330" s="0" t="s">
        <v>3494</v>
      </c>
      <c r="AA330" s="0" t="n">
        <v>0</v>
      </c>
      <c r="AB330" s="0" t="s">
        <v>3495</v>
      </c>
      <c r="AC330" s="0" t="s">
        <v>1160</v>
      </c>
      <c r="AD330" s="0" t="s">
        <v>229</v>
      </c>
      <c r="AE330" s="0" t="n">
        <v>0</v>
      </c>
      <c r="AF330" s="0" t="s">
        <v>3496</v>
      </c>
      <c r="AG330" s="0" t="n">
        <v>0</v>
      </c>
      <c r="AH330" s="0" t="s">
        <v>3497</v>
      </c>
      <c r="AI330" s="0" t="s">
        <v>3498</v>
      </c>
      <c r="AJ330" s="0" t="s">
        <v>322</v>
      </c>
      <c r="AL330" s="0" t="s">
        <v>3499</v>
      </c>
      <c r="AM330" s="0" t="n">
        <v>0</v>
      </c>
      <c r="AN330" s="0" t="s">
        <v>3497</v>
      </c>
      <c r="AO330" s="0" t="s">
        <v>3498</v>
      </c>
      <c r="AP330" s="0" t="s">
        <v>322</v>
      </c>
      <c r="AR330" s="0" t="s">
        <v>3500</v>
      </c>
      <c r="AS330" s="0" t="n">
        <v>0</v>
      </c>
      <c r="AT330" s="0" t="s">
        <v>3497</v>
      </c>
      <c r="AU330" s="0" t="s">
        <v>3498</v>
      </c>
      <c r="AV330" s="0" t="s">
        <v>322</v>
      </c>
      <c r="AX330" s="0" t="s">
        <v>3501</v>
      </c>
      <c r="AY330" s="0" t="n">
        <v>1</v>
      </c>
      <c r="AZ330" s="0" t="s">
        <v>3497</v>
      </c>
      <c r="BA330" s="0" t="s">
        <v>3498</v>
      </c>
      <c r="BB330" s="0" t="s">
        <v>322</v>
      </c>
      <c r="BD330" s="0" t="s">
        <v>3502</v>
      </c>
      <c r="BE330" s="0" t="n">
        <v>1</v>
      </c>
      <c r="BF330" s="0" t="s">
        <v>3497</v>
      </c>
      <c r="BG330" s="0" t="s">
        <v>3498</v>
      </c>
      <c r="BH330" s="0" t="s">
        <v>322</v>
      </c>
      <c r="BJ330" s="0" t="s">
        <v>1880</v>
      </c>
      <c r="BK330" s="0" t="n">
        <v>1</v>
      </c>
      <c r="BL330" s="0" t="s">
        <v>3497</v>
      </c>
      <c r="BM330" s="0" t="s">
        <v>3498</v>
      </c>
      <c r="BN330" s="0" t="s">
        <v>322</v>
      </c>
      <c r="BP330" s="0" t="n">
        <v>0</v>
      </c>
      <c r="BQ330" s="0" t="n">
        <v>0</v>
      </c>
      <c r="BR330" s="0" t="n">
        <v>1</v>
      </c>
      <c r="BS330" s="0" t="s">
        <v>3503</v>
      </c>
      <c r="BT330" s="0" t="s">
        <v>3504</v>
      </c>
      <c r="BU330" s="0" t="s">
        <v>3505</v>
      </c>
      <c r="BV330" s="123"/>
      <c r="BW330" s="123"/>
      <c r="BX330" s="123"/>
      <c r="BY330" s="123"/>
      <c r="BZ330" s="0" t="n">
        <v>0</v>
      </c>
      <c r="CA330" s="0" t="s">
        <v>216</v>
      </c>
      <c r="CD330" s="0" t="s">
        <v>370</v>
      </c>
      <c r="CE330" s="0" t="n">
        <v>1</v>
      </c>
      <c r="CF330" s="0" t="s">
        <v>3506</v>
      </c>
      <c r="CI330" s="1" t="n">
        <v>39820</v>
      </c>
      <c r="CJ330" s="1" t="n">
        <v>40680</v>
      </c>
      <c r="CK330" s="124" t="n">
        <v>0.354166666666667</v>
      </c>
      <c r="CL330" s="0" t="s">
        <v>3502</v>
      </c>
      <c r="CM330" s="0" t="n">
        <f aca="false">IF(OR(CI330="",CJ330=""),"",DAYS360(CI330,CJ330)/360)</f>
        <v>2.36111111111111</v>
      </c>
      <c r="CN330" s="0" t="n">
        <f aca="false">IF(OR(CI330="",CJ330=""),"",DAYS360(CI330,CJ330)/30)</f>
        <v>28.3333333333333</v>
      </c>
      <c r="CO330" s="0" t="n">
        <f aca="false">IF(OR(CI330="",CJ330=""),"",DAYS360(CI330,CJ330)/7)</f>
        <v>121.428571428571</v>
      </c>
      <c r="CP330" s="0" t="n">
        <f aca="false">IF(OR(CI330="",CJ330=""),"",DAYS360(CI330,CJ330))</f>
        <v>850</v>
      </c>
      <c r="CQ330" s="0" t="s">
        <v>220</v>
      </c>
      <c r="CR330" s="0" t="n">
        <v>1</v>
      </c>
      <c r="CT330" s="0" t="n">
        <v>1239.49</v>
      </c>
      <c r="CU330" s="0" t="n">
        <v>0</v>
      </c>
      <c r="CV330" s="0" t="n">
        <f aca="false">IF(OR(CT330="",CT330="NO ESPECIFICA",CT330="NO MENCIONA"),"",IF(CU330=0,CT330,IF(CU330=1,CT330/30,IF(CU330=2,CT330/15,IF(CU330=3,CT330/7,"")))))</f>
        <v>1239.49</v>
      </c>
      <c r="CW330" s="125" t="n">
        <v>4935.8</v>
      </c>
      <c r="CX330" s="0" t="n">
        <v>0</v>
      </c>
      <c r="CY330" s="0" t="n">
        <f aca="false">IF(CW330="","",IF(CX330=0,CW330,IF(CX330=1,CW330/30,IF(CX330=2,CW330/15,IF(CX330=3,CW330/7,CW330)))))</f>
        <v>4935.8</v>
      </c>
      <c r="CZ330" s="0" t="n">
        <f aca="false">IF(DI330&gt;0,DI330,IF(CY330&gt;0,CY330,IF(CV330&gt;0,CV330,"")))</f>
        <v>4935.8</v>
      </c>
      <c r="DA330" s="0" t="n">
        <f aca="false">IF(DM330=1,CZ330/8,IF(OR(DM330=2,DM330=4),CZ330/7,IF(DM330=3,CZ330/7.5,"")))</f>
        <v>616.975</v>
      </c>
      <c r="DB330" s="0" t="s">
        <v>302</v>
      </c>
      <c r="DC330" s="0" t="s">
        <v>303</v>
      </c>
      <c r="DD330" s="0" t="s">
        <v>301</v>
      </c>
      <c r="DE330" s="0" t="s">
        <v>2046</v>
      </c>
      <c r="DF330" s="0" t="s">
        <v>216</v>
      </c>
      <c r="DG330" s="0" t="s">
        <v>216</v>
      </c>
      <c r="DH330" s="0" t="n">
        <v>0</v>
      </c>
      <c r="DI330" s="126" t="n">
        <v>4935.8</v>
      </c>
      <c r="DK330" s="0" t="n">
        <v>0</v>
      </c>
      <c r="DM330" s="0" t="n">
        <v>1</v>
      </c>
      <c r="DN330" s="0" t="n">
        <v>60</v>
      </c>
      <c r="DO330" s="0" t="n">
        <v>3</v>
      </c>
      <c r="DP330" s="0" t="n">
        <v>1</v>
      </c>
      <c r="DQ330" s="0" t="n">
        <v>1</v>
      </c>
      <c r="DR330" s="0"/>
      <c r="DS330" s="0" t="n">
        <v>1</v>
      </c>
      <c r="DU330" s="0" t="n">
        <v>1</v>
      </c>
      <c r="DW330" s="1" t="n">
        <v>40185</v>
      </c>
      <c r="DX330" s="1" t="n">
        <v>40680</v>
      </c>
      <c r="DZ330" s="0"/>
      <c r="EA330" s="0" t="n">
        <v>1</v>
      </c>
      <c r="EC330" s="1" t="n">
        <v>40179</v>
      </c>
      <c r="ED330" s="1" t="n">
        <v>40680</v>
      </c>
      <c r="EF330" s="0"/>
      <c r="EG330" s="0" t="n">
        <v>1</v>
      </c>
      <c r="EH330" s="0" t="n">
        <v>12</v>
      </c>
      <c r="EI330" s="0" t="n">
        <f aca="false">IF(AND(DM330=1,DN330&lt;=48),"",IF(AND(DM330=2,DN330&lt;=42),"",IF(AND(DM330=3,DN330&lt;=45),"",EH330)))</f>
        <v>12</v>
      </c>
      <c r="EJ330" s="0" t="n">
        <f aca="false">IF(EI330="","",IF(EI330&lt;9,EI330,9))</f>
        <v>9</v>
      </c>
      <c r="EK330" s="0" t="n">
        <f aca="false">IF(EI330="","",IF(EI330&gt;9,EI330-EJ330,0))</f>
        <v>3</v>
      </c>
      <c r="EL330" s="0" t="n">
        <f aca="false">IF(EI330="","",EJ330*DA330*2+EK330*DA330*3)</f>
        <v>16658.325</v>
      </c>
      <c r="EP330" s="0" t="n">
        <v>1</v>
      </c>
      <c r="EQ330" s="0"/>
      <c r="ER330" s="0" t="n">
        <v>0</v>
      </c>
      <c r="ET330" s="0" t="n">
        <v>0</v>
      </c>
      <c r="EV330" s="0" t="n">
        <v>1</v>
      </c>
      <c r="EX330" s="0" t="n">
        <v>1</v>
      </c>
      <c r="EY330" s="0" t="n">
        <v>0</v>
      </c>
      <c r="EZ330" s="0"/>
      <c r="FA330" s="4" t="n">
        <v>0</v>
      </c>
      <c r="FB330" s="0" t="n">
        <v>1</v>
      </c>
      <c r="FF330" s="120" t="n">
        <f aca="false">(CJ330-CI330+1)/365</f>
        <v>2.35890410958904</v>
      </c>
      <c r="FG330" s="0" t="str">
        <f aca="false">CONCATENATE(F330,"/",G330)</f>
        <v>1184/2011</v>
      </c>
      <c r="FH330" s="0" t="n">
        <v>0</v>
      </c>
      <c r="FI330" s="0" t="n">
        <v>0</v>
      </c>
    </row>
    <row r="331" customFormat="false" ht="15" hidden="false" customHeight="false" outlineLevel="0" collapsed="false">
      <c r="A331" s="5" t="str">
        <f aca="false">E331&amp;G331&amp;F331</f>
        <v>720111186</v>
      </c>
      <c r="B331" s="0" t="s">
        <v>3217</v>
      </c>
      <c r="C331" s="1" t="n">
        <v>42410</v>
      </c>
      <c r="E331" s="0" t="n">
        <v>7</v>
      </c>
      <c r="F331" s="0" t="n">
        <v>1186</v>
      </c>
      <c r="G331" s="0" t="n">
        <v>2011</v>
      </c>
      <c r="H331" s="0" t="str">
        <f aca="false">"J"&amp;E331&amp;"\"&amp;F331&amp;"\"&amp;G331&amp;"\"&amp;W331</f>
        <v>J7\1186\2011\1</v>
      </c>
      <c r="I331" s="0"/>
      <c r="J331" s="1" t="n">
        <v>40735</v>
      </c>
      <c r="K331" s="0" t="n">
        <v>0</v>
      </c>
      <c r="M331" s="1" t="n">
        <v>40735</v>
      </c>
      <c r="N331" s="1" t="n">
        <v>40925</v>
      </c>
      <c r="O331" s="1"/>
      <c r="P331" s="1"/>
      <c r="Q331" s="1"/>
      <c r="T331" s="121"/>
      <c r="U331" s="121"/>
      <c r="V331" s="122" t="n">
        <f aca="false">IF(AND(E331&gt;0,F331&gt;0,G331&gt;0),COUNTIFS($E:$E,E331,$F:$F,F331,$G:$G,G331),"")</f>
        <v>1</v>
      </c>
      <c r="W331" s="122" t="n">
        <f aca="false">IF(V331="","",IF(V331=1,1,IF(AND(E330=E331,F330=F331,G330=G331),W330+1,1)))</f>
        <v>1</v>
      </c>
      <c r="X331" s="0" t="n">
        <v>1</v>
      </c>
      <c r="Y331" s="0" t="n">
        <v>3</v>
      </c>
      <c r="Z331" s="0" t="s">
        <v>3507</v>
      </c>
      <c r="AA331" s="0" t="n">
        <v>0</v>
      </c>
      <c r="AB331" s="0" t="s">
        <v>2941</v>
      </c>
      <c r="AC331" s="0" t="s">
        <v>228</v>
      </c>
      <c r="AD331" s="0" t="s">
        <v>229</v>
      </c>
      <c r="AE331" s="0" t="n">
        <v>0</v>
      </c>
      <c r="AF331" s="0" t="s">
        <v>3508</v>
      </c>
      <c r="AG331" s="0" t="n">
        <v>0</v>
      </c>
      <c r="AH331" s="0" t="s">
        <v>3509</v>
      </c>
      <c r="AI331" s="0" t="s">
        <v>3510</v>
      </c>
      <c r="AJ331" s="0" t="s">
        <v>3511</v>
      </c>
      <c r="AL331" s="0" t="s">
        <v>3512</v>
      </c>
      <c r="AM331" s="0" t="n">
        <v>1</v>
      </c>
      <c r="AN331" s="0" t="s">
        <v>3509</v>
      </c>
      <c r="AO331" s="0" t="s">
        <v>3510</v>
      </c>
      <c r="AP331" s="0" t="s">
        <v>3511</v>
      </c>
      <c r="AR331" s="0" t="s">
        <v>1880</v>
      </c>
      <c r="AS331" s="0" t="n">
        <v>1</v>
      </c>
      <c r="AT331" s="0" t="s">
        <v>3509</v>
      </c>
      <c r="AU331" s="0" t="s">
        <v>3510</v>
      </c>
      <c r="AV331" s="0" t="s">
        <v>3511</v>
      </c>
      <c r="BP331" s="0" t="n">
        <v>0</v>
      </c>
      <c r="BQ331" s="0" t="n">
        <v>0</v>
      </c>
      <c r="BR331" s="0" t="n">
        <v>3</v>
      </c>
      <c r="BS331" s="0" t="s">
        <v>651</v>
      </c>
      <c r="BT331" s="0" t="s">
        <v>1818</v>
      </c>
      <c r="BU331" s="0" t="s">
        <v>1841</v>
      </c>
      <c r="BV331" s="123"/>
      <c r="BW331" s="123"/>
      <c r="BX331" s="123"/>
      <c r="BY331" s="123"/>
      <c r="BZ331" s="0" t="n">
        <v>0</v>
      </c>
      <c r="CA331" s="0" t="s">
        <v>348</v>
      </c>
      <c r="CD331" s="0" t="s">
        <v>370</v>
      </c>
      <c r="CE331" s="0" t="n">
        <v>0</v>
      </c>
      <c r="CF331" s="0" t="s">
        <v>3513</v>
      </c>
      <c r="CI331" s="1" t="n">
        <v>39423</v>
      </c>
      <c r="CJ331" s="1" t="n">
        <v>40681</v>
      </c>
      <c r="CK331" s="124" t="n">
        <v>0.770833333333333</v>
      </c>
      <c r="CL331" s="0" t="s">
        <v>3512</v>
      </c>
      <c r="CM331" s="0" t="n">
        <f aca="false">IF(OR(CI331="",CJ331=""),"",DAYS360(CI331,CJ331)/360)</f>
        <v>3.44722222222222</v>
      </c>
      <c r="CN331" s="0" t="n">
        <f aca="false">IF(OR(CI331="",CJ331=""),"",DAYS360(CI331,CJ331)/30)</f>
        <v>41.3666666666667</v>
      </c>
      <c r="CO331" s="0" t="n">
        <f aca="false">IF(OR(CI331="",CJ331=""),"",DAYS360(CI331,CJ331)/7)</f>
        <v>177.285714285714</v>
      </c>
      <c r="CP331" s="0" t="n">
        <f aca="false">IF(OR(CI331="",CJ331=""),"",DAYS360(CI331,CJ331))</f>
        <v>1241</v>
      </c>
      <c r="CQ331" s="0" t="s">
        <v>240</v>
      </c>
      <c r="CR331" s="0" t="n">
        <v>1</v>
      </c>
      <c r="CT331" s="0" t="n">
        <v>200</v>
      </c>
      <c r="CU331" s="0" t="n">
        <v>0</v>
      </c>
      <c r="CV331" s="0" t="n">
        <f aca="false">IF(OR(CT331="",CT331="NO ESPECIFICA",CT331="NO MENCIONA"),"",IF(CU331=0,CT331,IF(CU331=1,CT331/30,IF(CU331=2,CT331/15,IF(CU331=3,CT331/7,"")))))</f>
        <v>200</v>
      </c>
      <c r="CW331" s="125" t="n">
        <v>203.65</v>
      </c>
      <c r="CX331" s="0" t="n">
        <v>0</v>
      </c>
      <c r="CY331" s="0" t="n">
        <f aca="false">IF(CW331="","",IF(CX331=0,CW331,IF(CX331=1,CW331/30,IF(CX331=2,CW331/15,IF(CX331=3,CW331/7,CW331)))))</f>
        <v>203.65</v>
      </c>
      <c r="CZ331" s="0" t="n">
        <f aca="false">IF(DI331&gt;0,DI331,IF(CY331&gt;0,CY331,IF(CV331&gt;0,CV331,"")))</f>
        <v>203.65</v>
      </c>
      <c r="DA331" s="0" t="n">
        <f aca="false">IF(DM331=1,CZ331/8,IF(OR(DM331=2,DM331=4),CZ331/7,IF(DM331=3,CZ331/7.5,"")))</f>
        <v>25.45625</v>
      </c>
      <c r="DB331" s="0" t="s">
        <v>303</v>
      </c>
      <c r="DC331" s="0" t="s">
        <v>301</v>
      </c>
      <c r="DD331" s="0" t="s">
        <v>216</v>
      </c>
      <c r="DE331" s="0" t="s">
        <v>216</v>
      </c>
      <c r="DF331" s="0" t="s">
        <v>216</v>
      </c>
      <c r="DG331" s="0" t="s">
        <v>216</v>
      </c>
      <c r="DH331" s="0" t="n">
        <v>0</v>
      </c>
      <c r="DI331" s="126" t="n">
        <v>203.65</v>
      </c>
      <c r="DK331" s="0" t="n">
        <v>0</v>
      </c>
      <c r="DM331" s="0" t="n">
        <v>1</v>
      </c>
      <c r="DN331" s="0" t="n">
        <f aca="false">(10.5*5)+6</f>
        <v>58.5</v>
      </c>
      <c r="DO331" s="0" t="n">
        <v>3</v>
      </c>
      <c r="DP331" s="0" t="n">
        <v>0</v>
      </c>
      <c r="DQ331" s="0" t="n">
        <v>1</v>
      </c>
      <c r="DR331" s="0"/>
      <c r="DS331" s="0" t="n">
        <v>1</v>
      </c>
      <c r="DU331" s="0" t="n">
        <v>1</v>
      </c>
      <c r="DW331" s="1" t="n">
        <v>40519</v>
      </c>
      <c r="DX331" s="1" t="n">
        <v>40681</v>
      </c>
      <c r="DZ331" s="0"/>
      <c r="EA331" s="0" t="n">
        <v>1</v>
      </c>
      <c r="EC331" s="1" t="n">
        <v>40179</v>
      </c>
      <c r="ED331" s="1" t="n">
        <v>40681</v>
      </c>
      <c r="EF331" s="0"/>
      <c r="EG331" s="0" t="n">
        <v>0</v>
      </c>
      <c r="EI331" s="0" t="n">
        <f aca="false">IF(AND(DM331=1,DN331&lt;=48),"",IF(AND(DM331=2,DN331&lt;=42),"",IF(AND(DM331=3,DN331&lt;=45),"",EH331)))</f>
        <v>0</v>
      </c>
      <c r="EJ331" s="0" t="str">
        <f aca="false">IF(EI331="","",IF(EI331&lt;9,EI331,9))</f>
        <v/>
      </c>
      <c r="EK331" s="0" t="str">
        <f aca="false">IF(EI331="","",IF(EI331&gt;9,EI331-EJ331,0))</f>
        <v/>
      </c>
      <c r="EL331" s="0" t="str">
        <f aca="false">IF(EI331="","",EJ331*DA331*2+EK331*DA331*3)</f>
        <v/>
      </c>
      <c r="EP331" s="0" t="n">
        <v>0</v>
      </c>
      <c r="EQ331" s="0"/>
      <c r="ER331" s="0" t="n">
        <v>0</v>
      </c>
      <c r="ET331" s="0" t="n">
        <v>0</v>
      </c>
      <c r="EV331" s="0" t="n">
        <v>0</v>
      </c>
      <c r="EX331" s="0" t="n">
        <v>0</v>
      </c>
      <c r="EY331" s="0" t="n">
        <v>0</v>
      </c>
      <c r="EZ331" s="0"/>
      <c r="FA331" s="4" t="n">
        <f aca="false">203.65*17</f>
        <v>3462.05</v>
      </c>
      <c r="FB331" s="0" t="n">
        <v>1</v>
      </c>
      <c r="FF331" s="120" t="n">
        <f aca="false">(CJ331-CI331+1)/365</f>
        <v>3.44931506849315</v>
      </c>
      <c r="FG331" s="0" t="str">
        <f aca="false">CONCATENATE(F331,"/",G331)</f>
        <v>1186/2011</v>
      </c>
      <c r="FH331" s="0" t="n">
        <v>0</v>
      </c>
      <c r="FI331" s="0" t="n">
        <v>0</v>
      </c>
    </row>
    <row r="332" customFormat="false" ht="15" hidden="false" customHeight="false" outlineLevel="0" collapsed="false">
      <c r="A332" s="5" t="str">
        <f aca="false">E332&amp;G332&amp;F332</f>
        <v>720111195</v>
      </c>
      <c r="B332" s="0" t="s">
        <v>3217</v>
      </c>
      <c r="C332" s="1" t="n">
        <v>42410</v>
      </c>
      <c r="E332" s="0" t="n">
        <v>7</v>
      </c>
      <c r="F332" s="0" t="n">
        <v>1195</v>
      </c>
      <c r="G332" s="0" t="n">
        <v>2011</v>
      </c>
      <c r="H332" s="0" t="str">
        <f aca="false">"J"&amp;E332&amp;"\"&amp;F332&amp;"\"&amp;G332&amp;"\"&amp;W332</f>
        <v>J7\1195\2011\1</v>
      </c>
      <c r="I332" s="0"/>
      <c r="J332" s="1" t="n">
        <v>40736</v>
      </c>
      <c r="K332" s="0" t="n">
        <v>1</v>
      </c>
      <c r="L332" s="0" t="s">
        <v>3514</v>
      </c>
      <c r="M332" s="1" t="n">
        <v>40736</v>
      </c>
      <c r="N332" s="1"/>
      <c r="O332" s="1"/>
      <c r="P332" s="1"/>
      <c r="Q332" s="1"/>
      <c r="T332" s="121"/>
      <c r="U332" s="121"/>
      <c r="V332" s="122" t="n">
        <f aca="false">IF(AND(E332&gt;0,F332&gt;0,G332&gt;0),COUNTIFS($E:$E,E332,$F:$F,F332,$G:$G,G332),"")</f>
        <v>1</v>
      </c>
      <c r="W332" s="122" t="n">
        <f aca="false">IF(V332="","",IF(V332=1,1,IF(AND(E331=E332,F331=F332,G331=G332),W331+1,1)))</f>
        <v>1</v>
      </c>
      <c r="X332" s="0" t="n">
        <v>1</v>
      </c>
      <c r="Y332" s="0" t="n">
        <v>5</v>
      </c>
      <c r="Z332" s="0" t="s">
        <v>3515</v>
      </c>
      <c r="AA332" s="0" t="n">
        <v>0</v>
      </c>
      <c r="AB332" s="0" t="s">
        <v>2840</v>
      </c>
      <c r="AC332" s="0" t="s">
        <v>221</v>
      </c>
      <c r="AD332" s="0" t="s">
        <v>229</v>
      </c>
      <c r="AE332" s="0" t="n">
        <v>0</v>
      </c>
      <c r="AF332" s="0" t="s">
        <v>3516</v>
      </c>
      <c r="AG332" s="0" t="n">
        <v>0</v>
      </c>
      <c r="AH332" s="0" t="s">
        <v>3517</v>
      </c>
      <c r="AI332" s="0" t="s">
        <v>3518</v>
      </c>
      <c r="AJ332" s="0" t="s">
        <v>590</v>
      </c>
      <c r="AL332" s="0" t="s">
        <v>3519</v>
      </c>
      <c r="AM332" s="0" t="n">
        <v>1</v>
      </c>
      <c r="AN332" s="0" t="s">
        <v>3517</v>
      </c>
      <c r="AO332" s="0" t="s">
        <v>3518</v>
      </c>
      <c r="AP332" s="0" t="s">
        <v>590</v>
      </c>
      <c r="AR332" s="0" t="s">
        <v>3520</v>
      </c>
      <c r="AS332" s="0" t="n">
        <v>1</v>
      </c>
      <c r="AT332" s="0" t="s">
        <v>3517</v>
      </c>
      <c r="AU332" s="0" t="s">
        <v>3518</v>
      </c>
      <c r="AV332" s="0" t="s">
        <v>590</v>
      </c>
      <c r="AX332" s="0" t="s">
        <v>3521</v>
      </c>
      <c r="AY332" s="0" t="n">
        <v>1</v>
      </c>
      <c r="AZ332" s="0" t="s">
        <v>3517</v>
      </c>
      <c r="BA332" s="0" t="s">
        <v>3518</v>
      </c>
      <c r="BB332" s="0" t="s">
        <v>590</v>
      </c>
      <c r="BD332" s="0" t="s">
        <v>1880</v>
      </c>
      <c r="BE332" s="0" t="n">
        <v>1</v>
      </c>
      <c r="BF332" s="0" t="s">
        <v>3517</v>
      </c>
      <c r="BG332" s="0" t="s">
        <v>3518</v>
      </c>
      <c r="BH332" s="0" t="s">
        <v>590</v>
      </c>
      <c r="BP332" s="0" t="n">
        <v>0</v>
      </c>
      <c r="BQ332" s="0" t="n">
        <v>0</v>
      </c>
      <c r="BR332" s="0" t="n">
        <v>1</v>
      </c>
      <c r="BS332" s="0" t="s">
        <v>2847</v>
      </c>
      <c r="BT332" s="0" t="s">
        <v>2846</v>
      </c>
      <c r="BV332" s="123"/>
      <c r="BW332" s="123"/>
      <c r="BX332" s="123"/>
      <c r="BY332" s="123"/>
      <c r="BZ332" s="0" t="n">
        <v>0</v>
      </c>
      <c r="CA332" s="0" t="s">
        <v>2849</v>
      </c>
      <c r="CD332" s="0" t="s">
        <v>216</v>
      </c>
      <c r="CE332" s="0" t="n">
        <v>0</v>
      </c>
      <c r="CF332" s="0" t="s">
        <v>3522</v>
      </c>
      <c r="CI332" s="1" t="n">
        <v>39545</v>
      </c>
      <c r="CJ332" s="1" t="n">
        <v>40693</v>
      </c>
      <c r="CK332" s="124" t="n">
        <v>0.583333333333333</v>
      </c>
      <c r="CL332" s="0" t="s">
        <v>3519</v>
      </c>
      <c r="CM332" s="0" t="n">
        <f aca="false">IF(OR(CI332="",CJ332=""),"",DAYS360(CI332,CJ332)/360)</f>
        <v>3.14722222222222</v>
      </c>
      <c r="CN332" s="0" t="n">
        <f aca="false">IF(OR(CI332="",CJ332=""),"",DAYS360(CI332,CJ332)/30)</f>
        <v>37.7666666666667</v>
      </c>
      <c r="CO332" s="0" t="n">
        <f aca="false">IF(OR(CI332="",CJ332=""),"",DAYS360(CI332,CJ332)/7)</f>
        <v>161.857142857143</v>
      </c>
      <c r="CP332" s="0" t="n">
        <f aca="false">IF(OR(CI332="",CJ332=""),"",DAYS360(CI332,CJ332))</f>
        <v>1133</v>
      </c>
      <c r="CQ332" s="0" t="s">
        <v>220</v>
      </c>
      <c r="CR332" s="0" t="n">
        <v>1</v>
      </c>
      <c r="CT332" s="0" t="s">
        <v>221</v>
      </c>
      <c r="CU332" s="0" t="s">
        <v>221</v>
      </c>
      <c r="CV332" s="0" t="str">
        <f aca="false">IF(OR(CT332="",CT332="NO ESPECIFICA",CT332="NO MENCIONA"),"",IF(CU332=0,CT332,IF(CU332=1,CT332/30,IF(CU332=2,CT332/15,IF(CU332=3,CT332/7,"")))))</f>
        <v/>
      </c>
      <c r="CW332" s="125" t="n">
        <v>2000</v>
      </c>
      <c r="CX332" s="0" t="n">
        <v>3</v>
      </c>
      <c r="CY332" s="0" t="n">
        <f aca="false">IF(CW332="","",IF(CX332=0,CW332,IF(CX332=1,CW332/30,IF(CX332=2,CW332/15,IF(CX332=3,CW332/7,CW332)))))</f>
        <v>285.714285714286</v>
      </c>
      <c r="CZ332" s="0" t="n">
        <f aca="false">IF(DI332&gt;0,DI332,IF(CY332&gt;0,CY332,IF(CV332&gt;0,CV332,"")))</f>
        <v>285.71</v>
      </c>
      <c r="DA332" s="0" t="n">
        <f aca="false">IF(DM332=1,CZ332/8,IF(OR(DM332=2,DM332=4),CZ332/7,IF(DM332=3,CZ332/7.5,"")))</f>
        <v>38.0946666666667</v>
      </c>
      <c r="DB332" s="0" t="s">
        <v>216</v>
      </c>
      <c r="DC332" s="0" t="s">
        <v>216</v>
      </c>
      <c r="DD332" s="0" t="s">
        <v>216</v>
      </c>
      <c r="DE332" s="0" t="s">
        <v>216</v>
      </c>
      <c r="DF332" s="0" t="s">
        <v>216</v>
      </c>
      <c r="DG332" s="0" t="s">
        <v>216</v>
      </c>
      <c r="DH332" s="0" t="n">
        <v>0</v>
      </c>
      <c r="DI332" s="126" t="n">
        <v>285.71</v>
      </c>
      <c r="DK332" s="0" t="n">
        <v>1</v>
      </c>
      <c r="DM332" s="0" t="n">
        <v>3</v>
      </c>
      <c r="DN332" s="0" t="n">
        <v>54</v>
      </c>
      <c r="DO332" s="0" t="n">
        <v>3</v>
      </c>
      <c r="DP332" s="0" t="n">
        <v>1</v>
      </c>
      <c r="DQ332" s="0" t="n">
        <v>0</v>
      </c>
      <c r="DR332" s="0"/>
      <c r="DS332" s="0" t="n">
        <v>1</v>
      </c>
      <c r="DU332" s="0" t="n">
        <v>0</v>
      </c>
      <c r="DW332" s="1" t="n">
        <v>39545</v>
      </c>
      <c r="DX332" s="1" t="n">
        <v>40693</v>
      </c>
      <c r="DZ332" s="0"/>
      <c r="EA332" s="0" t="s">
        <v>216</v>
      </c>
      <c r="EB332" s="0" t="s">
        <v>216</v>
      </c>
      <c r="EC332" s="1" t="n">
        <v>39545</v>
      </c>
      <c r="ED332" s="1" t="n">
        <v>40693</v>
      </c>
      <c r="EF332" s="0"/>
      <c r="EG332" s="0" t="n">
        <v>1</v>
      </c>
      <c r="EH332" s="0" t="n">
        <v>12</v>
      </c>
      <c r="EI332" s="0" t="n">
        <f aca="false">IF(AND(DM332=1,DN332&lt;=48),"",IF(AND(DM332=2,DN332&lt;=42),"",IF(AND(DM332=3,DN332&lt;=45),"",EH332)))</f>
        <v>12</v>
      </c>
      <c r="EJ332" s="0" t="n">
        <f aca="false">IF(EI332="","",IF(EI332&lt;9,EI332,9))</f>
        <v>9</v>
      </c>
      <c r="EK332" s="0" t="n">
        <f aca="false">IF(EI332="","",IF(EI332&gt;9,EI332-EJ332,0))</f>
        <v>3</v>
      </c>
      <c r="EL332" s="0" t="n">
        <f aca="false">IF(EI332="","",EJ332*DA332*2+EK332*DA332*3)</f>
        <v>1028.556</v>
      </c>
      <c r="EP332" s="0" t="n">
        <v>0</v>
      </c>
      <c r="EQ332" s="0"/>
      <c r="ER332" s="0" t="n">
        <v>0</v>
      </c>
      <c r="ET332" s="0" t="n">
        <v>0</v>
      </c>
      <c r="EV332" s="0" t="n">
        <v>0</v>
      </c>
      <c r="EX332" s="0" t="n">
        <v>1</v>
      </c>
      <c r="EY332" s="0" t="n">
        <v>0</v>
      </c>
      <c r="EZ332" s="0"/>
      <c r="FA332" s="4" t="n">
        <f aca="false">54750</f>
        <v>54750</v>
      </c>
      <c r="FB332" s="0" t="n">
        <v>0</v>
      </c>
      <c r="FF332" s="120" t="n">
        <f aca="false">(CJ332-CI332+1)/365</f>
        <v>3.14794520547945</v>
      </c>
      <c r="FG332" s="0" t="str">
        <f aca="false">CONCATENATE(F332,"/",G332)</f>
        <v>1195/2011</v>
      </c>
      <c r="FH332" s="0" t="n">
        <v>0</v>
      </c>
      <c r="FI332" s="0" t="n">
        <v>0</v>
      </c>
    </row>
    <row r="333" customFormat="false" ht="15" hidden="false" customHeight="false" outlineLevel="0" collapsed="false">
      <c r="A333" s="5" t="str">
        <f aca="false">E333&amp;G333&amp;F333</f>
        <v>720111196</v>
      </c>
      <c r="B333" s="0" t="s">
        <v>3217</v>
      </c>
      <c r="C333" s="1" t="n">
        <v>42410</v>
      </c>
      <c r="D333" s="0" t="s">
        <v>3265</v>
      </c>
      <c r="E333" s="0" t="n">
        <v>7</v>
      </c>
      <c r="F333" s="0" t="n">
        <v>1196</v>
      </c>
      <c r="G333" s="0" t="n">
        <v>2011</v>
      </c>
      <c r="H333" s="0" t="str">
        <f aca="false">"J"&amp;E333&amp;"\"&amp;F333&amp;"\"&amp;G333&amp;"\"&amp;W333</f>
        <v>J7\1196\2011\1</v>
      </c>
      <c r="I333" s="0"/>
      <c r="J333" s="1" t="n">
        <v>40736</v>
      </c>
      <c r="K333" s="0" t="n">
        <v>0</v>
      </c>
      <c r="M333" s="1"/>
      <c r="N333" s="1"/>
      <c r="O333" s="1"/>
      <c r="P333" s="1"/>
      <c r="Q333" s="1"/>
      <c r="T333" s="121"/>
      <c r="U333" s="121"/>
      <c r="V333" s="122" t="n">
        <f aca="false">IF(AND(E333&gt;0,F333&gt;0,G333&gt;0),COUNTIFS($E:$E,E333,$F:$F,F333,$G:$G,G333),"")</f>
        <v>1</v>
      </c>
      <c r="W333" s="122" t="n">
        <f aca="false">IF(V333="","",IF(V333=1,1,IF(AND(E332=E333,F332=F333,G332=G333),W332+1,1)))</f>
        <v>1</v>
      </c>
      <c r="X333" s="0" t="n">
        <v>1</v>
      </c>
      <c r="Y333" s="0" t="n">
        <v>2</v>
      </c>
      <c r="Z333" s="0" t="s">
        <v>3523</v>
      </c>
      <c r="AA333" s="0" t="n">
        <v>0</v>
      </c>
      <c r="AB333" s="0" t="s">
        <v>3524</v>
      </c>
      <c r="AC333" s="0" t="s">
        <v>3525</v>
      </c>
      <c r="AD333" s="0" t="s">
        <v>411</v>
      </c>
      <c r="AE333" s="0" t="n">
        <v>0</v>
      </c>
      <c r="AF333" s="0" t="s">
        <v>233</v>
      </c>
      <c r="AG333" s="0" t="n">
        <v>0</v>
      </c>
      <c r="AH333" s="0" t="s">
        <v>3526</v>
      </c>
      <c r="AI333" s="0" t="s">
        <v>3527</v>
      </c>
      <c r="AJ333" s="0" t="s">
        <v>3232</v>
      </c>
      <c r="AL333" s="0" t="s">
        <v>1880</v>
      </c>
      <c r="AM333" s="0" t="n">
        <v>1</v>
      </c>
      <c r="AN333" s="0" t="s">
        <v>3526</v>
      </c>
      <c r="AO333" s="0" t="s">
        <v>3527</v>
      </c>
      <c r="AP333" s="0" t="s">
        <v>3232</v>
      </c>
      <c r="BP333" s="0" t="n">
        <v>0</v>
      </c>
      <c r="BQ333" s="0" t="n">
        <v>0</v>
      </c>
      <c r="BR333" s="0" t="n">
        <v>1</v>
      </c>
      <c r="BS333" s="0" t="s">
        <v>3528</v>
      </c>
      <c r="BT333" s="0" t="s">
        <v>3529</v>
      </c>
      <c r="BU333" s="0" t="s">
        <v>3530</v>
      </c>
      <c r="BV333" s="123"/>
      <c r="BW333" s="123"/>
      <c r="BX333" s="123"/>
      <c r="BY333" s="123"/>
      <c r="BZ333" s="0" t="n">
        <v>0</v>
      </c>
      <c r="CA333" s="0" t="s">
        <v>216</v>
      </c>
      <c r="CD333" s="0" t="s">
        <v>296</v>
      </c>
      <c r="CE333" s="0" t="n">
        <v>0</v>
      </c>
      <c r="CF333" s="0" t="s">
        <v>1700</v>
      </c>
      <c r="CI333" s="1" t="n">
        <v>40182</v>
      </c>
      <c r="CJ333" s="1" t="n">
        <v>40700</v>
      </c>
      <c r="CK333" s="124" t="n">
        <v>0.708333333333333</v>
      </c>
      <c r="CL333" s="0" t="s">
        <v>216</v>
      </c>
      <c r="CM333" s="0" t="n">
        <f aca="false">IF(OR(CI333="",CJ333=""),"",DAYS360(CI333,CJ333)/360)</f>
        <v>1.42222222222222</v>
      </c>
      <c r="CN333" s="0" t="n">
        <f aca="false">IF(OR(CI333="",CJ333=""),"",DAYS360(CI333,CJ333)/30)</f>
        <v>17.0666666666667</v>
      </c>
      <c r="CO333" s="0" t="n">
        <f aca="false">IF(OR(CI333="",CJ333=""),"",DAYS360(CI333,CJ333)/7)</f>
        <v>73.1428571428571</v>
      </c>
      <c r="CP333" s="0" t="n">
        <f aca="false">IF(OR(CI333="",CJ333=""),"",DAYS360(CI333,CJ333))</f>
        <v>512</v>
      </c>
      <c r="CQ333" s="0" t="s">
        <v>240</v>
      </c>
      <c r="CR333" s="0" t="n">
        <v>1</v>
      </c>
      <c r="CT333" s="0" t="s">
        <v>221</v>
      </c>
      <c r="CU333" s="0" t="s">
        <v>221</v>
      </c>
      <c r="CV333" s="0" t="str">
        <f aca="false">IF(OR(CT333="",CT333="NO ESPECIFICA",CT333="NO MENCIONA"),"",IF(CU333=0,CT333,IF(CU333=1,CT333/30,IF(CU333=2,CT333/15,IF(CU333=3,CT333/7,"")))))</f>
        <v/>
      </c>
      <c r="CW333" s="125" t="n">
        <v>250</v>
      </c>
      <c r="CX333" s="0" t="n">
        <v>0</v>
      </c>
      <c r="CY333" s="0" t="n">
        <f aca="false">IF(CW333="","",IF(CX333=0,CW333,IF(CX333=1,CW333/30,IF(CX333=2,CW333/15,IF(CX333=3,CW333/7,CW333)))))</f>
        <v>250</v>
      </c>
      <c r="CZ333" s="0" t="n">
        <f aca="false">IF(DI333&gt;0,DI333,IF(CY333&gt;0,CY333,IF(CV333&gt;0,CV333,"")))</f>
        <v>250</v>
      </c>
      <c r="DA333" s="0" t="n">
        <f aca="false">IF(DM333=1,CZ333/8,IF(OR(DM333=2,DM333=4),CZ333/7,IF(DM333=3,CZ333/7.5,"")))</f>
        <v>31.25</v>
      </c>
      <c r="DB333" s="0" t="s">
        <v>216</v>
      </c>
      <c r="DC333" s="0" t="s">
        <v>216</v>
      </c>
      <c r="DD333" s="0" t="s">
        <v>216</v>
      </c>
      <c r="DE333" s="0" t="s">
        <v>216</v>
      </c>
      <c r="DF333" s="0" t="s">
        <v>216</v>
      </c>
      <c r="DG333" s="0" t="s">
        <v>216</v>
      </c>
      <c r="DH333" s="0" t="n">
        <v>0</v>
      </c>
      <c r="DI333" s="126" t="n">
        <v>250</v>
      </c>
      <c r="DK333" s="0" t="n">
        <v>1</v>
      </c>
      <c r="DM333" s="0" t="n">
        <v>1</v>
      </c>
      <c r="DN333" s="0" t="n">
        <f aca="false">12*6</f>
        <v>72</v>
      </c>
      <c r="DO333" s="0" t="n">
        <v>3</v>
      </c>
      <c r="DP333" s="0" t="n">
        <v>0</v>
      </c>
      <c r="DQ333" s="0" t="n">
        <v>1</v>
      </c>
      <c r="DR333" s="0"/>
      <c r="DS333" s="0" t="n">
        <v>0</v>
      </c>
      <c r="DU333" s="0" t="n">
        <v>1</v>
      </c>
      <c r="DW333" s="1" t="n">
        <v>40182</v>
      </c>
      <c r="DX333" s="1" t="n">
        <v>40700</v>
      </c>
      <c r="DZ333" s="0"/>
      <c r="EA333" s="0" t="n">
        <v>1</v>
      </c>
      <c r="EC333" s="1" t="n">
        <v>40182</v>
      </c>
      <c r="ED333" s="1" t="n">
        <v>40700</v>
      </c>
      <c r="EF333" s="0"/>
      <c r="EG333" s="0" t="n">
        <v>0</v>
      </c>
      <c r="EI333" s="0" t="n">
        <f aca="false">IF(AND(DM333=1,DN333&lt;=48),"",IF(AND(DM333=2,DN333&lt;=42),"",IF(AND(DM333=3,DN333&lt;=45),"",EH333)))</f>
        <v>0</v>
      </c>
      <c r="EJ333" s="0" t="str">
        <f aca="false">IF(EI333="","",IF(EI333&lt;9,EI333,9))</f>
        <v/>
      </c>
      <c r="EK333" s="0" t="str">
        <f aca="false">IF(EI333="","",IF(EI333&gt;9,EI333-EJ333,0))</f>
        <v/>
      </c>
      <c r="EL333" s="0" t="str">
        <f aca="false">IF(EI333="","",EJ333*DA333*2+EK333*DA333*3)</f>
        <v/>
      </c>
      <c r="EP333" s="0" t="n">
        <v>1</v>
      </c>
      <c r="EQ333" s="0"/>
      <c r="ER333" s="0" t="n">
        <v>0</v>
      </c>
      <c r="ET333" s="0" t="n">
        <v>0</v>
      </c>
      <c r="EV333" s="0" t="n">
        <v>0</v>
      </c>
      <c r="EX333" s="0" t="n">
        <v>0</v>
      </c>
      <c r="EY333" s="0" t="n">
        <v>0</v>
      </c>
      <c r="EZ333" s="0"/>
      <c r="FA333" s="4" t="n">
        <v>0</v>
      </c>
      <c r="FB333" s="0" t="n">
        <v>0</v>
      </c>
      <c r="FF333" s="120" t="n">
        <f aca="false">(CJ333-CI333+1)/365</f>
        <v>1.42191780821918</v>
      </c>
      <c r="FG333" s="0" t="str">
        <f aca="false">CONCATENATE(F333,"/",G333)</f>
        <v>1196/2011</v>
      </c>
      <c r="FH333" s="0" t="n">
        <v>0</v>
      </c>
      <c r="FI333" s="0" t="n">
        <v>0</v>
      </c>
    </row>
    <row r="334" customFormat="false" ht="15" hidden="false" customHeight="false" outlineLevel="0" collapsed="false">
      <c r="A334" s="5" t="str">
        <f aca="false">E334&amp;G334&amp;F334</f>
        <v>720111198</v>
      </c>
      <c r="B334" s="0" t="s">
        <v>3217</v>
      </c>
      <c r="C334" s="1" t="n">
        <v>42410</v>
      </c>
      <c r="D334" s="0" t="s">
        <v>3265</v>
      </c>
      <c r="E334" s="0" t="n">
        <v>7</v>
      </c>
      <c r="F334" s="0" t="n">
        <v>1198</v>
      </c>
      <c r="G334" s="0" t="n">
        <v>2011</v>
      </c>
      <c r="H334" s="0" t="str">
        <f aca="false">"J"&amp;E334&amp;"\"&amp;F334&amp;"\"&amp;G334&amp;"\"&amp;W334</f>
        <v>J7\1198\2011\1</v>
      </c>
      <c r="I334" s="0"/>
      <c r="J334" s="1" t="n">
        <v>40736</v>
      </c>
      <c r="K334" s="0" t="n">
        <v>0</v>
      </c>
      <c r="M334" s="1"/>
      <c r="N334" s="1"/>
      <c r="O334" s="1"/>
      <c r="P334" s="1"/>
      <c r="Q334" s="1"/>
      <c r="T334" s="121"/>
      <c r="U334" s="121"/>
      <c r="V334" s="122" t="n">
        <f aca="false">IF(AND(E334&gt;0,F334&gt;0,G334&gt;0),COUNTIFS($E:$E,E334,$F:$F,F334,$G:$G,G334),"")</f>
        <v>1</v>
      </c>
      <c r="W334" s="122" t="n">
        <f aca="false">IF(V334="","",IF(V334=1,1,IF(AND(E333=E334,F333=F334,G333=G334),W333+1,1)))</f>
        <v>1</v>
      </c>
      <c r="X334" s="0" t="n">
        <v>1</v>
      </c>
      <c r="Y334" s="0" t="n">
        <v>11</v>
      </c>
      <c r="Z334" s="0" t="s">
        <v>3531</v>
      </c>
      <c r="AA334" s="0" t="n">
        <v>0</v>
      </c>
      <c r="AB334" s="0" t="s">
        <v>3532</v>
      </c>
      <c r="AC334" s="0" t="s">
        <v>3527</v>
      </c>
      <c r="AD334" s="0" t="s">
        <v>3533</v>
      </c>
      <c r="AE334" s="0" t="n">
        <v>0</v>
      </c>
      <c r="AF334" s="0" t="s">
        <v>3534</v>
      </c>
      <c r="AG334" s="0" t="n">
        <v>0</v>
      </c>
      <c r="AH334" s="0" t="s">
        <v>3535</v>
      </c>
      <c r="AI334" s="0" t="s">
        <v>3536</v>
      </c>
      <c r="AJ334" s="0" t="s">
        <v>221</v>
      </c>
      <c r="AL334" s="0" t="s">
        <v>3537</v>
      </c>
      <c r="AM334" s="0" t="n">
        <v>1</v>
      </c>
      <c r="AN334" s="0" t="s">
        <v>3535</v>
      </c>
      <c r="AO334" s="0" t="s">
        <v>3536</v>
      </c>
      <c r="AP334" s="0" t="s">
        <v>221</v>
      </c>
      <c r="AR334" s="0" t="s">
        <v>3538</v>
      </c>
      <c r="AS334" s="0" t="n">
        <v>0</v>
      </c>
      <c r="AT334" s="0" t="s">
        <v>2397</v>
      </c>
      <c r="AU334" s="0" t="s">
        <v>1661</v>
      </c>
      <c r="AV334" s="0" t="s">
        <v>221</v>
      </c>
      <c r="AX334" s="0" t="s">
        <v>3539</v>
      </c>
      <c r="AY334" s="0" t="n">
        <v>1</v>
      </c>
      <c r="AZ334" s="0" t="s">
        <v>2397</v>
      </c>
      <c r="BA334" s="0" t="s">
        <v>1661</v>
      </c>
      <c r="BB334" s="0" t="s">
        <v>221</v>
      </c>
      <c r="BD334" s="0" t="s">
        <v>3540</v>
      </c>
      <c r="BE334" s="0" t="n">
        <v>1</v>
      </c>
      <c r="BF334" s="0" t="s">
        <v>2397</v>
      </c>
      <c r="BG334" s="0" t="s">
        <v>1661</v>
      </c>
      <c r="BH334" s="0" t="s">
        <v>221</v>
      </c>
      <c r="BJ334" s="0" t="s">
        <v>3541</v>
      </c>
      <c r="BK334" s="0" t="n">
        <v>1</v>
      </c>
      <c r="BL334" s="0" t="s">
        <v>2397</v>
      </c>
      <c r="BM334" s="0" t="s">
        <v>1661</v>
      </c>
      <c r="BN334" s="0" t="s">
        <v>221</v>
      </c>
      <c r="BP334" s="0" t="n">
        <v>0</v>
      </c>
      <c r="BQ334" s="0" t="n">
        <v>0</v>
      </c>
      <c r="BR334" s="0" t="n">
        <v>1</v>
      </c>
      <c r="BS334" s="0" t="s">
        <v>3542</v>
      </c>
      <c r="BT334" s="0" t="s">
        <v>3543</v>
      </c>
      <c r="BU334" s="0" t="s">
        <v>3544</v>
      </c>
      <c r="BV334" s="123"/>
      <c r="BW334" s="123"/>
      <c r="BX334" s="123"/>
      <c r="BY334" s="123"/>
      <c r="BZ334" s="0" t="n">
        <v>0</v>
      </c>
      <c r="CA334" s="0" t="s">
        <v>216</v>
      </c>
      <c r="CD334" s="0" t="s">
        <v>885</v>
      </c>
      <c r="CE334" s="0" t="n">
        <v>0</v>
      </c>
      <c r="CF334" s="0" t="s">
        <v>3545</v>
      </c>
      <c r="CI334" s="1" t="n">
        <v>39289</v>
      </c>
      <c r="CJ334" s="1" t="n">
        <v>40675</v>
      </c>
      <c r="CK334" s="124" t="n">
        <v>0.333333333333333</v>
      </c>
      <c r="CL334" s="0" t="s">
        <v>3539</v>
      </c>
      <c r="CM334" s="0" t="n">
        <f aca="false">IF(OR(CI334="",CJ334=""),"",DAYS360(CI334,CJ334)/360)</f>
        <v>3.79444444444444</v>
      </c>
      <c r="CN334" s="0" t="n">
        <f aca="false">IF(OR(CI334="",CJ334=""),"",DAYS360(CI334,CJ334)/30)</f>
        <v>45.5333333333333</v>
      </c>
      <c r="CO334" s="0" t="n">
        <f aca="false">IF(OR(CI334="",CJ334=""),"",DAYS360(CI334,CJ334)/7)</f>
        <v>195.142857142857</v>
      </c>
      <c r="CP334" s="0" t="n">
        <f aca="false">IF(OR(CI334="",CJ334=""),"",DAYS360(CI334,CJ334))</f>
        <v>1366</v>
      </c>
      <c r="CQ334" s="0" t="s">
        <v>220</v>
      </c>
      <c r="CR334" s="0" t="n">
        <v>1</v>
      </c>
      <c r="CT334" s="0" t="n">
        <v>500</v>
      </c>
      <c r="CU334" s="0" t="n">
        <v>0</v>
      </c>
      <c r="CV334" s="0" t="n">
        <f aca="false">IF(OR(CT334="",CT334="NO ESPECIFICA",CT334="NO MENCIONA"),"",IF(CU334=0,CT334,IF(CU334=1,CT334/30,IF(CU334=2,CT334/15,IF(CU334=3,CT334/7,"")))))</f>
        <v>500</v>
      </c>
      <c r="CW334" s="125" t="n">
        <v>834</v>
      </c>
      <c r="CX334" s="0" t="n">
        <v>0</v>
      </c>
      <c r="CY334" s="0" t="n">
        <f aca="false">IF(CW334="","",IF(CX334=0,CW334,IF(CX334=1,CW334/30,IF(CX334=2,CW334/15,IF(CX334=3,CW334/7,CW334)))))</f>
        <v>834</v>
      </c>
      <c r="CZ334" s="0" t="n">
        <f aca="false">IF(DI334&gt;0,DI334,IF(CY334&gt;0,CY334,IF(CV334&gt;0,CV334,"")))</f>
        <v>834</v>
      </c>
      <c r="DA334" s="0" t="n">
        <f aca="false">IF(DM334=1,CZ334/8,IF(OR(DM334=2,DM334=4),CZ334/7,IF(DM334=3,CZ334/7.5,"")))</f>
        <v>104.25</v>
      </c>
      <c r="DB334" s="0" t="s">
        <v>302</v>
      </c>
      <c r="DC334" s="0" t="s">
        <v>303</v>
      </c>
      <c r="DD334" s="0" t="s">
        <v>301</v>
      </c>
      <c r="DE334" s="0" t="s">
        <v>3546</v>
      </c>
      <c r="DF334" s="0" t="s">
        <v>3547</v>
      </c>
      <c r="DG334" s="0" t="s">
        <v>216</v>
      </c>
      <c r="DH334" s="0" t="n">
        <v>0</v>
      </c>
      <c r="DI334" s="126" t="n">
        <v>834</v>
      </c>
      <c r="DK334" s="0" t="n">
        <v>1</v>
      </c>
      <c r="DM334" s="0" t="n">
        <v>1</v>
      </c>
      <c r="DN334" s="0" t="n">
        <v>60</v>
      </c>
      <c r="DO334" s="0" t="n">
        <v>3</v>
      </c>
      <c r="DP334" s="0" t="n">
        <v>1</v>
      </c>
      <c r="DQ334" s="0" t="n">
        <v>1</v>
      </c>
      <c r="DR334" s="0"/>
      <c r="DS334" s="0" t="n">
        <v>1</v>
      </c>
      <c r="DU334" s="0" t="n">
        <v>1</v>
      </c>
      <c r="DW334" s="1" t="n">
        <v>39289</v>
      </c>
      <c r="DX334" s="1" t="n">
        <v>40675</v>
      </c>
      <c r="DZ334" s="0"/>
      <c r="EA334" s="0" t="n">
        <v>1</v>
      </c>
      <c r="EC334" s="1" t="n">
        <v>39289</v>
      </c>
      <c r="ED334" s="1" t="n">
        <v>40675</v>
      </c>
      <c r="EF334" s="0"/>
      <c r="EG334" s="0" t="n">
        <v>1</v>
      </c>
      <c r="EH334" s="0" t="n">
        <v>12</v>
      </c>
      <c r="EI334" s="0" t="n">
        <f aca="false">IF(AND(DM334=1,DN334&lt;=48),"",IF(AND(DM334=2,DN334&lt;=42),"",IF(AND(DM334=3,DN334&lt;=45),"",EH334)))</f>
        <v>12</v>
      </c>
      <c r="EJ334" s="0" t="n">
        <f aca="false">IF(EI334="","",IF(EI334&lt;9,EI334,9))</f>
        <v>9</v>
      </c>
      <c r="EK334" s="0" t="n">
        <f aca="false">IF(EI334="","",IF(EI334&gt;9,EI334-EJ334,0))</f>
        <v>3</v>
      </c>
      <c r="EL334" s="0" t="n">
        <f aca="false">IF(EI334="","",EJ334*DA334*2+EK334*DA334*3)</f>
        <v>2814.75</v>
      </c>
      <c r="EP334" s="0" t="n">
        <v>1</v>
      </c>
      <c r="EQ334" s="0"/>
      <c r="ER334" s="0" t="n">
        <v>1</v>
      </c>
      <c r="ET334" s="0" t="n">
        <v>1</v>
      </c>
      <c r="EV334" s="0" t="n">
        <v>1</v>
      </c>
      <c r="EX334" s="0" t="n">
        <v>1</v>
      </c>
      <c r="EY334" s="0" t="n">
        <v>1</v>
      </c>
      <c r="EZ334" s="0"/>
      <c r="FA334" s="4" t="n">
        <f aca="false">(11*834)+15000</f>
        <v>24174</v>
      </c>
      <c r="FB334" s="0" t="n">
        <v>1</v>
      </c>
      <c r="FF334" s="120" t="n">
        <f aca="false">(CJ334-CI334+1)/365</f>
        <v>3.8</v>
      </c>
      <c r="FG334" s="0" t="str">
        <f aca="false">CONCATENATE(F334,"/",G334)</f>
        <v>1198/2011</v>
      </c>
      <c r="FH334" s="0" t="n">
        <v>0</v>
      </c>
      <c r="FI334" s="0" t="n">
        <v>0</v>
      </c>
    </row>
    <row r="335" customFormat="false" ht="15" hidden="false" customHeight="false" outlineLevel="0" collapsed="false">
      <c r="A335" s="5" t="str">
        <f aca="false">E335&amp;G335&amp;F335</f>
        <v>720111201</v>
      </c>
      <c r="B335" s="0" t="s">
        <v>3217</v>
      </c>
      <c r="C335" s="1" t="n">
        <v>42410</v>
      </c>
      <c r="E335" s="0" t="n">
        <v>7</v>
      </c>
      <c r="F335" s="0" t="n">
        <v>1201</v>
      </c>
      <c r="G335" s="0" t="n">
        <v>2011</v>
      </c>
      <c r="H335" s="0" t="str">
        <f aca="false">"J"&amp;E335&amp;"\"&amp;F335&amp;"\"&amp;G335&amp;"\"&amp;W335</f>
        <v>J7\1201\2011\1</v>
      </c>
      <c r="I335" s="0"/>
      <c r="J335" s="1" t="n">
        <v>40737</v>
      </c>
      <c r="K335" s="0" t="n">
        <v>0</v>
      </c>
      <c r="M335" s="1" t="n">
        <v>40737</v>
      </c>
      <c r="N335" s="1" t="n">
        <v>40928</v>
      </c>
      <c r="O335" s="1"/>
      <c r="P335" s="1"/>
      <c r="Q335" s="1"/>
      <c r="T335" s="121"/>
      <c r="U335" s="121"/>
      <c r="V335" s="122" t="n">
        <f aca="false">IF(AND(E335&gt;0,F335&gt;0,G335&gt;0),COUNTIFS($E:$E,E335,$F:$F,F335,$G:$G,G335),"")</f>
        <v>1</v>
      </c>
      <c r="W335" s="122" t="n">
        <f aca="false">IF(V335="","",IF(V335=1,1,IF(AND(E334=E335,F334=F335,G334=G335),W334+1,1)))</f>
        <v>1</v>
      </c>
      <c r="X335" s="0" t="n">
        <v>1</v>
      </c>
      <c r="Y335" s="0" t="n">
        <v>4</v>
      </c>
      <c r="Z335" s="0" t="s">
        <v>3548</v>
      </c>
      <c r="AA335" s="0" t="n">
        <v>0</v>
      </c>
      <c r="AB335" s="0" t="s">
        <v>3549</v>
      </c>
      <c r="AC335" s="0" t="s">
        <v>221</v>
      </c>
      <c r="AD335" s="0" t="s">
        <v>221</v>
      </c>
      <c r="AE335" s="0" t="n">
        <v>0</v>
      </c>
      <c r="AF335" s="0" t="s">
        <v>3550</v>
      </c>
      <c r="AG335" s="0" t="n">
        <v>0</v>
      </c>
      <c r="AH335" s="0" t="s">
        <v>3551</v>
      </c>
      <c r="AI335" s="0" t="s">
        <v>2209</v>
      </c>
      <c r="AJ335" s="0" t="s">
        <v>590</v>
      </c>
      <c r="AL335" s="0" t="s">
        <v>3552</v>
      </c>
      <c r="AM335" s="0" t="n">
        <v>0</v>
      </c>
      <c r="AN335" s="0" t="s">
        <v>3551</v>
      </c>
      <c r="AO335" s="0" t="s">
        <v>2209</v>
      </c>
      <c r="AP335" s="0" t="s">
        <v>590</v>
      </c>
      <c r="AR335" s="0" t="s">
        <v>3553</v>
      </c>
      <c r="AS335" s="0" t="n">
        <v>0</v>
      </c>
      <c r="AT335" s="0" t="s">
        <v>3551</v>
      </c>
      <c r="AU335" s="0" t="s">
        <v>2209</v>
      </c>
      <c r="AV335" s="0" t="s">
        <v>590</v>
      </c>
      <c r="BP335" s="0" t="n">
        <v>0</v>
      </c>
      <c r="BQ335" s="0" t="n">
        <v>0</v>
      </c>
      <c r="BR335" s="0" t="n">
        <v>1</v>
      </c>
      <c r="BS335" s="0" t="s">
        <v>3554</v>
      </c>
      <c r="BV335" s="123"/>
      <c r="BW335" s="123"/>
      <c r="BX335" s="123"/>
      <c r="BY335" s="123"/>
      <c r="BZ335" s="0" t="n">
        <v>0</v>
      </c>
      <c r="CA335" s="0" t="s">
        <v>216</v>
      </c>
      <c r="CD335" s="0" t="s">
        <v>1308</v>
      </c>
      <c r="CE335" s="0" t="n">
        <v>0</v>
      </c>
      <c r="CF335" s="0" t="s">
        <v>503</v>
      </c>
      <c r="CI335" s="1" t="n">
        <v>34624</v>
      </c>
      <c r="CJ335" s="1" t="n">
        <v>40651</v>
      </c>
      <c r="CK335" s="124" t="n">
        <v>0.333333333333333</v>
      </c>
      <c r="CL335" s="0" t="s">
        <v>3555</v>
      </c>
      <c r="CM335" s="0" t="n">
        <f aca="false">IF(OR(CI335="",CJ335=""),"",DAYS360(CI335,CJ335)/360)</f>
        <v>16.5027777777778</v>
      </c>
      <c r="CN335" s="0" t="n">
        <f aca="false">IF(OR(CI335="",CJ335=""),"",DAYS360(CI335,CJ335)/30)</f>
        <v>198.033333333333</v>
      </c>
      <c r="CO335" s="0" t="n">
        <f aca="false">IF(OR(CI335="",CJ335=""),"",DAYS360(CI335,CJ335)/7)</f>
        <v>848.714285714286</v>
      </c>
      <c r="CP335" s="0" t="n">
        <f aca="false">IF(OR(CI335="",CJ335=""),"",DAYS360(CI335,CJ335))</f>
        <v>5941</v>
      </c>
      <c r="CQ335" s="0" t="s">
        <v>240</v>
      </c>
      <c r="CR335" s="0" t="n">
        <v>1</v>
      </c>
      <c r="CT335" s="0" t="s">
        <v>221</v>
      </c>
      <c r="CU335" s="0" t="s">
        <v>221</v>
      </c>
      <c r="CV335" s="0" t="str">
        <f aca="false">IF(OR(CT335="",CT335="NO ESPECIFICA",CT335="NO MENCIONA"),"",IF(CU335=0,CT335,IF(CU335=1,CT335/30,IF(CU335=2,CT335/15,IF(CU335=3,CT335/7,"")))))</f>
        <v/>
      </c>
      <c r="CW335" s="125" t="n">
        <v>2400</v>
      </c>
      <c r="CX335" s="0" t="n">
        <v>3</v>
      </c>
      <c r="CY335" s="0" t="n">
        <f aca="false">IF(CW335="","",IF(CX335=0,CW335,IF(CX335=1,CW335/30,IF(CX335=2,CW335/15,IF(CX335=3,CW335/7,CW335)))))</f>
        <v>342.857142857143</v>
      </c>
      <c r="CZ335" s="0" t="n">
        <f aca="false">IF(DI335&gt;0,DI335,IF(CY335&gt;0,CY335,IF(CV335&gt;0,CV335,"")))</f>
        <v>342.85</v>
      </c>
      <c r="DA335" s="0" t="n">
        <f aca="false">IF(DM335=1,CZ335/8,IF(OR(DM335=2,DM335=4),CZ335/7,IF(DM335=3,CZ335/7.5,"")))</f>
        <v>42.85625</v>
      </c>
      <c r="DB335" s="0" t="s">
        <v>216</v>
      </c>
      <c r="DC335" s="0" t="s">
        <v>216</v>
      </c>
      <c r="DD335" s="0" t="s">
        <v>216</v>
      </c>
      <c r="DE335" s="0" t="s">
        <v>216</v>
      </c>
      <c r="DF335" s="0" t="s">
        <v>216</v>
      </c>
      <c r="DG335" s="0" t="s">
        <v>216</v>
      </c>
      <c r="DH335" s="0" t="n">
        <v>0</v>
      </c>
      <c r="DI335" s="126" t="n">
        <v>342.85</v>
      </c>
      <c r="DK335" s="0" t="n">
        <v>0</v>
      </c>
      <c r="DM335" s="0" t="n">
        <v>1</v>
      </c>
      <c r="DN335" s="0" t="n">
        <v>54</v>
      </c>
      <c r="DO335" s="0" t="n">
        <v>3</v>
      </c>
      <c r="DP335" s="0" t="n">
        <v>0</v>
      </c>
      <c r="DQ335" s="0" t="n">
        <v>1</v>
      </c>
      <c r="DR335" s="0" t="n">
        <v>28800</v>
      </c>
      <c r="DS335" s="0" t="n">
        <v>1</v>
      </c>
      <c r="DU335" s="0" t="n">
        <v>1</v>
      </c>
      <c r="DV335" s="0" t="n">
        <v>65664</v>
      </c>
      <c r="DW335" s="1" t="n">
        <v>34624</v>
      </c>
      <c r="DX335" s="1" t="n">
        <v>40651</v>
      </c>
      <c r="DZ335" s="0" t="n">
        <v>22914</v>
      </c>
      <c r="EA335" s="0" t="n">
        <v>1</v>
      </c>
      <c r="EB335" s="0" t="n">
        <v>5728</v>
      </c>
      <c r="EC335" s="1" t="n">
        <v>40544</v>
      </c>
      <c r="ED335" s="1" t="n">
        <v>40651</v>
      </c>
      <c r="EF335" s="0" t="n">
        <v>5130</v>
      </c>
      <c r="EG335" s="0" t="n">
        <v>0</v>
      </c>
      <c r="EI335" s="0" t="n">
        <f aca="false">IF(AND(DM335=1,DN335&lt;=48),"",IF(AND(DM335=2,DN335&lt;=42),"",IF(AND(DM335=3,DN335&lt;=45),"",EH335)))</f>
        <v>0</v>
      </c>
      <c r="EJ335" s="0" t="str">
        <f aca="false">IF(EI335="","",IF(EI335&lt;9,EI335,9))</f>
        <v/>
      </c>
      <c r="EK335" s="0" t="str">
        <f aca="false">IF(EI335="","",IF(EI335&gt;9,EI335-EJ335,0))</f>
        <v/>
      </c>
      <c r="EL335" s="0" t="str">
        <f aca="false">IF(EI335="","",EJ335*DA335*2+EK335*DA335*3)</f>
        <v/>
      </c>
      <c r="EP335" s="0" t="n">
        <v>1</v>
      </c>
      <c r="EQ335" s="0" t="n">
        <v>109440</v>
      </c>
      <c r="ER335" s="0" t="n">
        <v>0</v>
      </c>
      <c r="ET335" s="0" t="n">
        <v>0</v>
      </c>
      <c r="EV335" s="0" t="n">
        <v>0</v>
      </c>
      <c r="EX335" s="0" t="n">
        <v>0</v>
      </c>
      <c r="EY335" s="0" t="n">
        <v>0</v>
      </c>
      <c r="EZ335" s="0"/>
      <c r="FA335" s="4" t="n">
        <v>0</v>
      </c>
      <c r="FB335" s="0" t="n">
        <v>0</v>
      </c>
      <c r="FF335" s="120" t="n">
        <f aca="false">(CJ335-CI335+1)/365</f>
        <v>16.5150684931507</v>
      </c>
      <c r="FG335" s="0" t="str">
        <f aca="false">CONCATENATE(F335,"/",G335)</f>
        <v>1201/2011</v>
      </c>
      <c r="FH335" s="0" t="n">
        <v>0</v>
      </c>
      <c r="FI335" s="0" t="n">
        <v>0</v>
      </c>
    </row>
    <row r="336" customFormat="false" ht="15" hidden="false" customHeight="false" outlineLevel="0" collapsed="false">
      <c r="A336" s="5" t="str">
        <f aca="false">E336&amp;G336&amp;F336</f>
        <v>720111883</v>
      </c>
      <c r="B336" s="0" t="s">
        <v>3556</v>
      </c>
      <c r="C336" s="1" t="n">
        <v>42412</v>
      </c>
      <c r="D336" s="0" t="s">
        <v>1856</v>
      </c>
      <c r="E336" s="0" t="n">
        <v>7</v>
      </c>
      <c r="F336" s="0" t="n">
        <v>1883</v>
      </c>
      <c r="G336" s="0" t="n">
        <v>2011</v>
      </c>
      <c r="H336" s="0" t="str">
        <f aca="false">"J"&amp;E336&amp;"\"&amp;F336&amp;"\"&amp;G336&amp;"\"&amp;W336</f>
        <v>J7\1883\2011\1</v>
      </c>
      <c r="I336" s="0"/>
      <c r="J336" s="1" t="n">
        <v>40857</v>
      </c>
      <c r="K336" s="0" t="n">
        <v>0</v>
      </c>
      <c r="M336" s="1"/>
      <c r="N336" s="1"/>
      <c r="O336" s="1"/>
      <c r="P336" s="1"/>
      <c r="Q336" s="1"/>
      <c r="T336" s="121"/>
      <c r="U336" s="121"/>
      <c r="V336" s="122" t="n">
        <f aca="false">IF(AND(E336&gt;0,F336&gt;0,G336&gt;0),COUNTIFS($E:$E,E336,$F:$F,F336,$G:$G,G336),"")</f>
        <v>1</v>
      </c>
      <c r="W336" s="122" t="n">
        <f aca="false">IF(V336="","",IF(V336=1,1,IF(AND(E335=E336,F335=F336,G335=G336),W335+1,1)))</f>
        <v>1</v>
      </c>
      <c r="X336" s="0" t="n">
        <v>1</v>
      </c>
      <c r="Y336" s="0" t="n">
        <v>4</v>
      </c>
      <c r="Z336" s="0" t="s">
        <v>3557</v>
      </c>
      <c r="AA336" s="0" t="n">
        <v>0</v>
      </c>
      <c r="AB336" s="0" t="s">
        <v>1264</v>
      </c>
      <c r="AC336" s="0" t="s">
        <v>244</v>
      </c>
      <c r="AD336" s="0" t="s">
        <v>229</v>
      </c>
      <c r="AE336" s="0" t="n">
        <v>0</v>
      </c>
      <c r="AF336" s="0" t="s">
        <v>3558</v>
      </c>
      <c r="AG336" s="0" t="n">
        <v>0</v>
      </c>
      <c r="AH336" s="0" t="s">
        <v>3559</v>
      </c>
      <c r="AI336" s="0" t="s">
        <v>3560</v>
      </c>
      <c r="AJ336" s="0" t="s">
        <v>211</v>
      </c>
      <c r="AL336" s="0" t="s">
        <v>3561</v>
      </c>
      <c r="AM336" s="0" t="n">
        <v>1</v>
      </c>
      <c r="AN336" s="0" t="s">
        <v>3559</v>
      </c>
      <c r="AO336" s="0" t="s">
        <v>3560</v>
      </c>
      <c r="AP336" s="0" t="s">
        <v>211</v>
      </c>
      <c r="AR336" s="0" t="s">
        <v>3562</v>
      </c>
      <c r="AS336" s="0" t="n">
        <v>1</v>
      </c>
      <c r="AT336" s="0" t="s">
        <v>3559</v>
      </c>
      <c r="AU336" s="0" t="s">
        <v>3560</v>
      </c>
      <c r="AV336" s="0" t="s">
        <v>211</v>
      </c>
      <c r="AX336" s="0" t="s">
        <v>1880</v>
      </c>
      <c r="AY336" s="0" t="n">
        <v>1</v>
      </c>
      <c r="AZ336" s="0" t="s">
        <v>3559</v>
      </c>
      <c r="BA336" s="0" t="s">
        <v>3560</v>
      </c>
      <c r="BB336" s="0" t="s">
        <v>211</v>
      </c>
      <c r="BP336" s="0" t="n">
        <v>0</v>
      </c>
      <c r="BQ336" s="0" t="n">
        <v>0</v>
      </c>
      <c r="BR336" s="0" t="n">
        <v>1</v>
      </c>
      <c r="BS336" s="0" t="s">
        <v>1272</v>
      </c>
      <c r="BT336" s="0" t="s">
        <v>3563</v>
      </c>
      <c r="BU336" s="0" t="s">
        <v>3564</v>
      </c>
      <c r="BV336" s="123"/>
      <c r="BW336" s="123"/>
      <c r="BX336" s="123"/>
      <c r="BY336" s="123"/>
      <c r="CA336" s="0" t="s">
        <v>216</v>
      </c>
      <c r="CD336" s="0" t="s">
        <v>256</v>
      </c>
      <c r="CE336" s="0" t="n">
        <v>0</v>
      </c>
      <c r="CF336" s="0" t="s">
        <v>3565</v>
      </c>
      <c r="CI336" s="1" t="n">
        <v>40561</v>
      </c>
      <c r="CJ336" s="1" t="n">
        <v>40851</v>
      </c>
      <c r="CK336" s="124" t="n">
        <v>0.375</v>
      </c>
      <c r="CL336" s="0" t="s">
        <v>3562</v>
      </c>
      <c r="CM336" s="0" t="n">
        <f aca="false">IF(OR(CI336="",CJ336=""),"",DAYS360(CI336,CJ336)/360)</f>
        <v>0.794444444444444</v>
      </c>
      <c r="CN336" s="0" t="n">
        <f aca="false">IF(OR(CI336="",CJ336=""),"",DAYS360(CI336,CJ336)/30)</f>
        <v>9.53333333333333</v>
      </c>
      <c r="CO336" s="0" t="n">
        <f aca="false">IF(OR(CI336="",CJ336=""),"",DAYS360(CI336,CJ336)/7)</f>
        <v>40.8571428571429</v>
      </c>
      <c r="CP336" s="0" t="n">
        <f aca="false">IF(OR(CI336="",CJ336=""),"",DAYS360(CI336,CJ336))</f>
        <v>286</v>
      </c>
      <c r="CQ336" s="0" t="s">
        <v>240</v>
      </c>
      <c r="CR336" s="0" t="n">
        <v>1</v>
      </c>
      <c r="CT336" s="0" t="n">
        <v>1250</v>
      </c>
      <c r="CU336" s="0" t="n">
        <v>2</v>
      </c>
      <c r="CV336" s="0" t="n">
        <f aca="false">IF(OR(CT336="",CT336="NO ESPECIFICA",CT336="NO MENCIONA"),"",IF(CU336=0,CT336,IF(CU336=1,CT336/30,IF(CU336=2,CT336/15,IF(CU336=3,CT336/7,"")))))</f>
        <v>83.3333333333333</v>
      </c>
      <c r="CW336" s="125" t="n">
        <v>601.78</v>
      </c>
      <c r="CX336" s="0" t="n">
        <v>0</v>
      </c>
      <c r="CY336" s="0" t="n">
        <f aca="false">IF(CW336="","",IF(CX336=0,CW336,IF(CX336=1,CW336/30,IF(CX336=2,CW336/15,IF(CX336=3,CW336/7,CW336)))))</f>
        <v>601.78</v>
      </c>
      <c r="CZ336" s="0" t="n">
        <f aca="false">IF(DI336&gt;0,DI336,IF(CY336&gt;0,CY336,IF(CV336&gt;0,CV336,"")))</f>
        <v>601.78</v>
      </c>
      <c r="DA336" s="0" t="n">
        <f aca="false">IF(DM336=1,CZ336/8,IF(OR(DM336=2,DM336=4),CZ336/7,IF(DM336=3,CZ336/7.5,"")))</f>
        <v>80.2373333333333</v>
      </c>
      <c r="DB336" s="0" t="s">
        <v>417</v>
      </c>
      <c r="DC336" s="0" t="s">
        <v>301</v>
      </c>
      <c r="DD336" s="0" t="s">
        <v>302</v>
      </c>
      <c r="DE336" s="0" t="s">
        <v>303</v>
      </c>
      <c r="DF336" s="0" t="s">
        <v>216</v>
      </c>
      <c r="DG336" s="0" t="s">
        <v>216</v>
      </c>
      <c r="DH336" s="0" t="n">
        <v>0</v>
      </c>
      <c r="DI336" s="126" t="n">
        <f aca="false">CW336</f>
        <v>601.78</v>
      </c>
      <c r="DK336" s="0" t="n">
        <v>1</v>
      </c>
      <c r="DM336" s="0" t="n">
        <v>3</v>
      </c>
      <c r="DN336" s="0" t="n">
        <v>66</v>
      </c>
      <c r="DO336" s="0" t="n">
        <v>3</v>
      </c>
      <c r="DP336" s="0" t="n">
        <v>0</v>
      </c>
      <c r="DQ336" s="0" t="n">
        <v>1</v>
      </c>
      <c r="DR336" s="0"/>
      <c r="DS336" s="0" t="n">
        <v>1</v>
      </c>
      <c r="DU336" s="0" t="n">
        <v>1</v>
      </c>
      <c r="DW336" s="1" t="n">
        <f aca="false">CI336</f>
        <v>40561</v>
      </c>
      <c r="DX336" s="1" t="n">
        <f aca="false">CJ336</f>
        <v>40851</v>
      </c>
      <c r="DZ336" s="0"/>
      <c r="EA336" s="0" t="n">
        <v>1</v>
      </c>
      <c r="EC336" s="1" t="n">
        <f aca="false">CI336</f>
        <v>40561</v>
      </c>
      <c r="ED336" s="1" t="n">
        <f aca="false">CJ336</f>
        <v>40851</v>
      </c>
      <c r="EF336" s="0"/>
      <c r="EG336" s="0" t="n">
        <v>1</v>
      </c>
      <c r="EH336" s="0" t="n">
        <v>18</v>
      </c>
      <c r="EI336" s="0" t="n">
        <f aca="false">IF(AND(DM336=1,DN336&lt;=48),"",IF(AND(DM336=2,DN336&lt;=42),"",IF(AND(DM336=3,DN336&lt;=45),"",EH336)))</f>
        <v>18</v>
      </c>
      <c r="EJ336" s="0" t="n">
        <f aca="false">IF(EI336="","",IF(EI336&lt;9,EI336,9))</f>
        <v>9</v>
      </c>
      <c r="EK336" s="0" t="n">
        <f aca="false">IF(EI336="","",IF(EI336&gt;9,EI336-EJ336,0))</f>
        <v>9</v>
      </c>
      <c r="EL336" s="0" t="n">
        <f aca="false">IF(EI336="","",EJ336*DA336*2+EK336*DA336*3)</f>
        <v>3610.68</v>
      </c>
      <c r="EP336" s="0" t="n">
        <v>0</v>
      </c>
      <c r="EQ336" s="0"/>
      <c r="ER336" s="0" t="n">
        <v>1</v>
      </c>
      <c r="ET336" s="0" t="n">
        <v>1</v>
      </c>
      <c r="EV336" s="0" t="n">
        <v>1</v>
      </c>
      <c r="EX336" s="0" t="n">
        <v>1</v>
      </c>
      <c r="EY336" s="0" t="n">
        <v>0</v>
      </c>
      <c r="EZ336" s="0"/>
      <c r="FA336" s="4" t="n">
        <v>4000</v>
      </c>
      <c r="FB336" s="0" t="n">
        <v>1</v>
      </c>
      <c r="FF336" s="120" t="n">
        <f aca="false">(CJ336-CI336+1)/365</f>
        <v>0.797260273972603</v>
      </c>
      <c r="FG336" s="0" t="str">
        <f aca="false">CONCATENATE(F336,"/",G336)</f>
        <v>1883/2011</v>
      </c>
      <c r="FH336" s="0" t="n">
        <v>0</v>
      </c>
      <c r="FI336" s="0" t="n">
        <v>0</v>
      </c>
    </row>
    <row r="337" customFormat="false" ht="15" hidden="false" customHeight="false" outlineLevel="0" collapsed="false">
      <c r="A337" s="5" t="str">
        <f aca="false">E337&amp;G337&amp;F337</f>
        <v>720111884</v>
      </c>
      <c r="B337" s="0" t="s">
        <v>3556</v>
      </c>
      <c r="C337" s="1" t="n">
        <v>42412</v>
      </c>
      <c r="D337" s="0" t="s">
        <v>1856</v>
      </c>
      <c r="E337" s="0" t="n">
        <v>7</v>
      </c>
      <c r="F337" s="0" t="n">
        <v>1884</v>
      </c>
      <c r="G337" s="0" t="n">
        <v>2011</v>
      </c>
      <c r="H337" s="0" t="str">
        <f aca="false">"J"&amp;E337&amp;"\"&amp;F337&amp;"\"&amp;G337&amp;"\"&amp;W337</f>
        <v>J7\1884\2011\1</v>
      </c>
      <c r="I337" s="0"/>
      <c r="J337" s="1" t="n">
        <v>40857</v>
      </c>
      <c r="K337" s="0" t="n">
        <v>0</v>
      </c>
      <c r="M337" s="1"/>
      <c r="N337" s="1"/>
      <c r="O337" s="1"/>
      <c r="P337" s="1"/>
      <c r="Q337" s="1"/>
      <c r="T337" s="121"/>
      <c r="U337" s="121"/>
      <c r="V337" s="122" t="n">
        <f aca="false">IF(AND(E337&gt;0,F337&gt;0,G337&gt;0),COUNTIFS($E:$E,E337,$F:$F,F337,$G:$G,G337),"")</f>
        <v>1</v>
      </c>
      <c r="W337" s="122" t="n">
        <f aca="false">IF(V337="","",IF(V337=1,1,IF(AND(E336=E337,F336=F337,G336=G337),W336+1,1)))</f>
        <v>1</v>
      </c>
      <c r="X337" s="0" t="n">
        <v>1</v>
      </c>
      <c r="Y337" s="0" t="n">
        <v>4</v>
      </c>
      <c r="Z337" s="0" t="s">
        <v>3566</v>
      </c>
      <c r="AA337" s="0" t="n">
        <v>0</v>
      </c>
      <c r="AB337" s="0" t="s">
        <v>3567</v>
      </c>
      <c r="AC337" s="0" t="s">
        <v>789</v>
      </c>
      <c r="AD337" s="0" t="s">
        <v>229</v>
      </c>
      <c r="AE337" s="0" t="n">
        <v>0</v>
      </c>
      <c r="AF337" s="0" t="s">
        <v>2824</v>
      </c>
      <c r="AG337" s="0" t="n">
        <v>0</v>
      </c>
      <c r="AH337" s="0" t="s">
        <v>3568</v>
      </c>
      <c r="AI337" s="0" t="s">
        <v>3569</v>
      </c>
      <c r="AJ337" s="0" t="s">
        <v>3570</v>
      </c>
      <c r="AL337" s="0" t="s">
        <v>3571</v>
      </c>
      <c r="AM337" s="0" t="n">
        <v>1</v>
      </c>
      <c r="AN337" s="0" t="s">
        <v>3568</v>
      </c>
      <c r="AO337" s="0" t="s">
        <v>3569</v>
      </c>
      <c r="AP337" s="0" t="s">
        <v>3570</v>
      </c>
      <c r="AR337" s="0" t="s">
        <v>3572</v>
      </c>
      <c r="AS337" s="0" t="n">
        <v>1</v>
      </c>
      <c r="AT337" s="0" t="s">
        <v>3568</v>
      </c>
      <c r="AU337" s="0" t="s">
        <v>3569</v>
      </c>
      <c r="AV337" s="0" t="s">
        <v>3570</v>
      </c>
      <c r="AX337" s="0" t="s">
        <v>1880</v>
      </c>
      <c r="AY337" s="0" t="n">
        <v>1</v>
      </c>
      <c r="AZ337" s="0" t="s">
        <v>3568</v>
      </c>
      <c r="BA337" s="0" t="s">
        <v>3569</v>
      </c>
      <c r="BB337" s="0" t="s">
        <v>3570</v>
      </c>
      <c r="BP337" s="0" t="n">
        <v>0</v>
      </c>
      <c r="BQ337" s="0" t="n">
        <v>0</v>
      </c>
      <c r="BR337" s="0" t="n">
        <v>1</v>
      </c>
      <c r="BS337" s="0" t="s">
        <v>538</v>
      </c>
      <c r="BT337" s="0" t="s">
        <v>3573</v>
      </c>
      <c r="BU337" s="0" t="s">
        <v>3574</v>
      </c>
      <c r="BV337" s="123"/>
      <c r="BW337" s="123"/>
      <c r="BX337" s="123"/>
      <c r="BY337" s="123"/>
      <c r="CA337" s="0" t="s">
        <v>3575</v>
      </c>
      <c r="CD337" s="0" t="s">
        <v>370</v>
      </c>
      <c r="CE337" s="0" t="n">
        <v>0</v>
      </c>
      <c r="CF337" s="0" t="s">
        <v>3576</v>
      </c>
      <c r="CI337" s="1" t="n">
        <v>36965</v>
      </c>
      <c r="CJ337" s="1" t="n">
        <v>40847</v>
      </c>
      <c r="CK337" s="124" t="n">
        <v>0.75</v>
      </c>
      <c r="CL337" s="0" t="s">
        <v>3572</v>
      </c>
      <c r="CM337" s="0" t="n">
        <f aca="false">IF(OR(CI337="",CJ337=""),"",DAYS360(CI337,CJ337)/360)</f>
        <v>10.6277777777778</v>
      </c>
      <c r="CN337" s="0" t="n">
        <f aca="false">IF(OR(CI337="",CJ337=""),"",DAYS360(CI337,CJ337)/30)</f>
        <v>127.533333333333</v>
      </c>
      <c r="CO337" s="0" t="n">
        <f aca="false">IF(OR(CI337="",CJ337=""),"",DAYS360(CI337,CJ337)/7)</f>
        <v>546.571428571429</v>
      </c>
      <c r="CP337" s="0" t="n">
        <f aca="false">IF(OR(CI337="",CJ337=""),"",DAYS360(CI337,CJ337))</f>
        <v>3826</v>
      </c>
      <c r="CQ337" s="0" t="s">
        <v>220</v>
      </c>
      <c r="CR337" s="0" t="n">
        <v>1</v>
      </c>
      <c r="CT337" s="0" t="n">
        <v>59.82</v>
      </c>
      <c r="CU337" s="0" t="n">
        <v>0</v>
      </c>
      <c r="CV337" s="0" t="n">
        <f aca="false">IF(OR(CT337="",CT337="NO ESPECIFICA",CT337="NO MENCIONA"),"",IF(CU337=0,CT337,IF(CU337=1,CT337/30,IF(CU337=2,CT337/15,IF(CU337=3,CT337/7,"")))))</f>
        <v>59.82</v>
      </c>
      <c r="CW337" s="125" t="n">
        <v>265.13</v>
      </c>
      <c r="CX337" s="0" t="n">
        <v>0</v>
      </c>
      <c r="CY337" s="0" t="n">
        <f aca="false">IF(CW337="","",IF(CX337=0,CW337,IF(CX337=1,CW337/30,IF(CX337=2,CW337/15,IF(CX337=3,CW337/7,CW337)))))</f>
        <v>265.13</v>
      </c>
      <c r="CZ337" s="0" t="n">
        <f aca="false">IF(DI337&gt;0,DI337,IF(CY337&gt;0,CY337,IF(CV337&gt;0,CV337,"")))</f>
        <v>265.13</v>
      </c>
      <c r="DA337" s="0" t="n">
        <f aca="false">IF(DM337=1,CZ337/8,IF(OR(DM337=2,DM337=4),CZ337/7,IF(DM337=3,CZ337/7.5,"")))</f>
        <v>37.8757142857143</v>
      </c>
      <c r="DB337" s="0" t="s">
        <v>302</v>
      </c>
      <c r="DC337" s="0" t="s">
        <v>303</v>
      </c>
      <c r="DD337" s="0" t="s">
        <v>301</v>
      </c>
      <c r="DE337" s="0" t="s">
        <v>1446</v>
      </c>
      <c r="DF337" s="0" t="s">
        <v>216</v>
      </c>
      <c r="DG337" s="0" t="s">
        <v>216</v>
      </c>
      <c r="DH337" s="0" t="n">
        <v>0</v>
      </c>
      <c r="DI337" s="126" t="n">
        <f aca="false">CW337</f>
        <v>265.13</v>
      </c>
      <c r="DK337" s="0" t="n">
        <v>0</v>
      </c>
      <c r="DM337" s="0" t="n">
        <v>2</v>
      </c>
      <c r="DN337" s="0" t="n">
        <v>72</v>
      </c>
      <c r="DO337" s="0" t="n">
        <v>3</v>
      </c>
      <c r="DP337" s="0" t="n">
        <v>1</v>
      </c>
      <c r="DQ337" s="0" t="n">
        <v>1</v>
      </c>
      <c r="DR337" s="0"/>
      <c r="DS337" s="0" t="n">
        <v>1</v>
      </c>
      <c r="DU337" s="0" t="n">
        <v>1</v>
      </c>
      <c r="DW337" s="1" t="n">
        <f aca="false">CI337</f>
        <v>36965</v>
      </c>
      <c r="DX337" s="1" t="n">
        <f aca="false">CJ337</f>
        <v>40847</v>
      </c>
      <c r="DZ337" s="0"/>
      <c r="EA337" s="0" t="n">
        <v>1</v>
      </c>
      <c r="EC337" s="1" t="n">
        <f aca="false">CI337</f>
        <v>36965</v>
      </c>
      <c r="ED337" s="1" t="n">
        <f aca="false">CJ337</f>
        <v>40847</v>
      </c>
      <c r="EF337" s="0"/>
      <c r="EG337" s="0" t="n">
        <v>0</v>
      </c>
      <c r="EI337" s="0" t="n">
        <f aca="false">IF(AND(DM337=1,DN337&lt;=48),"",IF(AND(DM337=2,DN337&lt;=42),"",IF(AND(DM337=3,DN337&lt;=45),"",EH337)))</f>
        <v>0</v>
      </c>
      <c r="EJ337" s="0" t="str">
        <f aca="false">IF(EI337="","",IF(EI337&lt;9,EI337,9))</f>
        <v/>
      </c>
      <c r="EK337" s="0" t="str">
        <f aca="false">IF(EI337="","",IF(EI337&gt;9,EI337-EJ337,0))</f>
        <v/>
      </c>
      <c r="EL337" s="0" t="str">
        <f aca="false">IF(EI337="","",EJ337*DA337*2+EK337*DA337*3)</f>
        <v/>
      </c>
      <c r="EP337" s="0" t="n">
        <v>1</v>
      </c>
      <c r="EQ337" s="0"/>
      <c r="ER337" s="0" t="n">
        <v>0</v>
      </c>
      <c r="ET337" s="0" t="n">
        <v>0</v>
      </c>
      <c r="EV337" s="0" t="n">
        <v>0</v>
      </c>
      <c r="EX337" s="0" t="n">
        <v>1</v>
      </c>
      <c r="EY337" s="0" t="n">
        <v>0</v>
      </c>
      <c r="EZ337" s="0"/>
      <c r="FA337" s="0"/>
      <c r="FB337" s="0" t="n">
        <v>1</v>
      </c>
      <c r="FF337" s="120" t="n">
        <f aca="false">(CJ337-CI337+1)/365</f>
        <v>10.6383561643836</v>
      </c>
      <c r="FG337" s="0" t="str">
        <f aca="false">CONCATENATE(F337,"/",G337)</f>
        <v>1884/2011</v>
      </c>
      <c r="FH337" s="0" t="n">
        <v>0</v>
      </c>
      <c r="FI337" s="0" t="n">
        <v>0</v>
      </c>
    </row>
    <row r="338" customFormat="false" ht="15" hidden="false" customHeight="false" outlineLevel="0" collapsed="false">
      <c r="A338" s="5" t="str">
        <f aca="false">E338&amp;G338&amp;F338</f>
        <v>720111888</v>
      </c>
      <c r="B338" s="0" t="s">
        <v>3556</v>
      </c>
      <c r="C338" s="1" t="n">
        <v>42412</v>
      </c>
      <c r="D338" s="0" t="s">
        <v>1856</v>
      </c>
      <c r="E338" s="0" t="n">
        <v>7</v>
      </c>
      <c r="F338" s="0" t="n">
        <v>1888</v>
      </c>
      <c r="G338" s="0" t="n">
        <v>2011</v>
      </c>
      <c r="H338" s="0" t="str">
        <f aca="false">"J"&amp;E338&amp;"\"&amp;F338&amp;"\"&amp;G338&amp;"\"&amp;W338</f>
        <v>J7\1888\2011\1</v>
      </c>
      <c r="I338" s="0"/>
      <c r="J338" s="1" t="n">
        <v>40858</v>
      </c>
      <c r="K338" s="0" t="n">
        <v>0</v>
      </c>
      <c r="M338" s="1"/>
      <c r="N338" s="1"/>
      <c r="O338" s="1"/>
      <c r="P338" s="1"/>
      <c r="Q338" s="1"/>
      <c r="T338" s="121"/>
      <c r="U338" s="121"/>
      <c r="V338" s="122" t="n">
        <f aca="false">IF(AND(E338&gt;0,F338&gt;0,G338&gt;0),COUNTIFS($E:$E,E338,$F:$F,F338,$G:$G,G338),"")</f>
        <v>1</v>
      </c>
      <c r="W338" s="122" t="n">
        <f aca="false">IF(V338="","",IF(V338=1,1,IF(AND(E337=E338,F337=F338,G337=G338),W337+1,1)))</f>
        <v>1</v>
      </c>
      <c r="X338" s="0" t="n">
        <v>1</v>
      </c>
      <c r="Y338" s="0" t="n">
        <v>5</v>
      </c>
      <c r="Z338" s="0" t="s">
        <v>3577</v>
      </c>
      <c r="AA338" s="0" t="n">
        <v>0</v>
      </c>
      <c r="AB338" s="0" t="s">
        <v>3578</v>
      </c>
      <c r="AC338" s="0" t="s">
        <v>2856</v>
      </c>
      <c r="AD338" s="0" t="s">
        <v>411</v>
      </c>
      <c r="AE338" s="0" t="n">
        <v>0</v>
      </c>
      <c r="AF338" s="0" t="s">
        <v>3579</v>
      </c>
      <c r="AG338" s="0" t="n">
        <v>0</v>
      </c>
      <c r="AH338" s="0" t="s">
        <v>3580</v>
      </c>
      <c r="AI338" s="0" t="s">
        <v>1123</v>
      </c>
      <c r="AJ338" s="0" t="s">
        <v>322</v>
      </c>
      <c r="AL338" s="0" t="s">
        <v>3581</v>
      </c>
      <c r="AM338" s="0" t="n">
        <v>0</v>
      </c>
      <c r="AN338" s="0" t="s">
        <v>3580</v>
      </c>
      <c r="AO338" s="0" t="s">
        <v>1123</v>
      </c>
      <c r="AP338" s="0" t="s">
        <v>322</v>
      </c>
      <c r="AR338" s="0" t="s">
        <v>3582</v>
      </c>
      <c r="AS338" s="0" t="n">
        <v>1</v>
      </c>
      <c r="AT338" s="0" t="s">
        <v>3580</v>
      </c>
      <c r="AU338" s="0" t="s">
        <v>1123</v>
      </c>
      <c r="AV338" s="0" t="s">
        <v>322</v>
      </c>
      <c r="AX338" s="0" t="s">
        <v>3583</v>
      </c>
      <c r="AY338" s="0" t="n">
        <v>1</v>
      </c>
      <c r="AZ338" s="0" t="s">
        <v>3580</v>
      </c>
      <c r="BA338" s="0" t="s">
        <v>1123</v>
      </c>
      <c r="BB338" s="0" t="s">
        <v>322</v>
      </c>
      <c r="BD338" s="0" t="s">
        <v>1880</v>
      </c>
      <c r="BE338" s="0" t="n">
        <v>1</v>
      </c>
      <c r="BF338" s="0" t="s">
        <v>3580</v>
      </c>
      <c r="BG338" s="0" t="s">
        <v>1123</v>
      </c>
      <c r="BH338" s="0" t="s">
        <v>322</v>
      </c>
      <c r="BP338" s="0" t="n">
        <v>0</v>
      </c>
      <c r="BQ338" s="0" t="n">
        <v>0</v>
      </c>
      <c r="BR338" s="0" t="n">
        <v>1</v>
      </c>
      <c r="BS338" s="0" t="s">
        <v>3584</v>
      </c>
      <c r="BT338" s="0" t="s">
        <v>3585</v>
      </c>
      <c r="BU338" s="0" t="s">
        <v>3586</v>
      </c>
      <c r="BV338" s="123"/>
      <c r="BW338" s="123"/>
      <c r="BX338" s="123"/>
      <c r="BY338" s="123"/>
      <c r="CA338" s="0" t="s">
        <v>216</v>
      </c>
      <c r="CD338" s="0" t="s">
        <v>2546</v>
      </c>
      <c r="CE338" s="0" t="n">
        <v>0</v>
      </c>
      <c r="CF338" s="0" t="s">
        <v>1086</v>
      </c>
      <c r="CI338" s="1" t="n">
        <v>36689</v>
      </c>
      <c r="CJ338" s="1" t="n">
        <v>40067</v>
      </c>
      <c r="CK338" s="124" t="n">
        <v>0.375</v>
      </c>
      <c r="CL338" s="0" t="s">
        <v>3583</v>
      </c>
      <c r="CM338" s="0" t="n">
        <f aca="false">IF(OR(CI338="",CJ338=""),"",DAYS360(CI338,CJ338)/360)</f>
        <v>9.24722222222222</v>
      </c>
      <c r="CN338" s="0" t="n">
        <f aca="false">IF(OR(CI338="",CJ338=""),"",DAYS360(CI338,CJ338)/30)</f>
        <v>110.966666666667</v>
      </c>
      <c r="CO338" s="0" t="n">
        <f aca="false">IF(OR(CI338="",CJ338=""),"",DAYS360(CI338,CJ338)/7)</f>
        <v>475.571428571429</v>
      </c>
      <c r="CP338" s="0" t="n">
        <f aca="false">IF(OR(CI338="",CJ338=""),"",DAYS360(CI338,CJ338))</f>
        <v>3329</v>
      </c>
      <c r="CQ338" s="0" t="s">
        <v>240</v>
      </c>
      <c r="CR338" s="0" t="n">
        <v>1</v>
      </c>
      <c r="CT338" s="0" t="s">
        <v>221</v>
      </c>
      <c r="CU338" s="0" t="s">
        <v>221</v>
      </c>
      <c r="CV338" s="0" t="str">
        <f aca="false">IF(OR(CT338="",CT338="NO ESPECIFICA",CT338="NO MENCIONA"),"",IF(CU338=0,CT338,IF(CU338=1,CT338/30,IF(CU338=2,CT338/15,IF(CU338=3,CT338/7,"")))))</f>
        <v/>
      </c>
      <c r="CW338" s="125" t="n">
        <v>5000</v>
      </c>
      <c r="CX338" s="0" t="n">
        <v>2</v>
      </c>
      <c r="CY338" s="0" t="n">
        <f aca="false">IF(CW338="","",IF(CX338=0,CW338,IF(CX338=1,CW338/30,IF(CX338=2,CW338/15,IF(CX338=3,CW338/7,CW338)))))</f>
        <v>333.333333333333</v>
      </c>
      <c r="CZ338" s="0" t="n">
        <f aca="false">IF(DI338&gt;0,DI338,IF(CY338&gt;0,CY338,IF(CV338&gt;0,CV338,"")))</f>
        <v>333.33</v>
      </c>
      <c r="DA338" s="0" t="n">
        <f aca="false">IF(DM338=1,CZ338/8,IF(OR(DM338=2,DM338=4),CZ338/7,IF(DM338=3,CZ338/7.5,"")))</f>
        <v>41.66625</v>
      </c>
      <c r="DB338" s="0" t="s">
        <v>216</v>
      </c>
      <c r="DC338" s="0" t="s">
        <v>216</v>
      </c>
      <c r="DD338" s="0" t="s">
        <v>216</v>
      </c>
      <c r="DE338" s="0" t="s">
        <v>216</v>
      </c>
      <c r="DF338" s="0" t="s">
        <v>216</v>
      </c>
      <c r="DG338" s="0" t="s">
        <v>216</v>
      </c>
      <c r="DH338" s="0" t="n">
        <v>0</v>
      </c>
      <c r="DI338" s="126" t="n">
        <v>333.33</v>
      </c>
      <c r="DK338" s="0" t="n">
        <v>1</v>
      </c>
      <c r="DM338" s="0" t="n">
        <v>1</v>
      </c>
      <c r="DN338" s="0" t="n">
        <f aca="false">9.5*6</f>
        <v>57</v>
      </c>
      <c r="DO338" s="0" t="n">
        <v>3</v>
      </c>
      <c r="DP338" s="0" t="n">
        <v>0</v>
      </c>
      <c r="DQ338" s="0" t="n">
        <v>1</v>
      </c>
      <c r="DR338" s="0"/>
      <c r="DS338" s="0" t="n">
        <v>1</v>
      </c>
      <c r="DU338" s="0" t="n">
        <v>1</v>
      </c>
      <c r="DW338" s="1" t="n">
        <f aca="false">CI338</f>
        <v>36689</v>
      </c>
      <c r="DX338" s="1" t="n">
        <f aca="false">CJ338</f>
        <v>40067</v>
      </c>
      <c r="DZ338" s="0"/>
      <c r="EA338" s="0" t="n">
        <v>1</v>
      </c>
      <c r="EC338" s="1" t="n">
        <f aca="false">CI338</f>
        <v>36689</v>
      </c>
      <c r="ED338" s="1" t="n">
        <f aca="false">CJ338</f>
        <v>40067</v>
      </c>
      <c r="EF338" s="0"/>
      <c r="EG338" s="0" t="n">
        <v>1</v>
      </c>
      <c r="EH338" s="0" t="s">
        <v>221</v>
      </c>
      <c r="EI338" s="0" t="str">
        <f aca="false">IF(AND(DM338=1,DN338&lt;=48),"",IF(AND(DM338=2,DN338&lt;=42),"",IF(AND(DM338=3,DN338&lt;=45),"",EH338)))</f>
        <v>NO ESPECIFICA</v>
      </c>
      <c r="EJ338" s="0" t="n">
        <f aca="false">IF(EI338="","",IF(EI338&lt;9,EI338,9))</f>
        <v>9</v>
      </c>
      <c r="EK338" s="0" t="e">
        <f aca="false">IF(EI338="","",IF(EI338&gt;9,EI338-EJ338,0))</f>
        <v>#VALUE!</v>
      </c>
      <c r="EL338" s="0" t="e">
        <f aca="false">IF(EI338="","",EJ338*DA338*2+EK338*DA338*3)</f>
        <v>#VALUE!</v>
      </c>
      <c r="EP338" s="0" t="n">
        <v>0</v>
      </c>
      <c r="EQ338" s="0"/>
      <c r="ER338" s="0" t="n">
        <v>1</v>
      </c>
      <c r="ET338" s="0" t="n">
        <v>1</v>
      </c>
      <c r="EV338" s="0" t="n">
        <v>1</v>
      </c>
      <c r="EX338" s="0" t="n">
        <v>1</v>
      </c>
      <c r="EY338" s="0" t="n">
        <v>1</v>
      </c>
      <c r="EZ338" s="0"/>
      <c r="FA338" s="4" t="n">
        <f aca="false">DI338*30</f>
        <v>9999.9</v>
      </c>
      <c r="FB338" s="0" t="n">
        <v>1</v>
      </c>
      <c r="FF338" s="120" t="n">
        <f aca="false">(CJ338-CI338+1)/365</f>
        <v>9.25753424657534</v>
      </c>
      <c r="FG338" s="0" t="str">
        <f aca="false">CONCATENATE(F338,"/",G338)</f>
        <v>1888/2011</v>
      </c>
      <c r="FH338" s="0" t="n">
        <v>0</v>
      </c>
      <c r="FI338" s="0" t="n">
        <v>0</v>
      </c>
    </row>
    <row r="339" customFormat="false" ht="15" hidden="false" customHeight="false" outlineLevel="0" collapsed="false">
      <c r="A339" s="5" t="str">
        <f aca="false">E339&amp;G339&amp;F339</f>
        <v>720111894</v>
      </c>
      <c r="B339" s="0" t="s">
        <v>3556</v>
      </c>
      <c r="C339" s="1" t="n">
        <v>42412</v>
      </c>
      <c r="D339" s="0" t="s">
        <v>3587</v>
      </c>
      <c r="E339" s="0" t="n">
        <v>7</v>
      </c>
      <c r="F339" s="0" t="n">
        <v>1894</v>
      </c>
      <c r="G339" s="0" t="n">
        <v>2011</v>
      </c>
      <c r="H339" s="0" t="str">
        <f aca="false">"J"&amp;E339&amp;"\"&amp;F339&amp;"\"&amp;G339&amp;"\"&amp;W339</f>
        <v>J7\1894\2011\1</v>
      </c>
      <c r="I339" s="0"/>
      <c r="J339" s="1" t="n">
        <v>40858</v>
      </c>
      <c r="K339" s="0" t="n">
        <v>0</v>
      </c>
      <c r="M339" s="1"/>
      <c r="N339" s="1"/>
      <c r="O339" s="1"/>
      <c r="P339" s="1"/>
      <c r="Q339" s="1"/>
      <c r="T339" s="121"/>
      <c r="U339" s="121"/>
      <c r="V339" s="122" t="n">
        <f aca="false">IF(AND(E339&gt;0,F339&gt;0,G339&gt;0),COUNTIFS($E:$E,E339,$F:$F,F339,$G:$G,G339),"")</f>
        <v>1</v>
      </c>
      <c r="W339" s="122" t="n">
        <f aca="false">IF(V339="","",IF(V339=1,1,IF(AND(E338=E339,F338=F339,G338=G339),W338+1,1)))</f>
        <v>1</v>
      </c>
      <c r="X339" s="0" t="n">
        <v>1</v>
      </c>
      <c r="Y339" s="0" t="n">
        <v>3</v>
      </c>
      <c r="Z339" s="0" t="s">
        <v>3588</v>
      </c>
      <c r="AA339" s="0" t="n">
        <v>0</v>
      </c>
      <c r="AB339" s="0" t="s">
        <v>3589</v>
      </c>
      <c r="AC339" s="0" t="s">
        <v>228</v>
      </c>
      <c r="AD339" s="0" t="s">
        <v>229</v>
      </c>
      <c r="AE339" s="0" t="n">
        <v>0</v>
      </c>
      <c r="AF339" s="0" t="s">
        <v>3590</v>
      </c>
      <c r="AG339" s="0" t="n">
        <v>0</v>
      </c>
      <c r="AH339" s="0" t="s">
        <v>3591</v>
      </c>
      <c r="AI339" s="0" t="s">
        <v>760</v>
      </c>
      <c r="AJ339" s="0" t="s">
        <v>268</v>
      </c>
      <c r="AL339" s="0" t="s">
        <v>3592</v>
      </c>
      <c r="AM339" s="0" t="n">
        <v>1</v>
      </c>
      <c r="AN339" s="0" t="s">
        <v>3591</v>
      </c>
      <c r="AO339" s="0" t="s">
        <v>760</v>
      </c>
      <c r="AP339" s="0" t="s">
        <v>268</v>
      </c>
      <c r="AR339" s="0" t="s">
        <v>1880</v>
      </c>
      <c r="AS339" s="0" t="n">
        <v>1</v>
      </c>
      <c r="AT339" s="0" t="s">
        <v>3591</v>
      </c>
      <c r="AU339" s="0" t="s">
        <v>760</v>
      </c>
      <c r="AV339" s="0" t="s">
        <v>268</v>
      </c>
      <c r="BP339" s="0" t="n">
        <v>0</v>
      </c>
      <c r="BQ339" s="0" t="n">
        <v>0</v>
      </c>
      <c r="BR339" s="0" t="n">
        <v>3</v>
      </c>
      <c r="BS339" s="0" t="s">
        <v>3593</v>
      </c>
      <c r="BT339" s="0" t="s">
        <v>1818</v>
      </c>
      <c r="BU339" s="0" t="s">
        <v>1841</v>
      </c>
      <c r="BV339" s="123"/>
      <c r="BW339" s="123"/>
      <c r="BX339" s="123"/>
      <c r="BY339" s="123"/>
      <c r="CA339" s="0" t="s">
        <v>348</v>
      </c>
      <c r="CD339" s="0" t="s">
        <v>256</v>
      </c>
      <c r="CE339" s="0" t="n">
        <v>0</v>
      </c>
      <c r="CF339" s="0" t="s">
        <v>3594</v>
      </c>
      <c r="CI339" s="1" t="n">
        <v>40231</v>
      </c>
      <c r="CJ339" s="1" t="s">
        <v>216</v>
      </c>
      <c r="CK339" s="124" t="s">
        <v>1775</v>
      </c>
      <c r="CL339" s="0" t="s">
        <v>1775</v>
      </c>
      <c r="CM339" s="0" t="e">
        <f aca="false">IF(OR(CI339="",CJ339=""),"",DAYS360(CI339,CJ339)/360)</f>
        <v>#VALUE!</v>
      </c>
      <c r="CN339" s="0" t="e">
        <f aca="false">IF(OR(CI339="",CJ339=""),"",DAYS360(CI339,CJ339)/30)</f>
        <v>#VALUE!</v>
      </c>
      <c r="CO339" s="0" t="e">
        <f aca="false">IF(OR(CI339="",CJ339=""),"",DAYS360(CI339,CJ339)/7)</f>
        <v>#VALUE!</v>
      </c>
      <c r="CP339" s="0" t="e">
        <f aca="false">IF(OR(CI339="",CJ339=""),"",DAYS360(CI339,CJ339))</f>
        <v>#VALUE!</v>
      </c>
      <c r="CQ339" s="0" t="s">
        <v>3595</v>
      </c>
      <c r="CR339" s="0" t="n">
        <v>5</v>
      </c>
      <c r="CS339" s="0" t="s">
        <v>3596</v>
      </c>
      <c r="CT339" s="0" t="n">
        <v>533.33</v>
      </c>
      <c r="CU339" s="0" t="n">
        <v>0</v>
      </c>
      <c r="CV339" s="0" t="n">
        <f aca="false">IF(OR(CT339="",CT339="NO ESPECIFICA",CT339="NO MENCIONA"),"",IF(CU339=0,CT339,IF(CU339=1,CT339/30,IF(CU339=2,CT339/15,IF(CU339=3,CT339/7,"")))))</f>
        <v>533.33</v>
      </c>
      <c r="CW339" s="125" t="n">
        <v>557.43</v>
      </c>
      <c r="CX339" s="0" t="n">
        <v>0</v>
      </c>
      <c r="CY339" s="0" t="n">
        <f aca="false">IF(CW339="","",IF(CX339=0,CW339,IF(CX339=1,CW339/30,IF(CX339=2,CW339/15,IF(CX339=3,CW339/7,CW339)))))</f>
        <v>557.43</v>
      </c>
      <c r="CZ339" s="0" t="n">
        <f aca="false">IF(DI339&gt;0,DI339,IF(CY339&gt;0,CY339,IF(CV339&gt;0,CV339,"")))</f>
        <v>557.43</v>
      </c>
      <c r="DA339" s="0" t="n">
        <f aca="false">IF(DM339=1,CZ339/8,IF(OR(DM339=2,DM339=4),CZ339/7,IF(DM339=3,CZ339/7.5,"")))</f>
        <v>69.67875</v>
      </c>
      <c r="DB339" s="0" t="s">
        <v>303</v>
      </c>
      <c r="DC339" s="0" t="s">
        <v>301</v>
      </c>
      <c r="DD339" s="0" t="s">
        <v>216</v>
      </c>
      <c r="DE339" s="0" t="s">
        <v>216</v>
      </c>
      <c r="DF339" s="0" t="s">
        <v>216</v>
      </c>
      <c r="DG339" s="0" t="s">
        <v>216</v>
      </c>
      <c r="DH339" s="0" t="n">
        <v>0</v>
      </c>
      <c r="DI339" s="126" t="n">
        <f aca="false">CW339</f>
        <v>557.43</v>
      </c>
      <c r="DK339" s="0" t="n">
        <v>1</v>
      </c>
      <c r="DM339" s="0" t="n">
        <v>1</v>
      </c>
      <c r="DN339" s="0" t="n">
        <v>45</v>
      </c>
      <c r="DO339" s="0" t="n">
        <v>3</v>
      </c>
      <c r="DP339" s="0" t="n">
        <v>0</v>
      </c>
      <c r="DQ339" s="0" t="n">
        <v>0</v>
      </c>
      <c r="DR339" s="0"/>
      <c r="DS339" s="0" t="n">
        <v>0</v>
      </c>
      <c r="DU339" s="0" t="n">
        <v>0</v>
      </c>
      <c r="DW339" s="1" t="s">
        <v>216</v>
      </c>
      <c r="DX339" s="1" t="str">
        <f aca="false">CJ339</f>
        <v>NO MENCIONA</v>
      </c>
      <c r="DZ339" s="0"/>
      <c r="EA339" s="0" t="n">
        <v>0</v>
      </c>
      <c r="EC339" s="1" t="s">
        <v>216</v>
      </c>
      <c r="ED339" s="1" t="str">
        <f aca="false">CJ339</f>
        <v>NO MENCIONA</v>
      </c>
      <c r="EF339" s="0"/>
      <c r="EG339" s="0" t="n">
        <v>0</v>
      </c>
      <c r="EI339" s="0" t="str">
        <f aca="false">IF(AND(DM339=1,DN339&lt;=48),"",IF(AND(DM339=2,DN339&lt;=42),"",IF(AND(DM339=3,DN339&lt;=45),"",EH339)))</f>
        <v/>
      </c>
      <c r="EJ339" s="0" t="str">
        <f aca="false">IF(EI339="","",IF(EI339&lt;9,EI339,9))</f>
        <v/>
      </c>
      <c r="EK339" s="0" t="str">
        <f aca="false">IF(EI339="","",IF(EI339&gt;9,EI339-EJ339,0))</f>
        <v/>
      </c>
      <c r="EL339" s="0" t="str">
        <f aca="false">IF(EI339="","",EJ339*DA339*2+EK339*DA339*3)</f>
        <v/>
      </c>
      <c r="EP339" s="0" t="n">
        <v>0</v>
      </c>
      <c r="EQ339" s="0"/>
      <c r="ER339" s="0" t="n">
        <v>0</v>
      </c>
      <c r="ET339" s="0" t="n">
        <v>0</v>
      </c>
      <c r="EV339" s="0" t="n">
        <v>0</v>
      </c>
      <c r="EX339" s="0" t="n">
        <v>0</v>
      </c>
      <c r="EY339" s="0" t="n">
        <v>0</v>
      </c>
      <c r="EZ339" s="0"/>
      <c r="FA339" s="4" t="n">
        <f aca="false">52424+533.33</f>
        <v>52957.33</v>
      </c>
      <c r="FB339" s="0" t="n">
        <v>0</v>
      </c>
      <c r="FF339" s="120" t="e">
        <f aca="false">(CJ339-CI339+1)/365</f>
        <v>#VALUE!</v>
      </c>
      <c r="FG339" s="0" t="str">
        <f aca="false">CONCATENATE(F339,"/",G339)</f>
        <v>1894/2011</v>
      </c>
      <c r="FH339" s="0" t="n">
        <v>0</v>
      </c>
      <c r="FI339" s="0" t="n">
        <v>0</v>
      </c>
    </row>
    <row r="340" customFormat="false" ht="15" hidden="false" customHeight="false" outlineLevel="0" collapsed="false">
      <c r="A340" s="5" t="str">
        <f aca="false">E340&amp;G340&amp;F340</f>
        <v>720111895</v>
      </c>
      <c r="B340" s="0" t="s">
        <v>3556</v>
      </c>
      <c r="C340" s="1" t="n">
        <v>42412</v>
      </c>
      <c r="D340" s="0" t="s">
        <v>3597</v>
      </c>
      <c r="E340" s="0" t="n">
        <v>7</v>
      </c>
      <c r="F340" s="0" t="n">
        <v>1895</v>
      </c>
      <c r="G340" s="0" t="n">
        <v>2011</v>
      </c>
      <c r="H340" s="0" t="str">
        <f aca="false">"J"&amp;E340&amp;"\"&amp;F340&amp;"\"&amp;G340&amp;"\"&amp;W340</f>
        <v>J7\1895\2011\1</v>
      </c>
      <c r="I340" s="0"/>
      <c r="J340" s="1" t="n">
        <v>40858</v>
      </c>
      <c r="K340" s="0" t="n">
        <v>0</v>
      </c>
      <c r="M340" s="1"/>
      <c r="N340" s="1"/>
      <c r="O340" s="1"/>
      <c r="P340" s="1"/>
      <c r="Q340" s="1"/>
      <c r="T340" s="121"/>
      <c r="U340" s="121"/>
      <c r="V340" s="122" t="n">
        <f aca="false">IF(AND(E340&gt;0,F340&gt;0,G340&gt;0),COUNTIFS($E:$E,E340,$F:$F,F340,$G:$G,G340),"")</f>
        <v>1</v>
      </c>
      <c r="W340" s="122" t="n">
        <f aca="false">IF(V340="","",IF(V340=1,1,IF(AND(E339=E340,F339=F340,G339=G340),W339+1,1)))</f>
        <v>1</v>
      </c>
      <c r="X340" s="0" t="n">
        <v>1</v>
      </c>
      <c r="Y340" s="0" t="n">
        <v>2</v>
      </c>
      <c r="Z340" s="0" t="s">
        <v>3598</v>
      </c>
      <c r="AA340" s="0" t="n">
        <v>0</v>
      </c>
      <c r="AB340" s="0" t="s">
        <v>3599</v>
      </c>
      <c r="AC340" s="0" t="s">
        <v>287</v>
      </c>
      <c r="AD340" s="0" t="s">
        <v>207</v>
      </c>
      <c r="AE340" s="0" t="n">
        <v>0</v>
      </c>
      <c r="AF340" s="0" t="s">
        <v>3600</v>
      </c>
      <c r="AG340" s="0" t="n">
        <v>0</v>
      </c>
      <c r="AH340" s="0" t="s">
        <v>3601</v>
      </c>
      <c r="AI340" s="0" t="s">
        <v>287</v>
      </c>
      <c r="AJ340" s="0" t="s">
        <v>207</v>
      </c>
      <c r="AL340" s="0" t="s">
        <v>3602</v>
      </c>
      <c r="AM340" s="0" t="n">
        <v>1</v>
      </c>
      <c r="AN340" s="0" t="s">
        <v>3601</v>
      </c>
      <c r="AO340" s="0" t="s">
        <v>287</v>
      </c>
      <c r="AP340" s="0" t="s">
        <v>207</v>
      </c>
      <c r="BP340" s="0" t="n">
        <v>0</v>
      </c>
      <c r="BQ340" s="0" t="n">
        <v>0</v>
      </c>
      <c r="BR340" s="0" t="n">
        <v>1</v>
      </c>
      <c r="BS340" s="0" t="s">
        <v>3603</v>
      </c>
      <c r="BT340" s="0" t="s">
        <v>3604</v>
      </c>
      <c r="BU340" s="0" t="s">
        <v>3605</v>
      </c>
      <c r="BV340" s="123"/>
      <c r="BW340" s="123"/>
      <c r="BX340" s="123"/>
      <c r="BY340" s="123"/>
      <c r="CA340" s="0" t="s">
        <v>3606</v>
      </c>
      <c r="CD340" s="0" t="s">
        <v>370</v>
      </c>
      <c r="CE340" s="0" t="n">
        <v>0</v>
      </c>
      <c r="CF340" s="0" t="s">
        <v>3607</v>
      </c>
      <c r="CI340" s="1" t="s">
        <v>216</v>
      </c>
      <c r="CJ340" s="1" t="s">
        <v>216</v>
      </c>
      <c r="CK340" s="124" t="s">
        <v>216</v>
      </c>
      <c r="CL340" s="0" t="s">
        <v>216</v>
      </c>
      <c r="CM340" s="0" t="e">
        <f aca="false">IF(OR(CI340="",CJ340=""),"",DAYS360(CI340,CJ340)/360)</f>
        <v>#VALUE!</v>
      </c>
      <c r="CN340" s="0" t="e">
        <f aca="false">IF(OR(CI340="",CJ340=""),"",DAYS360(CI340,CJ340)/30)</f>
        <v>#VALUE!</v>
      </c>
      <c r="CO340" s="0" t="e">
        <f aca="false">IF(OR(CI340="",CJ340=""),"",DAYS360(CI340,CJ340)/7)</f>
        <v>#VALUE!</v>
      </c>
      <c r="CP340" s="0" t="e">
        <f aca="false">IF(OR(CI340="",CJ340=""),"",DAYS360(CI340,CJ340))</f>
        <v>#VALUE!</v>
      </c>
      <c r="CQ340" s="0" t="s">
        <v>220</v>
      </c>
      <c r="CR340" s="0" t="n">
        <v>1</v>
      </c>
      <c r="CT340" s="0" t="n">
        <v>550</v>
      </c>
      <c r="CU340" s="0" t="n">
        <v>0</v>
      </c>
      <c r="CV340" s="0" t="n">
        <f aca="false">IF(OR(CT340="",CT340="NO ESPECIFICA",CT340="NO MENCIONA"),"",IF(CU340=0,CT340,IF(CU340=1,CT340/30,IF(CU340=2,CT340/15,IF(CU340=3,CT340/7,"")))))</f>
        <v>550</v>
      </c>
      <c r="CW340" s="125" t="s">
        <v>216</v>
      </c>
      <c r="CX340" s="0" t="s">
        <v>216</v>
      </c>
      <c r="CY340" s="0" t="str">
        <f aca="false">IF(CW340="","",IF(CX340=0,CW340,IF(CX340=1,CW340/30,IF(CX340=2,CW340/15,IF(CX340=3,CW340/7,CW340)))))</f>
        <v>NO MENCIONA</v>
      </c>
      <c r="CZ340" s="0" t="n">
        <f aca="false">IF(DI340&gt;0,DI340,IF(CY340&gt;0,CY340,IF(CV340&gt;0,CV340,"")))</f>
        <v>550</v>
      </c>
      <c r="DA340" s="0" t="n">
        <f aca="false">IF(DM340=1,CZ340/8,IF(OR(DM340=2,DM340=4),CZ340/7,IF(DM340=3,CZ340/7.5,"")))</f>
        <v>68.75</v>
      </c>
      <c r="DB340" s="0" t="s">
        <v>417</v>
      </c>
      <c r="DC340" s="0" t="s">
        <v>3608</v>
      </c>
      <c r="DD340" s="0" t="s">
        <v>216</v>
      </c>
      <c r="DE340" s="0" t="s">
        <v>216</v>
      </c>
      <c r="DF340" s="0" t="s">
        <v>216</v>
      </c>
      <c r="DG340" s="0" t="s">
        <v>216</v>
      </c>
      <c r="DH340" s="0" t="n">
        <v>0</v>
      </c>
      <c r="DI340" s="126" t="n">
        <v>550</v>
      </c>
      <c r="DK340" s="0" t="n">
        <v>0</v>
      </c>
      <c r="DM340" s="0" t="n">
        <v>1</v>
      </c>
      <c r="DN340" s="0" t="n">
        <v>60</v>
      </c>
      <c r="DO340" s="0" t="n">
        <v>3</v>
      </c>
      <c r="DP340" s="0" t="n">
        <v>1</v>
      </c>
      <c r="DQ340" s="0" t="n">
        <v>0</v>
      </c>
      <c r="DR340" s="0"/>
      <c r="DS340" s="0" t="n">
        <v>1</v>
      </c>
      <c r="DU340" s="0" t="n">
        <v>0</v>
      </c>
      <c r="DW340" s="1" t="s">
        <v>1775</v>
      </c>
      <c r="DX340" s="1" t="s">
        <v>1775</v>
      </c>
      <c r="DZ340" s="0"/>
      <c r="EA340" s="0" t="n">
        <v>1</v>
      </c>
      <c r="EC340" s="1" t="s">
        <v>1775</v>
      </c>
      <c r="ED340" s="1" t="s">
        <v>1775</v>
      </c>
      <c r="EF340" s="0"/>
      <c r="EG340" s="0" t="n">
        <v>0</v>
      </c>
      <c r="EI340" s="0" t="n">
        <f aca="false">IF(AND(DM340=1,DN340&lt;=48),"",IF(AND(DM340=2,DN340&lt;=42),"",IF(AND(DM340=3,DN340&lt;=45),"",EH340)))</f>
        <v>0</v>
      </c>
      <c r="EJ340" s="0" t="str">
        <f aca="false">IF(EI340="","",IF(EI340&lt;9,EI340,9))</f>
        <v/>
      </c>
      <c r="EK340" s="0" t="str">
        <f aca="false">IF(EI340="","",IF(EI340&gt;9,EI340-EJ340,0))</f>
        <v/>
      </c>
      <c r="EL340" s="0" t="str">
        <f aca="false">IF(EI340="","",EJ340*DA340*2+EK340*DA340*3)</f>
        <v/>
      </c>
      <c r="EP340" s="0" t="n">
        <v>0</v>
      </c>
      <c r="EQ340" s="0"/>
      <c r="ER340" s="0" t="n">
        <v>0</v>
      </c>
      <c r="ET340" s="0" t="n">
        <v>0</v>
      </c>
      <c r="EV340" s="0" t="n">
        <v>0</v>
      </c>
      <c r="EX340" s="0" t="n">
        <v>0</v>
      </c>
      <c r="EY340" s="0" t="n">
        <v>1</v>
      </c>
      <c r="EZ340" s="0"/>
      <c r="FA340" s="0"/>
      <c r="FB340" s="0" t="n">
        <v>0</v>
      </c>
      <c r="FF340" s="120" t="e">
        <f aca="false">(CJ340-CI340+1)/365</f>
        <v>#VALUE!</v>
      </c>
      <c r="FG340" s="0" t="str">
        <f aca="false">CONCATENATE(F340,"/",G340)</f>
        <v>1895/2011</v>
      </c>
      <c r="FH340" s="0" t="n">
        <v>0</v>
      </c>
      <c r="FI340" s="0" t="n">
        <v>0</v>
      </c>
    </row>
    <row r="341" customFormat="false" ht="15" hidden="false" customHeight="false" outlineLevel="0" collapsed="false">
      <c r="A341" s="5" t="str">
        <f aca="false">E341&amp;G341&amp;F341</f>
        <v>720111901</v>
      </c>
      <c r="B341" s="0" t="s">
        <v>3556</v>
      </c>
      <c r="C341" s="1" t="n">
        <v>42412</v>
      </c>
      <c r="E341" s="0" t="n">
        <v>7</v>
      </c>
      <c r="F341" s="0" t="n">
        <v>1901</v>
      </c>
      <c r="G341" s="0" t="n">
        <v>2011</v>
      </c>
      <c r="H341" s="0" t="str">
        <f aca="false">"J"&amp;E341&amp;"\"&amp;F341&amp;"\"&amp;G341&amp;"\"&amp;W341</f>
        <v>J7\1901\2011\1</v>
      </c>
      <c r="I341" s="0"/>
      <c r="J341" s="1" t="n">
        <v>40861</v>
      </c>
      <c r="K341" s="0" t="n">
        <v>1</v>
      </c>
      <c r="L341" s="0" t="s">
        <v>3609</v>
      </c>
      <c r="M341" s="1" t="n">
        <v>40861</v>
      </c>
      <c r="N341" s="1" t="n">
        <v>40925</v>
      </c>
      <c r="O341" s="1"/>
      <c r="P341" s="1"/>
      <c r="Q341" s="1"/>
      <c r="T341" s="121"/>
      <c r="U341" s="121"/>
      <c r="V341" s="122" t="n">
        <f aca="false">IF(AND(E341&gt;0,F341&gt;0,G341&gt;0),COUNTIFS($E:$E,E341,$F:$F,F341,$G:$G,G341),"")</f>
        <v>1</v>
      </c>
      <c r="W341" s="122" t="n">
        <f aca="false">IF(V341="","",IF(V341=1,1,IF(AND(E340=E341,F340=F341,G340=G341),W340+1,1)))</f>
        <v>1</v>
      </c>
      <c r="X341" s="0" t="n">
        <v>1</v>
      </c>
      <c r="Y341" s="0" t="n">
        <v>4</v>
      </c>
      <c r="Z341" s="0" t="s">
        <v>3610</v>
      </c>
      <c r="AA341" s="0" t="n">
        <v>0</v>
      </c>
      <c r="AB341" s="0" t="s">
        <v>3275</v>
      </c>
      <c r="AC341" s="0" t="s">
        <v>321</v>
      </c>
      <c r="AD341" s="0" t="s">
        <v>221</v>
      </c>
      <c r="AE341" s="0" t="n">
        <v>0</v>
      </c>
      <c r="AF341" s="0" t="s">
        <v>3611</v>
      </c>
      <c r="AG341" s="0" t="n">
        <v>1</v>
      </c>
      <c r="AH341" s="0" t="s">
        <v>3612</v>
      </c>
      <c r="AI341" s="0" t="s">
        <v>3613</v>
      </c>
      <c r="AJ341" s="0" t="s">
        <v>3511</v>
      </c>
      <c r="AL341" s="0" t="s">
        <v>3614</v>
      </c>
      <c r="AM341" s="0" t="n">
        <v>1</v>
      </c>
      <c r="AN341" s="0" t="s">
        <v>3612</v>
      </c>
      <c r="AO341" s="0" t="s">
        <v>3613</v>
      </c>
      <c r="AP341" s="0" t="s">
        <v>3511</v>
      </c>
      <c r="AR341" s="0" t="s">
        <v>3615</v>
      </c>
      <c r="AS341" s="0" t="n">
        <v>0</v>
      </c>
      <c r="AT341" s="0" t="s">
        <v>3612</v>
      </c>
      <c r="AU341" s="0" t="s">
        <v>3613</v>
      </c>
      <c r="AV341" s="0" t="s">
        <v>3511</v>
      </c>
      <c r="AX341" s="0" t="s">
        <v>1880</v>
      </c>
      <c r="AY341" s="0" t="n">
        <v>1</v>
      </c>
      <c r="AZ341" s="0" t="s">
        <v>3612</v>
      </c>
      <c r="BA341" s="0" t="s">
        <v>3613</v>
      </c>
      <c r="BB341" s="0" t="s">
        <v>3511</v>
      </c>
      <c r="BP341" s="0" t="n">
        <v>0</v>
      </c>
      <c r="BQ341" s="0" t="n">
        <v>0</v>
      </c>
      <c r="BR341" s="0" t="n">
        <v>1</v>
      </c>
      <c r="BS341" s="0" t="s">
        <v>3282</v>
      </c>
      <c r="BT341" s="0" t="s">
        <v>3283</v>
      </c>
      <c r="BU341" s="0" t="s">
        <v>3284</v>
      </c>
      <c r="BV341" s="123"/>
      <c r="BW341" s="123"/>
      <c r="BX341" s="123"/>
      <c r="BY341" s="123"/>
      <c r="CA341" s="0" t="s">
        <v>216</v>
      </c>
      <c r="CD341" s="0" t="s">
        <v>370</v>
      </c>
      <c r="CE341" s="0" t="n">
        <v>0</v>
      </c>
      <c r="CF341" s="0" t="s">
        <v>3288</v>
      </c>
      <c r="CI341" s="1" t="n">
        <v>39083</v>
      </c>
      <c r="CJ341" s="1" t="n">
        <v>40835</v>
      </c>
      <c r="CK341" s="124" t="s">
        <v>216</v>
      </c>
      <c r="CL341" s="0" t="s">
        <v>3611</v>
      </c>
      <c r="CM341" s="0" t="n">
        <f aca="false">IF(OR(CI341="",CJ341=""),"",DAYS360(CI341,CJ341)/360)</f>
        <v>4.8</v>
      </c>
      <c r="CN341" s="0" t="n">
        <f aca="false">IF(OR(CI341="",CJ341=""),"",DAYS360(CI341,CJ341)/30)</f>
        <v>57.6</v>
      </c>
      <c r="CO341" s="0" t="n">
        <f aca="false">IF(OR(CI341="",CJ341=""),"",DAYS360(CI341,CJ341)/7)</f>
        <v>246.857142857143</v>
      </c>
      <c r="CP341" s="0" t="n">
        <f aca="false">IF(OR(CI341="",CJ341=""),"",DAYS360(CI341,CJ341))</f>
        <v>1728</v>
      </c>
      <c r="CQ341" s="0" t="s">
        <v>240</v>
      </c>
      <c r="CR341" s="0" t="n">
        <v>1</v>
      </c>
      <c r="CT341" s="0" t="n">
        <v>350</v>
      </c>
      <c r="CU341" s="0" t="n">
        <v>0</v>
      </c>
      <c r="CV341" s="0" t="n">
        <f aca="false">IF(OR(CT341="",CT341="NO ESPECIFICA",CT341="NO MENCIONA"),"",IF(CU341=0,CT341,IF(CU341=1,CT341/30,IF(CU341=2,CT341/15,IF(CU341=3,CT341/7,"")))))</f>
        <v>350</v>
      </c>
      <c r="CW341" s="125" t="s">
        <v>216</v>
      </c>
      <c r="CX341" s="0" t="s">
        <v>216</v>
      </c>
      <c r="CY341" s="0" t="str">
        <f aca="false">IF(CW341="","",IF(CX341=0,CW341,IF(CX341=1,CW341/30,IF(CX341=2,CW341/15,IF(CX341=3,CW341/7,CW341)))))</f>
        <v>NO MENCIONA</v>
      </c>
      <c r="CZ341" s="0" t="n">
        <f aca="false">IF(DI341&gt;0,DI341,IF(CY341&gt;0,CY341,IF(CV341&gt;0,CV341,"")))</f>
        <v>481.248571428572</v>
      </c>
      <c r="DA341" s="0" t="n">
        <f aca="false">IF(DM341=1,CZ341/8,IF(OR(DM341=2,DM341=4),CZ341/7,IF(DM341=3,CZ341/7.5,"")))</f>
        <v>60.1560714285714</v>
      </c>
      <c r="DB341" s="0" t="s">
        <v>3286</v>
      </c>
      <c r="DC341" s="0" t="s">
        <v>374</v>
      </c>
      <c r="DD341" s="0" t="s">
        <v>2283</v>
      </c>
      <c r="DE341" s="0" t="s">
        <v>216</v>
      </c>
      <c r="DF341" s="0" t="s">
        <v>216</v>
      </c>
      <c r="DG341" s="0" t="s">
        <v>216</v>
      </c>
      <c r="DH341" s="0" t="n">
        <v>0</v>
      </c>
      <c r="DI341" s="126" t="n">
        <f aca="false">350+(500/7)+59.82</f>
        <v>481.248571428572</v>
      </c>
      <c r="DK341" s="0" t="n">
        <v>0</v>
      </c>
      <c r="DM341" s="0" t="n">
        <v>1</v>
      </c>
      <c r="DN341" s="0" t="n">
        <v>54</v>
      </c>
      <c r="DO341" s="0" t="n">
        <v>3</v>
      </c>
      <c r="DP341" s="0" t="n">
        <v>0</v>
      </c>
      <c r="DQ341" s="0" t="n">
        <v>1</v>
      </c>
      <c r="DR341" s="0"/>
      <c r="DS341" s="0" t="n">
        <v>1</v>
      </c>
      <c r="DU341" s="0" t="n">
        <v>1</v>
      </c>
      <c r="DW341" s="1" t="n">
        <v>39814</v>
      </c>
      <c r="DX341" s="1" t="n">
        <f aca="false">CJ341</f>
        <v>40835</v>
      </c>
      <c r="DZ341" s="0"/>
      <c r="EA341" s="0" t="n">
        <v>1</v>
      </c>
      <c r="EC341" s="1" t="n">
        <v>39814</v>
      </c>
      <c r="ED341" s="1" t="n">
        <f aca="false">CJ341</f>
        <v>40835</v>
      </c>
      <c r="EF341" s="0"/>
      <c r="EG341" s="0" t="n">
        <v>1</v>
      </c>
      <c r="EH341" s="0" t="n">
        <v>6</v>
      </c>
      <c r="EI341" s="0" t="n">
        <f aca="false">IF(AND(DM341=1,DN341&lt;=48),"",IF(AND(DM341=2,DN341&lt;=42),"",IF(AND(DM341=3,DN341&lt;=45),"",EH341)))</f>
        <v>6</v>
      </c>
      <c r="EJ341" s="0" t="n">
        <f aca="false">IF(EI341="","",IF(EI341&lt;9,EI341,9))</f>
        <v>6</v>
      </c>
      <c r="EK341" s="0" t="n">
        <f aca="false">IF(EI341="","",IF(EI341&gt;9,EI341-EJ341,0))</f>
        <v>0</v>
      </c>
      <c r="EL341" s="0" t="n">
        <f aca="false">IF(EI341="","",EJ341*DA341*2+EK341*DA341*3)</f>
        <v>721.872857142857</v>
      </c>
      <c r="EP341" s="0" t="n">
        <v>0</v>
      </c>
      <c r="EQ341" s="0"/>
      <c r="ER341" s="0" t="n">
        <v>1</v>
      </c>
      <c r="ET341" s="0" t="n">
        <v>1</v>
      </c>
      <c r="EV341" s="0" t="n">
        <v>0</v>
      </c>
      <c r="EX341" s="0" t="n">
        <v>1</v>
      </c>
      <c r="EY341" s="0" t="n">
        <v>0</v>
      </c>
      <c r="EZ341" s="0"/>
      <c r="FA341" s="0"/>
      <c r="FB341" s="0" t="n">
        <v>0</v>
      </c>
      <c r="FF341" s="120" t="n">
        <f aca="false">(CJ341-CI341+1)/365</f>
        <v>4.8027397260274</v>
      </c>
      <c r="FG341" s="0" t="str">
        <f aca="false">CONCATENATE(F341,"/",G341)</f>
        <v>1901/2011</v>
      </c>
      <c r="FH341" s="0" t="n">
        <v>0</v>
      </c>
      <c r="FI341" s="0" t="n">
        <v>0</v>
      </c>
    </row>
    <row r="342" customFormat="false" ht="15" hidden="false" customHeight="false" outlineLevel="0" collapsed="false">
      <c r="A342" s="5" t="str">
        <f aca="false">E342&amp;G342&amp;F342</f>
        <v>720111909</v>
      </c>
      <c r="B342" s="0" t="s">
        <v>3556</v>
      </c>
      <c r="C342" s="1" t="n">
        <v>42412</v>
      </c>
      <c r="E342" s="0" t="n">
        <v>7</v>
      </c>
      <c r="F342" s="0" t="n">
        <v>1909</v>
      </c>
      <c r="G342" s="0" t="n">
        <v>2011</v>
      </c>
      <c r="H342" s="0" t="str">
        <f aca="false">"J"&amp;E342&amp;"\"&amp;F342&amp;"\"&amp;G342&amp;"\"&amp;W342</f>
        <v>J7\1909\2011\1</v>
      </c>
      <c r="I342" s="0"/>
      <c r="J342" s="1" t="n">
        <v>40863</v>
      </c>
      <c r="K342" s="0" t="n">
        <v>1</v>
      </c>
      <c r="L342" s="0" t="s">
        <v>3514</v>
      </c>
      <c r="M342" s="1" t="n">
        <v>40863</v>
      </c>
      <c r="N342" s="1" t="n">
        <v>40926</v>
      </c>
      <c r="O342" s="1"/>
      <c r="P342" s="1"/>
      <c r="Q342" s="1"/>
      <c r="T342" s="121"/>
      <c r="U342" s="121"/>
      <c r="V342" s="122" t="n">
        <f aca="false">IF(AND(E342&gt;0,F342&gt;0,G342&gt;0),COUNTIFS($E:$E,E342,$F:$F,F342,$G:$G,G342),"")</f>
        <v>2</v>
      </c>
      <c r="W342" s="122" t="n">
        <f aca="false">IF(V342="","",IF(V342=1,1,IF(AND(E341=E342,F341=F342,G341=G342),W341+1,1)))</f>
        <v>1</v>
      </c>
      <c r="X342" s="0" t="n">
        <v>2</v>
      </c>
      <c r="Y342" s="0" t="n">
        <v>3</v>
      </c>
      <c r="Z342" s="0" t="s">
        <v>3616</v>
      </c>
      <c r="AA342" s="0" t="n">
        <v>0</v>
      </c>
      <c r="AB342" s="0" t="s">
        <v>3617</v>
      </c>
      <c r="AC342" s="0" t="s">
        <v>3618</v>
      </c>
      <c r="AD342" s="0" t="s">
        <v>519</v>
      </c>
      <c r="AE342" s="0" t="n">
        <v>0</v>
      </c>
      <c r="AF342" s="0" t="s">
        <v>3619</v>
      </c>
      <c r="AG342" s="0" t="n">
        <v>0</v>
      </c>
      <c r="AH342" s="0" t="s">
        <v>3620</v>
      </c>
      <c r="AI342" s="0" t="s">
        <v>2567</v>
      </c>
      <c r="AJ342" s="0" t="s">
        <v>755</v>
      </c>
      <c r="AL342" s="0" t="s">
        <v>3621</v>
      </c>
      <c r="AM342" s="0" t="n">
        <v>1</v>
      </c>
      <c r="AN342" s="0" t="s">
        <v>3620</v>
      </c>
      <c r="AO342" s="0" t="s">
        <v>2567</v>
      </c>
      <c r="AP342" s="0" t="s">
        <v>755</v>
      </c>
      <c r="AR342" s="0" t="s">
        <v>3622</v>
      </c>
      <c r="AS342" s="0" t="n">
        <v>1</v>
      </c>
      <c r="AT342" s="0" t="s">
        <v>3620</v>
      </c>
      <c r="AU342" s="0" t="s">
        <v>2567</v>
      </c>
      <c r="AV342" s="0" t="s">
        <v>755</v>
      </c>
      <c r="AX342" s="0" t="s">
        <v>1880</v>
      </c>
      <c r="AY342" s="0" t="n">
        <v>1</v>
      </c>
      <c r="AZ342" s="0" t="s">
        <v>3620</v>
      </c>
      <c r="BA342" s="0" t="s">
        <v>2567</v>
      </c>
      <c r="BB342" s="0" t="s">
        <v>755</v>
      </c>
      <c r="BP342" s="0" t="n">
        <v>0</v>
      </c>
      <c r="BQ342" s="0" t="n">
        <v>0</v>
      </c>
      <c r="BR342" s="0" t="n">
        <v>1</v>
      </c>
      <c r="BS342" s="0" t="s">
        <v>3623</v>
      </c>
      <c r="BT342" s="0" t="s">
        <v>3624</v>
      </c>
      <c r="BU342" s="0" t="s">
        <v>3625</v>
      </c>
      <c r="BV342" s="123"/>
      <c r="BW342" s="123"/>
      <c r="BX342" s="123"/>
      <c r="BY342" s="123"/>
      <c r="CA342" s="0" t="s">
        <v>216</v>
      </c>
      <c r="CD342" s="0" t="s">
        <v>556</v>
      </c>
      <c r="CE342" s="0" t="n">
        <v>0</v>
      </c>
      <c r="CF342" s="0" t="s">
        <v>3626</v>
      </c>
      <c r="CI342" s="1" t="n">
        <v>39497</v>
      </c>
      <c r="CJ342" s="1" t="n">
        <v>40845</v>
      </c>
      <c r="CK342" s="124" t="n">
        <v>0.673611111111111</v>
      </c>
      <c r="CL342" s="0" t="s">
        <v>3627</v>
      </c>
      <c r="CM342" s="0" t="n">
        <f aca="false">IF(OR(CI342="",CJ342=""),"",DAYS360(CI342,CJ342)/360)</f>
        <v>3.69444444444444</v>
      </c>
      <c r="CN342" s="0" t="n">
        <f aca="false">IF(OR(CI342="",CJ342=""),"",DAYS360(CI342,CJ342)/30)</f>
        <v>44.3333333333333</v>
      </c>
      <c r="CO342" s="0" t="n">
        <f aca="false">IF(OR(CI342="",CJ342=""),"",DAYS360(CI342,CJ342)/7)</f>
        <v>190</v>
      </c>
      <c r="CP342" s="0" t="n">
        <f aca="false">IF(OR(CI342="",CJ342=""),"",DAYS360(CI342,CJ342))</f>
        <v>1330</v>
      </c>
      <c r="CQ342" s="0" t="s">
        <v>240</v>
      </c>
      <c r="CR342" s="0" t="n">
        <v>1</v>
      </c>
      <c r="CT342" s="0" t="s">
        <v>221</v>
      </c>
      <c r="CU342" s="0" t="s">
        <v>221</v>
      </c>
      <c r="CV342" s="0" t="str">
        <f aca="false">IF(OR(CT342="",CT342="NO ESPECIFICA",CT342="NO MENCIONA"),"",IF(CU342=0,CT342,IF(CU342=1,CT342/30,IF(CU342=2,CT342/15,IF(CU342=3,CT342/7,"")))))</f>
        <v/>
      </c>
      <c r="CW342" s="125" t="n">
        <v>3752.4</v>
      </c>
      <c r="CX342" s="0" t="n">
        <v>1</v>
      </c>
      <c r="CY342" s="0" t="n">
        <f aca="false">IF(CW342="","",IF(CX342=0,CW342,IF(CX342=1,CW342/30,IF(CX342=2,CW342/15,IF(CX342=3,CW342/7,CW342)))))</f>
        <v>125.08</v>
      </c>
      <c r="CZ342" s="0" t="n">
        <f aca="false">IF(DI342&gt;0,DI342,IF(CY342&gt;0,CY342,IF(CV342&gt;0,CV342,"")))</f>
        <v>125.08</v>
      </c>
      <c r="DA342" s="0" t="n">
        <f aca="false">IF(DM342=1,CZ342/8,IF(OR(DM342=2,DM342=4),CZ342/7,IF(DM342=3,CZ342/7.5,"")))</f>
        <v>15.635</v>
      </c>
      <c r="DB342" s="0" t="s">
        <v>216</v>
      </c>
      <c r="DC342" s="0" t="s">
        <v>216</v>
      </c>
      <c r="DD342" s="0" t="s">
        <v>216</v>
      </c>
      <c r="DE342" s="0" t="s">
        <v>216</v>
      </c>
      <c r="DF342" s="0" t="s">
        <v>216</v>
      </c>
      <c r="DG342" s="0" t="s">
        <v>216</v>
      </c>
      <c r="DH342" s="0" t="n">
        <v>0</v>
      </c>
      <c r="DI342" s="126" t="n">
        <v>125.08</v>
      </c>
      <c r="DK342" s="0" t="n">
        <v>0</v>
      </c>
      <c r="DM342" s="0" t="n">
        <v>1</v>
      </c>
      <c r="DN342" s="0" t="n">
        <v>48</v>
      </c>
      <c r="DO342" s="0" t="n">
        <v>3</v>
      </c>
      <c r="DP342" s="0" t="n">
        <v>0</v>
      </c>
      <c r="DQ342" s="0" t="n">
        <v>1</v>
      </c>
      <c r="DR342" s="0" t="n">
        <v>10416</v>
      </c>
      <c r="DS342" s="0" t="n">
        <v>1</v>
      </c>
      <c r="DU342" s="0" t="n">
        <v>1</v>
      </c>
      <c r="DW342" s="1" t="s">
        <v>216</v>
      </c>
      <c r="DX342" s="1" t="s">
        <v>216</v>
      </c>
      <c r="DZ342" s="0"/>
      <c r="EA342" s="0" t="n">
        <v>1</v>
      </c>
      <c r="EC342" s="1" t="n">
        <v>40544</v>
      </c>
      <c r="ED342" s="1" t="n">
        <f aca="false">CJ342</f>
        <v>40845</v>
      </c>
      <c r="EF342" s="0"/>
      <c r="EG342" s="0" t="n">
        <v>0</v>
      </c>
      <c r="EI342" s="0" t="str">
        <f aca="false">IF(AND(DM342=1,DN342&lt;=48),"",IF(AND(DM342=2,DN342&lt;=42),"",IF(AND(DM342=3,DN342&lt;=45),"",EH342)))</f>
        <v/>
      </c>
      <c r="EJ342" s="0" t="str">
        <f aca="false">IF(EI342="","",IF(EI342&lt;9,EI342,9))</f>
        <v/>
      </c>
      <c r="EK342" s="0" t="str">
        <f aca="false">IF(EI342="","",IF(EI342&gt;9,EI342-EJ342,0))</f>
        <v/>
      </c>
      <c r="EL342" s="0" t="str">
        <f aca="false">IF(EI342="","",EJ342*DA342*2+EK342*DA342*3)</f>
        <v/>
      </c>
      <c r="EP342" s="0" t="n">
        <v>1</v>
      </c>
      <c r="EQ342" s="0"/>
      <c r="ER342" s="0" t="n">
        <v>0</v>
      </c>
      <c r="ET342" s="0" t="n">
        <v>0</v>
      </c>
      <c r="EV342" s="0" t="n">
        <v>0</v>
      </c>
      <c r="EX342" s="0" t="n">
        <v>1</v>
      </c>
      <c r="EY342" s="0" t="n">
        <v>1</v>
      </c>
      <c r="EZ342" s="0"/>
      <c r="FA342" s="0"/>
      <c r="FB342" s="0" t="n">
        <v>0</v>
      </c>
      <c r="FF342" s="120" t="n">
        <f aca="false">(CJ342-CI342+1)/365</f>
        <v>3.6958904109589</v>
      </c>
      <c r="FG342" s="0" t="str">
        <f aca="false">CONCATENATE(F342,"/",G342)</f>
        <v>1909/2011</v>
      </c>
      <c r="FH342" s="0" t="n">
        <v>0</v>
      </c>
      <c r="FI342" s="0" t="n">
        <v>0</v>
      </c>
    </row>
    <row r="343" customFormat="false" ht="15" hidden="false" customHeight="false" outlineLevel="0" collapsed="false">
      <c r="A343" s="5" t="str">
        <f aca="false">E343&amp;G343&amp;F343</f>
        <v>720111909</v>
      </c>
      <c r="B343" s="0" t="s">
        <v>3556</v>
      </c>
      <c r="C343" s="1" t="n">
        <v>42412</v>
      </c>
      <c r="E343" s="0" t="n">
        <v>7</v>
      </c>
      <c r="F343" s="0" t="n">
        <v>1909</v>
      </c>
      <c r="G343" s="0" t="n">
        <v>2011</v>
      </c>
      <c r="H343" s="0" t="str">
        <f aca="false">"J"&amp;E343&amp;"\"&amp;F343&amp;"\"&amp;G343&amp;"\"&amp;W343</f>
        <v>J7\1909\2011\2</v>
      </c>
      <c r="I343" s="0"/>
      <c r="J343" s="1" t="n">
        <v>40863</v>
      </c>
      <c r="K343" s="0" t="n">
        <v>1</v>
      </c>
      <c r="L343" s="0" t="s">
        <v>3514</v>
      </c>
      <c r="M343" s="1" t="n">
        <v>40863</v>
      </c>
      <c r="N343" s="1" t="n">
        <v>40926</v>
      </c>
      <c r="O343" s="1"/>
      <c r="P343" s="1"/>
      <c r="Q343" s="1"/>
      <c r="T343" s="121"/>
      <c r="U343" s="121"/>
      <c r="V343" s="122" t="n">
        <f aca="false">IF(AND(E343&gt;0,F343&gt;0,G343&gt;0),COUNTIFS($E:$E,E343,$F:$F,F343,$G:$G,G343),"")</f>
        <v>2</v>
      </c>
      <c r="W343" s="122" t="n">
        <f aca="false">IF(V343="","",IF(V343=1,1,IF(AND(E342=E343,F342=F343,G342=G343),W342+1,1)))</f>
        <v>2</v>
      </c>
      <c r="X343" s="0" t="n">
        <v>2</v>
      </c>
      <c r="Y343" s="0" t="n">
        <v>3</v>
      </c>
      <c r="Z343" s="0" t="s">
        <v>3628</v>
      </c>
      <c r="AA343" s="0" t="n">
        <v>0</v>
      </c>
      <c r="AB343" s="0" t="s">
        <v>3617</v>
      </c>
      <c r="AC343" s="0" t="s">
        <v>3618</v>
      </c>
      <c r="AD343" s="0" t="s">
        <v>519</v>
      </c>
      <c r="AE343" s="0" t="n">
        <v>0</v>
      </c>
      <c r="AF343" s="0" t="s">
        <v>3619</v>
      </c>
      <c r="AG343" s="0" t="n">
        <v>0</v>
      </c>
      <c r="AH343" s="0" t="s">
        <v>3620</v>
      </c>
      <c r="AI343" s="0" t="s">
        <v>2567</v>
      </c>
      <c r="AJ343" s="0" t="s">
        <v>755</v>
      </c>
      <c r="AL343" s="0" t="s">
        <v>3621</v>
      </c>
      <c r="AM343" s="0" t="n">
        <v>1</v>
      </c>
      <c r="AN343" s="0" t="s">
        <v>3620</v>
      </c>
      <c r="AO343" s="0" t="s">
        <v>2567</v>
      </c>
      <c r="AP343" s="0" t="s">
        <v>755</v>
      </c>
      <c r="AR343" s="0" t="s">
        <v>3622</v>
      </c>
      <c r="AS343" s="0" t="n">
        <v>1</v>
      </c>
      <c r="AT343" s="0" t="s">
        <v>3620</v>
      </c>
      <c r="AU343" s="0" t="s">
        <v>2567</v>
      </c>
      <c r="AV343" s="0" t="s">
        <v>755</v>
      </c>
      <c r="AX343" s="0" t="s">
        <v>1880</v>
      </c>
      <c r="AY343" s="0" t="n">
        <v>1</v>
      </c>
      <c r="AZ343" s="0" t="s">
        <v>3620</v>
      </c>
      <c r="BA343" s="0" t="s">
        <v>2567</v>
      </c>
      <c r="BB343" s="0" t="s">
        <v>755</v>
      </c>
      <c r="BP343" s="0" t="n">
        <v>0</v>
      </c>
      <c r="BQ343" s="0" t="n">
        <v>0</v>
      </c>
      <c r="BR343" s="0" t="n">
        <v>1</v>
      </c>
      <c r="BS343" s="0" t="s">
        <v>3623</v>
      </c>
      <c r="BT343" s="0" t="s">
        <v>3624</v>
      </c>
      <c r="BU343" s="0" t="s">
        <v>3625</v>
      </c>
      <c r="BV343" s="123"/>
      <c r="BW343" s="123"/>
      <c r="BX343" s="123"/>
      <c r="BY343" s="123"/>
      <c r="CA343" s="0" t="s">
        <v>216</v>
      </c>
      <c r="CD343" s="0" t="s">
        <v>556</v>
      </c>
      <c r="CE343" s="0" t="n">
        <v>0</v>
      </c>
      <c r="CF343" s="0" t="s">
        <v>3629</v>
      </c>
      <c r="CI343" s="1" t="n">
        <v>39288</v>
      </c>
      <c r="CJ343" s="1" t="n">
        <v>40845</v>
      </c>
      <c r="CK343" s="124" t="n">
        <v>0.673611111111111</v>
      </c>
      <c r="CL343" s="0" t="s">
        <v>3627</v>
      </c>
      <c r="CM343" s="0" t="n">
        <f aca="false">IF(OR(CI343="",CJ343=""),"",DAYS360(CI343,CJ343)/360)</f>
        <v>4.26111111111111</v>
      </c>
      <c r="CN343" s="0" t="n">
        <f aca="false">IF(OR(CI343="",CJ343=""),"",DAYS360(CI343,CJ343)/30)</f>
        <v>51.1333333333333</v>
      </c>
      <c r="CO343" s="0" t="n">
        <f aca="false">IF(OR(CI343="",CJ343=""),"",DAYS360(CI343,CJ343)/7)</f>
        <v>219.142857142857</v>
      </c>
      <c r="CP343" s="0" t="n">
        <f aca="false">IF(OR(CI343="",CJ343=""),"",DAYS360(CI343,CJ343))</f>
        <v>1534</v>
      </c>
      <c r="CQ343" s="0" t="s">
        <v>240</v>
      </c>
      <c r="CR343" s="0" t="n">
        <v>1</v>
      </c>
      <c r="CT343" s="0" t="s">
        <v>221</v>
      </c>
      <c r="CU343" s="0" t="s">
        <v>221</v>
      </c>
      <c r="CV343" s="0" t="str">
        <f aca="false">IF(OR(CT343="",CT343="NO ESPECIFICA",CT343="NO MENCIONA"),"",IF(CU343=0,CT343,IF(CU343=1,CT343/30,IF(CU343=2,CT343/15,IF(CU343=3,CT343/7,"")))))</f>
        <v/>
      </c>
      <c r="CW343" s="125" t="n">
        <v>5274.6</v>
      </c>
      <c r="CX343" s="0" t="n">
        <v>1</v>
      </c>
      <c r="CY343" s="0" t="n">
        <f aca="false">IF(CW343="","",IF(CX343=0,CW343,IF(CX343=1,CW343/30,IF(CX343=2,CW343/15,IF(CX343=3,CW343/7,CW343)))))</f>
        <v>175.82</v>
      </c>
      <c r="CZ343" s="0" t="n">
        <f aca="false">IF(DI343&gt;0,DI343,IF(CY343&gt;0,CY343,IF(CV343&gt;0,CV343,"")))</f>
        <v>175.82</v>
      </c>
      <c r="DA343" s="0" t="n">
        <f aca="false">IF(DM343=1,CZ343/8,IF(OR(DM343=2,DM343=4),CZ343/7,IF(DM343=3,CZ343/7.5,"")))</f>
        <v>21.9775</v>
      </c>
      <c r="DB343" s="0" t="s">
        <v>216</v>
      </c>
      <c r="DC343" s="0" t="s">
        <v>216</v>
      </c>
      <c r="DD343" s="0" t="s">
        <v>216</v>
      </c>
      <c r="DE343" s="0" t="s">
        <v>216</v>
      </c>
      <c r="DF343" s="0" t="s">
        <v>216</v>
      </c>
      <c r="DG343" s="0" t="s">
        <v>216</v>
      </c>
      <c r="DH343" s="0" t="n">
        <v>0</v>
      </c>
      <c r="DI343" s="126" t="n">
        <v>175.82</v>
      </c>
      <c r="DK343" s="0" t="n">
        <v>0</v>
      </c>
      <c r="DM343" s="0" t="n">
        <v>1</v>
      </c>
      <c r="DN343" s="0" t="n">
        <v>48</v>
      </c>
      <c r="DO343" s="0" t="n">
        <v>3</v>
      </c>
      <c r="DP343" s="0" t="n">
        <v>0</v>
      </c>
      <c r="DQ343" s="0" t="n">
        <v>1</v>
      </c>
      <c r="DR343" s="0" t="n">
        <v>14700</v>
      </c>
      <c r="DS343" s="0" t="n">
        <v>1</v>
      </c>
      <c r="DU343" s="0" t="n">
        <v>1</v>
      </c>
      <c r="DW343" s="1" t="s">
        <v>216</v>
      </c>
      <c r="DX343" s="1" t="s">
        <v>216</v>
      </c>
      <c r="DZ343" s="0"/>
      <c r="EA343" s="0" t="n">
        <v>1</v>
      </c>
      <c r="EC343" s="1" t="n">
        <v>40544</v>
      </c>
      <c r="ED343" s="1" t="n">
        <f aca="false">CJ343</f>
        <v>40845</v>
      </c>
      <c r="EF343" s="0"/>
      <c r="EG343" s="0" t="n">
        <v>0</v>
      </c>
      <c r="EI343" s="0" t="str">
        <f aca="false">IF(AND(DM343=1,DN343&lt;=48),"",IF(AND(DM343=2,DN343&lt;=42),"",IF(AND(DM343=3,DN343&lt;=45),"",EH343)))</f>
        <v/>
      </c>
      <c r="EJ343" s="0" t="str">
        <f aca="false">IF(EI343="","",IF(EI343&lt;9,EI343,9))</f>
        <v/>
      </c>
      <c r="EK343" s="0" t="str">
        <f aca="false">IF(EI343="","",IF(EI343&gt;9,EI343-EJ343,0))</f>
        <v/>
      </c>
      <c r="EL343" s="0" t="str">
        <f aca="false">IF(EI343="","",EJ343*DA343*2+EK343*DA343*3)</f>
        <v/>
      </c>
      <c r="EP343" s="0" t="n">
        <v>1</v>
      </c>
      <c r="EQ343" s="0"/>
      <c r="ER343" s="0" t="n">
        <v>0</v>
      </c>
      <c r="ET343" s="0" t="n">
        <v>0</v>
      </c>
      <c r="EV343" s="0" t="n">
        <v>0</v>
      </c>
      <c r="EX343" s="0" t="n">
        <v>1</v>
      </c>
      <c r="EY343" s="0" t="n">
        <v>1</v>
      </c>
      <c r="EZ343" s="0"/>
      <c r="FA343" s="0"/>
      <c r="FB343" s="0" t="n">
        <v>0</v>
      </c>
      <c r="FF343" s="120" t="n">
        <f aca="false">(CJ343-CI343+1)/365</f>
        <v>4.26849315068493</v>
      </c>
      <c r="FG343" s="0" t="str">
        <f aca="false">CONCATENATE(F343,"/",G343)</f>
        <v>1909/2011</v>
      </c>
      <c r="FH343" s="0" t="n">
        <v>0</v>
      </c>
      <c r="FI343" s="0" t="n">
        <v>0</v>
      </c>
    </row>
    <row r="344" customFormat="false" ht="15" hidden="false" customHeight="false" outlineLevel="0" collapsed="false">
      <c r="A344" s="5" t="str">
        <f aca="false">E344&amp;G344&amp;F344</f>
        <v>720111913</v>
      </c>
      <c r="B344" s="0" t="s">
        <v>3556</v>
      </c>
      <c r="C344" s="1" t="n">
        <v>42412</v>
      </c>
      <c r="E344" s="0" t="n">
        <v>7</v>
      </c>
      <c r="F344" s="0" t="n">
        <v>1913</v>
      </c>
      <c r="G344" s="0" t="n">
        <v>2011</v>
      </c>
      <c r="H344" s="0" t="str">
        <f aca="false">"J"&amp;E344&amp;"\"&amp;F344&amp;"\"&amp;G344&amp;"\"&amp;W344</f>
        <v>J7\1913\2011\1</v>
      </c>
      <c r="I344" s="0"/>
      <c r="J344" s="1" t="n">
        <v>40863</v>
      </c>
      <c r="K344" s="0" t="n">
        <v>0</v>
      </c>
      <c r="M344" s="1" t="n">
        <v>40863</v>
      </c>
      <c r="N344" s="1" t="n">
        <v>40927</v>
      </c>
      <c r="O344" s="1"/>
      <c r="P344" s="1"/>
      <c r="Q344" s="1"/>
      <c r="T344" s="121"/>
      <c r="U344" s="121"/>
      <c r="V344" s="122" t="n">
        <f aca="false">IF(AND(E344&gt;0,F344&gt;0,G344&gt;0),COUNTIFS($E:$E,E344,$F:$F,F344,$G:$G,G344),"")</f>
        <v>1</v>
      </c>
      <c r="W344" s="122" t="n">
        <f aca="false">IF(V344="","",IF(V344=1,1,IF(AND(E343=E344,F343=F344,G343=G344),W343+1,1)))</f>
        <v>1</v>
      </c>
      <c r="X344" s="0" t="n">
        <v>1</v>
      </c>
      <c r="Y344" s="0" t="n">
        <v>3</v>
      </c>
      <c r="Z344" s="0" t="s">
        <v>3630</v>
      </c>
      <c r="AA344" s="0" t="n">
        <v>0</v>
      </c>
      <c r="AB344" s="0" t="s">
        <v>3631</v>
      </c>
      <c r="AC344" s="0" t="s">
        <v>318</v>
      </c>
      <c r="AD344" s="0" t="s">
        <v>221</v>
      </c>
      <c r="AE344" s="0" t="n">
        <v>0</v>
      </c>
      <c r="AF344" s="0" t="s">
        <v>3632</v>
      </c>
      <c r="AG344" s="0" t="n">
        <v>0</v>
      </c>
      <c r="AH344" s="0" t="s">
        <v>3633</v>
      </c>
      <c r="AI344" s="0" t="s">
        <v>1160</v>
      </c>
      <c r="AJ344" s="0" t="s">
        <v>221</v>
      </c>
      <c r="AL344" s="0" t="s">
        <v>3634</v>
      </c>
      <c r="AM344" s="0" t="n">
        <v>0</v>
      </c>
      <c r="AN344" s="0" t="s">
        <v>3633</v>
      </c>
      <c r="AO344" s="0" t="s">
        <v>1160</v>
      </c>
      <c r="AP344" s="0" t="s">
        <v>221</v>
      </c>
      <c r="AR344" s="0" t="s">
        <v>1880</v>
      </c>
      <c r="AS344" s="0" t="n">
        <v>1</v>
      </c>
      <c r="AT344" s="0" t="s">
        <v>3633</v>
      </c>
      <c r="AU344" s="0" t="s">
        <v>1160</v>
      </c>
      <c r="AV344" s="0" t="s">
        <v>221</v>
      </c>
      <c r="BP344" s="0" t="n">
        <v>0</v>
      </c>
      <c r="BQ344" s="0" t="n">
        <v>0</v>
      </c>
      <c r="BR344" s="0" t="n">
        <v>1</v>
      </c>
      <c r="BS344" s="0" t="s">
        <v>3635</v>
      </c>
      <c r="BT344" s="0" t="s">
        <v>3636</v>
      </c>
      <c r="BU344" s="0" t="s">
        <v>3637</v>
      </c>
      <c r="BV344" s="123"/>
      <c r="BW344" s="123"/>
      <c r="BX344" s="123"/>
      <c r="BY344" s="123"/>
      <c r="CA344" s="0" t="s">
        <v>3638</v>
      </c>
      <c r="CD344" s="0" t="s">
        <v>256</v>
      </c>
      <c r="CE344" s="0" t="n">
        <v>0</v>
      </c>
      <c r="CF344" s="0" t="s">
        <v>3639</v>
      </c>
      <c r="CI344" s="1" t="n">
        <v>40371</v>
      </c>
      <c r="CJ344" s="1" t="n">
        <v>40851</v>
      </c>
      <c r="CK344" s="124" t="n">
        <v>0.833333333333333</v>
      </c>
      <c r="CL344" s="0" t="s">
        <v>3640</v>
      </c>
      <c r="CM344" s="0" t="n">
        <f aca="false">IF(OR(CI344="",CJ344=""),"",DAYS360(CI344,CJ344)/360)</f>
        <v>1.31111111111111</v>
      </c>
      <c r="CN344" s="0" t="n">
        <f aca="false">IF(OR(CI344="",CJ344=""),"",DAYS360(CI344,CJ344)/30)</f>
        <v>15.7333333333333</v>
      </c>
      <c r="CO344" s="0" t="n">
        <f aca="false">IF(OR(CI344="",CJ344=""),"",DAYS360(CI344,CJ344)/7)</f>
        <v>67.4285714285714</v>
      </c>
      <c r="CP344" s="0" t="n">
        <f aca="false">IF(OR(CI344="",CJ344=""),"",DAYS360(CI344,CJ344))</f>
        <v>472</v>
      </c>
      <c r="CQ344" s="0" t="s">
        <v>240</v>
      </c>
      <c r="CR344" s="0" t="n">
        <v>1</v>
      </c>
      <c r="CT344" s="0" t="s">
        <v>221</v>
      </c>
      <c r="CU344" s="0" t="s">
        <v>221</v>
      </c>
      <c r="CV344" s="0" t="str">
        <f aca="false">IF(OR(CT344="",CT344="NO ESPECIFICA",CT344="NO MENCIONA"),"",IF(CU344=0,CT344,IF(CU344=1,CT344/30,IF(CU344=2,CT344/15,IF(CU344=3,CT344/7,"")))))</f>
        <v/>
      </c>
      <c r="CW344" s="125" t="n">
        <v>1500</v>
      </c>
      <c r="CX344" s="0" t="n">
        <v>3</v>
      </c>
      <c r="CY344" s="0" t="n">
        <f aca="false">IF(CW344="","",IF(CX344=0,CW344,IF(CX344=1,CW344/30,IF(CX344=2,CW344/15,IF(CX344=3,CW344/7,CW344)))))</f>
        <v>214.285714285714</v>
      </c>
      <c r="CZ344" s="0" t="n">
        <f aca="false">IF(DI344&gt;0,DI344,IF(CY344&gt;0,CY344,IF(CV344&gt;0,CV344,"")))</f>
        <v>214.28</v>
      </c>
      <c r="DA344" s="0" t="n">
        <f aca="false">IF(DM344=1,CZ344/8,IF(OR(DM344=2,DM344=4),CZ344/7,IF(DM344=3,CZ344/7.5,"")))</f>
        <v>26.785</v>
      </c>
      <c r="DB344" s="0" t="s">
        <v>216</v>
      </c>
      <c r="DC344" s="0" t="s">
        <v>216</v>
      </c>
      <c r="DD344" s="0" t="s">
        <v>216</v>
      </c>
      <c r="DE344" s="0" t="s">
        <v>216</v>
      </c>
      <c r="DF344" s="0" t="s">
        <v>216</v>
      </c>
      <c r="DG344" s="0" t="s">
        <v>216</v>
      </c>
      <c r="DH344" s="0" t="n">
        <v>0</v>
      </c>
      <c r="DI344" s="126" t="n">
        <v>214.28</v>
      </c>
      <c r="DK344" s="0" t="n">
        <v>0</v>
      </c>
      <c r="DM344" s="0" t="n">
        <v>1</v>
      </c>
      <c r="DN344" s="0" t="n">
        <v>78</v>
      </c>
      <c r="DO344" s="0" t="n">
        <v>3</v>
      </c>
      <c r="DP344" s="0" t="n">
        <v>0</v>
      </c>
      <c r="DQ344" s="0" t="n">
        <v>1</v>
      </c>
      <c r="DR344" s="0"/>
      <c r="DS344" s="0" t="n">
        <v>1</v>
      </c>
      <c r="DU344" s="0" t="n">
        <v>1</v>
      </c>
      <c r="DW344" s="1" t="n">
        <f aca="false">CI344</f>
        <v>40371</v>
      </c>
      <c r="DX344" s="1" t="n">
        <f aca="false">CJ344</f>
        <v>40851</v>
      </c>
      <c r="DZ344" s="0"/>
      <c r="EA344" s="0" t="n">
        <v>1</v>
      </c>
      <c r="EC344" s="1" t="n">
        <v>40544</v>
      </c>
      <c r="ED344" s="1" t="n">
        <f aca="false">CJ344</f>
        <v>40851</v>
      </c>
      <c r="EF344" s="0"/>
      <c r="EG344" s="0" t="n">
        <v>1</v>
      </c>
      <c r="EH344" s="0" t="n">
        <v>30</v>
      </c>
      <c r="EI344" s="0" t="n">
        <f aca="false">IF(AND(DM344=1,DN344&lt;=48),"",IF(AND(DM344=2,DN344&lt;=42),"",IF(AND(DM344=3,DN344&lt;=45),"",EH344)))</f>
        <v>30</v>
      </c>
      <c r="EJ344" s="0" t="n">
        <f aca="false">IF(EI344="","",IF(EI344&lt;9,EI344,9))</f>
        <v>9</v>
      </c>
      <c r="EK344" s="0" t="n">
        <f aca="false">IF(EI344="","",IF(EI344&gt;9,EI344-EJ344,0))</f>
        <v>21</v>
      </c>
      <c r="EL344" s="0" t="n">
        <f aca="false">IF(EI344="","",EJ344*DA344*2+EK344*DA344*3)</f>
        <v>2169.585</v>
      </c>
      <c r="EP344" s="0" t="n">
        <v>0</v>
      </c>
      <c r="EQ344" s="0"/>
      <c r="ER344" s="0" t="n">
        <v>0</v>
      </c>
      <c r="ET344" s="0" t="n">
        <v>0</v>
      </c>
      <c r="EV344" s="0" t="n">
        <v>0</v>
      </c>
      <c r="EX344" s="0" t="n">
        <v>1</v>
      </c>
      <c r="EY344" s="0" t="n">
        <v>1</v>
      </c>
      <c r="EZ344" s="0"/>
      <c r="FA344" s="0"/>
      <c r="FB344" s="0" t="n">
        <v>0</v>
      </c>
      <c r="FF344" s="120" t="n">
        <f aca="false">(CJ344-CI344+1)/365</f>
        <v>1.31780821917808</v>
      </c>
      <c r="FG344" s="0" t="str">
        <f aca="false">CONCATENATE(F344,"/",G344)</f>
        <v>1913/2011</v>
      </c>
      <c r="FH344" s="0" t="n">
        <v>0</v>
      </c>
      <c r="FI344" s="0" t="n">
        <v>0</v>
      </c>
    </row>
    <row r="345" customFormat="false" ht="15" hidden="false" customHeight="false" outlineLevel="0" collapsed="false">
      <c r="A345" s="5" t="str">
        <f aca="false">E345&amp;G345&amp;F345</f>
        <v>720111929</v>
      </c>
      <c r="B345" s="0" t="s">
        <v>3556</v>
      </c>
      <c r="C345" s="1" t="n">
        <v>42412</v>
      </c>
      <c r="D345" s="0" t="s">
        <v>1856</v>
      </c>
      <c r="E345" s="0" t="n">
        <v>7</v>
      </c>
      <c r="F345" s="0" t="n">
        <v>1929</v>
      </c>
      <c r="G345" s="0" t="n">
        <v>2011</v>
      </c>
      <c r="H345" s="0" t="str">
        <f aca="false">"J"&amp;E345&amp;"\"&amp;F345&amp;"\"&amp;G345&amp;"\"&amp;W345</f>
        <v>J7\1929\2011\1</v>
      </c>
      <c r="I345" s="0"/>
      <c r="J345" s="1" t="n">
        <v>40865</v>
      </c>
      <c r="K345" s="0" t="n">
        <v>0</v>
      </c>
      <c r="M345" s="1"/>
      <c r="N345" s="1"/>
      <c r="O345" s="1"/>
      <c r="P345" s="1"/>
      <c r="Q345" s="1"/>
      <c r="T345" s="121"/>
      <c r="U345" s="121"/>
      <c r="V345" s="122" t="n">
        <f aca="false">IF(AND(E345&gt;0,F345&gt;0,G345&gt;0),COUNTIFS($E:$E,E345,$F:$F,F345,$G:$G,G345),"")</f>
        <v>3</v>
      </c>
      <c r="W345" s="122" t="n">
        <f aca="false">IF(V345="","",IF(V345=1,1,IF(AND(E344=E345,F344=F345,G344=G345),W344+1,1)))</f>
        <v>1</v>
      </c>
      <c r="X345" s="0" t="n">
        <v>3</v>
      </c>
      <c r="Y345" s="0" t="n">
        <v>2</v>
      </c>
      <c r="Z345" s="0" t="s">
        <v>3641</v>
      </c>
      <c r="AA345" s="0" t="n">
        <v>0</v>
      </c>
      <c r="AB345" s="0" t="s">
        <v>3642</v>
      </c>
      <c r="AC345" s="0" t="s">
        <v>318</v>
      </c>
      <c r="AD345" s="0" t="s">
        <v>221</v>
      </c>
      <c r="AE345" s="0" t="n">
        <v>0</v>
      </c>
      <c r="AF345" s="0" t="s">
        <v>3643</v>
      </c>
      <c r="AG345" s="0" t="n">
        <v>0</v>
      </c>
      <c r="AH345" s="0" t="s">
        <v>3644</v>
      </c>
      <c r="AI345" s="0" t="s">
        <v>3645</v>
      </c>
      <c r="AJ345" s="0" t="s">
        <v>229</v>
      </c>
      <c r="AL345" s="0" t="s">
        <v>1880</v>
      </c>
      <c r="AM345" s="0" t="n">
        <v>1</v>
      </c>
      <c r="AN345" s="0" t="s">
        <v>3644</v>
      </c>
      <c r="AO345" s="0" t="s">
        <v>3645</v>
      </c>
      <c r="AP345" s="0" t="s">
        <v>229</v>
      </c>
      <c r="BP345" s="0" t="n">
        <v>0</v>
      </c>
      <c r="BQ345" s="0" t="n">
        <v>0</v>
      </c>
      <c r="BR345" s="0" t="n">
        <v>1</v>
      </c>
      <c r="BS345" s="0" t="s">
        <v>3646</v>
      </c>
      <c r="BT345" s="0" t="s">
        <v>3168</v>
      </c>
      <c r="BU345" s="0" t="s">
        <v>3647</v>
      </c>
      <c r="BV345" s="123"/>
      <c r="BW345" s="123"/>
      <c r="BX345" s="123"/>
      <c r="BY345" s="123"/>
      <c r="CA345" s="0" t="s">
        <v>3648</v>
      </c>
      <c r="CD345" s="0" t="s">
        <v>296</v>
      </c>
      <c r="CE345" s="0" t="n">
        <v>0</v>
      </c>
      <c r="CF345" s="0" t="s">
        <v>3649</v>
      </c>
      <c r="CI345" s="1" t="n">
        <v>40756</v>
      </c>
      <c r="CJ345" s="1" t="n">
        <v>40806</v>
      </c>
      <c r="CK345" s="124" t="n">
        <v>0.458333333333333</v>
      </c>
      <c r="CL345" s="0" t="s">
        <v>3650</v>
      </c>
      <c r="CM345" s="0" t="n">
        <f aca="false">IF(OR(CI345="",CJ345=""),"",DAYS360(CI345,CJ345)/360)</f>
        <v>0.136111111111111</v>
      </c>
      <c r="CN345" s="0" t="n">
        <f aca="false">IF(OR(CI345="",CJ345=""),"",DAYS360(CI345,CJ345)/30)</f>
        <v>1.63333333333333</v>
      </c>
      <c r="CO345" s="0" t="n">
        <f aca="false">IF(OR(CI345="",CJ345=""),"",DAYS360(CI345,CJ345)/7)</f>
        <v>7</v>
      </c>
      <c r="CP345" s="0" t="n">
        <f aca="false">IF(OR(CI345="",CJ345=""),"",DAYS360(CI345,CJ345))</f>
        <v>49</v>
      </c>
      <c r="CQ345" s="0" t="s">
        <v>240</v>
      </c>
      <c r="CR345" s="0" t="n">
        <v>1</v>
      </c>
      <c r="CT345" s="0" t="n">
        <v>356.32</v>
      </c>
      <c r="CU345" s="0" t="n">
        <v>0</v>
      </c>
      <c r="CV345" s="0" t="n">
        <f aca="false">IF(OR(CT345="",CT345="NO ESPECIFICA",CT345="NO MENCIONA"),"",IF(CU345=0,CT345,IF(CU345=1,CT345/30,IF(CU345=2,CT345/15,IF(CU345=3,CT345/7,"")))))</f>
        <v>356.32</v>
      </c>
      <c r="CW345" s="125" t="s">
        <v>216</v>
      </c>
      <c r="CX345" s="0" t="s">
        <v>216</v>
      </c>
      <c r="CY345" s="0" t="str">
        <f aca="false">IF(CW345="","",IF(CX345=0,CW345,IF(CX345=1,CW345/30,IF(CX345=2,CW345/15,IF(CX345=3,CW345/7,CW345)))))</f>
        <v>NO MENCIONA</v>
      </c>
      <c r="CZ345" s="0" t="n">
        <f aca="false">IF(DI345&gt;0,DI345,IF(CY345&gt;0,CY345,IF(CV345&gt;0,CV345,"")))</f>
        <v>426.32</v>
      </c>
      <c r="DA345" s="0" t="n">
        <f aca="false">IF(DM345=1,CZ345/8,IF(OR(DM345=2,DM345=4),CZ345/7,IF(DM345=3,CZ345/7.5,"")))</f>
        <v>53.29</v>
      </c>
      <c r="DB345" s="0" t="s">
        <v>299</v>
      </c>
      <c r="DC345" s="0" t="s">
        <v>3651</v>
      </c>
      <c r="DD345" s="0" t="s">
        <v>216</v>
      </c>
      <c r="DE345" s="0" t="s">
        <v>216</v>
      </c>
      <c r="DF345" s="0" t="s">
        <v>216</v>
      </c>
      <c r="DG345" s="0" t="s">
        <v>216</v>
      </c>
      <c r="DH345" s="0" t="n">
        <v>0</v>
      </c>
      <c r="DI345" s="126" t="n">
        <f aca="false">CT345+(350/7)+(300/15)</f>
        <v>426.32</v>
      </c>
      <c r="DK345" s="0" t="n">
        <v>0</v>
      </c>
      <c r="DM345" s="0" t="n">
        <v>1</v>
      </c>
      <c r="DN345" s="0" t="n">
        <v>66</v>
      </c>
      <c r="DO345" s="0" t="n">
        <v>3</v>
      </c>
      <c r="DP345" s="0" t="n">
        <v>0</v>
      </c>
      <c r="DQ345" s="0" t="n">
        <v>1</v>
      </c>
      <c r="DR345" s="0"/>
      <c r="DS345" s="0" t="n">
        <v>1</v>
      </c>
      <c r="DU345" s="0" t="n">
        <v>1</v>
      </c>
      <c r="DW345" s="1" t="n">
        <f aca="false">CI345</f>
        <v>40756</v>
      </c>
      <c r="DX345" s="1" t="n">
        <f aca="false">CJ345</f>
        <v>40806</v>
      </c>
      <c r="DZ345" s="0"/>
      <c r="EA345" s="0" t="n">
        <v>1</v>
      </c>
      <c r="EC345" s="1" t="n">
        <f aca="false">CI345</f>
        <v>40756</v>
      </c>
      <c r="ED345" s="1" t="n">
        <f aca="false">CJ345</f>
        <v>40806</v>
      </c>
      <c r="EF345" s="0"/>
      <c r="EG345" s="0" t="n">
        <v>1</v>
      </c>
      <c r="EH345" s="0" t="n">
        <v>26</v>
      </c>
      <c r="EI345" s="0" t="n">
        <f aca="false">IF(AND(DM345=1,DN345&lt;=48),"",IF(AND(DM345=2,DN345&lt;=42),"",IF(AND(DM345=3,DN345&lt;=45),"",EH345)))</f>
        <v>26</v>
      </c>
      <c r="EJ345" s="0" t="n">
        <f aca="false">IF(EI345="","",IF(EI345&lt;9,EI345,9))</f>
        <v>9</v>
      </c>
      <c r="EK345" s="0" t="n">
        <f aca="false">IF(EI345="","",IF(EI345&gt;9,EI345-EJ345,0))</f>
        <v>17</v>
      </c>
      <c r="EL345" s="0" t="n">
        <f aca="false">IF(EI345="","",EJ345*DA345*2+EK345*DA345*3)</f>
        <v>3677.01</v>
      </c>
      <c r="EP345" s="0" t="n">
        <v>0</v>
      </c>
      <c r="EQ345" s="0"/>
      <c r="ER345" s="0" t="n">
        <v>0</v>
      </c>
      <c r="ET345" s="0" t="n">
        <v>0</v>
      </c>
      <c r="EV345" s="0" t="n">
        <v>0</v>
      </c>
      <c r="EX345" s="0" t="n">
        <v>0</v>
      </c>
      <c r="EY345" s="0" t="n">
        <v>1</v>
      </c>
      <c r="EZ345" s="0"/>
      <c r="FA345" s="0"/>
      <c r="FB345" s="0" t="n">
        <v>0</v>
      </c>
      <c r="FF345" s="120" t="n">
        <f aca="false">(CJ345-CI345+1)/365</f>
        <v>0.13972602739726</v>
      </c>
      <c r="FG345" s="0" t="str">
        <f aca="false">CONCATENATE(F345,"/",G345)</f>
        <v>1929/2011</v>
      </c>
      <c r="FH345" s="0" t="n">
        <v>0</v>
      </c>
      <c r="FI345" s="0" t="n">
        <v>0</v>
      </c>
    </row>
    <row r="346" customFormat="false" ht="15" hidden="false" customHeight="false" outlineLevel="0" collapsed="false">
      <c r="A346" s="5" t="str">
        <f aca="false">E346&amp;G346&amp;F346</f>
        <v>720111929</v>
      </c>
      <c r="B346" s="0" t="s">
        <v>3556</v>
      </c>
      <c r="C346" s="1" t="n">
        <v>42412</v>
      </c>
      <c r="D346" s="0" t="s">
        <v>1856</v>
      </c>
      <c r="E346" s="0" t="n">
        <v>7</v>
      </c>
      <c r="F346" s="0" t="n">
        <v>1929</v>
      </c>
      <c r="G346" s="0" t="n">
        <v>2011</v>
      </c>
      <c r="H346" s="0" t="str">
        <f aca="false">"J"&amp;E346&amp;"\"&amp;F346&amp;"\"&amp;G346&amp;"\"&amp;W346</f>
        <v>J7\1929\2011\2</v>
      </c>
      <c r="I346" s="0"/>
      <c r="J346" s="1" t="n">
        <v>40865</v>
      </c>
      <c r="K346" s="0" t="n">
        <v>0</v>
      </c>
      <c r="M346" s="1"/>
      <c r="N346" s="1"/>
      <c r="O346" s="1"/>
      <c r="P346" s="1"/>
      <c r="Q346" s="1"/>
      <c r="T346" s="121"/>
      <c r="U346" s="121"/>
      <c r="V346" s="122" t="n">
        <f aca="false">IF(AND(E346&gt;0,F346&gt;0,G346&gt;0),COUNTIFS($E:$E,E346,$F:$F,F346,$G:$G,G346),"")</f>
        <v>3</v>
      </c>
      <c r="W346" s="122" t="n">
        <f aca="false">IF(V346="","",IF(V346=1,1,IF(AND(E345=E346,F345=F346,G345=G346),W345+1,1)))</f>
        <v>2</v>
      </c>
      <c r="X346" s="0" t="n">
        <v>3</v>
      </c>
      <c r="Y346" s="0" t="n">
        <v>2</v>
      </c>
      <c r="Z346" s="0" t="s">
        <v>3652</v>
      </c>
      <c r="AA346" s="0" t="n">
        <v>0</v>
      </c>
      <c r="AB346" s="0" t="s">
        <v>3642</v>
      </c>
      <c r="AC346" s="0" t="s">
        <v>318</v>
      </c>
      <c r="AD346" s="0" t="s">
        <v>221</v>
      </c>
      <c r="AE346" s="0" t="n">
        <v>0</v>
      </c>
      <c r="AF346" s="0" t="s">
        <v>3643</v>
      </c>
      <c r="AG346" s="0" t="n">
        <v>0</v>
      </c>
      <c r="AH346" s="0" t="s">
        <v>3644</v>
      </c>
      <c r="AI346" s="0" t="s">
        <v>3645</v>
      </c>
      <c r="AJ346" s="0" t="s">
        <v>229</v>
      </c>
      <c r="AL346" s="0" t="s">
        <v>1880</v>
      </c>
      <c r="AM346" s="0" t="n">
        <v>1</v>
      </c>
      <c r="AN346" s="0" t="s">
        <v>3644</v>
      </c>
      <c r="AO346" s="0" t="s">
        <v>3645</v>
      </c>
      <c r="AP346" s="0" t="s">
        <v>229</v>
      </c>
      <c r="BP346" s="0" t="n">
        <v>0</v>
      </c>
      <c r="BQ346" s="0" t="n">
        <v>0</v>
      </c>
      <c r="BR346" s="0" t="n">
        <v>1</v>
      </c>
      <c r="BS346" s="0" t="s">
        <v>3646</v>
      </c>
      <c r="BT346" s="0" t="s">
        <v>3168</v>
      </c>
      <c r="BU346" s="0" t="s">
        <v>3647</v>
      </c>
      <c r="BV346" s="123"/>
      <c r="BW346" s="123"/>
      <c r="BX346" s="123"/>
      <c r="BY346" s="123"/>
      <c r="CA346" s="0" t="s">
        <v>3648</v>
      </c>
      <c r="CD346" s="0" t="s">
        <v>296</v>
      </c>
      <c r="CE346" s="0" t="n">
        <v>0</v>
      </c>
      <c r="CF346" s="0" t="s">
        <v>3653</v>
      </c>
      <c r="CI346" s="1" t="n">
        <v>40739</v>
      </c>
      <c r="CJ346" s="1" t="n">
        <v>40806</v>
      </c>
      <c r="CK346" s="124" t="n">
        <v>0.458333333333333</v>
      </c>
      <c r="CL346" s="0" t="s">
        <v>3650</v>
      </c>
      <c r="CM346" s="0" t="n">
        <f aca="false">IF(OR(CI346="",CJ346=""),"",DAYS360(CI346,CJ346)/360)</f>
        <v>0.180555555555556</v>
      </c>
      <c r="CN346" s="0" t="n">
        <f aca="false">IF(OR(CI346="",CJ346=""),"",DAYS360(CI346,CJ346)/30)</f>
        <v>2.16666666666667</v>
      </c>
      <c r="CO346" s="0" t="n">
        <f aca="false">IF(OR(CI346="",CJ346=""),"",DAYS360(CI346,CJ346)/7)</f>
        <v>9.28571428571429</v>
      </c>
      <c r="CP346" s="0" t="n">
        <f aca="false">IF(OR(CI346="",CJ346=""),"",DAYS360(CI346,CJ346))</f>
        <v>65</v>
      </c>
      <c r="CQ346" s="0" t="s">
        <v>240</v>
      </c>
      <c r="CR346" s="0" t="n">
        <v>1</v>
      </c>
      <c r="CT346" s="0" t="n">
        <v>326</v>
      </c>
      <c r="CU346" s="0" t="n">
        <v>0</v>
      </c>
      <c r="CV346" s="0" t="n">
        <f aca="false">IF(OR(CT346="",CT346="NO ESPECIFICA",CT346="NO MENCIONA"),"",IF(CU346=0,CT346,IF(CU346=1,CT346/30,IF(CU346=2,CT346/15,IF(CU346=3,CT346/7,"")))))</f>
        <v>326</v>
      </c>
      <c r="CW346" s="125" t="s">
        <v>216</v>
      </c>
      <c r="CX346" s="0" t="s">
        <v>216</v>
      </c>
      <c r="CY346" s="0" t="str">
        <f aca="false">IF(CW346="","",IF(CX346=0,CW346,IF(CX346=1,CW346/30,IF(CX346=2,CW346/15,IF(CX346=3,CW346/7,CW346)))))</f>
        <v>NO MENCIONA</v>
      </c>
      <c r="CZ346" s="0" t="n">
        <f aca="false">IF(DI346&gt;0,DI346,IF(CY346&gt;0,CY346,IF(CV346&gt;0,CV346,"")))</f>
        <v>396</v>
      </c>
      <c r="DA346" s="0" t="n">
        <f aca="false">IF(DM346=1,CZ346/8,IF(OR(DM346=2,DM346=4),CZ346/7,IF(DM346=3,CZ346/7.5,"")))</f>
        <v>49.5</v>
      </c>
      <c r="DB346" s="0" t="s">
        <v>299</v>
      </c>
      <c r="DC346" s="0" t="s">
        <v>3651</v>
      </c>
      <c r="DD346" s="0" t="s">
        <v>216</v>
      </c>
      <c r="DE346" s="0" t="s">
        <v>216</v>
      </c>
      <c r="DF346" s="0" t="s">
        <v>216</v>
      </c>
      <c r="DG346" s="0" t="s">
        <v>216</v>
      </c>
      <c r="DH346" s="0" t="n">
        <v>0</v>
      </c>
      <c r="DI346" s="126" t="n">
        <f aca="false">CT346+(350/7)+(300/15)</f>
        <v>396</v>
      </c>
      <c r="DK346" s="0" t="n">
        <v>1</v>
      </c>
      <c r="DM346" s="0" t="n">
        <v>1</v>
      </c>
      <c r="DN346" s="0" t="n">
        <v>66</v>
      </c>
      <c r="DO346" s="0" t="n">
        <v>3</v>
      </c>
      <c r="DP346" s="0" t="n">
        <v>0</v>
      </c>
      <c r="DQ346" s="0" t="n">
        <v>1</v>
      </c>
      <c r="DR346" s="0"/>
      <c r="DS346" s="0" t="n">
        <v>1</v>
      </c>
      <c r="DU346" s="0" t="n">
        <v>1</v>
      </c>
      <c r="DW346" s="1" t="n">
        <f aca="false">CI346</f>
        <v>40739</v>
      </c>
      <c r="DX346" s="1" t="n">
        <f aca="false">CJ346</f>
        <v>40806</v>
      </c>
      <c r="DZ346" s="0"/>
      <c r="EA346" s="0" t="n">
        <v>1</v>
      </c>
      <c r="EC346" s="1" t="n">
        <f aca="false">CI346</f>
        <v>40739</v>
      </c>
      <c r="ED346" s="1" t="n">
        <f aca="false">CJ346</f>
        <v>40806</v>
      </c>
      <c r="EF346" s="0"/>
      <c r="EG346" s="0" t="n">
        <v>1</v>
      </c>
      <c r="EH346" s="0" t="n">
        <v>26</v>
      </c>
      <c r="EI346" s="0" t="n">
        <f aca="false">IF(AND(DM346=1,DN346&lt;=48),"",IF(AND(DM346=2,DN346&lt;=42),"",IF(AND(DM346=3,DN346&lt;=45),"",EH346)))</f>
        <v>26</v>
      </c>
      <c r="EJ346" s="0" t="n">
        <f aca="false">IF(EI346="","",IF(EI346&lt;9,EI346,9))</f>
        <v>9</v>
      </c>
      <c r="EK346" s="0" t="n">
        <f aca="false">IF(EI346="","",IF(EI346&gt;9,EI346-EJ346,0))</f>
        <v>17</v>
      </c>
      <c r="EL346" s="0" t="n">
        <f aca="false">IF(EI346="","",EJ346*DA346*2+EK346*DA346*3)</f>
        <v>3415.5</v>
      </c>
      <c r="EP346" s="0" t="n">
        <v>0</v>
      </c>
      <c r="EQ346" s="0"/>
      <c r="ER346" s="0" t="n">
        <v>0</v>
      </c>
      <c r="ET346" s="0" t="n">
        <v>0</v>
      </c>
      <c r="EV346" s="0" t="n">
        <v>0</v>
      </c>
      <c r="EX346" s="0" t="n">
        <v>0</v>
      </c>
      <c r="EY346" s="0" t="n">
        <v>1</v>
      </c>
      <c r="EZ346" s="0"/>
      <c r="FA346" s="0"/>
      <c r="FB346" s="0" t="n">
        <v>0</v>
      </c>
      <c r="FF346" s="120" t="n">
        <f aca="false">(CJ346-CI346+1)/365</f>
        <v>0.186301369863014</v>
      </c>
      <c r="FG346" s="0" t="str">
        <f aca="false">CONCATENATE(F346,"/",G346)</f>
        <v>1929/2011</v>
      </c>
      <c r="FH346" s="0" t="n">
        <v>0</v>
      </c>
      <c r="FI346" s="0" t="n">
        <v>0</v>
      </c>
    </row>
    <row r="347" customFormat="false" ht="15" hidden="false" customHeight="false" outlineLevel="0" collapsed="false">
      <c r="A347" s="5" t="str">
        <f aca="false">E347&amp;G347&amp;F347</f>
        <v>720111929</v>
      </c>
      <c r="B347" s="0" t="s">
        <v>3556</v>
      </c>
      <c r="C347" s="1" t="n">
        <v>42412</v>
      </c>
      <c r="D347" s="0" t="s">
        <v>1856</v>
      </c>
      <c r="E347" s="0" t="n">
        <v>7</v>
      </c>
      <c r="F347" s="0" t="n">
        <v>1929</v>
      </c>
      <c r="G347" s="0" t="n">
        <v>2011</v>
      </c>
      <c r="H347" s="0" t="str">
        <f aca="false">"J"&amp;E347&amp;"\"&amp;F347&amp;"\"&amp;G347&amp;"\"&amp;W347</f>
        <v>J7\1929\2011\3</v>
      </c>
      <c r="I347" s="0"/>
      <c r="J347" s="1" t="n">
        <v>40865</v>
      </c>
      <c r="K347" s="0" t="n">
        <v>0</v>
      </c>
      <c r="M347" s="1"/>
      <c r="N347" s="1"/>
      <c r="O347" s="1"/>
      <c r="P347" s="1"/>
      <c r="Q347" s="1"/>
      <c r="T347" s="121"/>
      <c r="U347" s="121"/>
      <c r="V347" s="122" t="n">
        <f aca="false">IF(AND(E347&gt;0,F347&gt;0,G347&gt;0),COUNTIFS($E:$E,E347,$F:$F,F347,$G:$G,G347),"")</f>
        <v>3</v>
      </c>
      <c r="W347" s="122" t="n">
        <f aca="false">IF(V347="","",IF(V347=1,1,IF(AND(E346=E347,F346=F347,G346=G347),W346+1,1)))</f>
        <v>3</v>
      </c>
      <c r="X347" s="0" t="n">
        <v>3</v>
      </c>
      <c r="Y347" s="0" t="n">
        <v>2</v>
      </c>
      <c r="Z347" s="0" t="s">
        <v>3654</v>
      </c>
      <c r="AA347" s="0" t="n">
        <v>0</v>
      </c>
      <c r="AB347" s="0" t="s">
        <v>3642</v>
      </c>
      <c r="AC347" s="0" t="s">
        <v>318</v>
      </c>
      <c r="AD347" s="0" t="s">
        <v>221</v>
      </c>
      <c r="AE347" s="0" t="n">
        <v>0</v>
      </c>
      <c r="AF347" s="0" t="s">
        <v>3643</v>
      </c>
      <c r="AG347" s="0" t="n">
        <v>0</v>
      </c>
      <c r="AH347" s="0" t="s">
        <v>3644</v>
      </c>
      <c r="AI347" s="0" t="s">
        <v>3645</v>
      </c>
      <c r="AJ347" s="0" t="s">
        <v>229</v>
      </c>
      <c r="AL347" s="0" t="s">
        <v>1880</v>
      </c>
      <c r="AM347" s="0" t="n">
        <v>1</v>
      </c>
      <c r="AN347" s="0" t="s">
        <v>3644</v>
      </c>
      <c r="AO347" s="0" t="s">
        <v>3645</v>
      </c>
      <c r="AP347" s="0" t="s">
        <v>229</v>
      </c>
      <c r="BP347" s="0" t="n">
        <v>0</v>
      </c>
      <c r="BQ347" s="0" t="n">
        <v>0</v>
      </c>
      <c r="BR347" s="0" t="n">
        <v>1</v>
      </c>
      <c r="BS347" s="0" t="s">
        <v>3646</v>
      </c>
      <c r="BT347" s="0" t="s">
        <v>3168</v>
      </c>
      <c r="BU347" s="0" t="s">
        <v>3647</v>
      </c>
      <c r="BV347" s="123"/>
      <c r="BW347" s="123"/>
      <c r="BX347" s="123"/>
      <c r="BY347" s="123"/>
      <c r="CA347" s="0" t="s">
        <v>3648</v>
      </c>
      <c r="CD347" s="0" t="s">
        <v>296</v>
      </c>
      <c r="CE347" s="0" t="n">
        <v>0</v>
      </c>
      <c r="CF347" s="0" t="s">
        <v>1132</v>
      </c>
      <c r="CI347" s="1" t="n">
        <v>40709</v>
      </c>
      <c r="CJ347" s="1" t="n">
        <v>40806</v>
      </c>
      <c r="CK347" s="124" t="n">
        <v>0.458333333333333</v>
      </c>
      <c r="CL347" s="0" t="s">
        <v>3650</v>
      </c>
      <c r="CM347" s="0" t="n">
        <f aca="false">IF(OR(CI347="",CJ347=""),"",DAYS360(CI347,CJ347)/360)</f>
        <v>0.263888888888889</v>
      </c>
      <c r="CN347" s="0" t="n">
        <f aca="false">IF(OR(CI347="",CJ347=""),"",DAYS360(CI347,CJ347)/30)</f>
        <v>3.16666666666667</v>
      </c>
      <c r="CO347" s="0" t="n">
        <f aca="false">IF(OR(CI347="",CJ347=""),"",DAYS360(CI347,CJ347)/7)</f>
        <v>13.5714285714286</v>
      </c>
      <c r="CP347" s="0" t="n">
        <f aca="false">IF(OR(CI347="",CJ347=""),"",DAYS360(CI347,CJ347))</f>
        <v>95</v>
      </c>
      <c r="CQ347" s="0" t="s">
        <v>240</v>
      </c>
      <c r="CR347" s="0" t="n">
        <v>1</v>
      </c>
      <c r="CT347" s="0" t="n">
        <v>350.23</v>
      </c>
      <c r="CU347" s="0" t="n">
        <v>0</v>
      </c>
      <c r="CV347" s="0" t="n">
        <f aca="false">IF(OR(CT347="",CT347="NO ESPECIFICA",CT347="NO MENCIONA"),"",IF(CU347=0,CT347,IF(CU347=1,CT347/30,IF(CU347=2,CT347/15,IF(CU347=3,CT347/7,"")))))</f>
        <v>350.23</v>
      </c>
      <c r="CW347" s="125" t="s">
        <v>216</v>
      </c>
      <c r="CX347" s="0" t="s">
        <v>216</v>
      </c>
      <c r="CY347" s="0" t="str">
        <f aca="false">IF(CW347="","",IF(CX347=0,CW347,IF(CX347=1,CW347/30,IF(CX347=2,CW347/15,IF(CX347=3,CW347/7,CW347)))))</f>
        <v>NO MENCIONA</v>
      </c>
      <c r="CZ347" s="0" t="n">
        <f aca="false">IF(DI347&gt;0,DI347,IF(CY347&gt;0,CY347,IF(CV347&gt;0,CV347,"")))</f>
        <v>420.23</v>
      </c>
      <c r="DA347" s="0" t="n">
        <f aca="false">IF(DM347=1,CZ347/8,IF(OR(DM347=2,DM347=4),CZ347/7,IF(DM347=3,CZ347/7.5,"")))</f>
        <v>52.52875</v>
      </c>
      <c r="DB347" s="0" t="s">
        <v>299</v>
      </c>
      <c r="DC347" s="0" t="s">
        <v>3651</v>
      </c>
      <c r="DD347" s="0" t="s">
        <v>216</v>
      </c>
      <c r="DE347" s="0" t="s">
        <v>216</v>
      </c>
      <c r="DF347" s="0" t="s">
        <v>216</v>
      </c>
      <c r="DG347" s="0" t="s">
        <v>216</v>
      </c>
      <c r="DH347" s="0" t="n">
        <v>0</v>
      </c>
      <c r="DI347" s="126" t="n">
        <f aca="false">CT347+(350/7)+(300/15)</f>
        <v>420.23</v>
      </c>
      <c r="DK347" s="0" t="n">
        <v>1</v>
      </c>
      <c r="DM347" s="0" t="n">
        <v>1</v>
      </c>
      <c r="DN347" s="0" t="n">
        <v>66</v>
      </c>
      <c r="DO347" s="0" t="n">
        <v>3</v>
      </c>
      <c r="DP347" s="0" t="n">
        <v>0</v>
      </c>
      <c r="DQ347" s="0" t="n">
        <v>1</v>
      </c>
      <c r="DR347" s="0"/>
      <c r="DS347" s="0" t="n">
        <v>1</v>
      </c>
      <c r="DU347" s="0" t="n">
        <v>1</v>
      </c>
      <c r="DW347" s="1" t="n">
        <f aca="false">CI347</f>
        <v>40709</v>
      </c>
      <c r="DX347" s="1" t="n">
        <f aca="false">CJ347</f>
        <v>40806</v>
      </c>
      <c r="DZ347" s="0"/>
      <c r="EA347" s="0" t="n">
        <v>1</v>
      </c>
      <c r="EC347" s="1" t="n">
        <f aca="false">CI347</f>
        <v>40709</v>
      </c>
      <c r="ED347" s="1" t="n">
        <f aca="false">CJ347</f>
        <v>40806</v>
      </c>
      <c r="EF347" s="0"/>
      <c r="EG347" s="0" t="n">
        <v>1</v>
      </c>
      <c r="EH347" s="0" t="n">
        <v>26</v>
      </c>
      <c r="EI347" s="0" t="n">
        <f aca="false">IF(AND(DM347=1,DN347&lt;=48),"",IF(AND(DM347=2,DN347&lt;=42),"",IF(AND(DM347=3,DN347&lt;=45),"",EH347)))</f>
        <v>26</v>
      </c>
      <c r="EJ347" s="0" t="n">
        <f aca="false">IF(EI347="","",IF(EI347&lt;9,EI347,9))</f>
        <v>9</v>
      </c>
      <c r="EK347" s="0" t="n">
        <f aca="false">IF(EI347="","",IF(EI347&gt;9,EI347-EJ347,0))</f>
        <v>17</v>
      </c>
      <c r="EL347" s="0" t="n">
        <f aca="false">IF(EI347="","",EJ347*DA347*2+EK347*DA347*3)</f>
        <v>3624.48375</v>
      </c>
      <c r="EP347" s="0" t="n">
        <v>0</v>
      </c>
      <c r="EQ347" s="0"/>
      <c r="ER347" s="0" t="n">
        <v>0</v>
      </c>
      <c r="ET347" s="0" t="n">
        <v>0</v>
      </c>
      <c r="EV347" s="0" t="n">
        <v>0</v>
      </c>
      <c r="EX347" s="0" t="n">
        <v>0</v>
      </c>
      <c r="EY347" s="0" t="n">
        <v>1</v>
      </c>
      <c r="EZ347" s="0"/>
      <c r="FA347" s="0"/>
      <c r="FB347" s="0" t="n">
        <v>0</v>
      </c>
      <c r="FF347" s="120" t="n">
        <f aca="false">(CJ347-CI347+1)/365</f>
        <v>0.268493150684932</v>
      </c>
      <c r="FG347" s="0" t="str">
        <f aca="false">CONCATENATE(F347,"/",G347)</f>
        <v>1929/2011</v>
      </c>
      <c r="FH347" s="0" t="n">
        <v>0</v>
      </c>
      <c r="FI347" s="0" t="n">
        <v>0</v>
      </c>
    </row>
    <row r="348" customFormat="false" ht="15" hidden="false" customHeight="false" outlineLevel="0" collapsed="false">
      <c r="A348" s="5" t="str">
        <f aca="false">E348&amp;G348&amp;F348</f>
        <v>720111935</v>
      </c>
      <c r="B348" s="0" t="s">
        <v>3556</v>
      </c>
      <c r="C348" s="1" t="n">
        <v>42412</v>
      </c>
      <c r="D348" s="0" t="s">
        <v>1856</v>
      </c>
      <c r="E348" s="0" t="n">
        <v>7</v>
      </c>
      <c r="F348" s="0" t="n">
        <v>1935</v>
      </c>
      <c r="G348" s="0" t="n">
        <v>2011</v>
      </c>
      <c r="H348" s="0" t="str">
        <f aca="false">"J"&amp;E348&amp;"\"&amp;F348&amp;"\"&amp;G348&amp;"\"&amp;W348</f>
        <v>J7\1935\2011\1</v>
      </c>
      <c r="I348" s="0"/>
      <c r="J348" s="1" t="n">
        <v>40865</v>
      </c>
      <c r="K348" s="0" t="n">
        <v>0</v>
      </c>
      <c r="M348" s="1"/>
      <c r="N348" s="1"/>
      <c r="O348" s="1"/>
      <c r="P348" s="1"/>
      <c r="Q348" s="1"/>
      <c r="T348" s="121"/>
      <c r="U348" s="121"/>
      <c r="V348" s="122" t="n">
        <f aca="false">IF(AND(E348&gt;0,F348&gt;0,G348&gt;0),COUNTIFS($E:$E,E348,$F:$F,F348,$G:$G,G348),"")</f>
        <v>1</v>
      </c>
      <c r="W348" s="122" t="n">
        <f aca="false">IF(V348="","",IF(V348=1,1,IF(AND(E347=E348,F347=F348,G347=G348),W347+1,1)))</f>
        <v>1</v>
      </c>
      <c r="X348" s="0" t="n">
        <v>1</v>
      </c>
      <c r="Y348" s="0" t="n">
        <v>3</v>
      </c>
      <c r="Z348" s="0" t="s">
        <v>3655</v>
      </c>
      <c r="AA348" s="0" t="n">
        <v>0</v>
      </c>
      <c r="AB348" s="0" t="s">
        <v>3589</v>
      </c>
      <c r="AC348" s="0" t="s">
        <v>228</v>
      </c>
      <c r="AD348" s="0" t="s">
        <v>229</v>
      </c>
      <c r="AE348" s="0" t="n">
        <v>0</v>
      </c>
      <c r="AF348" s="0" t="s">
        <v>3656</v>
      </c>
      <c r="AG348" s="0" t="n">
        <v>0</v>
      </c>
      <c r="AH348" s="0" t="s">
        <v>3657</v>
      </c>
      <c r="AI348" s="0" t="s">
        <v>3052</v>
      </c>
      <c r="AJ348" s="0" t="s">
        <v>322</v>
      </c>
      <c r="AL348" s="0" t="s">
        <v>3658</v>
      </c>
      <c r="AM348" s="0" t="n">
        <v>1</v>
      </c>
      <c r="AN348" s="0" t="s">
        <v>3657</v>
      </c>
      <c r="AO348" s="0" t="s">
        <v>3052</v>
      </c>
      <c r="AP348" s="0" t="s">
        <v>322</v>
      </c>
      <c r="AR348" s="0" t="s">
        <v>1880</v>
      </c>
      <c r="AS348" s="0" t="n">
        <v>1</v>
      </c>
      <c r="AT348" s="0" t="s">
        <v>3657</v>
      </c>
      <c r="AU348" s="0" t="s">
        <v>3052</v>
      </c>
      <c r="AV348" s="0" t="s">
        <v>322</v>
      </c>
      <c r="BP348" s="0" t="n">
        <v>0</v>
      </c>
      <c r="BQ348" s="0" t="n">
        <v>0</v>
      </c>
      <c r="BR348" s="0" t="n">
        <v>3</v>
      </c>
      <c r="BS348" s="0" t="s">
        <v>3593</v>
      </c>
      <c r="BT348" s="0" t="s">
        <v>1818</v>
      </c>
      <c r="BU348" s="0" t="s">
        <v>1841</v>
      </c>
      <c r="BV348" s="123"/>
      <c r="BW348" s="123"/>
      <c r="BX348" s="123"/>
      <c r="BY348" s="123"/>
      <c r="CA348" s="0" t="s">
        <v>348</v>
      </c>
      <c r="CD348" s="0" t="s">
        <v>296</v>
      </c>
      <c r="CE348" s="0" t="n">
        <v>0</v>
      </c>
      <c r="CF348" s="0" t="s">
        <v>3659</v>
      </c>
      <c r="CI348" s="1" t="n">
        <v>39996</v>
      </c>
      <c r="CJ348" s="1" t="n">
        <v>40806</v>
      </c>
      <c r="CK348" s="124" t="n">
        <v>0.458333333333333</v>
      </c>
      <c r="CL348" s="0" t="s">
        <v>3658</v>
      </c>
      <c r="CM348" s="0" t="n">
        <f aca="false">IF(OR(CI348="",CJ348=""),"",DAYS360(CI348,CJ348)/360)</f>
        <v>2.21666666666667</v>
      </c>
      <c r="CN348" s="0" t="n">
        <f aca="false">IF(OR(CI348="",CJ348=""),"",DAYS360(CI348,CJ348)/30)</f>
        <v>26.6</v>
      </c>
      <c r="CO348" s="0" t="n">
        <f aca="false">IF(OR(CI348="",CJ348=""),"",DAYS360(CI348,CJ348)/7)</f>
        <v>114</v>
      </c>
      <c r="CP348" s="0" t="n">
        <f aca="false">IF(OR(CI348="",CJ348=""),"",DAYS360(CI348,CJ348))</f>
        <v>798</v>
      </c>
      <c r="CQ348" s="0" t="s">
        <v>240</v>
      </c>
      <c r="CR348" s="0" t="n">
        <v>1</v>
      </c>
      <c r="CT348" s="0" t="n">
        <v>166.66</v>
      </c>
      <c r="CU348" s="0" t="n">
        <v>0</v>
      </c>
      <c r="CV348" s="0" t="n">
        <f aca="false">IF(OR(CT348="",CT348="NO ESPECIFICA",CT348="NO MENCIONA"),"",IF(CU348=0,CT348,IF(CU348=1,CT348/30,IF(CU348=2,CT348/15,IF(CU348=3,CT348/7,"")))))</f>
        <v>166.66</v>
      </c>
      <c r="CW348" s="125" t="n">
        <v>173.5</v>
      </c>
      <c r="CX348" s="0" t="n">
        <v>0</v>
      </c>
      <c r="CY348" s="0" t="n">
        <f aca="false">IF(CW348="","",IF(CX348=0,CW348,IF(CX348=1,CW348/30,IF(CX348=2,CW348/15,IF(CX348=3,CW348/7,CW348)))))</f>
        <v>173.5</v>
      </c>
      <c r="CZ348" s="0" t="n">
        <f aca="false">IF(DI348&gt;0,DI348,IF(CY348&gt;0,CY348,IF(CV348&gt;0,CV348,"")))</f>
        <v>173.5</v>
      </c>
      <c r="DA348" s="0" t="n">
        <f aca="false">IF(DM348=1,CZ348/8,IF(OR(DM348=2,DM348=4),CZ348/7,IF(DM348=3,CZ348/7.5,"")))</f>
        <v>23.1333333333333</v>
      </c>
      <c r="DB348" s="0" t="s">
        <v>303</v>
      </c>
      <c r="DC348" s="0" t="s">
        <v>301</v>
      </c>
      <c r="DD348" s="0" t="s">
        <v>216</v>
      </c>
      <c r="DE348" s="0" t="s">
        <v>216</v>
      </c>
      <c r="DF348" s="0" t="s">
        <v>216</v>
      </c>
      <c r="DG348" s="0" t="s">
        <v>216</v>
      </c>
      <c r="DH348" s="0" t="n">
        <v>0</v>
      </c>
      <c r="DI348" s="126" t="n">
        <f aca="false">CW348</f>
        <v>173.5</v>
      </c>
      <c r="DK348" s="0" t="n">
        <v>0</v>
      </c>
      <c r="DM348" s="0" t="n">
        <v>3</v>
      </c>
      <c r="DN348" s="0" t="n">
        <v>48</v>
      </c>
      <c r="DO348" s="0" t="n">
        <v>3</v>
      </c>
      <c r="DP348" s="0" t="n">
        <v>0</v>
      </c>
      <c r="DQ348" s="0" t="n">
        <v>1</v>
      </c>
      <c r="DR348" s="0"/>
      <c r="DS348" s="0" t="n">
        <v>1</v>
      </c>
      <c r="DU348" s="0" t="n">
        <v>1</v>
      </c>
      <c r="DW348" s="1" t="n">
        <v>40361</v>
      </c>
      <c r="DX348" s="1" t="n">
        <f aca="false">CJ348</f>
        <v>40806</v>
      </c>
      <c r="DZ348" s="0"/>
      <c r="EA348" s="0" t="n">
        <v>1</v>
      </c>
      <c r="EC348" s="1" t="n">
        <v>40179</v>
      </c>
      <c r="ED348" s="1" t="n">
        <f aca="false">CJ348</f>
        <v>40806</v>
      </c>
      <c r="EF348" s="0"/>
      <c r="EG348" s="0" t="n">
        <v>0</v>
      </c>
      <c r="EI348" s="0" t="n">
        <f aca="false">IF(AND(DM348=1,DN348&lt;=48),"",IF(AND(DM348=2,DN348&lt;=42),"",IF(AND(DM348=3,DN348&lt;=45),"",EH348)))</f>
        <v>0</v>
      </c>
      <c r="EJ348" s="0" t="str">
        <f aca="false">IF(EI348="","",IF(EI348&lt;9,EI348,9))</f>
        <v/>
      </c>
      <c r="EK348" s="0" t="str">
        <f aca="false">IF(EI348="","",IF(EI348&gt;9,EI348-EJ348,0))</f>
        <v/>
      </c>
      <c r="EL348" s="0" t="str">
        <f aca="false">IF(EI348="","",EJ348*DA348*2+EK348*DA348*3)</f>
        <v/>
      </c>
      <c r="EP348" s="0" t="n">
        <v>0</v>
      </c>
      <c r="EQ348" s="0"/>
      <c r="ER348" s="0" t="n">
        <v>0</v>
      </c>
      <c r="ET348" s="0" t="n">
        <v>0</v>
      </c>
      <c r="EV348" s="0" t="n">
        <v>0</v>
      </c>
      <c r="EX348" s="0" t="n">
        <v>0</v>
      </c>
      <c r="EY348" s="0" t="n">
        <v>0</v>
      </c>
      <c r="EZ348" s="0"/>
      <c r="FA348" s="0"/>
      <c r="FB348" s="0" t="n">
        <v>1</v>
      </c>
      <c r="FF348" s="120" t="n">
        <f aca="false">(CJ348-CI348+1)/365</f>
        <v>2.22191780821918</v>
      </c>
      <c r="FG348" s="0" t="str">
        <f aca="false">CONCATENATE(F348,"/",G348)</f>
        <v>1935/2011</v>
      </c>
      <c r="FH348" s="0" t="n">
        <v>0</v>
      </c>
      <c r="FI348" s="0" t="n">
        <v>0</v>
      </c>
    </row>
    <row r="349" customFormat="false" ht="15" hidden="false" customHeight="false" outlineLevel="0" collapsed="false">
      <c r="A349" s="5" t="str">
        <f aca="false">E349&amp;G349&amp;F349</f>
        <v>720111937</v>
      </c>
      <c r="B349" s="0" t="s">
        <v>3556</v>
      </c>
      <c r="C349" s="1" t="n">
        <v>42412</v>
      </c>
      <c r="D349" s="0" t="s">
        <v>1856</v>
      </c>
      <c r="E349" s="0" t="n">
        <v>7</v>
      </c>
      <c r="F349" s="0" t="n">
        <v>1937</v>
      </c>
      <c r="G349" s="0" t="n">
        <v>2011</v>
      </c>
      <c r="H349" s="0" t="str">
        <f aca="false">"J"&amp;E349&amp;"\"&amp;F349&amp;"\"&amp;G349&amp;"\"&amp;W349</f>
        <v>J7\1937\2011\1</v>
      </c>
      <c r="I349" s="0"/>
      <c r="J349" s="1" t="n">
        <v>40868</v>
      </c>
      <c r="K349" s="0" t="n">
        <v>0</v>
      </c>
      <c r="M349" s="1"/>
      <c r="N349" s="1"/>
      <c r="O349" s="1"/>
      <c r="P349" s="1"/>
      <c r="Q349" s="1"/>
      <c r="T349" s="121"/>
      <c r="U349" s="121"/>
      <c r="V349" s="122" t="n">
        <f aca="false">IF(AND(E349&gt;0,F349&gt;0,G349&gt;0),COUNTIFS($E:$E,E349,$F:$F,F349,$G:$G,G349),"")</f>
        <v>1</v>
      </c>
      <c r="W349" s="122" t="n">
        <f aca="false">IF(V349="","",IF(V349=1,1,IF(AND(E348=E349,F348=F349,G348=G349),W348+1,1)))</f>
        <v>1</v>
      </c>
      <c r="X349" s="0" t="n">
        <v>1</v>
      </c>
      <c r="Y349" s="0" t="n">
        <v>9</v>
      </c>
      <c r="Z349" s="0" t="s">
        <v>3660</v>
      </c>
      <c r="AA349" s="0" t="n">
        <v>0</v>
      </c>
      <c r="AB349" s="0" t="s">
        <v>3661</v>
      </c>
      <c r="AC349" s="0" t="s">
        <v>244</v>
      </c>
      <c r="AD349" s="0" t="s">
        <v>229</v>
      </c>
      <c r="AE349" s="0" t="n">
        <v>0</v>
      </c>
      <c r="AF349" s="0" t="s">
        <v>3662</v>
      </c>
      <c r="AG349" s="0" t="n">
        <v>0</v>
      </c>
      <c r="AH349" s="0" t="s">
        <v>3663</v>
      </c>
      <c r="AI349" s="0" t="s">
        <v>2221</v>
      </c>
      <c r="AJ349" s="0" t="s">
        <v>211</v>
      </c>
      <c r="AL349" s="0" t="s">
        <v>2897</v>
      </c>
      <c r="AM349" s="0" t="n">
        <v>1</v>
      </c>
      <c r="AN349" s="0" t="s">
        <v>3664</v>
      </c>
      <c r="AO349" s="0" t="s">
        <v>206</v>
      </c>
      <c r="AP349" s="0" t="s">
        <v>207</v>
      </c>
      <c r="AR349" s="0" t="s">
        <v>3665</v>
      </c>
      <c r="AS349" s="0" t="n">
        <v>2</v>
      </c>
      <c r="AT349" s="0" t="s">
        <v>3664</v>
      </c>
      <c r="AU349" s="0" t="s">
        <v>206</v>
      </c>
      <c r="AV349" s="0" t="s">
        <v>207</v>
      </c>
      <c r="AX349" s="0" t="s">
        <v>3666</v>
      </c>
      <c r="AY349" s="0" t="n">
        <v>1</v>
      </c>
      <c r="AZ349" s="0" t="s">
        <v>3664</v>
      </c>
      <c r="BA349" s="0" t="s">
        <v>206</v>
      </c>
      <c r="BB349" s="0" t="s">
        <v>207</v>
      </c>
      <c r="BD349" s="0" t="s">
        <v>3667</v>
      </c>
      <c r="BE349" s="0" t="n">
        <v>1</v>
      </c>
      <c r="BF349" s="0" t="s">
        <v>3664</v>
      </c>
      <c r="BG349" s="0" t="s">
        <v>206</v>
      </c>
      <c r="BH349" s="0" t="s">
        <v>207</v>
      </c>
      <c r="BJ349" s="0" t="s">
        <v>1880</v>
      </c>
      <c r="BK349" s="0" t="n">
        <v>1</v>
      </c>
      <c r="BL349" s="0" t="s">
        <v>3664</v>
      </c>
      <c r="BM349" s="0" t="s">
        <v>206</v>
      </c>
      <c r="BN349" s="0" t="s">
        <v>207</v>
      </c>
      <c r="BP349" s="0" t="n">
        <v>0</v>
      </c>
      <c r="BQ349" s="0" t="n">
        <v>0</v>
      </c>
      <c r="BR349" s="0" t="n">
        <v>1</v>
      </c>
      <c r="BS349" s="0" t="s">
        <v>3668</v>
      </c>
      <c r="BT349" s="0" t="s">
        <v>3669</v>
      </c>
      <c r="BU349" s="0" t="s">
        <v>3670</v>
      </c>
      <c r="BV349" s="123"/>
      <c r="BW349" s="123"/>
      <c r="BX349" s="123"/>
      <c r="BY349" s="123"/>
      <c r="CA349" s="0" t="s">
        <v>216</v>
      </c>
      <c r="CD349" s="0" t="s">
        <v>296</v>
      </c>
      <c r="CE349" s="0" t="n">
        <v>0</v>
      </c>
      <c r="CF349" s="0" t="s">
        <v>2901</v>
      </c>
      <c r="CI349" s="1" t="n">
        <v>40438</v>
      </c>
      <c r="CJ349" s="1" t="n">
        <v>40808</v>
      </c>
      <c r="CK349" s="124" t="n">
        <v>0.5625</v>
      </c>
      <c r="CL349" s="0" t="s">
        <v>3671</v>
      </c>
      <c r="CM349" s="0" t="n">
        <f aca="false">IF(OR(CI349="",CJ349=""),"",DAYS360(CI349,CJ349)/360)</f>
        <v>1.01388888888889</v>
      </c>
      <c r="CN349" s="0" t="n">
        <f aca="false">IF(OR(CI349="",CJ349=""),"",DAYS360(CI349,CJ349)/30)</f>
        <v>12.1666666666667</v>
      </c>
      <c r="CO349" s="0" t="n">
        <f aca="false">IF(OR(CI349="",CJ349=""),"",DAYS360(CI349,CJ349)/7)</f>
        <v>52.1428571428571</v>
      </c>
      <c r="CP349" s="0" t="n">
        <f aca="false">IF(OR(CI349="",CJ349=""),"",DAYS360(CI349,CJ349))</f>
        <v>365</v>
      </c>
      <c r="CQ349" s="0" t="s">
        <v>240</v>
      </c>
      <c r="CR349" s="0" t="n">
        <v>1</v>
      </c>
      <c r="CT349" s="0" t="s">
        <v>221</v>
      </c>
      <c r="CU349" s="0" t="s">
        <v>221</v>
      </c>
      <c r="CV349" s="0" t="str">
        <f aca="false">IF(OR(CT349="",CT349="NO ESPECIFICA",CT349="NO MENCIONA"),"",IF(CU349=0,CT349,IF(CU349=1,CT349/30,IF(CU349=2,CT349/15,IF(CU349=3,CT349/7,"")))))</f>
        <v/>
      </c>
      <c r="CW349" s="125" t="n">
        <v>113.33</v>
      </c>
      <c r="CX349" s="0" t="n">
        <v>0</v>
      </c>
      <c r="CY349" s="0" t="n">
        <f aca="false">IF(CW349="","",IF(CX349=0,CW349,IF(CX349=1,CW349/30,IF(CX349=2,CW349/15,IF(CX349=3,CW349/7,CW349)))))</f>
        <v>113.33</v>
      </c>
      <c r="CZ349" s="0" t="n">
        <f aca="false">IF(DI349&gt;0,DI349,IF(CY349&gt;0,CY349,IF(CV349&gt;0,CV349,"")))</f>
        <v>113.33</v>
      </c>
      <c r="DA349" s="0" t="n">
        <f aca="false">IF(DM349=1,CZ349/8,IF(OR(DM349=2,DM349=4),CZ349/7,IF(DM349=3,CZ349/7.5,"")))</f>
        <v>14.16625</v>
      </c>
      <c r="DB349" s="0" t="s">
        <v>216</v>
      </c>
      <c r="DC349" s="0" t="s">
        <v>216</v>
      </c>
      <c r="DD349" s="0" t="s">
        <v>216</v>
      </c>
      <c r="DE349" s="0" t="s">
        <v>216</v>
      </c>
      <c r="DF349" s="0" t="s">
        <v>216</v>
      </c>
      <c r="DG349" s="0" t="s">
        <v>216</v>
      </c>
      <c r="DH349" s="0" t="n">
        <v>0</v>
      </c>
      <c r="DI349" s="126" t="n">
        <f aca="false">CW349</f>
        <v>113.33</v>
      </c>
      <c r="DK349" s="0" t="n">
        <v>0</v>
      </c>
      <c r="DM349" s="0" t="n">
        <v>1</v>
      </c>
      <c r="DN349" s="0" t="n">
        <v>48</v>
      </c>
      <c r="DO349" s="0" t="n">
        <v>3</v>
      </c>
      <c r="DP349" s="0" t="n">
        <v>0</v>
      </c>
      <c r="DQ349" s="0" t="n">
        <v>1</v>
      </c>
      <c r="DR349" s="0"/>
      <c r="DS349" s="0" t="n">
        <v>1</v>
      </c>
      <c r="DU349" s="0" t="n">
        <v>1</v>
      </c>
      <c r="DW349" s="1" t="n">
        <v>40756</v>
      </c>
      <c r="DX349" s="1" t="n">
        <f aca="false">CJ349-1</f>
        <v>40807</v>
      </c>
      <c r="DZ349" s="0"/>
      <c r="EA349" s="0" t="n">
        <v>1</v>
      </c>
      <c r="EC349" s="1" t="n">
        <v>40756</v>
      </c>
      <c r="ED349" s="1" t="n">
        <f aca="false">CJ349-1</f>
        <v>40807</v>
      </c>
      <c r="EF349" s="0"/>
      <c r="EG349" s="0" t="n">
        <v>1</v>
      </c>
      <c r="EH349" s="0" t="s">
        <v>221</v>
      </c>
      <c r="EI349" s="0" t="str">
        <f aca="false">IF(AND(DM349=1,DN349&lt;=48),"",IF(AND(DM349=2,DN349&lt;=42),"",IF(AND(DM349=3,DN349&lt;=45),"",EH349)))</f>
        <v/>
      </c>
      <c r="EJ349" s="0" t="str">
        <f aca="false">IF(EI349="","",IF(EI349&lt;9,EI349,9))</f>
        <v/>
      </c>
      <c r="EK349" s="0" t="str">
        <f aca="false">IF(EI349="","",IF(EI349&gt;9,EI349-EJ349,0))</f>
        <v/>
      </c>
      <c r="EL349" s="0" t="str">
        <f aca="false">IF(EI349="","",EJ349*DA349*2+EK349*DA349*3)</f>
        <v/>
      </c>
      <c r="EP349" s="0" t="n">
        <v>0</v>
      </c>
      <c r="EQ349" s="0"/>
      <c r="ER349" s="0" t="n">
        <v>0</v>
      </c>
      <c r="ET349" s="0" t="n">
        <v>1</v>
      </c>
      <c r="EV349" s="0" t="n">
        <v>0</v>
      </c>
      <c r="EX349" s="0" t="n">
        <v>1</v>
      </c>
      <c r="EY349" s="0" t="n">
        <v>1</v>
      </c>
      <c r="EZ349" s="0"/>
      <c r="FA349" s="4" t="n">
        <f aca="false">DI349*60</f>
        <v>6799.8</v>
      </c>
      <c r="FB349" s="0" t="n">
        <v>0</v>
      </c>
      <c r="FF349" s="120" t="n">
        <f aca="false">(CJ349-CI349+1)/365</f>
        <v>1.01643835616438</v>
      </c>
      <c r="FG349" s="0" t="str">
        <f aca="false">CONCATENATE(F349,"/",G349)</f>
        <v>1937/2011</v>
      </c>
      <c r="FH349" s="0" t="n">
        <v>0</v>
      </c>
      <c r="FI349" s="0" t="n">
        <v>0</v>
      </c>
    </row>
    <row r="350" customFormat="false" ht="15" hidden="false" customHeight="false" outlineLevel="0" collapsed="false">
      <c r="A350" s="5" t="str">
        <f aca="false">E350&amp;G350&amp;F350</f>
        <v>720111943</v>
      </c>
      <c r="B350" s="0" t="s">
        <v>3556</v>
      </c>
      <c r="C350" s="1" t="n">
        <v>42412</v>
      </c>
      <c r="D350" s="0" t="s">
        <v>1856</v>
      </c>
      <c r="E350" s="0" t="n">
        <v>7</v>
      </c>
      <c r="F350" s="0" t="n">
        <v>1943</v>
      </c>
      <c r="G350" s="0" t="n">
        <v>2011</v>
      </c>
      <c r="H350" s="0" t="str">
        <f aca="false">"J"&amp;E350&amp;"\"&amp;F350&amp;"\"&amp;G350&amp;"\"&amp;W350</f>
        <v>J7\1943\2011\1</v>
      </c>
      <c r="I350" s="0"/>
      <c r="J350" s="1" t="n">
        <v>40869</v>
      </c>
      <c r="K350" s="0" t="n">
        <v>0</v>
      </c>
      <c r="M350" s="1"/>
      <c r="N350" s="1"/>
      <c r="O350" s="1"/>
      <c r="P350" s="1"/>
      <c r="Q350" s="1"/>
      <c r="T350" s="121"/>
      <c r="U350" s="121"/>
      <c r="V350" s="122" t="n">
        <f aca="false">IF(AND(E350&gt;0,F350&gt;0,G350&gt;0),COUNTIFS($E:$E,E350,$F:$F,F350,$G:$G,G350),"")</f>
        <v>1</v>
      </c>
      <c r="W350" s="122" t="n">
        <f aca="false">IF(V350="","",IF(V350=1,1,IF(AND(E349=E350,F349=F350,G349=G350),W349+1,1)))</f>
        <v>1</v>
      </c>
      <c r="X350" s="0" t="n">
        <v>1</v>
      </c>
      <c r="Y350" s="0" t="n">
        <v>2</v>
      </c>
      <c r="Z350" s="0" t="s">
        <v>3672</v>
      </c>
      <c r="AA350" s="0" t="n">
        <v>0</v>
      </c>
      <c r="AB350" s="0" t="s">
        <v>3589</v>
      </c>
      <c r="AC350" s="0" t="s">
        <v>228</v>
      </c>
      <c r="AD350" s="0" t="s">
        <v>229</v>
      </c>
      <c r="AE350" s="0" t="n">
        <v>0</v>
      </c>
      <c r="AF350" s="0" t="s">
        <v>3673</v>
      </c>
      <c r="AG350" s="0" t="n">
        <v>1</v>
      </c>
      <c r="AH350" s="0" t="s">
        <v>3674</v>
      </c>
      <c r="AI350" s="0" t="s">
        <v>3675</v>
      </c>
      <c r="AJ350" s="0" t="s">
        <v>3511</v>
      </c>
      <c r="AL350" s="0" t="s">
        <v>1880</v>
      </c>
      <c r="AM350" s="0" t="n">
        <v>1</v>
      </c>
      <c r="AN350" s="0" t="s">
        <v>3674</v>
      </c>
      <c r="AO350" s="0" t="s">
        <v>3675</v>
      </c>
      <c r="AP350" s="0" t="s">
        <v>3511</v>
      </c>
      <c r="BP350" s="0" t="n">
        <v>0</v>
      </c>
      <c r="BQ350" s="0" t="n">
        <v>0</v>
      </c>
      <c r="BR350" s="0" t="n">
        <v>3</v>
      </c>
      <c r="BS350" s="0" t="s">
        <v>3676</v>
      </c>
      <c r="BT350" s="0" t="s">
        <v>1818</v>
      </c>
      <c r="BU350" s="0" t="s">
        <v>1841</v>
      </c>
      <c r="BV350" s="123"/>
      <c r="BW350" s="123"/>
      <c r="BX350" s="123"/>
      <c r="BY350" s="123"/>
      <c r="CA350" s="0" t="s">
        <v>348</v>
      </c>
      <c r="CD350" s="0" t="s">
        <v>256</v>
      </c>
      <c r="CE350" s="0" t="n">
        <v>0</v>
      </c>
      <c r="CF350" s="0" t="s">
        <v>3677</v>
      </c>
      <c r="CI350" s="1" t="n">
        <v>40658</v>
      </c>
      <c r="CJ350" s="1" t="n">
        <v>40831</v>
      </c>
      <c r="CK350" s="124" t="n">
        <v>0.40625</v>
      </c>
      <c r="CL350" s="0" t="s">
        <v>3673</v>
      </c>
      <c r="CM350" s="0" t="n">
        <f aca="false">IF(OR(CI350="",CJ350=""),"",DAYS360(CI350,CJ350)/360)</f>
        <v>0.472222222222222</v>
      </c>
      <c r="CN350" s="0" t="n">
        <f aca="false">IF(OR(CI350="",CJ350=""),"",DAYS360(CI350,CJ350)/30)</f>
        <v>5.66666666666667</v>
      </c>
      <c r="CO350" s="0" t="n">
        <f aca="false">IF(OR(CI350="",CJ350=""),"",DAYS360(CI350,CJ350)/7)</f>
        <v>24.2857142857143</v>
      </c>
      <c r="CP350" s="0" t="n">
        <f aca="false">IF(OR(CI350="",CJ350=""),"",DAYS360(CI350,CJ350))</f>
        <v>170</v>
      </c>
      <c r="CQ350" s="0" t="s">
        <v>240</v>
      </c>
      <c r="CR350" s="0" t="n">
        <v>1</v>
      </c>
      <c r="CT350" s="0" t="n">
        <v>357.14</v>
      </c>
      <c r="CU350" s="0" t="n">
        <v>0</v>
      </c>
      <c r="CV350" s="0" t="n">
        <f aca="false">IF(OR(CT350="",CT350="NO ESPECIFICA",CT350="NO MENCIONA"),"",IF(CU350=0,CT350,IF(CU350=1,CT350/30,IF(CU350=2,CT350/15,IF(CU350=3,CT350/7,"")))))</f>
        <v>357.14</v>
      </c>
      <c r="CW350" s="125" t="n">
        <v>373.28</v>
      </c>
      <c r="CX350" s="0" t="n">
        <v>0</v>
      </c>
      <c r="CY350" s="0" t="n">
        <f aca="false">IF(CW350="","",IF(CX350=0,CW350,IF(CX350=1,CW350/30,IF(CX350=2,CW350/15,IF(CX350=3,CW350/7,CW350)))))</f>
        <v>373.28</v>
      </c>
      <c r="CZ350" s="0" t="n">
        <f aca="false">IF(DI350&gt;0,DI350,IF(CY350&gt;0,CY350,IF(CV350&gt;0,CV350,"")))</f>
        <v>373.28</v>
      </c>
      <c r="DA350" s="0" t="n">
        <f aca="false">IF(DM350=1,CZ350/8,IF(OR(DM350=2,DM350=4),CZ350/7,IF(DM350=3,CZ350/7.5,"")))</f>
        <v>46.66</v>
      </c>
      <c r="DB350" s="0" t="s">
        <v>303</v>
      </c>
      <c r="DC350" s="0" t="s">
        <v>301</v>
      </c>
      <c r="DD350" s="0" t="s">
        <v>216</v>
      </c>
      <c r="DE350" s="0" t="s">
        <v>216</v>
      </c>
      <c r="DF350" s="0" t="s">
        <v>216</v>
      </c>
      <c r="DG350" s="0" t="s">
        <v>216</v>
      </c>
      <c r="DH350" s="0" t="n">
        <v>0</v>
      </c>
      <c r="DI350" s="126" t="n">
        <f aca="false">CW350</f>
        <v>373.28</v>
      </c>
      <c r="DK350" s="0" t="n">
        <v>0</v>
      </c>
      <c r="DM350" s="0" t="n">
        <v>1</v>
      </c>
      <c r="DN350" s="0" t="n">
        <v>54</v>
      </c>
      <c r="DO350" s="0" t="n">
        <v>3</v>
      </c>
      <c r="DP350" s="0" t="n">
        <v>0</v>
      </c>
      <c r="DQ350" s="0" t="n">
        <v>1</v>
      </c>
      <c r="DR350" s="0"/>
      <c r="DS350" s="0" t="n">
        <v>1</v>
      </c>
      <c r="DU350" s="0" t="n">
        <v>1</v>
      </c>
      <c r="DW350" s="1" t="n">
        <f aca="false">CI350</f>
        <v>40658</v>
      </c>
      <c r="DX350" s="1" t="n">
        <f aca="false">CJ350</f>
        <v>40831</v>
      </c>
      <c r="DZ350" s="0"/>
      <c r="EA350" s="0" t="n">
        <v>1</v>
      </c>
      <c r="EC350" s="1" t="n">
        <f aca="false">CI350</f>
        <v>40658</v>
      </c>
      <c r="ED350" s="1" t="n">
        <f aca="false">CJ350</f>
        <v>40831</v>
      </c>
      <c r="EF350" s="0"/>
      <c r="EG350" s="0" t="n">
        <v>0</v>
      </c>
      <c r="EI350" s="0" t="n">
        <f aca="false">IF(AND(DM350=1,DN350&lt;=48),"",IF(AND(DM350=2,DN350&lt;=42),"",IF(AND(DM350=3,DN350&lt;=45),"",EH350)))</f>
        <v>0</v>
      </c>
      <c r="EJ350" s="0" t="str">
        <f aca="false">IF(EI350="","",IF(EI350&lt;9,EI350,9))</f>
        <v/>
      </c>
      <c r="EK350" s="0" t="str">
        <f aca="false">IF(EI350="","",IF(EI350&gt;9,EI350-EJ350,0))</f>
        <v/>
      </c>
      <c r="EL350" s="0" t="str">
        <f aca="false">IF(EI350="","",EJ350*DA350*2+EK350*DA350*3)</f>
        <v/>
      </c>
      <c r="EP350" s="0" t="n">
        <v>0</v>
      </c>
      <c r="EQ350" s="0"/>
      <c r="ER350" s="0" t="n">
        <v>0</v>
      </c>
      <c r="ET350" s="0" t="n">
        <v>0</v>
      </c>
      <c r="EV350" s="0" t="n">
        <v>0</v>
      </c>
      <c r="EX350" s="0" t="n">
        <v>0</v>
      </c>
      <c r="EY350" s="0" t="n">
        <v>0</v>
      </c>
      <c r="EZ350" s="0"/>
      <c r="FA350" s="4" t="n">
        <f aca="false">DI350*5</f>
        <v>1866.4</v>
      </c>
      <c r="FB350" s="0" t="n">
        <v>1</v>
      </c>
      <c r="FF350" s="120" t="n">
        <f aca="false">(CJ350-CI350+1)/365</f>
        <v>0.476712328767123</v>
      </c>
      <c r="FG350" s="0" t="str">
        <f aca="false">CONCATENATE(F350,"/",G350)</f>
        <v>1943/2011</v>
      </c>
      <c r="FH350" s="0" t="n">
        <v>0</v>
      </c>
      <c r="FI350" s="0" t="n">
        <v>0</v>
      </c>
    </row>
    <row r="351" customFormat="false" ht="15" hidden="false" customHeight="false" outlineLevel="0" collapsed="false">
      <c r="A351" s="5" t="str">
        <f aca="false">E351&amp;G351&amp;F351</f>
        <v>720111951</v>
      </c>
      <c r="B351" s="0" t="s">
        <v>3556</v>
      </c>
      <c r="C351" s="1" t="n">
        <v>42412</v>
      </c>
      <c r="E351" s="0" t="n">
        <v>7</v>
      </c>
      <c r="F351" s="0" t="n">
        <v>1951</v>
      </c>
      <c r="G351" s="0" t="n">
        <v>2011</v>
      </c>
      <c r="H351" s="0" t="str">
        <f aca="false">"J"&amp;E351&amp;"\"&amp;F351&amp;"\"&amp;G351&amp;"\"&amp;W351</f>
        <v>J7\1951\2011\1</v>
      </c>
      <c r="I351" s="0"/>
      <c r="J351" s="1" t="n">
        <v>40870</v>
      </c>
      <c r="K351" s="0" t="n">
        <v>0</v>
      </c>
      <c r="M351" s="1" t="n">
        <v>40870</v>
      </c>
      <c r="N351" s="1" t="n">
        <v>40938</v>
      </c>
      <c r="O351" s="1"/>
      <c r="P351" s="1"/>
      <c r="Q351" s="1"/>
      <c r="T351" s="121"/>
      <c r="U351" s="121"/>
      <c r="V351" s="122" t="n">
        <f aca="false">IF(AND(E351&gt;0,F351&gt;0,G351&gt;0),COUNTIFS($E:$E,E351,$F:$F,F351,$G:$G,G351),"")</f>
        <v>1</v>
      </c>
      <c r="W351" s="122" t="n">
        <f aca="false">IF(V351="","",IF(V351=1,1,IF(AND(E350=E351,F350=F351,G350=G351),W350+1,1)))</f>
        <v>1</v>
      </c>
      <c r="X351" s="0" t="n">
        <v>1</v>
      </c>
      <c r="Y351" s="0" t="n">
        <v>4</v>
      </c>
      <c r="Z351" s="0" t="s">
        <v>3678</v>
      </c>
      <c r="AA351" s="0" t="n">
        <v>0</v>
      </c>
      <c r="AB351" s="0" t="s">
        <v>3679</v>
      </c>
      <c r="AC351" s="0" t="s">
        <v>598</v>
      </c>
      <c r="AD351" s="0" t="s">
        <v>411</v>
      </c>
      <c r="AE351" s="0" t="n">
        <v>0</v>
      </c>
      <c r="AF351" s="0" t="s">
        <v>3680</v>
      </c>
      <c r="AG351" s="0" t="n">
        <v>2</v>
      </c>
      <c r="AH351" s="0" t="s">
        <v>3681</v>
      </c>
      <c r="AI351" s="0" t="s">
        <v>1426</v>
      </c>
      <c r="AJ351" s="0" t="s">
        <v>211</v>
      </c>
      <c r="AL351" s="0" t="s">
        <v>3682</v>
      </c>
      <c r="AM351" s="0" t="n">
        <v>1</v>
      </c>
      <c r="AN351" s="0" t="s">
        <v>3681</v>
      </c>
      <c r="AO351" s="0" t="s">
        <v>1426</v>
      </c>
      <c r="AP351" s="0" t="s">
        <v>211</v>
      </c>
      <c r="AR351" s="0" t="s">
        <v>3683</v>
      </c>
      <c r="AS351" s="0" t="n">
        <v>1</v>
      </c>
      <c r="AT351" s="0" t="s">
        <v>3681</v>
      </c>
      <c r="AU351" s="0" t="s">
        <v>1426</v>
      </c>
      <c r="AV351" s="0" t="s">
        <v>211</v>
      </c>
      <c r="AX351" s="0" t="s">
        <v>1880</v>
      </c>
      <c r="AY351" s="0" t="n">
        <v>1</v>
      </c>
      <c r="AZ351" s="0" t="s">
        <v>3681</v>
      </c>
      <c r="BA351" s="0" t="s">
        <v>1426</v>
      </c>
      <c r="BB351" s="0" t="s">
        <v>211</v>
      </c>
      <c r="BP351" s="0" t="n">
        <v>0</v>
      </c>
      <c r="BQ351" s="0" t="n">
        <v>0</v>
      </c>
      <c r="BR351" s="0" t="n">
        <v>1</v>
      </c>
      <c r="BS351" s="0" t="s">
        <v>3684</v>
      </c>
      <c r="BT351" s="0" t="s">
        <v>3685</v>
      </c>
      <c r="BU351" s="0" t="s">
        <v>3686</v>
      </c>
      <c r="BV351" s="123"/>
      <c r="BW351" s="123"/>
      <c r="BX351" s="123"/>
      <c r="BY351" s="123"/>
      <c r="CA351" s="0" t="s">
        <v>3687</v>
      </c>
      <c r="CD351" s="0" t="s">
        <v>256</v>
      </c>
      <c r="CE351" s="0" t="n">
        <v>0</v>
      </c>
      <c r="CF351" s="0" t="s">
        <v>269</v>
      </c>
      <c r="CI351" s="1" t="n">
        <v>40791</v>
      </c>
      <c r="CJ351" s="1" t="n">
        <v>40817</v>
      </c>
      <c r="CK351" s="124" t="n">
        <v>0.333333333333333</v>
      </c>
      <c r="CL351" s="0" t="s">
        <v>3688</v>
      </c>
      <c r="CM351" s="0" t="n">
        <f aca="false">IF(OR(CI351="",CJ351=""),"",DAYS360(CI351,CJ351)/360)</f>
        <v>0.0722222222222222</v>
      </c>
      <c r="CN351" s="0" t="n">
        <f aca="false">IF(OR(CI351="",CJ351=""),"",DAYS360(CI351,CJ351)/30)</f>
        <v>0.866666666666667</v>
      </c>
      <c r="CO351" s="0" t="n">
        <f aca="false">IF(OR(CI351="",CJ351=""),"",DAYS360(CI351,CJ351)/7)</f>
        <v>3.71428571428571</v>
      </c>
      <c r="CP351" s="0" t="n">
        <f aca="false">IF(OR(CI351="",CJ351=""),"",DAYS360(CI351,CJ351))</f>
        <v>26</v>
      </c>
      <c r="CQ351" s="0" t="s">
        <v>240</v>
      </c>
      <c r="CR351" s="0" t="n">
        <v>1</v>
      </c>
      <c r="CT351" s="0" t="s">
        <v>221</v>
      </c>
      <c r="CU351" s="0" t="s">
        <v>221</v>
      </c>
      <c r="CV351" s="0" t="str">
        <f aca="false">IF(OR(CT351="",CT351="NO ESPECIFICA",CT351="NO MENCIONA"),"",IF(CU351=0,CT351,IF(CU351=1,CT351/30,IF(CU351=2,CT351/15,IF(CU351=3,CT351/7,"")))))</f>
        <v/>
      </c>
      <c r="CW351" s="125" t="n">
        <v>171.42</v>
      </c>
      <c r="CX351" s="0" t="n">
        <v>0</v>
      </c>
      <c r="CY351" s="0" t="n">
        <f aca="false">IF(CW351="","",IF(CX351=0,CW351,IF(CX351=1,CW351/30,IF(CX351=2,CW351/15,IF(CX351=3,CW351/7,CW351)))))</f>
        <v>171.42</v>
      </c>
      <c r="CZ351" s="0" t="n">
        <f aca="false">IF(DI351&gt;0,DI351,IF(CY351&gt;0,CY351,IF(CV351&gt;0,CV351,"")))</f>
        <v>171.42</v>
      </c>
      <c r="DA351" s="0" t="n">
        <f aca="false">IF(DM351=1,CZ351/8,IF(OR(DM351=2,DM351=4),CZ351/7,IF(DM351=3,CZ351/7.5,"")))</f>
        <v>21.4275</v>
      </c>
      <c r="DB351" s="0" t="s">
        <v>216</v>
      </c>
      <c r="DC351" s="0" t="s">
        <v>216</v>
      </c>
      <c r="DD351" s="0" t="s">
        <v>216</v>
      </c>
      <c r="DE351" s="0" t="s">
        <v>216</v>
      </c>
      <c r="DF351" s="0" t="s">
        <v>216</v>
      </c>
      <c r="DG351" s="0" t="s">
        <v>216</v>
      </c>
      <c r="DH351" s="0" t="n">
        <v>0</v>
      </c>
      <c r="DI351" s="126" t="n">
        <f aca="false">CW351</f>
        <v>171.42</v>
      </c>
      <c r="DK351" s="0" t="n">
        <v>0</v>
      </c>
      <c r="DM351" s="0" t="n">
        <v>1</v>
      </c>
      <c r="DN351" s="0" t="n">
        <f aca="false">12*7</f>
        <v>84</v>
      </c>
      <c r="DO351" s="0" t="n">
        <v>3</v>
      </c>
      <c r="DP351" s="0" t="n">
        <v>0</v>
      </c>
      <c r="DQ351" s="0" t="n">
        <v>1</v>
      </c>
      <c r="DR351" s="0"/>
      <c r="DS351" s="0" t="n">
        <v>1</v>
      </c>
      <c r="DU351" s="0" t="n">
        <v>1</v>
      </c>
      <c r="DW351" s="1" t="n">
        <f aca="false">CI351</f>
        <v>40791</v>
      </c>
      <c r="DX351" s="1" t="n">
        <f aca="false">CJ351</f>
        <v>40817</v>
      </c>
      <c r="DZ351" s="0"/>
      <c r="EA351" s="0" t="n">
        <v>1</v>
      </c>
      <c r="EC351" s="1" t="n">
        <f aca="false">CI351</f>
        <v>40791</v>
      </c>
      <c r="ED351" s="1" t="n">
        <f aca="false">CJ351</f>
        <v>40817</v>
      </c>
      <c r="EF351" s="0"/>
      <c r="EG351" s="0" t="n">
        <v>1</v>
      </c>
      <c r="EH351" s="0" t="n">
        <v>28</v>
      </c>
      <c r="EI351" s="0" t="n">
        <f aca="false">IF(AND(DM351=1,DN351&lt;=48),"",IF(AND(DM351=2,DN351&lt;=42),"",IF(AND(DM351=3,DN351&lt;=45),"",EH351)))</f>
        <v>28</v>
      </c>
      <c r="EJ351" s="0" t="n">
        <f aca="false">IF(EI351="","",IF(EI351&lt;9,EI351,9))</f>
        <v>9</v>
      </c>
      <c r="EK351" s="0" t="n">
        <f aca="false">IF(EI351="","",IF(EI351&gt;9,EI351-EJ351,0))</f>
        <v>19</v>
      </c>
      <c r="EL351" s="0" t="n">
        <f aca="false">IF(EI351="","",EJ351*DA351*2+EK351*DA351*3)</f>
        <v>1607.0625</v>
      </c>
      <c r="EP351" s="0" t="n">
        <v>0</v>
      </c>
      <c r="EQ351" s="0"/>
      <c r="ER351" s="0" t="n">
        <v>1</v>
      </c>
      <c r="ET351" s="0" t="n">
        <v>1</v>
      </c>
      <c r="EV351" s="0" t="n">
        <v>0</v>
      </c>
      <c r="EX351" s="0" t="n">
        <v>1</v>
      </c>
      <c r="EY351" s="0" t="n">
        <v>0</v>
      </c>
      <c r="EZ351" s="0"/>
      <c r="FA351" s="4" t="n">
        <f aca="false">DI351*7</f>
        <v>1199.94</v>
      </c>
      <c r="FB351" s="0" t="n">
        <v>0</v>
      </c>
      <c r="FF351" s="120" t="n">
        <f aca="false">(CJ351-CI351+1)/365</f>
        <v>0.073972602739726</v>
      </c>
      <c r="FG351" s="0" t="str">
        <f aca="false">CONCATENATE(F351,"/",G351)</f>
        <v>1951/2011</v>
      </c>
      <c r="FH351" s="0" t="n">
        <v>0</v>
      </c>
      <c r="FI351" s="0" t="n">
        <v>0</v>
      </c>
    </row>
    <row r="352" customFormat="false" ht="15" hidden="false" customHeight="false" outlineLevel="0" collapsed="false">
      <c r="A352" s="5" t="str">
        <f aca="false">E352&amp;G352&amp;F352</f>
        <v>720111960</v>
      </c>
      <c r="B352" s="0" t="s">
        <v>3556</v>
      </c>
      <c r="C352" s="1" t="n">
        <v>42412</v>
      </c>
      <c r="D352" s="0" t="s">
        <v>1856</v>
      </c>
      <c r="E352" s="0" t="n">
        <v>7</v>
      </c>
      <c r="F352" s="0" t="n">
        <v>1960</v>
      </c>
      <c r="G352" s="0" t="n">
        <v>2011</v>
      </c>
      <c r="H352" s="0" t="str">
        <f aca="false">"J"&amp;E352&amp;"\"&amp;F352&amp;"\"&amp;G352&amp;"\"&amp;W352</f>
        <v>J7\1960\2011\1</v>
      </c>
      <c r="I352" s="0"/>
      <c r="J352" s="1" t="n">
        <v>40870</v>
      </c>
      <c r="K352" s="0" t="n">
        <v>0</v>
      </c>
      <c r="M352" s="1"/>
      <c r="N352" s="1"/>
      <c r="O352" s="1"/>
      <c r="P352" s="1"/>
      <c r="Q352" s="1"/>
      <c r="T352" s="121"/>
      <c r="U352" s="121"/>
      <c r="V352" s="122" t="n">
        <f aca="false">IF(AND(E352&gt;0,F352&gt;0,G352&gt;0),COUNTIFS($E:$E,E352,$F:$F,F352,$G:$G,G352),"")</f>
        <v>1</v>
      </c>
      <c r="W352" s="122" t="n">
        <f aca="false">IF(V352="","",IF(V352=1,1,IF(AND(E351=E352,F351=F352,G351=G352),W351+1,1)))</f>
        <v>1</v>
      </c>
      <c r="X352" s="0" t="n">
        <v>1</v>
      </c>
      <c r="Y352" s="0" t="n">
        <v>2</v>
      </c>
      <c r="Z352" s="0" t="s">
        <v>3689</v>
      </c>
      <c r="AA352" s="0" t="n">
        <v>0</v>
      </c>
      <c r="AB352" s="0" t="s">
        <v>3589</v>
      </c>
      <c r="AC352" s="0" t="s">
        <v>228</v>
      </c>
      <c r="AD352" s="0" t="s">
        <v>229</v>
      </c>
      <c r="AE352" s="0" t="n">
        <v>0</v>
      </c>
      <c r="AF352" s="0" t="s">
        <v>3690</v>
      </c>
      <c r="AG352" s="0" t="n">
        <v>1</v>
      </c>
      <c r="AH352" s="0" t="s">
        <v>3691</v>
      </c>
      <c r="AI352" s="0" t="s">
        <v>3692</v>
      </c>
      <c r="AJ352" s="0" t="s">
        <v>485</v>
      </c>
      <c r="AL352" s="0" t="s">
        <v>1880</v>
      </c>
      <c r="AM352" s="0" t="n">
        <v>1</v>
      </c>
      <c r="AN352" s="0" t="s">
        <v>3691</v>
      </c>
      <c r="AO352" s="0" t="s">
        <v>3692</v>
      </c>
      <c r="AP352" s="0" t="s">
        <v>485</v>
      </c>
      <c r="BP352" s="0" t="n">
        <v>0</v>
      </c>
      <c r="BQ352" s="0" t="n">
        <v>0</v>
      </c>
      <c r="BR352" s="0" t="n">
        <v>3</v>
      </c>
      <c r="BS352" s="0" t="s">
        <v>425</v>
      </c>
      <c r="BT352" s="0" t="s">
        <v>356</v>
      </c>
      <c r="BU352" s="0" t="s">
        <v>1818</v>
      </c>
      <c r="BV352" s="123"/>
      <c r="BW352" s="123"/>
      <c r="BX352" s="123"/>
      <c r="BY352" s="123"/>
      <c r="CA352" s="0" t="s">
        <v>348</v>
      </c>
      <c r="CD352" s="0" t="s">
        <v>370</v>
      </c>
      <c r="CE352" s="0" t="n">
        <v>1</v>
      </c>
      <c r="CF352" s="0" t="s">
        <v>3693</v>
      </c>
      <c r="CI352" s="1" t="n">
        <v>39586</v>
      </c>
      <c r="CJ352" s="1" t="n">
        <v>40836</v>
      </c>
      <c r="CK352" s="124" t="n">
        <v>0.625</v>
      </c>
      <c r="CL352" s="0" t="s">
        <v>3690</v>
      </c>
      <c r="CM352" s="0" t="n">
        <f aca="false">IF(OR(CI352="",CJ352=""),"",DAYS360(CI352,CJ352)/360)</f>
        <v>3.42222222222222</v>
      </c>
      <c r="CN352" s="0" t="n">
        <f aca="false">IF(OR(CI352="",CJ352=""),"",DAYS360(CI352,CJ352)/30)</f>
        <v>41.0666666666667</v>
      </c>
      <c r="CO352" s="0" t="n">
        <f aca="false">IF(OR(CI352="",CJ352=""),"",DAYS360(CI352,CJ352)/7)</f>
        <v>176</v>
      </c>
      <c r="CP352" s="0" t="n">
        <f aca="false">IF(OR(CI352="",CJ352=""),"",DAYS360(CI352,CJ352))</f>
        <v>1232</v>
      </c>
      <c r="CQ352" s="0" t="s">
        <v>240</v>
      </c>
      <c r="CR352" s="0" t="n">
        <v>1</v>
      </c>
      <c r="CT352" s="0" t="n">
        <v>183.33</v>
      </c>
      <c r="CU352" s="0" t="n">
        <v>0</v>
      </c>
      <c r="CV352" s="0" t="n">
        <f aca="false">IF(OR(CT352="",CT352="NO ESPECIFICA",CT352="NO MENCIONA"),"",IF(CU352=0,CT352,IF(CU352=1,CT352/30,IF(CU352=2,CT352/15,IF(CU352=3,CT352/7,"")))))</f>
        <v>183.33</v>
      </c>
      <c r="CW352" s="125" t="n">
        <v>191.62</v>
      </c>
      <c r="CX352" s="0" t="n">
        <v>0</v>
      </c>
      <c r="CY352" s="0" t="n">
        <f aca="false">IF(CW352="","",IF(CX352=0,CW352,IF(CX352=1,CW352/30,IF(CX352=2,CW352/15,IF(CX352=3,CW352/7,CW352)))))</f>
        <v>191.62</v>
      </c>
      <c r="CZ352" s="0" t="n">
        <f aca="false">IF(DI352&gt;0,DI352,IF(CY352&gt;0,CY352,IF(CV352&gt;0,CV352,"")))</f>
        <v>191.62</v>
      </c>
      <c r="DA352" s="0" t="n">
        <f aca="false">IF(DM352=1,CZ352/8,IF(OR(DM352=2,DM352=4),CZ352/7,IF(DM352=3,CZ352/7.5,"")))</f>
        <v>23.9525</v>
      </c>
      <c r="DB352" s="0" t="s">
        <v>303</v>
      </c>
      <c r="DC352" s="0" t="s">
        <v>301</v>
      </c>
      <c r="DD352" s="0" t="s">
        <v>216</v>
      </c>
      <c r="DE352" s="0" t="s">
        <v>216</v>
      </c>
      <c r="DF352" s="0" t="s">
        <v>216</v>
      </c>
      <c r="DG352" s="0" t="s">
        <v>216</v>
      </c>
      <c r="DH352" s="0" t="n">
        <v>0</v>
      </c>
      <c r="DI352" s="126" t="n">
        <f aca="false">CW352</f>
        <v>191.62</v>
      </c>
      <c r="DK352" s="0" t="n">
        <v>0</v>
      </c>
      <c r="DM352" s="0" t="n">
        <v>1</v>
      </c>
      <c r="DN352" s="0" t="n">
        <v>54</v>
      </c>
      <c r="DO352" s="0" t="n">
        <v>3</v>
      </c>
      <c r="DP352" s="0" t="n">
        <v>0</v>
      </c>
      <c r="DQ352" s="0" t="n">
        <v>1</v>
      </c>
      <c r="DR352" s="0"/>
      <c r="DS352" s="0" t="n">
        <v>1</v>
      </c>
      <c r="DU352" s="0" t="n">
        <v>1</v>
      </c>
      <c r="DW352" s="1" t="n">
        <v>40316</v>
      </c>
      <c r="DX352" s="1" t="n">
        <f aca="false">CJ352</f>
        <v>40836</v>
      </c>
      <c r="DZ352" s="0"/>
      <c r="EA352" s="0" t="n">
        <v>1</v>
      </c>
      <c r="EC352" s="1" t="n">
        <v>40179</v>
      </c>
      <c r="ED352" s="1" t="n">
        <f aca="false">CJ352</f>
        <v>40836</v>
      </c>
      <c r="EF352" s="0"/>
      <c r="EG352" s="0" t="n">
        <v>0</v>
      </c>
      <c r="EI352" s="0" t="n">
        <f aca="false">IF(AND(DM352=1,DN352&lt;=48),"",IF(AND(DM352=2,DN352&lt;=42),"",IF(AND(DM352=3,DN352&lt;=45),"",EH352)))</f>
        <v>0</v>
      </c>
      <c r="EJ352" s="0" t="str">
        <f aca="false">IF(EI352="","",IF(EI352&lt;9,EI352,9))</f>
        <v/>
      </c>
      <c r="EK352" s="0" t="str">
        <f aca="false">IF(EI352="","",IF(EI352&gt;9,EI352-EJ352,0))</f>
        <v/>
      </c>
      <c r="EL352" s="0" t="str">
        <f aca="false">IF(EI352="","",EJ352*DA352*2+EK352*DA352*3)</f>
        <v/>
      </c>
      <c r="EP352" s="0" t="n">
        <v>0</v>
      </c>
      <c r="EQ352" s="0"/>
      <c r="ER352" s="0" t="n">
        <v>0</v>
      </c>
      <c r="ET352" s="0" t="n">
        <v>0</v>
      </c>
      <c r="EV352" s="0" t="n">
        <v>0</v>
      </c>
      <c r="EX352" s="0" t="n">
        <v>1</v>
      </c>
      <c r="EY352" s="0" t="n">
        <v>0</v>
      </c>
      <c r="EZ352" s="0"/>
      <c r="FA352" s="0"/>
      <c r="FB352" s="0" t="n">
        <v>1</v>
      </c>
      <c r="FF352" s="120" t="n">
        <f aca="false">(CJ352-CI352+1)/365</f>
        <v>3.42739726027397</v>
      </c>
      <c r="FG352" s="0" t="str">
        <f aca="false">CONCATENATE(F352,"/",G352)</f>
        <v>1960/2011</v>
      </c>
      <c r="FH352" s="0" t="n">
        <v>0</v>
      </c>
      <c r="FI352" s="0" t="n">
        <v>0</v>
      </c>
    </row>
    <row r="353" customFormat="false" ht="15" hidden="false" customHeight="false" outlineLevel="0" collapsed="false">
      <c r="A353" s="5" t="str">
        <f aca="false">E353&amp;G353&amp;F353</f>
        <v>720111966</v>
      </c>
      <c r="B353" s="0" t="s">
        <v>3556</v>
      </c>
      <c r="C353" s="1" t="n">
        <v>42412</v>
      </c>
      <c r="D353" s="0" t="s">
        <v>3216</v>
      </c>
      <c r="E353" s="0" t="n">
        <v>7</v>
      </c>
      <c r="F353" s="0" t="n">
        <v>1966</v>
      </c>
      <c r="G353" s="0" t="n">
        <v>2011</v>
      </c>
      <c r="H353" s="0" t="str">
        <f aca="false">"J"&amp;E353&amp;"\"&amp;F353&amp;"\"&amp;G353&amp;"\"&amp;W353</f>
        <v>J7\1966\2011\1</v>
      </c>
      <c r="I353" s="0"/>
      <c r="M353" s="1"/>
      <c r="N353" s="1"/>
      <c r="O353" s="1"/>
      <c r="P353" s="1"/>
      <c r="Q353" s="1"/>
      <c r="T353" s="121"/>
      <c r="U353" s="121"/>
      <c r="V353" s="122" t="n">
        <f aca="false">IF(AND(E353&gt;0,F353&gt;0,G353&gt;0),COUNTIFS($E:$E,E353,$F:$F,F353,$G:$G,G353),"")</f>
        <v>1</v>
      </c>
      <c r="W353" s="122" t="n">
        <f aca="false">IF(V353="","",IF(V353=1,1,IF(AND(E352=E353,F352=F353,G352=G353),W352+1,1)))</f>
        <v>1</v>
      </c>
      <c r="BV353" s="123"/>
      <c r="BW353" s="123"/>
      <c r="BX353" s="123"/>
      <c r="BY353" s="123"/>
      <c r="CK353" s="124"/>
      <c r="CM353" s="0" t="str">
        <f aca="false">IF(OR(CI353="",CJ353=""),"",DAYS360(CI353,CJ353)/360)</f>
        <v/>
      </c>
      <c r="CN353" s="0" t="str">
        <f aca="false">IF(OR(CI353="",CJ353=""),"",DAYS360(CI353,CJ353)/30)</f>
        <v/>
      </c>
      <c r="CO353" s="0" t="str">
        <f aca="false">IF(OR(CI353="",CJ353=""),"",DAYS360(CI353,CJ353)/7)</f>
        <v/>
      </c>
      <c r="CP353" s="0" t="str">
        <f aca="false">IF(OR(CI353="",CJ353=""),"",DAYS360(CI353,CJ353))</f>
        <v/>
      </c>
      <c r="CT353" s="0"/>
      <c r="CV353" s="0" t="str">
        <f aca="false">IF(OR(CT353="",CT353="NO ESPECIFICA",CT353="NO MENCIONA"),"",IF(CU353=0,CT353,IF(CU353=1,CT353/30,IF(CU353=2,CT353/15,IF(CU353=3,CT353/7,"")))))</f>
        <v/>
      </c>
      <c r="CW353" s="125"/>
      <c r="CY353" s="0" t="str">
        <f aca="false">IF(CW353="","",IF(CX353=0,CW353,IF(CX353=1,CW353/30,IF(CX353=2,CW353/15,IF(CX353=3,CW353/7,CW353)))))</f>
        <v/>
      </c>
      <c r="CZ353" s="0" t="str">
        <f aca="false">IF(DI353&gt;0,DI353,IF(CY353&gt;0,CY353,IF(CV353&gt;0,CV353,"")))</f>
        <v/>
      </c>
      <c r="DA353" s="0" t="str">
        <f aca="false">IF(DM353=1,CZ353/8,IF(OR(DM353=2,DM353=4),CZ353/7,IF(DM353=3,CZ353/7.5,"")))</f>
        <v/>
      </c>
      <c r="DI353" s="126"/>
      <c r="DR353" s="0"/>
      <c r="DZ353" s="0"/>
      <c r="EF353" s="0"/>
      <c r="EI353" s="0" t="n">
        <f aca="false">IF(AND(DM353=1,DN353&lt;=48),"",IF(AND(DM353=2,DN353&lt;=42),"",IF(AND(DM353=3,DN353&lt;=45),"",EH353)))</f>
        <v>0</v>
      </c>
      <c r="EJ353" s="0" t="str">
        <f aca="false">IF(EI353="","",IF(EI353&lt;9,EI353,9))</f>
        <v/>
      </c>
      <c r="EK353" s="0" t="str">
        <f aca="false">IF(EI353="","",IF(EI353&gt;9,EI353-EJ353,0))</f>
        <v/>
      </c>
      <c r="EL353" s="0" t="str">
        <f aca="false">IF(EI353="","",EJ353*DA353*2+EK353*DA353*3)</f>
        <v/>
      </c>
      <c r="EQ353" s="0"/>
      <c r="FF353" s="120" t="n">
        <f aca="false">(CJ353-CI353+1)/365</f>
        <v>0.00273972602739726</v>
      </c>
      <c r="FG353" s="0" t="str">
        <f aca="false">CONCATENATE(F353,"/",G353)</f>
        <v>1966/2011</v>
      </c>
      <c r="FH353" s="0" t="n">
        <v>0</v>
      </c>
      <c r="FI353" s="0" t="n">
        <v>0</v>
      </c>
    </row>
    <row r="354" customFormat="false" ht="15" hidden="false" customHeight="false" outlineLevel="0" collapsed="false">
      <c r="A354" s="5" t="str">
        <f aca="false">E354&amp;G354&amp;F354</f>
        <v>720111968</v>
      </c>
      <c r="B354" s="0" t="s">
        <v>3556</v>
      </c>
      <c r="C354" s="1" t="n">
        <v>42412</v>
      </c>
      <c r="D354" s="0" t="s">
        <v>1856</v>
      </c>
      <c r="E354" s="0" t="n">
        <v>7</v>
      </c>
      <c r="F354" s="0" t="n">
        <v>1968</v>
      </c>
      <c r="G354" s="0" t="n">
        <v>2011</v>
      </c>
      <c r="H354" s="0" t="str">
        <f aca="false">"J"&amp;E354&amp;"\"&amp;F354&amp;"\"&amp;G354&amp;"\"&amp;W354</f>
        <v>J7\1968\2011\1</v>
      </c>
      <c r="I354" s="0"/>
      <c r="J354" s="1" t="n">
        <v>40872</v>
      </c>
      <c r="K354" s="0" t="n">
        <v>0</v>
      </c>
      <c r="M354" s="1"/>
      <c r="N354" s="1"/>
      <c r="O354" s="1"/>
      <c r="P354" s="1"/>
      <c r="Q354" s="1"/>
      <c r="T354" s="121"/>
      <c r="U354" s="121"/>
      <c r="V354" s="122" t="n">
        <f aca="false">IF(AND(E354&gt;0,F354&gt;0,G354&gt;0),COUNTIFS($E:$E,E354,$F:$F,F354,$G:$G,G354),"")</f>
        <v>1</v>
      </c>
      <c r="W354" s="122" t="n">
        <f aca="false">IF(V354="","",IF(V354=1,1,IF(AND(E353=E354,F353=F354,G353=G354),W353+1,1)))</f>
        <v>1</v>
      </c>
      <c r="X354" s="0" t="n">
        <v>1</v>
      </c>
      <c r="Y354" s="0" t="n">
        <v>3</v>
      </c>
      <c r="Z354" s="0" t="s">
        <v>3694</v>
      </c>
      <c r="AA354" s="0" t="n">
        <v>0</v>
      </c>
      <c r="AB354" s="0" t="s">
        <v>3589</v>
      </c>
      <c r="AC354" s="0" t="s">
        <v>228</v>
      </c>
      <c r="AD354" s="0" t="s">
        <v>229</v>
      </c>
      <c r="AE354" s="0" t="n">
        <v>0</v>
      </c>
      <c r="AF354" s="0" t="s">
        <v>3695</v>
      </c>
      <c r="AG354" s="0" t="n">
        <v>0</v>
      </c>
      <c r="AH354" s="0" t="s">
        <v>3696</v>
      </c>
      <c r="AI354" s="0" t="s">
        <v>3697</v>
      </c>
      <c r="AJ354" s="0" t="s">
        <v>352</v>
      </c>
      <c r="AL354" s="0" t="s">
        <v>3698</v>
      </c>
      <c r="AM354" s="0" t="n">
        <v>1</v>
      </c>
      <c r="AN354" s="0" t="s">
        <v>3696</v>
      </c>
      <c r="AO354" s="0" t="s">
        <v>3697</v>
      </c>
      <c r="AP354" s="0" t="s">
        <v>352</v>
      </c>
      <c r="AR354" s="0" t="s">
        <v>1880</v>
      </c>
      <c r="AS354" s="0" t="n">
        <v>1</v>
      </c>
      <c r="AT354" s="0" t="s">
        <v>3696</v>
      </c>
      <c r="AU354" s="0" t="s">
        <v>3697</v>
      </c>
      <c r="AV354" s="0" t="s">
        <v>352</v>
      </c>
      <c r="BP354" s="0" t="n">
        <v>0</v>
      </c>
      <c r="BQ354" s="0" t="n">
        <v>0</v>
      </c>
      <c r="BR354" s="0" t="n">
        <v>3</v>
      </c>
      <c r="BS354" s="0" t="s">
        <v>1840</v>
      </c>
      <c r="BT354" s="0" t="s">
        <v>1818</v>
      </c>
      <c r="BU354" s="0" t="s">
        <v>1841</v>
      </c>
      <c r="BV354" s="123"/>
      <c r="BW354" s="123"/>
      <c r="BX354" s="123"/>
      <c r="BY354" s="123"/>
      <c r="CA354" s="0" t="s">
        <v>348</v>
      </c>
      <c r="CD354" s="0" t="s">
        <v>357</v>
      </c>
      <c r="CE354" s="0" t="n">
        <v>0</v>
      </c>
      <c r="CF354" s="0" t="s">
        <v>3699</v>
      </c>
      <c r="CI354" s="1" t="n">
        <v>39988</v>
      </c>
      <c r="CJ354" s="1" t="n">
        <v>40831</v>
      </c>
      <c r="CK354" s="124" t="n">
        <v>0.614583333333333</v>
      </c>
      <c r="CL354" s="0" t="s">
        <v>3698</v>
      </c>
      <c r="CM354" s="0" t="n">
        <f aca="false">IF(OR(CI354="",CJ354=""),"",DAYS360(CI354,CJ354)/360)</f>
        <v>2.30833333333333</v>
      </c>
      <c r="CN354" s="0" t="n">
        <f aca="false">IF(OR(CI354="",CJ354=""),"",DAYS360(CI354,CJ354)/30)</f>
        <v>27.7</v>
      </c>
      <c r="CO354" s="0" t="n">
        <f aca="false">IF(OR(CI354="",CJ354=""),"",DAYS360(CI354,CJ354)/7)</f>
        <v>118.714285714286</v>
      </c>
      <c r="CP354" s="0" t="n">
        <f aca="false">IF(OR(CI354="",CJ354=""),"",DAYS360(CI354,CJ354))</f>
        <v>831</v>
      </c>
      <c r="CQ354" s="0" t="s">
        <v>240</v>
      </c>
      <c r="CR354" s="0" t="n">
        <v>1</v>
      </c>
      <c r="CT354" s="0" t="n">
        <v>120</v>
      </c>
      <c r="CU354" s="0" t="n">
        <v>0</v>
      </c>
      <c r="CV354" s="0" t="n">
        <f aca="false">IF(OR(CT354="",CT354="NO ESPECIFICA",CT354="NO MENCIONA"),"",IF(CU354=0,CT354,IF(CU354=1,CT354/30,IF(CU354=2,CT354/15,IF(CU354=3,CT354/7,"")))))</f>
        <v>120</v>
      </c>
      <c r="CW354" s="125" t="n">
        <v>125.66</v>
      </c>
      <c r="CX354" s="0" t="n">
        <v>0</v>
      </c>
      <c r="CY354" s="0" t="n">
        <f aca="false">IF(CW354="","",IF(CX354=0,CW354,IF(CX354=1,CW354/30,IF(CX354=2,CW354/15,IF(CX354=3,CW354/7,CW354)))))</f>
        <v>125.66</v>
      </c>
      <c r="CZ354" s="0" t="n">
        <f aca="false">IF(DI354&gt;0,DI354,IF(CY354&gt;0,CY354,IF(CV354&gt;0,CV354,"")))</f>
        <v>125.66</v>
      </c>
      <c r="DA354" s="0" t="n">
        <f aca="false">IF(DM354=1,CZ354/8,IF(OR(DM354=2,DM354=4),CZ354/7,IF(DM354=3,CZ354/7.5,"")))</f>
        <v>15.7075</v>
      </c>
      <c r="DB354" s="0" t="s">
        <v>303</v>
      </c>
      <c r="DC354" s="0" t="s">
        <v>301</v>
      </c>
      <c r="DD354" s="0" t="s">
        <v>216</v>
      </c>
      <c r="DE354" s="0" t="s">
        <v>216</v>
      </c>
      <c r="DF354" s="0" t="s">
        <v>216</v>
      </c>
      <c r="DG354" s="0" t="s">
        <v>216</v>
      </c>
      <c r="DH354" s="0" t="n">
        <v>0</v>
      </c>
      <c r="DI354" s="126" t="n">
        <f aca="false">CW354</f>
        <v>125.66</v>
      </c>
      <c r="DK354" s="0" t="n">
        <v>1</v>
      </c>
      <c r="DM354" s="0" t="n">
        <v>1</v>
      </c>
      <c r="DN354" s="0" t="n">
        <v>40</v>
      </c>
      <c r="DO354" s="0" t="n">
        <v>3</v>
      </c>
      <c r="DP354" s="0" t="n">
        <v>0</v>
      </c>
      <c r="DQ354" s="0" t="n">
        <v>1</v>
      </c>
      <c r="DR354" s="0"/>
      <c r="DS354" s="0" t="n">
        <v>1</v>
      </c>
      <c r="DU354" s="0" t="n">
        <v>1</v>
      </c>
      <c r="DW354" s="1" t="s">
        <v>221</v>
      </c>
      <c r="DX354" s="1" t="s">
        <v>221</v>
      </c>
      <c r="DZ354" s="0"/>
      <c r="EA354" s="0" t="n">
        <v>1</v>
      </c>
      <c r="EC354" s="1" t="n">
        <v>40544</v>
      </c>
      <c r="ED354" s="1" t="n">
        <f aca="false">CJ354</f>
        <v>40831</v>
      </c>
      <c r="EF354" s="0"/>
      <c r="EG354" s="0" t="n">
        <v>0</v>
      </c>
      <c r="EI354" s="0" t="str">
        <f aca="false">IF(AND(DM354=1,DN354&lt;=48),"",IF(AND(DM354=2,DN354&lt;=42),"",IF(AND(DM354=3,DN354&lt;=45),"",EH354)))</f>
        <v/>
      </c>
      <c r="EJ354" s="0" t="str">
        <f aca="false">IF(EI354="","",IF(EI354&lt;9,EI354,9))</f>
        <v/>
      </c>
      <c r="EK354" s="0" t="str">
        <f aca="false">IF(EI354="","",IF(EI354&gt;9,EI354-EJ354,0))</f>
        <v/>
      </c>
      <c r="EL354" s="0" t="str">
        <f aca="false">IF(EI354="","",EJ354*DA354*2+EK354*DA354*3)</f>
        <v/>
      </c>
      <c r="EP354" s="0" t="n">
        <v>0</v>
      </c>
      <c r="EQ354" s="0"/>
      <c r="ER354" s="0" t="n">
        <v>0</v>
      </c>
      <c r="ET354" s="0" t="n">
        <v>0</v>
      </c>
      <c r="EV354" s="0" t="n">
        <v>0</v>
      </c>
      <c r="EX354" s="0" t="n">
        <v>0</v>
      </c>
      <c r="EY354" s="0" t="n">
        <v>0</v>
      </c>
      <c r="EZ354" s="0"/>
      <c r="FA354" s="0"/>
      <c r="FB354" s="0" t="n">
        <v>1</v>
      </c>
      <c r="FF354" s="120" t="n">
        <f aca="false">(CJ354-CI354+1)/365</f>
        <v>2.31232876712329</v>
      </c>
      <c r="FG354" s="0" t="str">
        <f aca="false">CONCATENATE(F354,"/",G354)</f>
        <v>1968/2011</v>
      </c>
      <c r="FH354" s="0" t="n">
        <v>0</v>
      </c>
      <c r="FI354" s="0" t="n">
        <v>0</v>
      </c>
    </row>
    <row r="355" customFormat="false" ht="15" hidden="false" customHeight="false" outlineLevel="0" collapsed="false">
      <c r="A355" s="5" t="str">
        <f aca="false">E355&amp;G355&amp;F355</f>
        <v>720111969</v>
      </c>
      <c r="B355" s="0" t="s">
        <v>3556</v>
      </c>
      <c r="C355" s="1" t="n">
        <v>42412</v>
      </c>
      <c r="D355" s="0" t="s">
        <v>1856</v>
      </c>
      <c r="E355" s="0" t="n">
        <v>7</v>
      </c>
      <c r="F355" s="0" t="n">
        <v>1969</v>
      </c>
      <c r="G355" s="0" t="n">
        <v>2011</v>
      </c>
      <c r="H355" s="0" t="str">
        <f aca="false">"J"&amp;E355&amp;"\"&amp;F355&amp;"\"&amp;G355&amp;"\"&amp;W355</f>
        <v>J7\1969\2011\1</v>
      </c>
      <c r="I355" s="0"/>
      <c r="J355" s="1" t="n">
        <v>40872</v>
      </c>
      <c r="K355" s="0" t="n">
        <v>0</v>
      </c>
      <c r="M355" s="1"/>
      <c r="N355" s="1"/>
      <c r="O355" s="1"/>
      <c r="P355" s="1"/>
      <c r="Q355" s="1"/>
      <c r="T355" s="121"/>
      <c r="U355" s="121"/>
      <c r="V355" s="122" t="n">
        <f aca="false">IF(AND(E355&gt;0,F355&gt;0,G355&gt;0),COUNTIFS($E:$E,E355,$F:$F,F355,$G:$G,G355),"")</f>
        <v>1</v>
      </c>
      <c r="W355" s="122" t="n">
        <f aca="false">IF(V355="","",IF(V355=1,1,IF(AND(E354=E355,F354=F355,G354=G355),W354+1,1)))</f>
        <v>1</v>
      </c>
      <c r="X355" s="0" t="n">
        <v>1</v>
      </c>
      <c r="Y355" s="0" t="n">
        <v>4</v>
      </c>
      <c r="Z355" s="0" t="s">
        <v>3700</v>
      </c>
      <c r="AA355" s="0" t="n">
        <v>0</v>
      </c>
      <c r="AB355" s="0" t="s">
        <v>3589</v>
      </c>
      <c r="AC355" s="0" t="s">
        <v>228</v>
      </c>
      <c r="AD355" s="0" t="s">
        <v>229</v>
      </c>
      <c r="AE355" s="0" t="n">
        <v>0</v>
      </c>
      <c r="AF355" s="0" t="s">
        <v>3701</v>
      </c>
      <c r="AG355" s="0" t="n">
        <v>0</v>
      </c>
      <c r="AH355" s="0" t="s">
        <v>3702</v>
      </c>
      <c r="AI355" s="0" t="s">
        <v>3703</v>
      </c>
      <c r="AJ355" s="0" t="s">
        <v>211</v>
      </c>
      <c r="AL355" s="0" t="s">
        <v>3704</v>
      </c>
      <c r="AM355" s="0" t="n">
        <v>1</v>
      </c>
      <c r="AN355" s="0" t="s">
        <v>3702</v>
      </c>
      <c r="AO355" s="0" t="s">
        <v>3703</v>
      </c>
      <c r="AP355" s="0" t="s">
        <v>211</v>
      </c>
      <c r="AR355" s="0" t="s">
        <v>3705</v>
      </c>
      <c r="AS355" s="0" t="n">
        <v>1</v>
      </c>
      <c r="AT355" s="0" t="s">
        <v>3702</v>
      </c>
      <c r="AU355" s="0" t="s">
        <v>3703</v>
      </c>
      <c r="AV355" s="0" t="s">
        <v>211</v>
      </c>
      <c r="AX355" s="0" t="s">
        <v>1880</v>
      </c>
      <c r="AY355" s="0" t="n">
        <v>1</v>
      </c>
      <c r="AZ355" s="0" t="s">
        <v>3702</v>
      </c>
      <c r="BA355" s="0" t="s">
        <v>3703</v>
      </c>
      <c r="BB355" s="0" t="s">
        <v>211</v>
      </c>
      <c r="BP355" s="0" t="n">
        <v>0</v>
      </c>
      <c r="BQ355" s="0" t="n">
        <v>0</v>
      </c>
      <c r="BR355" s="0" t="n">
        <v>3</v>
      </c>
      <c r="BS355" s="0" t="s">
        <v>3676</v>
      </c>
      <c r="BT355" s="0" t="s">
        <v>1818</v>
      </c>
      <c r="BU355" s="0" t="s">
        <v>1841</v>
      </c>
      <c r="BV355" s="123"/>
      <c r="BW355" s="123"/>
      <c r="BX355" s="123"/>
      <c r="BY355" s="123"/>
      <c r="CA355" s="0" t="s">
        <v>348</v>
      </c>
      <c r="CD355" s="0" t="s">
        <v>357</v>
      </c>
      <c r="CE355" s="0" t="n">
        <v>0</v>
      </c>
      <c r="CF355" s="0" t="s">
        <v>3706</v>
      </c>
      <c r="CI355" s="1" t="n">
        <v>31187</v>
      </c>
      <c r="CJ355" s="1" t="n">
        <v>40816</v>
      </c>
      <c r="CK355" s="124" t="n">
        <v>0.66875</v>
      </c>
      <c r="CL355" s="0" t="s">
        <v>3704</v>
      </c>
      <c r="CM355" s="0" t="n">
        <f aca="false">IF(OR(CI355="",CJ355=""),"",DAYS360(CI355,CJ355)/360)</f>
        <v>26.3611111111111</v>
      </c>
      <c r="CN355" s="0" t="n">
        <f aca="false">IF(OR(CI355="",CJ355=""),"",DAYS360(CI355,CJ355)/30)</f>
        <v>316.333333333333</v>
      </c>
      <c r="CO355" s="0" t="n">
        <f aca="false">IF(OR(CI355="",CJ355=""),"",DAYS360(CI355,CJ355)/7)</f>
        <v>1355.71428571429</v>
      </c>
      <c r="CP355" s="0" t="n">
        <f aca="false">IF(OR(CI355="",CJ355=""),"",DAYS360(CI355,CJ355))</f>
        <v>9490</v>
      </c>
      <c r="CQ355" s="0" t="s">
        <v>240</v>
      </c>
      <c r="CR355" s="0" t="n">
        <v>1</v>
      </c>
      <c r="CT355" s="0" t="n">
        <v>120</v>
      </c>
      <c r="CU355" s="0" t="n">
        <v>0</v>
      </c>
      <c r="CV355" s="0" t="n">
        <f aca="false">IF(OR(CT355="",CT355="NO ESPECIFICA",CT355="NO MENCIONA"),"",IF(CU355=0,CT355,IF(CU355=1,CT355/30,IF(CU355=2,CT355/15,IF(CU355=3,CT355/7,"")))))</f>
        <v>120</v>
      </c>
      <c r="CW355" s="125" t="n">
        <v>126.73</v>
      </c>
      <c r="CX355" s="0" t="n">
        <v>0</v>
      </c>
      <c r="CY355" s="0" t="n">
        <f aca="false">IF(CW355="","",IF(CX355=0,CW355,IF(CX355=1,CW355/30,IF(CX355=2,CW355/15,IF(CX355=3,CW355/7,CW355)))))</f>
        <v>126.73</v>
      </c>
      <c r="CZ355" s="0" t="n">
        <f aca="false">IF(DI355&gt;0,DI355,IF(CY355&gt;0,CY355,IF(CV355&gt;0,CV355,"")))</f>
        <v>126.73</v>
      </c>
      <c r="DA355" s="0" t="n">
        <f aca="false">IF(DM355=1,CZ355/8,IF(OR(DM355=2,DM355=4),CZ355/7,IF(DM355=3,CZ355/7.5,"")))</f>
        <v>15.84125</v>
      </c>
      <c r="DB355" s="0" t="s">
        <v>303</v>
      </c>
      <c r="DC355" s="0" t="s">
        <v>301</v>
      </c>
      <c r="DD355" s="0" t="s">
        <v>216</v>
      </c>
      <c r="DE355" s="0" t="s">
        <v>216</v>
      </c>
      <c r="DF355" s="0" t="s">
        <v>216</v>
      </c>
      <c r="DG355" s="0" t="s">
        <v>216</v>
      </c>
      <c r="DH355" s="0" t="n">
        <v>0</v>
      </c>
      <c r="DI355" s="126" t="n">
        <f aca="false">CW355</f>
        <v>126.73</v>
      </c>
      <c r="DK355" s="0" t="n">
        <v>0</v>
      </c>
      <c r="DM355" s="0" t="n">
        <v>1</v>
      </c>
      <c r="DN355" s="0" t="n">
        <f aca="false">9.5*5</f>
        <v>47.5</v>
      </c>
      <c r="DO355" s="0" t="n">
        <v>3</v>
      </c>
      <c r="DP355" s="0" t="n">
        <v>0</v>
      </c>
      <c r="DQ355" s="0" t="n">
        <v>1</v>
      </c>
      <c r="DR355" s="0"/>
      <c r="DS355" s="0" t="n">
        <v>1</v>
      </c>
      <c r="DU355" s="0" t="n">
        <v>1</v>
      </c>
      <c r="DW355" s="1" t="n">
        <v>40318</v>
      </c>
      <c r="DX355" s="1" t="n">
        <f aca="false">CJ355</f>
        <v>40816</v>
      </c>
      <c r="DZ355" s="0"/>
      <c r="EA355" s="0" t="n">
        <v>1</v>
      </c>
      <c r="EC355" s="1" t="n">
        <v>40179</v>
      </c>
      <c r="ED355" s="1" t="n">
        <f aca="false">CJ355</f>
        <v>40816</v>
      </c>
      <c r="EF355" s="0"/>
      <c r="EG355" s="0" t="n">
        <v>0</v>
      </c>
      <c r="EI355" s="0" t="str">
        <f aca="false">IF(AND(DM355=1,DN355&lt;=48),"",IF(AND(DM355=2,DN355&lt;=42),"",IF(AND(DM355=3,DN355&lt;=45),"",EH355)))</f>
        <v/>
      </c>
      <c r="EJ355" s="0" t="str">
        <f aca="false">IF(EI355="","",IF(EI355&lt;9,EI355,9))</f>
        <v/>
      </c>
      <c r="EK355" s="0" t="str">
        <f aca="false">IF(EI355="","",IF(EI355&gt;9,EI355-EJ355,0))</f>
        <v/>
      </c>
      <c r="EL355" s="0" t="str">
        <f aca="false">IF(EI355="","",EJ355*DA355*2+EK355*DA355*3)</f>
        <v/>
      </c>
      <c r="EP355" s="0" t="n">
        <v>0</v>
      </c>
      <c r="EQ355" s="0"/>
      <c r="ER355" s="0" t="n">
        <v>0</v>
      </c>
      <c r="ET355" s="0" t="n">
        <v>0</v>
      </c>
      <c r="EV355" s="0" t="n">
        <v>0</v>
      </c>
      <c r="EX355" s="0" t="n">
        <v>0</v>
      </c>
      <c r="EY355" s="0" t="n">
        <v>0</v>
      </c>
      <c r="EZ355" s="0"/>
      <c r="FA355" s="0"/>
      <c r="FB355" s="0" t="n">
        <v>1</v>
      </c>
      <c r="FF355" s="120" t="n">
        <f aca="false">(CJ355-CI355+1)/365</f>
        <v>26.3835616438356</v>
      </c>
      <c r="FG355" s="0" t="str">
        <f aca="false">CONCATENATE(F355,"/",G355)</f>
        <v>1969/2011</v>
      </c>
      <c r="FH355" s="0" t="n">
        <v>0</v>
      </c>
      <c r="FI355" s="0" t="n">
        <v>0</v>
      </c>
    </row>
    <row r="356" customFormat="false" ht="15" hidden="false" customHeight="false" outlineLevel="0" collapsed="false">
      <c r="A356" s="5" t="str">
        <f aca="false">E356&amp;G356&amp;F356</f>
        <v>720111984</v>
      </c>
      <c r="B356" s="0" t="s">
        <v>3556</v>
      </c>
      <c r="C356" s="1" t="n">
        <v>42412</v>
      </c>
      <c r="D356" s="0" t="s">
        <v>1856</v>
      </c>
      <c r="E356" s="0" t="n">
        <v>7</v>
      </c>
      <c r="F356" s="0" t="n">
        <v>1984</v>
      </c>
      <c r="G356" s="0" t="n">
        <v>2011</v>
      </c>
      <c r="H356" s="0" t="str">
        <f aca="false">"J"&amp;E356&amp;"\"&amp;F356&amp;"\"&amp;G356&amp;"\"&amp;W356</f>
        <v>J7\1984\2011\1</v>
      </c>
      <c r="I356" s="0" t="n">
        <v>40850</v>
      </c>
      <c r="J356" s="1" t="n">
        <v>40875</v>
      </c>
      <c r="K356" s="0" t="n">
        <v>0</v>
      </c>
      <c r="M356" s="1"/>
      <c r="N356" s="1"/>
      <c r="O356" s="1"/>
      <c r="P356" s="1"/>
      <c r="Q356" s="1"/>
      <c r="T356" s="121"/>
      <c r="U356" s="121"/>
      <c r="V356" s="122" t="n">
        <f aca="false">IF(AND(E356&gt;0,F356&gt;0,G356&gt;0),COUNTIFS($E:$E,E356,$F:$F,F356,$G:$G,G356),"")</f>
        <v>1</v>
      </c>
      <c r="W356" s="122" t="n">
        <f aca="false">IF(V356="","",IF(V356=1,1,IF(AND(E355=E356,F355=F356,G355=G356),W355+1,1)))</f>
        <v>1</v>
      </c>
      <c r="X356" s="0" t="n">
        <v>1</v>
      </c>
      <c r="Y356" s="0" t="n">
        <v>4</v>
      </c>
      <c r="Z356" s="0" t="s">
        <v>3707</v>
      </c>
      <c r="AA356" s="0" t="n">
        <v>0</v>
      </c>
      <c r="AB356" s="0" t="s">
        <v>1802</v>
      </c>
      <c r="AC356" s="0" t="s">
        <v>1661</v>
      </c>
      <c r="AD356" s="0" t="s">
        <v>221</v>
      </c>
      <c r="AE356" s="0" t="n">
        <v>0</v>
      </c>
      <c r="AF356" s="0" t="s">
        <v>3708</v>
      </c>
      <c r="AG356" s="0" t="n">
        <v>0</v>
      </c>
      <c r="AH356" s="0" t="s">
        <v>3709</v>
      </c>
      <c r="AI356" s="0" t="s">
        <v>3710</v>
      </c>
      <c r="AJ356" s="0" t="s">
        <v>3711</v>
      </c>
      <c r="AL356" s="0" t="s">
        <v>3712</v>
      </c>
      <c r="AM356" s="0" t="n">
        <v>1</v>
      </c>
      <c r="AN356" s="0" t="s">
        <v>3709</v>
      </c>
      <c r="AO356" s="0" t="s">
        <v>3710</v>
      </c>
      <c r="AP356" s="0" t="s">
        <v>3711</v>
      </c>
      <c r="AR356" s="0" t="s">
        <v>3713</v>
      </c>
      <c r="AS356" s="0" t="n">
        <v>1</v>
      </c>
      <c r="AT356" s="0" t="s">
        <v>3709</v>
      </c>
      <c r="AU356" s="0" t="s">
        <v>3710</v>
      </c>
      <c r="AV356" s="0" t="s">
        <v>3711</v>
      </c>
      <c r="AX356" s="0" t="s">
        <v>249</v>
      </c>
      <c r="AY356" s="0" t="n">
        <v>0</v>
      </c>
      <c r="AZ356" s="0" t="s">
        <v>3714</v>
      </c>
      <c r="BA356" s="0" t="s">
        <v>410</v>
      </c>
      <c r="BB356" s="0" t="s">
        <v>411</v>
      </c>
      <c r="BP356" s="0" t="n">
        <v>0</v>
      </c>
      <c r="BQ356" s="0" t="n">
        <v>0</v>
      </c>
      <c r="BR356" s="0" t="n">
        <v>1</v>
      </c>
      <c r="BS356" s="0" t="s">
        <v>1273</v>
      </c>
      <c r="BT356" s="0" t="s">
        <v>3715</v>
      </c>
      <c r="BU356" s="0" t="s">
        <v>1272</v>
      </c>
      <c r="BV356" s="123"/>
      <c r="BW356" s="123"/>
      <c r="BX356" s="123"/>
      <c r="BY356" s="123"/>
      <c r="CA356" s="0" t="s">
        <v>216</v>
      </c>
      <c r="CD356" s="0" t="s">
        <v>3716</v>
      </c>
      <c r="CE356" s="0" t="n">
        <v>0</v>
      </c>
      <c r="CF356" s="0" t="s">
        <v>3717</v>
      </c>
      <c r="CI356" s="1" t="n">
        <v>35513</v>
      </c>
      <c r="CJ356" s="1" t="n">
        <v>40651</v>
      </c>
      <c r="CK356" s="124" t="n">
        <v>0.375</v>
      </c>
      <c r="CL356" s="0" t="s">
        <v>3712</v>
      </c>
      <c r="CM356" s="0" t="n">
        <f aca="false">IF(OR(CI356="",CJ356=""),"",DAYS360(CI356,CJ356)/360)</f>
        <v>14.0666666666667</v>
      </c>
      <c r="CN356" s="0" t="n">
        <f aca="false">IF(OR(CI356="",CJ356=""),"",DAYS360(CI356,CJ356)/30)</f>
        <v>168.8</v>
      </c>
      <c r="CO356" s="0" t="n">
        <f aca="false">IF(OR(CI356="",CJ356=""),"",DAYS360(CI356,CJ356)/7)</f>
        <v>723.428571428572</v>
      </c>
      <c r="CP356" s="0" t="n">
        <f aca="false">IF(OR(CI356="",CJ356=""),"",DAYS360(CI356,CJ356))</f>
        <v>5064</v>
      </c>
      <c r="CQ356" s="0" t="s">
        <v>240</v>
      </c>
      <c r="CR356" s="0" t="n">
        <v>1</v>
      </c>
      <c r="CT356" s="0" t="s">
        <v>221</v>
      </c>
      <c r="CU356" s="0" t="s">
        <v>221</v>
      </c>
      <c r="CV356" s="0" t="str">
        <f aca="false">IF(OR(CT356="",CT356="NO ESPECIFICA",CT356="NO MENCIONA"),"",IF(CU356=0,CT356,IF(CU356=1,CT356/30,IF(CU356=2,CT356/15,IF(CU356=3,CT356/7,"")))))</f>
        <v/>
      </c>
      <c r="CW356" s="125" t="n">
        <v>12000</v>
      </c>
      <c r="CX356" s="0" t="n">
        <v>1</v>
      </c>
      <c r="CY356" s="0" t="n">
        <f aca="false">IF(CW356="","",IF(CX356=0,CW356,IF(CX356=1,CW356/30,IF(CX356=2,CW356/15,IF(CX356=3,CW356/7,CW356)))))</f>
        <v>400</v>
      </c>
      <c r="CZ356" s="0" t="n">
        <f aca="false">IF(DI356&gt;0,DI356,IF(CY356&gt;0,CY356,IF(CV356&gt;0,CV356,"")))</f>
        <v>400</v>
      </c>
      <c r="DA356" s="0" t="n">
        <f aca="false">IF(DM356=1,CZ356/8,IF(OR(DM356=2,DM356=4),CZ356/7,IF(DM356=3,CZ356/7.5,"")))</f>
        <v>50</v>
      </c>
      <c r="DB356" s="0" t="s">
        <v>216</v>
      </c>
      <c r="DC356" s="0" t="s">
        <v>216</v>
      </c>
      <c r="DD356" s="0" t="s">
        <v>216</v>
      </c>
      <c r="DE356" s="0" t="s">
        <v>216</v>
      </c>
      <c r="DF356" s="0" t="s">
        <v>216</v>
      </c>
      <c r="DG356" s="0" t="s">
        <v>216</v>
      </c>
      <c r="DH356" s="0" t="n">
        <v>0</v>
      </c>
      <c r="DI356" s="126" t="n">
        <f aca="false">CW356/30</f>
        <v>400</v>
      </c>
      <c r="DK356" s="0" t="n">
        <v>0</v>
      </c>
      <c r="DM356" s="0" t="n">
        <v>1</v>
      </c>
      <c r="DN356" s="0" t="n">
        <v>72</v>
      </c>
      <c r="DO356" s="0" t="n">
        <v>3</v>
      </c>
      <c r="DP356" s="0" t="n">
        <v>0</v>
      </c>
      <c r="DQ356" s="0" t="n">
        <v>1</v>
      </c>
      <c r="DR356" s="0"/>
      <c r="DS356" s="0" t="n">
        <v>1</v>
      </c>
      <c r="DU356" s="0" t="n">
        <v>1</v>
      </c>
      <c r="DW356" s="1" t="n">
        <f aca="false">CI356</f>
        <v>35513</v>
      </c>
      <c r="DX356" s="1" t="n">
        <f aca="false">CJ356</f>
        <v>40651</v>
      </c>
      <c r="DZ356" s="0"/>
      <c r="EA356" s="0" t="n">
        <v>1</v>
      </c>
      <c r="EC356" s="1" t="n">
        <f aca="false">CI356</f>
        <v>35513</v>
      </c>
      <c r="ED356" s="1" t="n">
        <f aca="false">CJ356</f>
        <v>40651</v>
      </c>
      <c r="EF356" s="0"/>
      <c r="EG356" s="0" t="n">
        <v>1</v>
      </c>
      <c r="EH356" s="0" t="n">
        <v>18</v>
      </c>
      <c r="EI356" s="0" t="n">
        <f aca="false">IF(AND(DM356=1,DN356&lt;=48),"",IF(AND(DM356=2,DN356&lt;=42),"",IF(AND(DM356=3,DN356&lt;=45),"",EH356)))</f>
        <v>18</v>
      </c>
      <c r="EJ356" s="0" t="n">
        <f aca="false">IF(EI356="","",IF(EI356&lt;9,EI356,9))</f>
        <v>9</v>
      </c>
      <c r="EK356" s="0" t="n">
        <f aca="false">IF(EI356="","",IF(EI356&gt;9,EI356-EJ356,0))</f>
        <v>9</v>
      </c>
      <c r="EL356" s="0" t="n">
        <f aca="false">IF(EI356="","",EJ356*DA356*2+EK356*DA356*3)</f>
        <v>2250</v>
      </c>
      <c r="EP356" s="0" t="n">
        <v>0</v>
      </c>
      <c r="EQ356" s="0"/>
      <c r="ER356" s="0" t="n">
        <v>1</v>
      </c>
      <c r="ET356" s="0" t="n">
        <v>1</v>
      </c>
      <c r="EV356" s="0" t="n">
        <v>1</v>
      </c>
      <c r="EX356" s="0" t="n">
        <v>1</v>
      </c>
      <c r="EY356" s="0" t="n">
        <v>0</v>
      </c>
      <c r="EZ356" s="0"/>
      <c r="FA356" s="4" t="n">
        <f aca="false">DI356*(11+31+17)</f>
        <v>23600</v>
      </c>
      <c r="FB356" s="0" t="n">
        <v>1</v>
      </c>
      <c r="FF356" s="120" t="n">
        <f aca="false">(CJ356-CI356+1)/365</f>
        <v>14.0794520547945</v>
      </c>
      <c r="FG356" s="0" t="str">
        <f aca="false">CONCATENATE(F356,"/",G356)</f>
        <v>1984/2011</v>
      </c>
      <c r="FH356" s="0" t="n">
        <v>0</v>
      </c>
      <c r="FI356" s="0" t="n">
        <v>0</v>
      </c>
    </row>
    <row r="357" customFormat="false" ht="15" hidden="false" customHeight="false" outlineLevel="0" collapsed="false">
      <c r="A357" s="5" t="str">
        <f aca="false">E357&amp;G357&amp;F357</f>
        <v>720112001</v>
      </c>
      <c r="B357" s="0" t="s">
        <v>3556</v>
      </c>
      <c r="C357" s="1" t="n">
        <v>42412</v>
      </c>
      <c r="E357" s="0" t="n">
        <v>7</v>
      </c>
      <c r="F357" s="0" t="n">
        <v>2001</v>
      </c>
      <c r="G357" s="0" t="n">
        <v>2011</v>
      </c>
      <c r="H357" s="0" t="str">
        <f aca="false">"J"&amp;E357&amp;"\"&amp;F357&amp;"\"&amp;G357&amp;"\"&amp;W357</f>
        <v>J7\2001\2011\1</v>
      </c>
      <c r="I357" s="0"/>
      <c r="J357" s="1" t="n">
        <v>40877</v>
      </c>
      <c r="K357" s="0" t="n">
        <v>0</v>
      </c>
      <c r="M357" s="1" t="n">
        <v>40877</v>
      </c>
      <c r="N357" s="1" t="n">
        <v>40949</v>
      </c>
      <c r="O357" s="1"/>
      <c r="P357" s="1"/>
      <c r="Q357" s="1"/>
      <c r="T357" s="121"/>
      <c r="U357" s="121"/>
      <c r="V357" s="122" t="n">
        <f aca="false">IF(AND(E357&gt;0,F357&gt;0,G357&gt;0),COUNTIFS($E:$E,E357,$F:$F,F357,$G:$G,G357),"")</f>
        <v>1</v>
      </c>
      <c r="W357" s="122" t="n">
        <f aca="false">IF(V357="","",IF(V357=1,1,IF(AND(E356=E357,F356=F357,G356=G357),W356+1,1)))</f>
        <v>1</v>
      </c>
      <c r="X357" s="0" t="n">
        <v>1</v>
      </c>
      <c r="Y357" s="0" t="n">
        <v>4</v>
      </c>
      <c r="Z357" s="0" t="s">
        <v>3718</v>
      </c>
      <c r="AA357" s="0" t="n">
        <v>0</v>
      </c>
      <c r="AB357" s="0" t="s">
        <v>1802</v>
      </c>
      <c r="AC357" s="0" t="s">
        <v>1661</v>
      </c>
      <c r="AD357" s="0" t="s">
        <v>221</v>
      </c>
      <c r="AE357" s="0" t="n">
        <v>0</v>
      </c>
      <c r="AF357" s="0" t="s">
        <v>3719</v>
      </c>
      <c r="AG357" s="0" t="n">
        <v>0</v>
      </c>
      <c r="AH357" s="0" t="s">
        <v>3720</v>
      </c>
      <c r="AI357" s="0" t="s">
        <v>3721</v>
      </c>
      <c r="AJ357" s="0" t="s">
        <v>485</v>
      </c>
      <c r="AL357" s="0" t="s">
        <v>3722</v>
      </c>
      <c r="AM357" s="0" t="n">
        <v>1</v>
      </c>
      <c r="AN357" s="0" t="s">
        <v>3720</v>
      </c>
      <c r="AO357" s="0" t="s">
        <v>3721</v>
      </c>
      <c r="AP357" s="0" t="s">
        <v>485</v>
      </c>
      <c r="AR357" s="0" t="s">
        <v>3723</v>
      </c>
      <c r="AS357" s="0" t="n">
        <v>1</v>
      </c>
      <c r="AT357" s="0" t="s">
        <v>3720</v>
      </c>
      <c r="AU357" s="0" t="s">
        <v>3721</v>
      </c>
      <c r="AV357" s="0" t="s">
        <v>485</v>
      </c>
      <c r="AX357" s="0" t="s">
        <v>1880</v>
      </c>
      <c r="AY357" s="0" t="n">
        <v>1</v>
      </c>
      <c r="AZ357" s="0" t="s">
        <v>3720</v>
      </c>
      <c r="BA357" s="0" t="s">
        <v>3721</v>
      </c>
      <c r="BB357" s="0" t="s">
        <v>485</v>
      </c>
      <c r="BP357" s="0" t="n">
        <v>0</v>
      </c>
      <c r="BQ357" s="0" t="n">
        <v>0</v>
      </c>
      <c r="BR357" s="0" t="n">
        <v>1</v>
      </c>
      <c r="BS357" s="0" t="s">
        <v>1273</v>
      </c>
      <c r="BT357" s="0" t="s">
        <v>3715</v>
      </c>
      <c r="BU357" s="0" t="s">
        <v>1272</v>
      </c>
      <c r="BV357" s="123"/>
      <c r="BW357" s="123"/>
      <c r="BX357" s="123"/>
      <c r="BY357" s="123"/>
      <c r="CA357" s="0" t="s">
        <v>216</v>
      </c>
      <c r="CD357" s="0" t="s">
        <v>370</v>
      </c>
      <c r="CE357" s="0" t="n">
        <v>0</v>
      </c>
      <c r="CF357" s="0" t="s">
        <v>3724</v>
      </c>
      <c r="CI357" s="1" t="n">
        <v>40603</v>
      </c>
      <c r="CJ357" s="1" t="n">
        <v>40861</v>
      </c>
      <c r="CK357" s="124" t="n">
        <v>0.375</v>
      </c>
      <c r="CL357" s="0" t="s">
        <v>3725</v>
      </c>
      <c r="CM357" s="0" t="n">
        <f aca="false">IF(OR(CI357="",CJ357=""),"",DAYS360(CI357,CJ357)/360)</f>
        <v>0.702777777777778</v>
      </c>
      <c r="CN357" s="0" t="n">
        <f aca="false">IF(OR(CI357="",CJ357=""),"",DAYS360(CI357,CJ357)/30)</f>
        <v>8.43333333333333</v>
      </c>
      <c r="CO357" s="0" t="n">
        <f aca="false">IF(OR(CI357="",CJ357=""),"",DAYS360(CI357,CJ357)/7)</f>
        <v>36.1428571428571</v>
      </c>
      <c r="CP357" s="0" t="n">
        <f aca="false">IF(OR(CI357="",CJ357=""),"",DAYS360(CI357,CJ357))</f>
        <v>253</v>
      </c>
      <c r="CQ357" s="0" t="s">
        <v>240</v>
      </c>
      <c r="CR357" s="0" t="n">
        <v>1</v>
      </c>
      <c r="CT357" s="0" t="s">
        <v>221</v>
      </c>
      <c r="CU357" s="0" t="s">
        <v>221</v>
      </c>
      <c r="CV357" s="0" t="str">
        <f aca="false">IF(OR(CT357="",CT357="NO ESPECIFICA",CT357="NO MENCIONA"),"",IF(CU357=0,CT357,IF(CU357=1,CT357/30,IF(CU357=2,CT357/15,IF(CU357=3,CT357/7,"")))))</f>
        <v/>
      </c>
      <c r="CW357" s="125" t="n">
        <v>6000</v>
      </c>
      <c r="CX357" s="0" t="n">
        <v>1</v>
      </c>
      <c r="CY357" s="0" t="n">
        <f aca="false">IF(CW357="","",IF(CX357=0,CW357,IF(CX357=1,CW357/30,IF(CX357=2,CW357/15,IF(CX357=3,CW357/7,CW357)))))</f>
        <v>200</v>
      </c>
      <c r="CZ357" s="0" t="n">
        <f aca="false">IF(DI357&gt;0,DI357,IF(CY357&gt;0,CY357,IF(CV357&gt;0,CV357,"")))</f>
        <v>200</v>
      </c>
      <c r="DA357" s="0" t="n">
        <f aca="false">IF(DM357=1,CZ357/8,IF(OR(DM357=2,DM357=4),CZ357/7,IF(DM357=3,CZ357/7.5,"")))</f>
        <v>25</v>
      </c>
      <c r="DB357" s="0" t="s">
        <v>216</v>
      </c>
      <c r="DC357" s="0" t="s">
        <v>216</v>
      </c>
      <c r="DD357" s="0" t="s">
        <v>216</v>
      </c>
      <c r="DE357" s="0" t="s">
        <v>216</v>
      </c>
      <c r="DF357" s="0" t="s">
        <v>216</v>
      </c>
      <c r="DG357" s="0" t="s">
        <v>216</v>
      </c>
      <c r="DH357" s="0" t="n">
        <v>0</v>
      </c>
      <c r="DI357" s="126" t="n">
        <f aca="false">CW357/30</f>
        <v>200</v>
      </c>
      <c r="DK357" s="0" t="n">
        <v>1</v>
      </c>
      <c r="DM357" s="0" t="n">
        <v>1</v>
      </c>
      <c r="DN357" s="0" t="n">
        <v>72</v>
      </c>
      <c r="DO357" s="0" t="n">
        <v>3</v>
      </c>
      <c r="DP357" s="0" t="n">
        <v>0</v>
      </c>
      <c r="DQ357" s="0" t="n">
        <v>1</v>
      </c>
      <c r="DR357" s="0"/>
      <c r="DS357" s="0" t="n">
        <v>1</v>
      </c>
      <c r="DU357" s="0" t="n">
        <v>1</v>
      </c>
      <c r="DW357" s="1" t="n">
        <f aca="false">CI357</f>
        <v>40603</v>
      </c>
      <c r="DX357" s="1" t="n">
        <f aca="false">CJ357</f>
        <v>40861</v>
      </c>
      <c r="DZ357" s="0"/>
      <c r="EA357" s="0" t="n">
        <v>1</v>
      </c>
      <c r="EC357" s="1" t="n">
        <f aca="false">CI357</f>
        <v>40603</v>
      </c>
      <c r="ED357" s="1" t="n">
        <f aca="false">CJ357</f>
        <v>40861</v>
      </c>
      <c r="EF357" s="0"/>
      <c r="EG357" s="0" t="n">
        <v>1</v>
      </c>
      <c r="EH357" s="0" t="n">
        <v>18</v>
      </c>
      <c r="EI357" s="0" t="n">
        <f aca="false">IF(AND(DM357=1,DN357&lt;=48),"",IF(AND(DM357=2,DN357&lt;=42),"",IF(AND(DM357=3,DN357&lt;=45),"",EH357)))</f>
        <v>18</v>
      </c>
      <c r="EJ357" s="0" t="n">
        <f aca="false">IF(EI357="","",IF(EI357&lt;9,EI357,9))</f>
        <v>9</v>
      </c>
      <c r="EK357" s="0" t="n">
        <f aca="false">IF(EI357="","",IF(EI357&gt;9,EI357-EJ357,0))</f>
        <v>9</v>
      </c>
      <c r="EL357" s="0" t="n">
        <f aca="false">IF(EI357="","",EJ357*DA357*2+EK357*DA357*3)</f>
        <v>1125</v>
      </c>
      <c r="EP357" s="0" t="n">
        <v>0</v>
      </c>
      <c r="EQ357" s="0"/>
      <c r="ER357" s="0" t="n">
        <v>1</v>
      </c>
      <c r="ET357" s="0" t="n">
        <v>1</v>
      </c>
      <c r="EV357" s="0" t="n">
        <v>1</v>
      </c>
      <c r="EX357" s="0" t="n">
        <v>1</v>
      </c>
      <c r="EY357" s="0" t="n">
        <v>0</v>
      </c>
      <c r="EZ357" s="0"/>
      <c r="FA357" s="4" t="n">
        <f aca="false">DI357*(15+31+13)</f>
        <v>11800</v>
      </c>
      <c r="FB357" s="0" t="n">
        <v>1</v>
      </c>
      <c r="FF357" s="120" t="n">
        <f aca="false">(CJ357-CI357+1)/365</f>
        <v>0.70958904109589</v>
      </c>
      <c r="FG357" s="0" t="str">
        <f aca="false">CONCATENATE(F357,"/",G357)</f>
        <v>2001/2011</v>
      </c>
      <c r="FH357" s="0" t="n">
        <v>0</v>
      </c>
      <c r="FI357" s="0" t="n">
        <v>0</v>
      </c>
    </row>
    <row r="358" customFormat="false" ht="15" hidden="false" customHeight="false" outlineLevel="0" collapsed="false">
      <c r="A358" s="5" t="str">
        <f aca="false">E358&amp;G358&amp;F358</f>
        <v>720112010</v>
      </c>
      <c r="B358" s="0" t="s">
        <v>3556</v>
      </c>
      <c r="C358" s="1" t="n">
        <v>42412</v>
      </c>
      <c r="E358" s="0" t="n">
        <v>7</v>
      </c>
      <c r="F358" s="0" t="n">
        <v>2010</v>
      </c>
      <c r="G358" s="0" t="n">
        <v>2011</v>
      </c>
      <c r="H358" s="0" t="str">
        <f aca="false">"J"&amp;E358&amp;"\"&amp;F358&amp;"\"&amp;G358&amp;"\"&amp;W358</f>
        <v>J7\2010\2011\1</v>
      </c>
      <c r="I358" s="0"/>
      <c r="J358" s="1" t="n">
        <v>40878</v>
      </c>
      <c r="K358" s="0" t="n">
        <v>0</v>
      </c>
      <c r="M358" s="1" t="n">
        <v>40878</v>
      </c>
      <c r="N358" s="1" t="n">
        <v>40949</v>
      </c>
      <c r="O358" s="1"/>
      <c r="P358" s="1"/>
      <c r="Q358" s="1"/>
      <c r="T358" s="121"/>
      <c r="U358" s="121"/>
      <c r="V358" s="122" t="n">
        <f aca="false">IF(AND(E358&gt;0,F358&gt;0,G358&gt;0),COUNTIFS($E:$E,E358,$F:$F,F358,$G:$G,G358),"")</f>
        <v>1</v>
      </c>
      <c r="W358" s="122" t="n">
        <f aca="false">IF(V358="","",IF(V358=1,1,IF(AND(E357=E358,F357=F358,G357=G358),W357+1,1)))</f>
        <v>1</v>
      </c>
      <c r="X358" s="0" t="n">
        <v>1</v>
      </c>
      <c r="Y358" s="0" t="n">
        <v>3</v>
      </c>
      <c r="Z358" s="0" t="s">
        <v>3726</v>
      </c>
      <c r="AA358" s="0" t="n">
        <v>0</v>
      </c>
      <c r="AB358" s="0" t="s">
        <v>1802</v>
      </c>
      <c r="AC358" s="0" t="s">
        <v>1661</v>
      </c>
      <c r="AD358" s="0" t="s">
        <v>221</v>
      </c>
      <c r="AE358" s="0" t="n">
        <v>0</v>
      </c>
      <c r="AF358" s="0" t="s">
        <v>3727</v>
      </c>
      <c r="AG358" s="0" t="n">
        <v>1</v>
      </c>
      <c r="AH358" s="0" t="s">
        <v>3728</v>
      </c>
      <c r="AI358" s="0" t="s">
        <v>3721</v>
      </c>
      <c r="AJ358" s="0" t="s">
        <v>352</v>
      </c>
      <c r="AL358" s="0" t="s">
        <v>3729</v>
      </c>
      <c r="AM358" s="0" t="n">
        <v>1</v>
      </c>
      <c r="AN358" s="0" t="s">
        <v>3728</v>
      </c>
      <c r="AO358" s="0" t="s">
        <v>3721</v>
      </c>
      <c r="AP358" s="0" t="s">
        <v>352</v>
      </c>
      <c r="AR358" s="0" t="s">
        <v>1880</v>
      </c>
      <c r="AS358" s="0" t="n">
        <v>1</v>
      </c>
      <c r="AT358" s="0" t="s">
        <v>3728</v>
      </c>
      <c r="AU358" s="0" t="s">
        <v>3721</v>
      </c>
      <c r="AV358" s="0" t="s">
        <v>352</v>
      </c>
      <c r="BP358" s="0" t="n">
        <v>0</v>
      </c>
      <c r="BQ358" s="0" t="n">
        <v>0</v>
      </c>
      <c r="BR358" s="0" t="n">
        <v>1</v>
      </c>
      <c r="BS358" s="0" t="s">
        <v>1273</v>
      </c>
      <c r="BT358" s="0" t="s">
        <v>3715</v>
      </c>
      <c r="BU358" s="0" t="s">
        <v>1272</v>
      </c>
      <c r="BV358" s="123"/>
      <c r="BW358" s="123"/>
      <c r="BX358" s="123"/>
      <c r="BY358" s="123"/>
      <c r="CA358" s="0" t="s">
        <v>216</v>
      </c>
      <c r="CD358" s="0" t="s">
        <v>1308</v>
      </c>
      <c r="CE358" s="0" t="n">
        <v>0</v>
      </c>
      <c r="CF358" s="0" t="s">
        <v>3730</v>
      </c>
      <c r="CI358" s="1" t="n">
        <v>39477</v>
      </c>
      <c r="CJ358" s="1" t="n">
        <v>40872</v>
      </c>
      <c r="CK358" s="124" t="s">
        <v>216</v>
      </c>
      <c r="CL358" s="0" t="s">
        <v>3731</v>
      </c>
      <c r="CM358" s="0" t="n">
        <f aca="false">IF(OR(CI358="",CJ358=""),"",DAYS360(CI358,CJ358)/360)</f>
        <v>3.81944444444444</v>
      </c>
      <c r="CN358" s="0" t="n">
        <f aca="false">IF(OR(CI358="",CJ358=""),"",DAYS360(CI358,CJ358)/30)</f>
        <v>45.8333333333333</v>
      </c>
      <c r="CO358" s="0" t="n">
        <f aca="false">IF(OR(CI358="",CJ358=""),"",DAYS360(CI358,CJ358)/7)</f>
        <v>196.428571428571</v>
      </c>
      <c r="CP358" s="0" t="n">
        <f aca="false">IF(OR(CI358="",CJ358=""),"",DAYS360(CI358,CJ358))</f>
        <v>1375</v>
      </c>
      <c r="CQ358" s="0" t="s">
        <v>240</v>
      </c>
      <c r="CR358" s="0" t="n">
        <v>1</v>
      </c>
      <c r="CT358" s="0" t="s">
        <v>221</v>
      </c>
      <c r="CU358" s="0" t="s">
        <v>221</v>
      </c>
      <c r="CV358" s="0" t="str">
        <f aca="false">IF(OR(CT358="",CT358="NO ESPECIFICA",CT358="NO MENCIONA"),"",IF(CU358=0,CT358,IF(CU358=1,CT358/30,IF(CU358=2,CT358/15,IF(CU358=3,CT358/7,"")))))</f>
        <v/>
      </c>
      <c r="CW358" s="125" t="n">
        <v>8000</v>
      </c>
      <c r="CX358" s="0" t="n">
        <v>1</v>
      </c>
      <c r="CY358" s="0" t="n">
        <f aca="false">IF(CW358="","",IF(CX358=0,CW358,IF(CX358=1,CW358/30,IF(CX358=2,CW358/15,IF(CX358=3,CW358/7,CW358)))))</f>
        <v>266.666666666667</v>
      </c>
      <c r="CZ358" s="0" t="n">
        <f aca="false">IF(DI358&gt;0,DI358,IF(CY358&gt;0,CY358,IF(CV358&gt;0,CV358,"")))</f>
        <v>266.666666666667</v>
      </c>
      <c r="DA358" s="0" t="n">
        <f aca="false">IF(DM358=1,CZ358/8,IF(OR(DM358=2,DM358=4),CZ358/7,IF(DM358=3,CZ358/7.5,"")))</f>
        <v>35.5555555555556</v>
      </c>
      <c r="DB358" s="0" t="s">
        <v>216</v>
      </c>
      <c r="DC358" s="0" t="s">
        <v>216</v>
      </c>
      <c r="DD358" s="0" t="s">
        <v>216</v>
      </c>
      <c r="DE358" s="0" t="s">
        <v>216</v>
      </c>
      <c r="DF358" s="0" t="s">
        <v>216</v>
      </c>
      <c r="DG358" s="0" t="s">
        <v>216</v>
      </c>
      <c r="DH358" s="0" t="n">
        <v>0</v>
      </c>
      <c r="DI358" s="126" t="n">
        <f aca="false">CW358/30</f>
        <v>266.666666666667</v>
      </c>
      <c r="DK358" s="0" t="n">
        <v>0</v>
      </c>
      <c r="DM358" s="0" t="n">
        <v>3</v>
      </c>
      <c r="DN358" s="0" t="n">
        <v>72</v>
      </c>
      <c r="DO358" s="0" t="n">
        <v>3</v>
      </c>
      <c r="DP358" s="0" t="n">
        <v>0</v>
      </c>
      <c r="DQ358" s="0" t="n">
        <v>1</v>
      </c>
      <c r="DR358" s="0"/>
      <c r="DS358" s="0" t="n">
        <v>1</v>
      </c>
      <c r="DU358" s="0" t="n">
        <v>1</v>
      </c>
      <c r="DW358" s="1" t="n">
        <f aca="false">CI358</f>
        <v>39477</v>
      </c>
      <c r="DX358" s="1" t="n">
        <f aca="false">CJ358</f>
        <v>40872</v>
      </c>
      <c r="DZ358" s="0"/>
      <c r="EA358" s="0" t="n">
        <v>1</v>
      </c>
      <c r="EC358" s="1" t="n">
        <f aca="false">CI358</f>
        <v>39477</v>
      </c>
      <c r="ED358" s="1" t="n">
        <f aca="false">CJ358</f>
        <v>40872</v>
      </c>
      <c r="EF358" s="0"/>
      <c r="EG358" s="0" t="n">
        <v>1</v>
      </c>
      <c r="EH358" s="0" t="n">
        <v>18</v>
      </c>
      <c r="EI358" s="0" t="n">
        <f aca="false">IF(AND(DM358=1,DN358&lt;=48),"",IF(AND(DM358=2,DN358&lt;=42),"",IF(AND(DM358=3,DN358&lt;=45),"",EH358)))</f>
        <v>18</v>
      </c>
      <c r="EJ358" s="0" t="n">
        <f aca="false">IF(EI358="","",IF(EI358&lt;9,EI358,9))</f>
        <v>9</v>
      </c>
      <c r="EK358" s="0" t="n">
        <f aca="false">IF(EI358="","",IF(EI358&gt;9,EI358-EJ358,0))</f>
        <v>9</v>
      </c>
      <c r="EL358" s="0" t="n">
        <f aca="false">IF(EI358="","",EJ358*DA358*2+EK358*DA358*3)</f>
        <v>1600</v>
      </c>
      <c r="EP358" s="0" t="n">
        <v>0</v>
      </c>
      <c r="EQ358" s="0"/>
      <c r="ER358" s="0" t="n">
        <v>1</v>
      </c>
      <c r="ET358" s="0" t="n">
        <v>1</v>
      </c>
      <c r="EV358" s="0" t="n">
        <v>1</v>
      </c>
      <c r="EX358" s="0" t="n">
        <v>1</v>
      </c>
      <c r="EY358" s="0" t="n">
        <v>0</v>
      </c>
      <c r="EZ358" s="0"/>
      <c r="FA358" s="4" t="n">
        <f aca="false">DI358*(6+31+24)</f>
        <v>16266.6666666667</v>
      </c>
      <c r="FB358" s="0" t="n">
        <v>1</v>
      </c>
      <c r="FF358" s="120" t="n">
        <f aca="false">(CJ358-CI358+1)/365</f>
        <v>3.82465753424657</v>
      </c>
      <c r="FG358" s="0" t="str">
        <f aca="false">CONCATENATE(F358,"/",G358)</f>
        <v>2010/2011</v>
      </c>
      <c r="FH358" s="0" t="n">
        <v>0</v>
      </c>
      <c r="FI358" s="0" t="n">
        <v>0</v>
      </c>
    </row>
    <row r="359" customFormat="false" ht="15" hidden="false" customHeight="false" outlineLevel="0" collapsed="false">
      <c r="A359" s="5" t="str">
        <f aca="false">E359&amp;G359&amp;F359</f>
        <v>720111000</v>
      </c>
      <c r="B359" s="0" t="s">
        <v>3732</v>
      </c>
      <c r="C359" s="1" t="n">
        <v>42411</v>
      </c>
      <c r="E359" s="0" t="n">
        <v>7</v>
      </c>
      <c r="F359" s="0" t="n">
        <v>1000</v>
      </c>
      <c r="G359" s="0" t="n">
        <v>2011</v>
      </c>
      <c r="H359" s="0" t="str">
        <f aca="false">"J"&amp;E359&amp;"\"&amp;F359&amp;"\"&amp;G359&amp;"\"&amp;W359</f>
        <v>J7\1000\2011\1</v>
      </c>
      <c r="I359" s="0"/>
      <c r="J359" s="1" t="n">
        <v>40703</v>
      </c>
      <c r="K359" s="0" t="n">
        <v>0</v>
      </c>
      <c r="M359" s="1" t="n">
        <v>40703</v>
      </c>
      <c r="N359" s="1" t="n">
        <v>40863</v>
      </c>
      <c r="O359" s="1"/>
      <c r="P359" s="1"/>
      <c r="Q359" s="1"/>
      <c r="T359" s="121"/>
      <c r="U359" s="121"/>
      <c r="V359" s="122" t="n">
        <f aca="false">IF(AND(E359&gt;0,F359&gt;0,G359&gt;0),COUNTIFS($E:$E,E359,$F:$F,F359,$G:$G,G359),"")</f>
        <v>1</v>
      </c>
      <c r="W359" s="122" t="n">
        <f aca="false">IF(V359="","",IF(V359=1,1,IF(AND(E358=E359,F358=F359,G358=G359),W358+1,1)))</f>
        <v>1</v>
      </c>
      <c r="X359" s="0" t="n">
        <v>1</v>
      </c>
      <c r="Y359" s="0" t="n">
        <v>3</v>
      </c>
      <c r="Z359" s="0" t="s">
        <v>3733</v>
      </c>
      <c r="AA359" s="0" t="n">
        <v>0</v>
      </c>
      <c r="AB359" s="0" t="s">
        <v>3734</v>
      </c>
      <c r="AC359" s="0" t="s">
        <v>2880</v>
      </c>
      <c r="AD359" s="0" t="s">
        <v>1972</v>
      </c>
      <c r="AE359" s="0" t="n">
        <v>0</v>
      </c>
      <c r="AF359" s="0" t="s">
        <v>3735</v>
      </c>
      <c r="AG359" s="0" t="n">
        <v>0</v>
      </c>
      <c r="AH359" s="0" t="s">
        <v>3736</v>
      </c>
      <c r="AI359" s="0" t="s">
        <v>3737</v>
      </c>
      <c r="AJ359" s="0" t="s">
        <v>211</v>
      </c>
      <c r="AL359" s="0" t="s">
        <v>3738</v>
      </c>
      <c r="AM359" s="0" t="n">
        <v>1</v>
      </c>
      <c r="AN359" s="0" t="s">
        <v>3736</v>
      </c>
      <c r="AO359" s="0" t="s">
        <v>3737</v>
      </c>
      <c r="AP359" s="0" t="s">
        <v>211</v>
      </c>
      <c r="AR359" s="0" t="s">
        <v>1637</v>
      </c>
      <c r="AS359" s="0" t="n">
        <v>1</v>
      </c>
      <c r="AT359" s="0" t="s">
        <v>3736</v>
      </c>
      <c r="AU359" s="0" t="s">
        <v>3737</v>
      </c>
      <c r="AV359" s="0" t="s">
        <v>211</v>
      </c>
      <c r="BP359" s="0" t="n">
        <v>0</v>
      </c>
      <c r="BQ359" s="0" t="n">
        <v>0</v>
      </c>
      <c r="BR359" s="0" t="n">
        <v>1</v>
      </c>
      <c r="BS359" s="0" t="s">
        <v>3739</v>
      </c>
      <c r="BT359" s="0" t="s">
        <v>3740</v>
      </c>
      <c r="BU359" s="0" t="s">
        <v>3741</v>
      </c>
      <c r="BV359" s="123"/>
      <c r="BW359" s="123"/>
      <c r="BX359" s="123"/>
      <c r="BY359" s="123"/>
      <c r="BZ359" s="0" t="n">
        <v>0</v>
      </c>
      <c r="CA359" s="0" t="s">
        <v>216</v>
      </c>
      <c r="CD359" s="0" t="s">
        <v>3742</v>
      </c>
      <c r="CE359" s="0" t="n">
        <v>0</v>
      </c>
      <c r="CF359" s="0" t="s">
        <v>3743</v>
      </c>
      <c r="CI359" s="1" t="n">
        <v>36667</v>
      </c>
      <c r="CJ359" s="1" t="n">
        <v>40677</v>
      </c>
      <c r="CK359" s="124" t="n">
        <v>0.625</v>
      </c>
      <c r="CL359" s="0" t="s">
        <v>3738</v>
      </c>
      <c r="CM359" s="0" t="n">
        <f aca="false">IF(OR(CI359="",CJ359=""),"",DAYS360(CI359,CJ359)/360)</f>
        <v>10.9805555555556</v>
      </c>
      <c r="CN359" s="0" t="n">
        <f aca="false">IF(OR(CI359="",CJ359=""),"",DAYS360(CI359,CJ359)/30)</f>
        <v>131.766666666667</v>
      </c>
      <c r="CO359" s="0" t="n">
        <f aca="false">IF(OR(CI359="",CJ359=""),"",DAYS360(CI359,CJ359)/7)</f>
        <v>564.714285714286</v>
      </c>
      <c r="CP359" s="0" t="n">
        <f aca="false">IF(OR(CI359="",CJ359=""),"",DAYS360(CI359,CJ359))</f>
        <v>3953</v>
      </c>
      <c r="CQ359" s="0" t="s">
        <v>240</v>
      </c>
      <c r="CR359" s="0" t="n">
        <v>1</v>
      </c>
      <c r="CT359" s="0" t="s">
        <v>221</v>
      </c>
      <c r="CU359" s="0" t="s">
        <v>221</v>
      </c>
      <c r="CV359" s="0" t="str">
        <f aca="false">IF(OR(CT359="",CT359="NO ESPECIFICA",CT359="NO MENCIONA"),"",IF(CU359=0,CT359,IF(CU359=1,CT359/30,IF(CU359=2,CT359/15,IF(CU359=3,CT359/7,"")))))</f>
        <v/>
      </c>
      <c r="CW359" s="125" t="n">
        <v>218.57</v>
      </c>
      <c r="CX359" s="0" t="n">
        <v>0</v>
      </c>
      <c r="CY359" s="0" t="n">
        <f aca="false">IF(CW359="","",IF(CX359=0,CW359,IF(CX359=1,CW359/30,IF(CX359=2,CW359/15,IF(CX359=3,CW359/7,CW359)))))</f>
        <v>218.57</v>
      </c>
      <c r="CZ359" s="0" t="n">
        <f aca="false">IF(DI359&gt;0,DI359,IF(CY359&gt;0,CY359,IF(CV359&gt;0,CV359,"")))</f>
        <v>218.57</v>
      </c>
      <c r="DA359" s="0" t="n">
        <f aca="false">IF(DM359=1,CZ359/8,IF(OR(DM359=2,DM359=4),CZ359/7,IF(DM359=3,CZ359/7.5,"")))</f>
        <v>27.32125</v>
      </c>
      <c r="DB359" s="0" t="s">
        <v>216</v>
      </c>
      <c r="DC359" s="0" t="s">
        <v>216</v>
      </c>
      <c r="DD359" s="0" t="s">
        <v>216</v>
      </c>
      <c r="DE359" s="0" t="s">
        <v>216</v>
      </c>
      <c r="DF359" s="0" t="s">
        <v>216</v>
      </c>
      <c r="DG359" s="0" t="s">
        <v>216</v>
      </c>
      <c r="DH359" s="0" t="n">
        <v>0</v>
      </c>
      <c r="DI359" s="126" t="n">
        <v>218.57</v>
      </c>
      <c r="DK359" s="0" t="n">
        <v>0</v>
      </c>
      <c r="DM359" s="0" t="n">
        <v>1</v>
      </c>
      <c r="DN359" s="0" t="n">
        <v>56</v>
      </c>
      <c r="DO359" s="0" t="n">
        <v>3</v>
      </c>
      <c r="DP359" s="0" t="n">
        <v>0</v>
      </c>
      <c r="DQ359" s="0" t="n">
        <v>1</v>
      </c>
      <c r="DR359" s="0"/>
      <c r="DS359" s="0" t="n">
        <v>1</v>
      </c>
      <c r="DU359" s="0" t="n">
        <v>1</v>
      </c>
      <c r="DW359" s="1" t="n">
        <v>40319</v>
      </c>
      <c r="DX359" s="1" t="n">
        <v>40677</v>
      </c>
      <c r="DZ359" s="0"/>
      <c r="EA359" s="0" t="n">
        <v>1</v>
      </c>
      <c r="EC359" s="1" t="n">
        <v>40544</v>
      </c>
      <c r="ED359" s="1" t="n">
        <v>40677</v>
      </c>
      <c r="EF359" s="0"/>
      <c r="EG359" s="0" t="n">
        <v>0</v>
      </c>
      <c r="EI359" s="0" t="n">
        <f aca="false">IF(AND(DM359=1,DN359&lt;=48),"",IF(AND(DM359=2,DN359&lt;=42),"",IF(AND(DM359=3,DN359&lt;=45),"",EH359)))</f>
        <v>0</v>
      </c>
      <c r="EJ359" s="0" t="str">
        <f aca="false">IF(EI359="","",IF(EI359&lt;9,EI359,9))</f>
        <v/>
      </c>
      <c r="EK359" s="0" t="str">
        <f aca="false">IF(EI359="","",IF(EI359&gt;9,EI359-EJ359,0))</f>
        <v/>
      </c>
      <c r="EL359" s="0" t="str">
        <f aca="false">IF(EI359="","",EJ359*DA359*2+EK359*DA359*3)</f>
        <v/>
      </c>
      <c r="EP359" s="0" t="n">
        <v>0</v>
      </c>
      <c r="EQ359" s="0"/>
      <c r="ER359" s="0" t="n">
        <v>0</v>
      </c>
      <c r="ET359" s="0" t="n">
        <v>0</v>
      </c>
      <c r="EV359" s="0" t="n">
        <v>0</v>
      </c>
      <c r="EX359" s="0" t="n">
        <v>1</v>
      </c>
      <c r="EY359" s="0" t="n">
        <v>0</v>
      </c>
      <c r="EZ359" s="0"/>
      <c r="FA359" s="0"/>
      <c r="FB359" s="0" t="n">
        <v>0</v>
      </c>
      <c r="FF359" s="120" t="n">
        <f aca="false">(CJ359-CI359+1)/365</f>
        <v>10.9890410958904</v>
      </c>
      <c r="FG359" s="0" t="str">
        <f aca="false">CONCATENATE(F359,"/",G359)</f>
        <v>1000/2011</v>
      </c>
      <c r="FH359" s="0" t="n">
        <v>0</v>
      </c>
      <c r="FI359" s="0" t="n">
        <v>0</v>
      </c>
    </row>
    <row r="360" customFormat="false" ht="15" hidden="false" customHeight="false" outlineLevel="0" collapsed="false">
      <c r="A360" s="5" t="str">
        <f aca="false">E360&amp;G360&amp;F360</f>
        <v>72011835</v>
      </c>
      <c r="B360" s="0" t="s">
        <v>3732</v>
      </c>
      <c r="C360" s="1" t="n">
        <v>42411</v>
      </c>
      <c r="E360" s="0" t="n">
        <v>7</v>
      </c>
      <c r="F360" s="0" t="n">
        <v>835</v>
      </c>
      <c r="G360" s="0" t="n">
        <v>2011</v>
      </c>
      <c r="H360" s="0" t="str">
        <f aca="false">"J"&amp;E360&amp;"\"&amp;F360&amp;"\"&amp;G360&amp;"\"&amp;W360</f>
        <v>J7\835\2011\1</v>
      </c>
      <c r="I360" s="0"/>
      <c r="J360" s="1" t="n">
        <v>40675</v>
      </c>
      <c r="K360" s="0" t="n">
        <v>0</v>
      </c>
      <c r="M360" s="1" t="n">
        <v>40675</v>
      </c>
      <c r="N360" s="1" t="n">
        <v>40814</v>
      </c>
      <c r="O360" s="1"/>
      <c r="P360" s="1"/>
      <c r="Q360" s="1"/>
      <c r="T360" s="121"/>
      <c r="U360" s="121"/>
      <c r="V360" s="122" t="n">
        <f aca="false">IF(AND(E360&gt;0,F360&gt;0,G360&gt;0),COUNTIFS($E:$E,E360,$F:$F,F360,$G:$G,G360),"")</f>
        <v>1</v>
      </c>
      <c r="W360" s="122" t="n">
        <f aca="false">IF(V360="","",IF(V360=1,1,IF(AND(E359=E360,F359=F360,G359=G360),W359+1,1)))</f>
        <v>1</v>
      </c>
      <c r="X360" s="0" t="n">
        <v>1</v>
      </c>
      <c r="Y360" s="0" t="n">
        <v>6</v>
      </c>
      <c r="Z360" s="0" t="s">
        <v>3744</v>
      </c>
      <c r="AA360" s="0" t="n">
        <v>0</v>
      </c>
      <c r="AB360" s="0" t="s">
        <v>3745</v>
      </c>
      <c r="AC360" s="0" t="s">
        <v>274</v>
      </c>
      <c r="AD360" s="0" t="s">
        <v>229</v>
      </c>
      <c r="AE360" s="0" t="n">
        <v>0</v>
      </c>
      <c r="AF360" s="0" t="s">
        <v>3746</v>
      </c>
      <c r="AG360" s="0" t="n">
        <v>0</v>
      </c>
      <c r="AH360" s="0" t="s">
        <v>3747</v>
      </c>
      <c r="AI360" s="0" t="s">
        <v>830</v>
      </c>
      <c r="AJ360" s="0" t="s">
        <v>322</v>
      </c>
      <c r="AL360" s="0" t="s">
        <v>3748</v>
      </c>
      <c r="AM360" s="0" t="n">
        <v>0</v>
      </c>
      <c r="AN360" s="0" t="s">
        <v>3747</v>
      </c>
      <c r="AO360" s="0" t="s">
        <v>830</v>
      </c>
      <c r="AP360" s="0" t="s">
        <v>322</v>
      </c>
      <c r="AR360" s="0" t="s">
        <v>3749</v>
      </c>
      <c r="AS360" s="0" t="n">
        <v>0</v>
      </c>
      <c r="AT360" s="0" t="s">
        <v>3747</v>
      </c>
      <c r="AU360" s="0" t="s">
        <v>830</v>
      </c>
      <c r="AV360" s="0" t="s">
        <v>322</v>
      </c>
      <c r="AX360" s="0" t="s">
        <v>3750</v>
      </c>
      <c r="AY360" s="0" t="n">
        <v>0</v>
      </c>
      <c r="AZ360" s="0" t="s">
        <v>3747</v>
      </c>
      <c r="BA360" s="0" t="s">
        <v>830</v>
      </c>
      <c r="BB360" s="0" t="s">
        <v>322</v>
      </c>
      <c r="BD360" s="0" t="s">
        <v>3751</v>
      </c>
      <c r="BE360" s="0" t="n">
        <v>0</v>
      </c>
      <c r="BF360" s="0" t="s">
        <v>3747</v>
      </c>
      <c r="BG360" s="0" t="s">
        <v>830</v>
      </c>
      <c r="BH360" s="0" t="s">
        <v>322</v>
      </c>
      <c r="BJ360" s="0" t="s">
        <v>1637</v>
      </c>
      <c r="BK360" s="0" t="n">
        <v>0</v>
      </c>
      <c r="BL360" s="0" t="s">
        <v>3747</v>
      </c>
      <c r="BM360" s="0" t="s">
        <v>830</v>
      </c>
      <c r="BN360" s="0" t="s">
        <v>322</v>
      </c>
      <c r="BP360" s="0" t="n">
        <v>0</v>
      </c>
      <c r="BQ360" s="0" t="n">
        <v>0</v>
      </c>
      <c r="BR360" s="0" t="n">
        <v>1</v>
      </c>
      <c r="BS360" s="0" t="s">
        <v>3752</v>
      </c>
      <c r="BT360" s="0" t="s">
        <v>3753</v>
      </c>
      <c r="BU360" s="0" t="s">
        <v>3754</v>
      </c>
      <c r="BV360" s="123"/>
      <c r="BW360" s="123"/>
      <c r="BX360" s="123"/>
      <c r="BY360" s="123"/>
      <c r="BZ360" s="0" t="n">
        <v>0</v>
      </c>
      <c r="CA360" s="0" t="s">
        <v>216</v>
      </c>
      <c r="CD360" s="0" t="s">
        <v>370</v>
      </c>
      <c r="CE360" s="0" t="n">
        <v>0</v>
      </c>
      <c r="CF360" s="0" t="s">
        <v>1651</v>
      </c>
      <c r="CI360" s="1" t="n">
        <v>40329</v>
      </c>
      <c r="CJ360" s="1" t="n">
        <v>40654</v>
      </c>
      <c r="CK360" s="124" t="n">
        <v>0.375</v>
      </c>
      <c r="CL360" s="0" t="s">
        <v>3751</v>
      </c>
      <c r="CM360" s="0" t="n">
        <f aca="false">IF(OR(CI360="",CJ360=""),"",DAYS360(CI360,CJ360)/360)</f>
        <v>0.891666666666667</v>
      </c>
      <c r="CN360" s="0" t="n">
        <f aca="false">IF(OR(CI360="",CJ360=""),"",DAYS360(CI360,CJ360)/30)</f>
        <v>10.7</v>
      </c>
      <c r="CO360" s="0" t="n">
        <f aca="false">IF(OR(CI360="",CJ360=""),"",DAYS360(CI360,CJ360)/7)</f>
        <v>45.8571428571429</v>
      </c>
      <c r="CP360" s="0" t="n">
        <f aca="false">IF(OR(CI360="",CJ360=""),"",DAYS360(CI360,CJ360))</f>
        <v>321</v>
      </c>
      <c r="CQ360" s="0" t="s">
        <v>240</v>
      </c>
      <c r="CR360" s="0" t="n">
        <v>1</v>
      </c>
      <c r="CT360" s="0" t="n">
        <v>6000</v>
      </c>
      <c r="CU360" s="0" t="n">
        <v>1</v>
      </c>
      <c r="CV360" s="0" t="n">
        <f aca="false">IF(OR(CT360="",CT360="NO ESPECIFICA",CT360="NO MENCIONA"),"",IF(CU360=0,CT360,IF(CU360=1,CT360/30,IF(CU360=2,CT360/15,IF(CU360=3,CT360/7,"")))))</f>
        <v>200</v>
      </c>
      <c r="CW360" s="125" t="n">
        <v>16000</v>
      </c>
      <c r="CX360" s="0" t="n">
        <v>1</v>
      </c>
      <c r="CY360" s="0" t="n">
        <f aca="false">IF(CW360="","",IF(CX360=0,CW360,IF(CX360=1,CW360/30,IF(CX360=2,CW360/15,IF(CX360=3,CW360/7,CW360)))))</f>
        <v>533.333333333333</v>
      </c>
      <c r="CZ360" s="0" t="n">
        <f aca="false">IF(DI360&gt;0,DI360,IF(CY360&gt;0,CY360,IF(CV360&gt;0,CV360,"")))</f>
        <v>533.33</v>
      </c>
      <c r="DA360" s="0" t="n">
        <f aca="false">IF(DM360=1,CZ360/8,IF(OR(DM360=2,DM360=4),CZ360/7,IF(DM360=3,CZ360/7.5,"")))</f>
        <v>66.66625</v>
      </c>
      <c r="DB360" s="0" t="s">
        <v>1997</v>
      </c>
      <c r="DC360" s="0" t="s">
        <v>216</v>
      </c>
      <c r="DD360" s="0" t="s">
        <v>216</v>
      </c>
      <c r="DE360" s="0" t="s">
        <v>216</v>
      </c>
      <c r="DF360" s="0" t="s">
        <v>216</v>
      </c>
      <c r="DG360" s="0" t="s">
        <v>216</v>
      </c>
      <c r="DH360" s="0" t="n">
        <v>0</v>
      </c>
      <c r="DI360" s="126" t="n">
        <v>533.33</v>
      </c>
      <c r="DK360" s="0" t="n">
        <v>0</v>
      </c>
      <c r="DM360" s="0" t="n">
        <v>1</v>
      </c>
      <c r="DN360" s="0" t="n">
        <v>60</v>
      </c>
      <c r="DO360" s="0" t="n">
        <v>3</v>
      </c>
      <c r="DP360" s="0" t="n">
        <v>0</v>
      </c>
      <c r="DQ360" s="0" t="n">
        <v>1</v>
      </c>
      <c r="DR360" s="0"/>
      <c r="DS360" s="0" t="n">
        <v>1</v>
      </c>
      <c r="DU360" s="0" t="n">
        <v>1</v>
      </c>
      <c r="DW360" s="1" t="n">
        <v>40329</v>
      </c>
      <c r="DX360" s="1" t="n">
        <v>40654</v>
      </c>
      <c r="DZ360" s="0"/>
      <c r="EA360" s="0" t="n">
        <v>1</v>
      </c>
      <c r="EC360" s="1" t="n">
        <v>40329</v>
      </c>
      <c r="ED360" s="1" t="n">
        <v>40654</v>
      </c>
      <c r="EF360" s="0"/>
      <c r="EG360" s="0" t="n">
        <v>1</v>
      </c>
      <c r="EH360" s="0" t="n">
        <v>12</v>
      </c>
      <c r="EI360" s="0" t="n">
        <f aca="false">IF(AND(DM360=1,DN360&lt;=48),"",IF(AND(DM360=2,DN360&lt;=42),"",IF(AND(DM360=3,DN360&lt;=45),"",EH360)))</f>
        <v>12</v>
      </c>
      <c r="EJ360" s="0" t="n">
        <f aca="false">IF(EI360="","",IF(EI360&lt;9,EI360,9))</f>
        <v>9</v>
      </c>
      <c r="EK360" s="0" t="n">
        <f aca="false">IF(EI360="","",IF(EI360&gt;9,EI360-EJ360,0))</f>
        <v>3</v>
      </c>
      <c r="EL360" s="0" t="n">
        <f aca="false">IF(EI360="","",EJ360*DA360*2+EK360*DA360*3)</f>
        <v>1799.98875</v>
      </c>
      <c r="EP360" s="0" t="n">
        <v>0</v>
      </c>
      <c r="EQ360" s="0"/>
      <c r="ER360" s="0" t="n">
        <v>1</v>
      </c>
      <c r="ET360" s="0" t="n">
        <v>1</v>
      </c>
      <c r="EV360" s="0" t="n">
        <v>1</v>
      </c>
      <c r="EX360" s="0" t="n">
        <v>1</v>
      </c>
      <c r="EY360" s="0" t="n">
        <v>1</v>
      </c>
      <c r="EZ360" s="0"/>
      <c r="FA360" s="4" t="n">
        <v>63458.32</v>
      </c>
      <c r="FB360" s="0" t="n">
        <v>1</v>
      </c>
      <c r="FF360" s="120" t="n">
        <f aca="false">(CJ360-CI360+1)/365</f>
        <v>0.893150684931507</v>
      </c>
      <c r="FG360" s="0" t="str">
        <f aca="false">CONCATENATE(F360,"/",G360)</f>
        <v>835/2011</v>
      </c>
      <c r="FH360" s="0" t="n">
        <v>0</v>
      </c>
      <c r="FI360" s="0" t="n">
        <v>0</v>
      </c>
    </row>
    <row r="361" customFormat="false" ht="15" hidden="false" customHeight="false" outlineLevel="0" collapsed="false">
      <c r="A361" s="5" t="str">
        <f aca="false">E361&amp;G361&amp;F361</f>
        <v>72011852</v>
      </c>
      <c r="B361" s="0" t="s">
        <v>3732</v>
      </c>
      <c r="C361" s="1" t="n">
        <v>42411</v>
      </c>
      <c r="D361" s="0" t="s">
        <v>1856</v>
      </c>
      <c r="E361" s="0" t="n">
        <v>7</v>
      </c>
      <c r="F361" s="0" t="n">
        <v>852</v>
      </c>
      <c r="G361" s="0" t="n">
        <v>2011</v>
      </c>
      <c r="H361" s="0" t="str">
        <f aca="false">"J"&amp;E361&amp;"\"&amp;F361&amp;"\"&amp;G361&amp;"\"&amp;W361</f>
        <v>J7\852\2011\1</v>
      </c>
      <c r="I361" s="0"/>
      <c r="J361" s="1" t="n">
        <v>40676</v>
      </c>
      <c r="K361" s="0" t="n">
        <v>0</v>
      </c>
      <c r="M361" s="1"/>
      <c r="N361" s="1"/>
      <c r="O361" s="1"/>
      <c r="P361" s="1"/>
      <c r="Q361" s="1"/>
      <c r="T361" s="121"/>
      <c r="U361" s="121"/>
      <c r="V361" s="122" t="n">
        <f aca="false">IF(AND(E361&gt;0,F361&gt;0,G361&gt;0),COUNTIFS($E:$E,E361,$F:$F,F361,$G:$G,G361),"")</f>
        <v>1</v>
      </c>
      <c r="W361" s="122" t="n">
        <f aca="false">IF(V361="","",IF(V361=1,1,IF(AND(E360=E361,F360=F361,G360=G361),W360+1,1)))</f>
        <v>1</v>
      </c>
      <c r="X361" s="0" t="n">
        <v>1</v>
      </c>
      <c r="Y361" s="0" t="n">
        <v>4</v>
      </c>
      <c r="Z361" s="0" t="s">
        <v>3755</v>
      </c>
      <c r="AA361" s="0" t="n">
        <v>0</v>
      </c>
      <c r="AB361" s="0" t="s">
        <v>3756</v>
      </c>
      <c r="AC361" s="0" t="s">
        <v>251</v>
      </c>
      <c r="AD361" s="0" t="s">
        <v>229</v>
      </c>
      <c r="AE361" s="0" t="n">
        <v>0</v>
      </c>
      <c r="AF361" s="0" t="s">
        <v>3757</v>
      </c>
      <c r="AG361" s="0" t="n">
        <v>0</v>
      </c>
      <c r="AH361" s="0" t="s">
        <v>3758</v>
      </c>
      <c r="AI361" s="0" t="s">
        <v>1160</v>
      </c>
      <c r="AJ361" s="0" t="s">
        <v>229</v>
      </c>
      <c r="AL361" s="0" t="s">
        <v>3759</v>
      </c>
      <c r="AM361" s="0" t="n">
        <v>1</v>
      </c>
      <c r="AN361" s="0" t="s">
        <v>3758</v>
      </c>
      <c r="AO361" s="0" t="s">
        <v>1160</v>
      </c>
      <c r="AP361" s="0" t="s">
        <v>229</v>
      </c>
      <c r="AR361" s="0" t="s">
        <v>3760</v>
      </c>
      <c r="AS361" s="0" t="n">
        <v>1</v>
      </c>
      <c r="AT361" s="0" t="s">
        <v>3758</v>
      </c>
      <c r="AU361" s="0" t="s">
        <v>1160</v>
      </c>
      <c r="AV361" s="0" t="s">
        <v>229</v>
      </c>
      <c r="AX361" s="0" t="s">
        <v>1637</v>
      </c>
      <c r="AY361" s="0" t="n">
        <v>1</v>
      </c>
      <c r="AZ361" s="0" t="s">
        <v>3758</v>
      </c>
      <c r="BA361" s="0" t="s">
        <v>1160</v>
      </c>
      <c r="BB361" s="0" t="s">
        <v>229</v>
      </c>
      <c r="BP361" s="0" t="n">
        <v>0</v>
      </c>
      <c r="BQ361" s="0" t="n">
        <v>0</v>
      </c>
      <c r="BR361" s="0" t="n">
        <v>1</v>
      </c>
      <c r="BS361" s="0" t="s">
        <v>3761</v>
      </c>
      <c r="BT361" s="0" t="s">
        <v>3762</v>
      </c>
      <c r="BU361" s="0" t="s">
        <v>3763</v>
      </c>
      <c r="BV361" s="123"/>
      <c r="BW361" s="123"/>
      <c r="BX361" s="123"/>
      <c r="BY361" s="123"/>
      <c r="BZ361" s="0" t="n">
        <v>0</v>
      </c>
      <c r="CA361" s="0" t="s">
        <v>216</v>
      </c>
      <c r="CD361" s="0" t="s">
        <v>296</v>
      </c>
      <c r="CE361" s="0" t="n">
        <v>0</v>
      </c>
      <c r="CF361" s="0" t="s">
        <v>1587</v>
      </c>
      <c r="CI361" s="1" t="n">
        <v>40448</v>
      </c>
      <c r="CJ361" s="1" t="n">
        <v>40617</v>
      </c>
      <c r="CK361" s="124" t="n">
        <v>0.378472222222222</v>
      </c>
      <c r="CL361" s="0" t="s">
        <v>3764</v>
      </c>
      <c r="CM361" s="0" t="n">
        <f aca="false">IF(OR(CI361="",CJ361=""),"",DAYS360(CI361,CJ361)/360)</f>
        <v>0.466666666666667</v>
      </c>
      <c r="CN361" s="0" t="n">
        <f aca="false">IF(OR(CI361="",CJ361=""),"",DAYS360(CI361,CJ361)/30)</f>
        <v>5.6</v>
      </c>
      <c r="CO361" s="0" t="n">
        <f aca="false">IF(OR(CI361="",CJ361=""),"",DAYS360(CI361,CJ361)/7)</f>
        <v>24</v>
      </c>
      <c r="CP361" s="0" t="n">
        <f aca="false">IF(OR(CI361="",CJ361=""),"",DAYS360(CI361,CJ361))</f>
        <v>168</v>
      </c>
      <c r="CQ361" s="0" t="s">
        <v>240</v>
      </c>
      <c r="CR361" s="0" t="n">
        <v>1</v>
      </c>
      <c r="CT361" s="0" t="s">
        <v>221</v>
      </c>
      <c r="CU361" s="0" t="s">
        <v>221</v>
      </c>
      <c r="CV361" s="0" t="str">
        <f aca="false">IF(OR(CT361="",CT361="NO ESPECIFICA",CT361="NO MENCIONA"),"",IF(CU361=0,CT361,IF(CU361=1,CT361/30,IF(CU361=2,CT361/15,IF(CU361=3,CT361/7,"")))))</f>
        <v/>
      </c>
      <c r="CW361" s="125" t="n">
        <v>120</v>
      </c>
      <c r="CX361" s="0" t="n">
        <v>0</v>
      </c>
      <c r="CY361" s="0" t="n">
        <f aca="false">IF(CW361="","",IF(CX361=0,CW361,IF(CX361=1,CW361/30,IF(CX361=2,CW361/15,IF(CX361=3,CW361/7,CW361)))))</f>
        <v>120</v>
      </c>
      <c r="CZ361" s="0" t="n">
        <f aca="false">IF(DI361&gt;0,DI361,IF(CY361&gt;0,CY361,IF(CV361&gt;0,CV361,"")))</f>
        <v>120</v>
      </c>
      <c r="DA361" s="0" t="n">
        <f aca="false">IF(DM361=1,CZ361/8,IF(OR(DM361=2,DM361=4),CZ361/7,IF(DM361=3,CZ361/7.5,"")))</f>
        <v>16</v>
      </c>
      <c r="DB361" s="0" t="s">
        <v>216</v>
      </c>
      <c r="DC361" s="0" t="s">
        <v>216</v>
      </c>
      <c r="DD361" s="0" t="s">
        <v>216</v>
      </c>
      <c r="DE361" s="0" t="s">
        <v>216</v>
      </c>
      <c r="DF361" s="0" t="s">
        <v>216</v>
      </c>
      <c r="DG361" s="0" t="s">
        <v>216</v>
      </c>
      <c r="DH361" s="0" t="n">
        <v>0</v>
      </c>
      <c r="DI361" s="126" t="n">
        <v>120</v>
      </c>
      <c r="DK361" s="0" t="n">
        <v>1</v>
      </c>
      <c r="DM361" s="0" t="n">
        <v>3</v>
      </c>
      <c r="DN361" s="0" t="n">
        <v>36</v>
      </c>
      <c r="DO361" s="0" t="n">
        <v>3</v>
      </c>
      <c r="DP361" s="0" t="n">
        <v>0</v>
      </c>
      <c r="DQ361" s="0" t="n">
        <v>1</v>
      </c>
      <c r="DR361" s="0"/>
      <c r="DS361" s="0" t="n">
        <v>0</v>
      </c>
      <c r="DU361" s="0" t="n">
        <v>0</v>
      </c>
      <c r="DW361" s="1" t="n">
        <v>40448</v>
      </c>
      <c r="DX361" s="1" t="n">
        <v>40617</v>
      </c>
      <c r="DZ361" s="0"/>
      <c r="EA361" s="0" t="n">
        <v>1</v>
      </c>
      <c r="EC361" s="1" t="n">
        <v>40448</v>
      </c>
      <c r="ED361" s="1" t="n">
        <v>40617</v>
      </c>
      <c r="EF361" s="0"/>
      <c r="EG361" s="0" t="n">
        <v>0</v>
      </c>
      <c r="EI361" s="0" t="str">
        <f aca="false">IF(AND(DM361=1,DN361&lt;=48),"",IF(AND(DM361=2,DN361&lt;=42),"",IF(AND(DM361=3,DN361&lt;=45),"",EH361)))</f>
        <v/>
      </c>
      <c r="EJ361" s="0" t="str">
        <f aca="false">IF(EI361="","",IF(EI361&lt;9,EI361,9))</f>
        <v/>
      </c>
      <c r="EK361" s="0" t="str">
        <f aca="false">IF(EI361="","",IF(EI361&gt;9,EI361-EJ361,0))</f>
        <v/>
      </c>
      <c r="EL361" s="0" t="str">
        <f aca="false">IF(EI361="","",EJ361*DA361*2+EK361*DA361*3)</f>
        <v/>
      </c>
      <c r="EP361" s="0" t="n">
        <v>0</v>
      </c>
      <c r="EQ361" s="0"/>
      <c r="ER361" s="0" t="n">
        <v>0</v>
      </c>
      <c r="ET361" s="0" t="n">
        <v>0</v>
      </c>
      <c r="EV361" s="0" t="n">
        <v>0</v>
      </c>
      <c r="EX361" s="0" t="n">
        <v>1</v>
      </c>
      <c r="EY361" s="0" t="n">
        <v>0</v>
      </c>
      <c r="EZ361" s="0"/>
      <c r="FA361" s="0"/>
      <c r="FB361" s="0" t="n">
        <v>0</v>
      </c>
      <c r="FF361" s="120" t="n">
        <f aca="false">(CJ361-CI361+1)/365</f>
        <v>0.465753424657534</v>
      </c>
      <c r="FG361" s="0" t="str">
        <f aca="false">CONCATENATE(F361,"/",G361)</f>
        <v>852/2011</v>
      </c>
      <c r="FH361" s="0" t="n">
        <v>0</v>
      </c>
      <c r="FI361" s="0" t="n">
        <v>0</v>
      </c>
    </row>
    <row r="362" customFormat="false" ht="15" hidden="false" customHeight="false" outlineLevel="0" collapsed="false">
      <c r="A362" s="5" t="str">
        <f aca="false">E362&amp;G362&amp;F362</f>
        <v>72011856</v>
      </c>
      <c r="B362" s="0" t="s">
        <v>3732</v>
      </c>
      <c r="C362" s="1" t="n">
        <v>42411</v>
      </c>
      <c r="D362" s="0" t="s">
        <v>1856</v>
      </c>
      <c r="E362" s="0" t="n">
        <v>7</v>
      </c>
      <c r="F362" s="0" t="n">
        <v>856</v>
      </c>
      <c r="G362" s="0" t="n">
        <v>2011</v>
      </c>
      <c r="H362" s="0" t="str">
        <f aca="false">"J"&amp;E362&amp;"\"&amp;F362&amp;"\"&amp;G362&amp;"\"&amp;W362</f>
        <v>J7\856\2011\1</v>
      </c>
      <c r="I362" s="0"/>
      <c r="J362" s="1" t="n">
        <v>40679</v>
      </c>
      <c r="K362" s="0" t="n">
        <v>0</v>
      </c>
      <c r="M362" s="1"/>
      <c r="N362" s="1"/>
      <c r="O362" s="1"/>
      <c r="P362" s="1"/>
      <c r="Q362" s="1"/>
      <c r="T362" s="121"/>
      <c r="U362" s="121"/>
      <c r="V362" s="122" t="n">
        <f aca="false">IF(AND(E362&gt;0,F362&gt;0,G362&gt;0),COUNTIFS($E:$E,E362,$F:$F,F362,$G:$G,G362),"")</f>
        <v>5</v>
      </c>
      <c r="W362" s="122" t="n">
        <f aca="false">IF(V362="","",IF(V362=1,1,IF(AND(E361=E362,F361=F362,G361=G362),W361+1,1)))</f>
        <v>1</v>
      </c>
      <c r="X362" s="0" t="n">
        <v>5</v>
      </c>
      <c r="Y362" s="0" t="n">
        <v>3</v>
      </c>
      <c r="Z362" s="0" t="s">
        <v>3765</v>
      </c>
      <c r="AA362" s="0" t="n">
        <v>0</v>
      </c>
      <c r="AB362" s="0" t="s">
        <v>3766</v>
      </c>
      <c r="AC362" s="0" t="s">
        <v>287</v>
      </c>
      <c r="AD362" s="0" t="s">
        <v>207</v>
      </c>
      <c r="AE362" s="0" t="n">
        <v>0</v>
      </c>
      <c r="AF362" s="0" t="s">
        <v>3767</v>
      </c>
      <c r="AG362" s="0" t="n">
        <v>0</v>
      </c>
      <c r="AH362" s="0" t="s">
        <v>3768</v>
      </c>
      <c r="AI362" s="0" t="s">
        <v>3769</v>
      </c>
      <c r="AJ362" s="0" t="s">
        <v>322</v>
      </c>
      <c r="AL362" s="0" t="s">
        <v>3770</v>
      </c>
      <c r="AM362" s="0" t="n">
        <v>0</v>
      </c>
      <c r="AN362" s="0" t="s">
        <v>3768</v>
      </c>
      <c r="AO362" s="0" t="s">
        <v>3769</v>
      </c>
      <c r="AP362" s="0" t="s">
        <v>322</v>
      </c>
      <c r="AR362" s="0" t="s">
        <v>1637</v>
      </c>
      <c r="AS362" s="0" t="n">
        <v>1</v>
      </c>
      <c r="AT362" s="0" t="s">
        <v>3768</v>
      </c>
      <c r="AU362" s="0" t="s">
        <v>3769</v>
      </c>
      <c r="AV362" s="0" t="s">
        <v>322</v>
      </c>
      <c r="BP362" s="0" t="n">
        <v>0</v>
      </c>
      <c r="BQ362" s="0" t="n">
        <v>0</v>
      </c>
      <c r="BR362" s="0" t="n">
        <v>1</v>
      </c>
      <c r="BS362" s="0" t="s">
        <v>3771</v>
      </c>
      <c r="BT362" s="0" t="s">
        <v>3772</v>
      </c>
      <c r="BU362" s="0" t="s">
        <v>872</v>
      </c>
      <c r="BV362" s="123"/>
      <c r="BW362" s="123"/>
      <c r="BX362" s="123"/>
      <c r="BY362" s="123"/>
      <c r="BZ362" s="0" t="n">
        <v>0</v>
      </c>
      <c r="CA362" s="0" t="s">
        <v>216</v>
      </c>
      <c r="CD362" s="0" t="s">
        <v>256</v>
      </c>
      <c r="CE362" s="0" t="n">
        <v>1</v>
      </c>
      <c r="CF362" s="0" t="s">
        <v>2082</v>
      </c>
      <c r="CI362" s="1" t="n">
        <v>40626</v>
      </c>
      <c r="CJ362" s="1" t="n">
        <v>40662</v>
      </c>
      <c r="CK362" s="124" t="n">
        <v>0.666666666666667</v>
      </c>
      <c r="CL362" s="0" t="s">
        <v>3773</v>
      </c>
      <c r="CM362" s="0" t="n">
        <f aca="false">IF(OR(CI362="",CJ362=""),"",DAYS360(CI362,CJ362)/360)</f>
        <v>0.0972222222222222</v>
      </c>
      <c r="CN362" s="0" t="n">
        <f aca="false">IF(OR(CI362="",CJ362=""),"",DAYS360(CI362,CJ362)/30)</f>
        <v>1.16666666666667</v>
      </c>
      <c r="CO362" s="0" t="n">
        <f aca="false">IF(OR(CI362="",CJ362=""),"",DAYS360(CI362,CJ362)/7)</f>
        <v>5</v>
      </c>
      <c r="CP362" s="0" t="n">
        <f aca="false">IF(OR(CI362="",CJ362=""),"",DAYS360(CI362,CJ362))</f>
        <v>35</v>
      </c>
      <c r="CQ362" s="0" t="s">
        <v>220</v>
      </c>
      <c r="CR362" s="0" t="n">
        <v>1</v>
      </c>
      <c r="CT362" s="0" t="n">
        <v>7000</v>
      </c>
      <c r="CU362" s="0" t="n">
        <v>1</v>
      </c>
      <c r="CV362" s="0" t="n">
        <f aca="false">IF(OR(CT362="",CT362="NO ESPECIFICA",CT362="NO MENCIONA"),"",IF(CU362=0,CT362,IF(CU362=1,CT362/30,IF(CU362=2,CT362/15,IF(CU362=3,CT362/7,"")))))</f>
        <v>233.333333333333</v>
      </c>
      <c r="CW362" s="125" t="n">
        <v>8320.82</v>
      </c>
      <c r="CX362" s="0" t="n">
        <v>1</v>
      </c>
      <c r="CY362" s="0" t="n">
        <f aca="false">IF(CW362="","",IF(CX362=0,CW362,IF(CX362=1,CW362/30,IF(CX362=2,CW362/15,IF(CX362=3,CW362/7,CW362)))))</f>
        <v>277.360666666667</v>
      </c>
      <c r="CZ362" s="0" t="n">
        <f aca="false">IF(DI362&gt;0,DI362,IF(CY362&gt;0,CY362,IF(CV362&gt;0,CV362,"")))</f>
        <v>277.36</v>
      </c>
      <c r="DA362" s="0" t="n">
        <f aca="false">IF(DM362=1,CZ362/8,IF(OR(DM362=2,DM362=4),CZ362/7,IF(DM362=3,CZ362/7.5,"")))</f>
        <v>36.9813333333333</v>
      </c>
      <c r="DB362" s="0" t="s">
        <v>2371</v>
      </c>
      <c r="DC362" s="0" t="s">
        <v>1582</v>
      </c>
      <c r="DD362" s="0" t="s">
        <v>301</v>
      </c>
      <c r="DE362" s="0" t="s">
        <v>303</v>
      </c>
      <c r="DF362" s="0" t="s">
        <v>216</v>
      </c>
      <c r="DG362" s="0" t="s">
        <v>216</v>
      </c>
      <c r="DH362" s="0" t="n">
        <v>0</v>
      </c>
      <c r="DI362" s="126" t="n">
        <v>277.36</v>
      </c>
      <c r="DK362" s="0" t="n">
        <v>1</v>
      </c>
      <c r="DM362" s="0" t="n">
        <v>3</v>
      </c>
      <c r="DN362" s="0" t="n">
        <v>49</v>
      </c>
      <c r="DO362" s="0" t="n">
        <v>3</v>
      </c>
      <c r="DP362" s="0" t="n">
        <v>1</v>
      </c>
      <c r="DQ362" s="0" t="n">
        <v>1</v>
      </c>
      <c r="DR362" s="0"/>
      <c r="DS362" s="0" t="n">
        <v>1</v>
      </c>
      <c r="DU362" s="0" t="n">
        <v>1</v>
      </c>
      <c r="DW362" s="1" t="s">
        <v>216</v>
      </c>
      <c r="DX362" s="1" t="s">
        <v>216</v>
      </c>
      <c r="DY362" s="0" t="s">
        <v>216</v>
      </c>
      <c r="DZ362" s="0" t="s">
        <v>216</v>
      </c>
      <c r="EA362" s="0" t="n">
        <v>1</v>
      </c>
      <c r="EC362" s="1" t="s">
        <v>221</v>
      </c>
      <c r="ED362" s="1" t="s">
        <v>221</v>
      </c>
      <c r="EE362" s="0" t="s">
        <v>221</v>
      </c>
      <c r="EF362" s="0" t="s">
        <v>221</v>
      </c>
      <c r="EG362" s="0" t="n">
        <v>0</v>
      </c>
      <c r="EI362" s="0" t="n">
        <f aca="false">IF(AND(DM362=1,DN362&lt;=48),"",IF(AND(DM362=2,DN362&lt;=42),"",IF(AND(DM362=3,DN362&lt;=45),"",EH362)))</f>
        <v>0</v>
      </c>
      <c r="EJ362" s="0" t="str">
        <f aca="false">IF(EI362="","",IF(EI362&lt;9,EI362,9))</f>
        <v/>
      </c>
      <c r="EK362" s="0" t="str">
        <f aca="false">IF(EI362="","",IF(EI362&gt;9,EI362-EJ362,0))</f>
        <v/>
      </c>
      <c r="EL362" s="0" t="str">
        <f aca="false">IF(EI362="","",EJ362*DA362*2+EK362*DA362*3)</f>
        <v/>
      </c>
      <c r="EP362" s="0" t="n">
        <v>1</v>
      </c>
      <c r="EQ362" s="0"/>
      <c r="ER362" s="0" t="n">
        <v>1</v>
      </c>
      <c r="ET362" s="0" t="n">
        <v>1</v>
      </c>
      <c r="EV362" s="0" t="n">
        <v>1</v>
      </c>
      <c r="EX362" s="0" t="n">
        <v>1</v>
      </c>
      <c r="EY362" s="0" t="n">
        <v>0</v>
      </c>
      <c r="EZ362" s="0"/>
      <c r="FA362" s="4" t="n">
        <v>3328.32</v>
      </c>
      <c r="FB362" s="0" t="n">
        <v>1</v>
      </c>
      <c r="FF362" s="120" t="n">
        <f aca="false">(CJ362-CI362+1)/365</f>
        <v>0.101369863013699</v>
      </c>
      <c r="FG362" s="0" t="str">
        <f aca="false">CONCATENATE(F362,"/",G362)</f>
        <v>856/2011</v>
      </c>
      <c r="FH362" s="0" t="n">
        <v>0</v>
      </c>
      <c r="FI362" s="0" t="n">
        <v>0</v>
      </c>
    </row>
    <row r="363" customFormat="false" ht="15" hidden="false" customHeight="false" outlineLevel="0" collapsed="false">
      <c r="A363" s="5" t="str">
        <f aca="false">E363&amp;G363&amp;F363</f>
        <v>72011856</v>
      </c>
      <c r="B363" s="0" t="s">
        <v>3732</v>
      </c>
      <c r="C363" s="1" t="n">
        <v>42411</v>
      </c>
      <c r="D363" s="0" t="s">
        <v>1856</v>
      </c>
      <c r="E363" s="0" t="n">
        <v>7</v>
      </c>
      <c r="F363" s="0" t="n">
        <v>856</v>
      </c>
      <c r="G363" s="0" t="n">
        <v>2011</v>
      </c>
      <c r="H363" s="0" t="str">
        <f aca="false">"J"&amp;E363&amp;"\"&amp;F363&amp;"\"&amp;G363&amp;"\"&amp;W363</f>
        <v>J7\856\2011\2</v>
      </c>
      <c r="I363" s="0"/>
      <c r="J363" s="1" t="n">
        <v>40679</v>
      </c>
      <c r="K363" s="0" t="n">
        <v>0</v>
      </c>
      <c r="M363" s="1"/>
      <c r="N363" s="1"/>
      <c r="O363" s="1"/>
      <c r="P363" s="1"/>
      <c r="Q363" s="1"/>
      <c r="T363" s="121"/>
      <c r="U363" s="121"/>
      <c r="V363" s="122" t="n">
        <f aca="false">IF(AND(E363&gt;0,F363&gt;0,G363&gt;0),COUNTIFS($E:$E,E363,$F:$F,F363,$G:$G,G363),"")</f>
        <v>5</v>
      </c>
      <c r="W363" s="122" t="n">
        <f aca="false">IF(V363="","",IF(V363=1,1,IF(AND(E362=E363,F362=F363,G362=G363),W362+1,1)))</f>
        <v>2</v>
      </c>
      <c r="X363" s="0" t="n">
        <v>5</v>
      </c>
      <c r="Y363" s="0" t="n">
        <v>3</v>
      </c>
      <c r="Z363" s="0" t="s">
        <v>3774</v>
      </c>
      <c r="AA363" s="0" t="n">
        <v>0</v>
      </c>
      <c r="AB363" s="0" t="s">
        <v>3766</v>
      </c>
      <c r="AC363" s="0" t="s">
        <v>287</v>
      </c>
      <c r="AD363" s="0" t="s">
        <v>207</v>
      </c>
      <c r="AE363" s="0" t="n">
        <v>0</v>
      </c>
      <c r="AF363" s="0" t="s">
        <v>3767</v>
      </c>
      <c r="AG363" s="0" t="n">
        <v>0</v>
      </c>
      <c r="AH363" s="0" t="s">
        <v>3768</v>
      </c>
      <c r="AI363" s="0" t="s">
        <v>3769</v>
      </c>
      <c r="AJ363" s="0" t="s">
        <v>322</v>
      </c>
      <c r="AL363" s="0" t="s">
        <v>3770</v>
      </c>
      <c r="AM363" s="0" t="n">
        <v>0</v>
      </c>
      <c r="AN363" s="0" t="s">
        <v>3768</v>
      </c>
      <c r="AO363" s="0" t="s">
        <v>3769</v>
      </c>
      <c r="AP363" s="0" t="s">
        <v>322</v>
      </c>
      <c r="AR363" s="0" t="s">
        <v>1637</v>
      </c>
      <c r="AS363" s="0" t="n">
        <v>1</v>
      </c>
      <c r="AT363" s="0" t="s">
        <v>3768</v>
      </c>
      <c r="AU363" s="0" t="s">
        <v>3769</v>
      </c>
      <c r="AV363" s="0" t="s">
        <v>322</v>
      </c>
      <c r="BP363" s="0" t="n">
        <v>0</v>
      </c>
      <c r="BQ363" s="0" t="n">
        <v>0</v>
      </c>
      <c r="BR363" s="0" t="n">
        <v>1</v>
      </c>
      <c r="BS363" s="0" t="s">
        <v>3771</v>
      </c>
      <c r="BT363" s="0" t="s">
        <v>3772</v>
      </c>
      <c r="BU363" s="0" t="s">
        <v>872</v>
      </c>
      <c r="BV363" s="123"/>
      <c r="BW363" s="123"/>
      <c r="BX363" s="123"/>
      <c r="BY363" s="123"/>
      <c r="BZ363" s="0" t="n">
        <v>0</v>
      </c>
      <c r="CA363" s="0" t="s">
        <v>216</v>
      </c>
      <c r="CD363" s="0" t="s">
        <v>256</v>
      </c>
      <c r="CE363" s="0" t="n">
        <v>0</v>
      </c>
      <c r="CF363" s="0" t="s">
        <v>3775</v>
      </c>
      <c r="CI363" s="1" t="n">
        <v>40626</v>
      </c>
      <c r="CJ363" s="1" t="n">
        <v>40662</v>
      </c>
      <c r="CK363" s="124" t="n">
        <v>0.666666666666667</v>
      </c>
      <c r="CL363" s="0" t="s">
        <v>3773</v>
      </c>
      <c r="CM363" s="0" t="n">
        <f aca="false">IF(OR(CI363="",CJ363=""),"",DAYS360(CI363,CJ363)/360)</f>
        <v>0.0972222222222222</v>
      </c>
      <c r="CN363" s="0" t="n">
        <f aca="false">IF(OR(CI363="",CJ363=""),"",DAYS360(CI363,CJ363)/30)</f>
        <v>1.16666666666667</v>
      </c>
      <c r="CO363" s="0" t="n">
        <f aca="false">IF(OR(CI363="",CJ363=""),"",DAYS360(CI363,CJ363)/7)</f>
        <v>5</v>
      </c>
      <c r="CP363" s="0" t="n">
        <f aca="false">IF(OR(CI363="",CJ363=""),"",DAYS360(CI363,CJ363))</f>
        <v>35</v>
      </c>
      <c r="CQ363" s="0" t="s">
        <v>220</v>
      </c>
      <c r="CR363" s="0" t="n">
        <v>1</v>
      </c>
      <c r="CT363" s="0" t="n">
        <v>5500</v>
      </c>
      <c r="CU363" s="0" t="n">
        <v>1</v>
      </c>
      <c r="CV363" s="0" t="n">
        <f aca="false">IF(OR(CT363="",CT363="NO ESPECIFICA",CT363="NO MENCIONA"),"",IF(CU363=0,CT363,IF(CU363=1,CT363/30,IF(CU363=2,CT363/15,IF(CU363=3,CT363/7,"")))))</f>
        <v>183.333333333333</v>
      </c>
      <c r="CW363" s="125" t="n">
        <v>6752.07</v>
      </c>
      <c r="CX363" s="0" t="n">
        <v>1</v>
      </c>
      <c r="CY363" s="0" t="n">
        <f aca="false">IF(CW363="","",IF(CX363=0,CW363,IF(CX363=1,CW363/30,IF(CX363=2,CW363/15,IF(CX363=3,CW363/7,CW363)))))</f>
        <v>225.069</v>
      </c>
      <c r="CZ363" s="0" t="n">
        <f aca="false">IF(DI363&gt;0,DI363,IF(CY363&gt;0,CY363,IF(CV363&gt;0,CV363,"")))</f>
        <v>225.07</v>
      </c>
      <c r="DA363" s="0" t="n">
        <f aca="false">IF(DM363=1,CZ363/8,IF(OR(DM363=2,DM363=4),CZ363/7,IF(DM363=3,CZ363/7.5,"")))</f>
        <v>28.13375</v>
      </c>
      <c r="DB363" s="0" t="s">
        <v>2371</v>
      </c>
      <c r="DC363" s="0" t="s">
        <v>1582</v>
      </c>
      <c r="DD363" s="0" t="s">
        <v>301</v>
      </c>
      <c r="DE363" s="0" t="s">
        <v>303</v>
      </c>
      <c r="DF363" s="0" t="s">
        <v>216</v>
      </c>
      <c r="DG363" s="0" t="s">
        <v>216</v>
      </c>
      <c r="DH363" s="0" t="n">
        <v>0</v>
      </c>
      <c r="DI363" s="126" t="n">
        <v>225.07</v>
      </c>
      <c r="DK363" s="0" t="n">
        <v>1</v>
      </c>
      <c r="DM363" s="0" t="n">
        <v>1</v>
      </c>
      <c r="DN363" s="0" t="n">
        <v>49</v>
      </c>
      <c r="DO363" s="0" t="n">
        <v>3</v>
      </c>
      <c r="DP363" s="0" t="n">
        <v>1</v>
      </c>
      <c r="DQ363" s="0" t="n">
        <v>1</v>
      </c>
      <c r="DR363" s="0"/>
      <c r="DS363" s="0" t="n">
        <v>1</v>
      </c>
      <c r="DU363" s="0" t="n">
        <v>1</v>
      </c>
      <c r="DW363" s="1" t="s">
        <v>216</v>
      </c>
      <c r="DX363" s="1" t="s">
        <v>216</v>
      </c>
      <c r="DY363" s="0" t="s">
        <v>216</v>
      </c>
      <c r="DZ363" s="0" t="s">
        <v>216</v>
      </c>
      <c r="EA363" s="0" t="n">
        <v>1</v>
      </c>
      <c r="EC363" s="1" t="s">
        <v>221</v>
      </c>
      <c r="ED363" s="1" t="s">
        <v>221</v>
      </c>
      <c r="EE363" s="0" t="s">
        <v>221</v>
      </c>
      <c r="EF363" s="0" t="s">
        <v>221</v>
      </c>
      <c r="EG363" s="0" t="n">
        <v>0</v>
      </c>
      <c r="EI363" s="0" t="n">
        <f aca="false">IF(AND(DM363=1,DN363&lt;=48),"",IF(AND(DM363=2,DN363&lt;=42),"",IF(AND(DM363=3,DN363&lt;=45),"",EH363)))</f>
        <v>0</v>
      </c>
      <c r="EJ363" s="0" t="str">
        <f aca="false">IF(EI363="","",IF(EI363&lt;9,EI363,9))</f>
        <v/>
      </c>
      <c r="EK363" s="0" t="str">
        <f aca="false">IF(EI363="","",IF(EI363&gt;9,EI363-EJ363,0))</f>
        <v/>
      </c>
      <c r="EL363" s="0" t="str">
        <f aca="false">IF(EI363="","",EJ363*DA363*2+EK363*DA363*3)</f>
        <v/>
      </c>
      <c r="EP363" s="0" t="n">
        <v>1</v>
      </c>
      <c r="EQ363" s="0"/>
      <c r="ER363" s="0" t="n">
        <v>1</v>
      </c>
      <c r="ET363" s="0" t="n">
        <v>1</v>
      </c>
      <c r="EV363" s="0" t="n">
        <v>1</v>
      </c>
      <c r="EX363" s="0" t="n">
        <v>1</v>
      </c>
      <c r="EY363" s="0" t="n">
        <v>0</v>
      </c>
      <c r="EZ363" s="0"/>
      <c r="FA363" s="4" t="n">
        <v>2700.84</v>
      </c>
      <c r="FB363" s="0" t="n">
        <v>1</v>
      </c>
      <c r="FF363" s="120" t="n">
        <f aca="false">(CJ363-CI363+1)/365</f>
        <v>0.101369863013699</v>
      </c>
      <c r="FG363" s="0" t="str">
        <f aca="false">CONCATENATE(F363,"/",G363)</f>
        <v>856/2011</v>
      </c>
      <c r="FH363" s="0" t="n">
        <v>0</v>
      </c>
      <c r="FI363" s="0" t="n">
        <v>0</v>
      </c>
    </row>
    <row r="364" customFormat="false" ht="15" hidden="false" customHeight="false" outlineLevel="0" collapsed="false">
      <c r="A364" s="5" t="str">
        <f aca="false">E364&amp;G364&amp;F364</f>
        <v>72011856</v>
      </c>
      <c r="B364" s="0" t="s">
        <v>3732</v>
      </c>
      <c r="C364" s="1" t="n">
        <v>42411</v>
      </c>
      <c r="D364" s="0" t="s">
        <v>1856</v>
      </c>
      <c r="E364" s="0" t="n">
        <v>7</v>
      </c>
      <c r="F364" s="0" t="n">
        <v>856</v>
      </c>
      <c r="G364" s="0" t="n">
        <v>2011</v>
      </c>
      <c r="H364" s="0" t="str">
        <f aca="false">"J"&amp;E364&amp;"\"&amp;F364&amp;"\"&amp;G364&amp;"\"&amp;W364</f>
        <v>J7\856\2011\3</v>
      </c>
      <c r="I364" s="0"/>
      <c r="J364" s="1" t="n">
        <v>40679</v>
      </c>
      <c r="K364" s="0" t="n">
        <v>0</v>
      </c>
      <c r="M364" s="1"/>
      <c r="N364" s="1"/>
      <c r="O364" s="1"/>
      <c r="P364" s="1"/>
      <c r="Q364" s="1"/>
      <c r="T364" s="121"/>
      <c r="U364" s="121"/>
      <c r="V364" s="122" t="n">
        <f aca="false">IF(AND(E364&gt;0,F364&gt;0,G364&gt;0),COUNTIFS($E:$E,E364,$F:$F,F364,$G:$G,G364),"")</f>
        <v>5</v>
      </c>
      <c r="W364" s="122" t="n">
        <f aca="false">IF(V364="","",IF(V364=1,1,IF(AND(E363=E364,F363=F364,G363=G364),W363+1,1)))</f>
        <v>3</v>
      </c>
      <c r="X364" s="0" t="n">
        <v>5</v>
      </c>
      <c r="Y364" s="0" t="n">
        <v>3</v>
      </c>
      <c r="Z364" s="0" t="s">
        <v>3776</v>
      </c>
      <c r="AA364" s="0" t="n">
        <v>0</v>
      </c>
      <c r="AB364" s="0" t="s">
        <v>3766</v>
      </c>
      <c r="AC364" s="0" t="s">
        <v>287</v>
      </c>
      <c r="AD364" s="0" t="s">
        <v>207</v>
      </c>
      <c r="AE364" s="0" t="n">
        <v>0</v>
      </c>
      <c r="AF364" s="0" t="s">
        <v>3767</v>
      </c>
      <c r="AG364" s="0" t="n">
        <v>0</v>
      </c>
      <c r="AH364" s="0" t="s">
        <v>3777</v>
      </c>
      <c r="AI364" s="0" t="s">
        <v>3769</v>
      </c>
      <c r="AJ364" s="0" t="s">
        <v>322</v>
      </c>
      <c r="AL364" s="0" t="s">
        <v>3770</v>
      </c>
      <c r="AM364" s="0" t="n">
        <v>0</v>
      </c>
      <c r="AN364" s="0" t="s">
        <v>3777</v>
      </c>
      <c r="AO364" s="0" t="s">
        <v>3769</v>
      </c>
      <c r="AP364" s="0" t="s">
        <v>322</v>
      </c>
      <c r="AR364" s="0" t="s">
        <v>1637</v>
      </c>
      <c r="AS364" s="0" t="n">
        <v>1</v>
      </c>
      <c r="AT364" s="0" t="s">
        <v>3777</v>
      </c>
      <c r="AU364" s="0" t="s">
        <v>3769</v>
      </c>
      <c r="AV364" s="0" t="s">
        <v>322</v>
      </c>
      <c r="BP364" s="0" t="n">
        <v>0</v>
      </c>
      <c r="BQ364" s="0" t="n">
        <v>0</v>
      </c>
      <c r="BR364" s="0" t="n">
        <v>1</v>
      </c>
      <c r="BS364" s="0" t="s">
        <v>3771</v>
      </c>
      <c r="BT364" s="0" t="s">
        <v>3772</v>
      </c>
      <c r="BU364" s="0" t="s">
        <v>872</v>
      </c>
      <c r="BV364" s="123"/>
      <c r="BW364" s="123"/>
      <c r="BX364" s="123"/>
      <c r="BY364" s="123"/>
      <c r="BZ364" s="0" t="n">
        <v>0</v>
      </c>
      <c r="CA364" s="0" t="s">
        <v>216</v>
      </c>
      <c r="CD364" s="0" t="s">
        <v>256</v>
      </c>
      <c r="CE364" s="0" t="n">
        <v>0</v>
      </c>
      <c r="CF364" s="0" t="s">
        <v>3775</v>
      </c>
      <c r="CI364" s="1" t="n">
        <v>40626</v>
      </c>
      <c r="CJ364" s="1" t="n">
        <v>40662</v>
      </c>
      <c r="CK364" s="124" t="n">
        <v>0.666666666666667</v>
      </c>
      <c r="CL364" s="0" t="s">
        <v>3773</v>
      </c>
      <c r="CM364" s="0" t="n">
        <f aca="false">IF(OR(CI364="",CJ364=""),"",DAYS360(CI364,CJ364)/360)</f>
        <v>0.0972222222222222</v>
      </c>
      <c r="CN364" s="0" t="n">
        <f aca="false">IF(OR(CI364="",CJ364=""),"",DAYS360(CI364,CJ364)/30)</f>
        <v>1.16666666666667</v>
      </c>
      <c r="CO364" s="0" t="n">
        <f aca="false">IF(OR(CI364="",CJ364=""),"",DAYS360(CI364,CJ364)/7)</f>
        <v>5</v>
      </c>
      <c r="CP364" s="0" t="n">
        <f aca="false">IF(OR(CI364="",CJ364=""),"",DAYS360(CI364,CJ364))</f>
        <v>35</v>
      </c>
      <c r="CQ364" s="0" t="s">
        <v>220</v>
      </c>
      <c r="CR364" s="0" t="n">
        <v>1</v>
      </c>
      <c r="CT364" s="0" t="n">
        <v>5500</v>
      </c>
      <c r="CU364" s="0" t="n">
        <v>1</v>
      </c>
      <c r="CV364" s="0" t="n">
        <f aca="false">IF(OR(CT364="",CT364="NO ESPECIFICA",CT364="NO MENCIONA"),"",IF(CU364=0,CT364,IF(CU364=1,CT364/30,IF(CU364=2,CT364/15,IF(CU364=3,CT364/7,"")))))</f>
        <v>183.333333333333</v>
      </c>
      <c r="CW364" s="125" t="n">
        <v>6752.07</v>
      </c>
      <c r="CX364" s="0" t="n">
        <v>1</v>
      </c>
      <c r="CY364" s="0" t="n">
        <f aca="false">IF(CW364="","",IF(CX364=0,CW364,IF(CX364=1,CW364/30,IF(CX364=2,CW364/15,IF(CX364=3,CW364/7,CW364)))))</f>
        <v>225.069</v>
      </c>
      <c r="CZ364" s="0" t="n">
        <f aca="false">IF(DI364&gt;0,DI364,IF(CY364&gt;0,CY364,IF(CV364&gt;0,CV364,"")))</f>
        <v>225.07</v>
      </c>
      <c r="DA364" s="0" t="n">
        <f aca="false">IF(DM364=1,CZ364/8,IF(OR(DM364=2,DM364=4),CZ364/7,IF(DM364=3,CZ364/7.5,"")))</f>
        <v>30.0093333333333</v>
      </c>
      <c r="DB364" s="0" t="s">
        <v>2371</v>
      </c>
      <c r="DC364" s="0" t="s">
        <v>1582</v>
      </c>
      <c r="DD364" s="0" t="s">
        <v>301</v>
      </c>
      <c r="DE364" s="0" t="s">
        <v>303</v>
      </c>
      <c r="DF364" s="0" t="s">
        <v>216</v>
      </c>
      <c r="DG364" s="0" t="s">
        <v>216</v>
      </c>
      <c r="DH364" s="0" t="n">
        <v>0</v>
      </c>
      <c r="DI364" s="126" t="n">
        <v>225.07</v>
      </c>
      <c r="DK364" s="0" t="n">
        <v>1</v>
      </c>
      <c r="DM364" s="0" t="n">
        <v>3</v>
      </c>
      <c r="DN364" s="0" t="n">
        <v>49</v>
      </c>
      <c r="DO364" s="0" t="n">
        <v>3</v>
      </c>
      <c r="DP364" s="0" t="n">
        <v>1</v>
      </c>
      <c r="DQ364" s="0" t="n">
        <v>1</v>
      </c>
      <c r="DR364" s="0"/>
      <c r="DS364" s="0" t="n">
        <v>1</v>
      </c>
      <c r="DU364" s="0" t="n">
        <v>1</v>
      </c>
      <c r="DW364" s="1" t="s">
        <v>216</v>
      </c>
      <c r="DX364" s="1" t="s">
        <v>216</v>
      </c>
      <c r="DY364" s="0" t="s">
        <v>216</v>
      </c>
      <c r="DZ364" s="0" t="s">
        <v>216</v>
      </c>
      <c r="EA364" s="0" t="n">
        <v>1</v>
      </c>
      <c r="EC364" s="1" t="s">
        <v>221</v>
      </c>
      <c r="ED364" s="1" t="s">
        <v>221</v>
      </c>
      <c r="EE364" s="0" t="s">
        <v>221</v>
      </c>
      <c r="EF364" s="0" t="s">
        <v>221</v>
      </c>
      <c r="EG364" s="0" t="n">
        <v>0</v>
      </c>
      <c r="EI364" s="0" t="n">
        <f aca="false">IF(AND(DM364=1,DN364&lt;=48),"",IF(AND(DM364=2,DN364&lt;=42),"",IF(AND(DM364=3,DN364&lt;=45),"",EH364)))</f>
        <v>0</v>
      </c>
      <c r="EJ364" s="0" t="str">
        <f aca="false">IF(EI364="","",IF(EI364&lt;9,EI364,9))</f>
        <v/>
      </c>
      <c r="EK364" s="0" t="str">
        <f aca="false">IF(EI364="","",IF(EI364&gt;9,EI364-EJ364,0))</f>
        <v/>
      </c>
      <c r="EL364" s="0" t="str">
        <f aca="false">IF(EI364="","",EJ364*DA364*2+EK364*DA364*3)</f>
        <v/>
      </c>
      <c r="EP364" s="0" t="n">
        <v>1</v>
      </c>
      <c r="EQ364" s="0"/>
      <c r="ER364" s="0" t="n">
        <v>1</v>
      </c>
      <c r="ET364" s="0" t="n">
        <v>1</v>
      </c>
      <c r="EV364" s="0" t="n">
        <v>1</v>
      </c>
      <c r="EX364" s="0" t="n">
        <v>1</v>
      </c>
      <c r="EY364" s="0" t="n">
        <v>0</v>
      </c>
      <c r="EZ364" s="0"/>
      <c r="FA364" s="4" t="n">
        <v>2700.84</v>
      </c>
      <c r="FB364" s="0" t="n">
        <v>1</v>
      </c>
      <c r="FF364" s="120" t="n">
        <f aca="false">(CJ364-CI364+1)/365</f>
        <v>0.101369863013699</v>
      </c>
      <c r="FG364" s="0" t="str">
        <f aca="false">CONCATENATE(F364,"/",G364)</f>
        <v>856/2011</v>
      </c>
      <c r="FH364" s="0" t="n">
        <v>0</v>
      </c>
      <c r="FI364" s="0" t="n">
        <v>0</v>
      </c>
    </row>
    <row r="365" customFormat="false" ht="15" hidden="false" customHeight="false" outlineLevel="0" collapsed="false">
      <c r="A365" s="5" t="str">
        <f aca="false">E365&amp;G365&amp;F365</f>
        <v>72011856</v>
      </c>
      <c r="B365" s="0" t="s">
        <v>3732</v>
      </c>
      <c r="C365" s="1" t="n">
        <v>42411</v>
      </c>
      <c r="D365" s="0" t="s">
        <v>1856</v>
      </c>
      <c r="E365" s="0" t="n">
        <v>7</v>
      </c>
      <c r="F365" s="0" t="n">
        <v>856</v>
      </c>
      <c r="G365" s="0" t="n">
        <v>2011</v>
      </c>
      <c r="H365" s="0" t="str">
        <f aca="false">"J"&amp;E365&amp;"\"&amp;F365&amp;"\"&amp;G365&amp;"\"&amp;W365</f>
        <v>J7\856\2011\4</v>
      </c>
      <c r="I365" s="0"/>
      <c r="J365" s="1" t="n">
        <v>40679</v>
      </c>
      <c r="K365" s="0" t="n">
        <v>0</v>
      </c>
      <c r="M365" s="1"/>
      <c r="N365" s="1"/>
      <c r="O365" s="1"/>
      <c r="P365" s="1"/>
      <c r="Q365" s="1"/>
      <c r="T365" s="121"/>
      <c r="U365" s="121"/>
      <c r="V365" s="122" t="n">
        <f aca="false">IF(AND(E365&gt;0,F365&gt;0,G365&gt;0),COUNTIFS($E:$E,E365,$F:$F,F365,$G:$G,G365),"")</f>
        <v>5</v>
      </c>
      <c r="W365" s="122" t="n">
        <f aca="false">IF(V365="","",IF(V365=1,1,IF(AND(E364=E365,F364=F365,G364=G365),W364+1,1)))</f>
        <v>4</v>
      </c>
      <c r="X365" s="0" t="n">
        <v>5</v>
      </c>
      <c r="Y365" s="0" t="n">
        <v>3</v>
      </c>
      <c r="Z365" s="0" t="s">
        <v>3778</v>
      </c>
      <c r="AA365" s="0" t="n">
        <v>0</v>
      </c>
      <c r="AB365" s="0" t="s">
        <v>3766</v>
      </c>
      <c r="AC365" s="0" t="s">
        <v>287</v>
      </c>
      <c r="AD365" s="0" t="s">
        <v>207</v>
      </c>
      <c r="AE365" s="0" t="n">
        <v>0</v>
      </c>
      <c r="AF365" s="0" t="s">
        <v>3767</v>
      </c>
      <c r="AG365" s="0" t="n">
        <v>0</v>
      </c>
      <c r="AH365" s="0" t="s">
        <v>3777</v>
      </c>
      <c r="AI365" s="0" t="s">
        <v>3769</v>
      </c>
      <c r="AJ365" s="0" t="s">
        <v>322</v>
      </c>
      <c r="AL365" s="0" t="s">
        <v>3770</v>
      </c>
      <c r="AM365" s="0" t="n">
        <v>0</v>
      </c>
      <c r="AN365" s="0" t="s">
        <v>3777</v>
      </c>
      <c r="AO365" s="0" t="s">
        <v>3769</v>
      </c>
      <c r="AP365" s="0" t="s">
        <v>322</v>
      </c>
      <c r="AR365" s="0" t="s">
        <v>1637</v>
      </c>
      <c r="AS365" s="0" t="n">
        <v>1</v>
      </c>
      <c r="AT365" s="0" t="s">
        <v>3777</v>
      </c>
      <c r="AU365" s="0" t="s">
        <v>3769</v>
      </c>
      <c r="AV365" s="0" t="s">
        <v>322</v>
      </c>
      <c r="BP365" s="0" t="n">
        <v>0</v>
      </c>
      <c r="BQ365" s="0" t="n">
        <v>0</v>
      </c>
      <c r="BR365" s="0" t="n">
        <v>1</v>
      </c>
      <c r="BS365" s="0" t="s">
        <v>3771</v>
      </c>
      <c r="BT365" s="0" t="s">
        <v>3772</v>
      </c>
      <c r="BU365" s="0" t="s">
        <v>872</v>
      </c>
      <c r="BV365" s="123"/>
      <c r="BW365" s="123"/>
      <c r="BX365" s="123"/>
      <c r="BY365" s="123"/>
      <c r="BZ365" s="0" t="n">
        <v>0</v>
      </c>
      <c r="CA365" s="0" t="s">
        <v>216</v>
      </c>
      <c r="CD365" s="0" t="s">
        <v>256</v>
      </c>
      <c r="CE365" s="0" t="n">
        <v>0</v>
      </c>
      <c r="CF365" s="0" t="s">
        <v>3775</v>
      </c>
      <c r="CI365" s="1" t="n">
        <v>40626</v>
      </c>
      <c r="CJ365" s="1" t="n">
        <v>40662</v>
      </c>
      <c r="CK365" s="124" t="n">
        <v>0.666666666666667</v>
      </c>
      <c r="CL365" s="0" t="s">
        <v>3773</v>
      </c>
      <c r="CM365" s="0" t="n">
        <f aca="false">IF(OR(CI365="",CJ365=""),"",DAYS360(CI365,CJ365)/360)</f>
        <v>0.0972222222222222</v>
      </c>
      <c r="CN365" s="0" t="n">
        <f aca="false">IF(OR(CI365="",CJ365=""),"",DAYS360(CI365,CJ365)/30)</f>
        <v>1.16666666666667</v>
      </c>
      <c r="CO365" s="0" t="n">
        <f aca="false">IF(OR(CI365="",CJ365=""),"",DAYS360(CI365,CJ365)/7)</f>
        <v>5</v>
      </c>
      <c r="CP365" s="0" t="n">
        <f aca="false">IF(OR(CI365="",CJ365=""),"",DAYS360(CI365,CJ365))</f>
        <v>35</v>
      </c>
      <c r="CQ365" s="0" t="s">
        <v>220</v>
      </c>
      <c r="CR365" s="0" t="n">
        <v>1</v>
      </c>
      <c r="CT365" s="0" t="n">
        <v>5500</v>
      </c>
      <c r="CU365" s="0" t="n">
        <v>1</v>
      </c>
      <c r="CV365" s="0" t="n">
        <f aca="false">IF(OR(CT365="",CT365="NO ESPECIFICA",CT365="NO MENCIONA"),"",IF(CU365=0,CT365,IF(CU365=1,CT365/30,IF(CU365=2,CT365/15,IF(CU365=3,CT365/7,"")))))</f>
        <v>183.333333333333</v>
      </c>
      <c r="CW365" s="125" t="n">
        <v>6752.07</v>
      </c>
      <c r="CX365" s="0" t="n">
        <v>1</v>
      </c>
      <c r="CY365" s="0" t="n">
        <f aca="false">IF(CW365="","",IF(CX365=0,CW365,IF(CX365=1,CW365/30,IF(CX365=2,CW365/15,IF(CX365=3,CW365/7,CW365)))))</f>
        <v>225.069</v>
      </c>
      <c r="CZ365" s="0" t="n">
        <f aca="false">IF(DI365&gt;0,DI365,IF(CY365&gt;0,CY365,IF(CV365&gt;0,CV365,"")))</f>
        <v>225.07</v>
      </c>
      <c r="DA365" s="0" t="n">
        <f aca="false">IF(DM365=1,CZ365/8,IF(OR(DM365=2,DM365=4),CZ365/7,IF(DM365=3,CZ365/7.5,"")))</f>
        <v>30.0093333333333</v>
      </c>
      <c r="DB365" s="0" t="s">
        <v>2371</v>
      </c>
      <c r="DC365" s="0" t="s">
        <v>1582</v>
      </c>
      <c r="DD365" s="0" t="s">
        <v>301</v>
      </c>
      <c r="DE365" s="0" t="s">
        <v>303</v>
      </c>
      <c r="DF365" s="0" t="s">
        <v>216</v>
      </c>
      <c r="DG365" s="0" t="s">
        <v>216</v>
      </c>
      <c r="DH365" s="0" t="n">
        <v>0</v>
      </c>
      <c r="DI365" s="126" t="n">
        <v>225.07</v>
      </c>
      <c r="DK365" s="0" t="n">
        <v>1</v>
      </c>
      <c r="DM365" s="0" t="n">
        <v>3</v>
      </c>
      <c r="DN365" s="0" t="n">
        <v>49</v>
      </c>
      <c r="DO365" s="0" t="n">
        <v>3</v>
      </c>
      <c r="DP365" s="0" t="n">
        <v>1</v>
      </c>
      <c r="DQ365" s="0" t="n">
        <v>1</v>
      </c>
      <c r="DR365" s="0"/>
      <c r="DS365" s="0" t="n">
        <v>1</v>
      </c>
      <c r="DU365" s="0" t="n">
        <v>1</v>
      </c>
      <c r="DW365" s="1" t="s">
        <v>216</v>
      </c>
      <c r="DX365" s="1" t="s">
        <v>216</v>
      </c>
      <c r="DY365" s="0" t="s">
        <v>216</v>
      </c>
      <c r="DZ365" s="0" t="s">
        <v>216</v>
      </c>
      <c r="EA365" s="0" t="n">
        <v>1</v>
      </c>
      <c r="EC365" s="1" t="s">
        <v>221</v>
      </c>
      <c r="ED365" s="1" t="s">
        <v>221</v>
      </c>
      <c r="EE365" s="0" t="s">
        <v>221</v>
      </c>
      <c r="EF365" s="0" t="s">
        <v>221</v>
      </c>
      <c r="EG365" s="0" t="n">
        <v>0</v>
      </c>
      <c r="EI365" s="0" t="n">
        <f aca="false">IF(AND(DM365=1,DN365&lt;=48),"",IF(AND(DM365=2,DN365&lt;=42),"",IF(AND(DM365=3,DN365&lt;=45),"",EH365)))</f>
        <v>0</v>
      </c>
      <c r="EJ365" s="0" t="str">
        <f aca="false">IF(EI365="","",IF(EI365&lt;9,EI365,9))</f>
        <v/>
      </c>
      <c r="EK365" s="0" t="str">
        <f aca="false">IF(EI365="","",IF(EI365&gt;9,EI365-EJ365,0))</f>
        <v/>
      </c>
      <c r="EL365" s="0" t="str">
        <f aca="false">IF(EI365="","",EJ365*DA365*2+EK365*DA365*3)</f>
        <v/>
      </c>
      <c r="EP365" s="0" t="n">
        <v>1</v>
      </c>
      <c r="EQ365" s="0"/>
      <c r="ER365" s="0" t="n">
        <v>1</v>
      </c>
      <c r="ET365" s="0" t="n">
        <v>1</v>
      </c>
      <c r="EV365" s="0" t="n">
        <v>1</v>
      </c>
      <c r="EX365" s="0" t="n">
        <v>1</v>
      </c>
      <c r="EY365" s="0" t="n">
        <v>0</v>
      </c>
      <c r="EZ365" s="0"/>
      <c r="FA365" s="4" t="n">
        <v>2700.84</v>
      </c>
      <c r="FB365" s="0" t="n">
        <v>1</v>
      </c>
      <c r="FF365" s="120" t="n">
        <f aca="false">(CJ365-CI365+1)/365</f>
        <v>0.101369863013699</v>
      </c>
      <c r="FG365" s="0" t="str">
        <f aca="false">CONCATENATE(F365,"/",G365)</f>
        <v>856/2011</v>
      </c>
      <c r="FH365" s="0" t="n">
        <v>0</v>
      </c>
      <c r="FI365" s="0" t="n">
        <v>0</v>
      </c>
    </row>
    <row r="366" customFormat="false" ht="15" hidden="false" customHeight="false" outlineLevel="0" collapsed="false">
      <c r="A366" s="5" t="str">
        <f aca="false">E366&amp;G366&amp;F366</f>
        <v>72011856</v>
      </c>
      <c r="B366" s="0" t="s">
        <v>3732</v>
      </c>
      <c r="C366" s="1" t="n">
        <v>42411</v>
      </c>
      <c r="D366" s="0" t="s">
        <v>1856</v>
      </c>
      <c r="E366" s="0" t="n">
        <v>7</v>
      </c>
      <c r="F366" s="0" t="n">
        <v>856</v>
      </c>
      <c r="G366" s="0" t="n">
        <v>2011</v>
      </c>
      <c r="H366" s="0" t="str">
        <f aca="false">"J"&amp;E366&amp;"\"&amp;F366&amp;"\"&amp;G366&amp;"\"&amp;W366</f>
        <v>J7\856\2011\5</v>
      </c>
      <c r="I366" s="0"/>
      <c r="J366" s="1" t="n">
        <v>40679</v>
      </c>
      <c r="K366" s="0" t="n">
        <v>0</v>
      </c>
      <c r="M366" s="1"/>
      <c r="N366" s="1"/>
      <c r="O366" s="1"/>
      <c r="P366" s="1"/>
      <c r="Q366" s="1"/>
      <c r="T366" s="121"/>
      <c r="U366" s="121"/>
      <c r="V366" s="122" t="n">
        <f aca="false">IF(AND(E366&gt;0,F366&gt;0,G366&gt;0),COUNTIFS($E:$E,E366,$F:$F,F366,$G:$G,G366),"")</f>
        <v>5</v>
      </c>
      <c r="W366" s="122" t="n">
        <f aca="false">IF(V366="","",IF(V366=1,1,IF(AND(E365=E366,F365=F366,G365=G366),W365+1,1)))</f>
        <v>5</v>
      </c>
      <c r="X366" s="0" t="n">
        <v>5</v>
      </c>
      <c r="Y366" s="0" t="n">
        <v>3</v>
      </c>
      <c r="Z366" s="0" t="s">
        <v>3779</v>
      </c>
      <c r="AA366" s="0" t="n">
        <v>0</v>
      </c>
      <c r="AB366" s="0" t="s">
        <v>3766</v>
      </c>
      <c r="AC366" s="0" t="s">
        <v>287</v>
      </c>
      <c r="AD366" s="0" t="s">
        <v>207</v>
      </c>
      <c r="AE366" s="0" t="n">
        <v>0</v>
      </c>
      <c r="AF366" s="0" t="s">
        <v>3767</v>
      </c>
      <c r="AG366" s="0" t="n">
        <v>0</v>
      </c>
      <c r="AH366" s="0" t="s">
        <v>3777</v>
      </c>
      <c r="AI366" s="0" t="s">
        <v>3769</v>
      </c>
      <c r="AJ366" s="0" t="s">
        <v>322</v>
      </c>
      <c r="AL366" s="0" t="s">
        <v>3770</v>
      </c>
      <c r="AM366" s="0" t="n">
        <v>0</v>
      </c>
      <c r="AN366" s="0" t="s">
        <v>3777</v>
      </c>
      <c r="AO366" s="0" t="s">
        <v>3769</v>
      </c>
      <c r="AP366" s="0" t="s">
        <v>322</v>
      </c>
      <c r="AR366" s="0" t="s">
        <v>1637</v>
      </c>
      <c r="AS366" s="0" t="n">
        <v>1</v>
      </c>
      <c r="AT366" s="0" t="s">
        <v>3777</v>
      </c>
      <c r="AU366" s="0" t="s">
        <v>3769</v>
      </c>
      <c r="AV366" s="0" t="s">
        <v>322</v>
      </c>
      <c r="BP366" s="0" t="n">
        <v>0</v>
      </c>
      <c r="BQ366" s="0" t="n">
        <v>0</v>
      </c>
      <c r="BR366" s="0" t="n">
        <v>1</v>
      </c>
      <c r="BS366" s="0" t="s">
        <v>3771</v>
      </c>
      <c r="BT366" s="0" t="s">
        <v>3772</v>
      </c>
      <c r="BU366" s="0" t="s">
        <v>872</v>
      </c>
      <c r="BV366" s="123"/>
      <c r="BW366" s="123"/>
      <c r="BX366" s="123"/>
      <c r="BY366" s="123"/>
      <c r="BZ366" s="0" t="n">
        <v>0</v>
      </c>
      <c r="CA366" s="0" t="s">
        <v>216</v>
      </c>
      <c r="CD366" s="0" t="s">
        <v>256</v>
      </c>
      <c r="CE366" s="0" t="n">
        <v>1</v>
      </c>
      <c r="CF366" s="0" t="s">
        <v>2082</v>
      </c>
      <c r="CI366" s="1" t="n">
        <v>40626</v>
      </c>
      <c r="CJ366" s="1" t="n">
        <v>40662</v>
      </c>
      <c r="CK366" s="124" t="n">
        <v>0.666666666666667</v>
      </c>
      <c r="CL366" s="0" t="s">
        <v>3773</v>
      </c>
      <c r="CM366" s="0" t="n">
        <f aca="false">IF(OR(CI366="",CJ366=""),"",DAYS360(CI366,CJ366)/360)</f>
        <v>0.0972222222222222</v>
      </c>
      <c r="CN366" s="0" t="n">
        <f aca="false">IF(OR(CI366="",CJ366=""),"",DAYS360(CI366,CJ366)/30)</f>
        <v>1.16666666666667</v>
      </c>
      <c r="CO366" s="0" t="n">
        <f aca="false">IF(OR(CI366="",CJ366=""),"",DAYS360(CI366,CJ366)/7)</f>
        <v>5</v>
      </c>
      <c r="CP366" s="0" t="n">
        <f aca="false">IF(OR(CI366="",CJ366=""),"",DAYS360(CI366,CJ366))</f>
        <v>35</v>
      </c>
      <c r="CQ366" s="0" t="s">
        <v>220</v>
      </c>
      <c r="CR366" s="0" t="n">
        <v>1</v>
      </c>
      <c r="CT366" s="0" t="n">
        <v>7000</v>
      </c>
      <c r="CU366" s="0" t="n">
        <v>1</v>
      </c>
      <c r="CV366" s="0" t="n">
        <f aca="false">IF(OR(CT366="",CT366="NO ESPECIFICA",CT366="NO MENCIONA"),"",IF(CU366=0,CT366,IF(CU366=1,CT366/30,IF(CU366=2,CT366/15,IF(CU366=3,CT366/7,"")))))</f>
        <v>233.333333333333</v>
      </c>
      <c r="CW366" s="125" t="n">
        <v>8320.82</v>
      </c>
      <c r="CX366" s="0" t="n">
        <v>1</v>
      </c>
      <c r="CY366" s="0" t="n">
        <f aca="false">IF(CW366="","",IF(CX366=0,CW366,IF(CX366=1,CW366/30,IF(CX366=2,CW366/15,IF(CX366=3,CW366/7,CW366)))))</f>
        <v>277.360666666667</v>
      </c>
      <c r="CZ366" s="0" t="n">
        <f aca="false">IF(DI366&gt;0,DI366,IF(CY366&gt;0,CY366,IF(CV366&gt;0,CV366,"")))</f>
        <v>277.36</v>
      </c>
      <c r="DA366" s="0" t="n">
        <f aca="false">IF(DM366=1,CZ366/8,IF(OR(DM366=2,DM366=4),CZ366/7,IF(DM366=3,CZ366/7.5,"")))</f>
        <v>34.67</v>
      </c>
      <c r="DB366" s="0" t="s">
        <v>2371</v>
      </c>
      <c r="DC366" s="0" t="s">
        <v>1582</v>
      </c>
      <c r="DD366" s="0" t="s">
        <v>301</v>
      </c>
      <c r="DE366" s="0" t="s">
        <v>303</v>
      </c>
      <c r="DF366" s="0" t="s">
        <v>216</v>
      </c>
      <c r="DG366" s="0" t="s">
        <v>216</v>
      </c>
      <c r="DH366" s="0" t="n">
        <v>0</v>
      </c>
      <c r="DI366" s="126" t="n">
        <v>277.36</v>
      </c>
      <c r="DK366" s="0" t="n">
        <v>1</v>
      </c>
      <c r="DM366" s="0" t="n">
        <v>1</v>
      </c>
      <c r="DN366" s="0" t="n">
        <v>49</v>
      </c>
      <c r="DO366" s="0" t="n">
        <v>3</v>
      </c>
      <c r="DP366" s="0" t="n">
        <v>1</v>
      </c>
      <c r="DQ366" s="0" t="n">
        <v>1</v>
      </c>
      <c r="DR366" s="0"/>
      <c r="DS366" s="0" t="n">
        <v>1</v>
      </c>
      <c r="DU366" s="0" t="n">
        <v>1</v>
      </c>
      <c r="DW366" s="1" t="s">
        <v>216</v>
      </c>
      <c r="DX366" s="1" t="s">
        <v>216</v>
      </c>
      <c r="DY366" s="0" t="s">
        <v>216</v>
      </c>
      <c r="DZ366" s="0" t="s">
        <v>216</v>
      </c>
      <c r="EA366" s="0" t="n">
        <v>1</v>
      </c>
      <c r="EC366" s="1" t="s">
        <v>221</v>
      </c>
      <c r="ED366" s="1" t="s">
        <v>221</v>
      </c>
      <c r="EE366" s="0" t="s">
        <v>221</v>
      </c>
      <c r="EF366" s="0" t="s">
        <v>221</v>
      </c>
      <c r="EG366" s="0" t="n">
        <v>0</v>
      </c>
      <c r="EI366" s="0" t="n">
        <f aca="false">IF(AND(DM366=1,DN366&lt;=48),"",IF(AND(DM366=2,DN366&lt;=42),"",IF(AND(DM366=3,DN366&lt;=45),"",EH366)))</f>
        <v>0</v>
      </c>
      <c r="EJ366" s="0" t="str">
        <f aca="false">IF(EI366="","",IF(EI366&lt;9,EI366,9))</f>
        <v/>
      </c>
      <c r="EK366" s="0" t="str">
        <f aca="false">IF(EI366="","",IF(EI366&gt;9,EI366-EJ366,0))</f>
        <v/>
      </c>
      <c r="EL366" s="0" t="str">
        <f aca="false">IF(EI366="","",EJ366*DA366*2+EK366*DA366*3)</f>
        <v/>
      </c>
      <c r="EP366" s="0" t="n">
        <v>1</v>
      </c>
      <c r="EQ366" s="0"/>
      <c r="ER366" s="0" t="n">
        <v>1</v>
      </c>
      <c r="ET366" s="0" t="n">
        <v>1</v>
      </c>
      <c r="EV366" s="0" t="n">
        <v>1</v>
      </c>
      <c r="EX366" s="0" t="n">
        <v>1</v>
      </c>
      <c r="EY366" s="0" t="n">
        <v>0</v>
      </c>
      <c r="EZ366" s="0"/>
      <c r="FA366" s="4" t="n">
        <v>3328.32</v>
      </c>
      <c r="FB366" s="0" t="n">
        <v>1</v>
      </c>
      <c r="FF366" s="120" t="n">
        <f aca="false">(CJ366-CI366+1)/365</f>
        <v>0.101369863013699</v>
      </c>
      <c r="FG366" s="0" t="str">
        <f aca="false">CONCATENATE(F366,"/",G366)</f>
        <v>856/2011</v>
      </c>
      <c r="FH366" s="0" t="n">
        <v>0</v>
      </c>
      <c r="FI366" s="0" t="n">
        <v>0</v>
      </c>
    </row>
    <row r="367" customFormat="false" ht="15" hidden="false" customHeight="false" outlineLevel="0" collapsed="false">
      <c r="A367" s="5" t="str">
        <f aca="false">E367&amp;G367&amp;F367</f>
        <v>72011860</v>
      </c>
      <c r="B367" s="0" t="s">
        <v>3732</v>
      </c>
      <c r="C367" s="1" t="n">
        <v>42411</v>
      </c>
      <c r="D367" s="0" t="s">
        <v>1856</v>
      </c>
      <c r="E367" s="0" t="n">
        <v>7</v>
      </c>
      <c r="F367" s="0" t="n">
        <v>860</v>
      </c>
      <c r="G367" s="0" t="n">
        <v>2011</v>
      </c>
      <c r="H367" s="0" t="str">
        <f aca="false">"J"&amp;E367&amp;"\"&amp;F367&amp;"\"&amp;G367&amp;"\"&amp;W367</f>
        <v>J7\860\2011\1</v>
      </c>
      <c r="I367" s="0"/>
      <c r="J367" s="1" t="n">
        <v>40679</v>
      </c>
      <c r="K367" s="0" t="n">
        <v>0</v>
      </c>
      <c r="M367" s="1"/>
      <c r="N367" s="1"/>
      <c r="O367" s="1"/>
      <c r="P367" s="1"/>
      <c r="Q367" s="1"/>
      <c r="T367" s="121"/>
      <c r="U367" s="121"/>
      <c r="V367" s="122" t="n">
        <f aca="false">IF(AND(E367&gt;0,F367&gt;0,G367&gt;0),COUNTIFS($E:$E,E367,$F:$F,F367,$G:$G,G367),"")</f>
        <v>1</v>
      </c>
      <c r="W367" s="122" t="n">
        <f aca="false">IF(V367="","",IF(V367=1,1,IF(AND(E366=E367,F366=F367,G366=G367),W366+1,1)))</f>
        <v>1</v>
      </c>
      <c r="X367" s="0" t="n">
        <v>1</v>
      </c>
      <c r="Y367" s="0" t="n">
        <v>8</v>
      </c>
      <c r="Z367" s="0" t="s">
        <v>3780</v>
      </c>
      <c r="AA367" s="0" t="n">
        <v>0</v>
      </c>
      <c r="AB367" s="0" t="s">
        <v>3781</v>
      </c>
      <c r="AC367" s="0" t="s">
        <v>3782</v>
      </c>
      <c r="AD367" s="0" t="s">
        <v>221</v>
      </c>
      <c r="AE367" s="0" t="n">
        <v>0</v>
      </c>
      <c r="AF367" s="0" t="s">
        <v>3783</v>
      </c>
      <c r="AG367" s="0" t="n">
        <v>0</v>
      </c>
      <c r="AH367" s="0" t="s">
        <v>3784</v>
      </c>
      <c r="AI367" s="0" t="s">
        <v>1561</v>
      </c>
      <c r="AJ367" s="0" t="s">
        <v>221</v>
      </c>
      <c r="AL367" s="0" t="s">
        <v>3785</v>
      </c>
      <c r="AM367" s="0" t="n">
        <v>0</v>
      </c>
      <c r="AN367" s="0" t="s">
        <v>3784</v>
      </c>
      <c r="AO367" s="0" t="s">
        <v>1561</v>
      </c>
      <c r="AP367" s="0" t="s">
        <v>221</v>
      </c>
      <c r="AR367" s="0" t="s">
        <v>3786</v>
      </c>
      <c r="AS367" s="0" t="n">
        <v>1</v>
      </c>
      <c r="AT367" s="0" t="s">
        <v>3784</v>
      </c>
      <c r="AU367" s="0" t="s">
        <v>1561</v>
      </c>
      <c r="AV367" s="0" t="s">
        <v>221</v>
      </c>
      <c r="AX367" s="0" t="s">
        <v>3787</v>
      </c>
      <c r="AY367" s="0" t="n">
        <v>1</v>
      </c>
      <c r="AZ367" s="0" t="s">
        <v>3784</v>
      </c>
      <c r="BA367" s="0" t="s">
        <v>1561</v>
      </c>
      <c r="BB367" s="0" t="s">
        <v>221</v>
      </c>
      <c r="BD367" s="0" t="s">
        <v>3788</v>
      </c>
      <c r="BE367" s="0" t="n">
        <v>0</v>
      </c>
      <c r="BF367" s="0" t="s">
        <v>3789</v>
      </c>
      <c r="BG367" s="0" t="s">
        <v>3790</v>
      </c>
      <c r="BH367" s="0" t="s">
        <v>993</v>
      </c>
      <c r="BJ367" s="0" t="s">
        <v>3791</v>
      </c>
      <c r="BK367" s="0" t="n">
        <v>2</v>
      </c>
      <c r="BL367" s="0" t="s">
        <v>216</v>
      </c>
      <c r="BM367" s="0" t="s">
        <v>216</v>
      </c>
      <c r="BN367" s="0" t="s">
        <v>216</v>
      </c>
      <c r="BP367" s="0" t="n">
        <v>0</v>
      </c>
      <c r="BQ367" s="0" t="n">
        <v>0</v>
      </c>
      <c r="BR367" s="0" t="n">
        <v>1</v>
      </c>
      <c r="BS367" s="0" t="s">
        <v>3792</v>
      </c>
      <c r="BT367" s="0" t="s">
        <v>3793</v>
      </c>
      <c r="BU367" s="0" t="s">
        <v>3794</v>
      </c>
      <c r="BV367" s="123"/>
      <c r="BW367" s="123"/>
      <c r="BX367" s="123"/>
      <c r="BY367" s="123"/>
      <c r="BZ367" s="0" t="n">
        <v>0</v>
      </c>
      <c r="CA367" s="0" t="s">
        <v>216</v>
      </c>
      <c r="CD367" s="0" t="s">
        <v>296</v>
      </c>
      <c r="CE367" s="0" t="n">
        <v>1</v>
      </c>
      <c r="CF367" s="0" t="s">
        <v>2314</v>
      </c>
      <c r="CI367" s="1" t="n">
        <v>40105</v>
      </c>
      <c r="CJ367" s="1" t="n">
        <v>40619</v>
      </c>
      <c r="CK367" s="124" t="n">
        <v>0.375</v>
      </c>
      <c r="CL367" s="0" t="s">
        <v>3795</v>
      </c>
      <c r="CM367" s="0" t="n">
        <f aca="false">IF(OR(CI367="",CJ367=""),"",DAYS360(CI367,CJ367)/360)</f>
        <v>1.41111111111111</v>
      </c>
      <c r="CN367" s="0" t="n">
        <f aca="false">IF(OR(CI367="",CJ367=""),"",DAYS360(CI367,CJ367)/30)</f>
        <v>16.9333333333333</v>
      </c>
      <c r="CO367" s="0" t="n">
        <f aca="false">IF(OR(CI367="",CJ367=""),"",DAYS360(CI367,CJ367)/7)</f>
        <v>72.5714285714286</v>
      </c>
      <c r="CP367" s="0" t="n">
        <f aca="false">IF(OR(CI367="",CJ367=""),"",DAYS360(CI367,CJ367))</f>
        <v>508</v>
      </c>
      <c r="CQ367" s="0" t="s">
        <v>240</v>
      </c>
      <c r="CR367" s="0" t="n">
        <v>1</v>
      </c>
      <c r="CT367" s="0" t="s">
        <v>221</v>
      </c>
      <c r="CU367" s="0" t="s">
        <v>221</v>
      </c>
      <c r="CV367" s="0" t="str">
        <f aca="false">IF(OR(CT367="",CT367="NO ESPECIFICA",CT367="NO MENCIONA"),"",IF(CU367=0,CT367,IF(CU367=1,CT367/30,IF(CU367=2,CT367/15,IF(CU367=3,CT367/7,"")))))</f>
        <v/>
      </c>
      <c r="CW367" s="125" t="n">
        <v>3500</v>
      </c>
      <c r="CX367" s="0" t="n">
        <v>2</v>
      </c>
      <c r="CY367" s="0" t="n">
        <f aca="false">IF(CW367="","",IF(CX367=0,CW367,IF(CX367=1,CW367/30,IF(CX367=2,CW367/15,IF(CX367=3,CW367/7,CW367)))))</f>
        <v>233.333333333333</v>
      </c>
      <c r="CZ367" s="0" t="n">
        <f aca="false">IF(DI367&gt;0,DI367,IF(CY367&gt;0,CY367,IF(CV367&gt;0,CV367,"")))</f>
        <v>233.33</v>
      </c>
      <c r="DA367" s="0" t="n">
        <f aca="false">IF(DM367=1,CZ367/8,IF(OR(DM367=2,DM367=4),CZ367/7,IF(DM367=3,CZ367/7.5,"")))</f>
        <v>29.16625</v>
      </c>
      <c r="DB367" s="0" t="s">
        <v>216</v>
      </c>
      <c r="DC367" s="0" t="s">
        <v>216</v>
      </c>
      <c r="DD367" s="0" t="s">
        <v>216</v>
      </c>
      <c r="DE367" s="0" t="s">
        <v>216</v>
      </c>
      <c r="DF367" s="0" t="s">
        <v>216</v>
      </c>
      <c r="DG367" s="0" t="s">
        <v>216</v>
      </c>
      <c r="DH367" s="0" t="n">
        <v>0</v>
      </c>
      <c r="DI367" s="126" t="n">
        <v>233.33</v>
      </c>
      <c r="DK367" s="0" t="n">
        <v>1</v>
      </c>
      <c r="DM367" s="0" t="n">
        <v>1</v>
      </c>
      <c r="DN367" s="0" t="n">
        <v>45</v>
      </c>
      <c r="DO367" s="0" t="n">
        <v>3</v>
      </c>
      <c r="DP367" s="0" t="n">
        <v>0</v>
      </c>
      <c r="DQ367" s="0" t="n">
        <v>1</v>
      </c>
      <c r="DR367" s="0"/>
      <c r="DS367" s="0" t="n">
        <v>1</v>
      </c>
      <c r="DU367" s="0" t="n">
        <v>1</v>
      </c>
      <c r="DW367" s="1" t="n">
        <v>40470</v>
      </c>
      <c r="DX367" s="1" t="n">
        <v>40619</v>
      </c>
      <c r="DZ367" s="0"/>
      <c r="EA367" s="0" t="n">
        <v>1</v>
      </c>
      <c r="EC367" s="1" t="n">
        <v>40179</v>
      </c>
      <c r="ED367" s="1" t="n">
        <v>40619</v>
      </c>
      <c r="EF367" s="0"/>
      <c r="EG367" s="0" t="n">
        <v>0</v>
      </c>
      <c r="EI367" s="0" t="str">
        <f aca="false">IF(AND(DM367=1,DN367&lt;=48),"",IF(AND(DM367=2,DN367&lt;=42),"",IF(AND(DM367=3,DN367&lt;=45),"",EH367)))</f>
        <v/>
      </c>
      <c r="EJ367" s="0" t="str">
        <f aca="false">IF(EI367="","",IF(EI367&lt;9,EI367,9))</f>
        <v/>
      </c>
      <c r="EK367" s="0" t="str">
        <f aca="false">IF(EI367="","",IF(EI367&gt;9,EI367-EJ367,0))</f>
        <v/>
      </c>
      <c r="EL367" s="0" t="str">
        <f aca="false">IF(EI367="","",EJ367*DA367*2+EK367*DA367*3)</f>
        <v/>
      </c>
      <c r="EP367" s="0" t="n">
        <v>0</v>
      </c>
      <c r="EQ367" s="0"/>
      <c r="ER367" s="0" t="n">
        <v>0</v>
      </c>
      <c r="ET367" s="0" t="n">
        <v>0</v>
      </c>
      <c r="EV367" s="0" t="n">
        <v>0</v>
      </c>
      <c r="EX367" s="0" t="n">
        <v>1</v>
      </c>
      <c r="EY367" s="0" t="n">
        <v>0</v>
      </c>
      <c r="EZ367" s="0"/>
      <c r="FA367" s="4" t="n">
        <v>4000</v>
      </c>
      <c r="FB367" s="0" t="n">
        <v>1</v>
      </c>
      <c r="FF367" s="120" t="n">
        <f aca="false">(CJ367-CI367+1)/365</f>
        <v>1.41095890410959</v>
      </c>
      <c r="FG367" s="0" t="str">
        <f aca="false">CONCATENATE(F367,"/",G367)</f>
        <v>860/2011</v>
      </c>
      <c r="FH367" s="0" t="n">
        <v>0</v>
      </c>
      <c r="FI367" s="0" t="n">
        <v>0</v>
      </c>
    </row>
    <row r="368" customFormat="false" ht="15" hidden="false" customHeight="false" outlineLevel="0" collapsed="false">
      <c r="A368" s="5" t="str">
        <f aca="false">E368&amp;G368&amp;F368</f>
        <v>72011877</v>
      </c>
      <c r="B368" s="0" t="s">
        <v>3732</v>
      </c>
      <c r="C368" s="1" t="n">
        <v>42411</v>
      </c>
      <c r="E368" s="0" t="n">
        <v>7</v>
      </c>
      <c r="F368" s="0" t="n">
        <v>877</v>
      </c>
      <c r="G368" s="0" t="n">
        <v>2011</v>
      </c>
      <c r="H368" s="0" t="str">
        <f aca="false">"J"&amp;E368&amp;"\"&amp;F368&amp;"\"&amp;G368&amp;"\"&amp;W368</f>
        <v>J7\877\2011\1</v>
      </c>
      <c r="I368" s="0"/>
      <c r="J368" s="1" t="n">
        <v>40681</v>
      </c>
      <c r="K368" s="0" t="n">
        <v>0</v>
      </c>
      <c r="M368" s="1"/>
      <c r="N368" s="1"/>
      <c r="O368" s="1"/>
      <c r="P368" s="1"/>
      <c r="Q368" s="1"/>
      <c r="T368" s="121"/>
      <c r="U368" s="121"/>
      <c r="V368" s="122" t="n">
        <f aca="false">IF(AND(E368&gt;0,F368&gt;0,G368&gt;0),COUNTIFS($E:$E,E368,$F:$F,F368,$G:$G,G368),"")</f>
        <v>1</v>
      </c>
      <c r="W368" s="122" t="n">
        <f aca="false">IF(V368="","",IF(V368=1,1,IF(AND(E367=E368,F367=F368,G367=G368),W367+1,1)))</f>
        <v>1</v>
      </c>
      <c r="X368" s="0" t="n">
        <v>1</v>
      </c>
      <c r="Y368" s="0" t="n">
        <v>2</v>
      </c>
      <c r="Z368" s="0" t="s">
        <v>3796</v>
      </c>
      <c r="AA368" s="0" t="n">
        <v>0</v>
      </c>
      <c r="AB368" s="0" t="s">
        <v>3797</v>
      </c>
      <c r="AC368" s="0" t="s">
        <v>318</v>
      </c>
      <c r="AD368" s="0" t="s">
        <v>229</v>
      </c>
      <c r="AE368" s="0" t="n">
        <v>0</v>
      </c>
      <c r="AF368" s="0" t="s">
        <v>3798</v>
      </c>
      <c r="AG368" s="0" t="n">
        <v>1</v>
      </c>
      <c r="AH368" s="0" t="s">
        <v>3799</v>
      </c>
      <c r="AI368" s="0" t="s">
        <v>3800</v>
      </c>
      <c r="AJ368" s="0" t="s">
        <v>659</v>
      </c>
      <c r="AL368" s="0" t="s">
        <v>3801</v>
      </c>
      <c r="AM368" s="0" t="n">
        <v>2</v>
      </c>
      <c r="AN368" s="0" t="s">
        <v>3799</v>
      </c>
      <c r="AO368" s="0" t="s">
        <v>3800</v>
      </c>
      <c r="AP368" s="0" t="s">
        <v>659</v>
      </c>
      <c r="BP368" s="0" t="n">
        <v>0</v>
      </c>
      <c r="BQ368" s="0" t="n">
        <v>0</v>
      </c>
      <c r="BR368" s="0" t="n">
        <v>1</v>
      </c>
      <c r="BS368" s="0" t="s">
        <v>2381</v>
      </c>
      <c r="BT368" s="0" t="s">
        <v>3802</v>
      </c>
      <c r="BU368" s="0" t="s">
        <v>3803</v>
      </c>
      <c r="BV368" s="123"/>
      <c r="BW368" s="123"/>
      <c r="BX368" s="123"/>
      <c r="BY368" s="123"/>
      <c r="BZ368" s="0" t="n">
        <v>0</v>
      </c>
      <c r="CA368" s="0" t="s">
        <v>2384</v>
      </c>
      <c r="CD368" s="0" t="s">
        <v>256</v>
      </c>
      <c r="CE368" s="0" t="n">
        <v>0</v>
      </c>
      <c r="CF368" s="0" t="s">
        <v>3804</v>
      </c>
      <c r="CI368" s="1" t="n">
        <v>40617</v>
      </c>
      <c r="CJ368" s="1" t="n">
        <v>40666</v>
      </c>
      <c r="CK368" s="124" t="n">
        <v>0.541666666666667</v>
      </c>
      <c r="CL368" s="0" t="s">
        <v>3805</v>
      </c>
      <c r="CM368" s="0" t="n">
        <f aca="false">IF(OR(CI368="",CJ368=""),"",DAYS360(CI368,CJ368)/360)</f>
        <v>0.133333333333333</v>
      </c>
      <c r="CN368" s="0" t="n">
        <f aca="false">IF(OR(CI368="",CJ368=""),"",DAYS360(CI368,CJ368)/30)</f>
        <v>1.6</v>
      </c>
      <c r="CO368" s="0" t="n">
        <f aca="false">IF(OR(CI368="",CJ368=""),"",DAYS360(CI368,CJ368)/7)</f>
        <v>6.85714285714286</v>
      </c>
      <c r="CP368" s="0" t="n">
        <f aca="false">IF(OR(CI368="",CJ368=""),"",DAYS360(CI368,CJ368))</f>
        <v>48</v>
      </c>
      <c r="CQ368" s="0" t="s">
        <v>240</v>
      </c>
      <c r="CR368" s="0" t="n">
        <v>1</v>
      </c>
      <c r="CT368" s="0" t="s">
        <v>221</v>
      </c>
      <c r="CU368" s="0" t="s">
        <v>221</v>
      </c>
      <c r="CV368" s="0" t="str">
        <f aca="false">IF(OR(CT368="",CT368="NO ESPECIFICA",CT368="NO MENCIONA"),"",IF(CU368=0,CT368,IF(CU368=1,CT368/30,IF(CU368=2,CT368/15,IF(CU368=3,CT368/7,"")))))</f>
        <v/>
      </c>
      <c r="CW368" s="125" t="n">
        <v>180</v>
      </c>
      <c r="CX368" s="0" t="n">
        <v>0</v>
      </c>
      <c r="CY368" s="0" t="n">
        <f aca="false">IF(CW368="","",IF(CX368=0,CW368,IF(CX368=1,CW368/30,IF(CX368=2,CW368/15,IF(CX368=3,CW368/7,CW368)))))</f>
        <v>180</v>
      </c>
      <c r="CZ368" s="0" t="n">
        <f aca="false">IF(DI368&gt;0,DI368,IF(CY368&gt;0,CY368,IF(CV368&gt;0,CV368,"")))</f>
        <v>180</v>
      </c>
      <c r="DA368" s="0" t="n">
        <f aca="false">IF(DM368=1,CZ368/8,IF(OR(DM368=2,DM368=4),CZ368/7,IF(DM368=3,CZ368/7.5,"")))</f>
        <v>22.5</v>
      </c>
      <c r="DB368" s="0" t="s">
        <v>216</v>
      </c>
      <c r="DC368" s="0" t="s">
        <v>216</v>
      </c>
      <c r="DD368" s="0" t="s">
        <v>216</v>
      </c>
      <c r="DE368" s="0" t="s">
        <v>216</v>
      </c>
      <c r="DF368" s="0" t="s">
        <v>216</v>
      </c>
      <c r="DG368" s="0" t="s">
        <v>216</v>
      </c>
      <c r="DH368" s="0" t="n">
        <v>0</v>
      </c>
      <c r="DI368" s="126" t="n">
        <v>180</v>
      </c>
      <c r="DK368" s="0" t="n">
        <v>0</v>
      </c>
      <c r="DM368" s="0" t="n">
        <v>1</v>
      </c>
      <c r="DN368" s="0" t="n">
        <v>87.5</v>
      </c>
      <c r="DO368" s="0" t="n">
        <v>3</v>
      </c>
      <c r="DP368" s="0" t="n">
        <v>0</v>
      </c>
      <c r="DQ368" s="0" t="n">
        <v>1</v>
      </c>
      <c r="DR368" s="0"/>
      <c r="DS368" s="0" t="n">
        <v>1</v>
      </c>
      <c r="DU368" s="0" t="n">
        <v>1</v>
      </c>
      <c r="DW368" s="1" t="n">
        <v>40617</v>
      </c>
      <c r="DX368" s="1" t="n">
        <v>40666</v>
      </c>
      <c r="DZ368" s="0"/>
      <c r="EA368" s="0" t="n">
        <v>1</v>
      </c>
      <c r="EC368" s="1" t="n">
        <v>40617</v>
      </c>
      <c r="ED368" s="1" t="n">
        <v>40666</v>
      </c>
      <c r="EF368" s="0"/>
      <c r="EG368" s="0" t="n">
        <v>1</v>
      </c>
      <c r="EH368" s="0" t="n">
        <v>39.5</v>
      </c>
      <c r="EI368" s="0" t="n">
        <f aca="false">IF(AND(DM368=1,DN368&lt;=48),"",IF(AND(DM368=2,DN368&lt;=42),"",IF(AND(DM368=3,DN368&lt;=45),"",EH368)))</f>
        <v>39.5</v>
      </c>
      <c r="EJ368" s="0" t="n">
        <f aca="false">IF(EI368="","",IF(EI368&lt;9,EI368,9))</f>
        <v>9</v>
      </c>
      <c r="EK368" s="0" t="n">
        <f aca="false">IF(EI368="","",IF(EI368&gt;9,EI368-EJ368,0))</f>
        <v>30.5</v>
      </c>
      <c r="EL368" s="0" t="n">
        <f aca="false">IF(EI368="","",EJ368*DA368*2+EK368*DA368*3)</f>
        <v>2463.75</v>
      </c>
      <c r="EP368" s="0" t="n">
        <v>0</v>
      </c>
      <c r="EQ368" s="0"/>
      <c r="ER368" s="0" t="n">
        <v>0</v>
      </c>
      <c r="ET368" s="0" t="n">
        <v>0</v>
      </c>
      <c r="EV368" s="0" t="n">
        <v>1</v>
      </c>
      <c r="EX368" s="0" t="n">
        <v>1</v>
      </c>
      <c r="EY368" s="0" t="n">
        <v>0</v>
      </c>
      <c r="EZ368" s="0"/>
      <c r="FA368" s="4" t="n">
        <v>360</v>
      </c>
      <c r="FB368" s="0" t="n">
        <v>0</v>
      </c>
      <c r="FF368" s="120" t="n">
        <f aca="false">(CJ368-CI368+1)/365</f>
        <v>0.136986301369863</v>
      </c>
      <c r="FG368" s="0" t="str">
        <f aca="false">CONCATENATE(F368,"/",G368)</f>
        <v>877/2011</v>
      </c>
      <c r="FH368" s="0" t="n">
        <v>0</v>
      </c>
      <c r="FI368" s="0" t="n">
        <v>0</v>
      </c>
    </row>
    <row r="369" customFormat="false" ht="15" hidden="false" customHeight="false" outlineLevel="0" collapsed="false">
      <c r="A369" s="5" t="str">
        <f aca="false">E369&amp;G369&amp;F369</f>
        <v>72011894</v>
      </c>
      <c r="B369" s="0" t="s">
        <v>3732</v>
      </c>
      <c r="C369" s="1" t="n">
        <v>42411</v>
      </c>
      <c r="E369" s="0" t="n">
        <v>7</v>
      </c>
      <c r="F369" s="0" t="n">
        <v>894</v>
      </c>
      <c r="G369" s="0" t="n">
        <v>2011</v>
      </c>
      <c r="H369" s="0" t="str">
        <f aca="false">"J"&amp;E369&amp;"\"&amp;F369&amp;"\"&amp;G369&amp;"\"&amp;W369</f>
        <v>J7\894\2011\1</v>
      </c>
      <c r="I369" s="0"/>
      <c r="J369" s="1" t="n">
        <v>40686</v>
      </c>
      <c r="K369" s="0" t="n">
        <v>0</v>
      </c>
      <c r="M369" s="1"/>
      <c r="N369" s="1"/>
      <c r="O369" s="1"/>
      <c r="P369" s="1"/>
      <c r="Q369" s="1"/>
      <c r="T369" s="121"/>
      <c r="U369" s="121"/>
      <c r="V369" s="122" t="n">
        <f aca="false">IF(AND(E369&gt;0,F369&gt;0,G369&gt;0),COUNTIFS($E:$E,E369,$F:$F,F369,$G:$G,G369),"")</f>
        <v>1</v>
      </c>
      <c r="W369" s="122" t="n">
        <f aca="false">IF(V369="","",IF(V369=1,1,IF(AND(E368=E369,F368=F369,G368=G369),W368+1,1)))</f>
        <v>1</v>
      </c>
      <c r="X369" s="0" t="n">
        <v>1</v>
      </c>
      <c r="Y369" s="0" t="n">
        <v>7</v>
      </c>
      <c r="Z369" s="0" t="s">
        <v>3806</v>
      </c>
      <c r="AA369" s="0" t="n">
        <v>0</v>
      </c>
      <c r="AB369" s="0" t="s">
        <v>3807</v>
      </c>
      <c r="AC369" s="0" t="s">
        <v>789</v>
      </c>
      <c r="AD369" s="0" t="s">
        <v>229</v>
      </c>
      <c r="AE369" s="0" t="n">
        <v>0</v>
      </c>
      <c r="AF369" s="0" t="s">
        <v>422</v>
      </c>
      <c r="AG369" s="0" t="n">
        <v>0</v>
      </c>
      <c r="AH369" s="0" t="s">
        <v>3808</v>
      </c>
      <c r="AI369" s="0" t="s">
        <v>3809</v>
      </c>
      <c r="AJ369" s="0" t="s">
        <v>411</v>
      </c>
      <c r="AL369" s="0" t="s">
        <v>3810</v>
      </c>
      <c r="AM369" s="0" t="n">
        <v>0</v>
      </c>
      <c r="AN369" s="0" t="s">
        <v>3808</v>
      </c>
      <c r="AO369" s="0" t="s">
        <v>3809</v>
      </c>
      <c r="AP369" s="0" t="s">
        <v>411</v>
      </c>
      <c r="AR369" s="0" t="s">
        <v>3811</v>
      </c>
      <c r="AS369" s="0" t="n">
        <v>0</v>
      </c>
      <c r="AT369" s="0" t="s">
        <v>3808</v>
      </c>
      <c r="AU369" s="0" t="s">
        <v>3809</v>
      </c>
      <c r="AV369" s="0" t="s">
        <v>411</v>
      </c>
      <c r="AX369" s="0" t="s">
        <v>3812</v>
      </c>
      <c r="AY369" s="0" t="n">
        <v>1</v>
      </c>
      <c r="AZ369" s="0" t="s">
        <v>3808</v>
      </c>
      <c r="BA369" s="0" t="s">
        <v>3809</v>
      </c>
      <c r="BB369" s="0" t="s">
        <v>411</v>
      </c>
      <c r="BD369" s="0" t="s">
        <v>3813</v>
      </c>
      <c r="BE369" s="0" t="n">
        <v>1</v>
      </c>
      <c r="BF369" s="0" t="s">
        <v>3808</v>
      </c>
      <c r="BG369" s="0" t="s">
        <v>3809</v>
      </c>
      <c r="BH369" s="0" t="s">
        <v>411</v>
      </c>
      <c r="BJ369" s="0" t="s">
        <v>3814</v>
      </c>
      <c r="BK369" s="0" t="n">
        <v>1</v>
      </c>
      <c r="BL369" s="0" t="s">
        <v>3808</v>
      </c>
      <c r="BM369" s="0" t="s">
        <v>3809</v>
      </c>
      <c r="BN369" s="0" t="s">
        <v>411</v>
      </c>
      <c r="BP369" s="0" t="n">
        <v>0</v>
      </c>
      <c r="BQ369" s="0" t="n">
        <v>0</v>
      </c>
      <c r="BR369" s="0" t="n">
        <v>1</v>
      </c>
      <c r="BS369" s="0" t="s">
        <v>3815</v>
      </c>
      <c r="BT369" s="0" t="s">
        <v>3816</v>
      </c>
      <c r="BU369" s="0" t="s">
        <v>3817</v>
      </c>
      <c r="BV369" s="123"/>
      <c r="BW369" s="123"/>
      <c r="BX369" s="123"/>
      <c r="BY369" s="123"/>
      <c r="BZ369" s="0" t="n">
        <v>0</v>
      </c>
      <c r="CA369" s="0" t="s">
        <v>3818</v>
      </c>
      <c r="CD369" s="0" t="s">
        <v>502</v>
      </c>
      <c r="CE369" s="0" t="n">
        <v>0</v>
      </c>
      <c r="CF369" s="0" t="s">
        <v>3819</v>
      </c>
      <c r="CI369" s="1" t="n">
        <v>39928</v>
      </c>
      <c r="CJ369" s="1" t="n">
        <v>40672</v>
      </c>
      <c r="CK369" s="124" t="n">
        <v>0.458333333333333</v>
      </c>
      <c r="CL369" s="0" t="s">
        <v>3820</v>
      </c>
      <c r="CM369" s="0" t="n">
        <f aca="false">IF(OR(CI369="",CJ369=""),"",DAYS360(CI369,CJ369)/360)</f>
        <v>2.03888888888889</v>
      </c>
      <c r="CN369" s="0" t="n">
        <f aca="false">IF(OR(CI369="",CJ369=""),"",DAYS360(CI369,CJ369)/30)</f>
        <v>24.4666666666667</v>
      </c>
      <c r="CO369" s="0" t="n">
        <f aca="false">IF(OR(CI369="",CJ369=""),"",DAYS360(CI369,CJ369)/7)</f>
        <v>104.857142857143</v>
      </c>
      <c r="CP369" s="0" t="n">
        <f aca="false">IF(OR(CI369="",CJ369=""),"",DAYS360(CI369,CJ369))</f>
        <v>734</v>
      </c>
      <c r="CQ369" s="0" t="s">
        <v>240</v>
      </c>
      <c r="CR369" s="0" t="n">
        <v>1</v>
      </c>
      <c r="CT369" s="0" t="s">
        <v>221</v>
      </c>
      <c r="CU369" s="0" t="s">
        <v>221</v>
      </c>
      <c r="CV369" s="0" t="str">
        <f aca="false">IF(OR(CT369="",CT369="NO ESPECIFICA",CT369="NO MENCIONA"),"",IF(CU369=0,CT369,IF(CU369=1,CT369/30,IF(CU369=2,CT369/15,IF(CU369=3,CT369/7,"")))))</f>
        <v/>
      </c>
      <c r="CW369" s="125" t="n">
        <v>16000</v>
      </c>
      <c r="CX369" s="0" t="n">
        <v>1</v>
      </c>
      <c r="CY369" s="0" t="n">
        <f aca="false">IF(CW369="","",IF(CX369=0,CW369,IF(CX369=1,CW369/30,IF(CX369=2,CW369/15,IF(CX369=3,CW369/7,CW369)))))</f>
        <v>533.333333333333</v>
      </c>
      <c r="CZ369" s="0" t="n">
        <f aca="false">IF(DI369&gt;0,DI369,IF(CY369&gt;0,CY369,IF(CV369&gt;0,CV369,"")))</f>
        <v>533.33</v>
      </c>
      <c r="DA369" s="0" t="n">
        <f aca="false">IF(DM369=1,CZ369/8,IF(OR(DM369=2,DM369=4),CZ369/7,IF(DM369=3,CZ369/7.5,"")))</f>
        <v>66.66625</v>
      </c>
      <c r="DB369" s="0" t="s">
        <v>216</v>
      </c>
      <c r="DC369" s="0" t="s">
        <v>216</v>
      </c>
      <c r="DD369" s="0" t="s">
        <v>216</v>
      </c>
      <c r="DE369" s="0" t="s">
        <v>216</v>
      </c>
      <c r="DF369" s="0" t="s">
        <v>216</v>
      </c>
      <c r="DG369" s="0" t="s">
        <v>216</v>
      </c>
      <c r="DH369" s="0" t="n">
        <v>0</v>
      </c>
      <c r="DI369" s="126" t="n">
        <v>533.33</v>
      </c>
      <c r="DK369" s="0" t="n">
        <v>0</v>
      </c>
      <c r="DM369" s="0" t="n">
        <v>1</v>
      </c>
      <c r="DN369" s="0" t="s">
        <v>221</v>
      </c>
      <c r="DP369" s="0" t="n">
        <v>0</v>
      </c>
      <c r="DQ369" s="0" t="n">
        <v>1</v>
      </c>
      <c r="DR369" s="0"/>
      <c r="DS369" s="0" t="n">
        <v>1</v>
      </c>
      <c r="DU369" s="0" t="n">
        <v>1</v>
      </c>
      <c r="DW369" s="1" t="n">
        <v>39928</v>
      </c>
      <c r="DX369" s="1" t="n">
        <v>40672</v>
      </c>
      <c r="DZ369" s="0"/>
      <c r="EA369" s="0" t="n">
        <v>1</v>
      </c>
      <c r="EC369" s="1" t="n">
        <v>39928</v>
      </c>
      <c r="ED369" s="1" t="n">
        <v>40672</v>
      </c>
      <c r="EF369" s="0"/>
      <c r="EG369" s="0" t="n">
        <v>0</v>
      </c>
      <c r="EI369" s="0" t="n">
        <f aca="false">IF(AND(DM369=1,DN369&lt;=48),"",IF(AND(DM369=2,DN369&lt;=42),"",IF(AND(DM369=3,DN369&lt;=45),"",EH369)))</f>
        <v>0</v>
      </c>
      <c r="EJ369" s="0" t="str">
        <f aca="false">IF(EI369="","",IF(EI369&lt;9,EI369,9))</f>
        <v/>
      </c>
      <c r="EK369" s="0" t="str">
        <f aca="false">IF(EI369="","",IF(EI369&gt;9,EI369-EJ369,0))</f>
        <v/>
      </c>
      <c r="EL369" s="0" t="str">
        <f aca="false">IF(EI369="","",EJ369*DA369*2+EK369*DA369*3)</f>
        <v/>
      </c>
      <c r="EP369" s="0" t="n">
        <v>0</v>
      </c>
      <c r="EQ369" s="0"/>
      <c r="ER369" s="0" t="n">
        <v>1</v>
      </c>
      <c r="ET369" s="0" t="n">
        <v>1</v>
      </c>
      <c r="EV369" s="0" t="n">
        <v>1</v>
      </c>
      <c r="EX369" s="0" t="n">
        <v>1</v>
      </c>
      <c r="EY369" s="0" t="n">
        <v>0</v>
      </c>
      <c r="EZ369" s="0"/>
      <c r="FA369" s="0"/>
      <c r="FB369" s="0" t="n">
        <v>0</v>
      </c>
      <c r="FF369" s="120" t="n">
        <f aca="false">(CJ369-CI369+1)/365</f>
        <v>2.04109589041096</v>
      </c>
      <c r="FG369" s="0" t="str">
        <f aca="false">CONCATENATE(F369,"/",G369)</f>
        <v>894/2011</v>
      </c>
      <c r="FH369" s="0" t="n">
        <v>0</v>
      </c>
      <c r="FI369" s="0" t="n">
        <v>0</v>
      </c>
    </row>
    <row r="370" customFormat="false" ht="15" hidden="false" customHeight="false" outlineLevel="0" collapsed="false">
      <c r="A370" s="5" t="str">
        <f aca="false">E370&amp;G370&amp;F370</f>
        <v>72011897</v>
      </c>
      <c r="B370" s="0" t="s">
        <v>3732</v>
      </c>
      <c r="C370" s="1" t="n">
        <v>42411</v>
      </c>
      <c r="D370" s="0" t="s">
        <v>1856</v>
      </c>
      <c r="E370" s="0" t="n">
        <v>7</v>
      </c>
      <c r="F370" s="0" t="n">
        <v>897</v>
      </c>
      <c r="G370" s="0" t="n">
        <v>2011</v>
      </c>
      <c r="H370" s="0" t="str">
        <f aca="false">"J"&amp;E370&amp;"\"&amp;F370&amp;"\"&amp;G370&amp;"\"&amp;W370</f>
        <v>J7\897\2011\1</v>
      </c>
      <c r="I370" s="0"/>
      <c r="J370" s="1" t="n">
        <v>40686</v>
      </c>
      <c r="K370" s="0" t="n">
        <v>0</v>
      </c>
      <c r="M370" s="1"/>
      <c r="N370" s="1"/>
      <c r="O370" s="1"/>
      <c r="P370" s="1"/>
      <c r="Q370" s="1"/>
      <c r="T370" s="121"/>
      <c r="U370" s="121"/>
      <c r="V370" s="122" t="n">
        <f aca="false">IF(AND(E370&gt;0,F370&gt;0,G370&gt;0),COUNTIFS($E:$E,E370,$F:$F,F370,$G:$G,G370),"")</f>
        <v>1</v>
      </c>
      <c r="W370" s="122" t="n">
        <f aca="false">IF(V370="","",IF(V370=1,1,IF(AND(E369=E370,F369=F370,G369=G370),W369+1,1)))</f>
        <v>1</v>
      </c>
      <c r="X370" s="0" t="n">
        <v>1</v>
      </c>
      <c r="Y370" s="0" t="n">
        <v>5</v>
      </c>
      <c r="Z370" s="0" t="s">
        <v>3821</v>
      </c>
      <c r="AA370" s="0" t="n">
        <v>0</v>
      </c>
      <c r="AB370" s="0" t="s">
        <v>3822</v>
      </c>
      <c r="AC370" s="0" t="s">
        <v>2740</v>
      </c>
      <c r="AD370" s="0" t="s">
        <v>207</v>
      </c>
      <c r="AE370" s="0" t="n">
        <v>0</v>
      </c>
      <c r="AF370" s="0" t="s">
        <v>3823</v>
      </c>
      <c r="AG370" s="0" t="n">
        <v>1</v>
      </c>
      <c r="AH370" s="0" t="s">
        <v>3824</v>
      </c>
      <c r="AI370" s="0" t="s">
        <v>3825</v>
      </c>
      <c r="AJ370" s="0" t="s">
        <v>211</v>
      </c>
      <c r="AL370" s="0" t="s">
        <v>3826</v>
      </c>
      <c r="AM370" s="0" t="n">
        <v>1</v>
      </c>
      <c r="AN370" s="0" t="s">
        <v>3824</v>
      </c>
      <c r="AO370" s="0" t="s">
        <v>3825</v>
      </c>
      <c r="AP370" s="0" t="s">
        <v>211</v>
      </c>
      <c r="AR370" s="0" t="s">
        <v>3827</v>
      </c>
      <c r="AS370" s="0" t="n">
        <v>2</v>
      </c>
      <c r="AT370" s="0" t="s">
        <v>3824</v>
      </c>
      <c r="AU370" s="0" t="s">
        <v>3825</v>
      </c>
      <c r="AV370" s="0" t="s">
        <v>211</v>
      </c>
      <c r="AX370" s="0" t="s">
        <v>3828</v>
      </c>
      <c r="AY370" s="0" t="n">
        <v>2</v>
      </c>
      <c r="AZ370" s="0" t="s">
        <v>3824</v>
      </c>
      <c r="BA370" s="0" t="s">
        <v>3825</v>
      </c>
      <c r="BB370" s="0" t="s">
        <v>211</v>
      </c>
      <c r="BD370" s="0" t="s">
        <v>1637</v>
      </c>
      <c r="BE370" s="0" t="n">
        <v>1</v>
      </c>
      <c r="BF370" s="0" t="s">
        <v>3824</v>
      </c>
      <c r="BG370" s="0" t="s">
        <v>3825</v>
      </c>
      <c r="BH370" s="0" t="s">
        <v>211</v>
      </c>
      <c r="BP370" s="0" t="n">
        <v>0</v>
      </c>
      <c r="BQ370" s="0" t="n">
        <v>0</v>
      </c>
      <c r="BR370" s="0" t="n">
        <v>1</v>
      </c>
      <c r="BS370" s="0" t="s">
        <v>3829</v>
      </c>
      <c r="BT370" s="0" t="s">
        <v>3830</v>
      </c>
      <c r="BU370" s="0" t="s">
        <v>3831</v>
      </c>
      <c r="BV370" s="123"/>
      <c r="BW370" s="123"/>
      <c r="BX370" s="123"/>
      <c r="BY370" s="123"/>
      <c r="BZ370" s="0" t="n">
        <v>0</v>
      </c>
      <c r="CA370" s="0" t="s">
        <v>216</v>
      </c>
      <c r="CD370" s="0" t="s">
        <v>256</v>
      </c>
      <c r="CE370" s="0" t="n">
        <v>0</v>
      </c>
      <c r="CF370" s="0" t="s">
        <v>3743</v>
      </c>
      <c r="CI370" s="1" t="n">
        <v>40219</v>
      </c>
      <c r="CJ370" s="1" t="n">
        <v>40640</v>
      </c>
      <c r="CK370" s="124" t="n">
        <v>0.708333333333333</v>
      </c>
      <c r="CL370" s="0" t="s">
        <v>3832</v>
      </c>
      <c r="CM370" s="0" t="n">
        <f aca="false">IF(OR(CI370="",CJ370=""),"",DAYS360(CI370,CJ370)/360)</f>
        <v>1.15833333333333</v>
      </c>
      <c r="CN370" s="0" t="n">
        <f aca="false">IF(OR(CI370="",CJ370=""),"",DAYS360(CI370,CJ370)/30)</f>
        <v>13.9</v>
      </c>
      <c r="CO370" s="0" t="n">
        <f aca="false">IF(OR(CI370="",CJ370=""),"",DAYS360(CI370,CJ370)/7)</f>
        <v>59.5714285714286</v>
      </c>
      <c r="CP370" s="0" t="n">
        <f aca="false">IF(OR(CI370="",CJ370=""),"",DAYS360(CI370,CJ370))</f>
        <v>417</v>
      </c>
      <c r="CQ370" s="0" t="s">
        <v>240</v>
      </c>
      <c r="CR370" s="0" t="n">
        <v>1</v>
      </c>
      <c r="CT370" s="0" t="s">
        <v>221</v>
      </c>
      <c r="CU370" s="0" t="s">
        <v>221</v>
      </c>
      <c r="CV370" s="0" t="str">
        <f aca="false">IF(OR(CT370="",CT370="NO ESPECIFICA",CT370="NO MENCIONA"),"",IF(CU370=0,CT370,IF(CU370=1,CT370/30,IF(CU370=2,CT370/15,IF(CU370=3,CT370/7,"")))))</f>
        <v/>
      </c>
      <c r="CW370" s="125" t="n">
        <v>450</v>
      </c>
      <c r="CX370" s="0" t="n">
        <v>0</v>
      </c>
      <c r="CY370" s="0" t="n">
        <f aca="false">IF(CW370="","",IF(CX370=0,CW370,IF(CX370=1,CW370/30,IF(CX370=2,CW370/15,IF(CX370=3,CW370/7,CW370)))))</f>
        <v>450</v>
      </c>
      <c r="CZ370" s="0" t="n">
        <f aca="false">IF(DI370&gt;0,DI370,IF(CY370&gt;0,CY370,IF(CV370&gt;0,CV370,"")))</f>
        <v>450</v>
      </c>
      <c r="DA370" s="0" t="n">
        <f aca="false">IF(DM370=1,CZ370/8,IF(OR(DM370=2,DM370=4),CZ370/7,IF(DM370=3,CZ370/7.5,"")))</f>
        <v>56.25</v>
      </c>
      <c r="DB370" s="0" t="s">
        <v>216</v>
      </c>
      <c r="DC370" s="0" t="s">
        <v>216</v>
      </c>
      <c r="DD370" s="0" t="s">
        <v>216</v>
      </c>
      <c r="DE370" s="0" t="s">
        <v>216</v>
      </c>
      <c r="DF370" s="0" t="s">
        <v>216</v>
      </c>
      <c r="DG370" s="0" t="s">
        <v>216</v>
      </c>
      <c r="DH370" s="0" t="n">
        <v>0</v>
      </c>
      <c r="DI370" s="126" t="n">
        <v>450</v>
      </c>
      <c r="DK370" s="0" t="n">
        <v>0</v>
      </c>
      <c r="DM370" s="0" t="n">
        <v>1</v>
      </c>
      <c r="DN370" s="0" t="n">
        <v>66</v>
      </c>
      <c r="DO370" s="0" t="n">
        <v>3</v>
      </c>
      <c r="DP370" s="0" t="n">
        <v>0</v>
      </c>
      <c r="DQ370" s="0" t="n">
        <v>1</v>
      </c>
      <c r="DR370" s="0"/>
      <c r="DS370" s="0" t="n">
        <v>1</v>
      </c>
      <c r="DU370" s="0" t="n">
        <v>1</v>
      </c>
      <c r="DW370" s="1" t="s">
        <v>221</v>
      </c>
      <c r="DX370" s="1" t="s">
        <v>221</v>
      </c>
      <c r="DY370" s="0" t="s">
        <v>221</v>
      </c>
      <c r="DZ370" s="0" t="s">
        <v>221</v>
      </c>
      <c r="EA370" s="0" t="n">
        <v>1</v>
      </c>
      <c r="EC370" s="1" t="n">
        <v>40219</v>
      </c>
      <c r="ED370" s="1" t="n">
        <v>40640</v>
      </c>
      <c r="EF370" s="0"/>
      <c r="EG370" s="0" t="n">
        <v>1</v>
      </c>
      <c r="EH370" s="0" t="n">
        <v>18</v>
      </c>
      <c r="EI370" s="0" t="n">
        <f aca="false">IF(AND(DM370=1,DN370&lt;=48),"",IF(AND(DM370=2,DN370&lt;=42),"",IF(AND(DM370=3,DN370&lt;=45),"",EH370)))</f>
        <v>18</v>
      </c>
      <c r="EJ370" s="0" t="n">
        <f aca="false">IF(EI370="","",IF(EI370&lt;9,EI370,9))</f>
        <v>9</v>
      </c>
      <c r="EK370" s="0" t="n">
        <f aca="false">IF(EI370="","",IF(EI370&gt;9,EI370-EJ370,0))</f>
        <v>9</v>
      </c>
      <c r="EL370" s="0" t="n">
        <f aca="false">IF(EI370="","",EJ370*DA370*2+EK370*DA370*3)</f>
        <v>2531.25</v>
      </c>
      <c r="EP370" s="0" t="n">
        <v>0</v>
      </c>
      <c r="EQ370" s="0"/>
      <c r="ER370" s="0" t="n">
        <v>0</v>
      </c>
      <c r="ET370" s="0" t="n">
        <v>0</v>
      </c>
      <c r="EV370" s="0" t="n">
        <v>0</v>
      </c>
      <c r="EX370" s="0" t="n">
        <v>0</v>
      </c>
      <c r="EY370" s="0" t="n">
        <v>0</v>
      </c>
      <c r="EZ370" s="0"/>
      <c r="FA370" s="4" t="n">
        <v>31050</v>
      </c>
      <c r="FB370" s="0" t="n">
        <v>0</v>
      </c>
      <c r="FF370" s="120" t="n">
        <f aca="false">(CJ370-CI370+1)/365</f>
        <v>1.15616438356164</v>
      </c>
      <c r="FG370" s="0" t="str">
        <f aca="false">CONCATENATE(F370,"/",G370)</f>
        <v>897/2011</v>
      </c>
      <c r="FH370" s="0" t="n">
        <v>0</v>
      </c>
      <c r="FI370" s="0" t="n">
        <v>0</v>
      </c>
    </row>
    <row r="371" customFormat="false" ht="15" hidden="false" customHeight="false" outlineLevel="0" collapsed="false">
      <c r="A371" s="5" t="str">
        <f aca="false">E371&amp;G371&amp;F371</f>
        <v>72011902</v>
      </c>
      <c r="B371" s="0" t="s">
        <v>3732</v>
      </c>
      <c r="C371" s="1" t="n">
        <v>42411</v>
      </c>
      <c r="E371" s="0" t="n">
        <v>7</v>
      </c>
      <c r="F371" s="0" t="n">
        <v>902</v>
      </c>
      <c r="G371" s="0" t="n">
        <v>2011</v>
      </c>
      <c r="H371" s="0" t="str">
        <f aca="false">"J"&amp;E371&amp;"\"&amp;F371&amp;"\"&amp;G371&amp;"\"&amp;W371</f>
        <v>J7\902\2011\1</v>
      </c>
      <c r="I371" s="0"/>
      <c r="J371" s="1" t="n">
        <v>40687</v>
      </c>
      <c r="K371" s="0" t="n">
        <v>0</v>
      </c>
      <c r="M371" s="1" t="n">
        <v>40687</v>
      </c>
      <c r="N371" s="1" t="n">
        <v>40834</v>
      </c>
      <c r="O371" s="1"/>
      <c r="P371" s="1"/>
      <c r="Q371" s="1"/>
      <c r="T371" s="121"/>
      <c r="U371" s="121"/>
      <c r="V371" s="122" t="n">
        <f aca="false">IF(AND(E371&gt;0,F371&gt;0,G371&gt;0),COUNTIFS($E:$E,E371,$F:$F,F371,$G:$G,G371),"")</f>
        <v>1</v>
      </c>
      <c r="W371" s="122" t="n">
        <f aca="false">IF(V371="","",IF(V371=1,1,IF(AND(E370=E371,F370=F371,G370=G371),W370+1,1)))</f>
        <v>1</v>
      </c>
      <c r="X371" s="0" t="n">
        <v>1</v>
      </c>
      <c r="Y371" s="0" t="n">
        <v>4</v>
      </c>
      <c r="Z371" s="0" t="s">
        <v>3833</v>
      </c>
      <c r="AA371" s="0" t="n">
        <v>0</v>
      </c>
      <c r="AB371" s="0" t="s">
        <v>1923</v>
      </c>
      <c r="AC371" s="0" t="s">
        <v>228</v>
      </c>
      <c r="AD371" s="0" t="s">
        <v>229</v>
      </c>
      <c r="AE371" s="0" t="n">
        <v>0</v>
      </c>
      <c r="AF371" s="0" t="s">
        <v>3834</v>
      </c>
      <c r="AG371" s="0" t="n">
        <v>0</v>
      </c>
      <c r="AH371" s="0" t="s">
        <v>3835</v>
      </c>
      <c r="AI371" s="0" t="s">
        <v>598</v>
      </c>
      <c r="AJ371" s="0" t="s">
        <v>411</v>
      </c>
      <c r="AL371" s="0" t="s">
        <v>3836</v>
      </c>
      <c r="AM371" s="0" t="n">
        <v>1</v>
      </c>
      <c r="AN371" s="0" t="s">
        <v>3835</v>
      </c>
      <c r="AO371" s="0" t="s">
        <v>598</v>
      </c>
      <c r="AP371" s="0" t="s">
        <v>411</v>
      </c>
      <c r="AR371" s="0" t="s">
        <v>3837</v>
      </c>
      <c r="AS371" s="0" t="n">
        <v>1</v>
      </c>
      <c r="AT371" s="0" t="s">
        <v>3835</v>
      </c>
      <c r="AU371" s="0" t="s">
        <v>598</v>
      </c>
      <c r="AV371" s="0" t="s">
        <v>411</v>
      </c>
      <c r="AX371" s="0" t="s">
        <v>1637</v>
      </c>
      <c r="AY371" s="0" t="n">
        <v>1</v>
      </c>
      <c r="AZ371" s="0" t="s">
        <v>3835</v>
      </c>
      <c r="BA371" s="0" t="s">
        <v>598</v>
      </c>
      <c r="BB371" s="0" t="s">
        <v>411</v>
      </c>
      <c r="BP371" s="0" t="n">
        <v>0</v>
      </c>
      <c r="BQ371" s="0" t="n">
        <v>0</v>
      </c>
      <c r="BR371" s="0" t="n">
        <v>3</v>
      </c>
      <c r="BS371" s="0" t="s">
        <v>651</v>
      </c>
      <c r="BT371" s="0" t="s">
        <v>1818</v>
      </c>
      <c r="BU371" s="0" t="s">
        <v>501</v>
      </c>
      <c r="BV371" s="123"/>
      <c r="BW371" s="123"/>
      <c r="BX371" s="123"/>
      <c r="BY371" s="123"/>
      <c r="BZ371" s="0" t="n">
        <v>0</v>
      </c>
      <c r="CA371" s="0" t="s">
        <v>348</v>
      </c>
      <c r="CD371" s="0" t="s">
        <v>296</v>
      </c>
      <c r="CE371" s="0" t="n">
        <v>0</v>
      </c>
      <c r="CF371" s="0" t="s">
        <v>3838</v>
      </c>
      <c r="CI371" s="1" t="n">
        <v>38317</v>
      </c>
      <c r="CJ371" s="1" t="n">
        <v>40626</v>
      </c>
      <c r="CK371" s="124" t="n">
        <v>0.708333333333333</v>
      </c>
      <c r="CL371" s="0" t="s">
        <v>3839</v>
      </c>
      <c r="CM371" s="0" t="n">
        <f aca="false">IF(OR(CI371="",CJ371=""),"",DAYS360(CI371,CJ371)/360)</f>
        <v>6.32777777777778</v>
      </c>
      <c r="CN371" s="0" t="n">
        <f aca="false">IF(OR(CI371="",CJ371=""),"",DAYS360(CI371,CJ371)/30)</f>
        <v>75.9333333333333</v>
      </c>
      <c r="CO371" s="0" t="n">
        <f aca="false">IF(OR(CI371="",CJ371=""),"",DAYS360(CI371,CJ371)/7)</f>
        <v>325.428571428571</v>
      </c>
      <c r="CP371" s="0" t="n">
        <f aca="false">IF(OR(CI371="",CJ371=""),"",DAYS360(CI371,CJ371))</f>
        <v>2278</v>
      </c>
      <c r="CQ371" s="0" t="s">
        <v>220</v>
      </c>
      <c r="CR371" s="0" t="n">
        <v>1</v>
      </c>
      <c r="CT371" s="0" t="n">
        <v>400</v>
      </c>
      <c r="CU371" s="0" t="n">
        <v>0</v>
      </c>
      <c r="CV371" s="0" t="n">
        <f aca="false">IF(OR(CT371="",CT371="NO ESPECIFICA",CT371="NO MENCIONA"),"",IF(CU371=0,CT371,IF(CU371=1,CT371/30,IF(CU371=2,CT371/15,IF(CU371=3,CT371/7,"")))))</f>
        <v>400</v>
      </c>
      <c r="CW371" s="125" t="n">
        <v>418.08</v>
      </c>
      <c r="CX371" s="0" t="n">
        <v>0</v>
      </c>
      <c r="CY371" s="0" t="n">
        <f aca="false">IF(CW371="","",IF(CX371=0,CW371,IF(CX371=1,CW371/30,IF(CX371=2,CW371/15,IF(CX371=3,CW371/7,CW371)))))</f>
        <v>418.08</v>
      </c>
      <c r="CZ371" s="0" t="n">
        <f aca="false">IF(DI371&gt;0,DI371,IF(CY371&gt;0,CY371,IF(CV371&gt;0,CV371,"")))</f>
        <v>418.08</v>
      </c>
      <c r="DA371" s="0" t="n">
        <f aca="false">IF(DM371=1,CZ371/8,IF(OR(DM371=2,DM371=4),CZ371/7,IF(DM371=3,CZ371/7.5,"")))</f>
        <v>52.26</v>
      </c>
      <c r="DB371" s="0" t="s">
        <v>1935</v>
      </c>
      <c r="DC371" s="0" t="s">
        <v>301</v>
      </c>
      <c r="DD371" s="0" t="s">
        <v>216</v>
      </c>
      <c r="DE371" s="0" t="s">
        <v>216</v>
      </c>
      <c r="DF371" s="0" t="s">
        <v>216</v>
      </c>
      <c r="DG371" s="0" t="s">
        <v>216</v>
      </c>
      <c r="DH371" s="0" t="n">
        <v>0</v>
      </c>
      <c r="DI371" s="126" t="n">
        <v>418.08</v>
      </c>
      <c r="DK371" s="0" t="n">
        <v>0</v>
      </c>
      <c r="DM371" s="0" t="n">
        <v>1</v>
      </c>
      <c r="DN371" s="0" t="n">
        <v>84</v>
      </c>
      <c r="DO371" s="0" t="n">
        <v>3</v>
      </c>
      <c r="DP371" s="0" t="n">
        <v>1</v>
      </c>
      <c r="DQ371" s="0" t="n">
        <v>1</v>
      </c>
      <c r="DR371" s="0"/>
      <c r="DS371" s="0" t="n">
        <v>1</v>
      </c>
      <c r="DU371" s="0" t="n">
        <v>1</v>
      </c>
      <c r="DW371" s="1" t="n">
        <v>40508</v>
      </c>
      <c r="DX371" s="1" t="n">
        <v>40626</v>
      </c>
      <c r="DZ371" s="0"/>
      <c r="EA371" s="0" t="n">
        <v>1</v>
      </c>
      <c r="EC371" s="1" t="n">
        <v>40179</v>
      </c>
      <c r="ED371" s="1" t="n">
        <v>40626</v>
      </c>
      <c r="EF371" s="0"/>
      <c r="EG371" s="0" t="n">
        <v>0</v>
      </c>
      <c r="EI371" s="0" t="n">
        <f aca="false">IF(AND(DM371=1,DN371&lt;=48),"",IF(AND(DM371=2,DN371&lt;=42),"",IF(AND(DM371=3,DN371&lt;=45),"",EH371)))</f>
        <v>0</v>
      </c>
      <c r="EJ371" s="0" t="str">
        <f aca="false">IF(EI371="","",IF(EI371&lt;9,EI371,9))</f>
        <v/>
      </c>
      <c r="EK371" s="0" t="str">
        <f aca="false">IF(EI371="","",IF(EI371&gt;9,EI371-EJ371,0))</f>
        <v/>
      </c>
      <c r="EL371" s="0" t="str">
        <f aca="false">IF(EI371="","",EJ371*DA371*2+EK371*DA371*3)</f>
        <v/>
      </c>
      <c r="EP371" s="0" t="n">
        <v>0</v>
      </c>
      <c r="EQ371" s="0"/>
      <c r="ER371" s="0" t="n">
        <v>0</v>
      </c>
      <c r="ET371" s="0" t="n">
        <v>0</v>
      </c>
      <c r="EV371" s="0" t="n">
        <v>0</v>
      </c>
      <c r="EX371" s="0" t="n">
        <v>0</v>
      </c>
      <c r="EY371" s="0" t="n">
        <v>0</v>
      </c>
      <c r="EZ371" s="0"/>
      <c r="FA371" s="0"/>
      <c r="FB371" s="0" t="n">
        <v>1</v>
      </c>
      <c r="FF371" s="120" t="n">
        <f aca="false">(CJ371-CI371+1)/365</f>
        <v>6.32876712328767</v>
      </c>
      <c r="FG371" s="0" t="str">
        <f aca="false">CONCATENATE(F371,"/",G371)</f>
        <v>902/2011</v>
      </c>
      <c r="FH371" s="0" t="n">
        <v>0</v>
      </c>
      <c r="FI371" s="0" t="n">
        <v>0</v>
      </c>
    </row>
    <row r="372" customFormat="false" ht="15" hidden="false" customHeight="false" outlineLevel="0" collapsed="false">
      <c r="A372" s="5" t="str">
        <f aca="false">E372&amp;G372&amp;F372</f>
        <v>72011903</v>
      </c>
      <c r="B372" s="0" t="s">
        <v>3732</v>
      </c>
      <c r="C372" s="1" t="n">
        <v>42411</v>
      </c>
      <c r="D372" s="0" t="s">
        <v>3840</v>
      </c>
      <c r="E372" s="0" t="n">
        <v>7</v>
      </c>
      <c r="F372" s="0" t="n">
        <v>903</v>
      </c>
      <c r="G372" s="0" t="n">
        <v>2011</v>
      </c>
      <c r="H372" s="0" t="str">
        <f aca="false">"J"&amp;E372&amp;"\"&amp;F372&amp;"\"&amp;G372&amp;"\"&amp;W372</f>
        <v>J7\903\2011\1</v>
      </c>
      <c r="I372" s="0"/>
      <c r="J372" s="1" t="n">
        <v>40687</v>
      </c>
      <c r="K372" s="0" t="n">
        <v>0</v>
      </c>
      <c r="M372" s="1"/>
      <c r="N372" s="1"/>
      <c r="O372" s="1"/>
      <c r="P372" s="1"/>
      <c r="Q372" s="1"/>
      <c r="T372" s="121"/>
      <c r="U372" s="121"/>
      <c r="V372" s="122" t="n">
        <f aca="false">IF(AND(E372&gt;0,F372&gt;0,G372&gt;0),COUNTIFS($E:$E,E372,$F:$F,F372,$G:$G,G372),"")</f>
        <v>1</v>
      </c>
      <c r="W372" s="122" t="n">
        <f aca="false">IF(V372="","",IF(V372=1,1,IF(AND(E371=E372,F371=F372,G371=G372),W371+1,1)))</f>
        <v>1</v>
      </c>
      <c r="X372" s="0" t="n">
        <v>1</v>
      </c>
      <c r="Y372" s="0" t="n">
        <v>5</v>
      </c>
      <c r="Z372" s="0" t="s">
        <v>3841</v>
      </c>
      <c r="AA372" s="0" t="n">
        <v>0</v>
      </c>
      <c r="AB372" s="0" t="s">
        <v>3842</v>
      </c>
      <c r="AC372" s="0" t="s">
        <v>318</v>
      </c>
      <c r="AD372" s="0" t="s">
        <v>229</v>
      </c>
      <c r="AE372" s="0" t="n">
        <v>0</v>
      </c>
      <c r="AF372" s="0" t="s">
        <v>3843</v>
      </c>
      <c r="AG372" s="0" t="n">
        <v>0</v>
      </c>
      <c r="AH372" s="0" t="s">
        <v>3844</v>
      </c>
      <c r="AI372" s="0" t="s">
        <v>3845</v>
      </c>
      <c r="AJ372" s="0" t="s">
        <v>411</v>
      </c>
      <c r="AL372" s="0" t="s">
        <v>3846</v>
      </c>
      <c r="AM372" s="0" t="n">
        <v>1</v>
      </c>
      <c r="AN372" s="0" t="s">
        <v>3844</v>
      </c>
      <c r="AO372" s="0" t="s">
        <v>3845</v>
      </c>
      <c r="AP372" s="0" t="s">
        <v>411</v>
      </c>
      <c r="AR372" s="0" t="s">
        <v>3847</v>
      </c>
      <c r="AS372" s="0" t="n">
        <v>1</v>
      </c>
      <c r="AT372" s="0" t="s">
        <v>3844</v>
      </c>
      <c r="AU372" s="0" t="s">
        <v>3845</v>
      </c>
      <c r="AV372" s="0" t="s">
        <v>411</v>
      </c>
      <c r="AX372" s="0" t="s">
        <v>3848</v>
      </c>
      <c r="AY372" s="0" t="n">
        <v>1</v>
      </c>
      <c r="AZ372" s="0" t="s">
        <v>3844</v>
      </c>
      <c r="BA372" s="0" t="s">
        <v>3845</v>
      </c>
      <c r="BB372" s="0" t="s">
        <v>411</v>
      </c>
      <c r="BD372" s="0" t="s">
        <v>1637</v>
      </c>
      <c r="BE372" s="0" t="n">
        <v>1</v>
      </c>
      <c r="BF372" s="0" t="s">
        <v>3844</v>
      </c>
      <c r="BG372" s="0" t="s">
        <v>3845</v>
      </c>
      <c r="BH372" s="0" t="s">
        <v>411</v>
      </c>
      <c r="BP372" s="0" t="n">
        <v>0</v>
      </c>
      <c r="BQ372" s="0" t="n">
        <v>0</v>
      </c>
      <c r="BR372" s="0" t="n">
        <v>1</v>
      </c>
      <c r="BS372" s="0" t="s">
        <v>1096</v>
      </c>
      <c r="BT372" s="0" t="s">
        <v>3849</v>
      </c>
      <c r="BU372" s="0" t="s">
        <v>1095</v>
      </c>
      <c r="BV372" s="123"/>
      <c r="BW372" s="123"/>
      <c r="BX372" s="123"/>
      <c r="BY372" s="123"/>
      <c r="BZ372" s="0" t="n">
        <v>0</v>
      </c>
      <c r="CA372" s="0" t="s">
        <v>3850</v>
      </c>
      <c r="CD372" s="0" t="s">
        <v>256</v>
      </c>
      <c r="CE372" s="0" t="n">
        <v>0</v>
      </c>
      <c r="CF372" s="0" t="s">
        <v>3851</v>
      </c>
      <c r="CI372" s="1" t="n">
        <v>39939</v>
      </c>
      <c r="CJ372" s="1" t="n">
        <v>40679</v>
      </c>
      <c r="CK372" s="124" t="n">
        <v>0.333333333333333</v>
      </c>
      <c r="CL372" s="0" t="s">
        <v>3852</v>
      </c>
      <c r="CM372" s="0" t="n">
        <f aca="false">IF(OR(CI372="",CJ372=""),"",DAYS360(CI372,CJ372)/360)</f>
        <v>2.02777777777778</v>
      </c>
      <c r="CN372" s="0" t="n">
        <f aca="false">IF(OR(CI372="",CJ372=""),"",DAYS360(CI372,CJ372)/30)</f>
        <v>24.3333333333333</v>
      </c>
      <c r="CO372" s="0" t="n">
        <f aca="false">IF(OR(CI372="",CJ372=""),"",DAYS360(CI372,CJ372)/7)</f>
        <v>104.285714285714</v>
      </c>
      <c r="CP372" s="0" t="n">
        <f aca="false">IF(OR(CI372="",CJ372=""),"",DAYS360(CI372,CJ372))</f>
        <v>730</v>
      </c>
      <c r="CQ372" s="0" t="s">
        <v>1895</v>
      </c>
      <c r="CT372" s="0" t="n">
        <v>2100</v>
      </c>
      <c r="CU372" s="0" t="n">
        <v>3</v>
      </c>
      <c r="CV372" s="0" t="n">
        <f aca="false">IF(OR(CT372="",CT372="NO ESPECIFICA",CT372="NO MENCIONA"),"",IF(CU372=0,CT372,IF(CU372=1,CT372/30,IF(CU372=2,CT372/15,IF(CU372=3,CT372/7,"")))))</f>
        <v>300</v>
      </c>
      <c r="CW372" s="125" t="s">
        <v>216</v>
      </c>
      <c r="CY372" s="0" t="str">
        <f aca="false">IF(CW372="","",IF(CX372=0,CW372,IF(CX372=1,CW372/30,IF(CX372=2,CW372/15,IF(CX372=3,CW372/7,CW372)))))</f>
        <v>NO MENCIONA</v>
      </c>
      <c r="CZ372" s="0" t="n">
        <f aca="false">IF(DI372&gt;0,DI372,IF(CY372&gt;0,CY372,IF(CV372&gt;0,CV372,"")))</f>
        <v>321.42</v>
      </c>
      <c r="DA372" s="0" t="n">
        <f aca="false">IF(DM372=1,CZ372/8,IF(OR(DM372=2,DM372=4),CZ372/7,IF(DM372=3,CZ372/7.5,"")))</f>
        <v>40.1775</v>
      </c>
      <c r="DB372" s="0" t="s">
        <v>569</v>
      </c>
      <c r="DC372" s="0" t="s">
        <v>216</v>
      </c>
      <c r="DD372" s="0" t="s">
        <v>216</v>
      </c>
      <c r="DE372" s="0" t="s">
        <v>216</v>
      </c>
      <c r="DF372" s="0" t="s">
        <v>216</v>
      </c>
      <c r="DG372" s="0" t="s">
        <v>216</v>
      </c>
      <c r="DH372" s="0" t="n">
        <v>0</v>
      </c>
      <c r="DI372" s="126" t="n">
        <v>321.42</v>
      </c>
      <c r="DK372" s="0" t="n">
        <v>0</v>
      </c>
      <c r="DM372" s="0" t="n">
        <v>1</v>
      </c>
      <c r="DN372" s="0" t="n">
        <v>63</v>
      </c>
      <c r="DO372" s="0" t="n">
        <v>3</v>
      </c>
      <c r="DP372" s="0" t="n">
        <v>0</v>
      </c>
      <c r="DQ372" s="0" t="n">
        <v>0</v>
      </c>
      <c r="DR372" s="0"/>
      <c r="DS372" s="0" t="n">
        <v>0</v>
      </c>
      <c r="DU372" s="0" t="n">
        <v>0</v>
      </c>
      <c r="DW372" s="1" t="n">
        <v>39939</v>
      </c>
      <c r="DX372" s="1" t="n">
        <v>40679</v>
      </c>
      <c r="DZ372" s="0"/>
      <c r="EA372" s="0" t="n">
        <v>0</v>
      </c>
      <c r="EC372" s="1" t="n">
        <v>39939</v>
      </c>
      <c r="ED372" s="1" t="n">
        <v>40679</v>
      </c>
      <c r="EF372" s="0"/>
      <c r="EG372" s="0" t="n">
        <v>1</v>
      </c>
      <c r="EH372" s="0" t="n">
        <v>6</v>
      </c>
      <c r="EI372" s="0" t="n">
        <f aca="false">IF(AND(DM372=1,DN372&lt;=48),"",IF(AND(DM372=2,DN372&lt;=42),"",IF(AND(DM372=3,DN372&lt;=45),"",EH372)))</f>
        <v>6</v>
      </c>
      <c r="EJ372" s="0" t="n">
        <f aca="false">IF(EI372="","",IF(EI372&lt;9,EI372,9))</f>
        <v>6</v>
      </c>
      <c r="EK372" s="0" t="n">
        <f aca="false">IF(EI372="","",IF(EI372&gt;9,EI372-EJ372,0))</f>
        <v>0</v>
      </c>
      <c r="EL372" s="0" t="n">
        <f aca="false">IF(EI372="","",EJ372*DA372*2+EK372*DA372*3)</f>
        <v>482.13</v>
      </c>
      <c r="EP372" s="0" t="n">
        <v>0</v>
      </c>
      <c r="EQ372" s="0"/>
      <c r="ER372" s="0" t="n">
        <v>0</v>
      </c>
      <c r="ET372" s="0" t="n">
        <v>0</v>
      </c>
      <c r="EV372" s="0" t="n">
        <v>1</v>
      </c>
      <c r="EX372" s="0" t="n">
        <v>1</v>
      </c>
      <c r="EY372" s="0" t="n">
        <v>1</v>
      </c>
      <c r="EZ372" s="4" t="n">
        <v>3500</v>
      </c>
      <c r="FA372" s="0"/>
      <c r="FB372" s="0" t="n">
        <v>1</v>
      </c>
      <c r="FF372" s="120" t="n">
        <f aca="false">(CJ372-CI372+1)/365</f>
        <v>2.03013698630137</v>
      </c>
      <c r="FG372" s="0" t="str">
        <f aca="false">CONCATENATE(F372,"/",G372)</f>
        <v>903/2011</v>
      </c>
      <c r="FH372" s="0" t="n">
        <v>0</v>
      </c>
      <c r="FI372" s="0" t="n">
        <v>0</v>
      </c>
    </row>
    <row r="373" customFormat="false" ht="15" hidden="false" customHeight="false" outlineLevel="0" collapsed="false">
      <c r="A373" s="5" t="str">
        <f aca="false">E373&amp;G373&amp;F373</f>
        <v>72011905</v>
      </c>
      <c r="B373" s="0" t="s">
        <v>3732</v>
      </c>
      <c r="C373" s="1" t="n">
        <v>42411</v>
      </c>
      <c r="D373" s="0" t="s">
        <v>1856</v>
      </c>
      <c r="E373" s="0" t="n">
        <v>7</v>
      </c>
      <c r="F373" s="0" t="n">
        <v>905</v>
      </c>
      <c r="G373" s="0" t="n">
        <v>2011</v>
      </c>
      <c r="H373" s="0" t="str">
        <f aca="false">"J"&amp;E373&amp;"\"&amp;F373&amp;"\"&amp;G373&amp;"\"&amp;W373</f>
        <v>J7\905\2011\1</v>
      </c>
      <c r="I373" s="0"/>
      <c r="J373" s="1" t="n">
        <v>40688</v>
      </c>
      <c r="K373" s="0" t="n">
        <v>0</v>
      </c>
      <c r="M373" s="1"/>
      <c r="N373" s="1"/>
      <c r="O373" s="1"/>
      <c r="P373" s="1"/>
      <c r="Q373" s="1"/>
      <c r="T373" s="121"/>
      <c r="U373" s="121"/>
      <c r="V373" s="122" t="n">
        <f aca="false">IF(AND(E373&gt;0,F373&gt;0,G373&gt;0),COUNTIFS($E:$E,E373,$F:$F,F373,$G:$G,G373),"")</f>
        <v>1</v>
      </c>
      <c r="W373" s="122" t="n">
        <f aca="false">IF(V373="","",IF(V373=1,1,IF(AND(E372=E373,F372=F373,G372=G373),W372+1,1)))</f>
        <v>1</v>
      </c>
      <c r="X373" s="0" t="n">
        <v>1</v>
      </c>
      <c r="Y373" s="0" t="n">
        <v>2</v>
      </c>
      <c r="Z373" s="0" t="s">
        <v>3853</v>
      </c>
      <c r="AA373" s="0" t="n">
        <v>0</v>
      </c>
      <c r="AB373" s="0" t="s">
        <v>1923</v>
      </c>
      <c r="AC373" s="0" t="s">
        <v>228</v>
      </c>
      <c r="AD373" s="0" t="s">
        <v>229</v>
      </c>
      <c r="AE373" s="0" t="n">
        <v>0</v>
      </c>
      <c r="AF373" s="0" t="s">
        <v>3854</v>
      </c>
      <c r="AG373" s="0" t="n">
        <v>1</v>
      </c>
      <c r="AH373" s="0" t="s">
        <v>3855</v>
      </c>
      <c r="AI373" s="0" t="s">
        <v>1016</v>
      </c>
      <c r="AJ373" s="0" t="s">
        <v>590</v>
      </c>
      <c r="AL373" s="0" t="s">
        <v>1637</v>
      </c>
      <c r="AM373" s="0" t="n">
        <v>1</v>
      </c>
      <c r="AN373" s="0" t="s">
        <v>3855</v>
      </c>
      <c r="AO373" s="0" t="s">
        <v>1016</v>
      </c>
      <c r="AP373" s="0" t="s">
        <v>590</v>
      </c>
      <c r="BP373" s="0" t="n">
        <v>0</v>
      </c>
      <c r="BQ373" s="0" t="n">
        <v>0</v>
      </c>
      <c r="BR373" s="0" t="n">
        <v>3</v>
      </c>
      <c r="BS373" s="0" t="s">
        <v>3856</v>
      </c>
      <c r="BT373" s="0" t="s">
        <v>1818</v>
      </c>
      <c r="BU373" s="0" t="s">
        <v>501</v>
      </c>
      <c r="BV373" s="123"/>
      <c r="BW373" s="123"/>
      <c r="BX373" s="123"/>
      <c r="BY373" s="123"/>
      <c r="BZ373" s="0" t="n">
        <v>0</v>
      </c>
      <c r="CA373" s="0" t="s">
        <v>348</v>
      </c>
      <c r="CD373" s="0" t="s">
        <v>256</v>
      </c>
      <c r="CE373" s="0" t="n">
        <v>1</v>
      </c>
      <c r="CF373" s="0" t="s">
        <v>3857</v>
      </c>
      <c r="CI373" s="1" t="n">
        <v>40344</v>
      </c>
      <c r="CJ373" s="1" t="n">
        <v>40659</v>
      </c>
      <c r="CK373" s="124" t="n">
        <v>0.333333333333333</v>
      </c>
      <c r="CL373" s="0" t="s">
        <v>3854</v>
      </c>
      <c r="CM373" s="0" t="n">
        <f aca="false">IF(OR(CI373="",CJ373=""),"",DAYS360(CI373,CJ373)/360)</f>
        <v>0.863888888888889</v>
      </c>
      <c r="CN373" s="0" t="n">
        <f aca="false">IF(OR(CI373="",CJ373=""),"",DAYS360(CI373,CJ373)/30)</f>
        <v>10.3666666666667</v>
      </c>
      <c r="CO373" s="0" t="n">
        <f aca="false">IF(OR(CI373="",CJ373=""),"",DAYS360(CI373,CJ373)/7)</f>
        <v>44.4285714285714</v>
      </c>
      <c r="CP373" s="0" t="n">
        <f aca="false">IF(OR(CI373="",CJ373=""),"",DAYS360(CI373,CJ373))</f>
        <v>311</v>
      </c>
      <c r="CQ373" s="0" t="s">
        <v>240</v>
      </c>
      <c r="CR373" s="0" t="n">
        <v>1</v>
      </c>
      <c r="CT373" s="0" t="n">
        <v>185.71</v>
      </c>
      <c r="CU373" s="0" t="n">
        <v>0</v>
      </c>
      <c r="CV373" s="0" t="n">
        <f aca="false">IF(OR(CT373="",CT373="NO ESPECIFICA",CT373="NO MENCIONA"),"",IF(CU373=0,CT373,IF(CU373=1,CT373/30,IF(CU373=2,CT373/15,IF(CU373=3,CT373/7,"")))))</f>
        <v>185.71</v>
      </c>
      <c r="CW373" s="125" t="n">
        <v>194.1</v>
      </c>
      <c r="CX373" s="0" t="n">
        <v>0</v>
      </c>
      <c r="CY373" s="0" t="n">
        <f aca="false">IF(CW373="","",IF(CX373=0,CW373,IF(CX373=1,CW373/30,IF(CX373=2,CW373/15,IF(CX373=3,CW373/7,CW373)))))</f>
        <v>194.1</v>
      </c>
      <c r="CZ373" s="0" t="n">
        <f aca="false">IF(DI373&gt;0,DI373,IF(CY373&gt;0,CY373,IF(CV373&gt;0,CV373,"")))</f>
        <v>194.1</v>
      </c>
      <c r="DA373" s="0" t="n">
        <f aca="false">IF(DM373=1,CZ373/8,IF(OR(DM373=2,DM373=4),CZ373/7,IF(DM373=3,CZ373/7.5,"")))</f>
        <v>24.2625</v>
      </c>
      <c r="DB373" s="0" t="s">
        <v>1935</v>
      </c>
      <c r="DC373" s="0" t="s">
        <v>301</v>
      </c>
      <c r="DD373" s="0" t="s">
        <v>216</v>
      </c>
      <c r="DE373" s="0" t="s">
        <v>216</v>
      </c>
      <c r="DF373" s="0" t="s">
        <v>216</v>
      </c>
      <c r="DG373" s="0" t="s">
        <v>216</v>
      </c>
      <c r="DH373" s="0" t="n">
        <v>0</v>
      </c>
      <c r="DI373" s="126" t="n">
        <v>194.1</v>
      </c>
      <c r="DK373" s="0" t="n">
        <v>1</v>
      </c>
      <c r="DM373" s="0" t="n">
        <v>1</v>
      </c>
      <c r="DN373" s="0" t="n">
        <v>60</v>
      </c>
      <c r="DO373" s="0" t="n">
        <v>3</v>
      </c>
      <c r="DP373" s="0" t="n">
        <v>0</v>
      </c>
      <c r="DQ373" s="0" t="n">
        <v>1</v>
      </c>
      <c r="DR373" s="0"/>
      <c r="DS373" s="0" t="n">
        <v>1</v>
      </c>
      <c r="DU373" s="0" t="n">
        <v>1</v>
      </c>
      <c r="DW373" s="1" t="s">
        <v>221</v>
      </c>
      <c r="DX373" s="1" t="s">
        <v>221</v>
      </c>
      <c r="DY373" s="0" t="s">
        <v>221</v>
      </c>
      <c r="DZ373" s="0" t="s">
        <v>221</v>
      </c>
      <c r="EA373" s="0" t="n">
        <v>1</v>
      </c>
      <c r="EC373" s="1" t="s">
        <v>221</v>
      </c>
      <c r="ED373" s="1" t="s">
        <v>221</v>
      </c>
      <c r="EE373" s="0" t="s">
        <v>221</v>
      </c>
      <c r="EF373" s="0" t="s">
        <v>221</v>
      </c>
      <c r="EG373" s="0" t="n">
        <v>0</v>
      </c>
      <c r="EI373" s="0" t="n">
        <f aca="false">IF(AND(DM373=1,DN373&lt;=48),"",IF(AND(DM373=2,DN373&lt;=42),"",IF(AND(DM373=3,DN373&lt;=45),"",EH373)))</f>
        <v>0</v>
      </c>
      <c r="EJ373" s="0" t="str">
        <f aca="false">IF(EI373="","",IF(EI373&lt;9,EI373,9))</f>
        <v/>
      </c>
      <c r="EK373" s="0" t="str">
        <f aca="false">IF(EI373="","",IF(EI373&gt;9,EI373-EJ373,0))</f>
        <v/>
      </c>
      <c r="EL373" s="0" t="str">
        <f aca="false">IF(EI373="","",EJ373*DA373*2+EK373*DA373*3)</f>
        <v/>
      </c>
      <c r="EP373" s="0" t="n">
        <v>0</v>
      </c>
      <c r="EQ373" s="0"/>
      <c r="ER373" s="0" t="n">
        <v>0</v>
      </c>
      <c r="ET373" s="0" t="n">
        <v>0</v>
      </c>
      <c r="EV373" s="0" t="n">
        <v>0</v>
      </c>
      <c r="EX373" s="0" t="n">
        <v>1</v>
      </c>
      <c r="EY373" s="0" t="n">
        <v>0</v>
      </c>
      <c r="EZ373" s="0"/>
      <c r="FA373" s="4" t="n">
        <v>194.1</v>
      </c>
      <c r="FB373" s="0" t="n">
        <v>1</v>
      </c>
      <c r="FF373" s="120" t="n">
        <f aca="false">(CJ373-CI373+1)/365</f>
        <v>0.865753424657534</v>
      </c>
      <c r="FG373" s="0" t="str">
        <f aca="false">CONCATENATE(F373,"/",G373)</f>
        <v>905/2011</v>
      </c>
      <c r="FH373" s="0" t="n">
        <v>0</v>
      </c>
      <c r="FI373" s="0" t="n">
        <v>0</v>
      </c>
    </row>
    <row r="374" customFormat="false" ht="15" hidden="false" customHeight="false" outlineLevel="0" collapsed="false">
      <c r="A374" s="5" t="str">
        <f aca="false">E374&amp;G374&amp;F374</f>
        <v>72011911</v>
      </c>
      <c r="B374" s="0" t="s">
        <v>3732</v>
      </c>
      <c r="C374" s="1" t="n">
        <v>42411</v>
      </c>
      <c r="E374" s="0" t="n">
        <v>7</v>
      </c>
      <c r="F374" s="0" t="n">
        <v>911</v>
      </c>
      <c r="G374" s="0" t="n">
        <v>2011</v>
      </c>
      <c r="H374" s="0" t="str">
        <f aca="false">"J"&amp;E374&amp;"\"&amp;F374&amp;"\"&amp;G374&amp;"\"&amp;W374</f>
        <v>J7\911\2011\1</v>
      </c>
      <c r="I374" s="0"/>
      <c r="J374" s="1" t="n">
        <v>40688</v>
      </c>
      <c r="K374" s="0" t="n">
        <v>0</v>
      </c>
      <c r="M374" s="1" t="n">
        <v>40688</v>
      </c>
      <c r="N374" s="1" t="n">
        <v>40836</v>
      </c>
      <c r="O374" s="1"/>
      <c r="P374" s="1"/>
      <c r="Q374" s="1"/>
      <c r="T374" s="121"/>
      <c r="U374" s="121"/>
      <c r="V374" s="122" t="n">
        <f aca="false">IF(AND(E374&gt;0,F374&gt;0,G374&gt;0),COUNTIFS($E:$E,E374,$F:$F,F374,$G:$G,G374),"")</f>
        <v>1</v>
      </c>
      <c r="W374" s="122" t="n">
        <f aca="false">IF(V374="","",IF(V374=1,1,IF(AND(E373=E374,F373=F374,G373=G374),W373+1,1)))</f>
        <v>1</v>
      </c>
      <c r="X374" s="0" t="n">
        <v>1</v>
      </c>
      <c r="Y374" s="0" t="n">
        <v>8</v>
      </c>
      <c r="Z374" s="0" t="s">
        <v>3858</v>
      </c>
      <c r="AA374" s="0" t="n">
        <v>0</v>
      </c>
      <c r="AB374" s="0" t="s">
        <v>3859</v>
      </c>
      <c r="AC374" s="0" t="s">
        <v>3645</v>
      </c>
      <c r="AD374" s="0" t="s">
        <v>229</v>
      </c>
      <c r="AE374" s="0" t="n">
        <v>0</v>
      </c>
      <c r="AF374" s="0" t="s">
        <v>3860</v>
      </c>
      <c r="AG374" s="0" t="n">
        <v>0</v>
      </c>
      <c r="AH374" s="0" t="s">
        <v>3861</v>
      </c>
      <c r="AI374" s="0" t="s">
        <v>244</v>
      </c>
      <c r="AJ374" s="0" t="s">
        <v>229</v>
      </c>
      <c r="AL374" s="0" t="s">
        <v>3862</v>
      </c>
      <c r="AM374" s="0" t="n">
        <v>0</v>
      </c>
      <c r="AN374" s="0" t="s">
        <v>3861</v>
      </c>
      <c r="AO374" s="0" t="s">
        <v>244</v>
      </c>
      <c r="AP374" s="0" t="s">
        <v>229</v>
      </c>
      <c r="AR374" s="0" t="s">
        <v>3863</v>
      </c>
      <c r="AS374" s="0" t="n">
        <v>0</v>
      </c>
      <c r="AT374" s="0" t="s">
        <v>3861</v>
      </c>
      <c r="AU374" s="0" t="s">
        <v>244</v>
      </c>
      <c r="AV374" s="0" t="s">
        <v>229</v>
      </c>
      <c r="AX374" s="0" t="s">
        <v>3864</v>
      </c>
      <c r="AY374" s="0" t="n">
        <v>1</v>
      </c>
      <c r="AZ374" s="0" t="s">
        <v>3861</v>
      </c>
      <c r="BA374" s="0" t="s">
        <v>244</v>
      </c>
      <c r="BB374" s="0" t="s">
        <v>229</v>
      </c>
      <c r="BD374" s="0" t="s">
        <v>3865</v>
      </c>
      <c r="BE374" s="0" t="n">
        <v>1</v>
      </c>
      <c r="BF374" s="0" t="s">
        <v>3861</v>
      </c>
      <c r="BG374" s="0" t="s">
        <v>244</v>
      </c>
      <c r="BH374" s="0" t="s">
        <v>229</v>
      </c>
      <c r="BJ374" s="0" t="s">
        <v>1637</v>
      </c>
      <c r="BK374" s="0" t="n">
        <v>1</v>
      </c>
      <c r="BL374" s="0" t="s">
        <v>3861</v>
      </c>
      <c r="BM374" s="0" t="s">
        <v>244</v>
      </c>
      <c r="BN374" s="0" t="s">
        <v>229</v>
      </c>
      <c r="BP374" s="0" t="n">
        <v>0</v>
      </c>
      <c r="BQ374" s="0" t="n">
        <v>0</v>
      </c>
      <c r="BR374" s="0" t="n">
        <v>2</v>
      </c>
      <c r="BS374" s="0" t="s">
        <v>3866</v>
      </c>
      <c r="BT374" s="0" t="s">
        <v>3867</v>
      </c>
      <c r="BU374" s="0" t="s">
        <v>3868</v>
      </c>
      <c r="BV374" s="123"/>
      <c r="BW374" s="123"/>
      <c r="BX374" s="123"/>
      <c r="BY374" s="123"/>
      <c r="BZ374" s="0" t="n">
        <v>0</v>
      </c>
      <c r="CA374" s="0" t="s">
        <v>3869</v>
      </c>
      <c r="CD374" s="0" t="s">
        <v>3870</v>
      </c>
      <c r="CE374" s="0" t="n">
        <v>0</v>
      </c>
      <c r="CF374" s="0" t="s">
        <v>3871</v>
      </c>
      <c r="CI374" s="1" t="n">
        <v>40098</v>
      </c>
      <c r="CJ374" s="1" t="n">
        <v>40665</v>
      </c>
      <c r="CK374" s="124" t="n">
        <v>0.333333333333333</v>
      </c>
      <c r="CL374" s="0" t="s">
        <v>3872</v>
      </c>
      <c r="CM374" s="0" t="n">
        <f aca="false">IF(OR(CI374="",CJ374=""),"",DAYS360(CI374,CJ374)/360)</f>
        <v>1.55555555555556</v>
      </c>
      <c r="CN374" s="0" t="n">
        <f aca="false">IF(OR(CI374="",CJ374=""),"",DAYS360(CI374,CJ374)/30)</f>
        <v>18.6666666666667</v>
      </c>
      <c r="CO374" s="0" t="n">
        <f aca="false">IF(OR(CI374="",CJ374=""),"",DAYS360(CI374,CJ374)/7)</f>
        <v>80</v>
      </c>
      <c r="CP374" s="0" t="n">
        <f aca="false">IF(OR(CI374="",CJ374=""),"",DAYS360(CI374,CJ374))</f>
        <v>560</v>
      </c>
      <c r="CQ374" s="0" t="s">
        <v>220</v>
      </c>
      <c r="CR374" s="0" t="n">
        <v>1</v>
      </c>
      <c r="CT374" s="0" t="n">
        <v>171.42</v>
      </c>
      <c r="CU374" s="0" t="n">
        <v>0</v>
      </c>
      <c r="CV374" s="0" t="n">
        <f aca="false">IF(OR(CT374="",CT374="NO ESPECIFICA",CT374="NO MENCIONA"),"",IF(CU374=0,CT374,IF(CU374=1,CT374/30,IF(CU374=2,CT374/15,IF(CU374=3,CT374/7,"")))))</f>
        <v>171.42</v>
      </c>
      <c r="CW374" s="125" t="n">
        <v>178.63</v>
      </c>
      <c r="CX374" s="0" t="n">
        <v>0</v>
      </c>
      <c r="CY374" s="0" t="n">
        <f aca="false">IF(CW374="","",IF(CX374=0,CW374,IF(CX374=1,CW374/30,IF(CX374=2,CW374/15,IF(CX374=3,CW374/7,CW374)))))</f>
        <v>178.63</v>
      </c>
      <c r="CZ374" s="0" t="n">
        <f aca="false">IF(DI374&gt;0,DI374,IF(CY374&gt;0,CY374,IF(CV374&gt;0,CV374,"")))</f>
        <v>178.63</v>
      </c>
      <c r="DA374" s="0" t="n">
        <f aca="false">IF(DM374=1,CZ374/8,IF(OR(DM374=2,DM374=4),CZ374/7,IF(DM374=3,CZ374/7.5,"")))</f>
        <v>22.32875</v>
      </c>
      <c r="DB374" s="0" t="s">
        <v>1935</v>
      </c>
      <c r="DC374" s="0" t="s">
        <v>301</v>
      </c>
      <c r="DD374" s="0" t="s">
        <v>216</v>
      </c>
      <c r="DE374" s="0" t="s">
        <v>216</v>
      </c>
      <c r="DF374" s="0" t="s">
        <v>216</v>
      </c>
      <c r="DG374" s="0" t="s">
        <v>216</v>
      </c>
      <c r="DH374" s="0" t="n">
        <v>0</v>
      </c>
      <c r="DI374" s="126" t="n">
        <v>178.63</v>
      </c>
      <c r="DK374" s="0" t="n">
        <v>1</v>
      </c>
      <c r="DM374" s="0" t="n">
        <v>1</v>
      </c>
      <c r="DN374" s="0" t="n">
        <v>49</v>
      </c>
      <c r="DO374" s="0" t="n">
        <v>3</v>
      </c>
      <c r="DP374" s="0" t="n">
        <v>1</v>
      </c>
      <c r="DQ374" s="0" t="n">
        <v>1</v>
      </c>
      <c r="DR374" s="0"/>
      <c r="DS374" s="0" t="n">
        <v>1</v>
      </c>
      <c r="DU374" s="0" t="n">
        <v>1</v>
      </c>
      <c r="DW374" s="1" t="s">
        <v>216</v>
      </c>
      <c r="DX374" s="1" t="s">
        <v>216</v>
      </c>
      <c r="DY374" s="0" t="s">
        <v>216</v>
      </c>
      <c r="DZ374" s="0" t="s">
        <v>216</v>
      </c>
      <c r="EA374" s="0" t="n">
        <v>0</v>
      </c>
      <c r="EC374" s="1" t="s">
        <v>216</v>
      </c>
      <c r="ED374" s="1" t="s">
        <v>216</v>
      </c>
      <c r="EE374" s="0" t="s">
        <v>216</v>
      </c>
      <c r="EF374" s="0" t="s">
        <v>216</v>
      </c>
      <c r="EG374" s="0" t="n">
        <v>1</v>
      </c>
      <c r="EH374" s="0" t="n">
        <v>12</v>
      </c>
      <c r="EI374" s="0" t="n">
        <f aca="false">IF(AND(DM374=1,DN374&lt;=48),"",IF(AND(DM374=2,DN374&lt;=42),"",IF(AND(DM374=3,DN374&lt;=45),"",EH374)))</f>
        <v>12</v>
      </c>
      <c r="EJ374" s="0" t="n">
        <f aca="false">IF(EI374="","",IF(EI374&lt;9,EI374,9))</f>
        <v>9</v>
      </c>
      <c r="EK374" s="0" t="n">
        <f aca="false">IF(EI374="","",IF(EI374&gt;9,EI374-EJ374,0))</f>
        <v>3</v>
      </c>
      <c r="EL374" s="0" t="n">
        <f aca="false">IF(EI374="","",EJ374*DA374*2+EK374*DA374*3)</f>
        <v>602.87625</v>
      </c>
      <c r="EP374" s="0" t="n">
        <v>1</v>
      </c>
      <c r="EQ374" s="0"/>
      <c r="ER374" s="0" t="n">
        <v>0</v>
      </c>
      <c r="ET374" s="0" t="n">
        <v>0</v>
      </c>
      <c r="EV374" s="0" t="n">
        <v>1</v>
      </c>
      <c r="EX374" s="0" t="n">
        <v>1</v>
      </c>
      <c r="EY374" s="0" t="n">
        <v>1</v>
      </c>
      <c r="EZ374" s="0"/>
      <c r="FA374" s="0"/>
      <c r="FB374" s="0" t="n">
        <v>1</v>
      </c>
      <c r="FF374" s="120" t="n">
        <f aca="false">(CJ374-CI374+1)/365</f>
        <v>1.55616438356164</v>
      </c>
      <c r="FG374" s="0" t="str">
        <f aca="false">CONCATENATE(F374,"/",G374)</f>
        <v>911/2011</v>
      </c>
      <c r="FH374" s="0" t="n">
        <v>0</v>
      </c>
      <c r="FI374" s="0" t="n">
        <v>0</v>
      </c>
    </row>
    <row r="375" customFormat="false" ht="15" hidden="false" customHeight="false" outlineLevel="0" collapsed="false">
      <c r="A375" s="5" t="str">
        <f aca="false">E375&amp;G375&amp;F375</f>
        <v>72011914</v>
      </c>
      <c r="B375" s="0" t="s">
        <v>3732</v>
      </c>
      <c r="C375" s="1" t="n">
        <v>42412</v>
      </c>
      <c r="E375" s="0" t="n">
        <v>7</v>
      </c>
      <c r="F375" s="0" t="n">
        <v>914</v>
      </c>
      <c r="G375" s="0" t="n">
        <v>2011</v>
      </c>
      <c r="H375" s="0" t="str">
        <f aca="false">"J"&amp;E375&amp;"\"&amp;F375&amp;"\"&amp;G375&amp;"\"&amp;W375</f>
        <v>J7\914\2011\1</v>
      </c>
      <c r="I375" s="0"/>
      <c r="J375" s="1" t="n">
        <v>40688</v>
      </c>
      <c r="K375" s="0" t="n">
        <v>0</v>
      </c>
      <c r="M375" s="1" t="n">
        <v>40688</v>
      </c>
      <c r="N375" s="1" t="n">
        <v>40837</v>
      </c>
      <c r="O375" s="1"/>
      <c r="P375" s="1"/>
      <c r="Q375" s="1"/>
      <c r="T375" s="121"/>
      <c r="U375" s="121"/>
      <c r="V375" s="122" t="n">
        <f aca="false">IF(AND(E375&gt;0,F375&gt;0,G375&gt;0),COUNTIFS($E:$E,E375,$F:$F,F375,$G:$G,G375),"")</f>
        <v>1</v>
      </c>
      <c r="W375" s="122" t="n">
        <f aca="false">IF(V375="","",IF(V375=1,1,IF(AND(E374=E375,F374=F375,G374=G375),W374+1,1)))</f>
        <v>1</v>
      </c>
      <c r="X375" s="0" t="n">
        <v>1</v>
      </c>
      <c r="Y375" s="0" t="n">
        <v>3</v>
      </c>
      <c r="Z375" s="0" t="s">
        <v>3873</v>
      </c>
      <c r="AA375" s="0" t="n">
        <v>0</v>
      </c>
      <c r="AB375" s="0" t="s">
        <v>3874</v>
      </c>
      <c r="AC375" s="0" t="s">
        <v>3618</v>
      </c>
      <c r="AD375" s="0" t="s">
        <v>519</v>
      </c>
      <c r="AE375" s="0" t="n">
        <v>0</v>
      </c>
      <c r="AF375" s="0" t="s">
        <v>3875</v>
      </c>
      <c r="AG375" s="0" t="n">
        <v>0</v>
      </c>
      <c r="AH375" s="0" t="s">
        <v>3876</v>
      </c>
      <c r="AI375" s="0" t="s">
        <v>3877</v>
      </c>
      <c r="AJ375" s="0" t="s">
        <v>1903</v>
      </c>
      <c r="AL375" s="0" t="s">
        <v>3878</v>
      </c>
      <c r="AM375" s="0" t="n">
        <v>1</v>
      </c>
      <c r="AN375" s="0" t="s">
        <v>3876</v>
      </c>
      <c r="AO375" s="0" t="s">
        <v>3877</v>
      </c>
      <c r="AP375" s="0" t="s">
        <v>1903</v>
      </c>
      <c r="AR375" s="0" t="s">
        <v>3879</v>
      </c>
      <c r="AS375" s="0" t="n">
        <v>1</v>
      </c>
      <c r="AT375" s="0" t="s">
        <v>3876</v>
      </c>
      <c r="AU375" s="0" t="s">
        <v>3877</v>
      </c>
      <c r="AV375" s="0" t="s">
        <v>1903</v>
      </c>
      <c r="BP375" s="0" t="n">
        <v>0</v>
      </c>
      <c r="BQ375" s="0" t="n">
        <v>0</v>
      </c>
      <c r="BR375" s="0" t="n">
        <v>1</v>
      </c>
      <c r="BS375" s="0" t="s">
        <v>2467</v>
      </c>
      <c r="BV375" s="123"/>
      <c r="BW375" s="123"/>
      <c r="BX375" s="123"/>
      <c r="BY375" s="123"/>
      <c r="BZ375" s="0" t="n">
        <v>0</v>
      </c>
      <c r="CA375" s="0" t="s">
        <v>216</v>
      </c>
      <c r="CD375" s="0" t="s">
        <v>256</v>
      </c>
      <c r="CE375" s="0" t="n">
        <v>0</v>
      </c>
      <c r="CF375" s="0" t="s">
        <v>3880</v>
      </c>
      <c r="CI375" s="1" t="n">
        <v>39091</v>
      </c>
      <c r="CJ375" s="1" t="n">
        <v>40628</v>
      </c>
      <c r="CK375" s="124" t="n">
        <v>0.375</v>
      </c>
      <c r="CL375" s="0" t="s">
        <v>3879</v>
      </c>
      <c r="CM375" s="0" t="n">
        <f aca="false">IF(OR(CI375="",CJ375=""),"",DAYS360(CI375,CJ375)/360)</f>
        <v>4.21388888888889</v>
      </c>
      <c r="CN375" s="0" t="n">
        <f aca="false">IF(OR(CI375="",CJ375=""),"",DAYS360(CI375,CJ375)/30)</f>
        <v>50.5666666666667</v>
      </c>
      <c r="CO375" s="0" t="n">
        <f aca="false">IF(OR(CI375="",CJ375=""),"",DAYS360(CI375,CJ375)/7)</f>
        <v>216.714285714286</v>
      </c>
      <c r="CP375" s="0" t="n">
        <f aca="false">IF(OR(CI375="",CJ375=""),"",DAYS360(CI375,CJ375))</f>
        <v>1517</v>
      </c>
      <c r="CQ375" s="0" t="s">
        <v>240</v>
      </c>
      <c r="CR375" s="0" t="n">
        <v>1</v>
      </c>
      <c r="CT375" s="0" t="n">
        <v>1300</v>
      </c>
      <c r="CU375" s="0" t="n">
        <v>3</v>
      </c>
      <c r="CV375" s="0" t="n">
        <f aca="false">IF(OR(CT375="",CT375="NO ESPECIFICA",CT375="NO MENCIONA"),"",IF(CU375=0,CT375,IF(CU375=1,CT375/30,IF(CU375=2,CT375/15,IF(CU375=3,CT375/7,"")))))</f>
        <v>185.714285714286</v>
      </c>
      <c r="CW375" s="125" t="n">
        <v>225.7</v>
      </c>
      <c r="CX375" s="0" t="n">
        <v>0</v>
      </c>
      <c r="CY375" s="0" t="n">
        <f aca="false">IF(CW375="","",IF(CX375=0,CW375,IF(CX375=1,CW375/30,IF(CX375=2,CW375/15,IF(CX375=3,CW375/7,CW375)))))</f>
        <v>225.7</v>
      </c>
      <c r="CZ375" s="0" t="n">
        <f aca="false">IF(DI375&gt;0,DI375,IF(CY375&gt;0,CY375,IF(CV375&gt;0,CV375,"")))</f>
        <v>225.7</v>
      </c>
      <c r="DA375" s="0" t="n">
        <f aca="false">IF(DM375=1,CZ375/8,IF(OR(DM375=2,DM375=4),CZ375/7,IF(DM375=3,CZ375/7.5,"")))</f>
        <v>28.2125</v>
      </c>
      <c r="DB375" s="0" t="s">
        <v>3881</v>
      </c>
      <c r="DC375" s="0" t="s">
        <v>299</v>
      </c>
      <c r="DD375" s="0" t="s">
        <v>216</v>
      </c>
      <c r="DE375" s="0" t="s">
        <v>216</v>
      </c>
      <c r="DF375" s="0" t="s">
        <v>216</v>
      </c>
      <c r="DG375" s="0" t="s">
        <v>216</v>
      </c>
      <c r="DH375" s="0" t="n">
        <v>0</v>
      </c>
      <c r="DI375" s="126" t="n">
        <v>225.7</v>
      </c>
      <c r="DK375" s="0" t="n">
        <v>0</v>
      </c>
      <c r="DM375" s="0" t="n">
        <v>1</v>
      </c>
      <c r="DN375" s="0" t="n">
        <v>54</v>
      </c>
      <c r="DO375" s="0" t="n">
        <v>3</v>
      </c>
      <c r="DP375" s="0" t="n">
        <v>0</v>
      </c>
      <c r="DQ375" s="0" t="n">
        <v>1</v>
      </c>
      <c r="DR375" s="0"/>
      <c r="DS375" s="0" t="n">
        <v>1</v>
      </c>
      <c r="DU375" s="0" t="n">
        <v>1</v>
      </c>
      <c r="DW375" s="1" t="n">
        <v>40552</v>
      </c>
      <c r="DX375" s="1" t="n">
        <v>40628</v>
      </c>
      <c r="DZ375" s="0"/>
      <c r="EA375" s="0" t="n">
        <v>1</v>
      </c>
      <c r="EC375" s="1" t="n">
        <v>40544</v>
      </c>
      <c r="ED375" s="1" t="n">
        <v>40628</v>
      </c>
      <c r="EF375" s="0"/>
      <c r="EG375" s="0" t="n">
        <v>1</v>
      </c>
      <c r="EH375" s="0" t="n">
        <v>6</v>
      </c>
      <c r="EI375" s="0" t="n">
        <f aca="false">IF(AND(DM375=1,DN375&lt;=48),"",IF(AND(DM375=2,DN375&lt;=42),"",IF(AND(DM375=3,DN375&lt;=45),"",EH375)))</f>
        <v>6</v>
      </c>
      <c r="EJ375" s="0" t="n">
        <f aca="false">IF(EI375="","",IF(EI375&lt;9,EI375,9))</f>
        <v>6</v>
      </c>
      <c r="EK375" s="0" t="n">
        <f aca="false">IF(EI375="","",IF(EI375&gt;9,EI375-EJ375,0))</f>
        <v>0</v>
      </c>
      <c r="EL375" s="0" t="n">
        <f aca="false">IF(EI375="","",EJ375*DA375*2+EK375*DA375*3)</f>
        <v>338.55</v>
      </c>
      <c r="EP375" s="0" t="n">
        <v>0</v>
      </c>
      <c r="EQ375" s="0"/>
      <c r="ER375" s="0" t="n">
        <v>1</v>
      </c>
      <c r="ET375" s="0" t="n">
        <v>1</v>
      </c>
      <c r="EV375" s="0" t="n">
        <v>1</v>
      </c>
      <c r="EX375" s="0" t="n">
        <v>0</v>
      </c>
      <c r="EY375" s="0" t="n">
        <v>1</v>
      </c>
      <c r="EZ375" s="4" t="n">
        <v>1135.26</v>
      </c>
      <c r="FA375" s="0"/>
      <c r="FB375" s="0" t="n">
        <v>0</v>
      </c>
      <c r="FF375" s="120" t="n">
        <f aca="false">(CJ375-CI375+1)/365</f>
        <v>4.21369863013699</v>
      </c>
      <c r="FG375" s="0" t="str">
        <f aca="false">CONCATENATE(F375,"/",G375)</f>
        <v>914/2011</v>
      </c>
      <c r="FH375" s="0" t="n">
        <v>0</v>
      </c>
      <c r="FI375" s="0" t="n">
        <v>0</v>
      </c>
    </row>
    <row r="376" customFormat="false" ht="15" hidden="false" customHeight="false" outlineLevel="0" collapsed="false">
      <c r="A376" s="5" t="str">
        <f aca="false">E376&amp;G376&amp;F376</f>
        <v>72011917</v>
      </c>
      <c r="B376" s="0" t="s">
        <v>3732</v>
      </c>
      <c r="C376" s="1" t="n">
        <v>42412</v>
      </c>
      <c r="E376" s="0" t="n">
        <v>7</v>
      </c>
      <c r="F376" s="0" t="n">
        <v>917</v>
      </c>
      <c r="G376" s="0" t="n">
        <v>2011</v>
      </c>
      <c r="H376" s="0" t="str">
        <f aca="false">"J"&amp;E376&amp;"\"&amp;F376&amp;"\"&amp;G376&amp;"\"&amp;W376</f>
        <v>J7\917\2011\1</v>
      </c>
      <c r="I376" s="0"/>
      <c r="J376" s="1" t="n">
        <v>40688</v>
      </c>
      <c r="K376" s="0" t="n">
        <v>0</v>
      </c>
      <c r="M376" s="1" t="n">
        <v>40689</v>
      </c>
      <c r="N376" s="1" t="n">
        <v>40837</v>
      </c>
      <c r="O376" s="1"/>
      <c r="P376" s="1"/>
      <c r="Q376" s="1"/>
      <c r="T376" s="121"/>
      <c r="U376" s="121"/>
      <c r="V376" s="122" t="n">
        <f aca="false">IF(AND(E376&gt;0,F376&gt;0,G376&gt;0),COUNTIFS($E:$E,E376,$F:$F,F376,$G:$G,G376),"")</f>
        <v>1</v>
      </c>
      <c r="W376" s="122" t="n">
        <f aca="false">IF(V376="","",IF(V376=1,1,IF(AND(E375=E376,F375=F376,G375=G376),W375+1,1)))</f>
        <v>1</v>
      </c>
      <c r="X376" s="0" t="n">
        <v>1</v>
      </c>
      <c r="Y376" s="0" t="n">
        <v>6</v>
      </c>
      <c r="Z376" s="0" t="s">
        <v>3882</v>
      </c>
      <c r="AA376" s="0" t="n">
        <v>0</v>
      </c>
      <c r="AB376" s="0" t="s">
        <v>3883</v>
      </c>
      <c r="AC376" s="0" t="s">
        <v>287</v>
      </c>
      <c r="AD376" s="0" t="s">
        <v>207</v>
      </c>
      <c r="AE376" s="0" t="n">
        <v>0</v>
      </c>
      <c r="AF376" s="0" t="s">
        <v>3884</v>
      </c>
      <c r="AG376" s="0" t="n">
        <v>0</v>
      </c>
      <c r="AH376" s="0" t="s">
        <v>3885</v>
      </c>
      <c r="AI376" s="0" t="s">
        <v>3886</v>
      </c>
      <c r="AJ376" s="0" t="s">
        <v>3887</v>
      </c>
      <c r="AL376" s="0" t="s">
        <v>3888</v>
      </c>
      <c r="AM376" s="0" t="n">
        <v>1</v>
      </c>
      <c r="AN376" s="0" t="s">
        <v>3885</v>
      </c>
      <c r="AO376" s="0" t="s">
        <v>3886</v>
      </c>
      <c r="AP376" s="0" t="s">
        <v>3887</v>
      </c>
      <c r="AR376" s="0" t="s">
        <v>3889</v>
      </c>
      <c r="AS376" s="0" t="n">
        <v>1</v>
      </c>
      <c r="AT376" s="0" t="s">
        <v>3885</v>
      </c>
      <c r="AU376" s="0" t="s">
        <v>3886</v>
      </c>
      <c r="AV376" s="0" t="s">
        <v>3887</v>
      </c>
      <c r="AX376" s="0" t="s">
        <v>3890</v>
      </c>
      <c r="AY376" s="0" t="n">
        <v>0</v>
      </c>
      <c r="AZ376" s="0" t="s">
        <v>977</v>
      </c>
      <c r="BA376" s="0" t="s">
        <v>1241</v>
      </c>
      <c r="BB376" s="0" t="s">
        <v>221</v>
      </c>
      <c r="BD376" s="0" t="s">
        <v>3891</v>
      </c>
      <c r="BE376" s="0" t="n">
        <v>0</v>
      </c>
      <c r="BF376" s="0" t="s">
        <v>3892</v>
      </c>
      <c r="BG376" s="0" t="s">
        <v>251</v>
      </c>
      <c r="BH376" s="0" t="s">
        <v>229</v>
      </c>
      <c r="BP376" s="0" t="n">
        <v>0</v>
      </c>
      <c r="BQ376" s="0" t="n">
        <v>0</v>
      </c>
      <c r="BR376" s="0" t="n">
        <v>1</v>
      </c>
      <c r="BS376" s="0" t="s">
        <v>3893</v>
      </c>
      <c r="BT376" s="0" t="s">
        <v>3894</v>
      </c>
      <c r="BU376" s="0" t="s">
        <v>3895</v>
      </c>
      <c r="BV376" s="123"/>
      <c r="BW376" s="123"/>
      <c r="BX376" s="123"/>
      <c r="BY376" s="123"/>
      <c r="BZ376" s="0" t="n">
        <v>0</v>
      </c>
      <c r="CA376" s="0" t="s">
        <v>216</v>
      </c>
      <c r="CD376" s="0" t="s">
        <v>502</v>
      </c>
      <c r="CE376" s="0" t="n">
        <v>0</v>
      </c>
      <c r="CF376" s="0" t="s">
        <v>503</v>
      </c>
      <c r="CI376" s="1" t="n">
        <v>39822</v>
      </c>
      <c r="CJ376" s="1" t="n">
        <v>40611</v>
      </c>
      <c r="CK376" s="124" t="n">
        <v>0.5</v>
      </c>
      <c r="CL376" s="0" t="s">
        <v>3896</v>
      </c>
      <c r="CM376" s="0" t="n">
        <f aca="false">IF(OR(CI376="",CJ376=""),"",DAYS360(CI376,CJ376)/360)</f>
        <v>2.16666666666667</v>
      </c>
      <c r="CN376" s="0" t="n">
        <f aca="false">IF(OR(CI376="",CJ376=""),"",DAYS360(CI376,CJ376)/30)</f>
        <v>26</v>
      </c>
      <c r="CO376" s="0" t="n">
        <f aca="false">IF(OR(CI376="",CJ376=""),"",DAYS360(CI376,CJ376)/7)</f>
        <v>111.428571428571</v>
      </c>
      <c r="CP376" s="0" t="n">
        <f aca="false">IF(OR(CI376="",CJ376=""),"",DAYS360(CI376,CJ376))</f>
        <v>780</v>
      </c>
      <c r="CQ376" s="0" t="s">
        <v>240</v>
      </c>
      <c r="CR376" s="0" t="n">
        <v>1</v>
      </c>
      <c r="CT376" s="0" t="s">
        <v>221</v>
      </c>
      <c r="CU376" s="0" t="s">
        <v>221</v>
      </c>
      <c r="CV376" s="0" t="str">
        <f aca="false">IF(OR(CT376="",CT376="NO ESPECIFICA",CT376="NO MENCIONA"),"",IF(CU376=0,CT376,IF(CU376=1,CT376/30,IF(CU376=2,CT376/15,IF(CU376=3,CT376/7,"")))))</f>
        <v/>
      </c>
      <c r="CW376" s="125" t="n">
        <v>1700</v>
      </c>
      <c r="CX376" s="0" t="n">
        <v>3</v>
      </c>
      <c r="CY376" s="0" t="n">
        <f aca="false">IF(CW376="","",IF(CX376=0,CW376,IF(CX376=1,CW376/30,IF(CX376=2,CW376/15,IF(CX376=3,CW376/7,CW376)))))</f>
        <v>242.857142857143</v>
      </c>
      <c r="CZ376" s="0" t="n">
        <f aca="false">IF(DI376&gt;0,DI376,IF(CY376&gt;0,CY376,IF(CV376&gt;0,CV376,"")))</f>
        <v>242.85</v>
      </c>
      <c r="DA376" s="0" t="str">
        <f aca="false">IF(DM376=1,CZ376/8,IF(OR(DM376=2,DM376=4),CZ376/7,IF(DM376=3,CZ376/7.5,"")))</f>
        <v/>
      </c>
      <c r="DB376" s="0" t="s">
        <v>216</v>
      </c>
      <c r="DC376" s="0" t="s">
        <v>216</v>
      </c>
      <c r="DD376" s="0" t="s">
        <v>216</v>
      </c>
      <c r="DE376" s="0" t="s">
        <v>216</v>
      </c>
      <c r="DF376" s="0" t="s">
        <v>216</v>
      </c>
      <c r="DG376" s="0" t="s">
        <v>216</v>
      </c>
      <c r="DH376" s="0" t="n">
        <v>0</v>
      </c>
      <c r="DI376" s="126" t="n">
        <v>242.85</v>
      </c>
      <c r="DK376" s="0" t="n">
        <v>0</v>
      </c>
      <c r="DM376" s="0" t="n">
        <v>0</v>
      </c>
      <c r="DN376" s="0" t="s">
        <v>221</v>
      </c>
      <c r="DP376" s="0" t="n">
        <v>0</v>
      </c>
      <c r="DQ376" s="0" t="n">
        <v>1</v>
      </c>
      <c r="DR376" s="0"/>
      <c r="DS376" s="0" t="n">
        <v>1</v>
      </c>
      <c r="DU376" s="0" t="n">
        <v>1</v>
      </c>
      <c r="DW376" s="1" t="n">
        <v>39822</v>
      </c>
      <c r="DX376" s="1" t="n">
        <v>40611</v>
      </c>
      <c r="DZ376" s="0"/>
      <c r="EA376" s="0" t="n">
        <v>1</v>
      </c>
      <c r="EC376" s="1" t="n">
        <v>39822</v>
      </c>
      <c r="ED376" s="1" t="n">
        <v>40611</v>
      </c>
      <c r="EF376" s="0"/>
      <c r="EG376" s="0" t="n">
        <v>1</v>
      </c>
      <c r="EH376" s="0" t="s">
        <v>221</v>
      </c>
      <c r="EI376" s="0" t="str">
        <f aca="false">IF(AND(DM376=1,DN376&lt;=48),"",IF(AND(DM376=2,DN376&lt;=42),"",IF(AND(DM376=3,DN376&lt;=45),"",EH376)))</f>
        <v>NO ESPECIFICA</v>
      </c>
      <c r="EJ376" s="0" t="n">
        <f aca="false">IF(EI376="","",IF(EI376&lt;9,EI376,9))</f>
        <v>9</v>
      </c>
      <c r="EK376" s="0" t="e">
        <f aca="false">IF(EI376="","",IF(EI376&gt;9,EI376-EJ376,0))</f>
        <v>#VALUE!</v>
      </c>
      <c r="EL376" s="0" t="e">
        <f aca="false">IF(EI376="","",EJ376*DA376*2+EK376*DA376*3)</f>
        <v>#VALUE!</v>
      </c>
      <c r="EP376" s="0" t="n">
        <v>0</v>
      </c>
      <c r="EQ376" s="0"/>
      <c r="ER376" s="0" t="n">
        <v>1</v>
      </c>
      <c r="ET376" s="0" t="n">
        <v>0</v>
      </c>
      <c r="EV376" s="0" t="n">
        <v>1</v>
      </c>
      <c r="EX376" s="0" t="n">
        <v>1</v>
      </c>
      <c r="EY376" s="0" t="n">
        <v>0</v>
      </c>
      <c r="EZ376" s="0"/>
      <c r="FA376" s="0"/>
      <c r="FB376" s="0" t="n">
        <v>0</v>
      </c>
      <c r="FF376" s="120" t="n">
        <f aca="false">(CJ376-CI376+1)/365</f>
        <v>2.16438356164384</v>
      </c>
      <c r="FG376" s="0" t="str">
        <f aca="false">CONCATENATE(F376,"/",G376)</f>
        <v>917/2011</v>
      </c>
      <c r="FH376" s="0" t="n">
        <v>0</v>
      </c>
      <c r="FI376" s="0" t="n">
        <v>0</v>
      </c>
    </row>
    <row r="377" customFormat="false" ht="15" hidden="false" customHeight="false" outlineLevel="0" collapsed="false">
      <c r="A377" s="5" t="str">
        <f aca="false">E377&amp;G377&amp;F377</f>
        <v>72011922</v>
      </c>
      <c r="B377" s="0" t="s">
        <v>3732</v>
      </c>
      <c r="C377" s="1" t="n">
        <v>42412</v>
      </c>
      <c r="E377" s="0" t="n">
        <v>7</v>
      </c>
      <c r="F377" s="0" t="n">
        <v>922</v>
      </c>
      <c r="G377" s="0" t="n">
        <v>2011</v>
      </c>
      <c r="H377" s="0" t="str">
        <f aca="false">"J"&amp;E377&amp;"\"&amp;F377&amp;"\"&amp;G377&amp;"\"&amp;W377</f>
        <v>J7\922\2011\1</v>
      </c>
      <c r="I377" s="0"/>
      <c r="J377" s="1" t="n">
        <v>40689</v>
      </c>
      <c r="K377" s="0" t="n">
        <v>0</v>
      </c>
      <c r="M377" s="1" t="n">
        <v>40689</v>
      </c>
      <c r="N377" s="1" t="n">
        <v>40840</v>
      </c>
      <c r="O377" s="1"/>
      <c r="P377" s="1"/>
      <c r="Q377" s="1"/>
      <c r="T377" s="121"/>
      <c r="U377" s="121"/>
      <c r="V377" s="122" t="n">
        <f aca="false">IF(AND(E377&gt;0,F377&gt;0,G377&gt;0),COUNTIFS($E:$E,E377,$F:$F,F377,$G:$G,G377),"")</f>
        <v>1</v>
      </c>
      <c r="W377" s="122" t="n">
        <f aca="false">IF(V377="","",IF(V377=1,1,IF(AND(E376=E377,F376=F377,G376=G377),W376+1,1)))</f>
        <v>1</v>
      </c>
      <c r="X377" s="0" t="n">
        <v>1</v>
      </c>
      <c r="Y377" s="0" t="n">
        <v>4</v>
      </c>
      <c r="Z377" s="0" t="s">
        <v>3897</v>
      </c>
      <c r="AA377" s="0" t="n">
        <v>0</v>
      </c>
      <c r="AB377" s="0" t="s">
        <v>3898</v>
      </c>
      <c r="AC377" s="0" t="s">
        <v>318</v>
      </c>
      <c r="AD377" s="0" t="s">
        <v>221</v>
      </c>
      <c r="AE377" s="0" t="n">
        <v>0</v>
      </c>
      <c r="AF377" s="0" t="s">
        <v>3899</v>
      </c>
      <c r="AG377" s="0" t="n">
        <v>1</v>
      </c>
      <c r="AH377" s="0" t="s">
        <v>3900</v>
      </c>
      <c r="AI377" s="0" t="s">
        <v>2760</v>
      </c>
      <c r="AJ377" s="0" t="s">
        <v>322</v>
      </c>
      <c r="AL377" s="0" t="s">
        <v>3901</v>
      </c>
      <c r="AM377" s="0" t="n">
        <v>1</v>
      </c>
      <c r="AN377" s="0" t="s">
        <v>3902</v>
      </c>
      <c r="AO377" s="0" t="s">
        <v>3903</v>
      </c>
      <c r="AP377" s="0" t="s">
        <v>322</v>
      </c>
      <c r="AR377" s="0" t="s">
        <v>3904</v>
      </c>
      <c r="AS377" s="0" t="n">
        <v>0</v>
      </c>
      <c r="AT377" s="0" t="s">
        <v>3902</v>
      </c>
      <c r="AU377" s="0" t="s">
        <v>3903</v>
      </c>
      <c r="AV377" s="0" t="s">
        <v>322</v>
      </c>
      <c r="AX377" s="0" t="s">
        <v>1637</v>
      </c>
      <c r="AY377" s="0" t="n">
        <v>1</v>
      </c>
      <c r="AZ377" s="0" t="s">
        <v>3902</v>
      </c>
      <c r="BA377" s="0" t="s">
        <v>3903</v>
      </c>
      <c r="BB377" s="0" t="s">
        <v>322</v>
      </c>
      <c r="BP377" s="0" t="n">
        <v>0</v>
      </c>
      <c r="BQ377" s="0" t="n">
        <v>0</v>
      </c>
      <c r="BR377" s="0" t="n">
        <v>1</v>
      </c>
      <c r="BS377" s="0" t="s">
        <v>1106</v>
      </c>
      <c r="BT377" s="0" t="s">
        <v>1107</v>
      </c>
      <c r="BU377" s="0" t="s">
        <v>3905</v>
      </c>
      <c r="BV377" s="123"/>
      <c r="BW377" s="123"/>
      <c r="BX377" s="123"/>
      <c r="BY377" s="123"/>
      <c r="BZ377" s="0" t="n">
        <v>0</v>
      </c>
      <c r="CA377" s="0" t="s">
        <v>3906</v>
      </c>
      <c r="CD377" s="0" t="s">
        <v>2546</v>
      </c>
      <c r="CE377" s="0" t="n">
        <v>0</v>
      </c>
      <c r="CF377" s="0" t="s">
        <v>3907</v>
      </c>
      <c r="CI377" s="1" t="n">
        <v>39248</v>
      </c>
      <c r="CJ377" s="1" t="n">
        <v>40682</v>
      </c>
      <c r="CK377" s="124" t="n">
        <v>0.416666666666667</v>
      </c>
      <c r="CL377" s="0" t="s">
        <v>3908</v>
      </c>
      <c r="CM377" s="0" t="n">
        <f aca="false">IF(OR(CI377="",CJ377=""),"",DAYS360(CI377,CJ377)/360)</f>
        <v>3.92777777777778</v>
      </c>
      <c r="CN377" s="0" t="n">
        <f aca="false">IF(OR(CI377="",CJ377=""),"",DAYS360(CI377,CJ377)/30)</f>
        <v>47.1333333333333</v>
      </c>
      <c r="CO377" s="0" t="n">
        <f aca="false">IF(OR(CI377="",CJ377=""),"",DAYS360(CI377,CJ377)/7)</f>
        <v>202</v>
      </c>
      <c r="CP377" s="0" t="n">
        <f aca="false">IF(OR(CI377="",CJ377=""),"",DAYS360(CI377,CJ377))</f>
        <v>1414</v>
      </c>
      <c r="CQ377" s="0" t="s">
        <v>220</v>
      </c>
      <c r="CR377" s="0" t="n">
        <v>1</v>
      </c>
      <c r="CT377" s="0" t="n">
        <v>166.66</v>
      </c>
      <c r="CU377" s="0" t="n">
        <v>0</v>
      </c>
      <c r="CV377" s="0" t="n">
        <f aca="false">IF(OR(CT377="",CT377="NO ESPECIFICA",CT377="NO MENCIONA"),"",IF(CU377=0,CT377,IF(CU377=1,CT377/30,IF(CU377=2,CT377/15,IF(CU377=3,CT377/7,"")))))</f>
        <v>166.66</v>
      </c>
      <c r="CW377" s="125" t="n">
        <v>175.46</v>
      </c>
      <c r="CX377" s="0" t="n">
        <v>0</v>
      </c>
      <c r="CY377" s="0" t="n">
        <f aca="false">IF(CW377="","",IF(CX377=0,CW377,IF(CX377=1,CW377/30,IF(CX377=2,CW377/15,IF(CX377=3,CW377/7,CW377)))))</f>
        <v>175.46</v>
      </c>
      <c r="CZ377" s="0" t="n">
        <f aca="false">IF(DI377&gt;0,DI377,IF(CY377&gt;0,CY377,IF(CV377&gt;0,CV377,"")))</f>
        <v>175.46</v>
      </c>
      <c r="DA377" s="0" t="n">
        <f aca="false">IF(DM377=1,CZ377/8,IF(OR(DM377=2,DM377=4),CZ377/7,IF(DM377=3,CZ377/7.5,"")))</f>
        <v>21.9325</v>
      </c>
      <c r="DB377" s="0" t="s">
        <v>299</v>
      </c>
      <c r="DC377" s="0" t="s">
        <v>3909</v>
      </c>
      <c r="DD377" s="0" t="s">
        <v>216</v>
      </c>
      <c r="DE377" s="0" t="s">
        <v>216</v>
      </c>
      <c r="DF377" s="0" t="s">
        <v>216</v>
      </c>
      <c r="DG377" s="0" t="s">
        <v>216</v>
      </c>
      <c r="DH377" s="0" t="n">
        <v>0</v>
      </c>
      <c r="DI377" s="126" t="n">
        <v>175.46</v>
      </c>
      <c r="DK377" s="0" t="n">
        <v>1</v>
      </c>
      <c r="DM377" s="0" t="n">
        <v>1</v>
      </c>
      <c r="DN377" s="0" t="n">
        <v>53</v>
      </c>
      <c r="DO377" s="0" t="n">
        <v>3</v>
      </c>
      <c r="DP377" s="0" t="n">
        <v>1</v>
      </c>
      <c r="DQ377" s="0" t="n">
        <v>1</v>
      </c>
      <c r="DR377" s="0"/>
      <c r="DS377" s="0" t="n">
        <v>1</v>
      </c>
      <c r="DU377" s="0" t="n">
        <v>1</v>
      </c>
      <c r="DW377" s="1" t="n">
        <v>39979</v>
      </c>
      <c r="DX377" s="1" t="n">
        <v>40682</v>
      </c>
      <c r="DZ377" s="0"/>
      <c r="EA377" s="0" t="n">
        <v>1</v>
      </c>
      <c r="EC377" s="1" t="n">
        <v>40179</v>
      </c>
      <c r="ED377" s="1" t="n">
        <v>40682</v>
      </c>
      <c r="EF377" s="0"/>
      <c r="EG377" s="0" t="n">
        <v>0</v>
      </c>
      <c r="EI377" s="0" t="n">
        <f aca="false">IF(AND(DM377=1,DN377&lt;=48),"",IF(AND(DM377=2,DN377&lt;=42),"",IF(AND(DM377=3,DN377&lt;=45),"",EH377)))</f>
        <v>0</v>
      </c>
      <c r="EJ377" s="0" t="str">
        <f aca="false">IF(EI377="","",IF(EI377&lt;9,EI377,9))</f>
        <v/>
      </c>
      <c r="EK377" s="0" t="str">
        <f aca="false">IF(EI377="","",IF(EI377&gt;9,EI377-EJ377,0))</f>
        <v/>
      </c>
      <c r="EL377" s="0" t="str">
        <f aca="false">IF(EI377="","",EJ377*DA377*2+EK377*DA377*3)</f>
        <v/>
      </c>
      <c r="EP377" s="0" t="n">
        <v>1</v>
      </c>
      <c r="EQ377" s="0"/>
      <c r="ER377" s="0" t="n">
        <v>0</v>
      </c>
      <c r="ET377" s="0" t="n">
        <v>0</v>
      </c>
      <c r="EV377" s="0" t="n">
        <v>0</v>
      </c>
      <c r="EX377" s="0" t="n">
        <v>1</v>
      </c>
      <c r="EY377" s="0" t="n">
        <v>1</v>
      </c>
      <c r="EZ377" s="0"/>
      <c r="FA377" s="0"/>
      <c r="FB377" s="0" t="n">
        <v>1</v>
      </c>
      <c r="FF377" s="120" t="n">
        <f aca="false">(CJ377-CI377+1)/365</f>
        <v>3.93150684931507</v>
      </c>
      <c r="FG377" s="0" t="str">
        <f aca="false">CONCATENATE(F377,"/",G377)</f>
        <v>922/2011</v>
      </c>
      <c r="FH377" s="0" t="n">
        <v>0</v>
      </c>
      <c r="FI377" s="0" t="n">
        <v>0</v>
      </c>
    </row>
    <row r="378" customFormat="false" ht="15" hidden="false" customHeight="false" outlineLevel="0" collapsed="false">
      <c r="A378" s="5" t="str">
        <f aca="false">E378&amp;G378&amp;F378</f>
        <v>72011929</v>
      </c>
      <c r="B378" s="0" t="s">
        <v>3732</v>
      </c>
      <c r="C378" s="1" t="n">
        <v>42412</v>
      </c>
      <c r="D378" s="0" t="s">
        <v>1856</v>
      </c>
      <c r="E378" s="0" t="n">
        <v>7</v>
      </c>
      <c r="F378" s="0" t="n">
        <v>929</v>
      </c>
      <c r="G378" s="0" t="n">
        <v>2011</v>
      </c>
      <c r="H378" s="0" t="str">
        <f aca="false">"J"&amp;E378&amp;"\"&amp;F378&amp;"\"&amp;G378&amp;"\"&amp;W378</f>
        <v>J7\929\2011\1</v>
      </c>
      <c r="I378" s="0"/>
      <c r="J378" s="1" t="n">
        <v>40689</v>
      </c>
      <c r="K378" s="0" t="n">
        <v>0</v>
      </c>
      <c r="M378" s="1"/>
      <c r="N378" s="1"/>
      <c r="O378" s="1"/>
      <c r="P378" s="1"/>
      <c r="Q378" s="1"/>
      <c r="T378" s="121"/>
      <c r="U378" s="121"/>
      <c r="V378" s="122" t="n">
        <f aca="false">IF(AND(E378&gt;0,F378&gt;0,G378&gt;0),COUNTIFS($E:$E,E378,$F:$F,F378,$G:$G,G378),"")</f>
        <v>1</v>
      </c>
      <c r="W378" s="122" t="n">
        <f aca="false">IF(V378="","",IF(V378=1,1,IF(AND(E377=E378,F377=F378,G377=G378),W377+1,1)))</f>
        <v>1</v>
      </c>
      <c r="X378" s="0" t="n">
        <v>1</v>
      </c>
      <c r="Y378" s="0" t="n">
        <v>6</v>
      </c>
      <c r="Z378" s="0" t="s">
        <v>3910</v>
      </c>
      <c r="AA378" s="0" t="n">
        <v>0</v>
      </c>
      <c r="AB378" s="0" t="s">
        <v>3911</v>
      </c>
      <c r="AC378" s="0" t="s">
        <v>1123</v>
      </c>
      <c r="AD378" s="0" t="s">
        <v>322</v>
      </c>
      <c r="AE378" s="0" t="n">
        <v>0</v>
      </c>
      <c r="AF378" s="0" t="s">
        <v>3912</v>
      </c>
      <c r="AG378" s="0" t="n">
        <v>0</v>
      </c>
      <c r="AH378" s="0" t="s">
        <v>3913</v>
      </c>
      <c r="AI378" s="0" t="s">
        <v>433</v>
      </c>
      <c r="AJ378" s="0" t="s">
        <v>221</v>
      </c>
      <c r="AL378" s="0" t="s">
        <v>3914</v>
      </c>
      <c r="AM378" s="0" t="n">
        <v>0</v>
      </c>
      <c r="AN378" s="0" t="s">
        <v>3913</v>
      </c>
      <c r="AO378" s="0" t="s">
        <v>433</v>
      </c>
      <c r="AP378" s="0" t="s">
        <v>221</v>
      </c>
      <c r="AR378" s="0" t="s">
        <v>3915</v>
      </c>
      <c r="AS378" s="0" t="n">
        <v>0</v>
      </c>
      <c r="AT378" s="0" t="s">
        <v>3913</v>
      </c>
      <c r="AU378" s="0" t="s">
        <v>433</v>
      </c>
      <c r="AV378" s="0" t="s">
        <v>221</v>
      </c>
      <c r="AX378" s="0" t="s">
        <v>3916</v>
      </c>
      <c r="AY378" s="0" t="n">
        <v>1</v>
      </c>
      <c r="AZ378" s="0" t="s">
        <v>3913</v>
      </c>
      <c r="BA378" s="0" t="s">
        <v>433</v>
      </c>
      <c r="BB378" s="0" t="s">
        <v>221</v>
      </c>
      <c r="BD378" s="0" t="s">
        <v>3917</v>
      </c>
      <c r="BE378" s="0" t="n">
        <v>1</v>
      </c>
      <c r="BF378" s="0" t="s">
        <v>3913</v>
      </c>
      <c r="BG378" s="0" t="s">
        <v>433</v>
      </c>
      <c r="BH378" s="0" t="s">
        <v>221</v>
      </c>
      <c r="BJ378" s="0" t="s">
        <v>1637</v>
      </c>
      <c r="BK378" s="0" t="n">
        <v>1</v>
      </c>
      <c r="BL378" s="0" t="s">
        <v>3913</v>
      </c>
      <c r="BM378" s="0" t="s">
        <v>433</v>
      </c>
      <c r="BN378" s="0" t="s">
        <v>221</v>
      </c>
      <c r="BP378" s="0" t="n">
        <v>0</v>
      </c>
      <c r="BQ378" s="0" t="n">
        <v>0</v>
      </c>
      <c r="BR378" s="0" t="n">
        <v>1</v>
      </c>
      <c r="BS378" s="0" t="s">
        <v>3918</v>
      </c>
      <c r="BT378" s="0" t="s">
        <v>3919</v>
      </c>
      <c r="BU378" s="0" t="s">
        <v>3920</v>
      </c>
      <c r="BV378" s="123"/>
      <c r="BW378" s="123"/>
      <c r="BX378" s="123"/>
      <c r="BY378" s="123"/>
      <c r="BZ378" s="0" t="n">
        <v>0</v>
      </c>
      <c r="CA378" s="0" t="s">
        <v>216</v>
      </c>
      <c r="CD378" s="0" t="s">
        <v>370</v>
      </c>
      <c r="CE378" s="0" t="n">
        <v>1</v>
      </c>
      <c r="CF378" s="0" t="s">
        <v>3921</v>
      </c>
      <c r="CI378" s="1" t="n">
        <v>40238</v>
      </c>
      <c r="CJ378" s="1" t="n">
        <v>40660</v>
      </c>
      <c r="CK378" s="124" t="n">
        <v>0.333333333333333</v>
      </c>
      <c r="CL378" s="0" t="s">
        <v>3922</v>
      </c>
      <c r="CM378" s="0" t="n">
        <f aca="false">IF(OR(CI378="",CJ378=""),"",DAYS360(CI378,CJ378)/360)</f>
        <v>1.15555555555556</v>
      </c>
      <c r="CN378" s="0" t="n">
        <f aca="false">IF(OR(CI378="",CJ378=""),"",DAYS360(CI378,CJ378)/30)</f>
        <v>13.8666666666667</v>
      </c>
      <c r="CO378" s="0" t="n">
        <f aca="false">IF(OR(CI378="",CJ378=""),"",DAYS360(CI378,CJ378)/7)</f>
        <v>59.4285714285714</v>
      </c>
      <c r="CP378" s="0" t="n">
        <f aca="false">IF(OR(CI378="",CJ378=""),"",DAYS360(CI378,CJ378))</f>
        <v>416</v>
      </c>
      <c r="CQ378" s="0" t="s">
        <v>220</v>
      </c>
      <c r="CR378" s="0" t="n">
        <v>1</v>
      </c>
      <c r="CT378" s="0" t="s">
        <v>221</v>
      </c>
      <c r="CU378" s="0" t="s">
        <v>221</v>
      </c>
      <c r="CV378" s="0" t="str">
        <f aca="false">IF(OR(CT378="",CT378="NO ESPECIFICA",CT378="NO MENCIONA"),"",IF(CU378=0,CT378,IF(CU378=1,CT378/30,IF(CU378=2,CT378/15,IF(CU378=3,CT378/7,"")))))</f>
        <v/>
      </c>
      <c r="CW378" s="125" t="n">
        <v>822.33</v>
      </c>
      <c r="CX378" s="0" t="n">
        <v>0</v>
      </c>
      <c r="CY378" s="0" t="n">
        <f aca="false">IF(CW378="","",IF(CX378=0,CW378,IF(CX378=1,CW378/30,IF(CX378=2,CW378/15,IF(CX378=3,CW378/7,CW378)))))</f>
        <v>822.33</v>
      </c>
      <c r="CZ378" s="0" t="n">
        <f aca="false">IF(DI378&gt;0,DI378,IF(CY378&gt;0,CY378,IF(CV378&gt;0,CV378,"")))</f>
        <v>822.33</v>
      </c>
      <c r="DA378" s="0" t="n">
        <f aca="false">IF(DM378=1,CZ378/8,IF(OR(DM378=2,DM378=4),CZ378/7,IF(DM378=3,CZ378/7.5,"")))</f>
        <v>102.79125</v>
      </c>
      <c r="DB378" s="0" t="s">
        <v>216</v>
      </c>
      <c r="DC378" s="0" t="s">
        <v>216</v>
      </c>
      <c r="DD378" s="0" t="s">
        <v>216</v>
      </c>
      <c r="DE378" s="0" t="s">
        <v>216</v>
      </c>
      <c r="DF378" s="0" t="s">
        <v>216</v>
      </c>
      <c r="DG378" s="0" t="s">
        <v>216</v>
      </c>
      <c r="DH378" s="0" t="n">
        <v>0</v>
      </c>
      <c r="DI378" s="126" t="n">
        <v>822.33</v>
      </c>
      <c r="DK378" s="0" t="n">
        <v>0</v>
      </c>
      <c r="DM378" s="0" t="n">
        <v>1</v>
      </c>
      <c r="DN378" s="0" t="n">
        <v>55</v>
      </c>
      <c r="DO378" s="0" t="n">
        <v>3</v>
      </c>
      <c r="DP378" s="0" t="n">
        <v>1</v>
      </c>
      <c r="DQ378" s="0" t="n">
        <v>1</v>
      </c>
      <c r="DR378" s="0"/>
      <c r="DS378" s="0" t="n">
        <v>1</v>
      </c>
      <c r="DU378" s="0" t="n">
        <v>1</v>
      </c>
      <c r="DW378" s="1" t="n">
        <v>40238</v>
      </c>
      <c r="DX378" s="1" t="n">
        <v>40660</v>
      </c>
      <c r="DZ378" s="0"/>
      <c r="EA378" s="0" t="n">
        <v>1</v>
      </c>
      <c r="EC378" s="1" t="n">
        <v>40238</v>
      </c>
      <c r="ED378" s="1" t="n">
        <v>40660</v>
      </c>
      <c r="EF378" s="0"/>
      <c r="EG378" s="0" t="n">
        <v>1</v>
      </c>
      <c r="EH378" s="0" t="n">
        <v>7</v>
      </c>
      <c r="EI378" s="0" t="n">
        <f aca="false">IF(AND(DM378=1,DN378&lt;=48),"",IF(AND(DM378=2,DN378&lt;=42),"",IF(AND(DM378=3,DN378&lt;=45),"",EH378)))</f>
        <v>7</v>
      </c>
      <c r="EJ378" s="0" t="n">
        <f aca="false">IF(EI378="","",IF(EI378&lt;9,EI378,9))</f>
        <v>7</v>
      </c>
      <c r="EK378" s="0" t="n">
        <f aca="false">IF(EI378="","",IF(EI378&gt;9,EI378-EJ378,0))</f>
        <v>0</v>
      </c>
      <c r="EL378" s="0" t="n">
        <f aca="false">IF(EI378="","",EJ378*DA378*2+EK378*DA378*3)</f>
        <v>1439.0775</v>
      </c>
      <c r="EP378" s="0" t="n">
        <v>0</v>
      </c>
      <c r="EQ378" s="0"/>
      <c r="ER378" s="0" t="n">
        <v>0</v>
      </c>
      <c r="ET378" s="0" t="n">
        <v>0</v>
      </c>
      <c r="EV378" s="0" t="n">
        <v>1</v>
      </c>
      <c r="EX378" s="0" t="n">
        <v>0</v>
      </c>
      <c r="EY378" s="0" t="n">
        <v>1</v>
      </c>
      <c r="EZ378" s="4" t="n">
        <v>23000</v>
      </c>
      <c r="FA378" s="4" t="n">
        <v>25000</v>
      </c>
      <c r="FB378" s="0" t="n">
        <v>1</v>
      </c>
      <c r="FF378" s="120" t="n">
        <f aca="false">(CJ378-CI378+1)/365</f>
        <v>1.15890410958904</v>
      </c>
      <c r="FG378" s="0" t="str">
        <f aca="false">CONCATENATE(F378,"/",G378)</f>
        <v>929/2011</v>
      </c>
      <c r="FH378" s="0" t="n">
        <v>0</v>
      </c>
      <c r="FI378" s="0" t="n">
        <v>0</v>
      </c>
    </row>
    <row r="379" customFormat="false" ht="15" hidden="false" customHeight="false" outlineLevel="0" collapsed="false">
      <c r="A379" s="5" t="str">
        <f aca="false">E379&amp;G379&amp;F379</f>
        <v>72011931</v>
      </c>
      <c r="B379" s="0" t="s">
        <v>3732</v>
      </c>
      <c r="C379" s="1" t="n">
        <v>42412</v>
      </c>
      <c r="D379" s="0" t="s">
        <v>1856</v>
      </c>
      <c r="E379" s="0" t="n">
        <v>7</v>
      </c>
      <c r="F379" s="0" t="n">
        <v>931</v>
      </c>
      <c r="G379" s="0" t="n">
        <v>2011</v>
      </c>
      <c r="H379" s="0" t="str">
        <f aca="false">"J"&amp;E379&amp;"\"&amp;F379&amp;"\"&amp;G379&amp;"\"&amp;W379</f>
        <v>J7\931\2011\1</v>
      </c>
      <c r="I379" s="0"/>
      <c r="J379" s="1" t="n">
        <v>40690</v>
      </c>
      <c r="K379" s="0" t="n">
        <v>0</v>
      </c>
      <c r="M379" s="1"/>
      <c r="N379" s="1"/>
      <c r="O379" s="1"/>
      <c r="P379" s="1"/>
      <c r="Q379" s="1"/>
      <c r="T379" s="121"/>
      <c r="U379" s="121"/>
      <c r="V379" s="122" t="n">
        <f aca="false">IF(AND(E379&gt;0,F379&gt;0,G379&gt;0),COUNTIFS($E:$E,E379,$F:$F,F379,$G:$G,G379),"")</f>
        <v>1</v>
      </c>
      <c r="W379" s="122" t="n">
        <f aca="false">IF(V379="","",IF(V379=1,1,IF(AND(E378=E379,F378=F379,G378=G379),W378+1,1)))</f>
        <v>1</v>
      </c>
      <c r="X379" s="0" t="n">
        <v>1</v>
      </c>
      <c r="Y379" s="0" t="n">
        <v>3</v>
      </c>
      <c r="Z379" s="0" t="s">
        <v>3923</v>
      </c>
      <c r="AA379" s="0" t="n">
        <v>0</v>
      </c>
      <c r="AB379" s="0" t="s">
        <v>814</v>
      </c>
      <c r="AC379" s="0" t="s">
        <v>2460</v>
      </c>
      <c r="AD379" s="0" t="s">
        <v>229</v>
      </c>
      <c r="AE379" s="0" t="n">
        <v>0</v>
      </c>
      <c r="AF379" s="0" t="s">
        <v>3924</v>
      </c>
      <c r="AG379" s="0" t="n">
        <v>1</v>
      </c>
      <c r="AH379" s="0" t="s">
        <v>3925</v>
      </c>
      <c r="AI379" s="0" t="s">
        <v>3926</v>
      </c>
      <c r="AJ379" s="0" t="s">
        <v>590</v>
      </c>
      <c r="AL379" s="0" t="s">
        <v>3927</v>
      </c>
      <c r="AM379" s="0" t="n">
        <v>2</v>
      </c>
      <c r="AN379" s="0" t="s">
        <v>3925</v>
      </c>
      <c r="AO379" s="0" t="s">
        <v>3926</v>
      </c>
      <c r="AP379" s="0" t="s">
        <v>590</v>
      </c>
      <c r="AR379" s="0" t="s">
        <v>1637</v>
      </c>
      <c r="AS379" s="0" t="n">
        <v>1</v>
      </c>
      <c r="AT379" s="0" t="s">
        <v>3925</v>
      </c>
      <c r="AU379" s="0" t="s">
        <v>3926</v>
      </c>
      <c r="AV379" s="0" t="s">
        <v>590</v>
      </c>
      <c r="BP379" s="0" t="n">
        <v>0</v>
      </c>
      <c r="BQ379" s="0" t="n">
        <v>0</v>
      </c>
      <c r="BR379" s="0" t="n">
        <v>1</v>
      </c>
      <c r="BS379" s="0" t="s">
        <v>822</v>
      </c>
      <c r="BT379" s="0" t="s">
        <v>823</v>
      </c>
      <c r="BU379" s="0" t="s">
        <v>824</v>
      </c>
      <c r="BV379" s="123"/>
      <c r="BW379" s="123"/>
      <c r="BX379" s="123"/>
      <c r="BY379" s="123"/>
      <c r="BZ379" s="0" t="n">
        <v>0</v>
      </c>
      <c r="CA379" s="0" t="s">
        <v>216</v>
      </c>
      <c r="CD379" s="0" t="s">
        <v>256</v>
      </c>
      <c r="CE379" s="0" t="n">
        <v>0</v>
      </c>
      <c r="CF379" s="0" t="s">
        <v>2820</v>
      </c>
      <c r="CI379" s="1" t="n">
        <v>40498</v>
      </c>
      <c r="CJ379" s="1" t="n">
        <v>40688</v>
      </c>
      <c r="CK379" s="124" t="n">
        <v>0.333333333333333</v>
      </c>
      <c r="CL379" s="0" t="s">
        <v>3928</v>
      </c>
      <c r="CM379" s="0" t="n">
        <f aca="false">IF(OR(CI379="",CJ379=""),"",DAYS360(CI379,CJ379)/360)</f>
        <v>0.525</v>
      </c>
      <c r="CN379" s="0" t="n">
        <f aca="false">IF(OR(CI379="",CJ379=""),"",DAYS360(CI379,CJ379)/30)</f>
        <v>6.3</v>
      </c>
      <c r="CO379" s="0" t="n">
        <f aca="false">IF(OR(CI379="",CJ379=""),"",DAYS360(CI379,CJ379)/7)</f>
        <v>27</v>
      </c>
      <c r="CP379" s="0" t="n">
        <f aca="false">IF(OR(CI379="",CJ379=""),"",DAYS360(CI379,CJ379))</f>
        <v>189</v>
      </c>
      <c r="CQ379" s="0" t="s">
        <v>240</v>
      </c>
      <c r="CR379" s="0" t="n">
        <v>1</v>
      </c>
      <c r="CT379" s="0" t="s">
        <v>221</v>
      </c>
      <c r="CU379" s="0" t="s">
        <v>221</v>
      </c>
      <c r="CV379" s="0" t="str">
        <f aca="false">IF(OR(CT379="",CT379="NO ESPECIFICA",CT379="NO MENCIONA"),"",IF(CU379=0,CT379,IF(CU379=1,CT379/30,IF(CU379=2,CT379/15,IF(CU379=3,CT379/7,"")))))</f>
        <v/>
      </c>
      <c r="CW379" s="125" t="n">
        <v>130</v>
      </c>
      <c r="CX379" s="0" t="n">
        <v>0</v>
      </c>
      <c r="CY379" s="0" t="n">
        <f aca="false">IF(CW379="","",IF(CX379=0,CW379,IF(CX379=1,CW379/30,IF(CX379=2,CW379/15,IF(CX379=3,CW379/7,CW379)))))</f>
        <v>130</v>
      </c>
      <c r="CZ379" s="0" t="n">
        <f aca="false">IF(DI379&gt;0,DI379,IF(CY379&gt;0,CY379,IF(CV379&gt;0,CV379,"")))</f>
        <v>130</v>
      </c>
      <c r="DA379" s="0" t="n">
        <f aca="false">IF(DM379=1,CZ379/8,IF(OR(DM379=2,DM379=4),CZ379/7,IF(DM379=3,CZ379/7.5,"")))</f>
        <v>16.25</v>
      </c>
      <c r="DB379" s="0" t="s">
        <v>216</v>
      </c>
      <c r="DC379" s="0" t="s">
        <v>216</v>
      </c>
      <c r="DD379" s="0" t="s">
        <v>216</v>
      </c>
      <c r="DE379" s="0" t="s">
        <v>216</v>
      </c>
      <c r="DF379" s="0" t="s">
        <v>216</v>
      </c>
      <c r="DG379" s="0" t="s">
        <v>216</v>
      </c>
      <c r="DH379" s="0" t="n">
        <v>0</v>
      </c>
      <c r="DI379" s="126" t="n">
        <v>130</v>
      </c>
      <c r="DK379" s="0" t="n">
        <v>0</v>
      </c>
      <c r="DM379" s="0" t="n">
        <v>1</v>
      </c>
      <c r="DN379" s="0" t="n">
        <v>72</v>
      </c>
      <c r="DO379" s="0" t="n">
        <v>3</v>
      </c>
      <c r="DP379" s="0" t="n">
        <v>0</v>
      </c>
      <c r="DQ379" s="0" t="n">
        <v>1</v>
      </c>
      <c r="DR379" s="0"/>
      <c r="DS379" s="0" t="n">
        <v>1</v>
      </c>
      <c r="DU379" s="0" t="n">
        <v>1</v>
      </c>
      <c r="DW379" s="1" t="n">
        <v>40498</v>
      </c>
      <c r="DX379" s="1" t="n">
        <v>40688</v>
      </c>
      <c r="DZ379" s="0"/>
      <c r="EA379" s="0" t="n">
        <v>1</v>
      </c>
      <c r="EC379" s="1" t="n">
        <v>40498</v>
      </c>
      <c r="ED379" s="1" t="n">
        <v>40688</v>
      </c>
      <c r="EF379" s="0"/>
      <c r="EG379" s="0" t="n">
        <v>1</v>
      </c>
      <c r="EH379" s="0" t="n">
        <v>18</v>
      </c>
      <c r="EI379" s="0" t="n">
        <f aca="false">IF(AND(DM379=1,DN379&lt;=48),"",IF(AND(DM379=2,DN379&lt;=42),"",IF(AND(DM379=3,DN379&lt;=45),"",EH379)))</f>
        <v>18</v>
      </c>
      <c r="EJ379" s="0" t="n">
        <f aca="false">IF(EI379="","",IF(EI379&lt;9,EI379,9))</f>
        <v>9</v>
      </c>
      <c r="EK379" s="0" t="n">
        <f aca="false">IF(EI379="","",IF(EI379&gt;9,EI379-EJ379,0))</f>
        <v>9</v>
      </c>
      <c r="EL379" s="0" t="n">
        <f aca="false">IF(EI379="","",EJ379*DA379*2+EK379*DA379*3)</f>
        <v>731.25</v>
      </c>
      <c r="EP379" s="0" t="n">
        <v>0</v>
      </c>
      <c r="EQ379" s="0"/>
      <c r="ER379" s="0" t="n">
        <v>0</v>
      </c>
      <c r="ET379" s="0" t="n">
        <v>0</v>
      </c>
      <c r="EV379" s="0" t="n">
        <v>0</v>
      </c>
      <c r="EX379" s="0" t="n">
        <v>1</v>
      </c>
      <c r="EY379" s="0" t="n">
        <v>0</v>
      </c>
      <c r="EZ379" s="0"/>
      <c r="FA379" s="4" t="n">
        <v>260</v>
      </c>
      <c r="FB379" s="0" t="n">
        <v>1</v>
      </c>
      <c r="FF379" s="120" t="n">
        <f aca="false">(CJ379-CI379+1)/365</f>
        <v>0.523287671232877</v>
      </c>
      <c r="FG379" s="0" t="str">
        <f aca="false">CONCATENATE(F379,"/",G379)</f>
        <v>931/2011</v>
      </c>
      <c r="FH379" s="0" t="n">
        <v>0</v>
      </c>
      <c r="FI379" s="0" t="n">
        <v>0</v>
      </c>
    </row>
    <row r="380" customFormat="false" ht="15" hidden="false" customHeight="false" outlineLevel="0" collapsed="false">
      <c r="A380" s="5" t="str">
        <f aca="false">E380&amp;G380&amp;F380</f>
        <v>72011940</v>
      </c>
      <c r="B380" s="0" t="s">
        <v>3732</v>
      </c>
      <c r="C380" s="1" t="n">
        <v>42412</v>
      </c>
      <c r="D380" s="0" t="s">
        <v>1856</v>
      </c>
      <c r="E380" s="0" t="n">
        <v>7</v>
      </c>
      <c r="F380" s="0" t="n">
        <v>940</v>
      </c>
      <c r="G380" s="0" t="n">
        <v>2011</v>
      </c>
      <c r="H380" s="0" t="str">
        <f aca="false">"J"&amp;E380&amp;"\"&amp;F380&amp;"\"&amp;G380&amp;"\"&amp;W380</f>
        <v>J7\940\2011\1</v>
      </c>
      <c r="I380" s="0"/>
      <c r="J380" s="1" t="n">
        <v>40690</v>
      </c>
      <c r="K380" s="0" t="n">
        <v>0</v>
      </c>
      <c r="M380" s="1"/>
      <c r="N380" s="1"/>
      <c r="O380" s="1"/>
      <c r="P380" s="1"/>
      <c r="Q380" s="1"/>
      <c r="T380" s="121"/>
      <c r="U380" s="121"/>
      <c r="V380" s="122" t="n">
        <f aca="false">IF(AND(E380&gt;0,F380&gt;0,G380&gt;0),COUNTIFS($E:$E,E380,$F:$F,F380,$G:$G,G380),"")</f>
        <v>1</v>
      </c>
      <c r="W380" s="122" t="n">
        <f aca="false">IF(V380="","",IF(V380=1,1,IF(AND(E379=E380,F379=F380,G379=G380),W379+1,1)))</f>
        <v>1</v>
      </c>
      <c r="X380" s="0" t="n">
        <v>1</v>
      </c>
      <c r="Y380" s="0" t="n">
        <v>1</v>
      </c>
      <c r="Z380" s="0" t="s">
        <v>3929</v>
      </c>
      <c r="AA380" s="0" t="n">
        <v>0</v>
      </c>
      <c r="AB380" s="0" t="s">
        <v>3930</v>
      </c>
      <c r="AC380" s="0" t="s">
        <v>3931</v>
      </c>
      <c r="AD380" s="0" t="s">
        <v>221</v>
      </c>
      <c r="AE380" s="0" t="n">
        <v>0</v>
      </c>
      <c r="AF380" s="0" t="s">
        <v>3932</v>
      </c>
      <c r="AG380" s="0" t="n">
        <v>0</v>
      </c>
      <c r="AH380" s="0" t="s">
        <v>3933</v>
      </c>
      <c r="AI380" s="0" t="s">
        <v>2460</v>
      </c>
      <c r="AJ380" s="0" t="s">
        <v>221</v>
      </c>
      <c r="BP380" s="0" t="n">
        <v>0</v>
      </c>
      <c r="BQ380" s="0" t="n">
        <v>0</v>
      </c>
      <c r="BR380" s="0" t="n">
        <v>1</v>
      </c>
      <c r="BS380" s="0" t="s">
        <v>3934</v>
      </c>
      <c r="BT380" s="0" t="s">
        <v>3935</v>
      </c>
      <c r="BU380" s="0" t="s">
        <v>3936</v>
      </c>
      <c r="BV380" s="123"/>
      <c r="BW380" s="123"/>
      <c r="BX380" s="123"/>
      <c r="BY380" s="123"/>
      <c r="BZ380" s="0" t="n">
        <v>0</v>
      </c>
      <c r="CA380" s="0" t="s">
        <v>216</v>
      </c>
      <c r="CD380" s="0" t="s">
        <v>216</v>
      </c>
      <c r="CE380" s="0" t="n">
        <v>1</v>
      </c>
      <c r="CF380" s="0" t="s">
        <v>3937</v>
      </c>
      <c r="CI380" s="1" t="n">
        <v>40108</v>
      </c>
      <c r="CJ380" s="1" t="n">
        <v>40630</v>
      </c>
      <c r="CK380" s="124" t="n">
        <v>0.833333333333333</v>
      </c>
      <c r="CL380" s="0" t="s">
        <v>3938</v>
      </c>
      <c r="CM380" s="0" t="n">
        <f aca="false">IF(OR(CI380="",CJ380=""),"",DAYS360(CI380,CJ380)/360)</f>
        <v>1.43333333333333</v>
      </c>
      <c r="CN380" s="0" t="n">
        <f aca="false">IF(OR(CI380="",CJ380=""),"",DAYS360(CI380,CJ380)/30)</f>
        <v>17.2</v>
      </c>
      <c r="CO380" s="0" t="n">
        <f aca="false">IF(OR(CI380="",CJ380=""),"",DAYS360(CI380,CJ380)/7)</f>
        <v>73.7142857142857</v>
      </c>
      <c r="CP380" s="0" t="n">
        <f aca="false">IF(OR(CI380="",CJ380=""),"",DAYS360(CI380,CJ380))</f>
        <v>516</v>
      </c>
      <c r="CQ380" s="0" t="s">
        <v>240</v>
      </c>
      <c r="CR380" s="0" t="n">
        <v>1</v>
      </c>
      <c r="CT380" s="0" t="s">
        <v>221</v>
      </c>
      <c r="CU380" s="0" t="s">
        <v>221</v>
      </c>
      <c r="CV380" s="0" t="str">
        <f aca="false">IF(OR(CT380="",CT380="NO ESPECIFICA",CT380="NO MENCIONA"),"",IF(CU380=0,CT380,IF(CU380=1,CT380/30,IF(CU380=2,CT380/15,IF(CU380=3,CT380/7,"")))))</f>
        <v/>
      </c>
      <c r="CW380" s="125" t="n">
        <v>50000</v>
      </c>
      <c r="CX380" s="0" t="n">
        <v>1</v>
      </c>
      <c r="CY380" s="0" t="n">
        <f aca="false">IF(CW380="","",IF(CX380=0,CW380,IF(CX380=1,CW380/30,IF(CX380=2,CW380/15,IF(CX380=3,CW380/7,CW380)))))</f>
        <v>1666.66666666667</v>
      </c>
      <c r="CZ380" s="0" t="n">
        <f aca="false">IF(DI380&gt;0,DI380,IF(CY380&gt;0,CY380,IF(CV380&gt;0,CV380,"")))</f>
        <v>1666.66</v>
      </c>
      <c r="DA380" s="0" t="n">
        <f aca="false">IF(DM380=1,CZ380/8,IF(OR(DM380=2,DM380=4),CZ380/7,IF(DM380=3,CZ380/7.5,"")))</f>
        <v>208.3325</v>
      </c>
      <c r="DB380" s="0" t="s">
        <v>216</v>
      </c>
      <c r="DC380" s="0" t="s">
        <v>216</v>
      </c>
      <c r="DD380" s="0" t="s">
        <v>216</v>
      </c>
      <c r="DE380" s="0" t="s">
        <v>216</v>
      </c>
      <c r="DF380" s="0" t="s">
        <v>216</v>
      </c>
      <c r="DG380" s="0" t="s">
        <v>216</v>
      </c>
      <c r="DH380" s="0" t="n">
        <v>0</v>
      </c>
      <c r="DI380" s="126" t="n">
        <v>1666.66</v>
      </c>
      <c r="DK380" s="0" t="n">
        <v>0</v>
      </c>
      <c r="DM380" s="0" t="n">
        <v>1</v>
      </c>
      <c r="DN380" s="0" t="n">
        <v>45</v>
      </c>
      <c r="DO380" s="0" t="n">
        <v>3</v>
      </c>
      <c r="DP380" s="0" t="n">
        <v>0</v>
      </c>
      <c r="DQ380" s="0" t="n">
        <v>1</v>
      </c>
      <c r="DR380" s="0"/>
      <c r="DS380" s="0" t="n">
        <v>1</v>
      </c>
      <c r="DU380" s="0" t="n">
        <v>1</v>
      </c>
      <c r="DW380" s="1" t="n">
        <v>40108</v>
      </c>
      <c r="DX380" s="1" t="n">
        <v>40630</v>
      </c>
      <c r="DZ380" s="0"/>
      <c r="EA380" s="0" t="n">
        <v>1</v>
      </c>
      <c r="EC380" s="1" t="n">
        <v>39814</v>
      </c>
      <c r="ED380" s="1" t="n">
        <v>40265</v>
      </c>
      <c r="EF380" s="0"/>
      <c r="EG380" s="0" t="n">
        <v>0</v>
      </c>
      <c r="EI380" s="0" t="str">
        <f aca="false">IF(AND(DM380=1,DN380&lt;=48),"",IF(AND(DM380=2,DN380&lt;=42),"",IF(AND(DM380=3,DN380&lt;=45),"",EH380)))</f>
        <v/>
      </c>
      <c r="EJ380" s="0" t="str">
        <f aca="false">IF(EI380="","",IF(EI380&lt;9,EI380,9))</f>
        <v/>
      </c>
      <c r="EK380" s="0" t="str">
        <f aca="false">IF(EI380="","",IF(EI380&gt;9,EI380-EJ380,0))</f>
        <v/>
      </c>
      <c r="EL380" s="0" t="str">
        <f aca="false">IF(EI380="","",EJ380*DA380*2+EK380*DA380*3)</f>
        <v/>
      </c>
      <c r="EP380" s="0" t="n">
        <v>1</v>
      </c>
      <c r="EQ380" s="0"/>
      <c r="ER380" s="0" t="n">
        <v>0</v>
      </c>
      <c r="ET380" s="0" t="n">
        <v>0</v>
      </c>
      <c r="EV380" s="0" t="n">
        <v>0</v>
      </c>
      <c r="EX380" s="0" t="n">
        <v>1</v>
      </c>
      <c r="EY380" s="0" t="n">
        <v>0</v>
      </c>
      <c r="EZ380" s="0"/>
      <c r="FA380" s="0"/>
      <c r="FB380" s="0" t="n">
        <v>1</v>
      </c>
      <c r="FF380" s="120" t="n">
        <f aca="false">(CJ380-CI380+1)/365</f>
        <v>1.43287671232877</v>
      </c>
      <c r="FG380" s="0" t="str">
        <f aca="false">CONCATENATE(F380,"/",G380)</f>
        <v>940/2011</v>
      </c>
      <c r="FH380" s="0" t="n">
        <v>0</v>
      </c>
      <c r="FI380" s="0" t="n">
        <v>0</v>
      </c>
    </row>
    <row r="381" customFormat="false" ht="15" hidden="false" customHeight="false" outlineLevel="0" collapsed="false">
      <c r="A381" s="5" t="str">
        <f aca="false">E381&amp;G381&amp;F381</f>
        <v>72011948</v>
      </c>
      <c r="B381" s="0" t="s">
        <v>3732</v>
      </c>
      <c r="C381" s="1" t="n">
        <v>42412</v>
      </c>
      <c r="E381" s="0" t="n">
        <v>7</v>
      </c>
      <c r="F381" s="0" t="n">
        <v>948</v>
      </c>
      <c r="G381" s="0" t="n">
        <v>2011</v>
      </c>
      <c r="H381" s="0" t="str">
        <f aca="false">"J"&amp;E381&amp;"\"&amp;F381&amp;"\"&amp;G381&amp;"\"&amp;W381</f>
        <v>J7\948\2011\1</v>
      </c>
      <c r="I381" s="0"/>
      <c r="J381" s="1" t="n">
        <v>40693</v>
      </c>
      <c r="K381" s="0" t="n">
        <v>0</v>
      </c>
      <c r="M381" s="1" t="n">
        <v>40693</v>
      </c>
      <c r="N381" s="1" t="n">
        <v>40844</v>
      </c>
      <c r="O381" s="1"/>
      <c r="P381" s="1"/>
      <c r="Q381" s="1"/>
      <c r="T381" s="121"/>
      <c r="U381" s="121"/>
      <c r="V381" s="122" t="n">
        <f aca="false">IF(AND(E381&gt;0,F381&gt;0,G381&gt;0),COUNTIFS($E:$E,E381,$F:$F,F381,$G:$G,G381),"")</f>
        <v>1</v>
      </c>
      <c r="W381" s="122" t="n">
        <f aca="false">IF(V381="","",IF(V381=1,1,IF(AND(E380=E381,F380=F381,G380=G381),W380+1,1)))</f>
        <v>1</v>
      </c>
      <c r="X381" s="0" t="n">
        <v>1</v>
      </c>
      <c r="Y381" s="0" t="n">
        <v>6</v>
      </c>
      <c r="Z381" s="0" t="s">
        <v>3939</v>
      </c>
      <c r="AA381" s="0" t="n">
        <v>0</v>
      </c>
      <c r="AB381" s="0" t="s">
        <v>3940</v>
      </c>
      <c r="AC381" s="0" t="s">
        <v>1661</v>
      </c>
      <c r="AD381" s="0" t="s">
        <v>229</v>
      </c>
      <c r="AE381" s="0" t="n">
        <v>0</v>
      </c>
      <c r="AF381" s="0" t="s">
        <v>3941</v>
      </c>
      <c r="AG381" s="0" t="n">
        <v>0</v>
      </c>
      <c r="AH381" s="0" t="s">
        <v>3942</v>
      </c>
      <c r="AI381" s="0" t="s">
        <v>3943</v>
      </c>
      <c r="AJ381" s="0" t="s">
        <v>322</v>
      </c>
      <c r="AL381" s="0" t="s">
        <v>3944</v>
      </c>
      <c r="AM381" s="0" t="n">
        <v>0</v>
      </c>
      <c r="AN381" s="0" t="s">
        <v>3942</v>
      </c>
      <c r="AO381" s="0" t="s">
        <v>3943</v>
      </c>
      <c r="AP381" s="0" t="s">
        <v>322</v>
      </c>
      <c r="AR381" s="0" t="s">
        <v>3945</v>
      </c>
      <c r="AS381" s="0" t="n">
        <v>0</v>
      </c>
      <c r="AT381" s="0" t="s">
        <v>3942</v>
      </c>
      <c r="AU381" s="0" t="s">
        <v>3943</v>
      </c>
      <c r="AV381" s="0" t="s">
        <v>322</v>
      </c>
      <c r="AX381" s="0" t="s">
        <v>3946</v>
      </c>
      <c r="AY381" s="0" t="n">
        <v>1</v>
      </c>
      <c r="AZ381" s="0" t="s">
        <v>3942</v>
      </c>
      <c r="BA381" s="0" t="s">
        <v>3943</v>
      </c>
      <c r="BB381" s="0" t="s">
        <v>322</v>
      </c>
      <c r="BD381" s="0" t="s">
        <v>3947</v>
      </c>
      <c r="BE381" s="0" t="n">
        <v>1</v>
      </c>
      <c r="BF381" s="0" t="s">
        <v>3942</v>
      </c>
      <c r="BG381" s="0" t="s">
        <v>3943</v>
      </c>
      <c r="BH381" s="0" t="s">
        <v>322</v>
      </c>
      <c r="BJ381" s="0" t="s">
        <v>1637</v>
      </c>
      <c r="BK381" s="0" t="n">
        <v>1</v>
      </c>
      <c r="BL381" s="0" t="s">
        <v>3942</v>
      </c>
      <c r="BM381" s="0" t="s">
        <v>3943</v>
      </c>
      <c r="BN381" s="0" t="s">
        <v>322</v>
      </c>
      <c r="BP381" s="0" t="n">
        <v>0</v>
      </c>
      <c r="BQ381" s="0" t="n">
        <v>0</v>
      </c>
      <c r="BR381" s="0" t="n">
        <v>1</v>
      </c>
      <c r="BS381" s="0" t="s">
        <v>3948</v>
      </c>
      <c r="BT381" s="0" t="s">
        <v>1441</v>
      </c>
      <c r="BU381" s="0" t="s">
        <v>3949</v>
      </c>
      <c r="BV381" s="123"/>
      <c r="BW381" s="123"/>
      <c r="BX381" s="123"/>
      <c r="BY381" s="123"/>
      <c r="BZ381" s="0" t="n">
        <v>0</v>
      </c>
      <c r="CA381" s="0" t="s">
        <v>3950</v>
      </c>
      <c r="CD381" s="0" t="s">
        <v>256</v>
      </c>
      <c r="CE381" s="0" t="n">
        <v>1</v>
      </c>
      <c r="CF381" s="0" t="s">
        <v>3951</v>
      </c>
      <c r="CI381" s="1" t="n">
        <v>36774</v>
      </c>
      <c r="CJ381" s="1" t="n">
        <v>40632</v>
      </c>
      <c r="CK381" s="124" t="n">
        <v>0.375</v>
      </c>
      <c r="CL381" s="0" t="s">
        <v>3952</v>
      </c>
      <c r="CM381" s="0" t="n">
        <f aca="false">IF(OR(CI381="",CJ381=""),"",DAYS360(CI381,CJ381)/360)</f>
        <v>10.5694444444444</v>
      </c>
      <c r="CN381" s="0" t="n">
        <f aca="false">IF(OR(CI381="",CJ381=""),"",DAYS360(CI381,CJ381)/30)</f>
        <v>126.833333333333</v>
      </c>
      <c r="CO381" s="0" t="n">
        <f aca="false">IF(OR(CI381="",CJ381=""),"",DAYS360(CI381,CJ381)/7)</f>
        <v>543.571428571429</v>
      </c>
      <c r="CP381" s="0" t="n">
        <f aca="false">IF(OR(CI381="",CJ381=""),"",DAYS360(CI381,CJ381))</f>
        <v>3805</v>
      </c>
      <c r="CQ381" s="0" t="s">
        <v>240</v>
      </c>
      <c r="CR381" s="0" t="n">
        <v>1</v>
      </c>
      <c r="CT381" s="0" t="s">
        <v>221</v>
      </c>
      <c r="CU381" s="0" t="s">
        <v>221</v>
      </c>
      <c r="CV381" s="0" t="str">
        <f aca="false">IF(OR(CT381="",CT381="NO ESPECIFICA",CT381="NO MENCIONA"),"",IF(CU381=0,CT381,IF(CU381=1,CT381/30,IF(CU381=2,CT381/15,IF(CU381=3,CT381/7,"")))))</f>
        <v/>
      </c>
      <c r="CW381" s="125" t="n">
        <v>458.5</v>
      </c>
      <c r="CX381" s="0" t="n">
        <v>0</v>
      </c>
      <c r="CY381" s="0" t="n">
        <f aca="false">IF(CW381="","",IF(CX381=0,CW381,IF(CX381=1,CW381/30,IF(CX381=2,CW381/15,IF(CX381=3,CW381/7,CW381)))))</f>
        <v>458.5</v>
      </c>
      <c r="CZ381" s="0" t="n">
        <f aca="false">IF(DI381&gt;0,DI381,IF(CY381&gt;0,CY381,IF(CV381&gt;0,CV381,"")))</f>
        <v>458.5</v>
      </c>
      <c r="DA381" s="0" t="n">
        <f aca="false">IF(DM381=1,CZ381/8,IF(OR(DM381=2,DM381=4),CZ381/7,IF(DM381=3,CZ381/7.5,"")))</f>
        <v>57.3125</v>
      </c>
      <c r="DB381" s="0" t="s">
        <v>216</v>
      </c>
      <c r="DC381" s="0" t="s">
        <v>216</v>
      </c>
      <c r="DD381" s="0" t="s">
        <v>216</v>
      </c>
      <c r="DE381" s="0" t="s">
        <v>216</v>
      </c>
      <c r="DF381" s="0" t="s">
        <v>216</v>
      </c>
      <c r="DG381" s="0" t="s">
        <v>216</v>
      </c>
      <c r="DH381" s="0" t="n">
        <v>0</v>
      </c>
      <c r="DI381" s="126" t="n">
        <v>458.5</v>
      </c>
      <c r="DK381" s="0" t="n">
        <v>0</v>
      </c>
      <c r="DM381" s="0" t="n">
        <v>1</v>
      </c>
      <c r="DN381" s="0" t="n">
        <v>55</v>
      </c>
      <c r="DO381" s="0" t="n">
        <v>3</v>
      </c>
      <c r="DP381" s="0" t="n">
        <v>0</v>
      </c>
      <c r="DQ381" s="0" t="n">
        <v>1</v>
      </c>
      <c r="DR381" s="0"/>
      <c r="DS381" s="0" t="n">
        <v>1</v>
      </c>
      <c r="DU381" s="0" t="n">
        <v>1</v>
      </c>
      <c r="DW381" s="1" t="n">
        <v>40426</v>
      </c>
      <c r="DX381" s="1" t="n">
        <v>40632</v>
      </c>
      <c r="DZ381" s="0"/>
      <c r="EA381" s="0" t="n">
        <v>1</v>
      </c>
      <c r="EC381" s="1" t="n">
        <v>40544</v>
      </c>
      <c r="ED381" s="1" t="n">
        <v>40632</v>
      </c>
      <c r="EF381" s="0"/>
      <c r="EG381" s="0" t="n">
        <v>1</v>
      </c>
      <c r="EH381" s="0" t="n">
        <v>10</v>
      </c>
      <c r="EI381" s="0" t="n">
        <f aca="false">IF(AND(DM381=1,DN381&lt;=48),"",IF(AND(DM381=2,DN381&lt;=42),"",IF(AND(DM381=3,DN381&lt;=45),"",EH381)))</f>
        <v>10</v>
      </c>
      <c r="EJ381" s="0" t="n">
        <f aca="false">IF(EI381="","",IF(EI381&lt;9,EI381,9))</f>
        <v>9</v>
      </c>
      <c r="EK381" s="0" t="n">
        <f aca="false">IF(EI381="","",IF(EI381&gt;9,EI381-EJ381,0))</f>
        <v>1</v>
      </c>
      <c r="EL381" s="0" t="n">
        <f aca="false">IF(EI381="","",EJ381*DA381*2+EK381*DA381*3)</f>
        <v>1203.5625</v>
      </c>
      <c r="EP381" s="0" t="n">
        <v>0</v>
      </c>
      <c r="EQ381" s="0"/>
      <c r="ER381" s="0" t="n">
        <v>0</v>
      </c>
      <c r="ET381" s="0" t="n">
        <v>0</v>
      </c>
      <c r="EV381" s="0" t="n">
        <v>0</v>
      </c>
      <c r="EX381" s="0" t="n">
        <v>1</v>
      </c>
      <c r="EY381" s="0" t="n">
        <v>0</v>
      </c>
      <c r="EZ381" s="0"/>
      <c r="FA381" s="0"/>
      <c r="FB381" s="0" t="n">
        <v>1</v>
      </c>
      <c r="FF381" s="120" t="n">
        <f aca="false">(CJ381-CI381+1)/365</f>
        <v>10.572602739726</v>
      </c>
      <c r="FG381" s="0" t="str">
        <f aca="false">CONCATENATE(F381,"/",G381)</f>
        <v>948/2011</v>
      </c>
      <c r="FH381" s="0" t="n">
        <v>0</v>
      </c>
      <c r="FI381" s="0" t="n">
        <v>0</v>
      </c>
    </row>
    <row r="382" customFormat="false" ht="15" hidden="false" customHeight="false" outlineLevel="0" collapsed="false">
      <c r="A382" s="5" t="str">
        <f aca="false">E382&amp;G382&amp;F382</f>
        <v>72011949</v>
      </c>
      <c r="B382" s="0" t="s">
        <v>3732</v>
      </c>
      <c r="C382" s="1" t="n">
        <v>42412</v>
      </c>
      <c r="E382" s="0" t="n">
        <v>7</v>
      </c>
      <c r="F382" s="0" t="n">
        <v>949</v>
      </c>
      <c r="G382" s="0" t="n">
        <v>2011</v>
      </c>
      <c r="H382" s="0" t="str">
        <f aca="false">"J"&amp;E382&amp;"\"&amp;F382&amp;"\"&amp;G382&amp;"\"&amp;W382</f>
        <v>J7\949\2011\1</v>
      </c>
      <c r="I382" s="0"/>
      <c r="J382" s="1" t="n">
        <v>40693</v>
      </c>
      <c r="K382" s="0" t="n">
        <v>0</v>
      </c>
      <c r="M382" s="1" t="n">
        <v>40693</v>
      </c>
      <c r="N382" s="1" t="n">
        <v>40844</v>
      </c>
      <c r="O382" s="1"/>
      <c r="P382" s="1"/>
      <c r="Q382" s="1"/>
      <c r="T382" s="121"/>
      <c r="U382" s="121"/>
      <c r="V382" s="122" t="n">
        <f aca="false">IF(AND(E382&gt;0,F382&gt;0,G382&gt;0),COUNTIFS($E:$E,E382,$F:$F,F382,$G:$G,G382),"")</f>
        <v>1</v>
      </c>
      <c r="W382" s="122" t="n">
        <f aca="false">IF(V382="","",IF(V382=1,1,IF(AND(E381=E382,F381=F382,G381=G382),W381+1,1)))</f>
        <v>1</v>
      </c>
      <c r="X382" s="0" t="n">
        <v>1</v>
      </c>
      <c r="Y382" s="0" t="n">
        <v>3</v>
      </c>
      <c r="Z382" s="0" t="s">
        <v>3953</v>
      </c>
      <c r="AA382" s="0" t="n">
        <v>0</v>
      </c>
      <c r="AB382" s="0" t="s">
        <v>3954</v>
      </c>
      <c r="AC382" s="0" t="s">
        <v>1160</v>
      </c>
      <c r="AD382" s="0" t="s">
        <v>229</v>
      </c>
      <c r="AE382" s="0" t="n">
        <v>0</v>
      </c>
      <c r="AF382" s="0" t="s">
        <v>3955</v>
      </c>
      <c r="AG382" s="0" t="n">
        <v>0</v>
      </c>
      <c r="AH382" s="0" t="s">
        <v>3956</v>
      </c>
      <c r="AI382" s="0" t="s">
        <v>3957</v>
      </c>
      <c r="AJ382" s="0" t="s">
        <v>590</v>
      </c>
      <c r="AL382" s="0" t="s">
        <v>3958</v>
      </c>
      <c r="AM382" s="0" t="n">
        <v>1</v>
      </c>
      <c r="AN382" s="0" t="s">
        <v>3956</v>
      </c>
      <c r="AO382" s="0" t="s">
        <v>3957</v>
      </c>
      <c r="AP382" s="0" t="s">
        <v>590</v>
      </c>
      <c r="AR382" s="0" t="s">
        <v>1637</v>
      </c>
      <c r="AS382" s="0" t="n">
        <v>1</v>
      </c>
      <c r="AT382" s="0" t="s">
        <v>3956</v>
      </c>
      <c r="AU382" s="0" t="s">
        <v>3957</v>
      </c>
      <c r="AV382" s="0" t="s">
        <v>590</v>
      </c>
      <c r="BP382" s="0" t="n">
        <v>0</v>
      </c>
      <c r="BQ382" s="0" t="n">
        <v>0</v>
      </c>
      <c r="BR382" s="0" t="n">
        <v>1</v>
      </c>
      <c r="BS382" s="0" t="s">
        <v>2722</v>
      </c>
      <c r="BT382" s="0" t="s">
        <v>2721</v>
      </c>
      <c r="BU382" s="0" t="s">
        <v>2723</v>
      </c>
      <c r="BV382" s="123"/>
      <c r="BW382" s="123"/>
      <c r="BX382" s="123"/>
      <c r="BY382" s="123"/>
      <c r="BZ382" s="0" t="n">
        <v>0</v>
      </c>
      <c r="CA382" s="0" t="s">
        <v>216</v>
      </c>
      <c r="CD382" s="0" t="s">
        <v>502</v>
      </c>
      <c r="CE382" s="0" t="n">
        <v>0</v>
      </c>
      <c r="CF382" s="0" t="s">
        <v>503</v>
      </c>
      <c r="CI382" s="1" t="n">
        <v>37664</v>
      </c>
      <c r="CJ382" s="1" t="n">
        <v>40654</v>
      </c>
      <c r="CK382" s="124" t="n">
        <v>0.1875</v>
      </c>
      <c r="CL382" s="0" t="s">
        <v>3959</v>
      </c>
      <c r="CM382" s="0" t="n">
        <f aca="false">IF(OR(CI382="",CJ382=""),"",DAYS360(CI382,CJ382)/360)</f>
        <v>8.19166666666667</v>
      </c>
      <c r="CN382" s="0" t="n">
        <f aca="false">IF(OR(CI382="",CJ382=""),"",DAYS360(CI382,CJ382)/30)</f>
        <v>98.3</v>
      </c>
      <c r="CO382" s="0" t="n">
        <f aca="false">IF(OR(CI382="",CJ382=""),"",DAYS360(CI382,CJ382)/7)</f>
        <v>421.285714285714</v>
      </c>
      <c r="CP382" s="0" t="n">
        <f aca="false">IF(OR(CI382="",CJ382=""),"",DAYS360(CI382,CJ382))</f>
        <v>2949</v>
      </c>
      <c r="CQ382" s="0" t="s">
        <v>240</v>
      </c>
      <c r="CR382" s="0" t="n">
        <v>1</v>
      </c>
      <c r="CT382" s="0" t="n">
        <v>500</v>
      </c>
      <c r="CU382" s="0" t="n">
        <v>0</v>
      </c>
      <c r="CV382" s="0" t="n">
        <f aca="false">IF(OR(CT382="",CT382="NO ESPECIFICA",CT382="NO MENCIONA"),"",IF(CU382=0,CT382,IF(CU382=1,CT382/30,IF(CU382=2,CT382/15,IF(CU382=3,CT382/7,"")))))</f>
        <v>500</v>
      </c>
      <c r="CW382" s="125" t="s">
        <v>216</v>
      </c>
      <c r="CX382" s="0" t="s">
        <v>216</v>
      </c>
      <c r="CY382" s="0" t="str">
        <f aca="false">IF(CW382="","",IF(CX382=0,CW382,IF(CX382=1,CW382/30,IF(CX382=2,CW382/15,IF(CX382=3,CW382/7,CW382)))))</f>
        <v>NO MENCIONA</v>
      </c>
      <c r="CZ382" s="0" t="n">
        <f aca="false">IF(DI382&gt;0,DI382,IF(CY382&gt;0,CY382,IF(CV382&gt;0,CV382,"")))</f>
        <v>500</v>
      </c>
      <c r="DA382" s="0" t="n">
        <f aca="false">IF(DM382=1,CZ382/8,IF(OR(DM382=2,DM382=4),CZ382/7,IF(DM382=3,CZ382/7.5,"")))</f>
        <v>66.6666666666667</v>
      </c>
      <c r="DB382" s="0" t="s">
        <v>216</v>
      </c>
      <c r="DC382" s="0" t="s">
        <v>216</v>
      </c>
      <c r="DD382" s="0" t="s">
        <v>216</v>
      </c>
      <c r="DE382" s="0" t="s">
        <v>216</v>
      </c>
      <c r="DF382" s="0" t="s">
        <v>216</v>
      </c>
      <c r="DG382" s="0" t="s">
        <v>216</v>
      </c>
      <c r="DH382" s="0" t="n">
        <v>0</v>
      </c>
      <c r="DI382" s="126" t="n">
        <v>500</v>
      </c>
      <c r="DK382" s="0" t="n">
        <v>0</v>
      </c>
      <c r="DM382" s="0" t="n">
        <v>3</v>
      </c>
      <c r="DN382" s="0" t="n">
        <v>111</v>
      </c>
      <c r="DO382" s="0" t="n">
        <v>3</v>
      </c>
      <c r="DP382" s="0" t="n">
        <v>0</v>
      </c>
      <c r="DQ382" s="0" t="n">
        <v>1</v>
      </c>
      <c r="DR382" s="0"/>
      <c r="DS382" s="0" t="n">
        <v>1</v>
      </c>
      <c r="DU382" s="0" t="n">
        <v>1</v>
      </c>
      <c r="DW382" s="1" t="n">
        <v>39490</v>
      </c>
      <c r="DX382" s="1" t="n">
        <v>40221</v>
      </c>
      <c r="DZ382" s="0"/>
      <c r="EA382" s="0" t="n">
        <v>1</v>
      </c>
      <c r="EC382" s="1" t="n">
        <v>39448</v>
      </c>
      <c r="ED382" s="1" t="n">
        <v>40178</v>
      </c>
      <c r="EF382" s="0"/>
      <c r="EG382" s="0" t="n">
        <v>1</v>
      </c>
      <c r="EH382" s="0" t="n">
        <v>63</v>
      </c>
      <c r="EI382" s="0" t="n">
        <f aca="false">IF(AND(DM382=1,DN382&lt;=48),"",IF(AND(DM382=2,DN382&lt;=42),"",IF(AND(DM382=3,DN382&lt;=45),"",EH382)))</f>
        <v>63</v>
      </c>
      <c r="EJ382" s="0" t="n">
        <f aca="false">IF(EI382="","",IF(EI382&lt;9,EI382,9))</f>
        <v>9</v>
      </c>
      <c r="EK382" s="0" t="n">
        <f aca="false">IF(EI382="","",IF(EI382&gt;9,EI382-EJ382,0))</f>
        <v>54</v>
      </c>
      <c r="EL382" s="0" t="n">
        <f aca="false">IF(EI382="","",EJ382*DA382*2+EK382*DA382*3)</f>
        <v>12000</v>
      </c>
      <c r="EP382" s="0" t="n">
        <v>0</v>
      </c>
      <c r="EQ382" s="0"/>
      <c r="ER382" s="0" t="n">
        <v>0</v>
      </c>
      <c r="ET382" s="0" t="n">
        <v>0</v>
      </c>
      <c r="EV382" s="0" t="n">
        <v>0</v>
      </c>
      <c r="EX382" s="0" t="n">
        <v>0</v>
      </c>
      <c r="EY382" s="0" t="n">
        <v>0</v>
      </c>
      <c r="EZ382" s="0"/>
      <c r="FA382" s="0"/>
      <c r="FB382" s="0" t="n">
        <v>1</v>
      </c>
      <c r="FF382" s="120" t="n">
        <f aca="false">(CJ382-CI382+1)/365</f>
        <v>8.19452054794521</v>
      </c>
      <c r="FG382" s="0" t="str">
        <f aca="false">CONCATENATE(F382,"/",G382)</f>
        <v>949/2011</v>
      </c>
      <c r="FH382" s="0" t="n">
        <v>0</v>
      </c>
      <c r="FI382" s="0" t="n">
        <v>0</v>
      </c>
    </row>
    <row r="383" customFormat="false" ht="15" hidden="false" customHeight="false" outlineLevel="0" collapsed="false">
      <c r="A383" s="5" t="str">
        <f aca="false">E383&amp;G383&amp;F383</f>
        <v>72011954</v>
      </c>
      <c r="B383" s="0" t="s">
        <v>3732</v>
      </c>
      <c r="C383" s="1" t="n">
        <v>42412</v>
      </c>
      <c r="E383" s="0" t="n">
        <v>7</v>
      </c>
      <c r="F383" s="0" t="n">
        <v>954</v>
      </c>
      <c r="G383" s="0" t="n">
        <v>2011</v>
      </c>
      <c r="H383" s="0" t="str">
        <f aca="false">"J"&amp;E383&amp;"\"&amp;F383&amp;"\"&amp;G383&amp;"\"&amp;W383</f>
        <v>J7\954\2011\1</v>
      </c>
      <c r="I383" s="0"/>
      <c r="J383" s="1" t="n">
        <v>40694</v>
      </c>
      <c r="K383" s="0" t="n">
        <v>0</v>
      </c>
      <c r="M383" s="1" t="n">
        <v>40694</v>
      </c>
      <c r="N383" s="1" t="n">
        <v>40847</v>
      </c>
      <c r="O383" s="1"/>
      <c r="P383" s="1"/>
      <c r="Q383" s="1"/>
      <c r="T383" s="121"/>
      <c r="U383" s="121"/>
      <c r="V383" s="122" t="n">
        <f aca="false">IF(AND(E383&gt;0,F383&gt;0,G383&gt;0),COUNTIFS($E:$E,E383,$F:$F,F383,$G:$G,G383),"")</f>
        <v>1</v>
      </c>
      <c r="W383" s="122" t="n">
        <f aca="false">IF(V383="","",IF(V383=1,1,IF(AND(E382=E383,F382=F383,G382=G383),W382+1,1)))</f>
        <v>1</v>
      </c>
      <c r="X383" s="0" t="n">
        <v>1</v>
      </c>
      <c r="Y383" s="0" t="n">
        <v>2</v>
      </c>
      <c r="Z383" s="0" t="s">
        <v>3960</v>
      </c>
      <c r="AA383" s="0" t="n">
        <v>0</v>
      </c>
      <c r="AB383" s="0" t="s">
        <v>3961</v>
      </c>
      <c r="AC383" s="0" t="s">
        <v>1160</v>
      </c>
      <c r="AD383" s="0" t="s">
        <v>229</v>
      </c>
      <c r="AE383" s="0" t="n">
        <v>0</v>
      </c>
      <c r="AF383" s="0" t="s">
        <v>3962</v>
      </c>
      <c r="AG383" s="0" t="n">
        <v>1</v>
      </c>
      <c r="AH383" s="0" t="s">
        <v>3963</v>
      </c>
      <c r="AI383" s="0" t="s">
        <v>3957</v>
      </c>
      <c r="AJ383" s="0" t="s">
        <v>590</v>
      </c>
      <c r="AL383" s="0" t="s">
        <v>3964</v>
      </c>
      <c r="AM383" s="0" t="n">
        <v>0</v>
      </c>
      <c r="AN383" s="0" t="s">
        <v>3965</v>
      </c>
      <c r="AO383" s="0" t="s">
        <v>3966</v>
      </c>
      <c r="AP383" s="0" t="s">
        <v>322</v>
      </c>
      <c r="BP383" s="0" t="n">
        <v>0</v>
      </c>
      <c r="BQ383" s="0" t="n">
        <v>0</v>
      </c>
      <c r="BR383" s="0" t="n">
        <v>1</v>
      </c>
      <c r="BS383" s="0" t="s">
        <v>3967</v>
      </c>
      <c r="BT383" s="0" t="s">
        <v>3968</v>
      </c>
      <c r="BU383" s="0" t="s">
        <v>3969</v>
      </c>
      <c r="BV383" s="123"/>
      <c r="BW383" s="123"/>
      <c r="BX383" s="123"/>
      <c r="BY383" s="123"/>
      <c r="BZ383" s="0" t="n">
        <v>0</v>
      </c>
      <c r="CA383" s="0" t="s">
        <v>3970</v>
      </c>
      <c r="CD383" s="0" t="s">
        <v>256</v>
      </c>
      <c r="CE383" s="0" t="n">
        <v>0</v>
      </c>
      <c r="CF383" s="0" t="s">
        <v>3971</v>
      </c>
      <c r="CI383" s="1" t="n">
        <v>40304</v>
      </c>
      <c r="CJ383" s="1" t="n">
        <v>40676</v>
      </c>
      <c r="CK383" s="124" t="n">
        <v>0.25</v>
      </c>
      <c r="CL383" s="0" t="s">
        <v>3972</v>
      </c>
      <c r="CM383" s="0" t="n">
        <f aca="false">IF(OR(CI383="",CJ383=""),"",DAYS360(CI383,CJ383)/360)</f>
        <v>1.01944444444444</v>
      </c>
      <c r="CN383" s="0" t="n">
        <f aca="false">IF(OR(CI383="",CJ383=""),"",DAYS360(CI383,CJ383)/30)</f>
        <v>12.2333333333333</v>
      </c>
      <c r="CO383" s="0" t="n">
        <f aca="false">IF(OR(CI383="",CJ383=""),"",DAYS360(CI383,CJ383)/7)</f>
        <v>52.4285714285714</v>
      </c>
      <c r="CP383" s="0" t="n">
        <f aca="false">IF(OR(CI383="",CJ383=""),"",DAYS360(CI383,CJ383))</f>
        <v>367</v>
      </c>
      <c r="CQ383" s="0" t="s">
        <v>240</v>
      </c>
      <c r="CR383" s="0" t="n">
        <v>1</v>
      </c>
      <c r="CT383" s="0" t="n">
        <v>214.28</v>
      </c>
      <c r="CU383" s="0" t="n">
        <v>0</v>
      </c>
      <c r="CV383" s="0" t="n">
        <f aca="false">IF(OR(CT383="",CT383="NO ESPECIFICA",CT383="NO MENCIONA"),"",IF(CU383=0,CT383,IF(CU383=1,CT383/30,IF(CU383=2,CT383/15,IF(CU383=3,CT383/7,"")))))</f>
        <v>214.28</v>
      </c>
      <c r="CW383" s="125" t="n">
        <v>224.5</v>
      </c>
      <c r="CX383" s="0" t="n">
        <v>0</v>
      </c>
      <c r="CY383" s="0" t="n">
        <f aca="false">IF(CW383="","",IF(CX383=0,CW383,IF(CX383=1,CW383/30,IF(CX383=2,CW383/15,IF(CX383=3,CW383/7,CW383)))))</f>
        <v>224.5</v>
      </c>
      <c r="CZ383" s="0" t="n">
        <f aca="false">IF(DI383&gt;0,DI383,IF(CY383&gt;0,CY383,IF(CV383&gt;0,CV383,"")))</f>
        <v>224.5</v>
      </c>
      <c r="DA383" s="0" t="n">
        <f aca="false">IF(DM383=1,CZ383/8,IF(OR(DM383=2,DM383=4),CZ383/7,IF(DM383=3,CZ383/7.5,"")))</f>
        <v>28.0625</v>
      </c>
      <c r="DB383" s="0" t="s">
        <v>1945</v>
      </c>
      <c r="DC383" s="0" t="s">
        <v>303</v>
      </c>
      <c r="DD383" s="0" t="s">
        <v>216</v>
      </c>
      <c r="DE383" s="0" t="s">
        <v>216</v>
      </c>
      <c r="DF383" s="0" t="s">
        <v>216</v>
      </c>
      <c r="DG383" s="0" t="s">
        <v>216</v>
      </c>
      <c r="DH383" s="0" t="n">
        <v>0</v>
      </c>
      <c r="DI383" s="126" t="n">
        <v>224.5</v>
      </c>
      <c r="DK383" s="0" t="n">
        <v>0</v>
      </c>
      <c r="DM383" s="0" t="n">
        <v>1</v>
      </c>
      <c r="DN383" s="0" t="n">
        <v>78</v>
      </c>
      <c r="DO383" s="0" t="n">
        <v>3</v>
      </c>
      <c r="DP383" s="0" t="n">
        <v>0</v>
      </c>
      <c r="DQ383" s="0" t="n">
        <v>1</v>
      </c>
      <c r="DR383" s="0"/>
      <c r="DS383" s="0" t="n">
        <v>1</v>
      </c>
      <c r="DU383" s="0" t="n">
        <v>1</v>
      </c>
      <c r="DW383" s="1" t="n">
        <v>40304</v>
      </c>
      <c r="DX383" s="1" t="n">
        <v>40676</v>
      </c>
      <c r="DZ383" s="0"/>
      <c r="EA383" s="0" t="n">
        <v>1</v>
      </c>
      <c r="EC383" s="1" t="n">
        <v>40304</v>
      </c>
      <c r="ED383" s="1" t="n">
        <v>40676</v>
      </c>
      <c r="EF383" s="0"/>
      <c r="EG383" s="0" t="n">
        <v>1</v>
      </c>
      <c r="EH383" s="0" t="n">
        <v>12</v>
      </c>
      <c r="EI383" s="0" t="n">
        <f aca="false">IF(AND(DM383=1,DN383&lt;=48),"",IF(AND(DM383=2,DN383&lt;=42),"",IF(AND(DM383=3,DN383&lt;=45),"",EH383)))</f>
        <v>12</v>
      </c>
      <c r="EJ383" s="0" t="n">
        <f aca="false">IF(EI383="","",IF(EI383&lt;9,EI383,9))</f>
        <v>9</v>
      </c>
      <c r="EK383" s="0" t="n">
        <f aca="false">IF(EI383="","",IF(EI383&gt;9,EI383-EJ383,0))</f>
        <v>3</v>
      </c>
      <c r="EL383" s="0" t="n">
        <f aca="false">IF(EI383="","",EJ383*DA383*2+EK383*DA383*3)</f>
        <v>757.6875</v>
      </c>
      <c r="EP383" s="0" t="n">
        <v>0</v>
      </c>
      <c r="EQ383" s="0"/>
      <c r="ER383" s="0" t="n">
        <v>0</v>
      </c>
      <c r="ET383" s="0" t="n">
        <v>0</v>
      </c>
      <c r="EV383" s="0" t="n">
        <v>1</v>
      </c>
      <c r="EX383" s="0" t="n">
        <v>1</v>
      </c>
      <c r="EY383" s="0" t="n">
        <v>1</v>
      </c>
      <c r="EZ383" s="4" t="n">
        <v>15570</v>
      </c>
      <c r="FA383" s="4" t="n">
        <v>5535</v>
      </c>
      <c r="FB383" s="0" t="n">
        <v>0</v>
      </c>
      <c r="FF383" s="120" t="n">
        <f aca="false">(CJ383-CI383+1)/365</f>
        <v>1.02191780821918</v>
      </c>
      <c r="FG383" s="0" t="str">
        <f aca="false">CONCATENATE(F383,"/",G383)</f>
        <v>954/2011</v>
      </c>
      <c r="FH383" s="0" t="n">
        <v>0</v>
      </c>
      <c r="FI383" s="0" t="n">
        <v>0</v>
      </c>
    </row>
    <row r="384" customFormat="false" ht="15" hidden="false" customHeight="false" outlineLevel="0" collapsed="false">
      <c r="A384" s="5" t="str">
        <f aca="false">E384&amp;G384&amp;F384</f>
        <v>72011957</v>
      </c>
      <c r="B384" s="0" t="s">
        <v>3732</v>
      </c>
      <c r="C384" s="1" t="n">
        <v>42412</v>
      </c>
      <c r="D384" s="0" t="s">
        <v>1856</v>
      </c>
      <c r="E384" s="0" t="n">
        <v>7</v>
      </c>
      <c r="F384" s="0" t="n">
        <v>957</v>
      </c>
      <c r="G384" s="0" t="n">
        <v>2011</v>
      </c>
      <c r="H384" s="0" t="str">
        <f aca="false">"J"&amp;E384&amp;"\"&amp;F384&amp;"\"&amp;G384&amp;"\"&amp;W384</f>
        <v>J7\957\2011\1</v>
      </c>
      <c r="I384" s="0"/>
      <c r="J384" s="1" t="n">
        <v>40695</v>
      </c>
      <c r="K384" s="0" t="n">
        <v>0</v>
      </c>
      <c r="M384" s="1"/>
      <c r="N384" s="1"/>
      <c r="O384" s="1"/>
      <c r="P384" s="1"/>
      <c r="Q384" s="1"/>
      <c r="T384" s="121"/>
      <c r="U384" s="121"/>
      <c r="V384" s="122" t="n">
        <f aca="false">IF(AND(E384&gt;0,F384&gt;0,G384&gt;0),COUNTIFS($E:$E,E384,$F:$F,F384,$G:$G,G384),"")</f>
        <v>1</v>
      </c>
      <c r="W384" s="122" t="n">
        <f aca="false">IF(V384="","",IF(V384=1,1,IF(AND(E383=E384,F383=F384,G383=G384),W383+1,1)))</f>
        <v>1</v>
      </c>
      <c r="X384" s="0" t="n">
        <v>1</v>
      </c>
      <c r="Y384" s="0" t="n">
        <v>1</v>
      </c>
      <c r="Z384" s="0" t="s">
        <v>3973</v>
      </c>
      <c r="AA384" s="0" t="n">
        <v>0</v>
      </c>
      <c r="AB384" s="0" t="s">
        <v>3974</v>
      </c>
      <c r="AC384" s="0" t="s">
        <v>251</v>
      </c>
      <c r="AD384" s="0" t="s">
        <v>221</v>
      </c>
      <c r="AE384" s="0" t="n">
        <v>0</v>
      </c>
      <c r="AF384" s="0" t="s">
        <v>3975</v>
      </c>
      <c r="AG384" s="0" t="n">
        <v>0</v>
      </c>
      <c r="AH384" s="0" t="s">
        <v>3976</v>
      </c>
      <c r="AI384" s="0" t="s">
        <v>3977</v>
      </c>
      <c r="AJ384" s="0" t="s">
        <v>3511</v>
      </c>
      <c r="BP384" s="0" t="n">
        <v>0</v>
      </c>
      <c r="BQ384" s="0" t="n">
        <v>0</v>
      </c>
      <c r="BR384" s="0" t="n">
        <v>1</v>
      </c>
      <c r="BS384" s="0" t="s">
        <v>2351</v>
      </c>
      <c r="BT384" s="0" t="s">
        <v>808</v>
      </c>
      <c r="BU384" s="0" t="s">
        <v>809</v>
      </c>
      <c r="BV384" s="123"/>
      <c r="BW384" s="123"/>
      <c r="BX384" s="123"/>
      <c r="BY384" s="123"/>
      <c r="BZ384" s="0" t="n">
        <v>0</v>
      </c>
      <c r="CA384" s="0" t="s">
        <v>216</v>
      </c>
      <c r="CD384" s="0" t="s">
        <v>370</v>
      </c>
      <c r="CE384" s="0" t="n">
        <v>0</v>
      </c>
      <c r="CF384" s="0" t="s">
        <v>2352</v>
      </c>
      <c r="CI384" s="1" t="n">
        <v>35744</v>
      </c>
      <c r="CJ384" s="1" t="n">
        <v>40663</v>
      </c>
      <c r="CK384" s="124" t="n">
        <v>0.375</v>
      </c>
      <c r="CL384" s="0" t="s">
        <v>3978</v>
      </c>
      <c r="CM384" s="0" t="n">
        <f aca="false">IF(OR(CI384="",CJ384=""),"",DAYS360(CI384,CJ384)/360)</f>
        <v>13.4722222222222</v>
      </c>
      <c r="CN384" s="0" t="n">
        <f aca="false">IF(OR(CI384="",CJ384=""),"",DAYS360(CI384,CJ384)/30)</f>
        <v>161.666666666667</v>
      </c>
      <c r="CO384" s="0" t="n">
        <f aca="false">IF(OR(CI384="",CJ384=""),"",DAYS360(CI384,CJ384)/7)</f>
        <v>692.857142857143</v>
      </c>
      <c r="CP384" s="0" t="n">
        <f aca="false">IF(OR(CI384="",CJ384=""),"",DAYS360(CI384,CJ384))</f>
        <v>4850</v>
      </c>
      <c r="CQ384" s="0" t="s">
        <v>220</v>
      </c>
      <c r="CR384" s="0" t="n">
        <v>1</v>
      </c>
      <c r="CT384" s="0" t="n">
        <v>400</v>
      </c>
      <c r="CU384" s="0" t="n">
        <v>0</v>
      </c>
      <c r="CV384" s="0" t="n">
        <f aca="false">IF(OR(CT384="",CT384="NO ESPECIFICA",CT384="NO MENCIONA"),"",IF(CU384=0,CT384,IF(CU384=1,CT384/30,IF(CU384=2,CT384/15,IF(CU384=3,CT384/7,"")))))</f>
        <v>400</v>
      </c>
      <c r="CW384" s="125" t="n">
        <v>723.73</v>
      </c>
      <c r="CX384" s="0" t="n">
        <v>0</v>
      </c>
      <c r="CY384" s="0" t="n">
        <f aca="false">IF(CW384="","",IF(CX384=0,CW384,IF(CX384=1,CW384/30,IF(CX384=2,CW384/15,IF(CX384=3,CW384/7,CW384)))))</f>
        <v>723.73</v>
      </c>
      <c r="CZ384" s="0" t="n">
        <f aca="false">IF(DI384&gt;0,DI384,IF(CY384&gt;0,CY384,IF(CV384&gt;0,CV384,"")))</f>
        <v>723.73</v>
      </c>
      <c r="DA384" s="0" t="n">
        <f aca="false">IF(DM384=1,CZ384/8,IF(OR(DM384=2,DM384=4),CZ384/7,IF(DM384=3,CZ384/7.5,"")))</f>
        <v>90.46625</v>
      </c>
      <c r="DB384" s="0" t="s">
        <v>1945</v>
      </c>
      <c r="DC384" s="0" t="s">
        <v>303</v>
      </c>
      <c r="DD384" s="0" t="s">
        <v>417</v>
      </c>
      <c r="DE384" s="0" t="s">
        <v>300</v>
      </c>
      <c r="DF384" s="0" t="s">
        <v>3979</v>
      </c>
      <c r="DG384" s="0" t="s">
        <v>216</v>
      </c>
      <c r="DH384" s="0" t="n">
        <v>0</v>
      </c>
      <c r="DI384" s="126" t="n">
        <v>723.73</v>
      </c>
      <c r="DK384" s="0" t="n">
        <v>0</v>
      </c>
      <c r="DM384" s="0" t="n">
        <v>1</v>
      </c>
      <c r="DN384" s="0" t="n">
        <v>66</v>
      </c>
      <c r="DO384" s="0" t="n">
        <v>3</v>
      </c>
      <c r="DP384" s="0" t="n">
        <v>1</v>
      </c>
      <c r="DQ384" s="0" t="n">
        <v>1</v>
      </c>
      <c r="DR384" s="0"/>
      <c r="DS384" s="0" t="n">
        <v>1</v>
      </c>
      <c r="DU384" s="0" t="n">
        <v>1</v>
      </c>
      <c r="DW384" s="1" t="n">
        <v>40299</v>
      </c>
      <c r="DX384" s="1" t="n">
        <v>40662</v>
      </c>
      <c r="DY384" s="0" t="n">
        <v>30</v>
      </c>
      <c r="DZ384" s="0"/>
      <c r="EA384" s="0" t="n">
        <v>1</v>
      </c>
      <c r="EC384" s="1" t="s">
        <v>221</v>
      </c>
      <c r="ED384" s="1" t="s">
        <v>221</v>
      </c>
      <c r="EE384" s="0" t="n">
        <v>40</v>
      </c>
      <c r="EF384" s="0"/>
      <c r="EG384" s="0" t="n">
        <v>1</v>
      </c>
      <c r="EH384" s="0" t="n">
        <v>18</v>
      </c>
      <c r="EI384" s="0" t="n">
        <f aca="false">IF(AND(DM384=1,DN384&lt;=48),"",IF(AND(DM384=2,DN384&lt;=42),"",IF(AND(DM384=3,DN384&lt;=45),"",EH384)))</f>
        <v>18</v>
      </c>
      <c r="EJ384" s="0" t="n">
        <f aca="false">IF(EI384="","",IF(EI384&lt;9,EI384,9))</f>
        <v>9</v>
      </c>
      <c r="EK384" s="0" t="n">
        <f aca="false">IF(EI384="","",IF(EI384&gt;9,EI384-EJ384,0))</f>
        <v>9</v>
      </c>
      <c r="EL384" s="0" t="n">
        <f aca="false">IF(EI384="","",EJ384*DA384*2+EK384*DA384*3)</f>
        <v>4070.98125</v>
      </c>
      <c r="EP384" s="0" t="n">
        <v>1</v>
      </c>
      <c r="EQ384" s="0"/>
      <c r="ER384" s="0" t="n">
        <v>0</v>
      </c>
      <c r="ET384" s="0" t="n">
        <v>1</v>
      </c>
      <c r="EV384" s="0" t="n">
        <v>0</v>
      </c>
      <c r="EX384" s="0" t="n">
        <v>1</v>
      </c>
      <c r="EY384" s="0" t="n">
        <v>1</v>
      </c>
      <c r="EZ384" s="0"/>
      <c r="FA384" s="4" t="n">
        <v>21711.9</v>
      </c>
      <c r="FB384" s="0" t="n">
        <v>0</v>
      </c>
      <c r="FF384" s="120" t="n">
        <f aca="false">(CJ384-CI384+1)/365</f>
        <v>13.4794520547945</v>
      </c>
      <c r="FG384" s="0" t="str">
        <f aca="false">CONCATENATE(F384,"/",G384)</f>
        <v>957/2011</v>
      </c>
      <c r="FH384" s="0" t="n">
        <v>0</v>
      </c>
      <c r="FI384" s="0" t="n">
        <v>0</v>
      </c>
    </row>
    <row r="385" customFormat="false" ht="15" hidden="false" customHeight="false" outlineLevel="0" collapsed="false">
      <c r="A385" s="5" t="str">
        <f aca="false">E385&amp;G385&amp;F385</f>
        <v>72011960</v>
      </c>
      <c r="B385" s="0" t="s">
        <v>3732</v>
      </c>
      <c r="C385" s="1" t="n">
        <v>42412</v>
      </c>
      <c r="D385" s="0" t="s">
        <v>1856</v>
      </c>
      <c r="E385" s="0" t="n">
        <v>7</v>
      </c>
      <c r="F385" s="0" t="n">
        <v>960</v>
      </c>
      <c r="G385" s="0" t="n">
        <v>2011</v>
      </c>
      <c r="H385" s="0" t="str">
        <f aca="false">"J"&amp;E385&amp;"\"&amp;F385&amp;"\"&amp;G385&amp;"\"&amp;W385</f>
        <v>J7\960\2011\1</v>
      </c>
      <c r="I385" s="0"/>
      <c r="J385" s="1" t="n">
        <v>40696</v>
      </c>
      <c r="K385" s="0" t="n">
        <v>0</v>
      </c>
      <c r="M385" s="1"/>
      <c r="N385" s="1"/>
      <c r="O385" s="1"/>
      <c r="P385" s="1"/>
      <c r="Q385" s="1"/>
      <c r="T385" s="121"/>
      <c r="U385" s="121"/>
      <c r="V385" s="122" t="n">
        <f aca="false">IF(AND(E385&gt;0,F385&gt;0,G385&gt;0),COUNTIFS($E:$E,E385,$F:$F,F385,$G:$G,G385),"")</f>
        <v>1</v>
      </c>
      <c r="W385" s="122" t="n">
        <f aca="false">IF(V385="","",IF(V385=1,1,IF(AND(E384=E385,F384=F385,G384=G385),W384+1,1)))</f>
        <v>1</v>
      </c>
      <c r="X385" s="0" t="n">
        <v>1</v>
      </c>
      <c r="Y385" s="0" t="n">
        <v>4</v>
      </c>
      <c r="Z385" s="0" t="s">
        <v>3980</v>
      </c>
      <c r="AA385" s="0" t="n">
        <v>0</v>
      </c>
      <c r="AB385" s="0" t="s">
        <v>3981</v>
      </c>
      <c r="AC385" s="0" t="s">
        <v>789</v>
      </c>
      <c r="AD385" s="0" t="s">
        <v>229</v>
      </c>
      <c r="AE385" s="0" t="n">
        <v>0</v>
      </c>
      <c r="AF385" s="0" t="s">
        <v>3982</v>
      </c>
      <c r="AG385" s="0" t="n">
        <v>0</v>
      </c>
      <c r="AH385" s="0" t="s">
        <v>3983</v>
      </c>
      <c r="AI385" s="0" t="s">
        <v>3984</v>
      </c>
      <c r="AJ385" s="0" t="s">
        <v>411</v>
      </c>
      <c r="AL385" s="0" t="s">
        <v>3891</v>
      </c>
      <c r="AM385" s="0" t="n">
        <v>0</v>
      </c>
      <c r="AN385" s="0" t="s">
        <v>3985</v>
      </c>
      <c r="AO385" s="0" t="s">
        <v>2108</v>
      </c>
      <c r="AP385" s="0" t="s">
        <v>411</v>
      </c>
      <c r="AR385" s="0" t="s">
        <v>3986</v>
      </c>
      <c r="AS385" s="0" t="n">
        <v>0</v>
      </c>
      <c r="AT385" s="0" t="s">
        <v>977</v>
      </c>
      <c r="AU385" s="0" t="s">
        <v>438</v>
      </c>
      <c r="AV385" s="0" t="s">
        <v>221</v>
      </c>
      <c r="AX385" s="0" t="s">
        <v>1637</v>
      </c>
      <c r="AY385" s="0" t="n">
        <v>1</v>
      </c>
      <c r="AZ385" s="0" t="s">
        <v>3983</v>
      </c>
      <c r="BA385" s="0" t="s">
        <v>3984</v>
      </c>
      <c r="BB385" s="0" t="s">
        <v>411</v>
      </c>
      <c r="BP385" s="0" t="n">
        <v>0</v>
      </c>
      <c r="BQ385" s="0" t="n">
        <v>0</v>
      </c>
      <c r="BR385" s="0" t="n">
        <v>1</v>
      </c>
      <c r="BS385" s="0" t="s">
        <v>2113</v>
      </c>
      <c r="BT385" s="0" t="s">
        <v>3987</v>
      </c>
      <c r="BU385" s="0" t="s">
        <v>3988</v>
      </c>
      <c r="BV385" s="123"/>
      <c r="BW385" s="123"/>
      <c r="BX385" s="123"/>
      <c r="BY385" s="123"/>
      <c r="BZ385" s="0" t="n">
        <v>0</v>
      </c>
      <c r="CA385" s="0" t="s">
        <v>2116</v>
      </c>
      <c r="CD385" s="0" t="s">
        <v>370</v>
      </c>
      <c r="CE385" s="0" t="n">
        <v>1</v>
      </c>
      <c r="CF385" s="0" t="s">
        <v>3989</v>
      </c>
      <c r="CI385" s="1" t="n">
        <v>39034</v>
      </c>
      <c r="CJ385" s="1" t="n">
        <v>40641</v>
      </c>
      <c r="CK385" s="124" t="n">
        <v>0.395833333333333</v>
      </c>
      <c r="CL385" s="0" t="s">
        <v>3990</v>
      </c>
      <c r="CM385" s="0" t="n">
        <f aca="false">IF(OR(CI385="",CJ385=""),"",DAYS360(CI385,CJ385)/360)</f>
        <v>4.40277777777778</v>
      </c>
      <c r="CN385" s="0" t="n">
        <f aca="false">IF(OR(CI385="",CJ385=""),"",DAYS360(CI385,CJ385)/30)</f>
        <v>52.8333333333333</v>
      </c>
      <c r="CO385" s="0" t="n">
        <f aca="false">IF(OR(CI385="",CJ385=""),"",DAYS360(CI385,CJ385)/7)</f>
        <v>226.428571428571</v>
      </c>
      <c r="CP385" s="0" t="n">
        <f aca="false">IF(OR(CI385="",CJ385=""),"",DAYS360(CI385,CJ385))</f>
        <v>1585</v>
      </c>
      <c r="CQ385" s="0" t="s">
        <v>220</v>
      </c>
      <c r="CR385" s="0" t="n">
        <v>1</v>
      </c>
      <c r="CT385" s="0" t="n">
        <v>1000</v>
      </c>
      <c r="CU385" s="0" t="n">
        <v>0</v>
      </c>
      <c r="CV385" s="0" t="n">
        <f aca="false">IF(OR(CT385="",CT385="NO ESPECIFICA",CT385="NO MENCIONA"),"",IF(CU385=0,CT385,IF(CU385=1,CT385/30,IF(CU385=2,CT385/15,IF(CU385=3,CT385/7,"")))))</f>
        <v>1000</v>
      </c>
      <c r="CW385" s="125" t="s">
        <v>216</v>
      </c>
      <c r="CX385" s="0" t="s">
        <v>216</v>
      </c>
      <c r="CY385" s="0" t="str">
        <f aca="false">IF(CW385="","",IF(CX385=0,CW385,IF(CX385=1,CW385/30,IF(CX385=2,CW385/15,IF(CX385=3,CW385/7,CW385)))))</f>
        <v>NO MENCIONA</v>
      </c>
      <c r="CZ385" s="0" t="n">
        <f aca="false">IF(DI385&gt;0,DI385,IF(CY385&gt;0,CY385,IF(CV385&gt;0,CV385,"")))</f>
        <v>1000</v>
      </c>
      <c r="DA385" s="0" t="n">
        <f aca="false">IF(DM385=1,CZ385/8,IF(OR(DM385=2,DM385=4),CZ385/7,IF(DM385=3,CZ385/7.5,"")))</f>
        <v>125</v>
      </c>
      <c r="DB385" s="0" t="s">
        <v>216</v>
      </c>
      <c r="DC385" s="0" t="s">
        <v>216</v>
      </c>
      <c r="DD385" s="0" t="s">
        <v>216</v>
      </c>
      <c r="DE385" s="0" t="s">
        <v>216</v>
      </c>
      <c r="DF385" s="0" t="s">
        <v>216</v>
      </c>
      <c r="DG385" s="0" t="s">
        <v>216</v>
      </c>
      <c r="DH385" s="0" t="n">
        <v>0</v>
      </c>
      <c r="DI385" s="126" t="n">
        <v>1000</v>
      </c>
      <c r="DK385" s="0" t="n">
        <v>0</v>
      </c>
      <c r="DM385" s="0" t="n">
        <v>1</v>
      </c>
      <c r="DN385" s="0" t="n">
        <v>60</v>
      </c>
      <c r="DO385" s="0" t="n">
        <v>3</v>
      </c>
      <c r="DP385" s="0" t="n">
        <v>1</v>
      </c>
      <c r="DQ385" s="0" t="n">
        <v>1</v>
      </c>
      <c r="DR385" s="0"/>
      <c r="DS385" s="0" t="n">
        <v>1</v>
      </c>
      <c r="DU385" s="0" t="n">
        <v>1</v>
      </c>
      <c r="DW385" s="1" t="n">
        <v>39034</v>
      </c>
      <c r="DX385" s="1" t="n">
        <v>40641</v>
      </c>
      <c r="DZ385" s="0"/>
      <c r="EA385" s="0" t="n">
        <v>1</v>
      </c>
      <c r="EC385" s="1" t="n">
        <v>39034</v>
      </c>
      <c r="ED385" s="1" t="n">
        <v>40641</v>
      </c>
      <c r="EF385" s="0"/>
      <c r="EG385" s="0" t="n">
        <v>1</v>
      </c>
      <c r="EH385" s="0" t="n">
        <v>9</v>
      </c>
      <c r="EI385" s="0" t="n">
        <f aca="false">IF(AND(DM385=1,DN385&lt;=48),"",IF(AND(DM385=2,DN385&lt;=42),"",IF(AND(DM385=3,DN385&lt;=45),"",EH385)))</f>
        <v>9</v>
      </c>
      <c r="EJ385" s="0" t="n">
        <f aca="false">IF(EI385="","",IF(EI385&lt;9,EI385,9))</f>
        <v>9</v>
      </c>
      <c r="EK385" s="0" t="n">
        <f aca="false">IF(EI385="","",IF(EI385&gt;9,EI385-EJ385,0))</f>
        <v>0</v>
      </c>
      <c r="EL385" s="0" t="n">
        <f aca="false">IF(EI385="","",EJ385*DA385*2+EK385*DA385*3)</f>
        <v>2250</v>
      </c>
      <c r="EP385" s="0" t="n">
        <v>1</v>
      </c>
      <c r="EQ385" s="0"/>
      <c r="ER385" s="0" t="n">
        <v>0</v>
      </c>
      <c r="ET385" s="0" t="n">
        <v>0</v>
      </c>
      <c r="EV385" s="0" t="n">
        <v>0</v>
      </c>
      <c r="EX385" s="0" t="n">
        <v>1</v>
      </c>
      <c r="EY385" s="0" t="n">
        <v>0</v>
      </c>
      <c r="EZ385" s="0"/>
      <c r="FA385" s="4" t="n">
        <v>109500</v>
      </c>
      <c r="FB385" s="0" t="n">
        <v>1</v>
      </c>
      <c r="FF385" s="120" t="n">
        <f aca="false">(CJ385-CI385+1)/365</f>
        <v>4.40547945205479</v>
      </c>
      <c r="FG385" s="0" t="str">
        <f aca="false">CONCATENATE(F385,"/",G385)</f>
        <v>960/2011</v>
      </c>
      <c r="FH385" s="0" t="n">
        <v>0</v>
      </c>
      <c r="FI385" s="0" t="n">
        <v>0</v>
      </c>
    </row>
    <row r="386" customFormat="false" ht="15" hidden="false" customHeight="false" outlineLevel="0" collapsed="false">
      <c r="A386" s="5" t="str">
        <f aca="false">E386&amp;G386&amp;F386</f>
        <v>72011963</v>
      </c>
      <c r="B386" s="0" t="s">
        <v>3732</v>
      </c>
      <c r="C386" s="1" t="n">
        <v>42412</v>
      </c>
      <c r="E386" s="0" t="n">
        <v>7</v>
      </c>
      <c r="F386" s="0" t="n">
        <v>963</v>
      </c>
      <c r="G386" s="0" t="n">
        <v>2011</v>
      </c>
      <c r="H386" s="0" t="str">
        <f aca="false">"J"&amp;E386&amp;"\"&amp;F386&amp;"\"&amp;G386&amp;"\"&amp;W386</f>
        <v>J7\963\2011\1</v>
      </c>
      <c r="I386" s="0"/>
      <c r="J386" s="1" t="n">
        <v>40696</v>
      </c>
      <c r="K386" s="0" t="n">
        <v>0</v>
      </c>
      <c r="M386" s="1" t="n">
        <v>40696</v>
      </c>
      <c r="N386" s="1" t="n">
        <v>40851</v>
      </c>
      <c r="O386" s="1"/>
      <c r="P386" s="1"/>
      <c r="Q386" s="1"/>
      <c r="T386" s="121"/>
      <c r="U386" s="121"/>
      <c r="V386" s="122" t="n">
        <f aca="false">IF(AND(E386&gt;0,F386&gt;0,G386&gt;0),COUNTIFS($E:$E,E386,$F:$F,F386,$G:$G,G386),"")</f>
        <v>1</v>
      </c>
      <c r="W386" s="122" t="n">
        <f aca="false">IF(V386="","",IF(V386=1,1,IF(AND(E385=E386,F385=F386,G385=G386),W385+1,1)))</f>
        <v>1</v>
      </c>
      <c r="X386" s="0" t="n">
        <v>1</v>
      </c>
      <c r="Y386" s="0" t="n">
        <v>3</v>
      </c>
      <c r="Z386" s="0" t="s">
        <v>3991</v>
      </c>
      <c r="AA386" s="0" t="n">
        <v>0</v>
      </c>
      <c r="AB386" s="0" t="s">
        <v>603</v>
      </c>
      <c r="AC386" s="0" t="s">
        <v>2460</v>
      </c>
      <c r="AD386" s="0" t="s">
        <v>221</v>
      </c>
      <c r="AE386" s="0" t="n">
        <v>0</v>
      </c>
      <c r="AF386" s="0" t="s">
        <v>3992</v>
      </c>
      <c r="AG386" s="0" t="n">
        <v>0</v>
      </c>
      <c r="AH386" s="0" t="s">
        <v>3993</v>
      </c>
      <c r="AI386" s="0" t="s">
        <v>2640</v>
      </c>
      <c r="AJ386" s="0" t="s">
        <v>1903</v>
      </c>
      <c r="AL386" s="0" t="s">
        <v>3994</v>
      </c>
      <c r="AM386" s="0" t="n">
        <v>1</v>
      </c>
      <c r="AN386" s="0" t="s">
        <v>3993</v>
      </c>
      <c r="AO386" s="0" t="s">
        <v>2640</v>
      </c>
      <c r="AP386" s="0" t="s">
        <v>1903</v>
      </c>
      <c r="BP386" s="0" t="n">
        <v>0</v>
      </c>
      <c r="BQ386" s="0" t="n">
        <v>0</v>
      </c>
      <c r="BR386" s="0" t="n">
        <v>1</v>
      </c>
      <c r="BS386" s="0" t="s">
        <v>1008</v>
      </c>
      <c r="BT386" s="0" t="s">
        <v>2507</v>
      </c>
      <c r="BU386" s="0" t="s">
        <v>609</v>
      </c>
      <c r="BV386" s="123"/>
      <c r="BW386" s="123"/>
      <c r="BX386" s="123"/>
      <c r="BY386" s="123"/>
      <c r="BZ386" s="0" t="n">
        <v>0</v>
      </c>
      <c r="CA386" s="0" t="s">
        <v>3995</v>
      </c>
      <c r="CD386" s="0" t="s">
        <v>296</v>
      </c>
      <c r="CE386" s="0" t="n">
        <v>0</v>
      </c>
      <c r="CF386" s="0" t="s">
        <v>3996</v>
      </c>
      <c r="CI386" s="1" t="n">
        <v>40234</v>
      </c>
      <c r="CJ386" s="1" t="n">
        <v>40676</v>
      </c>
      <c r="CK386" s="124" t="n">
        <v>0.645833333333333</v>
      </c>
      <c r="CL386" s="0" t="s">
        <v>3994</v>
      </c>
      <c r="CM386" s="0" t="n">
        <f aca="false">IF(OR(CI386="",CJ386=""),"",DAYS360(CI386,CJ386)/360)</f>
        <v>1.21666666666667</v>
      </c>
      <c r="CN386" s="0" t="n">
        <f aca="false">IF(OR(CI386="",CJ386=""),"",DAYS360(CI386,CJ386)/30)</f>
        <v>14.6</v>
      </c>
      <c r="CO386" s="0" t="n">
        <f aca="false">IF(OR(CI386="",CJ386=""),"",DAYS360(CI386,CJ386)/7)</f>
        <v>62.5714285714286</v>
      </c>
      <c r="CP386" s="0" t="n">
        <f aca="false">IF(OR(CI386="",CJ386=""),"",DAYS360(CI386,CJ386))</f>
        <v>438</v>
      </c>
      <c r="CQ386" s="0" t="s">
        <v>240</v>
      </c>
      <c r="CR386" s="0" t="n">
        <v>1</v>
      </c>
      <c r="CT386" s="0" t="s">
        <v>221</v>
      </c>
      <c r="CU386" s="0" t="s">
        <v>221</v>
      </c>
      <c r="CV386" s="0" t="str">
        <f aca="false">IF(OR(CT386="",CT386="NO ESPECIFICA",CT386="NO MENCIONA"),"",IF(CU386=0,CT386,IF(CU386=1,CT386/30,IF(CU386=2,CT386/15,IF(CU386=3,CT386/7,"")))))</f>
        <v/>
      </c>
      <c r="CW386" s="125" t="n">
        <v>285</v>
      </c>
      <c r="CX386" s="0" t="n">
        <v>0</v>
      </c>
      <c r="CY386" s="0" t="n">
        <f aca="false">IF(CW386="","",IF(CX386=0,CW386,IF(CX386=1,CW386/30,IF(CX386=2,CW386/15,IF(CX386=3,CW386/7,CW386)))))</f>
        <v>285</v>
      </c>
      <c r="CZ386" s="0" t="n">
        <f aca="false">IF(DI386&gt;0,DI386,IF(CY386&gt;0,CY386,IF(CV386&gt;0,CV386,"")))</f>
        <v>285</v>
      </c>
      <c r="DA386" s="0" t="n">
        <f aca="false">IF(DM386=1,CZ386/8,IF(OR(DM386=2,DM386=4),CZ386/7,IF(DM386=3,CZ386/7.5,"")))</f>
        <v>35.625</v>
      </c>
      <c r="DB386" s="0" t="s">
        <v>216</v>
      </c>
      <c r="DC386" s="0" t="s">
        <v>216</v>
      </c>
      <c r="DD386" s="0" t="s">
        <v>216</v>
      </c>
      <c r="DE386" s="0" t="s">
        <v>216</v>
      </c>
      <c r="DF386" s="0" t="s">
        <v>216</v>
      </c>
      <c r="DG386" s="0" t="s">
        <v>216</v>
      </c>
      <c r="DH386" s="0" t="n">
        <v>0</v>
      </c>
      <c r="DI386" s="126" t="n">
        <v>285</v>
      </c>
      <c r="DK386" s="0" t="n">
        <v>1</v>
      </c>
      <c r="DM386" s="0" t="n">
        <v>1</v>
      </c>
      <c r="DN386" s="0" t="n">
        <v>72</v>
      </c>
      <c r="DO386" s="0" t="n">
        <v>3</v>
      </c>
      <c r="DP386" s="0" t="n">
        <v>0</v>
      </c>
      <c r="DQ386" s="0" t="n">
        <v>1</v>
      </c>
      <c r="DR386" s="0"/>
      <c r="DS386" s="0" t="n">
        <v>1</v>
      </c>
      <c r="DU386" s="0" t="n">
        <v>1</v>
      </c>
      <c r="DW386" s="1" t="n">
        <v>40234</v>
      </c>
      <c r="DX386" s="1" t="n">
        <v>40676</v>
      </c>
      <c r="DZ386" s="0"/>
      <c r="EA386" s="0" t="n">
        <v>1</v>
      </c>
      <c r="EC386" s="1" t="n">
        <v>40234</v>
      </c>
      <c r="ED386" s="1" t="n">
        <v>40676</v>
      </c>
      <c r="EF386" s="0"/>
      <c r="EG386" s="0" t="n">
        <v>1</v>
      </c>
      <c r="EH386" s="0" t="n">
        <v>18</v>
      </c>
      <c r="EI386" s="0" t="n">
        <f aca="false">IF(AND(DM386=1,DN386&lt;=48),"",IF(AND(DM386=2,DN386&lt;=42),"",IF(AND(DM386=3,DN386&lt;=45),"",EH386)))</f>
        <v>18</v>
      </c>
      <c r="EJ386" s="0" t="n">
        <f aca="false">IF(EI386="","",IF(EI386&lt;9,EI386,9))</f>
        <v>9</v>
      </c>
      <c r="EK386" s="0" t="n">
        <f aca="false">IF(EI386="","",IF(EI386&gt;9,EI386-EJ386,0))</f>
        <v>9</v>
      </c>
      <c r="EL386" s="0" t="n">
        <f aca="false">IF(EI386="","",EJ386*DA386*2+EK386*DA386*3)</f>
        <v>1603.125</v>
      </c>
      <c r="EP386" s="0" t="n">
        <v>0</v>
      </c>
      <c r="EQ386" s="0"/>
      <c r="ER386" s="0" t="n">
        <v>0</v>
      </c>
      <c r="ET386" s="0" t="n">
        <v>1</v>
      </c>
      <c r="EV386" s="0" t="n">
        <v>1</v>
      </c>
      <c r="EX386" s="0" t="n">
        <v>1</v>
      </c>
      <c r="EY386" s="0" t="n">
        <v>1</v>
      </c>
      <c r="EZ386" s="4" t="n">
        <v>3000</v>
      </c>
      <c r="FA386" s="0"/>
      <c r="FB386" s="0" t="n">
        <v>0</v>
      </c>
      <c r="FF386" s="120" t="n">
        <f aca="false">(CJ386-CI386+1)/365</f>
        <v>1.21369863013699</v>
      </c>
      <c r="FG386" s="0" t="str">
        <f aca="false">CONCATENATE(F386,"/",G386)</f>
        <v>963/2011</v>
      </c>
      <c r="FH386" s="0" t="n">
        <v>0</v>
      </c>
      <c r="FI386" s="0" t="n">
        <v>0</v>
      </c>
    </row>
    <row r="387" customFormat="false" ht="15" hidden="false" customHeight="false" outlineLevel="0" collapsed="false">
      <c r="A387" s="5" t="str">
        <f aca="false">E387&amp;G387&amp;F387</f>
        <v>72011966</v>
      </c>
      <c r="B387" s="0" t="s">
        <v>3732</v>
      </c>
      <c r="C387" s="1" t="n">
        <v>42412</v>
      </c>
      <c r="E387" s="0" t="n">
        <v>7</v>
      </c>
      <c r="F387" s="0" t="n">
        <v>966</v>
      </c>
      <c r="G387" s="0" t="n">
        <v>2011</v>
      </c>
      <c r="H387" s="0" t="str">
        <f aca="false">"J"&amp;E387&amp;"\"&amp;F387&amp;"\"&amp;G387&amp;"\"&amp;W387</f>
        <v>J7\966\2011\1</v>
      </c>
      <c r="I387" s="0"/>
      <c r="J387" s="1" t="n">
        <v>40697</v>
      </c>
      <c r="K387" s="0" t="n">
        <v>0</v>
      </c>
      <c r="M387" s="1" t="n">
        <v>40697</v>
      </c>
      <c r="N387" s="1" t="n">
        <v>40854</v>
      </c>
      <c r="O387" s="1"/>
      <c r="P387" s="1"/>
      <c r="Q387" s="1"/>
      <c r="T387" s="121"/>
      <c r="U387" s="121"/>
      <c r="V387" s="122" t="n">
        <f aca="false">IF(AND(E387&gt;0,F387&gt;0,G387&gt;0),COUNTIFS($E:$E,E387,$F:$F,F387,$G:$G,G387),"")</f>
        <v>1</v>
      </c>
      <c r="W387" s="122" t="n">
        <f aca="false">IF(V387="","",IF(V387=1,1,IF(AND(E386=E387,F386=F387,G386=G387),W386+1,1)))</f>
        <v>1</v>
      </c>
      <c r="X387" s="0" t="n">
        <v>1</v>
      </c>
      <c r="Y387" s="0" t="n">
        <v>3</v>
      </c>
      <c r="Z387" s="0" t="s">
        <v>3997</v>
      </c>
      <c r="AA387" s="0" t="n">
        <v>0</v>
      </c>
      <c r="AB387" s="0" t="s">
        <v>1923</v>
      </c>
      <c r="AC387" s="0" t="s">
        <v>228</v>
      </c>
      <c r="AD387" s="0" t="s">
        <v>229</v>
      </c>
      <c r="AE387" s="0" t="n">
        <v>0</v>
      </c>
      <c r="AF387" s="0" t="s">
        <v>3998</v>
      </c>
      <c r="AG387" s="0" t="n">
        <v>1</v>
      </c>
      <c r="AH387" s="0" t="s">
        <v>3999</v>
      </c>
      <c r="AI387" s="0" t="s">
        <v>4000</v>
      </c>
      <c r="AJ387" s="0" t="s">
        <v>411</v>
      </c>
      <c r="AL387" s="0" t="s">
        <v>4001</v>
      </c>
      <c r="AM387" s="0" t="n">
        <v>1</v>
      </c>
      <c r="AN387" s="0" t="s">
        <v>3999</v>
      </c>
      <c r="AO387" s="0" t="s">
        <v>4000</v>
      </c>
      <c r="AP387" s="0" t="s">
        <v>411</v>
      </c>
      <c r="AR387" s="0" t="s">
        <v>1637</v>
      </c>
      <c r="AS387" s="0" t="n">
        <v>1</v>
      </c>
      <c r="AT387" s="0" t="s">
        <v>3999</v>
      </c>
      <c r="AU387" s="0" t="s">
        <v>4000</v>
      </c>
      <c r="AV387" s="0" t="s">
        <v>411</v>
      </c>
      <c r="BP387" s="0" t="n">
        <v>0</v>
      </c>
      <c r="BQ387" s="0" t="n">
        <v>0</v>
      </c>
      <c r="BR387" s="0" t="n">
        <v>3</v>
      </c>
      <c r="BS387" s="0" t="s">
        <v>651</v>
      </c>
      <c r="BT387" s="0" t="s">
        <v>1818</v>
      </c>
      <c r="BU387" s="0" t="s">
        <v>501</v>
      </c>
      <c r="BV387" s="123"/>
      <c r="BW387" s="123"/>
      <c r="BX387" s="123"/>
      <c r="BY387" s="123"/>
      <c r="BZ387" s="0" t="n">
        <v>0</v>
      </c>
      <c r="CA387" s="0" t="s">
        <v>348</v>
      </c>
      <c r="CD387" s="0" t="s">
        <v>502</v>
      </c>
      <c r="CE387" s="0" t="n">
        <v>0</v>
      </c>
      <c r="CF387" s="0" t="s">
        <v>503</v>
      </c>
      <c r="CI387" s="1" t="n">
        <v>40266</v>
      </c>
      <c r="CJ387" s="1" t="n">
        <v>40638</v>
      </c>
      <c r="CK387" s="124" t="n">
        <v>0.875</v>
      </c>
      <c r="CL387" s="0" t="s">
        <v>4002</v>
      </c>
      <c r="CM387" s="0" t="n">
        <f aca="false">IF(OR(CI387="",CJ387=""),"",DAYS360(CI387,CJ387)/360)</f>
        <v>1.01666666666667</v>
      </c>
      <c r="CN387" s="0" t="n">
        <f aca="false">IF(OR(CI387="",CJ387=""),"",DAYS360(CI387,CJ387)/30)</f>
        <v>12.2</v>
      </c>
      <c r="CO387" s="0" t="n">
        <f aca="false">IF(OR(CI387="",CJ387=""),"",DAYS360(CI387,CJ387)/7)</f>
        <v>52.2857142857143</v>
      </c>
      <c r="CP387" s="0" t="n">
        <f aca="false">IF(OR(CI387="",CJ387=""),"",DAYS360(CI387,CJ387))</f>
        <v>366</v>
      </c>
      <c r="CQ387" s="0" t="s">
        <v>240</v>
      </c>
      <c r="CR387" s="0" t="n">
        <v>1</v>
      </c>
      <c r="CT387" s="0" t="n">
        <v>350</v>
      </c>
      <c r="CU387" s="0" t="n">
        <v>0</v>
      </c>
      <c r="CV387" s="0" t="n">
        <f aca="false">IF(OR(CT387="",CT387="NO ESPECIFICA",CT387="NO MENCIONA"),"",IF(CU387=0,CT387,IF(CU387=1,CT387/30,IF(CU387=2,CT387/15,IF(CU387=3,CT387/7,"")))))</f>
        <v>350</v>
      </c>
      <c r="CW387" s="125" t="n">
        <v>378.79</v>
      </c>
      <c r="CX387" s="0" t="n">
        <v>0</v>
      </c>
      <c r="CY387" s="0" t="n">
        <f aca="false">IF(CW387="","",IF(CX387=0,CW387,IF(CX387=1,CW387/30,IF(CX387=2,CW387/15,IF(CX387=3,CW387/7,CW387)))))</f>
        <v>378.79</v>
      </c>
      <c r="CZ387" s="0" t="n">
        <f aca="false">IF(DI387&gt;0,DI387,IF(CY387&gt;0,CY387,IF(CV387&gt;0,CV387,"")))</f>
        <v>378.79</v>
      </c>
      <c r="DA387" s="0" t="n">
        <f aca="false">IF(DM387=1,CZ387/8,IF(OR(DM387=2,DM387=4),CZ387/7,IF(DM387=3,CZ387/7.5,"")))</f>
        <v>50.5053333333333</v>
      </c>
      <c r="DB387" s="0" t="s">
        <v>216</v>
      </c>
      <c r="DC387" s="0" t="s">
        <v>216</v>
      </c>
      <c r="DD387" s="0" t="s">
        <v>216</v>
      </c>
      <c r="DE387" s="0" t="s">
        <v>216</v>
      </c>
      <c r="DF387" s="0" t="s">
        <v>216</v>
      </c>
      <c r="DG387" s="0" t="s">
        <v>216</v>
      </c>
      <c r="DH387" s="0" t="n">
        <v>0</v>
      </c>
      <c r="DI387" s="126" t="n">
        <v>378.79</v>
      </c>
      <c r="DK387" s="0" t="n">
        <v>0</v>
      </c>
      <c r="DM387" s="0" t="n">
        <v>3</v>
      </c>
      <c r="DN387" s="0" t="n">
        <v>102</v>
      </c>
      <c r="DO387" s="0" t="n">
        <v>3</v>
      </c>
      <c r="DP387" s="0" t="n">
        <v>0</v>
      </c>
      <c r="DQ387" s="0" t="n">
        <v>1</v>
      </c>
      <c r="DR387" s="0"/>
      <c r="DS387" s="0" t="n">
        <v>1</v>
      </c>
      <c r="DU387" s="0" t="n">
        <v>1</v>
      </c>
      <c r="DW387" s="1" t="n">
        <v>40266</v>
      </c>
      <c r="DX387" s="1" t="n">
        <v>40638</v>
      </c>
      <c r="DZ387" s="0"/>
      <c r="EA387" s="0" t="n">
        <v>1</v>
      </c>
      <c r="EC387" s="1" t="n">
        <v>40266</v>
      </c>
      <c r="ED387" s="1" t="n">
        <v>40638</v>
      </c>
      <c r="EF387" s="0"/>
      <c r="EG387" s="0" t="n">
        <v>0</v>
      </c>
      <c r="EI387" s="0" t="n">
        <f aca="false">IF(AND(DM387=1,DN387&lt;=48),"",IF(AND(DM387=2,DN387&lt;=42),"",IF(AND(DM387=3,DN387&lt;=45),"",EH387)))</f>
        <v>0</v>
      </c>
      <c r="EJ387" s="0" t="str">
        <f aca="false">IF(EI387="","",IF(EI387&lt;9,EI387,9))</f>
        <v/>
      </c>
      <c r="EK387" s="0" t="str">
        <f aca="false">IF(EI387="","",IF(EI387&gt;9,EI387-EJ387,0))</f>
        <v/>
      </c>
      <c r="EL387" s="0" t="str">
        <f aca="false">IF(EI387="","",EJ387*DA387*2+EK387*DA387*3)</f>
        <v/>
      </c>
      <c r="EP387" s="0" t="n">
        <v>0</v>
      </c>
      <c r="EQ387" s="0"/>
      <c r="ER387" s="0" t="n">
        <v>0</v>
      </c>
      <c r="ET387" s="0" t="n">
        <v>0</v>
      </c>
      <c r="EV387" s="0" t="n">
        <v>0</v>
      </c>
      <c r="EX387" s="0" t="n">
        <v>0</v>
      </c>
      <c r="EY387" s="0" t="n">
        <v>0</v>
      </c>
      <c r="EZ387" s="0"/>
      <c r="FA387" s="0"/>
      <c r="FB387" s="0" t="n">
        <v>1</v>
      </c>
      <c r="FF387" s="120" t="n">
        <f aca="false">(CJ387-CI387+1)/365</f>
        <v>1.02191780821918</v>
      </c>
      <c r="FG387" s="0" t="str">
        <f aca="false">CONCATENATE(F387,"/",G387)</f>
        <v>966/2011</v>
      </c>
      <c r="FH387" s="0" t="n">
        <v>0</v>
      </c>
      <c r="FI387" s="0" t="n">
        <v>0</v>
      </c>
    </row>
    <row r="388" customFormat="false" ht="15" hidden="false" customHeight="false" outlineLevel="0" collapsed="false">
      <c r="A388" s="5" t="str">
        <f aca="false">E388&amp;G388&amp;F388</f>
        <v>72011989</v>
      </c>
      <c r="B388" s="0" t="s">
        <v>3732</v>
      </c>
      <c r="C388" s="1" t="n">
        <v>42412</v>
      </c>
      <c r="D388" s="0" t="s">
        <v>1856</v>
      </c>
      <c r="E388" s="0" t="n">
        <v>7</v>
      </c>
      <c r="F388" s="0" t="n">
        <v>989</v>
      </c>
      <c r="G388" s="0" t="n">
        <v>2011</v>
      </c>
      <c r="H388" s="0" t="str">
        <f aca="false">"J"&amp;E388&amp;"\"&amp;F388&amp;"\"&amp;G388&amp;"\"&amp;W388</f>
        <v>J7\989\2011\1</v>
      </c>
      <c r="I388" s="0"/>
      <c r="J388" s="1" t="n">
        <v>40702</v>
      </c>
      <c r="K388" s="0" t="n">
        <v>0</v>
      </c>
      <c r="M388" s="1"/>
      <c r="N388" s="1"/>
      <c r="O388" s="1"/>
      <c r="P388" s="1"/>
      <c r="Q388" s="1"/>
      <c r="T388" s="121"/>
      <c r="U388" s="121"/>
      <c r="V388" s="122" t="n">
        <f aca="false">IF(AND(E388&gt;0,F388&gt;0,G388&gt;0),COUNTIFS($E:$E,E388,$F:$F,F388,$G:$G,G388),"")</f>
        <v>1</v>
      </c>
      <c r="W388" s="122" t="n">
        <f aca="false">IF(V388="","",IF(V388=1,1,IF(AND(E387=E388,F387=F388,G387=G388),W387+1,1)))</f>
        <v>1</v>
      </c>
      <c r="X388" s="0" t="n">
        <v>1</v>
      </c>
      <c r="Y388" s="0" t="n">
        <v>1</v>
      </c>
      <c r="Z388" s="0" t="s">
        <v>4003</v>
      </c>
      <c r="AA388" s="0" t="n">
        <v>0</v>
      </c>
      <c r="AB388" s="0" t="s">
        <v>4004</v>
      </c>
      <c r="AC388" s="0" t="s">
        <v>4005</v>
      </c>
      <c r="AD388" s="0" t="s">
        <v>221</v>
      </c>
      <c r="AE388" s="0" t="n">
        <v>0</v>
      </c>
      <c r="AF388" s="0" t="s">
        <v>4006</v>
      </c>
      <c r="AG388" s="0" t="n">
        <v>1</v>
      </c>
      <c r="AH388" s="0" t="s">
        <v>4007</v>
      </c>
      <c r="AI388" s="0" t="s">
        <v>2640</v>
      </c>
      <c r="AJ388" s="0" t="s">
        <v>1903</v>
      </c>
      <c r="BP388" s="0" t="n">
        <v>0</v>
      </c>
      <c r="BQ388" s="0" t="n">
        <v>0</v>
      </c>
      <c r="BR388" s="0" t="n">
        <v>1</v>
      </c>
      <c r="BS388" s="0" t="s">
        <v>4008</v>
      </c>
      <c r="BT388" s="0" t="s">
        <v>4009</v>
      </c>
      <c r="BU388" s="0" t="s">
        <v>4010</v>
      </c>
      <c r="BV388" s="123"/>
      <c r="BW388" s="123"/>
      <c r="BX388" s="123"/>
      <c r="BY388" s="123"/>
      <c r="BZ388" s="0" t="n">
        <v>0</v>
      </c>
      <c r="CA388" s="0" t="s">
        <v>216</v>
      </c>
      <c r="CD388" s="0" t="s">
        <v>296</v>
      </c>
      <c r="CE388" s="0" t="n">
        <v>0</v>
      </c>
      <c r="CF388" s="0" t="s">
        <v>4011</v>
      </c>
      <c r="CI388" s="1" t="n">
        <v>40105</v>
      </c>
      <c r="CJ388" s="1" t="n">
        <v>40693</v>
      </c>
      <c r="CK388" s="124" t="n">
        <v>0.53125</v>
      </c>
      <c r="CL388" s="0" t="s">
        <v>4012</v>
      </c>
      <c r="CM388" s="0" t="n">
        <f aca="false">IF(OR(CI388="",CJ388=""),"",DAYS360(CI388,CJ388)/360)</f>
        <v>1.61388888888889</v>
      </c>
      <c r="CN388" s="0" t="n">
        <f aca="false">IF(OR(CI388="",CJ388=""),"",DAYS360(CI388,CJ388)/30)</f>
        <v>19.3666666666667</v>
      </c>
      <c r="CO388" s="0" t="n">
        <f aca="false">IF(OR(CI388="",CJ388=""),"",DAYS360(CI388,CJ388)/7)</f>
        <v>83</v>
      </c>
      <c r="CP388" s="0" t="n">
        <f aca="false">IF(OR(CI388="",CJ388=""),"",DAYS360(CI388,CJ388))</f>
        <v>581</v>
      </c>
      <c r="CQ388" s="0" t="s">
        <v>220</v>
      </c>
      <c r="CR388" s="0" t="n">
        <v>1</v>
      </c>
      <c r="CT388" s="0" t="s">
        <v>221</v>
      </c>
      <c r="CU388" s="0" t="s">
        <v>221</v>
      </c>
      <c r="CV388" s="0" t="str">
        <f aca="false">IF(OR(CT388="",CT388="NO ESPECIFICA",CT388="NO MENCIONA"),"",IF(CU388=0,CT388,IF(CU388=1,CT388/30,IF(CU388=2,CT388/15,IF(CU388=3,CT388/7,"")))))</f>
        <v/>
      </c>
      <c r="CW388" s="125" t="n">
        <v>6400</v>
      </c>
      <c r="CX388" s="0" t="n">
        <v>1</v>
      </c>
      <c r="CY388" s="0" t="n">
        <f aca="false">IF(CW388="","",IF(CX388=0,CW388,IF(CX388=1,CW388/30,IF(CX388=2,CW388/15,IF(CX388=3,CW388/7,CW388)))))</f>
        <v>213.333333333333</v>
      </c>
      <c r="CZ388" s="0" t="n">
        <f aca="false">IF(DI388&gt;0,DI388,IF(CY388&gt;0,CY388,IF(CV388&gt;0,CV388,"")))</f>
        <v>213.33</v>
      </c>
      <c r="DA388" s="0" t="n">
        <f aca="false">IF(DM388=1,CZ388/8,IF(OR(DM388=2,DM388=4),CZ388/7,IF(DM388=3,CZ388/7.5,"")))</f>
        <v>26.66625</v>
      </c>
      <c r="DB388" s="0" t="s">
        <v>216</v>
      </c>
      <c r="DC388" s="0" t="s">
        <v>216</v>
      </c>
      <c r="DD388" s="0" t="s">
        <v>216</v>
      </c>
      <c r="DE388" s="0" t="s">
        <v>216</v>
      </c>
      <c r="DF388" s="0" t="s">
        <v>216</v>
      </c>
      <c r="DG388" s="0" t="s">
        <v>216</v>
      </c>
      <c r="DH388" s="0" t="n">
        <v>0</v>
      </c>
      <c r="DI388" s="126" t="n">
        <v>213.33</v>
      </c>
      <c r="DK388" s="0" t="n">
        <v>1</v>
      </c>
      <c r="DM388" s="0" t="n">
        <v>1</v>
      </c>
      <c r="DN388" s="0" t="n">
        <v>50</v>
      </c>
      <c r="DO388" s="0" t="n">
        <v>3</v>
      </c>
      <c r="DP388" s="0" t="n">
        <v>1</v>
      </c>
      <c r="DQ388" s="0" t="n">
        <v>0</v>
      </c>
      <c r="DR388" s="0"/>
      <c r="DS388" s="0" t="n">
        <v>1</v>
      </c>
      <c r="DU388" s="0" t="n">
        <v>1</v>
      </c>
      <c r="DW388" s="1" t="n">
        <v>40470</v>
      </c>
      <c r="DX388" s="1" t="n">
        <v>40693</v>
      </c>
      <c r="DZ388" s="0"/>
      <c r="EA388" s="0" t="n">
        <v>1</v>
      </c>
      <c r="EC388" s="1" t="n">
        <v>40544</v>
      </c>
      <c r="ED388" s="1" t="n">
        <v>40693</v>
      </c>
      <c r="EF388" s="0"/>
      <c r="EG388" s="0" t="n">
        <v>0</v>
      </c>
      <c r="EI388" s="0" t="n">
        <f aca="false">IF(AND(DM388=1,DN388&lt;=48),"",IF(AND(DM388=2,DN388&lt;=42),"",IF(AND(DM388=3,DN388&lt;=45),"",EH388)))</f>
        <v>0</v>
      </c>
      <c r="EJ388" s="0" t="str">
        <f aca="false">IF(EI388="","",IF(EI388&lt;9,EI388,9))</f>
        <v/>
      </c>
      <c r="EK388" s="0" t="str">
        <f aca="false">IF(EI388="","",IF(EI388&gt;9,EI388-EJ388,0))</f>
        <v/>
      </c>
      <c r="EL388" s="0" t="str">
        <f aca="false">IF(EI388="","",EJ388*DA388*2+EK388*DA388*3)</f>
        <v/>
      </c>
      <c r="EP388" s="0" t="n">
        <v>0</v>
      </c>
      <c r="EQ388" s="0"/>
      <c r="ER388" s="0" t="n">
        <v>0</v>
      </c>
      <c r="ET388" s="0" t="n">
        <v>0</v>
      </c>
      <c r="EV388" s="0" t="n">
        <v>0</v>
      </c>
      <c r="EX388" s="0" t="n">
        <v>1</v>
      </c>
      <c r="EY388" s="0" t="n">
        <v>0</v>
      </c>
      <c r="EZ388" s="0"/>
      <c r="FA388" s="4" t="n">
        <v>3200</v>
      </c>
      <c r="FB388" s="0" t="n">
        <v>1</v>
      </c>
      <c r="FF388" s="120" t="n">
        <f aca="false">(CJ388-CI388+1)/365</f>
        <v>1.61369863013699</v>
      </c>
      <c r="FG388" s="0" t="str">
        <f aca="false">CONCATENATE(F388,"/",G388)</f>
        <v>989/2011</v>
      </c>
      <c r="FH388" s="0" t="n">
        <v>0</v>
      </c>
      <c r="FI388" s="0" t="n">
        <v>0</v>
      </c>
    </row>
    <row r="389" customFormat="false" ht="15" hidden="false" customHeight="false" outlineLevel="0" collapsed="false">
      <c r="A389" s="5" t="str">
        <f aca="false">E389&amp;G389&amp;F389</f>
        <v>72011990</v>
      </c>
      <c r="B389" s="0" t="s">
        <v>3732</v>
      </c>
      <c r="C389" s="1" t="n">
        <v>42412</v>
      </c>
      <c r="D389" s="0" t="s">
        <v>1856</v>
      </c>
      <c r="E389" s="0" t="n">
        <v>7</v>
      </c>
      <c r="F389" s="0" t="n">
        <v>990</v>
      </c>
      <c r="G389" s="0" t="n">
        <v>2011</v>
      </c>
      <c r="H389" s="0" t="str">
        <f aca="false">"J"&amp;E389&amp;"\"&amp;F389&amp;"\"&amp;G389&amp;"\"&amp;W389</f>
        <v>J7\990\2011\1</v>
      </c>
      <c r="I389" s="0"/>
      <c r="J389" s="1" t="n">
        <v>40702</v>
      </c>
      <c r="K389" s="0" t="n">
        <v>0</v>
      </c>
      <c r="M389" s="1"/>
      <c r="N389" s="1"/>
      <c r="O389" s="1"/>
      <c r="P389" s="1"/>
      <c r="Q389" s="1"/>
      <c r="T389" s="121"/>
      <c r="U389" s="121"/>
      <c r="V389" s="122" t="n">
        <f aca="false">IF(AND(E389&gt;0,F389&gt;0,G389&gt;0),COUNTIFS($E:$E,E389,$F:$F,F389,$G:$G,G389),"")</f>
        <v>1</v>
      </c>
      <c r="W389" s="122" t="n">
        <f aca="false">IF(V389="","",IF(V389=1,1,IF(AND(E388=E389,F388=F389,G388=G389),W388+1,1)))</f>
        <v>1</v>
      </c>
      <c r="X389" s="0" t="n">
        <v>1</v>
      </c>
      <c r="Y389" s="0" t="n">
        <v>3</v>
      </c>
      <c r="Z389" s="0" t="s">
        <v>4013</v>
      </c>
      <c r="AA389" s="0" t="n">
        <v>0</v>
      </c>
      <c r="AB389" s="0" t="s">
        <v>4014</v>
      </c>
      <c r="AC389" s="0" t="s">
        <v>4015</v>
      </c>
      <c r="AD389" s="0" t="s">
        <v>221</v>
      </c>
      <c r="AE389" s="0" t="n">
        <v>0</v>
      </c>
      <c r="AF389" s="0" t="s">
        <v>4016</v>
      </c>
      <c r="AG389" s="0" t="n">
        <v>0</v>
      </c>
      <c r="AH389" s="0" t="s">
        <v>4017</v>
      </c>
      <c r="AI389" s="0" t="s">
        <v>4018</v>
      </c>
      <c r="AJ389" s="0" t="s">
        <v>221</v>
      </c>
      <c r="AL389" s="0" t="s">
        <v>4019</v>
      </c>
      <c r="AM389" s="0" t="n">
        <v>1</v>
      </c>
      <c r="AN389" s="0" t="s">
        <v>4020</v>
      </c>
      <c r="AO389" s="0" t="s">
        <v>4021</v>
      </c>
      <c r="AP389" s="0" t="s">
        <v>221</v>
      </c>
      <c r="AR389" s="0" t="s">
        <v>3891</v>
      </c>
      <c r="AS389" s="0" t="n">
        <v>0</v>
      </c>
      <c r="AT389" s="0" t="s">
        <v>4022</v>
      </c>
      <c r="AU389" s="0" t="s">
        <v>251</v>
      </c>
      <c r="AV389" s="0" t="s">
        <v>221</v>
      </c>
      <c r="BP389" s="0" t="n">
        <v>0</v>
      </c>
      <c r="BQ389" s="0" t="n">
        <v>0</v>
      </c>
      <c r="BR389" s="0" t="n">
        <v>1</v>
      </c>
      <c r="BS389" s="0" t="s">
        <v>4023</v>
      </c>
      <c r="BT389" s="0" t="s">
        <v>4024</v>
      </c>
      <c r="BU389" s="0" t="s">
        <v>4025</v>
      </c>
      <c r="BV389" s="123"/>
      <c r="BW389" s="123"/>
      <c r="BX389" s="123"/>
      <c r="BY389" s="123"/>
      <c r="BZ389" s="0" t="n">
        <v>0</v>
      </c>
      <c r="CA389" s="0" t="s">
        <v>216</v>
      </c>
      <c r="CD389" s="0" t="s">
        <v>370</v>
      </c>
      <c r="CE389" s="0" t="n">
        <v>0</v>
      </c>
      <c r="CF389" s="0" t="s">
        <v>1486</v>
      </c>
      <c r="CI389" s="1" t="n">
        <v>35217</v>
      </c>
      <c r="CJ389" s="1" t="n">
        <v>40686</v>
      </c>
      <c r="CK389" s="124" t="n">
        <v>0.520833333333333</v>
      </c>
      <c r="CL389" s="0" t="s">
        <v>4026</v>
      </c>
      <c r="CM389" s="0" t="n">
        <f aca="false">IF(OR(CI389="",CJ389=""),"",DAYS360(CI389,CJ389)/360)</f>
        <v>14.9777777777778</v>
      </c>
      <c r="CN389" s="0" t="n">
        <f aca="false">IF(OR(CI389="",CJ389=""),"",DAYS360(CI389,CJ389)/30)</f>
        <v>179.733333333333</v>
      </c>
      <c r="CO389" s="0" t="n">
        <f aca="false">IF(OR(CI389="",CJ389=""),"",DAYS360(CI389,CJ389)/7)</f>
        <v>770.285714285714</v>
      </c>
      <c r="CP389" s="0" t="n">
        <f aca="false">IF(OR(CI389="",CJ389=""),"",DAYS360(CI389,CJ389))</f>
        <v>5392</v>
      </c>
      <c r="CQ389" s="0" t="s">
        <v>240</v>
      </c>
      <c r="CR389" s="0" t="n">
        <v>1</v>
      </c>
      <c r="CT389" s="0" t="n">
        <v>12000</v>
      </c>
      <c r="CU389" s="0" t="n">
        <v>1</v>
      </c>
      <c r="CV389" s="0" t="n">
        <f aca="false">IF(OR(CT389="",CT389="NO ESPECIFICA",CT389="NO MENCIONA"),"",IF(CU389=0,CT389,IF(CU389=1,CT389/30,IF(CU389=2,CT389/15,IF(CU389=3,CT389/7,"")))))</f>
        <v>400</v>
      </c>
      <c r="CW389" s="125" t="n">
        <v>24000</v>
      </c>
      <c r="CX389" s="0" t="n">
        <v>1</v>
      </c>
      <c r="CY389" s="0" t="n">
        <f aca="false">IF(CW389="","",IF(CX389=0,CW389,IF(CX389=1,CW389/30,IF(CX389=2,CW389/15,IF(CX389=3,CW389/7,CW389)))))</f>
        <v>800</v>
      </c>
      <c r="CZ389" s="0" t="n">
        <f aca="false">IF(DI389&gt;0,DI389,IF(CY389&gt;0,CY389,IF(CV389&gt;0,CV389,"")))</f>
        <v>800</v>
      </c>
      <c r="DA389" s="0" t="n">
        <f aca="false">IF(DM389=1,CZ389/8,IF(OR(DM389=2,DM389=4),CZ389/7,IF(DM389=3,CZ389/7.5,"")))</f>
        <v>100</v>
      </c>
      <c r="DB389" s="0" t="s">
        <v>1997</v>
      </c>
      <c r="DC389" s="0" t="s">
        <v>216</v>
      </c>
      <c r="DD389" s="0" t="s">
        <v>216</v>
      </c>
      <c r="DE389" s="0" t="s">
        <v>216</v>
      </c>
      <c r="DF389" s="0" t="s">
        <v>216</v>
      </c>
      <c r="DG389" s="0" t="s">
        <v>216</v>
      </c>
      <c r="DH389" s="0" t="n">
        <v>0</v>
      </c>
      <c r="DI389" s="126" t="n">
        <v>800</v>
      </c>
      <c r="DK389" s="0" t="n">
        <v>0</v>
      </c>
      <c r="DM389" s="0" t="n">
        <v>1</v>
      </c>
      <c r="DN389" s="0" t="n">
        <v>58.5</v>
      </c>
      <c r="DO389" s="0" t="n">
        <v>3</v>
      </c>
      <c r="DP389" s="0" t="n">
        <v>0</v>
      </c>
      <c r="DQ389" s="0" t="n">
        <v>1</v>
      </c>
      <c r="DR389" s="0" t="n">
        <v>72000</v>
      </c>
      <c r="DS389" s="0" t="n">
        <v>1</v>
      </c>
      <c r="DU389" s="0" t="n">
        <v>1</v>
      </c>
      <c r="DV389" s="0" t="n">
        <v>19800</v>
      </c>
      <c r="DW389" s="1" t="n">
        <v>40330</v>
      </c>
      <c r="DX389" s="1" t="n">
        <v>40686</v>
      </c>
      <c r="DZ389" s="0"/>
      <c r="EA389" s="0" t="n">
        <v>1</v>
      </c>
      <c r="EC389" s="1" t="n">
        <v>40179</v>
      </c>
      <c r="ED389" s="1" t="n">
        <v>40686</v>
      </c>
      <c r="EF389" s="0"/>
      <c r="EG389" s="0" t="n">
        <v>1</v>
      </c>
      <c r="EH389" s="0" t="n">
        <v>10.5</v>
      </c>
      <c r="EI389" s="0" t="n">
        <f aca="false">IF(AND(DM389=1,DN389&lt;=48),"",IF(AND(DM389=2,DN389&lt;=42),"",IF(AND(DM389=3,DN389&lt;=45),"",EH389)))</f>
        <v>10.5</v>
      </c>
      <c r="EJ389" s="0" t="n">
        <f aca="false">IF(EI389="","",IF(EI389&lt;9,EI389,9))</f>
        <v>9</v>
      </c>
      <c r="EK389" s="0" t="n">
        <f aca="false">IF(EI389="","",IF(EI389&gt;9,EI389-EJ389,0))</f>
        <v>1.5</v>
      </c>
      <c r="EL389" s="0" t="n">
        <f aca="false">IF(EI389="","",EJ389*DA389*2+EK389*DA389*3)</f>
        <v>2250</v>
      </c>
      <c r="EN389" s="0" t="n">
        <v>117000</v>
      </c>
      <c r="EP389" s="0" t="n">
        <v>1</v>
      </c>
      <c r="EQ389" s="0" t="n">
        <v>240000</v>
      </c>
      <c r="ER389" s="0" t="n">
        <v>0</v>
      </c>
      <c r="ET389" s="0" t="n">
        <v>0</v>
      </c>
      <c r="EV389" s="0" t="n">
        <v>0</v>
      </c>
      <c r="EX389" s="0" t="n">
        <v>1</v>
      </c>
      <c r="EY389" s="0" t="n">
        <v>0</v>
      </c>
      <c r="EZ389" s="0"/>
      <c r="FA389" s="0"/>
      <c r="FB389" s="0" t="n">
        <v>0</v>
      </c>
      <c r="FF389" s="120" t="n">
        <f aca="false">(CJ389-CI389+1)/365</f>
        <v>14.986301369863</v>
      </c>
      <c r="FG389" s="0" t="str">
        <f aca="false">CONCATENATE(F389,"/",G389)</f>
        <v>990/2011</v>
      </c>
      <c r="FH389" s="0" t="n">
        <v>0</v>
      </c>
      <c r="FI389" s="0" t="n">
        <v>0</v>
      </c>
    </row>
    <row r="390" customFormat="false" ht="15" hidden="false" customHeight="false" outlineLevel="0" collapsed="false">
      <c r="A390" s="5" t="str">
        <f aca="false">E390&amp;G390&amp;F390</f>
        <v>72011992</v>
      </c>
      <c r="B390" s="0" t="s">
        <v>3732</v>
      </c>
      <c r="C390" s="1" t="n">
        <v>42412</v>
      </c>
      <c r="E390" s="0" t="n">
        <v>7</v>
      </c>
      <c r="F390" s="0" t="n">
        <v>992</v>
      </c>
      <c r="G390" s="0" t="n">
        <v>2011</v>
      </c>
      <c r="H390" s="0" t="str">
        <f aca="false">"J"&amp;E390&amp;"\"&amp;F390&amp;"\"&amp;G390&amp;"\"&amp;W390</f>
        <v>J7\992\2011\1</v>
      </c>
      <c r="I390" s="0"/>
      <c r="J390" s="1" t="n">
        <v>40702</v>
      </c>
      <c r="K390" s="0" t="n">
        <v>0</v>
      </c>
      <c r="M390" s="1" t="n">
        <v>40702</v>
      </c>
      <c r="N390" s="1" t="n">
        <v>41227</v>
      </c>
      <c r="O390" s="1"/>
      <c r="P390" s="1"/>
      <c r="Q390" s="1"/>
      <c r="T390" s="121"/>
      <c r="U390" s="121"/>
      <c r="V390" s="122" t="n">
        <f aca="false">IF(AND(E390&gt;0,F390&gt;0,G390&gt;0),COUNTIFS($E:$E,E390,$F:$F,F390,$G:$G,G390),"")</f>
        <v>1</v>
      </c>
      <c r="W390" s="122" t="n">
        <f aca="false">IF(V390="","",IF(V390=1,1,IF(AND(E389=E390,F389=F390,G389=G390),W389+1,1)))</f>
        <v>1</v>
      </c>
      <c r="X390" s="0" t="n">
        <v>1</v>
      </c>
      <c r="Y390" s="0" t="n">
        <v>3</v>
      </c>
      <c r="Z390" s="0" t="s">
        <v>4027</v>
      </c>
      <c r="AA390" s="0" t="n">
        <v>0</v>
      </c>
      <c r="AB390" s="0" t="s">
        <v>4028</v>
      </c>
      <c r="AC390" s="0" t="s">
        <v>251</v>
      </c>
      <c r="AD390" s="0" t="s">
        <v>229</v>
      </c>
      <c r="AE390" s="0" t="n">
        <v>0</v>
      </c>
      <c r="AF390" s="0" t="s">
        <v>4029</v>
      </c>
      <c r="AG390" s="0" t="n">
        <v>1</v>
      </c>
      <c r="AH390" s="0" t="s">
        <v>4030</v>
      </c>
      <c r="AI390" s="0" t="s">
        <v>4031</v>
      </c>
      <c r="AJ390" s="0" t="s">
        <v>659</v>
      </c>
      <c r="AL390" s="0" t="s">
        <v>4032</v>
      </c>
      <c r="AM390" s="0" t="n">
        <v>1</v>
      </c>
      <c r="AN390" s="0" t="s">
        <v>4030</v>
      </c>
      <c r="AO390" s="0" t="s">
        <v>4031</v>
      </c>
      <c r="AP390" s="0" t="s">
        <v>659</v>
      </c>
      <c r="AR390" s="0" t="s">
        <v>1637</v>
      </c>
      <c r="AS390" s="0" t="n">
        <v>1</v>
      </c>
      <c r="AT390" s="0" t="s">
        <v>4030</v>
      </c>
      <c r="AU390" s="0" t="s">
        <v>4031</v>
      </c>
      <c r="AV390" s="0" t="s">
        <v>659</v>
      </c>
      <c r="BP390" s="0" t="n">
        <v>0</v>
      </c>
      <c r="BQ390" s="0" t="n">
        <v>0</v>
      </c>
      <c r="BR390" s="0" t="n">
        <v>1</v>
      </c>
      <c r="BS390" s="0" t="s">
        <v>4033</v>
      </c>
      <c r="BT390" s="0" t="s">
        <v>4034</v>
      </c>
      <c r="BU390" s="0" t="s">
        <v>4035</v>
      </c>
      <c r="BV390" s="123"/>
      <c r="BW390" s="123"/>
      <c r="BX390" s="123"/>
      <c r="BY390" s="123"/>
      <c r="BZ390" s="0" t="n">
        <v>0</v>
      </c>
      <c r="CA390" s="0" t="s">
        <v>4036</v>
      </c>
      <c r="CD390" s="0" t="s">
        <v>256</v>
      </c>
      <c r="CE390" s="0" t="n">
        <v>0</v>
      </c>
      <c r="CF390" s="0" t="s">
        <v>4037</v>
      </c>
      <c r="CI390" s="1" t="n">
        <v>36409</v>
      </c>
      <c r="CJ390" s="1" t="n">
        <v>40667</v>
      </c>
      <c r="CK390" s="124" t="n">
        <v>0.375</v>
      </c>
      <c r="CL390" s="0" t="s">
        <v>4038</v>
      </c>
      <c r="CM390" s="0" t="n">
        <f aca="false">IF(OR(CI390="",CJ390=""),"",DAYS360(CI390,CJ390)/360)</f>
        <v>11.6611111111111</v>
      </c>
      <c r="CN390" s="0" t="n">
        <f aca="false">IF(OR(CI390="",CJ390=""),"",DAYS360(CI390,CJ390)/30)</f>
        <v>139.933333333333</v>
      </c>
      <c r="CO390" s="0" t="n">
        <f aca="false">IF(OR(CI390="",CJ390=""),"",DAYS360(CI390,CJ390)/7)</f>
        <v>599.714285714286</v>
      </c>
      <c r="CP390" s="0" t="n">
        <f aca="false">IF(OR(CI390="",CJ390=""),"",DAYS360(CI390,CJ390))</f>
        <v>4198</v>
      </c>
      <c r="CQ390" s="0" t="s">
        <v>240</v>
      </c>
      <c r="CR390" s="0" t="n">
        <v>1</v>
      </c>
      <c r="CT390" s="0" t="s">
        <v>221</v>
      </c>
      <c r="CU390" s="0" t="s">
        <v>221</v>
      </c>
      <c r="CV390" s="0" t="str">
        <f aca="false">IF(OR(CT390="",CT390="NO ESPECIFICA",CT390="NO MENCIONA"),"",IF(CU390=0,CT390,IF(CU390=1,CT390/30,IF(CU390=2,CT390/15,IF(CU390=3,CT390/7,"")))))</f>
        <v/>
      </c>
      <c r="CW390" s="125" t="n">
        <v>1328</v>
      </c>
      <c r="CX390" s="0" t="n">
        <v>3</v>
      </c>
      <c r="CY390" s="0" t="n">
        <f aca="false">IF(CW390="","",IF(CX390=0,CW390,IF(CX390=1,CW390/30,IF(CX390=2,CW390/15,IF(CX390=3,CW390/7,CW390)))))</f>
        <v>189.714285714286</v>
      </c>
      <c r="CZ390" s="0" t="n">
        <f aca="false">IF(DI390&gt;0,DI390,IF(CY390&gt;0,CY390,IF(CV390&gt;0,CV390,"")))</f>
        <v>189.71</v>
      </c>
      <c r="DA390" s="0" t="n">
        <f aca="false">IF(DM390=1,CZ390/8,IF(OR(DM390=2,DM390=4),CZ390/7,IF(DM390=3,CZ390/7.5,"")))</f>
        <v>23.71375</v>
      </c>
      <c r="DB390" s="0" t="s">
        <v>216</v>
      </c>
      <c r="DC390" s="0" t="s">
        <v>216</v>
      </c>
      <c r="DD390" s="0" t="s">
        <v>216</v>
      </c>
      <c r="DE390" s="0" t="s">
        <v>216</v>
      </c>
      <c r="DF390" s="0" t="s">
        <v>216</v>
      </c>
      <c r="DG390" s="0" t="s">
        <v>216</v>
      </c>
      <c r="DH390" s="0" t="n">
        <v>0</v>
      </c>
      <c r="DI390" s="126" t="n">
        <v>189.71</v>
      </c>
      <c r="DK390" s="0" t="n">
        <v>0</v>
      </c>
      <c r="DM390" s="0" t="n">
        <v>1</v>
      </c>
      <c r="DN390" s="0" t="n">
        <v>60</v>
      </c>
      <c r="DO390" s="0" t="n">
        <v>3</v>
      </c>
      <c r="DP390" s="0" t="n">
        <v>0</v>
      </c>
      <c r="DQ390" s="0" t="n">
        <v>1</v>
      </c>
      <c r="DR390" s="0"/>
      <c r="DS390" s="0" t="n">
        <v>1</v>
      </c>
      <c r="DU390" s="0" t="n">
        <v>1</v>
      </c>
      <c r="DW390" s="1" t="n">
        <v>40427</v>
      </c>
      <c r="DX390" s="1" t="n">
        <v>40667</v>
      </c>
      <c r="DZ390" s="0"/>
      <c r="EA390" s="0" t="n">
        <v>1</v>
      </c>
      <c r="EC390" s="1" t="n">
        <v>40179</v>
      </c>
      <c r="ED390" s="1" t="n">
        <v>40667</v>
      </c>
      <c r="EF390" s="0"/>
      <c r="EG390" s="0" t="n">
        <v>1</v>
      </c>
      <c r="EH390" s="0" t="n">
        <v>12</v>
      </c>
      <c r="EI390" s="0" t="n">
        <f aca="false">IF(AND(DM390=1,DN390&lt;=48),"",IF(AND(DM390=2,DN390&lt;=42),"",IF(AND(DM390=3,DN390&lt;=45),"",EH390)))</f>
        <v>12</v>
      </c>
      <c r="EJ390" s="0" t="n">
        <f aca="false">IF(EI390="","",IF(EI390&lt;9,EI390,9))</f>
        <v>9</v>
      </c>
      <c r="EK390" s="0" t="n">
        <f aca="false">IF(EI390="","",IF(EI390&gt;9,EI390-EJ390,0))</f>
        <v>3</v>
      </c>
      <c r="EL390" s="0" t="n">
        <f aca="false">IF(EI390="","",EJ390*DA390*2+EK390*DA390*3)</f>
        <v>640.27125</v>
      </c>
      <c r="EP390" s="0" t="n">
        <v>0</v>
      </c>
      <c r="EQ390" s="0"/>
      <c r="ER390" s="0" t="n">
        <v>1</v>
      </c>
      <c r="ET390" s="0" t="n">
        <v>1</v>
      </c>
      <c r="EV390" s="0" t="n">
        <v>1</v>
      </c>
      <c r="EX390" s="0" t="n">
        <v>1</v>
      </c>
      <c r="EY390" s="0" t="n">
        <v>1</v>
      </c>
      <c r="EZ390" s="4" t="n">
        <v>7500</v>
      </c>
      <c r="FA390" s="0"/>
      <c r="FB390" s="0" t="n">
        <v>0</v>
      </c>
      <c r="FF390" s="120" t="n">
        <f aca="false">(CJ390-CI390+1)/365</f>
        <v>11.6684931506849</v>
      </c>
      <c r="FG390" s="0" t="str">
        <f aca="false">CONCATENATE(F390,"/",G390)</f>
        <v>992/2011</v>
      </c>
      <c r="FH390" s="0" t="n">
        <v>0</v>
      </c>
      <c r="FI390" s="0" t="n">
        <v>0</v>
      </c>
    </row>
    <row r="391" customFormat="false" ht="15" hidden="false" customHeight="false" outlineLevel="0" collapsed="false">
      <c r="A391" s="5" t="str">
        <f aca="false">E391&amp;G391&amp;F391</f>
        <v>72011996</v>
      </c>
      <c r="B391" s="0" t="s">
        <v>3732</v>
      </c>
      <c r="C391" s="1" t="n">
        <v>42412</v>
      </c>
      <c r="E391" s="0" t="n">
        <v>7</v>
      </c>
      <c r="F391" s="0" t="n">
        <v>996</v>
      </c>
      <c r="G391" s="0" t="n">
        <v>2011</v>
      </c>
      <c r="H391" s="0" t="str">
        <f aca="false">"J"&amp;E391&amp;"\"&amp;F391&amp;"\"&amp;G391&amp;"\"&amp;W391</f>
        <v>J7\996\2011\1</v>
      </c>
      <c r="I391" s="0"/>
      <c r="J391" s="1" t="n">
        <v>40703</v>
      </c>
      <c r="K391" s="0" t="n">
        <v>0</v>
      </c>
      <c r="M391" s="1" t="n">
        <v>40703</v>
      </c>
      <c r="N391" s="1" t="n">
        <v>40862</v>
      </c>
      <c r="O391" s="1"/>
      <c r="P391" s="1"/>
      <c r="Q391" s="1"/>
      <c r="T391" s="121"/>
      <c r="U391" s="121"/>
      <c r="V391" s="122" t="n">
        <f aca="false">IF(AND(E391&gt;0,F391&gt;0,G391&gt;0),COUNTIFS($E:$E,E391,$F:$F,F391,$G:$G,G391),"")</f>
        <v>1</v>
      </c>
      <c r="W391" s="122" t="n">
        <f aca="false">IF(V391="","",IF(V391=1,1,IF(AND(E390=E391,F390=F391,G390=G391),W390+1,1)))</f>
        <v>1</v>
      </c>
      <c r="X391" s="0" t="n">
        <v>1</v>
      </c>
      <c r="Y391" s="0" t="n">
        <v>5</v>
      </c>
      <c r="Z391" s="0" t="s">
        <v>4039</v>
      </c>
      <c r="AA391" s="0" t="n">
        <v>0</v>
      </c>
      <c r="AB391" s="0" t="s">
        <v>4040</v>
      </c>
      <c r="AC391" s="0" t="s">
        <v>606</v>
      </c>
      <c r="AD391" s="0" t="s">
        <v>229</v>
      </c>
      <c r="AE391" s="0" t="n">
        <v>0</v>
      </c>
      <c r="AF391" s="0" t="s">
        <v>4041</v>
      </c>
      <c r="AG391" s="0" t="n">
        <v>0</v>
      </c>
      <c r="AH391" s="0" t="s">
        <v>4042</v>
      </c>
      <c r="AI391" s="0" t="s">
        <v>433</v>
      </c>
      <c r="AJ391" s="0" t="s">
        <v>3887</v>
      </c>
      <c r="AL391" s="0" t="s">
        <v>4043</v>
      </c>
      <c r="AM391" s="0" t="n">
        <v>1</v>
      </c>
      <c r="AN391" s="0" t="s">
        <v>4042</v>
      </c>
      <c r="AO391" s="0" t="s">
        <v>433</v>
      </c>
      <c r="AP391" s="0" t="s">
        <v>3887</v>
      </c>
      <c r="AR391" s="0" t="s">
        <v>4044</v>
      </c>
      <c r="AS391" s="0" t="n">
        <v>0</v>
      </c>
      <c r="AT391" s="0" t="s">
        <v>4042</v>
      </c>
      <c r="AU391" s="0" t="s">
        <v>433</v>
      </c>
      <c r="AV391" s="0" t="s">
        <v>3887</v>
      </c>
      <c r="AX391" s="0" t="s">
        <v>3891</v>
      </c>
      <c r="AY391" s="0" t="n">
        <v>0</v>
      </c>
      <c r="AZ391" s="0" t="s">
        <v>3985</v>
      </c>
      <c r="BA391" s="0" t="s">
        <v>2108</v>
      </c>
      <c r="BB391" s="0" t="s">
        <v>411</v>
      </c>
      <c r="BD391" s="0" t="s">
        <v>1637</v>
      </c>
      <c r="BE391" s="0" t="n">
        <v>1</v>
      </c>
      <c r="BF391" s="0" t="s">
        <v>4042</v>
      </c>
      <c r="BG391" s="0" t="s">
        <v>433</v>
      </c>
      <c r="BH391" s="0" t="s">
        <v>3887</v>
      </c>
      <c r="BP391" s="0" t="n">
        <v>0</v>
      </c>
      <c r="BQ391" s="0" t="n">
        <v>0</v>
      </c>
      <c r="BR391" s="0" t="n">
        <v>1</v>
      </c>
      <c r="BS391" s="0" t="s">
        <v>722</v>
      </c>
      <c r="BT391" s="0" t="s">
        <v>4045</v>
      </c>
      <c r="BU391" s="0" t="s">
        <v>4046</v>
      </c>
      <c r="BV391" s="123"/>
      <c r="BW391" s="123"/>
      <c r="BX391" s="123"/>
      <c r="BY391" s="123"/>
      <c r="BZ391" s="0" t="n">
        <v>0</v>
      </c>
      <c r="CA391" s="0" t="s">
        <v>216</v>
      </c>
      <c r="CD391" s="0" t="s">
        <v>502</v>
      </c>
      <c r="CE391" s="0" t="n">
        <v>0</v>
      </c>
      <c r="CF391" s="0" t="s">
        <v>503</v>
      </c>
      <c r="CI391" s="1" t="n">
        <v>39819</v>
      </c>
      <c r="CJ391" s="1" t="n">
        <v>40648</v>
      </c>
      <c r="CK391" s="124" t="n">
        <v>0.916666666666667</v>
      </c>
      <c r="CL391" s="0" t="s">
        <v>4047</v>
      </c>
      <c r="CM391" s="0" t="n">
        <f aca="false">IF(OR(CI391="",CJ391=""),"",DAYS360(CI391,CJ391)/360)</f>
        <v>2.275</v>
      </c>
      <c r="CN391" s="0" t="n">
        <f aca="false">IF(OR(CI391="",CJ391=""),"",DAYS360(CI391,CJ391)/30)</f>
        <v>27.3</v>
      </c>
      <c r="CO391" s="0" t="n">
        <f aca="false">IF(OR(CI391="",CJ391=""),"",DAYS360(CI391,CJ391)/7)</f>
        <v>117</v>
      </c>
      <c r="CP391" s="0" t="n">
        <f aca="false">IF(OR(CI391="",CJ391=""),"",DAYS360(CI391,CJ391))</f>
        <v>819</v>
      </c>
      <c r="CQ391" s="0" t="s">
        <v>240</v>
      </c>
      <c r="CR391" s="0" t="n">
        <v>1</v>
      </c>
      <c r="CT391" s="0" t="s">
        <v>221</v>
      </c>
      <c r="CU391" s="0" t="s">
        <v>221</v>
      </c>
      <c r="CV391" s="0" t="str">
        <f aca="false">IF(OR(CT391="",CT391="NO ESPECIFICA",CT391="NO MENCIONA"),"",IF(CU391=0,CT391,IF(CU391=1,CT391/30,IF(CU391=2,CT391/15,IF(CU391=3,CT391/7,"")))))</f>
        <v/>
      </c>
      <c r="CW391" s="125" t="n">
        <v>350</v>
      </c>
      <c r="CX391" s="0" t="n">
        <v>0</v>
      </c>
      <c r="CY391" s="0" t="n">
        <f aca="false">IF(CW391="","",IF(CX391=0,CW391,IF(CX391=1,CW391/30,IF(CX391=2,CW391/15,IF(CX391=3,CW391/7,CW391)))))</f>
        <v>350</v>
      </c>
      <c r="CZ391" s="0" t="n">
        <f aca="false">IF(DI391&gt;0,DI391,IF(CY391&gt;0,CY391,IF(CV391&gt;0,CV391,"")))</f>
        <v>350</v>
      </c>
      <c r="DA391" s="0" t="n">
        <f aca="false">IF(DM391=1,CZ391/8,IF(OR(DM391=2,DM391=4),CZ391/7,IF(DM391=3,CZ391/7.5,"")))</f>
        <v>46.6666666666667</v>
      </c>
      <c r="DB391" s="0" t="s">
        <v>216</v>
      </c>
      <c r="DC391" s="0" t="s">
        <v>216</v>
      </c>
      <c r="DD391" s="0" t="s">
        <v>216</v>
      </c>
      <c r="DE391" s="0" t="s">
        <v>216</v>
      </c>
      <c r="DF391" s="0" t="s">
        <v>216</v>
      </c>
      <c r="DG391" s="0" t="s">
        <v>216</v>
      </c>
      <c r="DH391" s="0" t="n">
        <v>0</v>
      </c>
      <c r="DI391" s="126" t="n">
        <v>350</v>
      </c>
      <c r="DK391" s="0" t="n">
        <v>0</v>
      </c>
      <c r="DM391" s="0" t="n">
        <v>3</v>
      </c>
      <c r="DN391" s="0" t="n">
        <v>98</v>
      </c>
      <c r="DO391" s="0" t="n">
        <v>3</v>
      </c>
      <c r="DP391" s="0" t="n">
        <v>0</v>
      </c>
      <c r="DQ391" s="0" t="n">
        <v>1</v>
      </c>
      <c r="DR391" s="0"/>
      <c r="DS391" s="0" t="n">
        <v>1</v>
      </c>
      <c r="DU391" s="0" t="n">
        <v>1</v>
      </c>
      <c r="DW391" s="1" t="n">
        <v>39819</v>
      </c>
      <c r="DX391" s="1" t="n">
        <v>40648</v>
      </c>
      <c r="DZ391" s="0"/>
      <c r="EA391" s="0" t="n">
        <v>1</v>
      </c>
      <c r="EC391" s="1" t="n">
        <v>39819</v>
      </c>
      <c r="ED391" s="1" t="n">
        <v>40648</v>
      </c>
      <c r="EF391" s="0"/>
      <c r="EG391" s="0" t="n">
        <v>1</v>
      </c>
      <c r="EH391" s="0" t="n">
        <v>29</v>
      </c>
      <c r="EI391" s="0" t="n">
        <f aca="false">IF(AND(DM391=1,DN391&lt;=48),"",IF(AND(DM391=2,DN391&lt;=42),"",IF(AND(DM391=3,DN391&lt;=45),"",EH391)))</f>
        <v>29</v>
      </c>
      <c r="EJ391" s="0" t="n">
        <f aca="false">IF(EI391="","",IF(EI391&lt;9,EI391,9))</f>
        <v>9</v>
      </c>
      <c r="EK391" s="0" t="n">
        <f aca="false">IF(EI391="","",IF(EI391&gt;9,EI391-EJ391,0))</f>
        <v>20</v>
      </c>
      <c r="EL391" s="0" t="n">
        <f aca="false">IF(EI391="","",EJ391*DA391*2+EK391*DA391*3)</f>
        <v>3640</v>
      </c>
      <c r="EP391" s="0" t="n">
        <v>0</v>
      </c>
      <c r="EQ391" s="0"/>
      <c r="ER391" s="0" t="n">
        <v>0</v>
      </c>
      <c r="ET391" s="0" t="n">
        <v>0</v>
      </c>
      <c r="EV391" s="0" t="n">
        <v>0</v>
      </c>
      <c r="EX391" s="0" t="n">
        <v>1</v>
      </c>
      <c r="EY391" s="0" t="n">
        <v>0</v>
      </c>
      <c r="EZ391" s="0"/>
      <c r="FA391" s="4" t="n">
        <v>8450</v>
      </c>
      <c r="FB391" s="0" t="n">
        <v>1</v>
      </c>
      <c r="FF391" s="120" t="n">
        <f aca="false">(CJ391-CI391+1)/365</f>
        <v>2.27397260273973</v>
      </c>
      <c r="FG391" s="0" t="str">
        <f aca="false">CONCATENATE(F391,"/",G391)</f>
        <v>996/2011</v>
      </c>
      <c r="FH391" s="0" t="n">
        <v>0</v>
      </c>
      <c r="FI391" s="0" t="n">
        <v>0</v>
      </c>
    </row>
    <row r="392" customFormat="false" ht="15" hidden="false" customHeight="false" outlineLevel="0" collapsed="false">
      <c r="A392" s="5" t="str">
        <f aca="false">E392&amp;G392&amp;F392</f>
        <v>72011999</v>
      </c>
      <c r="B392" s="0" t="s">
        <v>3732</v>
      </c>
      <c r="C392" s="1" t="n">
        <v>42412</v>
      </c>
      <c r="D392" s="0" t="s">
        <v>1856</v>
      </c>
      <c r="E392" s="0" t="n">
        <v>7</v>
      </c>
      <c r="F392" s="0" t="n">
        <v>999</v>
      </c>
      <c r="G392" s="0" t="n">
        <v>2011</v>
      </c>
      <c r="H392" s="0" t="str">
        <f aca="false">"J"&amp;E392&amp;"\"&amp;F392&amp;"\"&amp;G392&amp;"\"&amp;W392</f>
        <v>J7\999\2011\1</v>
      </c>
      <c r="I392" s="0"/>
      <c r="J392" s="1" t="n">
        <v>40703</v>
      </c>
      <c r="K392" s="0" t="n">
        <v>0</v>
      </c>
      <c r="M392" s="1" t="n">
        <v>40703</v>
      </c>
      <c r="N392" s="1"/>
      <c r="O392" s="1"/>
      <c r="P392" s="1"/>
      <c r="Q392" s="1"/>
      <c r="T392" s="121"/>
      <c r="U392" s="121"/>
      <c r="V392" s="122" t="n">
        <f aca="false">IF(AND(E392&gt;0,F392&gt;0,G392&gt;0),COUNTIFS($E:$E,E392,$F:$F,F392,$G:$G,G392),"")</f>
        <v>4</v>
      </c>
      <c r="W392" s="122" t="n">
        <f aca="false">IF(V392="","",IF(V392=1,1,IF(AND(E391=E392,F391=F392,G391=G392),W391+1,1)))</f>
        <v>1</v>
      </c>
      <c r="X392" s="0" t="n">
        <v>4</v>
      </c>
      <c r="Y392" s="0" t="n">
        <v>1</v>
      </c>
      <c r="Z392" s="0" t="s">
        <v>4048</v>
      </c>
      <c r="AA392" s="0" t="n">
        <v>0</v>
      </c>
      <c r="AB392" s="0" t="s">
        <v>4049</v>
      </c>
      <c r="AC392" s="0" t="s">
        <v>4050</v>
      </c>
      <c r="AD392" s="0" t="s">
        <v>1972</v>
      </c>
      <c r="AE392" s="0" t="n">
        <v>0</v>
      </c>
      <c r="AF392" s="0" t="s">
        <v>4051</v>
      </c>
      <c r="AG392" s="0" t="n">
        <v>1</v>
      </c>
      <c r="AH392" s="0" t="s">
        <v>4052</v>
      </c>
      <c r="AI392" s="0" t="s">
        <v>2411</v>
      </c>
      <c r="AJ392" s="0" t="s">
        <v>229</v>
      </c>
      <c r="BP392" s="0" t="n">
        <v>0</v>
      </c>
      <c r="BQ392" s="0" t="n">
        <v>0</v>
      </c>
      <c r="BR392" s="0" t="n">
        <v>1</v>
      </c>
      <c r="BS392" s="0" t="s">
        <v>4053</v>
      </c>
      <c r="BV392" s="123"/>
      <c r="BW392" s="123"/>
      <c r="BX392" s="123"/>
      <c r="BY392" s="123"/>
      <c r="BZ392" s="0" t="n">
        <v>0</v>
      </c>
      <c r="CA392" s="0" t="s">
        <v>216</v>
      </c>
      <c r="CD392" s="0" t="s">
        <v>216</v>
      </c>
      <c r="CE392" s="0" t="n">
        <v>0</v>
      </c>
      <c r="CF392" s="0" t="s">
        <v>4054</v>
      </c>
      <c r="CI392" s="1" t="n">
        <v>36746</v>
      </c>
      <c r="CJ392" s="1" t="n">
        <v>40683</v>
      </c>
      <c r="CK392" s="124" t="s">
        <v>221</v>
      </c>
      <c r="CL392" s="0" t="s">
        <v>4051</v>
      </c>
      <c r="CM392" s="0" t="n">
        <f aca="false">IF(OR(CI392="",CJ392=""),"",DAYS360(CI392,CJ392)/360)</f>
        <v>10.7833333333333</v>
      </c>
      <c r="CN392" s="0" t="n">
        <f aca="false">IF(OR(CI392="",CJ392=""),"",DAYS360(CI392,CJ392)/30)</f>
        <v>129.4</v>
      </c>
      <c r="CO392" s="0" t="n">
        <f aca="false">IF(OR(CI392="",CJ392=""),"",DAYS360(CI392,CJ392)/7)</f>
        <v>554.571428571429</v>
      </c>
      <c r="CP392" s="0" t="n">
        <f aca="false">IF(OR(CI392="",CJ392=""),"",DAYS360(CI392,CJ392))</f>
        <v>3882</v>
      </c>
      <c r="CQ392" s="0" t="s">
        <v>240</v>
      </c>
      <c r="CR392" s="0" t="n">
        <v>1</v>
      </c>
      <c r="CT392" s="0" t="n">
        <v>280</v>
      </c>
      <c r="CU392" s="0" t="n">
        <v>0</v>
      </c>
      <c r="CV392" s="0" t="n">
        <f aca="false">IF(OR(CT392="",CT392="NO ESPECIFICA",CT392="NO MENCIONA"),"",IF(CU392=0,CT392,IF(CU392=1,CT392/30,IF(CU392=2,CT392/15,IF(CU392=3,CT392/7,"")))))</f>
        <v>280</v>
      </c>
      <c r="CW392" s="125" t="s">
        <v>216</v>
      </c>
      <c r="CY392" s="0" t="str">
        <f aca="false">IF(CW392="","",IF(CX392=0,CW392,IF(CX392=1,CW392/30,IF(CX392=2,CW392/15,IF(CX392=3,CW392/7,CW392)))))</f>
        <v>NO MENCIONA</v>
      </c>
      <c r="CZ392" s="0" t="n">
        <f aca="false">IF(DI392&gt;0,DI392,IF(CY392&gt;0,CY392,IF(CV392&gt;0,CV392,"")))</f>
        <v>280</v>
      </c>
      <c r="DA392" s="0" t="n">
        <f aca="false">IF(DM392=1,CZ392/8,IF(OR(DM392=2,DM392=4),CZ392/7,IF(DM392=3,CZ392/7.5,"")))</f>
        <v>35</v>
      </c>
      <c r="DB392" s="0" t="s">
        <v>216</v>
      </c>
      <c r="DC392" s="0" t="s">
        <v>216</v>
      </c>
      <c r="DD392" s="0" t="s">
        <v>216</v>
      </c>
      <c r="DE392" s="0" t="s">
        <v>216</v>
      </c>
      <c r="DF392" s="0" t="s">
        <v>216</v>
      </c>
      <c r="DG392" s="0" t="s">
        <v>216</v>
      </c>
      <c r="DH392" s="0" t="n">
        <v>0</v>
      </c>
      <c r="DI392" s="126" t="n">
        <v>280</v>
      </c>
      <c r="DK392" s="0" t="n">
        <v>0</v>
      </c>
      <c r="DM392" s="0" t="n">
        <v>1</v>
      </c>
      <c r="DN392" s="0" t="n">
        <v>50</v>
      </c>
      <c r="DO392" s="0" t="n">
        <v>3</v>
      </c>
      <c r="DP392" s="0" t="n">
        <v>0</v>
      </c>
      <c r="DQ392" s="0" t="n">
        <v>1</v>
      </c>
      <c r="DR392" s="0"/>
      <c r="DS392" s="0" t="n">
        <v>1</v>
      </c>
      <c r="DU392" s="0" t="n">
        <v>1</v>
      </c>
      <c r="DW392" s="1" t="n">
        <v>40398</v>
      </c>
      <c r="DX392" s="1" t="n">
        <v>40683</v>
      </c>
      <c r="DZ392" s="0"/>
      <c r="EA392" s="0" t="n">
        <v>1</v>
      </c>
      <c r="EC392" s="1" t="n">
        <v>40179</v>
      </c>
      <c r="ED392" s="1" t="n">
        <v>40683</v>
      </c>
      <c r="EF392" s="0"/>
      <c r="EG392" s="0" t="n">
        <v>1</v>
      </c>
      <c r="EH392" s="0" t="n">
        <v>15</v>
      </c>
      <c r="EI392" s="0" t="n">
        <f aca="false">IF(AND(DM392=1,DN392&lt;=48),"",IF(AND(DM392=2,DN392&lt;=42),"",IF(AND(DM392=3,DN392&lt;=45),"",EH392)))</f>
        <v>15</v>
      </c>
      <c r="EJ392" s="0" t="n">
        <f aca="false">IF(EI392="","",IF(EI392&lt;9,EI392,9))</f>
        <v>9</v>
      </c>
      <c r="EK392" s="0" t="n">
        <f aca="false">IF(EI392="","",IF(EI392&gt;9,EI392-EJ392,0))</f>
        <v>6</v>
      </c>
      <c r="EL392" s="0" t="n">
        <f aca="false">IF(EI392="","",EJ392*DA392*2+EK392*DA392*3)</f>
        <v>1260</v>
      </c>
      <c r="EP392" s="0" t="n">
        <v>0</v>
      </c>
      <c r="EQ392" s="0"/>
      <c r="ER392" s="0" t="n">
        <v>1</v>
      </c>
      <c r="ET392" s="0" t="n">
        <v>0</v>
      </c>
      <c r="EV392" s="0" t="n">
        <v>0</v>
      </c>
      <c r="EX392" s="0" t="n">
        <v>0</v>
      </c>
      <c r="EY392" s="0" t="n">
        <v>0</v>
      </c>
      <c r="EZ392" s="0"/>
      <c r="FA392" s="0"/>
      <c r="FB392" s="0" t="n">
        <v>1</v>
      </c>
      <c r="FF392" s="120" t="n">
        <f aca="false">(CJ392-CI392+1)/365</f>
        <v>10.7890410958904</v>
      </c>
      <c r="FG392" s="0" t="str">
        <f aca="false">CONCATENATE(F392,"/",G392)</f>
        <v>999/2011</v>
      </c>
      <c r="FH392" s="0" t="n">
        <v>0</v>
      </c>
      <c r="FI392" s="0" t="n">
        <v>0</v>
      </c>
    </row>
    <row r="393" customFormat="false" ht="15" hidden="false" customHeight="false" outlineLevel="0" collapsed="false">
      <c r="A393" s="5" t="str">
        <f aca="false">E393&amp;G393&amp;F393</f>
        <v>72011999</v>
      </c>
      <c r="B393" s="0" t="s">
        <v>3732</v>
      </c>
      <c r="C393" s="1" t="n">
        <v>42412</v>
      </c>
      <c r="D393" s="0" t="s">
        <v>1856</v>
      </c>
      <c r="E393" s="0" t="n">
        <v>7</v>
      </c>
      <c r="F393" s="0" t="n">
        <v>999</v>
      </c>
      <c r="G393" s="0" t="n">
        <v>2011</v>
      </c>
      <c r="H393" s="0" t="str">
        <f aca="false">"J"&amp;E393&amp;"\"&amp;F393&amp;"\"&amp;G393&amp;"\"&amp;W393</f>
        <v>J7\999\2011\2</v>
      </c>
      <c r="I393" s="0"/>
      <c r="J393" s="1" t="n">
        <v>40703</v>
      </c>
      <c r="K393" s="0" t="n">
        <v>0</v>
      </c>
      <c r="M393" s="1" t="n">
        <v>40703</v>
      </c>
      <c r="N393" s="1"/>
      <c r="O393" s="1"/>
      <c r="P393" s="1"/>
      <c r="Q393" s="1"/>
      <c r="T393" s="121"/>
      <c r="U393" s="121"/>
      <c r="V393" s="122" t="n">
        <f aca="false">IF(AND(E393&gt;0,F393&gt;0,G393&gt;0),COUNTIFS($E:$E,E393,$F:$F,F393,$G:$G,G393),"")</f>
        <v>4</v>
      </c>
      <c r="W393" s="122" t="n">
        <f aca="false">IF(V393="","",IF(V393=1,1,IF(AND(E392=E393,F392=F393,G392=G393),W392+1,1)))</f>
        <v>2</v>
      </c>
      <c r="X393" s="0" t="n">
        <v>4</v>
      </c>
      <c r="Y393" s="0" t="n">
        <v>1</v>
      </c>
      <c r="Z393" s="0" t="s">
        <v>4055</v>
      </c>
      <c r="AA393" s="0" t="n">
        <v>0</v>
      </c>
      <c r="AB393" s="0" t="s">
        <v>4049</v>
      </c>
      <c r="AC393" s="0" t="s">
        <v>4050</v>
      </c>
      <c r="AD393" s="0" t="s">
        <v>1972</v>
      </c>
      <c r="AE393" s="0" t="n">
        <v>0</v>
      </c>
      <c r="AF393" s="0" t="s">
        <v>4051</v>
      </c>
      <c r="AG393" s="0" t="n">
        <v>1</v>
      </c>
      <c r="AH393" s="0" t="s">
        <v>4052</v>
      </c>
      <c r="AI393" s="0" t="s">
        <v>2411</v>
      </c>
      <c r="AJ393" s="0" t="s">
        <v>229</v>
      </c>
      <c r="BP393" s="0" t="n">
        <v>0</v>
      </c>
      <c r="BQ393" s="0" t="n">
        <v>0</v>
      </c>
      <c r="BR393" s="0" t="n">
        <v>1</v>
      </c>
      <c r="BS393" s="0" t="s">
        <v>4053</v>
      </c>
      <c r="BV393" s="123"/>
      <c r="BW393" s="123"/>
      <c r="BX393" s="123"/>
      <c r="BY393" s="123"/>
      <c r="BZ393" s="0" t="n">
        <v>0</v>
      </c>
      <c r="CA393" s="0" t="s">
        <v>216</v>
      </c>
      <c r="CD393" s="0" t="s">
        <v>216</v>
      </c>
      <c r="CE393" s="0" t="n">
        <v>0</v>
      </c>
      <c r="CF393" s="0" t="s">
        <v>4054</v>
      </c>
      <c r="CI393" s="1" t="n">
        <v>36631</v>
      </c>
      <c r="CJ393" s="1" t="n">
        <v>40683</v>
      </c>
      <c r="CK393" s="124" t="s">
        <v>221</v>
      </c>
      <c r="CL393" s="0" t="s">
        <v>4051</v>
      </c>
      <c r="CM393" s="0" t="n">
        <f aca="false">IF(OR(CI393="",CJ393=""),"",DAYS360(CI393,CJ393)/360)</f>
        <v>11.0972222222222</v>
      </c>
      <c r="CN393" s="0" t="n">
        <f aca="false">IF(OR(CI393="",CJ393=""),"",DAYS360(CI393,CJ393)/30)</f>
        <v>133.166666666667</v>
      </c>
      <c r="CO393" s="0" t="n">
        <f aca="false">IF(OR(CI393="",CJ393=""),"",DAYS360(CI393,CJ393)/7)</f>
        <v>570.714285714286</v>
      </c>
      <c r="CP393" s="0" t="n">
        <f aca="false">IF(OR(CI393="",CJ393=""),"",DAYS360(CI393,CJ393))</f>
        <v>3995</v>
      </c>
      <c r="CQ393" s="0" t="s">
        <v>240</v>
      </c>
      <c r="CR393" s="0" t="n">
        <v>1</v>
      </c>
      <c r="CT393" s="0" t="n">
        <v>280</v>
      </c>
      <c r="CU393" s="0" t="n">
        <v>0</v>
      </c>
      <c r="CV393" s="0" t="n">
        <f aca="false">IF(OR(CT393="",CT393="NO ESPECIFICA",CT393="NO MENCIONA"),"",IF(CU393=0,CT393,IF(CU393=1,CT393/30,IF(CU393=2,CT393/15,IF(CU393=3,CT393/7,"")))))</f>
        <v>280</v>
      </c>
      <c r="CW393" s="125" t="s">
        <v>216</v>
      </c>
      <c r="CY393" s="0" t="str">
        <f aca="false">IF(CW393="","",IF(CX393=0,CW393,IF(CX393=1,CW393/30,IF(CX393=2,CW393/15,IF(CX393=3,CW393/7,CW393)))))</f>
        <v>NO MENCIONA</v>
      </c>
      <c r="CZ393" s="0" t="n">
        <f aca="false">IF(DI393&gt;0,DI393,IF(CY393&gt;0,CY393,IF(CV393&gt;0,CV393,"")))</f>
        <v>280</v>
      </c>
      <c r="DA393" s="0" t="n">
        <f aca="false">IF(DM393=1,CZ393/8,IF(OR(DM393=2,DM393=4),CZ393/7,IF(DM393=3,CZ393/7.5,"")))</f>
        <v>35</v>
      </c>
      <c r="DB393" s="0" t="s">
        <v>216</v>
      </c>
      <c r="DC393" s="0" t="s">
        <v>216</v>
      </c>
      <c r="DD393" s="0" t="s">
        <v>216</v>
      </c>
      <c r="DE393" s="0" t="s">
        <v>216</v>
      </c>
      <c r="DF393" s="0" t="s">
        <v>216</v>
      </c>
      <c r="DG393" s="0" t="s">
        <v>216</v>
      </c>
      <c r="DH393" s="0" t="n">
        <v>0</v>
      </c>
      <c r="DI393" s="126" t="n">
        <v>280</v>
      </c>
      <c r="DK393" s="0" t="n">
        <v>0</v>
      </c>
      <c r="DM393" s="0" t="n">
        <v>1</v>
      </c>
      <c r="DN393" s="0" t="n">
        <v>50</v>
      </c>
      <c r="DO393" s="0" t="n">
        <v>3</v>
      </c>
      <c r="DP393" s="0" t="n">
        <v>0</v>
      </c>
      <c r="DQ393" s="0" t="n">
        <v>1</v>
      </c>
      <c r="DR393" s="0"/>
      <c r="DS393" s="0" t="n">
        <v>1</v>
      </c>
      <c r="DU393" s="0" t="n">
        <v>1</v>
      </c>
      <c r="DW393" s="1" t="n">
        <v>40283</v>
      </c>
      <c r="DX393" s="1" t="n">
        <v>40683</v>
      </c>
      <c r="DZ393" s="0"/>
      <c r="EA393" s="0" t="n">
        <v>1</v>
      </c>
      <c r="EC393" s="1" t="n">
        <v>40179</v>
      </c>
      <c r="ED393" s="1" t="n">
        <v>40683</v>
      </c>
      <c r="EF393" s="0"/>
      <c r="EG393" s="0" t="n">
        <v>1</v>
      </c>
      <c r="EH393" s="0" t="n">
        <v>15</v>
      </c>
      <c r="EI393" s="0" t="n">
        <f aca="false">IF(AND(DM393=1,DN393&lt;=48),"",IF(AND(DM393=2,DN393&lt;=42),"",IF(AND(DM393=3,DN393&lt;=45),"",EH393)))</f>
        <v>15</v>
      </c>
      <c r="EJ393" s="0" t="n">
        <f aca="false">IF(EI393="","",IF(EI393&lt;9,EI393,9))</f>
        <v>9</v>
      </c>
      <c r="EK393" s="0" t="n">
        <f aca="false">IF(EI393="","",IF(EI393&gt;9,EI393-EJ393,0))</f>
        <v>6</v>
      </c>
      <c r="EL393" s="0" t="n">
        <f aca="false">IF(EI393="","",EJ393*DA393*2+EK393*DA393*3)</f>
        <v>1260</v>
      </c>
      <c r="EP393" s="0" t="n">
        <v>0</v>
      </c>
      <c r="EQ393" s="0"/>
      <c r="ER393" s="0" t="n">
        <v>1</v>
      </c>
      <c r="ET393" s="0" t="n">
        <v>0</v>
      </c>
      <c r="EV393" s="0" t="n">
        <v>0</v>
      </c>
      <c r="EX393" s="0" t="n">
        <v>0</v>
      </c>
      <c r="EY393" s="0" t="n">
        <v>0</v>
      </c>
      <c r="EZ393" s="0"/>
      <c r="FA393" s="0"/>
      <c r="FB393" s="0" t="n">
        <v>1</v>
      </c>
      <c r="FF393" s="120" t="n">
        <f aca="false">(CJ393-CI393+1)/365</f>
        <v>11.1041095890411</v>
      </c>
      <c r="FG393" s="0" t="str">
        <f aca="false">CONCATENATE(F393,"/",G393)</f>
        <v>999/2011</v>
      </c>
      <c r="FH393" s="0" t="n">
        <v>0</v>
      </c>
      <c r="FI393" s="0" t="n">
        <v>0</v>
      </c>
    </row>
    <row r="394" customFormat="false" ht="15" hidden="false" customHeight="false" outlineLevel="0" collapsed="false">
      <c r="A394" s="5" t="str">
        <f aca="false">E394&amp;G394&amp;F394</f>
        <v>72011999</v>
      </c>
      <c r="B394" s="0" t="s">
        <v>3732</v>
      </c>
      <c r="C394" s="1" t="n">
        <v>42412</v>
      </c>
      <c r="D394" s="0" t="s">
        <v>1856</v>
      </c>
      <c r="E394" s="0" t="n">
        <v>7</v>
      </c>
      <c r="F394" s="0" t="n">
        <v>999</v>
      </c>
      <c r="G394" s="0" t="n">
        <v>2011</v>
      </c>
      <c r="H394" s="0" t="str">
        <f aca="false">"J"&amp;E394&amp;"\"&amp;F394&amp;"\"&amp;G394&amp;"\"&amp;W394</f>
        <v>J7\999\2011\3</v>
      </c>
      <c r="I394" s="0"/>
      <c r="J394" s="1" t="n">
        <v>40703</v>
      </c>
      <c r="K394" s="0" t="n">
        <v>0</v>
      </c>
      <c r="M394" s="1" t="n">
        <v>40703</v>
      </c>
      <c r="N394" s="1"/>
      <c r="O394" s="1"/>
      <c r="P394" s="1"/>
      <c r="Q394" s="1"/>
      <c r="T394" s="121"/>
      <c r="U394" s="121"/>
      <c r="V394" s="122" t="n">
        <f aca="false">IF(AND(E394&gt;0,F394&gt;0,G394&gt;0),COUNTIFS($E:$E,E394,$F:$F,F394,$G:$G,G394),"")</f>
        <v>4</v>
      </c>
      <c r="W394" s="122" t="n">
        <f aca="false">IF(V394="","",IF(V394=1,1,IF(AND(E393=E394,F393=F394,G393=G394),W393+1,1)))</f>
        <v>3</v>
      </c>
      <c r="X394" s="0" t="n">
        <v>4</v>
      </c>
      <c r="Y394" s="0" t="n">
        <v>1</v>
      </c>
      <c r="Z394" s="0" t="s">
        <v>4056</v>
      </c>
      <c r="AA394" s="0" t="n">
        <v>0</v>
      </c>
      <c r="AB394" s="0" t="s">
        <v>4049</v>
      </c>
      <c r="AC394" s="0" t="s">
        <v>4050</v>
      </c>
      <c r="AD394" s="0" t="s">
        <v>1972</v>
      </c>
      <c r="AE394" s="0" t="n">
        <v>0</v>
      </c>
      <c r="AF394" s="0" t="s">
        <v>4051</v>
      </c>
      <c r="AG394" s="0" t="n">
        <v>1</v>
      </c>
      <c r="AH394" s="0" t="s">
        <v>4052</v>
      </c>
      <c r="AI394" s="0" t="s">
        <v>2411</v>
      </c>
      <c r="AJ394" s="0" t="s">
        <v>229</v>
      </c>
      <c r="BP394" s="0" t="n">
        <v>0</v>
      </c>
      <c r="BQ394" s="0" t="n">
        <v>0</v>
      </c>
      <c r="BR394" s="0" t="n">
        <v>1</v>
      </c>
      <c r="BS394" s="0" t="s">
        <v>4053</v>
      </c>
      <c r="BV394" s="123"/>
      <c r="BW394" s="123"/>
      <c r="BX394" s="123"/>
      <c r="BY394" s="123"/>
      <c r="BZ394" s="0" t="n">
        <v>0</v>
      </c>
      <c r="CA394" s="0" t="s">
        <v>216</v>
      </c>
      <c r="CD394" s="0" t="s">
        <v>216</v>
      </c>
      <c r="CE394" s="0" t="n">
        <v>0</v>
      </c>
      <c r="CF394" s="0" t="s">
        <v>4054</v>
      </c>
      <c r="CI394" s="1" t="n">
        <v>36746</v>
      </c>
      <c r="CJ394" s="1" t="n">
        <v>40683</v>
      </c>
      <c r="CK394" s="124" t="s">
        <v>221</v>
      </c>
      <c r="CL394" s="0" t="s">
        <v>4051</v>
      </c>
      <c r="CM394" s="0" t="n">
        <f aca="false">IF(OR(CI394="",CJ394=""),"",DAYS360(CI394,CJ394)/360)</f>
        <v>10.7833333333333</v>
      </c>
      <c r="CN394" s="0" t="n">
        <f aca="false">IF(OR(CI394="",CJ394=""),"",DAYS360(CI394,CJ394)/30)</f>
        <v>129.4</v>
      </c>
      <c r="CO394" s="0" t="n">
        <f aca="false">IF(OR(CI394="",CJ394=""),"",DAYS360(CI394,CJ394)/7)</f>
        <v>554.571428571429</v>
      </c>
      <c r="CP394" s="0" t="n">
        <f aca="false">IF(OR(CI394="",CJ394=""),"",DAYS360(CI394,CJ394))</f>
        <v>3882</v>
      </c>
      <c r="CQ394" s="0" t="s">
        <v>240</v>
      </c>
      <c r="CR394" s="0" t="n">
        <v>1</v>
      </c>
      <c r="CT394" s="0" t="n">
        <v>280</v>
      </c>
      <c r="CU394" s="0" t="n">
        <v>0</v>
      </c>
      <c r="CV394" s="0" t="n">
        <f aca="false">IF(OR(CT394="",CT394="NO ESPECIFICA",CT394="NO MENCIONA"),"",IF(CU394=0,CT394,IF(CU394=1,CT394/30,IF(CU394=2,CT394/15,IF(CU394=3,CT394/7,"")))))</f>
        <v>280</v>
      </c>
      <c r="CW394" s="125" t="s">
        <v>216</v>
      </c>
      <c r="CY394" s="0" t="str">
        <f aca="false">IF(CW394="","",IF(CX394=0,CW394,IF(CX394=1,CW394/30,IF(CX394=2,CW394/15,IF(CX394=3,CW394/7,CW394)))))</f>
        <v>NO MENCIONA</v>
      </c>
      <c r="CZ394" s="0" t="n">
        <f aca="false">IF(DI394&gt;0,DI394,IF(CY394&gt;0,CY394,IF(CV394&gt;0,CV394,"")))</f>
        <v>280</v>
      </c>
      <c r="DA394" s="0" t="n">
        <f aca="false">IF(DM394=1,CZ394/8,IF(OR(DM394=2,DM394=4),CZ394/7,IF(DM394=3,CZ394/7.5,"")))</f>
        <v>35</v>
      </c>
      <c r="DB394" s="0" t="s">
        <v>216</v>
      </c>
      <c r="DC394" s="0" t="s">
        <v>216</v>
      </c>
      <c r="DD394" s="0" t="s">
        <v>216</v>
      </c>
      <c r="DE394" s="0" t="s">
        <v>216</v>
      </c>
      <c r="DF394" s="0" t="s">
        <v>216</v>
      </c>
      <c r="DG394" s="0" t="s">
        <v>216</v>
      </c>
      <c r="DH394" s="0" t="n">
        <v>0</v>
      </c>
      <c r="DI394" s="126" t="n">
        <v>280</v>
      </c>
      <c r="DK394" s="0" t="n">
        <v>0</v>
      </c>
      <c r="DM394" s="0" t="n">
        <v>1</v>
      </c>
      <c r="DN394" s="0" t="n">
        <v>50</v>
      </c>
      <c r="DO394" s="0" t="n">
        <v>3</v>
      </c>
      <c r="DP394" s="0" t="n">
        <v>0</v>
      </c>
      <c r="DQ394" s="0" t="n">
        <v>1</v>
      </c>
      <c r="DR394" s="0"/>
      <c r="DS394" s="0" t="n">
        <v>1</v>
      </c>
      <c r="DU394" s="0" t="n">
        <v>1</v>
      </c>
      <c r="DW394" s="1" t="n">
        <v>40398</v>
      </c>
      <c r="DX394" s="1" t="n">
        <v>40683</v>
      </c>
      <c r="DZ394" s="0"/>
      <c r="EA394" s="0" t="n">
        <v>1</v>
      </c>
      <c r="EC394" s="1" t="n">
        <v>40179</v>
      </c>
      <c r="ED394" s="1" t="n">
        <v>40683</v>
      </c>
      <c r="EF394" s="0"/>
      <c r="EG394" s="0" t="n">
        <v>1</v>
      </c>
      <c r="EH394" s="0" t="n">
        <v>15</v>
      </c>
      <c r="EI394" s="0" t="n">
        <f aca="false">IF(AND(DM394=1,DN394&lt;=48),"",IF(AND(DM394=2,DN394&lt;=42),"",IF(AND(DM394=3,DN394&lt;=45),"",EH394)))</f>
        <v>15</v>
      </c>
      <c r="EJ394" s="0" t="n">
        <f aca="false">IF(EI394="","",IF(EI394&lt;9,EI394,9))</f>
        <v>9</v>
      </c>
      <c r="EK394" s="0" t="n">
        <f aca="false">IF(EI394="","",IF(EI394&gt;9,EI394-EJ394,0))</f>
        <v>6</v>
      </c>
      <c r="EL394" s="0" t="n">
        <f aca="false">IF(EI394="","",EJ394*DA394*2+EK394*DA394*3)</f>
        <v>1260</v>
      </c>
      <c r="EP394" s="0" t="n">
        <v>0</v>
      </c>
      <c r="EQ394" s="0"/>
      <c r="ER394" s="0" t="n">
        <v>1</v>
      </c>
      <c r="ET394" s="0" t="n">
        <v>0</v>
      </c>
      <c r="EV394" s="0" t="n">
        <v>0</v>
      </c>
      <c r="EX394" s="0" t="n">
        <v>0</v>
      </c>
      <c r="EY394" s="0" t="n">
        <v>0</v>
      </c>
      <c r="EZ394" s="0"/>
      <c r="FA394" s="0"/>
      <c r="FB394" s="0" t="n">
        <v>1</v>
      </c>
      <c r="FF394" s="120" t="n">
        <f aca="false">(CJ394-CI394+1)/365</f>
        <v>10.7890410958904</v>
      </c>
      <c r="FG394" s="0" t="str">
        <f aca="false">CONCATENATE(F394,"/",G394)</f>
        <v>999/2011</v>
      </c>
      <c r="FH394" s="0" t="n">
        <v>0</v>
      </c>
      <c r="FI394" s="0" t="n">
        <v>0</v>
      </c>
    </row>
    <row r="395" customFormat="false" ht="15" hidden="false" customHeight="false" outlineLevel="0" collapsed="false">
      <c r="A395" s="5" t="str">
        <f aca="false">E395&amp;G395&amp;F395</f>
        <v>72011999</v>
      </c>
      <c r="B395" s="0" t="s">
        <v>3732</v>
      </c>
      <c r="C395" s="1" t="n">
        <v>42412</v>
      </c>
      <c r="D395" s="0" t="s">
        <v>1856</v>
      </c>
      <c r="E395" s="0" t="n">
        <v>7</v>
      </c>
      <c r="F395" s="0" t="n">
        <v>999</v>
      </c>
      <c r="G395" s="0" t="n">
        <v>2011</v>
      </c>
      <c r="H395" s="0" t="str">
        <f aca="false">"J"&amp;E395&amp;"\"&amp;F395&amp;"\"&amp;G395&amp;"\"&amp;W395</f>
        <v>J7\999\2011\4</v>
      </c>
      <c r="I395" s="0"/>
      <c r="J395" s="1" t="n">
        <v>40703</v>
      </c>
      <c r="K395" s="0" t="n">
        <v>0</v>
      </c>
      <c r="M395" s="1" t="n">
        <v>40703</v>
      </c>
      <c r="N395" s="1"/>
      <c r="O395" s="1"/>
      <c r="P395" s="1"/>
      <c r="Q395" s="1"/>
      <c r="T395" s="121"/>
      <c r="U395" s="121"/>
      <c r="V395" s="122" t="n">
        <f aca="false">IF(AND(E395&gt;0,F395&gt;0,G395&gt;0),COUNTIFS($E:$E,E395,$F:$F,F395,$G:$G,G395),"")</f>
        <v>4</v>
      </c>
      <c r="W395" s="122" t="n">
        <f aca="false">IF(V395="","",IF(V395=1,1,IF(AND(E394=E395,F394=F395,G394=G395),W394+1,1)))</f>
        <v>4</v>
      </c>
      <c r="X395" s="0" t="n">
        <v>4</v>
      </c>
      <c r="Y395" s="0" t="n">
        <v>1</v>
      </c>
      <c r="Z395" s="0" t="s">
        <v>4057</v>
      </c>
      <c r="AA395" s="0" t="n">
        <v>0</v>
      </c>
      <c r="AB395" s="0" t="s">
        <v>4049</v>
      </c>
      <c r="AC395" s="0" t="s">
        <v>4050</v>
      </c>
      <c r="AD395" s="0" t="s">
        <v>1972</v>
      </c>
      <c r="AE395" s="0" t="n">
        <v>0</v>
      </c>
      <c r="AF395" s="0" t="s">
        <v>4051</v>
      </c>
      <c r="AG395" s="0" t="n">
        <v>1</v>
      </c>
      <c r="AH395" s="0" t="s">
        <v>4052</v>
      </c>
      <c r="AI395" s="0" t="s">
        <v>2411</v>
      </c>
      <c r="AJ395" s="0" t="s">
        <v>229</v>
      </c>
      <c r="BP395" s="0" t="n">
        <v>0</v>
      </c>
      <c r="BQ395" s="0" t="n">
        <v>0</v>
      </c>
      <c r="BR395" s="0" t="n">
        <v>1</v>
      </c>
      <c r="BS395" s="0" t="s">
        <v>4053</v>
      </c>
      <c r="BV395" s="123"/>
      <c r="BW395" s="123"/>
      <c r="BX395" s="123"/>
      <c r="BY395" s="123"/>
      <c r="BZ395" s="0" t="n">
        <v>0</v>
      </c>
      <c r="CA395" s="0" t="s">
        <v>216</v>
      </c>
      <c r="CD395" s="0" t="s">
        <v>216</v>
      </c>
      <c r="CE395" s="0" t="n">
        <v>0</v>
      </c>
      <c r="CF395" s="0" t="s">
        <v>4054</v>
      </c>
      <c r="CI395" s="1" t="n">
        <v>36631</v>
      </c>
      <c r="CJ395" s="1" t="n">
        <v>40683</v>
      </c>
      <c r="CK395" s="124" t="s">
        <v>221</v>
      </c>
      <c r="CL395" s="0" t="s">
        <v>4051</v>
      </c>
      <c r="CM395" s="0" t="n">
        <f aca="false">IF(OR(CI395="",CJ395=""),"",DAYS360(CI395,CJ395)/360)</f>
        <v>11.0972222222222</v>
      </c>
      <c r="CN395" s="0" t="n">
        <f aca="false">IF(OR(CI395="",CJ395=""),"",DAYS360(CI395,CJ395)/30)</f>
        <v>133.166666666667</v>
      </c>
      <c r="CO395" s="0" t="n">
        <f aca="false">IF(OR(CI395="",CJ395=""),"",DAYS360(CI395,CJ395)/7)</f>
        <v>570.714285714286</v>
      </c>
      <c r="CP395" s="0" t="n">
        <f aca="false">IF(OR(CI395="",CJ395=""),"",DAYS360(CI395,CJ395))</f>
        <v>3995</v>
      </c>
      <c r="CQ395" s="0" t="s">
        <v>240</v>
      </c>
      <c r="CR395" s="0" t="n">
        <v>1</v>
      </c>
      <c r="CT395" s="0" t="n">
        <v>170</v>
      </c>
      <c r="CU395" s="0" t="n">
        <v>0</v>
      </c>
      <c r="CV395" s="0" t="n">
        <f aca="false">IF(OR(CT395="",CT395="NO ESPECIFICA",CT395="NO MENCIONA"),"",IF(CU395=0,CT395,IF(CU395=1,CT395/30,IF(CU395=2,CT395/15,IF(CU395=3,CT395/7,"")))))</f>
        <v>170</v>
      </c>
      <c r="CW395" s="125" t="s">
        <v>216</v>
      </c>
      <c r="CY395" s="0" t="str">
        <f aca="false">IF(CW395="","",IF(CX395=0,CW395,IF(CX395=1,CW395/30,IF(CX395=2,CW395/15,IF(CX395=3,CW395/7,CW395)))))</f>
        <v>NO MENCIONA</v>
      </c>
      <c r="CZ395" s="0" t="n">
        <f aca="false">IF(DI395&gt;0,DI395,IF(CY395&gt;0,CY395,IF(CV395&gt;0,CV395,"")))</f>
        <v>170</v>
      </c>
      <c r="DA395" s="0" t="n">
        <f aca="false">IF(DM395=1,CZ395/8,IF(OR(DM395=2,DM395=4),CZ395/7,IF(DM395=3,CZ395/7.5,"")))</f>
        <v>21.25</v>
      </c>
      <c r="DB395" s="0" t="s">
        <v>216</v>
      </c>
      <c r="DC395" s="0" t="s">
        <v>216</v>
      </c>
      <c r="DD395" s="0" t="s">
        <v>216</v>
      </c>
      <c r="DE395" s="0" t="s">
        <v>216</v>
      </c>
      <c r="DF395" s="0" t="s">
        <v>216</v>
      </c>
      <c r="DG395" s="0" t="s">
        <v>216</v>
      </c>
      <c r="DH395" s="0" t="n">
        <v>0</v>
      </c>
      <c r="DI395" s="126" t="n">
        <v>170</v>
      </c>
      <c r="DK395" s="0" t="n">
        <v>1</v>
      </c>
      <c r="DM395" s="0" t="n">
        <v>1</v>
      </c>
      <c r="DN395" s="0" t="n">
        <v>50</v>
      </c>
      <c r="DO395" s="0" t="n">
        <v>3</v>
      </c>
      <c r="DP395" s="0" t="n">
        <v>0</v>
      </c>
      <c r="DQ395" s="0" t="n">
        <v>1</v>
      </c>
      <c r="DR395" s="0"/>
      <c r="DS395" s="0" t="n">
        <v>1</v>
      </c>
      <c r="DU395" s="0" t="n">
        <v>1</v>
      </c>
      <c r="DW395" s="1" t="n">
        <v>40283</v>
      </c>
      <c r="DX395" s="1" t="n">
        <v>40683</v>
      </c>
      <c r="DZ395" s="0"/>
      <c r="EA395" s="0" t="n">
        <v>1</v>
      </c>
      <c r="EC395" s="1" t="n">
        <v>40179</v>
      </c>
      <c r="ED395" s="1" t="n">
        <v>40683</v>
      </c>
      <c r="EF395" s="0"/>
      <c r="EG395" s="0" t="n">
        <v>1</v>
      </c>
      <c r="EH395" s="0" t="n">
        <v>15</v>
      </c>
      <c r="EI395" s="0" t="n">
        <f aca="false">IF(AND(DM395=1,DN395&lt;=48),"",IF(AND(DM395=2,DN395&lt;=42),"",IF(AND(DM395=3,DN395&lt;=45),"",EH395)))</f>
        <v>15</v>
      </c>
      <c r="EJ395" s="0" t="n">
        <f aca="false">IF(EI395="","",IF(EI395&lt;9,EI395,9))</f>
        <v>9</v>
      </c>
      <c r="EK395" s="0" t="n">
        <f aca="false">IF(EI395="","",IF(EI395&gt;9,EI395-EJ395,0))</f>
        <v>6</v>
      </c>
      <c r="EL395" s="0" t="n">
        <f aca="false">IF(EI395="","",EJ395*DA395*2+EK395*DA395*3)</f>
        <v>765</v>
      </c>
      <c r="EP395" s="0" t="n">
        <v>0</v>
      </c>
      <c r="EQ395" s="0"/>
      <c r="ER395" s="0" t="n">
        <v>1</v>
      </c>
      <c r="ET395" s="0" t="n">
        <v>0</v>
      </c>
      <c r="EV395" s="0" t="n">
        <v>0</v>
      </c>
      <c r="EX395" s="0" t="n">
        <v>0</v>
      </c>
      <c r="EY395" s="0" t="n">
        <v>0</v>
      </c>
      <c r="EZ395" s="0"/>
      <c r="FA395" s="0"/>
      <c r="FB395" s="0" t="n">
        <v>1</v>
      </c>
      <c r="FF395" s="120" t="n">
        <f aca="false">(CJ395-CI395+1)/365</f>
        <v>11.1041095890411</v>
      </c>
      <c r="FG395" s="0" t="str">
        <f aca="false">CONCATENATE(F395,"/",G395)</f>
        <v>999/2011</v>
      </c>
      <c r="FH395" s="0" t="n">
        <v>0</v>
      </c>
      <c r="FI395" s="0" t="n">
        <v>0</v>
      </c>
    </row>
    <row r="396" customFormat="false" ht="15" hidden="false" customHeight="false" outlineLevel="0" collapsed="false">
      <c r="A396" s="5" t="str">
        <f aca="false">E396&amp;G396&amp;F396</f>
        <v>72011712</v>
      </c>
      <c r="B396" s="0" t="s">
        <v>1855</v>
      </c>
      <c r="C396" s="1" t="n">
        <v>42414</v>
      </c>
      <c r="D396" s="0" t="s">
        <v>4058</v>
      </c>
      <c r="E396" s="0" t="n">
        <v>7</v>
      </c>
      <c r="F396" s="0" t="n">
        <v>712</v>
      </c>
      <c r="G396" s="0" t="n">
        <v>2011</v>
      </c>
      <c r="H396" s="0" t="str">
        <f aca="false">"J"&amp;E396&amp;"\"&amp;F396&amp;"\"&amp;G396&amp;"\"&amp;W396</f>
        <v>J7\712\2011\1</v>
      </c>
      <c r="I396" s="1" t="n">
        <v>40651</v>
      </c>
      <c r="J396" s="1" t="n">
        <v>40049</v>
      </c>
      <c r="K396" s="0" t="n">
        <v>0</v>
      </c>
      <c r="M396" s="1" t="n">
        <v>40084</v>
      </c>
      <c r="N396" s="1" t="n">
        <v>40123</v>
      </c>
      <c r="O396" s="1"/>
      <c r="P396" s="1"/>
      <c r="Q396" s="1"/>
      <c r="T396" s="121"/>
      <c r="U396" s="121"/>
      <c r="V396" s="122" t="n">
        <f aca="false">IF(AND(E396&gt;0,F396&gt;0,G396&gt;0),COUNTIFS($E:$E,E396,$F:$F,F396,$G:$G,G396),"")</f>
        <v>41</v>
      </c>
      <c r="W396" s="122" t="n">
        <f aca="false">IF(V396="","",IF(V396=1,1,IF(AND(E395=E396,F395=F396,G395=G396),W395+1,1)))</f>
        <v>1</v>
      </c>
      <c r="X396" s="0" t="n">
        <v>45</v>
      </c>
      <c r="Y396" s="0" t="n">
        <v>3</v>
      </c>
      <c r="Z396" s="0" t="s">
        <v>4059</v>
      </c>
      <c r="AA396" s="0" t="n">
        <v>0</v>
      </c>
      <c r="AB396" s="0" t="s">
        <v>4060</v>
      </c>
      <c r="AC396" s="0" t="s">
        <v>1160</v>
      </c>
      <c r="AD396" s="0" t="s">
        <v>229</v>
      </c>
      <c r="AE396" s="0" t="n">
        <v>0</v>
      </c>
      <c r="AF396" s="0" t="s">
        <v>3955</v>
      </c>
      <c r="AG396" s="0" t="n">
        <v>0</v>
      </c>
      <c r="AH396" s="0" t="s">
        <v>4061</v>
      </c>
      <c r="AI396" s="0" t="s">
        <v>3957</v>
      </c>
      <c r="AJ396" s="0" t="s">
        <v>590</v>
      </c>
      <c r="AL396" s="0" t="s">
        <v>4062</v>
      </c>
      <c r="AM396" s="0" t="n">
        <v>1</v>
      </c>
      <c r="AN396" s="0" t="s">
        <v>4061</v>
      </c>
      <c r="AO396" s="0" t="s">
        <v>3957</v>
      </c>
      <c r="AP396" s="0" t="s">
        <v>590</v>
      </c>
      <c r="AR396" s="0" t="s">
        <v>1880</v>
      </c>
      <c r="AS396" s="0" t="n">
        <v>1</v>
      </c>
      <c r="AT396" s="0" t="s">
        <v>4061</v>
      </c>
      <c r="AU396" s="0" t="s">
        <v>3957</v>
      </c>
      <c r="AV396" s="0" t="s">
        <v>590</v>
      </c>
      <c r="BR396" s="0" t="n">
        <v>1</v>
      </c>
      <c r="BS396" s="0" t="s">
        <v>4063</v>
      </c>
      <c r="BT396" s="0" t="s">
        <v>4064</v>
      </c>
      <c r="BU396" s="0" t="s">
        <v>4065</v>
      </c>
      <c r="BV396" s="123"/>
      <c r="BW396" s="123"/>
      <c r="BX396" s="123"/>
      <c r="BY396" s="123"/>
      <c r="BZ396" s="0" t="n">
        <v>0</v>
      </c>
      <c r="CA396" s="0" t="s">
        <v>216</v>
      </c>
      <c r="CD396" s="0" t="s">
        <v>502</v>
      </c>
      <c r="CE396" s="0" t="n">
        <v>0</v>
      </c>
      <c r="CF396" s="0" t="s">
        <v>4066</v>
      </c>
      <c r="CI396" s="1" t="n">
        <v>32874</v>
      </c>
      <c r="CJ396" s="1" t="n">
        <v>40001</v>
      </c>
      <c r="CK396" s="124" t="s">
        <v>216</v>
      </c>
      <c r="CL396" s="0" t="s">
        <v>4062</v>
      </c>
      <c r="CM396" s="0" t="n">
        <f aca="false">IF(OR(CI396="",CJ396=""),"",DAYS360(CI396,CJ396)/360)</f>
        <v>19.5166666666667</v>
      </c>
      <c r="CN396" s="0" t="n">
        <f aca="false">IF(OR(CI396="",CJ396=""),"",DAYS360(CI396,CJ396)/30)</f>
        <v>234.2</v>
      </c>
      <c r="CO396" s="0" t="n">
        <f aca="false">IF(OR(CI396="",CJ396=""),"",DAYS360(CI396,CJ396)/7)</f>
        <v>1003.71428571429</v>
      </c>
      <c r="CP396" s="0" t="n">
        <f aca="false">IF(OR(CI396="",CJ396=""),"",DAYS360(CI396,CJ396))</f>
        <v>7026</v>
      </c>
      <c r="CQ396" s="0" t="s">
        <v>220</v>
      </c>
      <c r="CR396" s="0" t="n">
        <v>1</v>
      </c>
      <c r="CT396" s="0" t="n">
        <v>1600</v>
      </c>
      <c r="CU396" s="0" t="n">
        <v>2</v>
      </c>
      <c r="CV396" s="0" t="n">
        <f aca="false">IF(OR(CT396="",CT396="NO ESPECIFICA",CT396="NO MENCIONA"),"",IF(CU396=0,CT396,IF(CU396=1,CT396/30,IF(CU396=2,CT396/15,IF(CU396=3,CT396/7,"")))))</f>
        <v>106.666666666667</v>
      </c>
      <c r="CW396" s="125" t="s">
        <v>216</v>
      </c>
      <c r="CX396" s="125" t="s">
        <v>216</v>
      </c>
      <c r="CY396" s="0" t="str">
        <f aca="false">IF(CW396="","",IF(CX396=0,CW396,IF(CX396=1,CW396/30,IF(CX396=2,CW396/15,IF(CX396=3,CW396/7,CW396)))))</f>
        <v>NO MENCIONA</v>
      </c>
      <c r="CZ396" s="0" t="n">
        <f aca="false">IF(DI396&gt;0,DI396,IF(CY396&gt;0,CY396,IF(CV396&gt;0,CV396,"")))</f>
        <v>106.67</v>
      </c>
      <c r="DA396" s="0" t="n">
        <f aca="false">IF(DM396=1,CZ396/8,IF(OR(DM396=2,DM396=4),CZ396/7,IF(DM396=3,CZ396/7.5,"")))</f>
        <v>14.2226666666667</v>
      </c>
      <c r="DB396" s="0" t="s">
        <v>216</v>
      </c>
      <c r="DC396" s="0" t="s">
        <v>216</v>
      </c>
      <c r="DD396" s="0" t="s">
        <v>216</v>
      </c>
      <c r="DE396" s="0" t="s">
        <v>216</v>
      </c>
      <c r="DF396" s="0" t="s">
        <v>216</v>
      </c>
      <c r="DG396" s="0" t="s">
        <v>216</v>
      </c>
      <c r="DH396" s="0" t="n">
        <v>0</v>
      </c>
      <c r="DI396" s="126" t="n">
        <v>106.67</v>
      </c>
      <c r="DK396" s="0" t="n">
        <v>0</v>
      </c>
      <c r="DM396" s="0" t="n">
        <v>3</v>
      </c>
      <c r="DN396" s="0" t="n">
        <v>12</v>
      </c>
      <c r="DO396" s="0" t="n">
        <v>0</v>
      </c>
      <c r="DP396" s="0" t="n">
        <v>1</v>
      </c>
      <c r="DQ396" s="0" t="n">
        <v>1</v>
      </c>
      <c r="DR396" s="0"/>
      <c r="DS396" s="0" t="n">
        <v>1</v>
      </c>
      <c r="DU396" s="0" t="n">
        <v>1</v>
      </c>
      <c r="DW396" s="1" t="s">
        <v>221</v>
      </c>
      <c r="DX396" s="1" t="s">
        <v>221</v>
      </c>
      <c r="DY396" s="1" t="s">
        <v>221</v>
      </c>
      <c r="DZ396" s="1" t="s">
        <v>221</v>
      </c>
      <c r="EA396" s="0" t="n">
        <v>1</v>
      </c>
      <c r="EC396" s="1" t="n">
        <v>39448</v>
      </c>
      <c r="ED396" s="1" t="n">
        <v>40001</v>
      </c>
      <c r="EF396" s="0"/>
      <c r="EG396" s="0" t="n">
        <v>1</v>
      </c>
      <c r="EH396" s="0" t="s">
        <v>221</v>
      </c>
      <c r="EI396" s="0" t="str">
        <f aca="false">IF(AND(DM396=1,DN396&lt;=48),"",IF(AND(DM396=2,DN396&lt;=42),"",IF(AND(DM396=3,DN396&lt;=45),"",EH396)))</f>
        <v/>
      </c>
      <c r="EJ396" s="0" t="str">
        <f aca="false">IF(EI396="","",IF(EI396&lt;9,EI396,9))</f>
        <v/>
      </c>
      <c r="EK396" s="0" t="str">
        <f aca="false">IF(EI396="","",IF(EI396&gt;9,EI396-EJ396,0))</f>
        <v/>
      </c>
      <c r="EL396" s="0" t="str">
        <f aca="false">IF(EI396="","",EJ396*DA396*2+EK396*DA396*3)</f>
        <v/>
      </c>
      <c r="EP396" s="0" t="n">
        <v>1</v>
      </c>
      <c r="EQ396" s="0"/>
      <c r="ER396" s="0" t="n">
        <v>0</v>
      </c>
      <c r="ET396" s="0" t="n">
        <v>0</v>
      </c>
      <c r="EV396" s="0" t="n">
        <v>0</v>
      </c>
      <c r="EX396" s="0" t="n">
        <v>0</v>
      </c>
      <c r="EY396" s="0" t="n">
        <v>1</v>
      </c>
      <c r="FB396" s="0" t="n">
        <v>1</v>
      </c>
      <c r="FF396" s="120" t="n">
        <f aca="false">(CJ396-CI396+1)/365</f>
        <v>19.5287671232877</v>
      </c>
      <c r="FG396" s="0" t="str">
        <f aca="false">CONCATENATE(F396,"/",G396)</f>
        <v>712/2011</v>
      </c>
      <c r="FH396" s="0" t="n">
        <v>0</v>
      </c>
      <c r="FI396" s="0" t="n">
        <v>0</v>
      </c>
    </row>
    <row r="397" customFormat="false" ht="15" hidden="false" customHeight="false" outlineLevel="0" collapsed="false">
      <c r="A397" s="5" t="str">
        <f aca="false">E397&amp;G397&amp;F397</f>
        <v>72011712</v>
      </c>
      <c r="B397" s="0" t="s">
        <v>1855</v>
      </c>
      <c r="C397" s="1" t="n">
        <v>42414</v>
      </c>
      <c r="D397" s="0" t="s">
        <v>4067</v>
      </c>
      <c r="E397" s="0" t="n">
        <v>7</v>
      </c>
      <c r="F397" s="0" t="n">
        <v>712</v>
      </c>
      <c r="G397" s="0" t="n">
        <v>2011</v>
      </c>
      <c r="H397" s="0" t="str">
        <f aca="false">"J"&amp;E397&amp;"\"&amp;F397&amp;"\"&amp;G397&amp;"\"&amp;W397</f>
        <v>J7\712\2011\2</v>
      </c>
      <c r="I397" s="1" t="n">
        <v>40651</v>
      </c>
      <c r="J397" s="1" t="n">
        <v>40049</v>
      </c>
      <c r="K397" s="0" t="n">
        <v>0</v>
      </c>
      <c r="M397" s="1" t="n">
        <v>40084</v>
      </c>
      <c r="N397" s="1" t="n">
        <v>40123</v>
      </c>
      <c r="O397" s="1"/>
      <c r="P397" s="1"/>
      <c r="Q397" s="1"/>
      <c r="T397" s="121"/>
      <c r="U397" s="121"/>
      <c r="V397" s="122" t="n">
        <f aca="false">IF(AND(E397&gt;0,F397&gt;0,G397&gt;0),COUNTIFS($E:$E,E397,$F:$F,F397,$G:$G,G397),"")</f>
        <v>41</v>
      </c>
      <c r="W397" s="122" t="n">
        <f aca="false">IF(V397="","",IF(V397=1,1,IF(AND(E396=E397,F396=F397,G396=G397),W396+1,1)))</f>
        <v>2</v>
      </c>
      <c r="X397" s="0" t="n">
        <v>45</v>
      </c>
      <c r="Y397" s="0" t="n">
        <v>3</v>
      </c>
      <c r="Z397" s="0" t="s">
        <v>4068</v>
      </c>
      <c r="AA397" s="0" t="n">
        <v>0</v>
      </c>
      <c r="AB397" s="0" t="s">
        <v>4060</v>
      </c>
      <c r="AC397" s="0" t="s">
        <v>1160</v>
      </c>
      <c r="AD397" s="0" t="s">
        <v>229</v>
      </c>
      <c r="AE397" s="0" t="n">
        <v>0</v>
      </c>
      <c r="AF397" s="0" t="s">
        <v>3955</v>
      </c>
      <c r="AG397" s="0" t="n">
        <v>0</v>
      </c>
      <c r="AH397" s="0" t="s">
        <v>4061</v>
      </c>
      <c r="AI397" s="0" t="s">
        <v>3957</v>
      </c>
      <c r="AJ397" s="0" t="s">
        <v>590</v>
      </c>
      <c r="AL397" s="0" t="s">
        <v>4062</v>
      </c>
      <c r="AM397" s="0" t="n">
        <v>1</v>
      </c>
      <c r="AN397" s="0" t="s">
        <v>4061</v>
      </c>
      <c r="AO397" s="0" t="s">
        <v>3957</v>
      </c>
      <c r="AP397" s="0" t="s">
        <v>590</v>
      </c>
      <c r="AR397" s="0" t="s">
        <v>1880</v>
      </c>
      <c r="AS397" s="0" t="n">
        <v>1</v>
      </c>
      <c r="AT397" s="0" t="s">
        <v>4061</v>
      </c>
      <c r="AU397" s="0" t="s">
        <v>3957</v>
      </c>
      <c r="AV397" s="0" t="s">
        <v>590</v>
      </c>
      <c r="BR397" s="0" t="n">
        <v>1</v>
      </c>
      <c r="BS397" s="0" t="s">
        <v>4063</v>
      </c>
      <c r="BT397" s="0" t="s">
        <v>4064</v>
      </c>
      <c r="BU397" s="0" t="s">
        <v>4065</v>
      </c>
      <c r="BV397" s="123"/>
      <c r="BW397" s="123"/>
      <c r="BX397" s="123"/>
      <c r="BY397" s="123"/>
      <c r="BZ397" s="0" t="n">
        <v>0</v>
      </c>
      <c r="CA397" s="0" t="s">
        <v>216</v>
      </c>
      <c r="CD397" s="0" t="s">
        <v>502</v>
      </c>
      <c r="CE397" s="0" t="n">
        <v>0</v>
      </c>
      <c r="CF397" s="0" t="s">
        <v>4066</v>
      </c>
      <c r="CI397" s="1" t="n">
        <v>35125</v>
      </c>
      <c r="CJ397" s="1" t="n">
        <v>40001</v>
      </c>
      <c r="CK397" s="124" t="s">
        <v>216</v>
      </c>
      <c r="CL397" s="0" t="s">
        <v>4062</v>
      </c>
      <c r="CM397" s="0" t="n">
        <f aca="false">IF(OR(CI397="",CJ397=""),"",DAYS360(CI397,CJ397)/360)</f>
        <v>13.35</v>
      </c>
      <c r="CN397" s="0" t="n">
        <f aca="false">IF(OR(CI397="",CJ397=""),"",DAYS360(CI397,CJ397)/30)</f>
        <v>160.2</v>
      </c>
      <c r="CO397" s="0" t="n">
        <f aca="false">IF(OR(CI397="",CJ397=""),"",DAYS360(CI397,CJ397)/7)</f>
        <v>686.571428571429</v>
      </c>
      <c r="CP397" s="0" t="n">
        <f aca="false">IF(OR(CI397="",CJ397=""),"",DAYS360(CI397,CJ397))</f>
        <v>4806</v>
      </c>
      <c r="CQ397" s="0" t="s">
        <v>220</v>
      </c>
      <c r="CR397" s="0" t="n">
        <v>1</v>
      </c>
      <c r="CT397" s="0" t="n">
        <v>750</v>
      </c>
      <c r="CU397" s="0" t="n">
        <v>2</v>
      </c>
      <c r="CV397" s="0" t="n">
        <f aca="false">IF(OR(CT397="",CT397="NO ESPECIFICA",CT397="NO MENCIONA"),"",IF(CU397=0,CT397,IF(CU397=1,CT397/30,IF(CU397=2,CT397/15,IF(CU397=3,CT397/7,"")))))</f>
        <v>50</v>
      </c>
      <c r="CW397" s="125" t="s">
        <v>216</v>
      </c>
      <c r="CX397" s="125" t="s">
        <v>216</v>
      </c>
      <c r="CY397" s="0" t="str">
        <f aca="false">IF(CW397="","",IF(CX397=0,CW397,IF(CX397=1,CW397/30,IF(CX397=2,CW397/15,IF(CX397=3,CW397/7,CW397)))))</f>
        <v>NO MENCIONA</v>
      </c>
      <c r="CZ397" s="0" t="n">
        <f aca="false">IF(DI397&gt;0,DI397,IF(CY397&gt;0,CY397,IF(CV397&gt;0,CV397,"")))</f>
        <v>50</v>
      </c>
      <c r="DA397" s="0" t="n">
        <f aca="false">IF(DM397=1,CZ397/8,IF(OR(DM397=2,DM397=4),CZ397/7,IF(DM397=3,CZ397/7.5,"")))</f>
        <v>6.66666666666667</v>
      </c>
      <c r="DB397" s="0" t="s">
        <v>417</v>
      </c>
      <c r="DC397" s="0" t="s">
        <v>216</v>
      </c>
      <c r="DD397" s="0" t="s">
        <v>216</v>
      </c>
      <c r="DE397" s="0" t="s">
        <v>216</v>
      </c>
      <c r="DF397" s="0" t="s">
        <v>216</v>
      </c>
      <c r="DG397" s="0" t="s">
        <v>216</v>
      </c>
      <c r="DH397" s="0" t="n">
        <v>0</v>
      </c>
      <c r="DI397" s="126" t="n">
        <f aca="false">CT397/15</f>
        <v>50</v>
      </c>
      <c r="DK397" s="0" t="n">
        <v>0</v>
      </c>
      <c r="DM397" s="0" t="n">
        <v>3</v>
      </c>
      <c r="DN397" s="0" t="n">
        <v>11</v>
      </c>
      <c r="DO397" s="0" t="n">
        <v>0</v>
      </c>
      <c r="DP397" s="0" t="n">
        <v>1</v>
      </c>
      <c r="DQ397" s="0" t="n">
        <v>1</v>
      </c>
      <c r="DR397" s="0"/>
      <c r="DS397" s="0" t="n">
        <v>1</v>
      </c>
      <c r="DU397" s="0" t="n">
        <v>1</v>
      </c>
      <c r="DW397" s="1" t="s">
        <v>221</v>
      </c>
      <c r="DX397" s="1" t="s">
        <v>221</v>
      </c>
      <c r="DY397" s="1" t="s">
        <v>221</v>
      </c>
      <c r="DZ397" s="1" t="s">
        <v>221</v>
      </c>
      <c r="EA397" s="0" t="n">
        <v>1</v>
      </c>
      <c r="EC397" s="1" t="n">
        <v>39448</v>
      </c>
      <c r="ED397" s="1" t="n">
        <v>40001</v>
      </c>
      <c r="EF397" s="0"/>
      <c r="EG397" s="0" t="n">
        <v>1</v>
      </c>
      <c r="EH397" s="0" t="s">
        <v>221</v>
      </c>
      <c r="EI397" s="0" t="str">
        <f aca="false">IF(AND(DM397=1,DN397&lt;=48),"",IF(AND(DM397=2,DN397&lt;=42),"",IF(AND(DM397=3,DN397&lt;=45),"",EH397)))</f>
        <v/>
      </c>
      <c r="EJ397" s="0" t="str">
        <f aca="false">IF(EI397="","",IF(EI397&lt;9,EI397,9))</f>
        <v/>
      </c>
      <c r="EK397" s="0" t="str">
        <f aca="false">IF(EI397="","",IF(EI397&gt;9,EI397-EJ397,0))</f>
        <v/>
      </c>
      <c r="EL397" s="0" t="str">
        <f aca="false">IF(EI397="","",EJ397*DA397*2+EK397*DA397*3)</f>
        <v/>
      </c>
      <c r="EP397" s="0" t="n">
        <v>1</v>
      </c>
      <c r="EQ397" s="0"/>
      <c r="ER397" s="0" t="n">
        <v>0</v>
      </c>
      <c r="ET397" s="0" t="n">
        <v>0</v>
      </c>
      <c r="EV397" s="0" t="n">
        <v>0</v>
      </c>
      <c r="EX397" s="0" t="n">
        <v>0</v>
      </c>
      <c r="EY397" s="0" t="n">
        <v>1</v>
      </c>
      <c r="FB397" s="0" t="n">
        <v>1</v>
      </c>
      <c r="FF397" s="120" t="n">
        <f aca="false">(CJ397-CI397+1)/365</f>
        <v>13.3616438356164</v>
      </c>
      <c r="FG397" s="0" t="str">
        <f aca="false">CONCATENATE(F397,"/",G397)</f>
        <v>712/2011</v>
      </c>
      <c r="FH397" s="0" t="n">
        <v>0</v>
      </c>
      <c r="FI397" s="0" t="n">
        <v>0</v>
      </c>
    </row>
    <row r="398" customFormat="false" ht="15" hidden="false" customHeight="false" outlineLevel="0" collapsed="false">
      <c r="A398" s="5" t="str">
        <f aca="false">E398&amp;G398&amp;F398</f>
        <v>72011712</v>
      </c>
      <c r="B398" s="0" t="s">
        <v>1855</v>
      </c>
      <c r="C398" s="1" t="n">
        <v>42414</v>
      </c>
      <c r="D398" s="0" t="s">
        <v>4067</v>
      </c>
      <c r="E398" s="0" t="n">
        <v>7</v>
      </c>
      <c r="F398" s="0" t="n">
        <v>712</v>
      </c>
      <c r="G398" s="0" t="n">
        <v>2011</v>
      </c>
      <c r="H398" s="0" t="str">
        <f aca="false">"J"&amp;E398&amp;"\"&amp;F398&amp;"\"&amp;G398&amp;"\"&amp;W398</f>
        <v>J7\712\2011\3</v>
      </c>
      <c r="I398" s="1" t="n">
        <v>40651</v>
      </c>
      <c r="J398" s="1" t="n">
        <v>40049</v>
      </c>
      <c r="K398" s="0" t="n">
        <v>0</v>
      </c>
      <c r="M398" s="1" t="n">
        <v>40084</v>
      </c>
      <c r="N398" s="1" t="n">
        <v>40123</v>
      </c>
      <c r="O398" s="1"/>
      <c r="P398" s="1"/>
      <c r="Q398" s="1"/>
      <c r="T398" s="121"/>
      <c r="U398" s="121"/>
      <c r="V398" s="122" t="n">
        <f aca="false">IF(AND(E398&gt;0,F398&gt;0,G398&gt;0),COUNTIFS($E:$E,E398,$F:$F,F398,$G:$G,G398),"")</f>
        <v>41</v>
      </c>
      <c r="W398" s="122" t="n">
        <f aca="false">IF(V398="","",IF(V398=1,1,IF(AND(E397=E398,F397=F398,G397=G398),W397+1,1)))</f>
        <v>3</v>
      </c>
      <c r="X398" s="0" t="n">
        <v>45</v>
      </c>
      <c r="Y398" s="0" t="n">
        <v>3</v>
      </c>
      <c r="Z398" s="0" t="s">
        <v>4069</v>
      </c>
      <c r="AA398" s="0" t="n">
        <v>0</v>
      </c>
      <c r="AB398" s="0" t="s">
        <v>4060</v>
      </c>
      <c r="AC398" s="0" t="s">
        <v>1160</v>
      </c>
      <c r="AD398" s="0" t="s">
        <v>229</v>
      </c>
      <c r="AE398" s="0" t="n">
        <v>0</v>
      </c>
      <c r="AF398" s="0" t="s">
        <v>3955</v>
      </c>
      <c r="AG398" s="0" t="n">
        <v>0</v>
      </c>
      <c r="AH398" s="0" t="s">
        <v>4061</v>
      </c>
      <c r="AI398" s="0" t="s">
        <v>3957</v>
      </c>
      <c r="AJ398" s="0" t="s">
        <v>590</v>
      </c>
      <c r="AL398" s="0" t="s">
        <v>4062</v>
      </c>
      <c r="AM398" s="0" t="n">
        <v>1</v>
      </c>
      <c r="AN398" s="0" t="s">
        <v>4061</v>
      </c>
      <c r="AO398" s="0" t="s">
        <v>3957</v>
      </c>
      <c r="AP398" s="0" t="s">
        <v>590</v>
      </c>
      <c r="AR398" s="0" t="s">
        <v>1880</v>
      </c>
      <c r="AS398" s="0" t="n">
        <v>1</v>
      </c>
      <c r="AT398" s="0" t="s">
        <v>4061</v>
      </c>
      <c r="AU398" s="0" t="s">
        <v>3957</v>
      </c>
      <c r="AV398" s="0" t="s">
        <v>590</v>
      </c>
      <c r="BR398" s="0" t="n">
        <v>1</v>
      </c>
      <c r="BS398" s="0" t="s">
        <v>4063</v>
      </c>
      <c r="BT398" s="0" t="s">
        <v>4064</v>
      </c>
      <c r="BU398" s="0" t="s">
        <v>4065</v>
      </c>
      <c r="BV398" s="123"/>
      <c r="BW398" s="123"/>
      <c r="BX398" s="123"/>
      <c r="BY398" s="123"/>
      <c r="BZ398" s="0" t="n">
        <v>0</v>
      </c>
      <c r="CA398" s="0" t="s">
        <v>216</v>
      </c>
      <c r="CD398" s="0" t="s">
        <v>502</v>
      </c>
      <c r="CE398" s="0" t="n">
        <v>0</v>
      </c>
      <c r="CF398" s="0" t="s">
        <v>1042</v>
      </c>
      <c r="CI398" s="1" t="n">
        <v>36161</v>
      </c>
      <c r="CJ398" s="1" t="n">
        <v>40001</v>
      </c>
      <c r="CK398" s="124" t="s">
        <v>216</v>
      </c>
      <c r="CL398" s="0" t="s">
        <v>4062</v>
      </c>
      <c r="CM398" s="0" t="n">
        <f aca="false">IF(OR(CI398="",CJ398=""),"",DAYS360(CI398,CJ398)/360)</f>
        <v>10.5166666666667</v>
      </c>
      <c r="CN398" s="0" t="n">
        <f aca="false">IF(OR(CI398="",CJ398=""),"",DAYS360(CI398,CJ398)/30)</f>
        <v>126.2</v>
      </c>
      <c r="CO398" s="0" t="n">
        <f aca="false">IF(OR(CI398="",CJ398=""),"",DAYS360(CI398,CJ398)/7)</f>
        <v>540.857142857143</v>
      </c>
      <c r="CP398" s="0" t="n">
        <f aca="false">IF(OR(CI398="",CJ398=""),"",DAYS360(CI398,CJ398))</f>
        <v>3786</v>
      </c>
      <c r="CQ398" s="0" t="s">
        <v>220</v>
      </c>
      <c r="CR398" s="0" t="n">
        <v>1</v>
      </c>
      <c r="CT398" s="0" t="s">
        <v>216</v>
      </c>
      <c r="CU398" s="0" t="s">
        <v>216</v>
      </c>
      <c r="CV398" s="0" t="str">
        <f aca="false">IF(OR(CT398="",CT398="NO ESPECIFICA",CT398="NO MENCIONA"),"",IF(CU398=0,CT398,IF(CU398=1,CT398/30,IF(CU398=2,CT398/15,IF(CU398=3,CT398/7,"")))))</f>
        <v/>
      </c>
      <c r="CW398" s="125" t="s">
        <v>216</v>
      </c>
      <c r="CX398" s="125" t="s">
        <v>216</v>
      </c>
      <c r="CY398" s="0" t="str">
        <f aca="false">IF(CW398="","",IF(CX398=0,CW398,IF(CX398=1,CW398/30,IF(CX398=2,CW398/15,IF(CX398=3,CW398/7,CW398)))))</f>
        <v>NO MENCIONA</v>
      </c>
      <c r="CZ398" s="0" t="str">
        <f aca="false">IF(DI398&gt;0,DI398,IF(CY398&gt;0,CY398,IF(CV398&gt;0,CV398,"")))</f>
        <v>NO MENCIONA</v>
      </c>
      <c r="DA398" s="0" t="e">
        <f aca="false">IF(DM398=1,CZ398/8,IF(OR(DM398=2,DM398=4),CZ398/7,IF(DM398=3,CZ398/7.5,"")))</f>
        <v>#VALUE!</v>
      </c>
      <c r="DB398" s="0" t="s">
        <v>216</v>
      </c>
      <c r="DC398" s="0" t="s">
        <v>216</v>
      </c>
      <c r="DD398" s="0" t="s">
        <v>216</v>
      </c>
      <c r="DE398" s="0" t="s">
        <v>216</v>
      </c>
      <c r="DF398" s="0" t="s">
        <v>216</v>
      </c>
      <c r="DG398" s="0" t="s">
        <v>216</v>
      </c>
      <c r="DH398" s="0" t="n">
        <v>0</v>
      </c>
      <c r="DI398" s="126" t="s">
        <v>216</v>
      </c>
      <c r="DK398" s="0" t="n">
        <v>0</v>
      </c>
      <c r="DM398" s="0" t="n">
        <v>3</v>
      </c>
      <c r="DN398" s="0" t="n">
        <v>8.5</v>
      </c>
      <c r="DO398" s="0" t="n">
        <v>0</v>
      </c>
      <c r="DP398" s="0" t="n">
        <v>1</v>
      </c>
      <c r="DQ398" s="0" t="n">
        <v>1</v>
      </c>
      <c r="DR398" s="0"/>
      <c r="DS398" s="0" t="n">
        <v>1</v>
      </c>
      <c r="DU398" s="0" t="n">
        <v>1</v>
      </c>
      <c r="DW398" s="1" t="s">
        <v>221</v>
      </c>
      <c r="DX398" s="1" t="s">
        <v>221</v>
      </c>
      <c r="DY398" s="1" t="s">
        <v>221</v>
      </c>
      <c r="DZ398" s="1" t="s">
        <v>221</v>
      </c>
      <c r="EA398" s="0" t="n">
        <v>1</v>
      </c>
      <c r="EC398" s="1" t="n">
        <v>39448</v>
      </c>
      <c r="ED398" s="1" t="n">
        <v>40001</v>
      </c>
      <c r="EF398" s="0"/>
      <c r="EG398" s="0" t="n">
        <v>1</v>
      </c>
      <c r="EH398" s="0" t="s">
        <v>221</v>
      </c>
      <c r="EI398" s="0" t="str">
        <f aca="false">IF(AND(DM398=1,DN398&lt;=48),"",IF(AND(DM398=2,DN398&lt;=42),"",IF(AND(DM398=3,DN398&lt;=45),"",EH398)))</f>
        <v/>
      </c>
      <c r="EJ398" s="0" t="str">
        <f aca="false">IF(EI398="","",IF(EI398&lt;9,EI398,9))</f>
        <v/>
      </c>
      <c r="EK398" s="0" t="str">
        <f aca="false">IF(EI398="","",IF(EI398&gt;9,EI398-EJ398,0))</f>
        <v/>
      </c>
      <c r="EL398" s="0" t="str">
        <f aca="false">IF(EI398="","",EJ398*DA398*2+EK398*DA398*3)</f>
        <v/>
      </c>
      <c r="EP398" s="0" t="n">
        <v>1</v>
      </c>
      <c r="EQ398" s="0"/>
      <c r="ER398" s="0" t="n">
        <v>0</v>
      </c>
      <c r="ET398" s="0" t="n">
        <v>0</v>
      </c>
      <c r="EV398" s="0" t="n">
        <v>0</v>
      </c>
      <c r="EX398" s="0" t="n">
        <v>0</v>
      </c>
      <c r="EY398" s="0" t="n">
        <v>1</v>
      </c>
      <c r="FB398" s="0" t="n">
        <v>1</v>
      </c>
      <c r="FF398" s="120" t="n">
        <f aca="false">(CJ398-CI398+1)/365</f>
        <v>10.5232876712329</v>
      </c>
      <c r="FG398" s="0" t="str">
        <f aca="false">CONCATENATE(F398,"/",G398)</f>
        <v>712/2011</v>
      </c>
      <c r="FH398" s="0" t="n">
        <v>0</v>
      </c>
      <c r="FI398" s="0" t="n">
        <v>0</v>
      </c>
    </row>
    <row r="399" customFormat="false" ht="15" hidden="false" customHeight="false" outlineLevel="0" collapsed="false">
      <c r="A399" s="5" t="str">
        <f aca="false">E399&amp;G399&amp;F399</f>
        <v>72011712</v>
      </c>
      <c r="B399" s="0" t="s">
        <v>1855</v>
      </c>
      <c r="C399" s="1" t="n">
        <v>42414</v>
      </c>
      <c r="D399" s="0" t="s">
        <v>4067</v>
      </c>
      <c r="E399" s="0" t="n">
        <v>7</v>
      </c>
      <c r="F399" s="0" t="n">
        <v>712</v>
      </c>
      <c r="G399" s="0" t="n">
        <v>2011</v>
      </c>
      <c r="H399" s="0" t="str">
        <f aca="false">"J"&amp;E399&amp;"\"&amp;F399&amp;"\"&amp;G399&amp;"\"&amp;W399</f>
        <v>J7\712\2011\4</v>
      </c>
      <c r="I399" s="1" t="n">
        <v>40651</v>
      </c>
      <c r="J399" s="1" t="n">
        <v>40049</v>
      </c>
      <c r="K399" s="0" t="n">
        <v>0</v>
      </c>
      <c r="M399" s="1" t="n">
        <v>40084</v>
      </c>
      <c r="N399" s="1" t="n">
        <v>40123</v>
      </c>
      <c r="O399" s="1"/>
      <c r="P399" s="1"/>
      <c r="Q399" s="1"/>
      <c r="T399" s="121"/>
      <c r="U399" s="121"/>
      <c r="V399" s="122" t="n">
        <f aca="false">IF(AND(E399&gt;0,F399&gt;0,G399&gt;0),COUNTIFS($E:$E,E399,$F:$F,F399,$G:$G,G399),"")</f>
        <v>41</v>
      </c>
      <c r="W399" s="122" t="n">
        <f aca="false">IF(V399="","",IF(V399=1,1,IF(AND(E398=E399,F398=F399,G398=G399),W398+1,1)))</f>
        <v>4</v>
      </c>
      <c r="X399" s="0" t="n">
        <v>45</v>
      </c>
      <c r="Y399" s="0" t="n">
        <v>3</v>
      </c>
      <c r="Z399" s="0" t="s">
        <v>4070</v>
      </c>
      <c r="AA399" s="0" t="n">
        <v>0</v>
      </c>
      <c r="AB399" s="0" t="s">
        <v>4060</v>
      </c>
      <c r="AC399" s="0" t="s">
        <v>1160</v>
      </c>
      <c r="AD399" s="0" t="s">
        <v>229</v>
      </c>
      <c r="AE399" s="0" t="n">
        <v>0</v>
      </c>
      <c r="AF399" s="0" t="s">
        <v>3955</v>
      </c>
      <c r="AG399" s="0" t="n">
        <v>0</v>
      </c>
      <c r="AH399" s="0" t="s">
        <v>4061</v>
      </c>
      <c r="AI399" s="0" t="s">
        <v>3957</v>
      </c>
      <c r="AJ399" s="0" t="s">
        <v>590</v>
      </c>
      <c r="AL399" s="0" t="s">
        <v>4062</v>
      </c>
      <c r="AM399" s="0" t="n">
        <v>1</v>
      </c>
      <c r="AN399" s="0" t="s">
        <v>4061</v>
      </c>
      <c r="AO399" s="0" t="s">
        <v>3957</v>
      </c>
      <c r="AP399" s="0" t="s">
        <v>590</v>
      </c>
      <c r="AR399" s="0" t="s">
        <v>1880</v>
      </c>
      <c r="AS399" s="0" t="n">
        <v>1</v>
      </c>
      <c r="AT399" s="0" t="s">
        <v>4061</v>
      </c>
      <c r="AU399" s="0" t="s">
        <v>3957</v>
      </c>
      <c r="AV399" s="0" t="s">
        <v>590</v>
      </c>
      <c r="BR399" s="0" t="n">
        <v>1</v>
      </c>
      <c r="BS399" s="0" t="s">
        <v>4063</v>
      </c>
      <c r="BT399" s="0" t="s">
        <v>4064</v>
      </c>
      <c r="BU399" s="0" t="s">
        <v>4065</v>
      </c>
      <c r="BV399" s="123"/>
      <c r="BW399" s="123"/>
      <c r="BX399" s="123"/>
      <c r="BY399" s="123"/>
      <c r="BZ399" s="0" t="n">
        <v>0</v>
      </c>
      <c r="CA399" s="0" t="s">
        <v>216</v>
      </c>
      <c r="CD399" s="0" t="s">
        <v>502</v>
      </c>
      <c r="CE399" s="0" t="n">
        <v>0</v>
      </c>
      <c r="CF399" s="0" t="s">
        <v>968</v>
      </c>
      <c r="CI399" s="1" t="n">
        <v>38292</v>
      </c>
      <c r="CJ399" s="1" t="n">
        <v>40001</v>
      </c>
      <c r="CK399" s="124" t="s">
        <v>216</v>
      </c>
      <c r="CL399" s="0" t="s">
        <v>4062</v>
      </c>
      <c r="CM399" s="0" t="n">
        <f aca="false">IF(OR(CI399="",CJ399=""),"",DAYS360(CI399,CJ399)/360)</f>
        <v>4.68333333333333</v>
      </c>
      <c r="CN399" s="0" t="n">
        <f aca="false">IF(OR(CI399="",CJ399=""),"",DAYS360(CI399,CJ399)/30)</f>
        <v>56.2</v>
      </c>
      <c r="CO399" s="0" t="n">
        <f aca="false">IF(OR(CI399="",CJ399=""),"",DAYS360(CI399,CJ399)/7)</f>
        <v>240.857142857143</v>
      </c>
      <c r="CP399" s="0" t="n">
        <f aca="false">IF(OR(CI399="",CJ399=""),"",DAYS360(CI399,CJ399))</f>
        <v>1686</v>
      </c>
      <c r="CQ399" s="0" t="s">
        <v>220</v>
      </c>
      <c r="CR399" s="0" t="n">
        <v>1</v>
      </c>
      <c r="CT399" s="0" t="n">
        <v>2000</v>
      </c>
      <c r="CU399" s="0" t="n">
        <v>2</v>
      </c>
      <c r="CV399" s="0" t="n">
        <f aca="false">IF(OR(CT399="",CT399="NO ESPECIFICA",CT399="NO MENCIONA"),"",IF(CU399=0,CT399,IF(CU399=1,CT399/30,IF(CU399=2,CT399/15,IF(CU399=3,CT399/7,"")))))</f>
        <v>133.333333333333</v>
      </c>
      <c r="CW399" s="125" t="s">
        <v>216</v>
      </c>
      <c r="CX399" s="125" t="s">
        <v>216</v>
      </c>
      <c r="CY399" s="0" t="str">
        <f aca="false">IF(CW399="","",IF(CX399=0,CW399,IF(CX399=1,CW399/30,IF(CX399=2,CW399/15,IF(CX399=3,CW399/7,CW399)))))</f>
        <v>NO MENCIONA</v>
      </c>
      <c r="CZ399" s="0" t="n">
        <f aca="false">IF(DI399&gt;0,DI399,IF(CY399&gt;0,CY399,IF(CV399&gt;0,CV399,"")))</f>
        <v>133.333333333333</v>
      </c>
      <c r="DA399" s="0" t="n">
        <f aca="false">IF(DM399=1,CZ399/8,IF(OR(DM399=2,DM399=4),CZ399/7,IF(DM399=3,CZ399/7.5,"")))</f>
        <v>17.7777777777778</v>
      </c>
      <c r="DB399" s="0" t="s">
        <v>417</v>
      </c>
      <c r="DC399" s="0" t="s">
        <v>216</v>
      </c>
      <c r="DD399" s="0" t="s">
        <v>216</v>
      </c>
      <c r="DE399" s="0" t="s">
        <v>216</v>
      </c>
      <c r="DF399" s="0" t="s">
        <v>216</v>
      </c>
      <c r="DG399" s="0" t="s">
        <v>216</v>
      </c>
      <c r="DH399" s="0" t="n">
        <v>0</v>
      </c>
      <c r="DI399" s="126" t="n">
        <f aca="false">CT399/15</f>
        <v>133.333333333333</v>
      </c>
      <c r="DK399" s="0" t="n">
        <v>0</v>
      </c>
      <c r="DM399" s="0" t="n">
        <v>3</v>
      </c>
      <c r="DN399" s="0" t="n">
        <v>12</v>
      </c>
      <c r="DO399" s="0" t="n">
        <v>0</v>
      </c>
      <c r="DP399" s="0" t="n">
        <v>1</v>
      </c>
      <c r="DQ399" s="0" t="n">
        <v>1</v>
      </c>
      <c r="DR399" s="0"/>
      <c r="DS399" s="0" t="n">
        <v>1</v>
      </c>
      <c r="DU399" s="0" t="n">
        <v>1</v>
      </c>
      <c r="DW399" s="1" t="s">
        <v>221</v>
      </c>
      <c r="DX399" s="1" t="s">
        <v>221</v>
      </c>
      <c r="DY399" s="1" t="s">
        <v>221</v>
      </c>
      <c r="DZ399" s="1" t="s">
        <v>221</v>
      </c>
      <c r="EA399" s="0" t="n">
        <v>1</v>
      </c>
      <c r="EC399" s="1" t="n">
        <v>39448</v>
      </c>
      <c r="ED399" s="1" t="n">
        <v>40001</v>
      </c>
      <c r="EF399" s="0"/>
      <c r="EG399" s="0" t="n">
        <v>1</v>
      </c>
      <c r="EH399" s="0" t="s">
        <v>221</v>
      </c>
      <c r="EI399" s="0" t="str">
        <f aca="false">IF(AND(DM399=1,DN399&lt;=48),"",IF(AND(DM399=2,DN399&lt;=42),"",IF(AND(DM399=3,DN399&lt;=45),"",EH399)))</f>
        <v/>
      </c>
      <c r="EJ399" s="0" t="str">
        <f aca="false">IF(EI399="","",IF(EI399&lt;9,EI399,9))</f>
        <v/>
      </c>
      <c r="EK399" s="0" t="str">
        <f aca="false">IF(EI399="","",IF(EI399&gt;9,EI399-EJ399,0))</f>
        <v/>
      </c>
      <c r="EL399" s="0" t="str">
        <f aca="false">IF(EI399="","",EJ399*DA399*2+EK399*DA399*3)</f>
        <v/>
      </c>
      <c r="EP399" s="0" t="n">
        <v>1</v>
      </c>
      <c r="EQ399" s="0"/>
      <c r="ER399" s="0" t="n">
        <v>0</v>
      </c>
      <c r="ET399" s="0" t="n">
        <v>0</v>
      </c>
      <c r="EV399" s="0" t="n">
        <v>0</v>
      </c>
      <c r="EX399" s="0" t="n">
        <v>0</v>
      </c>
      <c r="EY399" s="0" t="n">
        <v>1</v>
      </c>
      <c r="FB399" s="0" t="n">
        <v>1</v>
      </c>
      <c r="FF399" s="120" t="n">
        <f aca="false">(CJ399-CI399+1)/365</f>
        <v>4.68493150684932</v>
      </c>
      <c r="FG399" s="0" t="str">
        <f aca="false">CONCATENATE(F399,"/",G399)</f>
        <v>712/2011</v>
      </c>
      <c r="FH399" s="0" t="n">
        <v>0</v>
      </c>
      <c r="FI399" s="0" t="n">
        <v>0</v>
      </c>
    </row>
    <row r="400" customFormat="false" ht="15" hidden="false" customHeight="false" outlineLevel="0" collapsed="false">
      <c r="A400" s="5" t="str">
        <f aca="false">E400&amp;G400&amp;F400</f>
        <v>72011712</v>
      </c>
      <c r="B400" s="0" t="s">
        <v>1855</v>
      </c>
      <c r="C400" s="1" t="n">
        <v>42414</v>
      </c>
      <c r="D400" s="0" t="s">
        <v>4067</v>
      </c>
      <c r="E400" s="0" t="n">
        <v>7</v>
      </c>
      <c r="F400" s="0" t="n">
        <v>712</v>
      </c>
      <c r="G400" s="0" t="n">
        <v>2011</v>
      </c>
      <c r="H400" s="0" t="str">
        <f aca="false">"J"&amp;E400&amp;"\"&amp;F400&amp;"\"&amp;G400&amp;"\"&amp;W400</f>
        <v>J7\712\2011\5</v>
      </c>
      <c r="I400" s="1" t="n">
        <v>40651</v>
      </c>
      <c r="J400" s="1" t="n">
        <v>40049</v>
      </c>
      <c r="K400" s="0" t="n">
        <v>0</v>
      </c>
      <c r="M400" s="1" t="n">
        <v>40084</v>
      </c>
      <c r="N400" s="1" t="n">
        <v>40123</v>
      </c>
      <c r="O400" s="1"/>
      <c r="P400" s="1"/>
      <c r="Q400" s="1"/>
      <c r="T400" s="121"/>
      <c r="U400" s="121"/>
      <c r="V400" s="122" t="n">
        <f aca="false">IF(AND(E400&gt;0,F400&gt;0,G400&gt;0),COUNTIFS($E:$E,E400,$F:$F,F400,$G:$G,G400),"")</f>
        <v>41</v>
      </c>
      <c r="W400" s="122" t="n">
        <f aca="false">IF(V400="","",IF(V400=1,1,IF(AND(E399=E400,F399=F400,G399=G400),W399+1,1)))</f>
        <v>5</v>
      </c>
      <c r="X400" s="0" t="n">
        <v>45</v>
      </c>
      <c r="Y400" s="0" t="n">
        <v>3</v>
      </c>
      <c r="Z400" s="0" t="s">
        <v>4071</v>
      </c>
      <c r="AA400" s="0" t="n">
        <v>0</v>
      </c>
      <c r="AB400" s="0" t="s">
        <v>4060</v>
      </c>
      <c r="AC400" s="0" t="s">
        <v>1160</v>
      </c>
      <c r="AD400" s="0" t="s">
        <v>229</v>
      </c>
      <c r="AE400" s="0" t="n">
        <v>0</v>
      </c>
      <c r="AF400" s="0" t="s">
        <v>3955</v>
      </c>
      <c r="AG400" s="0" t="n">
        <v>0</v>
      </c>
      <c r="AH400" s="0" t="s">
        <v>4061</v>
      </c>
      <c r="AI400" s="0" t="s">
        <v>3957</v>
      </c>
      <c r="AJ400" s="0" t="s">
        <v>590</v>
      </c>
      <c r="AL400" s="0" t="s">
        <v>4062</v>
      </c>
      <c r="AM400" s="0" t="n">
        <v>1</v>
      </c>
      <c r="AN400" s="0" t="s">
        <v>4061</v>
      </c>
      <c r="AO400" s="0" t="s">
        <v>3957</v>
      </c>
      <c r="AP400" s="0" t="s">
        <v>590</v>
      </c>
      <c r="AR400" s="0" t="s">
        <v>1880</v>
      </c>
      <c r="AS400" s="0" t="n">
        <v>1</v>
      </c>
      <c r="AT400" s="0" t="s">
        <v>4061</v>
      </c>
      <c r="AU400" s="0" t="s">
        <v>3957</v>
      </c>
      <c r="AV400" s="0" t="s">
        <v>590</v>
      </c>
      <c r="BR400" s="0" t="n">
        <v>1</v>
      </c>
      <c r="BS400" s="0" t="s">
        <v>4063</v>
      </c>
      <c r="BT400" s="0" t="s">
        <v>4064</v>
      </c>
      <c r="BU400" s="0" t="s">
        <v>4065</v>
      </c>
      <c r="BV400" s="123"/>
      <c r="BW400" s="123"/>
      <c r="BX400" s="123"/>
      <c r="BY400" s="123"/>
      <c r="BZ400" s="0" t="n">
        <v>0</v>
      </c>
      <c r="CA400" s="0" t="s">
        <v>216</v>
      </c>
      <c r="CD400" s="0" t="s">
        <v>502</v>
      </c>
      <c r="CE400" s="0" t="n">
        <v>0</v>
      </c>
      <c r="CF400" s="0" t="s">
        <v>956</v>
      </c>
      <c r="CI400" s="1" t="n">
        <v>38292</v>
      </c>
      <c r="CJ400" s="1" t="n">
        <v>40001</v>
      </c>
      <c r="CK400" s="124" t="s">
        <v>216</v>
      </c>
      <c r="CL400" s="0" t="s">
        <v>4062</v>
      </c>
      <c r="CM400" s="0" t="n">
        <f aca="false">IF(OR(CI400="",CJ400=""),"",DAYS360(CI400,CJ400)/360)</f>
        <v>4.68333333333333</v>
      </c>
      <c r="CN400" s="0" t="n">
        <f aca="false">IF(OR(CI400="",CJ400=""),"",DAYS360(CI400,CJ400)/30)</f>
        <v>56.2</v>
      </c>
      <c r="CO400" s="0" t="n">
        <f aca="false">IF(OR(CI400="",CJ400=""),"",DAYS360(CI400,CJ400)/7)</f>
        <v>240.857142857143</v>
      </c>
      <c r="CP400" s="0" t="n">
        <f aca="false">IF(OR(CI400="",CJ400=""),"",DAYS360(CI400,CJ400))</f>
        <v>1686</v>
      </c>
      <c r="CQ400" s="0" t="s">
        <v>220</v>
      </c>
      <c r="CR400" s="0" t="n">
        <v>1</v>
      </c>
      <c r="CT400" s="0" t="n">
        <v>3000</v>
      </c>
      <c r="CU400" s="0" t="n">
        <v>2</v>
      </c>
      <c r="CV400" s="0" t="n">
        <f aca="false">IF(OR(CT400="",CT400="NO ESPECIFICA",CT400="NO MENCIONA"),"",IF(CU400=0,CT400,IF(CU400=1,CT400/30,IF(CU400=2,CT400/15,IF(CU400=3,CT400/7,"")))))</f>
        <v>200</v>
      </c>
      <c r="CW400" s="125" t="s">
        <v>216</v>
      </c>
      <c r="CX400" s="125" t="s">
        <v>216</v>
      </c>
      <c r="CY400" s="0" t="str">
        <f aca="false">IF(CW400="","",IF(CX400=0,CW400,IF(CX400=1,CW400/30,IF(CX400=2,CW400/15,IF(CX400=3,CW400/7,CW400)))))</f>
        <v>NO MENCIONA</v>
      </c>
      <c r="CZ400" s="0" t="n">
        <f aca="false">IF(DI400&gt;0,DI400,IF(CY400&gt;0,CY400,IF(CV400&gt;0,CV400,"")))</f>
        <v>200</v>
      </c>
      <c r="DA400" s="0" t="n">
        <f aca="false">IF(DM400=1,CZ400/8,IF(OR(DM400=2,DM400=4),CZ400/7,IF(DM400=3,CZ400/7.5,"")))</f>
        <v>26.6666666666667</v>
      </c>
      <c r="DB400" s="0" t="s">
        <v>216</v>
      </c>
      <c r="DC400" s="0" t="s">
        <v>216</v>
      </c>
      <c r="DD400" s="0" t="s">
        <v>216</v>
      </c>
      <c r="DE400" s="0" t="s">
        <v>216</v>
      </c>
      <c r="DF400" s="0" t="s">
        <v>216</v>
      </c>
      <c r="DG400" s="0" t="s">
        <v>216</v>
      </c>
      <c r="DH400" s="0" t="n">
        <v>0</v>
      </c>
      <c r="DI400" s="126" t="n">
        <f aca="false">CT400/15</f>
        <v>200</v>
      </c>
      <c r="DK400" s="0" t="n">
        <v>0</v>
      </c>
      <c r="DM400" s="0" t="n">
        <v>3</v>
      </c>
      <c r="DN400" s="0" t="n">
        <v>10.5</v>
      </c>
      <c r="DO400" s="0" t="n">
        <v>0</v>
      </c>
      <c r="DP400" s="0" t="n">
        <v>1</v>
      </c>
      <c r="DQ400" s="0" t="n">
        <v>1</v>
      </c>
      <c r="DR400" s="0"/>
      <c r="DS400" s="0" t="n">
        <v>1</v>
      </c>
      <c r="DU400" s="0" t="n">
        <v>1</v>
      </c>
      <c r="DW400" s="1" t="s">
        <v>221</v>
      </c>
      <c r="DX400" s="1" t="s">
        <v>221</v>
      </c>
      <c r="DY400" s="1" t="s">
        <v>221</v>
      </c>
      <c r="DZ400" s="1" t="s">
        <v>221</v>
      </c>
      <c r="EA400" s="0" t="n">
        <v>1</v>
      </c>
      <c r="EC400" s="1" t="n">
        <v>39448</v>
      </c>
      <c r="ED400" s="1" t="n">
        <v>40001</v>
      </c>
      <c r="EF400" s="0"/>
      <c r="EG400" s="0" t="n">
        <v>1</v>
      </c>
      <c r="EH400" s="0" t="s">
        <v>221</v>
      </c>
      <c r="EI400" s="0" t="str">
        <f aca="false">IF(AND(DM400=1,DN400&lt;=48),"",IF(AND(DM400=2,DN400&lt;=42),"",IF(AND(DM400=3,DN400&lt;=45),"",EH400)))</f>
        <v/>
      </c>
      <c r="EJ400" s="0" t="str">
        <f aca="false">IF(EI400="","",IF(EI400&lt;9,EI400,9))</f>
        <v/>
      </c>
      <c r="EK400" s="0" t="str">
        <f aca="false">IF(EI400="","",IF(EI400&gt;9,EI400-EJ400,0))</f>
        <v/>
      </c>
      <c r="EL400" s="0" t="str">
        <f aca="false">IF(EI400="","",EJ400*DA400*2+EK400*DA400*3)</f>
        <v/>
      </c>
      <c r="EP400" s="0" t="n">
        <v>1</v>
      </c>
      <c r="EQ400" s="0"/>
      <c r="ER400" s="0" t="n">
        <v>0</v>
      </c>
      <c r="ET400" s="0" t="n">
        <v>0</v>
      </c>
      <c r="EV400" s="0" t="n">
        <v>0</v>
      </c>
      <c r="EX400" s="0" t="n">
        <v>0</v>
      </c>
      <c r="EY400" s="0" t="n">
        <v>1</v>
      </c>
      <c r="FB400" s="0" t="n">
        <v>1</v>
      </c>
      <c r="FF400" s="120" t="n">
        <f aca="false">(CJ400-CI400+1)/365</f>
        <v>4.68493150684932</v>
      </c>
      <c r="FG400" s="0" t="str">
        <f aca="false">CONCATENATE(F400,"/",G400)</f>
        <v>712/2011</v>
      </c>
      <c r="FH400" s="0" t="n">
        <v>0</v>
      </c>
      <c r="FI400" s="0" t="n">
        <v>0</v>
      </c>
    </row>
    <row r="401" customFormat="false" ht="15" hidden="false" customHeight="false" outlineLevel="0" collapsed="false">
      <c r="A401" s="5" t="str">
        <f aca="false">E401&amp;G401&amp;F401</f>
        <v>72011712</v>
      </c>
      <c r="B401" s="0" t="s">
        <v>1855</v>
      </c>
      <c r="C401" s="1" t="n">
        <v>42414</v>
      </c>
      <c r="D401" s="0" t="s">
        <v>4067</v>
      </c>
      <c r="E401" s="0" t="n">
        <v>7</v>
      </c>
      <c r="F401" s="0" t="n">
        <v>712</v>
      </c>
      <c r="G401" s="0" t="n">
        <v>2011</v>
      </c>
      <c r="H401" s="0" t="str">
        <f aca="false">"J"&amp;E401&amp;"\"&amp;F401&amp;"\"&amp;G401&amp;"\"&amp;W401</f>
        <v>J7\712\2011\6</v>
      </c>
      <c r="I401" s="1" t="n">
        <v>40651</v>
      </c>
      <c r="J401" s="1" t="n">
        <v>40049</v>
      </c>
      <c r="K401" s="0" t="n">
        <v>0</v>
      </c>
      <c r="M401" s="1" t="n">
        <v>40084</v>
      </c>
      <c r="N401" s="1" t="n">
        <v>40123</v>
      </c>
      <c r="O401" s="1"/>
      <c r="P401" s="1"/>
      <c r="Q401" s="1"/>
      <c r="T401" s="121"/>
      <c r="U401" s="121"/>
      <c r="V401" s="122" t="n">
        <f aca="false">IF(AND(E401&gt;0,F401&gt;0,G401&gt;0),COUNTIFS($E:$E,E401,$F:$F,F401,$G:$G,G401),"")</f>
        <v>41</v>
      </c>
      <c r="W401" s="122" t="n">
        <f aca="false">IF(V401="","",IF(V401=1,1,IF(AND(E400=E401,F400=F401,G400=G401),W400+1,1)))</f>
        <v>6</v>
      </c>
      <c r="X401" s="0" t="n">
        <v>45</v>
      </c>
      <c r="Y401" s="0" t="n">
        <v>3</v>
      </c>
      <c r="Z401" s="0" t="s">
        <v>4072</v>
      </c>
      <c r="AA401" s="0" t="n">
        <v>0</v>
      </c>
      <c r="AB401" s="0" t="s">
        <v>4060</v>
      </c>
      <c r="AC401" s="0" t="s">
        <v>1160</v>
      </c>
      <c r="AD401" s="0" t="s">
        <v>229</v>
      </c>
      <c r="AE401" s="0" t="n">
        <v>0</v>
      </c>
      <c r="AF401" s="0" t="s">
        <v>3955</v>
      </c>
      <c r="AG401" s="0" t="n">
        <v>0</v>
      </c>
      <c r="AH401" s="0" t="s">
        <v>4061</v>
      </c>
      <c r="AI401" s="0" t="s">
        <v>3957</v>
      </c>
      <c r="AJ401" s="0" t="s">
        <v>590</v>
      </c>
      <c r="AL401" s="0" t="s">
        <v>4062</v>
      </c>
      <c r="AM401" s="0" t="n">
        <v>1</v>
      </c>
      <c r="AN401" s="0" t="s">
        <v>4061</v>
      </c>
      <c r="AO401" s="0" t="s">
        <v>3957</v>
      </c>
      <c r="AP401" s="0" t="s">
        <v>590</v>
      </c>
      <c r="AR401" s="0" t="s">
        <v>1880</v>
      </c>
      <c r="AS401" s="0" t="n">
        <v>1</v>
      </c>
      <c r="AT401" s="0" t="s">
        <v>4061</v>
      </c>
      <c r="AU401" s="0" t="s">
        <v>3957</v>
      </c>
      <c r="AV401" s="0" t="s">
        <v>590</v>
      </c>
      <c r="BR401" s="0" t="n">
        <v>1</v>
      </c>
      <c r="BS401" s="0" t="s">
        <v>4063</v>
      </c>
      <c r="BT401" s="0" t="s">
        <v>4064</v>
      </c>
      <c r="BU401" s="0" t="s">
        <v>4065</v>
      </c>
      <c r="BV401" s="123"/>
      <c r="BW401" s="123"/>
      <c r="BX401" s="123"/>
      <c r="BY401" s="123"/>
      <c r="BZ401" s="0" t="n">
        <v>0</v>
      </c>
      <c r="CA401" s="0" t="s">
        <v>216</v>
      </c>
      <c r="CD401" s="0" t="s">
        <v>502</v>
      </c>
      <c r="CE401" s="0" t="n">
        <v>0</v>
      </c>
      <c r="CF401" s="0" t="s">
        <v>3139</v>
      </c>
      <c r="CI401" s="1" t="n">
        <v>37257</v>
      </c>
      <c r="CJ401" s="1" t="n">
        <v>40001</v>
      </c>
      <c r="CK401" s="124" t="s">
        <v>216</v>
      </c>
      <c r="CL401" s="0" t="s">
        <v>4062</v>
      </c>
      <c r="CM401" s="0" t="n">
        <f aca="false">IF(OR(CI401="",CJ401=""),"",DAYS360(CI401,CJ401)/360)</f>
        <v>7.51666666666667</v>
      </c>
      <c r="CN401" s="0" t="n">
        <f aca="false">IF(OR(CI401="",CJ401=""),"",DAYS360(CI401,CJ401)/30)</f>
        <v>90.2</v>
      </c>
      <c r="CO401" s="0" t="n">
        <f aca="false">IF(OR(CI401="",CJ401=""),"",DAYS360(CI401,CJ401)/7)</f>
        <v>386.571428571429</v>
      </c>
      <c r="CP401" s="0" t="n">
        <f aca="false">IF(OR(CI401="",CJ401=""),"",DAYS360(CI401,CJ401))</f>
        <v>2706</v>
      </c>
      <c r="CQ401" s="0" t="s">
        <v>220</v>
      </c>
      <c r="CR401" s="0" t="n">
        <v>1</v>
      </c>
      <c r="CT401" s="0" t="n">
        <v>800</v>
      </c>
      <c r="CU401" s="0" t="n">
        <v>2</v>
      </c>
      <c r="CV401" s="0" t="n">
        <f aca="false">IF(OR(CT401="",CT401="NO ESPECIFICA",CT401="NO MENCIONA"),"",IF(CU401=0,CT401,IF(CU401=1,CT401/30,IF(CU401=2,CT401/15,IF(CU401=3,CT401/7,"")))))</f>
        <v>53.3333333333333</v>
      </c>
      <c r="CW401" s="125" t="s">
        <v>216</v>
      </c>
      <c r="CX401" s="125" t="s">
        <v>216</v>
      </c>
      <c r="CY401" s="0" t="str">
        <f aca="false">IF(CW401="","",IF(CX401=0,CW401,IF(CX401=1,CW401/30,IF(CX401=2,CW401/15,IF(CX401=3,CW401/7,CW401)))))</f>
        <v>NO MENCIONA</v>
      </c>
      <c r="CZ401" s="0" t="n">
        <f aca="false">IF(DI401&gt;0,DI401,IF(CY401&gt;0,CY401,IF(CV401&gt;0,CV401,"")))</f>
        <v>53.3333333333333</v>
      </c>
      <c r="DA401" s="0" t="n">
        <f aca="false">IF(DM401=1,CZ401/8,IF(OR(DM401=2,DM401=4),CZ401/7,IF(DM401=3,CZ401/7.5,"")))</f>
        <v>7.11111111111111</v>
      </c>
      <c r="DB401" s="0" t="s">
        <v>417</v>
      </c>
      <c r="DC401" s="0" t="s">
        <v>216</v>
      </c>
      <c r="DD401" s="0" t="s">
        <v>216</v>
      </c>
      <c r="DE401" s="0" t="s">
        <v>216</v>
      </c>
      <c r="DF401" s="0" t="s">
        <v>216</v>
      </c>
      <c r="DG401" s="0" t="s">
        <v>216</v>
      </c>
      <c r="DH401" s="0" t="n">
        <v>0</v>
      </c>
      <c r="DI401" s="126" t="n">
        <f aca="false">CT401/15</f>
        <v>53.3333333333333</v>
      </c>
      <c r="DK401" s="0" t="n">
        <v>1</v>
      </c>
      <c r="DM401" s="0" t="n">
        <v>3</v>
      </c>
      <c r="DN401" s="0" t="n">
        <v>9</v>
      </c>
      <c r="DO401" s="0" t="n">
        <v>0</v>
      </c>
      <c r="DP401" s="0" t="n">
        <v>1</v>
      </c>
      <c r="DQ401" s="0" t="n">
        <v>1</v>
      </c>
      <c r="DR401" s="0"/>
      <c r="DS401" s="0" t="n">
        <v>1</v>
      </c>
      <c r="DU401" s="0" t="n">
        <v>1</v>
      </c>
      <c r="DW401" s="1" t="s">
        <v>221</v>
      </c>
      <c r="DX401" s="1" t="s">
        <v>221</v>
      </c>
      <c r="DY401" s="1" t="s">
        <v>221</v>
      </c>
      <c r="DZ401" s="1" t="s">
        <v>221</v>
      </c>
      <c r="EA401" s="0" t="n">
        <v>1</v>
      </c>
      <c r="EC401" s="1" t="n">
        <v>39448</v>
      </c>
      <c r="ED401" s="1" t="n">
        <v>40001</v>
      </c>
      <c r="EF401" s="0"/>
      <c r="EG401" s="0" t="n">
        <v>1</v>
      </c>
      <c r="EH401" s="0" t="s">
        <v>221</v>
      </c>
      <c r="EI401" s="0" t="str">
        <f aca="false">IF(AND(DM401=1,DN401&lt;=48),"",IF(AND(DM401=2,DN401&lt;=42),"",IF(AND(DM401=3,DN401&lt;=45),"",EH401)))</f>
        <v/>
      </c>
      <c r="EJ401" s="0" t="str">
        <f aca="false">IF(EI401="","",IF(EI401&lt;9,EI401,9))</f>
        <v/>
      </c>
      <c r="EK401" s="0" t="str">
        <f aca="false">IF(EI401="","",IF(EI401&gt;9,EI401-EJ401,0))</f>
        <v/>
      </c>
      <c r="EL401" s="0" t="str">
        <f aca="false">IF(EI401="","",EJ401*DA401*2+EK401*DA401*3)</f>
        <v/>
      </c>
      <c r="EP401" s="0" t="n">
        <v>1</v>
      </c>
      <c r="EQ401" s="0"/>
      <c r="ER401" s="0" t="n">
        <v>0</v>
      </c>
      <c r="ET401" s="0" t="n">
        <v>0</v>
      </c>
      <c r="EV401" s="0" t="n">
        <v>0</v>
      </c>
      <c r="EX401" s="0" t="n">
        <v>0</v>
      </c>
      <c r="EY401" s="0" t="n">
        <v>1</v>
      </c>
      <c r="FB401" s="0" t="n">
        <v>1</v>
      </c>
      <c r="FF401" s="120" t="n">
        <f aca="false">(CJ401-CI401+1)/365</f>
        <v>7.52054794520548</v>
      </c>
      <c r="FG401" s="0" t="str">
        <f aca="false">CONCATENATE(F401,"/",G401)</f>
        <v>712/2011</v>
      </c>
      <c r="FH401" s="0" t="n">
        <v>0</v>
      </c>
      <c r="FI401" s="0" t="n">
        <v>0</v>
      </c>
    </row>
    <row r="402" customFormat="false" ht="15" hidden="false" customHeight="false" outlineLevel="0" collapsed="false">
      <c r="A402" s="5" t="str">
        <f aca="false">E402&amp;G402&amp;F402</f>
        <v>72011712</v>
      </c>
      <c r="B402" s="0" t="s">
        <v>1855</v>
      </c>
      <c r="C402" s="1" t="n">
        <v>42414</v>
      </c>
      <c r="D402" s="0" t="s">
        <v>4067</v>
      </c>
      <c r="E402" s="0" t="n">
        <v>7</v>
      </c>
      <c r="F402" s="0" t="n">
        <v>712</v>
      </c>
      <c r="G402" s="0" t="n">
        <v>2011</v>
      </c>
      <c r="H402" s="0" t="str">
        <f aca="false">"J"&amp;E402&amp;"\"&amp;F402&amp;"\"&amp;G402&amp;"\"&amp;W402</f>
        <v>J7\712\2011\7</v>
      </c>
      <c r="I402" s="1" t="n">
        <v>40651</v>
      </c>
      <c r="J402" s="1" t="n">
        <v>40049</v>
      </c>
      <c r="K402" s="0" t="n">
        <v>0</v>
      </c>
      <c r="M402" s="1" t="n">
        <v>40084</v>
      </c>
      <c r="N402" s="1" t="n">
        <v>40123</v>
      </c>
      <c r="O402" s="1"/>
      <c r="P402" s="1"/>
      <c r="Q402" s="1"/>
      <c r="T402" s="121"/>
      <c r="U402" s="121"/>
      <c r="V402" s="122" t="n">
        <f aca="false">IF(AND(E402&gt;0,F402&gt;0,G402&gt;0),COUNTIFS($E:$E,E402,$F:$F,F402,$G:$G,G402),"")</f>
        <v>41</v>
      </c>
      <c r="W402" s="122" t="n">
        <f aca="false">IF(V402="","",IF(V402=1,1,IF(AND(E401=E402,F401=F402,G401=G402),W401+1,1)))</f>
        <v>7</v>
      </c>
      <c r="X402" s="0" t="n">
        <v>45</v>
      </c>
      <c r="Y402" s="0" t="n">
        <v>3</v>
      </c>
      <c r="Z402" s="0" t="s">
        <v>4073</v>
      </c>
      <c r="AA402" s="0" t="n">
        <v>0</v>
      </c>
      <c r="AB402" s="0" t="s">
        <v>4060</v>
      </c>
      <c r="AC402" s="0" t="s">
        <v>1160</v>
      </c>
      <c r="AD402" s="0" t="s">
        <v>229</v>
      </c>
      <c r="AE402" s="0" t="n">
        <v>0</v>
      </c>
      <c r="AF402" s="0" t="s">
        <v>3955</v>
      </c>
      <c r="AG402" s="0" t="n">
        <v>0</v>
      </c>
      <c r="AH402" s="0" t="s">
        <v>4061</v>
      </c>
      <c r="AI402" s="0" t="s">
        <v>3957</v>
      </c>
      <c r="AJ402" s="0" t="s">
        <v>590</v>
      </c>
      <c r="AL402" s="0" t="s">
        <v>4062</v>
      </c>
      <c r="AM402" s="0" t="n">
        <v>1</v>
      </c>
      <c r="AN402" s="0" t="s">
        <v>4061</v>
      </c>
      <c r="AO402" s="0" t="s">
        <v>3957</v>
      </c>
      <c r="AP402" s="0" t="s">
        <v>590</v>
      </c>
      <c r="AR402" s="0" t="s">
        <v>1880</v>
      </c>
      <c r="AS402" s="0" t="n">
        <v>1</v>
      </c>
      <c r="AT402" s="0" t="s">
        <v>4061</v>
      </c>
      <c r="AU402" s="0" t="s">
        <v>3957</v>
      </c>
      <c r="AV402" s="0" t="s">
        <v>590</v>
      </c>
      <c r="BR402" s="0" t="n">
        <v>1</v>
      </c>
      <c r="BS402" s="0" t="s">
        <v>4063</v>
      </c>
      <c r="BT402" s="0" t="s">
        <v>4064</v>
      </c>
      <c r="BU402" s="0" t="s">
        <v>4065</v>
      </c>
      <c r="BV402" s="123"/>
      <c r="BW402" s="123"/>
      <c r="BX402" s="123"/>
      <c r="BY402" s="123"/>
      <c r="BZ402" s="0" t="n">
        <v>0</v>
      </c>
      <c r="CA402" s="0" t="s">
        <v>216</v>
      </c>
      <c r="CD402" s="0" t="s">
        <v>502</v>
      </c>
      <c r="CE402" s="0" t="n">
        <v>0</v>
      </c>
      <c r="CF402" s="0" t="s">
        <v>4074</v>
      </c>
      <c r="CI402" s="1" t="n">
        <v>36008</v>
      </c>
      <c r="CJ402" s="1" t="n">
        <v>40001</v>
      </c>
      <c r="CK402" s="124" t="s">
        <v>216</v>
      </c>
      <c r="CL402" s="0" t="s">
        <v>4062</v>
      </c>
      <c r="CM402" s="0" t="n">
        <f aca="false">IF(OR(CI402="",CJ402=""),"",DAYS360(CI402,CJ402)/360)</f>
        <v>10.9333333333333</v>
      </c>
      <c r="CN402" s="0" t="n">
        <f aca="false">IF(OR(CI402="",CJ402=""),"",DAYS360(CI402,CJ402)/30)</f>
        <v>131.2</v>
      </c>
      <c r="CO402" s="0" t="n">
        <f aca="false">IF(OR(CI402="",CJ402=""),"",DAYS360(CI402,CJ402)/7)</f>
        <v>562.285714285714</v>
      </c>
      <c r="CP402" s="0" t="n">
        <f aca="false">IF(OR(CI402="",CJ402=""),"",DAYS360(CI402,CJ402))</f>
        <v>3936</v>
      </c>
      <c r="CQ402" s="0" t="s">
        <v>220</v>
      </c>
      <c r="CR402" s="0" t="n">
        <v>1</v>
      </c>
      <c r="CT402" s="0" t="n">
        <v>6000</v>
      </c>
      <c r="CU402" s="0" t="n">
        <v>2</v>
      </c>
      <c r="CV402" s="0" t="n">
        <f aca="false">IF(OR(CT402="",CT402="NO ESPECIFICA",CT402="NO MENCIONA"),"",IF(CU402=0,CT402,IF(CU402=1,CT402/30,IF(CU402=2,CT402/15,IF(CU402=3,CT402/7,"")))))</f>
        <v>400</v>
      </c>
      <c r="CW402" s="125" t="s">
        <v>216</v>
      </c>
      <c r="CX402" s="125" t="s">
        <v>216</v>
      </c>
      <c r="CY402" s="0" t="str">
        <f aca="false">IF(CW402="","",IF(CX402=0,CW402,IF(CX402=1,CW402/30,IF(CX402=2,CW402/15,IF(CX402=3,CW402/7,CW402)))))</f>
        <v>NO MENCIONA</v>
      </c>
      <c r="CZ402" s="0" t="n">
        <f aca="false">IF(DI402&gt;0,DI402,IF(CY402&gt;0,CY402,IF(CV402&gt;0,CV402,"")))</f>
        <v>400</v>
      </c>
      <c r="DA402" s="0" t="n">
        <f aca="false">IF(DM402=1,CZ402/8,IF(OR(DM402=2,DM402=4),CZ402/7,IF(DM402=3,CZ402/7.5,"")))</f>
        <v>53.3333333333333</v>
      </c>
      <c r="DB402" s="0" t="s">
        <v>216</v>
      </c>
      <c r="DC402" s="0" t="s">
        <v>216</v>
      </c>
      <c r="DD402" s="0" t="s">
        <v>216</v>
      </c>
      <c r="DE402" s="0" t="s">
        <v>216</v>
      </c>
      <c r="DF402" s="0" t="s">
        <v>216</v>
      </c>
      <c r="DG402" s="0" t="s">
        <v>216</v>
      </c>
      <c r="DH402" s="0" t="n">
        <v>0</v>
      </c>
      <c r="DI402" s="126" t="n">
        <f aca="false">CT402/15</f>
        <v>400</v>
      </c>
      <c r="DK402" s="0" t="n">
        <v>0</v>
      </c>
      <c r="DM402" s="0" t="n">
        <v>3</v>
      </c>
      <c r="DN402" s="0" t="n">
        <v>11</v>
      </c>
      <c r="DO402" s="0" t="n">
        <v>0</v>
      </c>
      <c r="DP402" s="0" t="n">
        <v>1</v>
      </c>
      <c r="DQ402" s="0" t="n">
        <v>1</v>
      </c>
      <c r="DR402" s="0"/>
      <c r="DS402" s="0" t="n">
        <v>1</v>
      </c>
      <c r="DU402" s="0" t="n">
        <v>1</v>
      </c>
      <c r="DW402" s="1" t="s">
        <v>221</v>
      </c>
      <c r="DX402" s="1" t="s">
        <v>221</v>
      </c>
      <c r="DY402" s="1" t="s">
        <v>221</v>
      </c>
      <c r="DZ402" s="1" t="s">
        <v>221</v>
      </c>
      <c r="EA402" s="0" t="n">
        <v>1</v>
      </c>
      <c r="EC402" s="1" t="n">
        <v>39448</v>
      </c>
      <c r="ED402" s="1" t="n">
        <v>40001</v>
      </c>
      <c r="EF402" s="0"/>
      <c r="EG402" s="0" t="n">
        <v>1</v>
      </c>
      <c r="EH402" s="0" t="s">
        <v>221</v>
      </c>
      <c r="EI402" s="0" t="str">
        <f aca="false">IF(AND(DM402=1,DN402&lt;=48),"",IF(AND(DM402=2,DN402&lt;=42),"",IF(AND(DM402=3,DN402&lt;=45),"",EH402)))</f>
        <v/>
      </c>
      <c r="EJ402" s="0" t="str">
        <f aca="false">IF(EI402="","",IF(EI402&lt;9,EI402,9))</f>
        <v/>
      </c>
      <c r="EK402" s="0" t="str">
        <f aca="false">IF(EI402="","",IF(EI402&gt;9,EI402-EJ402,0))</f>
        <v/>
      </c>
      <c r="EL402" s="0" t="str">
        <f aca="false">IF(EI402="","",EJ402*DA402*2+EK402*DA402*3)</f>
        <v/>
      </c>
      <c r="EP402" s="0" t="n">
        <v>1</v>
      </c>
      <c r="EQ402" s="0"/>
      <c r="ER402" s="0" t="n">
        <v>0</v>
      </c>
      <c r="ET402" s="0" t="n">
        <v>0</v>
      </c>
      <c r="EV402" s="0" t="n">
        <v>0</v>
      </c>
      <c r="EX402" s="0" t="n">
        <v>0</v>
      </c>
      <c r="EY402" s="0" t="n">
        <v>1</v>
      </c>
      <c r="FB402" s="0" t="n">
        <v>1</v>
      </c>
      <c r="FF402" s="120" t="n">
        <f aca="false">(CJ402-CI402+1)/365</f>
        <v>10.9424657534247</v>
      </c>
      <c r="FG402" s="0" t="str">
        <f aca="false">CONCATENATE(F402,"/",G402)</f>
        <v>712/2011</v>
      </c>
      <c r="FH402" s="0" t="n">
        <v>0</v>
      </c>
      <c r="FI402" s="0" t="n">
        <v>0</v>
      </c>
    </row>
    <row r="403" customFormat="false" ht="15" hidden="false" customHeight="false" outlineLevel="0" collapsed="false">
      <c r="A403" s="5" t="str">
        <f aca="false">E403&amp;G403&amp;F403</f>
        <v>72011712</v>
      </c>
      <c r="B403" s="0" t="s">
        <v>1855</v>
      </c>
      <c r="C403" s="1" t="n">
        <v>42414</v>
      </c>
      <c r="D403" s="0" t="s">
        <v>4067</v>
      </c>
      <c r="E403" s="0" t="n">
        <v>7</v>
      </c>
      <c r="F403" s="0" t="n">
        <v>712</v>
      </c>
      <c r="G403" s="0" t="n">
        <v>2011</v>
      </c>
      <c r="H403" s="0" t="str">
        <f aca="false">"J"&amp;E403&amp;"\"&amp;F403&amp;"\"&amp;G403&amp;"\"&amp;W403</f>
        <v>J7\712\2011\8</v>
      </c>
      <c r="I403" s="1" t="n">
        <v>40651</v>
      </c>
      <c r="J403" s="1" t="n">
        <v>40049</v>
      </c>
      <c r="K403" s="0" t="n">
        <v>0</v>
      </c>
      <c r="M403" s="1" t="n">
        <v>40084</v>
      </c>
      <c r="N403" s="1" t="n">
        <v>40123</v>
      </c>
      <c r="O403" s="1"/>
      <c r="P403" s="1"/>
      <c r="Q403" s="1"/>
      <c r="T403" s="121"/>
      <c r="U403" s="121"/>
      <c r="V403" s="122" t="n">
        <f aca="false">IF(AND(E403&gt;0,F403&gt;0,G403&gt;0),COUNTIFS($E:$E,E403,$F:$F,F403,$G:$G,G403),"")</f>
        <v>41</v>
      </c>
      <c r="W403" s="122" t="n">
        <f aca="false">IF(V403="","",IF(V403=1,1,IF(AND(E402=E403,F402=F403,G402=G403),W402+1,1)))</f>
        <v>8</v>
      </c>
      <c r="X403" s="0" t="n">
        <v>45</v>
      </c>
      <c r="Y403" s="0" t="n">
        <v>3</v>
      </c>
      <c r="Z403" s="0" t="s">
        <v>4075</v>
      </c>
      <c r="AA403" s="0" t="n">
        <v>0</v>
      </c>
      <c r="AB403" s="0" t="s">
        <v>4060</v>
      </c>
      <c r="AC403" s="0" t="s">
        <v>1160</v>
      </c>
      <c r="AD403" s="0" t="s">
        <v>229</v>
      </c>
      <c r="AE403" s="0" t="n">
        <v>0</v>
      </c>
      <c r="AF403" s="0" t="s">
        <v>3955</v>
      </c>
      <c r="AG403" s="0" t="n">
        <v>0</v>
      </c>
      <c r="AH403" s="0" t="s">
        <v>4061</v>
      </c>
      <c r="AI403" s="0" t="s">
        <v>3957</v>
      </c>
      <c r="AJ403" s="0" t="s">
        <v>590</v>
      </c>
      <c r="AL403" s="0" t="s">
        <v>4062</v>
      </c>
      <c r="AM403" s="0" t="n">
        <v>1</v>
      </c>
      <c r="AN403" s="0" t="s">
        <v>4061</v>
      </c>
      <c r="AO403" s="0" t="s">
        <v>3957</v>
      </c>
      <c r="AP403" s="0" t="s">
        <v>590</v>
      </c>
      <c r="AR403" s="0" t="s">
        <v>1880</v>
      </c>
      <c r="AS403" s="0" t="n">
        <v>1</v>
      </c>
      <c r="AT403" s="0" t="s">
        <v>4061</v>
      </c>
      <c r="AU403" s="0" t="s">
        <v>3957</v>
      </c>
      <c r="AV403" s="0" t="s">
        <v>590</v>
      </c>
      <c r="BR403" s="0" t="n">
        <v>1</v>
      </c>
      <c r="BS403" s="0" t="s">
        <v>4063</v>
      </c>
      <c r="BT403" s="0" t="s">
        <v>4064</v>
      </c>
      <c r="BU403" s="0" t="s">
        <v>4065</v>
      </c>
      <c r="BV403" s="123"/>
      <c r="BW403" s="123"/>
      <c r="BX403" s="123"/>
      <c r="BY403" s="123"/>
      <c r="BZ403" s="0" t="n">
        <v>0</v>
      </c>
      <c r="CA403" s="0" t="s">
        <v>216</v>
      </c>
      <c r="CD403" s="0" t="s">
        <v>502</v>
      </c>
      <c r="CE403" s="0" t="n">
        <v>0</v>
      </c>
      <c r="CF403" s="0" t="s">
        <v>968</v>
      </c>
      <c r="CI403" s="1" t="n">
        <v>36526</v>
      </c>
      <c r="CJ403" s="1" t="n">
        <v>40001</v>
      </c>
      <c r="CK403" s="124" t="s">
        <v>216</v>
      </c>
      <c r="CL403" s="0" t="s">
        <v>4062</v>
      </c>
      <c r="CM403" s="0" t="n">
        <f aca="false">IF(OR(CI403="",CJ403=""),"",DAYS360(CI403,CJ403)/360)</f>
        <v>9.51666666666667</v>
      </c>
      <c r="CN403" s="0" t="n">
        <f aca="false">IF(OR(CI403="",CJ403=""),"",DAYS360(CI403,CJ403)/30)</f>
        <v>114.2</v>
      </c>
      <c r="CO403" s="0" t="n">
        <f aca="false">IF(OR(CI403="",CJ403=""),"",DAYS360(CI403,CJ403)/7)</f>
        <v>489.428571428571</v>
      </c>
      <c r="CP403" s="0" t="n">
        <f aca="false">IF(OR(CI403="",CJ403=""),"",DAYS360(CI403,CJ403))</f>
        <v>3426</v>
      </c>
      <c r="CQ403" s="0" t="s">
        <v>220</v>
      </c>
      <c r="CR403" s="0" t="n">
        <v>1</v>
      </c>
      <c r="CT403" s="0" t="s">
        <v>216</v>
      </c>
      <c r="CU403" s="0" t="s">
        <v>216</v>
      </c>
      <c r="CV403" s="0" t="str">
        <f aca="false">IF(OR(CT403="",CT403="NO ESPECIFICA",CT403="NO MENCIONA"),"",IF(CU403=0,CT403,IF(CU403=1,CT403/30,IF(CU403=2,CT403/15,IF(CU403=3,CT403/7,"")))))</f>
        <v/>
      </c>
      <c r="CW403" s="125" t="s">
        <v>216</v>
      </c>
      <c r="CX403" s="125" t="s">
        <v>216</v>
      </c>
      <c r="CY403" s="0" t="str">
        <f aca="false">IF(CW403="","",IF(CX403=0,CW403,IF(CX403=1,CW403/30,IF(CX403=2,CW403/15,IF(CX403=3,CW403/7,CW403)))))</f>
        <v>NO MENCIONA</v>
      </c>
      <c r="CZ403" s="0" t="str">
        <f aca="false">IF(DI403&gt;0,DI403,IF(CY403&gt;0,CY403,IF(CV403&gt;0,CV403,"")))</f>
        <v>NO MENCIONA</v>
      </c>
      <c r="DA403" s="0" t="e">
        <f aca="false">IF(DM403=1,CZ403/8,IF(OR(DM403=2,DM403=4),CZ403/7,IF(DM403=3,CZ403/7.5,"")))</f>
        <v>#VALUE!</v>
      </c>
      <c r="DB403" s="0" t="s">
        <v>216</v>
      </c>
      <c r="DC403" s="0" t="s">
        <v>216</v>
      </c>
      <c r="DD403" s="0" t="s">
        <v>216</v>
      </c>
      <c r="DE403" s="0" t="s">
        <v>216</v>
      </c>
      <c r="DF403" s="0" t="s">
        <v>216</v>
      </c>
      <c r="DG403" s="0" t="s">
        <v>216</v>
      </c>
      <c r="DH403" s="0" t="n">
        <v>0</v>
      </c>
      <c r="DI403" s="126" t="s">
        <v>216</v>
      </c>
      <c r="DK403" s="0" t="n">
        <v>0</v>
      </c>
      <c r="DM403" s="0" t="n">
        <v>3</v>
      </c>
      <c r="DN403" s="0" t="n">
        <v>8</v>
      </c>
      <c r="DO403" s="0" t="n">
        <v>0</v>
      </c>
      <c r="DP403" s="0" t="n">
        <v>1</v>
      </c>
      <c r="DQ403" s="0" t="n">
        <v>1</v>
      </c>
      <c r="DR403" s="0"/>
      <c r="DS403" s="0" t="n">
        <v>1</v>
      </c>
      <c r="DU403" s="0" t="n">
        <v>1</v>
      </c>
      <c r="DW403" s="1" t="s">
        <v>221</v>
      </c>
      <c r="DX403" s="1" t="s">
        <v>221</v>
      </c>
      <c r="DY403" s="1" t="s">
        <v>221</v>
      </c>
      <c r="DZ403" s="1" t="s">
        <v>221</v>
      </c>
      <c r="EA403" s="0" t="n">
        <v>1</v>
      </c>
      <c r="EC403" s="1" t="n">
        <v>39448</v>
      </c>
      <c r="ED403" s="1" t="n">
        <v>40001</v>
      </c>
      <c r="EF403" s="0"/>
      <c r="EG403" s="0" t="n">
        <v>1</v>
      </c>
      <c r="EH403" s="0" t="s">
        <v>221</v>
      </c>
      <c r="EI403" s="0" t="str">
        <f aca="false">IF(AND(DM403=1,DN403&lt;=48),"",IF(AND(DM403=2,DN403&lt;=42),"",IF(AND(DM403=3,DN403&lt;=45),"",EH403)))</f>
        <v/>
      </c>
      <c r="EJ403" s="0" t="str">
        <f aca="false">IF(EI403="","",IF(EI403&lt;9,EI403,9))</f>
        <v/>
      </c>
      <c r="EK403" s="0" t="str">
        <f aca="false">IF(EI403="","",IF(EI403&gt;9,EI403-EJ403,0))</f>
        <v/>
      </c>
      <c r="EL403" s="0" t="str">
        <f aca="false">IF(EI403="","",EJ403*DA403*2+EK403*DA403*3)</f>
        <v/>
      </c>
      <c r="EP403" s="0" t="n">
        <v>1</v>
      </c>
      <c r="EQ403" s="0"/>
      <c r="ER403" s="0" t="n">
        <v>0</v>
      </c>
      <c r="ET403" s="0" t="n">
        <v>0</v>
      </c>
      <c r="EV403" s="0" t="n">
        <v>0</v>
      </c>
      <c r="EX403" s="0" t="n">
        <v>0</v>
      </c>
      <c r="EY403" s="0" t="n">
        <v>1</v>
      </c>
      <c r="FB403" s="0" t="n">
        <v>1</v>
      </c>
      <c r="FF403" s="120" t="n">
        <f aca="false">(CJ403-CI403+1)/365</f>
        <v>9.52328767123288</v>
      </c>
      <c r="FG403" s="0" t="str">
        <f aca="false">CONCATENATE(F403,"/",G403)</f>
        <v>712/2011</v>
      </c>
      <c r="FH403" s="0" t="n">
        <v>0</v>
      </c>
      <c r="FI403" s="0" t="n">
        <v>0</v>
      </c>
    </row>
    <row r="404" customFormat="false" ht="15" hidden="false" customHeight="false" outlineLevel="0" collapsed="false">
      <c r="A404" s="5" t="str">
        <f aca="false">E404&amp;G404&amp;F404</f>
        <v>72011712</v>
      </c>
      <c r="B404" s="0" t="s">
        <v>1855</v>
      </c>
      <c r="C404" s="1" t="n">
        <v>42414</v>
      </c>
      <c r="D404" s="0" t="s">
        <v>4067</v>
      </c>
      <c r="E404" s="0" t="n">
        <v>7</v>
      </c>
      <c r="F404" s="0" t="n">
        <v>712</v>
      </c>
      <c r="G404" s="0" t="n">
        <v>2011</v>
      </c>
      <c r="H404" s="0" t="str">
        <f aca="false">"J"&amp;E404&amp;"\"&amp;F404&amp;"\"&amp;G404&amp;"\"&amp;W404</f>
        <v>J7\712\2011\9</v>
      </c>
      <c r="I404" s="1" t="n">
        <v>40651</v>
      </c>
      <c r="J404" s="1" t="n">
        <v>40049</v>
      </c>
      <c r="K404" s="0" t="n">
        <v>0</v>
      </c>
      <c r="M404" s="1" t="n">
        <v>40084</v>
      </c>
      <c r="N404" s="1" t="n">
        <v>40123</v>
      </c>
      <c r="O404" s="1"/>
      <c r="P404" s="1"/>
      <c r="Q404" s="1"/>
      <c r="T404" s="121"/>
      <c r="U404" s="121"/>
      <c r="V404" s="122" t="n">
        <f aca="false">IF(AND(E404&gt;0,F404&gt;0,G404&gt;0),COUNTIFS($E:$E,E404,$F:$F,F404,$G:$G,G404),"")</f>
        <v>41</v>
      </c>
      <c r="W404" s="122" t="n">
        <f aca="false">IF(V404="","",IF(V404=1,1,IF(AND(E403=E404,F403=F404,G403=G404),W403+1,1)))</f>
        <v>9</v>
      </c>
      <c r="X404" s="0" t="n">
        <v>45</v>
      </c>
      <c r="Y404" s="0" t="n">
        <v>3</v>
      </c>
      <c r="Z404" s="0" t="s">
        <v>4076</v>
      </c>
      <c r="AA404" s="0" t="n">
        <v>0</v>
      </c>
      <c r="AB404" s="0" t="s">
        <v>4060</v>
      </c>
      <c r="AC404" s="0" t="s">
        <v>1160</v>
      </c>
      <c r="AD404" s="0" t="s">
        <v>229</v>
      </c>
      <c r="AE404" s="0" t="n">
        <v>0</v>
      </c>
      <c r="AF404" s="0" t="s">
        <v>3955</v>
      </c>
      <c r="AG404" s="0" t="n">
        <v>0</v>
      </c>
      <c r="AH404" s="0" t="s">
        <v>4061</v>
      </c>
      <c r="AI404" s="0" t="s">
        <v>3957</v>
      </c>
      <c r="AJ404" s="0" t="s">
        <v>590</v>
      </c>
      <c r="AL404" s="0" t="s">
        <v>4062</v>
      </c>
      <c r="AM404" s="0" t="n">
        <v>1</v>
      </c>
      <c r="AN404" s="0" t="s">
        <v>4061</v>
      </c>
      <c r="AO404" s="0" t="s">
        <v>3957</v>
      </c>
      <c r="AP404" s="0" t="s">
        <v>590</v>
      </c>
      <c r="AR404" s="0" t="s">
        <v>1880</v>
      </c>
      <c r="AS404" s="0" t="n">
        <v>1</v>
      </c>
      <c r="AT404" s="0" t="s">
        <v>4061</v>
      </c>
      <c r="AU404" s="0" t="s">
        <v>3957</v>
      </c>
      <c r="AV404" s="0" t="s">
        <v>590</v>
      </c>
      <c r="BR404" s="0" t="n">
        <v>1</v>
      </c>
      <c r="BS404" s="0" t="s">
        <v>4063</v>
      </c>
      <c r="BT404" s="0" t="s">
        <v>4064</v>
      </c>
      <c r="BU404" s="0" t="s">
        <v>4065</v>
      </c>
      <c r="BV404" s="123"/>
      <c r="BW404" s="123"/>
      <c r="BX404" s="123"/>
      <c r="BY404" s="123"/>
      <c r="BZ404" s="0" t="n">
        <v>0</v>
      </c>
      <c r="CA404" s="0" t="s">
        <v>216</v>
      </c>
      <c r="CD404" s="0" t="s">
        <v>502</v>
      </c>
      <c r="CE404" s="0" t="n">
        <v>0</v>
      </c>
      <c r="CF404" s="0" t="s">
        <v>968</v>
      </c>
      <c r="CI404" s="1" t="n">
        <v>37834</v>
      </c>
      <c r="CJ404" s="1" t="n">
        <v>40001</v>
      </c>
      <c r="CK404" s="124" t="s">
        <v>216</v>
      </c>
      <c r="CL404" s="0" t="s">
        <v>4062</v>
      </c>
      <c r="CM404" s="0" t="n">
        <f aca="false">IF(OR(CI404="",CJ404=""),"",DAYS360(CI404,CJ404)/360)</f>
        <v>5.93333333333333</v>
      </c>
      <c r="CN404" s="0" t="n">
        <f aca="false">IF(OR(CI404="",CJ404=""),"",DAYS360(CI404,CJ404)/30)</f>
        <v>71.2</v>
      </c>
      <c r="CO404" s="0" t="n">
        <f aca="false">IF(OR(CI404="",CJ404=""),"",DAYS360(CI404,CJ404)/7)</f>
        <v>305.142857142857</v>
      </c>
      <c r="CP404" s="0" t="n">
        <f aca="false">IF(OR(CI404="",CJ404=""),"",DAYS360(CI404,CJ404))</f>
        <v>2136</v>
      </c>
      <c r="CQ404" s="0" t="s">
        <v>220</v>
      </c>
      <c r="CR404" s="0" t="n">
        <v>1</v>
      </c>
      <c r="CT404" s="0" t="n">
        <v>2000</v>
      </c>
      <c r="CU404" s="0" t="n">
        <v>2</v>
      </c>
      <c r="CV404" s="0" t="n">
        <f aca="false">IF(OR(CT404="",CT404="NO ESPECIFICA",CT404="NO MENCIONA"),"",IF(CU404=0,CT404,IF(CU404=1,CT404/30,IF(CU404=2,CT404/15,IF(CU404=3,CT404/7,"")))))</f>
        <v>133.333333333333</v>
      </c>
      <c r="CW404" s="125" t="s">
        <v>216</v>
      </c>
      <c r="CX404" s="125" t="s">
        <v>216</v>
      </c>
      <c r="CY404" s="0" t="str">
        <f aca="false">IF(CW404="","",IF(CX404=0,CW404,IF(CX404=1,CW404/30,IF(CX404=2,CW404/15,IF(CX404=3,CW404/7,CW404)))))</f>
        <v>NO MENCIONA</v>
      </c>
      <c r="CZ404" s="0" t="n">
        <f aca="false">IF(DI404&gt;0,DI404,IF(CY404&gt;0,CY404,IF(CV404&gt;0,CV404,"")))</f>
        <v>133.333333333333</v>
      </c>
      <c r="DA404" s="0" t="str">
        <f aca="false">IF(DM404=1,CZ404/8,IF(OR(DM404=2,DM404=4),CZ404/7,IF(DM404=3,CZ404/7.5,"")))</f>
        <v/>
      </c>
      <c r="DB404" s="0" t="s">
        <v>216</v>
      </c>
      <c r="DC404" s="0" t="s">
        <v>216</v>
      </c>
      <c r="DD404" s="0" t="s">
        <v>216</v>
      </c>
      <c r="DE404" s="0" t="s">
        <v>216</v>
      </c>
      <c r="DF404" s="0" t="s">
        <v>216</v>
      </c>
      <c r="DG404" s="0" t="s">
        <v>216</v>
      </c>
      <c r="DH404" s="0" t="n">
        <v>0</v>
      </c>
      <c r="DI404" s="126" t="n">
        <f aca="false">CT404/15</f>
        <v>133.333333333333</v>
      </c>
      <c r="DK404" s="0" t="n">
        <v>0</v>
      </c>
      <c r="DN404" s="0" t="s">
        <v>216</v>
      </c>
      <c r="DO404" s="0" t="s">
        <v>216</v>
      </c>
      <c r="DP404" s="0" t="n">
        <v>1</v>
      </c>
      <c r="DQ404" s="0" t="n">
        <v>1</v>
      </c>
      <c r="DR404" s="0"/>
      <c r="DS404" s="0" t="n">
        <v>1</v>
      </c>
      <c r="DU404" s="0" t="n">
        <v>1</v>
      </c>
      <c r="DW404" s="1" t="s">
        <v>221</v>
      </c>
      <c r="DX404" s="1" t="s">
        <v>221</v>
      </c>
      <c r="DY404" s="1" t="s">
        <v>221</v>
      </c>
      <c r="DZ404" s="1" t="s">
        <v>221</v>
      </c>
      <c r="EA404" s="0" t="n">
        <v>1</v>
      </c>
      <c r="EC404" s="1" t="n">
        <v>39448</v>
      </c>
      <c r="ED404" s="1" t="n">
        <v>40001</v>
      </c>
      <c r="EF404" s="0"/>
      <c r="EG404" s="0" t="n">
        <v>1</v>
      </c>
      <c r="EH404" s="0" t="s">
        <v>221</v>
      </c>
      <c r="EI404" s="0" t="str">
        <f aca="false">IF(AND(DM404=1,DN404&lt;=48),"",IF(AND(DM404=2,DN404&lt;=42),"",IF(AND(DM404=3,DN404&lt;=45),"",EH404)))</f>
        <v>NO ESPECIFICA</v>
      </c>
      <c r="EJ404" s="0" t="n">
        <f aca="false">IF(EI404="","",IF(EI404&lt;9,EI404,9))</f>
        <v>9</v>
      </c>
      <c r="EK404" s="0" t="e">
        <f aca="false">IF(EI404="","",IF(EI404&gt;9,EI404-EJ404,0))</f>
        <v>#VALUE!</v>
      </c>
      <c r="EL404" s="0" t="e">
        <f aca="false">IF(EI404="","",EJ404*DA404*2+EK404*DA404*3)</f>
        <v>#VALUE!</v>
      </c>
      <c r="EP404" s="0" t="n">
        <v>1</v>
      </c>
      <c r="EQ404" s="0"/>
      <c r="ER404" s="0" t="n">
        <v>0</v>
      </c>
      <c r="ET404" s="0" t="n">
        <v>0</v>
      </c>
      <c r="EV404" s="0" t="n">
        <v>0</v>
      </c>
      <c r="EX404" s="0" t="n">
        <v>0</v>
      </c>
      <c r="EY404" s="0" t="n">
        <v>1</v>
      </c>
      <c r="FB404" s="0" t="n">
        <v>1</v>
      </c>
      <c r="FF404" s="120" t="n">
        <f aca="false">(CJ404-CI404+1)/365</f>
        <v>5.93972602739726</v>
      </c>
      <c r="FG404" s="0" t="str">
        <f aca="false">CONCATENATE(F404,"/",G404)</f>
        <v>712/2011</v>
      </c>
      <c r="FH404" s="0" t="n">
        <v>0</v>
      </c>
      <c r="FI404" s="0" t="n">
        <v>0</v>
      </c>
    </row>
    <row r="405" customFormat="false" ht="15" hidden="false" customHeight="false" outlineLevel="0" collapsed="false">
      <c r="A405" s="5" t="str">
        <f aca="false">E405&amp;G405&amp;F405</f>
        <v>72011712</v>
      </c>
      <c r="B405" s="0" t="s">
        <v>1855</v>
      </c>
      <c r="C405" s="1" t="n">
        <v>42414</v>
      </c>
      <c r="D405" s="0" t="s">
        <v>4067</v>
      </c>
      <c r="E405" s="0" t="n">
        <v>7</v>
      </c>
      <c r="F405" s="0" t="n">
        <v>712</v>
      </c>
      <c r="G405" s="0" t="n">
        <v>2011</v>
      </c>
      <c r="H405" s="0" t="str">
        <f aca="false">"J"&amp;E405&amp;"\"&amp;F405&amp;"\"&amp;G405&amp;"\"&amp;W405</f>
        <v>J7\712\2011\10</v>
      </c>
      <c r="I405" s="1" t="n">
        <v>40651</v>
      </c>
      <c r="J405" s="1" t="n">
        <v>40049</v>
      </c>
      <c r="K405" s="0" t="n">
        <v>0</v>
      </c>
      <c r="M405" s="1" t="n">
        <v>40084</v>
      </c>
      <c r="N405" s="1" t="n">
        <v>40123</v>
      </c>
      <c r="O405" s="1"/>
      <c r="P405" s="1"/>
      <c r="Q405" s="1"/>
      <c r="T405" s="121"/>
      <c r="U405" s="121"/>
      <c r="V405" s="122" t="n">
        <f aca="false">IF(AND(E405&gt;0,F405&gt;0,G405&gt;0),COUNTIFS($E:$E,E405,$F:$F,F405,$G:$G,G405),"")</f>
        <v>41</v>
      </c>
      <c r="W405" s="122" t="n">
        <f aca="false">IF(V405="","",IF(V405=1,1,IF(AND(E404=E405,F404=F405,G404=G405),W404+1,1)))</f>
        <v>10</v>
      </c>
      <c r="X405" s="0" t="n">
        <v>45</v>
      </c>
      <c r="Y405" s="0" t="n">
        <v>3</v>
      </c>
      <c r="Z405" s="0" t="s">
        <v>4077</v>
      </c>
      <c r="AA405" s="0" t="n">
        <v>0</v>
      </c>
      <c r="AB405" s="0" t="s">
        <v>4060</v>
      </c>
      <c r="AC405" s="0" t="s">
        <v>1160</v>
      </c>
      <c r="AD405" s="0" t="s">
        <v>229</v>
      </c>
      <c r="AE405" s="0" t="n">
        <v>0</v>
      </c>
      <c r="AF405" s="0" t="s">
        <v>3955</v>
      </c>
      <c r="AG405" s="0" t="n">
        <v>0</v>
      </c>
      <c r="AH405" s="0" t="s">
        <v>4061</v>
      </c>
      <c r="AI405" s="0" t="s">
        <v>3957</v>
      </c>
      <c r="AJ405" s="0" t="s">
        <v>590</v>
      </c>
      <c r="AL405" s="0" t="s">
        <v>4062</v>
      </c>
      <c r="AM405" s="0" t="n">
        <v>1</v>
      </c>
      <c r="AN405" s="0" t="s">
        <v>4061</v>
      </c>
      <c r="AO405" s="0" t="s">
        <v>3957</v>
      </c>
      <c r="AP405" s="0" t="s">
        <v>590</v>
      </c>
      <c r="AR405" s="0" t="s">
        <v>1880</v>
      </c>
      <c r="AS405" s="0" t="n">
        <v>1</v>
      </c>
      <c r="AT405" s="0" t="s">
        <v>4061</v>
      </c>
      <c r="AU405" s="0" t="s">
        <v>3957</v>
      </c>
      <c r="AV405" s="0" t="s">
        <v>590</v>
      </c>
      <c r="BR405" s="0" t="n">
        <v>1</v>
      </c>
      <c r="BS405" s="0" t="s">
        <v>4063</v>
      </c>
      <c r="BT405" s="0" t="s">
        <v>4064</v>
      </c>
      <c r="BU405" s="0" t="s">
        <v>4065</v>
      </c>
      <c r="BV405" s="123"/>
      <c r="BW405" s="123"/>
      <c r="BX405" s="123"/>
      <c r="BY405" s="123"/>
      <c r="BZ405" s="0" t="n">
        <v>0</v>
      </c>
      <c r="CA405" s="0" t="s">
        <v>216</v>
      </c>
      <c r="CD405" s="0" t="s">
        <v>502</v>
      </c>
      <c r="CE405" s="0" t="n">
        <v>0</v>
      </c>
      <c r="CF405" s="0" t="s">
        <v>4078</v>
      </c>
      <c r="CI405" s="1" t="n">
        <v>35065</v>
      </c>
      <c r="CJ405" s="1" t="n">
        <v>40001</v>
      </c>
      <c r="CK405" s="124" t="s">
        <v>216</v>
      </c>
      <c r="CL405" s="0" t="s">
        <v>4062</v>
      </c>
      <c r="CM405" s="0" t="n">
        <f aca="false">IF(OR(CI405="",CJ405=""),"",DAYS360(CI405,CJ405)/360)</f>
        <v>13.5166666666667</v>
      </c>
      <c r="CN405" s="0" t="n">
        <f aca="false">IF(OR(CI405="",CJ405=""),"",DAYS360(CI405,CJ405)/30)</f>
        <v>162.2</v>
      </c>
      <c r="CO405" s="0" t="n">
        <f aca="false">IF(OR(CI405="",CJ405=""),"",DAYS360(CI405,CJ405)/7)</f>
        <v>695.142857142857</v>
      </c>
      <c r="CP405" s="0" t="n">
        <f aca="false">IF(OR(CI405="",CJ405=""),"",DAYS360(CI405,CJ405))</f>
        <v>4866</v>
      </c>
      <c r="CQ405" s="0" t="s">
        <v>220</v>
      </c>
      <c r="CR405" s="0" t="n">
        <v>1</v>
      </c>
      <c r="CT405" s="0" t="s">
        <v>216</v>
      </c>
      <c r="CU405" s="0" t="s">
        <v>216</v>
      </c>
      <c r="CV405" s="0" t="str">
        <f aca="false">IF(OR(CT405="",CT405="NO ESPECIFICA",CT405="NO MENCIONA"),"",IF(CU405=0,CT405,IF(CU405=1,CT405/30,IF(CU405=2,CT405/15,IF(CU405=3,CT405/7,"")))))</f>
        <v/>
      </c>
      <c r="CW405" s="125" t="s">
        <v>216</v>
      </c>
      <c r="CX405" s="125" t="s">
        <v>216</v>
      </c>
      <c r="CY405" s="0" t="str">
        <f aca="false">IF(CW405="","",IF(CX405=0,CW405,IF(CX405=1,CW405/30,IF(CX405=2,CW405/15,IF(CX405=3,CW405/7,CW405)))))</f>
        <v>NO MENCIONA</v>
      </c>
      <c r="CZ405" s="0" t="str">
        <f aca="false">IF(DI405&gt;0,DI405,IF(CY405&gt;0,CY405,IF(CV405&gt;0,CV405,"")))</f>
        <v>NO MENCIONA</v>
      </c>
      <c r="DA405" s="0" t="e">
        <f aca="false">IF(DM405=1,CZ405/8,IF(OR(DM405=2,DM405=4),CZ405/7,IF(DM405=3,CZ405/7.5,"")))</f>
        <v>#VALUE!</v>
      </c>
      <c r="DB405" s="0" t="s">
        <v>216</v>
      </c>
      <c r="DC405" s="0" t="s">
        <v>216</v>
      </c>
      <c r="DD405" s="0" t="s">
        <v>216</v>
      </c>
      <c r="DE405" s="0" t="s">
        <v>216</v>
      </c>
      <c r="DF405" s="0" t="s">
        <v>216</v>
      </c>
      <c r="DG405" s="0" t="s">
        <v>216</v>
      </c>
      <c r="DH405" s="0" t="n">
        <v>0</v>
      </c>
      <c r="DI405" s="0" t="s">
        <v>216</v>
      </c>
      <c r="DK405" s="0" t="n">
        <v>0</v>
      </c>
      <c r="DM405" s="0" t="n">
        <v>3</v>
      </c>
      <c r="DN405" s="0" t="n">
        <v>10.5</v>
      </c>
      <c r="DO405" s="0" t="n">
        <v>0</v>
      </c>
      <c r="DP405" s="0" t="n">
        <v>1</v>
      </c>
      <c r="DQ405" s="0" t="n">
        <v>1</v>
      </c>
      <c r="DR405" s="0"/>
      <c r="DS405" s="0" t="n">
        <v>1</v>
      </c>
      <c r="DU405" s="0" t="n">
        <v>1</v>
      </c>
      <c r="DW405" s="1" t="s">
        <v>221</v>
      </c>
      <c r="DX405" s="1" t="s">
        <v>221</v>
      </c>
      <c r="DY405" s="1" t="s">
        <v>221</v>
      </c>
      <c r="DZ405" s="1" t="s">
        <v>221</v>
      </c>
      <c r="EA405" s="0" t="n">
        <v>1</v>
      </c>
      <c r="EC405" s="1" t="n">
        <v>39448</v>
      </c>
      <c r="ED405" s="1" t="n">
        <v>40001</v>
      </c>
      <c r="EF405" s="0"/>
      <c r="EG405" s="0" t="n">
        <v>1</v>
      </c>
      <c r="EH405" s="0" t="s">
        <v>221</v>
      </c>
      <c r="EI405" s="0" t="str">
        <f aca="false">IF(AND(DM405=1,DN405&lt;=48),"",IF(AND(DM405=2,DN405&lt;=42),"",IF(AND(DM405=3,DN405&lt;=45),"",EH405)))</f>
        <v/>
      </c>
      <c r="EJ405" s="0" t="str">
        <f aca="false">IF(EI405="","",IF(EI405&lt;9,EI405,9))</f>
        <v/>
      </c>
      <c r="EK405" s="0" t="str">
        <f aca="false">IF(EI405="","",IF(EI405&gt;9,EI405-EJ405,0))</f>
        <v/>
      </c>
      <c r="EL405" s="0" t="str">
        <f aca="false">IF(EI405="","",EJ405*DA405*2+EK405*DA405*3)</f>
        <v/>
      </c>
      <c r="EP405" s="0" t="n">
        <v>1</v>
      </c>
      <c r="EQ405" s="0"/>
      <c r="ER405" s="0" t="n">
        <v>0</v>
      </c>
      <c r="ET405" s="0" t="n">
        <v>0</v>
      </c>
      <c r="EV405" s="0" t="n">
        <v>0</v>
      </c>
      <c r="EX405" s="0" t="n">
        <v>0</v>
      </c>
      <c r="EY405" s="0" t="n">
        <v>1</v>
      </c>
      <c r="FB405" s="0" t="n">
        <v>1</v>
      </c>
      <c r="FF405" s="120" t="n">
        <f aca="false">(CJ405-CI405+1)/365</f>
        <v>13.5260273972603</v>
      </c>
      <c r="FG405" s="0" t="str">
        <f aca="false">CONCATENATE(F405,"/",G405)</f>
        <v>712/2011</v>
      </c>
      <c r="FH405" s="0" t="n">
        <v>0</v>
      </c>
      <c r="FI405" s="0" t="n">
        <v>0</v>
      </c>
    </row>
    <row r="406" customFormat="false" ht="15" hidden="false" customHeight="false" outlineLevel="0" collapsed="false">
      <c r="A406" s="5" t="str">
        <f aca="false">E406&amp;G406&amp;F406</f>
        <v>72011712</v>
      </c>
      <c r="B406" s="0" t="s">
        <v>1855</v>
      </c>
      <c r="C406" s="1" t="n">
        <v>42414</v>
      </c>
      <c r="D406" s="0" t="s">
        <v>4067</v>
      </c>
      <c r="E406" s="0" t="n">
        <v>7</v>
      </c>
      <c r="F406" s="0" t="n">
        <v>712</v>
      </c>
      <c r="G406" s="0" t="n">
        <v>2011</v>
      </c>
      <c r="H406" s="0" t="str">
        <f aca="false">"J"&amp;E406&amp;"\"&amp;F406&amp;"\"&amp;G406&amp;"\"&amp;W406</f>
        <v>J7\712\2011\11</v>
      </c>
      <c r="I406" s="1" t="n">
        <v>40651</v>
      </c>
      <c r="J406" s="1" t="n">
        <v>40049</v>
      </c>
      <c r="K406" s="0" t="n">
        <v>0</v>
      </c>
      <c r="M406" s="1" t="n">
        <v>40084</v>
      </c>
      <c r="N406" s="1" t="n">
        <v>40123</v>
      </c>
      <c r="O406" s="1"/>
      <c r="P406" s="1"/>
      <c r="Q406" s="1"/>
      <c r="T406" s="121"/>
      <c r="U406" s="121"/>
      <c r="V406" s="122" t="n">
        <f aca="false">IF(AND(E406&gt;0,F406&gt;0,G406&gt;0),COUNTIFS($E:$E,E406,$F:$F,F406,$G:$G,G406),"")</f>
        <v>41</v>
      </c>
      <c r="W406" s="122" t="n">
        <f aca="false">IF(V406="","",IF(V406=1,1,IF(AND(E405=E406,F405=F406,G405=G406),W405+1,1)))</f>
        <v>11</v>
      </c>
      <c r="X406" s="0" t="n">
        <v>45</v>
      </c>
      <c r="Y406" s="0" t="n">
        <v>3</v>
      </c>
      <c r="Z406" s="0" t="s">
        <v>4079</v>
      </c>
      <c r="AA406" s="0" t="n">
        <v>0</v>
      </c>
      <c r="AB406" s="0" t="s">
        <v>4060</v>
      </c>
      <c r="AC406" s="0" t="s">
        <v>1160</v>
      </c>
      <c r="AD406" s="0" t="s">
        <v>229</v>
      </c>
      <c r="AE406" s="0" t="n">
        <v>0</v>
      </c>
      <c r="AF406" s="0" t="s">
        <v>3955</v>
      </c>
      <c r="AG406" s="0" t="n">
        <v>0</v>
      </c>
      <c r="AH406" s="0" t="s">
        <v>4061</v>
      </c>
      <c r="AI406" s="0" t="s">
        <v>3957</v>
      </c>
      <c r="AJ406" s="0" t="s">
        <v>590</v>
      </c>
      <c r="AL406" s="0" t="s">
        <v>4062</v>
      </c>
      <c r="AM406" s="0" t="n">
        <v>1</v>
      </c>
      <c r="AN406" s="0" t="s">
        <v>4061</v>
      </c>
      <c r="AO406" s="0" t="s">
        <v>3957</v>
      </c>
      <c r="AP406" s="0" t="s">
        <v>590</v>
      </c>
      <c r="AR406" s="0" t="s">
        <v>1880</v>
      </c>
      <c r="AS406" s="0" t="n">
        <v>1</v>
      </c>
      <c r="AT406" s="0" t="s">
        <v>4061</v>
      </c>
      <c r="AU406" s="0" t="s">
        <v>3957</v>
      </c>
      <c r="AV406" s="0" t="s">
        <v>590</v>
      </c>
      <c r="BR406" s="0" t="n">
        <v>1</v>
      </c>
      <c r="BS406" s="0" t="s">
        <v>4063</v>
      </c>
      <c r="BT406" s="0" t="s">
        <v>4064</v>
      </c>
      <c r="BU406" s="0" t="s">
        <v>4065</v>
      </c>
      <c r="BV406" s="123"/>
      <c r="BW406" s="123"/>
      <c r="BX406" s="123"/>
      <c r="BY406" s="123"/>
      <c r="BZ406" s="0" t="n">
        <v>0</v>
      </c>
      <c r="CA406" s="0" t="s">
        <v>216</v>
      </c>
      <c r="CD406" s="0" t="s">
        <v>502</v>
      </c>
      <c r="CE406" s="0" t="n">
        <v>0</v>
      </c>
      <c r="CF406" s="0" t="s">
        <v>1309</v>
      </c>
      <c r="CI406" s="1" t="n">
        <v>31413</v>
      </c>
      <c r="CJ406" s="1" t="n">
        <v>40001</v>
      </c>
      <c r="CK406" s="124" t="s">
        <v>216</v>
      </c>
      <c r="CL406" s="0" t="s">
        <v>4062</v>
      </c>
      <c r="CM406" s="0" t="n">
        <f aca="false">IF(OR(CI406="",CJ406=""),"",DAYS360(CI406,CJ406)/360)</f>
        <v>23.5166666666667</v>
      </c>
      <c r="CN406" s="0" t="n">
        <f aca="false">IF(OR(CI406="",CJ406=""),"",DAYS360(CI406,CJ406)/30)</f>
        <v>282.2</v>
      </c>
      <c r="CO406" s="0" t="n">
        <f aca="false">IF(OR(CI406="",CJ406=""),"",DAYS360(CI406,CJ406)/7)</f>
        <v>1209.42857142857</v>
      </c>
      <c r="CP406" s="0" t="n">
        <f aca="false">IF(OR(CI406="",CJ406=""),"",DAYS360(CI406,CJ406))</f>
        <v>8466</v>
      </c>
      <c r="CQ406" s="0" t="s">
        <v>220</v>
      </c>
      <c r="CR406" s="0" t="n">
        <v>1</v>
      </c>
      <c r="CT406" s="0" t="s">
        <v>216</v>
      </c>
      <c r="CU406" s="0" t="s">
        <v>216</v>
      </c>
      <c r="CV406" s="0" t="str">
        <f aca="false">IF(OR(CT406="",CT406="NO ESPECIFICA",CT406="NO MENCIONA"),"",IF(CU406=0,CT406,IF(CU406=1,CT406/30,IF(CU406=2,CT406/15,IF(CU406=3,CT406/7,"")))))</f>
        <v/>
      </c>
      <c r="CW406" s="125" t="s">
        <v>216</v>
      </c>
      <c r="CX406" s="125" t="s">
        <v>216</v>
      </c>
      <c r="CY406" s="0" t="str">
        <f aca="false">IF(CW406="","",IF(CX406=0,CW406,IF(CX406=1,CW406/30,IF(CX406=2,CW406/15,IF(CX406=3,CW406/7,CW406)))))</f>
        <v>NO MENCIONA</v>
      </c>
      <c r="CZ406" s="0" t="str">
        <f aca="false">IF(DI406&gt;0,DI406,IF(CY406&gt;0,CY406,IF(CV406&gt;0,CV406,"")))</f>
        <v>NO MENCIONA</v>
      </c>
      <c r="DA406" s="0" t="str">
        <f aca="false">IF(DM406=1,CZ406/8,IF(OR(DM406=2,DM406=4),CZ406/7,IF(DM406=3,CZ406/7.5,"")))</f>
        <v/>
      </c>
      <c r="DB406" s="0" t="s">
        <v>216</v>
      </c>
      <c r="DC406" s="0" t="s">
        <v>216</v>
      </c>
      <c r="DD406" s="0" t="s">
        <v>216</v>
      </c>
      <c r="DE406" s="0" t="s">
        <v>216</v>
      </c>
      <c r="DF406" s="0" t="s">
        <v>216</v>
      </c>
      <c r="DG406" s="0" t="s">
        <v>216</v>
      </c>
      <c r="DH406" s="0" t="n">
        <v>0</v>
      </c>
      <c r="DI406" s="0" t="s">
        <v>216</v>
      </c>
      <c r="DK406" s="0" t="n">
        <v>0</v>
      </c>
      <c r="DN406" s="0" t="s">
        <v>216</v>
      </c>
      <c r="DO406" s="0" t="s">
        <v>216</v>
      </c>
      <c r="DP406" s="0" t="n">
        <v>1</v>
      </c>
      <c r="DQ406" s="0" t="n">
        <v>1</v>
      </c>
      <c r="DR406" s="0"/>
      <c r="DS406" s="0" t="n">
        <v>1</v>
      </c>
      <c r="DU406" s="0" t="n">
        <v>1</v>
      </c>
      <c r="DW406" s="1" t="s">
        <v>221</v>
      </c>
      <c r="DX406" s="1" t="s">
        <v>221</v>
      </c>
      <c r="DY406" s="1" t="s">
        <v>221</v>
      </c>
      <c r="DZ406" s="1" t="s">
        <v>221</v>
      </c>
      <c r="EA406" s="0" t="n">
        <v>1</v>
      </c>
      <c r="EC406" s="1" t="n">
        <v>39448</v>
      </c>
      <c r="ED406" s="1" t="n">
        <v>40001</v>
      </c>
      <c r="EF406" s="0"/>
      <c r="EG406" s="0" t="n">
        <v>1</v>
      </c>
      <c r="EH406" s="0" t="s">
        <v>221</v>
      </c>
      <c r="EI406" s="0" t="str">
        <f aca="false">IF(AND(DM406=1,DN406&lt;=48),"",IF(AND(DM406=2,DN406&lt;=42),"",IF(AND(DM406=3,DN406&lt;=45),"",EH406)))</f>
        <v>NO ESPECIFICA</v>
      </c>
      <c r="EJ406" s="0" t="n">
        <f aca="false">IF(EI406="","",IF(EI406&lt;9,EI406,9))</f>
        <v>9</v>
      </c>
      <c r="EK406" s="0" t="e">
        <f aca="false">IF(EI406="","",IF(EI406&gt;9,EI406-EJ406,0))</f>
        <v>#VALUE!</v>
      </c>
      <c r="EL406" s="0" t="e">
        <f aca="false">IF(EI406="","",EJ406*DA406*2+EK406*DA406*3)</f>
        <v>#VALUE!</v>
      </c>
      <c r="EP406" s="0" t="n">
        <v>1</v>
      </c>
      <c r="EQ406" s="0"/>
      <c r="ER406" s="0" t="n">
        <v>0</v>
      </c>
      <c r="ET406" s="0" t="n">
        <v>0</v>
      </c>
      <c r="EV406" s="0" t="n">
        <v>0</v>
      </c>
      <c r="EX406" s="0" t="n">
        <v>0</v>
      </c>
      <c r="EY406" s="0" t="n">
        <v>1</v>
      </c>
      <c r="FB406" s="0" t="n">
        <v>1</v>
      </c>
      <c r="FF406" s="120" t="n">
        <f aca="false">(CJ406-CI406+1)/365</f>
        <v>23.5315068493151</v>
      </c>
      <c r="FG406" s="0" t="str">
        <f aca="false">CONCATENATE(F406,"/",G406)</f>
        <v>712/2011</v>
      </c>
      <c r="FH406" s="0" t="n">
        <v>0</v>
      </c>
      <c r="FI406" s="0" t="n">
        <v>0</v>
      </c>
    </row>
    <row r="407" customFormat="false" ht="15" hidden="false" customHeight="false" outlineLevel="0" collapsed="false">
      <c r="A407" s="5" t="str">
        <f aca="false">E407&amp;G407&amp;F407</f>
        <v>72011712</v>
      </c>
      <c r="B407" s="0" t="s">
        <v>1855</v>
      </c>
      <c r="C407" s="1" t="n">
        <v>42414</v>
      </c>
      <c r="D407" s="0" t="s">
        <v>4067</v>
      </c>
      <c r="E407" s="0" t="n">
        <v>7</v>
      </c>
      <c r="F407" s="0" t="n">
        <v>712</v>
      </c>
      <c r="G407" s="0" t="n">
        <v>2011</v>
      </c>
      <c r="H407" s="0" t="str">
        <f aca="false">"J"&amp;E407&amp;"\"&amp;F407&amp;"\"&amp;G407&amp;"\"&amp;W407</f>
        <v>J7\712\2011\12</v>
      </c>
      <c r="I407" s="1" t="n">
        <v>40651</v>
      </c>
      <c r="J407" s="1" t="n">
        <v>40049</v>
      </c>
      <c r="K407" s="0" t="n">
        <v>0</v>
      </c>
      <c r="M407" s="1" t="n">
        <v>40084</v>
      </c>
      <c r="N407" s="1" t="n">
        <v>40123</v>
      </c>
      <c r="O407" s="1"/>
      <c r="P407" s="1"/>
      <c r="Q407" s="1"/>
      <c r="T407" s="121"/>
      <c r="U407" s="121"/>
      <c r="V407" s="122" t="n">
        <f aca="false">IF(AND(E407&gt;0,F407&gt;0,G407&gt;0),COUNTIFS($E:$E,E407,$F:$F,F407,$G:$G,G407),"")</f>
        <v>41</v>
      </c>
      <c r="W407" s="122" t="n">
        <f aca="false">IF(V407="","",IF(V407=1,1,IF(AND(E406=E407,F406=F407,G406=G407),W406+1,1)))</f>
        <v>12</v>
      </c>
      <c r="X407" s="0" t="n">
        <v>45</v>
      </c>
      <c r="Y407" s="0" t="n">
        <v>3</v>
      </c>
      <c r="Z407" s="0" t="s">
        <v>4080</v>
      </c>
      <c r="AA407" s="0" t="n">
        <v>0</v>
      </c>
      <c r="AB407" s="0" t="s">
        <v>4060</v>
      </c>
      <c r="AC407" s="0" t="s">
        <v>1160</v>
      </c>
      <c r="AD407" s="0" t="s">
        <v>229</v>
      </c>
      <c r="AE407" s="0" t="n">
        <v>0</v>
      </c>
      <c r="AF407" s="0" t="s">
        <v>3955</v>
      </c>
      <c r="AG407" s="0" t="n">
        <v>0</v>
      </c>
      <c r="AH407" s="0" t="s">
        <v>4061</v>
      </c>
      <c r="AI407" s="0" t="s">
        <v>3957</v>
      </c>
      <c r="AJ407" s="0" t="s">
        <v>590</v>
      </c>
      <c r="AL407" s="0" t="s">
        <v>4062</v>
      </c>
      <c r="AM407" s="0" t="n">
        <v>1</v>
      </c>
      <c r="AN407" s="0" t="s">
        <v>4061</v>
      </c>
      <c r="AO407" s="0" t="s">
        <v>3957</v>
      </c>
      <c r="AP407" s="0" t="s">
        <v>590</v>
      </c>
      <c r="AR407" s="0" t="s">
        <v>1880</v>
      </c>
      <c r="AS407" s="0" t="n">
        <v>1</v>
      </c>
      <c r="AT407" s="0" t="s">
        <v>4061</v>
      </c>
      <c r="AU407" s="0" t="s">
        <v>3957</v>
      </c>
      <c r="AV407" s="0" t="s">
        <v>590</v>
      </c>
      <c r="BR407" s="0" t="n">
        <v>1</v>
      </c>
      <c r="BS407" s="0" t="s">
        <v>4063</v>
      </c>
      <c r="BT407" s="0" t="s">
        <v>4064</v>
      </c>
      <c r="BU407" s="0" t="s">
        <v>4065</v>
      </c>
      <c r="BV407" s="123"/>
      <c r="BW407" s="123"/>
      <c r="BX407" s="123"/>
      <c r="BY407" s="123"/>
      <c r="BZ407" s="0" t="n">
        <v>0</v>
      </c>
      <c r="CA407" s="0" t="s">
        <v>216</v>
      </c>
      <c r="CD407" s="0" t="s">
        <v>502</v>
      </c>
      <c r="CE407" s="0" t="n">
        <v>0</v>
      </c>
      <c r="CF407" s="0" t="s">
        <v>956</v>
      </c>
      <c r="CI407" s="1" t="n">
        <v>37987</v>
      </c>
      <c r="CJ407" s="1" t="n">
        <v>40001</v>
      </c>
      <c r="CK407" s="124" t="s">
        <v>216</v>
      </c>
      <c r="CL407" s="0" t="s">
        <v>4062</v>
      </c>
      <c r="CM407" s="0" t="n">
        <f aca="false">IF(OR(CI407="",CJ407=""),"",DAYS360(CI407,CJ407)/360)</f>
        <v>5.51666666666667</v>
      </c>
      <c r="CN407" s="0" t="n">
        <f aca="false">IF(OR(CI407="",CJ407=""),"",DAYS360(CI407,CJ407)/30)</f>
        <v>66.2</v>
      </c>
      <c r="CO407" s="0" t="n">
        <f aca="false">IF(OR(CI407="",CJ407=""),"",DAYS360(CI407,CJ407)/7)</f>
        <v>283.714285714286</v>
      </c>
      <c r="CP407" s="0" t="n">
        <f aca="false">IF(OR(CI407="",CJ407=""),"",DAYS360(CI407,CJ407))</f>
        <v>1986</v>
      </c>
      <c r="CQ407" s="0" t="s">
        <v>220</v>
      </c>
      <c r="CR407" s="0" t="n">
        <v>1</v>
      </c>
      <c r="CT407" s="0" t="n">
        <v>7000</v>
      </c>
      <c r="CU407" s="0" t="n">
        <v>2</v>
      </c>
      <c r="CV407" s="0" t="n">
        <f aca="false">IF(OR(CT407="",CT407="NO ESPECIFICA",CT407="NO MENCIONA"),"",IF(CU407=0,CT407,IF(CU407=1,CT407/30,IF(CU407=2,CT407/15,IF(CU407=3,CT407/7,"")))))</f>
        <v>466.666666666667</v>
      </c>
      <c r="CW407" s="125" t="s">
        <v>216</v>
      </c>
      <c r="CX407" s="125" t="s">
        <v>216</v>
      </c>
      <c r="CY407" s="0" t="str">
        <f aca="false">IF(CW407="","",IF(CX407=0,CW407,IF(CX407=1,CW407/30,IF(CX407=2,CW407/15,IF(CX407=3,CW407/7,CW407)))))</f>
        <v>NO MENCIONA</v>
      </c>
      <c r="CZ407" s="0" t="n">
        <f aca="false">IF(DI407&gt;0,DI407,IF(CY407&gt;0,CY407,IF(CV407&gt;0,CV407,"")))</f>
        <v>466.666666666667</v>
      </c>
      <c r="DA407" s="0" t="n">
        <f aca="false">IF(DM407=1,CZ407/8,IF(OR(DM407=2,DM407=4),CZ407/7,IF(DM407=3,CZ407/7.5,"")))</f>
        <v>58.3333333333333</v>
      </c>
      <c r="DB407" s="0" t="s">
        <v>216</v>
      </c>
      <c r="DC407" s="0" t="s">
        <v>216</v>
      </c>
      <c r="DD407" s="0" t="s">
        <v>216</v>
      </c>
      <c r="DE407" s="0" t="s">
        <v>216</v>
      </c>
      <c r="DF407" s="0" t="s">
        <v>216</v>
      </c>
      <c r="DG407" s="0" t="s">
        <v>216</v>
      </c>
      <c r="DH407" s="0" t="n">
        <v>0</v>
      </c>
      <c r="DI407" s="126" t="n">
        <f aca="false">CT407/15</f>
        <v>466.666666666667</v>
      </c>
      <c r="DK407" s="0" t="n">
        <v>0</v>
      </c>
      <c r="DM407" s="0" t="n">
        <v>1</v>
      </c>
      <c r="DN407" s="0" t="n">
        <v>10</v>
      </c>
      <c r="DO407" s="0" t="n">
        <v>0</v>
      </c>
      <c r="DP407" s="0" t="n">
        <v>1</v>
      </c>
      <c r="DQ407" s="0" t="n">
        <v>1</v>
      </c>
      <c r="DR407" s="0"/>
      <c r="DS407" s="0" t="n">
        <v>1</v>
      </c>
      <c r="DU407" s="0" t="n">
        <v>1</v>
      </c>
      <c r="DW407" s="1" t="s">
        <v>221</v>
      </c>
      <c r="DX407" s="1" t="s">
        <v>221</v>
      </c>
      <c r="DY407" s="1" t="s">
        <v>221</v>
      </c>
      <c r="DZ407" s="1" t="s">
        <v>221</v>
      </c>
      <c r="EA407" s="0" t="n">
        <v>1</v>
      </c>
      <c r="EC407" s="1" t="n">
        <v>39448</v>
      </c>
      <c r="ED407" s="1" t="n">
        <v>40001</v>
      </c>
      <c r="EF407" s="0"/>
      <c r="EG407" s="0" t="n">
        <v>1</v>
      </c>
      <c r="EH407" s="0" t="s">
        <v>221</v>
      </c>
      <c r="EI407" s="0" t="str">
        <f aca="false">IF(AND(DM407=1,DN407&lt;=48),"",IF(AND(DM407=2,DN407&lt;=42),"",IF(AND(DM407=3,DN407&lt;=45),"",EH407)))</f>
        <v/>
      </c>
      <c r="EJ407" s="0" t="str">
        <f aca="false">IF(EI407="","",IF(EI407&lt;9,EI407,9))</f>
        <v/>
      </c>
      <c r="EK407" s="0" t="str">
        <f aca="false">IF(EI407="","",IF(EI407&gt;9,EI407-EJ407,0))</f>
        <v/>
      </c>
      <c r="EL407" s="0" t="str">
        <f aca="false">IF(EI407="","",EJ407*DA407*2+EK407*DA407*3)</f>
        <v/>
      </c>
      <c r="EP407" s="0" t="n">
        <v>1</v>
      </c>
      <c r="EQ407" s="0"/>
      <c r="ER407" s="0" t="n">
        <v>0</v>
      </c>
      <c r="ET407" s="0" t="n">
        <v>0</v>
      </c>
      <c r="EV407" s="0" t="n">
        <v>0</v>
      </c>
      <c r="EX407" s="0" t="n">
        <v>0</v>
      </c>
      <c r="EY407" s="0" t="n">
        <v>1</v>
      </c>
      <c r="FB407" s="0" t="n">
        <v>1</v>
      </c>
      <c r="FF407" s="120" t="n">
        <f aca="false">(CJ407-CI407+1)/365</f>
        <v>5.52054794520548</v>
      </c>
      <c r="FG407" s="0" t="str">
        <f aca="false">CONCATENATE(F407,"/",G407)</f>
        <v>712/2011</v>
      </c>
      <c r="FH407" s="0" t="n">
        <v>0</v>
      </c>
      <c r="FI407" s="0" t="n">
        <v>0</v>
      </c>
    </row>
    <row r="408" customFormat="false" ht="15" hidden="false" customHeight="false" outlineLevel="0" collapsed="false">
      <c r="A408" s="5" t="str">
        <f aca="false">E408&amp;G408&amp;F408</f>
        <v>72011712</v>
      </c>
      <c r="B408" s="0" t="s">
        <v>1855</v>
      </c>
      <c r="C408" s="1" t="n">
        <v>42414</v>
      </c>
      <c r="D408" s="0" t="s">
        <v>4067</v>
      </c>
      <c r="E408" s="0" t="n">
        <v>7</v>
      </c>
      <c r="F408" s="0" t="n">
        <v>712</v>
      </c>
      <c r="G408" s="0" t="n">
        <v>2011</v>
      </c>
      <c r="H408" s="0" t="str">
        <f aca="false">"J"&amp;E408&amp;"\"&amp;F408&amp;"\"&amp;G408&amp;"\"&amp;W408</f>
        <v>J7\712\2011\13</v>
      </c>
      <c r="I408" s="1" t="n">
        <v>40651</v>
      </c>
      <c r="J408" s="1" t="n">
        <v>40049</v>
      </c>
      <c r="K408" s="0" t="n">
        <v>0</v>
      </c>
      <c r="M408" s="1" t="n">
        <v>40084</v>
      </c>
      <c r="N408" s="1" t="n">
        <v>40123</v>
      </c>
      <c r="O408" s="1"/>
      <c r="P408" s="1"/>
      <c r="Q408" s="1"/>
      <c r="T408" s="121"/>
      <c r="U408" s="121"/>
      <c r="V408" s="122" t="n">
        <f aca="false">IF(AND(E408&gt;0,F408&gt;0,G408&gt;0),COUNTIFS($E:$E,E408,$F:$F,F408,$G:$G,G408),"")</f>
        <v>41</v>
      </c>
      <c r="W408" s="122" t="n">
        <f aca="false">IF(V408="","",IF(V408=1,1,IF(AND(E407=E408,F407=F408,G407=G408),W407+1,1)))</f>
        <v>13</v>
      </c>
      <c r="X408" s="0" t="n">
        <v>45</v>
      </c>
      <c r="Y408" s="0" t="n">
        <v>3</v>
      </c>
      <c r="Z408" s="0" t="s">
        <v>4081</v>
      </c>
      <c r="AA408" s="0" t="n">
        <v>0</v>
      </c>
      <c r="AB408" s="0" t="s">
        <v>4060</v>
      </c>
      <c r="AC408" s="0" t="s">
        <v>1160</v>
      </c>
      <c r="AD408" s="0" t="s">
        <v>229</v>
      </c>
      <c r="AE408" s="0" t="n">
        <v>0</v>
      </c>
      <c r="AF408" s="0" t="s">
        <v>3955</v>
      </c>
      <c r="AG408" s="0" t="n">
        <v>0</v>
      </c>
      <c r="AH408" s="0" t="s">
        <v>4061</v>
      </c>
      <c r="AI408" s="0" t="s">
        <v>3957</v>
      </c>
      <c r="AJ408" s="0" t="s">
        <v>590</v>
      </c>
      <c r="AL408" s="0" t="s">
        <v>4062</v>
      </c>
      <c r="AM408" s="0" t="n">
        <v>1</v>
      </c>
      <c r="AN408" s="0" t="s">
        <v>4061</v>
      </c>
      <c r="AO408" s="0" t="s">
        <v>3957</v>
      </c>
      <c r="AP408" s="0" t="s">
        <v>590</v>
      </c>
      <c r="AR408" s="0" t="s">
        <v>1880</v>
      </c>
      <c r="AS408" s="0" t="n">
        <v>1</v>
      </c>
      <c r="AT408" s="0" t="s">
        <v>4061</v>
      </c>
      <c r="AU408" s="0" t="s">
        <v>3957</v>
      </c>
      <c r="AV408" s="0" t="s">
        <v>590</v>
      </c>
      <c r="BR408" s="0" t="n">
        <v>1</v>
      </c>
      <c r="BS408" s="0" t="s">
        <v>4063</v>
      </c>
      <c r="BT408" s="0" t="s">
        <v>4064</v>
      </c>
      <c r="BU408" s="0" t="s">
        <v>4065</v>
      </c>
      <c r="BV408" s="123"/>
      <c r="BW408" s="123"/>
      <c r="BX408" s="123"/>
      <c r="BY408" s="123"/>
      <c r="BZ408" s="0" t="n">
        <v>0</v>
      </c>
      <c r="CA408" s="0" t="s">
        <v>216</v>
      </c>
      <c r="CD408" s="0" t="s">
        <v>502</v>
      </c>
      <c r="CE408" s="0" t="n">
        <v>0</v>
      </c>
      <c r="CF408" s="0" t="s">
        <v>968</v>
      </c>
      <c r="CI408" s="1" t="n">
        <v>35201</v>
      </c>
      <c r="CJ408" s="1" t="n">
        <v>40001</v>
      </c>
      <c r="CK408" s="124" t="s">
        <v>216</v>
      </c>
      <c r="CL408" s="0" t="s">
        <v>4062</v>
      </c>
      <c r="CM408" s="0" t="n">
        <f aca="false">IF(OR(CI408="",CJ408=""),"",DAYS360(CI408,CJ408)/360)</f>
        <v>13.1416666666667</v>
      </c>
      <c r="CN408" s="0" t="n">
        <f aca="false">IF(OR(CI408="",CJ408=""),"",DAYS360(CI408,CJ408)/30)</f>
        <v>157.7</v>
      </c>
      <c r="CO408" s="0" t="n">
        <f aca="false">IF(OR(CI408="",CJ408=""),"",DAYS360(CI408,CJ408)/7)</f>
        <v>675.857142857143</v>
      </c>
      <c r="CP408" s="0" t="n">
        <f aca="false">IF(OR(CI408="",CJ408=""),"",DAYS360(CI408,CJ408))</f>
        <v>4731</v>
      </c>
      <c r="CQ408" s="0" t="s">
        <v>220</v>
      </c>
      <c r="CR408" s="0" t="n">
        <v>1</v>
      </c>
      <c r="CT408" s="0" t="n">
        <v>2000</v>
      </c>
      <c r="CU408" s="0" t="n">
        <v>2</v>
      </c>
      <c r="CV408" s="0" t="n">
        <f aca="false">IF(OR(CT408="",CT408="NO ESPECIFICA",CT408="NO MENCIONA"),"",IF(CU408=0,CT408,IF(CU408=1,CT408/30,IF(CU408=2,CT408/15,IF(CU408=3,CT408/7,"")))))</f>
        <v>133.333333333333</v>
      </c>
      <c r="CW408" s="125" t="s">
        <v>216</v>
      </c>
      <c r="CX408" s="125" t="s">
        <v>216</v>
      </c>
      <c r="CY408" s="0" t="str">
        <f aca="false">IF(CW408="","",IF(CX408=0,CW408,IF(CX408=1,CW408/30,IF(CX408=2,CW408/15,IF(CX408=3,CW408/7,CW408)))))</f>
        <v>NO MENCIONA</v>
      </c>
      <c r="CZ408" s="0" t="n">
        <f aca="false">IF(DI408&gt;0,DI408,IF(CY408&gt;0,CY408,IF(CV408&gt;0,CV408,"")))</f>
        <v>133.333333333333</v>
      </c>
      <c r="DA408" s="0" t="n">
        <f aca="false">IF(DM408=1,CZ408/8,IF(OR(DM408=2,DM408=4),CZ408/7,IF(DM408=3,CZ408/7.5,"")))</f>
        <v>16.6666666666667</v>
      </c>
      <c r="DB408" s="0" t="s">
        <v>216</v>
      </c>
      <c r="DC408" s="0" t="s">
        <v>216</v>
      </c>
      <c r="DD408" s="0" t="s">
        <v>216</v>
      </c>
      <c r="DE408" s="0" t="s">
        <v>216</v>
      </c>
      <c r="DF408" s="0" t="s">
        <v>216</v>
      </c>
      <c r="DG408" s="0" t="s">
        <v>216</v>
      </c>
      <c r="DH408" s="0" t="n">
        <v>0</v>
      </c>
      <c r="DI408" s="126" t="n">
        <f aca="false">CT408/15</f>
        <v>133.333333333333</v>
      </c>
      <c r="DK408" s="0" t="n">
        <v>0</v>
      </c>
      <c r="DM408" s="0" t="n">
        <v>1</v>
      </c>
      <c r="DN408" s="0" t="n">
        <v>12</v>
      </c>
      <c r="DO408" s="0" t="n">
        <v>0</v>
      </c>
      <c r="DP408" s="0" t="n">
        <v>1</v>
      </c>
      <c r="DQ408" s="0" t="n">
        <v>1</v>
      </c>
      <c r="DR408" s="0"/>
      <c r="DS408" s="0" t="n">
        <v>1</v>
      </c>
      <c r="DU408" s="0" t="n">
        <v>1</v>
      </c>
      <c r="DW408" s="1" t="s">
        <v>221</v>
      </c>
      <c r="DX408" s="1" t="s">
        <v>221</v>
      </c>
      <c r="DY408" s="1" t="s">
        <v>221</v>
      </c>
      <c r="DZ408" s="1" t="s">
        <v>221</v>
      </c>
      <c r="EA408" s="0" t="n">
        <v>1</v>
      </c>
      <c r="EC408" s="1" t="n">
        <v>39448</v>
      </c>
      <c r="ED408" s="1" t="n">
        <v>40001</v>
      </c>
      <c r="EF408" s="0"/>
      <c r="EG408" s="0" t="n">
        <v>1</v>
      </c>
      <c r="EH408" s="0" t="s">
        <v>221</v>
      </c>
      <c r="EI408" s="0" t="str">
        <f aca="false">IF(AND(DM408=1,DN408&lt;=48),"",IF(AND(DM408=2,DN408&lt;=42),"",IF(AND(DM408=3,DN408&lt;=45),"",EH408)))</f>
        <v/>
      </c>
      <c r="EJ408" s="0" t="str">
        <f aca="false">IF(EI408="","",IF(EI408&lt;9,EI408,9))</f>
        <v/>
      </c>
      <c r="EK408" s="0" t="str">
        <f aca="false">IF(EI408="","",IF(EI408&gt;9,EI408-EJ408,0))</f>
        <v/>
      </c>
      <c r="EL408" s="0" t="str">
        <f aca="false">IF(EI408="","",EJ408*DA408*2+EK408*DA408*3)</f>
        <v/>
      </c>
      <c r="EP408" s="0" t="n">
        <v>1</v>
      </c>
      <c r="EQ408" s="0"/>
      <c r="ER408" s="0" t="n">
        <v>0</v>
      </c>
      <c r="ET408" s="0" t="n">
        <v>0</v>
      </c>
      <c r="EV408" s="0" t="n">
        <v>0</v>
      </c>
      <c r="EX408" s="0" t="n">
        <v>0</v>
      </c>
      <c r="EY408" s="0" t="n">
        <v>1</v>
      </c>
      <c r="FB408" s="0" t="n">
        <v>1</v>
      </c>
      <c r="FF408" s="120" t="n">
        <f aca="false">(CJ408-CI408+1)/365</f>
        <v>13.1534246575342</v>
      </c>
      <c r="FG408" s="0" t="str">
        <f aca="false">CONCATENATE(F408,"/",G408)</f>
        <v>712/2011</v>
      </c>
      <c r="FH408" s="0" t="n">
        <v>0</v>
      </c>
      <c r="FI408" s="0" t="n">
        <v>0</v>
      </c>
    </row>
    <row r="409" customFormat="false" ht="15" hidden="false" customHeight="false" outlineLevel="0" collapsed="false">
      <c r="A409" s="5" t="str">
        <f aca="false">E409&amp;G409&amp;F409</f>
        <v>72011712</v>
      </c>
      <c r="B409" s="0" t="s">
        <v>1855</v>
      </c>
      <c r="C409" s="1" t="n">
        <v>42414</v>
      </c>
      <c r="D409" s="0" t="s">
        <v>4067</v>
      </c>
      <c r="E409" s="0" t="n">
        <v>7</v>
      </c>
      <c r="F409" s="0" t="n">
        <v>712</v>
      </c>
      <c r="G409" s="0" t="n">
        <v>2011</v>
      </c>
      <c r="H409" s="0" t="str">
        <f aca="false">"J"&amp;E409&amp;"\"&amp;F409&amp;"\"&amp;G409&amp;"\"&amp;W409</f>
        <v>J7\712\2011\14</v>
      </c>
      <c r="I409" s="1" t="n">
        <v>40651</v>
      </c>
      <c r="J409" s="1" t="n">
        <v>40049</v>
      </c>
      <c r="K409" s="0" t="n">
        <v>0</v>
      </c>
      <c r="M409" s="1" t="n">
        <v>40084</v>
      </c>
      <c r="N409" s="1" t="n">
        <v>40123</v>
      </c>
      <c r="O409" s="1"/>
      <c r="P409" s="1"/>
      <c r="Q409" s="1"/>
      <c r="T409" s="121"/>
      <c r="U409" s="121"/>
      <c r="V409" s="122" t="n">
        <f aca="false">IF(AND(E409&gt;0,F409&gt;0,G409&gt;0),COUNTIFS($E:$E,E409,$F:$F,F409,$G:$G,G409),"")</f>
        <v>41</v>
      </c>
      <c r="W409" s="122" t="n">
        <f aca="false">IF(V409="","",IF(V409=1,1,IF(AND(E408=E409,F408=F409,G408=G409),W408+1,1)))</f>
        <v>14</v>
      </c>
      <c r="X409" s="0" t="n">
        <v>45</v>
      </c>
      <c r="Y409" s="0" t="n">
        <v>3</v>
      </c>
      <c r="Z409" s="0" t="s">
        <v>4082</v>
      </c>
      <c r="AA409" s="0" t="n">
        <v>0</v>
      </c>
      <c r="AB409" s="0" t="s">
        <v>4060</v>
      </c>
      <c r="AC409" s="0" t="s">
        <v>1160</v>
      </c>
      <c r="AD409" s="0" t="s">
        <v>229</v>
      </c>
      <c r="AE409" s="0" t="n">
        <v>0</v>
      </c>
      <c r="AF409" s="0" t="s">
        <v>3955</v>
      </c>
      <c r="AG409" s="0" t="n">
        <v>0</v>
      </c>
      <c r="AH409" s="0" t="s">
        <v>4061</v>
      </c>
      <c r="AI409" s="0" t="s">
        <v>3957</v>
      </c>
      <c r="AJ409" s="0" t="s">
        <v>590</v>
      </c>
      <c r="AL409" s="0" t="s">
        <v>4062</v>
      </c>
      <c r="AM409" s="0" t="n">
        <v>1</v>
      </c>
      <c r="AN409" s="0" t="s">
        <v>4061</v>
      </c>
      <c r="AO409" s="0" t="s">
        <v>3957</v>
      </c>
      <c r="AP409" s="0" t="s">
        <v>590</v>
      </c>
      <c r="AR409" s="0" t="s">
        <v>1880</v>
      </c>
      <c r="AS409" s="0" t="n">
        <v>1</v>
      </c>
      <c r="AT409" s="0" t="s">
        <v>4061</v>
      </c>
      <c r="AU409" s="0" t="s">
        <v>3957</v>
      </c>
      <c r="AV409" s="0" t="s">
        <v>590</v>
      </c>
      <c r="BR409" s="0" t="n">
        <v>1</v>
      </c>
      <c r="BS409" s="0" t="s">
        <v>4063</v>
      </c>
      <c r="BT409" s="0" t="s">
        <v>4064</v>
      </c>
      <c r="BU409" s="0" t="s">
        <v>4065</v>
      </c>
      <c r="BV409" s="123"/>
      <c r="BW409" s="123"/>
      <c r="BX409" s="123"/>
      <c r="BY409" s="123"/>
      <c r="BZ409" s="0" t="n">
        <v>0</v>
      </c>
      <c r="CA409" s="0" t="s">
        <v>216</v>
      </c>
      <c r="CD409" s="0" t="s">
        <v>502</v>
      </c>
      <c r="CE409" s="0" t="n">
        <v>0</v>
      </c>
      <c r="CF409" s="0" t="s">
        <v>4083</v>
      </c>
      <c r="CI409" s="1" t="n">
        <v>37848</v>
      </c>
      <c r="CJ409" s="1" t="n">
        <v>40001</v>
      </c>
      <c r="CK409" s="124" t="s">
        <v>216</v>
      </c>
      <c r="CL409" s="0" t="s">
        <v>4062</v>
      </c>
      <c r="CM409" s="0" t="n">
        <f aca="false">IF(OR(CI409="",CJ409=""),"",DAYS360(CI409,CJ409)/360)</f>
        <v>5.89444444444445</v>
      </c>
      <c r="CN409" s="0" t="n">
        <f aca="false">IF(OR(CI409="",CJ409=""),"",DAYS360(CI409,CJ409)/30)</f>
        <v>70.7333333333333</v>
      </c>
      <c r="CO409" s="0" t="n">
        <f aca="false">IF(OR(CI409="",CJ409=""),"",DAYS360(CI409,CJ409)/7)</f>
        <v>303.142857142857</v>
      </c>
      <c r="CP409" s="0" t="n">
        <f aca="false">IF(OR(CI409="",CJ409=""),"",DAYS360(CI409,CJ409))</f>
        <v>2122</v>
      </c>
      <c r="CQ409" s="0" t="s">
        <v>220</v>
      </c>
      <c r="CR409" s="0" t="n">
        <v>1</v>
      </c>
      <c r="CT409" s="0" t="n">
        <v>4000</v>
      </c>
      <c r="CU409" s="0" t="n">
        <v>2</v>
      </c>
      <c r="CV409" s="0" t="n">
        <f aca="false">IF(OR(CT409="",CT409="NO ESPECIFICA",CT409="NO MENCIONA"),"",IF(CU409=0,CT409,IF(CU409=1,CT409/30,IF(CU409=2,CT409/15,IF(CU409=3,CT409/7,"")))))</f>
        <v>266.666666666667</v>
      </c>
      <c r="CW409" s="125" t="s">
        <v>216</v>
      </c>
      <c r="CX409" s="125" t="s">
        <v>216</v>
      </c>
      <c r="CY409" s="0" t="str">
        <f aca="false">IF(CW409="","",IF(CX409=0,CW409,IF(CX409=1,CW409/30,IF(CX409=2,CW409/15,IF(CX409=3,CW409/7,CW409)))))</f>
        <v>NO MENCIONA</v>
      </c>
      <c r="CZ409" s="0" t="n">
        <f aca="false">IF(DI409&gt;0,DI409,IF(CY409&gt;0,CY409,IF(CV409&gt;0,CV409,"")))</f>
        <v>266.666666666667</v>
      </c>
      <c r="DA409" s="0" t="str">
        <f aca="false">IF(DM409=1,CZ409/8,IF(OR(DM409=2,DM409=4),CZ409/7,IF(DM409=3,CZ409/7.5,"")))</f>
        <v/>
      </c>
      <c r="DB409" s="0" t="s">
        <v>216</v>
      </c>
      <c r="DC409" s="0" t="s">
        <v>216</v>
      </c>
      <c r="DD409" s="0" t="s">
        <v>216</v>
      </c>
      <c r="DE409" s="0" t="s">
        <v>216</v>
      </c>
      <c r="DF409" s="0" t="s">
        <v>216</v>
      </c>
      <c r="DG409" s="0" t="s">
        <v>216</v>
      </c>
      <c r="DH409" s="0" t="n">
        <v>0</v>
      </c>
      <c r="DI409" s="126" t="n">
        <f aca="false">CT409/15</f>
        <v>266.666666666667</v>
      </c>
      <c r="DK409" s="0" t="n">
        <v>0</v>
      </c>
      <c r="DN409" s="0" t="s">
        <v>216</v>
      </c>
      <c r="DO409" s="0" t="s">
        <v>216</v>
      </c>
      <c r="DP409" s="0" t="n">
        <v>1</v>
      </c>
      <c r="DQ409" s="0" t="n">
        <v>1</v>
      </c>
      <c r="DR409" s="0"/>
      <c r="DS409" s="0" t="n">
        <v>1</v>
      </c>
      <c r="DU409" s="0" t="n">
        <v>1</v>
      </c>
      <c r="DW409" s="1" t="s">
        <v>221</v>
      </c>
      <c r="DX409" s="1" t="s">
        <v>221</v>
      </c>
      <c r="DY409" s="1" t="s">
        <v>221</v>
      </c>
      <c r="DZ409" s="1" t="s">
        <v>221</v>
      </c>
      <c r="EA409" s="0" t="n">
        <v>1</v>
      </c>
      <c r="EC409" s="1" t="n">
        <v>39448</v>
      </c>
      <c r="ED409" s="1" t="n">
        <v>40001</v>
      </c>
      <c r="EF409" s="0"/>
      <c r="EG409" s="0" t="n">
        <v>1</v>
      </c>
      <c r="EH409" s="0" t="s">
        <v>221</v>
      </c>
      <c r="EI409" s="0" t="str">
        <f aca="false">IF(AND(DM409=1,DN409&lt;=48),"",IF(AND(DM409=2,DN409&lt;=42),"",IF(AND(DM409=3,DN409&lt;=45),"",EH409)))</f>
        <v>NO ESPECIFICA</v>
      </c>
      <c r="EJ409" s="0" t="n">
        <f aca="false">IF(EI409="","",IF(EI409&lt;9,EI409,9))</f>
        <v>9</v>
      </c>
      <c r="EK409" s="0" t="e">
        <f aca="false">IF(EI409="","",IF(EI409&gt;9,EI409-EJ409,0))</f>
        <v>#VALUE!</v>
      </c>
      <c r="EL409" s="0" t="e">
        <f aca="false">IF(EI409="","",EJ409*DA409*2+EK409*DA409*3)</f>
        <v>#VALUE!</v>
      </c>
      <c r="EP409" s="0" t="n">
        <v>1</v>
      </c>
      <c r="EQ409" s="0"/>
      <c r="ER409" s="0" t="n">
        <v>0</v>
      </c>
      <c r="ET409" s="0" t="n">
        <v>0</v>
      </c>
      <c r="EV409" s="0" t="n">
        <v>0</v>
      </c>
      <c r="EX409" s="0" t="n">
        <v>0</v>
      </c>
      <c r="EY409" s="0" t="n">
        <v>1</v>
      </c>
      <c r="FB409" s="0" t="n">
        <v>1</v>
      </c>
      <c r="FF409" s="120" t="n">
        <f aca="false">(CJ409-CI409+1)/365</f>
        <v>5.9013698630137</v>
      </c>
      <c r="FG409" s="0" t="str">
        <f aca="false">CONCATENATE(F409,"/",G409)</f>
        <v>712/2011</v>
      </c>
      <c r="FH409" s="0" t="n">
        <v>0</v>
      </c>
      <c r="FI409" s="0" t="n">
        <v>0</v>
      </c>
    </row>
    <row r="410" customFormat="false" ht="15" hidden="false" customHeight="false" outlineLevel="0" collapsed="false">
      <c r="A410" s="5" t="str">
        <f aca="false">E410&amp;G410&amp;F410</f>
        <v>72011712</v>
      </c>
      <c r="B410" s="0" t="s">
        <v>1855</v>
      </c>
      <c r="C410" s="1" t="n">
        <v>42414</v>
      </c>
      <c r="D410" s="0" t="s">
        <v>4067</v>
      </c>
      <c r="E410" s="0" t="n">
        <v>7</v>
      </c>
      <c r="F410" s="0" t="n">
        <v>712</v>
      </c>
      <c r="G410" s="0" t="n">
        <v>2011</v>
      </c>
      <c r="H410" s="0" t="str">
        <f aca="false">"J"&amp;E410&amp;"\"&amp;F410&amp;"\"&amp;G410&amp;"\"&amp;W410</f>
        <v>J7\712\2011\15</v>
      </c>
      <c r="I410" s="1" t="n">
        <v>40651</v>
      </c>
      <c r="J410" s="1" t="n">
        <v>40049</v>
      </c>
      <c r="K410" s="0" t="n">
        <v>0</v>
      </c>
      <c r="M410" s="1" t="n">
        <v>40084</v>
      </c>
      <c r="N410" s="1" t="n">
        <v>40123</v>
      </c>
      <c r="O410" s="1"/>
      <c r="P410" s="1"/>
      <c r="Q410" s="1"/>
      <c r="T410" s="121"/>
      <c r="U410" s="121"/>
      <c r="V410" s="122" t="n">
        <f aca="false">IF(AND(E410&gt;0,F410&gt;0,G410&gt;0),COUNTIFS($E:$E,E410,$F:$F,F410,$G:$G,G410),"")</f>
        <v>41</v>
      </c>
      <c r="W410" s="122" t="n">
        <f aca="false">IF(V410="","",IF(V410=1,1,IF(AND(E409=E410,F409=F410,G409=G410),W409+1,1)))</f>
        <v>15</v>
      </c>
      <c r="X410" s="0" t="n">
        <v>45</v>
      </c>
      <c r="Y410" s="0" t="n">
        <v>3</v>
      </c>
      <c r="Z410" s="0" t="s">
        <v>4084</v>
      </c>
      <c r="AA410" s="0" t="n">
        <v>0</v>
      </c>
      <c r="AB410" s="0" t="s">
        <v>4060</v>
      </c>
      <c r="AC410" s="0" t="s">
        <v>1160</v>
      </c>
      <c r="AD410" s="0" t="s">
        <v>229</v>
      </c>
      <c r="AE410" s="0" t="n">
        <v>0</v>
      </c>
      <c r="AF410" s="0" t="s">
        <v>3955</v>
      </c>
      <c r="AG410" s="0" t="n">
        <v>0</v>
      </c>
      <c r="AH410" s="0" t="s">
        <v>4061</v>
      </c>
      <c r="AI410" s="0" t="s">
        <v>3957</v>
      </c>
      <c r="AJ410" s="0" t="s">
        <v>590</v>
      </c>
      <c r="AL410" s="0" t="s">
        <v>4062</v>
      </c>
      <c r="AM410" s="0" t="n">
        <v>1</v>
      </c>
      <c r="AN410" s="0" t="s">
        <v>4061</v>
      </c>
      <c r="AO410" s="0" t="s">
        <v>3957</v>
      </c>
      <c r="AP410" s="0" t="s">
        <v>590</v>
      </c>
      <c r="AR410" s="0" t="s">
        <v>1880</v>
      </c>
      <c r="AS410" s="0" t="n">
        <v>1</v>
      </c>
      <c r="AT410" s="0" t="s">
        <v>4061</v>
      </c>
      <c r="AU410" s="0" t="s">
        <v>3957</v>
      </c>
      <c r="AV410" s="0" t="s">
        <v>590</v>
      </c>
      <c r="BR410" s="0" t="n">
        <v>1</v>
      </c>
      <c r="BS410" s="0" t="s">
        <v>4063</v>
      </c>
      <c r="BT410" s="0" t="s">
        <v>4064</v>
      </c>
      <c r="BU410" s="0" t="s">
        <v>4065</v>
      </c>
      <c r="BV410" s="123"/>
      <c r="BW410" s="123"/>
      <c r="BX410" s="123"/>
      <c r="BY410" s="123"/>
      <c r="BZ410" s="0" t="n">
        <v>0</v>
      </c>
      <c r="CA410" s="0" t="s">
        <v>216</v>
      </c>
      <c r="CD410" s="0" t="s">
        <v>502</v>
      </c>
      <c r="CE410" s="0" t="n">
        <v>0</v>
      </c>
      <c r="CF410" s="0" t="s">
        <v>1042</v>
      </c>
      <c r="CI410" s="1" t="n">
        <v>32509</v>
      </c>
      <c r="CJ410" s="1" t="n">
        <v>40001</v>
      </c>
      <c r="CK410" s="124" t="s">
        <v>216</v>
      </c>
      <c r="CL410" s="0" t="s">
        <v>4062</v>
      </c>
      <c r="CM410" s="0" t="n">
        <f aca="false">IF(OR(CI410="",CJ410=""),"",DAYS360(CI410,CJ410)/360)</f>
        <v>20.5166666666667</v>
      </c>
      <c r="CN410" s="0" t="n">
        <f aca="false">IF(OR(CI410="",CJ410=""),"",DAYS360(CI410,CJ410)/30)</f>
        <v>246.2</v>
      </c>
      <c r="CO410" s="0" t="n">
        <f aca="false">IF(OR(CI410="",CJ410=""),"",DAYS360(CI410,CJ410)/7)</f>
        <v>1055.14285714286</v>
      </c>
      <c r="CP410" s="0" t="n">
        <f aca="false">IF(OR(CI410="",CJ410=""),"",DAYS360(CI410,CJ410))</f>
        <v>7386</v>
      </c>
      <c r="CQ410" s="0" t="s">
        <v>220</v>
      </c>
      <c r="CR410" s="0" t="n">
        <v>1</v>
      </c>
      <c r="CT410" s="0" t="n">
        <v>859</v>
      </c>
      <c r="CU410" s="0" t="n">
        <v>2</v>
      </c>
      <c r="CV410" s="0" t="n">
        <f aca="false">IF(OR(CT410="",CT410="NO ESPECIFICA",CT410="NO MENCIONA"),"",IF(CU410=0,CT410,IF(CU410=1,CT410/30,IF(CU410=2,CT410/15,IF(CU410=3,CT410/7,"")))))</f>
        <v>57.2666666666667</v>
      </c>
      <c r="CW410" s="125" t="s">
        <v>216</v>
      </c>
      <c r="CX410" s="125" t="s">
        <v>216</v>
      </c>
      <c r="CY410" s="0" t="str">
        <f aca="false">IF(CW410="","",IF(CX410=0,CW410,IF(CX410=1,CW410/30,IF(CX410=2,CW410/15,IF(CX410=3,CW410/7,CW410)))))</f>
        <v>NO MENCIONA</v>
      </c>
      <c r="CZ410" s="0" t="n">
        <f aca="false">IF(DI410&gt;0,DI410,IF(CY410&gt;0,CY410,IF(CV410&gt;0,CV410,"")))</f>
        <v>57.2666666666667</v>
      </c>
      <c r="DA410" s="0" t="n">
        <f aca="false">IF(DM410=1,CZ410/8,IF(OR(DM410=2,DM410=4),CZ410/7,IF(DM410=3,CZ410/7.5,"")))</f>
        <v>7.63555555555556</v>
      </c>
      <c r="DB410" s="0" t="s">
        <v>417</v>
      </c>
      <c r="DC410" s="0" t="s">
        <v>216</v>
      </c>
      <c r="DD410" s="0" t="s">
        <v>216</v>
      </c>
      <c r="DE410" s="0" t="s">
        <v>216</v>
      </c>
      <c r="DF410" s="0" t="s">
        <v>216</v>
      </c>
      <c r="DG410" s="0" t="s">
        <v>216</v>
      </c>
      <c r="DH410" s="0" t="n">
        <v>0</v>
      </c>
      <c r="DI410" s="126" t="n">
        <f aca="false">CT410/15</f>
        <v>57.2666666666667</v>
      </c>
      <c r="DK410" s="0" t="n">
        <v>0</v>
      </c>
      <c r="DM410" s="0" t="n">
        <v>3</v>
      </c>
      <c r="DN410" s="0" t="n">
        <v>9</v>
      </c>
      <c r="DO410" s="0" t="n">
        <v>0</v>
      </c>
      <c r="DP410" s="0" t="n">
        <v>1</v>
      </c>
      <c r="DQ410" s="0" t="n">
        <v>1</v>
      </c>
      <c r="DR410" s="0"/>
      <c r="DS410" s="0" t="n">
        <v>1</v>
      </c>
      <c r="DU410" s="0" t="n">
        <v>1</v>
      </c>
      <c r="DW410" s="1" t="s">
        <v>221</v>
      </c>
      <c r="DX410" s="1" t="s">
        <v>221</v>
      </c>
      <c r="DY410" s="1" t="s">
        <v>221</v>
      </c>
      <c r="DZ410" s="1" t="s">
        <v>221</v>
      </c>
      <c r="EA410" s="0" t="n">
        <v>1</v>
      </c>
      <c r="EC410" s="1" t="n">
        <v>39448</v>
      </c>
      <c r="ED410" s="1" t="n">
        <v>40001</v>
      </c>
      <c r="EF410" s="0"/>
      <c r="EG410" s="0" t="n">
        <v>1</v>
      </c>
      <c r="EH410" s="0" t="s">
        <v>221</v>
      </c>
      <c r="EI410" s="0" t="str">
        <f aca="false">IF(AND(DM410=1,DN410&lt;=48),"",IF(AND(DM410=2,DN410&lt;=42),"",IF(AND(DM410=3,DN410&lt;=45),"",EH410)))</f>
        <v/>
      </c>
      <c r="EJ410" s="0" t="str">
        <f aca="false">IF(EI410="","",IF(EI410&lt;9,EI410,9))</f>
        <v/>
      </c>
      <c r="EK410" s="0" t="str">
        <f aca="false">IF(EI410="","",IF(EI410&gt;9,EI410-EJ410,0))</f>
        <v/>
      </c>
      <c r="EL410" s="0" t="str">
        <f aca="false">IF(EI410="","",EJ410*DA410*2+EK410*DA410*3)</f>
        <v/>
      </c>
      <c r="EP410" s="0" t="n">
        <v>1</v>
      </c>
      <c r="EQ410" s="0"/>
      <c r="ER410" s="0" t="n">
        <v>0</v>
      </c>
      <c r="ET410" s="0" t="n">
        <v>0</v>
      </c>
      <c r="EV410" s="0" t="n">
        <v>0</v>
      </c>
      <c r="EX410" s="0" t="n">
        <v>0</v>
      </c>
      <c r="EY410" s="0" t="n">
        <v>1</v>
      </c>
      <c r="FB410" s="0" t="n">
        <v>1</v>
      </c>
      <c r="FF410" s="120" t="n">
        <f aca="false">(CJ410-CI410+1)/365</f>
        <v>20.5287671232877</v>
      </c>
      <c r="FG410" s="0" t="str">
        <f aca="false">CONCATENATE(F410,"/",G410)</f>
        <v>712/2011</v>
      </c>
      <c r="FH410" s="0" t="n">
        <v>0</v>
      </c>
      <c r="FI410" s="0" t="n">
        <v>0</v>
      </c>
    </row>
    <row r="411" customFormat="false" ht="15" hidden="false" customHeight="false" outlineLevel="0" collapsed="false">
      <c r="A411" s="5" t="str">
        <f aca="false">E411&amp;G411&amp;F411</f>
        <v>72011712</v>
      </c>
      <c r="B411" s="0" t="s">
        <v>1855</v>
      </c>
      <c r="C411" s="1" t="n">
        <v>42414</v>
      </c>
      <c r="D411" s="0" t="s">
        <v>4067</v>
      </c>
      <c r="E411" s="0" t="n">
        <v>7</v>
      </c>
      <c r="F411" s="0" t="n">
        <v>712</v>
      </c>
      <c r="G411" s="0" t="n">
        <v>2011</v>
      </c>
      <c r="H411" s="0" t="str">
        <f aca="false">"J"&amp;E411&amp;"\"&amp;F411&amp;"\"&amp;G411&amp;"\"&amp;W411</f>
        <v>J7\712\2011\16</v>
      </c>
      <c r="I411" s="1" t="n">
        <v>40651</v>
      </c>
      <c r="J411" s="1" t="n">
        <v>40049</v>
      </c>
      <c r="K411" s="0" t="n">
        <v>0</v>
      </c>
      <c r="M411" s="1" t="n">
        <v>40084</v>
      </c>
      <c r="N411" s="1" t="n">
        <v>40123</v>
      </c>
      <c r="O411" s="1"/>
      <c r="P411" s="1"/>
      <c r="Q411" s="1"/>
      <c r="T411" s="121"/>
      <c r="U411" s="121"/>
      <c r="V411" s="122" t="n">
        <f aca="false">IF(AND(E411&gt;0,F411&gt;0,G411&gt;0),COUNTIFS($E:$E,E411,$F:$F,F411,$G:$G,G411),"")</f>
        <v>41</v>
      </c>
      <c r="W411" s="122" t="n">
        <f aca="false">IF(V411="","",IF(V411=1,1,IF(AND(E410=E411,F410=F411,G410=G411),W410+1,1)))</f>
        <v>16</v>
      </c>
      <c r="X411" s="0" t="n">
        <v>45</v>
      </c>
      <c r="Y411" s="0" t="n">
        <v>3</v>
      </c>
      <c r="Z411" s="0" t="s">
        <v>4085</v>
      </c>
      <c r="AA411" s="0" t="n">
        <v>0</v>
      </c>
      <c r="AB411" s="0" t="s">
        <v>4060</v>
      </c>
      <c r="AC411" s="0" t="s">
        <v>1160</v>
      </c>
      <c r="AD411" s="0" t="s">
        <v>229</v>
      </c>
      <c r="AE411" s="0" t="n">
        <v>0</v>
      </c>
      <c r="AF411" s="0" t="s">
        <v>3955</v>
      </c>
      <c r="AG411" s="0" t="n">
        <v>0</v>
      </c>
      <c r="AH411" s="0" t="s">
        <v>4061</v>
      </c>
      <c r="AI411" s="0" t="s">
        <v>3957</v>
      </c>
      <c r="AJ411" s="0" t="s">
        <v>590</v>
      </c>
      <c r="AL411" s="0" t="s">
        <v>4062</v>
      </c>
      <c r="AM411" s="0" t="n">
        <v>1</v>
      </c>
      <c r="AN411" s="0" t="s">
        <v>4061</v>
      </c>
      <c r="AO411" s="0" t="s">
        <v>3957</v>
      </c>
      <c r="AP411" s="0" t="s">
        <v>590</v>
      </c>
      <c r="AR411" s="0" t="s">
        <v>1880</v>
      </c>
      <c r="AS411" s="0" t="n">
        <v>1</v>
      </c>
      <c r="AT411" s="0" t="s">
        <v>4061</v>
      </c>
      <c r="AU411" s="0" t="s">
        <v>3957</v>
      </c>
      <c r="AV411" s="0" t="s">
        <v>590</v>
      </c>
      <c r="BR411" s="0" t="n">
        <v>1</v>
      </c>
      <c r="BS411" s="0" t="s">
        <v>4063</v>
      </c>
      <c r="BT411" s="0" t="s">
        <v>4064</v>
      </c>
      <c r="BU411" s="0" t="s">
        <v>4065</v>
      </c>
      <c r="BV411" s="123"/>
      <c r="BW411" s="123"/>
      <c r="BX411" s="123"/>
      <c r="BY411" s="123"/>
      <c r="BZ411" s="0" t="n">
        <v>0</v>
      </c>
      <c r="CA411" s="0" t="s">
        <v>216</v>
      </c>
      <c r="CD411" s="0" t="s">
        <v>502</v>
      </c>
      <c r="CE411" s="0" t="n">
        <v>0</v>
      </c>
      <c r="CF411" s="0" t="s">
        <v>4086</v>
      </c>
      <c r="CI411" s="1" t="n">
        <v>38718</v>
      </c>
      <c r="CJ411" s="1" t="n">
        <v>40009</v>
      </c>
      <c r="CK411" s="124" t="s">
        <v>216</v>
      </c>
      <c r="CL411" s="0" t="s">
        <v>4087</v>
      </c>
      <c r="CM411" s="0" t="n">
        <f aca="false">IF(OR(CI411="",CJ411=""),"",DAYS360(CI411,CJ411)/360)</f>
        <v>3.53888888888889</v>
      </c>
      <c r="CN411" s="0" t="n">
        <f aca="false">IF(OR(CI411="",CJ411=""),"",DAYS360(CI411,CJ411)/30)</f>
        <v>42.4666666666667</v>
      </c>
      <c r="CO411" s="0" t="n">
        <f aca="false">IF(OR(CI411="",CJ411=""),"",DAYS360(CI411,CJ411)/7)</f>
        <v>182</v>
      </c>
      <c r="CP411" s="0" t="n">
        <f aca="false">IF(OR(CI411="",CJ411=""),"",DAYS360(CI411,CJ411))</f>
        <v>1274</v>
      </c>
      <c r="CQ411" s="0" t="s">
        <v>220</v>
      </c>
      <c r="CR411" s="0" t="n">
        <v>1</v>
      </c>
      <c r="CT411" s="0" t="s">
        <v>216</v>
      </c>
      <c r="CU411" s="0" t="s">
        <v>216</v>
      </c>
      <c r="CV411" s="0" t="str">
        <f aca="false">IF(OR(CT411="",CT411="NO ESPECIFICA",CT411="NO MENCIONA"),"",IF(CU411=0,CT411,IF(CU411=1,CT411/30,IF(CU411=2,CT411/15,IF(CU411=3,CT411/7,"")))))</f>
        <v/>
      </c>
      <c r="CW411" s="125" t="s">
        <v>216</v>
      </c>
      <c r="CX411" s="125" t="s">
        <v>216</v>
      </c>
      <c r="CY411" s="0" t="str">
        <f aca="false">IF(CW411="","",IF(CX411=0,CW411,IF(CX411=1,CW411/30,IF(CX411=2,CW411/15,IF(CX411=3,CW411/7,CW411)))))</f>
        <v>NO MENCIONA</v>
      </c>
      <c r="CZ411" s="0" t="str">
        <f aca="false">IF(DI411&gt;0,DI411,IF(CY411&gt;0,CY411,IF(CV411&gt;0,CV411,"")))</f>
        <v>NO MENCIONA</v>
      </c>
      <c r="DA411" s="0" t="str">
        <f aca="false">IF(DM411=1,CZ411/8,IF(OR(DM411=2,DM411=4),CZ411/7,IF(DM411=3,CZ411/7.5,"")))</f>
        <v/>
      </c>
      <c r="DB411" s="0" t="s">
        <v>216</v>
      </c>
      <c r="DC411" s="0" t="s">
        <v>216</v>
      </c>
      <c r="DD411" s="0" t="s">
        <v>216</v>
      </c>
      <c r="DE411" s="0" t="s">
        <v>216</v>
      </c>
      <c r="DF411" s="0" t="s">
        <v>216</v>
      </c>
      <c r="DG411" s="0" t="s">
        <v>216</v>
      </c>
      <c r="DH411" s="0" t="n">
        <v>0</v>
      </c>
      <c r="DI411" s="0" t="s">
        <v>216</v>
      </c>
      <c r="DK411" s="0" t="n">
        <v>0</v>
      </c>
      <c r="DN411" s="0" t="s">
        <v>216</v>
      </c>
      <c r="DO411" s="0" t="s">
        <v>216</v>
      </c>
      <c r="DP411" s="0" t="n">
        <v>1</v>
      </c>
      <c r="DQ411" s="0" t="n">
        <v>1</v>
      </c>
      <c r="DR411" s="0"/>
      <c r="DS411" s="0" t="n">
        <v>1</v>
      </c>
      <c r="DU411" s="0" t="n">
        <v>1</v>
      </c>
      <c r="DW411" s="1" t="s">
        <v>221</v>
      </c>
      <c r="DX411" s="1" t="s">
        <v>221</v>
      </c>
      <c r="DY411" s="1" t="s">
        <v>221</v>
      </c>
      <c r="DZ411" s="1" t="s">
        <v>221</v>
      </c>
      <c r="EA411" s="0" t="n">
        <v>1</v>
      </c>
      <c r="EC411" s="1" t="n">
        <v>39448</v>
      </c>
      <c r="ED411" s="1" t="n">
        <v>40001</v>
      </c>
      <c r="EF411" s="0"/>
      <c r="EG411" s="0" t="n">
        <v>1</v>
      </c>
      <c r="EH411" s="0" t="s">
        <v>221</v>
      </c>
      <c r="EI411" s="0" t="str">
        <f aca="false">IF(AND(DM411=1,DN411&lt;=48),"",IF(AND(DM411=2,DN411&lt;=42),"",IF(AND(DM411=3,DN411&lt;=45),"",EH411)))</f>
        <v>NO ESPECIFICA</v>
      </c>
      <c r="EJ411" s="0" t="n">
        <f aca="false">IF(EI411="","",IF(EI411&lt;9,EI411,9))</f>
        <v>9</v>
      </c>
      <c r="EK411" s="0" t="e">
        <f aca="false">IF(EI411="","",IF(EI411&gt;9,EI411-EJ411,0))</f>
        <v>#VALUE!</v>
      </c>
      <c r="EL411" s="0" t="e">
        <f aca="false">IF(EI411="","",EJ411*DA411*2+EK411*DA411*3)</f>
        <v>#VALUE!</v>
      </c>
      <c r="EP411" s="0" t="n">
        <v>1</v>
      </c>
      <c r="EQ411" s="0"/>
      <c r="ER411" s="0" t="n">
        <v>0</v>
      </c>
      <c r="ET411" s="0" t="n">
        <v>0</v>
      </c>
      <c r="EV411" s="0" t="n">
        <v>0</v>
      </c>
      <c r="EX411" s="0" t="n">
        <v>0</v>
      </c>
      <c r="EY411" s="0" t="n">
        <v>1</v>
      </c>
      <c r="FB411" s="0" t="n">
        <v>1</v>
      </c>
      <c r="FF411" s="120" t="n">
        <f aca="false">(CJ411-CI411+1)/365</f>
        <v>3.53972602739726</v>
      </c>
      <c r="FG411" s="0" t="str">
        <f aca="false">CONCATENATE(F411,"/",G411)</f>
        <v>712/2011</v>
      </c>
      <c r="FH411" s="0" t="n">
        <v>0</v>
      </c>
      <c r="FI411" s="0" t="n">
        <v>0</v>
      </c>
    </row>
    <row r="412" customFormat="false" ht="15" hidden="false" customHeight="false" outlineLevel="0" collapsed="false">
      <c r="A412" s="5" t="str">
        <f aca="false">E412&amp;G412&amp;F412</f>
        <v>72011712</v>
      </c>
      <c r="B412" s="0" t="s">
        <v>1855</v>
      </c>
      <c r="C412" s="1" t="n">
        <v>42414</v>
      </c>
      <c r="D412" s="0" t="s">
        <v>4067</v>
      </c>
      <c r="E412" s="0" t="n">
        <v>7</v>
      </c>
      <c r="F412" s="0" t="n">
        <v>712</v>
      </c>
      <c r="G412" s="0" t="n">
        <v>2011</v>
      </c>
      <c r="H412" s="0" t="str">
        <f aca="false">"J"&amp;E412&amp;"\"&amp;F412&amp;"\"&amp;G412&amp;"\"&amp;W412</f>
        <v>J7\712\2011\17</v>
      </c>
      <c r="I412" s="1" t="n">
        <v>40651</v>
      </c>
      <c r="J412" s="1" t="n">
        <v>40049</v>
      </c>
      <c r="K412" s="0" t="n">
        <v>0</v>
      </c>
      <c r="M412" s="1" t="n">
        <v>40084</v>
      </c>
      <c r="N412" s="1" t="n">
        <v>40123</v>
      </c>
      <c r="O412" s="1"/>
      <c r="P412" s="1"/>
      <c r="Q412" s="1"/>
      <c r="T412" s="121"/>
      <c r="U412" s="121"/>
      <c r="V412" s="122" t="n">
        <f aca="false">IF(AND(E412&gt;0,F412&gt;0,G412&gt;0),COUNTIFS($E:$E,E412,$F:$F,F412,$G:$G,G412),"")</f>
        <v>41</v>
      </c>
      <c r="W412" s="122" t="n">
        <f aca="false">IF(V412="","",IF(V412=1,1,IF(AND(E411=E412,F411=F412,G411=G412),W411+1,1)))</f>
        <v>17</v>
      </c>
      <c r="X412" s="0" t="n">
        <v>45</v>
      </c>
      <c r="Y412" s="0" t="n">
        <v>3</v>
      </c>
      <c r="Z412" s="0" t="s">
        <v>4088</v>
      </c>
      <c r="AA412" s="0" t="n">
        <v>0</v>
      </c>
      <c r="AB412" s="0" t="s">
        <v>4060</v>
      </c>
      <c r="AC412" s="0" t="s">
        <v>1160</v>
      </c>
      <c r="AD412" s="0" t="s">
        <v>229</v>
      </c>
      <c r="AE412" s="0" t="n">
        <v>0</v>
      </c>
      <c r="AF412" s="0" t="s">
        <v>3955</v>
      </c>
      <c r="AG412" s="0" t="n">
        <v>0</v>
      </c>
      <c r="AH412" s="0" t="s">
        <v>4061</v>
      </c>
      <c r="AI412" s="0" t="s">
        <v>3957</v>
      </c>
      <c r="AJ412" s="0" t="s">
        <v>590</v>
      </c>
      <c r="AL412" s="0" t="s">
        <v>4062</v>
      </c>
      <c r="AM412" s="0" t="n">
        <v>1</v>
      </c>
      <c r="AN412" s="0" t="s">
        <v>4061</v>
      </c>
      <c r="AO412" s="0" t="s">
        <v>3957</v>
      </c>
      <c r="AP412" s="0" t="s">
        <v>590</v>
      </c>
      <c r="AR412" s="0" t="s">
        <v>1880</v>
      </c>
      <c r="AS412" s="0" t="n">
        <v>1</v>
      </c>
      <c r="AT412" s="0" t="s">
        <v>4061</v>
      </c>
      <c r="AU412" s="0" t="s">
        <v>3957</v>
      </c>
      <c r="AV412" s="0" t="s">
        <v>590</v>
      </c>
      <c r="BR412" s="0" t="n">
        <v>1</v>
      </c>
      <c r="BS412" s="0" t="s">
        <v>4063</v>
      </c>
      <c r="BT412" s="0" t="s">
        <v>4064</v>
      </c>
      <c r="BU412" s="0" t="s">
        <v>4065</v>
      </c>
      <c r="BV412" s="123"/>
      <c r="BW412" s="123"/>
      <c r="BX412" s="123"/>
      <c r="BY412" s="123"/>
      <c r="BZ412" s="0" t="n">
        <v>0</v>
      </c>
      <c r="CA412" s="0" t="s">
        <v>216</v>
      </c>
      <c r="CD412" s="0" t="s">
        <v>502</v>
      </c>
      <c r="CE412" s="0" t="n">
        <v>0</v>
      </c>
      <c r="CF412" s="0" t="s">
        <v>1042</v>
      </c>
      <c r="CI412" s="1" t="n">
        <v>33098</v>
      </c>
      <c r="CJ412" s="1" t="n">
        <v>40001</v>
      </c>
      <c r="CK412" s="124" t="s">
        <v>216</v>
      </c>
      <c r="CL412" s="0" t="s">
        <v>4062</v>
      </c>
      <c r="CM412" s="0" t="n">
        <f aca="false">IF(OR(CI412="",CJ412=""),"",DAYS360(CI412,CJ412)/360)</f>
        <v>18.9</v>
      </c>
      <c r="CN412" s="0" t="n">
        <f aca="false">IF(OR(CI412="",CJ412=""),"",DAYS360(CI412,CJ412)/30)</f>
        <v>226.8</v>
      </c>
      <c r="CO412" s="0" t="n">
        <f aca="false">IF(OR(CI412="",CJ412=""),"",DAYS360(CI412,CJ412)/7)</f>
        <v>972</v>
      </c>
      <c r="CP412" s="0" t="n">
        <f aca="false">IF(OR(CI412="",CJ412=""),"",DAYS360(CI412,CJ412))</f>
        <v>6804</v>
      </c>
      <c r="CQ412" s="0" t="s">
        <v>220</v>
      </c>
      <c r="CR412" s="0" t="n">
        <v>1</v>
      </c>
      <c r="CT412" s="0" t="n">
        <v>750</v>
      </c>
      <c r="CU412" s="0" t="n">
        <v>2</v>
      </c>
      <c r="CV412" s="0" t="n">
        <f aca="false">IF(OR(CT412="",CT412="NO ESPECIFICA",CT412="NO MENCIONA"),"",IF(CU412=0,CT412,IF(CU412=1,CT412/30,IF(CU412=2,CT412/15,IF(CU412=3,CT412/7,"")))))</f>
        <v>50</v>
      </c>
      <c r="CW412" s="125" t="s">
        <v>216</v>
      </c>
      <c r="CX412" s="125" t="s">
        <v>216</v>
      </c>
      <c r="CY412" s="0" t="str">
        <f aca="false">IF(CW412="","",IF(CX412=0,CW412,IF(CX412=1,CW412/30,IF(CX412=2,CW412/15,IF(CX412=3,CW412/7,CW412)))))</f>
        <v>NO MENCIONA</v>
      </c>
      <c r="CZ412" s="0" t="n">
        <f aca="false">IF(DI412&gt;0,DI412,IF(CY412&gt;0,CY412,IF(CV412&gt;0,CV412,"")))</f>
        <v>50</v>
      </c>
      <c r="DA412" s="0" t="str">
        <f aca="false">IF(DM412=1,CZ412/8,IF(OR(DM412=2,DM412=4),CZ412/7,IF(DM412=3,CZ412/7.5,"")))</f>
        <v/>
      </c>
      <c r="DB412" s="0" t="s">
        <v>216</v>
      </c>
      <c r="DC412" s="0" t="s">
        <v>216</v>
      </c>
      <c r="DD412" s="0" t="s">
        <v>216</v>
      </c>
      <c r="DE412" s="0" t="s">
        <v>216</v>
      </c>
      <c r="DF412" s="0" t="s">
        <v>216</v>
      </c>
      <c r="DG412" s="0" t="s">
        <v>216</v>
      </c>
      <c r="DH412" s="0" t="n">
        <v>0</v>
      </c>
      <c r="DI412" s="126" t="n">
        <f aca="false">CT412/15</f>
        <v>50</v>
      </c>
      <c r="DK412" s="0" t="n">
        <v>0</v>
      </c>
      <c r="DN412" s="0" t="s">
        <v>216</v>
      </c>
      <c r="DO412" s="0" t="s">
        <v>216</v>
      </c>
      <c r="DP412" s="0" t="n">
        <v>1</v>
      </c>
      <c r="DQ412" s="0" t="n">
        <v>1</v>
      </c>
      <c r="DR412" s="0"/>
      <c r="DS412" s="0" t="n">
        <v>1</v>
      </c>
      <c r="DU412" s="0" t="n">
        <v>1</v>
      </c>
      <c r="DW412" s="1" t="s">
        <v>221</v>
      </c>
      <c r="DX412" s="1" t="s">
        <v>221</v>
      </c>
      <c r="DY412" s="1" t="s">
        <v>221</v>
      </c>
      <c r="DZ412" s="1" t="s">
        <v>221</v>
      </c>
      <c r="EA412" s="0" t="n">
        <v>1</v>
      </c>
      <c r="EC412" s="1" t="n">
        <v>39448</v>
      </c>
      <c r="ED412" s="1" t="n">
        <v>40001</v>
      </c>
      <c r="EF412" s="0"/>
      <c r="EG412" s="0" t="n">
        <v>1</v>
      </c>
      <c r="EH412" s="0" t="s">
        <v>221</v>
      </c>
      <c r="EI412" s="0" t="str">
        <f aca="false">IF(AND(DM412=1,DN412&lt;=48),"",IF(AND(DM412=2,DN412&lt;=42),"",IF(AND(DM412=3,DN412&lt;=45),"",EH412)))</f>
        <v>NO ESPECIFICA</v>
      </c>
      <c r="EJ412" s="0" t="n">
        <f aca="false">IF(EI412="","",IF(EI412&lt;9,EI412,9))</f>
        <v>9</v>
      </c>
      <c r="EK412" s="0" t="e">
        <f aca="false">IF(EI412="","",IF(EI412&gt;9,EI412-EJ412,0))</f>
        <v>#VALUE!</v>
      </c>
      <c r="EL412" s="0" t="e">
        <f aca="false">IF(EI412="","",EJ412*DA412*2+EK412*DA412*3)</f>
        <v>#VALUE!</v>
      </c>
      <c r="EP412" s="0" t="n">
        <v>1</v>
      </c>
      <c r="EQ412" s="0"/>
      <c r="ER412" s="0" t="n">
        <v>0</v>
      </c>
      <c r="ET412" s="0" t="n">
        <v>0</v>
      </c>
      <c r="EV412" s="0" t="n">
        <v>0</v>
      </c>
      <c r="EX412" s="0" t="n">
        <v>0</v>
      </c>
      <c r="EY412" s="0" t="n">
        <v>1</v>
      </c>
      <c r="FB412" s="0" t="n">
        <v>1</v>
      </c>
      <c r="FF412" s="120" t="n">
        <f aca="false">(CJ412-CI412+1)/365</f>
        <v>18.9150684931507</v>
      </c>
      <c r="FG412" s="0" t="str">
        <f aca="false">CONCATENATE(F412,"/",G412)</f>
        <v>712/2011</v>
      </c>
      <c r="FH412" s="0" t="n">
        <v>0</v>
      </c>
      <c r="FI412" s="0" t="n">
        <v>0</v>
      </c>
    </row>
    <row r="413" customFormat="false" ht="15" hidden="false" customHeight="false" outlineLevel="0" collapsed="false">
      <c r="A413" s="5" t="str">
        <f aca="false">E413&amp;G413&amp;F413</f>
        <v>72011712</v>
      </c>
      <c r="B413" s="0" t="s">
        <v>1855</v>
      </c>
      <c r="C413" s="1" t="n">
        <v>42414</v>
      </c>
      <c r="D413" s="0" t="s">
        <v>4067</v>
      </c>
      <c r="E413" s="0" t="n">
        <v>7</v>
      </c>
      <c r="F413" s="0" t="n">
        <v>712</v>
      </c>
      <c r="G413" s="0" t="n">
        <v>2011</v>
      </c>
      <c r="H413" s="0" t="str">
        <f aca="false">"J"&amp;E413&amp;"\"&amp;F413&amp;"\"&amp;G413&amp;"\"&amp;W413</f>
        <v>J7\712\2011\18</v>
      </c>
      <c r="I413" s="1" t="n">
        <v>40651</v>
      </c>
      <c r="J413" s="1" t="n">
        <v>40049</v>
      </c>
      <c r="K413" s="0" t="n">
        <v>0</v>
      </c>
      <c r="M413" s="1" t="n">
        <v>40084</v>
      </c>
      <c r="N413" s="1" t="n">
        <v>40123</v>
      </c>
      <c r="O413" s="1"/>
      <c r="P413" s="1"/>
      <c r="Q413" s="1"/>
      <c r="T413" s="121"/>
      <c r="U413" s="121"/>
      <c r="V413" s="122" t="n">
        <f aca="false">IF(AND(E413&gt;0,F413&gt;0,G413&gt;0),COUNTIFS($E:$E,E413,$F:$F,F413,$G:$G,G413),"")</f>
        <v>41</v>
      </c>
      <c r="W413" s="122" t="n">
        <f aca="false">IF(V413="","",IF(V413=1,1,IF(AND(E412=E413,F412=F413,G412=G413),W412+1,1)))</f>
        <v>18</v>
      </c>
      <c r="X413" s="0" t="n">
        <v>45</v>
      </c>
      <c r="Y413" s="0" t="n">
        <v>3</v>
      </c>
      <c r="Z413" s="0" t="s">
        <v>4089</v>
      </c>
      <c r="AA413" s="0" t="n">
        <v>0</v>
      </c>
      <c r="AB413" s="0" t="s">
        <v>4060</v>
      </c>
      <c r="AC413" s="0" t="s">
        <v>1160</v>
      </c>
      <c r="AD413" s="0" t="s">
        <v>229</v>
      </c>
      <c r="AE413" s="0" t="n">
        <v>0</v>
      </c>
      <c r="AF413" s="0" t="s">
        <v>3955</v>
      </c>
      <c r="AG413" s="0" t="n">
        <v>0</v>
      </c>
      <c r="AH413" s="0" t="s">
        <v>4061</v>
      </c>
      <c r="AI413" s="0" t="s">
        <v>3957</v>
      </c>
      <c r="AJ413" s="0" t="s">
        <v>590</v>
      </c>
      <c r="AL413" s="0" t="s">
        <v>4062</v>
      </c>
      <c r="AM413" s="0" t="n">
        <v>1</v>
      </c>
      <c r="AN413" s="0" t="s">
        <v>4061</v>
      </c>
      <c r="AO413" s="0" t="s">
        <v>3957</v>
      </c>
      <c r="AP413" s="0" t="s">
        <v>590</v>
      </c>
      <c r="AR413" s="0" t="s">
        <v>1880</v>
      </c>
      <c r="AS413" s="0" t="n">
        <v>1</v>
      </c>
      <c r="AT413" s="0" t="s">
        <v>4061</v>
      </c>
      <c r="AU413" s="0" t="s">
        <v>3957</v>
      </c>
      <c r="AV413" s="0" t="s">
        <v>590</v>
      </c>
      <c r="BR413" s="0" t="n">
        <v>1</v>
      </c>
      <c r="BS413" s="0" t="s">
        <v>4063</v>
      </c>
      <c r="BT413" s="0" t="s">
        <v>4064</v>
      </c>
      <c r="BU413" s="0" t="s">
        <v>4065</v>
      </c>
      <c r="BV413" s="123"/>
      <c r="BW413" s="123"/>
      <c r="BX413" s="123"/>
      <c r="BY413" s="123"/>
      <c r="BZ413" s="0" t="n">
        <v>0</v>
      </c>
      <c r="CA413" s="0" t="s">
        <v>216</v>
      </c>
      <c r="CD413" s="0" t="s">
        <v>502</v>
      </c>
      <c r="CE413" s="0" t="n">
        <v>0</v>
      </c>
      <c r="CF413" s="0" t="s">
        <v>1042</v>
      </c>
      <c r="CI413" s="1" t="n">
        <v>33239</v>
      </c>
      <c r="CJ413" s="1" t="n">
        <v>40001</v>
      </c>
      <c r="CK413" s="124" t="s">
        <v>216</v>
      </c>
      <c r="CL413" s="0" t="s">
        <v>4062</v>
      </c>
      <c r="CM413" s="0" t="n">
        <f aca="false">IF(OR(CI413="",CJ413=""),"",DAYS360(CI413,CJ413)/360)</f>
        <v>18.5166666666667</v>
      </c>
      <c r="CN413" s="0" t="n">
        <f aca="false">IF(OR(CI413="",CJ413=""),"",DAYS360(CI413,CJ413)/30)</f>
        <v>222.2</v>
      </c>
      <c r="CO413" s="0" t="n">
        <f aca="false">IF(OR(CI413="",CJ413=""),"",DAYS360(CI413,CJ413)/7)</f>
        <v>952.285714285714</v>
      </c>
      <c r="CP413" s="0" t="n">
        <f aca="false">IF(OR(CI413="",CJ413=""),"",DAYS360(CI413,CJ413))</f>
        <v>6666</v>
      </c>
      <c r="CQ413" s="0" t="s">
        <v>220</v>
      </c>
      <c r="CR413" s="0" t="n">
        <v>1</v>
      </c>
      <c r="CT413" s="0" t="n">
        <v>700</v>
      </c>
      <c r="CU413" s="0" t="n">
        <v>2</v>
      </c>
      <c r="CV413" s="0" t="n">
        <f aca="false">IF(OR(CT413="",CT413="NO ESPECIFICA",CT413="NO MENCIONA"),"",IF(CU413=0,CT413,IF(CU413=1,CT413/30,IF(CU413=2,CT413/15,IF(CU413=3,CT413/7,"")))))</f>
        <v>46.6666666666667</v>
      </c>
      <c r="CW413" s="125" t="s">
        <v>216</v>
      </c>
      <c r="CX413" s="125" t="s">
        <v>216</v>
      </c>
      <c r="CY413" s="0" t="str">
        <f aca="false">IF(CW413="","",IF(CX413=0,CW413,IF(CX413=1,CW413/30,IF(CX413=2,CW413/15,IF(CX413=3,CW413/7,CW413)))))</f>
        <v>NO MENCIONA</v>
      </c>
      <c r="CZ413" s="0" t="n">
        <f aca="false">IF(DI413&gt;0,DI413,IF(CY413&gt;0,CY413,IF(CV413&gt;0,CV413,"")))</f>
        <v>46.6666666666667</v>
      </c>
      <c r="DA413" s="0" t="str">
        <f aca="false">IF(DM413=1,CZ413/8,IF(OR(DM413=2,DM413=4),CZ413/7,IF(DM413=3,CZ413/7.5,"")))</f>
        <v/>
      </c>
      <c r="DB413" s="0" t="s">
        <v>417</v>
      </c>
      <c r="DC413" s="0" t="s">
        <v>216</v>
      </c>
      <c r="DD413" s="0" t="s">
        <v>216</v>
      </c>
      <c r="DE413" s="0" t="s">
        <v>216</v>
      </c>
      <c r="DF413" s="0" t="s">
        <v>216</v>
      </c>
      <c r="DG413" s="0" t="s">
        <v>216</v>
      </c>
      <c r="DH413" s="0" t="n">
        <v>0</v>
      </c>
      <c r="DI413" s="126" t="n">
        <f aca="false">CT413/15</f>
        <v>46.6666666666667</v>
      </c>
      <c r="DK413" s="0" t="n">
        <v>0</v>
      </c>
      <c r="DN413" s="0" t="s">
        <v>216</v>
      </c>
      <c r="DO413" s="0" t="s">
        <v>216</v>
      </c>
      <c r="DP413" s="0" t="n">
        <v>1</v>
      </c>
      <c r="DQ413" s="0" t="n">
        <v>1</v>
      </c>
      <c r="DR413" s="0"/>
      <c r="DS413" s="0" t="n">
        <v>1</v>
      </c>
      <c r="DU413" s="0" t="n">
        <v>1</v>
      </c>
      <c r="DW413" s="1" t="s">
        <v>221</v>
      </c>
      <c r="DX413" s="1" t="s">
        <v>221</v>
      </c>
      <c r="DY413" s="1" t="s">
        <v>221</v>
      </c>
      <c r="DZ413" s="1" t="s">
        <v>221</v>
      </c>
      <c r="EA413" s="0" t="n">
        <v>1</v>
      </c>
      <c r="EC413" s="1" t="n">
        <v>39448</v>
      </c>
      <c r="ED413" s="1" t="n">
        <v>40001</v>
      </c>
      <c r="EF413" s="0"/>
      <c r="EG413" s="0" t="n">
        <v>1</v>
      </c>
      <c r="EH413" s="0" t="s">
        <v>221</v>
      </c>
      <c r="EI413" s="0" t="str">
        <f aca="false">IF(AND(DM413=1,DN413&lt;=48),"",IF(AND(DM413=2,DN413&lt;=42),"",IF(AND(DM413=3,DN413&lt;=45),"",EH413)))</f>
        <v>NO ESPECIFICA</v>
      </c>
      <c r="EJ413" s="0" t="n">
        <f aca="false">IF(EI413="","",IF(EI413&lt;9,EI413,9))</f>
        <v>9</v>
      </c>
      <c r="EK413" s="0" t="e">
        <f aca="false">IF(EI413="","",IF(EI413&gt;9,EI413-EJ413,0))</f>
        <v>#VALUE!</v>
      </c>
      <c r="EL413" s="0" t="e">
        <f aca="false">IF(EI413="","",EJ413*DA413*2+EK413*DA413*3)</f>
        <v>#VALUE!</v>
      </c>
      <c r="EP413" s="0" t="n">
        <v>1</v>
      </c>
      <c r="EQ413" s="0"/>
      <c r="ER413" s="0" t="n">
        <v>0</v>
      </c>
      <c r="ET413" s="0" t="n">
        <v>0</v>
      </c>
      <c r="EV413" s="0" t="n">
        <v>0</v>
      </c>
      <c r="EX413" s="0" t="n">
        <v>0</v>
      </c>
      <c r="EY413" s="0" t="n">
        <v>1</v>
      </c>
      <c r="FB413" s="0" t="n">
        <v>1</v>
      </c>
      <c r="FF413" s="120" t="n">
        <f aca="false">(CJ413-CI413+1)/365</f>
        <v>18.5287671232877</v>
      </c>
      <c r="FG413" s="0" t="str">
        <f aca="false">CONCATENATE(F413,"/",G413)</f>
        <v>712/2011</v>
      </c>
      <c r="FH413" s="0" t="n">
        <v>0</v>
      </c>
      <c r="FI413" s="0" t="n">
        <v>0</v>
      </c>
    </row>
    <row r="414" customFormat="false" ht="15" hidden="false" customHeight="false" outlineLevel="0" collapsed="false">
      <c r="A414" s="5" t="str">
        <f aca="false">E414&amp;G414&amp;F414</f>
        <v>72011712</v>
      </c>
      <c r="B414" s="0" t="s">
        <v>1855</v>
      </c>
      <c r="C414" s="1" t="n">
        <v>42414</v>
      </c>
      <c r="D414" s="0" t="s">
        <v>4067</v>
      </c>
      <c r="E414" s="0" t="n">
        <v>7</v>
      </c>
      <c r="F414" s="0" t="n">
        <v>712</v>
      </c>
      <c r="G414" s="0" t="n">
        <v>2011</v>
      </c>
      <c r="H414" s="0" t="str">
        <f aca="false">"J"&amp;E414&amp;"\"&amp;F414&amp;"\"&amp;G414&amp;"\"&amp;W414</f>
        <v>J7\712\2011\19</v>
      </c>
      <c r="I414" s="1" t="n">
        <v>40651</v>
      </c>
      <c r="J414" s="1" t="n">
        <v>40049</v>
      </c>
      <c r="K414" s="0" t="n">
        <v>0</v>
      </c>
      <c r="M414" s="1" t="n">
        <v>40084</v>
      </c>
      <c r="N414" s="1" t="n">
        <v>40123</v>
      </c>
      <c r="O414" s="1"/>
      <c r="P414" s="1"/>
      <c r="Q414" s="1"/>
      <c r="T414" s="121"/>
      <c r="U414" s="121"/>
      <c r="V414" s="122" t="n">
        <f aca="false">IF(AND(E414&gt;0,F414&gt;0,G414&gt;0),COUNTIFS($E:$E,E414,$F:$F,F414,$G:$G,G414),"")</f>
        <v>41</v>
      </c>
      <c r="W414" s="122" t="n">
        <f aca="false">IF(V414="","",IF(V414=1,1,IF(AND(E413=E414,F413=F414,G413=G414),W413+1,1)))</f>
        <v>19</v>
      </c>
      <c r="X414" s="0" t="n">
        <v>45</v>
      </c>
      <c r="Y414" s="0" t="n">
        <v>3</v>
      </c>
      <c r="Z414" s="0" t="s">
        <v>4090</v>
      </c>
      <c r="AA414" s="0" t="n">
        <v>0</v>
      </c>
      <c r="AB414" s="0" t="s">
        <v>4060</v>
      </c>
      <c r="AC414" s="0" t="s">
        <v>1160</v>
      </c>
      <c r="AD414" s="0" t="s">
        <v>229</v>
      </c>
      <c r="AE414" s="0" t="n">
        <v>0</v>
      </c>
      <c r="AF414" s="0" t="s">
        <v>3955</v>
      </c>
      <c r="AG414" s="0" t="n">
        <v>0</v>
      </c>
      <c r="AH414" s="0" t="s">
        <v>4061</v>
      </c>
      <c r="AI414" s="0" t="s">
        <v>3957</v>
      </c>
      <c r="AJ414" s="0" t="s">
        <v>590</v>
      </c>
      <c r="AL414" s="0" t="s">
        <v>4062</v>
      </c>
      <c r="AM414" s="0" t="n">
        <v>1</v>
      </c>
      <c r="AN414" s="0" t="s">
        <v>4061</v>
      </c>
      <c r="AO414" s="0" t="s">
        <v>3957</v>
      </c>
      <c r="AP414" s="0" t="s">
        <v>590</v>
      </c>
      <c r="AR414" s="0" t="s">
        <v>1880</v>
      </c>
      <c r="AS414" s="0" t="n">
        <v>1</v>
      </c>
      <c r="AT414" s="0" t="s">
        <v>4061</v>
      </c>
      <c r="AU414" s="0" t="s">
        <v>3957</v>
      </c>
      <c r="AV414" s="0" t="s">
        <v>590</v>
      </c>
      <c r="BR414" s="0" t="n">
        <v>1</v>
      </c>
      <c r="BS414" s="0" t="s">
        <v>4063</v>
      </c>
      <c r="BT414" s="0" t="s">
        <v>4064</v>
      </c>
      <c r="BU414" s="0" t="s">
        <v>4065</v>
      </c>
      <c r="BV414" s="123"/>
      <c r="BW414" s="123"/>
      <c r="BX414" s="123"/>
      <c r="BY414" s="123"/>
      <c r="BZ414" s="0" t="n">
        <v>0</v>
      </c>
      <c r="CA414" s="0" t="s">
        <v>216</v>
      </c>
      <c r="CD414" s="0" t="s">
        <v>502</v>
      </c>
      <c r="CE414" s="0" t="n">
        <v>0</v>
      </c>
      <c r="CF414" s="0" t="s">
        <v>216</v>
      </c>
      <c r="CI414" s="1" t="n">
        <v>33604</v>
      </c>
      <c r="CJ414" s="1" t="n">
        <v>40001</v>
      </c>
      <c r="CK414" s="124" t="s">
        <v>216</v>
      </c>
      <c r="CL414" s="0" t="s">
        <v>4062</v>
      </c>
      <c r="CM414" s="0" t="n">
        <f aca="false">IF(OR(CI414="",CJ414=""),"",DAYS360(CI414,CJ414)/360)</f>
        <v>17.5166666666667</v>
      </c>
      <c r="CN414" s="0" t="n">
        <f aca="false">IF(OR(CI414="",CJ414=""),"",DAYS360(CI414,CJ414)/30)</f>
        <v>210.2</v>
      </c>
      <c r="CO414" s="0" t="n">
        <f aca="false">IF(OR(CI414="",CJ414=""),"",DAYS360(CI414,CJ414)/7)</f>
        <v>900.857142857143</v>
      </c>
      <c r="CP414" s="0" t="n">
        <f aca="false">IF(OR(CI414="",CJ414=""),"",DAYS360(CI414,CJ414))</f>
        <v>6306</v>
      </c>
      <c r="CQ414" s="0" t="s">
        <v>220</v>
      </c>
      <c r="CR414" s="0" t="n">
        <v>1</v>
      </c>
      <c r="CT414" s="0" t="n">
        <v>450</v>
      </c>
      <c r="CU414" s="0" t="n">
        <v>0</v>
      </c>
      <c r="CV414" s="0" t="n">
        <f aca="false">IF(OR(CT414="",CT414="NO ESPECIFICA",CT414="NO MENCIONA"),"",IF(CU414=0,CT414,IF(CU414=1,CT414/30,IF(CU414=2,CT414/15,IF(CU414=3,CT414/7,"")))))</f>
        <v>450</v>
      </c>
      <c r="CW414" s="125" t="s">
        <v>216</v>
      </c>
      <c r="CX414" s="125" t="s">
        <v>216</v>
      </c>
      <c r="CY414" s="0" t="str">
        <f aca="false">IF(CW414="","",IF(CX414=0,CW414,IF(CX414=1,CW414/30,IF(CX414=2,CW414/15,IF(CX414=3,CW414/7,CW414)))))</f>
        <v>NO MENCIONA</v>
      </c>
      <c r="CZ414" s="0" t="n">
        <f aca="false">IF(DI414&gt;0,DI414,IF(CY414&gt;0,CY414,IF(CV414&gt;0,CV414,"")))</f>
        <v>450</v>
      </c>
      <c r="DA414" s="0" t="n">
        <f aca="false">IF(DM414=1,CZ414/8,IF(OR(DM414=2,DM414=4),CZ414/7,IF(DM414=3,CZ414/7.5,"")))</f>
        <v>60</v>
      </c>
      <c r="DB414" s="0" t="s">
        <v>216</v>
      </c>
      <c r="DC414" s="0" t="s">
        <v>216</v>
      </c>
      <c r="DD414" s="0" t="s">
        <v>216</v>
      </c>
      <c r="DE414" s="0" t="s">
        <v>216</v>
      </c>
      <c r="DF414" s="0" t="s">
        <v>216</v>
      </c>
      <c r="DG414" s="0" t="s">
        <v>216</v>
      </c>
      <c r="DH414" s="0" t="n">
        <v>0</v>
      </c>
      <c r="DI414" s="126" t="n">
        <v>450</v>
      </c>
      <c r="DK414" s="0" t="n">
        <v>0</v>
      </c>
      <c r="DM414" s="0" t="n">
        <v>3</v>
      </c>
      <c r="DN414" s="0" t="n">
        <v>10</v>
      </c>
      <c r="DO414" s="0" t="n">
        <v>0</v>
      </c>
      <c r="DP414" s="0" t="n">
        <v>1</v>
      </c>
      <c r="DQ414" s="0" t="n">
        <v>1</v>
      </c>
      <c r="DR414" s="0"/>
      <c r="DS414" s="0" t="n">
        <v>1</v>
      </c>
      <c r="DU414" s="0" t="n">
        <v>1</v>
      </c>
      <c r="DW414" s="1" t="s">
        <v>221</v>
      </c>
      <c r="DX414" s="1" t="s">
        <v>221</v>
      </c>
      <c r="DY414" s="1" t="s">
        <v>221</v>
      </c>
      <c r="DZ414" s="1" t="s">
        <v>221</v>
      </c>
      <c r="EA414" s="0" t="n">
        <v>1</v>
      </c>
      <c r="EC414" s="1" t="n">
        <v>39448</v>
      </c>
      <c r="ED414" s="1" t="n">
        <v>40001</v>
      </c>
      <c r="EF414" s="0"/>
      <c r="EG414" s="0" t="n">
        <v>1</v>
      </c>
      <c r="EH414" s="0" t="s">
        <v>221</v>
      </c>
      <c r="EI414" s="0" t="str">
        <f aca="false">IF(AND(DM414=1,DN414&lt;=48),"",IF(AND(DM414=2,DN414&lt;=42),"",IF(AND(DM414=3,DN414&lt;=45),"",EH414)))</f>
        <v/>
      </c>
      <c r="EJ414" s="0" t="str">
        <f aca="false">IF(EI414="","",IF(EI414&lt;9,EI414,9))</f>
        <v/>
      </c>
      <c r="EK414" s="0" t="str">
        <f aca="false">IF(EI414="","",IF(EI414&gt;9,EI414-EJ414,0))</f>
        <v/>
      </c>
      <c r="EL414" s="0" t="str">
        <f aca="false">IF(EI414="","",EJ414*DA414*2+EK414*DA414*3)</f>
        <v/>
      </c>
      <c r="EP414" s="0" t="n">
        <v>1</v>
      </c>
      <c r="EQ414" s="0"/>
      <c r="ER414" s="0" t="n">
        <v>0</v>
      </c>
      <c r="ET414" s="0" t="n">
        <v>0</v>
      </c>
      <c r="EV414" s="0" t="n">
        <v>0</v>
      </c>
      <c r="EX414" s="0" t="n">
        <v>0</v>
      </c>
      <c r="EY414" s="0" t="n">
        <v>1</v>
      </c>
      <c r="FB414" s="0" t="n">
        <v>1</v>
      </c>
      <c r="FF414" s="120" t="n">
        <f aca="false">(CJ414-CI414+1)/365</f>
        <v>17.5287671232877</v>
      </c>
      <c r="FG414" s="0" t="str">
        <f aca="false">CONCATENATE(F414,"/",G414)</f>
        <v>712/2011</v>
      </c>
      <c r="FH414" s="0" t="n">
        <v>0</v>
      </c>
      <c r="FI414" s="0" t="n">
        <v>0</v>
      </c>
    </row>
    <row r="415" customFormat="false" ht="15" hidden="false" customHeight="false" outlineLevel="0" collapsed="false">
      <c r="A415" s="5" t="str">
        <f aca="false">E415&amp;G415&amp;F415</f>
        <v>72011712</v>
      </c>
      <c r="B415" s="0" t="s">
        <v>1855</v>
      </c>
      <c r="C415" s="1" t="n">
        <v>42414</v>
      </c>
      <c r="D415" s="0" t="s">
        <v>4067</v>
      </c>
      <c r="E415" s="0" t="n">
        <v>7</v>
      </c>
      <c r="F415" s="0" t="n">
        <v>712</v>
      </c>
      <c r="G415" s="0" t="n">
        <v>2011</v>
      </c>
      <c r="H415" s="0" t="str">
        <f aca="false">"J"&amp;E415&amp;"\"&amp;F415&amp;"\"&amp;G415&amp;"\"&amp;W415</f>
        <v>J7\712\2011\20</v>
      </c>
      <c r="I415" s="1" t="n">
        <v>40651</v>
      </c>
      <c r="J415" s="1" t="n">
        <v>40049</v>
      </c>
      <c r="K415" s="0" t="n">
        <v>0</v>
      </c>
      <c r="M415" s="1" t="n">
        <v>40084</v>
      </c>
      <c r="N415" s="1" t="n">
        <v>40123</v>
      </c>
      <c r="O415" s="1"/>
      <c r="P415" s="1"/>
      <c r="Q415" s="1"/>
      <c r="T415" s="121"/>
      <c r="U415" s="121"/>
      <c r="V415" s="122" t="n">
        <f aca="false">IF(AND(E415&gt;0,F415&gt;0,G415&gt;0),COUNTIFS($E:$E,E415,$F:$F,F415,$G:$G,G415),"")</f>
        <v>41</v>
      </c>
      <c r="W415" s="122" t="n">
        <f aca="false">IF(V415="","",IF(V415=1,1,IF(AND(E414=E415,F414=F415,G414=G415),W414+1,1)))</f>
        <v>20</v>
      </c>
      <c r="X415" s="0" t="n">
        <v>45</v>
      </c>
      <c r="Y415" s="0" t="n">
        <v>3</v>
      </c>
      <c r="Z415" s="0" t="s">
        <v>4091</v>
      </c>
      <c r="AA415" s="0" t="n">
        <v>0</v>
      </c>
      <c r="AB415" s="0" t="s">
        <v>4060</v>
      </c>
      <c r="AC415" s="0" t="s">
        <v>1160</v>
      </c>
      <c r="AD415" s="0" t="s">
        <v>229</v>
      </c>
      <c r="AE415" s="0" t="n">
        <v>0</v>
      </c>
      <c r="AF415" s="0" t="s">
        <v>3955</v>
      </c>
      <c r="AG415" s="0" t="n">
        <v>0</v>
      </c>
      <c r="AH415" s="0" t="s">
        <v>4061</v>
      </c>
      <c r="AI415" s="0" t="s">
        <v>3957</v>
      </c>
      <c r="AJ415" s="0" t="s">
        <v>590</v>
      </c>
      <c r="AL415" s="0" t="s">
        <v>4062</v>
      </c>
      <c r="AM415" s="0" t="n">
        <v>1</v>
      </c>
      <c r="AN415" s="0" t="s">
        <v>4061</v>
      </c>
      <c r="AO415" s="0" t="s">
        <v>3957</v>
      </c>
      <c r="AP415" s="0" t="s">
        <v>590</v>
      </c>
      <c r="AR415" s="0" t="s">
        <v>1880</v>
      </c>
      <c r="AS415" s="0" t="n">
        <v>1</v>
      </c>
      <c r="AT415" s="0" t="s">
        <v>4061</v>
      </c>
      <c r="AU415" s="0" t="s">
        <v>3957</v>
      </c>
      <c r="AV415" s="0" t="s">
        <v>590</v>
      </c>
      <c r="BR415" s="0" t="n">
        <v>1</v>
      </c>
      <c r="BS415" s="0" t="s">
        <v>4063</v>
      </c>
      <c r="BT415" s="0" t="s">
        <v>4064</v>
      </c>
      <c r="BU415" s="0" t="s">
        <v>4065</v>
      </c>
      <c r="BV415" s="123"/>
      <c r="BW415" s="123"/>
      <c r="BX415" s="123"/>
      <c r="BY415" s="123"/>
      <c r="BZ415" s="0" t="n">
        <v>0</v>
      </c>
      <c r="CA415" s="0" t="s">
        <v>216</v>
      </c>
      <c r="CD415" s="0" t="s">
        <v>502</v>
      </c>
      <c r="CE415" s="0" t="n">
        <v>0</v>
      </c>
      <c r="CF415" s="0" t="s">
        <v>968</v>
      </c>
      <c r="CI415" s="1" t="n">
        <v>37987</v>
      </c>
      <c r="CJ415" s="1" t="n">
        <v>40001</v>
      </c>
      <c r="CK415" s="124" t="s">
        <v>216</v>
      </c>
      <c r="CL415" s="0" t="s">
        <v>4062</v>
      </c>
      <c r="CM415" s="0" t="n">
        <f aca="false">IF(OR(CI415="",CJ415=""),"",DAYS360(CI415,CJ415)/360)</f>
        <v>5.51666666666667</v>
      </c>
      <c r="CN415" s="0" t="n">
        <f aca="false">IF(OR(CI415="",CJ415=""),"",DAYS360(CI415,CJ415)/30)</f>
        <v>66.2</v>
      </c>
      <c r="CO415" s="0" t="n">
        <f aca="false">IF(OR(CI415="",CJ415=""),"",DAYS360(CI415,CJ415)/7)</f>
        <v>283.714285714286</v>
      </c>
      <c r="CP415" s="0" t="n">
        <f aca="false">IF(OR(CI415="",CJ415=""),"",DAYS360(CI415,CJ415))</f>
        <v>1986</v>
      </c>
      <c r="CQ415" s="0" t="s">
        <v>220</v>
      </c>
      <c r="CR415" s="0" t="n">
        <v>1</v>
      </c>
      <c r="CT415" s="0" t="n">
        <v>2000</v>
      </c>
      <c r="CU415" s="0" t="n">
        <v>2</v>
      </c>
      <c r="CV415" s="0" t="n">
        <f aca="false">IF(OR(CT415="",CT415="NO ESPECIFICA",CT415="NO MENCIONA"),"",IF(CU415=0,CT415,IF(CU415=1,CT415/30,IF(CU415=2,CT415/15,IF(CU415=3,CT415/7,"")))))</f>
        <v>133.333333333333</v>
      </c>
      <c r="CW415" s="125" t="s">
        <v>216</v>
      </c>
      <c r="CX415" s="125" t="s">
        <v>216</v>
      </c>
      <c r="CY415" s="0" t="str">
        <f aca="false">IF(CW415="","",IF(CX415=0,CW415,IF(CX415=1,CW415/30,IF(CX415=2,CW415/15,IF(CX415=3,CW415/7,CW415)))))</f>
        <v>NO MENCIONA</v>
      </c>
      <c r="CZ415" s="0" t="n">
        <f aca="false">IF(DI415&gt;0,DI415,IF(CY415&gt;0,CY415,IF(CV415&gt;0,CV415,"")))</f>
        <v>133.333333333333</v>
      </c>
      <c r="DA415" s="0" t="n">
        <f aca="false">IF(DM415=1,CZ415/8,IF(OR(DM415=2,DM415=4),CZ415/7,IF(DM415=3,CZ415/7.5,"")))</f>
        <v>16.6666666666667</v>
      </c>
      <c r="DB415" s="0" t="s">
        <v>216</v>
      </c>
      <c r="DC415" s="0" t="s">
        <v>216</v>
      </c>
      <c r="DD415" s="0" t="s">
        <v>216</v>
      </c>
      <c r="DE415" s="0" t="s">
        <v>216</v>
      </c>
      <c r="DF415" s="0" t="s">
        <v>216</v>
      </c>
      <c r="DG415" s="0" t="s">
        <v>216</v>
      </c>
      <c r="DH415" s="0" t="n">
        <v>0</v>
      </c>
      <c r="DI415" s="126" t="n">
        <f aca="false">CT415/15</f>
        <v>133.333333333333</v>
      </c>
      <c r="DK415" s="0" t="n">
        <v>0</v>
      </c>
      <c r="DM415" s="0" t="n">
        <v>1</v>
      </c>
      <c r="DN415" s="0" t="n">
        <v>10</v>
      </c>
      <c r="DO415" s="0" t="n">
        <v>0</v>
      </c>
      <c r="DP415" s="0" t="n">
        <v>1</v>
      </c>
      <c r="DQ415" s="0" t="n">
        <v>1</v>
      </c>
      <c r="DR415" s="0"/>
      <c r="DS415" s="0" t="n">
        <v>1</v>
      </c>
      <c r="DU415" s="0" t="n">
        <v>1</v>
      </c>
      <c r="DW415" s="1" t="s">
        <v>221</v>
      </c>
      <c r="DX415" s="1" t="s">
        <v>221</v>
      </c>
      <c r="DY415" s="1" t="s">
        <v>221</v>
      </c>
      <c r="DZ415" s="1" t="s">
        <v>221</v>
      </c>
      <c r="EA415" s="0" t="n">
        <v>1</v>
      </c>
      <c r="EC415" s="1" t="n">
        <v>39448</v>
      </c>
      <c r="ED415" s="1" t="n">
        <v>40001</v>
      </c>
      <c r="EF415" s="0"/>
      <c r="EG415" s="0" t="n">
        <v>1</v>
      </c>
      <c r="EH415" s="0" t="s">
        <v>221</v>
      </c>
      <c r="EI415" s="0" t="str">
        <f aca="false">IF(AND(DM415=1,DN415&lt;=48),"",IF(AND(DM415=2,DN415&lt;=42),"",IF(AND(DM415=3,DN415&lt;=45),"",EH415)))</f>
        <v/>
      </c>
      <c r="EJ415" s="0" t="str">
        <f aca="false">IF(EI415="","",IF(EI415&lt;9,EI415,9))</f>
        <v/>
      </c>
      <c r="EK415" s="0" t="str">
        <f aca="false">IF(EI415="","",IF(EI415&gt;9,EI415-EJ415,0))</f>
        <v/>
      </c>
      <c r="EL415" s="0" t="str">
        <f aca="false">IF(EI415="","",EJ415*DA415*2+EK415*DA415*3)</f>
        <v/>
      </c>
      <c r="EP415" s="0" t="n">
        <v>1</v>
      </c>
      <c r="EQ415" s="0"/>
      <c r="ER415" s="0" t="n">
        <v>0</v>
      </c>
      <c r="ET415" s="0" t="n">
        <v>0</v>
      </c>
      <c r="EV415" s="0" t="n">
        <v>0</v>
      </c>
      <c r="EX415" s="0" t="n">
        <v>0</v>
      </c>
      <c r="EY415" s="0" t="n">
        <v>1</v>
      </c>
      <c r="FB415" s="0" t="n">
        <v>1</v>
      </c>
      <c r="FF415" s="120" t="n">
        <f aca="false">(CJ415-CI415+1)/365</f>
        <v>5.52054794520548</v>
      </c>
      <c r="FG415" s="0" t="str">
        <f aca="false">CONCATENATE(F415,"/",G415)</f>
        <v>712/2011</v>
      </c>
      <c r="FH415" s="0" t="n">
        <v>0</v>
      </c>
      <c r="FI415" s="0" t="n">
        <v>0</v>
      </c>
    </row>
    <row r="416" customFormat="false" ht="15" hidden="false" customHeight="false" outlineLevel="0" collapsed="false">
      <c r="A416" s="5" t="str">
        <f aca="false">E416&amp;G416&amp;F416</f>
        <v>72011712</v>
      </c>
      <c r="B416" s="0" t="s">
        <v>1855</v>
      </c>
      <c r="C416" s="1" t="n">
        <v>42414</v>
      </c>
      <c r="D416" s="0" t="s">
        <v>4067</v>
      </c>
      <c r="E416" s="0" t="n">
        <v>7</v>
      </c>
      <c r="F416" s="0" t="n">
        <v>712</v>
      </c>
      <c r="G416" s="0" t="n">
        <v>2011</v>
      </c>
      <c r="H416" s="0" t="str">
        <f aca="false">"J"&amp;E416&amp;"\"&amp;F416&amp;"\"&amp;G416&amp;"\"&amp;W416</f>
        <v>J7\712\2011\21</v>
      </c>
      <c r="I416" s="1" t="n">
        <v>40651</v>
      </c>
      <c r="J416" s="1" t="n">
        <v>40049</v>
      </c>
      <c r="K416" s="0" t="n">
        <v>0</v>
      </c>
      <c r="M416" s="1" t="n">
        <v>40084</v>
      </c>
      <c r="N416" s="1" t="n">
        <v>40123</v>
      </c>
      <c r="O416" s="1"/>
      <c r="P416" s="1"/>
      <c r="Q416" s="1"/>
      <c r="T416" s="121"/>
      <c r="U416" s="121"/>
      <c r="V416" s="122" t="n">
        <f aca="false">IF(AND(E416&gt;0,F416&gt;0,G416&gt;0),COUNTIFS($E:$E,E416,$F:$F,F416,$G:$G,G416),"")</f>
        <v>41</v>
      </c>
      <c r="W416" s="122" t="n">
        <f aca="false">IF(V416="","",IF(V416=1,1,IF(AND(E415=E416,F415=F416,G415=G416),W415+1,1)))</f>
        <v>21</v>
      </c>
      <c r="X416" s="0" t="n">
        <v>45</v>
      </c>
      <c r="Y416" s="0" t="n">
        <v>3</v>
      </c>
      <c r="Z416" s="0" t="s">
        <v>4092</v>
      </c>
      <c r="AA416" s="0" t="n">
        <v>0</v>
      </c>
      <c r="AB416" s="0" t="s">
        <v>4060</v>
      </c>
      <c r="AC416" s="0" t="s">
        <v>1160</v>
      </c>
      <c r="AD416" s="0" t="s">
        <v>229</v>
      </c>
      <c r="AE416" s="0" t="n">
        <v>0</v>
      </c>
      <c r="AF416" s="0" t="s">
        <v>3955</v>
      </c>
      <c r="AG416" s="0" t="n">
        <v>0</v>
      </c>
      <c r="AH416" s="0" t="s">
        <v>4061</v>
      </c>
      <c r="AI416" s="0" t="s">
        <v>3957</v>
      </c>
      <c r="AJ416" s="0" t="s">
        <v>590</v>
      </c>
      <c r="AL416" s="0" t="s">
        <v>4062</v>
      </c>
      <c r="AM416" s="0" t="n">
        <v>1</v>
      </c>
      <c r="AN416" s="0" t="s">
        <v>4061</v>
      </c>
      <c r="AO416" s="0" t="s">
        <v>3957</v>
      </c>
      <c r="AP416" s="0" t="s">
        <v>590</v>
      </c>
      <c r="AR416" s="0" t="s">
        <v>1880</v>
      </c>
      <c r="AS416" s="0" t="n">
        <v>1</v>
      </c>
      <c r="AT416" s="0" t="s">
        <v>4061</v>
      </c>
      <c r="AU416" s="0" t="s">
        <v>3957</v>
      </c>
      <c r="AV416" s="0" t="s">
        <v>590</v>
      </c>
      <c r="BR416" s="0" t="n">
        <v>1</v>
      </c>
      <c r="BS416" s="0" t="s">
        <v>4063</v>
      </c>
      <c r="BT416" s="0" t="s">
        <v>4064</v>
      </c>
      <c r="BU416" s="0" t="s">
        <v>4065</v>
      </c>
      <c r="BV416" s="123"/>
      <c r="BW416" s="123"/>
      <c r="BX416" s="123"/>
      <c r="BY416" s="123"/>
      <c r="BZ416" s="0" t="n">
        <v>0</v>
      </c>
      <c r="CA416" s="0" t="s">
        <v>216</v>
      </c>
      <c r="CD416" s="0" t="s">
        <v>502</v>
      </c>
      <c r="CE416" s="0" t="n">
        <v>0</v>
      </c>
      <c r="CF416" s="0" t="s">
        <v>1042</v>
      </c>
      <c r="CI416" s="1" t="s">
        <v>216</v>
      </c>
      <c r="CJ416" s="1" t="n">
        <v>40001</v>
      </c>
      <c r="CK416" s="124" t="s">
        <v>216</v>
      </c>
      <c r="CL416" s="0" t="s">
        <v>4062</v>
      </c>
      <c r="CM416" s="0" t="e">
        <f aca="false">IF(OR(CI416="",CJ416=""),"",DAYS360(CI416,CJ416)/360)</f>
        <v>#VALUE!</v>
      </c>
      <c r="CN416" s="0" t="e">
        <f aca="false">IF(OR(CI416="",CJ416=""),"",DAYS360(CI416,CJ416)/30)</f>
        <v>#VALUE!</v>
      </c>
      <c r="CO416" s="0" t="e">
        <f aca="false">IF(OR(CI416="",CJ416=""),"",DAYS360(CI416,CJ416)/7)</f>
        <v>#VALUE!</v>
      </c>
      <c r="CP416" s="0" t="e">
        <f aca="false">IF(OR(CI416="",CJ416=""),"",DAYS360(CI416,CJ416))</f>
        <v>#VALUE!</v>
      </c>
      <c r="CQ416" s="0" t="s">
        <v>220</v>
      </c>
      <c r="CR416" s="0" t="n">
        <v>1</v>
      </c>
      <c r="CT416" s="0" t="n">
        <v>700</v>
      </c>
      <c r="CU416" s="0" t="n">
        <v>2</v>
      </c>
      <c r="CV416" s="0" t="n">
        <f aca="false">IF(OR(CT416="",CT416="NO ESPECIFICA",CT416="NO MENCIONA"),"",IF(CU416=0,CT416,IF(CU416=1,CT416/30,IF(CU416=2,CT416/15,IF(CU416=3,CT416/7,"")))))</f>
        <v>46.6666666666667</v>
      </c>
      <c r="CW416" s="125" t="s">
        <v>216</v>
      </c>
      <c r="CX416" s="125" t="s">
        <v>216</v>
      </c>
      <c r="CY416" s="0" t="str">
        <f aca="false">IF(CW416="","",IF(CX416=0,CW416,IF(CX416=1,CW416/30,IF(CX416=2,CW416/15,IF(CX416=3,CW416/7,CW416)))))</f>
        <v>NO MENCIONA</v>
      </c>
      <c r="CZ416" s="0" t="n">
        <f aca="false">IF(DI416&gt;0,DI416,IF(CY416&gt;0,CY416,IF(CV416&gt;0,CV416,"")))</f>
        <v>46.6666666666667</v>
      </c>
      <c r="DA416" s="0" t="n">
        <f aca="false">IF(DM416=1,CZ416/8,IF(OR(DM416=2,DM416=4),CZ416/7,IF(DM416=3,CZ416/7.5,"")))</f>
        <v>6.22222222222222</v>
      </c>
      <c r="DB416" s="0" t="s">
        <v>417</v>
      </c>
      <c r="DC416" s="0" t="s">
        <v>216</v>
      </c>
      <c r="DD416" s="0" t="s">
        <v>216</v>
      </c>
      <c r="DE416" s="0" t="s">
        <v>216</v>
      </c>
      <c r="DF416" s="0" t="s">
        <v>216</v>
      </c>
      <c r="DG416" s="0" t="s">
        <v>216</v>
      </c>
      <c r="DH416" s="0" t="n">
        <v>0</v>
      </c>
      <c r="DI416" s="126" t="n">
        <f aca="false">CT416/15</f>
        <v>46.6666666666667</v>
      </c>
      <c r="DK416" s="0" t="n">
        <v>0</v>
      </c>
      <c r="DM416" s="0" t="n">
        <v>3</v>
      </c>
      <c r="DN416" s="0" t="n">
        <v>9</v>
      </c>
      <c r="DO416" s="0" t="n">
        <v>0</v>
      </c>
      <c r="DP416" s="0" t="n">
        <v>1</v>
      </c>
      <c r="DQ416" s="0" t="n">
        <v>1</v>
      </c>
      <c r="DR416" s="0"/>
      <c r="DS416" s="0" t="n">
        <v>1</v>
      </c>
      <c r="DU416" s="0" t="n">
        <v>1</v>
      </c>
      <c r="DW416" s="1" t="s">
        <v>221</v>
      </c>
      <c r="DX416" s="1" t="s">
        <v>221</v>
      </c>
      <c r="DY416" s="1" t="s">
        <v>221</v>
      </c>
      <c r="DZ416" s="1" t="s">
        <v>221</v>
      </c>
      <c r="EA416" s="0" t="n">
        <v>1</v>
      </c>
      <c r="EC416" s="1" t="n">
        <v>39448</v>
      </c>
      <c r="ED416" s="1" t="n">
        <v>40001</v>
      </c>
      <c r="EF416" s="0"/>
      <c r="EG416" s="0" t="n">
        <v>1</v>
      </c>
      <c r="EH416" s="0" t="s">
        <v>221</v>
      </c>
      <c r="EI416" s="0" t="str">
        <f aca="false">IF(AND(DM416=1,DN416&lt;=48),"",IF(AND(DM416=2,DN416&lt;=42),"",IF(AND(DM416=3,DN416&lt;=45),"",EH416)))</f>
        <v/>
      </c>
      <c r="EJ416" s="0" t="str">
        <f aca="false">IF(EI416="","",IF(EI416&lt;9,EI416,9))</f>
        <v/>
      </c>
      <c r="EK416" s="0" t="str">
        <f aca="false">IF(EI416="","",IF(EI416&gt;9,EI416-EJ416,0))</f>
        <v/>
      </c>
      <c r="EL416" s="0" t="str">
        <f aca="false">IF(EI416="","",EJ416*DA416*2+EK416*DA416*3)</f>
        <v/>
      </c>
      <c r="EP416" s="0" t="n">
        <v>1</v>
      </c>
      <c r="EQ416" s="0"/>
      <c r="ER416" s="0" t="n">
        <v>0</v>
      </c>
      <c r="ET416" s="0" t="n">
        <v>0</v>
      </c>
      <c r="EV416" s="0" t="n">
        <v>0</v>
      </c>
      <c r="EX416" s="0" t="n">
        <v>0</v>
      </c>
      <c r="EY416" s="0" t="n">
        <v>1</v>
      </c>
      <c r="FB416" s="0" t="n">
        <v>1</v>
      </c>
      <c r="FF416" s="120" t="e">
        <f aca="false">(CJ416-CI416+1)/365</f>
        <v>#VALUE!</v>
      </c>
      <c r="FG416" s="0" t="str">
        <f aca="false">CONCATENATE(F416,"/",G416)</f>
        <v>712/2011</v>
      </c>
      <c r="FH416" s="0" t="n">
        <v>0</v>
      </c>
      <c r="FI416" s="0" t="n">
        <v>0</v>
      </c>
    </row>
    <row r="417" customFormat="false" ht="15" hidden="false" customHeight="false" outlineLevel="0" collapsed="false">
      <c r="A417" s="5" t="str">
        <f aca="false">E417&amp;G417&amp;F417</f>
        <v>72011712</v>
      </c>
      <c r="B417" s="0" t="s">
        <v>1855</v>
      </c>
      <c r="C417" s="1" t="n">
        <v>42414</v>
      </c>
      <c r="D417" s="0" t="s">
        <v>4067</v>
      </c>
      <c r="E417" s="0" t="n">
        <v>7</v>
      </c>
      <c r="F417" s="0" t="n">
        <v>712</v>
      </c>
      <c r="G417" s="0" t="n">
        <v>2011</v>
      </c>
      <c r="H417" s="0" t="str">
        <f aca="false">"J"&amp;E417&amp;"\"&amp;F417&amp;"\"&amp;G417&amp;"\"&amp;W417</f>
        <v>J7\712\2011\22</v>
      </c>
      <c r="I417" s="1" t="n">
        <v>40651</v>
      </c>
      <c r="J417" s="1" t="n">
        <v>40049</v>
      </c>
      <c r="K417" s="0" t="n">
        <v>0</v>
      </c>
      <c r="M417" s="1" t="n">
        <v>40084</v>
      </c>
      <c r="N417" s="1" t="n">
        <v>40123</v>
      </c>
      <c r="O417" s="1"/>
      <c r="P417" s="1"/>
      <c r="Q417" s="1"/>
      <c r="T417" s="121"/>
      <c r="U417" s="121"/>
      <c r="V417" s="122" t="n">
        <f aca="false">IF(AND(E417&gt;0,F417&gt;0,G417&gt;0),COUNTIFS($E:$E,E417,$F:$F,F417,$G:$G,G417),"")</f>
        <v>41</v>
      </c>
      <c r="W417" s="122" t="n">
        <f aca="false">IF(V417="","",IF(V417=1,1,IF(AND(E416=E417,F416=F417,G416=G417),W416+1,1)))</f>
        <v>22</v>
      </c>
      <c r="X417" s="0" t="n">
        <v>45</v>
      </c>
      <c r="Y417" s="0" t="n">
        <v>3</v>
      </c>
      <c r="Z417" s="0" t="s">
        <v>4093</v>
      </c>
      <c r="AA417" s="0" t="n">
        <v>0</v>
      </c>
      <c r="AB417" s="0" t="s">
        <v>4060</v>
      </c>
      <c r="AC417" s="0" t="s">
        <v>1160</v>
      </c>
      <c r="AD417" s="0" t="s">
        <v>229</v>
      </c>
      <c r="AE417" s="0" t="n">
        <v>0</v>
      </c>
      <c r="AF417" s="0" t="s">
        <v>3955</v>
      </c>
      <c r="AG417" s="0" t="n">
        <v>0</v>
      </c>
      <c r="AH417" s="0" t="s">
        <v>4061</v>
      </c>
      <c r="AI417" s="0" t="s">
        <v>3957</v>
      </c>
      <c r="AJ417" s="0" t="s">
        <v>590</v>
      </c>
      <c r="AL417" s="0" t="s">
        <v>4062</v>
      </c>
      <c r="AM417" s="0" t="n">
        <v>1</v>
      </c>
      <c r="AN417" s="0" t="s">
        <v>4061</v>
      </c>
      <c r="AO417" s="0" t="s">
        <v>3957</v>
      </c>
      <c r="AP417" s="0" t="s">
        <v>590</v>
      </c>
      <c r="AR417" s="0" t="s">
        <v>1880</v>
      </c>
      <c r="AS417" s="0" t="n">
        <v>1</v>
      </c>
      <c r="AT417" s="0" t="s">
        <v>4061</v>
      </c>
      <c r="AU417" s="0" t="s">
        <v>3957</v>
      </c>
      <c r="AV417" s="0" t="s">
        <v>590</v>
      </c>
      <c r="BR417" s="0" t="n">
        <v>1</v>
      </c>
      <c r="BS417" s="0" t="s">
        <v>4063</v>
      </c>
      <c r="BT417" s="0" t="s">
        <v>4064</v>
      </c>
      <c r="BU417" s="0" t="s">
        <v>4065</v>
      </c>
      <c r="BV417" s="123"/>
      <c r="BW417" s="123"/>
      <c r="BX417" s="123"/>
      <c r="BY417" s="123"/>
      <c r="BZ417" s="0" t="n">
        <v>0</v>
      </c>
      <c r="CA417" s="0" t="s">
        <v>216</v>
      </c>
      <c r="CD417" s="0" t="s">
        <v>502</v>
      </c>
      <c r="CE417" s="0" t="n">
        <v>0</v>
      </c>
      <c r="CF417" s="0" t="s">
        <v>1042</v>
      </c>
      <c r="CI417" s="1" t="s">
        <v>216</v>
      </c>
      <c r="CJ417" s="1" t="n">
        <v>40001</v>
      </c>
      <c r="CK417" s="124" t="s">
        <v>216</v>
      </c>
      <c r="CL417" s="0" t="s">
        <v>4062</v>
      </c>
      <c r="CM417" s="0" t="e">
        <f aca="false">IF(OR(CI417="",CJ417=""),"",DAYS360(CI417,CJ417)/360)</f>
        <v>#VALUE!</v>
      </c>
      <c r="CN417" s="0" t="e">
        <f aca="false">IF(OR(CI417="",CJ417=""),"",DAYS360(CI417,CJ417)/30)</f>
        <v>#VALUE!</v>
      </c>
      <c r="CO417" s="0" t="e">
        <f aca="false">IF(OR(CI417="",CJ417=""),"",DAYS360(CI417,CJ417)/7)</f>
        <v>#VALUE!</v>
      </c>
      <c r="CP417" s="0" t="e">
        <f aca="false">IF(OR(CI417="",CJ417=""),"",DAYS360(CI417,CJ417))</f>
        <v>#VALUE!</v>
      </c>
      <c r="CQ417" s="0" t="s">
        <v>220</v>
      </c>
      <c r="CR417" s="0" t="n">
        <v>1</v>
      </c>
      <c r="CT417" s="0" t="n">
        <v>800</v>
      </c>
      <c r="CU417" s="0" t="n">
        <v>0</v>
      </c>
      <c r="CV417" s="0" t="n">
        <f aca="false">IF(OR(CT417="",CT417="NO ESPECIFICA",CT417="NO MENCIONA"),"",IF(CU417=0,CT417,IF(CU417=1,CT417/30,IF(CU417=2,CT417/15,IF(CU417=3,CT417/7,"")))))</f>
        <v>800</v>
      </c>
      <c r="CW417" s="125" t="s">
        <v>216</v>
      </c>
      <c r="CX417" s="125" t="s">
        <v>216</v>
      </c>
      <c r="CY417" s="0" t="str">
        <f aca="false">IF(CW417="","",IF(CX417=0,CW417,IF(CX417=1,CW417/30,IF(CX417=2,CW417/15,IF(CX417=3,CW417/7,CW417)))))</f>
        <v>NO MENCIONA</v>
      </c>
      <c r="CZ417" s="0" t="n">
        <f aca="false">IF(DI417&gt;0,DI417,IF(CY417&gt;0,CY417,IF(CV417&gt;0,CV417,"")))</f>
        <v>800</v>
      </c>
      <c r="DA417" s="0" t="n">
        <f aca="false">IF(DM417=1,CZ417/8,IF(OR(DM417=2,DM417=4),CZ417/7,IF(DM417=3,CZ417/7.5,"")))</f>
        <v>106.666666666667</v>
      </c>
      <c r="DB417" s="0" t="s">
        <v>417</v>
      </c>
      <c r="DC417" s="0" t="s">
        <v>216</v>
      </c>
      <c r="DD417" s="0" t="s">
        <v>216</v>
      </c>
      <c r="DE417" s="0" t="s">
        <v>216</v>
      </c>
      <c r="DF417" s="0" t="s">
        <v>216</v>
      </c>
      <c r="DG417" s="0" t="s">
        <v>216</v>
      </c>
      <c r="DH417" s="0" t="n">
        <v>0</v>
      </c>
      <c r="DI417" s="126" t="n">
        <v>800</v>
      </c>
      <c r="DK417" s="0" t="n">
        <v>0</v>
      </c>
      <c r="DM417" s="0" t="n">
        <v>3</v>
      </c>
      <c r="DN417" s="0" t="n">
        <v>9</v>
      </c>
      <c r="DO417" s="0" t="n">
        <v>0</v>
      </c>
      <c r="DP417" s="0" t="n">
        <v>1</v>
      </c>
      <c r="DQ417" s="0" t="n">
        <v>1</v>
      </c>
      <c r="DR417" s="0"/>
      <c r="DS417" s="0" t="n">
        <v>1</v>
      </c>
      <c r="DU417" s="0" t="n">
        <v>1</v>
      </c>
      <c r="DW417" s="1" t="s">
        <v>221</v>
      </c>
      <c r="DX417" s="1" t="s">
        <v>221</v>
      </c>
      <c r="DY417" s="1" t="s">
        <v>221</v>
      </c>
      <c r="DZ417" s="1" t="s">
        <v>221</v>
      </c>
      <c r="EA417" s="0" t="n">
        <v>1</v>
      </c>
      <c r="EC417" s="1" t="n">
        <v>39448</v>
      </c>
      <c r="ED417" s="1" t="n">
        <v>40001</v>
      </c>
      <c r="EF417" s="0"/>
      <c r="EG417" s="0" t="n">
        <v>1</v>
      </c>
      <c r="EH417" s="0" t="s">
        <v>221</v>
      </c>
      <c r="EI417" s="0" t="str">
        <f aca="false">IF(AND(DM417=1,DN417&lt;=48),"",IF(AND(DM417=2,DN417&lt;=42),"",IF(AND(DM417=3,DN417&lt;=45),"",EH417)))</f>
        <v/>
      </c>
      <c r="EJ417" s="0" t="str">
        <f aca="false">IF(EI417="","",IF(EI417&lt;9,EI417,9))</f>
        <v/>
      </c>
      <c r="EK417" s="0" t="str">
        <f aca="false">IF(EI417="","",IF(EI417&gt;9,EI417-EJ417,0))</f>
        <v/>
      </c>
      <c r="EL417" s="0" t="str">
        <f aca="false">IF(EI417="","",EJ417*DA417*2+EK417*DA417*3)</f>
        <v/>
      </c>
      <c r="EP417" s="0" t="n">
        <v>1</v>
      </c>
      <c r="EQ417" s="0"/>
      <c r="ER417" s="0" t="n">
        <v>0</v>
      </c>
      <c r="ET417" s="0" t="n">
        <v>0</v>
      </c>
      <c r="EV417" s="0" t="n">
        <v>0</v>
      </c>
      <c r="EX417" s="0" t="n">
        <v>0</v>
      </c>
      <c r="EY417" s="0" t="n">
        <v>1</v>
      </c>
      <c r="FB417" s="0" t="n">
        <v>1</v>
      </c>
      <c r="FF417" s="120" t="e">
        <f aca="false">(CJ417-CI417+1)/365</f>
        <v>#VALUE!</v>
      </c>
      <c r="FG417" s="0" t="str">
        <f aca="false">CONCATENATE(F417,"/",G417)</f>
        <v>712/2011</v>
      </c>
      <c r="FH417" s="0" t="n">
        <v>0</v>
      </c>
      <c r="FI417" s="0" t="n">
        <v>0</v>
      </c>
    </row>
    <row r="418" customFormat="false" ht="15" hidden="false" customHeight="false" outlineLevel="0" collapsed="false">
      <c r="A418" s="5" t="str">
        <f aca="false">E418&amp;G418&amp;F418</f>
        <v>72011712</v>
      </c>
      <c r="B418" s="0" t="s">
        <v>1855</v>
      </c>
      <c r="C418" s="1" t="n">
        <v>42414</v>
      </c>
      <c r="D418" s="0" t="s">
        <v>4067</v>
      </c>
      <c r="E418" s="0" t="n">
        <v>7</v>
      </c>
      <c r="F418" s="0" t="n">
        <v>712</v>
      </c>
      <c r="G418" s="0" t="n">
        <v>2011</v>
      </c>
      <c r="H418" s="0" t="str">
        <f aca="false">"J"&amp;E418&amp;"\"&amp;F418&amp;"\"&amp;G418&amp;"\"&amp;W418</f>
        <v>J7\712\2011\23</v>
      </c>
      <c r="I418" s="1" t="n">
        <v>40651</v>
      </c>
      <c r="J418" s="1" t="n">
        <v>40049</v>
      </c>
      <c r="K418" s="0" t="n">
        <v>0</v>
      </c>
      <c r="M418" s="1" t="n">
        <v>40084</v>
      </c>
      <c r="N418" s="1" t="n">
        <v>40123</v>
      </c>
      <c r="O418" s="1"/>
      <c r="P418" s="1"/>
      <c r="Q418" s="1"/>
      <c r="T418" s="121"/>
      <c r="U418" s="121"/>
      <c r="V418" s="122" t="n">
        <f aca="false">IF(AND(E418&gt;0,F418&gt;0,G418&gt;0),COUNTIFS($E:$E,E418,$F:$F,F418,$G:$G,G418),"")</f>
        <v>41</v>
      </c>
      <c r="W418" s="122" t="n">
        <f aca="false">IF(V418="","",IF(V418=1,1,IF(AND(E417=E418,F417=F418,G417=G418),W417+1,1)))</f>
        <v>23</v>
      </c>
      <c r="X418" s="0" t="n">
        <v>45</v>
      </c>
      <c r="Y418" s="0" t="n">
        <v>3</v>
      </c>
      <c r="Z418" s="0" t="s">
        <v>4094</v>
      </c>
      <c r="AA418" s="0" t="n">
        <v>0</v>
      </c>
      <c r="AB418" s="0" t="s">
        <v>4060</v>
      </c>
      <c r="AC418" s="0" t="s">
        <v>1160</v>
      </c>
      <c r="AD418" s="0" t="s">
        <v>229</v>
      </c>
      <c r="AE418" s="0" t="n">
        <v>0</v>
      </c>
      <c r="AF418" s="0" t="s">
        <v>3955</v>
      </c>
      <c r="AG418" s="0" t="n">
        <v>0</v>
      </c>
      <c r="AH418" s="0" t="s">
        <v>4061</v>
      </c>
      <c r="AI418" s="0" t="s">
        <v>3957</v>
      </c>
      <c r="AJ418" s="0" t="s">
        <v>590</v>
      </c>
      <c r="AL418" s="0" t="s">
        <v>4062</v>
      </c>
      <c r="AM418" s="0" t="n">
        <v>1</v>
      </c>
      <c r="AN418" s="0" t="s">
        <v>4061</v>
      </c>
      <c r="AO418" s="0" t="s">
        <v>3957</v>
      </c>
      <c r="AP418" s="0" t="s">
        <v>590</v>
      </c>
      <c r="AR418" s="0" t="s">
        <v>1880</v>
      </c>
      <c r="AS418" s="0" t="n">
        <v>1</v>
      </c>
      <c r="AT418" s="0" t="s">
        <v>4061</v>
      </c>
      <c r="AU418" s="0" t="s">
        <v>3957</v>
      </c>
      <c r="AV418" s="0" t="s">
        <v>590</v>
      </c>
      <c r="BR418" s="0" t="n">
        <v>1</v>
      </c>
      <c r="BS418" s="0" t="s">
        <v>4063</v>
      </c>
      <c r="BT418" s="0" t="s">
        <v>4064</v>
      </c>
      <c r="BU418" s="0" t="s">
        <v>4065</v>
      </c>
      <c r="BV418" s="123"/>
      <c r="BW418" s="123"/>
      <c r="BX418" s="123"/>
      <c r="BY418" s="123"/>
      <c r="BZ418" s="0" t="n">
        <v>0</v>
      </c>
      <c r="CA418" s="0" t="s">
        <v>216</v>
      </c>
      <c r="CD418" s="0" t="s">
        <v>502</v>
      </c>
      <c r="CE418" s="0" t="n">
        <v>0</v>
      </c>
      <c r="CF418" s="0" t="s">
        <v>1042</v>
      </c>
      <c r="CI418" s="1" t="n">
        <v>34151</v>
      </c>
      <c r="CJ418" s="1" t="n">
        <v>40001</v>
      </c>
      <c r="CK418" s="124" t="s">
        <v>216</v>
      </c>
      <c r="CL418" s="0" t="s">
        <v>4062</v>
      </c>
      <c r="CM418" s="0" t="n">
        <f aca="false">IF(OR(CI418="",CJ418=""),"",DAYS360(CI418,CJ418)/360)</f>
        <v>16.0166666666667</v>
      </c>
      <c r="CN418" s="0" t="n">
        <f aca="false">IF(OR(CI418="",CJ418=""),"",DAYS360(CI418,CJ418)/30)</f>
        <v>192.2</v>
      </c>
      <c r="CO418" s="0" t="n">
        <f aca="false">IF(OR(CI418="",CJ418=""),"",DAYS360(CI418,CJ418)/7)</f>
        <v>823.714285714286</v>
      </c>
      <c r="CP418" s="0" t="n">
        <f aca="false">IF(OR(CI418="",CJ418=""),"",DAYS360(CI418,CJ418))</f>
        <v>5766</v>
      </c>
      <c r="CQ418" s="0" t="s">
        <v>220</v>
      </c>
      <c r="CR418" s="0" t="n">
        <v>1</v>
      </c>
      <c r="CT418" s="0" t="n">
        <v>750</v>
      </c>
      <c r="CU418" s="0" t="n">
        <v>2</v>
      </c>
      <c r="CV418" s="0" t="n">
        <f aca="false">IF(OR(CT418="",CT418="NO ESPECIFICA",CT418="NO MENCIONA"),"",IF(CU418=0,CT418,IF(CU418=1,CT418/30,IF(CU418=2,CT418/15,IF(CU418=3,CT418/7,"")))))</f>
        <v>50</v>
      </c>
      <c r="CW418" s="125" t="s">
        <v>216</v>
      </c>
      <c r="CX418" s="125" t="s">
        <v>216</v>
      </c>
      <c r="CY418" s="0" t="str">
        <f aca="false">IF(CW418="","",IF(CX418=0,CW418,IF(CX418=1,CW418/30,IF(CX418=2,CW418/15,IF(CX418=3,CW418/7,CW418)))))</f>
        <v>NO MENCIONA</v>
      </c>
      <c r="CZ418" s="0" t="n">
        <f aca="false">IF(DI418&gt;0,DI418,IF(CY418&gt;0,CY418,IF(CV418&gt;0,CV418,"")))</f>
        <v>50</v>
      </c>
      <c r="DA418" s="0" t="str">
        <f aca="false">IF(DM418=1,CZ418/8,IF(OR(DM418=2,DM418=4),CZ418/7,IF(DM418=3,CZ418/7.5,"")))</f>
        <v/>
      </c>
      <c r="DB418" s="125" t="s">
        <v>417</v>
      </c>
      <c r="DC418" s="0" t="s">
        <v>216</v>
      </c>
      <c r="DD418" s="0" t="s">
        <v>216</v>
      </c>
      <c r="DE418" s="0" t="s">
        <v>216</v>
      </c>
      <c r="DF418" s="0" t="s">
        <v>216</v>
      </c>
      <c r="DG418" s="0" t="s">
        <v>216</v>
      </c>
      <c r="DH418" s="0" t="n">
        <v>0</v>
      </c>
      <c r="DI418" s="126" t="n">
        <f aca="false">CT418/15</f>
        <v>50</v>
      </c>
      <c r="DK418" s="0" t="n">
        <v>0</v>
      </c>
      <c r="DN418" s="0" t="s">
        <v>216</v>
      </c>
      <c r="DO418" s="0" t="s">
        <v>216</v>
      </c>
      <c r="DP418" s="0" t="n">
        <v>1</v>
      </c>
      <c r="DQ418" s="0" t="n">
        <v>1</v>
      </c>
      <c r="DR418" s="0"/>
      <c r="DS418" s="0" t="n">
        <v>1</v>
      </c>
      <c r="DU418" s="0" t="n">
        <v>1</v>
      </c>
      <c r="DW418" s="1" t="s">
        <v>221</v>
      </c>
      <c r="DX418" s="1" t="s">
        <v>221</v>
      </c>
      <c r="DY418" s="1" t="s">
        <v>221</v>
      </c>
      <c r="DZ418" s="1" t="s">
        <v>221</v>
      </c>
      <c r="EA418" s="0" t="n">
        <v>1</v>
      </c>
      <c r="EC418" s="1" t="n">
        <v>39448</v>
      </c>
      <c r="ED418" s="1" t="n">
        <v>40001</v>
      </c>
      <c r="EF418" s="0"/>
      <c r="EG418" s="0" t="n">
        <v>1</v>
      </c>
      <c r="EH418" s="0" t="s">
        <v>221</v>
      </c>
      <c r="EI418" s="0" t="str">
        <f aca="false">IF(AND(DM418=1,DN418&lt;=48),"",IF(AND(DM418=2,DN418&lt;=42),"",IF(AND(DM418=3,DN418&lt;=45),"",EH418)))</f>
        <v>NO ESPECIFICA</v>
      </c>
      <c r="EJ418" s="0" t="n">
        <f aca="false">IF(EI418="","",IF(EI418&lt;9,EI418,9))</f>
        <v>9</v>
      </c>
      <c r="EK418" s="0" t="e">
        <f aca="false">IF(EI418="","",IF(EI418&gt;9,EI418-EJ418,0))</f>
        <v>#VALUE!</v>
      </c>
      <c r="EL418" s="0" t="e">
        <f aca="false">IF(EI418="","",EJ418*DA418*2+EK418*DA418*3)</f>
        <v>#VALUE!</v>
      </c>
      <c r="EP418" s="0" t="n">
        <v>1</v>
      </c>
      <c r="EQ418" s="0"/>
      <c r="ER418" s="0" t="n">
        <v>0</v>
      </c>
      <c r="ET418" s="0" t="n">
        <v>0</v>
      </c>
      <c r="EV418" s="0" t="n">
        <v>0</v>
      </c>
      <c r="EX418" s="0" t="n">
        <v>0</v>
      </c>
      <c r="EY418" s="0" t="n">
        <v>1</v>
      </c>
      <c r="FB418" s="0" t="n">
        <v>1</v>
      </c>
      <c r="FF418" s="120" t="n">
        <f aca="false">(CJ418-CI418+1)/365</f>
        <v>16.0301369863014</v>
      </c>
      <c r="FG418" s="0" t="str">
        <f aca="false">CONCATENATE(F418,"/",G418)</f>
        <v>712/2011</v>
      </c>
      <c r="FH418" s="0" t="n">
        <v>0</v>
      </c>
      <c r="FI418" s="0" t="n">
        <v>0</v>
      </c>
    </row>
    <row r="419" customFormat="false" ht="15" hidden="false" customHeight="false" outlineLevel="0" collapsed="false">
      <c r="A419" s="5" t="str">
        <f aca="false">E419&amp;G419&amp;F419</f>
        <v>72011712</v>
      </c>
      <c r="B419" s="0" t="s">
        <v>1855</v>
      </c>
      <c r="C419" s="1" t="n">
        <v>42414</v>
      </c>
      <c r="D419" s="0" t="s">
        <v>4067</v>
      </c>
      <c r="E419" s="0" t="n">
        <v>7</v>
      </c>
      <c r="F419" s="0" t="n">
        <v>712</v>
      </c>
      <c r="G419" s="0" t="n">
        <v>2011</v>
      </c>
      <c r="H419" s="0" t="str">
        <f aca="false">"J"&amp;E419&amp;"\"&amp;F419&amp;"\"&amp;G419&amp;"\"&amp;W419</f>
        <v>J7\712\2011\24</v>
      </c>
      <c r="I419" s="1" t="n">
        <v>40651</v>
      </c>
      <c r="J419" s="1" t="n">
        <v>40049</v>
      </c>
      <c r="K419" s="0" t="n">
        <v>0</v>
      </c>
      <c r="M419" s="1" t="n">
        <v>40084</v>
      </c>
      <c r="N419" s="1" t="n">
        <v>40123</v>
      </c>
      <c r="O419" s="1"/>
      <c r="P419" s="1"/>
      <c r="Q419" s="1"/>
      <c r="T419" s="121"/>
      <c r="U419" s="121"/>
      <c r="V419" s="122" t="n">
        <f aca="false">IF(AND(E419&gt;0,F419&gt;0,G419&gt;0),COUNTIFS($E:$E,E419,$F:$F,F419,$G:$G,G419),"")</f>
        <v>41</v>
      </c>
      <c r="W419" s="122" t="n">
        <f aca="false">IF(V419="","",IF(V419=1,1,IF(AND(E418=E419,F418=F419,G418=G419),W418+1,1)))</f>
        <v>24</v>
      </c>
      <c r="X419" s="0" t="n">
        <v>45</v>
      </c>
      <c r="Y419" s="0" t="n">
        <v>3</v>
      </c>
      <c r="Z419" s="0" t="s">
        <v>4095</v>
      </c>
      <c r="AA419" s="0" t="n">
        <v>0</v>
      </c>
      <c r="AB419" s="0" t="s">
        <v>4060</v>
      </c>
      <c r="AC419" s="0" t="s">
        <v>1160</v>
      </c>
      <c r="AD419" s="0" t="s">
        <v>229</v>
      </c>
      <c r="AE419" s="0" t="n">
        <v>0</v>
      </c>
      <c r="AF419" s="0" t="s">
        <v>3955</v>
      </c>
      <c r="AG419" s="0" t="n">
        <v>0</v>
      </c>
      <c r="AH419" s="0" t="s">
        <v>4061</v>
      </c>
      <c r="AI419" s="0" t="s">
        <v>3957</v>
      </c>
      <c r="AJ419" s="0" t="s">
        <v>590</v>
      </c>
      <c r="AL419" s="0" t="s">
        <v>4062</v>
      </c>
      <c r="AM419" s="0" t="n">
        <v>1</v>
      </c>
      <c r="AN419" s="0" t="s">
        <v>4061</v>
      </c>
      <c r="AO419" s="0" t="s">
        <v>3957</v>
      </c>
      <c r="AP419" s="0" t="s">
        <v>590</v>
      </c>
      <c r="AR419" s="0" t="s">
        <v>1880</v>
      </c>
      <c r="AS419" s="0" t="n">
        <v>1</v>
      </c>
      <c r="AT419" s="0" t="s">
        <v>4061</v>
      </c>
      <c r="AU419" s="0" t="s">
        <v>3957</v>
      </c>
      <c r="AV419" s="0" t="s">
        <v>590</v>
      </c>
      <c r="BR419" s="0" t="n">
        <v>1</v>
      </c>
      <c r="BS419" s="0" t="s">
        <v>4063</v>
      </c>
      <c r="BT419" s="0" t="s">
        <v>4064</v>
      </c>
      <c r="BU419" s="0" t="s">
        <v>4065</v>
      </c>
      <c r="BV419" s="123"/>
      <c r="BW419" s="123"/>
      <c r="BX419" s="123"/>
      <c r="BY419" s="123"/>
      <c r="BZ419" s="0" t="n">
        <v>0</v>
      </c>
      <c r="CA419" s="0" t="s">
        <v>216</v>
      </c>
      <c r="CD419" s="0" t="s">
        <v>502</v>
      </c>
      <c r="CE419" s="0" t="n">
        <v>0</v>
      </c>
      <c r="CF419" s="0" t="s">
        <v>1086</v>
      </c>
      <c r="CI419" s="1" t="n">
        <v>34912</v>
      </c>
      <c r="CJ419" s="1" t="n">
        <v>40001</v>
      </c>
      <c r="CK419" s="124" t="s">
        <v>216</v>
      </c>
      <c r="CL419" s="0" t="s">
        <v>4062</v>
      </c>
      <c r="CM419" s="0" t="n">
        <f aca="false">IF(OR(CI419="",CJ419=""),"",DAYS360(CI419,CJ419)/360)</f>
        <v>13.9333333333333</v>
      </c>
      <c r="CN419" s="0" t="n">
        <f aca="false">IF(OR(CI419="",CJ419=""),"",DAYS360(CI419,CJ419)/30)</f>
        <v>167.2</v>
      </c>
      <c r="CO419" s="0" t="n">
        <f aca="false">IF(OR(CI419="",CJ419=""),"",DAYS360(CI419,CJ419)/7)</f>
        <v>716.571428571429</v>
      </c>
      <c r="CP419" s="0" t="n">
        <f aca="false">IF(OR(CI419="",CJ419=""),"",DAYS360(CI419,CJ419))</f>
        <v>5016</v>
      </c>
      <c r="CQ419" s="0" t="s">
        <v>220</v>
      </c>
      <c r="CR419" s="0" t="n">
        <v>1</v>
      </c>
      <c r="CT419" s="0" t="n">
        <v>1200</v>
      </c>
      <c r="CU419" s="0" t="n">
        <v>2</v>
      </c>
      <c r="CV419" s="0" t="n">
        <f aca="false">IF(OR(CT419="",CT419="NO ESPECIFICA",CT419="NO MENCIONA"),"",IF(CU419=0,CT419,IF(CU419=1,CT419/30,IF(CU419=2,CT419/15,IF(CU419=3,CT419/7,"")))))</f>
        <v>80</v>
      </c>
      <c r="CW419" s="125" t="s">
        <v>216</v>
      </c>
      <c r="CX419" s="125" t="s">
        <v>216</v>
      </c>
      <c r="CY419" s="0" t="str">
        <f aca="false">IF(CW419="","",IF(CX419=0,CW419,IF(CX419=1,CW419/30,IF(CX419=2,CW419/15,IF(CX419=3,CW419/7,CW419)))))</f>
        <v>NO MENCIONA</v>
      </c>
      <c r="CZ419" s="0" t="n">
        <f aca="false">IF(DI419&gt;0,DI419,IF(CY419&gt;0,CY419,IF(CV419&gt;0,CV419,"")))</f>
        <v>80</v>
      </c>
      <c r="DA419" s="0" t="n">
        <f aca="false">IF(DM419=1,CZ419/8,IF(OR(DM419=2,DM419=4),CZ419/7,IF(DM419=3,CZ419/7.5,"")))</f>
        <v>10.6666666666667</v>
      </c>
      <c r="DB419" s="0" t="s">
        <v>417</v>
      </c>
      <c r="DC419" s="0" t="s">
        <v>216</v>
      </c>
      <c r="DD419" s="0" t="s">
        <v>216</v>
      </c>
      <c r="DE419" s="0" t="s">
        <v>216</v>
      </c>
      <c r="DF419" s="0" t="s">
        <v>216</v>
      </c>
      <c r="DG419" s="0" t="s">
        <v>216</v>
      </c>
      <c r="DH419" s="0" t="n">
        <v>0</v>
      </c>
      <c r="DI419" s="126" t="n">
        <f aca="false">CT419/15</f>
        <v>80</v>
      </c>
      <c r="DK419" s="0" t="n">
        <v>1</v>
      </c>
      <c r="DM419" s="0" t="n">
        <v>3</v>
      </c>
      <c r="DN419" s="0" t="n">
        <v>10</v>
      </c>
      <c r="DO419" s="0" t="n">
        <v>0</v>
      </c>
      <c r="DP419" s="0" t="n">
        <v>1</v>
      </c>
      <c r="DQ419" s="0" t="n">
        <v>1</v>
      </c>
      <c r="DR419" s="0"/>
      <c r="DS419" s="0" t="n">
        <v>1</v>
      </c>
      <c r="DU419" s="0" t="n">
        <v>1</v>
      </c>
      <c r="DW419" s="1" t="s">
        <v>221</v>
      </c>
      <c r="DX419" s="1" t="s">
        <v>221</v>
      </c>
      <c r="DY419" s="1" t="s">
        <v>221</v>
      </c>
      <c r="DZ419" s="1" t="s">
        <v>221</v>
      </c>
      <c r="EA419" s="0" t="n">
        <v>1</v>
      </c>
      <c r="EC419" s="1" t="n">
        <v>39448</v>
      </c>
      <c r="ED419" s="1" t="n">
        <v>40001</v>
      </c>
      <c r="EF419" s="0"/>
      <c r="EG419" s="0" t="n">
        <v>1</v>
      </c>
      <c r="EH419" s="0" t="s">
        <v>221</v>
      </c>
      <c r="EI419" s="0" t="str">
        <f aca="false">IF(AND(DM419=1,DN419&lt;=48),"",IF(AND(DM419=2,DN419&lt;=42),"",IF(AND(DM419=3,DN419&lt;=45),"",EH419)))</f>
        <v/>
      </c>
      <c r="EJ419" s="0" t="str">
        <f aca="false">IF(EI419="","",IF(EI419&lt;9,EI419,9))</f>
        <v/>
      </c>
      <c r="EK419" s="0" t="str">
        <f aca="false">IF(EI419="","",IF(EI419&gt;9,EI419-EJ419,0))</f>
        <v/>
      </c>
      <c r="EL419" s="0" t="str">
        <f aca="false">IF(EI419="","",EJ419*DA419*2+EK419*DA419*3)</f>
        <v/>
      </c>
      <c r="EP419" s="0" t="n">
        <v>1</v>
      </c>
      <c r="EQ419" s="0"/>
      <c r="ER419" s="0" t="n">
        <v>0</v>
      </c>
      <c r="ET419" s="0" t="n">
        <v>0</v>
      </c>
      <c r="EV419" s="0" t="n">
        <v>0</v>
      </c>
      <c r="EX419" s="0" t="n">
        <v>0</v>
      </c>
      <c r="EY419" s="0" t="n">
        <v>1</v>
      </c>
      <c r="FB419" s="0" t="n">
        <v>1</v>
      </c>
      <c r="FF419" s="120" t="n">
        <f aca="false">(CJ419-CI419+1)/365</f>
        <v>13.9452054794521</v>
      </c>
      <c r="FG419" s="0" t="str">
        <f aca="false">CONCATENATE(F419,"/",G419)</f>
        <v>712/2011</v>
      </c>
      <c r="FH419" s="0" t="n">
        <v>0</v>
      </c>
      <c r="FI419" s="0" t="n">
        <v>0</v>
      </c>
    </row>
    <row r="420" customFormat="false" ht="15" hidden="false" customHeight="false" outlineLevel="0" collapsed="false">
      <c r="A420" s="5" t="str">
        <f aca="false">E420&amp;G420&amp;F420</f>
        <v>72011712</v>
      </c>
      <c r="B420" s="0" t="s">
        <v>1855</v>
      </c>
      <c r="C420" s="1" t="n">
        <v>42414</v>
      </c>
      <c r="D420" s="0" t="s">
        <v>4067</v>
      </c>
      <c r="E420" s="0" t="n">
        <v>7</v>
      </c>
      <c r="F420" s="0" t="n">
        <v>712</v>
      </c>
      <c r="G420" s="0" t="n">
        <v>2011</v>
      </c>
      <c r="H420" s="0" t="str">
        <f aca="false">"J"&amp;E420&amp;"\"&amp;F420&amp;"\"&amp;G420&amp;"\"&amp;W420</f>
        <v>J7\712\2011\25</v>
      </c>
      <c r="I420" s="1" t="n">
        <v>40651</v>
      </c>
      <c r="J420" s="1" t="n">
        <v>40049</v>
      </c>
      <c r="K420" s="0" t="n">
        <v>0</v>
      </c>
      <c r="M420" s="1" t="n">
        <v>40084</v>
      </c>
      <c r="N420" s="1" t="n">
        <v>40123</v>
      </c>
      <c r="O420" s="1"/>
      <c r="P420" s="1"/>
      <c r="Q420" s="1"/>
      <c r="T420" s="121"/>
      <c r="U420" s="121"/>
      <c r="V420" s="122" t="n">
        <f aca="false">IF(AND(E420&gt;0,F420&gt;0,G420&gt;0),COUNTIFS($E:$E,E420,$F:$F,F420,$G:$G,G420),"")</f>
        <v>41</v>
      </c>
      <c r="W420" s="122" t="n">
        <f aca="false">IF(V420="","",IF(V420=1,1,IF(AND(E419=E420,F419=F420,G419=G420),W419+1,1)))</f>
        <v>25</v>
      </c>
      <c r="X420" s="0" t="n">
        <v>45</v>
      </c>
      <c r="Y420" s="0" t="n">
        <v>3</v>
      </c>
      <c r="Z420" s="0" t="s">
        <v>4096</v>
      </c>
      <c r="AA420" s="0" t="n">
        <v>0</v>
      </c>
      <c r="AB420" s="0" t="s">
        <v>4060</v>
      </c>
      <c r="AC420" s="0" t="s">
        <v>1160</v>
      </c>
      <c r="AD420" s="0" t="s">
        <v>229</v>
      </c>
      <c r="AE420" s="0" t="n">
        <v>0</v>
      </c>
      <c r="AF420" s="0" t="s">
        <v>3955</v>
      </c>
      <c r="AG420" s="0" t="n">
        <v>0</v>
      </c>
      <c r="AH420" s="0" t="s">
        <v>4061</v>
      </c>
      <c r="AI420" s="0" t="s">
        <v>3957</v>
      </c>
      <c r="AJ420" s="0" t="s">
        <v>590</v>
      </c>
      <c r="AL420" s="0" t="s">
        <v>4062</v>
      </c>
      <c r="AM420" s="0" t="n">
        <v>1</v>
      </c>
      <c r="AN420" s="0" t="s">
        <v>4061</v>
      </c>
      <c r="AO420" s="0" t="s">
        <v>3957</v>
      </c>
      <c r="AP420" s="0" t="s">
        <v>590</v>
      </c>
      <c r="AR420" s="0" t="s">
        <v>1880</v>
      </c>
      <c r="AS420" s="0" t="n">
        <v>1</v>
      </c>
      <c r="AT420" s="0" t="s">
        <v>4061</v>
      </c>
      <c r="AU420" s="0" t="s">
        <v>3957</v>
      </c>
      <c r="AV420" s="0" t="s">
        <v>590</v>
      </c>
      <c r="BR420" s="0" t="n">
        <v>1</v>
      </c>
      <c r="BS420" s="0" t="s">
        <v>4063</v>
      </c>
      <c r="BT420" s="0" t="s">
        <v>4064</v>
      </c>
      <c r="BU420" s="0" t="s">
        <v>4065</v>
      </c>
      <c r="BV420" s="123"/>
      <c r="BW420" s="123"/>
      <c r="BX420" s="123"/>
      <c r="BY420" s="123"/>
      <c r="BZ420" s="0" t="n">
        <v>0</v>
      </c>
      <c r="CA420" s="0" t="s">
        <v>216</v>
      </c>
      <c r="CD420" s="0" t="s">
        <v>502</v>
      </c>
      <c r="CE420" s="0" t="n">
        <v>0</v>
      </c>
      <c r="CF420" s="0" t="s">
        <v>457</v>
      </c>
      <c r="CI420" s="1" t="n">
        <v>39553</v>
      </c>
      <c r="CJ420" s="1" t="n">
        <v>40001</v>
      </c>
      <c r="CK420" s="124" t="s">
        <v>216</v>
      </c>
      <c r="CL420" s="0" t="s">
        <v>4062</v>
      </c>
      <c r="CM420" s="0" t="n">
        <f aca="false">IF(OR(CI420="",CJ420=""),"",DAYS360(CI420,CJ420)/360)</f>
        <v>1.22777777777778</v>
      </c>
      <c r="CN420" s="0" t="n">
        <f aca="false">IF(OR(CI420="",CJ420=""),"",DAYS360(CI420,CJ420)/30)</f>
        <v>14.7333333333333</v>
      </c>
      <c r="CO420" s="0" t="n">
        <f aca="false">IF(OR(CI420="",CJ420=""),"",DAYS360(CI420,CJ420)/7)</f>
        <v>63.1428571428572</v>
      </c>
      <c r="CP420" s="0" t="n">
        <f aca="false">IF(OR(CI420="",CJ420=""),"",DAYS360(CI420,CJ420))</f>
        <v>442</v>
      </c>
      <c r="CQ420" s="0" t="s">
        <v>220</v>
      </c>
      <c r="CR420" s="0" t="n">
        <v>1</v>
      </c>
      <c r="CT420" s="0" t="s">
        <v>216</v>
      </c>
      <c r="CU420" s="0" t="s">
        <v>216</v>
      </c>
      <c r="CV420" s="0" t="str">
        <f aca="false">IF(OR(CT420="",CT420="NO ESPECIFICA",CT420="NO MENCIONA"),"",IF(CU420=0,CT420,IF(CU420=1,CT420/30,IF(CU420=2,CT420/15,IF(CU420=3,CT420/7,"")))))</f>
        <v/>
      </c>
      <c r="CW420" s="125" t="s">
        <v>216</v>
      </c>
      <c r="CX420" s="125" t="s">
        <v>216</v>
      </c>
      <c r="CY420" s="0" t="str">
        <f aca="false">IF(CW420="","",IF(CX420=0,CW420,IF(CX420=1,CW420/30,IF(CX420=2,CW420/15,IF(CX420=3,CW420/7,CW420)))))</f>
        <v>NO MENCIONA</v>
      </c>
      <c r="CZ420" s="0" t="str">
        <f aca="false">IF(DI420&gt;0,DI420,IF(CY420&gt;0,CY420,IF(CV420&gt;0,CV420,"")))</f>
        <v>NO MENCIONA</v>
      </c>
      <c r="DA420" s="0" t="str">
        <f aca="false">IF(DM420=1,CZ420/8,IF(OR(DM420=2,DM420=4),CZ420/7,IF(DM420=3,CZ420/7.5,"")))</f>
        <v/>
      </c>
      <c r="DB420" s="0" t="s">
        <v>216</v>
      </c>
      <c r="DC420" s="0" t="s">
        <v>216</v>
      </c>
      <c r="DD420" s="0" t="s">
        <v>216</v>
      </c>
      <c r="DE420" s="0" t="s">
        <v>216</v>
      </c>
      <c r="DF420" s="0" t="s">
        <v>216</v>
      </c>
      <c r="DG420" s="0" t="s">
        <v>216</v>
      </c>
      <c r="DH420" s="0" t="n">
        <v>0</v>
      </c>
      <c r="DI420" s="126" t="s">
        <v>216</v>
      </c>
      <c r="DK420" s="0" t="n">
        <v>1</v>
      </c>
      <c r="DN420" s="0" t="s">
        <v>216</v>
      </c>
      <c r="DO420" s="0" t="s">
        <v>216</v>
      </c>
      <c r="DP420" s="0" t="n">
        <v>1</v>
      </c>
      <c r="DQ420" s="0" t="n">
        <v>1</v>
      </c>
      <c r="DR420" s="0"/>
      <c r="DS420" s="0" t="n">
        <v>1</v>
      </c>
      <c r="DU420" s="0" t="n">
        <v>1</v>
      </c>
      <c r="DW420" s="1" t="s">
        <v>221</v>
      </c>
      <c r="DX420" s="1" t="s">
        <v>221</v>
      </c>
      <c r="DY420" s="1" t="s">
        <v>221</v>
      </c>
      <c r="DZ420" s="1" t="s">
        <v>221</v>
      </c>
      <c r="EA420" s="0" t="n">
        <v>1</v>
      </c>
      <c r="EC420" s="1" t="n">
        <v>39448</v>
      </c>
      <c r="ED420" s="1" t="n">
        <v>40001</v>
      </c>
      <c r="EF420" s="0"/>
      <c r="EG420" s="0" t="n">
        <v>1</v>
      </c>
      <c r="EH420" s="0" t="s">
        <v>221</v>
      </c>
      <c r="EI420" s="0" t="str">
        <f aca="false">IF(AND(DM420=1,DN420&lt;=48),"",IF(AND(DM420=2,DN420&lt;=42),"",IF(AND(DM420=3,DN420&lt;=45),"",EH420)))</f>
        <v>NO ESPECIFICA</v>
      </c>
      <c r="EJ420" s="0" t="n">
        <f aca="false">IF(EI420="","",IF(EI420&lt;9,EI420,9))</f>
        <v>9</v>
      </c>
      <c r="EK420" s="0" t="e">
        <f aca="false">IF(EI420="","",IF(EI420&gt;9,EI420-EJ420,0))</f>
        <v>#VALUE!</v>
      </c>
      <c r="EL420" s="0" t="e">
        <f aca="false">IF(EI420="","",EJ420*DA420*2+EK420*DA420*3)</f>
        <v>#VALUE!</v>
      </c>
      <c r="EP420" s="0" t="n">
        <v>1</v>
      </c>
      <c r="EQ420" s="0"/>
      <c r="ER420" s="0" t="n">
        <v>0</v>
      </c>
      <c r="ET420" s="0" t="n">
        <v>0</v>
      </c>
      <c r="EV420" s="0" t="n">
        <v>0</v>
      </c>
      <c r="EX420" s="0" t="n">
        <v>0</v>
      </c>
      <c r="EY420" s="0" t="n">
        <v>1</v>
      </c>
      <c r="FB420" s="0" t="n">
        <v>1</v>
      </c>
      <c r="FF420" s="120" t="n">
        <f aca="false">(CJ420-CI420+1)/365</f>
        <v>1.23013698630137</v>
      </c>
      <c r="FG420" s="0" t="str">
        <f aca="false">CONCATENATE(F420,"/",G420)</f>
        <v>712/2011</v>
      </c>
      <c r="FH420" s="0" t="n">
        <v>0</v>
      </c>
      <c r="FI420" s="0" t="n">
        <v>0</v>
      </c>
    </row>
    <row r="421" customFormat="false" ht="15" hidden="false" customHeight="false" outlineLevel="0" collapsed="false">
      <c r="A421" s="5" t="str">
        <f aca="false">E421&amp;G421&amp;F421</f>
        <v>72011712</v>
      </c>
      <c r="B421" s="0" t="s">
        <v>1855</v>
      </c>
      <c r="C421" s="1" t="n">
        <v>42414</v>
      </c>
      <c r="D421" s="0" t="s">
        <v>4067</v>
      </c>
      <c r="E421" s="0" t="n">
        <v>7</v>
      </c>
      <c r="F421" s="0" t="n">
        <v>712</v>
      </c>
      <c r="G421" s="0" t="n">
        <v>2011</v>
      </c>
      <c r="H421" s="0" t="str">
        <f aca="false">"J"&amp;E421&amp;"\"&amp;F421&amp;"\"&amp;G421&amp;"\"&amp;W421</f>
        <v>J7\712\2011\26</v>
      </c>
      <c r="I421" s="1" t="n">
        <v>40651</v>
      </c>
      <c r="J421" s="1" t="n">
        <v>40049</v>
      </c>
      <c r="K421" s="0" t="n">
        <v>0</v>
      </c>
      <c r="M421" s="1" t="n">
        <v>40084</v>
      </c>
      <c r="N421" s="1" t="n">
        <v>40123</v>
      </c>
      <c r="O421" s="1"/>
      <c r="P421" s="1"/>
      <c r="Q421" s="1"/>
      <c r="T421" s="121"/>
      <c r="U421" s="121"/>
      <c r="V421" s="122" t="n">
        <f aca="false">IF(AND(E421&gt;0,F421&gt;0,G421&gt;0),COUNTIFS($E:$E,E421,$F:$F,F421,$G:$G,G421),"")</f>
        <v>41</v>
      </c>
      <c r="W421" s="122" t="n">
        <f aca="false">IF(V421="","",IF(V421=1,1,IF(AND(E420=E421,F420=F421,G420=G421),W420+1,1)))</f>
        <v>26</v>
      </c>
      <c r="X421" s="0" t="n">
        <v>45</v>
      </c>
      <c r="Y421" s="0" t="n">
        <v>3</v>
      </c>
      <c r="Z421" s="0" t="s">
        <v>4097</v>
      </c>
      <c r="AA421" s="0" t="n">
        <v>0</v>
      </c>
      <c r="AB421" s="0" t="s">
        <v>4060</v>
      </c>
      <c r="AC421" s="0" t="s">
        <v>1160</v>
      </c>
      <c r="AD421" s="0" t="s">
        <v>229</v>
      </c>
      <c r="AE421" s="0" t="n">
        <v>0</v>
      </c>
      <c r="AF421" s="0" t="s">
        <v>3955</v>
      </c>
      <c r="AG421" s="0" t="n">
        <v>0</v>
      </c>
      <c r="AH421" s="0" t="s">
        <v>4061</v>
      </c>
      <c r="AI421" s="0" t="s">
        <v>3957</v>
      </c>
      <c r="AJ421" s="0" t="s">
        <v>590</v>
      </c>
      <c r="AL421" s="0" t="s">
        <v>4062</v>
      </c>
      <c r="AM421" s="0" t="n">
        <v>1</v>
      </c>
      <c r="AN421" s="0" t="s">
        <v>4061</v>
      </c>
      <c r="AO421" s="0" t="s">
        <v>3957</v>
      </c>
      <c r="AP421" s="0" t="s">
        <v>590</v>
      </c>
      <c r="AR421" s="0" t="s">
        <v>1880</v>
      </c>
      <c r="AS421" s="0" t="n">
        <v>1</v>
      </c>
      <c r="AT421" s="0" t="s">
        <v>4061</v>
      </c>
      <c r="AU421" s="0" t="s">
        <v>3957</v>
      </c>
      <c r="AV421" s="0" t="s">
        <v>590</v>
      </c>
      <c r="BR421" s="0" t="n">
        <v>1</v>
      </c>
      <c r="BS421" s="0" t="s">
        <v>4063</v>
      </c>
      <c r="BT421" s="0" t="s">
        <v>4064</v>
      </c>
      <c r="BU421" s="0" t="s">
        <v>4065</v>
      </c>
      <c r="BV421" s="123"/>
      <c r="BW421" s="123"/>
      <c r="BX421" s="123"/>
      <c r="BY421" s="123"/>
      <c r="BZ421" s="0" t="n">
        <v>0</v>
      </c>
      <c r="CA421" s="0" t="s">
        <v>216</v>
      </c>
      <c r="CD421" s="0" t="s">
        <v>502</v>
      </c>
      <c r="CE421" s="0" t="n">
        <v>0</v>
      </c>
      <c r="CF421" s="0" t="s">
        <v>4098</v>
      </c>
      <c r="CI421" s="1" t="n">
        <v>39104</v>
      </c>
      <c r="CJ421" s="1" t="n">
        <v>40001</v>
      </c>
      <c r="CK421" s="124" t="s">
        <v>216</v>
      </c>
      <c r="CL421" s="0" t="s">
        <v>4062</v>
      </c>
      <c r="CM421" s="0" t="n">
        <f aca="false">IF(OR(CI421="",CJ421=""),"",DAYS360(CI421,CJ421)/360)</f>
        <v>2.45833333333333</v>
      </c>
      <c r="CN421" s="0" t="n">
        <f aca="false">IF(OR(CI421="",CJ421=""),"",DAYS360(CI421,CJ421)/30)</f>
        <v>29.5</v>
      </c>
      <c r="CO421" s="0" t="n">
        <f aca="false">IF(OR(CI421="",CJ421=""),"",DAYS360(CI421,CJ421)/7)</f>
        <v>126.428571428571</v>
      </c>
      <c r="CP421" s="0" t="n">
        <f aca="false">IF(OR(CI421="",CJ421=""),"",DAYS360(CI421,CJ421))</f>
        <v>885</v>
      </c>
      <c r="CQ421" s="0" t="s">
        <v>220</v>
      </c>
      <c r="CR421" s="0" t="n">
        <v>1</v>
      </c>
      <c r="CT421" s="0" t="s">
        <v>216</v>
      </c>
      <c r="CU421" s="0" t="s">
        <v>216</v>
      </c>
      <c r="CV421" s="0" t="str">
        <f aca="false">IF(OR(CT421="",CT421="NO ESPECIFICA",CT421="NO MENCIONA"),"",IF(CU421=0,CT421,IF(CU421=1,CT421/30,IF(CU421=2,CT421/15,IF(CU421=3,CT421/7,"")))))</f>
        <v/>
      </c>
      <c r="CW421" s="125" t="s">
        <v>216</v>
      </c>
      <c r="CX421" s="125" t="s">
        <v>216</v>
      </c>
      <c r="CY421" s="0" t="str">
        <f aca="false">IF(CW421="","",IF(CX421=0,CW421,IF(CX421=1,CW421/30,IF(CX421=2,CW421/15,IF(CX421=3,CW421/7,CW421)))))</f>
        <v>NO MENCIONA</v>
      </c>
      <c r="CZ421" s="0" t="str">
        <f aca="false">IF(DI421&gt;0,DI421,IF(CY421&gt;0,CY421,IF(CV421&gt;0,CV421,"")))</f>
        <v>NO MENCIONA</v>
      </c>
      <c r="DA421" s="0" t="str">
        <f aca="false">IF(DM421=1,CZ421/8,IF(OR(DM421=2,DM421=4),CZ421/7,IF(DM421=3,CZ421/7.5,"")))</f>
        <v/>
      </c>
      <c r="DB421" s="0" t="s">
        <v>216</v>
      </c>
      <c r="DC421" s="0" t="s">
        <v>216</v>
      </c>
      <c r="DD421" s="0" t="s">
        <v>216</v>
      </c>
      <c r="DE421" s="0" t="s">
        <v>216</v>
      </c>
      <c r="DF421" s="0" t="s">
        <v>216</v>
      </c>
      <c r="DG421" s="0" t="s">
        <v>216</v>
      </c>
      <c r="DH421" s="0" t="n">
        <v>0</v>
      </c>
      <c r="DI421" s="126" t="s">
        <v>216</v>
      </c>
      <c r="DK421" s="0" t="n">
        <v>1</v>
      </c>
      <c r="DN421" s="0" t="s">
        <v>216</v>
      </c>
      <c r="DO421" s="0" t="s">
        <v>216</v>
      </c>
      <c r="DP421" s="0" t="n">
        <v>1</v>
      </c>
      <c r="DQ421" s="0" t="n">
        <v>1</v>
      </c>
      <c r="DR421" s="0"/>
      <c r="DS421" s="0" t="n">
        <v>1</v>
      </c>
      <c r="DU421" s="0" t="n">
        <v>1</v>
      </c>
      <c r="DW421" s="1" t="s">
        <v>221</v>
      </c>
      <c r="DX421" s="1" t="s">
        <v>221</v>
      </c>
      <c r="DY421" s="1" t="s">
        <v>221</v>
      </c>
      <c r="DZ421" s="1" t="s">
        <v>221</v>
      </c>
      <c r="EA421" s="0" t="n">
        <v>1</v>
      </c>
      <c r="EC421" s="1" t="n">
        <v>39448</v>
      </c>
      <c r="ED421" s="1" t="n">
        <v>40001</v>
      </c>
      <c r="EF421" s="0"/>
      <c r="EG421" s="0" t="n">
        <v>1</v>
      </c>
      <c r="EH421" s="0" t="s">
        <v>221</v>
      </c>
      <c r="EI421" s="0" t="str">
        <f aca="false">IF(AND(DM421=1,DN421&lt;=48),"",IF(AND(DM421=2,DN421&lt;=42),"",IF(AND(DM421=3,DN421&lt;=45),"",EH421)))</f>
        <v>NO ESPECIFICA</v>
      </c>
      <c r="EJ421" s="0" t="n">
        <f aca="false">IF(EI421="","",IF(EI421&lt;9,EI421,9))</f>
        <v>9</v>
      </c>
      <c r="EK421" s="0" t="e">
        <f aca="false">IF(EI421="","",IF(EI421&gt;9,EI421-EJ421,0))</f>
        <v>#VALUE!</v>
      </c>
      <c r="EL421" s="0" t="e">
        <f aca="false">IF(EI421="","",EJ421*DA421*2+EK421*DA421*3)</f>
        <v>#VALUE!</v>
      </c>
      <c r="EP421" s="0" t="n">
        <v>1</v>
      </c>
      <c r="EQ421" s="0"/>
      <c r="ER421" s="0" t="n">
        <v>0</v>
      </c>
      <c r="ET421" s="0" t="n">
        <v>0</v>
      </c>
      <c r="EV421" s="0" t="n">
        <v>0</v>
      </c>
      <c r="EX421" s="0" t="n">
        <v>0</v>
      </c>
      <c r="EY421" s="0" t="n">
        <v>1</v>
      </c>
      <c r="FB421" s="0" t="n">
        <v>1</v>
      </c>
      <c r="FF421" s="120" t="n">
        <f aca="false">(CJ421-CI421+1)/365</f>
        <v>2.46027397260274</v>
      </c>
      <c r="FG421" s="0" t="str">
        <f aca="false">CONCATENATE(F421,"/",G421)</f>
        <v>712/2011</v>
      </c>
      <c r="FH421" s="0" t="n">
        <v>0</v>
      </c>
      <c r="FI421" s="0" t="n">
        <v>0</v>
      </c>
    </row>
    <row r="422" customFormat="false" ht="15" hidden="false" customHeight="false" outlineLevel="0" collapsed="false">
      <c r="A422" s="5" t="str">
        <f aca="false">E422&amp;G422&amp;F422</f>
        <v>72011712</v>
      </c>
      <c r="B422" s="0" t="s">
        <v>1855</v>
      </c>
      <c r="C422" s="1" t="n">
        <v>42414</v>
      </c>
      <c r="D422" s="0" t="s">
        <v>4067</v>
      </c>
      <c r="E422" s="0" t="n">
        <v>7</v>
      </c>
      <c r="F422" s="0" t="n">
        <v>712</v>
      </c>
      <c r="G422" s="0" t="n">
        <v>2011</v>
      </c>
      <c r="H422" s="0" t="str">
        <f aca="false">"J"&amp;E422&amp;"\"&amp;F422&amp;"\"&amp;G422&amp;"\"&amp;W422</f>
        <v>J7\712\2011\27</v>
      </c>
      <c r="I422" s="1" t="n">
        <v>40651</v>
      </c>
      <c r="J422" s="1" t="n">
        <v>40049</v>
      </c>
      <c r="K422" s="0" t="n">
        <v>0</v>
      </c>
      <c r="M422" s="1" t="n">
        <v>40084</v>
      </c>
      <c r="N422" s="1" t="n">
        <v>40123</v>
      </c>
      <c r="O422" s="1"/>
      <c r="P422" s="1"/>
      <c r="Q422" s="1"/>
      <c r="T422" s="121"/>
      <c r="U422" s="121"/>
      <c r="V422" s="122" t="n">
        <f aca="false">IF(AND(E422&gt;0,F422&gt;0,G422&gt;0),COUNTIFS($E:$E,E422,$F:$F,F422,$G:$G,G422),"")</f>
        <v>41</v>
      </c>
      <c r="W422" s="122" t="n">
        <f aca="false">IF(V422="","",IF(V422=1,1,IF(AND(E421=E422,F421=F422,G421=G422),W421+1,1)))</f>
        <v>27</v>
      </c>
      <c r="X422" s="0" t="n">
        <v>45</v>
      </c>
      <c r="Y422" s="0" t="n">
        <v>3</v>
      </c>
      <c r="Z422" s="0" t="s">
        <v>4099</v>
      </c>
      <c r="AA422" s="0" t="n">
        <v>0</v>
      </c>
      <c r="AB422" s="0" t="s">
        <v>4060</v>
      </c>
      <c r="AC422" s="0" t="s">
        <v>1160</v>
      </c>
      <c r="AD422" s="0" t="s">
        <v>229</v>
      </c>
      <c r="AE422" s="0" t="n">
        <v>0</v>
      </c>
      <c r="AF422" s="0" t="s">
        <v>3955</v>
      </c>
      <c r="AG422" s="0" t="n">
        <v>0</v>
      </c>
      <c r="AH422" s="0" t="s">
        <v>4061</v>
      </c>
      <c r="AI422" s="0" t="s">
        <v>3957</v>
      </c>
      <c r="AJ422" s="0" t="s">
        <v>590</v>
      </c>
      <c r="AL422" s="0" t="s">
        <v>4062</v>
      </c>
      <c r="AM422" s="0" t="n">
        <v>1</v>
      </c>
      <c r="AN422" s="0" t="s">
        <v>4061</v>
      </c>
      <c r="AO422" s="0" t="s">
        <v>3957</v>
      </c>
      <c r="AP422" s="0" t="s">
        <v>590</v>
      </c>
      <c r="AR422" s="0" t="s">
        <v>1880</v>
      </c>
      <c r="AS422" s="0" t="n">
        <v>1</v>
      </c>
      <c r="AT422" s="0" t="s">
        <v>4061</v>
      </c>
      <c r="AU422" s="0" t="s">
        <v>3957</v>
      </c>
      <c r="AV422" s="0" t="s">
        <v>590</v>
      </c>
      <c r="BR422" s="0" t="n">
        <v>1</v>
      </c>
      <c r="BS422" s="0" t="s">
        <v>4063</v>
      </c>
      <c r="BT422" s="0" t="s">
        <v>4064</v>
      </c>
      <c r="BU422" s="0" t="s">
        <v>4065</v>
      </c>
      <c r="BV422" s="123"/>
      <c r="BW422" s="123"/>
      <c r="BX422" s="123"/>
      <c r="BY422" s="123"/>
      <c r="BZ422" s="0" t="n">
        <v>0</v>
      </c>
      <c r="CA422" s="0" t="s">
        <v>216</v>
      </c>
      <c r="CD422" s="0" t="s">
        <v>502</v>
      </c>
      <c r="CE422" s="0" t="n">
        <v>0</v>
      </c>
      <c r="CF422" s="0" t="s">
        <v>216</v>
      </c>
      <c r="CI422" s="0" t="s">
        <v>216</v>
      </c>
      <c r="CJ422" s="1" t="n">
        <v>40001</v>
      </c>
      <c r="CK422" s="124" t="s">
        <v>216</v>
      </c>
      <c r="CL422" s="0" t="s">
        <v>4062</v>
      </c>
      <c r="CM422" s="0" t="e">
        <f aca="false">IF(OR(CI422="",CJ422=""),"",DAYS360(CI422,CJ422)/360)</f>
        <v>#VALUE!</v>
      </c>
      <c r="CN422" s="0" t="e">
        <f aca="false">IF(OR(CI422="",CJ422=""),"",DAYS360(CI422,CJ422)/30)</f>
        <v>#VALUE!</v>
      </c>
      <c r="CO422" s="0" t="e">
        <f aca="false">IF(OR(CI422="",CJ422=""),"",DAYS360(CI422,CJ422)/7)</f>
        <v>#VALUE!</v>
      </c>
      <c r="CP422" s="0" t="e">
        <f aca="false">IF(OR(CI422="",CJ422=""),"",DAYS360(CI422,CJ422))</f>
        <v>#VALUE!</v>
      </c>
      <c r="CQ422" s="0" t="s">
        <v>220</v>
      </c>
      <c r="CR422" s="0" t="n">
        <v>1</v>
      </c>
      <c r="CT422" s="0" t="n">
        <v>1000</v>
      </c>
      <c r="CU422" s="0" t="n">
        <v>2</v>
      </c>
      <c r="CV422" s="0" t="n">
        <f aca="false">IF(OR(CT422="",CT422="NO ESPECIFICA",CT422="NO MENCIONA"),"",IF(CU422=0,CT422,IF(CU422=1,CT422/30,IF(CU422=2,CT422/15,IF(CU422=3,CT422/7,"")))))</f>
        <v>66.6666666666667</v>
      </c>
      <c r="CW422" s="125" t="s">
        <v>216</v>
      </c>
      <c r="CX422" s="125" t="s">
        <v>216</v>
      </c>
      <c r="CY422" s="0" t="str">
        <f aca="false">IF(CW422="","",IF(CX422=0,CW422,IF(CX422=1,CW422/30,IF(CX422=2,CW422/15,IF(CX422=3,CW422/7,CW422)))))</f>
        <v>NO MENCIONA</v>
      </c>
      <c r="CZ422" s="0" t="n">
        <f aca="false">IF(DI422&gt;0,DI422,IF(CY422&gt;0,CY422,IF(CV422&gt;0,CV422,"")))</f>
        <v>66.6666666666667</v>
      </c>
      <c r="DA422" s="0" t="n">
        <f aca="false">IF(DM422=1,CZ422/8,IF(OR(DM422=2,DM422=4),CZ422/7,IF(DM422=3,CZ422/7.5,"")))</f>
        <v>8.88888888888889</v>
      </c>
      <c r="DB422" s="0" t="s">
        <v>216</v>
      </c>
      <c r="DC422" s="0" t="s">
        <v>216</v>
      </c>
      <c r="DD422" s="0" t="s">
        <v>216</v>
      </c>
      <c r="DE422" s="0" t="s">
        <v>216</v>
      </c>
      <c r="DF422" s="0" t="s">
        <v>216</v>
      </c>
      <c r="DG422" s="0" t="s">
        <v>216</v>
      </c>
      <c r="DH422" s="0" t="n">
        <v>0</v>
      </c>
      <c r="DI422" s="126" t="n">
        <f aca="false">CT422/15</f>
        <v>66.6666666666667</v>
      </c>
      <c r="DK422" s="0" t="n">
        <v>0</v>
      </c>
      <c r="DM422" s="0" t="n">
        <v>3</v>
      </c>
      <c r="DN422" s="0" t="n">
        <v>10</v>
      </c>
      <c r="DO422" s="0" t="n">
        <v>0</v>
      </c>
      <c r="DP422" s="0" t="n">
        <v>1</v>
      </c>
      <c r="DQ422" s="0" t="n">
        <v>1</v>
      </c>
      <c r="DR422" s="0"/>
      <c r="DS422" s="0" t="n">
        <v>1</v>
      </c>
      <c r="DU422" s="0" t="n">
        <v>1</v>
      </c>
      <c r="DW422" s="1" t="s">
        <v>221</v>
      </c>
      <c r="DX422" s="1" t="s">
        <v>221</v>
      </c>
      <c r="DY422" s="1" t="s">
        <v>221</v>
      </c>
      <c r="DZ422" s="1" t="s">
        <v>221</v>
      </c>
      <c r="EA422" s="0" t="n">
        <v>1</v>
      </c>
      <c r="EC422" s="1" t="n">
        <v>39448</v>
      </c>
      <c r="ED422" s="1" t="n">
        <v>40001</v>
      </c>
      <c r="EF422" s="0"/>
      <c r="EG422" s="0" t="n">
        <v>1</v>
      </c>
      <c r="EH422" s="0" t="s">
        <v>221</v>
      </c>
      <c r="EI422" s="0" t="str">
        <f aca="false">IF(AND(DM422=1,DN422&lt;=48),"",IF(AND(DM422=2,DN422&lt;=42),"",IF(AND(DM422=3,DN422&lt;=45),"",EH422)))</f>
        <v/>
      </c>
      <c r="EJ422" s="0" t="str">
        <f aca="false">IF(EI422="","",IF(EI422&lt;9,EI422,9))</f>
        <v/>
      </c>
      <c r="EK422" s="0" t="str">
        <f aca="false">IF(EI422="","",IF(EI422&gt;9,EI422-EJ422,0))</f>
        <v/>
      </c>
      <c r="EL422" s="0" t="str">
        <f aca="false">IF(EI422="","",EJ422*DA422*2+EK422*DA422*3)</f>
        <v/>
      </c>
      <c r="EP422" s="0" t="n">
        <v>1</v>
      </c>
      <c r="EQ422" s="0"/>
      <c r="ER422" s="0" t="n">
        <v>0</v>
      </c>
      <c r="ET422" s="0" t="n">
        <v>0</v>
      </c>
      <c r="EV422" s="0" t="n">
        <v>0</v>
      </c>
      <c r="EX422" s="0" t="n">
        <v>0</v>
      </c>
      <c r="EY422" s="0" t="n">
        <v>1</v>
      </c>
      <c r="FB422" s="0" t="n">
        <v>1</v>
      </c>
      <c r="FF422" s="120" t="e">
        <f aca="false">(CJ422-CI422+1)/365</f>
        <v>#VALUE!</v>
      </c>
      <c r="FG422" s="0" t="str">
        <f aca="false">CONCATENATE(F422,"/",G422)</f>
        <v>712/2011</v>
      </c>
      <c r="FH422" s="0" t="n">
        <v>0</v>
      </c>
      <c r="FI422" s="0" t="n">
        <v>0</v>
      </c>
    </row>
    <row r="423" customFormat="false" ht="15" hidden="false" customHeight="false" outlineLevel="0" collapsed="false">
      <c r="A423" s="5" t="str">
        <f aca="false">E423&amp;G423&amp;F423</f>
        <v>72011712</v>
      </c>
      <c r="B423" s="0" t="s">
        <v>1855</v>
      </c>
      <c r="C423" s="1" t="n">
        <v>42414</v>
      </c>
      <c r="D423" s="0" t="s">
        <v>4067</v>
      </c>
      <c r="E423" s="0" t="n">
        <v>7</v>
      </c>
      <c r="F423" s="0" t="n">
        <v>712</v>
      </c>
      <c r="G423" s="0" t="n">
        <v>2011</v>
      </c>
      <c r="H423" s="0" t="str">
        <f aca="false">"J"&amp;E423&amp;"\"&amp;F423&amp;"\"&amp;G423&amp;"\"&amp;W423</f>
        <v>J7\712\2011\28</v>
      </c>
      <c r="I423" s="1" t="n">
        <v>40651</v>
      </c>
      <c r="J423" s="1" t="n">
        <v>40049</v>
      </c>
      <c r="K423" s="0" t="n">
        <v>0</v>
      </c>
      <c r="M423" s="1" t="n">
        <v>40084</v>
      </c>
      <c r="N423" s="1" t="n">
        <v>40123</v>
      </c>
      <c r="O423" s="1"/>
      <c r="P423" s="1"/>
      <c r="Q423" s="1"/>
      <c r="T423" s="121"/>
      <c r="U423" s="121"/>
      <c r="V423" s="122" t="n">
        <f aca="false">IF(AND(E423&gt;0,F423&gt;0,G423&gt;0),COUNTIFS($E:$E,E423,$F:$F,F423,$G:$G,G423),"")</f>
        <v>41</v>
      </c>
      <c r="W423" s="122" t="n">
        <f aca="false">IF(V423="","",IF(V423=1,1,IF(AND(E422=E423,F422=F423,G422=G423),W422+1,1)))</f>
        <v>28</v>
      </c>
      <c r="X423" s="0" t="n">
        <v>45</v>
      </c>
      <c r="Y423" s="0" t="n">
        <v>3</v>
      </c>
      <c r="Z423" s="0" t="s">
        <v>4100</v>
      </c>
      <c r="AA423" s="0" t="n">
        <v>0</v>
      </c>
      <c r="AB423" s="0" t="s">
        <v>4060</v>
      </c>
      <c r="AC423" s="0" t="s">
        <v>1160</v>
      </c>
      <c r="AD423" s="0" t="s">
        <v>229</v>
      </c>
      <c r="AE423" s="0" t="n">
        <v>0</v>
      </c>
      <c r="AF423" s="0" t="s">
        <v>3955</v>
      </c>
      <c r="AG423" s="0" t="n">
        <v>0</v>
      </c>
      <c r="AH423" s="0" t="s">
        <v>4061</v>
      </c>
      <c r="AI423" s="0" t="s">
        <v>3957</v>
      </c>
      <c r="AJ423" s="0" t="s">
        <v>590</v>
      </c>
      <c r="AL423" s="0" t="s">
        <v>4062</v>
      </c>
      <c r="AM423" s="0" t="n">
        <v>1</v>
      </c>
      <c r="AN423" s="0" t="s">
        <v>4061</v>
      </c>
      <c r="AO423" s="0" t="s">
        <v>3957</v>
      </c>
      <c r="AP423" s="0" t="s">
        <v>590</v>
      </c>
      <c r="AR423" s="0" t="s">
        <v>1880</v>
      </c>
      <c r="AS423" s="0" t="n">
        <v>1</v>
      </c>
      <c r="AT423" s="0" t="s">
        <v>4061</v>
      </c>
      <c r="AU423" s="0" t="s">
        <v>3957</v>
      </c>
      <c r="AV423" s="0" t="s">
        <v>590</v>
      </c>
      <c r="BR423" s="0" t="n">
        <v>1</v>
      </c>
      <c r="BS423" s="0" t="s">
        <v>4063</v>
      </c>
      <c r="BT423" s="0" t="s">
        <v>4064</v>
      </c>
      <c r="BU423" s="0" t="s">
        <v>4065</v>
      </c>
      <c r="BV423" s="123"/>
      <c r="BW423" s="123"/>
      <c r="BX423" s="123"/>
      <c r="BY423" s="123"/>
      <c r="BZ423" s="0" t="n">
        <v>0</v>
      </c>
      <c r="CA423" s="0" t="s">
        <v>216</v>
      </c>
      <c r="CD423" s="0" t="s">
        <v>502</v>
      </c>
      <c r="CE423" s="0" t="n">
        <v>0</v>
      </c>
      <c r="CF423" s="0" t="s">
        <v>968</v>
      </c>
      <c r="CI423" s="1" t="n">
        <v>32509</v>
      </c>
      <c r="CJ423" s="1" t="n">
        <v>40001</v>
      </c>
      <c r="CK423" s="124" t="s">
        <v>216</v>
      </c>
      <c r="CL423" s="0" t="s">
        <v>4062</v>
      </c>
      <c r="CM423" s="0" t="n">
        <f aca="false">IF(OR(CI423="",CJ423=""),"",DAYS360(CI423,CJ423)/360)</f>
        <v>20.5166666666667</v>
      </c>
      <c r="CN423" s="0" t="n">
        <f aca="false">IF(OR(CI423="",CJ423=""),"",DAYS360(CI423,CJ423)/30)</f>
        <v>246.2</v>
      </c>
      <c r="CO423" s="0" t="n">
        <f aca="false">IF(OR(CI423="",CJ423=""),"",DAYS360(CI423,CJ423)/7)</f>
        <v>1055.14285714286</v>
      </c>
      <c r="CP423" s="0" t="n">
        <f aca="false">IF(OR(CI423="",CJ423=""),"",DAYS360(CI423,CJ423))</f>
        <v>7386</v>
      </c>
      <c r="CQ423" s="0" t="s">
        <v>220</v>
      </c>
      <c r="CR423" s="0" t="n">
        <v>1</v>
      </c>
      <c r="CT423" s="0" t="n">
        <v>2000</v>
      </c>
      <c r="CU423" s="0" t="n">
        <v>2</v>
      </c>
      <c r="CV423" s="0" t="n">
        <f aca="false">IF(OR(CT423="",CT423="NO ESPECIFICA",CT423="NO MENCIONA"),"",IF(CU423=0,CT423,IF(CU423=1,CT423/30,IF(CU423=2,CT423/15,IF(CU423=3,CT423/7,"")))))</f>
        <v>133.333333333333</v>
      </c>
      <c r="CW423" s="125" t="s">
        <v>216</v>
      </c>
      <c r="CX423" s="125" t="s">
        <v>216</v>
      </c>
      <c r="CY423" s="0" t="str">
        <f aca="false">IF(CW423="","",IF(CX423=0,CW423,IF(CX423=1,CW423/30,IF(CX423=2,CW423/15,IF(CX423=3,CW423/7,CW423)))))</f>
        <v>NO MENCIONA</v>
      </c>
      <c r="CZ423" s="0" t="n">
        <f aca="false">IF(DI423&gt;0,DI423,IF(CY423&gt;0,CY423,IF(CV423&gt;0,CV423,"")))</f>
        <v>133.333333333333</v>
      </c>
      <c r="DA423" s="0" t="str">
        <f aca="false">IF(DM423=1,CZ423/8,IF(OR(DM423=2,DM423=4),CZ423/7,IF(DM423=3,CZ423/7.5,"")))</f>
        <v/>
      </c>
      <c r="DB423" s="0" t="s">
        <v>417</v>
      </c>
      <c r="DC423" s="0" t="s">
        <v>216</v>
      </c>
      <c r="DD423" s="0" t="s">
        <v>216</v>
      </c>
      <c r="DE423" s="0" t="s">
        <v>216</v>
      </c>
      <c r="DF423" s="0" t="s">
        <v>216</v>
      </c>
      <c r="DG423" s="0" t="s">
        <v>216</v>
      </c>
      <c r="DH423" s="0" t="n">
        <v>0</v>
      </c>
      <c r="DI423" s="126" t="n">
        <f aca="false">CT423/15</f>
        <v>133.333333333333</v>
      </c>
      <c r="DK423" s="0" t="n">
        <v>0</v>
      </c>
      <c r="DN423" s="0" t="s">
        <v>216</v>
      </c>
      <c r="DO423" s="0" t="s">
        <v>216</v>
      </c>
      <c r="DP423" s="0" t="n">
        <v>1</v>
      </c>
      <c r="DQ423" s="0" t="n">
        <v>1</v>
      </c>
      <c r="DR423" s="0"/>
      <c r="DS423" s="0" t="n">
        <v>1</v>
      </c>
      <c r="DU423" s="0" t="n">
        <v>1</v>
      </c>
      <c r="DW423" s="1" t="s">
        <v>221</v>
      </c>
      <c r="DX423" s="1" t="s">
        <v>221</v>
      </c>
      <c r="DY423" s="1" t="s">
        <v>221</v>
      </c>
      <c r="DZ423" s="1" t="s">
        <v>221</v>
      </c>
      <c r="EA423" s="0" t="n">
        <v>1</v>
      </c>
      <c r="EC423" s="1" t="n">
        <v>39448</v>
      </c>
      <c r="ED423" s="1" t="n">
        <v>40001</v>
      </c>
      <c r="EF423" s="0"/>
      <c r="EG423" s="0" t="n">
        <v>1</v>
      </c>
      <c r="EH423" s="0" t="s">
        <v>221</v>
      </c>
      <c r="EI423" s="0" t="str">
        <f aca="false">IF(AND(DM423=1,DN423&lt;=48),"",IF(AND(DM423=2,DN423&lt;=42),"",IF(AND(DM423=3,DN423&lt;=45),"",EH423)))</f>
        <v>NO ESPECIFICA</v>
      </c>
      <c r="EJ423" s="0" t="n">
        <f aca="false">IF(EI423="","",IF(EI423&lt;9,EI423,9))</f>
        <v>9</v>
      </c>
      <c r="EK423" s="0" t="e">
        <f aca="false">IF(EI423="","",IF(EI423&gt;9,EI423-EJ423,0))</f>
        <v>#VALUE!</v>
      </c>
      <c r="EL423" s="0" t="e">
        <f aca="false">IF(EI423="","",EJ423*DA423*2+EK423*DA423*3)</f>
        <v>#VALUE!</v>
      </c>
      <c r="EP423" s="0" t="n">
        <v>1</v>
      </c>
      <c r="EQ423" s="0"/>
      <c r="ER423" s="0" t="n">
        <v>0</v>
      </c>
      <c r="ET423" s="0" t="n">
        <v>0</v>
      </c>
      <c r="EV423" s="0" t="n">
        <v>0</v>
      </c>
      <c r="EX423" s="0" t="n">
        <v>0</v>
      </c>
      <c r="EY423" s="0" t="n">
        <v>1</v>
      </c>
      <c r="FB423" s="0" t="n">
        <v>1</v>
      </c>
      <c r="FF423" s="120" t="n">
        <f aca="false">(CJ423-CI423+1)/365</f>
        <v>20.5287671232877</v>
      </c>
      <c r="FG423" s="0" t="str">
        <f aca="false">CONCATENATE(F423,"/",G423)</f>
        <v>712/2011</v>
      </c>
      <c r="FH423" s="0" t="n">
        <v>0</v>
      </c>
      <c r="FI423" s="0" t="n">
        <v>0</v>
      </c>
    </row>
    <row r="424" customFormat="false" ht="15" hidden="false" customHeight="false" outlineLevel="0" collapsed="false">
      <c r="A424" s="5" t="str">
        <f aca="false">E424&amp;G424&amp;F424</f>
        <v>72011712</v>
      </c>
      <c r="B424" s="0" t="s">
        <v>1855</v>
      </c>
      <c r="C424" s="1" t="n">
        <v>42414</v>
      </c>
      <c r="D424" s="0" t="s">
        <v>4067</v>
      </c>
      <c r="E424" s="0" t="n">
        <v>7</v>
      </c>
      <c r="F424" s="0" t="n">
        <v>712</v>
      </c>
      <c r="G424" s="0" t="n">
        <v>2011</v>
      </c>
      <c r="H424" s="0" t="str">
        <f aca="false">"J"&amp;E424&amp;"\"&amp;F424&amp;"\"&amp;G424&amp;"\"&amp;W424</f>
        <v>J7\712\2011\29</v>
      </c>
      <c r="I424" s="1" t="n">
        <v>40651</v>
      </c>
      <c r="J424" s="1" t="n">
        <v>40049</v>
      </c>
      <c r="K424" s="0" t="n">
        <v>0</v>
      </c>
      <c r="M424" s="1" t="n">
        <v>40084</v>
      </c>
      <c r="N424" s="1" t="n">
        <v>40123</v>
      </c>
      <c r="O424" s="1"/>
      <c r="P424" s="1"/>
      <c r="Q424" s="1"/>
      <c r="T424" s="121"/>
      <c r="U424" s="121"/>
      <c r="V424" s="122" t="n">
        <f aca="false">IF(AND(E424&gt;0,F424&gt;0,G424&gt;0),COUNTIFS($E:$E,E424,$F:$F,F424,$G:$G,G424),"")</f>
        <v>41</v>
      </c>
      <c r="W424" s="122" t="n">
        <f aca="false">IF(V424="","",IF(V424=1,1,IF(AND(E423=E424,F423=F424,G423=G424),W423+1,1)))</f>
        <v>29</v>
      </c>
      <c r="X424" s="0" t="n">
        <v>45</v>
      </c>
      <c r="Y424" s="0" t="n">
        <v>3</v>
      </c>
      <c r="Z424" s="0" t="s">
        <v>4101</v>
      </c>
      <c r="AA424" s="0" t="n">
        <v>0</v>
      </c>
      <c r="AB424" s="0" t="s">
        <v>4060</v>
      </c>
      <c r="AC424" s="0" t="s">
        <v>1160</v>
      </c>
      <c r="AD424" s="0" t="s">
        <v>229</v>
      </c>
      <c r="AE424" s="0" t="n">
        <v>0</v>
      </c>
      <c r="AF424" s="0" t="s">
        <v>3955</v>
      </c>
      <c r="AG424" s="0" t="n">
        <v>0</v>
      </c>
      <c r="AH424" s="0" t="s">
        <v>4061</v>
      </c>
      <c r="AI424" s="0" t="s">
        <v>3957</v>
      </c>
      <c r="AJ424" s="0" t="s">
        <v>590</v>
      </c>
      <c r="AL424" s="0" t="s">
        <v>4062</v>
      </c>
      <c r="AM424" s="0" t="n">
        <v>1</v>
      </c>
      <c r="AN424" s="0" t="s">
        <v>4061</v>
      </c>
      <c r="AO424" s="0" t="s">
        <v>3957</v>
      </c>
      <c r="AP424" s="0" t="s">
        <v>590</v>
      </c>
      <c r="AR424" s="0" t="s">
        <v>1880</v>
      </c>
      <c r="AS424" s="0" t="n">
        <v>1</v>
      </c>
      <c r="AT424" s="0" t="s">
        <v>4061</v>
      </c>
      <c r="AU424" s="0" t="s">
        <v>3957</v>
      </c>
      <c r="AV424" s="0" t="s">
        <v>590</v>
      </c>
      <c r="BR424" s="0" t="n">
        <v>1</v>
      </c>
      <c r="BS424" s="0" t="s">
        <v>4063</v>
      </c>
      <c r="BT424" s="0" t="s">
        <v>4064</v>
      </c>
      <c r="BU424" s="0" t="s">
        <v>4065</v>
      </c>
      <c r="BV424" s="123"/>
      <c r="BW424" s="123"/>
      <c r="BX424" s="123"/>
      <c r="BY424" s="123"/>
      <c r="BZ424" s="0" t="n">
        <v>0</v>
      </c>
      <c r="CA424" s="0" t="s">
        <v>216</v>
      </c>
      <c r="CD424" s="0" t="s">
        <v>502</v>
      </c>
      <c r="CE424" s="0" t="n">
        <v>0</v>
      </c>
      <c r="CF424" s="0" t="s">
        <v>4102</v>
      </c>
      <c r="CI424" s="1" t="s">
        <v>216</v>
      </c>
      <c r="CJ424" s="1" t="n">
        <v>40001</v>
      </c>
      <c r="CK424" s="124" t="s">
        <v>216</v>
      </c>
      <c r="CL424" s="0" t="s">
        <v>4062</v>
      </c>
      <c r="CM424" s="0" t="e">
        <f aca="false">IF(OR(CI424="",CJ424=""),"",DAYS360(CI424,CJ424)/360)</f>
        <v>#VALUE!</v>
      </c>
      <c r="CN424" s="0" t="e">
        <f aca="false">IF(OR(CI424="",CJ424=""),"",DAYS360(CI424,CJ424)/30)</f>
        <v>#VALUE!</v>
      </c>
      <c r="CO424" s="0" t="e">
        <f aca="false">IF(OR(CI424="",CJ424=""),"",DAYS360(CI424,CJ424)/7)</f>
        <v>#VALUE!</v>
      </c>
      <c r="CP424" s="0" t="e">
        <f aca="false">IF(OR(CI424="",CJ424=""),"",DAYS360(CI424,CJ424))</f>
        <v>#VALUE!</v>
      </c>
      <c r="CQ424" s="0" t="s">
        <v>220</v>
      </c>
      <c r="CR424" s="0" t="n">
        <v>1</v>
      </c>
      <c r="CT424" s="0" t="n">
        <v>1750</v>
      </c>
      <c r="CU424" s="0" t="n">
        <v>2</v>
      </c>
      <c r="CV424" s="0" t="n">
        <f aca="false">IF(OR(CT424="",CT424="NO ESPECIFICA",CT424="NO MENCIONA"),"",IF(CU424=0,CT424,IF(CU424=1,CT424/30,IF(CU424=2,CT424/15,IF(CU424=3,CT424/7,"")))))</f>
        <v>116.666666666667</v>
      </c>
      <c r="CW424" s="125" t="s">
        <v>216</v>
      </c>
      <c r="CX424" s="125" t="s">
        <v>216</v>
      </c>
      <c r="CY424" s="0" t="str">
        <f aca="false">IF(CW424="","",IF(CX424=0,CW424,IF(CX424=1,CW424/30,IF(CX424=2,CW424/15,IF(CX424=3,CW424/7,CW424)))))</f>
        <v>NO MENCIONA</v>
      </c>
      <c r="CZ424" s="0" t="n">
        <f aca="false">IF(DI424&gt;0,DI424,IF(CY424&gt;0,CY424,IF(CV424&gt;0,CV424,"")))</f>
        <v>116.666666666667</v>
      </c>
      <c r="DA424" s="0" t="str">
        <f aca="false">IF(DM424=1,CZ424/8,IF(OR(DM424=2,DM424=4),CZ424/7,IF(DM424=3,CZ424/7.5,"")))</f>
        <v/>
      </c>
      <c r="DB424" s="0" t="s">
        <v>417</v>
      </c>
      <c r="DC424" s="0" t="s">
        <v>216</v>
      </c>
      <c r="DD424" s="0" t="s">
        <v>216</v>
      </c>
      <c r="DE424" s="0" t="s">
        <v>216</v>
      </c>
      <c r="DF424" s="0" t="s">
        <v>216</v>
      </c>
      <c r="DG424" s="0" t="s">
        <v>216</v>
      </c>
      <c r="DH424" s="0" t="n">
        <v>0</v>
      </c>
      <c r="DI424" s="126" t="n">
        <f aca="false">CT424/15</f>
        <v>116.666666666667</v>
      </c>
      <c r="DK424" s="0" t="n">
        <v>1</v>
      </c>
      <c r="DN424" s="0" t="s">
        <v>216</v>
      </c>
      <c r="DO424" s="0" t="s">
        <v>216</v>
      </c>
      <c r="DP424" s="0" t="n">
        <v>1</v>
      </c>
      <c r="DQ424" s="0" t="n">
        <v>1</v>
      </c>
      <c r="DR424" s="0"/>
      <c r="DS424" s="0" t="n">
        <v>1</v>
      </c>
      <c r="DU424" s="0" t="n">
        <v>1</v>
      </c>
      <c r="DW424" s="1" t="s">
        <v>221</v>
      </c>
      <c r="DX424" s="1" t="s">
        <v>221</v>
      </c>
      <c r="DY424" s="1" t="s">
        <v>221</v>
      </c>
      <c r="DZ424" s="1" t="s">
        <v>221</v>
      </c>
      <c r="EA424" s="0" t="n">
        <v>1</v>
      </c>
      <c r="EC424" s="1" t="n">
        <v>39448</v>
      </c>
      <c r="ED424" s="1" t="n">
        <v>40001</v>
      </c>
      <c r="EF424" s="0"/>
      <c r="EG424" s="0" t="n">
        <v>1</v>
      </c>
      <c r="EH424" s="0" t="s">
        <v>221</v>
      </c>
      <c r="EI424" s="0" t="str">
        <f aca="false">IF(AND(DM424=1,DN424&lt;=48),"",IF(AND(DM424=2,DN424&lt;=42),"",IF(AND(DM424=3,DN424&lt;=45),"",EH424)))</f>
        <v>NO ESPECIFICA</v>
      </c>
      <c r="EJ424" s="0" t="n">
        <f aca="false">IF(EI424="","",IF(EI424&lt;9,EI424,9))</f>
        <v>9</v>
      </c>
      <c r="EK424" s="0" t="e">
        <f aca="false">IF(EI424="","",IF(EI424&gt;9,EI424-EJ424,0))</f>
        <v>#VALUE!</v>
      </c>
      <c r="EL424" s="0" t="e">
        <f aca="false">IF(EI424="","",EJ424*DA424*2+EK424*DA424*3)</f>
        <v>#VALUE!</v>
      </c>
      <c r="EP424" s="0" t="n">
        <v>1</v>
      </c>
      <c r="EQ424" s="0"/>
      <c r="ER424" s="0" t="n">
        <v>0</v>
      </c>
      <c r="ET424" s="0" t="n">
        <v>0</v>
      </c>
      <c r="EV424" s="0" t="n">
        <v>0</v>
      </c>
      <c r="EX424" s="0" t="n">
        <v>0</v>
      </c>
      <c r="EY424" s="0" t="n">
        <v>1</v>
      </c>
      <c r="FB424" s="0" t="n">
        <v>1</v>
      </c>
      <c r="FF424" s="120" t="e">
        <f aca="false">(CJ424-CI424+1)/365</f>
        <v>#VALUE!</v>
      </c>
      <c r="FG424" s="0" t="str">
        <f aca="false">CONCATENATE(F424,"/",G424)</f>
        <v>712/2011</v>
      </c>
      <c r="FH424" s="0" t="n">
        <v>0</v>
      </c>
      <c r="FI424" s="0" t="n">
        <v>0</v>
      </c>
    </row>
    <row r="425" customFormat="false" ht="15" hidden="false" customHeight="false" outlineLevel="0" collapsed="false">
      <c r="A425" s="5" t="str">
        <f aca="false">E425&amp;G425&amp;F425</f>
        <v>72011712</v>
      </c>
      <c r="B425" s="0" t="s">
        <v>1855</v>
      </c>
      <c r="C425" s="1" t="n">
        <v>42414</v>
      </c>
      <c r="D425" s="0" t="s">
        <v>4067</v>
      </c>
      <c r="E425" s="0" t="n">
        <v>7</v>
      </c>
      <c r="F425" s="0" t="n">
        <v>712</v>
      </c>
      <c r="G425" s="0" t="n">
        <v>2011</v>
      </c>
      <c r="H425" s="0" t="str">
        <f aca="false">"J"&amp;E425&amp;"\"&amp;F425&amp;"\"&amp;G425&amp;"\"&amp;W425</f>
        <v>J7\712\2011\30</v>
      </c>
      <c r="I425" s="1" t="n">
        <v>40651</v>
      </c>
      <c r="J425" s="1" t="n">
        <v>40049</v>
      </c>
      <c r="K425" s="0" t="n">
        <v>0</v>
      </c>
      <c r="M425" s="1" t="n">
        <v>40084</v>
      </c>
      <c r="N425" s="1" t="n">
        <v>40123</v>
      </c>
      <c r="O425" s="1"/>
      <c r="P425" s="1"/>
      <c r="Q425" s="1"/>
      <c r="T425" s="121"/>
      <c r="U425" s="121"/>
      <c r="V425" s="122" t="n">
        <f aca="false">IF(AND(E425&gt;0,F425&gt;0,G425&gt;0),COUNTIFS($E:$E,E425,$F:$F,F425,$G:$G,G425),"")</f>
        <v>41</v>
      </c>
      <c r="W425" s="122" t="n">
        <f aca="false">IF(V425="","",IF(V425=1,1,IF(AND(E424=E425,F424=F425,G424=G425),W424+1,1)))</f>
        <v>30</v>
      </c>
      <c r="X425" s="0" t="n">
        <v>45</v>
      </c>
      <c r="Y425" s="0" t="n">
        <v>3</v>
      </c>
      <c r="Z425" s="0" t="s">
        <v>4103</v>
      </c>
      <c r="AA425" s="0" t="n">
        <v>0</v>
      </c>
      <c r="AB425" s="0" t="s">
        <v>4060</v>
      </c>
      <c r="AC425" s="0" t="s">
        <v>1160</v>
      </c>
      <c r="AD425" s="0" t="s">
        <v>229</v>
      </c>
      <c r="AE425" s="0" t="n">
        <v>0</v>
      </c>
      <c r="AF425" s="0" t="s">
        <v>3955</v>
      </c>
      <c r="AG425" s="0" t="n">
        <v>0</v>
      </c>
      <c r="AH425" s="0" t="s">
        <v>4061</v>
      </c>
      <c r="AI425" s="0" t="s">
        <v>3957</v>
      </c>
      <c r="AJ425" s="0" t="s">
        <v>590</v>
      </c>
      <c r="AL425" s="0" t="s">
        <v>4062</v>
      </c>
      <c r="AM425" s="0" t="n">
        <v>1</v>
      </c>
      <c r="AN425" s="0" t="s">
        <v>4061</v>
      </c>
      <c r="AO425" s="0" t="s">
        <v>3957</v>
      </c>
      <c r="AP425" s="0" t="s">
        <v>590</v>
      </c>
      <c r="AR425" s="0" t="s">
        <v>1880</v>
      </c>
      <c r="AS425" s="0" t="n">
        <v>1</v>
      </c>
      <c r="AT425" s="0" t="s">
        <v>4061</v>
      </c>
      <c r="AU425" s="0" t="s">
        <v>3957</v>
      </c>
      <c r="AV425" s="0" t="s">
        <v>590</v>
      </c>
      <c r="BR425" s="0" t="n">
        <v>1</v>
      </c>
      <c r="BS425" s="0" t="s">
        <v>4063</v>
      </c>
      <c r="BT425" s="0" t="s">
        <v>4064</v>
      </c>
      <c r="BU425" s="0" t="s">
        <v>4065</v>
      </c>
      <c r="BV425" s="123"/>
      <c r="BW425" s="123"/>
      <c r="BX425" s="123"/>
      <c r="BY425" s="123"/>
      <c r="BZ425" s="0" t="n">
        <v>0</v>
      </c>
      <c r="CA425" s="0" t="s">
        <v>216</v>
      </c>
      <c r="CD425" s="0" t="s">
        <v>502</v>
      </c>
      <c r="CE425" s="0" t="n">
        <v>0</v>
      </c>
      <c r="CF425" s="0" t="s">
        <v>968</v>
      </c>
      <c r="CI425" s="1" t="n">
        <v>37681</v>
      </c>
      <c r="CJ425" s="1" t="n">
        <v>40001</v>
      </c>
      <c r="CK425" s="124" t="s">
        <v>216</v>
      </c>
      <c r="CL425" s="0" t="s">
        <v>4062</v>
      </c>
      <c r="CM425" s="0" t="n">
        <f aca="false">IF(OR(CI425="",CJ425=""),"",DAYS360(CI425,CJ425)/360)</f>
        <v>6.35</v>
      </c>
      <c r="CN425" s="0" t="n">
        <f aca="false">IF(OR(CI425="",CJ425=""),"",DAYS360(CI425,CJ425)/30)</f>
        <v>76.2</v>
      </c>
      <c r="CO425" s="0" t="n">
        <f aca="false">IF(OR(CI425="",CJ425=""),"",DAYS360(CI425,CJ425)/7)</f>
        <v>326.571428571429</v>
      </c>
      <c r="CP425" s="0" t="n">
        <f aca="false">IF(OR(CI425="",CJ425=""),"",DAYS360(CI425,CJ425))</f>
        <v>2286</v>
      </c>
      <c r="CQ425" s="0" t="s">
        <v>220</v>
      </c>
      <c r="CR425" s="0" t="n">
        <v>1</v>
      </c>
      <c r="CT425" s="0" t="n">
        <v>2000</v>
      </c>
      <c r="CU425" s="0" t="n">
        <v>2</v>
      </c>
      <c r="CV425" s="0" t="n">
        <f aca="false">IF(OR(CT425="",CT425="NO ESPECIFICA",CT425="NO MENCIONA"),"",IF(CU425=0,CT425,IF(CU425=1,CT425/30,IF(CU425=2,CT425/15,IF(CU425=3,CT425/7,"")))))</f>
        <v>133.333333333333</v>
      </c>
      <c r="CW425" s="125" t="s">
        <v>216</v>
      </c>
      <c r="CX425" s="125" t="s">
        <v>216</v>
      </c>
      <c r="CY425" s="0" t="str">
        <f aca="false">IF(CW425="","",IF(CX425=0,CW425,IF(CX425=1,CW425/30,IF(CX425=2,CW425/15,IF(CX425=3,CW425/7,CW425)))))</f>
        <v>NO MENCIONA</v>
      </c>
      <c r="CZ425" s="0" t="n">
        <f aca="false">IF(DI425&gt;0,DI425,IF(CY425&gt;0,CY425,IF(CV425&gt;0,CV425,"")))</f>
        <v>133.333333333333</v>
      </c>
      <c r="DA425" s="0" t="n">
        <f aca="false">IF(DM425=1,CZ425/8,IF(OR(DM425=2,DM425=4),CZ425/7,IF(DM425=3,CZ425/7.5,"")))</f>
        <v>17.7777777777778</v>
      </c>
      <c r="DB425" s="0" t="s">
        <v>216</v>
      </c>
      <c r="DC425" s="0" t="s">
        <v>216</v>
      </c>
      <c r="DD425" s="0" t="s">
        <v>216</v>
      </c>
      <c r="DE425" s="0" t="s">
        <v>216</v>
      </c>
      <c r="DF425" s="0" t="s">
        <v>216</v>
      </c>
      <c r="DG425" s="0" t="s">
        <v>216</v>
      </c>
      <c r="DH425" s="0" t="n">
        <v>0</v>
      </c>
      <c r="DI425" s="126" t="n">
        <f aca="false">CT425/15</f>
        <v>133.333333333333</v>
      </c>
      <c r="DK425" s="0" t="n">
        <v>0</v>
      </c>
      <c r="DM425" s="0" t="n">
        <v>3</v>
      </c>
      <c r="DN425" s="0" t="n">
        <v>12</v>
      </c>
      <c r="DO425" s="0" t="n">
        <v>0</v>
      </c>
      <c r="DP425" s="0" t="n">
        <v>1</v>
      </c>
      <c r="DQ425" s="0" t="n">
        <v>1</v>
      </c>
      <c r="DR425" s="0"/>
      <c r="DS425" s="0" t="n">
        <v>1</v>
      </c>
      <c r="DU425" s="0" t="n">
        <v>1</v>
      </c>
      <c r="DW425" s="1" t="s">
        <v>221</v>
      </c>
      <c r="DX425" s="1" t="s">
        <v>221</v>
      </c>
      <c r="DY425" s="1" t="s">
        <v>221</v>
      </c>
      <c r="DZ425" s="1" t="s">
        <v>221</v>
      </c>
      <c r="EA425" s="0" t="n">
        <v>1</v>
      </c>
      <c r="EC425" s="1" t="n">
        <v>39448</v>
      </c>
      <c r="ED425" s="1" t="n">
        <v>40001</v>
      </c>
      <c r="EF425" s="0"/>
      <c r="EG425" s="0" t="n">
        <v>1</v>
      </c>
      <c r="EH425" s="0" t="s">
        <v>221</v>
      </c>
      <c r="EI425" s="0" t="str">
        <f aca="false">IF(AND(DM425=1,DN425&lt;=48),"",IF(AND(DM425=2,DN425&lt;=42),"",IF(AND(DM425=3,DN425&lt;=45),"",EH425)))</f>
        <v/>
      </c>
      <c r="EJ425" s="0" t="str">
        <f aca="false">IF(EI425="","",IF(EI425&lt;9,EI425,9))</f>
        <v/>
      </c>
      <c r="EK425" s="0" t="str">
        <f aca="false">IF(EI425="","",IF(EI425&gt;9,EI425-EJ425,0))</f>
        <v/>
      </c>
      <c r="EL425" s="0" t="str">
        <f aca="false">IF(EI425="","",EJ425*DA425*2+EK425*DA425*3)</f>
        <v/>
      </c>
      <c r="EP425" s="0" t="n">
        <v>1</v>
      </c>
      <c r="EQ425" s="0"/>
      <c r="ER425" s="0" t="n">
        <v>0</v>
      </c>
      <c r="ET425" s="0" t="n">
        <v>0</v>
      </c>
      <c r="EV425" s="0" t="n">
        <v>0</v>
      </c>
      <c r="EX425" s="0" t="n">
        <v>0</v>
      </c>
      <c r="EY425" s="0" t="n">
        <v>1</v>
      </c>
      <c r="FB425" s="0" t="n">
        <v>1</v>
      </c>
      <c r="FF425" s="120" t="n">
        <f aca="false">(CJ425-CI425+1)/365</f>
        <v>6.35890410958904</v>
      </c>
      <c r="FG425" s="0" t="str">
        <f aca="false">CONCATENATE(F425,"/",G425)</f>
        <v>712/2011</v>
      </c>
      <c r="FH425" s="0" t="n">
        <v>0</v>
      </c>
      <c r="FI425" s="0" t="n">
        <v>0</v>
      </c>
    </row>
    <row r="426" customFormat="false" ht="15" hidden="false" customHeight="false" outlineLevel="0" collapsed="false">
      <c r="A426" s="5" t="str">
        <f aca="false">E426&amp;G426&amp;F426</f>
        <v>72011712</v>
      </c>
      <c r="B426" s="0" t="s">
        <v>1855</v>
      </c>
      <c r="C426" s="1" t="n">
        <v>42414</v>
      </c>
      <c r="D426" s="0" t="s">
        <v>4067</v>
      </c>
      <c r="E426" s="0" t="n">
        <v>7</v>
      </c>
      <c r="F426" s="0" t="n">
        <v>712</v>
      </c>
      <c r="G426" s="0" t="n">
        <v>2011</v>
      </c>
      <c r="H426" s="0" t="str">
        <f aca="false">"J"&amp;E426&amp;"\"&amp;F426&amp;"\"&amp;G426&amp;"\"&amp;W426</f>
        <v>J7\712\2011\31</v>
      </c>
      <c r="I426" s="1" t="n">
        <v>40651</v>
      </c>
      <c r="J426" s="1" t="n">
        <v>40049</v>
      </c>
      <c r="K426" s="0" t="n">
        <v>0</v>
      </c>
      <c r="M426" s="1" t="n">
        <v>40084</v>
      </c>
      <c r="N426" s="1" t="n">
        <v>40123</v>
      </c>
      <c r="O426" s="1"/>
      <c r="P426" s="1"/>
      <c r="Q426" s="1"/>
      <c r="T426" s="121"/>
      <c r="U426" s="121"/>
      <c r="V426" s="122" t="n">
        <f aca="false">IF(AND(E426&gt;0,F426&gt;0,G426&gt;0),COUNTIFS($E:$E,E426,$F:$F,F426,$G:$G,G426),"")</f>
        <v>41</v>
      </c>
      <c r="W426" s="122" t="n">
        <f aca="false">IF(V426="","",IF(V426=1,1,IF(AND(E425=E426,F425=F426,G425=G426),W425+1,1)))</f>
        <v>31</v>
      </c>
      <c r="X426" s="0" t="n">
        <v>45</v>
      </c>
      <c r="Y426" s="0" t="n">
        <v>3</v>
      </c>
      <c r="Z426" s="0" t="s">
        <v>4104</v>
      </c>
      <c r="AA426" s="0" t="n">
        <v>0</v>
      </c>
      <c r="AB426" s="0" t="s">
        <v>4060</v>
      </c>
      <c r="AC426" s="0" t="s">
        <v>1160</v>
      </c>
      <c r="AD426" s="0" t="s">
        <v>229</v>
      </c>
      <c r="AE426" s="0" t="n">
        <v>0</v>
      </c>
      <c r="AF426" s="0" t="s">
        <v>3955</v>
      </c>
      <c r="AG426" s="0" t="n">
        <v>0</v>
      </c>
      <c r="AH426" s="0" t="s">
        <v>4061</v>
      </c>
      <c r="AI426" s="0" t="s">
        <v>3957</v>
      </c>
      <c r="AJ426" s="0" t="s">
        <v>590</v>
      </c>
      <c r="AL426" s="0" t="s">
        <v>4062</v>
      </c>
      <c r="AM426" s="0" t="n">
        <v>1</v>
      </c>
      <c r="AN426" s="0" t="s">
        <v>4061</v>
      </c>
      <c r="AO426" s="0" t="s">
        <v>3957</v>
      </c>
      <c r="AP426" s="0" t="s">
        <v>590</v>
      </c>
      <c r="AR426" s="0" t="s">
        <v>1880</v>
      </c>
      <c r="AS426" s="0" t="n">
        <v>1</v>
      </c>
      <c r="AT426" s="0" t="s">
        <v>4061</v>
      </c>
      <c r="AU426" s="0" t="s">
        <v>3957</v>
      </c>
      <c r="AV426" s="0" t="s">
        <v>590</v>
      </c>
      <c r="BR426" s="0" t="n">
        <v>1</v>
      </c>
      <c r="BS426" s="0" t="s">
        <v>4063</v>
      </c>
      <c r="BT426" s="0" t="s">
        <v>4064</v>
      </c>
      <c r="BU426" s="0" t="s">
        <v>4065</v>
      </c>
      <c r="BV426" s="123"/>
      <c r="BW426" s="123"/>
      <c r="BX426" s="123"/>
      <c r="BY426" s="123"/>
      <c r="BZ426" s="0" t="n">
        <v>0</v>
      </c>
      <c r="CA426" s="0" t="s">
        <v>216</v>
      </c>
      <c r="CD426" s="0" t="s">
        <v>502</v>
      </c>
      <c r="CE426" s="0" t="n">
        <v>0</v>
      </c>
      <c r="CF426" s="0" t="s">
        <v>4105</v>
      </c>
      <c r="CI426" s="1" t="n">
        <v>35796</v>
      </c>
      <c r="CJ426" s="1" t="n">
        <v>40001</v>
      </c>
      <c r="CK426" s="124" t="s">
        <v>216</v>
      </c>
      <c r="CL426" s="0" t="s">
        <v>4062</v>
      </c>
      <c r="CM426" s="0" t="n">
        <f aca="false">IF(OR(CI426="",CJ426=""),"",DAYS360(CI426,CJ426)/360)</f>
        <v>11.5166666666667</v>
      </c>
      <c r="CN426" s="0" t="n">
        <f aca="false">IF(OR(CI426="",CJ426=""),"",DAYS360(CI426,CJ426)/30)</f>
        <v>138.2</v>
      </c>
      <c r="CO426" s="0" t="n">
        <f aca="false">IF(OR(CI426="",CJ426=""),"",DAYS360(CI426,CJ426)/7)</f>
        <v>592.285714285714</v>
      </c>
      <c r="CP426" s="0" t="n">
        <f aca="false">IF(OR(CI426="",CJ426=""),"",DAYS360(CI426,CJ426))</f>
        <v>4146</v>
      </c>
      <c r="CQ426" s="0" t="s">
        <v>220</v>
      </c>
      <c r="CR426" s="0" t="n">
        <v>1</v>
      </c>
      <c r="CT426" s="0" t="n">
        <v>2000</v>
      </c>
      <c r="CU426" s="0" t="n">
        <v>2</v>
      </c>
      <c r="CV426" s="0" t="n">
        <f aca="false">IF(OR(CT426="",CT426="NO ESPECIFICA",CT426="NO MENCIONA"),"",IF(CU426=0,CT426,IF(CU426=1,CT426/30,IF(CU426=2,CT426/15,IF(CU426=3,CT426/7,"")))))</f>
        <v>133.333333333333</v>
      </c>
      <c r="CW426" s="125" t="s">
        <v>216</v>
      </c>
      <c r="CX426" s="125" t="s">
        <v>216</v>
      </c>
      <c r="CY426" s="0" t="str">
        <f aca="false">IF(CW426="","",IF(CX426=0,CW426,IF(CX426=1,CW426/30,IF(CX426=2,CW426/15,IF(CX426=3,CW426/7,CW426)))))</f>
        <v>NO MENCIONA</v>
      </c>
      <c r="CZ426" s="0" t="n">
        <f aca="false">IF(DI426&gt;0,DI426,IF(CY426&gt;0,CY426,IF(CV426&gt;0,CV426,"")))</f>
        <v>133.333333333333</v>
      </c>
      <c r="DA426" s="0" t="n">
        <f aca="false">IF(DM426=1,CZ426/8,IF(OR(DM426=2,DM426=4),CZ426/7,IF(DM426=3,CZ426/7.5,"")))</f>
        <v>17.7777777777778</v>
      </c>
      <c r="DB426" s="0" t="s">
        <v>417</v>
      </c>
      <c r="DC426" s="0" t="s">
        <v>216</v>
      </c>
      <c r="DD426" s="0" t="s">
        <v>216</v>
      </c>
      <c r="DE426" s="0" t="s">
        <v>216</v>
      </c>
      <c r="DF426" s="0" t="s">
        <v>216</v>
      </c>
      <c r="DG426" s="0" t="s">
        <v>216</v>
      </c>
      <c r="DH426" s="0" t="n">
        <v>0</v>
      </c>
      <c r="DI426" s="126" t="n">
        <f aca="false">CT426/15</f>
        <v>133.333333333333</v>
      </c>
      <c r="DK426" s="0" t="n">
        <v>0</v>
      </c>
      <c r="DM426" s="0" t="n">
        <v>3</v>
      </c>
      <c r="DN426" s="0" t="n">
        <v>9</v>
      </c>
      <c r="DO426" s="0" t="n">
        <v>0</v>
      </c>
      <c r="DP426" s="0" t="n">
        <v>1</v>
      </c>
      <c r="DQ426" s="0" t="n">
        <v>1</v>
      </c>
      <c r="DR426" s="0"/>
      <c r="DS426" s="0" t="n">
        <v>1</v>
      </c>
      <c r="DU426" s="0" t="n">
        <v>1</v>
      </c>
      <c r="DW426" s="1" t="s">
        <v>221</v>
      </c>
      <c r="DX426" s="1" t="s">
        <v>221</v>
      </c>
      <c r="DY426" s="1" t="s">
        <v>221</v>
      </c>
      <c r="DZ426" s="1" t="s">
        <v>221</v>
      </c>
      <c r="EA426" s="0" t="n">
        <v>1</v>
      </c>
      <c r="EC426" s="1" t="n">
        <v>39448</v>
      </c>
      <c r="ED426" s="1" t="n">
        <v>40001</v>
      </c>
      <c r="EF426" s="0"/>
      <c r="EG426" s="0" t="n">
        <v>1</v>
      </c>
      <c r="EH426" s="0" t="s">
        <v>221</v>
      </c>
      <c r="EI426" s="0" t="str">
        <f aca="false">IF(AND(DM426=1,DN426&lt;=48),"",IF(AND(DM426=2,DN426&lt;=42),"",IF(AND(DM426=3,DN426&lt;=45),"",EH426)))</f>
        <v/>
      </c>
      <c r="EJ426" s="0" t="str">
        <f aca="false">IF(EI426="","",IF(EI426&lt;9,EI426,9))</f>
        <v/>
      </c>
      <c r="EK426" s="0" t="str">
        <f aca="false">IF(EI426="","",IF(EI426&gt;9,EI426-EJ426,0))</f>
        <v/>
      </c>
      <c r="EL426" s="0" t="str">
        <f aca="false">IF(EI426="","",EJ426*DA426*2+EK426*DA426*3)</f>
        <v/>
      </c>
      <c r="EP426" s="0" t="n">
        <v>1</v>
      </c>
      <c r="EQ426" s="0"/>
      <c r="ER426" s="0" t="n">
        <v>0</v>
      </c>
      <c r="ET426" s="0" t="n">
        <v>0</v>
      </c>
      <c r="EV426" s="0" t="n">
        <v>0</v>
      </c>
      <c r="EX426" s="0" t="n">
        <v>0</v>
      </c>
      <c r="EY426" s="0" t="n">
        <v>1</v>
      </c>
      <c r="FB426" s="0" t="n">
        <v>1</v>
      </c>
      <c r="FF426" s="120" t="n">
        <f aca="false">(CJ426-CI426+1)/365</f>
        <v>11.5232876712329</v>
      </c>
      <c r="FG426" s="0" t="str">
        <f aca="false">CONCATENATE(F426,"/",G426)</f>
        <v>712/2011</v>
      </c>
      <c r="FH426" s="0" t="n">
        <v>0</v>
      </c>
      <c r="FI426" s="0" t="n">
        <v>0</v>
      </c>
    </row>
    <row r="427" customFormat="false" ht="15" hidden="false" customHeight="false" outlineLevel="0" collapsed="false">
      <c r="A427" s="5" t="str">
        <f aca="false">E427&amp;G427&amp;F427</f>
        <v>72011712</v>
      </c>
      <c r="B427" s="0" t="s">
        <v>1855</v>
      </c>
      <c r="C427" s="1" t="n">
        <v>42414</v>
      </c>
      <c r="D427" s="0" t="s">
        <v>4067</v>
      </c>
      <c r="E427" s="0" t="n">
        <v>7</v>
      </c>
      <c r="F427" s="0" t="n">
        <v>712</v>
      </c>
      <c r="G427" s="0" t="n">
        <v>2011</v>
      </c>
      <c r="H427" s="0" t="str">
        <f aca="false">"J"&amp;E427&amp;"\"&amp;F427&amp;"\"&amp;G427&amp;"\"&amp;W427</f>
        <v>J7\712\2011\32</v>
      </c>
      <c r="I427" s="1" t="n">
        <v>40651</v>
      </c>
      <c r="J427" s="1" t="n">
        <v>40049</v>
      </c>
      <c r="K427" s="0" t="n">
        <v>0</v>
      </c>
      <c r="M427" s="1" t="n">
        <v>40084</v>
      </c>
      <c r="N427" s="1" t="n">
        <v>40123</v>
      </c>
      <c r="O427" s="1"/>
      <c r="P427" s="1"/>
      <c r="Q427" s="1"/>
      <c r="T427" s="121"/>
      <c r="U427" s="121"/>
      <c r="V427" s="122" t="n">
        <f aca="false">IF(AND(E427&gt;0,F427&gt;0,G427&gt;0),COUNTIFS($E:$E,E427,$F:$F,F427,$G:$G,G427),"")</f>
        <v>41</v>
      </c>
      <c r="W427" s="122" t="n">
        <f aca="false">IF(V427="","",IF(V427=1,1,IF(AND(E426=E427,F426=F427,G426=G427),W426+1,1)))</f>
        <v>32</v>
      </c>
      <c r="X427" s="0" t="n">
        <v>45</v>
      </c>
      <c r="Y427" s="0" t="n">
        <v>3</v>
      </c>
      <c r="Z427" s="0" t="s">
        <v>4106</v>
      </c>
      <c r="AA427" s="0" t="n">
        <v>0</v>
      </c>
      <c r="AB427" s="0" t="s">
        <v>4060</v>
      </c>
      <c r="AC427" s="0" t="s">
        <v>1160</v>
      </c>
      <c r="AD427" s="0" t="s">
        <v>229</v>
      </c>
      <c r="AE427" s="0" t="n">
        <v>0</v>
      </c>
      <c r="AF427" s="0" t="s">
        <v>3955</v>
      </c>
      <c r="AG427" s="0" t="n">
        <v>0</v>
      </c>
      <c r="AH427" s="0" t="s">
        <v>4061</v>
      </c>
      <c r="AI427" s="0" t="s">
        <v>3957</v>
      </c>
      <c r="AJ427" s="0" t="s">
        <v>590</v>
      </c>
      <c r="AL427" s="0" t="s">
        <v>4062</v>
      </c>
      <c r="AM427" s="0" t="n">
        <v>1</v>
      </c>
      <c r="AN427" s="0" t="s">
        <v>4061</v>
      </c>
      <c r="AO427" s="0" t="s">
        <v>3957</v>
      </c>
      <c r="AP427" s="0" t="s">
        <v>590</v>
      </c>
      <c r="AR427" s="0" t="s">
        <v>1880</v>
      </c>
      <c r="AS427" s="0" t="n">
        <v>1</v>
      </c>
      <c r="AT427" s="0" t="s">
        <v>4061</v>
      </c>
      <c r="AU427" s="0" t="s">
        <v>3957</v>
      </c>
      <c r="AV427" s="0" t="s">
        <v>590</v>
      </c>
      <c r="BR427" s="0" t="n">
        <v>1</v>
      </c>
      <c r="BS427" s="0" t="s">
        <v>4063</v>
      </c>
      <c r="BT427" s="0" t="s">
        <v>4064</v>
      </c>
      <c r="BU427" s="0" t="s">
        <v>4065</v>
      </c>
      <c r="BV427" s="123"/>
      <c r="BW427" s="123"/>
      <c r="BX427" s="123"/>
      <c r="BY427" s="123"/>
      <c r="BZ427" s="0" t="n">
        <v>0</v>
      </c>
      <c r="CA427" s="0" t="s">
        <v>216</v>
      </c>
      <c r="CD427" s="0" t="s">
        <v>502</v>
      </c>
      <c r="CE427" s="0" t="n">
        <v>0</v>
      </c>
      <c r="CF427" s="0" t="s">
        <v>4107</v>
      </c>
      <c r="CI427" s="1" t="n">
        <v>31778</v>
      </c>
      <c r="CJ427" s="1" t="n">
        <v>40001</v>
      </c>
      <c r="CK427" s="124" t="s">
        <v>216</v>
      </c>
      <c r="CL427" s="0" t="s">
        <v>4062</v>
      </c>
      <c r="CM427" s="0" t="n">
        <f aca="false">IF(OR(CI427="",CJ427=""),"",DAYS360(CI427,CJ427)/360)</f>
        <v>22.5166666666667</v>
      </c>
      <c r="CN427" s="0" t="n">
        <f aca="false">IF(OR(CI427="",CJ427=""),"",DAYS360(CI427,CJ427)/30)</f>
        <v>270.2</v>
      </c>
      <c r="CO427" s="0" t="n">
        <f aca="false">IF(OR(CI427="",CJ427=""),"",DAYS360(CI427,CJ427)/7)</f>
        <v>1158</v>
      </c>
      <c r="CP427" s="0" t="n">
        <f aca="false">IF(OR(CI427="",CJ427=""),"",DAYS360(CI427,CJ427))</f>
        <v>8106</v>
      </c>
      <c r="CQ427" s="0" t="s">
        <v>220</v>
      </c>
      <c r="CR427" s="0" t="n">
        <v>1</v>
      </c>
      <c r="CT427" s="0" t="n">
        <v>4000</v>
      </c>
      <c r="CU427" s="0" t="n">
        <v>2</v>
      </c>
      <c r="CV427" s="0" t="n">
        <f aca="false">IF(OR(CT427="",CT427="NO ESPECIFICA",CT427="NO MENCIONA"),"",IF(CU427=0,CT427,IF(CU427=1,CT427/30,IF(CU427=2,CT427/15,IF(CU427=3,CT427/7,"")))))</f>
        <v>266.666666666667</v>
      </c>
      <c r="CW427" s="125" t="s">
        <v>216</v>
      </c>
      <c r="CX427" s="125" t="s">
        <v>216</v>
      </c>
      <c r="CY427" s="0" t="str">
        <f aca="false">IF(CW427="","",IF(CX427=0,CW427,IF(CX427=1,CW427/30,IF(CX427=2,CW427/15,IF(CX427=3,CW427/7,CW427)))))</f>
        <v>NO MENCIONA</v>
      </c>
      <c r="CZ427" s="0" t="n">
        <f aca="false">IF(DI427&gt;0,DI427,IF(CY427&gt;0,CY427,IF(CV427&gt;0,CV427,"")))</f>
        <v>266.666666666667</v>
      </c>
      <c r="DA427" s="0" t="str">
        <f aca="false">IF(DM427=1,CZ427/8,IF(OR(DM427=2,DM427=4),CZ427/7,IF(DM427=3,CZ427/7.5,"")))</f>
        <v/>
      </c>
      <c r="DB427" s="0" t="s">
        <v>216</v>
      </c>
      <c r="DC427" s="0" t="s">
        <v>216</v>
      </c>
      <c r="DD427" s="0" t="s">
        <v>216</v>
      </c>
      <c r="DE427" s="0" t="s">
        <v>216</v>
      </c>
      <c r="DF427" s="0" t="s">
        <v>216</v>
      </c>
      <c r="DG427" s="0" t="s">
        <v>216</v>
      </c>
      <c r="DH427" s="0" t="n">
        <v>0</v>
      </c>
      <c r="DI427" s="126" t="n">
        <f aca="false">CT427/15</f>
        <v>266.666666666667</v>
      </c>
      <c r="DK427" s="0" t="n">
        <v>0</v>
      </c>
      <c r="DN427" s="0" t="s">
        <v>216</v>
      </c>
      <c r="DO427" s="0" t="s">
        <v>216</v>
      </c>
      <c r="DP427" s="0" t="n">
        <v>1</v>
      </c>
      <c r="DQ427" s="0" t="n">
        <v>1</v>
      </c>
      <c r="DR427" s="0"/>
      <c r="DS427" s="0" t="n">
        <v>1</v>
      </c>
      <c r="DU427" s="0" t="n">
        <v>1</v>
      </c>
      <c r="DW427" s="1" t="s">
        <v>221</v>
      </c>
      <c r="DX427" s="1" t="s">
        <v>221</v>
      </c>
      <c r="DY427" s="1" t="s">
        <v>221</v>
      </c>
      <c r="DZ427" s="1" t="s">
        <v>221</v>
      </c>
      <c r="EA427" s="0" t="n">
        <v>1</v>
      </c>
      <c r="EC427" s="1" t="n">
        <v>39448</v>
      </c>
      <c r="ED427" s="1" t="n">
        <v>40001</v>
      </c>
      <c r="EF427" s="0"/>
      <c r="EG427" s="0" t="n">
        <v>1</v>
      </c>
      <c r="EH427" s="0" t="s">
        <v>221</v>
      </c>
      <c r="EI427" s="0" t="str">
        <f aca="false">IF(AND(DM427=1,DN427&lt;=48),"",IF(AND(DM427=2,DN427&lt;=42),"",IF(AND(DM427=3,DN427&lt;=45),"",EH427)))</f>
        <v>NO ESPECIFICA</v>
      </c>
      <c r="EJ427" s="0" t="n">
        <f aca="false">IF(EI427="","",IF(EI427&lt;9,EI427,9))</f>
        <v>9</v>
      </c>
      <c r="EK427" s="0" t="e">
        <f aca="false">IF(EI427="","",IF(EI427&gt;9,EI427-EJ427,0))</f>
        <v>#VALUE!</v>
      </c>
      <c r="EL427" s="0" t="e">
        <f aca="false">IF(EI427="","",EJ427*DA427*2+EK427*DA427*3)</f>
        <v>#VALUE!</v>
      </c>
      <c r="EP427" s="0" t="n">
        <v>1</v>
      </c>
      <c r="EQ427" s="0"/>
      <c r="ER427" s="0" t="n">
        <v>0</v>
      </c>
      <c r="ET427" s="0" t="n">
        <v>0</v>
      </c>
      <c r="EV427" s="0" t="n">
        <v>0</v>
      </c>
      <c r="EX427" s="0" t="n">
        <v>0</v>
      </c>
      <c r="EY427" s="0" t="n">
        <v>1</v>
      </c>
      <c r="FB427" s="0" t="n">
        <v>1</v>
      </c>
      <c r="FF427" s="120" t="n">
        <f aca="false">(CJ427-CI427+1)/365</f>
        <v>22.5315068493151</v>
      </c>
      <c r="FG427" s="0" t="str">
        <f aca="false">CONCATENATE(F427,"/",G427)</f>
        <v>712/2011</v>
      </c>
      <c r="FH427" s="0" t="n">
        <v>0</v>
      </c>
      <c r="FI427" s="0" t="n">
        <v>0</v>
      </c>
    </row>
    <row r="428" customFormat="false" ht="15" hidden="false" customHeight="false" outlineLevel="0" collapsed="false">
      <c r="A428" s="5" t="str">
        <f aca="false">E428&amp;G428&amp;F428</f>
        <v>72011712</v>
      </c>
      <c r="B428" s="0" t="s">
        <v>1855</v>
      </c>
      <c r="C428" s="1" t="n">
        <v>42414</v>
      </c>
      <c r="D428" s="0" t="s">
        <v>4067</v>
      </c>
      <c r="E428" s="0" t="n">
        <v>7</v>
      </c>
      <c r="F428" s="0" t="n">
        <v>712</v>
      </c>
      <c r="G428" s="0" t="n">
        <v>2011</v>
      </c>
      <c r="H428" s="0" t="str">
        <f aca="false">"J"&amp;E428&amp;"\"&amp;F428&amp;"\"&amp;G428&amp;"\"&amp;W428</f>
        <v>J7\712\2011\33</v>
      </c>
      <c r="I428" s="1" t="n">
        <v>40651</v>
      </c>
      <c r="J428" s="1" t="n">
        <v>40049</v>
      </c>
      <c r="K428" s="0" t="n">
        <v>0</v>
      </c>
      <c r="M428" s="1" t="n">
        <v>40084</v>
      </c>
      <c r="N428" s="1" t="n">
        <v>40123</v>
      </c>
      <c r="O428" s="1"/>
      <c r="P428" s="1"/>
      <c r="Q428" s="1"/>
      <c r="T428" s="121"/>
      <c r="U428" s="121"/>
      <c r="V428" s="122" t="n">
        <f aca="false">IF(AND(E428&gt;0,F428&gt;0,G428&gt;0),COUNTIFS($E:$E,E428,$F:$F,F428,$G:$G,G428),"")</f>
        <v>41</v>
      </c>
      <c r="W428" s="122" t="n">
        <f aca="false">IF(V428="","",IF(V428=1,1,IF(AND(E427=E428,F427=F428,G427=G428),W427+1,1)))</f>
        <v>33</v>
      </c>
      <c r="X428" s="0" t="n">
        <v>45</v>
      </c>
      <c r="Y428" s="0" t="n">
        <v>3</v>
      </c>
      <c r="Z428" s="0" t="s">
        <v>4108</v>
      </c>
      <c r="AA428" s="0" t="n">
        <v>0</v>
      </c>
      <c r="AB428" s="0" t="s">
        <v>4060</v>
      </c>
      <c r="AC428" s="0" t="s">
        <v>1160</v>
      </c>
      <c r="AD428" s="0" t="s">
        <v>229</v>
      </c>
      <c r="AE428" s="0" t="n">
        <v>0</v>
      </c>
      <c r="AF428" s="0" t="s">
        <v>3955</v>
      </c>
      <c r="AG428" s="0" t="n">
        <v>0</v>
      </c>
      <c r="AH428" s="0" t="s">
        <v>4061</v>
      </c>
      <c r="AI428" s="0" t="s">
        <v>3957</v>
      </c>
      <c r="AJ428" s="0" t="s">
        <v>590</v>
      </c>
      <c r="AL428" s="0" t="s">
        <v>4062</v>
      </c>
      <c r="AM428" s="0" t="n">
        <v>1</v>
      </c>
      <c r="AN428" s="0" t="s">
        <v>4061</v>
      </c>
      <c r="AO428" s="0" t="s">
        <v>3957</v>
      </c>
      <c r="AP428" s="0" t="s">
        <v>590</v>
      </c>
      <c r="AR428" s="0" t="s">
        <v>1880</v>
      </c>
      <c r="AS428" s="0" t="n">
        <v>1</v>
      </c>
      <c r="AT428" s="0" t="s">
        <v>4061</v>
      </c>
      <c r="AU428" s="0" t="s">
        <v>3957</v>
      </c>
      <c r="AV428" s="0" t="s">
        <v>590</v>
      </c>
      <c r="BR428" s="0" t="n">
        <v>1</v>
      </c>
      <c r="BS428" s="0" t="s">
        <v>4063</v>
      </c>
      <c r="BT428" s="0" t="s">
        <v>4064</v>
      </c>
      <c r="BU428" s="0" t="s">
        <v>4065</v>
      </c>
      <c r="BV428" s="123"/>
      <c r="BW428" s="123"/>
      <c r="BX428" s="123"/>
      <c r="BY428" s="123"/>
      <c r="BZ428" s="0" t="n">
        <v>0</v>
      </c>
      <c r="CA428" s="0" t="s">
        <v>216</v>
      </c>
      <c r="CD428" s="0" t="s">
        <v>502</v>
      </c>
      <c r="CE428" s="0" t="n">
        <v>0</v>
      </c>
      <c r="CF428" s="0" t="s">
        <v>968</v>
      </c>
      <c r="CI428" s="1" t="n">
        <v>37186</v>
      </c>
      <c r="CJ428" s="1" t="n">
        <v>40001</v>
      </c>
      <c r="CK428" s="124" t="s">
        <v>216</v>
      </c>
      <c r="CL428" s="0" t="s">
        <v>4062</v>
      </c>
      <c r="CM428" s="0" t="n">
        <f aca="false">IF(OR(CI428="",CJ428=""),"",DAYS360(CI428,CJ428)/360)</f>
        <v>7.70833333333333</v>
      </c>
      <c r="CN428" s="0" t="n">
        <f aca="false">IF(OR(CI428="",CJ428=""),"",DAYS360(CI428,CJ428)/30)</f>
        <v>92.5</v>
      </c>
      <c r="CO428" s="0" t="n">
        <f aca="false">IF(OR(CI428="",CJ428=""),"",DAYS360(CI428,CJ428)/7)</f>
        <v>396.428571428571</v>
      </c>
      <c r="CP428" s="0" t="n">
        <f aca="false">IF(OR(CI428="",CJ428=""),"",DAYS360(CI428,CJ428))</f>
        <v>2775</v>
      </c>
      <c r="CQ428" s="0" t="s">
        <v>220</v>
      </c>
      <c r="CR428" s="0" t="n">
        <v>1</v>
      </c>
      <c r="CT428" s="0" t="n">
        <v>2000</v>
      </c>
      <c r="CU428" s="0" t="n">
        <v>2</v>
      </c>
      <c r="CV428" s="0" t="n">
        <f aca="false">IF(OR(CT428="",CT428="NO ESPECIFICA",CT428="NO MENCIONA"),"",IF(CU428=0,CT428,IF(CU428=1,CT428/30,IF(CU428=2,CT428/15,IF(CU428=3,CT428/7,"")))))</f>
        <v>133.333333333333</v>
      </c>
      <c r="CW428" s="125" t="s">
        <v>216</v>
      </c>
      <c r="CX428" s="125" t="s">
        <v>216</v>
      </c>
      <c r="CY428" s="0" t="str">
        <f aca="false">IF(CW428="","",IF(CX428=0,CW428,IF(CX428=1,CW428/30,IF(CX428=2,CW428/15,IF(CX428=3,CW428/7,CW428)))))</f>
        <v>NO MENCIONA</v>
      </c>
      <c r="CZ428" s="0" t="n">
        <f aca="false">IF(DI428&gt;0,DI428,IF(CY428&gt;0,CY428,IF(CV428&gt;0,CV428,"")))</f>
        <v>133.333333333333</v>
      </c>
      <c r="DA428" s="0" t="n">
        <f aca="false">IF(DM428=1,CZ428/8,IF(OR(DM428=2,DM428=4),CZ428/7,IF(DM428=3,CZ428/7.5,"")))</f>
        <v>17.7777777777778</v>
      </c>
      <c r="DB428" s="0" t="s">
        <v>216</v>
      </c>
      <c r="DC428" s="0" t="s">
        <v>216</v>
      </c>
      <c r="DD428" s="0" t="s">
        <v>216</v>
      </c>
      <c r="DE428" s="0" t="s">
        <v>216</v>
      </c>
      <c r="DF428" s="0" t="s">
        <v>216</v>
      </c>
      <c r="DG428" s="0" t="s">
        <v>216</v>
      </c>
      <c r="DH428" s="0" t="n">
        <v>0</v>
      </c>
      <c r="DI428" s="126" t="n">
        <f aca="false">CT428/15</f>
        <v>133.333333333333</v>
      </c>
      <c r="DK428" s="0" t="n">
        <v>0</v>
      </c>
      <c r="DM428" s="0" t="n">
        <v>3</v>
      </c>
      <c r="DN428" s="0" t="n">
        <v>12</v>
      </c>
      <c r="DO428" s="0" t="n">
        <v>0</v>
      </c>
      <c r="DP428" s="0" t="n">
        <v>1</v>
      </c>
      <c r="DQ428" s="0" t="n">
        <v>1</v>
      </c>
      <c r="DR428" s="0"/>
      <c r="DS428" s="0" t="n">
        <v>1</v>
      </c>
      <c r="DU428" s="0" t="n">
        <v>1</v>
      </c>
      <c r="DW428" s="1" t="s">
        <v>221</v>
      </c>
      <c r="DX428" s="1" t="s">
        <v>221</v>
      </c>
      <c r="DY428" s="1" t="s">
        <v>221</v>
      </c>
      <c r="DZ428" s="1" t="s">
        <v>221</v>
      </c>
      <c r="EA428" s="0" t="n">
        <v>1</v>
      </c>
      <c r="EC428" s="1" t="n">
        <v>39448</v>
      </c>
      <c r="ED428" s="1" t="n">
        <v>40001</v>
      </c>
      <c r="EF428" s="0"/>
      <c r="EG428" s="0" t="n">
        <v>1</v>
      </c>
      <c r="EH428" s="0" t="s">
        <v>221</v>
      </c>
      <c r="EI428" s="0" t="str">
        <f aca="false">IF(AND(DM428=1,DN428&lt;=48),"",IF(AND(DM428=2,DN428&lt;=42),"",IF(AND(DM428=3,DN428&lt;=45),"",EH428)))</f>
        <v/>
      </c>
      <c r="EJ428" s="0" t="str">
        <f aca="false">IF(EI428="","",IF(EI428&lt;9,EI428,9))</f>
        <v/>
      </c>
      <c r="EK428" s="0" t="str">
        <f aca="false">IF(EI428="","",IF(EI428&gt;9,EI428-EJ428,0))</f>
        <v/>
      </c>
      <c r="EL428" s="0" t="str">
        <f aca="false">IF(EI428="","",EJ428*DA428*2+EK428*DA428*3)</f>
        <v/>
      </c>
      <c r="EP428" s="0" t="n">
        <v>1</v>
      </c>
      <c r="EQ428" s="0"/>
      <c r="ER428" s="0" t="n">
        <v>0</v>
      </c>
      <c r="ET428" s="0" t="n">
        <v>0</v>
      </c>
      <c r="EV428" s="0" t="n">
        <v>0</v>
      </c>
      <c r="EX428" s="0" t="n">
        <v>0</v>
      </c>
      <c r="EY428" s="0" t="n">
        <v>1</v>
      </c>
      <c r="FB428" s="0" t="n">
        <v>1</v>
      </c>
      <c r="FF428" s="120" t="n">
        <f aca="false">(CJ428-CI428+1)/365</f>
        <v>7.71506849315069</v>
      </c>
      <c r="FG428" s="0" t="str">
        <f aca="false">CONCATENATE(F428,"/",G428)</f>
        <v>712/2011</v>
      </c>
      <c r="FH428" s="0" t="n">
        <v>0</v>
      </c>
      <c r="FI428" s="0" t="n">
        <v>0</v>
      </c>
    </row>
    <row r="429" customFormat="false" ht="15" hidden="false" customHeight="false" outlineLevel="0" collapsed="false">
      <c r="A429" s="5" t="str">
        <f aca="false">E429&amp;G429&amp;F429</f>
        <v>72011712</v>
      </c>
      <c r="B429" s="0" t="s">
        <v>1855</v>
      </c>
      <c r="C429" s="1" t="n">
        <v>42414</v>
      </c>
      <c r="D429" s="0" t="s">
        <v>4067</v>
      </c>
      <c r="E429" s="0" t="n">
        <v>7</v>
      </c>
      <c r="F429" s="0" t="n">
        <v>712</v>
      </c>
      <c r="G429" s="0" t="n">
        <v>2011</v>
      </c>
      <c r="H429" s="0" t="str">
        <f aca="false">"J"&amp;E429&amp;"\"&amp;F429&amp;"\"&amp;G429&amp;"\"&amp;W429</f>
        <v>J7\712\2011\34</v>
      </c>
      <c r="I429" s="1" t="n">
        <v>40651</v>
      </c>
      <c r="J429" s="1" t="n">
        <v>40049</v>
      </c>
      <c r="K429" s="0" t="n">
        <v>0</v>
      </c>
      <c r="M429" s="1" t="n">
        <v>40084</v>
      </c>
      <c r="N429" s="1" t="n">
        <v>40123</v>
      </c>
      <c r="O429" s="1"/>
      <c r="P429" s="1"/>
      <c r="Q429" s="1"/>
      <c r="T429" s="121"/>
      <c r="U429" s="121"/>
      <c r="V429" s="122" t="n">
        <f aca="false">IF(AND(E429&gt;0,F429&gt;0,G429&gt;0),COUNTIFS($E:$E,E429,$F:$F,F429,$G:$G,G429),"")</f>
        <v>41</v>
      </c>
      <c r="W429" s="122" t="n">
        <f aca="false">IF(V429="","",IF(V429=1,1,IF(AND(E428=E429,F428=F429,G428=G429),W428+1,1)))</f>
        <v>34</v>
      </c>
      <c r="X429" s="0" t="n">
        <v>45</v>
      </c>
      <c r="Y429" s="0" t="n">
        <v>3</v>
      </c>
      <c r="Z429" s="0" t="s">
        <v>4109</v>
      </c>
      <c r="AA429" s="0" t="n">
        <v>0</v>
      </c>
      <c r="AB429" s="0" t="s">
        <v>4060</v>
      </c>
      <c r="AC429" s="0" t="s">
        <v>1160</v>
      </c>
      <c r="AD429" s="0" t="s">
        <v>229</v>
      </c>
      <c r="AE429" s="0" t="n">
        <v>0</v>
      </c>
      <c r="AF429" s="0" t="s">
        <v>3955</v>
      </c>
      <c r="AG429" s="0" t="n">
        <v>0</v>
      </c>
      <c r="AH429" s="0" t="s">
        <v>4061</v>
      </c>
      <c r="AI429" s="0" t="s">
        <v>3957</v>
      </c>
      <c r="AJ429" s="0" t="s">
        <v>590</v>
      </c>
      <c r="AL429" s="0" t="s">
        <v>4062</v>
      </c>
      <c r="AM429" s="0" t="n">
        <v>1</v>
      </c>
      <c r="AN429" s="0" t="s">
        <v>4061</v>
      </c>
      <c r="AO429" s="0" t="s">
        <v>3957</v>
      </c>
      <c r="AP429" s="0" t="s">
        <v>590</v>
      </c>
      <c r="AR429" s="0" t="s">
        <v>1880</v>
      </c>
      <c r="AS429" s="0" t="n">
        <v>1</v>
      </c>
      <c r="AT429" s="0" t="s">
        <v>4061</v>
      </c>
      <c r="AU429" s="0" t="s">
        <v>3957</v>
      </c>
      <c r="AV429" s="0" t="s">
        <v>590</v>
      </c>
      <c r="BR429" s="0" t="n">
        <v>1</v>
      </c>
      <c r="BS429" s="0" t="s">
        <v>4063</v>
      </c>
      <c r="BT429" s="0" t="s">
        <v>4064</v>
      </c>
      <c r="BU429" s="0" t="s">
        <v>4065</v>
      </c>
      <c r="BV429" s="123"/>
      <c r="BW429" s="123"/>
      <c r="BX429" s="123"/>
      <c r="BY429" s="123"/>
      <c r="BZ429" s="0" t="n">
        <v>0</v>
      </c>
      <c r="CA429" s="0" t="s">
        <v>216</v>
      </c>
      <c r="CD429" s="0" t="s">
        <v>502</v>
      </c>
      <c r="CE429" s="0" t="n">
        <v>1</v>
      </c>
      <c r="CF429" s="0" t="s">
        <v>4110</v>
      </c>
      <c r="CI429" s="1" t="n">
        <v>38002</v>
      </c>
      <c r="CJ429" s="1" t="n">
        <v>40000</v>
      </c>
      <c r="CK429" s="124" t="s">
        <v>216</v>
      </c>
      <c r="CL429" s="0" t="s">
        <v>4062</v>
      </c>
      <c r="CM429" s="0" t="n">
        <f aca="false">IF(OR(CI429="",CJ429=""),"",DAYS360(CI429,CJ429)/360)</f>
        <v>5.47222222222222</v>
      </c>
      <c r="CN429" s="0" t="n">
        <f aca="false">IF(OR(CI429="",CJ429=""),"",DAYS360(CI429,CJ429)/30)</f>
        <v>65.6666666666667</v>
      </c>
      <c r="CO429" s="0" t="n">
        <f aca="false">IF(OR(CI429="",CJ429=""),"",DAYS360(CI429,CJ429)/7)</f>
        <v>281.428571428571</v>
      </c>
      <c r="CP429" s="0" t="n">
        <f aca="false">IF(OR(CI429="",CJ429=""),"",DAYS360(CI429,CJ429))</f>
        <v>1970</v>
      </c>
      <c r="CQ429" s="0" t="s">
        <v>220</v>
      </c>
      <c r="CR429" s="0" t="n">
        <v>1</v>
      </c>
      <c r="CT429" s="0" t="n">
        <v>2000</v>
      </c>
      <c r="CU429" s="0" t="n">
        <v>2</v>
      </c>
      <c r="CV429" s="0" t="n">
        <f aca="false">IF(OR(CT429="",CT429="NO ESPECIFICA",CT429="NO MENCIONA"),"",IF(CU429=0,CT429,IF(CU429=1,CT429/30,IF(CU429=2,CT429/15,IF(CU429=3,CT429/7,"")))))</f>
        <v>133.333333333333</v>
      </c>
      <c r="CW429" s="125" t="s">
        <v>216</v>
      </c>
      <c r="CX429" s="125" t="s">
        <v>216</v>
      </c>
      <c r="CY429" s="0" t="str">
        <f aca="false">IF(CW429="","",IF(CX429=0,CW429,IF(CX429=1,CW429/30,IF(CX429=2,CW429/15,IF(CX429=3,CW429/7,CW429)))))</f>
        <v>NO MENCIONA</v>
      </c>
      <c r="CZ429" s="0" t="n">
        <f aca="false">IF(DI429&gt;0,DI429,IF(CY429&gt;0,CY429,IF(CV429&gt;0,CV429,"")))</f>
        <v>133.333333333333</v>
      </c>
      <c r="DA429" s="0" t="str">
        <f aca="false">IF(DM429=1,CZ429/8,IF(OR(DM429=2,DM429=4),CZ429/7,IF(DM429=3,CZ429/7.5,"")))</f>
        <v/>
      </c>
      <c r="DB429" s="0" t="s">
        <v>417</v>
      </c>
      <c r="DC429" s="0" t="s">
        <v>216</v>
      </c>
      <c r="DD429" s="0" t="s">
        <v>216</v>
      </c>
      <c r="DE429" s="0" t="s">
        <v>216</v>
      </c>
      <c r="DF429" s="0" t="s">
        <v>216</v>
      </c>
      <c r="DG429" s="0" t="s">
        <v>216</v>
      </c>
      <c r="DH429" s="0" t="n">
        <v>0</v>
      </c>
      <c r="DI429" s="126" t="n">
        <f aca="false">CT429/15</f>
        <v>133.333333333333</v>
      </c>
      <c r="DK429" s="0" t="n">
        <v>1</v>
      </c>
      <c r="DN429" s="0" t="s">
        <v>216</v>
      </c>
      <c r="DO429" s="0" t="s">
        <v>216</v>
      </c>
      <c r="DP429" s="0" t="n">
        <v>1</v>
      </c>
      <c r="DQ429" s="0" t="n">
        <v>1</v>
      </c>
      <c r="DR429" s="0"/>
      <c r="DS429" s="0" t="n">
        <v>1</v>
      </c>
      <c r="DU429" s="0" t="n">
        <v>1</v>
      </c>
      <c r="DW429" s="1" t="s">
        <v>221</v>
      </c>
      <c r="DX429" s="1" t="s">
        <v>221</v>
      </c>
      <c r="DY429" s="1" t="s">
        <v>221</v>
      </c>
      <c r="DZ429" s="1" t="s">
        <v>221</v>
      </c>
      <c r="EA429" s="0" t="n">
        <v>1</v>
      </c>
      <c r="EC429" s="1" t="n">
        <v>39448</v>
      </c>
      <c r="ED429" s="1" t="n">
        <v>40001</v>
      </c>
      <c r="EF429" s="0"/>
      <c r="EG429" s="0" t="n">
        <v>1</v>
      </c>
      <c r="EH429" s="0" t="s">
        <v>221</v>
      </c>
      <c r="EI429" s="0" t="str">
        <f aca="false">IF(AND(DM429=1,DN429&lt;=48),"",IF(AND(DM429=2,DN429&lt;=42),"",IF(AND(DM429=3,DN429&lt;=45),"",EH429)))</f>
        <v>NO ESPECIFICA</v>
      </c>
      <c r="EJ429" s="0" t="n">
        <f aca="false">IF(EI429="","",IF(EI429&lt;9,EI429,9))</f>
        <v>9</v>
      </c>
      <c r="EK429" s="0" t="e">
        <f aca="false">IF(EI429="","",IF(EI429&gt;9,EI429-EJ429,0))</f>
        <v>#VALUE!</v>
      </c>
      <c r="EL429" s="0" t="e">
        <f aca="false">IF(EI429="","",EJ429*DA429*2+EK429*DA429*3)</f>
        <v>#VALUE!</v>
      </c>
      <c r="EP429" s="0" t="n">
        <v>1</v>
      </c>
      <c r="EQ429" s="0"/>
      <c r="ER429" s="0" t="n">
        <v>0</v>
      </c>
      <c r="ET429" s="0" t="n">
        <v>0</v>
      </c>
      <c r="EV429" s="0" t="n">
        <v>0</v>
      </c>
      <c r="EX429" s="0" t="n">
        <v>0</v>
      </c>
      <c r="EY429" s="0" t="n">
        <v>1</v>
      </c>
      <c r="FB429" s="0" t="n">
        <v>1</v>
      </c>
      <c r="FF429" s="120" t="n">
        <f aca="false">(CJ429-CI429+1)/365</f>
        <v>5.47671232876712</v>
      </c>
      <c r="FG429" s="0" t="str">
        <f aca="false">CONCATENATE(F429,"/",G429)</f>
        <v>712/2011</v>
      </c>
      <c r="FH429" s="0" t="n">
        <v>0</v>
      </c>
      <c r="FI429" s="0" t="n">
        <v>0</v>
      </c>
    </row>
    <row r="430" customFormat="false" ht="15" hidden="false" customHeight="false" outlineLevel="0" collapsed="false">
      <c r="A430" s="5" t="str">
        <f aca="false">E430&amp;G430&amp;F430</f>
        <v>72011712</v>
      </c>
      <c r="B430" s="0" t="s">
        <v>1855</v>
      </c>
      <c r="C430" s="1" t="n">
        <v>42414</v>
      </c>
      <c r="D430" s="0" t="s">
        <v>4067</v>
      </c>
      <c r="E430" s="0" t="n">
        <v>7</v>
      </c>
      <c r="F430" s="0" t="n">
        <v>712</v>
      </c>
      <c r="G430" s="0" t="n">
        <v>2011</v>
      </c>
      <c r="H430" s="0" t="str">
        <f aca="false">"J"&amp;E430&amp;"\"&amp;F430&amp;"\"&amp;G430&amp;"\"&amp;W430</f>
        <v>J7\712\2011\35</v>
      </c>
      <c r="I430" s="1" t="n">
        <v>40651</v>
      </c>
      <c r="J430" s="1" t="n">
        <v>40049</v>
      </c>
      <c r="K430" s="0" t="n">
        <v>0</v>
      </c>
      <c r="M430" s="1" t="n">
        <v>40084</v>
      </c>
      <c r="N430" s="1" t="n">
        <v>40123</v>
      </c>
      <c r="O430" s="1"/>
      <c r="P430" s="1"/>
      <c r="Q430" s="1"/>
      <c r="T430" s="121"/>
      <c r="U430" s="121"/>
      <c r="V430" s="122" t="n">
        <f aca="false">IF(AND(E430&gt;0,F430&gt;0,G430&gt;0),COUNTIFS($E:$E,E430,$F:$F,F430,$G:$G,G430),"")</f>
        <v>41</v>
      </c>
      <c r="W430" s="122" t="n">
        <f aca="false">IF(V430="","",IF(V430=1,1,IF(AND(E429=E430,F429=F430,G429=G430),W429+1,1)))</f>
        <v>35</v>
      </c>
      <c r="X430" s="0" t="n">
        <v>45</v>
      </c>
      <c r="Y430" s="0" t="n">
        <v>3</v>
      </c>
      <c r="Z430" s="0" t="s">
        <v>4111</v>
      </c>
      <c r="AA430" s="0" t="n">
        <v>0</v>
      </c>
      <c r="AB430" s="0" t="s">
        <v>4060</v>
      </c>
      <c r="AC430" s="0" t="s">
        <v>1160</v>
      </c>
      <c r="AD430" s="0" t="s">
        <v>229</v>
      </c>
      <c r="AE430" s="0" t="n">
        <v>0</v>
      </c>
      <c r="AF430" s="0" t="s">
        <v>3955</v>
      </c>
      <c r="AG430" s="0" t="n">
        <v>0</v>
      </c>
      <c r="AH430" s="0" t="s">
        <v>4061</v>
      </c>
      <c r="AI430" s="0" t="s">
        <v>3957</v>
      </c>
      <c r="AJ430" s="0" t="s">
        <v>590</v>
      </c>
      <c r="AL430" s="0" t="s">
        <v>4062</v>
      </c>
      <c r="AM430" s="0" t="n">
        <v>1</v>
      </c>
      <c r="AN430" s="0" t="s">
        <v>4061</v>
      </c>
      <c r="AO430" s="0" t="s">
        <v>3957</v>
      </c>
      <c r="AP430" s="0" t="s">
        <v>590</v>
      </c>
      <c r="AR430" s="0" t="s">
        <v>1880</v>
      </c>
      <c r="AS430" s="0" t="n">
        <v>1</v>
      </c>
      <c r="AT430" s="0" t="s">
        <v>4061</v>
      </c>
      <c r="AU430" s="0" t="s">
        <v>3957</v>
      </c>
      <c r="AV430" s="0" t="s">
        <v>590</v>
      </c>
      <c r="BR430" s="0" t="n">
        <v>1</v>
      </c>
      <c r="BS430" s="0" t="s">
        <v>4063</v>
      </c>
      <c r="BT430" s="0" t="s">
        <v>4064</v>
      </c>
      <c r="BU430" s="0" t="s">
        <v>4065</v>
      </c>
      <c r="BV430" s="123"/>
      <c r="BW430" s="123"/>
      <c r="BX430" s="123"/>
      <c r="BY430" s="123"/>
      <c r="BZ430" s="0" t="n">
        <v>0</v>
      </c>
      <c r="CA430" s="0" t="s">
        <v>216</v>
      </c>
      <c r="CD430" s="0" t="s">
        <v>502</v>
      </c>
      <c r="CE430" s="0" t="n">
        <v>0</v>
      </c>
      <c r="CF430" s="0" t="s">
        <v>1042</v>
      </c>
      <c r="CI430" s="1" t="n">
        <v>35065</v>
      </c>
      <c r="CJ430" s="1" t="n">
        <v>40001</v>
      </c>
      <c r="CK430" s="124" t="s">
        <v>216</v>
      </c>
      <c r="CL430" s="0" t="s">
        <v>4062</v>
      </c>
      <c r="CM430" s="0" t="n">
        <f aca="false">IF(OR(CI430="",CJ430=""),"",DAYS360(CI430,CJ430)/360)</f>
        <v>13.5166666666667</v>
      </c>
      <c r="CN430" s="0" t="n">
        <f aca="false">IF(OR(CI430="",CJ430=""),"",DAYS360(CI430,CJ430)/30)</f>
        <v>162.2</v>
      </c>
      <c r="CO430" s="0" t="n">
        <f aca="false">IF(OR(CI430="",CJ430=""),"",DAYS360(CI430,CJ430)/7)</f>
        <v>695.142857142857</v>
      </c>
      <c r="CP430" s="0" t="n">
        <f aca="false">IF(OR(CI430="",CJ430=""),"",DAYS360(CI430,CJ430))</f>
        <v>4866</v>
      </c>
      <c r="CQ430" s="0" t="s">
        <v>220</v>
      </c>
      <c r="CR430" s="0" t="n">
        <v>1</v>
      </c>
      <c r="CT430" s="0" t="n">
        <v>800</v>
      </c>
      <c r="CU430" s="0" t="n">
        <v>0</v>
      </c>
      <c r="CV430" s="0" t="n">
        <f aca="false">IF(OR(CT430="",CT430="NO ESPECIFICA",CT430="NO MENCIONA"),"",IF(CU430=0,CT430,IF(CU430=1,CT430/30,IF(CU430=2,CT430/15,IF(CU430=3,CT430/7,"")))))</f>
        <v>800</v>
      </c>
      <c r="CW430" s="125" t="s">
        <v>216</v>
      </c>
      <c r="CX430" s="125" t="s">
        <v>216</v>
      </c>
      <c r="CY430" s="0" t="str">
        <f aca="false">IF(CW430="","",IF(CX430=0,CW430,IF(CX430=1,CW430/30,IF(CX430=2,CW430/15,IF(CX430=3,CW430/7,CW430)))))</f>
        <v>NO MENCIONA</v>
      </c>
      <c r="CZ430" s="0" t="n">
        <f aca="false">IF(DI430&gt;0,DI430,IF(CY430&gt;0,CY430,IF(CV430&gt;0,CV430,"")))</f>
        <v>800</v>
      </c>
      <c r="DA430" s="0" t="n">
        <f aca="false">IF(DM430=1,CZ430/8,IF(OR(DM430=2,DM430=4),CZ430/7,IF(DM430=3,CZ430/7.5,"")))</f>
        <v>106.666666666667</v>
      </c>
      <c r="DB430" s="0" t="s">
        <v>216</v>
      </c>
      <c r="DC430" s="0" t="s">
        <v>216</v>
      </c>
      <c r="DD430" s="0" t="s">
        <v>216</v>
      </c>
      <c r="DE430" s="0" t="s">
        <v>216</v>
      </c>
      <c r="DF430" s="0" t="s">
        <v>216</v>
      </c>
      <c r="DG430" s="0" t="s">
        <v>216</v>
      </c>
      <c r="DH430" s="0" t="n">
        <v>0</v>
      </c>
      <c r="DI430" s="126" t="n">
        <v>800</v>
      </c>
      <c r="DK430" s="0" t="n">
        <v>0</v>
      </c>
      <c r="DM430" s="0" t="n">
        <v>3</v>
      </c>
      <c r="DN430" s="0" t="n">
        <v>12</v>
      </c>
      <c r="DO430" s="0" t="n">
        <v>0</v>
      </c>
      <c r="DP430" s="0" t="n">
        <v>1</v>
      </c>
      <c r="DQ430" s="0" t="n">
        <v>1</v>
      </c>
      <c r="DR430" s="0"/>
      <c r="DS430" s="0" t="n">
        <v>1</v>
      </c>
      <c r="DU430" s="0" t="n">
        <v>1</v>
      </c>
      <c r="DW430" s="1" t="s">
        <v>221</v>
      </c>
      <c r="DX430" s="1" t="s">
        <v>221</v>
      </c>
      <c r="DY430" s="1" t="s">
        <v>221</v>
      </c>
      <c r="DZ430" s="1" t="s">
        <v>221</v>
      </c>
      <c r="EA430" s="0" t="n">
        <v>1</v>
      </c>
      <c r="EC430" s="1" t="n">
        <v>39448</v>
      </c>
      <c r="ED430" s="1" t="n">
        <v>40001</v>
      </c>
      <c r="EF430" s="0"/>
      <c r="EG430" s="0" t="n">
        <v>1</v>
      </c>
      <c r="EH430" s="0" t="s">
        <v>221</v>
      </c>
      <c r="EI430" s="0" t="str">
        <f aca="false">IF(AND(DM430=1,DN430&lt;=48),"",IF(AND(DM430=2,DN430&lt;=42),"",IF(AND(DM430=3,DN430&lt;=45),"",EH430)))</f>
        <v/>
      </c>
      <c r="EJ430" s="0" t="str">
        <f aca="false">IF(EI430="","",IF(EI430&lt;9,EI430,9))</f>
        <v/>
      </c>
      <c r="EK430" s="0" t="str">
        <f aca="false">IF(EI430="","",IF(EI430&gt;9,EI430-EJ430,0))</f>
        <v/>
      </c>
      <c r="EL430" s="0" t="str">
        <f aca="false">IF(EI430="","",EJ430*DA430*2+EK430*DA430*3)</f>
        <v/>
      </c>
      <c r="EP430" s="0" t="n">
        <v>1</v>
      </c>
      <c r="EQ430" s="0"/>
      <c r="ER430" s="0" t="n">
        <v>0</v>
      </c>
      <c r="ET430" s="0" t="n">
        <v>0</v>
      </c>
      <c r="EV430" s="0" t="n">
        <v>0</v>
      </c>
      <c r="EX430" s="0" t="n">
        <v>0</v>
      </c>
      <c r="EY430" s="0" t="n">
        <v>1</v>
      </c>
      <c r="FB430" s="0" t="n">
        <v>1</v>
      </c>
      <c r="FF430" s="120" t="n">
        <f aca="false">(CJ430-CI430+1)/365</f>
        <v>13.5260273972603</v>
      </c>
      <c r="FG430" s="0" t="str">
        <f aca="false">CONCATENATE(F430,"/",G430)</f>
        <v>712/2011</v>
      </c>
      <c r="FH430" s="0" t="n">
        <v>0</v>
      </c>
      <c r="FI430" s="0" t="n">
        <v>0</v>
      </c>
    </row>
    <row r="431" customFormat="false" ht="15" hidden="false" customHeight="false" outlineLevel="0" collapsed="false">
      <c r="A431" s="5" t="str">
        <f aca="false">E431&amp;G431&amp;F431</f>
        <v>72011712</v>
      </c>
      <c r="B431" s="0" t="s">
        <v>1855</v>
      </c>
      <c r="C431" s="1" t="n">
        <v>42414</v>
      </c>
      <c r="D431" s="0" t="s">
        <v>4067</v>
      </c>
      <c r="E431" s="0" t="n">
        <v>7</v>
      </c>
      <c r="F431" s="0" t="n">
        <v>712</v>
      </c>
      <c r="G431" s="0" t="n">
        <v>2011</v>
      </c>
      <c r="H431" s="0" t="str">
        <f aca="false">"J"&amp;E431&amp;"\"&amp;F431&amp;"\"&amp;G431&amp;"\"&amp;W431</f>
        <v>J7\712\2011\36</v>
      </c>
      <c r="I431" s="1" t="n">
        <v>40651</v>
      </c>
      <c r="J431" s="1" t="n">
        <v>40049</v>
      </c>
      <c r="K431" s="0" t="n">
        <v>0</v>
      </c>
      <c r="M431" s="1" t="n">
        <v>40084</v>
      </c>
      <c r="N431" s="1" t="n">
        <v>40123</v>
      </c>
      <c r="O431" s="1"/>
      <c r="P431" s="1"/>
      <c r="Q431" s="1"/>
      <c r="T431" s="121"/>
      <c r="U431" s="121"/>
      <c r="V431" s="122" t="n">
        <f aca="false">IF(AND(E431&gt;0,F431&gt;0,G431&gt;0),COUNTIFS($E:$E,E431,$F:$F,F431,$G:$G,G431),"")</f>
        <v>41</v>
      </c>
      <c r="W431" s="122" t="n">
        <f aca="false">IF(V431="","",IF(V431=1,1,IF(AND(E430=E431,F430=F431,G430=G431),W430+1,1)))</f>
        <v>36</v>
      </c>
      <c r="X431" s="0" t="n">
        <v>45</v>
      </c>
      <c r="Y431" s="0" t="n">
        <v>3</v>
      </c>
      <c r="Z431" s="0" t="s">
        <v>4112</v>
      </c>
      <c r="AA431" s="0" t="n">
        <v>0</v>
      </c>
      <c r="AB431" s="0" t="s">
        <v>4060</v>
      </c>
      <c r="AC431" s="0" t="s">
        <v>1160</v>
      </c>
      <c r="AD431" s="0" t="s">
        <v>229</v>
      </c>
      <c r="AE431" s="0" t="n">
        <v>0</v>
      </c>
      <c r="AF431" s="0" t="s">
        <v>3955</v>
      </c>
      <c r="AG431" s="0" t="n">
        <v>0</v>
      </c>
      <c r="AH431" s="0" t="s">
        <v>4061</v>
      </c>
      <c r="AI431" s="0" t="s">
        <v>3957</v>
      </c>
      <c r="AJ431" s="0" t="s">
        <v>590</v>
      </c>
      <c r="AL431" s="0" t="s">
        <v>4062</v>
      </c>
      <c r="AM431" s="0" t="n">
        <v>1</v>
      </c>
      <c r="AN431" s="0" t="s">
        <v>4061</v>
      </c>
      <c r="AO431" s="0" t="s">
        <v>3957</v>
      </c>
      <c r="AP431" s="0" t="s">
        <v>590</v>
      </c>
      <c r="AR431" s="0" t="s">
        <v>1880</v>
      </c>
      <c r="AS431" s="0" t="n">
        <v>1</v>
      </c>
      <c r="AT431" s="0" t="s">
        <v>4061</v>
      </c>
      <c r="AU431" s="0" t="s">
        <v>3957</v>
      </c>
      <c r="AV431" s="0" t="s">
        <v>590</v>
      </c>
      <c r="BR431" s="0" t="n">
        <v>1</v>
      </c>
      <c r="BS431" s="0" t="s">
        <v>4063</v>
      </c>
      <c r="BT431" s="0" t="s">
        <v>4064</v>
      </c>
      <c r="BU431" s="0" t="s">
        <v>4065</v>
      </c>
      <c r="BV431" s="123"/>
      <c r="BW431" s="123"/>
      <c r="BX431" s="123"/>
      <c r="BY431" s="123"/>
      <c r="BZ431" s="0" t="n">
        <v>0</v>
      </c>
      <c r="CA431" s="0" t="s">
        <v>216</v>
      </c>
      <c r="CD431" s="0" t="s">
        <v>502</v>
      </c>
      <c r="CE431" s="0" t="n">
        <v>0</v>
      </c>
      <c r="CF431" s="0" t="s">
        <v>457</v>
      </c>
      <c r="CI431" s="1" t="n">
        <v>36342</v>
      </c>
      <c r="CJ431" s="1" t="n">
        <v>40004</v>
      </c>
      <c r="CK431" s="124" t="s">
        <v>216</v>
      </c>
      <c r="CL431" s="0" t="s">
        <v>4062</v>
      </c>
      <c r="CM431" s="0" t="n">
        <f aca="false">IF(OR(CI431="",CJ431=""),"",DAYS360(CI431,CJ431)/360)</f>
        <v>10.025</v>
      </c>
      <c r="CN431" s="0" t="n">
        <f aca="false">IF(OR(CI431="",CJ431=""),"",DAYS360(CI431,CJ431)/30)</f>
        <v>120.3</v>
      </c>
      <c r="CO431" s="0" t="n">
        <f aca="false">IF(OR(CI431="",CJ431=""),"",DAYS360(CI431,CJ431)/7)</f>
        <v>515.571428571429</v>
      </c>
      <c r="CP431" s="0" t="n">
        <f aca="false">IF(OR(CI431="",CJ431=""),"",DAYS360(CI431,CJ431))</f>
        <v>3609</v>
      </c>
      <c r="CQ431" s="0" t="s">
        <v>220</v>
      </c>
      <c r="CR431" s="0" t="n">
        <v>1</v>
      </c>
      <c r="CT431" s="0" t="n">
        <v>4000</v>
      </c>
      <c r="CU431" s="0" t="n">
        <v>1</v>
      </c>
      <c r="CV431" s="0" t="n">
        <f aca="false">IF(OR(CT431="",CT431="NO ESPECIFICA",CT431="NO MENCIONA"),"",IF(CU431=0,CT431,IF(CU431=1,CT431/30,IF(CU431=2,CT431/15,IF(CU431=3,CT431/7,"")))))</f>
        <v>133.333333333333</v>
      </c>
      <c r="CW431" s="125" t="s">
        <v>216</v>
      </c>
      <c r="CX431" s="125" t="s">
        <v>216</v>
      </c>
      <c r="CY431" s="0" t="str">
        <f aca="false">IF(CW431="","",IF(CX431=0,CW431,IF(CX431=1,CW431/30,IF(CX431=2,CW431/15,IF(CX431=3,CW431/7,CW431)))))</f>
        <v>NO MENCIONA</v>
      </c>
      <c r="CZ431" s="0" t="n">
        <f aca="false">IF(DI431&gt;0,DI431,IF(CY431&gt;0,CY431,IF(CV431&gt;0,CV431,"")))</f>
        <v>133.333333333333</v>
      </c>
      <c r="DA431" s="0" t="str">
        <f aca="false">IF(DM431=1,CZ431/8,IF(OR(DM431=2,DM431=4),CZ431/7,IF(DM431=3,CZ431/7.5,"")))</f>
        <v/>
      </c>
      <c r="DB431" s="0" t="s">
        <v>417</v>
      </c>
      <c r="DC431" s="0" t="s">
        <v>216</v>
      </c>
      <c r="DD431" s="0" t="s">
        <v>216</v>
      </c>
      <c r="DE431" s="0" t="s">
        <v>216</v>
      </c>
      <c r="DF431" s="0" t="s">
        <v>216</v>
      </c>
      <c r="DG431" s="0" t="s">
        <v>216</v>
      </c>
      <c r="DH431" s="0" t="n">
        <v>0</v>
      </c>
      <c r="DI431" s="126" t="n">
        <f aca="false">CT431/30</f>
        <v>133.333333333333</v>
      </c>
      <c r="DK431" s="0" t="n">
        <v>1</v>
      </c>
      <c r="DN431" s="0" t="s">
        <v>216</v>
      </c>
      <c r="DO431" s="0" t="s">
        <v>216</v>
      </c>
      <c r="DP431" s="0" t="n">
        <v>1</v>
      </c>
      <c r="DQ431" s="0" t="n">
        <v>1</v>
      </c>
      <c r="DR431" s="0"/>
      <c r="DS431" s="0" t="n">
        <v>1</v>
      </c>
      <c r="DU431" s="0" t="n">
        <v>1</v>
      </c>
      <c r="DW431" s="1" t="s">
        <v>221</v>
      </c>
      <c r="DX431" s="1" t="s">
        <v>221</v>
      </c>
      <c r="DY431" s="1" t="s">
        <v>221</v>
      </c>
      <c r="DZ431" s="1" t="s">
        <v>221</v>
      </c>
      <c r="EA431" s="0" t="n">
        <v>1</v>
      </c>
      <c r="EC431" s="1" t="n">
        <v>39448</v>
      </c>
      <c r="ED431" s="1" t="n">
        <v>40001</v>
      </c>
      <c r="EF431" s="0"/>
      <c r="EG431" s="0" t="n">
        <v>1</v>
      </c>
      <c r="EH431" s="0" t="s">
        <v>221</v>
      </c>
      <c r="EI431" s="0" t="str">
        <f aca="false">IF(AND(DM431=1,DN431&lt;=48),"",IF(AND(DM431=2,DN431&lt;=42),"",IF(AND(DM431=3,DN431&lt;=45),"",EH431)))</f>
        <v>NO ESPECIFICA</v>
      </c>
      <c r="EJ431" s="0" t="n">
        <f aca="false">IF(EI431="","",IF(EI431&lt;9,EI431,9))</f>
        <v>9</v>
      </c>
      <c r="EK431" s="0" t="e">
        <f aca="false">IF(EI431="","",IF(EI431&gt;9,EI431-EJ431,0))</f>
        <v>#VALUE!</v>
      </c>
      <c r="EL431" s="0" t="e">
        <f aca="false">IF(EI431="","",EJ431*DA431*2+EK431*DA431*3)</f>
        <v>#VALUE!</v>
      </c>
      <c r="EP431" s="0" t="n">
        <v>1</v>
      </c>
      <c r="EQ431" s="0"/>
      <c r="ER431" s="0" t="n">
        <v>0</v>
      </c>
      <c r="ET431" s="0" t="n">
        <v>0</v>
      </c>
      <c r="EV431" s="0" t="n">
        <v>0</v>
      </c>
      <c r="EX431" s="0" t="n">
        <v>0</v>
      </c>
      <c r="EY431" s="0" t="n">
        <v>1</v>
      </c>
      <c r="FB431" s="0" t="n">
        <v>1</v>
      </c>
      <c r="FF431" s="120" t="n">
        <f aca="false">(CJ431-CI431+1)/365</f>
        <v>10.0356164383562</v>
      </c>
      <c r="FG431" s="0" t="str">
        <f aca="false">CONCATENATE(F431,"/",G431)</f>
        <v>712/2011</v>
      </c>
      <c r="FH431" s="0" t="n">
        <v>0</v>
      </c>
      <c r="FI431" s="0" t="n">
        <v>0</v>
      </c>
    </row>
    <row r="432" customFormat="false" ht="15" hidden="false" customHeight="false" outlineLevel="0" collapsed="false">
      <c r="A432" s="5" t="str">
        <f aca="false">E432&amp;G432&amp;F432</f>
        <v>72011712</v>
      </c>
      <c r="B432" s="0" t="s">
        <v>1855</v>
      </c>
      <c r="C432" s="1" t="n">
        <v>42414</v>
      </c>
      <c r="D432" s="0" t="s">
        <v>4067</v>
      </c>
      <c r="E432" s="0" t="n">
        <v>7</v>
      </c>
      <c r="F432" s="0" t="n">
        <v>712</v>
      </c>
      <c r="G432" s="0" t="n">
        <v>2011</v>
      </c>
      <c r="H432" s="0" t="str">
        <f aca="false">"J"&amp;E432&amp;"\"&amp;F432&amp;"\"&amp;G432&amp;"\"&amp;W432</f>
        <v>J7\712\2011\37</v>
      </c>
      <c r="I432" s="1" t="n">
        <v>40651</v>
      </c>
      <c r="J432" s="1" t="n">
        <v>40049</v>
      </c>
      <c r="K432" s="0" t="n">
        <v>0</v>
      </c>
      <c r="M432" s="1" t="n">
        <v>40084</v>
      </c>
      <c r="N432" s="1" t="n">
        <v>40123</v>
      </c>
      <c r="O432" s="1"/>
      <c r="P432" s="1"/>
      <c r="Q432" s="1"/>
      <c r="T432" s="121"/>
      <c r="U432" s="121"/>
      <c r="V432" s="122" t="n">
        <f aca="false">IF(AND(E432&gt;0,F432&gt;0,G432&gt;0),COUNTIFS($E:$E,E432,$F:$F,F432,$G:$G,G432),"")</f>
        <v>41</v>
      </c>
      <c r="W432" s="122" t="n">
        <f aca="false">IF(V432="","",IF(V432=1,1,IF(AND(E431=E432,F431=F432,G431=G432),W431+1,1)))</f>
        <v>37</v>
      </c>
      <c r="X432" s="0" t="n">
        <v>45</v>
      </c>
      <c r="Y432" s="0" t="n">
        <v>3</v>
      </c>
      <c r="Z432" s="0" t="s">
        <v>4113</v>
      </c>
      <c r="AA432" s="0" t="n">
        <v>0</v>
      </c>
      <c r="AB432" s="0" t="s">
        <v>4060</v>
      </c>
      <c r="AC432" s="0" t="s">
        <v>1160</v>
      </c>
      <c r="AD432" s="0" t="s">
        <v>229</v>
      </c>
      <c r="AE432" s="0" t="n">
        <v>0</v>
      </c>
      <c r="AF432" s="0" t="s">
        <v>3955</v>
      </c>
      <c r="AG432" s="0" t="n">
        <v>0</v>
      </c>
      <c r="AH432" s="0" t="s">
        <v>4061</v>
      </c>
      <c r="AI432" s="0" t="s">
        <v>3957</v>
      </c>
      <c r="AJ432" s="0" t="s">
        <v>590</v>
      </c>
      <c r="AL432" s="0" t="s">
        <v>4062</v>
      </c>
      <c r="AM432" s="0" t="n">
        <v>1</v>
      </c>
      <c r="AN432" s="0" t="s">
        <v>4061</v>
      </c>
      <c r="AO432" s="0" t="s">
        <v>3957</v>
      </c>
      <c r="AP432" s="0" t="s">
        <v>590</v>
      </c>
      <c r="AR432" s="0" t="s">
        <v>1880</v>
      </c>
      <c r="AS432" s="0" t="n">
        <v>1</v>
      </c>
      <c r="AT432" s="0" t="s">
        <v>4061</v>
      </c>
      <c r="AU432" s="0" t="s">
        <v>3957</v>
      </c>
      <c r="AV432" s="0" t="s">
        <v>590</v>
      </c>
      <c r="BR432" s="0" t="n">
        <v>1</v>
      </c>
      <c r="BS432" s="0" t="s">
        <v>4063</v>
      </c>
      <c r="BT432" s="0" t="s">
        <v>4064</v>
      </c>
      <c r="BU432" s="0" t="s">
        <v>4065</v>
      </c>
      <c r="BV432" s="123"/>
      <c r="BW432" s="123"/>
      <c r="BX432" s="123"/>
      <c r="BY432" s="123"/>
      <c r="BZ432" s="0" t="n">
        <v>0</v>
      </c>
      <c r="CA432" s="0" t="s">
        <v>216</v>
      </c>
      <c r="CD432" s="0" t="s">
        <v>502</v>
      </c>
      <c r="CE432" s="0" t="n">
        <v>0</v>
      </c>
      <c r="CF432" s="0" t="s">
        <v>1042</v>
      </c>
      <c r="CI432" s="1" t="n">
        <v>31809</v>
      </c>
      <c r="CJ432" s="1" t="n">
        <v>40001</v>
      </c>
      <c r="CK432" s="124" t="s">
        <v>216</v>
      </c>
      <c r="CL432" s="0" t="s">
        <v>4062</v>
      </c>
      <c r="CM432" s="0" t="n">
        <f aca="false">IF(OR(CI432="",CJ432=""),"",DAYS360(CI432,CJ432)/360)</f>
        <v>22.4333333333333</v>
      </c>
      <c r="CN432" s="0" t="n">
        <f aca="false">IF(OR(CI432="",CJ432=""),"",DAYS360(CI432,CJ432)/30)</f>
        <v>269.2</v>
      </c>
      <c r="CO432" s="0" t="n">
        <f aca="false">IF(OR(CI432="",CJ432=""),"",DAYS360(CI432,CJ432)/7)</f>
        <v>1153.71428571429</v>
      </c>
      <c r="CP432" s="0" t="n">
        <f aca="false">IF(OR(CI432="",CJ432=""),"",DAYS360(CI432,CJ432))</f>
        <v>8076</v>
      </c>
      <c r="CQ432" s="0" t="s">
        <v>220</v>
      </c>
      <c r="CR432" s="0" t="n">
        <v>1</v>
      </c>
      <c r="CT432" s="0" t="n">
        <v>800</v>
      </c>
      <c r="CU432" s="0" t="n">
        <v>0</v>
      </c>
      <c r="CV432" s="0" t="n">
        <f aca="false">IF(OR(CT432="",CT432="NO ESPECIFICA",CT432="NO MENCIONA"),"",IF(CU432=0,CT432,IF(CU432=1,CT432/30,IF(CU432=2,CT432/15,IF(CU432=3,CT432/7,"")))))</f>
        <v>800</v>
      </c>
      <c r="CW432" s="125" t="s">
        <v>216</v>
      </c>
      <c r="CX432" s="125" t="s">
        <v>216</v>
      </c>
      <c r="CY432" s="0" t="str">
        <f aca="false">IF(CW432="","",IF(CX432=0,CW432,IF(CX432=1,CW432/30,IF(CX432=2,CW432/15,IF(CX432=3,CW432/7,CW432)))))</f>
        <v>NO MENCIONA</v>
      </c>
      <c r="CZ432" s="0" t="n">
        <f aca="false">IF(DI432&gt;0,DI432,IF(CY432&gt;0,CY432,IF(CV432&gt;0,CV432,"")))</f>
        <v>800</v>
      </c>
      <c r="DA432" s="0" t="n">
        <f aca="false">IF(DM432=1,CZ432/8,IF(OR(DM432=2,DM432=4),CZ432/7,IF(DM432=3,CZ432/7.5,"")))</f>
        <v>106.666666666667</v>
      </c>
      <c r="DB432" s="0" t="s">
        <v>216</v>
      </c>
      <c r="DC432" s="0" t="s">
        <v>216</v>
      </c>
      <c r="DD432" s="0" t="s">
        <v>216</v>
      </c>
      <c r="DE432" s="0" t="s">
        <v>216</v>
      </c>
      <c r="DF432" s="0" t="s">
        <v>216</v>
      </c>
      <c r="DG432" s="0" t="s">
        <v>216</v>
      </c>
      <c r="DH432" s="0" t="n">
        <v>0</v>
      </c>
      <c r="DI432" s="126" t="n">
        <v>800</v>
      </c>
      <c r="DK432" s="0" t="n">
        <v>0</v>
      </c>
      <c r="DM432" s="0" t="n">
        <v>3</v>
      </c>
      <c r="DN432" s="0" t="n">
        <v>9</v>
      </c>
      <c r="DO432" s="0" t="n">
        <v>0</v>
      </c>
      <c r="DP432" s="0" t="n">
        <v>1</v>
      </c>
      <c r="DQ432" s="0" t="n">
        <v>1</v>
      </c>
      <c r="DR432" s="0"/>
      <c r="DS432" s="0" t="n">
        <v>1</v>
      </c>
      <c r="DU432" s="0" t="n">
        <v>1</v>
      </c>
      <c r="DW432" s="1" t="s">
        <v>221</v>
      </c>
      <c r="DX432" s="1" t="s">
        <v>221</v>
      </c>
      <c r="DY432" s="1" t="s">
        <v>221</v>
      </c>
      <c r="DZ432" s="1" t="s">
        <v>221</v>
      </c>
      <c r="EA432" s="0" t="n">
        <v>1</v>
      </c>
      <c r="EC432" s="1" t="n">
        <v>39448</v>
      </c>
      <c r="ED432" s="1" t="n">
        <v>40001</v>
      </c>
      <c r="EF432" s="0"/>
      <c r="EG432" s="0" t="n">
        <v>1</v>
      </c>
      <c r="EH432" s="0" t="s">
        <v>221</v>
      </c>
      <c r="EI432" s="0" t="str">
        <f aca="false">IF(AND(DM432=1,DN432&lt;=48),"",IF(AND(DM432=2,DN432&lt;=42),"",IF(AND(DM432=3,DN432&lt;=45),"",EH432)))</f>
        <v/>
      </c>
      <c r="EJ432" s="0" t="str">
        <f aca="false">IF(EI432="","",IF(EI432&lt;9,EI432,9))</f>
        <v/>
      </c>
      <c r="EK432" s="0" t="str">
        <f aca="false">IF(EI432="","",IF(EI432&gt;9,EI432-EJ432,0))</f>
        <v/>
      </c>
      <c r="EL432" s="0" t="str">
        <f aca="false">IF(EI432="","",EJ432*DA432*2+EK432*DA432*3)</f>
        <v/>
      </c>
      <c r="EP432" s="0" t="n">
        <v>1</v>
      </c>
      <c r="EQ432" s="0"/>
      <c r="ER432" s="0" t="n">
        <v>0</v>
      </c>
      <c r="ET432" s="0" t="n">
        <v>0</v>
      </c>
      <c r="EV432" s="0" t="n">
        <v>0</v>
      </c>
      <c r="EX432" s="0" t="n">
        <v>0</v>
      </c>
      <c r="EY432" s="0" t="n">
        <v>1</v>
      </c>
      <c r="FB432" s="0" t="n">
        <v>1</v>
      </c>
      <c r="FF432" s="120" t="n">
        <f aca="false">(CJ432-CI432+1)/365</f>
        <v>22.4465753424657</v>
      </c>
      <c r="FG432" s="0" t="str">
        <f aca="false">CONCATENATE(F432,"/",G432)</f>
        <v>712/2011</v>
      </c>
      <c r="FH432" s="0" t="n">
        <v>0</v>
      </c>
      <c r="FI432" s="0" t="n">
        <v>0</v>
      </c>
    </row>
    <row r="433" customFormat="false" ht="15" hidden="false" customHeight="false" outlineLevel="0" collapsed="false">
      <c r="A433" s="5" t="str">
        <f aca="false">E433&amp;G433&amp;F433</f>
        <v>72011712</v>
      </c>
      <c r="B433" s="0" t="s">
        <v>1855</v>
      </c>
      <c r="C433" s="1" t="n">
        <v>42414</v>
      </c>
      <c r="D433" s="0" t="s">
        <v>4067</v>
      </c>
      <c r="E433" s="0" t="n">
        <v>7</v>
      </c>
      <c r="F433" s="0" t="n">
        <v>712</v>
      </c>
      <c r="G433" s="0" t="n">
        <v>2011</v>
      </c>
      <c r="H433" s="0" t="str">
        <f aca="false">"J"&amp;E433&amp;"\"&amp;F433&amp;"\"&amp;G433&amp;"\"&amp;W433</f>
        <v>J7\712\2011\38</v>
      </c>
      <c r="I433" s="1" t="n">
        <v>40651</v>
      </c>
      <c r="J433" s="1" t="n">
        <v>40049</v>
      </c>
      <c r="K433" s="0" t="n">
        <v>0</v>
      </c>
      <c r="M433" s="1" t="n">
        <v>40084</v>
      </c>
      <c r="N433" s="1" t="n">
        <v>40123</v>
      </c>
      <c r="O433" s="1"/>
      <c r="P433" s="1"/>
      <c r="Q433" s="1"/>
      <c r="T433" s="121"/>
      <c r="U433" s="121"/>
      <c r="V433" s="122" t="n">
        <f aca="false">IF(AND(E433&gt;0,F433&gt;0,G433&gt;0),COUNTIFS($E:$E,E433,$F:$F,F433,$G:$G,G433),"")</f>
        <v>41</v>
      </c>
      <c r="W433" s="122" t="n">
        <f aca="false">IF(V433="","",IF(V433=1,1,IF(AND(E432=E433,F432=F433,G432=G433),W432+1,1)))</f>
        <v>38</v>
      </c>
      <c r="X433" s="0" t="n">
        <v>45</v>
      </c>
      <c r="Y433" s="0" t="n">
        <v>3</v>
      </c>
      <c r="Z433" s="0" t="s">
        <v>4114</v>
      </c>
      <c r="AA433" s="0" t="n">
        <v>0</v>
      </c>
      <c r="AB433" s="0" t="s">
        <v>4060</v>
      </c>
      <c r="AC433" s="0" t="s">
        <v>1160</v>
      </c>
      <c r="AD433" s="0" t="s">
        <v>229</v>
      </c>
      <c r="AE433" s="0" t="n">
        <v>0</v>
      </c>
      <c r="AF433" s="0" t="s">
        <v>3955</v>
      </c>
      <c r="AG433" s="0" t="n">
        <v>0</v>
      </c>
      <c r="AH433" s="0" t="s">
        <v>4061</v>
      </c>
      <c r="AI433" s="0" t="s">
        <v>3957</v>
      </c>
      <c r="AJ433" s="0" t="s">
        <v>590</v>
      </c>
      <c r="AL433" s="0" t="s">
        <v>4062</v>
      </c>
      <c r="AM433" s="0" t="n">
        <v>1</v>
      </c>
      <c r="AN433" s="0" t="s">
        <v>4061</v>
      </c>
      <c r="AO433" s="0" t="s">
        <v>3957</v>
      </c>
      <c r="AP433" s="0" t="s">
        <v>590</v>
      </c>
      <c r="AR433" s="0" t="s">
        <v>1880</v>
      </c>
      <c r="AS433" s="0" t="n">
        <v>1</v>
      </c>
      <c r="AT433" s="0" t="s">
        <v>4061</v>
      </c>
      <c r="AU433" s="0" t="s">
        <v>3957</v>
      </c>
      <c r="AV433" s="0" t="s">
        <v>590</v>
      </c>
      <c r="BR433" s="0" t="n">
        <v>1</v>
      </c>
      <c r="BS433" s="0" t="s">
        <v>4063</v>
      </c>
      <c r="BT433" s="0" t="s">
        <v>4064</v>
      </c>
      <c r="BU433" s="0" t="s">
        <v>4065</v>
      </c>
      <c r="BV433" s="123"/>
      <c r="BW433" s="123"/>
      <c r="BX433" s="123"/>
      <c r="BY433" s="123"/>
      <c r="BZ433" s="0" t="n">
        <v>0</v>
      </c>
      <c r="CA433" s="0" t="s">
        <v>216</v>
      </c>
      <c r="CD433" s="0" t="s">
        <v>502</v>
      </c>
      <c r="CE433" s="0" t="n">
        <v>0</v>
      </c>
      <c r="CF433" s="0" t="s">
        <v>4115</v>
      </c>
      <c r="CI433" s="1" t="n">
        <v>38224</v>
      </c>
      <c r="CJ433" s="1" t="n">
        <v>40001</v>
      </c>
      <c r="CK433" s="124" t="s">
        <v>216</v>
      </c>
      <c r="CL433" s="0" t="s">
        <v>4062</v>
      </c>
      <c r="CM433" s="0" t="n">
        <f aca="false">IF(OR(CI433="",CJ433=""),"",DAYS360(CI433,CJ433)/360)</f>
        <v>4.86666666666667</v>
      </c>
      <c r="CN433" s="0" t="n">
        <f aca="false">IF(OR(CI433="",CJ433=""),"",DAYS360(CI433,CJ433)/30)</f>
        <v>58.4</v>
      </c>
      <c r="CO433" s="0" t="n">
        <f aca="false">IF(OR(CI433="",CJ433=""),"",DAYS360(CI433,CJ433)/7)</f>
        <v>250.285714285714</v>
      </c>
      <c r="CP433" s="0" t="n">
        <f aca="false">IF(OR(CI433="",CJ433=""),"",DAYS360(CI433,CJ433))</f>
        <v>1752</v>
      </c>
      <c r="CQ433" s="0" t="s">
        <v>220</v>
      </c>
      <c r="CR433" s="0" t="n">
        <v>1</v>
      </c>
      <c r="CT433" s="0" t="n">
        <v>2200</v>
      </c>
      <c r="CU433" s="0" t="n">
        <v>2</v>
      </c>
      <c r="CV433" s="0" t="n">
        <f aca="false">IF(OR(CT433="",CT433="NO ESPECIFICA",CT433="NO MENCIONA"),"",IF(CU433=0,CT433,IF(CU433=1,CT433/30,IF(CU433=2,CT433/15,IF(CU433=3,CT433/7,"")))))</f>
        <v>146.666666666667</v>
      </c>
      <c r="CW433" s="125" t="s">
        <v>216</v>
      </c>
      <c r="CX433" s="125" t="s">
        <v>216</v>
      </c>
      <c r="CY433" s="0" t="str">
        <f aca="false">IF(CW433="","",IF(CX433=0,CW433,IF(CX433=1,CW433/30,IF(CX433=2,CW433/15,IF(CX433=3,CW433/7,CW433)))))</f>
        <v>NO MENCIONA</v>
      </c>
      <c r="CZ433" s="0" t="n">
        <f aca="false">IF(DI433&gt;0,DI433,IF(CY433&gt;0,CY433,IF(CV433&gt;0,CV433,"")))</f>
        <v>146.666666666667</v>
      </c>
      <c r="DA433" s="0" t="str">
        <f aca="false">IF(DM433=1,CZ433/8,IF(OR(DM433=2,DM433=4),CZ433/7,IF(DM433=3,CZ433/7.5,"")))</f>
        <v/>
      </c>
      <c r="DB433" s="0" t="s">
        <v>216</v>
      </c>
      <c r="DC433" s="0" t="s">
        <v>216</v>
      </c>
      <c r="DD433" s="0" t="s">
        <v>216</v>
      </c>
      <c r="DE433" s="0" t="s">
        <v>216</v>
      </c>
      <c r="DF433" s="0" t="s">
        <v>216</v>
      </c>
      <c r="DG433" s="0" t="s">
        <v>216</v>
      </c>
      <c r="DH433" s="0" t="n">
        <v>0</v>
      </c>
      <c r="DI433" s="126" t="n">
        <f aca="false">CT433/15</f>
        <v>146.666666666667</v>
      </c>
      <c r="DK433" s="0" t="n">
        <v>0</v>
      </c>
      <c r="DN433" s="0" t="s">
        <v>216</v>
      </c>
      <c r="DO433" s="0" t="s">
        <v>216</v>
      </c>
      <c r="DP433" s="0" t="n">
        <v>1</v>
      </c>
      <c r="DQ433" s="0" t="n">
        <v>1</v>
      </c>
      <c r="DR433" s="0"/>
      <c r="DS433" s="0" t="n">
        <v>1</v>
      </c>
      <c r="DU433" s="0" t="n">
        <v>1</v>
      </c>
      <c r="DW433" s="1" t="s">
        <v>221</v>
      </c>
      <c r="DX433" s="1" t="s">
        <v>221</v>
      </c>
      <c r="DY433" s="1" t="s">
        <v>221</v>
      </c>
      <c r="DZ433" s="1" t="s">
        <v>221</v>
      </c>
      <c r="EA433" s="0" t="n">
        <v>1</v>
      </c>
      <c r="EC433" s="1" t="n">
        <v>39448</v>
      </c>
      <c r="ED433" s="1" t="n">
        <v>40001</v>
      </c>
      <c r="EF433" s="0"/>
      <c r="EG433" s="0" t="n">
        <v>1</v>
      </c>
      <c r="EH433" s="0" t="s">
        <v>221</v>
      </c>
      <c r="EI433" s="0" t="str">
        <f aca="false">IF(AND(DM433=1,DN433&lt;=48),"",IF(AND(DM433=2,DN433&lt;=42),"",IF(AND(DM433=3,DN433&lt;=45),"",EH433)))</f>
        <v>NO ESPECIFICA</v>
      </c>
      <c r="EJ433" s="0" t="n">
        <f aca="false">IF(EI433="","",IF(EI433&lt;9,EI433,9))</f>
        <v>9</v>
      </c>
      <c r="EK433" s="0" t="e">
        <f aca="false">IF(EI433="","",IF(EI433&gt;9,EI433-EJ433,0))</f>
        <v>#VALUE!</v>
      </c>
      <c r="EL433" s="0" t="e">
        <f aca="false">IF(EI433="","",EJ433*DA433*2+EK433*DA433*3)</f>
        <v>#VALUE!</v>
      </c>
      <c r="EP433" s="0" t="n">
        <v>1</v>
      </c>
      <c r="EQ433" s="0"/>
      <c r="ER433" s="0" t="n">
        <v>0</v>
      </c>
      <c r="ET433" s="0" t="n">
        <v>0</v>
      </c>
      <c r="EV433" s="0" t="n">
        <v>0</v>
      </c>
      <c r="EX433" s="0" t="n">
        <v>0</v>
      </c>
      <c r="EY433" s="0" t="n">
        <v>1</v>
      </c>
      <c r="FB433" s="0" t="n">
        <v>1</v>
      </c>
      <c r="FF433" s="120" t="n">
        <f aca="false">(CJ433-CI433+1)/365</f>
        <v>4.87123287671233</v>
      </c>
      <c r="FG433" s="0" t="str">
        <f aca="false">CONCATENATE(F433,"/",G433)</f>
        <v>712/2011</v>
      </c>
      <c r="FH433" s="0" t="n">
        <v>0</v>
      </c>
      <c r="FI433" s="0" t="n">
        <v>0</v>
      </c>
    </row>
    <row r="434" customFormat="false" ht="15" hidden="false" customHeight="false" outlineLevel="0" collapsed="false">
      <c r="A434" s="5" t="str">
        <f aca="false">E434&amp;G434&amp;F434</f>
        <v>72011712</v>
      </c>
      <c r="B434" s="0" t="s">
        <v>1855</v>
      </c>
      <c r="C434" s="1" t="n">
        <v>42414</v>
      </c>
      <c r="D434" s="0" t="s">
        <v>4067</v>
      </c>
      <c r="E434" s="0" t="n">
        <v>7</v>
      </c>
      <c r="F434" s="0" t="n">
        <v>712</v>
      </c>
      <c r="G434" s="0" t="n">
        <v>2011</v>
      </c>
      <c r="H434" s="0" t="str">
        <f aca="false">"J"&amp;E434&amp;"\"&amp;F434&amp;"\"&amp;G434&amp;"\"&amp;W434</f>
        <v>J7\712\2011\39</v>
      </c>
      <c r="I434" s="1" t="n">
        <v>40651</v>
      </c>
      <c r="J434" s="1" t="n">
        <v>40049</v>
      </c>
      <c r="K434" s="0" t="n">
        <v>0</v>
      </c>
      <c r="M434" s="1" t="n">
        <v>40084</v>
      </c>
      <c r="N434" s="1" t="n">
        <v>40123</v>
      </c>
      <c r="O434" s="1"/>
      <c r="P434" s="1"/>
      <c r="Q434" s="1"/>
      <c r="T434" s="121"/>
      <c r="U434" s="121"/>
      <c r="V434" s="122" t="n">
        <f aca="false">IF(AND(E434&gt;0,F434&gt;0,G434&gt;0),COUNTIFS($E:$E,E434,$F:$F,F434,$G:$G,G434),"")</f>
        <v>41</v>
      </c>
      <c r="W434" s="122" t="n">
        <f aca="false">IF(V434="","",IF(V434=1,1,IF(AND(E433=E434,F433=F434,G433=G434),W433+1,1)))</f>
        <v>39</v>
      </c>
      <c r="X434" s="0" t="n">
        <v>45</v>
      </c>
      <c r="Y434" s="0" t="n">
        <v>3</v>
      </c>
      <c r="Z434" s="0" t="s">
        <v>4092</v>
      </c>
      <c r="AA434" s="0" t="n">
        <v>0</v>
      </c>
      <c r="AB434" s="0" t="s">
        <v>4060</v>
      </c>
      <c r="AC434" s="0" t="s">
        <v>1160</v>
      </c>
      <c r="AD434" s="0" t="s">
        <v>229</v>
      </c>
      <c r="AE434" s="0" t="n">
        <v>0</v>
      </c>
      <c r="AF434" s="0" t="s">
        <v>3955</v>
      </c>
      <c r="AG434" s="0" t="n">
        <v>0</v>
      </c>
      <c r="AH434" s="0" t="s">
        <v>4061</v>
      </c>
      <c r="AI434" s="0" t="s">
        <v>3957</v>
      </c>
      <c r="AJ434" s="0" t="s">
        <v>590</v>
      </c>
      <c r="AL434" s="0" t="s">
        <v>4062</v>
      </c>
      <c r="AM434" s="0" t="n">
        <v>1</v>
      </c>
      <c r="AN434" s="0" t="s">
        <v>4061</v>
      </c>
      <c r="AO434" s="0" t="s">
        <v>3957</v>
      </c>
      <c r="AP434" s="0" t="s">
        <v>590</v>
      </c>
      <c r="AR434" s="0" t="s">
        <v>1880</v>
      </c>
      <c r="AS434" s="0" t="n">
        <v>1</v>
      </c>
      <c r="AT434" s="0" t="s">
        <v>4061</v>
      </c>
      <c r="AU434" s="0" t="s">
        <v>3957</v>
      </c>
      <c r="AV434" s="0" t="s">
        <v>590</v>
      </c>
      <c r="BR434" s="0" t="n">
        <v>1</v>
      </c>
      <c r="BS434" s="0" t="s">
        <v>4063</v>
      </c>
      <c r="BT434" s="0" t="s">
        <v>4064</v>
      </c>
      <c r="BU434" s="0" t="s">
        <v>4065</v>
      </c>
      <c r="BV434" s="123"/>
      <c r="BW434" s="123"/>
      <c r="BX434" s="123"/>
      <c r="BY434" s="123"/>
      <c r="BZ434" s="0" t="n">
        <v>0</v>
      </c>
      <c r="CA434" s="0" t="s">
        <v>216</v>
      </c>
      <c r="CD434" s="0" t="s">
        <v>502</v>
      </c>
      <c r="CE434" s="0" t="n">
        <v>0</v>
      </c>
      <c r="CF434" s="0" t="s">
        <v>216</v>
      </c>
      <c r="CI434" s="1" t="n">
        <v>36739</v>
      </c>
      <c r="CJ434" s="1" t="n">
        <v>40001</v>
      </c>
      <c r="CK434" s="124" t="s">
        <v>216</v>
      </c>
      <c r="CL434" s="0" t="s">
        <v>4062</v>
      </c>
      <c r="CM434" s="0" t="n">
        <f aca="false">IF(OR(CI434="",CJ434=""),"",DAYS360(CI434,CJ434)/360)</f>
        <v>8.93333333333333</v>
      </c>
      <c r="CN434" s="0" t="n">
        <f aca="false">IF(OR(CI434="",CJ434=""),"",DAYS360(CI434,CJ434)/30)</f>
        <v>107.2</v>
      </c>
      <c r="CO434" s="0" t="n">
        <f aca="false">IF(OR(CI434="",CJ434=""),"",DAYS360(CI434,CJ434)/7)</f>
        <v>459.428571428571</v>
      </c>
      <c r="CP434" s="0" t="n">
        <f aca="false">IF(OR(CI434="",CJ434=""),"",DAYS360(CI434,CJ434))</f>
        <v>3216</v>
      </c>
      <c r="CQ434" s="0" t="s">
        <v>220</v>
      </c>
      <c r="CR434" s="0" t="n">
        <v>1</v>
      </c>
      <c r="CT434" s="0" t="s">
        <v>216</v>
      </c>
      <c r="CU434" s="0" t="s">
        <v>216</v>
      </c>
      <c r="CV434" s="0" t="str">
        <f aca="false">IF(OR(CT434="",CT434="NO ESPECIFICA",CT434="NO MENCIONA"),"",IF(CU434=0,CT434,IF(CU434=1,CT434/30,IF(CU434=2,CT434/15,IF(CU434=3,CT434/7,"")))))</f>
        <v/>
      </c>
      <c r="CW434" s="125" t="s">
        <v>216</v>
      </c>
      <c r="CX434" s="125" t="s">
        <v>216</v>
      </c>
      <c r="CY434" s="0" t="str">
        <f aca="false">IF(CW434="","",IF(CX434=0,CW434,IF(CX434=1,CW434/30,IF(CX434=2,CW434/15,IF(CX434=3,CW434/7,CW434)))))</f>
        <v>NO MENCIONA</v>
      </c>
      <c r="CZ434" s="0" t="str">
        <f aca="false">IF(DI434&gt;0,DI434,IF(CY434&gt;0,CY434,IF(CV434&gt;0,CV434,"")))</f>
        <v>NO MENCIONA</v>
      </c>
      <c r="DA434" s="0" t="str">
        <f aca="false">IF(DM434=1,CZ434/8,IF(OR(DM434=2,DM434=4),CZ434/7,IF(DM434=3,CZ434/7.5,"")))</f>
        <v/>
      </c>
      <c r="DB434" s="0" t="s">
        <v>216</v>
      </c>
      <c r="DC434" s="0" t="s">
        <v>216</v>
      </c>
      <c r="DD434" s="0" t="s">
        <v>216</v>
      </c>
      <c r="DE434" s="0" t="s">
        <v>216</v>
      </c>
      <c r="DF434" s="0" t="s">
        <v>216</v>
      </c>
      <c r="DG434" s="0" t="s">
        <v>216</v>
      </c>
      <c r="DH434" s="0" t="n">
        <v>0</v>
      </c>
      <c r="DI434" s="126" t="s">
        <v>216</v>
      </c>
      <c r="DK434" s="0" t="n">
        <v>0</v>
      </c>
      <c r="DN434" s="0" t="s">
        <v>216</v>
      </c>
      <c r="DO434" s="0" t="s">
        <v>216</v>
      </c>
      <c r="DP434" s="0" t="n">
        <v>1</v>
      </c>
      <c r="DQ434" s="0" t="n">
        <v>1</v>
      </c>
      <c r="DR434" s="0"/>
      <c r="DS434" s="0" t="n">
        <v>1</v>
      </c>
      <c r="DU434" s="0" t="n">
        <v>1</v>
      </c>
      <c r="DW434" s="1" t="s">
        <v>221</v>
      </c>
      <c r="DX434" s="1" t="s">
        <v>221</v>
      </c>
      <c r="DY434" s="1" t="s">
        <v>221</v>
      </c>
      <c r="DZ434" s="1" t="s">
        <v>221</v>
      </c>
      <c r="EA434" s="0" t="n">
        <v>1</v>
      </c>
      <c r="EC434" s="1" t="n">
        <v>39448</v>
      </c>
      <c r="ED434" s="1" t="n">
        <v>40001</v>
      </c>
      <c r="EF434" s="0"/>
      <c r="EG434" s="0" t="n">
        <v>1</v>
      </c>
      <c r="EH434" s="0" t="s">
        <v>221</v>
      </c>
      <c r="EI434" s="0" t="str">
        <f aca="false">IF(AND(DM434=1,DN434&lt;=48),"",IF(AND(DM434=2,DN434&lt;=42),"",IF(AND(DM434=3,DN434&lt;=45),"",EH434)))</f>
        <v>NO ESPECIFICA</v>
      </c>
      <c r="EJ434" s="0" t="n">
        <f aca="false">IF(EI434="","",IF(EI434&lt;9,EI434,9))</f>
        <v>9</v>
      </c>
      <c r="EK434" s="0" t="e">
        <f aca="false">IF(EI434="","",IF(EI434&gt;9,EI434-EJ434,0))</f>
        <v>#VALUE!</v>
      </c>
      <c r="EL434" s="0" t="e">
        <f aca="false">IF(EI434="","",EJ434*DA434*2+EK434*DA434*3)</f>
        <v>#VALUE!</v>
      </c>
      <c r="EP434" s="0" t="n">
        <v>1</v>
      </c>
      <c r="EQ434" s="0"/>
      <c r="ER434" s="0" t="n">
        <v>0</v>
      </c>
      <c r="ET434" s="0" t="n">
        <v>0</v>
      </c>
      <c r="EV434" s="0" t="n">
        <v>0</v>
      </c>
      <c r="EX434" s="0" t="n">
        <v>0</v>
      </c>
      <c r="EY434" s="0" t="n">
        <v>1</v>
      </c>
      <c r="FB434" s="0" t="n">
        <v>1</v>
      </c>
      <c r="FF434" s="120" t="n">
        <f aca="false">(CJ434-CI434+1)/365</f>
        <v>8.93972602739726</v>
      </c>
      <c r="FG434" s="0" t="str">
        <f aca="false">CONCATENATE(F434,"/",G434)</f>
        <v>712/2011</v>
      </c>
      <c r="FH434" s="0" t="n">
        <v>0</v>
      </c>
      <c r="FI434" s="0" t="n">
        <v>0</v>
      </c>
    </row>
    <row r="435" customFormat="false" ht="15" hidden="false" customHeight="false" outlineLevel="0" collapsed="false">
      <c r="A435" s="5" t="str">
        <f aca="false">E435&amp;G435&amp;F435</f>
        <v>72011712</v>
      </c>
      <c r="B435" s="0" t="s">
        <v>1855</v>
      </c>
      <c r="C435" s="1" t="n">
        <v>42414</v>
      </c>
      <c r="D435" s="0" t="s">
        <v>4067</v>
      </c>
      <c r="E435" s="0" t="n">
        <v>7</v>
      </c>
      <c r="F435" s="0" t="n">
        <v>712</v>
      </c>
      <c r="G435" s="0" t="n">
        <v>2011</v>
      </c>
      <c r="H435" s="0" t="str">
        <f aca="false">"J"&amp;E435&amp;"\"&amp;F435&amp;"\"&amp;G435&amp;"\"&amp;W435</f>
        <v>J7\712\2011\40</v>
      </c>
      <c r="I435" s="1" t="n">
        <v>40651</v>
      </c>
      <c r="J435" s="1" t="n">
        <v>40049</v>
      </c>
      <c r="K435" s="0" t="n">
        <v>0</v>
      </c>
      <c r="M435" s="1" t="n">
        <v>40084</v>
      </c>
      <c r="N435" s="1" t="n">
        <v>40123</v>
      </c>
      <c r="O435" s="1"/>
      <c r="P435" s="1"/>
      <c r="Q435" s="1"/>
      <c r="T435" s="121"/>
      <c r="U435" s="121"/>
      <c r="V435" s="122" t="n">
        <f aca="false">IF(AND(E435&gt;0,F435&gt;0,G435&gt;0),COUNTIFS($E:$E,E435,$F:$F,F435,$G:$G,G435),"")</f>
        <v>41</v>
      </c>
      <c r="W435" s="122" t="n">
        <f aca="false">IF(V435="","",IF(V435=1,1,IF(AND(E434=E435,F434=F435,G434=G435),W434+1,1)))</f>
        <v>40</v>
      </c>
      <c r="X435" s="0" t="n">
        <v>45</v>
      </c>
      <c r="Y435" s="0" t="n">
        <v>3</v>
      </c>
      <c r="Z435" s="0" t="s">
        <v>4116</v>
      </c>
      <c r="AA435" s="0" t="n">
        <v>0</v>
      </c>
      <c r="AB435" s="0" t="s">
        <v>4060</v>
      </c>
      <c r="AC435" s="0" t="s">
        <v>1160</v>
      </c>
      <c r="AD435" s="0" t="s">
        <v>229</v>
      </c>
      <c r="AE435" s="0" t="n">
        <v>0</v>
      </c>
      <c r="AF435" s="0" t="s">
        <v>3955</v>
      </c>
      <c r="AG435" s="0" t="n">
        <v>0</v>
      </c>
      <c r="AH435" s="0" t="s">
        <v>4061</v>
      </c>
      <c r="AI435" s="0" t="s">
        <v>3957</v>
      </c>
      <c r="AJ435" s="0" t="s">
        <v>590</v>
      </c>
      <c r="AL435" s="0" t="s">
        <v>4062</v>
      </c>
      <c r="AM435" s="0" t="n">
        <v>1</v>
      </c>
      <c r="AN435" s="0" t="s">
        <v>4061</v>
      </c>
      <c r="AO435" s="0" t="s">
        <v>3957</v>
      </c>
      <c r="AP435" s="0" t="s">
        <v>590</v>
      </c>
      <c r="AR435" s="0" t="s">
        <v>1880</v>
      </c>
      <c r="AS435" s="0" t="n">
        <v>1</v>
      </c>
      <c r="AT435" s="0" t="s">
        <v>4061</v>
      </c>
      <c r="AU435" s="0" t="s">
        <v>3957</v>
      </c>
      <c r="AV435" s="0" t="s">
        <v>590</v>
      </c>
      <c r="BR435" s="0" t="n">
        <v>1</v>
      </c>
      <c r="BS435" s="0" t="s">
        <v>4063</v>
      </c>
      <c r="BT435" s="0" t="s">
        <v>4064</v>
      </c>
      <c r="BU435" s="0" t="s">
        <v>4065</v>
      </c>
      <c r="BV435" s="123"/>
      <c r="BW435" s="123"/>
      <c r="BX435" s="123"/>
      <c r="BY435" s="123"/>
      <c r="BZ435" s="0" t="n">
        <v>0</v>
      </c>
      <c r="CA435" s="0" t="s">
        <v>216</v>
      </c>
      <c r="CD435" s="0" t="s">
        <v>502</v>
      </c>
      <c r="CE435" s="0" t="n">
        <v>0</v>
      </c>
      <c r="CF435" s="0" t="s">
        <v>4117</v>
      </c>
      <c r="CI435" s="1" t="n">
        <v>27395</v>
      </c>
      <c r="CJ435" s="1" t="n">
        <v>40001</v>
      </c>
      <c r="CK435" s="124" t="s">
        <v>216</v>
      </c>
      <c r="CL435" s="0" t="s">
        <v>4062</v>
      </c>
      <c r="CM435" s="0" t="n">
        <f aca="false">IF(OR(CI435="",CJ435=""),"",DAYS360(CI435,CJ435)/360)</f>
        <v>34.5166666666667</v>
      </c>
      <c r="CN435" s="0" t="n">
        <f aca="false">IF(OR(CI435="",CJ435=""),"",DAYS360(CI435,CJ435)/30)</f>
        <v>414.2</v>
      </c>
      <c r="CO435" s="0" t="n">
        <f aca="false">IF(OR(CI435="",CJ435=""),"",DAYS360(CI435,CJ435)/7)</f>
        <v>1775.14285714286</v>
      </c>
      <c r="CP435" s="0" t="n">
        <f aca="false">IF(OR(CI435="",CJ435=""),"",DAYS360(CI435,CJ435))</f>
        <v>12426</v>
      </c>
      <c r="CQ435" s="0" t="s">
        <v>220</v>
      </c>
      <c r="CR435" s="0" t="n">
        <v>1</v>
      </c>
      <c r="CT435" s="0" t="s">
        <v>216</v>
      </c>
      <c r="CU435" s="0" t="s">
        <v>216</v>
      </c>
      <c r="CV435" s="0" t="str">
        <f aca="false">IF(OR(CT435="",CT435="NO ESPECIFICA",CT435="NO MENCIONA"),"",IF(CU435=0,CT435,IF(CU435=1,CT435/30,IF(CU435=2,CT435/15,IF(CU435=3,CT435/7,"")))))</f>
        <v/>
      </c>
      <c r="CW435" s="125" t="s">
        <v>216</v>
      </c>
      <c r="CX435" s="125" t="s">
        <v>216</v>
      </c>
      <c r="CY435" s="0" t="str">
        <f aca="false">IF(CW435="","",IF(CX435=0,CW435,IF(CX435=1,CW435/30,IF(CX435=2,CW435/15,IF(CX435=3,CW435/7,CW435)))))</f>
        <v>NO MENCIONA</v>
      </c>
      <c r="CZ435" s="0" t="str">
        <f aca="false">IF(DI435&gt;0,DI435,IF(CY435&gt;0,CY435,IF(CV435&gt;0,CV435,"")))</f>
        <v>NO MENCIONA</v>
      </c>
      <c r="DA435" s="0" t="str">
        <f aca="false">IF(DM435=1,CZ435/8,IF(OR(DM435=2,DM435=4),CZ435/7,IF(DM435=3,CZ435/7.5,"")))</f>
        <v/>
      </c>
      <c r="DB435" s="0" t="s">
        <v>216</v>
      </c>
      <c r="DC435" s="0" t="s">
        <v>216</v>
      </c>
      <c r="DD435" s="0" t="s">
        <v>216</v>
      </c>
      <c r="DE435" s="0" t="s">
        <v>216</v>
      </c>
      <c r="DF435" s="0" t="s">
        <v>216</v>
      </c>
      <c r="DG435" s="0" t="s">
        <v>216</v>
      </c>
      <c r="DH435" s="0" t="n">
        <v>0</v>
      </c>
      <c r="DI435" s="126" t="s">
        <v>216</v>
      </c>
      <c r="DK435" s="0" t="n">
        <v>0</v>
      </c>
      <c r="DN435" s="0" t="s">
        <v>216</v>
      </c>
      <c r="DO435" s="0" t="s">
        <v>216</v>
      </c>
      <c r="DP435" s="0" t="n">
        <v>1</v>
      </c>
      <c r="DQ435" s="0" t="n">
        <v>1</v>
      </c>
      <c r="DR435" s="0"/>
      <c r="DS435" s="0" t="n">
        <v>1</v>
      </c>
      <c r="DU435" s="0" t="n">
        <v>1</v>
      </c>
      <c r="DW435" s="1" t="s">
        <v>221</v>
      </c>
      <c r="DX435" s="1" t="s">
        <v>221</v>
      </c>
      <c r="DY435" s="1" t="s">
        <v>221</v>
      </c>
      <c r="DZ435" s="1" t="s">
        <v>221</v>
      </c>
      <c r="EA435" s="0" t="n">
        <v>1</v>
      </c>
      <c r="EC435" s="1" t="n">
        <v>39448</v>
      </c>
      <c r="ED435" s="1" t="n">
        <v>40001</v>
      </c>
      <c r="EF435" s="0"/>
      <c r="EG435" s="0" t="n">
        <v>1</v>
      </c>
      <c r="EH435" s="0" t="s">
        <v>221</v>
      </c>
      <c r="EI435" s="0" t="str">
        <f aca="false">IF(AND(DM435=1,DN435&lt;=48),"",IF(AND(DM435=2,DN435&lt;=42),"",IF(AND(DM435=3,DN435&lt;=45),"",EH435)))</f>
        <v>NO ESPECIFICA</v>
      </c>
      <c r="EJ435" s="0" t="n">
        <f aca="false">IF(EI435="","",IF(EI435&lt;9,EI435,9))</f>
        <v>9</v>
      </c>
      <c r="EK435" s="0" t="e">
        <f aca="false">IF(EI435="","",IF(EI435&gt;9,EI435-EJ435,0))</f>
        <v>#VALUE!</v>
      </c>
      <c r="EL435" s="0" t="e">
        <f aca="false">IF(EI435="","",EJ435*DA435*2+EK435*DA435*3)</f>
        <v>#VALUE!</v>
      </c>
      <c r="EP435" s="0" t="n">
        <v>1</v>
      </c>
      <c r="EQ435" s="0"/>
      <c r="ER435" s="0" t="n">
        <v>0</v>
      </c>
      <c r="ET435" s="0" t="n">
        <v>0</v>
      </c>
      <c r="EV435" s="0" t="n">
        <v>0</v>
      </c>
      <c r="EX435" s="0" t="n">
        <v>0</v>
      </c>
      <c r="EY435" s="0" t="n">
        <v>1</v>
      </c>
      <c r="FB435" s="0" t="n">
        <v>1</v>
      </c>
      <c r="FF435" s="120" t="n">
        <f aca="false">(CJ435-CI435+1)/365</f>
        <v>34.5397260273973</v>
      </c>
      <c r="FG435" s="0" t="str">
        <f aca="false">CONCATENATE(F435,"/",G435)</f>
        <v>712/2011</v>
      </c>
      <c r="FH435" s="0" t="n">
        <v>0</v>
      </c>
      <c r="FI435" s="0" t="n">
        <v>0</v>
      </c>
    </row>
    <row r="436" customFormat="false" ht="15" hidden="false" customHeight="false" outlineLevel="0" collapsed="false">
      <c r="A436" s="5" t="str">
        <f aca="false">E436&amp;G436&amp;F436</f>
        <v>72011712</v>
      </c>
      <c r="B436" s="0" t="s">
        <v>1855</v>
      </c>
      <c r="C436" s="1" t="n">
        <v>42414</v>
      </c>
      <c r="D436" s="0" t="s">
        <v>4067</v>
      </c>
      <c r="E436" s="0" t="n">
        <v>7</v>
      </c>
      <c r="F436" s="0" t="n">
        <v>712</v>
      </c>
      <c r="G436" s="0" t="n">
        <v>2011</v>
      </c>
      <c r="H436" s="0" t="str">
        <f aca="false">"J"&amp;E436&amp;"\"&amp;F436&amp;"\"&amp;G436&amp;"\"&amp;W436</f>
        <v>J7\712\2011\41</v>
      </c>
      <c r="I436" s="1" t="n">
        <v>40651</v>
      </c>
      <c r="J436" s="1" t="n">
        <v>40049</v>
      </c>
      <c r="K436" s="0" t="n">
        <v>0</v>
      </c>
      <c r="M436" s="1" t="n">
        <v>40084</v>
      </c>
      <c r="N436" s="1" t="n">
        <v>40123</v>
      </c>
      <c r="O436" s="1"/>
      <c r="P436" s="1"/>
      <c r="Q436" s="1"/>
      <c r="T436" s="121"/>
      <c r="U436" s="121"/>
      <c r="V436" s="122" t="n">
        <f aca="false">IF(AND(E436&gt;0,F436&gt;0,G436&gt;0),COUNTIFS($E:$E,E436,$F:$F,F436,$G:$G,G436),"")</f>
        <v>41</v>
      </c>
      <c r="W436" s="122" t="n">
        <f aca="false">IF(V436="","",IF(V436=1,1,IF(AND(E435=E436,F435=F436,G435=G436),W435+1,1)))</f>
        <v>41</v>
      </c>
      <c r="X436" s="0" t="n">
        <v>45</v>
      </c>
      <c r="Y436" s="0" t="n">
        <v>3</v>
      </c>
      <c r="Z436" s="0" t="s">
        <v>4118</v>
      </c>
      <c r="AA436" s="0" t="n">
        <v>0</v>
      </c>
      <c r="AB436" s="0" t="s">
        <v>4060</v>
      </c>
      <c r="AC436" s="0" t="s">
        <v>1160</v>
      </c>
      <c r="AD436" s="0" t="s">
        <v>229</v>
      </c>
      <c r="AE436" s="0" t="n">
        <v>0</v>
      </c>
      <c r="AF436" s="0" t="s">
        <v>3955</v>
      </c>
      <c r="AG436" s="0" t="n">
        <v>0</v>
      </c>
      <c r="AH436" s="0" t="s">
        <v>4061</v>
      </c>
      <c r="AI436" s="0" t="s">
        <v>3957</v>
      </c>
      <c r="AJ436" s="0" t="s">
        <v>590</v>
      </c>
      <c r="AL436" s="0" t="s">
        <v>4062</v>
      </c>
      <c r="AM436" s="0" t="n">
        <v>1</v>
      </c>
      <c r="AN436" s="0" t="s">
        <v>4061</v>
      </c>
      <c r="AO436" s="0" t="s">
        <v>3957</v>
      </c>
      <c r="AP436" s="0" t="s">
        <v>590</v>
      </c>
      <c r="AR436" s="0" t="s">
        <v>1880</v>
      </c>
      <c r="AS436" s="0" t="n">
        <v>1</v>
      </c>
      <c r="AT436" s="0" t="s">
        <v>4061</v>
      </c>
      <c r="AU436" s="0" t="s">
        <v>3957</v>
      </c>
      <c r="AV436" s="0" t="s">
        <v>590</v>
      </c>
      <c r="BR436" s="0" t="n">
        <v>1</v>
      </c>
      <c r="BS436" s="0" t="s">
        <v>4063</v>
      </c>
      <c r="BT436" s="0" t="s">
        <v>4064</v>
      </c>
      <c r="BU436" s="0" t="s">
        <v>4065</v>
      </c>
      <c r="BV436" s="123"/>
      <c r="BW436" s="123"/>
      <c r="BX436" s="123"/>
      <c r="BY436" s="123"/>
      <c r="BZ436" s="0" t="n">
        <v>0</v>
      </c>
      <c r="CA436" s="0" t="s">
        <v>216</v>
      </c>
      <c r="CD436" s="0" t="s">
        <v>502</v>
      </c>
      <c r="CE436" s="0" t="n">
        <v>0</v>
      </c>
      <c r="CF436" s="0" t="s">
        <v>3083</v>
      </c>
      <c r="CI436" s="1" t="n">
        <v>34455</v>
      </c>
      <c r="CJ436" s="1" t="n">
        <v>40001</v>
      </c>
      <c r="CK436" s="124" t="s">
        <v>216</v>
      </c>
      <c r="CL436" s="0" t="s">
        <v>4062</v>
      </c>
      <c r="CM436" s="0" t="n">
        <f aca="false">IF(OR(CI436="",CJ436=""),"",DAYS360(CI436,CJ436)/360)</f>
        <v>15.1833333333333</v>
      </c>
      <c r="CN436" s="0" t="n">
        <f aca="false">IF(OR(CI436="",CJ436=""),"",DAYS360(CI436,CJ436)/30)</f>
        <v>182.2</v>
      </c>
      <c r="CO436" s="0" t="n">
        <f aca="false">IF(OR(CI436="",CJ436=""),"",DAYS360(CI436,CJ436)/7)</f>
        <v>780.857142857143</v>
      </c>
      <c r="CP436" s="0" t="n">
        <f aca="false">IF(OR(CI436="",CJ436=""),"",DAYS360(CI436,CJ436))</f>
        <v>5466</v>
      </c>
      <c r="CQ436" s="0" t="s">
        <v>220</v>
      </c>
      <c r="CR436" s="0" t="n">
        <v>1</v>
      </c>
      <c r="CT436" s="0" t="n">
        <v>2000</v>
      </c>
      <c r="CU436" s="0" t="n">
        <v>2</v>
      </c>
      <c r="CV436" s="0" t="n">
        <f aca="false">IF(OR(CT436="",CT436="NO ESPECIFICA",CT436="NO MENCIONA"),"",IF(CU436=0,CT436,IF(CU436=1,CT436/30,IF(CU436=2,CT436/15,IF(CU436=3,CT436/7,"")))))</f>
        <v>133.333333333333</v>
      </c>
      <c r="CW436" s="125" t="s">
        <v>216</v>
      </c>
      <c r="CX436" s="125" t="s">
        <v>216</v>
      </c>
      <c r="CY436" s="0" t="str">
        <f aca="false">IF(CW436="","",IF(CX436=0,CW436,IF(CX436=1,CW436/30,IF(CX436=2,CW436/15,IF(CX436=3,CW436/7,CW436)))))</f>
        <v>NO MENCIONA</v>
      </c>
      <c r="CZ436" s="0" t="n">
        <f aca="false">IF(DI436&gt;0,DI436,IF(CY436&gt;0,CY436,IF(CV436&gt;0,CV436,"")))</f>
        <v>133.333333333333</v>
      </c>
      <c r="DA436" s="0" t="str">
        <f aca="false">IF(DM436=1,CZ436/8,IF(OR(DM436=2,DM436=4),CZ436/7,IF(DM436=3,CZ436/7.5,"")))</f>
        <v/>
      </c>
      <c r="DB436" s="0" t="s">
        <v>216</v>
      </c>
      <c r="DC436" s="0" t="s">
        <v>216</v>
      </c>
      <c r="DD436" s="0" t="s">
        <v>216</v>
      </c>
      <c r="DE436" s="0" t="s">
        <v>216</v>
      </c>
      <c r="DF436" s="0" t="s">
        <v>216</v>
      </c>
      <c r="DG436" s="0" t="s">
        <v>216</v>
      </c>
      <c r="DH436" s="0" t="n">
        <v>0</v>
      </c>
      <c r="DI436" s="126" t="n">
        <f aca="false">CT436/15</f>
        <v>133.333333333333</v>
      </c>
      <c r="DK436" s="0" t="n">
        <v>0</v>
      </c>
      <c r="DN436" s="0" t="s">
        <v>216</v>
      </c>
      <c r="DO436" s="0" t="s">
        <v>216</v>
      </c>
      <c r="DP436" s="0" t="n">
        <v>1</v>
      </c>
      <c r="DQ436" s="0" t="n">
        <v>1</v>
      </c>
      <c r="DR436" s="0"/>
      <c r="DS436" s="0" t="n">
        <v>1</v>
      </c>
      <c r="DU436" s="0" t="n">
        <v>1</v>
      </c>
      <c r="DW436" s="1" t="s">
        <v>221</v>
      </c>
      <c r="DX436" s="1" t="s">
        <v>221</v>
      </c>
      <c r="DY436" s="1" t="s">
        <v>221</v>
      </c>
      <c r="DZ436" s="1" t="s">
        <v>221</v>
      </c>
      <c r="EA436" s="0" t="n">
        <v>1</v>
      </c>
      <c r="EC436" s="1" t="n">
        <v>39448</v>
      </c>
      <c r="ED436" s="1" t="n">
        <v>40001</v>
      </c>
      <c r="EF436" s="0"/>
      <c r="EG436" s="0" t="n">
        <v>1</v>
      </c>
      <c r="EH436" s="0" t="s">
        <v>221</v>
      </c>
      <c r="EI436" s="0" t="str">
        <f aca="false">IF(AND(DM436=1,DN436&lt;=48),"",IF(AND(DM436=2,DN436&lt;=42),"",IF(AND(DM436=3,DN436&lt;=45),"",EH436)))</f>
        <v>NO ESPECIFICA</v>
      </c>
      <c r="EJ436" s="0" t="n">
        <f aca="false">IF(EI436="","",IF(EI436&lt;9,EI436,9))</f>
        <v>9</v>
      </c>
      <c r="EK436" s="0" t="e">
        <f aca="false">IF(EI436="","",IF(EI436&gt;9,EI436-EJ436,0))</f>
        <v>#VALUE!</v>
      </c>
      <c r="EL436" s="0" t="e">
        <f aca="false">IF(EI436="","",EJ436*DA436*2+EK436*DA436*3)</f>
        <v>#VALUE!</v>
      </c>
      <c r="EP436" s="0" t="n">
        <v>1</v>
      </c>
      <c r="EQ436" s="0"/>
      <c r="ER436" s="0" t="n">
        <v>0</v>
      </c>
      <c r="ET436" s="0" t="n">
        <v>0</v>
      </c>
      <c r="EV436" s="0" t="n">
        <v>0</v>
      </c>
      <c r="EX436" s="0" t="n">
        <v>0</v>
      </c>
      <c r="EY436" s="0" t="n">
        <v>1</v>
      </c>
      <c r="FB436" s="0" t="n">
        <v>1</v>
      </c>
      <c r="FF436" s="120" t="n">
        <f aca="false">(CJ436-CI436+1)/365</f>
        <v>15.1972602739726</v>
      </c>
      <c r="FG436" s="0" t="str">
        <f aca="false">CONCATENATE(F436,"/",G436)</f>
        <v>712/2011</v>
      </c>
      <c r="FH436" s="0" t="n">
        <v>0</v>
      </c>
      <c r="FI436" s="0" t="n">
        <v>0</v>
      </c>
    </row>
    <row r="437" customFormat="false" ht="15" hidden="false" customHeight="false" outlineLevel="0" collapsed="false">
      <c r="A437" s="5" t="str">
        <f aca="false">E437&amp;G437&amp;F437</f>
        <v>720111565</v>
      </c>
      <c r="B437" s="0" t="s">
        <v>4119</v>
      </c>
      <c r="C437" s="1" t="n">
        <v>42409</v>
      </c>
      <c r="E437" s="0" t="n">
        <v>7</v>
      </c>
      <c r="F437" s="0" t="n">
        <v>1565</v>
      </c>
      <c r="G437" s="0" t="n">
        <v>2011</v>
      </c>
      <c r="H437" s="0" t="str">
        <f aca="false">"J"&amp;E437&amp;"\"&amp;F437&amp;"\"&amp;G437&amp;"\"&amp;W437</f>
        <v>J7\1565\2011\1</v>
      </c>
      <c r="I437" s="0"/>
      <c r="J437" s="1" t="n">
        <v>40795</v>
      </c>
      <c r="K437" s="0" t="n">
        <v>1</v>
      </c>
      <c r="L437" s="0" t="s">
        <v>4120</v>
      </c>
      <c r="M437" s="1" t="n">
        <v>40795</v>
      </c>
      <c r="N437" s="1" t="n">
        <v>41029</v>
      </c>
      <c r="O437" s="1"/>
      <c r="P437" s="1"/>
      <c r="Q437" s="1"/>
      <c r="T437" s="121"/>
      <c r="U437" s="121"/>
      <c r="V437" s="122" t="n">
        <f aca="false">IF(AND(E437&gt;0,F437&gt;0,G437&gt;0),COUNTIFS($E:$E,E437,$F:$F,F437,$G:$G,G437),"")</f>
        <v>1</v>
      </c>
      <c r="W437" s="122" t="n">
        <f aca="false">IF(V437="","",IF(V437=1,1,IF(AND(E436=E437,F436=F437,G436=G437),W436+1,1)))</f>
        <v>1</v>
      </c>
      <c r="X437" s="0" t="n">
        <v>1</v>
      </c>
      <c r="Y437" s="0" t="n">
        <v>1</v>
      </c>
      <c r="Z437" s="0" t="s">
        <v>4121</v>
      </c>
      <c r="AA437" s="0" t="n">
        <v>0</v>
      </c>
      <c r="AB437" s="0" t="s">
        <v>4122</v>
      </c>
      <c r="AC437" s="0" t="s">
        <v>404</v>
      </c>
      <c r="AD437" s="0" t="s">
        <v>229</v>
      </c>
      <c r="AE437" s="0" t="n">
        <v>0</v>
      </c>
      <c r="AF437" s="0" t="s">
        <v>4123</v>
      </c>
      <c r="AG437" s="0" t="n">
        <v>1</v>
      </c>
      <c r="AH437" s="0" t="s">
        <v>4124</v>
      </c>
      <c r="AI437" s="0" t="s">
        <v>244</v>
      </c>
      <c r="AJ437" s="0" t="s">
        <v>229</v>
      </c>
      <c r="BP437" s="0" t="n">
        <v>0</v>
      </c>
      <c r="BQ437" s="0" t="n">
        <v>0</v>
      </c>
      <c r="BR437" s="0" t="n">
        <v>1</v>
      </c>
      <c r="BS437" s="0" t="s">
        <v>4125</v>
      </c>
      <c r="BT437" s="0" t="s">
        <v>4126</v>
      </c>
      <c r="BU437" s="0" t="s">
        <v>4127</v>
      </c>
      <c r="BV437" s="123"/>
      <c r="BW437" s="123"/>
      <c r="BX437" s="123"/>
      <c r="BY437" s="123"/>
      <c r="BZ437" s="0" t="n">
        <v>0</v>
      </c>
      <c r="CA437" s="0" t="s">
        <v>216</v>
      </c>
      <c r="CD437" s="0" t="s">
        <v>502</v>
      </c>
      <c r="CE437" s="0" t="n">
        <v>0</v>
      </c>
      <c r="CF437" s="0" t="s">
        <v>4128</v>
      </c>
      <c r="CI437" s="1" t="n">
        <v>37408</v>
      </c>
      <c r="CJ437" s="1" t="n">
        <v>40752</v>
      </c>
      <c r="CK437" s="124" t="n">
        <v>0.708333333333333</v>
      </c>
      <c r="CL437" s="0" t="s">
        <v>4123</v>
      </c>
      <c r="CM437" s="0" t="n">
        <f aca="false">IF(OR(CI437="",CJ437=""),"",DAYS360(CI437,CJ437)/360)</f>
        <v>9.15833333333333</v>
      </c>
      <c r="CN437" s="0" t="n">
        <f aca="false">IF(OR(CI437="",CJ437=""),"",DAYS360(CI437,CJ437)/30)</f>
        <v>109.9</v>
      </c>
      <c r="CO437" s="0" t="n">
        <f aca="false">IF(OR(CI437="",CJ437=""),"",DAYS360(CI437,CJ437)/7)</f>
        <v>471</v>
      </c>
      <c r="CP437" s="0" t="n">
        <f aca="false">IF(OR(CI437="",CJ437=""),"",DAYS360(CI437,CJ437))</f>
        <v>3297</v>
      </c>
      <c r="CQ437" s="0" t="s">
        <v>240</v>
      </c>
      <c r="CR437" s="0" t="n">
        <v>1</v>
      </c>
      <c r="CT437" s="0" t="n">
        <v>300</v>
      </c>
      <c r="CU437" s="0" t="n">
        <v>0</v>
      </c>
      <c r="CW437" s="125" t="n">
        <v>450</v>
      </c>
      <c r="CX437" s="0" t="n">
        <v>0</v>
      </c>
      <c r="CY437" s="0" t="n">
        <f aca="false">IF(CW437="","",IF(CX437=0,CW437,IF(CX437=1,CW437/30,IF(CX437=2,CW437/15,IF(CX437=3,CW437/7,CW437)))))</f>
        <v>450</v>
      </c>
      <c r="CZ437" s="0" t="n">
        <f aca="false">IF(DI437&gt;0,DI437,IF(CY437&gt;0,CY437,IF(CV437&gt;0,CV437,"")))</f>
        <v>450</v>
      </c>
      <c r="DA437" s="0" t="n">
        <f aca="false">IF(DM437=1,CZ437/8,IF(OR(DM437=2,DM437=4),CZ437/7,IF(DM437=3,CZ437/7.5,"")))</f>
        <v>60</v>
      </c>
      <c r="DB437" s="0" t="s">
        <v>2315</v>
      </c>
      <c r="DC437" s="0" t="s">
        <v>4129</v>
      </c>
      <c r="DD437" s="0" t="s">
        <v>627</v>
      </c>
      <c r="DE437" s="0" t="s">
        <v>216</v>
      </c>
      <c r="DF437" s="0" t="s">
        <v>216</v>
      </c>
      <c r="DG437" s="0" t="s">
        <v>216</v>
      </c>
      <c r="DH437" s="0" t="n">
        <v>0</v>
      </c>
      <c r="DI437" s="126" t="n">
        <v>450</v>
      </c>
      <c r="DK437" s="0" t="n">
        <v>0</v>
      </c>
      <c r="DM437" s="0" t="n">
        <v>3</v>
      </c>
      <c r="DN437" s="0" t="n">
        <v>70</v>
      </c>
      <c r="DO437" s="0" t="n">
        <v>3</v>
      </c>
      <c r="DP437" s="0" t="n">
        <v>0</v>
      </c>
      <c r="DQ437" s="0" t="n">
        <v>1</v>
      </c>
      <c r="DR437" s="0"/>
      <c r="DS437" s="0" t="n">
        <v>1</v>
      </c>
      <c r="DU437" s="0" t="n">
        <v>1</v>
      </c>
      <c r="DW437" s="1" t="n">
        <v>40330</v>
      </c>
      <c r="DX437" s="1" t="n">
        <v>40752</v>
      </c>
      <c r="DZ437" s="0"/>
      <c r="EA437" s="0" t="n">
        <v>1</v>
      </c>
      <c r="EC437" s="1" t="n">
        <v>40544</v>
      </c>
      <c r="ED437" s="1" t="n">
        <v>40752</v>
      </c>
      <c r="EF437" s="0"/>
      <c r="EG437" s="0" t="n">
        <v>1</v>
      </c>
      <c r="EH437" s="0" t="n">
        <v>14</v>
      </c>
      <c r="EI437" s="0" t="n">
        <f aca="false">IF(AND(DM437=1,DN437&lt;=48),"",IF(AND(DM437=2,DN437&lt;=42),"",IF(AND(DM437=3,DN437&lt;=45),"",EH437)))</f>
        <v>14</v>
      </c>
      <c r="EJ437" s="0" t="n">
        <f aca="false">IF(EI437="","",IF(EI437&lt;9,EI437,9))</f>
        <v>9</v>
      </c>
      <c r="EK437" s="0" t="n">
        <f aca="false">IF(EI437="","",IF(EI437&gt;9,EI437-EJ437,0))</f>
        <v>5</v>
      </c>
      <c r="EL437" s="0" t="n">
        <f aca="false">IF(EI437="","",EJ437*DA437*2+EK437*DA437*3)</f>
        <v>1980</v>
      </c>
      <c r="EP437" s="0" t="n">
        <v>1</v>
      </c>
      <c r="EQ437" s="0"/>
      <c r="ER437" s="0" t="n">
        <v>1</v>
      </c>
      <c r="ET437" s="0" t="n">
        <v>0</v>
      </c>
      <c r="EV437" s="0" t="n">
        <v>1</v>
      </c>
      <c r="EX437" s="0" t="n">
        <v>1</v>
      </c>
      <c r="EY437" s="0" t="n">
        <v>1</v>
      </c>
      <c r="FA437" s="4" t="n">
        <f aca="false">2500</f>
        <v>2500</v>
      </c>
      <c r="FB437" s="0" t="n">
        <v>0</v>
      </c>
      <c r="FF437" s="120" t="n">
        <f aca="false">(CJ437-CI437+1)/365</f>
        <v>9.16438356164384</v>
      </c>
      <c r="FG437" s="0" t="str">
        <f aca="false">CONCATENATE(F437,"/",G437)</f>
        <v>1565/2011</v>
      </c>
      <c r="FH437" s="0" t="n">
        <v>0</v>
      </c>
      <c r="FI437" s="0" t="n">
        <v>0</v>
      </c>
    </row>
    <row r="438" customFormat="false" ht="15" hidden="false" customHeight="false" outlineLevel="0" collapsed="false">
      <c r="A438" s="5" t="str">
        <f aca="false">E438&amp;G438&amp;F438</f>
        <v>720111566</v>
      </c>
      <c r="B438" s="0" t="s">
        <v>4119</v>
      </c>
      <c r="C438" s="1" t="n">
        <v>42409</v>
      </c>
      <c r="D438" s="0" t="s">
        <v>1856</v>
      </c>
      <c r="E438" s="0" t="n">
        <v>7</v>
      </c>
      <c r="F438" s="0" t="n">
        <v>1566</v>
      </c>
      <c r="G438" s="0" t="n">
        <v>2011</v>
      </c>
      <c r="H438" s="0" t="str">
        <f aca="false">"J"&amp;E438&amp;"\"&amp;F438&amp;"\"&amp;G438&amp;"\"&amp;W438</f>
        <v>J7\1566\2011\1</v>
      </c>
      <c r="I438" s="0"/>
      <c r="J438" s="1" t="n">
        <v>40795</v>
      </c>
      <c r="K438" s="0" t="n">
        <v>0</v>
      </c>
      <c r="M438" s="1"/>
      <c r="N438" s="1"/>
      <c r="O438" s="1"/>
      <c r="P438" s="1"/>
      <c r="Q438" s="1"/>
      <c r="T438" s="121"/>
      <c r="U438" s="121"/>
      <c r="V438" s="122" t="n">
        <f aca="false">IF(AND(E438&gt;0,F438&gt;0,G438&gt;0),COUNTIFS($E:$E,E438,$F:$F,F438,$G:$G,G438),"")</f>
        <v>1</v>
      </c>
      <c r="W438" s="122" t="n">
        <f aca="false">IF(V438="","",IF(V438=1,1,IF(AND(E437=E438,F437=F438,G437=G438),W437+1,1)))</f>
        <v>1</v>
      </c>
      <c r="X438" s="0" t="n">
        <v>1</v>
      </c>
      <c r="Y438" s="0" t="n">
        <v>3</v>
      </c>
      <c r="Z438" s="0" t="s">
        <v>4130</v>
      </c>
      <c r="AA438" s="0" t="n">
        <v>0</v>
      </c>
      <c r="AB438" s="0" t="s">
        <v>1812</v>
      </c>
      <c r="AC438" s="0" t="s">
        <v>228</v>
      </c>
      <c r="AD438" s="0" t="s">
        <v>229</v>
      </c>
      <c r="AE438" s="0" t="n">
        <v>0</v>
      </c>
      <c r="AF438" s="0" t="s">
        <v>4131</v>
      </c>
      <c r="AG438" s="0" t="n">
        <v>0</v>
      </c>
      <c r="AH438" s="0" t="s">
        <v>4132</v>
      </c>
      <c r="AI438" s="0" t="s">
        <v>1160</v>
      </c>
      <c r="AJ438" s="0" t="s">
        <v>229</v>
      </c>
      <c r="AL438" s="0" t="s">
        <v>4133</v>
      </c>
      <c r="AM438" s="0" t="n">
        <v>1</v>
      </c>
      <c r="AN438" s="0" t="s">
        <v>4132</v>
      </c>
      <c r="AO438" s="0" t="s">
        <v>1160</v>
      </c>
      <c r="AP438" s="0" t="s">
        <v>229</v>
      </c>
      <c r="AR438" s="0" t="s">
        <v>2126</v>
      </c>
      <c r="AS438" s="0" t="n">
        <v>1</v>
      </c>
      <c r="AT438" s="0" t="s">
        <v>4132</v>
      </c>
      <c r="AU438" s="0" t="s">
        <v>1160</v>
      </c>
      <c r="AV438" s="0" t="s">
        <v>229</v>
      </c>
      <c r="BP438" s="0" t="n">
        <v>0</v>
      </c>
      <c r="BQ438" s="0" t="n">
        <v>0</v>
      </c>
      <c r="BR438" s="0" t="n">
        <v>3</v>
      </c>
      <c r="BS438" s="0" t="s">
        <v>4134</v>
      </c>
      <c r="BT438" s="0" t="s">
        <v>4135</v>
      </c>
      <c r="BV438" s="123"/>
      <c r="BW438" s="123"/>
      <c r="BX438" s="123"/>
      <c r="BY438" s="123"/>
      <c r="BZ438" s="0" t="n">
        <v>0</v>
      </c>
      <c r="CA438" s="0" t="s">
        <v>348</v>
      </c>
      <c r="CD438" s="0" t="s">
        <v>296</v>
      </c>
      <c r="CE438" s="0" t="n">
        <v>0</v>
      </c>
      <c r="CF438" s="0" t="s">
        <v>457</v>
      </c>
      <c r="CI438" s="1" t="n">
        <v>40720</v>
      </c>
      <c r="CJ438" s="1" t="n">
        <v>40760</v>
      </c>
      <c r="CK438" s="124" t="n">
        <v>0.729166666666667</v>
      </c>
      <c r="CL438" s="0" t="s">
        <v>4133</v>
      </c>
      <c r="CM438" s="0" t="n">
        <f aca="false">IF(OR(CI438="",CJ438=""),"",DAYS360(CI438,CJ438)/360)</f>
        <v>0.108333333333333</v>
      </c>
      <c r="CN438" s="0" t="n">
        <f aca="false">IF(OR(CI438="",CJ438=""),"",DAYS360(CI438,CJ438)/30)</f>
        <v>1.3</v>
      </c>
      <c r="CO438" s="0" t="n">
        <f aca="false">IF(OR(CI438="",CJ438=""),"",DAYS360(CI438,CJ438)/7)</f>
        <v>5.57142857142857</v>
      </c>
      <c r="CP438" s="0" t="n">
        <f aca="false">IF(OR(CI438="",CJ438=""),"",DAYS360(CI438,CJ438))</f>
        <v>39</v>
      </c>
      <c r="CQ438" s="0" t="s">
        <v>240</v>
      </c>
      <c r="CR438" s="0" t="n">
        <v>1</v>
      </c>
      <c r="CT438" s="0" t="n">
        <v>242.74</v>
      </c>
      <c r="CU438" s="0" t="n">
        <v>0</v>
      </c>
      <c r="CW438" s="125" t="n">
        <v>303.69</v>
      </c>
      <c r="CX438" s="0" t="n">
        <v>0</v>
      </c>
      <c r="CY438" s="0" t="n">
        <f aca="false">IF(CW438="","",IF(CX438=0,CW438,IF(CX438=1,CW438/30,IF(CX438=2,CW438/15,IF(CX438=3,CW438/7,CW438)))))</f>
        <v>303.69</v>
      </c>
      <c r="CZ438" s="0" t="n">
        <f aca="false">IF(DI438&gt;0,DI438,IF(CY438&gt;0,CY438,IF(CV438&gt;0,CV438,"")))</f>
        <v>303.69</v>
      </c>
      <c r="DA438" s="0" t="n">
        <f aca="false">IF(DM438=1,CZ438/8,IF(OR(DM438=2,DM438=4),CZ438/7,IF(DM438=3,CZ438/7.5,"")))</f>
        <v>37.96125</v>
      </c>
      <c r="DB438" s="0" t="s">
        <v>303</v>
      </c>
      <c r="DC438" s="0" t="s">
        <v>301</v>
      </c>
      <c r="DD438" s="0" t="s">
        <v>216</v>
      </c>
      <c r="DE438" s="0" t="s">
        <v>216</v>
      </c>
      <c r="DF438" s="0" t="s">
        <v>216</v>
      </c>
      <c r="DG438" s="0" t="s">
        <v>216</v>
      </c>
      <c r="DH438" s="0" t="n">
        <v>0</v>
      </c>
      <c r="DI438" s="126" t="n">
        <v>303.69</v>
      </c>
      <c r="DK438" s="0" t="n">
        <v>0</v>
      </c>
      <c r="DM438" s="0" t="n">
        <v>1</v>
      </c>
      <c r="DN438" s="0" t="n">
        <f aca="false">9*5</f>
        <v>45</v>
      </c>
      <c r="DO438" s="0" t="n">
        <v>3</v>
      </c>
      <c r="DP438" s="0" t="n">
        <v>0</v>
      </c>
      <c r="DQ438" s="0" t="n">
        <v>1</v>
      </c>
      <c r="DR438" s="0"/>
      <c r="DS438" s="0" t="n">
        <v>1</v>
      </c>
      <c r="DU438" s="0" t="n">
        <v>1</v>
      </c>
      <c r="DW438" s="1" t="n">
        <v>40720</v>
      </c>
      <c r="DX438" s="1" t="n">
        <v>40760</v>
      </c>
      <c r="DZ438" s="0"/>
      <c r="EA438" s="0" t="n">
        <v>1</v>
      </c>
      <c r="EC438" s="1" t="n">
        <v>40720</v>
      </c>
      <c r="ED438" s="1" t="n">
        <v>40760</v>
      </c>
      <c r="EF438" s="0"/>
      <c r="EG438" s="0" t="n">
        <v>0</v>
      </c>
      <c r="EI438" s="0" t="str">
        <f aca="false">IF(AND(DM438=1,DN438&lt;=48),"",IF(AND(DM438=2,DN438&lt;=42),"",IF(AND(DM438=3,DN438&lt;=45),"",EH438)))</f>
        <v/>
      </c>
      <c r="EJ438" s="0" t="str">
        <f aca="false">IF(EI438="","",IF(EI438&lt;9,EI438,9))</f>
        <v/>
      </c>
      <c r="EK438" s="0" t="str">
        <f aca="false">IF(EI438="","",IF(EI438&gt;9,EI438-EJ438,0))</f>
        <v/>
      </c>
      <c r="EL438" s="0" t="str">
        <f aca="false">IF(EI438="","",EJ438*DA438*2+EK438*DA438*3)</f>
        <v/>
      </c>
      <c r="EP438" s="0" t="n">
        <v>0</v>
      </c>
      <c r="EQ438" s="0"/>
      <c r="ER438" s="0" t="n">
        <v>0</v>
      </c>
      <c r="ET438" s="0" t="n">
        <v>0</v>
      </c>
      <c r="EV438" s="0" t="n">
        <v>0</v>
      </c>
      <c r="EX438" s="0" t="n">
        <v>0</v>
      </c>
      <c r="EY438" s="0" t="n">
        <v>0</v>
      </c>
      <c r="FA438" s="4" t="n">
        <f aca="false">4*DI438</f>
        <v>1214.76</v>
      </c>
      <c r="FB438" s="0" t="n">
        <v>1</v>
      </c>
      <c r="FF438" s="120" t="n">
        <f aca="false">(CJ438-CI438+1)/365</f>
        <v>0.112328767123288</v>
      </c>
      <c r="FG438" s="0" t="str">
        <f aca="false">CONCATENATE(F438,"/",G438)</f>
        <v>1566/2011</v>
      </c>
      <c r="FH438" s="0" t="n">
        <v>0</v>
      </c>
      <c r="FI438" s="0" t="n">
        <v>0</v>
      </c>
    </row>
    <row r="439" customFormat="false" ht="15" hidden="false" customHeight="false" outlineLevel="0" collapsed="false">
      <c r="A439" s="5" t="str">
        <f aca="false">E439&amp;G439&amp;F439</f>
        <v>720111572</v>
      </c>
      <c r="B439" s="0" t="s">
        <v>4119</v>
      </c>
      <c r="C439" s="1" t="n">
        <v>42409</v>
      </c>
      <c r="D439" s="0" t="s">
        <v>1856</v>
      </c>
      <c r="E439" s="0" t="n">
        <v>7</v>
      </c>
      <c r="F439" s="0" t="n">
        <v>1572</v>
      </c>
      <c r="G439" s="0" t="n">
        <v>2011</v>
      </c>
      <c r="H439" s="0" t="str">
        <f aca="false">"J"&amp;E439&amp;"\"&amp;F439&amp;"\"&amp;G439&amp;"\"&amp;W439</f>
        <v>J7\1572\2011\1</v>
      </c>
      <c r="I439" s="0"/>
      <c r="J439" s="1" t="n">
        <v>40795</v>
      </c>
      <c r="K439" s="0" t="n">
        <v>0</v>
      </c>
      <c r="M439" s="1"/>
      <c r="N439" s="1"/>
      <c r="O439" s="1"/>
      <c r="P439" s="1"/>
      <c r="Q439" s="1"/>
      <c r="T439" s="121"/>
      <c r="U439" s="121"/>
      <c r="V439" s="122" t="n">
        <f aca="false">IF(AND(E439&gt;0,F439&gt;0,G439&gt;0),COUNTIFS($E:$E,E439,$F:$F,F439,$G:$G,G439),"")</f>
        <v>1</v>
      </c>
      <c r="W439" s="122" t="n">
        <f aca="false">IF(V439="","",IF(V439=1,1,IF(AND(E438=E439,F438=F439,G438=G439),W438+1,1)))</f>
        <v>1</v>
      </c>
      <c r="X439" s="0" t="n">
        <v>1</v>
      </c>
      <c r="Y439" s="0" t="n">
        <v>5</v>
      </c>
      <c r="Z439" s="0" t="s">
        <v>4136</v>
      </c>
      <c r="AA439" s="0" t="n">
        <v>0</v>
      </c>
      <c r="AB439" s="0" t="s">
        <v>1812</v>
      </c>
      <c r="AC439" s="0" t="s">
        <v>228</v>
      </c>
      <c r="AD439" s="0" t="s">
        <v>229</v>
      </c>
      <c r="AE439" s="0" t="n">
        <v>0</v>
      </c>
      <c r="AF439" s="0" t="s">
        <v>896</v>
      </c>
      <c r="AG439" s="0" t="n">
        <v>0</v>
      </c>
      <c r="AH439" s="0" t="s">
        <v>4137</v>
      </c>
      <c r="AI439" s="0" t="s">
        <v>643</v>
      </c>
      <c r="AJ439" s="0" t="s">
        <v>207</v>
      </c>
      <c r="AL439" s="0" t="s">
        <v>4138</v>
      </c>
      <c r="AM439" s="0" t="n">
        <v>1</v>
      </c>
      <c r="AN439" s="0" t="s">
        <v>4137</v>
      </c>
      <c r="AO439" s="0" t="s">
        <v>643</v>
      </c>
      <c r="AP439" s="0" t="s">
        <v>207</v>
      </c>
      <c r="AR439" s="0" t="s">
        <v>4139</v>
      </c>
      <c r="AS439" s="0" t="n">
        <v>1</v>
      </c>
      <c r="AT439" s="0" t="s">
        <v>4137</v>
      </c>
      <c r="AU439" s="0" t="s">
        <v>643</v>
      </c>
      <c r="AV439" s="0" t="s">
        <v>207</v>
      </c>
      <c r="AX439" s="0" t="s">
        <v>4140</v>
      </c>
      <c r="AY439" s="0" t="n">
        <v>1</v>
      </c>
      <c r="AZ439" s="0" t="s">
        <v>4137</v>
      </c>
      <c r="BA439" s="0" t="s">
        <v>643</v>
      </c>
      <c r="BB439" s="0" t="s">
        <v>207</v>
      </c>
      <c r="BD439" s="0" t="s">
        <v>213</v>
      </c>
      <c r="BE439" s="0" t="n">
        <v>1</v>
      </c>
      <c r="BF439" s="0" t="s">
        <v>4137</v>
      </c>
      <c r="BG439" s="0" t="s">
        <v>643</v>
      </c>
      <c r="BH439" s="0" t="s">
        <v>207</v>
      </c>
      <c r="BP439" s="0" t="n">
        <v>0</v>
      </c>
      <c r="BQ439" s="0" t="n">
        <v>0</v>
      </c>
      <c r="BR439" s="0" t="n">
        <v>3</v>
      </c>
      <c r="BS439" s="0" t="s">
        <v>2770</v>
      </c>
      <c r="BT439" s="0" t="s">
        <v>1818</v>
      </c>
      <c r="BU439" s="0" t="s">
        <v>1841</v>
      </c>
      <c r="BV439" s="123"/>
      <c r="BW439" s="123"/>
      <c r="BX439" s="123"/>
      <c r="BY439" s="123"/>
      <c r="BZ439" s="0" t="n">
        <v>0</v>
      </c>
      <c r="CA439" s="0" t="s">
        <v>348</v>
      </c>
      <c r="CD439" s="0" t="s">
        <v>256</v>
      </c>
      <c r="CE439" s="0" t="n">
        <v>0</v>
      </c>
      <c r="CF439" s="0" t="s">
        <v>4141</v>
      </c>
      <c r="CI439" s="1" t="n">
        <v>40562</v>
      </c>
      <c r="CJ439" s="1" t="n">
        <v>40757</v>
      </c>
      <c r="CK439" s="124" t="n">
        <v>0.375</v>
      </c>
      <c r="CL439" s="0" t="s">
        <v>4139</v>
      </c>
      <c r="CM439" s="0" t="n">
        <f aca="false">IF(OR(CI439="",CJ439=""),"",DAYS360(CI439,CJ439)/360)</f>
        <v>0.536111111111111</v>
      </c>
      <c r="CN439" s="0" t="n">
        <f aca="false">IF(OR(CI439="",CJ439=""),"",DAYS360(CI439,CJ439)/30)</f>
        <v>6.43333333333333</v>
      </c>
      <c r="CO439" s="0" t="n">
        <f aca="false">IF(OR(CI439="",CJ439=""),"",DAYS360(CI439,CJ439)/7)</f>
        <v>27.5714285714286</v>
      </c>
      <c r="CP439" s="0" t="n">
        <f aca="false">IF(OR(CI439="",CJ439=""),"",DAYS360(CI439,CJ439))</f>
        <v>193</v>
      </c>
      <c r="CQ439" s="0" t="s">
        <v>240</v>
      </c>
      <c r="CR439" s="0" t="n">
        <v>1</v>
      </c>
      <c r="CT439" s="0" t="n">
        <v>266</v>
      </c>
      <c r="CU439" s="0" t="n">
        <v>0</v>
      </c>
      <c r="CW439" s="125" t="n">
        <v>279.43</v>
      </c>
      <c r="CX439" s="0" t="n">
        <v>0</v>
      </c>
      <c r="CY439" s="0" t="n">
        <f aca="false">IF(CW439="","",IF(CX439=0,CW439,IF(CX439=1,CW439/30,IF(CX439=2,CW439/15,IF(CX439=3,CW439/7,CW439)))))</f>
        <v>279.43</v>
      </c>
      <c r="CZ439" s="0" t="n">
        <f aca="false">IF(DI439&gt;0,DI439,IF(CY439&gt;0,CY439,IF(CV439&gt;0,CV439,"")))</f>
        <v>279.43</v>
      </c>
      <c r="DA439" s="0" t="n">
        <f aca="false">IF(DM439=1,CZ439/8,IF(OR(DM439=2,DM439=4),CZ439/7,IF(DM439=3,CZ439/7.5,"")))</f>
        <v>34.92875</v>
      </c>
      <c r="DB439" s="0" t="s">
        <v>303</v>
      </c>
      <c r="DC439" s="0" t="s">
        <v>301</v>
      </c>
      <c r="DD439" s="0" t="s">
        <v>216</v>
      </c>
      <c r="DE439" s="0" t="s">
        <v>216</v>
      </c>
      <c r="DF439" s="0" t="s">
        <v>216</v>
      </c>
      <c r="DG439" s="0" t="s">
        <v>216</v>
      </c>
      <c r="DH439" s="0" t="n">
        <v>0</v>
      </c>
      <c r="DI439" s="126" t="n">
        <v>279.43</v>
      </c>
      <c r="DK439" s="0" t="n">
        <v>1</v>
      </c>
      <c r="DM439" s="0" t="n">
        <v>1</v>
      </c>
      <c r="DN439" s="0" t="n">
        <v>60</v>
      </c>
      <c r="DO439" s="0" t="n">
        <v>3</v>
      </c>
      <c r="DP439" s="0" t="n">
        <v>0</v>
      </c>
      <c r="DQ439" s="0" t="n">
        <v>1</v>
      </c>
      <c r="DR439" s="0"/>
      <c r="DS439" s="0" t="n">
        <v>1</v>
      </c>
      <c r="DU439" s="0" t="n">
        <v>1</v>
      </c>
      <c r="DW439" s="1" t="n">
        <v>40562</v>
      </c>
      <c r="DX439" s="1" t="n">
        <v>40757</v>
      </c>
      <c r="DZ439" s="0"/>
      <c r="EA439" s="0" t="n">
        <v>1</v>
      </c>
      <c r="EC439" s="1" t="n">
        <v>40562</v>
      </c>
      <c r="ED439" s="1" t="n">
        <v>40757</v>
      </c>
      <c r="EF439" s="0"/>
      <c r="EG439" s="0" t="n">
        <v>0</v>
      </c>
      <c r="EI439" s="0" t="n">
        <f aca="false">IF(AND(DM439=1,DN439&lt;=48),"",IF(AND(DM439=2,DN439&lt;=42),"",IF(AND(DM439=3,DN439&lt;=45),"",EH439)))</f>
        <v>0</v>
      </c>
      <c r="EJ439" s="0" t="str">
        <f aca="false">IF(EI439="","",IF(EI439&lt;9,EI439,9))</f>
        <v/>
      </c>
      <c r="EK439" s="0" t="str">
        <f aca="false">IF(EI439="","",IF(EI439&gt;9,EI439-EJ439,0))</f>
        <v/>
      </c>
      <c r="EL439" s="0" t="str">
        <f aca="false">IF(EI439="","",EJ439*DA439*2+EK439*DA439*3)</f>
        <v/>
      </c>
      <c r="EP439" s="0" t="n">
        <v>0</v>
      </c>
      <c r="EQ439" s="0"/>
      <c r="ER439" s="0" t="n">
        <v>0</v>
      </c>
      <c r="ET439" s="0" t="n">
        <v>0</v>
      </c>
      <c r="EV439" s="0" t="n">
        <v>0</v>
      </c>
      <c r="EX439" s="0" t="n">
        <v>0</v>
      </c>
      <c r="EY439" s="0" t="n">
        <v>0</v>
      </c>
      <c r="FA439" s="126" t="n">
        <f aca="false">125*279.43</f>
        <v>34928.75</v>
      </c>
      <c r="FB439" s="0" t="n">
        <v>1</v>
      </c>
      <c r="FF439" s="120" t="n">
        <f aca="false">(CJ439-CI439+1)/365</f>
        <v>0.536986301369863</v>
      </c>
      <c r="FG439" s="0" t="str">
        <f aca="false">CONCATENATE(F439,"/",G439)</f>
        <v>1572/2011</v>
      </c>
      <c r="FH439" s="0" t="n">
        <v>0</v>
      </c>
      <c r="FI439" s="0" t="n">
        <v>0</v>
      </c>
    </row>
    <row r="440" customFormat="false" ht="15" hidden="false" customHeight="false" outlineLevel="0" collapsed="false">
      <c r="A440" s="5" t="str">
        <f aca="false">E440&amp;G440&amp;F440</f>
        <v>720111576</v>
      </c>
      <c r="B440" s="0" t="s">
        <v>4119</v>
      </c>
      <c r="C440" s="1" t="n">
        <v>42409</v>
      </c>
      <c r="E440" s="0" t="n">
        <v>7</v>
      </c>
      <c r="F440" s="0" t="n">
        <v>1576</v>
      </c>
      <c r="G440" s="0" t="n">
        <v>2011</v>
      </c>
      <c r="H440" s="0" t="str">
        <f aca="false">"J"&amp;E440&amp;"\"&amp;F440&amp;"\"&amp;G440&amp;"\"&amp;W440</f>
        <v>J7\1576\2011\1</v>
      </c>
      <c r="I440" s="0"/>
      <c r="J440" s="1" t="n">
        <v>40798</v>
      </c>
      <c r="K440" s="0" t="n">
        <v>0</v>
      </c>
      <c r="M440" s="1" t="n">
        <v>40798</v>
      </c>
      <c r="N440" s="1" t="n">
        <v>41031</v>
      </c>
      <c r="O440" s="1"/>
      <c r="P440" s="1"/>
      <c r="Q440" s="1"/>
      <c r="T440" s="121"/>
      <c r="U440" s="121"/>
      <c r="V440" s="122" t="n">
        <f aca="false">IF(AND(E440&gt;0,F440&gt;0,G440&gt;0),COUNTIFS($E:$E,E440,$F:$F,F440,$G:$G,G440),"")</f>
        <v>1</v>
      </c>
      <c r="W440" s="122" t="n">
        <f aca="false">IF(V440="","",IF(V440=1,1,IF(AND(E439=E440,F439=F440,G439=G440),W439+1,1)))</f>
        <v>1</v>
      </c>
      <c r="X440" s="0" t="n">
        <v>1</v>
      </c>
      <c r="Y440" s="0" t="n">
        <v>4</v>
      </c>
      <c r="Z440" s="0" t="s">
        <v>4142</v>
      </c>
      <c r="AA440" s="0" t="n">
        <v>0</v>
      </c>
      <c r="AB440" s="0" t="s">
        <v>4143</v>
      </c>
      <c r="AC440" s="0" t="s">
        <v>274</v>
      </c>
      <c r="AD440" s="0" t="s">
        <v>221</v>
      </c>
      <c r="AE440" s="0" t="n">
        <v>0</v>
      </c>
      <c r="AF440" s="0" t="s">
        <v>4144</v>
      </c>
      <c r="AG440" s="0" t="n">
        <v>0</v>
      </c>
      <c r="AH440" s="0" t="s">
        <v>4145</v>
      </c>
      <c r="AI440" s="0" t="s">
        <v>4146</v>
      </c>
      <c r="AJ440" s="0" t="s">
        <v>590</v>
      </c>
      <c r="AL440" s="0" t="s">
        <v>4147</v>
      </c>
      <c r="AM440" s="0" t="n">
        <v>1</v>
      </c>
      <c r="AN440" s="0" t="s">
        <v>4145</v>
      </c>
      <c r="AO440" s="0" t="s">
        <v>4146</v>
      </c>
      <c r="AP440" s="0" t="s">
        <v>590</v>
      </c>
      <c r="AR440" s="0" t="s">
        <v>2126</v>
      </c>
      <c r="AS440" s="0" t="n">
        <v>1</v>
      </c>
      <c r="AT440" s="0" t="s">
        <v>4145</v>
      </c>
      <c r="AU440" s="0" t="s">
        <v>4146</v>
      </c>
      <c r="AV440" s="0" t="s">
        <v>590</v>
      </c>
      <c r="AX440" s="0" t="s">
        <v>249</v>
      </c>
      <c r="AY440" s="0" t="n">
        <v>0</v>
      </c>
      <c r="AZ440" s="0" t="s">
        <v>4148</v>
      </c>
      <c r="BA440" s="0" t="s">
        <v>1160</v>
      </c>
      <c r="BB440" s="0" t="s">
        <v>221</v>
      </c>
      <c r="BP440" s="0" t="n">
        <v>0</v>
      </c>
      <c r="BQ440" s="0" t="n">
        <v>0</v>
      </c>
      <c r="BR440" s="0" t="n">
        <v>1</v>
      </c>
      <c r="BS440" s="0" t="s">
        <v>4149</v>
      </c>
      <c r="BT440" s="0" t="s">
        <v>216</v>
      </c>
      <c r="BU440" s="0" t="s">
        <v>216</v>
      </c>
      <c r="BV440" s="123"/>
      <c r="BW440" s="123"/>
      <c r="BX440" s="123"/>
      <c r="BY440" s="123"/>
      <c r="BZ440" s="0" t="n">
        <v>0</v>
      </c>
      <c r="CA440" s="0" t="s">
        <v>216</v>
      </c>
      <c r="CD440" s="0" t="s">
        <v>216</v>
      </c>
      <c r="CE440" s="0" t="n">
        <v>1</v>
      </c>
      <c r="CF440" s="0" t="s">
        <v>4150</v>
      </c>
      <c r="CI440" s="1" t="n">
        <v>37135</v>
      </c>
      <c r="CJ440" s="1" t="n">
        <v>40786</v>
      </c>
      <c r="CK440" s="124" t="n">
        <v>0.729166666666667</v>
      </c>
      <c r="CL440" s="0" t="s">
        <v>4147</v>
      </c>
      <c r="CM440" s="0" t="n">
        <f aca="false">IF(OR(CI440="",CJ440=""),"",DAYS360(CI440,CJ440)/360)</f>
        <v>10</v>
      </c>
      <c r="CN440" s="0" t="n">
        <f aca="false">IF(OR(CI440="",CJ440=""),"",DAYS360(CI440,CJ440)/30)</f>
        <v>120</v>
      </c>
      <c r="CO440" s="0" t="n">
        <f aca="false">IF(OR(CI440="",CJ440=""),"",DAYS360(CI440,CJ440)/7)</f>
        <v>514.285714285714</v>
      </c>
      <c r="CP440" s="0" t="n">
        <f aca="false">IF(OR(CI440="",CJ440=""),"",DAYS360(CI440,CJ440))</f>
        <v>3600</v>
      </c>
      <c r="CQ440" s="0" t="s">
        <v>240</v>
      </c>
      <c r="CR440" s="0" t="n">
        <v>1</v>
      </c>
      <c r="CT440" s="0" t="n">
        <v>4000</v>
      </c>
      <c r="CU440" s="0" t="n">
        <v>0</v>
      </c>
      <c r="CW440" s="125" t="s">
        <v>216</v>
      </c>
      <c r="CX440" s="0" t="s">
        <v>216</v>
      </c>
      <c r="CY440" s="0" t="str">
        <f aca="false">IF(CW440="","",IF(CX440=0,CW440,IF(CX440=1,CW440/30,IF(CX440=2,CW440/15,IF(CX440=3,CW440/7,CW440)))))</f>
        <v>NO MENCIONA</v>
      </c>
      <c r="CZ440" s="0" t="n">
        <f aca="false">IF(DI440&gt;0,DI440,IF(CY440&gt;0,CY440,IF(CV440&gt;0,CV440,"")))</f>
        <v>4000</v>
      </c>
      <c r="DA440" s="0" t="n">
        <f aca="false">IF(DM440=1,CZ440/8,IF(OR(DM440=2,DM440=4),CZ440/7,IF(DM440=3,CZ440/7.5,"")))</f>
        <v>500</v>
      </c>
      <c r="DB440" s="0" t="s">
        <v>216</v>
      </c>
      <c r="DC440" s="0" t="s">
        <v>216</v>
      </c>
      <c r="DD440" s="0" t="s">
        <v>216</v>
      </c>
      <c r="DE440" s="0" t="s">
        <v>216</v>
      </c>
      <c r="DF440" s="0" t="s">
        <v>216</v>
      </c>
      <c r="DG440" s="0" t="s">
        <v>216</v>
      </c>
      <c r="DH440" s="0" t="n">
        <v>0</v>
      </c>
      <c r="DI440" s="126" t="n">
        <f aca="false">4000</f>
        <v>4000</v>
      </c>
      <c r="DK440" s="0" t="n">
        <v>0</v>
      </c>
      <c r="DM440" s="0" t="n">
        <v>1</v>
      </c>
      <c r="DN440" s="0" t="n">
        <v>60</v>
      </c>
      <c r="DO440" s="0" t="n">
        <v>3</v>
      </c>
      <c r="DP440" s="0" t="n">
        <v>0</v>
      </c>
      <c r="DQ440" s="0" t="n">
        <v>1</v>
      </c>
      <c r="DR440" s="0" t="n">
        <v>360000</v>
      </c>
      <c r="DS440" s="0" t="n">
        <v>1</v>
      </c>
      <c r="DU440" s="0" t="n">
        <v>1</v>
      </c>
      <c r="DV440" s="0" t="n">
        <f aca="false">28032+8750</f>
        <v>36782</v>
      </c>
      <c r="DW440" s="1" t="n">
        <v>40422</v>
      </c>
      <c r="DX440" s="1" t="n">
        <v>40786</v>
      </c>
      <c r="DZ440" s="0" t="n">
        <f aca="false">60000+35000</f>
        <v>95000</v>
      </c>
      <c r="EA440" s="0" t="n">
        <v>1</v>
      </c>
      <c r="EB440" s="0" t="n">
        <f aca="false">15000+8750</f>
        <v>23750</v>
      </c>
      <c r="EC440" s="1" t="n">
        <v>40179</v>
      </c>
      <c r="ED440" s="1" t="n">
        <v>40786</v>
      </c>
      <c r="EF440" s="0"/>
      <c r="EG440" s="0" t="n">
        <v>1</v>
      </c>
      <c r="EH440" s="0" t="n">
        <v>24</v>
      </c>
      <c r="EI440" s="0" t="n">
        <f aca="false">IF(AND(DM440=1,DN440&lt;=48),"",IF(AND(DM440=2,DN440&lt;=42),"",IF(AND(DM440=3,DN440&lt;=45),"",EH440)))</f>
        <v>24</v>
      </c>
      <c r="EJ440" s="0" t="n">
        <f aca="false">IF(EI440="","",IF(EI440&lt;9,EI440,9))</f>
        <v>9</v>
      </c>
      <c r="EK440" s="0" t="n">
        <f aca="false">IF(EI440="","",IF(EI440&gt;9,EI440-EJ440,0))</f>
        <v>15</v>
      </c>
      <c r="EL440" s="0" t="n">
        <f aca="false">IF(EI440="","",EJ440*DA440*2+EK440*DA440*3)</f>
        <v>31500</v>
      </c>
      <c r="EP440" s="0" t="n">
        <v>1</v>
      </c>
      <c r="EQ440" s="0" t="n">
        <f aca="false">800000+6666.66</f>
        <v>806666.66</v>
      </c>
      <c r="ER440" s="0" t="n">
        <v>0</v>
      </c>
      <c r="ET440" s="0" t="n">
        <v>0</v>
      </c>
      <c r="EV440" s="0" t="n">
        <v>0</v>
      </c>
      <c r="EX440" s="0" t="n">
        <v>0</v>
      </c>
      <c r="EY440" s="0" t="n">
        <v>0</v>
      </c>
      <c r="FA440" s="4" t="n">
        <v>120000</v>
      </c>
      <c r="FB440" s="0" t="n">
        <v>0</v>
      </c>
      <c r="FF440" s="120" t="n">
        <f aca="false">(CJ440-CI440+1)/365</f>
        <v>10.0054794520548</v>
      </c>
      <c r="FG440" s="0" t="str">
        <f aca="false">CONCATENATE(F440,"/",G440)</f>
        <v>1576/2011</v>
      </c>
      <c r="FH440" s="0" t="n">
        <v>0</v>
      </c>
      <c r="FI440" s="0" t="n">
        <v>0</v>
      </c>
    </row>
    <row r="441" customFormat="false" ht="15" hidden="false" customHeight="false" outlineLevel="0" collapsed="false">
      <c r="A441" s="5" t="str">
        <f aca="false">E441&amp;G441&amp;F441</f>
        <v>720111585</v>
      </c>
      <c r="B441" s="0" t="s">
        <v>4119</v>
      </c>
      <c r="C441" s="1" t="n">
        <v>42409</v>
      </c>
      <c r="E441" s="0" t="n">
        <v>7</v>
      </c>
      <c r="F441" s="0" t="n">
        <v>1585</v>
      </c>
      <c r="G441" s="0" t="n">
        <v>2011</v>
      </c>
      <c r="H441" s="0" t="str">
        <f aca="false">"J"&amp;E441&amp;"\"&amp;F441&amp;"\"&amp;G441&amp;"\"&amp;W441</f>
        <v>J7\1585\2011\1</v>
      </c>
      <c r="I441" s="0"/>
      <c r="J441" s="1" t="n">
        <v>40799</v>
      </c>
      <c r="K441" s="0" t="n">
        <v>1</v>
      </c>
      <c r="L441" s="0" t="s">
        <v>3514</v>
      </c>
      <c r="M441" s="1" t="n">
        <v>40799</v>
      </c>
      <c r="N441" s="1" t="n">
        <v>41037</v>
      </c>
      <c r="O441" s="1"/>
      <c r="P441" s="1"/>
      <c r="Q441" s="1"/>
      <c r="T441" s="121"/>
      <c r="U441" s="121"/>
      <c r="V441" s="122" t="n">
        <f aca="false">IF(AND(E441&gt;0,F441&gt;0,G441&gt;0),COUNTIFS($E:$E,E441,$F:$F,F441,$G:$G,G441),"")</f>
        <v>1</v>
      </c>
      <c r="W441" s="122" t="n">
        <f aca="false">IF(V441="","",IF(V441=1,1,IF(AND(E440=E441,F440=F441,G440=G441),W440+1,1)))</f>
        <v>1</v>
      </c>
      <c r="X441" s="0" t="n">
        <v>1</v>
      </c>
      <c r="Y441" s="0" t="n">
        <v>5</v>
      </c>
      <c r="Z441" s="0" t="s">
        <v>4151</v>
      </c>
      <c r="AA441" s="0" t="n">
        <v>0</v>
      </c>
      <c r="AB441" s="0" t="s">
        <v>4152</v>
      </c>
      <c r="AC441" s="0" t="s">
        <v>4153</v>
      </c>
      <c r="AD441" s="0" t="s">
        <v>229</v>
      </c>
      <c r="AE441" s="0" t="n">
        <v>0</v>
      </c>
      <c r="AF441" s="0" t="s">
        <v>4154</v>
      </c>
      <c r="AG441" s="0" t="n">
        <v>0</v>
      </c>
      <c r="AH441" s="0" t="s">
        <v>4155</v>
      </c>
      <c r="AI441" s="0" t="s">
        <v>4156</v>
      </c>
      <c r="AJ441" s="0" t="s">
        <v>4157</v>
      </c>
      <c r="AL441" s="0" t="s">
        <v>4158</v>
      </c>
      <c r="AM441" s="0" t="n">
        <v>1</v>
      </c>
      <c r="AN441" s="0" t="s">
        <v>4155</v>
      </c>
      <c r="AO441" s="0" t="s">
        <v>4156</v>
      </c>
      <c r="AP441" s="0" t="s">
        <v>4157</v>
      </c>
      <c r="AR441" s="0" t="s">
        <v>4159</v>
      </c>
      <c r="AS441" s="0" t="n">
        <v>1</v>
      </c>
      <c r="AT441" s="0" t="s">
        <v>4155</v>
      </c>
      <c r="AU441" s="0" t="s">
        <v>4156</v>
      </c>
      <c r="AV441" s="0" t="s">
        <v>4157</v>
      </c>
      <c r="AX441" s="0" t="s">
        <v>4160</v>
      </c>
      <c r="AY441" s="0" t="n">
        <v>1</v>
      </c>
      <c r="AZ441" s="0" t="s">
        <v>4155</v>
      </c>
      <c r="BA441" s="0" t="s">
        <v>4156</v>
      </c>
      <c r="BB441" s="0" t="s">
        <v>4157</v>
      </c>
      <c r="BD441" s="0" t="s">
        <v>2106</v>
      </c>
      <c r="BE441" s="0" t="n">
        <v>1</v>
      </c>
      <c r="BF441" s="0" t="s">
        <v>4155</v>
      </c>
      <c r="BG441" s="0" t="s">
        <v>4156</v>
      </c>
      <c r="BH441" s="0" t="s">
        <v>4157</v>
      </c>
      <c r="BP441" s="0" t="n">
        <v>0</v>
      </c>
      <c r="BQ441" s="0" t="n">
        <v>0</v>
      </c>
      <c r="BR441" s="0" t="n">
        <v>1</v>
      </c>
      <c r="BS441" s="0" t="s">
        <v>4161</v>
      </c>
      <c r="BT441" s="0" t="s">
        <v>4162</v>
      </c>
      <c r="BU441" s="0" t="s">
        <v>4163</v>
      </c>
      <c r="BV441" s="123"/>
      <c r="BW441" s="123"/>
      <c r="BX441" s="123"/>
      <c r="BY441" s="123"/>
      <c r="BZ441" s="0" t="n">
        <v>0</v>
      </c>
      <c r="CA441" s="0" t="s">
        <v>216</v>
      </c>
      <c r="CD441" s="0" t="s">
        <v>502</v>
      </c>
      <c r="CE441" s="0" t="n">
        <v>0</v>
      </c>
      <c r="CF441" s="0" t="s">
        <v>1309</v>
      </c>
      <c r="CI441" s="1" t="n">
        <v>40220</v>
      </c>
      <c r="CJ441" s="1" t="n">
        <v>40753</v>
      </c>
      <c r="CK441" s="124" t="n">
        <v>0.291666666666667</v>
      </c>
      <c r="CL441" s="0" t="s">
        <v>4164</v>
      </c>
      <c r="CM441" s="0" t="n">
        <f aca="false">IF(OR(CI441="",CJ441=""),"",DAYS360(CI441,CJ441)/360)</f>
        <v>1.46666666666667</v>
      </c>
      <c r="CN441" s="0" t="n">
        <f aca="false">IF(OR(CI441="",CJ441=""),"",DAYS360(CI441,CJ441)/30)</f>
        <v>17.6</v>
      </c>
      <c r="CO441" s="0" t="n">
        <f aca="false">IF(OR(CI441="",CJ441=""),"",DAYS360(CI441,CJ441)/7)</f>
        <v>75.4285714285714</v>
      </c>
      <c r="CP441" s="0" t="n">
        <f aca="false">IF(OR(CI441="",CJ441=""),"",DAYS360(CI441,CJ441))</f>
        <v>528</v>
      </c>
      <c r="CQ441" s="0" t="s">
        <v>220</v>
      </c>
      <c r="CR441" s="0" t="n">
        <v>1</v>
      </c>
      <c r="CT441" s="0" t="s">
        <v>221</v>
      </c>
      <c r="CU441" s="0" t="s">
        <v>221</v>
      </c>
      <c r="CW441" s="125" t="n">
        <v>1500</v>
      </c>
      <c r="CX441" s="0" t="n">
        <v>3</v>
      </c>
      <c r="CY441" s="0" t="n">
        <f aca="false">IF(CW441="","",IF(CX441=0,CW441,IF(CX441=1,CW441/30,IF(CX441=2,CW441/15,IF(CX441=3,CW441/7,CW441)))))</f>
        <v>214.285714285714</v>
      </c>
      <c r="CZ441" s="0" t="n">
        <f aca="false">IF(DI441&gt;0,DI441,IF(CY441&gt;0,CY441,IF(CV441&gt;0,CV441,"")))</f>
        <v>1500</v>
      </c>
      <c r="DA441" s="0" t="n">
        <f aca="false">IF(DM441=1,CZ441/8,IF(OR(DM441=2,DM441=4),CZ441/7,IF(DM441=3,CZ441/7.5,"")))</f>
        <v>187.5</v>
      </c>
      <c r="DB441" s="0" t="s">
        <v>216</v>
      </c>
      <c r="DC441" s="0" t="s">
        <v>216</v>
      </c>
      <c r="DD441" s="0" t="s">
        <v>216</v>
      </c>
      <c r="DE441" s="0" t="s">
        <v>216</v>
      </c>
      <c r="DF441" s="0" t="s">
        <v>216</v>
      </c>
      <c r="DG441" s="0" t="s">
        <v>216</v>
      </c>
      <c r="DH441" s="0" t="n">
        <v>0</v>
      </c>
      <c r="DI441" s="126" t="n">
        <v>1500</v>
      </c>
      <c r="DK441" s="0" t="n">
        <v>0</v>
      </c>
      <c r="DM441" s="0" t="n">
        <v>1</v>
      </c>
      <c r="DN441" s="0" t="n">
        <f aca="false">15*7</f>
        <v>105</v>
      </c>
      <c r="DO441" s="0" t="n">
        <v>3</v>
      </c>
      <c r="DP441" s="0" t="n">
        <v>1</v>
      </c>
      <c r="DQ441" s="0" t="n">
        <v>0</v>
      </c>
      <c r="DR441" s="0"/>
      <c r="DS441" s="0" t="n">
        <v>1</v>
      </c>
      <c r="DU441" s="0" t="n">
        <v>0</v>
      </c>
      <c r="DW441" s="1" t="n">
        <v>40220</v>
      </c>
      <c r="DX441" s="1" t="n">
        <v>40753</v>
      </c>
      <c r="DZ441" s="0"/>
      <c r="EA441" s="0" t="n">
        <v>1</v>
      </c>
      <c r="EC441" s="1" t="n">
        <v>40220</v>
      </c>
      <c r="ED441" s="1" t="n">
        <v>40753</v>
      </c>
      <c r="EF441" s="0"/>
      <c r="EG441" s="0" t="n">
        <v>1</v>
      </c>
      <c r="EH441" s="0" t="n">
        <v>49</v>
      </c>
      <c r="EI441" s="0" t="n">
        <f aca="false">IF(AND(DM441=1,DN441&lt;=48),"",IF(AND(DM441=2,DN441&lt;=42),"",IF(AND(DM441=3,DN441&lt;=45),"",EH441)))</f>
        <v>49</v>
      </c>
      <c r="EJ441" s="0" t="n">
        <f aca="false">IF(EI441="","",IF(EI441&lt;9,EI441,9))</f>
        <v>9</v>
      </c>
      <c r="EK441" s="0" t="n">
        <f aca="false">IF(EI441="","",IF(EI441&gt;9,EI441-EJ441,0))</f>
        <v>40</v>
      </c>
      <c r="EL441" s="0" t="n">
        <f aca="false">IF(EI441="","",EJ441*DA441*2+EK441*DA441*3)</f>
        <v>25875</v>
      </c>
      <c r="EQ441" s="0"/>
      <c r="ER441" s="0" t="n">
        <v>1</v>
      </c>
      <c r="ET441" s="0" t="n">
        <v>1</v>
      </c>
      <c r="EV441" s="0" t="n">
        <v>0</v>
      </c>
      <c r="EX441" s="0" t="n">
        <v>1</v>
      </c>
      <c r="EY441" s="0" t="n">
        <v>1</v>
      </c>
      <c r="FA441" s="4" t="n">
        <f aca="false">35000+24660+300</f>
        <v>59960</v>
      </c>
      <c r="FB441" s="0" t="n">
        <v>1</v>
      </c>
      <c r="FF441" s="120" t="n">
        <f aca="false">(CJ441-CI441+1)/365</f>
        <v>1.46301369863014</v>
      </c>
      <c r="FG441" s="0" t="str">
        <f aca="false">CONCATENATE(F441,"/",G441)</f>
        <v>1585/2011</v>
      </c>
      <c r="FH441" s="0" t="n">
        <v>0</v>
      </c>
      <c r="FI441" s="0" t="n">
        <v>0</v>
      </c>
    </row>
    <row r="442" customFormat="false" ht="15" hidden="false" customHeight="false" outlineLevel="0" collapsed="false">
      <c r="A442" s="5" t="str">
        <f aca="false">E442&amp;G442&amp;F442</f>
        <v>720111613</v>
      </c>
      <c r="B442" s="0" t="s">
        <v>4119</v>
      </c>
      <c r="C442" s="1" t="n">
        <v>42409</v>
      </c>
      <c r="E442" s="0" t="n">
        <v>7</v>
      </c>
      <c r="F442" s="0" t="n">
        <v>1613</v>
      </c>
      <c r="G442" s="0" t="n">
        <v>2011</v>
      </c>
      <c r="H442" s="0" t="str">
        <f aca="false">"J"&amp;E442&amp;"\"&amp;F442&amp;"\"&amp;G442&amp;"\"&amp;W442</f>
        <v>J7\1613\2011\1</v>
      </c>
      <c r="I442" s="0"/>
      <c r="J442" s="1" t="n">
        <v>40806</v>
      </c>
      <c r="K442" s="0" t="n">
        <v>0</v>
      </c>
      <c r="M442" s="1" t="n">
        <v>40806</v>
      </c>
      <c r="N442" s="1" t="n">
        <v>41046</v>
      </c>
      <c r="O442" s="1"/>
      <c r="P442" s="1"/>
      <c r="Q442" s="1"/>
      <c r="T442" s="121"/>
      <c r="U442" s="121"/>
      <c r="V442" s="122" t="n">
        <f aca="false">IF(AND(E442&gt;0,F442&gt;0,G442&gt;0),COUNTIFS($E:$E,E442,$F:$F,F442,$G:$G,G442),"")</f>
        <v>1</v>
      </c>
      <c r="W442" s="122" t="n">
        <f aca="false">IF(V442="","",IF(V442=1,1,IF(AND(E441=E442,F441=F442,G441=G442),W441+1,1)))</f>
        <v>1</v>
      </c>
      <c r="X442" s="0" t="n">
        <v>1</v>
      </c>
      <c r="Y442" s="0" t="n">
        <v>1</v>
      </c>
      <c r="Z442" s="0" t="s">
        <v>4165</v>
      </c>
      <c r="AA442" s="0" t="n">
        <v>0</v>
      </c>
      <c r="AB442" s="0" t="s">
        <v>799</v>
      </c>
      <c r="AC442" s="0" t="s">
        <v>251</v>
      </c>
      <c r="AD442" s="0" t="s">
        <v>221</v>
      </c>
      <c r="AE442" s="0" t="n">
        <v>0</v>
      </c>
      <c r="AF442" s="0" t="s">
        <v>4166</v>
      </c>
      <c r="AG442" s="0" t="n">
        <v>0</v>
      </c>
      <c r="AH442" s="0" t="s">
        <v>4167</v>
      </c>
      <c r="AI442" s="0" t="s">
        <v>274</v>
      </c>
      <c r="AJ442" s="0" t="s">
        <v>229</v>
      </c>
      <c r="BP442" s="0" t="n">
        <v>0</v>
      </c>
      <c r="BQ442" s="0" t="n">
        <v>0</v>
      </c>
      <c r="BR442" s="0" t="n">
        <v>1</v>
      </c>
      <c r="BS442" s="0" t="s">
        <v>2351</v>
      </c>
      <c r="BT442" s="0" t="s">
        <v>808</v>
      </c>
      <c r="BU442" s="0" t="s">
        <v>2390</v>
      </c>
      <c r="BV442" s="123"/>
      <c r="BW442" s="123"/>
      <c r="BX442" s="123"/>
      <c r="BY442" s="123"/>
      <c r="BZ442" s="0" t="n">
        <v>0</v>
      </c>
      <c r="CA442" s="0" t="s">
        <v>216</v>
      </c>
      <c r="CD442" s="0" t="s">
        <v>2546</v>
      </c>
      <c r="CE442" s="0" t="n">
        <v>0</v>
      </c>
      <c r="CF442" s="0" t="s">
        <v>4168</v>
      </c>
      <c r="CI442" s="1" t="n">
        <v>35481</v>
      </c>
      <c r="CJ442" s="1" t="n">
        <v>40789</v>
      </c>
      <c r="CK442" s="124" t="n">
        <v>0.416666666666667</v>
      </c>
      <c r="CL442" s="0" t="s">
        <v>4169</v>
      </c>
      <c r="CM442" s="0" t="n">
        <f aca="false">IF(OR(CI442="",CJ442=""),"",DAYS360(CI442,CJ442)/360)</f>
        <v>14.5361111111111</v>
      </c>
      <c r="CN442" s="0" t="n">
        <f aca="false">IF(OR(CI442="",CJ442=""),"",DAYS360(CI442,CJ442)/30)</f>
        <v>174.433333333333</v>
      </c>
      <c r="CO442" s="0" t="n">
        <f aca="false">IF(OR(CI442="",CJ442=""),"",DAYS360(CI442,CJ442)/7)</f>
        <v>747.571428571429</v>
      </c>
      <c r="CP442" s="0" t="n">
        <f aca="false">IF(OR(CI442="",CJ442=""),"",DAYS360(CI442,CJ442))</f>
        <v>5233</v>
      </c>
      <c r="CQ442" s="0" t="s">
        <v>220</v>
      </c>
      <c r="CR442" s="0" t="n">
        <v>1</v>
      </c>
      <c r="CT442" s="0" t="n">
        <v>1550</v>
      </c>
      <c r="CU442" s="0" t="n">
        <v>0</v>
      </c>
      <c r="CW442" s="125" t="n">
        <v>1926.15</v>
      </c>
      <c r="CX442" s="0" t="n">
        <v>0</v>
      </c>
      <c r="CY442" s="0" t="n">
        <f aca="false">IF(CW442="","",IF(CX442=0,CW442,IF(CX442=1,CW442/30,IF(CX442=2,CW442/15,IF(CX442=3,CW442/7,CW442)))))</f>
        <v>1926.15</v>
      </c>
      <c r="CZ442" s="0" t="n">
        <f aca="false">IF(DI442&gt;0,DI442,IF(CY442&gt;0,CY442,IF(CV442&gt;0,CV442,"")))</f>
        <v>1926.15</v>
      </c>
      <c r="DA442" s="0" t="n">
        <f aca="false">IF(DM442=1,CZ442/8,IF(OR(DM442=2,DM442=4),CZ442/7,IF(DM442=3,CZ442/7.5,"")))</f>
        <v>240.76875</v>
      </c>
      <c r="DB442" s="0" t="s">
        <v>301</v>
      </c>
      <c r="DC442" s="0" t="s">
        <v>303</v>
      </c>
      <c r="DD442" s="0" t="s">
        <v>299</v>
      </c>
      <c r="DE442" s="0" t="s">
        <v>4170</v>
      </c>
      <c r="DF442" s="0" t="s">
        <v>2306</v>
      </c>
      <c r="DG442" s="0" t="s">
        <v>216</v>
      </c>
      <c r="DH442" s="0" t="n">
        <v>0</v>
      </c>
      <c r="DI442" s="126" t="n">
        <v>1926.15</v>
      </c>
      <c r="DK442" s="0" t="n">
        <v>0</v>
      </c>
      <c r="DM442" s="0" t="n">
        <v>1</v>
      </c>
      <c r="DN442" s="0" t="n">
        <f aca="false">14*6</f>
        <v>84</v>
      </c>
      <c r="DO442" s="0" t="n">
        <v>3</v>
      </c>
      <c r="DP442" s="0" t="n">
        <v>1</v>
      </c>
      <c r="DQ442" s="0" t="n">
        <v>1</v>
      </c>
      <c r="DR442" s="0"/>
      <c r="DS442" s="0" t="n">
        <v>1</v>
      </c>
      <c r="DU442" s="0" t="n">
        <v>1</v>
      </c>
      <c r="DW442" s="0" t="s">
        <v>216</v>
      </c>
      <c r="DX442" s="0" t="s">
        <v>216</v>
      </c>
      <c r="DY442" s="0" t="s">
        <v>216</v>
      </c>
      <c r="DZ442" s="0" t="s">
        <v>216</v>
      </c>
      <c r="EA442" s="0" t="n">
        <v>0</v>
      </c>
      <c r="EC442" s="0" t="s">
        <v>216</v>
      </c>
      <c r="ED442" s="0" t="s">
        <v>216</v>
      </c>
      <c r="EE442" s="0" t="s">
        <v>216</v>
      </c>
      <c r="EF442" s="0" t="s">
        <v>216</v>
      </c>
      <c r="EG442" s="0" t="n">
        <v>0</v>
      </c>
      <c r="EI442" s="0" t="n">
        <f aca="false">IF(AND(DM442=1,DN442&lt;=48),"",IF(AND(DM442=2,DN442&lt;=42),"",IF(AND(DM442=3,DN442&lt;=45),"",EH442)))</f>
        <v>0</v>
      </c>
      <c r="EJ442" s="0" t="str">
        <f aca="false">IF(EI442="","",IF(EI442&lt;9,EI442,9))</f>
        <v/>
      </c>
      <c r="EK442" s="0" t="str">
        <f aca="false">IF(EI442="","",IF(EI442&gt;9,EI442-EJ442,0))</f>
        <v/>
      </c>
      <c r="EL442" s="0" t="str">
        <f aca="false">IF(EI442="","",EJ442*DA442*2+EK442*DA442*3)</f>
        <v/>
      </c>
      <c r="EP442" s="0" t="n">
        <v>1</v>
      </c>
      <c r="EQ442" s="0"/>
      <c r="ER442" s="0" t="n">
        <v>0</v>
      </c>
      <c r="ET442" s="0" t="n">
        <v>0</v>
      </c>
      <c r="EV442" s="0" t="n">
        <v>0</v>
      </c>
      <c r="EX442" s="0" t="n">
        <v>0</v>
      </c>
      <c r="EY442" s="0" t="n">
        <v>0</v>
      </c>
      <c r="FB442" s="0" t="n">
        <v>0</v>
      </c>
      <c r="FF442" s="120" t="n">
        <f aca="false">(CJ442-CI442+1)/365</f>
        <v>14.5452054794521</v>
      </c>
      <c r="FG442" s="0" t="str">
        <f aca="false">CONCATENATE(F442,"/",G442)</f>
        <v>1613/2011</v>
      </c>
      <c r="FH442" s="0" t="n">
        <v>0</v>
      </c>
      <c r="FI442" s="0" t="n">
        <v>0</v>
      </c>
    </row>
    <row r="443" customFormat="false" ht="15" hidden="false" customHeight="false" outlineLevel="0" collapsed="false">
      <c r="A443" s="5" t="str">
        <f aca="false">E443&amp;G443&amp;F443</f>
        <v>720111618</v>
      </c>
      <c r="B443" s="0" t="s">
        <v>4119</v>
      </c>
      <c r="C443" s="1" t="n">
        <v>42409</v>
      </c>
      <c r="D443" s="0" t="s">
        <v>1856</v>
      </c>
      <c r="E443" s="0" t="n">
        <v>7</v>
      </c>
      <c r="F443" s="0" t="n">
        <v>1618</v>
      </c>
      <c r="G443" s="0" t="n">
        <v>2011</v>
      </c>
      <c r="H443" s="0" t="str">
        <f aca="false">"J"&amp;E443&amp;"\"&amp;F443&amp;"\"&amp;G443&amp;"\"&amp;W443</f>
        <v>J7\1618\2011\1</v>
      </c>
      <c r="I443" s="0"/>
      <c r="J443" s="1" t="n">
        <v>40806</v>
      </c>
      <c r="K443" s="0" t="n">
        <v>0</v>
      </c>
      <c r="M443" s="1"/>
      <c r="N443" s="1"/>
      <c r="O443" s="1"/>
      <c r="P443" s="1"/>
      <c r="Q443" s="1"/>
      <c r="T443" s="121"/>
      <c r="U443" s="121"/>
      <c r="V443" s="122" t="n">
        <f aca="false">IF(AND(E443&gt;0,F443&gt;0,G443&gt;0),COUNTIFS($E:$E,E443,$F:$F,F443,$G:$G,G443),"")</f>
        <v>1</v>
      </c>
      <c r="W443" s="122" t="n">
        <f aca="false">IF(V443="","",IF(V443=1,1,IF(AND(E442=E443,F442=F443,G442=G443),W442+1,1)))</f>
        <v>1</v>
      </c>
      <c r="X443" s="0" t="n">
        <v>1</v>
      </c>
      <c r="Y443" s="0" t="n">
        <v>4</v>
      </c>
      <c r="Z443" s="0" t="s">
        <v>4171</v>
      </c>
      <c r="AA443" s="0" t="n">
        <v>0</v>
      </c>
      <c r="AB443" s="0" t="s">
        <v>4172</v>
      </c>
      <c r="AC443" s="0" t="s">
        <v>318</v>
      </c>
      <c r="AD443" s="0" t="s">
        <v>229</v>
      </c>
      <c r="AE443" s="0" t="n">
        <v>0</v>
      </c>
      <c r="AF443" s="0" t="s">
        <v>4173</v>
      </c>
      <c r="AG443" s="0" t="n">
        <v>1</v>
      </c>
      <c r="AH443" s="0" t="s">
        <v>4174</v>
      </c>
      <c r="AI443" s="0" t="s">
        <v>244</v>
      </c>
      <c r="AJ443" s="0" t="s">
        <v>229</v>
      </c>
      <c r="AL443" s="0" t="s">
        <v>213</v>
      </c>
      <c r="AM443" s="0" t="n">
        <v>1</v>
      </c>
      <c r="AN443" s="0" t="s">
        <v>4174</v>
      </c>
      <c r="AO443" s="0" t="s">
        <v>244</v>
      </c>
      <c r="AP443" s="0" t="s">
        <v>229</v>
      </c>
      <c r="AR443" s="0" t="s">
        <v>4175</v>
      </c>
      <c r="AS443" s="0" t="n">
        <v>0</v>
      </c>
      <c r="AT443" s="0" t="s">
        <v>4176</v>
      </c>
      <c r="AU443" s="0" t="s">
        <v>251</v>
      </c>
      <c r="AV443" s="0" t="s">
        <v>229</v>
      </c>
      <c r="AX443" s="0" t="s">
        <v>213</v>
      </c>
      <c r="AY443" s="0" t="n">
        <v>1</v>
      </c>
      <c r="AZ443" s="0" t="s">
        <v>4176</v>
      </c>
      <c r="BA443" s="0" t="s">
        <v>251</v>
      </c>
      <c r="BB443" s="0" t="s">
        <v>229</v>
      </c>
      <c r="BP443" s="0" t="n">
        <v>0</v>
      </c>
      <c r="BQ443" s="0" t="n">
        <v>0</v>
      </c>
      <c r="BR443" s="0" t="n">
        <v>1</v>
      </c>
      <c r="BS443" s="0" t="s">
        <v>2381</v>
      </c>
      <c r="BT443" s="0" t="s">
        <v>2382</v>
      </c>
      <c r="BU443" s="0" t="s">
        <v>2383</v>
      </c>
      <c r="BV443" s="123"/>
      <c r="BW443" s="123"/>
      <c r="BX443" s="123"/>
      <c r="BY443" s="123"/>
      <c r="BZ443" s="0" t="n">
        <v>0</v>
      </c>
      <c r="CA443" s="0" t="s">
        <v>4177</v>
      </c>
      <c r="CD443" s="0" t="s">
        <v>256</v>
      </c>
      <c r="CE443" s="0" t="n">
        <v>0</v>
      </c>
      <c r="CF443" s="0" t="s">
        <v>503</v>
      </c>
      <c r="CI443" s="1" t="n">
        <v>40683</v>
      </c>
      <c r="CJ443" s="1" t="n">
        <v>40752</v>
      </c>
      <c r="CK443" s="124" t="n">
        <v>0.645833333333333</v>
      </c>
      <c r="CL443" s="0" t="s">
        <v>4173</v>
      </c>
      <c r="CM443" s="0" t="n">
        <f aca="false">IF(OR(CI443="",CJ443=""),"",DAYS360(CI443,CJ443)/360)</f>
        <v>0.188888888888889</v>
      </c>
      <c r="CN443" s="0" t="n">
        <f aca="false">IF(OR(CI443="",CJ443=""),"",DAYS360(CI443,CJ443)/30)</f>
        <v>2.26666666666667</v>
      </c>
      <c r="CO443" s="0" t="n">
        <f aca="false">IF(OR(CI443="",CJ443=""),"",DAYS360(CI443,CJ443)/7)</f>
        <v>9.71428571428571</v>
      </c>
      <c r="CP443" s="0" t="n">
        <f aca="false">IF(OR(CI443="",CJ443=""),"",DAYS360(CI443,CJ443))</f>
        <v>68</v>
      </c>
      <c r="CQ443" s="0" t="s">
        <v>240</v>
      </c>
      <c r="CR443" s="0" t="n">
        <v>1</v>
      </c>
      <c r="CT443" s="0" t="s">
        <v>221</v>
      </c>
      <c r="CU443" s="0" t="s">
        <v>221</v>
      </c>
      <c r="CW443" s="125" t="n">
        <v>133.33</v>
      </c>
      <c r="CX443" s="0" t="n">
        <v>0</v>
      </c>
      <c r="CY443" s="0" t="n">
        <f aca="false">IF(CW443="","",IF(CX443=0,CW443,IF(CX443=1,CW443/30,IF(CX443=2,CW443/15,IF(CX443=3,CW443/7,CW443)))))</f>
        <v>133.33</v>
      </c>
      <c r="CZ443" s="0" t="n">
        <f aca="false">IF(DI443&gt;0,DI443,IF(CY443&gt;0,CY443,IF(CV443&gt;0,CV443,"")))</f>
        <v>133.33</v>
      </c>
      <c r="DA443" s="0" t="n">
        <f aca="false">IF(DM443=1,CZ443/8,IF(OR(DM443=2,DM443=4),CZ443/7,IF(DM443=3,CZ443/7.5,"")))</f>
        <v>16.66625</v>
      </c>
      <c r="DB443" s="0" t="s">
        <v>216</v>
      </c>
      <c r="DC443" s="0" t="s">
        <v>216</v>
      </c>
      <c r="DD443" s="0" t="s">
        <v>216</v>
      </c>
      <c r="DE443" s="0" t="s">
        <v>216</v>
      </c>
      <c r="DF443" s="0" t="s">
        <v>216</v>
      </c>
      <c r="DG443" s="0" t="s">
        <v>216</v>
      </c>
      <c r="DH443" s="0" t="n">
        <v>0</v>
      </c>
      <c r="DI443" s="126" t="n">
        <v>133.33</v>
      </c>
      <c r="DK443" s="0" t="n">
        <v>0</v>
      </c>
      <c r="DM443" s="0" t="n">
        <v>1</v>
      </c>
      <c r="DN443" s="0" t="n">
        <f aca="false">12*6</f>
        <v>72</v>
      </c>
      <c r="DO443" s="0" t="n">
        <v>3</v>
      </c>
      <c r="DP443" s="0" t="n">
        <v>0</v>
      </c>
      <c r="DQ443" s="0" t="n">
        <v>1</v>
      </c>
      <c r="DR443" s="0"/>
      <c r="DS443" s="0" t="n">
        <v>1</v>
      </c>
      <c r="DU443" s="0" t="n">
        <v>1</v>
      </c>
      <c r="DW443" s="1" t="n">
        <v>40683</v>
      </c>
      <c r="DX443" s="1" t="n">
        <v>40752</v>
      </c>
      <c r="DZ443" s="0"/>
      <c r="EA443" s="0" t="n">
        <v>1</v>
      </c>
      <c r="EC443" s="1" t="n">
        <v>40683</v>
      </c>
      <c r="ED443" s="1" t="n">
        <v>40752</v>
      </c>
      <c r="EF443" s="0"/>
      <c r="EG443" s="0" t="n">
        <v>1</v>
      </c>
      <c r="EH443" s="0" t="n">
        <v>48</v>
      </c>
      <c r="EI443" s="0" t="n">
        <f aca="false">IF(AND(DM443=1,DN443&lt;=48),"",IF(AND(DM443=2,DN443&lt;=42),"",IF(AND(DM443=3,DN443&lt;=45),"",EH443)))</f>
        <v>48</v>
      </c>
      <c r="EJ443" s="0" t="n">
        <f aca="false">IF(EI443="","",IF(EI443&lt;9,EI443,9))</f>
        <v>9</v>
      </c>
      <c r="EK443" s="0" t="n">
        <f aca="false">IF(EI443="","",IF(EI443&gt;9,EI443-EJ443,0))</f>
        <v>39</v>
      </c>
      <c r="EL443" s="0" t="n">
        <f aca="false">IF(EI443="","",EJ443*DA443*2+EK443*DA443*3)</f>
        <v>2249.94375</v>
      </c>
      <c r="EP443" s="0" t="n">
        <v>0</v>
      </c>
      <c r="EQ443" s="0"/>
      <c r="ER443" s="0" t="n">
        <v>0</v>
      </c>
      <c r="ET443" s="0" t="n">
        <v>0</v>
      </c>
      <c r="EV443" s="0" t="n">
        <v>0</v>
      </c>
      <c r="EX443" s="0" t="n">
        <v>1</v>
      </c>
      <c r="EY443" s="0" t="n">
        <v>0</v>
      </c>
      <c r="FA443" s="4" t="n">
        <f aca="false">1599.99</f>
        <v>1599.99</v>
      </c>
      <c r="FB443" s="0" t="n">
        <v>1</v>
      </c>
      <c r="FF443" s="120" t="n">
        <f aca="false">(CJ443-CI443+1)/365</f>
        <v>0.191780821917808</v>
      </c>
      <c r="FG443" s="0" t="str">
        <f aca="false">CONCATENATE(F443,"/",G443)</f>
        <v>1618/2011</v>
      </c>
      <c r="FH443" s="0" t="n">
        <v>0</v>
      </c>
      <c r="FI443" s="0" t="n">
        <v>0</v>
      </c>
    </row>
    <row r="444" customFormat="false" ht="15" hidden="false" customHeight="false" outlineLevel="0" collapsed="false">
      <c r="A444" s="5" t="str">
        <f aca="false">E444&amp;G444&amp;F444</f>
        <v>720111706</v>
      </c>
      <c r="B444" s="0" t="s">
        <v>4119</v>
      </c>
      <c r="C444" s="1" t="n">
        <v>42410</v>
      </c>
      <c r="D444" s="0" t="s">
        <v>4178</v>
      </c>
      <c r="E444" s="0" t="n">
        <v>7</v>
      </c>
      <c r="F444" s="0" t="n">
        <v>1706</v>
      </c>
      <c r="G444" s="0" t="n">
        <v>2011</v>
      </c>
      <c r="H444" s="0" t="str">
        <f aca="false">"J"&amp;E444&amp;"\"&amp;F444&amp;"\"&amp;G444&amp;"\"&amp;W444</f>
        <v>J7\1706\2011\1</v>
      </c>
      <c r="I444" s="0"/>
      <c r="J444" s="1" t="n">
        <v>40820</v>
      </c>
      <c r="K444" s="0" t="n">
        <v>0</v>
      </c>
      <c r="M444" s="1"/>
      <c r="N444" s="1"/>
      <c r="O444" s="1"/>
      <c r="P444" s="1"/>
      <c r="Q444" s="1"/>
      <c r="T444" s="121"/>
      <c r="U444" s="121"/>
      <c r="V444" s="122" t="n">
        <f aca="false">IF(AND(E444&gt;0,F444&gt;0,G444&gt;0),COUNTIFS($E:$E,E444,$F:$F,F444,$G:$G,G444),"")</f>
        <v>1</v>
      </c>
      <c r="W444" s="122" t="n">
        <f aca="false">IF(V444="","",IF(V444=1,1,IF(AND(E443=E444,F443=F444,G443=G444),W443+1,1)))</f>
        <v>1</v>
      </c>
      <c r="X444" s="0" t="n">
        <v>1</v>
      </c>
      <c r="Y444" s="0" t="n">
        <v>3</v>
      </c>
      <c r="Z444" s="0" t="s">
        <v>4179</v>
      </c>
      <c r="AA444" s="0" t="n">
        <v>0</v>
      </c>
      <c r="AB444" s="0" t="s">
        <v>3461</v>
      </c>
      <c r="AC444" s="0" t="s">
        <v>1160</v>
      </c>
      <c r="AD444" s="0" t="s">
        <v>229</v>
      </c>
      <c r="AE444" s="0" t="n">
        <v>0</v>
      </c>
      <c r="AF444" s="0" t="s">
        <v>4180</v>
      </c>
      <c r="AG444" s="0" t="n">
        <v>0</v>
      </c>
      <c r="AH444" s="0" t="s">
        <v>4181</v>
      </c>
      <c r="AI444" s="0" t="s">
        <v>3618</v>
      </c>
      <c r="AJ444" s="0" t="s">
        <v>519</v>
      </c>
      <c r="AL444" s="0" t="s">
        <v>4182</v>
      </c>
      <c r="AM444" s="0" t="n">
        <v>1</v>
      </c>
      <c r="AN444" s="0" t="s">
        <v>4181</v>
      </c>
      <c r="AO444" s="0" t="s">
        <v>3618</v>
      </c>
      <c r="AP444" s="0" t="s">
        <v>519</v>
      </c>
      <c r="AR444" s="0" t="s">
        <v>4183</v>
      </c>
      <c r="AS444" s="0" t="n">
        <v>1</v>
      </c>
      <c r="AT444" s="0" t="s">
        <v>4181</v>
      </c>
      <c r="AU444" s="0" t="s">
        <v>3618</v>
      </c>
      <c r="AV444" s="0" t="s">
        <v>519</v>
      </c>
      <c r="BP444" s="0" t="n">
        <v>0</v>
      </c>
      <c r="BQ444" s="0" t="n">
        <v>0</v>
      </c>
      <c r="BR444" s="0" t="n">
        <v>1</v>
      </c>
      <c r="BS444" s="0" t="s">
        <v>3466</v>
      </c>
      <c r="BT444" s="0" t="s">
        <v>4184</v>
      </c>
      <c r="BU444" s="0" t="s">
        <v>4185</v>
      </c>
      <c r="BV444" s="123"/>
      <c r="BW444" s="123"/>
      <c r="BX444" s="123"/>
      <c r="BY444" s="123"/>
      <c r="BZ444" s="0" t="n">
        <v>0</v>
      </c>
      <c r="CA444" s="0" t="s">
        <v>0</v>
      </c>
      <c r="CD444" s="0" t="s">
        <v>256</v>
      </c>
      <c r="CE444" s="0" t="n">
        <v>1</v>
      </c>
      <c r="CF444" s="0" t="s">
        <v>4186</v>
      </c>
      <c r="CI444" s="1" t="n">
        <v>38255</v>
      </c>
      <c r="CJ444" s="1" t="n">
        <v>40819</v>
      </c>
      <c r="CK444" s="124" t="n">
        <v>0.458333333333333</v>
      </c>
      <c r="CL444" s="0" t="s">
        <v>4182</v>
      </c>
      <c r="CM444" s="0" t="n">
        <f aca="false">IF(OR(CI444="",CJ444=""),"",DAYS360(CI444,CJ444)/360)</f>
        <v>7.02222222222222</v>
      </c>
      <c r="CN444" s="0" t="n">
        <f aca="false">IF(OR(CI444="",CJ444=""),"",DAYS360(CI444,CJ444)/30)</f>
        <v>84.2666666666667</v>
      </c>
      <c r="CO444" s="0" t="n">
        <f aca="false">IF(OR(CI444="",CJ444=""),"",DAYS360(CI444,CJ444)/7)</f>
        <v>361.142857142857</v>
      </c>
      <c r="CP444" s="0" t="n">
        <f aca="false">IF(OR(CI444="",CJ444=""),"",DAYS360(CI444,CJ444))</f>
        <v>2528</v>
      </c>
      <c r="CQ444" s="0" t="s">
        <v>240</v>
      </c>
      <c r="CR444" s="0" t="n">
        <v>1</v>
      </c>
      <c r="CT444" s="0" t="n">
        <v>214.28</v>
      </c>
      <c r="CU444" s="0" t="n">
        <v>0</v>
      </c>
      <c r="CW444" s="125" t="n">
        <v>264.28</v>
      </c>
      <c r="CX444" s="0" t="n">
        <v>0</v>
      </c>
      <c r="CY444" s="0" t="n">
        <f aca="false">IF(CW444="","",IF(CX444=0,CW444,IF(CX444=1,CW444/30,IF(CX444=2,CW444/15,IF(CX444=3,CW444/7,CW444)))))</f>
        <v>264.28</v>
      </c>
      <c r="CZ444" s="0" t="n">
        <f aca="false">IF(DI444&gt;0,DI444,IF(CY444&gt;0,CY444,IF(CV444&gt;0,CV444,"")))</f>
        <v>264.28</v>
      </c>
      <c r="DA444" s="0" t="n">
        <f aca="false">IF(DM444=1,CZ444/8,IF(OR(DM444=2,DM444=4),CZ444/7,IF(DM444=3,CZ444/7.5,"")))</f>
        <v>37.7542857142857</v>
      </c>
      <c r="DB444" s="0" t="s">
        <v>4187</v>
      </c>
      <c r="DC444" s="0" t="s">
        <v>216</v>
      </c>
      <c r="DD444" s="0" t="s">
        <v>216</v>
      </c>
      <c r="DE444" s="0" t="s">
        <v>216</v>
      </c>
      <c r="DF444" s="0" t="s">
        <v>216</v>
      </c>
      <c r="DG444" s="0" t="s">
        <v>216</v>
      </c>
      <c r="DH444" s="0" t="n">
        <v>0</v>
      </c>
      <c r="DI444" s="126" t="n">
        <v>264.28</v>
      </c>
      <c r="DK444" s="0" t="n">
        <v>0</v>
      </c>
      <c r="DM444" s="0" t="n">
        <v>4</v>
      </c>
      <c r="DN444" s="0" t="n">
        <v>98</v>
      </c>
      <c r="DO444" s="0" t="n">
        <v>3</v>
      </c>
      <c r="DP444" s="0" t="n">
        <v>0</v>
      </c>
      <c r="DQ444" s="0" t="n">
        <v>1</v>
      </c>
      <c r="DR444" s="0"/>
      <c r="DS444" s="0" t="n">
        <v>1</v>
      </c>
      <c r="DU444" s="0" t="n">
        <v>1</v>
      </c>
      <c r="DW444" s="0" t="s">
        <v>216</v>
      </c>
      <c r="DX444" s="0" t="s">
        <v>216</v>
      </c>
      <c r="DY444" s="0" t="s">
        <v>216</v>
      </c>
      <c r="DZ444" s="0" t="s">
        <v>216</v>
      </c>
      <c r="EA444" s="0" t="n">
        <v>0</v>
      </c>
      <c r="EC444" s="1" t="n">
        <v>40179</v>
      </c>
      <c r="ED444" s="1" t="n">
        <v>40819</v>
      </c>
      <c r="EF444" s="0"/>
      <c r="EG444" s="0" t="n">
        <v>1</v>
      </c>
      <c r="EH444" s="0" t="n">
        <v>48</v>
      </c>
      <c r="EI444" s="0" t="n">
        <f aca="false">IF(AND(DM444=1,DN444&lt;=48),"",IF(AND(DM444=2,DN444&lt;=42),"",IF(AND(DM444=3,DN444&lt;=45),"",EH444)))</f>
        <v>48</v>
      </c>
      <c r="EJ444" s="0" t="n">
        <f aca="false">IF(EI444="","",IF(EI444&lt;9,EI444,9))</f>
        <v>9</v>
      </c>
      <c r="EK444" s="0" t="n">
        <f aca="false">IF(EI444="","",IF(EI444&gt;9,EI444-EJ444,0))</f>
        <v>39</v>
      </c>
      <c r="EL444" s="0" t="n">
        <f aca="false">IF(EI444="","",EJ444*DA444*2+EK444*DA444*3)</f>
        <v>5096.82857142857</v>
      </c>
      <c r="EP444" s="0" t="n">
        <v>0</v>
      </c>
      <c r="EQ444" s="0"/>
      <c r="ER444" s="0" t="n">
        <v>0</v>
      </c>
      <c r="ET444" s="0" t="n">
        <v>0</v>
      </c>
      <c r="EV444" s="0" t="n">
        <v>0</v>
      </c>
      <c r="EX444" s="0" t="n">
        <v>0</v>
      </c>
      <c r="EY444" s="0" t="n">
        <v>0</v>
      </c>
      <c r="FB444" s="0" t="n">
        <v>1</v>
      </c>
      <c r="FF444" s="120" t="n">
        <f aca="false">(CJ444-CI444+1)/365</f>
        <v>7.02739726027397</v>
      </c>
      <c r="FG444" s="0" t="str">
        <f aca="false">CONCATENATE(F444,"/",G444)</f>
        <v>1706/2011</v>
      </c>
      <c r="FH444" s="0" t="n">
        <v>0</v>
      </c>
      <c r="FI444" s="0" t="n">
        <v>0</v>
      </c>
    </row>
    <row r="445" customFormat="false" ht="15" hidden="false" customHeight="false" outlineLevel="0" collapsed="false">
      <c r="A445" s="5" t="str">
        <f aca="false">E445&amp;G445&amp;F445</f>
        <v>720111700</v>
      </c>
      <c r="B445" s="0" t="s">
        <v>4119</v>
      </c>
      <c r="C445" s="1" t="n">
        <v>42411</v>
      </c>
      <c r="D445" s="0" t="s">
        <v>4188</v>
      </c>
      <c r="E445" s="0" t="n">
        <v>7</v>
      </c>
      <c r="F445" s="0" t="n">
        <v>1700</v>
      </c>
      <c r="G445" s="0" t="n">
        <v>2011</v>
      </c>
      <c r="H445" s="0" t="str">
        <f aca="false">"J"&amp;E445&amp;"\"&amp;F445&amp;"\"&amp;G445&amp;"\"&amp;W445</f>
        <v>J7\1700\2011\1</v>
      </c>
      <c r="I445" s="0"/>
      <c r="J445" s="1" t="n">
        <v>40819</v>
      </c>
      <c r="K445" s="0" t="n">
        <v>1</v>
      </c>
      <c r="L445" s="0" t="s">
        <v>4189</v>
      </c>
      <c r="M445" s="1" t="n">
        <v>40819</v>
      </c>
      <c r="N445" s="1" t="n">
        <v>41067</v>
      </c>
      <c r="O445" s="1"/>
      <c r="P445" s="1"/>
      <c r="Q445" s="1"/>
      <c r="T445" s="121"/>
      <c r="U445" s="121"/>
      <c r="V445" s="122" t="n">
        <f aca="false">IF(AND(E445&gt;0,F445&gt;0,G445&gt;0),COUNTIFS($E:$E,E445,$F:$F,F445,$G:$G,G445),"")</f>
        <v>1</v>
      </c>
      <c r="W445" s="122" t="n">
        <f aca="false">IF(V445="","",IF(V445=1,1,IF(AND(E444=E445,F444=F445,G444=G445),W444+1,1)))</f>
        <v>1</v>
      </c>
      <c r="X445" s="0" t="n">
        <v>1</v>
      </c>
      <c r="Y445" s="0" t="n">
        <v>2</v>
      </c>
      <c r="Z445" s="0" t="s">
        <v>4190</v>
      </c>
      <c r="AA445" s="0" t="n">
        <v>0</v>
      </c>
      <c r="AB445" s="0" t="s">
        <v>4191</v>
      </c>
      <c r="AC445" s="0" t="s">
        <v>4192</v>
      </c>
      <c r="AD445" s="0" t="s">
        <v>221</v>
      </c>
      <c r="AE445" s="0" t="n">
        <v>0</v>
      </c>
      <c r="AF445" s="0" t="s">
        <v>4193</v>
      </c>
      <c r="AG445" s="0" t="n">
        <v>0</v>
      </c>
      <c r="AH445" s="0" t="s">
        <v>4194</v>
      </c>
      <c r="AI445" s="0" t="s">
        <v>1126</v>
      </c>
      <c r="AJ445" s="0" t="s">
        <v>221</v>
      </c>
      <c r="AL445" s="0" t="s">
        <v>1637</v>
      </c>
      <c r="AM445" s="0" t="n">
        <v>1</v>
      </c>
      <c r="AN445" s="0" t="s">
        <v>4194</v>
      </c>
      <c r="AO445" s="0" t="s">
        <v>1126</v>
      </c>
      <c r="AP445" s="0" t="s">
        <v>221</v>
      </c>
      <c r="BP445" s="0" t="n">
        <v>0</v>
      </c>
      <c r="BQ445" s="0" t="n">
        <v>0</v>
      </c>
      <c r="BR445" s="0" t="n">
        <v>1</v>
      </c>
      <c r="BS445" s="0" t="s">
        <v>4195</v>
      </c>
      <c r="BT445" s="0" t="s">
        <v>4196</v>
      </c>
      <c r="BU445" s="0" t="s">
        <v>216</v>
      </c>
      <c r="BV445" s="123"/>
      <c r="BW445" s="123"/>
      <c r="BX445" s="123"/>
      <c r="BY445" s="123"/>
      <c r="BZ445" s="0" t="n">
        <v>0</v>
      </c>
      <c r="CA445" s="0" t="s">
        <v>216</v>
      </c>
      <c r="CD445" s="0" t="s">
        <v>216</v>
      </c>
      <c r="CE445" s="0" t="n">
        <v>0</v>
      </c>
      <c r="CF445" s="0" t="s">
        <v>4197</v>
      </c>
      <c r="CI445" s="1" t="n">
        <v>38353</v>
      </c>
      <c r="CJ445" s="1" t="n">
        <v>40795</v>
      </c>
      <c r="CK445" s="124" t="n">
        <v>0.708333333333333</v>
      </c>
      <c r="CL445" s="0" t="s">
        <v>4198</v>
      </c>
      <c r="CM445" s="0" t="n">
        <f aca="false">IF(OR(CI445="",CJ445=""),"",DAYS360(CI445,CJ445)/360)</f>
        <v>6.68888888888889</v>
      </c>
      <c r="CN445" s="0" t="n">
        <f aca="false">IF(OR(CI445="",CJ445=""),"",DAYS360(CI445,CJ445)/30)</f>
        <v>80.2666666666667</v>
      </c>
      <c r="CO445" s="0" t="n">
        <f aca="false">IF(OR(CI445="",CJ445=""),"",DAYS360(CI445,CJ445)/7)</f>
        <v>344</v>
      </c>
      <c r="CP445" s="0" t="n">
        <f aca="false">IF(OR(CI445="",CJ445=""),"",DAYS360(CI445,CJ445))</f>
        <v>2408</v>
      </c>
      <c r="CQ445" s="0" t="s">
        <v>220</v>
      </c>
      <c r="CR445" s="0" t="n">
        <v>1</v>
      </c>
      <c r="CT445" s="0" t="s">
        <v>221</v>
      </c>
      <c r="CU445" s="0" t="s">
        <v>221</v>
      </c>
      <c r="CW445" s="125" t="n">
        <v>1984.93</v>
      </c>
      <c r="CX445" s="0" t="n">
        <v>2</v>
      </c>
      <c r="CY445" s="0" t="n">
        <f aca="false">IF(CW445="","",IF(CX445=0,CW445,IF(CX445=1,CW445/30,IF(CX445=2,CW445/15,IF(CX445=3,CW445/7,CW445)))))</f>
        <v>132.328666666667</v>
      </c>
      <c r="CZ445" s="0" t="n">
        <f aca="false">IF(DI445&gt;0,DI445,IF(CY445&gt;0,CY445,IF(CV445&gt;0,CV445,"")))</f>
        <v>132.328666666667</v>
      </c>
      <c r="DA445" s="0" t="n">
        <f aca="false">IF(DM445=1,CZ445/8,IF(OR(DM445=2,DM445=4),CZ445/7,IF(DM445=3,CZ445/7.5,"")))</f>
        <v>16.5410833333333</v>
      </c>
      <c r="DB445" s="0" t="s">
        <v>216</v>
      </c>
      <c r="DC445" s="0" t="s">
        <v>216</v>
      </c>
      <c r="DD445" s="0" t="s">
        <v>216</v>
      </c>
      <c r="DE445" s="0" t="s">
        <v>216</v>
      </c>
      <c r="DF445" s="0" t="s">
        <v>216</v>
      </c>
      <c r="DG445" s="0" t="s">
        <v>216</v>
      </c>
      <c r="DH445" s="0" t="n">
        <v>0</v>
      </c>
      <c r="DI445" s="126" t="n">
        <f aca="false">1984.93/15</f>
        <v>132.328666666667</v>
      </c>
      <c r="DK445" s="0" t="n">
        <v>0</v>
      </c>
      <c r="DM445" s="0" t="n">
        <v>1</v>
      </c>
      <c r="DN445" s="0" t="n">
        <f aca="false">9.5*5 + 5.5</f>
        <v>53</v>
      </c>
      <c r="DO445" s="0" t="n">
        <v>3</v>
      </c>
      <c r="DP445" s="0" t="n">
        <v>1</v>
      </c>
      <c r="DQ445" s="0" t="n">
        <v>0</v>
      </c>
      <c r="DR445" s="0"/>
      <c r="DS445" s="0" t="n">
        <v>1</v>
      </c>
      <c r="DU445" s="0" t="n">
        <v>0</v>
      </c>
      <c r="DW445" s="0" t="s">
        <v>216</v>
      </c>
      <c r="DX445" s="0" t="s">
        <v>216</v>
      </c>
      <c r="DY445" s="0" t="s">
        <v>216</v>
      </c>
      <c r="DZ445" s="0" t="s">
        <v>216</v>
      </c>
      <c r="EA445" s="0" t="n">
        <v>0</v>
      </c>
      <c r="EC445" s="0" t="s">
        <v>216</v>
      </c>
      <c r="ED445" s="0" t="s">
        <v>216</v>
      </c>
      <c r="EE445" s="0" t="s">
        <v>216</v>
      </c>
      <c r="EF445" s="0" t="s">
        <v>216</v>
      </c>
      <c r="EG445" s="0" t="n">
        <v>0</v>
      </c>
      <c r="EI445" s="0" t="n">
        <f aca="false">IF(AND(DM445=1,DN445&lt;=48),"",IF(AND(DM445=2,DN445&lt;=42),"",IF(AND(DM445=3,DN445&lt;=45),"",EH445)))</f>
        <v>0</v>
      </c>
      <c r="EJ445" s="0" t="str">
        <f aca="false">IF(EI445="","",IF(EI445&lt;9,EI445,9))</f>
        <v/>
      </c>
      <c r="EK445" s="0" t="str">
        <f aca="false">IF(EI445="","",IF(EI445&gt;9,EI445-EJ445,0))</f>
        <v/>
      </c>
      <c r="EL445" s="0" t="str">
        <f aca="false">IF(EI445="","",EJ445*DA445*2+EK445*DA445*3)</f>
        <v/>
      </c>
      <c r="EP445" s="0" t="n">
        <v>0</v>
      </c>
      <c r="EQ445" s="0"/>
      <c r="ER445" s="0" t="n">
        <v>0</v>
      </c>
      <c r="ET445" s="0" t="n">
        <v>0</v>
      </c>
      <c r="EV445" s="0" t="n">
        <v>0</v>
      </c>
      <c r="EX445" s="0" t="n">
        <v>0</v>
      </c>
      <c r="EY445" s="0" t="n">
        <v>0</v>
      </c>
      <c r="FB445" s="0" t="n">
        <v>0</v>
      </c>
      <c r="FF445" s="120" t="n">
        <f aca="false">(CJ445-CI445+1)/365</f>
        <v>6.69315068493151</v>
      </c>
      <c r="FG445" s="0" t="str">
        <f aca="false">CONCATENATE(F445,"/",G445)</f>
        <v>1700/2011</v>
      </c>
      <c r="FH445" s="0" t="n">
        <v>0</v>
      </c>
      <c r="FI445" s="0" t="n">
        <v>0</v>
      </c>
    </row>
    <row r="446" customFormat="false" ht="15" hidden="false" customHeight="false" outlineLevel="0" collapsed="false">
      <c r="A446" s="5" t="str">
        <f aca="false">E446&amp;G446&amp;F446</f>
        <v>720111690</v>
      </c>
      <c r="B446" s="0" t="s">
        <v>4119</v>
      </c>
      <c r="C446" s="1" t="n">
        <v>42411</v>
      </c>
      <c r="D446" s="0" t="s">
        <v>4199</v>
      </c>
      <c r="E446" s="0" t="n">
        <v>7</v>
      </c>
      <c r="F446" s="0" t="n">
        <v>1690</v>
      </c>
      <c r="G446" s="0" t="n">
        <v>2011</v>
      </c>
      <c r="H446" s="0" t="str">
        <f aca="false">"J"&amp;E446&amp;"\"&amp;F446&amp;"\"&amp;G446&amp;"\"&amp;W446</f>
        <v>J7\1690\2011\1</v>
      </c>
      <c r="I446" s="0"/>
      <c r="J446" s="1" t="n">
        <v>40816</v>
      </c>
      <c r="K446" s="0" t="n">
        <v>0</v>
      </c>
      <c r="M446" s="1" t="n">
        <v>40816</v>
      </c>
      <c r="N446" s="1" t="n">
        <v>41065</v>
      </c>
      <c r="O446" s="1"/>
      <c r="P446" s="1"/>
      <c r="Q446" s="1"/>
      <c r="T446" s="121"/>
      <c r="U446" s="121"/>
      <c r="V446" s="122" t="n">
        <f aca="false">IF(AND(E446&gt;0,F446&gt;0,G446&gt;0),COUNTIFS($E:$E,E446,$F:$F,F446,$G:$G,G446),"")</f>
        <v>1</v>
      </c>
      <c r="W446" s="122" t="n">
        <f aca="false">IF(V446="","",IF(V446=1,1,IF(AND(E445=E446,F445=F446,G445=G446),W445+1,1)))</f>
        <v>1</v>
      </c>
      <c r="X446" s="0" t="n">
        <v>1</v>
      </c>
      <c r="Y446" s="0" t="n">
        <v>7</v>
      </c>
      <c r="Z446" s="0" t="s">
        <v>4200</v>
      </c>
      <c r="AA446" s="0" t="n">
        <v>0</v>
      </c>
      <c r="AB446" s="0" t="s">
        <v>4201</v>
      </c>
      <c r="AC446" s="0" t="s">
        <v>2235</v>
      </c>
      <c r="AD446" s="0" t="s">
        <v>211</v>
      </c>
      <c r="AE446" s="0" t="n">
        <v>0</v>
      </c>
      <c r="AF446" s="0" t="s">
        <v>4202</v>
      </c>
      <c r="AG446" s="0" t="n">
        <v>0</v>
      </c>
      <c r="AH446" s="0" t="s">
        <v>4203</v>
      </c>
      <c r="AI446" s="0" t="s">
        <v>2880</v>
      </c>
      <c r="AJ446" s="0" t="s">
        <v>221</v>
      </c>
      <c r="AL446" s="0" t="s">
        <v>4204</v>
      </c>
      <c r="AM446" s="0" t="n">
        <v>0</v>
      </c>
      <c r="AN446" s="0" t="s">
        <v>4203</v>
      </c>
      <c r="AO446" s="0" t="s">
        <v>2880</v>
      </c>
      <c r="AP446" s="0" t="s">
        <v>221</v>
      </c>
      <c r="AR446" s="0" t="s">
        <v>4205</v>
      </c>
      <c r="AS446" s="0" t="n">
        <v>1</v>
      </c>
      <c r="AT446" s="0" t="s">
        <v>4203</v>
      </c>
      <c r="AU446" s="0" t="s">
        <v>2880</v>
      </c>
      <c r="AV446" s="0" t="s">
        <v>221</v>
      </c>
      <c r="AX446" s="0" t="s">
        <v>4206</v>
      </c>
      <c r="AY446" s="0" t="n">
        <v>0</v>
      </c>
      <c r="AZ446" s="0" t="s">
        <v>4207</v>
      </c>
      <c r="BA446" s="0" t="s">
        <v>4208</v>
      </c>
      <c r="BB446" s="0" t="s">
        <v>221</v>
      </c>
      <c r="BD446" s="0" t="s">
        <v>4209</v>
      </c>
      <c r="BE446" s="0" t="n">
        <v>0</v>
      </c>
      <c r="BF446" s="0" t="s">
        <v>4210</v>
      </c>
      <c r="BG446" s="0" t="s">
        <v>4211</v>
      </c>
      <c r="BH446" s="0" t="s">
        <v>221</v>
      </c>
      <c r="BJ446" s="0" t="s">
        <v>4212</v>
      </c>
      <c r="BK446" s="0" t="n">
        <v>0</v>
      </c>
      <c r="BL446" s="0" t="s">
        <v>4213</v>
      </c>
      <c r="BM446" s="0" t="s">
        <v>274</v>
      </c>
      <c r="BN446" s="0" t="s">
        <v>4214</v>
      </c>
      <c r="BP446" s="0" t="n">
        <v>0</v>
      </c>
      <c r="BQ446" s="0" t="n">
        <v>0</v>
      </c>
      <c r="BR446" s="0" t="n">
        <v>1</v>
      </c>
      <c r="BS446" s="0" t="s">
        <v>4215</v>
      </c>
      <c r="BT446" s="0" t="s">
        <v>4216</v>
      </c>
      <c r="BU446" s="0" t="s">
        <v>4217</v>
      </c>
      <c r="BV446" s="123"/>
      <c r="BW446" s="123"/>
      <c r="BX446" s="123"/>
      <c r="BY446" s="123"/>
      <c r="BZ446" s="0" t="n">
        <v>0</v>
      </c>
      <c r="CA446" s="0" t="s">
        <v>216</v>
      </c>
      <c r="CD446" s="0" t="s">
        <v>256</v>
      </c>
      <c r="CE446" s="0" t="n">
        <v>1</v>
      </c>
      <c r="CF446" s="0" t="s">
        <v>4218</v>
      </c>
      <c r="CI446" s="1" t="n">
        <v>39693</v>
      </c>
      <c r="CJ446" s="1" t="n">
        <v>40761</v>
      </c>
      <c r="CK446" s="124" t="n">
        <v>0.354166666666667</v>
      </c>
      <c r="CL446" s="0" t="s">
        <v>4219</v>
      </c>
      <c r="CM446" s="0" t="n">
        <f aca="false">IF(OR(CI446="",CJ446=""),"",DAYS360(CI446,CJ446)/360)</f>
        <v>2.92777777777778</v>
      </c>
      <c r="CN446" s="0" t="n">
        <f aca="false">IF(OR(CI446="",CJ446=""),"",DAYS360(CI446,CJ446)/30)</f>
        <v>35.1333333333333</v>
      </c>
      <c r="CO446" s="0" t="n">
        <f aca="false">IF(OR(CI446="",CJ446=""),"",DAYS360(CI446,CJ446)/7)</f>
        <v>150.571428571429</v>
      </c>
      <c r="CP446" s="0" t="n">
        <f aca="false">IF(OR(CI446="",CJ446=""),"",DAYS360(CI446,CJ446))</f>
        <v>1054</v>
      </c>
      <c r="CQ446" s="0" t="s">
        <v>240</v>
      </c>
      <c r="CR446" s="0" t="n">
        <v>1</v>
      </c>
      <c r="CT446" s="0" t="n">
        <v>45000</v>
      </c>
      <c r="CU446" s="0" t="n">
        <v>1</v>
      </c>
      <c r="CW446" s="125" t="n">
        <v>1936</v>
      </c>
      <c r="CX446" s="0" t="n">
        <v>0</v>
      </c>
      <c r="CY446" s="0" t="n">
        <f aca="false">IF(CW446="","",IF(CX446=0,CW446,IF(CX446=1,CW446/30,IF(CX446=2,CW446/15,IF(CX446=3,CW446/7,CW446)))))</f>
        <v>1936</v>
      </c>
      <c r="CZ446" s="0" t="n">
        <f aca="false">IF(DI446&gt;0,DI446,IF(CY446&gt;0,CY446,IF(CV446&gt;0,CV446,"")))</f>
        <v>1936</v>
      </c>
      <c r="DA446" s="0" t="n">
        <f aca="false">IF(DM446=1,CZ446/8,IF(OR(DM446=2,DM446=4),CZ446/7,IF(DM446=3,CZ446/7.5,"")))</f>
        <v>242</v>
      </c>
      <c r="DB446" s="0" t="s">
        <v>373</v>
      </c>
      <c r="DC446" s="0" t="s">
        <v>4220</v>
      </c>
      <c r="DD446" s="0" t="s">
        <v>216</v>
      </c>
      <c r="DE446" s="0" t="s">
        <v>216</v>
      </c>
      <c r="DF446" s="0" t="s">
        <v>216</v>
      </c>
      <c r="DG446" s="0" t="s">
        <v>216</v>
      </c>
      <c r="DH446" s="0" t="n">
        <v>0</v>
      </c>
      <c r="DI446" s="126" t="n">
        <v>1936</v>
      </c>
      <c r="DK446" s="0" t="n">
        <v>0</v>
      </c>
      <c r="DM446" s="0" t="n">
        <v>1</v>
      </c>
      <c r="DN446" s="0" t="n">
        <f aca="false">10*5 + 6</f>
        <v>56</v>
      </c>
      <c r="DO446" s="0" t="n">
        <v>3</v>
      </c>
      <c r="DP446" s="0" t="n">
        <v>0</v>
      </c>
      <c r="DQ446" s="0" t="n">
        <v>1</v>
      </c>
      <c r="DR446" s="0"/>
      <c r="DS446" s="0" t="n">
        <v>1</v>
      </c>
      <c r="DU446" s="0" t="n">
        <v>1</v>
      </c>
      <c r="DW446" s="1" t="n">
        <v>39693</v>
      </c>
      <c r="DX446" s="1" t="n">
        <v>40761</v>
      </c>
      <c r="DZ446" s="0"/>
      <c r="EA446" s="0" t="n">
        <v>1</v>
      </c>
      <c r="EC446" s="1" t="n">
        <v>39693</v>
      </c>
      <c r="ED446" s="1" t="n">
        <v>40761</v>
      </c>
      <c r="EF446" s="0"/>
      <c r="EG446" s="0" t="n">
        <v>1</v>
      </c>
      <c r="EH446" s="0" t="n">
        <v>12</v>
      </c>
      <c r="EI446" s="0" t="n">
        <f aca="false">IF(AND(DM446=1,DN446&lt;=48),"",IF(AND(DM446=2,DN446&lt;=42),"",IF(AND(DM446=3,DN446&lt;=45),"",EH446)))</f>
        <v>12</v>
      </c>
      <c r="EJ446" s="0" t="n">
        <f aca="false">IF(EI446="","",IF(EI446&lt;9,EI446,9))</f>
        <v>9</v>
      </c>
      <c r="EK446" s="0" t="n">
        <f aca="false">IF(EI446="","",IF(EI446&gt;9,EI446-EJ446,0))</f>
        <v>3</v>
      </c>
      <c r="EL446" s="0" t="n">
        <f aca="false">IF(EI446="","",EJ446*DA446*2+EK446*DA446*3)</f>
        <v>6534</v>
      </c>
      <c r="EP446" s="0" t="n">
        <v>1</v>
      </c>
      <c r="EQ446" s="0"/>
      <c r="ER446" s="0" t="n">
        <v>0</v>
      </c>
      <c r="ET446" s="0" t="n">
        <v>0</v>
      </c>
      <c r="EV446" s="0" t="n">
        <v>0</v>
      </c>
      <c r="EX446" s="0" t="n">
        <v>1</v>
      </c>
      <c r="EY446" s="0" t="n">
        <v>0</v>
      </c>
      <c r="FA446" s="4" t="n">
        <f aca="false">125*DI446</f>
        <v>242000</v>
      </c>
      <c r="FB446" s="0" t="n">
        <v>1</v>
      </c>
      <c r="FF446" s="120" t="n">
        <f aca="false">(CJ446-CI446+1)/365</f>
        <v>2.92876712328767</v>
      </c>
      <c r="FG446" s="0" t="str">
        <f aca="false">CONCATENATE(F446,"/",G446)</f>
        <v>1690/2011</v>
      </c>
      <c r="FH446" s="0" t="n">
        <v>0</v>
      </c>
      <c r="FI446" s="0" t="n">
        <v>0</v>
      </c>
    </row>
    <row r="447" customFormat="false" ht="15" hidden="false" customHeight="false" outlineLevel="0" collapsed="false">
      <c r="A447" s="5" t="str">
        <f aca="false">E447&amp;G447&amp;F447</f>
        <v>720111676</v>
      </c>
      <c r="B447" s="0" t="s">
        <v>4119</v>
      </c>
      <c r="C447" s="1" t="n">
        <v>42411</v>
      </c>
      <c r="D447" s="0" t="s">
        <v>1856</v>
      </c>
      <c r="E447" s="0" t="n">
        <v>7</v>
      </c>
      <c r="F447" s="0" t="n">
        <v>1676</v>
      </c>
      <c r="G447" s="0" t="n">
        <v>2011</v>
      </c>
      <c r="H447" s="0" t="str">
        <f aca="false">"J"&amp;E447&amp;"\"&amp;F447&amp;"\"&amp;G447&amp;"\"&amp;W447</f>
        <v>J7\1676\2011\1</v>
      </c>
      <c r="I447" s="0"/>
      <c r="J447" s="1" t="n">
        <v>40815</v>
      </c>
      <c r="K447" s="0" t="n">
        <v>0</v>
      </c>
      <c r="M447" s="1"/>
      <c r="N447" s="1"/>
      <c r="O447" s="1"/>
      <c r="P447" s="1"/>
      <c r="Q447" s="1"/>
      <c r="T447" s="121"/>
      <c r="U447" s="121"/>
      <c r="V447" s="122" t="n">
        <f aca="false">IF(AND(E447&gt;0,F447&gt;0,G447&gt;0),COUNTIFS($E:$E,E447,$F:$F,F447,$G:$G,G447),"")</f>
        <v>1</v>
      </c>
      <c r="W447" s="122" t="n">
        <f aca="false">IF(V447="","",IF(V447=1,1,IF(AND(E446=E447,F446=F447,G446=G447),W446+1,1)))</f>
        <v>1</v>
      </c>
      <c r="X447" s="0" t="n">
        <v>1</v>
      </c>
      <c r="Y447" s="0" t="n">
        <v>6</v>
      </c>
      <c r="Z447" s="0" t="s">
        <v>4221</v>
      </c>
      <c r="AA447" s="0" t="n">
        <v>0</v>
      </c>
      <c r="AB447" s="0" t="s">
        <v>4222</v>
      </c>
      <c r="AC447" s="0" t="s">
        <v>4223</v>
      </c>
      <c r="AD447" s="0" t="s">
        <v>3511</v>
      </c>
      <c r="AE447" s="0" t="n">
        <v>0</v>
      </c>
      <c r="AF447" s="0" t="s">
        <v>4224</v>
      </c>
      <c r="AG447" s="0" t="n">
        <v>0</v>
      </c>
      <c r="AH447" s="0" t="s">
        <v>4225</v>
      </c>
      <c r="AI447" s="0" t="s">
        <v>789</v>
      </c>
      <c r="AJ447" s="0" t="s">
        <v>229</v>
      </c>
      <c r="AL447" s="0" t="s">
        <v>4226</v>
      </c>
      <c r="AM447" s="0" t="n">
        <v>1</v>
      </c>
      <c r="AN447" s="0" t="s">
        <v>4225</v>
      </c>
      <c r="AO447" s="0" t="s">
        <v>789</v>
      </c>
      <c r="AP447" s="0" t="s">
        <v>229</v>
      </c>
      <c r="AR447" s="0" t="s">
        <v>4227</v>
      </c>
      <c r="AS447" s="0" t="n">
        <v>0</v>
      </c>
      <c r="AT447" s="0" t="s">
        <v>4228</v>
      </c>
      <c r="AU447" s="0" t="s">
        <v>4229</v>
      </c>
      <c r="AV447" s="0" t="s">
        <v>211</v>
      </c>
      <c r="AX447" s="0" t="s">
        <v>2106</v>
      </c>
      <c r="AY447" s="0" t="n">
        <v>1</v>
      </c>
      <c r="AZ447" s="0" t="s">
        <v>221</v>
      </c>
      <c r="BA447" s="0" t="s">
        <v>221</v>
      </c>
      <c r="BB447" s="0" t="s">
        <v>221</v>
      </c>
      <c r="BD447" s="0" t="s">
        <v>249</v>
      </c>
      <c r="BE447" s="0" t="n">
        <v>0</v>
      </c>
      <c r="BF447" s="0" t="s">
        <v>436</v>
      </c>
      <c r="BG447" s="0" t="s">
        <v>410</v>
      </c>
      <c r="BH447" s="0" t="s">
        <v>411</v>
      </c>
      <c r="BJ447" s="0" t="s">
        <v>412</v>
      </c>
      <c r="BK447" s="0" t="n">
        <v>0</v>
      </c>
      <c r="BL447" s="0" t="s">
        <v>4230</v>
      </c>
      <c r="BM447" s="0" t="s">
        <v>438</v>
      </c>
      <c r="BN447" s="0" t="s">
        <v>221</v>
      </c>
      <c r="BP447" s="0" t="n">
        <v>0</v>
      </c>
      <c r="BQ447" s="0" t="n">
        <v>0</v>
      </c>
      <c r="BR447" s="0" t="n">
        <v>1</v>
      </c>
      <c r="BS447" s="0" t="s">
        <v>4231</v>
      </c>
      <c r="BT447" s="0" t="s">
        <v>4232</v>
      </c>
      <c r="BU447" s="0" t="s">
        <v>4233</v>
      </c>
      <c r="BV447" s="123"/>
      <c r="BW447" s="123"/>
      <c r="BX447" s="123"/>
      <c r="BY447" s="123"/>
      <c r="BZ447" s="0" t="n">
        <v>0</v>
      </c>
      <c r="CA447" s="0" t="s">
        <v>216</v>
      </c>
      <c r="CD447" s="0" t="s">
        <v>296</v>
      </c>
      <c r="CE447" s="0" t="n">
        <v>0</v>
      </c>
      <c r="CF447" s="0" t="s">
        <v>4234</v>
      </c>
      <c r="CI447" s="1" t="n">
        <v>40709</v>
      </c>
      <c r="CJ447" s="1" t="n">
        <v>40764</v>
      </c>
      <c r="CK447" s="124" t="n">
        <v>0.5</v>
      </c>
      <c r="CL447" s="0" t="s">
        <v>4226</v>
      </c>
      <c r="CM447" s="0" t="n">
        <f aca="false">IF(OR(CI447="",CJ447=""),"",DAYS360(CI447,CJ447)/360)</f>
        <v>0.15</v>
      </c>
      <c r="CN447" s="0" t="n">
        <f aca="false">IF(OR(CI447="",CJ447=""),"",DAYS360(CI447,CJ447)/30)</f>
        <v>1.8</v>
      </c>
      <c r="CO447" s="0" t="n">
        <f aca="false">IF(OR(CI447="",CJ447=""),"",DAYS360(CI447,CJ447)/7)</f>
        <v>7.71428571428571</v>
      </c>
      <c r="CP447" s="0" t="n">
        <f aca="false">IF(OR(CI447="",CJ447=""),"",DAYS360(CI447,CJ447))</f>
        <v>54</v>
      </c>
      <c r="CQ447" s="0" t="s">
        <v>220</v>
      </c>
      <c r="CR447" s="0" t="n">
        <v>1</v>
      </c>
      <c r="CT447" s="0" t="n">
        <v>900</v>
      </c>
      <c r="CU447" s="0" t="n">
        <v>3</v>
      </c>
      <c r="CW447" s="125" t="n">
        <v>153.57</v>
      </c>
      <c r="CX447" s="0" t="n">
        <v>0</v>
      </c>
      <c r="CY447" s="0" t="n">
        <f aca="false">IF(CW447="","",IF(CX447=0,CW447,IF(CX447=1,CW447/30,IF(CX447=2,CW447/15,IF(CX447=3,CW447/7,CW447)))))</f>
        <v>153.57</v>
      </c>
      <c r="CZ447" s="0" t="n">
        <f aca="false">IF(DI447&gt;0,DI447,IF(CY447&gt;0,CY447,IF(CV447&gt;0,CV447,"")))</f>
        <v>153.57</v>
      </c>
      <c r="DA447" s="0" t="n">
        <f aca="false">IF(DM447=1,CZ447/8,IF(OR(DM447=2,DM447=4),CZ447/7,IF(DM447=3,CZ447/7.5,"")))</f>
        <v>19.19625</v>
      </c>
      <c r="DB447" s="0" t="s">
        <v>216</v>
      </c>
      <c r="DC447" s="0" t="s">
        <v>216</v>
      </c>
      <c r="DD447" s="0" t="s">
        <v>216</v>
      </c>
      <c r="DE447" s="0" t="s">
        <v>216</v>
      </c>
      <c r="DF447" s="0" t="s">
        <v>216</v>
      </c>
      <c r="DG447" s="0" t="s">
        <v>216</v>
      </c>
      <c r="DH447" s="0" t="n">
        <v>0</v>
      </c>
      <c r="DI447" s="126" t="n">
        <v>153.57</v>
      </c>
      <c r="DK447" s="0" t="n">
        <v>0</v>
      </c>
      <c r="DM447" s="0" t="n">
        <v>1</v>
      </c>
      <c r="DN447" s="0" t="n">
        <v>60</v>
      </c>
      <c r="DO447" s="0" t="n">
        <v>3</v>
      </c>
      <c r="DP447" s="0" t="n">
        <v>1</v>
      </c>
      <c r="DQ447" s="0" t="n">
        <v>1</v>
      </c>
      <c r="DR447" s="0"/>
      <c r="DS447" s="0" t="n">
        <v>1</v>
      </c>
      <c r="DU447" s="0" t="n">
        <v>1</v>
      </c>
      <c r="DW447" s="1" t="n">
        <v>40709</v>
      </c>
      <c r="DX447" s="1" t="n">
        <v>40764</v>
      </c>
      <c r="DZ447" s="0"/>
      <c r="EA447" s="0" t="n">
        <v>1</v>
      </c>
      <c r="EC447" s="1" t="n">
        <v>40709</v>
      </c>
      <c r="ED447" s="1" t="n">
        <v>40764</v>
      </c>
      <c r="EF447" s="0"/>
      <c r="EG447" s="0" t="n">
        <v>1</v>
      </c>
      <c r="EH447" s="0" t="n">
        <v>12</v>
      </c>
      <c r="EI447" s="0" t="n">
        <f aca="false">IF(AND(DM447=1,DN447&lt;=48),"",IF(AND(DM447=2,DN447&lt;=42),"",IF(AND(DM447=3,DN447&lt;=45),"",EH447)))</f>
        <v>12</v>
      </c>
      <c r="EJ447" s="0" t="n">
        <f aca="false">IF(EI447="","",IF(EI447&lt;9,EI447,9))</f>
        <v>9</v>
      </c>
      <c r="EK447" s="0" t="n">
        <f aca="false">IF(EI447="","",IF(EI447&gt;9,EI447-EJ447,0))</f>
        <v>3</v>
      </c>
      <c r="EL447" s="0" t="n">
        <f aca="false">IF(EI447="","",EJ447*DA447*2+EK447*DA447*3)</f>
        <v>518.29875</v>
      </c>
      <c r="EP447" s="0" t="n">
        <v>1</v>
      </c>
      <c r="EQ447" s="0"/>
      <c r="ER447" s="0" t="n">
        <v>1</v>
      </c>
      <c r="ET447" s="0" t="n">
        <v>1</v>
      </c>
      <c r="EV447" s="0" t="n">
        <v>1</v>
      </c>
      <c r="EX447" s="0" t="n">
        <v>1</v>
      </c>
      <c r="EY447" s="0" t="n">
        <v>1</v>
      </c>
      <c r="FA447" s="4" t="n">
        <f aca="false">7*DI447 + 200 + 700</f>
        <v>1974.99</v>
      </c>
      <c r="FB447" s="0" t="n">
        <v>0</v>
      </c>
      <c r="FF447" s="120" t="n">
        <f aca="false">(CJ447-CI447+1)/365</f>
        <v>0.153424657534247</v>
      </c>
      <c r="FG447" s="0" t="str">
        <f aca="false">CONCATENATE(F447,"/",G447)</f>
        <v>1676/2011</v>
      </c>
      <c r="FH447" s="0" t="n">
        <v>0</v>
      </c>
      <c r="FI447" s="0" t="n">
        <v>0</v>
      </c>
    </row>
    <row r="448" customFormat="false" ht="15" hidden="false" customHeight="false" outlineLevel="0" collapsed="false">
      <c r="A448" s="5" t="str">
        <f aca="false">E448&amp;G448&amp;F448</f>
        <v>720111668</v>
      </c>
      <c r="B448" s="0" t="s">
        <v>4119</v>
      </c>
      <c r="C448" s="1" t="n">
        <v>42412</v>
      </c>
      <c r="D448" s="0" t="s">
        <v>1856</v>
      </c>
      <c r="E448" s="0" t="n">
        <v>7</v>
      </c>
      <c r="F448" s="0" t="n">
        <v>1668</v>
      </c>
      <c r="G448" s="0" t="n">
        <v>2011</v>
      </c>
      <c r="H448" s="0" t="str">
        <f aca="false">"J"&amp;E448&amp;"\"&amp;F448&amp;"\"&amp;G448&amp;"\"&amp;W448</f>
        <v>J7\1668\2011\1</v>
      </c>
      <c r="I448" s="0"/>
      <c r="J448" s="1" t="n">
        <v>40814</v>
      </c>
      <c r="K448" s="0" t="n">
        <v>0</v>
      </c>
      <c r="M448" s="1"/>
      <c r="N448" s="1"/>
      <c r="O448" s="1"/>
      <c r="P448" s="1"/>
      <c r="Q448" s="1"/>
      <c r="T448" s="121"/>
      <c r="U448" s="121"/>
      <c r="V448" s="122" t="n">
        <f aca="false">IF(AND(E448&gt;0,F448&gt;0,G448&gt;0),COUNTIFS($E:$E,E448,$F:$F,F448,$G:$G,G448),"")</f>
        <v>1</v>
      </c>
      <c r="W448" s="122" t="n">
        <f aca="false">IF(V448="","",IF(V448=1,1,IF(AND(E447=E448,F447=F448,G447=G448),W447+1,1)))</f>
        <v>1</v>
      </c>
      <c r="X448" s="0" t="n">
        <v>1</v>
      </c>
      <c r="Y448" s="0" t="n">
        <v>3</v>
      </c>
      <c r="Z448" s="0" t="s">
        <v>4235</v>
      </c>
      <c r="AA448" s="0" t="n">
        <v>0</v>
      </c>
      <c r="AB448" s="0" t="s">
        <v>4236</v>
      </c>
      <c r="AC448" s="0" t="s">
        <v>318</v>
      </c>
      <c r="AD448" s="0" t="s">
        <v>221</v>
      </c>
      <c r="AE448" s="0" t="n">
        <v>0</v>
      </c>
      <c r="AF448" s="0" t="s">
        <v>4237</v>
      </c>
      <c r="AG448" s="0" t="n">
        <v>1</v>
      </c>
      <c r="AH448" s="0" t="s">
        <v>4238</v>
      </c>
      <c r="AI448" s="0" t="s">
        <v>4239</v>
      </c>
      <c r="AJ448" s="0" t="s">
        <v>4240</v>
      </c>
      <c r="AL448" s="0" t="s">
        <v>4241</v>
      </c>
      <c r="AM448" s="0" t="n">
        <v>2</v>
      </c>
      <c r="AN448" s="0" t="s">
        <v>4238</v>
      </c>
      <c r="AO448" s="0" t="s">
        <v>4239</v>
      </c>
      <c r="AP448" s="0" t="s">
        <v>4240</v>
      </c>
      <c r="AR448" s="0" t="s">
        <v>4242</v>
      </c>
      <c r="AS448" s="0" t="n">
        <v>1</v>
      </c>
      <c r="AT448" s="0" t="s">
        <v>4238</v>
      </c>
      <c r="AU448" s="0" t="s">
        <v>4239</v>
      </c>
      <c r="AV448" s="0" t="s">
        <v>4240</v>
      </c>
      <c r="BP448" s="0" t="n">
        <v>0</v>
      </c>
      <c r="BQ448" s="0" t="n">
        <v>0</v>
      </c>
      <c r="BR448" s="0" t="n">
        <v>1</v>
      </c>
      <c r="BS448" s="0" t="s">
        <v>4243</v>
      </c>
      <c r="BT448" s="0" t="s">
        <v>1116</v>
      </c>
      <c r="BU448" s="0" t="s">
        <v>1117</v>
      </c>
      <c r="BV448" s="123"/>
      <c r="BW448" s="123"/>
      <c r="BX448" s="123"/>
      <c r="BY448" s="123"/>
      <c r="BZ448" s="0" t="n">
        <v>0</v>
      </c>
      <c r="CA448" s="0" t="s">
        <v>4244</v>
      </c>
      <c r="CD448" s="0" t="s">
        <v>256</v>
      </c>
      <c r="CE448" s="0" t="n">
        <v>0</v>
      </c>
      <c r="CF448" s="0" t="s">
        <v>4245</v>
      </c>
      <c r="CI448" s="1" t="n">
        <v>40739</v>
      </c>
      <c r="CJ448" s="1" t="n">
        <v>40807</v>
      </c>
      <c r="CK448" s="124" t="n">
        <v>0.826388888888889</v>
      </c>
      <c r="CL448" s="0" t="s">
        <v>4246</v>
      </c>
      <c r="CM448" s="0" t="n">
        <f aca="false">IF(OR(CI448="",CJ448=""),"",DAYS360(CI448,CJ448)/360)</f>
        <v>0.183333333333333</v>
      </c>
      <c r="CN448" s="0" t="n">
        <f aca="false">IF(OR(CI448="",CJ448=""),"",DAYS360(CI448,CJ448)/30)</f>
        <v>2.2</v>
      </c>
      <c r="CO448" s="0" t="n">
        <f aca="false">IF(OR(CI448="",CJ448=""),"",DAYS360(CI448,CJ448)/7)</f>
        <v>9.42857142857143</v>
      </c>
      <c r="CP448" s="0" t="n">
        <f aca="false">IF(OR(CI448="",CJ448=""),"",DAYS360(CI448,CJ448))</f>
        <v>66</v>
      </c>
      <c r="CQ448" s="0" t="s">
        <v>240</v>
      </c>
      <c r="CT448" s="0" t="n">
        <v>320</v>
      </c>
      <c r="CU448" s="0" t="n">
        <v>0</v>
      </c>
      <c r="CW448" s="126" t="n">
        <v>747.27</v>
      </c>
      <c r="CX448" s="0" t="n">
        <v>0</v>
      </c>
      <c r="CY448" s="0" t="n">
        <f aca="false">IF(CW448="","",IF(CX448=0,CW448,IF(CX448=1,CW448/30,IF(CX448=2,CW448/15,IF(CX448=3,CW448/7,CW448)))))</f>
        <v>747.27</v>
      </c>
      <c r="CZ448" s="0" t="n">
        <f aca="false">IF(DI448&gt;0,DI448,IF(CY448&gt;0,CY448,IF(CV448&gt;0,CV448,"")))</f>
        <v>747.27</v>
      </c>
      <c r="DA448" s="0" t="n">
        <f aca="false">IF(DM448=1,CZ448/8,IF(OR(DM448=2,DM448=4),CZ448/7,IF(DM448=3,CZ448/7.5,"")))</f>
        <v>93.40875</v>
      </c>
      <c r="DB448" s="0" t="s">
        <v>303</v>
      </c>
      <c r="DC448" s="0" t="s">
        <v>301</v>
      </c>
      <c r="DD448" s="0" t="s">
        <v>1119</v>
      </c>
      <c r="DE448" s="0" t="s">
        <v>258</v>
      </c>
      <c r="DF448" s="0" t="s">
        <v>259</v>
      </c>
      <c r="DG448" s="0" t="s">
        <v>4247</v>
      </c>
      <c r="DH448" s="0" t="n">
        <v>0</v>
      </c>
      <c r="DI448" s="126" t="n">
        <v>747.27</v>
      </c>
      <c r="DK448" s="0" t="n">
        <v>0</v>
      </c>
      <c r="DM448" s="0" t="n">
        <v>1</v>
      </c>
      <c r="DN448" s="0" t="n">
        <f aca="false">11*6</f>
        <v>66</v>
      </c>
      <c r="DO448" s="0" t="n">
        <v>3</v>
      </c>
      <c r="DP448" s="0" t="n">
        <v>0</v>
      </c>
      <c r="DQ448" s="0" t="n">
        <v>1</v>
      </c>
      <c r="DR448" s="0"/>
      <c r="DS448" s="0" t="n">
        <v>1</v>
      </c>
      <c r="DU448" s="0" t="n">
        <v>1</v>
      </c>
      <c r="DW448" s="1" t="n">
        <v>40739</v>
      </c>
      <c r="DX448" s="1" t="n">
        <v>40807</v>
      </c>
      <c r="DZ448" s="0"/>
      <c r="EA448" s="0" t="n">
        <v>1</v>
      </c>
      <c r="EC448" s="1" t="n">
        <v>40739</v>
      </c>
      <c r="ED448" s="1" t="n">
        <v>40807</v>
      </c>
      <c r="EF448" s="0"/>
      <c r="EG448" s="0" t="n">
        <v>1</v>
      </c>
      <c r="EH448" s="0" t="n">
        <v>18</v>
      </c>
      <c r="EI448" s="0" t="n">
        <f aca="false">IF(AND(DM448=1,DN448&lt;=48),"",IF(AND(DM448=2,DN448&lt;=42),"",IF(AND(DM448=3,DN448&lt;=45),"",EH448)))</f>
        <v>18</v>
      </c>
      <c r="EJ448" s="0" t="n">
        <f aca="false">IF(EI448="","",IF(EI448&lt;9,EI448,9))</f>
        <v>9</v>
      </c>
      <c r="EK448" s="0" t="n">
        <f aca="false">IF(EI448="","",IF(EI448&gt;9,EI448-EJ448,0))</f>
        <v>9</v>
      </c>
      <c r="EL448" s="0" t="n">
        <f aca="false">IF(EI448="","",EJ448*DA448*2+EK448*DA448*3)</f>
        <v>4203.39375</v>
      </c>
      <c r="EP448" s="0" t="n">
        <v>0</v>
      </c>
      <c r="EQ448" s="0"/>
      <c r="ER448" s="0" t="n">
        <v>1</v>
      </c>
      <c r="ET448" s="0" t="n">
        <v>0</v>
      </c>
      <c r="EV448" s="0" t="n">
        <v>1</v>
      </c>
      <c r="EX448" s="0" t="n">
        <v>1</v>
      </c>
      <c r="EY448" s="0" t="n">
        <v>0</v>
      </c>
      <c r="FA448" s="4" t="n">
        <v>6725.43</v>
      </c>
      <c r="FB448" s="0" t="n">
        <v>1</v>
      </c>
      <c r="FF448" s="120" t="n">
        <f aca="false">(CJ448-CI448+1)/365</f>
        <v>0.189041095890411</v>
      </c>
      <c r="FG448" s="0" t="str">
        <f aca="false">CONCATENATE(F448,"/",G448)</f>
        <v>1668/2011</v>
      </c>
      <c r="FH448" s="0" t="n">
        <v>0</v>
      </c>
      <c r="FI448" s="0" t="n">
        <v>0</v>
      </c>
    </row>
    <row r="449" customFormat="false" ht="15" hidden="false" customHeight="false" outlineLevel="0" collapsed="false">
      <c r="A449" s="5" t="str">
        <f aca="false">E449&amp;G449&amp;F449</f>
        <v>720111667</v>
      </c>
      <c r="B449" s="0" t="s">
        <v>4119</v>
      </c>
      <c r="C449" s="1" t="n">
        <v>42412</v>
      </c>
      <c r="D449" s="0" t="s">
        <v>1856</v>
      </c>
      <c r="E449" s="0" t="n">
        <v>7</v>
      </c>
      <c r="F449" s="0" t="n">
        <v>1667</v>
      </c>
      <c r="G449" s="0" t="n">
        <v>2011</v>
      </c>
      <c r="H449" s="0" t="str">
        <f aca="false">"J"&amp;E449&amp;"\"&amp;F449&amp;"\"&amp;G449&amp;"\"&amp;W449</f>
        <v>J7\1667\2011\1</v>
      </c>
      <c r="I449" s="0"/>
      <c r="J449" s="1" t="n">
        <v>40814</v>
      </c>
      <c r="K449" s="0" t="n">
        <v>0</v>
      </c>
      <c r="M449" s="1"/>
      <c r="N449" s="1"/>
      <c r="O449" s="1"/>
      <c r="P449" s="1"/>
      <c r="Q449" s="1"/>
      <c r="T449" s="121"/>
      <c r="U449" s="121"/>
      <c r="V449" s="122" t="n">
        <f aca="false">IF(AND(E449&gt;0,F449&gt;0,G449&gt;0),COUNTIFS($E:$E,E449,$F:$F,F449,$G:$G,G449),"")</f>
        <v>1</v>
      </c>
      <c r="W449" s="122" t="n">
        <f aca="false">IF(V449="","",IF(V449=1,1,IF(AND(E448=E449,F448=F449,G448=G449),W448+1,1)))</f>
        <v>1</v>
      </c>
      <c r="X449" s="0" t="n">
        <v>1</v>
      </c>
      <c r="Y449" s="0" t="n">
        <v>5</v>
      </c>
      <c r="Z449" s="0" t="s">
        <v>4248</v>
      </c>
      <c r="AA449" s="0" t="n">
        <v>0</v>
      </c>
      <c r="AB449" s="0" t="s">
        <v>4249</v>
      </c>
      <c r="AC449" s="0" t="s">
        <v>3675</v>
      </c>
      <c r="AD449" s="0" t="s">
        <v>3511</v>
      </c>
      <c r="AE449" s="0" t="n">
        <v>0</v>
      </c>
      <c r="AF449" s="0" t="s">
        <v>4250</v>
      </c>
      <c r="AG449" s="0" t="n">
        <v>1</v>
      </c>
      <c r="AH449" s="0" t="s">
        <v>4251</v>
      </c>
      <c r="AI449" s="0" t="s">
        <v>4252</v>
      </c>
      <c r="AJ449" s="0" t="s">
        <v>485</v>
      </c>
      <c r="AL449" s="0" t="s">
        <v>4253</v>
      </c>
      <c r="AM449" s="0" t="n">
        <v>1</v>
      </c>
      <c r="AN449" s="0" t="s">
        <v>4251</v>
      </c>
      <c r="AO449" s="0" t="s">
        <v>4252</v>
      </c>
      <c r="AP449" s="0" t="s">
        <v>485</v>
      </c>
      <c r="AR449" s="0" t="s">
        <v>4254</v>
      </c>
      <c r="AS449" s="0" t="n">
        <v>1</v>
      </c>
      <c r="AT449" s="0" t="s">
        <v>4251</v>
      </c>
      <c r="AU449" s="0" t="s">
        <v>4252</v>
      </c>
      <c r="AV449" s="0" t="s">
        <v>485</v>
      </c>
      <c r="AX449" s="0" t="s">
        <v>4255</v>
      </c>
      <c r="AY449" s="0" t="n">
        <v>1</v>
      </c>
      <c r="AZ449" s="0" t="s">
        <v>4251</v>
      </c>
      <c r="BA449" s="0" t="s">
        <v>4252</v>
      </c>
      <c r="BB449" s="0" t="s">
        <v>485</v>
      </c>
      <c r="BD449" s="0" t="s">
        <v>4256</v>
      </c>
      <c r="BE449" s="0" t="n">
        <v>1</v>
      </c>
      <c r="BF449" s="0" t="s">
        <v>4251</v>
      </c>
      <c r="BG449" s="0" t="s">
        <v>4252</v>
      </c>
      <c r="BH449" s="0" t="s">
        <v>485</v>
      </c>
      <c r="BP449" s="0" t="n">
        <v>0</v>
      </c>
      <c r="BQ449" s="0" t="n">
        <v>0</v>
      </c>
      <c r="BR449" s="0" t="n">
        <v>1</v>
      </c>
      <c r="BS449" s="0" t="s">
        <v>4257</v>
      </c>
      <c r="BT449" s="0" t="s">
        <v>4258</v>
      </c>
      <c r="BU449" s="0" t="s">
        <v>4259</v>
      </c>
      <c r="BV449" s="123"/>
      <c r="BW449" s="123"/>
      <c r="BX449" s="123"/>
      <c r="BY449" s="123"/>
      <c r="BZ449" s="0" t="n">
        <v>0</v>
      </c>
      <c r="CA449" s="0" t="s">
        <v>216</v>
      </c>
      <c r="CD449" s="0" t="s">
        <v>216</v>
      </c>
      <c r="CE449" s="0" t="n">
        <v>0</v>
      </c>
      <c r="CF449" s="0" t="s">
        <v>4260</v>
      </c>
      <c r="CI449" s="1" t="n">
        <v>27670</v>
      </c>
      <c r="CJ449" s="1" t="n">
        <v>40763</v>
      </c>
      <c r="CK449" s="124" t="n">
        <v>0.333333333333333</v>
      </c>
      <c r="CL449" s="0" t="s">
        <v>4254</v>
      </c>
      <c r="CM449" s="0" t="n">
        <f aca="false">IF(OR(CI449="",CJ449=""),"",DAYS360(CI449,CJ449)/360)</f>
        <v>35.8472222222222</v>
      </c>
      <c r="CN449" s="0" t="n">
        <f aca="false">IF(OR(CI449="",CJ449=""),"",DAYS360(CI449,CJ449)/30)</f>
        <v>430.166666666667</v>
      </c>
      <c r="CO449" s="0" t="n">
        <f aca="false">IF(OR(CI449="",CJ449=""),"",DAYS360(CI449,CJ449)/7)</f>
        <v>1843.57142857143</v>
      </c>
      <c r="CP449" s="0" t="n">
        <f aca="false">IF(OR(CI449="",CJ449=""),"",DAYS360(CI449,CJ449))</f>
        <v>12905</v>
      </c>
      <c r="CQ449" s="0" t="s">
        <v>220</v>
      </c>
      <c r="CR449" s="0" t="n">
        <v>1</v>
      </c>
      <c r="CT449" s="0" t="s">
        <v>221</v>
      </c>
      <c r="CU449" s="0" t="s">
        <v>221</v>
      </c>
      <c r="CW449" s="125" t="n">
        <v>157.14</v>
      </c>
      <c r="CX449" s="0" t="n">
        <v>0</v>
      </c>
      <c r="CY449" s="0" t="n">
        <f aca="false">IF(CW449="","",IF(CX449=0,CW449,IF(CX449=1,CW449/30,IF(CX449=2,CW449/15,IF(CX449=3,CW449/7,CW449)))))</f>
        <v>157.14</v>
      </c>
      <c r="CZ449" s="0" t="n">
        <f aca="false">IF(DI449&gt;0,DI449,IF(CY449&gt;0,CY449,IF(CV449&gt;0,CV449,"")))</f>
        <v>157.14</v>
      </c>
      <c r="DA449" s="0" t="n">
        <f aca="false">IF(DM449=1,CZ449/8,IF(OR(DM449=2,DM449=4),CZ449/7,IF(DM449=3,CZ449/7.5,"")))</f>
        <v>19.6425</v>
      </c>
      <c r="DB449" s="0" t="s">
        <v>216</v>
      </c>
      <c r="DC449" s="0" t="s">
        <v>216</v>
      </c>
      <c r="DD449" s="0" t="s">
        <v>216</v>
      </c>
      <c r="DE449" s="0" t="s">
        <v>216</v>
      </c>
      <c r="DF449" s="0" t="s">
        <v>216</v>
      </c>
      <c r="DG449" s="0" t="s">
        <v>216</v>
      </c>
      <c r="DH449" s="0" t="n">
        <v>0</v>
      </c>
      <c r="DI449" s="126" t="n">
        <v>157.14</v>
      </c>
      <c r="DK449" s="0" t="n">
        <v>0</v>
      </c>
      <c r="DM449" s="0" t="n">
        <v>1</v>
      </c>
      <c r="DN449" s="0" t="n">
        <v>54</v>
      </c>
      <c r="DO449" s="0" t="n">
        <v>3</v>
      </c>
      <c r="DP449" s="0" t="n">
        <v>1</v>
      </c>
      <c r="DQ449" s="0" t="n">
        <v>0</v>
      </c>
      <c r="DR449" s="0"/>
      <c r="DS449" s="0" t="n">
        <v>1</v>
      </c>
      <c r="DU449" s="0" t="n">
        <v>0</v>
      </c>
      <c r="DW449" s="1" t="n">
        <v>40454</v>
      </c>
      <c r="DX449" s="1" t="n">
        <v>40763</v>
      </c>
      <c r="DZ449" s="0"/>
      <c r="EA449" s="0" t="n">
        <v>1</v>
      </c>
      <c r="EC449" s="1" t="n">
        <v>40179</v>
      </c>
      <c r="ED449" s="1" t="n">
        <v>40543</v>
      </c>
      <c r="EF449" s="0"/>
      <c r="EG449" s="0" t="n">
        <v>1</v>
      </c>
      <c r="EH449" s="0" t="n">
        <v>6</v>
      </c>
      <c r="EI449" s="0" t="n">
        <f aca="false">IF(AND(DM449=1,DN449&lt;=48),"",IF(AND(DM449=2,DN449&lt;=42),"",IF(AND(DM449=3,DN449&lt;=45),"",EH449)))</f>
        <v>6</v>
      </c>
      <c r="EJ449" s="0" t="n">
        <f aca="false">IF(EI449="","",IF(EI449&lt;9,EI449,9))</f>
        <v>6</v>
      </c>
      <c r="EK449" s="0" t="n">
        <f aca="false">IF(EI449="","",IF(EI449&gt;9,EI449-EJ449,0))</f>
        <v>0</v>
      </c>
      <c r="EL449" s="0" t="n">
        <f aca="false">IF(EI449="","",EJ449*DA449*2+EK449*DA449*3)</f>
        <v>235.71</v>
      </c>
      <c r="EP449" s="0" t="n">
        <v>0</v>
      </c>
      <c r="EQ449" s="0"/>
      <c r="ER449" s="0" t="n">
        <v>1</v>
      </c>
      <c r="ET449" s="0" t="n">
        <v>1</v>
      </c>
      <c r="EV449" s="0" t="n">
        <v>1</v>
      </c>
      <c r="EX449" s="0" t="n">
        <v>1</v>
      </c>
      <c r="EY449" s="0" t="n">
        <v>0</v>
      </c>
      <c r="FB449" s="0" t="n">
        <v>1</v>
      </c>
      <c r="FF449" s="120" t="n">
        <f aca="false">(CJ449-CI449+1)/365</f>
        <v>35.8739726027397</v>
      </c>
      <c r="FG449" s="0" t="str">
        <f aca="false">CONCATENATE(F449,"/",G449)</f>
        <v>1667/2011</v>
      </c>
      <c r="FH449" s="0" t="n">
        <v>0</v>
      </c>
      <c r="FI449" s="0" t="n">
        <v>0</v>
      </c>
    </row>
    <row r="450" customFormat="false" ht="15" hidden="false" customHeight="false" outlineLevel="0" collapsed="false">
      <c r="A450" s="5" t="str">
        <f aca="false">E450&amp;G450&amp;F450</f>
        <v>720111652</v>
      </c>
      <c r="B450" s="0" t="s">
        <v>4119</v>
      </c>
      <c r="C450" s="1" t="n">
        <v>42412</v>
      </c>
      <c r="D450" s="0" t="s">
        <v>1856</v>
      </c>
      <c r="E450" s="0" t="n">
        <v>7</v>
      </c>
      <c r="F450" s="0" t="n">
        <v>1652</v>
      </c>
      <c r="G450" s="0" t="n">
        <v>2011</v>
      </c>
      <c r="H450" s="0" t="str">
        <f aca="false">"J"&amp;E450&amp;"\"&amp;F450&amp;"\"&amp;G450&amp;"\"&amp;W450</f>
        <v>J7\1652\2011\1</v>
      </c>
      <c r="I450" s="0"/>
      <c r="J450" s="1" t="n">
        <v>40812</v>
      </c>
      <c r="K450" s="0" t="n">
        <v>0</v>
      </c>
      <c r="M450" s="1"/>
      <c r="N450" s="1"/>
      <c r="O450" s="1"/>
      <c r="P450" s="1"/>
      <c r="Q450" s="1"/>
      <c r="T450" s="121"/>
      <c r="U450" s="121"/>
      <c r="V450" s="122" t="n">
        <f aca="false">IF(AND(E450&gt;0,F450&gt;0,G450&gt;0),COUNTIFS($E:$E,E450,$F:$F,F450,$G:$G,G450),"")</f>
        <v>1</v>
      </c>
      <c r="W450" s="122" t="n">
        <f aca="false">IF(V450="","",IF(V450=1,1,IF(AND(E449=E450,F449=F450,G449=G450),W449+1,1)))</f>
        <v>1</v>
      </c>
      <c r="X450" s="0" t="n">
        <v>1</v>
      </c>
      <c r="Y450" s="0" t="n">
        <v>6</v>
      </c>
      <c r="Z450" s="0" t="s">
        <v>4261</v>
      </c>
      <c r="AA450" s="0" t="n">
        <v>0</v>
      </c>
      <c r="AB450" s="0" t="s">
        <v>4262</v>
      </c>
      <c r="AC450" s="0" t="s">
        <v>4263</v>
      </c>
      <c r="AD450" s="0" t="s">
        <v>590</v>
      </c>
      <c r="AE450" s="0" t="n">
        <v>0</v>
      </c>
      <c r="AF450" s="0" t="s">
        <v>4264</v>
      </c>
      <c r="AG450" s="0" t="n">
        <v>0</v>
      </c>
      <c r="AH450" s="0" t="s">
        <v>4265</v>
      </c>
      <c r="AI450" s="0" t="s">
        <v>4266</v>
      </c>
      <c r="AJ450" s="0" t="s">
        <v>4267</v>
      </c>
      <c r="AL450" s="0" t="s">
        <v>4268</v>
      </c>
      <c r="AM450" s="0" t="n">
        <v>1</v>
      </c>
      <c r="AN450" s="0" t="s">
        <v>4265</v>
      </c>
      <c r="AO450" s="0" t="s">
        <v>4266</v>
      </c>
      <c r="AP450" s="0" t="s">
        <v>4267</v>
      </c>
      <c r="AR450" s="0" t="s">
        <v>4269</v>
      </c>
      <c r="AS450" s="0" t="n">
        <v>1</v>
      </c>
      <c r="AT450" s="0" t="s">
        <v>4265</v>
      </c>
      <c r="AU450" s="0" t="s">
        <v>4266</v>
      </c>
      <c r="AV450" s="0" t="s">
        <v>4267</v>
      </c>
      <c r="AX450" s="0" t="s">
        <v>4270</v>
      </c>
      <c r="AY450" s="0" t="n">
        <v>1</v>
      </c>
      <c r="AZ450" s="0" t="s">
        <v>4265</v>
      </c>
      <c r="BA450" s="0" t="s">
        <v>4266</v>
      </c>
      <c r="BB450" s="0" t="s">
        <v>4267</v>
      </c>
      <c r="BD450" s="0" t="s">
        <v>4271</v>
      </c>
      <c r="BE450" s="0" t="n">
        <v>1</v>
      </c>
      <c r="BF450" s="0" t="s">
        <v>4265</v>
      </c>
      <c r="BG450" s="0" t="s">
        <v>4266</v>
      </c>
      <c r="BH450" s="0" t="s">
        <v>4267</v>
      </c>
      <c r="BJ450" s="0" t="s">
        <v>249</v>
      </c>
      <c r="BK450" s="0" t="n">
        <v>0</v>
      </c>
      <c r="BL450" s="0" t="s">
        <v>4272</v>
      </c>
      <c r="BM450" s="0" t="s">
        <v>251</v>
      </c>
      <c r="BN450" s="0" t="s">
        <v>229</v>
      </c>
      <c r="BP450" s="0" t="n">
        <v>0</v>
      </c>
      <c r="BQ450" s="0" t="n">
        <v>0</v>
      </c>
      <c r="BR450" s="0" t="n">
        <v>1</v>
      </c>
      <c r="BS450" s="0" t="s">
        <v>4273</v>
      </c>
      <c r="BT450" s="0" t="s">
        <v>4274</v>
      </c>
      <c r="BU450" s="0" t="s">
        <v>4275</v>
      </c>
      <c r="BV450" s="123"/>
      <c r="BW450" s="123"/>
      <c r="BX450" s="123"/>
      <c r="BY450" s="123"/>
      <c r="BZ450" s="0" t="n">
        <v>0</v>
      </c>
      <c r="CA450" s="0" t="s">
        <v>4276</v>
      </c>
      <c r="CE450" s="0" t="n">
        <v>0</v>
      </c>
      <c r="CF450" s="0" t="s">
        <v>4277</v>
      </c>
      <c r="CI450" s="1" t="n">
        <v>39391</v>
      </c>
      <c r="CJ450" s="1" t="n">
        <v>40798</v>
      </c>
      <c r="CK450" s="0" t="s">
        <v>216</v>
      </c>
      <c r="CL450" s="0" t="s">
        <v>216</v>
      </c>
      <c r="CM450" s="0" t="n">
        <f aca="false">IF(OR(CI450="",CJ450=""),"",DAYS360(CI450,CJ450)/360)</f>
        <v>3.85277777777778</v>
      </c>
      <c r="CN450" s="0" t="n">
        <f aca="false">IF(OR(CI450="",CJ450=""),"",DAYS360(CI450,CJ450)/30)</f>
        <v>46.2333333333333</v>
      </c>
      <c r="CO450" s="0" t="n">
        <f aca="false">IF(OR(CI450="",CJ450=""),"",DAYS360(CI450,CJ450)/7)</f>
        <v>198.142857142857</v>
      </c>
      <c r="CP450" s="0" t="n">
        <f aca="false">IF(OR(CI450="",CJ450=""),"",DAYS360(CI450,CJ450))</f>
        <v>1387</v>
      </c>
      <c r="CQ450" s="0" t="s">
        <v>240</v>
      </c>
      <c r="CR450" s="0" t="n">
        <v>1</v>
      </c>
      <c r="CT450" s="0" t="n">
        <v>391</v>
      </c>
      <c r="CU450" s="0" t="n">
        <v>0</v>
      </c>
      <c r="CW450" s="125" t="n">
        <v>533.64</v>
      </c>
      <c r="CX450" s="0" t="n">
        <v>0</v>
      </c>
      <c r="CY450" s="0" t="n">
        <f aca="false">IF(CW450="","",IF(CX450=0,CW450,IF(CX450=1,CW450/30,IF(CX450=2,CW450/15,IF(CX450=3,CW450/7,CW450)))))</f>
        <v>533.64</v>
      </c>
      <c r="CZ450" s="0" t="n">
        <f aca="false">IF(DI450&gt;0,DI450,IF(CY450&gt;0,CY450,IF(CV450&gt;0,CV450,"")))</f>
        <v>533.64</v>
      </c>
      <c r="DA450" s="0" t="n">
        <f aca="false">IF(DM450=1,CZ450/8,IF(OR(DM450=2,DM450=4),CZ450/7,IF(DM450=3,CZ450/7.5,"")))</f>
        <v>66.705</v>
      </c>
      <c r="DB450" s="0" t="s">
        <v>4278</v>
      </c>
      <c r="DC450" s="0" t="s">
        <v>299</v>
      </c>
      <c r="DD450" s="0" t="s">
        <v>300</v>
      </c>
      <c r="DE450" s="0" t="s">
        <v>216</v>
      </c>
      <c r="DF450" s="0" t="s">
        <v>216</v>
      </c>
      <c r="DG450" s="0" t="s">
        <v>216</v>
      </c>
      <c r="DH450" s="0" t="n">
        <v>0</v>
      </c>
      <c r="DI450" s="126" t="n">
        <v>533.64</v>
      </c>
      <c r="DK450" s="0" t="n">
        <v>0</v>
      </c>
      <c r="DM450" s="0" t="n">
        <v>1</v>
      </c>
      <c r="DN450" s="0" t="n">
        <f aca="false">12*6</f>
        <v>72</v>
      </c>
      <c r="DO450" s="0" t="n">
        <v>3</v>
      </c>
      <c r="DP450" s="0" t="n">
        <v>0</v>
      </c>
      <c r="DQ450" s="0" t="n">
        <v>1</v>
      </c>
      <c r="DR450" s="0"/>
      <c r="DS450" s="0" t="n">
        <v>1</v>
      </c>
      <c r="DU450" s="0" t="n">
        <v>1</v>
      </c>
      <c r="DW450" s="1" t="n">
        <v>39757</v>
      </c>
      <c r="DX450" s="1" t="n">
        <v>40798</v>
      </c>
      <c r="DZ450" s="0"/>
      <c r="EA450" s="0" t="n">
        <v>1</v>
      </c>
      <c r="EC450" s="1" t="n">
        <v>40179</v>
      </c>
      <c r="ED450" s="1" t="n">
        <v>40798</v>
      </c>
      <c r="EF450" s="0"/>
      <c r="EG450" s="0" t="n">
        <v>1</v>
      </c>
      <c r="EH450" s="0" t="n">
        <v>12</v>
      </c>
      <c r="EI450" s="0" t="n">
        <f aca="false">IF(AND(DM450=1,DN450&lt;=48),"",IF(AND(DM450=2,DN450&lt;=42),"",IF(AND(DM450=3,DN450&lt;=45),"",EH450)))</f>
        <v>12</v>
      </c>
      <c r="EJ450" s="0" t="n">
        <f aca="false">IF(EI450="","",IF(EI450&lt;9,EI450,9))</f>
        <v>9</v>
      </c>
      <c r="EK450" s="0" t="n">
        <f aca="false">IF(EI450="","",IF(EI450&gt;9,EI450-EJ450,0))</f>
        <v>3</v>
      </c>
      <c r="EL450" s="0" t="n">
        <f aca="false">IF(EI450="","",EJ450*DA450*2+EK450*DA450*3)</f>
        <v>1801.035</v>
      </c>
      <c r="EP450" s="0" t="n">
        <v>0</v>
      </c>
      <c r="EQ450" s="0"/>
      <c r="ER450" s="0" t="n">
        <v>0</v>
      </c>
      <c r="ET450" s="0" t="n">
        <v>1</v>
      </c>
      <c r="EV450" s="0" t="n">
        <v>1</v>
      </c>
      <c r="EX450" s="0" t="n">
        <v>1</v>
      </c>
      <c r="EY450" s="0" t="n">
        <v>1</v>
      </c>
      <c r="EZ450" s="4" t="n">
        <f aca="false">40000</f>
        <v>40000</v>
      </c>
      <c r="FA450" s="4" t="n">
        <f aca="false">30*DI450</f>
        <v>16009.2</v>
      </c>
      <c r="FB450" s="0" t="n">
        <v>1</v>
      </c>
      <c r="FF450" s="120" t="n">
        <f aca="false">(CJ450-CI450+1)/365</f>
        <v>3.85753424657534</v>
      </c>
      <c r="FG450" s="0" t="str">
        <f aca="false">CONCATENATE(F450,"/",G450)</f>
        <v>1652/2011</v>
      </c>
      <c r="FH450" s="0" t="n">
        <v>0</v>
      </c>
      <c r="FI450" s="0" t="n">
        <v>0</v>
      </c>
    </row>
    <row r="451" customFormat="false" ht="15" hidden="false" customHeight="false" outlineLevel="0" collapsed="false">
      <c r="A451" s="5" t="str">
        <f aca="false">E451&amp;G451&amp;F451</f>
        <v>720111642</v>
      </c>
      <c r="B451" s="0" t="s">
        <v>4119</v>
      </c>
      <c r="C451" s="1" t="n">
        <v>42414</v>
      </c>
      <c r="E451" s="0" t="n">
        <v>7</v>
      </c>
      <c r="F451" s="0" t="n">
        <v>1642</v>
      </c>
      <c r="G451" s="0" t="n">
        <v>2011</v>
      </c>
      <c r="H451" s="0" t="str">
        <f aca="false">"J"&amp;E451&amp;"\"&amp;F451&amp;"\"&amp;G451&amp;"\"&amp;W451</f>
        <v>J7\1642\2011\1</v>
      </c>
      <c r="I451" s="0"/>
      <c r="J451" s="1" t="n">
        <v>40809</v>
      </c>
      <c r="K451" s="0" t="n">
        <v>1</v>
      </c>
      <c r="L451" s="0" t="s">
        <v>4279</v>
      </c>
      <c r="M451" s="1" t="n">
        <v>40809</v>
      </c>
      <c r="N451" s="1" t="n">
        <v>41053</v>
      </c>
      <c r="O451" s="1"/>
      <c r="P451" s="1"/>
      <c r="Q451" s="1"/>
      <c r="T451" s="121"/>
      <c r="U451" s="121"/>
      <c r="V451" s="122" t="n">
        <f aca="false">IF(AND(E451&gt;0,F451&gt;0,G451&gt;0),COUNTIFS($E:$E,E451,$F:$F,F451,$G:$G,G451),"")</f>
        <v>1</v>
      </c>
      <c r="W451" s="122" t="n">
        <f aca="false">IF(V451="","",IF(V451=1,1,IF(AND(E450=E451,F450=F451,G450=G451),W450+1,1)))</f>
        <v>1</v>
      </c>
      <c r="X451" s="0" t="n">
        <v>1</v>
      </c>
      <c r="Y451" s="0" t="n">
        <v>5</v>
      </c>
      <c r="Z451" s="0" t="s">
        <v>4280</v>
      </c>
      <c r="AA451" s="0" t="n">
        <v>0</v>
      </c>
      <c r="AB451" s="0" t="s">
        <v>4281</v>
      </c>
      <c r="AC451" s="0" t="s">
        <v>318</v>
      </c>
      <c r="AD451" s="0" t="s">
        <v>229</v>
      </c>
      <c r="AE451" s="0" t="n">
        <v>0</v>
      </c>
      <c r="AF451" s="0" t="s">
        <v>4282</v>
      </c>
      <c r="AG451" s="0" t="n">
        <v>0</v>
      </c>
      <c r="AH451" s="0" t="s">
        <v>3535</v>
      </c>
      <c r="AI451" s="0" t="s">
        <v>4283</v>
      </c>
      <c r="AJ451" s="0" t="s">
        <v>485</v>
      </c>
      <c r="AL451" s="0" t="s">
        <v>4284</v>
      </c>
      <c r="AM451" s="0" t="n">
        <v>1</v>
      </c>
      <c r="AN451" s="0" t="s">
        <v>3535</v>
      </c>
      <c r="AO451" s="0" t="s">
        <v>4283</v>
      </c>
      <c r="AP451" s="0" t="s">
        <v>485</v>
      </c>
      <c r="AR451" s="0" t="s">
        <v>4285</v>
      </c>
      <c r="AS451" s="0" t="n">
        <v>1</v>
      </c>
      <c r="AT451" s="0" t="s">
        <v>3535</v>
      </c>
      <c r="AU451" s="0" t="s">
        <v>4283</v>
      </c>
      <c r="AV451" s="0" t="s">
        <v>485</v>
      </c>
      <c r="AX451" s="0" t="s">
        <v>4286</v>
      </c>
      <c r="AY451" s="0" t="n">
        <v>1</v>
      </c>
      <c r="AZ451" s="0" t="s">
        <v>3535</v>
      </c>
      <c r="BA451" s="0" t="s">
        <v>4283</v>
      </c>
      <c r="BB451" s="0" t="s">
        <v>485</v>
      </c>
      <c r="BP451" s="0" t="n">
        <v>0</v>
      </c>
      <c r="BQ451" s="0" t="n">
        <v>0</v>
      </c>
      <c r="BR451" s="0" t="n">
        <v>1</v>
      </c>
      <c r="BS451" s="0" t="s">
        <v>4287</v>
      </c>
      <c r="BT451" s="0" t="s">
        <v>4288</v>
      </c>
      <c r="BU451" s="0" t="s">
        <v>3158</v>
      </c>
      <c r="BV451" s="123"/>
      <c r="BW451" s="123"/>
      <c r="BX451" s="123"/>
      <c r="BY451" s="123"/>
      <c r="BZ451" s="0" t="n">
        <v>0</v>
      </c>
      <c r="CA451" s="0" t="s">
        <v>4289</v>
      </c>
      <c r="CD451" s="0" t="s">
        <v>885</v>
      </c>
      <c r="CE451" s="0" t="n">
        <v>0</v>
      </c>
      <c r="CF451" s="0" t="s">
        <v>4290</v>
      </c>
      <c r="CI451" s="1" t="n">
        <v>34556</v>
      </c>
      <c r="CJ451" s="1" t="n">
        <v>40778</v>
      </c>
      <c r="CK451" s="124" t="n">
        <v>0.625</v>
      </c>
      <c r="CL451" s="0" t="s">
        <v>4291</v>
      </c>
      <c r="CM451" s="0" t="n">
        <f aca="false">IF(OR(CI451="",CJ451=""),"",DAYS360(CI451,CJ451)/360)</f>
        <v>17.0361111111111</v>
      </c>
      <c r="CN451" s="0" t="n">
        <f aca="false">IF(OR(CI451="",CJ451=""),"",DAYS360(CI451,CJ451)/30)</f>
        <v>204.433333333333</v>
      </c>
      <c r="CO451" s="0" t="n">
        <f aca="false">IF(OR(CI451="",CJ451=""),"",DAYS360(CI451,CJ451)/7)</f>
        <v>876.142857142857</v>
      </c>
      <c r="CP451" s="0" t="n">
        <f aca="false">IF(OR(CI451="",CJ451=""),"",DAYS360(CI451,CJ451))</f>
        <v>6133</v>
      </c>
      <c r="CQ451" s="0" t="s">
        <v>220</v>
      </c>
      <c r="CR451" s="0" t="n">
        <v>1</v>
      </c>
      <c r="CT451" s="0" t="n">
        <v>576</v>
      </c>
      <c r="CU451" s="0" t="n">
        <v>0</v>
      </c>
      <c r="CW451" s="125" t="n">
        <v>1096</v>
      </c>
      <c r="CX451" s="0" t="n">
        <v>0</v>
      </c>
      <c r="CY451" s="0" t="n">
        <f aca="false">IF(CW451="","",IF(CX451=0,CW451,IF(CX451=1,CW451/30,IF(CX451=2,CW451/15,IF(CX451=3,CW451/7,CW451)))))</f>
        <v>1096</v>
      </c>
      <c r="CZ451" s="0" t="n">
        <f aca="false">IF(DI451&gt;0,DI451,IF(CY451&gt;0,CY451,IF(CV451&gt;0,CV451,"")))</f>
        <v>1096</v>
      </c>
      <c r="DA451" s="0" t="n">
        <f aca="false">IF(DM451=1,CZ451/8,IF(OR(DM451=2,DM451=4),CZ451/7,IF(DM451=3,CZ451/7.5,"")))</f>
        <v>146.133333333333</v>
      </c>
      <c r="DB451" s="0" t="s">
        <v>4292</v>
      </c>
      <c r="DC451" s="0" t="s">
        <v>1022</v>
      </c>
      <c r="DD451" s="0" t="s">
        <v>2371</v>
      </c>
      <c r="DE451" s="0" t="s">
        <v>216</v>
      </c>
      <c r="DF451" s="0" t="s">
        <v>216</v>
      </c>
      <c r="DG451" s="0" t="s">
        <v>216</v>
      </c>
      <c r="DH451" s="0" t="n">
        <v>0</v>
      </c>
      <c r="DI451" s="126" t="n">
        <v>1096</v>
      </c>
      <c r="DK451" s="0" t="n">
        <v>0</v>
      </c>
      <c r="DM451" s="0" t="n">
        <v>3</v>
      </c>
      <c r="DN451" s="0" t="n">
        <f aca="false">8*5</f>
        <v>40</v>
      </c>
      <c r="DO451" s="0" t="n">
        <v>3</v>
      </c>
      <c r="DP451" s="0" t="n">
        <v>1</v>
      </c>
      <c r="DQ451" s="0" t="n">
        <v>1</v>
      </c>
      <c r="DR451" s="0"/>
      <c r="DS451" s="0" t="n">
        <v>1</v>
      </c>
      <c r="DU451" s="0" t="n">
        <v>1</v>
      </c>
      <c r="DW451" s="0" t="s">
        <v>216</v>
      </c>
      <c r="DX451" s="0" t="s">
        <v>216</v>
      </c>
      <c r="DY451" s="0" t="s">
        <v>216</v>
      </c>
      <c r="DZ451" s="0" t="s">
        <v>216</v>
      </c>
      <c r="EA451" s="0" t="n">
        <v>0</v>
      </c>
      <c r="EC451" s="0" t="s">
        <v>216</v>
      </c>
      <c r="ED451" s="0" t="s">
        <v>216</v>
      </c>
      <c r="EE451" s="0" t="s">
        <v>216</v>
      </c>
      <c r="EF451" s="0" t="s">
        <v>216</v>
      </c>
      <c r="EG451" s="0" t="n">
        <v>0</v>
      </c>
      <c r="EI451" s="0" t="str">
        <f aca="false">IF(AND(DM451=1,DN451&lt;=48),"",IF(AND(DM451=2,DN451&lt;=42),"",IF(AND(DM451=3,DN451&lt;=45),"",EH451)))</f>
        <v/>
      </c>
      <c r="EJ451" s="0" t="str">
        <f aca="false">IF(EI451="","",IF(EI451&lt;9,EI451,9))</f>
        <v/>
      </c>
      <c r="EK451" s="0" t="str">
        <f aca="false">IF(EI451="","",IF(EI451&gt;9,EI451-EJ451,0))</f>
        <v/>
      </c>
      <c r="EL451" s="0" t="str">
        <f aca="false">IF(EI451="","",EJ451*DA451*2+EK451*DA451*3)</f>
        <v/>
      </c>
      <c r="EP451" s="0" t="n">
        <v>1</v>
      </c>
      <c r="EQ451" s="0"/>
      <c r="ER451" s="0" t="n">
        <v>0</v>
      </c>
      <c r="ET451" s="0" t="n">
        <v>0</v>
      </c>
      <c r="EV451" s="0" t="n">
        <v>0</v>
      </c>
      <c r="EX451" s="0" t="n">
        <v>1</v>
      </c>
      <c r="EY451" s="0" t="n">
        <v>0</v>
      </c>
      <c r="FA451" s="4" t="n">
        <v>300</v>
      </c>
      <c r="FB451" s="0" t="n">
        <v>0</v>
      </c>
      <c r="FF451" s="120" t="n">
        <f aca="false">(CJ451-CI451+1)/365</f>
        <v>17.0493150684932</v>
      </c>
      <c r="FG451" s="0" t="str">
        <f aca="false">CONCATENATE(F451,"/",G451)</f>
        <v>1642/2011</v>
      </c>
      <c r="FH451" s="0" t="n">
        <v>0</v>
      </c>
      <c r="FI451" s="0" t="n">
        <v>0</v>
      </c>
    </row>
    <row r="452" customFormat="false" ht="15" hidden="false" customHeight="false" outlineLevel="0" collapsed="false">
      <c r="A452" s="5" t="str">
        <f aca="false">E452&amp;G452&amp;F452</f>
        <v>720111639</v>
      </c>
      <c r="B452" s="0" t="s">
        <v>4119</v>
      </c>
      <c r="C452" s="1" t="n">
        <v>42414</v>
      </c>
      <c r="D452" s="0" t="s">
        <v>1856</v>
      </c>
      <c r="E452" s="0" t="n">
        <v>7</v>
      </c>
      <c r="F452" s="0" t="n">
        <v>1639</v>
      </c>
      <c r="G452" s="0" t="n">
        <v>2011</v>
      </c>
      <c r="H452" s="0" t="str">
        <f aca="false">"J"&amp;E452&amp;"\"&amp;F452&amp;"\"&amp;G452&amp;"\"&amp;W452</f>
        <v>J7\1639\2011\1</v>
      </c>
      <c r="I452" s="0"/>
      <c r="J452" s="1" t="n">
        <v>40808</v>
      </c>
      <c r="K452" s="0" t="n">
        <v>0</v>
      </c>
      <c r="M452" s="1"/>
      <c r="N452" s="1"/>
      <c r="O452" s="1"/>
      <c r="P452" s="1"/>
      <c r="Q452" s="1"/>
      <c r="T452" s="121"/>
      <c r="U452" s="121"/>
      <c r="V452" s="122" t="n">
        <f aca="false">IF(AND(E452&gt;0,F452&gt;0,G452&gt;0),COUNTIFS($E:$E,E452,$F:$F,F452,$G:$G,G452),"")</f>
        <v>1</v>
      </c>
      <c r="W452" s="122" t="n">
        <f aca="false">IF(V452="","",IF(V452=1,1,IF(AND(E451=E452,F451=F452,G451=G452),W451+1,1)))</f>
        <v>1</v>
      </c>
      <c r="X452" s="0" t="n">
        <v>1</v>
      </c>
      <c r="Y452" s="0" t="n">
        <v>1</v>
      </c>
      <c r="Z452" s="0" t="s">
        <v>4293</v>
      </c>
      <c r="AA452" s="0" t="n">
        <v>0</v>
      </c>
      <c r="AB452" s="0" t="s">
        <v>4294</v>
      </c>
      <c r="AC452" s="0" t="s">
        <v>389</v>
      </c>
      <c r="AD452" s="0" t="s">
        <v>352</v>
      </c>
      <c r="AE452" s="0" t="n">
        <v>0</v>
      </c>
      <c r="AF452" s="0" t="s">
        <v>4295</v>
      </c>
      <c r="AG452" s="0" t="n">
        <v>0</v>
      </c>
      <c r="AH452" s="0" t="s">
        <v>4296</v>
      </c>
      <c r="AI452" s="0" t="s">
        <v>3260</v>
      </c>
      <c r="AJ452" s="0" t="s">
        <v>411</v>
      </c>
      <c r="BP452" s="0" t="n">
        <v>0</v>
      </c>
      <c r="BQ452" s="0" t="n">
        <v>0</v>
      </c>
      <c r="BR452" s="0" t="n">
        <v>1</v>
      </c>
      <c r="BS452" s="0" t="s">
        <v>3434</v>
      </c>
      <c r="BT452" s="0" t="s">
        <v>397</v>
      </c>
      <c r="BU452" s="0" t="s">
        <v>399</v>
      </c>
      <c r="BV452" s="123"/>
      <c r="BW452" s="123"/>
      <c r="BX452" s="123"/>
      <c r="BY452" s="123"/>
      <c r="BZ452" s="0" t="n">
        <v>0</v>
      </c>
      <c r="CA452" s="0" t="s">
        <v>0</v>
      </c>
      <c r="CD452" s="0" t="s">
        <v>1308</v>
      </c>
      <c r="CE452" s="0" t="n">
        <v>0</v>
      </c>
      <c r="CF452" s="0" t="s">
        <v>4297</v>
      </c>
      <c r="CI452" s="1" t="n">
        <v>39278</v>
      </c>
      <c r="CJ452" s="1" t="n">
        <v>40787</v>
      </c>
      <c r="CK452" s="124" t="n">
        <v>0.625</v>
      </c>
      <c r="CL452" s="0" t="s">
        <v>4298</v>
      </c>
      <c r="CM452" s="0" t="n">
        <f aca="false">IF(OR(CI452="",CJ452=""),"",DAYS360(CI452,CJ452)/360)</f>
        <v>4.12777777777778</v>
      </c>
      <c r="CN452" s="0" t="n">
        <f aca="false">IF(OR(CI452="",CJ452=""),"",DAYS360(CI452,CJ452)/30)</f>
        <v>49.5333333333333</v>
      </c>
      <c r="CO452" s="0" t="n">
        <f aca="false">IF(OR(CI452="",CJ452=""),"",DAYS360(CI452,CJ452)/7)</f>
        <v>212.285714285714</v>
      </c>
      <c r="CP452" s="0" t="n">
        <f aca="false">IF(OR(CI452="",CJ452=""),"",DAYS360(CI452,CJ452))</f>
        <v>1486</v>
      </c>
      <c r="CQ452" s="0" t="s">
        <v>240</v>
      </c>
      <c r="CR452" s="0" t="n">
        <v>1</v>
      </c>
      <c r="CT452" s="0" t="n">
        <v>600</v>
      </c>
      <c r="CU452" s="0" t="n">
        <v>0</v>
      </c>
      <c r="CW452" s="125" t="n">
        <v>900</v>
      </c>
      <c r="CX452" s="0" t="n">
        <v>0</v>
      </c>
      <c r="CY452" s="0" t="n">
        <f aca="false">IF(CW452="","",IF(CX452=0,CW452,IF(CX452=1,CW452/30,IF(CX452=2,CW452/15,IF(CX452=3,CW452/7,CW452)))))</f>
        <v>900</v>
      </c>
      <c r="CZ452" s="0" t="n">
        <f aca="false">IF(DI452&gt;0,DI452,IF(CY452&gt;0,CY452,IF(CV452&gt;0,CV452,"")))</f>
        <v>900</v>
      </c>
      <c r="DA452" s="0" t="str">
        <f aca="false">IF(DM452=1,CZ452/8,IF(OR(DM452=2,DM452=4),CZ452/7,IF(DM452=3,CZ452/7.5,"")))</f>
        <v/>
      </c>
      <c r="DB452" s="0" t="s">
        <v>216</v>
      </c>
      <c r="DC452" s="0" t="s">
        <v>216</v>
      </c>
      <c r="DD452" s="0" t="s">
        <v>216</v>
      </c>
      <c r="DE452" s="0" t="s">
        <v>216</v>
      </c>
      <c r="DF452" s="0" t="s">
        <v>216</v>
      </c>
      <c r="DG452" s="0" t="s">
        <v>216</v>
      </c>
      <c r="DH452" s="0" t="n">
        <v>0</v>
      </c>
      <c r="DI452" s="126" t="n">
        <v>900</v>
      </c>
      <c r="DK452" s="0" t="n">
        <v>0</v>
      </c>
      <c r="DM452" s="0" t="s">
        <v>385</v>
      </c>
      <c r="DN452" s="0" t="s">
        <v>221</v>
      </c>
      <c r="DO452" s="0" t="s">
        <v>221</v>
      </c>
      <c r="DP452" s="0" t="n">
        <v>0</v>
      </c>
      <c r="DQ452" s="0" t="n">
        <v>1</v>
      </c>
      <c r="DR452" s="0"/>
      <c r="DS452" s="0" t="n">
        <v>1</v>
      </c>
      <c r="DU452" s="0" t="n">
        <v>0</v>
      </c>
      <c r="DW452" s="1" t="n">
        <v>40009</v>
      </c>
      <c r="DX452" s="1" t="n">
        <v>40787</v>
      </c>
      <c r="DZ452" s="0"/>
      <c r="EA452" s="0" t="n">
        <v>1</v>
      </c>
      <c r="EC452" s="1" t="n">
        <v>40179</v>
      </c>
      <c r="ED452" s="1" t="n">
        <v>40787</v>
      </c>
      <c r="EF452" s="0"/>
      <c r="EG452" s="0" t="n">
        <v>0</v>
      </c>
      <c r="EI452" s="0" t="n">
        <f aca="false">IF(AND(DM452=1,DN452&lt;=48),"",IF(AND(DM452=2,DN452&lt;=42),"",IF(AND(DM452=3,DN452&lt;=45),"",EH452)))</f>
        <v>0</v>
      </c>
      <c r="EJ452" s="0" t="str">
        <f aca="false">IF(EI452="","",IF(EI452&lt;9,EI452,9))</f>
        <v/>
      </c>
      <c r="EK452" s="0" t="str">
        <f aca="false">IF(EI452="","",IF(EI452&gt;9,EI452-EJ452,0))</f>
        <v/>
      </c>
      <c r="EL452" s="0" t="str">
        <f aca="false">IF(EI452="","",EJ452*DA452*2+EK452*DA452*3)</f>
        <v/>
      </c>
      <c r="EP452" s="0" t="n">
        <v>0</v>
      </c>
      <c r="EQ452" s="0"/>
      <c r="ER452" s="0" t="n">
        <v>0</v>
      </c>
      <c r="ET452" s="0" t="n">
        <v>0</v>
      </c>
      <c r="EV452" s="0" t="n">
        <v>0</v>
      </c>
      <c r="EX452" s="0" t="n">
        <v>0</v>
      </c>
      <c r="EY452" s="0" t="n">
        <v>0</v>
      </c>
      <c r="FB452" s="0" t="n">
        <v>1</v>
      </c>
      <c r="FF452" s="120" t="n">
        <f aca="false">(CJ452-CI452+1)/365</f>
        <v>4.13698630136986</v>
      </c>
      <c r="FG452" s="0" t="str">
        <f aca="false">CONCATENATE(F452,"/",G452)</f>
        <v>1639/2011</v>
      </c>
      <c r="FH452" s="0" t="n">
        <v>0</v>
      </c>
      <c r="FI452" s="0" t="n">
        <v>0</v>
      </c>
    </row>
    <row r="453" customFormat="false" ht="15" hidden="false" customHeight="false" outlineLevel="0" collapsed="false">
      <c r="A453" s="5" t="str">
        <f aca="false">E453&amp;G453&amp;F453</f>
        <v>720111638</v>
      </c>
      <c r="B453" s="0" t="s">
        <v>4119</v>
      </c>
      <c r="C453" s="1" t="n">
        <v>42415</v>
      </c>
      <c r="E453" s="0" t="n">
        <v>7</v>
      </c>
      <c r="F453" s="0" t="n">
        <v>1638</v>
      </c>
      <c r="G453" s="0" t="n">
        <v>2011</v>
      </c>
      <c r="H453" s="0" t="str">
        <f aca="false">"J"&amp;E453&amp;"\"&amp;F453&amp;"\"&amp;G453&amp;"\"&amp;W453</f>
        <v>J7\1638\2011\1</v>
      </c>
      <c r="I453" s="0"/>
      <c r="J453" s="1" t="n">
        <v>40808</v>
      </c>
      <c r="M453" s="1"/>
      <c r="N453" s="1"/>
      <c r="O453" s="1"/>
      <c r="P453" s="1"/>
      <c r="Q453" s="1"/>
      <c r="T453" s="121"/>
      <c r="U453" s="121"/>
      <c r="V453" s="122" t="n">
        <f aca="false">IF(AND(E453&gt;0,F453&gt;0,G453&gt;0),COUNTIFS($E:$E,E453,$F:$F,F453,$G:$G,G453),"")</f>
        <v>1</v>
      </c>
      <c r="W453" s="122" t="n">
        <f aca="false">IF(V453="","",IF(V453=1,1,IF(AND(E452=E453,F452=F453,G452=G453),W452+1,1)))</f>
        <v>1</v>
      </c>
      <c r="X453" s="0" t="n">
        <v>1</v>
      </c>
      <c r="Y453" s="0" t="n">
        <v>2</v>
      </c>
      <c r="Z453" s="0" t="s">
        <v>4299</v>
      </c>
      <c r="AA453" s="0" t="n">
        <v>0</v>
      </c>
      <c r="AB453" s="0" t="s">
        <v>4300</v>
      </c>
      <c r="AC453" s="0" t="s">
        <v>2124</v>
      </c>
      <c r="AD453" s="0" t="s">
        <v>322</v>
      </c>
      <c r="AE453" s="0" t="n">
        <v>0</v>
      </c>
      <c r="AF453" s="0" t="s">
        <v>4301</v>
      </c>
      <c r="AG453" s="0" t="n">
        <v>0</v>
      </c>
      <c r="AH453" s="0" t="s">
        <v>4302</v>
      </c>
      <c r="AI453" s="0" t="s">
        <v>1778</v>
      </c>
      <c r="AJ453" s="0" t="s">
        <v>211</v>
      </c>
      <c r="AL453" s="0" t="s">
        <v>4303</v>
      </c>
      <c r="AM453" s="0" t="n">
        <v>1</v>
      </c>
      <c r="AN453" s="0" t="s">
        <v>4302</v>
      </c>
      <c r="AO453" s="0" t="s">
        <v>1778</v>
      </c>
      <c r="AP453" s="0" t="s">
        <v>211</v>
      </c>
      <c r="BP453" s="0" t="n">
        <v>0</v>
      </c>
      <c r="BQ453" s="0" t="n">
        <v>0</v>
      </c>
      <c r="BR453" s="0" t="n">
        <v>1</v>
      </c>
      <c r="BS453" s="0" t="s">
        <v>4304</v>
      </c>
      <c r="BT453" s="0" t="s">
        <v>216</v>
      </c>
      <c r="BU453" s="0" t="s">
        <v>216</v>
      </c>
      <c r="BV453" s="123"/>
      <c r="BW453" s="123"/>
      <c r="BX453" s="123"/>
      <c r="BY453" s="123"/>
      <c r="BZ453" s="0" t="n">
        <v>0</v>
      </c>
      <c r="CA453" s="0" t="s">
        <v>216</v>
      </c>
      <c r="CD453" s="0" t="s">
        <v>256</v>
      </c>
      <c r="CE453" s="0" t="n">
        <v>0</v>
      </c>
      <c r="CF453" s="0" t="s">
        <v>4305</v>
      </c>
      <c r="CI453" s="1" t="n">
        <v>40554</v>
      </c>
      <c r="CJ453" s="1" t="n">
        <v>40709</v>
      </c>
      <c r="CK453" s="124" t="n">
        <v>0.625</v>
      </c>
      <c r="CL453" s="0" t="s">
        <v>4303</v>
      </c>
      <c r="CM453" s="0" t="n">
        <f aca="false">IF(OR(CI453="",CJ453=""),"",DAYS360(CI453,CJ453)/360)</f>
        <v>0.427777777777778</v>
      </c>
      <c r="CN453" s="0" t="n">
        <f aca="false">IF(OR(CI453="",CJ453=""),"",DAYS360(CI453,CJ453)/30)</f>
        <v>5.13333333333333</v>
      </c>
      <c r="CO453" s="0" t="n">
        <f aca="false">IF(OR(CI453="",CJ453=""),"",DAYS360(CI453,CJ453)/7)</f>
        <v>22</v>
      </c>
      <c r="CP453" s="0" t="n">
        <f aca="false">IF(OR(CI453="",CJ453=""),"",DAYS360(CI453,CJ453))</f>
        <v>154</v>
      </c>
      <c r="CQ453" s="0" t="s">
        <v>220</v>
      </c>
      <c r="CR453" s="0" t="n">
        <v>1</v>
      </c>
      <c r="CT453" s="0" t="s">
        <v>221</v>
      </c>
      <c r="CU453" s="0" t="s">
        <v>221</v>
      </c>
      <c r="CW453" s="125" t="n">
        <v>87.17</v>
      </c>
      <c r="CX453" s="0" t="n">
        <v>0</v>
      </c>
      <c r="CY453" s="0" t="n">
        <f aca="false">IF(CW453="","",IF(CX453=0,CW453,IF(CX453=1,CW453/30,IF(CX453=2,CW453/15,IF(CX453=3,CW453/7,CW453)))))</f>
        <v>87.17</v>
      </c>
      <c r="CZ453" s="0" t="n">
        <f aca="false">IF(DI453&gt;0,DI453,IF(CY453&gt;0,CY453,IF(CV453&gt;0,CV453,"")))</f>
        <v>87.17</v>
      </c>
      <c r="DA453" s="0" t="n">
        <f aca="false">IF(DM453=1,CZ453/8,IF(OR(DM453=2,DM453=4),CZ453/7,IF(DM453=3,CZ453/7.5,"")))</f>
        <v>10.89625</v>
      </c>
      <c r="DB453" s="0" t="s">
        <v>216</v>
      </c>
      <c r="DC453" s="0" t="s">
        <v>216</v>
      </c>
      <c r="DD453" s="0" t="s">
        <v>216</v>
      </c>
      <c r="DE453" s="0" t="s">
        <v>216</v>
      </c>
      <c r="DF453" s="0" t="s">
        <v>216</v>
      </c>
      <c r="DG453" s="0" t="s">
        <v>216</v>
      </c>
      <c r="DH453" s="0" t="n">
        <v>0</v>
      </c>
      <c r="DI453" s="126" t="n">
        <v>87.17</v>
      </c>
      <c r="DK453" s="0" t="n">
        <v>1</v>
      </c>
      <c r="DM453" s="0" t="n">
        <v>1</v>
      </c>
      <c r="DN453" s="0" t="n">
        <f aca="false">8*7</f>
        <v>56</v>
      </c>
      <c r="DO453" s="0" t="n">
        <v>3</v>
      </c>
      <c r="DP453" s="0" t="n">
        <v>1</v>
      </c>
      <c r="DQ453" s="0" t="n">
        <v>1</v>
      </c>
      <c r="DR453" s="0"/>
      <c r="DS453" s="0" t="n">
        <v>1</v>
      </c>
      <c r="DU453" s="0" t="n">
        <v>0</v>
      </c>
      <c r="DW453" s="0" t="s">
        <v>216</v>
      </c>
      <c r="DX453" s="0" t="s">
        <v>216</v>
      </c>
      <c r="DY453" s="0" t="s">
        <v>216</v>
      </c>
      <c r="DZ453" s="0" t="s">
        <v>216</v>
      </c>
      <c r="EA453" s="0" t="n">
        <v>0</v>
      </c>
      <c r="EC453" s="0" t="s">
        <v>216</v>
      </c>
      <c r="ED453" s="0" t="s">
        <v>216</v>
      </c>
      <c r="EE453" s="0" t="s">
        <v>216</v>
      </c>
      <c r="EF453" s="0" t="s">
        <v>216</v>
      </c>
      <c r="EG453" s="0" t="n">
        <v>0</v>
      </c>
      <c r="EI453" s="0" t="n">
        <f aca="false">IF(AND(DM453=1,DN453&lt;=48),"",IF(AND(DM453=2,DN453&lt;=42),"",IF(AND(DM453=3,DN453&lt;=45),"",EH453)))</f>
        <v>0</v>
      </c>
      <c r="EJ453" s="0" t="str">
        <f aca="false">IF(EI453="","",IF(EI453&lt;9,EI453,9))</f>
        <v/>
      </c>
      <c r="EK453" s="0" t="str">
        <f aca="false">IF(EI453="","",IF(EI453&gt;9,EI453-EJ453,0))</f>
        <v/>
      </c>
      <c r="EL453" s="0" t="str">
        <f aca="false">IF(EI453="","",EJ453*DA453*2+EK453*DA453*3)</f>
        <v/>
      </c>
      <c r="EP453" s="0" t="n">
        <v>0</v>
      </c>
      <c r="EQ453" s="0"/>
      <c r="ER453" s="0" t="n">
        <v>0</v>
      </c>
      <c r="ET453" s="0" t="n">
        <v>0</v>
      </c>
      <c r="EV453" s="0" t="n">
        <v>0</v>
      </c>
      <c r="EX453" s="0" t="n">
        <v>1</v>
      </c>
      <c r="EY453" s="0" t="n">
        <v>0</v>
      </c>
      <c r="FB453" s="0" t="n">
        <v>0</v>
      </c>
      <c r="FF453" s="120" t="n">
        <f aca="false">(CJ453-CI453+1)/365</f>
        <v>0.427397260273973</v>
      </c>
      <c r="FG453" s="0" t="str">
        <f aca="false">CONCATENATE(F453,"/",G453)</f>
        <v>1638/2011</v>
      </c>
      <c r="FH453" s="0" t="n">
        <v>0</v>
      </c>
      <c r="FI453" s="0" t="n">
        <v>0</v>
      </c>
    </row>
    <row r="454" customFormat="false" ht="15" hidden="false" customHeight="false" outlineLevel="0" collapsed="false">
      <c r="A454" s="5" t="str">
        <f aca="false">E454&amp;G454&amp;F454</f>
        <v>720111628</v>
      </c>
      <c r="B454" s="0" t="s">
        <v>4119</v>
      </c>
      <c r="C454" s="1" t="n">
        <v>42415</v>
      </c>
      <c r="D454" s="0" t="s">
        <v>4306</v>
      </c>
      <c r="E454" s="0" t="n">
        <v>7</v>
      </c>
      <c r="F454" s="0" t="n">
        <v>1628</v>
      </c>
      <c r="G454" s="0" t="n">
        <v>2011</v>
      </c>
      <c r="H454" s="0" t="str">
        <f aca="false">"J"&amp;E454&amp;"\"&amp;F454&amp;"\"&amp;G454&amp;"\"&amp;W454</f>
        <v>J7\1628\2011\1</v>
      </c>
      <c r="I454" s="0"/>
      <c r="J454" s="1" t="n">
        <v>40807</v>
      </c>
      <c r="K454" s="0" t="n">
        <v>0</v>
      </c>
      <c r="M454" s="1"/>
      <c r="N454" s="1"/>
      <c r="O454" s="1"/>
      <c r="P454" s="1"/>
      <c r="Q454" s="1"/>
      <c r="T454" s="121"/>
      <c r="U454" s="121"/>
      <c r="V454" s="122" t="n">
        <f aca="false">IF(AND(E454&gt;0,F454&gt;0,G454&gt;0),COUNTIFS($E:$E,E454,$F:$F,F454,$G:$G,G454),"")</f>
        <v>1</v>
      </c>
      <c r="W454" s="122" t="n">
        <f aca="false">IF(V454="","",IF(V454=1,1,IF(AND(E453=E454,F453=F454,G453=G454),W453+1,1)))</f>
        <v>1</v>
      </c>
      <c r="X454" s="0" t="n">
        <v>1</v>
      </c>
      <c r="Y454" s="0" t="n">
        <v>3</v>
      </c>
      <c r="Z454" s="0" t="s">
        <v>4307</v>
      </c>
      <c r="AA454" s="0" t="n">
        <v>0</v>
      </c>
      <c r="AB454" s="0" t="s">
        <v>505</v>
      </c>
      <c r="AC454" s="0" t="s">
        <v>251</v>
      </c>
      <c r="AD454" s="0" t="s">
        <v>229</v>
      </c>
      <c r="AE454" s="0" t="n">
        <v>0</v>
      </c>
      <c r="AF454" s="0" t="s">
        <v>2992</v>
      </c>
      <c r="AG454" s="0" t="n">
        <v>0</v>
      </c>
      <c r="AH454" s="0" t="s">
        <v>3121</v>
      </c>
      <c r="AI454" s="0" t="s">
        <v>1123</v>
      </c>
      <c r="AJ454" s="0" t="s">
        <v>322</v>
      </c>
      <c r="AL454" s="0" t="s">
        <v>4308</v>
      </c>
      <c r="AM454" s="0" t="n">
        <v>0</v>
      </c>
      <c r="AN454" s="0" t="s">
        <v>4309</v>
      </c>
      <c r="AO454" s="0" t="s">
        <v>1241</v>
      </c>
      <c r="AP454" s="0" t="s">
        <v>352</v>
      </c>
      <c r="AR454" s="0" t="s">
        <v>4310</v>
      </c>
      <c r="AS454" s="0" t="n">
        <v>1</v>
      </c>
      <c r="AT454" s="0" t="s">
        <v>4309</v>
      </c>
      <c r="AU454" s="0" t="s">
        <v>1241</v>
      </c>
      <c r="AV454" s="0" t="s">
        <v>352</v>
      </c>
      <c r="BP454" s="0" t="n">
        <v>0</v>
      </c>
      <c r="BQ454" s="0" t="n">
        <v>0</v>
      </c>
      <c r="BR454" s="0" t="n">
        <v>1</v>
      </c>
      <c r="BS454" s="0" t="s">
        <v>4311</v>
      </c>
      <c r="BT454" s="0" t="s">
        <v>511</v>
      </c>
      <c r="BU454" s="0" t="s">
        <v>512</v>
      </c>
      <c r="BV454" s="123"/>
      <c r="BW454" s="123"/>
      <c r="BX454" s="123"/>
      <c r="BY454" s="123"/>
      <c r="BZ454" s="0" t="n">
        <v>0</v>
      </c>
      <c r="CA454" s="0" t="s">
        <v>4312</v>
      </c>
      <c r="CD454" s="0" t="s">
        <v>216</v>
      </c>
      <c r="CE454" s="0" t="n">
        <v>0</v>
      </c>
      <c r="CF454" s="0" t="s">
        <v>4313</v>
      </c>
      <c r="CI454" s="1" t="n">
        <v>40185</v>
      </c>
      <c r="CJ454" s="1" t="n">
        <v>40756</v>
      </c>
      <c r="CK454" s="124" t="n">
        <v>0.375</v>
      </c>
      <c r="CL454" s="0" t="s">
        <v>4310</v>
      </c>
      <c r="CM454" s="0" t="n">
        <f aca="false">IF(OR(CI454="",CJ454=""),"",DAYS360(CI454,CJ454)/360)</f>
        <v>1.56666666666667</v>
      </c>
      <c r="CN454" s="0" t="n">
        <f aca="false">IF(OR(CI454="",CJ454=""),"",DAYS360(CI454,CJ454)/30)</f>
        <v>18.8</v>
      </c>
      <c r="CO454" s="0" t="n">
        <f aca="false">IF(OR(CI454="",CJ454=""),"",DAYS360(CI454,CJ454)/7)</f>
        <v>80.5714285714286</v>
      </c>
      <c r="CP454" s="0" t="n">
        <f aca="false">IF(OR(CI454="",CJ454=""),"",DAYS360(CI454,CJ454))</f>
        <v>564</v>
      </c>
      <c r="CQ454" s="0" t="s">
        <v>240</v>
      </c>
      <c r="CR454" s="0" t="n">
        <v>1</v>
      </c>
      <c r="CT454" s="0" t="n">
        <v>200</v>
      </c>
      <c r="CU454" s="0" t="n">
        <v>0</v>
      </c>
      <c r="CW454" s="125" t="n">
        <v>300</v>
      </c>
      <c r="CX454" s="0" t="n">
        <v>0</v>
      </c>
      <c r="CY454" s="0" t="n">
        <f aca="false">IF(CW454="","",IF(CX454=0,CW454,IF(CX454=1,CW454/30,IF(CX454=2,CW454/15,IF(CX454=3,CW454/7,CW454)))))</f>
        <v>300</v>
      </c>
      <c r="CZ454" s="0" t="n">
        <f aca="false">IF(DI454&gt;0,DI454,IF(CY454&gt;0,CY454,IF(CV454&gt;0,CV454,"")))</f>
        <v>300</v>
      </c>
      <c r="DA454" s="0" t="n">
        <f aca="false">IF(DM454=1,CZ454/8,IF(OR(DM454=2,DM454=4),CZ454/7,IF(DM454=3,CZ454/7.5,"")))</f>
        <v>37.5</v>
      </c>
      <c r="DB454" s="0" t="s">
        <v>299</v>
      </c>
      <c r="DC454" s="0" t="s">
        <v>258</v>
      </c>
      <c r="DD454" s="0" t="s">
        <v>259</v>
      </c>
      <c r="DE454" s="0" t="s">
        <v>216</v>
      </c>
      <c r="DF454" s="0" t="s">
        <v>216</v>
      </c>
      <c r="DG454" s="0" t="s">
        <v>216</v>
      </c>
      <c r="DH454" s="0" t="n">
        <v>0</v>
      </c>
      <c r="DI454" s="126" t="n">
        <v>300</v>
      </c>
      <c r="DK454" s="0" t="n">
        <v>0</v>
      </c>
      <c r="DM454" s="0" t="n">
        <v>1</v>
      </c>
      <c r="DN454" s="0" t="n">
        <f aca="false">12*6</f>
        <v>72</v>
      </c>
      <c r="DO454" s="0" t="n">
        <v>3</v>
      </c>
      <c r="DP454" s="0" t="n">
        <v>0</v>
      </c>
      <c r="DQ454" s="0" t="n">
        <v>1</v>
      </c>
      <c r="DR454" s="0"/>
      <c r="DS454" s="0" t="n">
        <v>1</v>
      </c>
      <c r="DU454" s="0" t="n">
        <v>1</v>
      </c>
      <c r="DW454" s="1" t="n">
        <v>40185</v>
      </c>
      <c r="DX454" s="1" t="n">
        <v>40756</v>
      </c>
      <c r="DZ454" s="0"/>
      <c r="EA454" s="0" t="n">
        <v>1</v>
      </c>
      <c r="EC454" s="1" t="n">
        <v>40185</v>
      </c>
      <c r="ED454" s="1" t="n">
        <v>40756</v>
      </c>
      <c r="EF454" s="0"/>
      <c r="EG454" s="0" t="n">
        <v>1</v>
      </c>
      <c r="EH454" s="0" t="n">
        <v>18</v>
      </c>
      <c r="EI454" s="0" t="n">
        <f aca="false">IF(AND(DM454=1,DN454&lt;=48),"",IF(AND(DM454=2,DN454&lt;=42),"",IF(AND(DM454=3,DN454&lt;=45),"",EH454)))</f>
        <v>18</v>
      </c>
      <c r="EJ454" s="0" t="n">
        <f aca="false">IF(EI454="","",IF(EI454&lt;9,EI454,9))</f>
        <v>9</v>
      </c>
      <c r="EK454" s="0" t="n">
        <f aca="false">IF(EI454="","",IF(EI454&gt;9,EI454-EJ454,0))</f>
        <v>9</v>
      </c>
      <c r="EL454" s="0" t="n">
        <f aca="false">IF(EI454="","",EJ454*DA454*2+EK454*DA454*3)</f>
        <v>1687.5</v>
      </c>
      <c r="EP454" s="0" t="n">
        <v>0</v>
      </c>
      <c r="EQ454" s="0"/>
      <c r="ER454" s="0" t="n">
        <v>1</v>
      </c>
      <c r="ET454" s="0" t="n">
        <v>1</v>
      </c>
      <c r="EV454" s="0" t="n">
        <v>0</v>
      </c>
      <c r="EX454" s="0" t="n">
        <v>0</v>
      </c>
      <c r="EY454" s="0" t="n">
        <v>0</v>
      </c>
      <c r="FB454" s="0" t="n">
        <v>0</v>
      </c>
      <c r="FF454" s="120" t="n">
        <f aca="false">(CJ454-CI454+1)/365</f>
        <v>1.56712328767123</v>
      </c>
      <c r="FG454" s="0" t="str">
        <f aca="false">CONCATENATE(F454,"/",G454)</f>
        <v>1628/2011</v>
      </c>
      <c r="FH454" s="0" t="n">
        <v>0</v>
      </c>
      <c r="FI454" s="0" t="n">
        <v>0</v>
      </c>
    </row>
    <row r="455" customFormat="false" ht="15" hidden="false" customHeight="false" outlineLevel="0" collapsed="false">
      <c r="A455" s="5" t="str">
        <f aca="false">E455&amp;G455&amp;F455</f>
        <v>720111624</v>
      </c>
      <c r="B455" s="0" t="s">
        <v>4119</v>
      </c>
      <c r="C455" s="1" t="n">
        <v>42415</v>
      </c>
      <c r="D455" s="0" t="s">
        <v>1856</v>
      </c>
      <c r="E455" s="0" t="n">
        <v>7</v>
      </c>
      <c r="F455" s="0" t="n">
        <v>1624</v>
      </c>
      <c r="G455" s="0" t="n">
        <v>2011</v>
      </c>
      <c r="H455" s="0" t="str">
        <f aca="false">"J"&amp;E455&amp;"\"&amp;F455&amp;"\"&amp;G455&amp;"\"&amp;W455</f>
        <v>J7\1624\2011\1</v>
      </c>
      <c r="I455" s="0"/>
      <c r="J455" s="1" t="n">
        <v>40807</v>
      </c>
      <c r="K455" s="0" t="n">
        <v>0</v>
      </c>
      <c r="M455" s="1"/>
      <c r="N455" s="1"/>
      <c r="O455" s="1"/>
      <c r="P455" s="1"/>
      <c r="Q455" s="1"/>
      <c r="T455" s="121"/>
      <c r="U455" s="121"/>
      <c r="V455" s="122" t="n">
        <f aca="false">IF(AND(E455&gt;0,F455&gt;0,G455&gt;0),COUNTIFS($E:$E,E455,$F:$F,F455,$G:$G,G455),"")</f>
        <v>1</v>
      </c>
      <c r="W455" s="122" t="n">
        <f aca="false">IF(V455="","",IF(V455=1,1,IF(AND(E454=E455,F454=F455,G454=G455),W454+1,1)))</f>
        <v>1</v>
      </c>
      <c r="X455" s="0" t="n">
        <v>1</v>
      </c>
      <c r="Y455" s="0" t="n">
        <v>2</v>
      </c>
      <c r="Z455" s="0" t="s">
        <v>4314</v>
      </c>
      <c r="AA455" s="0" t="n">
        <v>0</v>
      </c>
      <c r="AB455" s="0" t="s">
        <v>1812</v>
      </c>
      <c r="AC455" s="0" t="s">
        <v>228</v>
      </c>
      <c r="AD455" s="0" t="s">
        <v>229</v>
      </c>
      <c r="AE455" s="0" t="n">
        <v>0</v>
      </c>
      <c r="AF455" s="0" t="s">
        <v>4315</v>
      </c>
      <c r="AG455" s="0" t="n">
        <v>0</v>
      </c>
      <c r="AH455" s="0" t="s">
        <v>4316</v>
      </c>
      <c r="AI455" s="0" t="s">
        <v>4317</v>
      </c>
      <c r="AJ455" s="0" t="s">
        <v>411</v>
      </c>
      <c r="AL455" s="0" t="s">
        <v>213</v>
      </c>
      <c r="AM455" s="0" t="n">
        <v>1</v>
      </c>
      <c r="AN455" s="0" t="s">
        <v>4316</v>
      </c>
      <c r="AO455" s="0" t="s">
        <v>4317</v>
      </c>
      <c r="AP455" s="0" t="s">
        <v>411</v>
      </c>
      <c r="BP455" s="0" t="n">
        <v>0</v>
      </c>
      <c r="BQ455" s="0" t="n">
        <v>0</v>
      </c>
      <c r="BR455" s="0" t="n">
        <v>3</v>
      </c>
      <c r="BS455" s="0" t="s">
        <v>1154</v>
      </c>
      <c r="BT455" s="0" t="s">
        <v>1818</v>
      </c>
      <c r="BU455" s="0" t="s">
        <v>1841</v>
      </c>
      <c r="BV455" s="123"/>
      <c r="BW455" s="123"/>
      <c r="BX455" s="123"/>
      <c r="BY455" s="123"/>
      <c r="BZ455" s="0" t="n">
        <v>0</v>
      </c>
      <c r="CA455" s="0" t="s">
        <v>348</v>
      </c>
      <c r="CD455" s="0" t="s">
        <v>556</v>
      </c>
      <c r="CE455" s="0" t="n">
        <v>0</v>
      </c>
      <c r="CF455" s="0" t="s">
        <v>269</v>
      </c>
      <c r="CI455" s="1" t="n">
        <v>39887</v>
      </c>
      <c r="CJ455" s="1" t="n">
        <v>40747</v>
      </c>
      <c r="CK455" s="124" t="n">
        <v>0.75</v>
      </c>
      <c r="CL455" s="0" t="s">
        <v>4315</v>
      </c>
      <c r="CM455" s="0" t="n">
        <f aca="false">IF(OR(CI455="",CJ455=""),"",DAYS360(CI455,CJ455)/360)</f>
        <v>2.35555555555556</v>
      </c>
      <c r="CN455" s="0" t="n">
        <f aca="false">IF(OR(CI455="",CJ455=""),"",DAYS360(CI455,CJ455)/30)</f>
        <v>28.2666666666667</v>
      </c>
      <c r="CO455" s="0" t="n">
        <f aca="false">IF(OR(CI455="",CJ455=""),"",DAYS360(CI455,CJ455)/7)</f>
        <v>121.142857142857</v>
      </c>
      <c r="CP455" s="0" t="n">
        <f aca="false">IF(OR(CI455="",CJ455=""),"",DAYS360(CI455,CJ455))</f>
        <v>848</v>
      </c>
      <c r="CQ455" s="0" t="s">
        <v>240</v>
      </c>
      <c r="CR455" s="0" t="n">
        <v>1</v>
      </c>
      <c r="CT455" s="0" t="n">
        <v>150</v>
      </c>
      <c r="CU455" s="0" t="n">
        <v>0</v>
      </c>
      <c r="CW455" s="125" t="n">
        <v>157.19</v>
      </c>
      <c r="CX455" s="0" t="n">
        <v>0</v>
      </c>
      <c r="CY455" s="0" t="n">
        <f aca="false">IF(CW455="","",IF(CX455=0,CW455,IF(CX455=1,CW455/30,IF(CX455=2,CW455/15,IF(CX455=3,CW455/7,CW455)))))</f>
        <v>157.19</v>
      </c>
      <c r="CZ455" s="0" t="n">
        <f aca="false">IF(DI455&gt;0,DI455,IF(CY455&gt;0,CY455,IF(CV455&gt;0,CV455,"")))</f>
        <v>157.19</v>
      </c>
      <c r="DA455" s="0" t="n">
        <f aca="false">IF(DM455=1,CZ455/8,IF(OR(DM455=2,DM455=4),CZ455/7,IF(DM455=3,CZ455/7.5,"")))</f>
        <v>19.64875</v>
      </c>
      <c r="DB455" s="0" t="s">
        <v>303</v>
      </c>
      <c r="DC455" s="0" t="s">
        <v>301</v>
      </c>
      <c r="DD455" s="0" t="s">
        <v>216</v>
      </c>
      <c r="DE455" s="0" t="s">
        <v>216</v>
      </c>
      <c r="DF455" s="0" t="s">
        <v>216</v>
      </c>
      <c r="DG455" s="0" t="s">
        <v>216</v>
      </c>
      <c r="DH455" s="0" t="n">
        <v>0</v>
      </c>
      <c r="DI455" s="126" t="n">
        <v>157.19</v>
      </c>
      <c r="DK455" s="0" t="n">
        <v>0</v>
      </c>
      <c r="DM455" s="0" t="n">
        <v>1</v>
      </c>
      <c r="DN455" s="0" t="n">
        <f aca="false">14*7</f>
        <v>98</v>
      </c>
      <c r="DO455" s="0" t="n">
        <v>3</v>
      </c>
      <c r="DP455" s="0" t="n">
        <v>0</v>
      </c>
      <c r="DQ455" s="0" t="n">
        <v>1</v>
      </c>
      <c r="DR455" s="0"/>
      <c r="DS455" s="0" t="n">
        <v>1</v>
      </c>
      <c r="DU455" s="0" t="n">
        <v>1</v>
      </c>
      <c r="DW455" s="1" t="n">
        <v>39887</v>
      </c>
      <c r="DX455" s="1" t="n">
        <v>40747</v>
      </c>
      <c r="DZ455" s="0"/>
      <c r="EA455" s="0" t="n">
        <v>1</v>
      </c>
      <c r="EC455" s="1" t="n">
        <v>39887</v>
      </c>
      <c r="ED455" s="1" t="n">
        <v>40747</v>
      </c>
      <c r="EF455" s="0"/>
      <c r="EG455" s="0" t="n">
        <v>0</v>
      </c>
      <c r="EI455" s="0" t="n">
        <f aca="false">IF(AND(DM455=1,DN455&lt;=48),"",IF(AND(DM455=2,DN455&lt;=42),"",IF(AND(DM455=3,DN455&lt;=45),"",EH455)))</f>
        <v>0</v>
      </c>
      <c r="EJ455" s="0" t="str">
        <f aca="false">IF(EI455="","",IF(EI455&lt;9,EI455,9))</f>
        <v/>
      </c>
      <c r="EK455" s="0" t="str">
        <f aca="false">IF(EI455="","",IF(EI455&gt;9,EI455-EJ455,0))</f>
        <v/>
      </c>
      <c r="EL455" s="0" t="str">
        <f aca="false">IF(EI455="","",EJ455*DA455*2+EK455*DA455*3)</f>
        <v/>
      </c>
      <c r="EP455" s="0" t="n">
        <v>0</v>
      </c>
      <c r="EQ455" s="0"/>
      <c r="ER455" s="0" t="n">
        <v>0</v>
      </c>
      <c r="ET455" s="0" t="n">
        <v>0</v>
      </c>
      <c r="EV455" s="0" t="n">
        <v>0</v>
      </c>
      <c r="EX455" s="0" t="n">
        <v>0</v>
      </c>
      <c r="EY455" s="0" t="n">
        <v>0</v>
      </c>
      <c r="FB455" s="0" t="n">
        <v>1</v>
      </c>
      <c r="FF455" s="120" t="n">
        <f aca="false">(CJ455-CI455+1)/365</f>
        <v>2.35890410958904</v>
      </c>
      <c r="FG455" s="0" t="str">
        <f aca="false">CONCATENATE(F455,"/",G455)</f>
        <v>1624/2011</v>
      </c>
      <c r="FH455" s="0" t="n">
        <v>0</v>
      </c>
      <c r="FI455" s="0" t="n">
        <v>0</v>
      </c>
    </row>
    <row r="456" customFormat="false" ht="15" hidden="false" customHeight="false" outlineLevel="0" collapsed="false">
      <c r="A456" s="5" t="str">
        <f aca="false">E456&amp;G456&amp;F456</f>
        <v>720111623</v>
      </c>
      <c r="B456" s="0" t="s">
        <v>4119</v>
      </c>
      <c r="C456" s="1" t="n">
        <v>42415</v>
      </c>
      <c r="E456" s="0" t="n">
        <v>7</v>
      </c>
      <c r="F456" s="0" t="n">
        <v>1623</v>
      </c>
      <c r="G456" s="0" t="n">
        <v>2011</v>
      </c>
      <c r="H456" s="0" t="str">
        <f aca="false">"J"&amp;E456&amp;"\"&amp;F456&amp;"\"&amp;G456&amp;"\"&amp;W456</f>
        <v>J7\1623\2011\1</v>
      </c>
      <c r="I456" s="0"/>
      <c r="J456" s="1" t="n">
        <v>40807</v>
      </c>
      <c r="K456" s="0" t="n">
        <v>0</v>
      </c>
      <c r="M456" s="1" t="n">
        <v>40807</v>
      </c>
      <c r="N456" s="1" t="n">
        <v>41050</v>
      </c>
      <c r="O456" s="1"/>
      <c r="P456" s="1"/>
      <c r="Q456" s="1"/>
      <c r="T456" s="121"/>
      <c r="U456" s="121"/>
      <c r="V456" s="122" t="n">
        <f aca="false">IF(AND(E456&gt;0,F456&gt;0,G456&gt;0),COUNTIFS($E:$E,E456,$F:$F,F456,$G:$G,G456),"")</f>
        <v>6</v>
      </c>
      <c r="W456" s="122" t="n">
        <f aca="false">IF(V456="","",IF(V456=1,1,IF(AND(E455=E456,F455=F456,G455=G456),W455+1,1)))</f>
        <v>1</v>
      </c>
      <c r="X456" s="0" t="n">
        <v>6</v>
      </c>
      <c r="Y456" s="0" t="n">
        <v>9</v>
      </c>
      <c r="Z456" s="0" t="s">
        <v>4318</v>
      </c>
      <c r="AA456" s="0" t="n">
        <v>0</v>
      </c>
      <c r="AB456" s="0" t="s">
        <v>4319</v>
      </c>
      <c r="AC456" s="0" t="s">
        <v>4320</v>
      </c>
      <c r="AD456" s="0" t="s">
        <v>485</v>
      </c>
      <c r="AE456" s="0" t="n">
        <v>0</v>
      </c>
      <c r="AF456" s="0" t="s">
        <v>4321</v>
      </c>
      <c r="AG456" s="0" t="n">
        <v>0</v>
      </c>
      <c r="AH456" s="0" t="s">
        <v>4322</v>
      </c>
      <c r="AI456" s="0" t="s">
        <v>2740</v>
      </c>
      <c r="AJ456" s="0" t="s">
        <v>207</v>
      </c>
      <c r="AL456" s="0" t="s">
        <v>4323</v>
      </c>
      <c r="AM456" s="0" t="n">
        <v>0</v>
      </c>
      <c r="AN456" s="0" t="s">
        <v>4322</v>
      </c>
      <c r="AO456" s="0" t="s">
        <v>2740</v>
      </c>
      <c r="AP456" s="0" t="s">
        <v>207</v>
      </c>
      <c r="AR456" s="0" t="s">
        <v>4324</v>
      </c>
      <c r="AS456" s="0" t="n">
        <v>0</v>
      </c>
      <c r="AT456" s="0" t="s">
        <v>4322</v>
      </c>
      <c r="AU456" s="0" t="s">
        <v>2740</v>
      </c>
      <c r="AV456" s="0" t="s">
        <v>207</v>
      </c>
      <c r="AX456" s="0" t="s">
        <v>4325</v>
      </c>
      <c r="AY456" s="0" t="n">
        <v>1</v>
      </c>
      <c r="AZ456" s="0" t="s">
        <v>4322</v>
      </c>
      <c r="BA456" s="0" t="s">
        <v>2740</v>
      </c>
      <c r="BB456" s="0" t="s">
        <v>207</v>
      </c>
      <c r="BD456" s="0" t="s">
        <v>4326</v>
      </c>
      <c r="BF456" s="0" t="s">
        <v>4322</v>
      </c>
      <c r="BG456" s="0" t="s">
        <v>2740</v>
      </c>
      <c r="BH456" s="0" t="s">
        <v>207</v>
      </c>
      <c r="BJ456" s="0" t="s">
        <v>4327</v>
      </c>
      <c r="BL456" s="0" t="s">
        <v>4322</v>
      </c>
      <c r="BM456" s="0" t="s">
        <v>2740</v>
      </c>
      <c r="BN456" s="0" t="s">
        <v>207</v>
      </c>
      <c r="BP456" s="0" t="n">
        <v>0</v>
      </c>
      <c r="BQ456" s="0" t="n">
        <v>0</v>
      </c>
      <c r="BR456" s="0" t="n">
        <v>1</v>
      </c>
      <c r="BS456" s="0" t="s">
        <v>4328</v>
      </c>
      <c r="BT456" s="0" t="s">
        <v>4329</v>
      </c>
      <c r="BU456" s="0" t="s">
        <v>4330</v>
      </c>
      <c r="BV456" s="123"/>
      <c r="BW456" s="123"/>
      <c r="BX456" s="123"/>
      <c r="BY456" s="123"/>
      <c r="BZ456" s="0" t="n">
        <v>0</v>
      </c>
      <c r="CA456" s="0" t="s">
        <v>216</v>
      </c>
      <c r="CD456" s="0" t="s">
        <v>502</v>
      </c>
      <c r="CE456" s="0" t="n">
        <v>0</v>
      </c>
      <c r="CF456" s="0" t="s">
        <v>4331</v>
      </c>
      <c r="CI456" s="1" t="n">
        <v>40075</v>
      </c>
      <c r="CJ456" s="1" t="n">
        <v>40752</v>
      </c>
      <c r="CK456" s="124" t="n">
        <v>0.583333333333333</v>
      </c>
      <c r="CL456" s="0" t="s">
        <v>4332</v>
      </c>
      <c r="CM456" s="0" t="n">
        <f aca="false">IF(OR(CI456="",CJ456=""),"",DAYS360(CI456,CJ456)/360)</f>
        <v>1.85833333333333</v>
      </c>
      <c r="CN456" s="0" t="n">
        <f aca="false">IF(OR(CI456="",CJ456=""),"",DAYS360(CI456,CJ456)/30)</f>
        <v>22.3</v>
      </c>
      <c r="CO456" s="0" t="n">
        <f aca="false">IF(OR(CI456="",CJ456=""),"",DAYS360(CI456,CJ456)/7)</f>
        <v>95.5714285714286</v>
      </c>
      <c r="CP456" s="0" t="n">
        <f aca="false">IF(OR(CI456="",CJ456=""),"",DAYS360(CI456,CJ456))</f>
        <v>669</v>
      </c>
      <c r="CQ456" s="0" t="s">
        <v>220</v>
      </c>
      <c r="CR456" s="0" t="n">
        <v>1</v>
      </c>
      <c r="CT456" s="0" t="s">
        <v>221</v>
      </c>
      <c r="CU456" s="0" t="s">
        <v>221</v>
      </c>
      <c r="CW456" s="125" t="n">
        <v>500</v>
      </c>
      <c r="CX456" s="0" t="n">
        <v>0</v>
      </c>
      <c r="CY456" s="0" t="n">
        <f aca="false">IF(CW456="","",IF(CX456=0,CW456,IF(CX456=1,CW456/30,IF(CX456=2,CW456/15,IF(CX456=3,CW456/7,CW456)))))</f>
        <v>500</v>
      </c>
      <c r="CZ456" s="0" t="n">
        <f aca="false">IF(DI456&gt;0,DI456,IF(CY456&gt;0,CY456,IF(CV456&gt;0,CV456,"")))</f>
        <v>500</v>
      </c>
      <c r="DA456" s="0" t="n">
        <f aca="false">IF(DM456=1,CZ456/8,IF(OR(DM456=2,DM456=4),CZ456/7,IF(DM456=3,CZ456/7.5,"")))</f>
        <v>66.6666666666667</v>
      </c>
      <c r="DB456" s="0" t="s">
        <v>216</v>
      </c>
      <c r="DC456" s="0" t="s">
        <v>216</v>
      </c>
      <c r="DD456" s="0" t="s">
        <v>216</v>
      </c>
      <c r="DE456" s="0" t="s">
        <v>216</v>
      </c>
      <c r="DF456" s="0" t="s">
        <v>216</v>
      </c>
      <c r="DG456" s="0" t="s">
        <v>216</v>
      </c>
      <c r="DH456" s="0" t="n">
        <v>0</v>
      </c>
      <c r="DI456" s="126" t="n">
        <v>500</v>
      </c>
      <c r="DK456" s="0" t="n">
        <v>0</v>
      </c>
      <c r="DM456" s="0" t="n">
        <v>3</v>
      </c>
      <c r="DN456" s="0" t="n">
        <f aca="false">16*6</f>
        <v>96</v>
      </c>
      <c r="DO456" s="0" t="n">
        <v>3</v>
      </c>
      <c r="DP456" s="0" t="n">
        <v>1</v>
      </c>
      <c r="DQ456" s="0" t="n">
        <v>1</v>
      </c>
      <c r="DR456" s="0"/>
      <c r="DS456" s="0" t="n">
        <v>1</v>
      </c>
      <c r="DU456" s="0" t="n">
        <v>1</v>
      </c>
      <c r="DW456" s="1" t="n">
        <v>40075</v>
      </c>
      <c r="DX456" s="1" t="n">
        <v>40752</v>
      </c>
      <c r="DZ456" s="0"/>
      <c r="EA456" s="0" t="n">
        <v>1</v>
      </c>
      <c r="EC456" s="1" t="n">
        <v>40075</v>
      </c>
      <c r="ED456" s="1" t="n">
        <v>40752</v>
      </c>
      <c r="EF456" s="0"/>
      <c r="EG456" s="0" t="n">
        <v>0</v>
      </c>
      <c r="EI456" s="0" t="n">
        <f aca="false">IF(AND(DM456=1,DN456&lt;=48),"",IF(AND(DM456=2,DN456&lt;=42),"",IF(AND(DM456=3,DN456&lt;=45),"",EH456)))</f>
        <v>0</v>
      </c>
      <c r="EJ456" s="0" t="str">
        <f aca="false">IF(EI456="","",IF(EI456&lt;9,EI456,9))</f>
        <v/>
      </c>
      <c r="EK456" s="0" t="str">
        <f aca="false">IF(EI456="","",IF(EI456&gt;9,EI456-EJ456,0))</f>
        <v/>
      </c>
      <c r="EL456" s="0" t="str">
        <f aca="false">IF(EI456="","",EJ456*DA456*2+EK456*DA456*3)</f>
        <v/>
      </c>
      <c r="EP456" s="0" t="n">
        <v>1</v>
      </c>
      <c r="EQ456" s="0"/>
      <c r="ER456" s="0" t="n">
        <v>0</v>
      </c>
      <c r="ET456" s="0" t="n">
        <v>0</v>
      </c>
      <c r="EV456" s="0" t="n">
        <v>0</v>
      </c>
      <c r="EX456" s="0" t="n">
        <v>1</v>
      </c>
      <c r="EY456" s="0" t="n">
        <v>0</v>
      </c>
      <c r="FB456" s="0" t="n">
        <v>1</v>
      </c>
      <c r="FF456" s="120" t="n">
        <f aca="false">(CJ456-CI456+1)/365</f>
        <v>1.85753424657534</v>
      </c>
      <c r="FG456" s="0" t="str">
        <f aca="false">CONCATENATE(F456,"/",G456)</f>
        <v>1623/2011</v>
      </c>
      <c r="FH456" s="0" t="n">
        <v>0</v>
      </c>
      <c r="FI456" s="0" t="n">
        <v>0</v>
      </c>
    </row>
    <row r="457" customFormat="false" ht="15" hidden="false" customHeight="false" outlineLevel="0" collapsed="false">
      <c r="A457" s="5" t="str">
        <f aca="false">E457&amp;G457&amp;F457</f>
        <v>720111623</v>
      </c>
      <c r="B457" s="0" t="s">
        <v>4119</v>
      </c>
      <c r="C457" s="1" t="n">
        <v>42415</v>
      </c>
      <c r="E457" s="0" t="n">
        <v>7</v>
      </c>
      <c r="F457" s="0" t="n">
        <v>1623</v>
      </c>
      <c r="G457" s="0" t="n">
        <v>2011</v>
      </c>
      <c r="H457" s="0" t="str">
        <f aca="false">"J"&amp;E457&amp;"\"&amp;F457&amp;"\"&amp;G457&amp;"\"&amp;W457</f>
        <v>J7\1623\2011\2</v>
      </c>
      <c r="I457" s="0"/>
      <c r="J457" s="1" t="n">
        <v>40807</v>
      </c>
      <c r="K457" s="0" t="n">
        <v>0</v>
      </c>
      <c r="M457" s="1" t="n">
        <v>40807</v>
      </c>
      <c r="N457" s="1" t="n">
        <v>41050</v>
      </c>
      <c r="O457" s="1"/>
      <c r="P457" s="1"/>
      <c r="Q457" s="1"/>
      <c r="T457" s="121"/>
      <c r="U457" s="121"/>
      <c r="V457" s="122" t="n">
        <f aca="false">IF(AND(E457&gt;0,F457&gt;0,G457&gt;0),COUNTIFS($E:$E,E457,$F:$F,F457,$G:$G,G457),"")</f>
        <v>6</v>
      </c>
      <c r="W457" s="122" t="n">
        <f aca="false">IF(V457="","",IF(V457=1,1,IF(AND(E456=E457,F456=F457,G456=G457),W456+1,1)))</f>
        <v>2</v>
      </c>
      <c r="X457" s="0" t="n">
        <v>6</v>
      </c>
      <c r="Y457" s="0" t="n">
        <v>9</v>
      </c>
      <c r="Z457" s="0" t="s">
        <v>4333</v>
      </c>
      <c r="AA457" s="0" t="n">
        <v>0</v>
      </c>
      <c r="AB457" s="0" t="s">
        <v>4319</v>
      </c>
      <c r="AC457" s="0" t="s">
        <v>4320</v>
      </c>
      <c r="AD457" s="0" t="s">
        <v>485</v>
      </c>
      <c r="AE457" s="0" t="n">
        <v>0</v>
      </c>
      <c r="AF457" s="0" t="s">
        <v>4321</v>
      </c>
      <c r="AG457" s="0" t="n">
        <v>0</v>
      </c>
      <c r="AH457" s="0" t="s">
        <v>4322</v>
      </c>
      <c r="AI457" s="0" t="s">
        <v>2740</v>
      </c>
      <c r="AJ457" s="0" t="s">
        <v>207</v>
      </c>
      <c r="AL457" s="0" t="s">
        <v>4323</v>
      </c>
      <c r="AM457" s="0" t="n">
        <v>0</v>
      </c>
      <c r="AN457" s="0" t="s">
        <v>4322</v>
      </c>
      <c r="AO457" s="0" t="s">
        <v>2740</v>
      </c>
      <c r="AP457" s="0" t="s">
        <v>207</v>
      </c>
      <c r="AR457" s="0" t="s">
        <v>4324</v>
      </c>
      <c r="AS457" s="0" t="n">
        <v>0</v>
      </c>
      <c r="AT457" s="0" t="s">
        <v>4322</v>
      </c>
      <c r="AU457" s="0" t="s">
        <v>2740</v>
      </c>
      <c r="AV457" s="0" t="s">
        <v>207</v>
      </c>
      <c r="AX457" s="0" t="s">
        <v>4325</v>
      </c>
      <c r="AY457" s="0" t="n">
        <v>1</v>
      </c>
      <c r="AZ457" s="0" t="s">
        <v>4322</v>
      </c>
      <c r="BA457" s="0" t="s">
        <v>2740</v>
      </c>
      <c r="BB457" s="0" t="s">
        <v>207</v>
      </c>
      <c r="BD457" s="0" t="s">
        <v>4326</v>
      </c>
      <c r="BF457" s="0" t="s">
        <v>4322</v>
      </c>
      <c r="BG457" s="0" t="s">
        <v>2740</v>
      </c>
      <c r="BH457" s="0" t="s">
        <v>207</v>
      </c>
      <c r="BJ457" s="0" t="s">
        <v>4327</v>
      </c>
      <c r="BL457" s="0" t="s">
        <v>4322</v>
      </c>
      <c r="BM457" s="0" t="s">
        <v>2740</v>
      </c>
      <c r="BN457" s="0" t="s">
        <v>207</v>
      </c>
      <c r="BP457" s="0" t="n">
        <v>0</v>
      </c>
      <c r="BQ457" s="0" t="n">
        <v>0</v>
      </c>
      <c r="BR457" s="0" t="n">
        <v>1</v>
      </c>
      <c r="BS457" s="0" t="s">
        <v>4328</v>
      </c>
      <c r="BT457" s="0" t="s">
        <v>4329</v>
      </c>
      <c r="BU457" s="0" t="s">
        <v>4330</v>
      </c>
      <c r="BV457" s="123"/>
      <c r="BW457" s="123"/>
      <c r="BX457" s="123"/>
      <c r="BY457" s="123"/>
      <c r="BZ457" s="0" t="n">
        <v>0</v>
      </c>
      <c r="CA457" s="0" t="s">
        <v>216</v>
      </c>
      <c r="CD457" s="0" t="s">
        <v>502</v>
      </c>
      <c r="CE457" s="0" t="n">
        <v>0</v>
      </c>
      <c r="CF457" s="0" t="s">
        <v>4331</v>
      </c>
      <c r="CI457" s="1" t="n">
        <v>40546</v>
      </c>
      <c r="CJ457" s="1" t="n">
        <v>40752</v>
      </c>
      <c r="CK457" s="124" t="n">
        <v>0.583333333333333</v>
      </c>
      <c r="CL457" s="0" t="s">
        <v>4332</v>
      </c>
      <c r="CM457" s="0" t="n">
        <f aca="false">IF(OR(CI457="",CJ457=""),"",DAYS360(CI457,CJ457)/360)</f>
        <v>0.569444444444444</v>
      </c>
      <c r="CN457" s="0" t="n">
        <f aca="false">IF(OR(CI457="",CJ457=""),"",DAYS360(CI457,CJ457)/30)</f>
        <v>6.83333333333333</v>
      </c>
      <c r="CO457" s="0" t="n">
        <f aca="false">IF(OR(CI457="",CJ457=""),"",DAYS360(CI457,CJ457)/7)</f>
        <v>29.2857142857143</v>
      </c>
      <c r="CP457" s="0" t="n">
        <f aca="false">IF(OR(CI457="",CJ457=""),"",DAYS360(CI457,CJ457))</f>
        <v>205</v>
      </c>
      <c r="CQ457" s="0" t="s">
        <v>220</v>
      </c>
      <c r="CR457" s="0" t="n">
        <v>1</v>
      </c>
      <c r="CT457" s="0" t="s">
        <v>221</v>
      </c>
      <c r="CU457" s="0" t="s">
        <v>221</v>
      </c>
      <c r="CW457" s="125" t="n">
        <v>500</v>
      </c>
      <c r="CX457" s="0" t="n">
        <v>0</v>
      </c>
      <c r="CY457" s="0" t="n">
        <f aca="false">IF(CW457="","",IF(CX457=0,CW457,IF(CX457=1,CW457/30,IF(CX457=2,CW457/15,IF(CX457=3,CW457/7,CW457)))))</f>
        <v>500</v>
      </c>
      <c r="CZ457" s="0" t="n">
        <f aca="false">IF(DI457&gt;0,DI457,IF(CY457&gt;0,CY457,IF(CV457&gt;0,CV457,"")))</f>
        <v>500</v>
      </c>
      <c r="DA457" s="0" t="n">
        <f aca="false">IF(DM457=1,CZ457/8,IF(OR(DM457=2,DM457=4),CZ457/7,IF(DM457=3,CZ457/7.5,"")))</f>
        <v>66.6666666666667</v>
      </c>
      <c r="DB457" s="0" t="s">
        <v>216</v>
      </c>
      <c r="DC457" s="0" t="s">
        <v>216</v>
      </c>
      <c r="DD457" s="0" t="s">
        <v>216</v>
      </c>
      <c r="DE457" s="0" t="s">
        <v>216</v>
      </c>
      <c r="DF457" s="0" t="s">
        <v>216</v>
      </c>
      <c r="DG457" s="0" t="s">
        <v>216</v>
      </c>
      <c r="DH457" s="0" t="n">
        <v>0</v>
      </c>
      <c r="DI457" s="126" t="n">
        <v>500</v>
      </c>
      <c r="DK457" s="0" t="n">
        <v>0</v>
      </c>
      <c r="DM457" s="0" t="n">
        <v>3</v>
      </c>
      <c r="DN457" s="0" t="n">
        <f aca="false">16*6</f>
        <v>96</v>
      </c>
      <c r="DO457" s="0" t="n">
        <v>3</v>
      </c>
      <c r="DP457" s="0" t="n">
        <v>1</v>
      </c>
      <c r="DQ457" s="0" t="n">
        <v>1</v>
      </c>
      <c r="DR457" s="0"/>
      <c r="DS457" s="0" t="n">
        <v>1</v>
      </c>
      <c r="DU457" s="0" t="n">
        <v>1</v>
      </c>
      <c r="DW457" s="1" t="n">
        <v>40546</v>
      </c>
      <c r="DX457" s="1" t="n">
        <v>40752</v>
      </c>
      <c r="DZ457" s="0"/>
      <c r="EA457" s="0" t="n">
        <v>1</v>
      </c>
      <c r="EC457" s="1" t="n">
        <v>40546</v>
      </c>
      <c r="ED457" s="1" t="n">
        <v>40752</v>
      </c>
      <c r="EF457" s="0"/>
      <c r="EG457" s="0" t="n">
        <v>0</v>
      </c>
      <c r="EI457" s="0" t="n">
        <f aca="false">IF(AND(DM457=1,DN457&lt;=48),"",IF(AND(DM457=2,DN457&lt;=42),"",IF(AND(DM457=3,DN457&lt;=45),"",EH457)))</f>
        <v>0</v>
      </c>
      <c r="EJ457" s="0" t="str">
        <f aca="false">IF(EI457="","",IF(EI457&lt;9,EI457,9))</f>
        <v/>
      </c>
      <c r="EK457" s="0" t="str">
        <f aca="false">IF(EI457="","",IF(EI457&gt;9,EI457-EJ457,0))</f>
        <v/>
      </c>
      <c r="EL457" s="0" t="str">
        <f aca="false">IF(EI457="","",EJ457*DA457*2+EK457*DA457*3)</f>
        <v/>
      </c>
      <c r="EP457" s="0" t="n">
        <v>1</v>
      </c>
      <c r="EQ457" s="0"/>
      <c r="ER457" s="0" t="n">
        <v>0</v>
      </c>
      <c r="ET457" s="0" t="n">
        <v>0</v>
      </c>
      <c r="EV457" s="0" t="n">
        <v>0</v>
      </c>
      <c r="EX457" s="0" t="n">
        <v>1</v>
      </c>
      <c r="EY457" s="0" t="n">
        <v>0</v>
      </c>
      <c r="FB457" s="0" t="n">
        <v>1</v>
      </c>
      <c r="FF457" s="120" t="n">
        <f aca="false">(CJ457-CI457+1)/365</f>
        <v>0.567123287671233</v>
      </c>
      <c r="FG457" s="0" t="str">
        <f aca="false">CONCATENATE(F457,"/",G457)</f>
        <v>1623/2011</v>
      </c>
      <c r="FH457" s="0" t="n">
        <v>0</v>
      </c>
      <c r="FI457" s="0" t="n">
        <v>0</v>
      </c>
    </row>
    <row r="458" customFormat="false" ht="15" hidden="false" customHeight="false" outlineLevel="0" collapsed="false">
      <c r="A458" s="5" t="str">
        <f aca="false">E458&amp;G458&amp;F458</f>
        <v>720111623</v>
      </c>
      <c r="B458" s="0" t="s">
        <v>4119</v>
      </c>
      <c r="C458" s="1" t="n">
        <v>42415</v>
      </c>
      <c r="E458" s="0" t="n">
        <v>7</v>
      </c>
      <c r="F458" s="0" t="n">
        <v>1623</v>
      </c>
      <c r="G458" s="0" t="n">
        <v>2011</v>
      </c>
      <c r="H458" s="0" t="str">
        <f aca="false">"J"&amp;E458&amp;"\"&amp;F458&amp;"\"&amp;G458&amp;"\"&amp;W458</f>
        <v>J7\1623\2011\3</v>
      </c>
      <c r="I458" s="0"/>
      <c r="J458" s="1" t="n">
        <v>40807</v>
      </c>
      <c r="K458" s="0" t="n">
        <v>0</v>
      </c>
      <c r="M458" s="1" t="n">
        <v>40807</v>
      </c>
      <c r="N458" s="1" t="n">
        <v>41050</v>
      </c>
      <c r="O458" s="1"/>
      <c r="P458" s="1"/>
      <c r="Q458" s="1"/>
      <c r="T458" s="121"/>
      <c r="U458" s="121"/>
      <c r="V458" s="122" t="n">
        <f aca="false">IF(AND(E458&gt;0,F458&gt;0,G458&gt;0),COUNTIFS($E:$E,E458,$F:$F,F458,$G:$G,G458),"")</f>
        <v>6</v>
      </c>
      <c r="W458" s="122" t="n">
        <f aca="false">IF(V458="","",IF(V458=1,1,IF(AND(E457=E458,F457=F458,G457=G458),W457+1,1)))</f>
        <v>3</v>
      </c>
      <c r="X458" s="0" t="n">
        <v>6</v>
      </c>
      <c r="Y458" s="0" t="n">
        <v>9</v>
      </c>
      <c r="Z458" s="0" t="s">
        <v>4334</v>
      </c>
      <c r="AA458" s="0" t="n">
        <v>0</v>
      </c>
      <c r="AB458" s="0" t="s">
        <v>4319</v>
      </c>
      <c r="AC458" s="0" t="s">
        <v>4320</v>
      </c>
      <c r="AD458" s="0" t="s">
        <v>485</v>
      </c>
      <c r="AE458" s="0" t="n">
        <v>0</v>
      </c>
      <c r="AF458" s="0" t="s">
        <v>4321</v>
      </c>
      <c r="AG458" s="0" t="n">
        <v>0</v>
      </c>
      <c r="AH458" s="0" t="s">
        <v>4322</v>
      </c>
      <c r="AI458" s="0" t="s">
        <v>2740</v>
      </c>
      <c r="AJ458" s="0" t="s">
        <v>207</v>
      </c>
      <c r="AL458" s="0" t="s">
        <v>4323</v>
      </c>
      <c r="AM458" s="0" t="n">
        <v>0</v>
      </c>
      <c r="AN458" s="0" t="s">
        <v>4322</v>
      </c>
      <c r="AO458" s="0" t="s">
        <v>2740</v>
      </c>
      <c r="AP458" s="0" t="s">
        <v>207</v>
      </c>
      <c r="AR458" s="0" t="s">
        <v>4324</v>
      </c>
      <c r="AS458" s="0" t="n">
        <v>0</v>
      </c>
      <c r="AT458" s="0" t="s">
        <v>4322</v>
      </c>
      <c r="AU458" s="0" t="s">
        <v>2740</v>
      </c>
      <c r="AV458" s="0" t="s">
        <v>207</v>
      </c>
      <c r="AX458" s="0" t="s">
        <v>4325</v>
      </c>
      <c r="AY458" s="0" t="n">
        <v>1</v>
      </c>
      <c r="AZ458" s="0" t="s">
        <v>4322</v>
      </c>
      <c r="BA458" s="0" t="s">
        <v>2740</v>
      </c>
      <c r="BB458" s="0" t="s">
        <v>207</v>
      </c>
      <c r="BD458" s="0" t="s">
        <v>4326</v>
      </c>
      <c r="BF458" s="0" t="s">
        <v>4322</v>
      </c>
      <c r="BG458" s="0" t="s">
        <v>2740</v>
      </c>
      <c r="BH458" s="0" t="s">
        <v>207</v>
      </c>
      <c r="BJ458" s="0" t="s">
        <v>4327</v>
      </c>
      <c r="BL458" s="0" t="s">
        <v>4322</v>
      </c>
      <c r="BM458" s="0" t="s">
        <v>2740</v>
      </c>
      <c r="BN458" s="0" t="s">
        <v>207</v>
      </c>
      <c r="BP458" s="0" t="n">
        <v>0</v>
      </c>
      <c r="BQ458" s="0" t="n">
        <v>0</v>
      </c>
      <c r="BR458" s="0" t="n">
        <v>1</v>
      </c>
      <c r="BS458" s="0" t="s">
        <v>4328</v>
      </c>
      <c r="BT458" s="0" t="s">
        <v>4329</v>
      </c>
      <c r="BU458" s="0" t="s">
        <v>4330</v>
      </c>
      <c r="BV458" s="123"/>
      <c r="BW458" s="123"/>
      <c r="BX458" s="123"/>
      <c r="BY458" s="123"/>
      <c r="BZ458" s="0" t="n">
        <v>0</v>
      </c>
      <c r="CA458" s="0" t="s">
        <v>216</v>
      </c>
      <c r="CD458" s="0" t="s">
        <v>502</v>
      </c>
      <c r="CE458" s="0" t="n">
        <v>0</v>
      </c>
      <c r="CF458" s="0" t="s">
        <v>4331</v>
      </c>
      <c r="CI458" s="1" t="n">
        <v>40463</v>
      </c>
      <c r="CJ458" s="1" t="n">
        <v>40752</v>
      </c>
      <c r="CK458" s="124" t="n">
        <v>0.583333333333333</v>
      </c>
      <c r="CL458" s="0" t="s">
        <v>4332</v>
      </c>
      <c r="CM458" s="0" t="n">
        <f aca="false">IF(OR(CI458="",CJ458=""),"",DAYS360(CI458,CJ458)/360)</f>
        <v>0.794444444444444</v>
      </c>
      <c r="CN458" s="0" t="n">
        <f aca="false">IF(OR(CI458="",CJ458=""),"",DAYS360(CI458,CJ458)/30)</f>
        <v>9.53333333333333</v>
      </c>
      <c r="CO458" s="0" t="n">
        <f aca="false">IF(OR(CI458="",CJ458=""),"",DAYS360(CI458,CJ458)/7)</f>
        <v>40.8571428571429</v>
      </c>
      <c r="CP458" s="0" t="n">
        <f aca="false">IF(OR(CI458="",CJ458=""),"",DAYS360(CI458,CJ458))</f>
        <v>286</v>
      </c>
      <c r="CQ458" s="0" t="s">
        <v>220</v>
      </c>
      <c r="CR458" s="0" t="n">
        <v>1</v>
      </c>
      <c r="CT458" s="0" t="s">
        <v>221</v>
      </c>
      <c r="CU458" s="0" t="s">
        <v>221</v>
      </c>
      <c r="CW458" s="125" t="n">
        <v>500</v>
      </c>
      <c r="CX458" s="0" t="n">
        <v>0</v>
      </c>
      <c r="CY458" s="0" t="n">
        <f aca="false">IF(CW458="","",IF(CX458=0,CW458,IF(CX458=1,CW458/30,IF(CX458=2,CW458/15,IF(CX458=3,CW458/7,CW458)))))</f>
        <v>500</v>
      </c>
      <c r="CZ458" s="0" t="n">
        <f aca="false">IF(DI458&gt;0,DI458,IF(CY458&gt;0,CY458,IF(CV458&gt;0,CV458,"")))</f>
        <v>500</v>
      </c>
      <c r="DA458" s="0" t="n">
        <f aca="false">IF(DM458=1,CZ458/8,IF(OR(DM458=2,DM458=4),CZ458/7,IF(DM458=3,CZ458/7.5,"")))</f>
        <v>66.6666666666667</v>
      </c>
      <c r="DB458" s="0" t="s">
        <v>216</v>
      </c>
      <c r="DC458" s="0" t="s">
        <v>216</v>
      </c>
      <c r="DD458" s="0" t="s">
        <v>216</v>
      </c>
      <c r="DE458" s="0" t="s">
        <v>216</v>
      </c>
      <c r="DF458" s="0" t="s">
        <v>216</v>
      </c>
      <c r="DG458" s="0" t="s">
        <v>216</v>
      </c>
      <c r="DH458" s="0" t="n">
        <v>0</v>
      </c>
      <c r="DI458" s="126" t="n">
        <v>500</v>
      </c>
      <c r="DK458" s="0" t="n">
        <v>0</v>
      </c>
      <c r="DM458" s="0" t="n">
        <v>3</v>
      </c>
      <c r="DN458" s="0" t="n">
        <f aca="false">16*6</f>
        <v>96</v>
      </c>
      <c r="DO458" s="0" t="n">
        <v>3</v>
      </c>
      <c r="DP458" s="0" t="n">
        <v>1</v>
      </c>
      <c r="DQ458" s="0" t="n">
        <v>1</v>
      </c>
      <c r="DR458" s="0"/>
      <c r="DS458" s="0" t="n">
        <v>1</v>
      </c>
      <c r="DU458" s="0" t="n">
        <v>1</v>
      </c>
      <c r="DW458" s="1" t="n">
        <v>40463</v>
      </c>
      <c r="DX458" s="1" t="n">
        <v>40752</v>
      </c>
      <c r="DZ458" s="0"/>
      <c r="EA458" s="0" t="n">
        <v>1</v>
      </c>
      <c r="EC458" s="1" t="n">
        <v>40463</v>
      </c>
      <c r="ED458" s="1" t="n">
        <v>40752</v>
      </c>
      <c r="EF458" s="0"/>
      <c r="EG458" s="0" t="n">
        <v>0</v>
      </c>
      <c r="EI458" s="0" t="n">
        <f aca="false">IF(AND(DM458=1,DN458&lt;=48),"",IF(AND(DM458=2,DN458&lt;=42),"",IF(AND(DM458=3,DN458&lt;=45),"",EH458)))</f>
        <v>0</v>
      </c>
      <c r="EJ458" s="0" t="str">
        <f aca="false">IF(EI458="","",IF(EI458&lt;9,EI458,9))</f>
        <v/>
      </c>
      <c r="EK458" s="0" t="str">
        <f aca="false">IF(EI458="","",IF(EI458&gt;9,EI458-EJ458,0))</f>
        <v/>
      </c>
      <c r="EL458" s="0" t="str">
        <f aca="false">IF(EI458="","",EJ458*DA458*2+EK458*DA458*3)</f>
        <v/>
      </c>
      <c r="EP458" s="0" t="n">
        <v>1</v>
      </c>
      <c r="EQ458" s="0"/>
      <c r="ER458" s="0" t="n">
        <v>0</v>
      </c>
      <c r="ET458" s="0" t="n">
        <v>0</v>
      </c>
      <c r="EV458" s="0" t="n">
        <v>0</v>
      </c>
      <c r="EX458" s="0" t="n">
        <v>1</v>
      </c>
      <c r="EY458" s="0" t="n">
        <v>0</v>
      </c>
      <c r="FB458" s="0" t="n">
        <v>1</v>
      </c>
      <c r="FF458" s="120" t="n">
        <f aca="false">(CJ458-CI458+1)/365</f>
        <v>0.794520547945205</v>
      </c>
      <c r="FG458" s="0" t="str">
        <f aca="false">CONCATENATE(F458,"/",G458)</f>
        <v>1623/2011</v>
      </c>
      <c r="FH458" s="0" t="n">
        <v>0</v>
      </c>
      <c r="FI458" s="0" t="n">
        <v>0</v>
      </c>
    </row>
    <row r="459" customFormat="false" ht="15" hidden="false" customHeight="false" outlineLevel="0" collapsed="false">
      <c r="A459" s="5" t="str">
        <f aca="false">E459&amp;G459&amp;F459</f>
        <v>720111623</v>
      </c>
      <c r="B459" s="0" t="s">
        <v>4119</v>
      </c>
      <c r="C459" s="1" t="n">
        <v>42415</v>
      </c>
      <c r="E459" s="0" t="n">
        <v>7</v>
      </c>
      <c r="F459" s="0" t="n">
        <v>1623</v>
      </c>
      <c r="G459" s="0" t="n">
        <v>2011</v>
      </c>
      <c r="H459" s="0" t="str">
        <f aca="false">"J"&amp;E459&amp;"\"&amp;F459&amp;"\"&amp;G459&amp;"\"&amp;W459</f>
        <v>J7\1623\2011\4</v>
      </c>
      <c r="J459" s="1" t="n">
        <v>40807</v>
      </c>
      <c r="K459" s="0" t="n">
        <v>0</v>
      </c>
      <c r="M459" s="1" t="n">
        <v>40807</v>
      </c>
      <c r="N459" s="1" t="n">
        <v>41050</v>
      </c>
      <c r="V459" s="122" t="n">
        <f aca="false">IF(AND(E459&gt;0,F459&gt;0,G459&gt;0),COUNTIFS($E:$E,E459,$F:$F,F459,$G:$G,G459),"")</f>
        <v>6</v>
      </c>
      <c r="W459" s="122" t="n">
        <f aca="false">IF(V459="","",IF(V459=1,1,IF(AND(E458=E459,F458=F459,G458=G459),W458+1,1)))</f>
        <v>4</v>
      </c>
      <c r="X459" s="0" t="n">
        <v>6</v>
      </c>
      <c r="Y459" s="0" t="n">
        <v>9</v>
      </c>
      <c r="Z459" s="0" t="s">
        <v>4335</v>
      </c>
      <c r="AA459" s="0" t="n">
        <v>0</v>
      </c>
      <c r="AB459" s="0" t="s">
        <v>4319</v>
      </c>
      <c r="AC459" s="0" t="s">
        <v>4320</v>
      </c>
      <c r="AD459" s="0" t="s">
        <v>485</v>
      </c>
      <c r="AE459" s="0" t="n">
        <v>0</v>
      </c>
      <c r="AF459" s="0" t="s">
        <v>4321</v>
      </c>
      <c r="AG459" s="0" t="n">
        <v>0</v>
      </c>
      <c r="AH459" s="0" t="s">
        <v>4322</v>
      </c>
      <c r="AI459" s="0" t="s">
        <v>2740</v>
      </c>
      <c r="AJ459" s="0" t="s">
        <v>207</v>
      </c>
      <c r="AL459" s="0" t="s">
        <v>4323</v>
      </c>
      <c r="AM459" s="0" t="n">
        <v>0</v>
      </c>
      <c r="AN459" s="0" t="s">
        <v>4322</v>
      </c>
      <c r="AO459" s="0" t="s">
        <v>2740</v>
      </c>
      <c r="AP459" s="0" t="s">
        <v>207</v>
      </c>
      <c r="AR459" s="0" t="s">
        <v>4324</v>
      </c>
      <c r="AS459" s="0" t="n">
        <v>0</v>
      </c>
      <c r="AT459" s="0" t="s">
        <v>4322</v>
      </c>
      <c r="AU459" s="0" t="s">
        <v>2740</v>
      </c>
      <c r="AV459" s="0" t="s">
        <v>207</v>
      </c>
      <c r="AX459" s="0" t="s">
        <v>4325</v>
      </c>
      <c r="AY459" s="0" t="n">
        <v>1</v>
      </c>
      <c r="AZ459" s="0" t="s">
        <v>4322</v>
      </c>
      <c r="BA459" s="0" t="s">
        <v>2740</v>
      </c>
      <c r="BB459" s="0" t="s">
        <v>207</v>
      </c>
      <c r="BD459" s="0" t="s">
        <v>4326</v>
      </c>
      <c r="BF459" s="0" t="s">
        <v>4322</v>
      </c>
      <c r="BG459" s="0" t="s">
        <v>2740</v>
      </c>
      <c r="BH459" s="0" t="s">
        <v>207</v>
      </c>
      <c r="BJ459" s="0" t="s">
        <v>4327</v>
      </c>
      <c r="BL459" s="0" t="s">
        <v>4322</v>
      </c>
      <c r="BM459" s="0" t="s">
        <v>2740</v>
      </c>
      <c r="BN459" s="0" t="s">
        <v>207</v>
      </c>
      <c r="BP459" s="0" t="n">
        <v>0</v>
      </c>
      <c r="BQ459" s="0" t="n">
        <v>0</v>
      </c>
      <c r="BR459" s="0" t="n">
        <v>1</v>
      </c>
      <c r="BS459" s="0" t="s">
        <v>4328</v>
      </c>
      <c r="BT459" s="0" t="s">
        <v>4329</v>
      </c>
      <c r="BU459" s="0" t="s">
        <v>4330</v>
      </c>
      <c r="BV459" s="123"/>
      <c r="BW459" s="123"/>
      <c r="BX459" s="123"/>
      <c r="BY459" s="123"/>
      <c r="BZ459" s="0" t="n">
        <v>0</v>
      </c>
      <c r="CA459" s="0" t="s">
        <v>216</v>
      </c>
      <c r="CD459" s="0" t="s">
        <v>502</v>
      </c>
      <c r="CE459" s="0" t="n">
        <v>0</v>
      </c>
      <c r="CF459" s="0" t="s">
        <v>4331</v>
      </c>
      <c r="CI459" s="1" t="n">
        <v>40068</v>
      </c>
      <c r="CJ459" s="1" t="n">
        <v>40752</v>
      </c>
      <c r="CK459" s="124" t="n">
        <v>0.583333333333333</v>
      </c>
      <c r="CL459" s="0" t="s">
        <v>4332</v>
      </c>
      <c r="CM459" s="0" t="n">
        <f aca="false">IF(OR(CI459="",CJ459=""),"",DAYS360(CI459,CJ459)/360)</f>
        <v>1.87777777777778</v>
      </c>
      <c r="CN459" s="0" t="n">
        <f aca="false">IF(OR(CI459="",CJ459=""),"",DAYS360(CI459,CJ459)/30)</f>
        <v>22.5333333333333</v>
      </c>
      <c r="CO459" s="0" t="n">
        <f aca="false">IF(OR(CI459="",CJ459=""),"",DAYS360(CI459,CJ459)/7)</f>
        <v>96.5714285714286</v>
      </c>
      <c r="CP459" s="0" t="n">
        <f aca="false">IF(OR(CI459="",CJ459=""),"",DAYS360(CI459,CJ459))</f>
        <v>676</v>
      </c>
      <c r="CQ459" s="0" t="s">
        <v>220</v>
      </c>
      <c r="CR459" s="0" t="n">
        <v>1</v>
      </c>
      <c r="CT459" s="0" t="s">
        <v>221</v>
      </c>
      <c r="CU459" s="0" t="s">
        <v>221</v>
      </c>
      <c r="CW459" s="125" t="n">
        <v>500</v>
      </c>
      <c r="CX459" s="0" t="n">
        <v>0</v>
      </c>
      <c r="CY459" s="0" t="n">
        <f aca="false">IF(CW459="","",IF(CX459=0,CW459,IF(CX459=1,CW459/30,IF(CX459=2,CW459/15,IF(CX459=3,CW459/7,CW459)))))</f>
        <v>500</v>
      </c>
      <c r="CZ459" s="0" t="n">
        <f aca="false">IF(DI459&gt;0,DI459,IF(CY459&gt;0,CY459,IF(CV459&gt;0,CV459,"")))</f>
        <v>500</v>
      </c>
      <c r="DA459" s="0" t="n">
        <f aca="false">IF(DM459=1,CZ459/8,IF(OR(DM459=2,DM459=4),CZ459/7,IF(DM459=3,CZ459/7.5,"")))</f>
        <v>66.6666666666667</v>
      </c>
      <c r="DB459" s="0" t="s">
        <v>216</v>
      </c>
      <c r="DC459" s="0" t="s">
        <v>216</v>
      </c>
      <c r="DD459" s="0" t="s">
        <v>216</v>
      </c>
      <c r="DE459" s="0" t="s">
        <v>216</v>
      </c>
      <c r="DF459" s="0" t="s">
        <v>216</v>
      </c>
      <c r="DG459" s="0" t="s">
        <v>216</v>
      </c>
      <c r="DH459" s="0" t="n">
        <v>0</v>
      </c>
      <c r="DI459" s="126" t="n">
        <v>500</v>
      </c>
      <c r="DK459" s="0" t="n">
        <v>0</v>
      </c>
      <c r="DM459" s="0" t="n">
        <v>3</v>
      </c>
      <c r="DN459" s="0" t="n">
        <f aca="false">16*6</f>
        <v>96</v>
      </c>
      <c r="DO459" s="0" t="n">
        <v>3</v>
      </c>
      <c r="DP459" s="0" t="n">
        <v>1</v>
      </c>
      <c r="DQ459" s="0" t="n">
        <v>1</v>
      </c>
      <c r="DR459" s="126"/>
      <c r="DS459" s="0" t="n">
        <v>1</v>
      </c>
      <c r="DU459" s="0" t="n">
        <v>1</v>
      </c>
      <c r="DW459" s="1" t="n">
        <v>40068</v>
      </c>
      <c r="DX459" s="1" t="n">
        <v>40752</v>
      </c>
      <c r="DZ459" s="126"/>
      <c r="EA459" s="0" t="n">
        <v>1</v>
      </c>
      <c r="EC459" s="1" t="n">
        <v>40068</v>
      </c>
      <c r="ED459" s="1" t="n">
        <v>40752</v>
      </c>
      <c r="EF459" s="126"/>
      <c r="EG459" s="0" t="n">
        <v>0</v>
      </c>
      <c r="EI459" s="0" t="n">
        <f aca="false">IF(AND(DM459=1,DN459&lt;=48),"",IF(AND(DM459=2,DN459&lt;=42),"",IF(AND(DM459=3,DN459&lt;=45),"",EH459)))</f>
        <v>0</v>
      </c>
      <c r="EJ459" s="0" t="str">
        <f aca="false">IF(EI459="","",IF(EI459&lt;9,EI459,9))</f>
        <v/>
      </c>
      <c r="EK459" s="0" t="str">
        <f aca="false">IF(EI459="","",IF(EI459&gt;9,EI459-EJ459,0))</f>
        <v/>
      </c>
      <c r="EL459" s="0" t="str">
        <f aca="false">IF(EI459="","",EJ459*DA459*2+EK459*DA459*3)</f>
        <v/>
      </c>
      <c r="EP459" s="0" t="n">
        <v>1</v>
      </c>
      <c r="EQ459" s="126"/>
      <c r="ER459" s="0" t="n">
        <v>0</v>
      </c>
      <c r="ET459" s="0" t="n">
        <v>0</v>
      </c>
      <c r="EV459" s="0" t="n">
        <v>0</v>
      </c>
      <c r="EX459" s="0" t="n">
        <v>1</v>
      </c>
      <c r="EY459" s="0" t="n">
        <v>0</v>
      </c>
      <c r="FB459" s="0" t="n">
        <v>1</v>
      </c>
      <c r="FF459" s="120" t="n">
        <f aca="false">(CJ459-CI459+1)/365</f>
        <v>1.87671232876712</v>
      </c>
      <c r="FG459" s="0" t="str">
        <f aca="false">CONCATENATE(F459,"/",G459)</f>
        <v>1623/2011</v>
      </c>
      <c r="FH459" s="0" t="n">
        <v>0</v>
      </c>
      <c r="FI459" s="0" t="n">
        <v>0</v>
      </c>
    </row>
    <row r="460" customFormat="false" ht="15" hidden="false" customHeight="false" outlineLevel="0" collapsed="false">
      <c r="A460" s="5" t="str">
        <f aca="false">E460&amp;G460&amp;F460</f>
        <v>720111623</v>
      </c>
      <c r="B460" s="0" t="s">
        <v>4119</v>
      </c>
      <c r="C460" s="1" t="n">
        <v>42415</v>
      </c>
      <c r="E460" s="0" t="n">
        <v>7</v>
      </c>
      <c r="F460" s="0" t="n">
        <v>1623</v>
      </c>
      <c r="G460" s="0" t="n">
        <v>2011</v>
      </c>
      <c r="H460" s="0" t="str">
        <f aca="false">"J"&amp;E460&amp;"\"&amp;F460&amp;"\"&amp;G460&amp;"\"&amp;W460</f>
        <v>J7\1623\2011\5</v>
      </c>
      <c r="J460" s="1" t="n">
        <v>40807</v>
      </c>
      <c r="K460" s="0" t="n">
        <v>0</v>
      </c>
      <c r="M460" s="1" t="n">
        <v>40807</v>
      </c>
      <c r="N460" s="1" t="n">
        <v>41050</v>
      </c>
      <c r="V460" s="122" t="n">
        <f aca="false">IF(AND(E460&gt;0,F460&gt;0,G460&gt;0),COUNTIFS($E:$E,E460,$F:$F,F460,$G:$G,G460),"")</f>
        <v>6</v>
      </c>
      <c r="W460" s="122" t="n">
        <f aca="false">IF(V460="","",IF(V460=1,1,IF(AND(E459=E460,F459=F460,G459=G460),W459+1,1)))</f>
        <v>5</v>
      </c>
      <c r="X460" s="0" t="n">
        <v>6</v>
      </c>
      <c r="Y460" s="0" t="n">
        <v>9</v>
      </c>
      <c r="Z460" s="0" t="s">
        <v>4336</v>
      </c>
      <c r="AA460" s="0" t="n">
        <v>0</v>
      </c>
      <c r="AB460" s="0" t="s">
        <v>4319</v>
      </c>
      <c r="AC460" s="0" t="s">
        <v>4320</v>
      </c>
      <c r="AD460" s="0" t="s">
        <v>485</v>
      </c>
      <c r="AE460" s="0" t="n">
        <v>0</v>
      </c>
      <c r="AF460" s="0" t="s">
        <v>4321</v>
      </c>
      <c r="AG460" s="0" t="n">
        <v>0</v>
      </c>
      <c r="AH460" s="0" t="s">
        <v>4322</v>
      </c>
      <c r="AI460" s="0" t="s">
        <v>2740</v>
      </c>
      <c r="AJ460" s="0" t="s">
        <v>207</v>
      </c>
      <c r="AL460" s="0" t="s">
        <v>4323</v>
      </c>
      <c r="AM460" s="0" t="n">
        <v>0</v>
      </c>
      <c r="AN460" s="0" t="s">
        <v>4322</v>
      </c>
      <c r="AO460" s="0" t="s">
        <v>2740</v>
      </c>
      <c r="AP460" s="0" t="s">
        <v>207</v>
      </c>
      <c r="AR460" s="0" t="s">
        <v>4324</v>
      </c>
      <c r="AS460" s="0" t="n">
        <v>0</v>
      </c>
      <c r="AT460" s="0" t="s">
        <v>4322</v>
      </c>
      <c r="AU460" s="0" t="s">
        <v>2740</v>
      </c>
      <c r="AV460" s="0" t="s">
        <v>207</v>
      </c>
      <c r="AX460" s="0" t="s">
        <v>4325</v>
      </c>
      <c r="AY460" s="0" t="n">
        <v>1</v>
      </c>
      <c r="AZ460" s="0" t="s">
        <v>4322</v>
      </c>
      <c r="BA460" s="0" t="s">
        <v>2740</v>
      </c>
      <c r="BB460" s="0" t="s">
        <v>207</v>
      </c>
      <c r="BD460" s="0" t="s">
        <v>4326</v>
      </c>
      <c r="BF460" s="0" t="s">
        <v>4322</v>
      </c>
      <c r="BG460" s="0" t="s">
        <v>2740</v>
      </c>
      <c r="BH460" s="0" t="s">
        <v>207</v>
      </c>
      <c r="BJ460" s="0" t="s">
        <v>4327</v>
      </c>
      <c r="BL460" s="0" t="s">
        <v>4322</v>
      </c>
      <c r="BM460" s="0" t="s">
        <v>2740</v>
      </c>
      <c r="BN460" s="0" t="s">
        <v>207</v>
      </c>
      <c r="BP460" s="0" t="n">
        <v>0</v>
      </c>
      <c r="BQ460" s="0" t="n">
        <v>0</v>
      </c>
      <c r="BR460" s="0" t="n">
        <v>1</v>
      </c>
      <c r="BS460" s="0" t="s">
        <v>4328</v>
      </c>
      <c r="BT460" s="0" t="s">
        <v>4329</v>
      </c>
      <c r="BU460" s="0" t="s">
        <v>4330</v>
      </c>
      <c r="BV460" s="123"/>
      <c r="BW460" s="123"/>
      <c r="BX460" s="123"/>
      <c r="BY460" s="123"/>
      <c r="BZ460" s="0" t="n">
        <v>0</v>
      </c>
      <c r="CA460" s="0" t="s">
        <v>216</v>
      </c>
      <c r="CD460" s="0" t="s">
        <v>502</v>
      </c>
      <c r="CE460" s="0" t="n">
        <v>0</v>
      </c>
      <c r="CF460" s="0" t="s">
        <v>4331</v>
      </c>
      <c r="CI460" s="1" t="n">
        <v>40068</v>
      </c>
      <c r="CJ460" s="1" t="n">
        <v>40752</v>
      </c>
      <c r="CK460" s="124" t="n">
        <v>0.583333333333333</v>
      </c>
      <c r="CL460" s="0" t="s">
        <v>4332</v>
      </c>
      <c r="CM460" s="0" t="n">
        <f aca="false">IF(OR(CI460="",CJ460=""),"",DAYS360(CI460,CJ460)/360)</f>
        <v>1.87777777777778</v>
      </c>
      <c r="CN460" s="0" t="n">
        <f aca="false">IF(OR(CI460="",CJ460=""),"",DAYS360(CI460,CJ460)/30)</f>
        <v>22.5333333333333</v>
      </c>
      <c r="CO460" s="0" t="n">
        <f aca="false">IF(OR(CI460="",CJ460=""),"",DAYS360(CI460,CJ460)/7)</f>
        <v>96.5714285714286</v>
      </c>
      <c r="CP460" s="0" t="n">
        <f aca="false">IF(OR(CI460="",CJ460=""),"",DAYS360(CI460,CJ460))</f>
        <v>676</v>
      </c>
      <c r="CQ460" s="0" t="s">
        <v>220</v>
      </c>
      <c r="CR460" s="0" t="n">
        <v>1</v>
      </c>
      <c r="CT460" s="0" t="s">
        <v>221</v>
      </c>
      <c r="CU460" s="0" t="s">
        <v>221</v>
      </c>
      <c r="CW460" s="125" t="n">
        <v>500</v>
      </c>
      <c r="CX460" s="0" t="n">
        <v>0</v>
      </c>
      <c r="CY460" s="0" t="n">
        <f aca="false">IF(CW460="","",IF(CX460=0,CW460,IF(CX460=1,CW460/30,IF(CX460=2,CW460/15,IF(CX460=3,CW460/7,CW460)))))</f>
        <v>500</v>
      </c>
      <c r="CZ460" s="0" t="n">
        <f aca="false">IF(DI460&gt;0,DI460,IF(CY460&gt;0,CY460,IF(CV460&gt;0,CV460,"")))</f>
        <v>500</v>
      </c>
      <c r="DA460" s="0" t="n">
        <f aca="false">IF(DM460=1,CZ460/8,IF(OR(DM460=2,DM460=4),CZ460/7,IF(DM460=3,CZ460/7.5,"")))</f>
        <v>66.6666666666667</v>
      </c>
      <c r="DB460" s="0" t="s">
        <v>216</v>
      </c>
      <c r="DC460" s="0" t="s">
        <v>216</v>
      </c>
      <c r="DD460" s="0" t="s">
        <v>216</v>
      </c>
      <c r="DE460" s="0" t="s">
        <v>216</v>
      </c>
      <c r="DF460" s="0" t="s">
        <v>216</v>
      </c>
      <c r="DG460" s="0" t="s">
        <v>216</v>
      </c>
      <c r="DH460" s="0" t="n">
        <v>0</v>
      </c>
      <c r="DI460" s="126" t="n">
        <v>500</v>
      </c>
      <c r="DK460" s="0" t="n">
        <v>0</v>
      </c>
      <c r="DM460" s="0" t="n">
        <v>3</v>
      </c>
      <c r="DN460" s="0" t="n">
        <f aca="false">16*6</f>
        <v>96</v>
      </c>
      <c r="DO460" s="0" t="n">
        <v>3</v>
      </c>
      <c r="DP460" s="0" t="n">
        <v>1</v>
      </c>
      <c r="DQ460" s="0" t="n">
        <v>1</v>
      </c>
      <c r="DR460" s="126"/>
      <c r="DS460" s="0" t="n">
        <v>1</v>
      </c>
      <c r="DU460" s="0" t="n">
        <v>1</v>
      </c>
      <c r="DW460" s="1" t="n">
        <v>40068</v>
      </c>
      <c r="DX460" s="1" t="n">
        <v>40752</v>
      </c>
      <c r="DZ460" s="126"/>
      <c r="EA460" s="0" t="n">
        <v>1</v>
      </c>
      <c r="EC460" s="1" t="n">
        <v>40068</v>
      </c>
      <c r="ED460" s="1" t="n">
        <v>40752</v>
      </c>
      <c r="EF460" s="126"/>
      <c r="EG460" s="0" t="n">
        <v>0</v>
      </c>
      <c r="EI460" s="0" t="n">
        <f aca="false">IF(AND(DM460=1,DN460&lt;=48),"",IF(AND(DM460=2,DN460&lt;=42),"",IF(AND(DM460=3,DN460&lt;=45),"",EH460)))</f>
        <v>0</v>
      </c>
      <c r="EJ460" s="0" t="str">
        <f aca="false">IF(EI460="","",IF(EI460&lt;9,EI460,9))</f>
        <v/>
      </c>
      <c r="EK460" s="0" t="str">
        <f aca="false">IF(EI460="","",IF(EI460&gt;9,EI460-EJ460,0))</f>
        <v/>
      </c>
      <c r="EL460" s="0" t="str">
        <f aca="false">IF(EI460="","",EJ460*DA460*2+EK460*DA460*3)</f>
        <v/>
      </c>
      <c r="EP460" s="0" t="n">
        <v>1</v>
      </c>
      <c r="EQ460" s="126"/>
      <c r="ER460" s="0" t="n">
        <v>0</v>
      </c>
      <c r="ET460" s="0" t="n">
        <v>0</v>
      </c>
      <c r="EV460" s="0" t="n">
        <v>0</v>
      </c>
      <c r="EX460" s="0" t="n">
        <v>1</v>
      </c>
      <c r="EY460" s="0" t="n">
        <v>0</v>
      </c>
      <c r="FB460" s="0" t="n">
        <v>1</v>
      </c>
      <c r="FF460" s="120" t="n">
        <f aca="false">(CJ460-CI460+1)/365</f>
        <v>1.87671232876712</v>
      </c>
      <c r="FG460" s="0" t="str">
        <f aca="false">CONCATENATE(F460,"/",G460)</f>
        <v>1623/2011</v>
      </c>
      <c r="FH460" s="0" t="n">
        <v>0</v>
      </c>
      <c r="FI460" s="0" t="n">
        <v>0</v>
      </c>
    </row>
    <row r="461" customFormat="false" ht="15" hidden="false" customHeight="false" outlineLevel="0" collapsed="false">
      <c r="A461" s="5" t="str">
        <f aca="false">E461&amp;G461&amp;F461</f>
        <v>720111623</v>
      </c>
      <c r="B461" s="0" t="s">
        <v>4119</v>
      </c>
      <c r="C461" s="1" t="n">
        <v>42415</v>
      </c>
      <c r="E461" s="0" t="n">
        <v>7</v>
      </c>
      <c r="F461" s="0" t="n">
        <v>1623</v>
      </c>
      <c r="G461" s="0" t="n">
        <v>2011</v>
      </c>
      <c r="H461" s="0" t="str">
        <f aca="false">"J"&amp;E461&amp;"\"&amp;F461&amp;"\"&amp;G461&amp;"\"&amp;W461</f>
        <v>J7\1623\2011\6</v>
      </c>
      <c r="J461" s="1" t="n">
        <v>40807</v>
      </c>
      <c r="K461" s="0" t="n">
        <v>0</v>
      </c>
      <c r="M461" s="1" t="n">
        <v>40807</v>
      </c>
      <c r="N461" s="1" t="n">
        <v>41050</v>
      </c>
      <c r="V461" s="122" t="n">
        <f aca="false">IF(AND(E461&gt;0,F461&gt;0,G461&gt;0),COUNTIFS($E:$E,E461,$F:$F,F461,$G:$G,G461),"")</f>
        <v>6</v>
      </c>
      <c r="W461" s="122" t="n">
        <f aca="false">IF(V461="","",IF(V461=1,1,IF(AND(E460=E461,F460=F461,G460=G461),W460+1,1)))</f>
        <v>6</v>
      </c>
      <c r="X461" s="0" t="n">
        <v>6</v>
      </c>
      <c r="Y461" s="0" t="n">
        <v>9</v>
      </c>
      <c r="Z461" s="0" t="s">
        <v>4337</v>
      </c>
      <c r="AA461" s="0" t="n">
        <v>0</v>
      </c>
      <c r="AB461" s="0" t="s">
        <v>4319</v>
      </c>
      <c r="AC461" s="0" t="s">
        <v>4320</v>
      </c>
      <c r="AD461" s="0" t="s">
        <v>485</v>
      </c>
      <c r="AE461" s="0" t="n">
        <v>0</v>
      </c>
      <c r="AF461" s="0" t="s">
        <v>4321</v>
      </c>
      <c r="AG461" s="0" t="n">
        <v>0</v>
      </c>
      <c r="AH461" s="0" t="s">
        <v>4322</v>
      </c>
      <c r="AI461" s="0" t="s">
        <v>2740</v>
      </c>
      <c r="AJ461" s="0" t="s">
        <v>207</v>
      </c>
      <c r="AL461" s="0" t="s">
        <v>4323</v>
      </c>
      <c r="AM461" s="0" t="n">
        <v>0</v>
      </c>
      <c r="AN461" s="0" t="s">
        <v>4322</v>
      </c>
      <c r="AO461" s="0" t="s">
        <v>2740</v>
      </c>
      <c r="AP461" s="0" t="s">
        <v>207</v>
      </c>
      <c r="AR461" s="0" t="s">
        <v>4324</v>
      </c>
      <c r="AS461" s="0" t="n">
        <v>0</v>
      </c>
      <c r="AT461" s="0" t="s">
        <v>4322</v>
      </c>
      <c r="AU461" s="0" t="s">
        <v>2740</v>
      </c>
      <c r="AV461" s="0" t="s">
        <v>207</v>
      </c>
      <c r="AX461" s="0" t="s">
        <v>4325</v>
      </c>
      <c r="AY461" s="0" t="n">
        <v>1</v>
      </c>
      <c r="AZ461" s="0" t="s">
        <v>4322</v>
      </c>
      <c r="BA461" s="0" t="s">
        <v>2740</v>
      </c>
      <c r="BB461" s="0" t="s">
        <v>207</v>
      </c>
      <c r="BD461" s="0" t="s">
        <v>4326</v>
      </c>
      <c r="BF461" s="0" t="s">
        <v>4322</v>
      </c>
      <c r="BG461" s="0" t="s">
        <v>2740</v>
      </c>
      <c r="BH461" s="0" t="s">
        <v>207</v>
      </c>
      <c r="BJ461" s="0" t="s">
        <v>4327</v>
      </c>
      <c r="BL461" s="0" t="s">
        <v>4322</v>
      </c>
      <c r="BM461" s="0" t="s">
        <v>2740</v>
      </c>
      <c r="BN461" s="0" t="s">
        <v>207</v>
      </c>
      <c r="BP461" s="0" t="n">
        <v>0</v>
      </c>
      <c r="BQ461" s="0" t="n">
        <v>0</v>
      </c>
      <c r="BR461" s="0" t="n">
        <v>1</v>
      </c>
      <c r="BS461" s="0" t="s">
        <v>4328</v>
      </c>
      <c r="BT461" s="0" t="s">
        <v>4329</v>
      </c>
      <c r="BU461" s="0" t="s">
        <v>4330</v>
      </c>
      <c r="BV461" s="123"/>
      <c r="BW461" s="123"/>
      <c r="BX461" s="123"/>
      <c r="BY461" s="123"/>
      <c r="BZ461" s="0" t="n">
        <v>0</v>
      </c>
      <c r="CA461" s="0" t="s">
        <v>216</v>
      </c>
      <c r="CD461" s="0" t="s">
        <v>502</v>
      </c>
      <c r="CE461" s="0" t="n">
        <v>1</v>
      </c>
      <c r="CF461" s="0" t="s">
        <v>4338</v>
      </c>
      <c r="CI461" s="1" t="n">
        <v>39396</v>
      </c>
      <c r="CJ461" s="1" t="n">
        <v>40752</v>
      </c>
      <c r="CK461" s="124" t="n">
        <v>0.583333333333333</v>
      </c>
      <c r="CL461" s="0" t="s">
        <v>4332</v>
      </c>
      <c r="CM461" s="0" t="n">
        <f aca="false">IF(OR(CI461="",CJ461=""),"",DAYS360(CI461,CJ461)/360)</f>
        <v>3.71666666666667</v>
      </c>
      <c r="CN461" s="0" t="n">
        <f aca="false">IF(OR(CI461="",CJ461=""),"",DAYS360(CI461,CJ461)/30)</f>
        <v>44.6</v>
      </c>
      <c r="CO461" s="0" t="n">
        <f aca="false">IF(OR(CI461="",CJ461=""),"",DAYS360(CI461,CJ461)/7)</f>
        <v>191.142857142857</v>
      </c>
      <c r="CP461" s="0" t="n">
        <f aca="false">IF(OR(CI461="",CJ461=""),"",DAYS360(CI461,CJ461))</f>
        <v>1338</v>
      </c>
      <c r="CQ461" s="0" t="s">
        <v>220</v>
      </c>
      <c r="CR461" s="0" t="n">
        <v>1</v>
      </c>
      <c r="CT461" s="0" t="s">
        <v>221</v>
      </c>
      <c r="CU461" s="0" t="s">
        <v>221</v>
      </c>
      <c r="CW461" s="125" t="n">
        <v>233.33</v>
      </c>
      <c r="CX461" s="0" t="n">
        <v>0</v>
      </c>
      <c r="CY461" s="0" t="n">
        <f aca="false">IF(CW461="","",IF(CX461=0,CW461,IF(CX461=1,CW461/30,IF(CX461=2,CW461/15,IF(CX461=3,CW461/7,CW461)))))</f>
        <v>233.33</v>
      </c>
      <c r="CZ461" s="0" t="n">
        <f aca="false">IF(DI461&gt;0,DI461,IF(CY461&gt;0,CY461,IF(CV461&gt;0,CV461,"")))</f>
        <v>233.33</v>
      </c>
      <c r="DA461" s="0" t="n">
        <f aca="false">IF(DM461=1,CZ461/8,IF(OR(DM461=2,DM461=4),CZ461/7,IF(DM461=3,CZ461/7.5,"")))</f>
        <v>29.16625</v>
      </c>
      <c r="DB461" s="0" t="s">
        <v>216</v>
      </c>
      <c r="DC461" s="0" t="s">
        <v>216</v>
      </c>
      <c r="DD461" s="0" t="s">
        <v>216</v>
      </c>
      <c r="DE461" s="0" t="s">
        <v>216</v>
      </c>
      <c r="DF461" s="0" t="s">
        <v>216</v>
      </c>
      <c r="DG461" s="0" t="s">
        <v>216</v>
      </c>
      <c r="DH461" s="0" t="n">
        <v>0</v>
      </c>
      <c r="DI461" s="126" t="n">
        <v>233.33</v>
      </c>
      <c r="DK461" s="0" t="n">
        <v>0</v>
      </c>
      <c r="DM461" s="0" t="n">
        <v>1</v>
      </c>
      <c r="DN461" s="0" t="n">
        <f aca="false">9*5 + 5</f>
        <v>50</v>
      </c>
      <c r="DO461" s="0" t="n">
        <v>3</v>
      </c>
      <c r="DP461" s="0" t="n">
        <v>1</v>
      </c>
      <c r="DQ461" s="0" t="n">
        <v>1</v>
      </c>
      <c r="DR461" s="126"/>
      <c r="DS461" s="0" t="n">
        <v>1</v>
      </c>
      <c r="DU461" s="0" t="n">
        <v>1</v>
      </c>
      <c r="DW461" s="1" t="n">
        <v>39396</v>
      </c>
      <c r="DX461" s="1" t="n">
        <v>40752</v>
      </c>
      <c r="DZ461" s="126"/>
      <c r="EA461" s="0" t="n">
        <v>1</v>
      </c>
      <c r="EC461" s="1" t="n">
        <v>39396</v>
      </c>
      <c r="ED461" s="1" t="n">
        <v>40752</v>
      </c>
      <c r="EF461" s="126"/>
      <c r="EG461" s="0" t="n">
        <v>0</v>
      </c>
      <c r="EI461" s="0" t="n">
        <f aca="false">IF(AND(DM461=1,DN461&lt;=48),"",IF(AND(DM461=2,DN461&lt;=42),"",IF(AND(DM461=3,DN461&lt;=45),"",EH461)))</f>
        <v>0</v>
      </c>
      <c r="EJ461" s="0" t="str">
        <f aca="false">IF(EI461="","",IF(EI461&lt;9,EI461,9))</f>
        <v/>
      </c>
      <c r="EK461" s="0" t="str">
        <f aca="false">IF(EI461="","",IF(EI461&gt;9,EI461-EJ461,0))</f>
        <v/>
      </c>
      <c r="EL461" s="0" t="str">
        <f aca="false">IF(EI461="","",EJ461*DA461*2+EK461*DA461*3)</f>
        <v/>
      </c>
      <c r="EP461" s="0" t="n">
        <v>1</v>
      </c>
      <c r="EQ461" s="126"/>
      <c r="ER461" s="0" t="n">
        <v>0</v>
      </c>
      <c r="ET461" s="0" t="n">
        <v>0</v>
      </c>
      <c r="EV461" s="0" t="n">
        <v>0</v>
      </c>
      <c r="EX461" s="0" t="n">
        <v>1</v>
      </c>
      <c r="EY461" s="0" t="n">
        <v>0</v>
      </c>
      <c r="FB461" s="0" t="n">
        <v>1</v>
      </c>
      <c r="FF461" s="120" t="n">
        <f aca="false">(CJ461-CI461+1)/365</f>
        <v>3.71780821917808</v>
      </c>
      <c r="FG461" s="0" t="str">
        <f aca="false">CONCATENATE(F461,"/",G461)</f>
        <v>1623/2011</v>
      </c>
      <c r="FH461" s="0" t="n">
        <v>0</v>
      </c>
      <c r="FI461" s="0" t="n">
        <v>0</v>
      </c>
    </row>
    <row r="462" customFormat="false" ht="15" hidden="false" customHeight="false" outlineLevel="0" collapsed="false">
      <c r="A462" s="5" t="str">
        <f aca="false">E462&amp;G462&amp;F462</f>
        <v>72011423</v>
      </c>
      <c r="B462" s="0" t="s">
        <v>3556</v>
      </c>
      <c r="C462" s="1" t="n">
        <v>42358</v>
      </c>
      <c r="D462" s="0" t="s">
        <v>1856</v>
      </c>
      <c r="E462" s="0" t="n">
        <v>7</v>
      </c>
      <c r="F462" s="0" t="n">
        <v>423</v>
      </c>
      <c r="G462" s="0" t="n">
        <v>2011</v>
      </c>
      <c r="H462" s="0" t="str">
        <f aca="false">"J"&amp;E462&amp;"\"&amp;F462&amp;"\"&amp;G462&amp;"\"&amp;W462</f>
        <v>J7\423\2011\1</v>
      </c>
      <c r="I462" s="0"/>
      <c r="J462" s="1" t="n">
        <v>40605</v>
      </c>
      <c r="K462" s="0" t="n">
        <v>0</v>
      </c>
      <c r="M462" s="1"/>
      <c r="N462" s="1"/>
      <c r="O462" s="1"/>
      <c r="P462" s="1"/>
      <c r="Q462" s="1"/>
      <c r="T462" s="121"/>
      <c r="U462" s="121"/>
      <c r="V462" s="122" t="n">
        <f aca="false">IF(AND(E462&gt;0,F462&gt;0,G462&gt;0),COUNTIFS($E:$E,E462,$F:$F,F462,$G:$G,G462),"")</f>
        <v>1</v>
      </c>
      <c r="W462" s="122" t="n">
        <f aca="false">IF(V462="","",IF(V462=1,1,IF(AND(E461=E462,F461=F462,G461=G462),W461+1,1)))</f>
        <v>1</v>
      </c>
      <c r="X462" s="0" t="n">
        <v>1</v>
      </c>
      <c r="Y462" s="0" t="n">
        <v>5</v>
      </c>
      <c r="Z462" s="0" t="s">
        <v>4339</v>
      </c>
      <c r="AA462" s="0" t="n">
        <v>0</v>
      </c>
      <c r="AB462" s="0" t="s">
        <v>4340</v>
      </c>
      <c r="AC462" s="0" t="s">
        <v>4341</v>
      </c>
      <c r="AD462" s="0" t="s">
        <v>519</v>
      </c>
      <c r="AE462" s="0" t="n">
        <v>0</v>
      </c>
      <c r="AF462" s="0" t="s">
        <v>4342</v>
      </c>
      <c r="AG462" s="0" t="n">
        <v>0</v>
      </c>
      <c r="AH462" s="0" t="s">
        <v>3664</v>
      </c>
      <c r="AI462" s="0" t="s">
        <v>206</v>
      </c>
      <c r="AJ462" s="0" t="s">
        <v>207</v>
      </c>
      <c r="AL462" s="0" t="s">
        <v>4343</v>
      </c>
      <c r="AM462" s="0" t="n">
        <v>0</v>
      </c>
      <c r="AN462" s="0" t="s">
        <v>4344</v>
      </c>
      <c r="AO462" s="0" t="s">
        <v>1160</v>
      </c>
      <c r="AP462" s="0" t="s">
        <v>229</v>
      </c>
      <c r="AR462" s="0" t="s">
        <v>2277</v>
      </c>
      <c r="AS462" s="0" t="n">
        <v>2</v>
      </c>
      <c r="AT462" s="0" t="s">
        <v>4344</v>
      </c>
      <c r="AU462" s="0" t="s">
        <v>1160</v>
      </c>
      <c r="AV462" s="0" t="s">
        <v>229</v>
      </c>
      <c r="AX462" s="0" t="s">
        <v>4345</v>
      </c>
      <c r="AY462" s="0" t="n">
        <v>2</v>
      </c>
      <c r="AZ462" s="0" t="s">
        <v>4344</v>
      </c>
      <c r="BA462" s="0" t="s">
        <v>1160</v>
      </c>
      <c r="BB462" s="0" t="s">
        <v>229</v>
      </c>
      <c r="BD462" s="0" t="s">
        <v>1880</v>
      </c>
      <c r="BE462" s="0" t="n">
        <v>1</v>
      </c>
      <c r="BF462" s="0" t="s">
        <v>4344</v>
      </c>
      <c r="BG462" s="0" t="s">
        <v>1160</v>
      </c>
      <c r="BH462" s="0" t="s">
        <v>229</v>
      </c>
      <c r="BR462" s="0" t="n">
        <v>1</v>
      </c>
      <c r="BS462" s="0" t="s">
        <v>4346</v>
      </c>
      <c r="BT462" s="0" t="s">
        <v>4347</v>
      </c>
      <c r="BU462" s="0" t="s">
        <v>4348</v>
      </c>
      <c r="BV462" s="123"/>
      <c r="BW462" s="123"/>
      <c r="BX462" s="123"/>
      <c r="BY462" s="123"/>
      <c r="CD462" s="0" t="s">
        <v>296</v>
      </c>
      <c r="CE462" s="0" t="n">
        <v>0</v>
      </c>
      <c r="CF462" s="0" t="s">
        <v>1773</v>
      </c>
      <c r="CI462" s="1" t="n">
        <v>39330</v>
      </c>
      <c r="CJ462" s="1" t="n">
        <v>40551</v>
      </c>
      <c r="CK462" s="124" t="n">
        <v>0.4375</v>
      </c>
      <c r="CL462" s="0" t="s">
        <v>4349</v>
      </c>
      <c r="CM462" s="0" t="n">
        <f aca="false">IF(OR(CI462="",CJ462=""),"",DAYS360(CI462,CJ462)/360)</f>
        <v>3.34166666666667</v>
      </c>
      <c r="CN462" s="0" t="n">
        <f aca="false">IF(OR(CI462="",CJ462=""),"",DAYS360(CI462,CJ462)/30)</f>
        <v>40.1</v>
      </c>
      <c r="CO462" s="0" t="n">
        <f aca="false">IF(OR(CI462="",CJ462=""),"",DAYS360(CI462,CJ462)/7)</f>
        <v>171.857142857143</v>
      </c>
      <c r="CP462" s="0" t="n">
        <f aca="false">IF(OR(CI462="",CJ462=""),"",DAYS360(CI462,CJ462))</f>
        <v>1203</v>
      </c>
      <c r="CQ462" s="0" t="s">
        <v>220</v>
      </c>
      <c r="CR462" s="0" t="n">
        <v>1</v>
      </c>
      <c r="CT462" s="0" t="s">
        <v>221</v>
      </c>
      <c r="CU462" s="0" t="s">
        <v>221</v>
      </c>
      <c r="CV462" s="0" t="str">
        <f aca="false">IF(OR(CT462="",CT462="NO ESPECIFICA",CT462="NO MENCIONA"),"",IF(CU462=0,CT462,IF(CU462=1,CT462/30,IF(CU462=2,CT462/15,IF(CU462=3,CT462/7,"")))))</f>
        <v/>
      </c>
      <c r="CW462" s="125" t="n">
        <v>7999.8</v>
      </c>
      <c r="CX462" s="0" t="n">
        <v>1</v>
      </c>
      <c r="CY462" s="0" t="n">
        <f aca="false">IF(CW462="","",IF(CX462=0,CW462,IF(CX462=1,CW462/30,IF(CX462=2,CW462/15,IF(CX462=3,CW462/7,CW462)))))</f>
        <v>266.66</v>
      </c>
      <c r="CZ462" s="0" t="n">
        <f aca="false">IF(DI462&gt;0,DI462,IF(CY462&gt;0,CY462,IF(CV462&gt;0,CV462,"")))</f>
        <v>266.66</v>
      </c>
      <c r="DA462" s="0" t="n">
        <f aca="false">IF(DM462=1,CZ462/8,IF(OR(DM462=2,DM462=4),CZ462/7,IF(DM462=3,CZ462/7.5,"")))</f>
        <v>33.3325</v>
      </c>
      <c r="DB462" s="0" t="s">
        <v>216</v>
      </c>
      <c r="DC462" s="0" t="s">
        <v>216</v>
      </c>
      <c r="DD462" s="0" t="s">
        <v>216</v>
      </c>
      <c r="DE462" s="0" t="s">
        <v>216</v>
      </c>
      <c r="DF462" s="0" t="s">
        <v>216</v>
      </c>
      <c r="DG462" s="0" t="s">
        <v>216</v>
      </c>
      <c r="DH462" s="0" t="n">
        <v>0</v>
      </c>
      <c r="DI462" s="126" t="n">
        <v>266.66</v>
      </c>
      <c r="DK462" s="0" t="n">
        <v>0</v>
      </c>
      <c r="DM462" s="0" t="n">
        <v>1</v>
      </c>
      <c r="DN462" s="0" t="n">
        <v>42</v>
      </c>
      <c r="DO462" s="0" t="n">
        <v>3</v>
      </c>
      <c r="DP462" s="0" t="n">
        <v>1</v>
      </c>
      <c r="DQ462" s="0" t="n">
        <v>1</v>
      </c>
      <c r="DR462" s="0"/>
      <c r="DS462" s="0" t="n">
        <v>1</v>
      </c>
      <c r="DU462" s="0" t="n">
        <v>1</v>
      </c>
      <c r="DW462" s="1" t="n">
        <v>39330</v>
      </c>
      <c r="DX462" s="1" t="n">
        <v>40551</v>
      </c>
      <c r="DZ462" s="0"/>
      <c r="EA462" s="0" t="n">
        <v>1</v>
      </c>
      <c r="EC462" s="1" t="n">
        <v>39330</v>
      </c>
      <c r="ED462" s="1" t="n">
        <v>40551</v>
      </c>
      <c r="EF462" s="0"/>
      <c r="EG462" s="0" t="n">
        <v>0</v>
      </c>
      <c r="EI462" s="0" t="str">
        <f aca="false">IF(AND(DM462=1,DN462&lt;=48),"",IF(AND(DM462=2,DN462&lt;=42),"",IF(AND(DM462=3,DN462&lt;=45),"",EH462)))</f>
        <v/>
      </c>
      <c r="EJ462" s="0" t="str">
        <f aca="false">IF(EI462="","",IF(EI462&lt;9,EI462,9))</f>
        <v/>
      </c>
      <c r="EK462" s="0" t="str">
        <f aca="false">IF(EI462="","",IF(EI462&gt;9,EI462-EJ462,0))</f>
        <v/>
      </c>
      <c r="EL462" s="0" t="str">
        <f aca="false">IF(EI462="","",EJ462*DA462*2+EK462*DA462*3)</f>
        <v/>
      </c>
      <c r="EP462" s="0" t="n">
        <v>1</v>
      </c>
      <c r="EQ462" s="0"/>
      <c r="ER462" s="0" t="n">
        <v>0</v>
      </c>
      <c r="ET462" s="0" t="n">
        <v>0</v>
      </c>
      <c r="EV462" s="0" t="n">
        <v>0</v>
      </c>
      <c r="EX462" s="0" t="n">
        <v>0</v>
      </c>
      <c r="EY462" s="0" t="n">
        <v>1</v>
      </c>
      <c r="EZ462" s="0"/>
      <c r="FA462" s="4" t="n">
        <v>15999.6</v>
      </c>
      <c r="FB462" s="0" t="n">
        <v>0</v>
      </c>
      <c r="FC462" s="1" t="n">
        <v>40829</v>
      </c>
      <c r="FD462" s="0" t="n">
        <v>1</v>
      </c>
      <c r="FE462" s="0" t="n">
        <v>23000</v>
      </c>
      <c r="FF462" s="120" t="n">
        <f aca="false">(CJ462-CI462+1)/365</f>
        <v>3.34794520547945</v>
      </c>
      <c r="FG462" s="0" t="str">
        <f aca="false">CONCATENATE(F462,"/",G462)</f>
        <v>423/2011</v>
      </c>
      <c r="FH462" s="0" t="n">
        <v>1</v>
      </c>
      <c r="FI462" s="0" t="n">
        <f aca="false">IFERROR(IF((FC462-J462+1)/365&gt;3,0,1),"")</f>
        <v>1</v>
      </c>
    </row>
    <row r="463" customFormat="false" ht="15" hidden="false" customHeight="false" outlineLevel="0" collapsed="false">
      <c r="A463" s="5" t="str">
        <f aca="false">E463&amp;G463&amp;F463</f>
        <v>72011431</v>
      </c>
      <c r="B463" s="0" t="s">
        <v>3556</v>
      </c>
      <c r="C463" s="1" t="n">
        <v>42358</v>
      </c>
      <c r="E463" s="0" t="n">
        <v>7</v>
      </c>
      <c r="F463" s="0" t="n">
        <v>431</v>
      </c>
      <c r="G463" s="0" t="n">
        <v>2011</v>
      </c>
      <c r="H463" s="0" t="str">
        <f aca="false">"J"&amp;E463&amp;"\"&amp;F463&amp;"\"&amp;G463&amp;"\"&amp;W463</f>
        <v>J7\431\2011\1</v>
      </c>
      <c r="I463" s="0"/>
      <c r="J463" s="1" t="n">
        <v>40606</v>
      </c>
      <c r="K463" s="0" t="n">
        <v>0</v>
      </c>
      <c r="M463" s="1"/>
      <c r="N463" s="1"/>
      <c r="O463" s="1"/>
      <c r="P463" s="1"/>
      <c r="Q463" s="1"/>
      <c r="T463" s="121"/>
      <c r="U463" s="121"/>
      <c r="V463" s="122" t="n">
        <f aca="false">IF(AND(E463&gt;0,F463&gt;0,G463&gt;0),COUNTIFS($E:$E,E463,$F:$F,F463,$G:$G,G463),"")</f>
        <v>1</v>
      </c>
      <c r="W463" s="122" t="n">
        <f aca="false">IF(V463="","",IF(V463=1,1,IF(AND(E462=E463,F462=F463,G462=G463),W462+1,1)))</f>
        <v>1</v>
      </c>
      <c r="X463" s="0" t="n">
        <v>1</v>
      </c>
      <c r="Y463" s="0" t="n">
        <v>6</v>
      </c>
      <c r="Z463" s="0" t="s">
        <v>4350</v>
      </c>
      <c r="AA463" s="0" t="n">
        <v>0</v>
      </c>
      <c r="AB463" s="0" t="s">
        <v>4351</v>
      </c>
      <c r="AC463" s="0" t="s">
        <v>318</v>
      </c>
      <c r="AD463" s="0" t="s">
        <v>221</v>
      </c>
      <c r="AE463" s="0" t="n">
        <v>0</v>
      </c>
      <c r="AF463" s="0" t="s">
        <v>4352</v>
      </c>
      <c r="AG463" s="0" t="n">
        <v>0</v>
      </c>
      <c r="AH463" s="0" t="s">
        <v>4353</v>
      </c>
      <c r="AI463" s="0" t="s">
        <v>244</v>
      </c>
      <c r="AJ463" s="0" t="s">
        <v>229</v>
      </c>
      <c r="AL463" s="0" t="s">
        <v>4354</v>
      </c>
      <c r="AM463" s="0" t="n">
        <v>0</v>
      </c>
      <c r="AN463" s="0" t="s">
        <v>4353</v>
      </c>
      <c r="AO463" s="0" t="s">
        <v>244</v>
      </c>
      <c r="AP463" s="0" t="s">
        <v>229</v>
      </c>
      <c r="AR463" s="0" t="s">
        <v>4355</v>
      </c>
      <c r="AS463" s="0" t="n">
        <v>0</v>
      </c>
      <c r="AT463" s="0" t="s">
        <v>4353</v>
      </c>
      <c r="AU463" s="0" t="s">
        <v>244</v>
      </c>
      <c r="AV463" s="0" t="s">
        <v>229</v>
      </c>
      <c r="AX463" s="0" t="s">
        <v>4356</v>
      </c>
      <c r="AY463" s="0" t="n">
        <v>1</v>
      </c>
      <c r="AZ463" s="0" t="s">
        <v>4353</v>
      </c>
      <c r="BA463" s="0" t="s">
        <v>244</v>
      </c>
      <c r="BB463" s="0" t="s">
        <v>229</v>
      </c>
      <c r="BD463" s="0" t="s">
        <v>1880</v>
      </c>
      <c r="BE463" s="0" t="n">
        <v>1</v>
      </c>
      <c r="BF463" s="0" t="s">
        <v>4353</v>
      </c>
      <c r="BG463" s="0" t="s">
        <v>244</v>
      </c>
      <c r="BH463" s="0" t="s">
        <v>229</v>
      </c>
      <c r="BJ463" s="0" t="s">
        <v>249</v>
      </c>
      <c r="BK463" s="0" t="n">
        <v>0</v>
      </c>
      <c r="BL463" s="0" t="s">
        <v>4357</v>
      </c>
      <c r="BM463" s="0" t="s">
        <v>4358</v>
      </c>
      <c r="BN463" s="0" t="s">
        <v>411</v>
      </c>
      <c r="BR463" s="0" t="n">
        <v>1</v>
      </c>
      <c r="BS463" s="0" t="s">
        <v>4359</v>
      </c>
      <c r="BT463" s="0" t="s">
        <v>747</v>
      </c>
      <c r="BU463" s="0" t="s">
        <v>4360</v>
      </c>
      <c r="BV463" s="123"/>
      <c r="BW463" s="123"/>
      <c r="BX463" s="123"/>
      <c r="BY463" s="123"/>
      <c r="CA463" s="0" t="s">
        <v>4361</v>
      </c>
      <c r="CD463" s="0" t="s">
        <v>256</v>
      </c>
      <c r="CE463" s="0" t="n">
        <v>0</v>
      </c>
      <c r="CF463" s="0" t="s">
        <v>4362</v>
      </c>
      <c r="CI463" s="1" t="n">
        <v>39905</v>
      </c>
      <c r="CJ463" s="1" t="n">
        <v>40548</v>
      </c>
      <c r="CK463" s="124" t="n">
        <v>0.375</v>
      </c>
      <c r="CL463" s="0" t="s">
        <v>4355</v>
      </c>
      <c r="CM463" s="0" t="n">
        <f aca="false">IF(OR(CI463="",CJ463=""),"",DAYS360(CI463,CJ463)/360)</f>
        <v>1.75833333333333</v>
      </c>
      <c r="CN463" s="0" t="n">
        <f aca="false">IF(OR(CI463="",CJ463=""),"",DAYS360(CI463,CJ463)/30)</f>
        <v>21.1</v>
      </c>
      <c r="CO463" s="0" t="n">
        <f aca="false">IF(OR(CI463="",CJ463=""),"",DAYS360(CI463,CJ463)/7)</f>
        <v>90.4285714285714</v>
      </c>
      <c r="CP463" s="0" t="n">
        <f aca="false">IF(OR(CI463="",CJ463=""),"",DAYS360(CI463,CJ463))</f>
        <v>633</v>
      </c>
      <c r="CQ463" s="0" t="s">
        <v>240</v>
      </c>
      <c r="CR463" s="0" t="n">
        <v>1</v>
      </c>
      <c r="CT463" s="0" t="s">
        <v>221</v>
      </c>
      <c r="CU463" s="0" t="s">
        <v>221</v>
      </c>
      <c r="CV463" s="0" t="str">
        <f aca="false">IF(OR(CT463="",CT463="NO ESPECIFICA",CT463="NO MENCIONA"),"",IF(CU463=0,CT463,IF(CU463=1,CT463/30,IF(CU463=2,CT463/15,IF(CU463=3,CT463/7,"")))))</f>
        <v/>
      </c>
      <c r="CW463" s="125" t="n">
        <v>60.06</v>
      </c>
      <c r="CX463" s="0" t="n">
        <v>0</v>
      </c>
      <c r="CY463" s="0" t="n">
        <f aca="false">IF(CW463="","",IF(CX463=0,CW463,IF(CX463=1,CW463/30,IF(CX463=2,CW463/15,IF(CX463=3,CW463/7,CW463)))))</f>
        <v>60.06</v>
      </c>
      <c r="CZ463" s="0" t="n">
        <f aca="false">IF(DI463&gt;0,DI463,IF(CY463&gt;0,CY463,IF(CV463&gt;0,CV463,"")))</f>
        <v>60.06</v>
      </c>
      <c r="DA463" s="0" t="n">
        <f aca="false">IF(DM463=1,CZ463/8,IF(OR(DM463=2,DM463=4),CZ463/7,IF(DM463=3,CZ463/7.5,"")))</f>
        <v>7.5075</v>
      </c>
      <c r="DB463" s="0" t="s">
        <v>216</v>
      </c>
      <c r="DC463" s="0" t="s">
        <v>216</v>
      </c>
      <c r="DD463" s="0" t="s">
        <v>216</v>
      </c>
      <c r="DE463" s="0" t="s">
        <v>216</v>
      </c>
      <c r="DF463" s="0" t="s">
        <v>216</v>
      </c>
      <c r="DG463" s="0" t="s">
        <v>216</v>
      </c>
      <c r="DH463" s="0" t="n">
        <v>0</v>
      </c>
      <c r="DI463" s="126" t="n">
        <v>60.06</v>
      </c>
      <c r="DK463" s="0" t="n">
        <v>0</v>
      </c>
      <c r="DM463" s="0" t="n">
        <v>1</v>
      </c>
      <c r="DN463" s="0" t="n">
        <v>72</v>
      </c>
      <c r="DO463" s="0" t="n">
        <v>3</v>
      </c>
      <c r="DP463" s="0" t="n">
        <v>0</v>
      </c>
      <c r="DQ463" s="0" t="n">
        <v>1</v>
      </c>
      <c r="DR463" s="0"/>
      <c r="DS463" s="0" t="n">
        <v>1</v>
      </c>
      <c r="DU463" s="0" t="n">
        <v>1</v>
      </c>
      <c r="DW463" s="1" t="n">
        <v>39905</v>
      </c>
      <c r="DX463" s="1" t="n">
        <v>40548</v>
      </c>
      <c r="DZ463" s="0"/>
      <c r="EA463" s="0" t="n">
        <v>1</v>
      </c>
      <c r="EC463" s="1" t="n">
        <v>40179</v>
      </c>
      <c r="ED463" s="1" t="n">
        <v>40543</v>
      </c>
      <c r="EF463" s="0"/>
      <c r="EG463" s="0" t="n">
        <v>1</v>
      </c>
      <c r="EH463" s="0" t="n">
        <v>18</v>
      </c>
      <c r="EI463" s="0" t="n">
        <f aca="false">IF(AND(DM463=1,DN463&lt;=48),"",IF(AND(DM463=2,DN463&lt;=42),"",IF(AND(DM463=3,DN463&lt;=45),"",EH463)))</f>
        <v>18</v>
      </c>
      <c r="EJ463" s="0" t="n">
        <f aca="false">IF(EI463="","",IF(EI463&lt;9,EI463,9))</f>
        <v>9</v>
      </c>
      <c r="EK463" s="0" t="n">
        <f aca="false">IF(EI463="","",IF(EI463&gt;9,EI463-EJ463,0))</f>
        <v>9</v>
      </c>
      <c r="EL463" s="0" t="n">
        <f aca="false">IF(EI463="","",EJ463*DA463*2+EK463*DA463*3)</f>
        <v>337.8375</v>
      </c>
      <c r="EP463" s="0" t="n">
        <v>0</v>
      </c>
      <c r="EQ463" s="0"/>
      <c r="ER463" s="0" t="n">
        <v>0</v>
      </c>
      <c r="ET463" s="0" t="n">
        <v>0</v>
      </c>
      <c r="EV463" s="0" t="n">
        <v>0</v>
      </c>
      <c r="EX463" s="0" t="n">
        <v>1</v>
      </c>
      <c r="EY463" s="0" t="n">
        <v>0</v>
      </c>
      <c r="EZ463" s="0"/>
      <c r="FA463" s="4" t="n">
        <v>2102.1</v>
      </c>
      <c r="FB463" s="0" t="n">
        <v>0</v>
      </c>
      <c r="FC463" s="1" t="n">
        <v>41074</v>
      </c>
      <c r="FD463" s="0" t="n">
        <v>2</v>
      </c>
      <c r="FE463" s="0" t="n">
        <v>0</v>
      </c>
      <c r="FF463" s="120" t="n">
        <f aca="false">(CJ463-CI463+1)/365</f>
        <v>1.76438356164384</v>
      </c>
      <c r="FG463" s="0" t="str">
        <f aca="false">CONCATENATE(F463,"/",G463)</f>
        <v>431/2011</v>
      </c>
      <c r="FH463" s="0" t="n">
        <v>1</v>
      </c>
      <c r="FI463" s="0" t="n">
        <f aca="false">IFERROR(IF((FC463-J463+1)/365&gt;3,0,1),"")</f>
        <v>1</v>
      </c>
    </row>
    <row r="464" customFormat="false" ht="15" hidden="false" customHeight="false" outlineLevel="0" collapsed="false">
      <c r="A464" s="5" t="str">
        <f aca="false">E464&amp;G464&amp;F464</f>
        <v>72011438</v>
      </c>
      <c r="B464" s="0" t="s">
        <v>3556</v>
      </c>
      <c r="C464" s="1" t="n">
        <v>42358</v>
      </c>
      <c r="D464" s="0" t="s">
        <v>1856</v>
      </c>
      <c r="E464" s="0" t="n">
        <v>7</v>
      </c>
      <c r="F464" s="0" t="n">
        <v>438</v>
      </c>
      <c r="G464" s="0" t="n">
        <v>2011</v>
      </c>
      <c r="H464" s="0" t="str">
        <f aca="false">"J"&amp;E464&amp;"\"&amp;F464&amp;"\"&amp;G464&amp;"\"&amp;W464</f>
        <v>J7\438\2011\1</v>
      </c>
      <c r="I464" s="0"/>
      <c r="J464" s="1" t="n">
        <v>40606</v>
      </c>
      <c r="K464" s="0" t="n">
        <v>0</v>
      </c>
      <c r="M464" s="1"/>
      <c r="N464" s="1"/>
      <c r="O464" s="1"/>
      <c r="P464" s="1"/>
      <c r="Q464" s="1"/>
      <c r="T464" s="121"/>
      <c r="U464" s="121"/>
      <c r="V464" s="122" t="n">
        <f aca="false">IF(AND(E464&gt;0,F464&gt;0,G464&gt;0),COUNTIFS($E:$E,E464,$F:$F,F464,$G:$G,G464),"")</f>
        <v>1</v>
      </c>
      <c r="W464" s="122" t="n">
        <f aca="false">IF(V464="","",IF(V464=1,1,IF(AND(E463=E464,F463=F464,G463=G464),W463+1,1)))</f>
        <v>1</v>
      </c>
      <c r="X464" s="0" t="n">
        <v>1</v>
      </c>
      <c r="Y464" s="0" t="n">
        <v>4</v>
      </c>
      <c r="Z464" s="0" t="s">
        <v>4363</v>
      </c>
      <c r="AA464" s="0" t="n">
        <v>0</v>
      </c>
      <c r="AB464" s="0" t="s">
        <v>4364</v>
      </c>
      <c r="AC464" s="0" t="s">
        <v>914</v>
      </c>
      <c r="AD464" s="0" t="s">
        <v>519</v>
      </c>
      <c r="AE464" s="0" t="n">
        <v>0</v>
      </c>
      <c r="AF464" s="0" t="s">
        <v>4365</v>
      </c>
      <c r="AG464" s="0" t="n">
        <v>0</v>
      </c>
      <c r="AH464" s="0" t="s">
        <v>4366</v>
      </c>
      <c r="AI464" s="0" t="s">
        <v>4367</v>
      </c>
      <c r="AJ464" s="0" t="s">
        <v>659</v>
      </c>
      <c r="AL464" s="0" t="s">
        <v>4368</v>
      </c>
      <c r="AM464" s="0" t="n">
        <v>1</v>
      </c>
      <c r="AN464" s="0" t="s">
        <v>4366</v>
      </c>
      <c r="AO464" s="0" t="s">
        <v>4367</v>
      </c>
      <c r="AP464" s="0" t="s">
        <v>659</v>
      </c>
      <c r="AR464" s="0" t="s">
        <v>4369</v>
      </c>
      <c r="AS464" s="0" t="n">
        <v>1</v>
      </c>
      <c r="AT464" s="0" t="s">
        <v>4366</v>
      </c>
      <c r="AU464" s="0" t="s">
        <v>4367</v>
      </c>
      <c r="AV464" s="0" t="s">
        <v>659</v>
      </c>
      <c r="AX464" s="0" t="s">
        <v>1880</v>
      </c>
      <c r="AY464" s="0" t="n">
        <v>1</v>
      </c>
      <c r="AZ464" s="0" t="s">
        <v>4366</v>
      </c>
      <c r="BA464" s="0" t="s">
        <v>4367</v>
      </c>
      <c r="BB464" s="0" t="s">
        <v>659</v>
      </c>
      <c r="BR464" s="0" t="n">
        <v>1</v>
      </c>
      <c r="BS464" s="0" t="s">
        <v>4370</v>
      </c>
      <c r="BV464" s="123"/>
      <c r="BW464" s="123"/>
      <c r="BX464" s="123"/>
      <c r="BY464" s="123"/>
      <c r="CA464" s="0" t="s">
        <v>4371</v>
      </c>
      <c r="CD464" s="0" t="s">
        <v>296</v>
      </c>
      <c r="CE464" s="0" t="n">
        <v>0</v>
      </c>
      <c r="CF464" s="0" t="s">
        <v>4372</v>
      </c>
      <c r="CI464" s="1" t="n">
        <v>40391</v>
      </c>
      <c r="CJ464" s="1" t="n">
        <v>40548</v>
      </c>
      <c r="CK464" s="124" t="s">
        <v>216</v>
      </c>
      <c r="CL464" s="0" t="s">
        <v>216</v>
      </c>
      <c r="CM464" s="0" t="n">
        <f aca="false">IF(OR(CI464="",CJ464=""),"",DAYS360(CI464,CJ464)/360)</f>
        <v>0.427777777777778</v>
      </c>
      <c r="CN464" s="0" t="n">
        <f aca="false">IF(OR(CI464="",CJ464=""),"",DAYS360(CI464,CJ464)/30)</f>
        <v>5.13333333333333</v>
      </c>
      <c r="CO464" s="0" t="n">
        <f aca="false">IF(OR(CI464="",CJ464=""),"",DAYS360(CI464,CJ464)/7)</f>
        <v>22</v>
      </c>
      <c r="CP464" s="0" t="n">
        <f aca="false">IF(OR(CI464="",CJ464=""),"",DAYS360(CI464,CJ464))</f>
        <v>154</v>
      </c>
      <c r="CQ464" s="0" t="s">
        <v>220</v>
      </c>
      <c r="CR464" s="0" t="n">
        <v>1</v>
      </c>
      <c r="CT464" s="0" t="n">
        <v>333.33</v>
      </c>
      <c r="CU464" s="0" t="n">
        <v>0</v>
      </c>
      <c r="CV464" s="0" t="n">
        <f aca="false">IF(OR(CT464="",CT464="NO ESPECIFICA",CT464="NO MENCIONA"),"",IF(CU464=0,CT464,IF(CU464=1,CT464/30,IF(CU464=2,CT464/15,IF(CU464=3,CT464/7,"")))))</f>
        <v>333.33</v>
      </c>
      <c r="CW464" s="125" t="s">
        <v>216</v>
      </c>
      <c r="CX464" s="0" t="s">
        <v>216</v>
      </c>
      <c r="CY464" s="0" t="str">
        <f aca="false">IF(CW464="","",IF(CX464=0,CW464,IF(CX464=1,CW464/30,IF(CX464=2,CW464/15,IF(CX464=3,CW464/7,CW464)))))</f>
        <v>NO MENCIONA</v>
      </c>
      <c r="CZ464" s="0" t="n">
        <f aca="false">IF(DI464&gt;0,DI464,IF(CY464&gt;0,CY464,IF(CV464&gt;0,CV464,"")))</f>
        <v>333.33</v>
      </c>
      <c r="DA464" s="0" t="n">
        <f aca="false">IF(DM464=1,CZ464/8,IF(OR(DM464=2,DM464=4),CZ464/7,IF(DM464=3,CZ464/7.5,"")))</f>
        <v>41.66625</v>
      </c>
      <c r="DB464" s="0" t="s">
        <v>216</v>
      </c>
      <c r="DC464" s="0" t="s">
        <v>216</v>
      </c>
      <c r="DD464" s="0" t="s">
        <v>216</v>
      </c>
      <c r="DE464" s="0" t="s">
        <v>216</v>
      </c>
      <c r="DF464" s="0" t="s">
        <v>216</v>
      </c>
      <c r="DG464" s="0" t="s">
        <v>216</v>
      </c>
      <c r="DH464" s="0" t="n">
        <v>0</v>
      </c>
      <c r="DI464" s="126" t="n">
        <v>333.33</v>
      </c>
      <c r="DK464" s="0" t="n">
        <v>0</v>
      </c>
      <c r="DM464" s="0" t="n">
        <v>1</v>
      </c>
      <c r="DN464" s="0" t="n">
        <v>42</v>
      </c>
      <c r="DO464" s="0" t="n">
        <v>3</v>
      </c>
      <c r="DP464" s="0" t="n">
        <v>1</v>
      </c>
      <c r="DQ464" s="0" t="n">
        <v>1</v>
      </c>
      <c r="DR464" s="0"/>
      <c r="DS464" s="0" t="n">
        <v>1</v>
      </c>
      <c r="DU464" s="0" t="n">
        <v>1</v>
      </c>
      <c r="DW464" s="1" t="n">
        <v>40391</v>
      </c>
      <c r="DX464" s="1" t="n">
        <v>40548</v>
      </c>
      <c r="DZ464" s="0"/>
      <c r="EA464" s="0" t="n">
        <v>1</v>
      </c>
      <c r="EC464" s="1" t="n">
        <v>40391</v>
      </c>
      <c r="ED464" s="1" t="n">
        <v>40548</v>
      </c>
      <c r="EF464" s="0"/>
      <c r="EG464" s="0" t="n">
        <v>0</v>
      </c>
      <c r="EI464" s="0" t="str">
        <f aca="false">IF(AND(DM464=1,DN464&lt;=48),"",IF(AND(DM464=2,DN464&lt;=42),"",IF(AND(DM464=3,DN464&lt;=45),"",EH464)))</f>
        <v/>
      </c>
      <c r="EJ464" s="0" t="str">
        <f aca="false">IF(EI464="","",IF(EI464&lt;9,EI464,9))</f>
        <v/>
      </c>
      <c r="EK464" s="0" t="str">
        <f aca="false">IF(EI464="","",IF(EI464&gt;9,EI464-EJ464,0))</f>
        <v/>
      </c>
      <c r="EL464" s="0" t="str">
        <f aca="false">IF(EI464="","",EJ464*DA464*2+EK464*DA464*3)</f>
        <v/>
      </c>
      <c r="EP464" s="0" t="n">
        <v>1</v>
      </c>
      <c r="EQ464" s="0"/>
      <c r="ER464" s="0" t="n">
        <v>0</v>
      </c>
      <c r="ET464" s="0" t="n">
        <v>0</v>
      </c>
      <c r="EV464" s="0" t="n">
        <v>0</v>
      </c>
      <c r="EX464" s="0" t="n">
        <v>1</v>
      </c>
      <c r="EY464" s="0" t="n">
        <v>0</v>
      </c>
      <c r="EZ464" s="0"/>
      <c r="FA464" s="4" t="n">
        <v>21666.45</v>
      </c>
      <c r="FB464" s="0" t="n">
        <v>0</v>
      </c>
      <c r="FC464" s="1" t="n">
        <v>40682</v>
      </c>
      <c r="FD464" s="0" t="n">
        <v>2</v>
      </c>
      <c r="FE464" s="0" t="n">
        <v>0</v>
      </c>
      <c r="FF464" s="120" t="n">
        <f aca="false">(CJ464-CI464+1)/365</f>
        <v>0.432876712328767</v>
      </c>
      <c r="FG464" s="0" t="str">
        <f aca="false">CONCATENATE(F464,"/",G464)</f>
        <v>438/2011</v>
      </c>
      <c r="FH464" s="0" t="n">
        <v>1</v>
      </c>
      <c r="FI464" s="0" t="n">
        <f aca="false">IFERROR(IF((FC464-J464+1)/365&gt;3,0,1),"")</f>
        <v>1</v>
      </c>
    </row>
    <row r="465" customFormat="false" ht="15" hidden="false" customHeight="false" outlineLevel="0" collapsed="false">
      <c r="A465" s="5" t="str">
        <f aca="false">E465&amp;G465&amp;F465</f>
        <v>72011440</v>
      </c>
      <c r="B465" s="0" t="s">
        <v>3556</v>
      </c>
      <c r="C465" s="1" t="n">
        <v>42358</v>
      </c>
      <c r="D465" s="0" t="s">
        <v>1856</v>
      </c>
      <c r="E465" s="0" t="n">
        <v>7</v>
      </c>
      <c r="F465" s="0" t="n">
        <v>440</v>
      </c>
      <c r="G465" s="0" t="n">
        <v>2011</v>
      </c>
      <c r="H465" s="0" t="str">
        <f aca="false">"J"&amp;E465&amp;"\"&amp;F465&amp;"\"&amp;G465&amp;"\"&amp;W465</f>
        <v>J7\440\2011\1</v>
      </c>
      <c r="I465" s="0"/>
      <c r="J465" s="1" t="n">
        <v>40606</v>
      </c>
      <c r="K465" s="0" t="n">
        <v>0</v>
      </c>
      <c r="M465" s="1"/>
      <c r="N465" s="1"/>
      <c r="O465" s="1"/>
      <c r="P465" s="1"/>
      <c r="Q465" s="1"/>
      <c r="T465" s="121"/>
      <c r="U465" s="121"/>
      <c r="V465" s="122" t="n">
        <f aca="false">IF(AND(E465&gt;0,F465&gt;0,G465&gt;0),COUNTIFS($E:$E,E465,$F:$F,F465,$G:$G,G465),"")</f>
        <v>1</v>
      </c>
      <c r="W465" s="122" t="n">
        <f aca="false">IF(V465="","",IF(V465=1,1,IF(AND(E464=E465,F464=F465,G464=G465),W464+1,1)))</f>
        <v>1</v>
      </c>
      <c r="X465" s="0" t="n">
        <v>1</v>
      </c>
      <c r="Y465" s="0" t="n">
        <v>5</v>
      </c>
      <c r="Z465" s="0" t="s">
        <v>4373</v>
      </c>
      <c r="AA465" s="0" t="n">
        <v>0</v>
      </c>
      <c r="AB465" s="0" t="s">
        <v>3661</v>
      </c>
      <c r="AC465" s="0" t="s">
        <v>244</v>
      </c>
      <c r="AD465" s="0" t="s">
        <v>229</v>
      </c>
      <c r="AE465" s="0" t="n">
        <v>0</v>
      </c>
      <c r="AF465" s="0" t="s">
        <v>4374</v>
      </c>
      <c r="AG465" s="0" t="n">
        <v>0</v>
      </c>
      <c r="AH465" s="0" t="s">
        <v>4375</v>
      </c>
      <c r="AI465" s="0" t="s">
        <v>3931</v>
      </c>
      <c r="AJ465" s="0" t="s">
        <v>322</v>
      </c>
      <c r="AL465" s="0" t="s">
        <v>4376</v>
      </c>
      <c r="AM465" s="0" t="n">
        <v>1</v>
      </c>
      <c r="AN465" s="0" t="s">
        <v>4375</v>
      </c>
      <c r="AO465" s="0" t="s">
        <v>3931</v>
      </c>
      <c r="AP465" s="0" t="s">
        <v>322</v>
      </c>
      <c r="AR465" s="0" t="s">
        <v>4377</v>
      </c>
      <c r="AS465" s="0" t="n">
        <v>1</v>
      </c>
      <c r="AT465" s="0" t="s">
        <v>4375</v>
      </c>
      <c r="AU465" s="0" t="s">
        <v>3931</v>
      </c>
      <c r="AV465" s="0" t="s">
        <v>322</v>
      </c>
      <c r="AX465" s="0" t="s">
        <v>4378</v>
      </c>
      <c r="AY465" s="0" t="n">
        <v>1</v>
      </c>
      <c r="AZ465" s="0" t="s">
        <v>4375</v>
      </c>
      <c r="BA465" s="0" t="s">
        <v>3931</v>
      </c>
      <c r="BB465" s="0" t="s">
        <v>322</v>
      </c>
      <c r="BD465" s="0" t="s">
        <v>1880</v>
      </c>
      <c r="BE465" s="0" t="n">
        <v>1</v>
      </c>
      <c r="BF465" s="0" t="s">
        <v>4375</v>
      </c>
      <c r="BG465" s="0" t="s">
        <v>3931</v>
      </c>
      <c r="BH465" s="0" t="s">
        <v>322</v>
      </c>
      <c r="BR465" s="0" t="n">
        <v>1</v>
      </c>
      <c r="BS465" s="0" t="s">
        <v>4379</v>
      </c>
      <c r="BV465" s="123"/>
      <c r="BW465" s="123"/>
      <c r="BX465" s="123"/>
      <c r="BY465" s="123"/>
      <c r="CA465" s="0" t="s">
        <v>216</v>
      </c>
      <c r="CD465" s="0" t="s">
        <v>256</v>
      </c>
      <c r="CE465" s="0" t="n">
        <v>0</v>
      </c>
      <c r="CF465" s="0" t="s">
        <v>4380</v>
      </c>
      <c r="CI465" s="1" t="n">
        <v>37929</v>
      </c>
      <c r="CJ465" s="1" t="n">
        <v>40553</v>
      </c>
      <c r="CK465" s="124" t="n">
        <v>0.625</v>
      </c>
      <c r="CL465" s="0" t="s">
        <v>4376</v>
      </c>
      <c r="CM465" s="0" t="n">
        <f aca="false">IF(OR(CI465="",CJ465=""),"",DAYS360(CI465,CJ465)/360)</f>
        <v>7.18333333333333</v>
      </c>
      <c r="CN465" s="0" t="n">
        <f aca="false">IF(OR(CI465="",CJ465=""),"",DAYS360(CI465,CJ465)/30)</f>
        <v>86.2</v>
      </c>
      <c r="CO465" s="0" t="n">
        <f aca="false">IF(OR(CI465="",CJ465=""),"",DAYS360(CI465,CJ465)/7)</f>
        <v>369.428571428571</v>
      </c>
      <c r="CP465" s="0" t="n">
        <f aca="false">IF(OR(CI465="",CJ465=""),"",DAYS360(CI465,CJ465))</f>
        <v>2586</v>
      </c>
      <c r="CQ465" s="0" t="s">
        <v>240</v>
      </c>
      <c r="CR465" s="0" t="n">
        <v>1</v>
      </c>
      <c r="CT465" s="0" t="n">
        <v>282</v>
      </c>
      <c r="CU465" s="0" t="n">
        <v>0</v>
      </c>
      <c r="CV465" s="0" t="n">
        <f aca="false">IF(OR(CT465="",CT465="NO ESPECIFICA",CT465="NO MENCIONA"),"",IF(CU465=0,CT465,IF(CU465=1,CT465/30,IF(CU465=2,CT465/15,IF(CU465=3,CT465/7,"")))))</f>
        <v>282</v>
      </c>
      <c r="CW465" s="125" t="n">
        <v>462.58</v>
      </c>
      <c r="CX465" s="0" t="n">
        <v>0</v>
      </c>
      <c r="CY465" s="0" t="n">
        <f aca="false">IF(CW465="","",IF(CX465=0,CW465,IF(CX465=1,CW465/30,IF(CX465=2,CW465/15,IF(CX465=3,CW465/7,CW465)))))</f>
        <v>462.58</v>
      </c>
      <c r="CZ465" s="0" t="n">
        <f aca="false">IF(DI465&gt;0,DI465,IF(CY465&gt;0,CY465,IF(CV465&gt;0,CV465,"")))</f>
        <v>462.58</v>
      </c>
      <c r="DA465" s="0" t="n">
        <f aca="false">IF(DM465=1,CZ465/8,IF(OR(DM465=2,DM465=4),CZ465/7,IF(DM465=3,CZ465/7.5,"")))</f>
        <v>57.8225</v>
      </c>
      <c r="DB465" s="0" t="s">
        <v>303</v>
      </c>
      <c r="DC465" s="0" t="s">
        <v>301</v>
      </c>
      <c r="DD465" s="0" t="s">
        <v>417</v>
      </c>
      <c r="DE465" s="0" t="s">
        <v>216</v>
      </c>
      <c r="DF465" s="0" t="s">
        <v>216</v>
      </c>
      <c r="DG465" s="0" t="s">
        <v>216</v>
      </c>
      <c r="DH465" s="0" t="n">
        <v>0</v>
      </c>
      <c r="DI465" s="126" t="n">
        <v>462.58</v>
      </c>
      <c r="DK465" s="0" t="n">
        <v>0</v>
      </c>
      <c r="DM465" s="0" t="n">
        <v>1</v>
      </c>
      <c r="DN465" s="0" t="n">
        <v>72</v>
      </c>
      <c r="DO465" s="0" t="n">
        <v>3</v>
      </c>
      <c r="DP465" s="0" t="n">
        <v>0</v>
      </c>
      <c r="DQ465" s="0" t="n">
        <v>1</v>
      </c>
      <c r="DR465" s="0"/>
      <c r="DS465" s="0" t="n">
        <v>1</v>
      </c>
      <c r="DU465" s="0" t="n">
        <v>1</v>
      </c>
      <c r="DW465" s="1" t="n">
        <v>40182</v>
      </c>
      <c r="DX465" s="1" t="n">
        <v>40552</v>
      </c>
      <c r="DZ465" s="0"/>
      <c r="EA465" s="0" t="n">
        <v>1</v>
      </c>
      <c r="EC465" s="1" t="n">
        <v>40182</v>
      </c>
      <c r="ED465" s="1" t="n">
        <v>40552</v>
      </c>
      <c r="EF465" s="0"/>
      <c r="EG465" s="0" t="n">
        <v>1</v>
      </c>
      <c r="EI465" s="0" t="n">
        <f aca="false">IF(AND(DM465=1,DN465&lt;=48),"",IF(AND(DM465=2,DN465&lt;=42),"",IF(AND(DM465=3,DN465&lt;=45),"",EH465)))</f>
        <v>0</v>
      </c>
      <c r="EJ465" s="0" t="str">
        <f aca="false">IF(EI465="","",IF(EI465&lt;9,EI465,9))</f>
        <v/>
      </c>
      <c r="EK465" s="0" t="str">
        <f aca="false">IF(EI465="","",IF(EI465&gt;9,EI465-EJ465,0))</f>
        <v/>
      </c>
      <c r="EL465" s="0" t="str">
        <f aca="false">IF(EI465="","",EJ465*DA465*2+EK465*DA465*3)</f>
        <v/>
      </c>
      <c r="EP465" s="0" t="n">
        <v>0</v>
      </c>
      <c r="EQ465" s="0"/>
      <c r="ER465" s="0" t="n">
        <v>0</v>
      </c>
      <c r="ET465" s="0" t="n">
        <v>1</v>
      </c>
      <c r="EV465" s="0" t="n">
        <v>0</v>
      </c>
      <c r="EX465" s="0" t="n">
        <v>0</v>
      </c>
      <c r="EY465" s="0" t="n">
        <v>1</v>
      </c>
      <c r="EZ465" s="4" t="n">
        <v>3000</v>
      </c>
      <c r="FA465" s="4" t="n">
        <v>5000</v>
      </c>
      <c r="FB465" s="0" t="n">
        <v>1</v>
      </c>
      <c r="FC465" s="1" t="n">
        <v>40961</v>
      </c>
      <c r="FD465" s="0" t="n">
        <v>1</v>
      </c>
      <c r="FE465" s="0" t="n">
        <v>20000</v>
      </c>
      <c r="FF465" s="120" t="n">
        <f aca="false">(CJ465-CI465+1)/365</f>
        <v>7.19178082191781</v>
      </c>
      <c r="FG465" s="0" t="str">
        <f aca="false">CONCATENATE(F465,"/",G465)</f>
        <v>440/2011</v>
      </c>
      <c r="FH465" s="0" t="n">
        <v>1</v>
      </c>
      <c r="FI465" s="0" t="n">
        <f aca="false">IFERROR(IF((FC465-J465+1)/365&gt;3,0,1),"")</f>
        <v>1</v>
      </c>
    </row>
    <row r="466" customFormat="false" ht="15" hidden="false" customHeight="false" outlineLevel="0" collapsed="false">
      <c r="A466" s="5" t="str">
        <f aca="false">E466&amp;G466&amp;F466</f>
        <v>72011441</v>
      </c>
      <c r="B466" s="0" t="s">
        <v>3556</v>
      </c>
      <c r="C466" s="1" t="n">
        <v>42358</v>
      </c>
      <c r="E466" s="0" t="n">
        <v>7</v>
      </c>
      <c r="F466" s="0" t="n">
        <v>441</v>
      </c>
      <c r="G466" s="0" t="n">
        <v>2011</v>
      </c>
      <c r="H466" s="0" t="str">
        <f aca="false">"J"&amp;E466&amp;"\"&amp;F466&amp;"\"&amp;G466&amp;"\"&amp;W466</f>
        <v>J7\441\2011\1</v>
      </c>
      <c r="I466" s="0"/>
      <c r="J466" s="1" t="n">
        <v>40606</v>
      </c>
      <c r="K466" s="0" t="n">
        <v>0</v>
      </c>
      <c r="M466" s="1" t="n">
        <v>40606</v>
      </c>
      <c r="N466" s="1" t="n">
        <v>40697</v>
      </c>
      <c r="O466" s="1"/>
      <c r="P466" s="1"/>
      <c r="Q466" s="1"/>
      <c r="T466" s="121"/>
      <c r="U466" s="121"/>
      <c r="V466" s="122" t="n">
        <f aca="false">IF(AND(E466&gt;0,F466&gt;0,G466&gt;0),COUNTIFS($E:$E,E466,$F:$F,F466,$G:$G,G466),"")</f>
        <v>1</v>
      </c>
      <c r="W466" s="122" t="n">
        <f aca="false">IF(V466="","",IF(V466=1,1,IF(AND(E465=E466,F465=F466,G465=G466),W465+1,1)))</f>
        <v>1</v>
      </c>
      <c r="X466" s="0" t="n">
        <v>1</v>
      </c>
      <c r="Y466" s="0" t="n">
        <v>9</v>
      </c>
      <c r="Z466" s="0" t="s">
        <v>4381</v>
      </c>
      <c r="AA466" s="0" t="n">
        <v>0</v>
      </c>
      <c r="AB466" s="0" t="s">
        <v>4382</v>
      </c>
      <c r="AC466" s="0" t="s">
        <v>4383</v>
      </c>
      <c r="AD466" s="0" t="s">
        <v>3511</v>
      </c>
      <c r="AE466" s="0" t="n">
        <v>0</v>
      </c>
      <c r="AF466" s="0" t="s">
        <v>4384</v>
      </c>
      <c r="AG466" s="0" t="n">
        <v>0</v>
      </c>
      <c r="AH466" s="0" t="s">
        <v>4385</v>
      </c>
      <c r="AI466" s="0" t="s">
        <v>4386</v>
      </c>
      <c r="AJ466" s="0" t="s">
        <v>211</v>
      </c>
      <c r="AL466" s="0" t="s">
        <v>4387</v>
      </c>
      <c r="AM466" s="0" t="n">
        <v>0</v>
      </c>
      <c r="AN466" s="0" t="s">
        <v>4385</v>
      </c>
      <c r="AO466" s="0" t="s">
        <v>4386</v>
      </c>
      <c r="AP466" s="0" t="s">
        <v>211</v>
      </c>
      <c r="AR466" s="0" t="s">
        <v>4388</v>
      </c>
      <c r="AS466" s="0" t="n">
        <v>0</v>
      </c>
      <c r="AT466" s="0" t="s">
        <v>4385</v>
      </c>
      <c r="AU466" s="0" t="s">
        <v>4386</v>
      </c>
      <c r="AV466" s="0" t="s">
        <v>211</v>
      </c>
      <c r="AX466" s="0" t="s">
        <v>4389</v>
      </c>
      <c r="AY466" s="0" t="n">
        <v>1</v>
      </c>
      <c r="AZ466" s="0" t="s">
        <v>4385</v>
      </c>
      <c r="BA466" s="0" t="s">
        <v>4386</v>
      </c>
      <c r="BB466" s="0" t="s">
        <v>211</v>
      </c>
      <c r="BD466" s="0" t="s">
        <v>4390</v>
      </c>
      <c r="BE466" s="0" t="n">
        <v>1</v>
      </c>
      <c r="BF466" s="0" t="s">
        <v>4385</v>
      </c>
      <c r="BG466" s="0" t="s">
        <v>4386</v>
      </c>
      <c r="BH466" s="0" t="s">
        <v>211</v>
      </c>
      <c r="BJ466" s="0" t="s">
        <v>4391</v>
      </c>
      <c r="BK466" s="0" t="n">
        <v>1</v>
      </c>
      <c r="BL466" s="0" t="s">
        <v>4385</v>
      </c>
      <c r="BM466" s="0" t="s">
        <v>4386</v>
      </c>
      <c r="BN466" s="0" t="s">
        <v>211</v>
      </c>
      <c r="BR466" s="0" t="n">
        <v>1</v>
      </c>
      <c r="BS466" s="0" t="s">
        <v>4392</v>
      </c>
      <c r="BT466" s="0" t="s">
        <v>4393</v>
      </c>
      <c r="BU466" s="0" t="s">
        <v>4394</v>
      </c>
      <c r="BV466" s="123"/>
      <c r="BW466" s="123"/>
      <c r="BX466" s="123"/>
      <c r="BY466" s="123"/>
      <c r="CA466" s="0" t="s">
        <v>216</v>
      </c>
      <c r="CD466" s="0" t="s">
        <v>256</v>
      </c>
      <c r="CE466" s="0" t="n">
        <v>0</v>
      </c>
      <c r="CF466" s="0" t="s">
        <v>4395</v>
      </c>
      <c r="CI466" s="1" t="n">
        <v>39717</v>
      </c>
      <c r="CJ466" s="1" t="n">
        <v>40553</v>
      </c>
      <c r="CK466" s="124" t="n">
        <v>0.4375</v>
      </c>
      <c r="CL466" s="0" t="s">
        <v>4396</v>
      </c>
      <c r="CM466" s="0" t="n">
        <f aca="false">IF(OR(CI466="",CJ466=""),"",DAYS360(CI466,CJ466)/360)</f>
        <v>2.28888888888889</v>
      </c>
      <c r="CN466" s="0" t="n">
        <f aca="false">IF(OR(CI466="",CJ466=""),"",DAYS360(CI466,CJ466)/30)</f>
        <v>27.4666666666667</v>
      </c>
      <c r="CO466" s="0" t="n">
        <f aca="false">IF(OR(CI466="",CJ466=""),"",DAYS360(CI466,CJ466)/7)</f>
        <v>117.714285714286</v>
      </c>
      <c r="CP466" s="0" t="n">
        <f aca="false">IF(OR(CI466="",CJ466=""),"",DAYS360(CI466,CJ466))</f>
        <v>824</v>
      </c>
      <c r="CQ466" s="0" t="s">
        <v>240</v>
      </c>
      <c r="CR466" s="0" t="n">
        <v>1</v>
      </c>
      <c r="CT466" s="0" t="s">
        <v>221</v>
      </c>
      <c r="CU466" s="0" t="s">
        <v>221</v>
      </c>
      <c r="CV466" s="0" t="str">
        <f aca="false">IF(OR(CT466="",CT466="NO ESPECIFICA",CT466="NO MENCIONA"),"",IF(CU466=0,CT466,IF(CU466=1,CT466/30,IF(CU466=2,CT466/15,IF(CU466=3,CT466/7,"")))))</f>
        <v/>
      </c>
      <c r="CW466" s="125" t="n">
        <v>30000</v>
      </c>
      <c r="CX466" s="0" t="n">
        <v>1</v>
      </c>
      <c r="CY466" s="0" t="n">
        <f aca="false">IF(CW466="","",IF(CX466=0,CW466,IF(CX466=1,CW466/30,IF(CX466=2,CW466/15,IF(CX466=3,CW466/7,CW466)))))</f>
        <v>1000</v>
      </c>
      <c r="CZ466" s="0" t="n">
        <f aca="false">IF(DI466&gt;0,DI466,IF(CY466&gt;0,CY466,IF(CV466&gt;0,CV466,"")))</f>
        <v>1000</v>
      </c>
      <c r="DA466" s="0" t="n">
        <f aca="false">IF(DM466=1,CZ466/8,IF(OR(DM466=2,DM466=4),CZ466/7,IF(DM466=3,CZ466/7.5,"")))</f>
        <v>125</v>
      </c>
      <c r="DB466" s="0" t="s">
        <v>216</v>
      </c>
      <c r="DC466" s="0" t="s">
        <v>216</v>
      </c>
      <c r="DD466" s="0" t="s">
        <v>216</v>
      </c>
      <c r="DE466" s="0" t="s">
        <v>216</v>
      </c>
      <c r="DF466" s="0" t="s">
        <v>216</v>
      </c>
      <c r="DG466" s="0" t="s">
        <v>216</v>
      </c>
      <c r="DH466" s="0" t="n">
        <v>0</v>
      </c>
      <c r="DI466" s="126" t="n">
        <v>1000</v>
      </c>
      <c r="DK466" s="0" t="n">
        <v>0</v>
      </c>
      <c r="DM466" s="0" t="n">
        <v>1</v>
      </c>
      <c r="DN466" s="0" t="n">
        <v>51</v>
      </c>
      <c r="DO466" s="0" t="n">
        <v>3</v>
      </c>
      <c r="DP466" s="0" t="n">
        <v>0</v>
      </c>
      <c r="DQ466" s="0" t="n">
        <v>1</v>
      </c>
      <c r="DR466" s="0"/>
      <c r="DS466" s="0" t="n">
        <v>1</v>
      </c>
      <c r="DU466" s="0" t="n">
        <v>0</v>
      </c>
      <c r="DW466" s="1" t="n">
        <v>15</v>
      </c>
      <c r="DX466" s="1" t="n">
        <v>40553</v>
      </c>
      <c r="DZ466" s="0"/>
      <c r="EA466" s="0" t="n">
        <v>1</v>
      </c>
      <c r="EC466" s="1" t="n">
        <v>39717</v>
      </c>
      <c r="ED466" s="1" t="n">
        <v>40553</v>
      </c>
      <c r="EF466" s="0"/>
      <c r="EG466" s="0" t="n">
        <v>1</v>
      </c>
      <c r="EI466" s="0" t="n">
        <f aca="false">IF(AND(DM466=1,DN466&lt;=48),"",IF(AND(DM466=2,DN466&lt;=42),"",IF(AND(DM466=3,DN466&lt;=45),"",EH466)))</f>
        <v>0</v>
      </c>
      <c r="EJ466" s="0" t="str">
        <f aca="false">IF(EI466="","",IF(EI466&lt;9,EI466,9))</f>
        <v/>
      </c>
      <c r="EK466" s="0" t="str">
        <f aca="false">IF(EI466="","",IF(EI466&gt;9,EI466-EJ466,0))</f>
        <v/>
      </c>
      <c r="EL466" s="0" t="str">
        <f aca="false">IF(EI466="","",EJ466*DA466*2+EK466*DA466*3)</f>
        <v/>
      </c>
      <c r="EP466" s="0" t="n">
        <v>0</v>
      </c>
      <c r="EQ466" s="0"/>
      <c r="ER466" s="0" t="n">
        <v>0</v>
      </c>
      <c r="ET466" s="0" t="n">
        <v>0</v>
      </c>
      <c r="EV466" s="0" t="n">
        <v>0</v>
      </c>
      <c r="EX466" s="0" t="n">
        <v>1</v>
      </c>
      <c r="EY466" s="0" t="n">
        <v>1</v>
      </c>
      <c r="EZ466" s="0"/>
      <c r="FA466" s="0"/>
      <c r="FB466" s="0" t="n">
        <v>0</v>
      </c>
      <c r="FC466" s="1"/>
      <c r="FF466" s="120" t="n">
        <f aca="false">(CJ466-CI466+1)/365</f>
        <v>2.29315068493151</v>
      </c>
      <c r="FG466" s="0" t="str">
        <f aca="false">CONCATENATE(F466,"/",G466)</f>
        <v>441/2011</v>
      </c>
      <c r="FH466" s="0" t="n">
        <v>1</v>
      </c>
      <c r="FI466" s="0" t="n">
        <f aca="false">IFERROR(IF((FC466-J466+1)/365&gt;3,0,1),"")</f>
        <v>1</v>
      </c>
    </row>
    <row r="467" customFormat="false" ht="15" hidden="false" customHeight="false" outlineLevel="0" collapsed="false">
      <c r="A467" s="5" t="str">
        <f aca="false">E467&amp;G467&amp;F467</f>
        <v>72011443</v>
      </c>
      <c r="B467" s="0" t="s">
        <v>3556</v>
      </c>
      <c r="C467" s="1" t="n">
        <v>42358</v>
      </c>
      <c r="E467" s="0" t="n">
        <v>7</v>
      </c>
      <c r="F467" s="0" t="n">
        <v>443</v>
      </c>
      <c r="G467" s="0" t="n">
        <v>2011</v>
      </c>
      <c r="H467" s="0" t="str">
        <f aca="false">"J"&amp;E467&amp;"\"&amp;F467&amp;"\"&amp;G467&amp;"\"&amp;W467</f>
        <v>J7\443\2011\1</v>
      </c>
      <c r="I467" s="0"/>
      <c r="J467" s="1" t="n">
        <v>40606</v>
      </c>
      <c r="K467" s="0" t="n">
        <v>0</v>
      </c>
      <c r="M467" s="1" t="n">
        <v>40609</v>
      </c>
      <c r="N467" s="1" t="n">
        <v>40697</v>
      </c>
      <c r="O467" s="1"/>
      <c r="P467" s="1"/>
      <c r="Q467" s="1"/>
      <c r="T467" s="121"/>
      <c r="U467" s="121"/>
      <c r="V467" s="122" t="n">
        <f aca="false">IF(AND(E467&gt;0,F467&gt;0,G467&gt;0),COUNTIFS($E:$E,E467,$F:$F,F467,$G:$G,G467),"")</f>
        <v>1</v>
      </c>
      <c r="W467" s="122" t="n">
        <f aca="false">IF(V467="","",IF(V467=1,1,IF(AND(E466=E467,F466=F467,G466=G467),W466+1,1)))</f>
        <v>1</v>
      </c>
      <c r="X467" s="0" t="n">
        <v>1</v>
      </c>
      <c r="Y467" s="0" t="n">
        <v>5</v>
      </c>
      <c r="Z467" s="0" t="s">
        <v>4397</v>
      </c>
      <c r="AA467" s="0" t="n">
        <v>0</v>
      </c>
      <c r="AB467" s="0" t="s">
        <v>4398</v>
      </c>
      <c r="AC467" s="0" t="s">
        <v>244</v>
      </c>
      <c r="AD467" s="0" t="s">
        <v>229</v>
      </c>
      <c r="AE467" s="0" t="n">
        <v>0</v>
      </c>
      <c r="AF467" s="0" t="s">
        <v>4399</v>
      </c>
      <c r="AG467" s="0" t="n">
        <v>0</v>
      </c>
      <c r="AH467" s="0" t="s">
        <v>4400</v>
      </c>
      <c r="AI467" s="0" t="s">
        <v>1591</v>
      </c>
      <c r="AJ467" s="0" t="s">
        <v>352</v>
      </c>
      <c r="AL467" s="0" t="s">
        <v>4401</v>
      </c>
      <c r="AM467" s="0" t="n">
        <v>0</v>
      </c>
      <c r="AN467" s="0" t="s">
        <v>4400</v>
      </c>
      <c r="AO467" s="0" t="s">
        <v>1591</v>
      </c>
      <c r="AP467" s="0" t="s">
        <v>352</v>
      </c>
      <c r="AR467" s="0" t="s">
        <v>4402</v>
      </c>
      <c r="AS467" s="0" t="n">
        <v>0</v>
      </c>
      <c r="AT467" s="0" t="s">
        <v>4400</v>
      </c>
      <c r="AU467" s="0" t="s">
        <v>1591</v>
      </c>
      <c r="AV467" s="0" t="s">
        <v>352</v>
      </c>
      <c r="AX467" s="0" t="s">
        <v>4403</v>
      </c>
      <c r="AY467" s="0" t="n">
        <v>1</v>
      </c>
      <c r="AZ467" s="0" t="s">
        <v>4400</v>
      </c>
      <c r="BA467" s="0" t="s">
        <v>1591</v>
      </c>
      <c r="BB467" s="0" t="s">
        <v>352</v>
      </c>
      <c r="BD467" s="0" t="s">
        <v>4404</v>
      </c>
      <c r="BE467" s="0" t="n">
        <v>1</v>
      </c>
      <c r="BF467" s="0" t="s">
        <v>4400</v>
      </c>
      <c r="BG467" s="0" t="s">
        <v>1591</v>
      </c>
      <c r="BH467" s="0" t="s">
        <v>352</v>
      </c>
      <c r="BR467" s="0" t="n">
        <v>1</v>
      </c>
      <c r="BS467" s="0" t="s">
        <v>4405</v>
      </c>
      <c r="BV467" s="123"/>
      <c r="BW467" s="123"/>
      <c r="BX467" s="123"/>
      <c r="BY467" s="123"/>
      <c r="CA467" s="0" t="s">
        <v>4406</v>
      </c>
      <c r="CD467" s="0" t="s">
        <v>370</v>
      </c>
      <c r="CE467" s="0" t="n">
        <v>0</v>
      </c>
      <c r="CF467" s="0" t="s">
        <v>4407</v>
      </c>
      <c r="CI467" s="1" t="n">
        <v>35958</v>
      </c>
      <c r="CJ467" s="1" t="n">
        <v>40547</v>
      </c>
      <c r="CK467" s="124" t="n">
        <v>0.520833333333333</v>
      </c>
      <c r="CL467" s="0" t="s">
        <v>4403</v>
      </c>
      <c r="CM467" s="0" t="n">
        <f aca="false">IF(OR(CI467="",CJ467=""),"",DAYS360(CI467,CJ467)/360)</f>
        <v>12.5611111111111</v>
      </c>
      <c r="CN467" s="0" t="n">
        <f aca="false">IF(OR(CI467="",CJ467=""),"",DAYS360(CI467,CJ467)/30)</f>
        <v>150.733333333333</v>
      </c>
      <c r="CO467" s="0" t="n">
        <f aca="false">IF(OR(CI467="",CJ467=""),"",DAYS360(CI467,CJ467)/7)</f>
        <v>646</v>
      </c>
      <c r="CP467" s="0" t="n">
        <f aca="false">IF(OR(CI467="",CJ467=""),"",DAYS360(CI467,CJ467))</f>
        <v>4522</v>
      </c>
      <c r="CQ467" s="0" t="s">
        <v>220</v>
      </c>
      <c r="CR467" s="0" t="n">
        <v>1</v>
      </c>
      <c r="CT467" s="0" t="n">
        <v>132</v>
      </c>
      <c r="CU467" s="0" t="n">
        <v>0</v>
      </c>
      <c r="CV467" s="0" t="n">
        <f aca="false">IF(OR(CT467="",CT467="NO ESPECIFICA",CT467="NO MENCIONA"),"",IF(CU467=0,CT467,IF(CU467=1,CT467/30,IF(CU467=2,CT467/15,IF(CU467=3,CT467/7,"")))))</f>
        <v>132</v>
      </c>
      <c r="CW467" s="125" t="n">
        <v>282</v>
      </c>
      <c r="CX467" s="0" t="n">
        <v>0</v>
      </c>
      <c r="CY467" s="0" t="n">
        <f aca="false">IF(CW467="","",IF(CX467=0,CW467,IF(CX467=1,CW467/30,IF(CX467=2,CW467/15,IF(CX467=3,CW467/7,CW467)))))</f>
        <v>282</v>
      </c>
      <c r="CZ467" s="0" t="n">
        <f aca="false">IF(DI467&gt;0,DI467,IF(CY467&gt;0,CY467,IF(CV467&gt;0,CV467,"")))</f>
        <v>282</v>
      </c>
      <c r="DA467" s="0" t="n">
        <f aca="false">IF(DM467=1,CZ467/8,IF(OR(DM467=2,DM467=4),CZ467/7,IF(DM467=3,CZ467/7.5,"")))</f>
        <v>35.25</v>
      </c>
      <c r="DB467" s="0" t="s">
        <v>1446</v>
      </c>
      <c r="DC467" s="0" t="s">
        <v>216</v>
      </c>
      <c r="DD467" s="0" t="s">
        <v>216</v>
      </c>
      <c r="DE467" s="0" t="s">
        <v>216</v>
      </c>
      <c r="DF467" s="0" t="s">
        <v>216</v>
      </c>
      <c r="DG467" s="0" t="s">
        <v>216</v>
      </c>
      <c r="DH467" s="0" t="n">
        <v>0</v>
      </c>
      <c r="DI467" s="126" t="n">
        <v>282</v>
      </c>
      <c r="DK467" s="0" t="n">
        <v>0</v>
      </c>
      <c r="DM467" s="0" t="n">
        <v>1</v>
      </c>
      <c r="DN467" s="0" t="n">
        <v>54</v>
      </c>
      <c r="DO467" s="0" t="n">
        <v>3</v>
      </c>
      <c r="DP467" s="0" t="n">
        <v>1</v>
      </c>
      <c r="DQ467" s="0" t="n">
        <v>1</v>
      </c>
      <c r="DR467" s="0" t="n">
        <v>25380</v>
      </c>
      <c r="DS467" s="0" t="n">
        <v>1</v>
      </c>
      <c r="DU467" s="0" t="n">
        <v>1</v>
      </c>
      <c r="DV467" s="0" t="n">
        <v>16548</v>
      </c>
      <c r="DW467" s="1" t="n">
        <v>40341</v>
      </c>
      <c r="DX467" s="1" t="n">
        <v>40547</v>
      </c>
      <c r="DZ467" s="0"/>
      <c r="EA467" s="0" t="n">
        <v>1</v>
      </c>
      <c r="EC467" s="1" t="n">
        <v>40179</v>
      </c>
      <c r="ED467" s="1" t="n">
        <v>40547</v>
      </c>
      <c r="EF467" s="0"/>
      <c r="EG467" s="0" t="n">
        <v>0</v>
      </c>
      <c r="EI467" s="0" t="n">
        <f aca="false">IF(AND(DM467=1,DN467&lt;=48),"",IF(AND(DM467=2,DN467&lt;=42),"",IF(AND(DM467=3,DN467&lt;=45),"",EH467)))</f>
        <v>0</v>
      </c>
      <c r="EJ467" s="0" t="str">
        <f aca="false">IF(EI467="","",IF(EI467&lt;9,EI467,9))</f>
        <v/>
      </c>
      <c r="EK467" s="0" t="str">
        <f aca="false">IF(EI467="","",IF(EI467&gt;9,EI467-EJ467,0))</f>
        <v/>
      </c>
      <c r="EL467" s="0" t="str">
        <f aca="false">IF(EI467="","",EJ467*DA467*2+EK467*DA467*3)</f>
        <v/>
      </c>
      <c r="EP467" s="0" t="n">
        <v>1</v>
      </c>
      <c r="EQ467" s="0" t="n">
        <v>64800</v>
      </c>
      <c r="ER467" s="0" t="n">
        <v>0</v>
      </c>
      <c r="ET467" s="0" t="n">
        <v>0</v>
      </c>
      <c r="EV467" s="0" t="n">
        <v>0</v>
      </c>
      <c r="EX467" s="0" t="n">
        <v>0</v>
      </c>
      <c r="EY467" s="0" t="n">
        <v>0</v>
      </c>
      <c r="EZ467" s="0"/>
      <c r="FA467" s="0"/>
      <c r="FB467" s="0" t="n">
        <v>0</v>
      </c>
      <c r="FC467" s="1" t="n">
        <v>40786</v>
      </c>
      <c r="FD467" s="0" t="n">
        <v>2</v>
      </c>
      <c r="FE467" s="0" t="n">
        <v>0</v>
      </c>
      <c r="FF467" s="120" t="n">
        <f aca="false">(CJ467-CI467+1)/365</f>
        <v>12.5753424657534</v>
      </c>
      <c r="FG467" s="0" t="str">
        <f aca="false">CONCATENATE(F467,"/",G467)</f>
        <v>443/2011</v>
      </c>
      <c r="FH467" s="0" t="n">
        <v>1</v>
      </c>
      <c r="FI467" s="0" t="n">
        <f aca="false">IFERROR(IF((FC467-J467+1)/365&gt;3,0,1),"")</f>
        <v>1</v>
      </c>
    </row>
    <row r="468" customFormat="false" ht="15" hidden="false" customHeight="false" outlineLevel="0" collapsed="false">
      <c r="A468" s="5" t="str">
        <f aca="false">E468&amp;G468&amp;F468</f>
        <v>72011454</v>
      </c>
      <c r="B468" s="0" t="s">
        <v>3556</v>
      </c>
      <c r="C468" s="1" t="n">
        <v>42358</v>
      </c>
      <c r="D468" s="0" t="s">
        <v>1856</v>
      </c>
      <c r="E468" s="0" t="n">
        <v>7</v>
      </c>
      <c r="F468" s="0" t="n">
        <v>454</v>
      </c>
      <c r="G468" s="0" t="n">
        <v>2011</v>
      </c>
      <c r="H468" s="0" t="str">
        <f aca="false">"J"&amp;E468&amp;"\"&amp;F468&amp;"\"&amp;G468&amp;"\"&amp;W468</f>
        <v>J7\454\2011\1</v>
      </c>
      <c r="I468" s="0"/>
      <c r="J468" s="1" t="n">
        <v>40609</v>
      </c>
      <c r="K468" s="0" t="n">
        <v>0</v>
      </c>
      <c r="M468" s="1"/>
      <c r="N468" s="1"/>
      <c r="O468" s="1"/>
      <c r="P468" s="1"/>
      <c r="Q468" s="1"/>
      <c r="T468" s="121"/>
      <c r="U468" s="121"/>
      <c r="V468" s="122" t="n">
        <f aca="false">IF(AND(E468&gt;0,F468&gt;0,G468&gt;0),COUNTIFS($E:$E,E468,$F:$F,F468,$G:$G,G468),"")</f>
        <v>1</v>
      </c>
      <c r="W468" s="122" t="n">
        <f aca="false">IF(V468="","",IF(V468=1,1,IF(AND(E467=E468,F467=F468,G467=G468),W467+1,1)))</f>
        <v>1</v>
      </c>
      <c r="X468" s="0" t="n">
        <v>1</v>
      </c>
      <c r="Y468" s="0" t="n">
        <v>4</v>
      </c>
      <c r="Z468" s="0" t="s">
        <v>4408</v>
      </c>
      <c r="AA468" s="0" t="n">
        <v>0</v>
      </c>
      <c r="AB468" s="0" t="s">
        <v>4351</v>
      </c>
      <c r="AC468" s="0" t="s">
        <v>318</v>
      </c>
      <c r="AD468" s="0" t="s">
        <v>221</v>
      </c>
      <c r="AE468" s="0" t="n">
        <v>0</v>
      </c>
      <c r="AF468" s="0" t="s">
        <v>756</v>
      </c>
      <c r="AG468" s="0" t="n">
        <v>0</v>
      </c>
      <c r="AH468" s="0" t="s">
        <v>3664</v>
      </c>
      <c r="AI468" s="0" t="s">
        <v>206</v>
      </c>
      <c r="AJ468" s="0" t="s">
        <v>207</v>
      </c>
      <c r="AL468" s="0" t="s">
        <v>4409</v>
      </c>
      <c r="AM468" s="0" t="n">
        <v>1</v>
      </c>
      <c r="AN468" s="0" t="s">
        <v>3664</v>
      </c>
      <c r="AO468" s="0" t="s">
        <v>206</v>
      </c>
      <c r="AP468" s="0" t="s">
        <v>207</v>
      </c>
      <c r="AR468" s="0" t="s">
        <v>1880</v>
      </c>
      <c r="AS468" s="0" t="n">
        <v>1</v>
      </c>
      <c r="AT468" s="0" t="s">
        <v>3664</v>
      </c>
      <c r="AU468" s="0" t="s">
        <v>206</v>
      </c>
      <c r="AV468" s="0" t="s">
        <v>207</v>
      </c>
      <c r="AX468" s="0" t="s">
        <v>412</v>
      </c>
      <c r="AY468" s="0" t="n">
        <v>0</v>
      </c>
      <c r="AZ468" s="0" t="s">
        <v>4410</v>
      </c>
      <c r="BA468" s="0" t="s">
        <v>438</v>
      </c>
      <c r="BB468" s="0" t="s">
        <v>352</v>
      </c>
      <c r="BR468" s="0" t="n">
        <v>1</v>
      </c>
      <c r="BS468" s="0" t="s">
        <v>4411</v>
      </c>
      <c r="BV468" s="123"/>
      <c r="BW468" s="123"/>
      <c r="BX468" s="123"/>
      <c r="BY468" s="123"/>
      <c r="CA468" s="0" t="s">
        <v>4361</v>
      </c>
      <c r="CD468" s="0" t="s">
        <v>357</v>
      </c>
      <c r="CE468" s="0" t="n">
        <v>0</v>
      </c>
      <c r="CF468" s="0" t="s">
        <v>4412</v>
      </c>
      <c r="CI468" s="1" t="n">
        <v>40564</v>
      </c>
      <c r="CJ468" s="1" t="n">
        <v>40596</v>
      </c>
      <c r="CK468" s="124" t="n">
        <v>0.458333333333333</v>
      </c>
      <c r="CL468" s="0" t="s">
        <v>216</v>
      </c>
      <c r="CM468" s="0" t="n">
        <f aca="false">IF(OR(CI468="",CJ468=""),"",DAYS360(CI468,CJ468)/360)</f>
        <v>0.0861111111111111</v>
      </c>
      <c r="CN468" s="0" t="n">
        <f aca="false">IF(OR(CI468="",CJ468=""),"",DAYS360(CI468,CJ468)/30)</f>
        <v>1.03333333333333</v>
      </c>
      <c r="CO468" s="0" t="n">
        <f aca="false">IF(OR(CI468="",CJ468=""),"",DAYS360(CI468,CJ468)/7)</f>
        <v>4.42857142857143</v>
      </c>
      <c r="CP468" s="0" t="n">
        <f aca="false">IF(OR(CI468="",CJ468=""),"",DAYS360(CI468,CJ468))</f>
        <v>31</v>
      </c>
      <c r="CQ468" s="0" t="s">
        <v>240</v>
      </c>
      <c r="CR468" s="0" t="n">
        <v>1</v>
      </c>
      <c r="CT468" s="0" t="s">
        <v>221</v>
      </c>
      <c r="CU468" s="0" t="s">
        <v>221</v>
      </c>
      <c r="CV468" s="0" t="str">
        <f aca="false">IF(OR(CT468="",CT468="NO ESPECIFICA",CT468="NO MENCIONA"),"",IF(CU468=0,CT468,IF(CU468=1,CT468/30,IF(CU468=2,CT468/15,IF(CU468=3,CT468/7,"")))))</f>
        <v/>
      </c>
      <c r="CW468" s="125" t="n">
        <v>2021.4</v>
      </c>
      <c r="CX468" s="0" t="n">
        <v>2</v>
      </c>
      <c r="CY468" s="0" t="n">
        <f aca="false">IF(CW468="","",IF(CX468=0,CW468,IF(CX468=1,CW468/30,IF(CX468=2,CW468/15,IF(CX468=3,CW468/7,CW468)))))</f>
        <v>134.76</v>
      </c>
      <c r="CZ468" s="0" t="n">
        <f aca="false">IF(DI468&gt;0,DI468,IF(CY468&gt;0,CY468,IF(CV468&gt;0,CV468,"")))</f>
        <v>134.76</v>
      </c>
      <c r="DA468" s="0" t="n">
        <f aca="false">IF(DM468=1,CZ468/8,IF(OR(DM468=2,DM468=4),CZ468/7,IF(DM468=3,CZ468/7.5,"")))</f>
        <v>16.845</v>
      </c>
      <c r="DB468" s="0" t="s">
        <v>216</v>
      </c>
      <c r="DC468" s="0" t="s">
        <v>216</v>
      </c>
      <c r="DD468" s="0" t="s">
        <v>216</v>
      </c>
      <c r="DE468" s="0" t="s">
        <v>216</v>
      </c>
      <c r="DF468" s="0" t="s">
        <v>216</v>
      </c>
      <c r="DG468" s="0" t="s">
        <v>216</v>
      </c>
      <c r="DH468" s="0" t="n">
        <v>0</v>
      </c>
      <c r="DI468" s="126" t="n">
        <v>134.76</v>
      </c>
      <c r="DK468" s="0" t="n">
        <v>1</v>
      </c>
      <c r="DM468" s="0" t="n">
        <v>1</v>
      </c>
      <c r="DN468" s="0" t="n">
        <v>54</v>
      </c>
      <c r="DO468" s="0" t="n">
        <v>3</v>
      </c>
      <c r="DP468" s="0" t="n">
        <v>0</v>
      </c>
      <c r="DQ468" s="0" t="n">
        <v>1</v>
      </c>
      <c r="DR468" s="0"/>
      <c r="DS468" s="0" t="n">
        <v>1</v>
      </c>
      <c r="DU468" s="0" t="n">
        <v>1</v>
      </c>
      <c r="DW468" s="1" t="n">
        <v>40564</v>
      </c>
      <c r="DX468" s="1" t="n">
        <v>40596</v>
      </c>
      <c r="DZ468" s="0"/>
      <c r="EA468" s="0" t="n">
        <v>1</v>
      </c>
      <c r="EC468" s="1" t="n">
        <v>39448</v>
      </c>
      <c r="ED468" s="1" t="n">
        <v>39813</v>
      </c>
      <c r="EF468" s="0"/>
      <c r="EG468" s="0" t="n">
        <v>1</v>
      </c>
      <c r="EH468" s="0" t="n">
        <v>6</v>
      </c>
      <c r="EI468" s="0" t="n">
        <f aca="false">IF(AND(DM468=1,DN468&lt;=48),"",IF(AND(DM468=2,DN468&lt;=42),"",IF(AND(DM468=3,DN468&lt;=45),"",EH468)))</f>
        <v>6</v>
      </c>
      <c r="EJ468" s="0" t="n">
        <f aca="false">IF(EI468="","",IF(EI468&lt;9,EI468,9))</f>
        <v>6</v>
      </c>
      <c r="EK468" s="0" t="n">
        <f aca="false">IF(EI468="","",IF(EI468&gt;9,EI468-EJ468,0))</f>
        <v>0</v>
      </c>
      <c r="EL468" s="0" t="n">
        <f aca="false">IF(EI468="","",EJ468*DA468*2+EK468*DA468*3)</f>
        <v>202.14</v>
      </c>
      <c r="EQ468" s="0"/>
      <c r="ER468" s="0" t="n">
        <v>0</v>
      </c>
      <c r="ET468" s="0" t="n">
        <v>0</v>
      </c>
      <c r="EV468" s="0" t="n">
        <v>0</v>
      </c>
      <c r="EX468" s="0" t="n">
        <v>1</v>
      </c>
      <c r="EY468" s="0" t="n">
        <v>0</v>
      </c>
      <c r="EZ468" s="0"/>
      <c r="FA468" s="4" t="n">
        <v>673.8</v>
      </c>
      <c r="FB468" s="0" t="n">
        <v>0</v>
      </c>
      <c r="FC468" s="1" t="n">
        <v>40717</v>
      </c>
      <c r="FD468" s="0" t="n">
        <v>1</v>
      </c>
      <c r="FE468" s="0" t="n">
        <v>6500</v>
      </c>
      <c r="FF468" s="120" t="n">
        <f aca="false">(CJ468-CI468+1)/365</f>
        <v>0.0904109589041096</v>
      </c>
      <c r="FG468" s="0" t="str">
        <f aca="false">CONCATENATE(F468,"/",G468)</f>
        <v>454/2011</v>
      </c>
      <c r="FH468" s="0" t="n">
        <v>1</v>
      </c>
      <c r="FI468" s="0" t="n">
        <f aca="false">IFERROR(IF((FC468-J468+1)/365&gt;3,0,1),"")</f>
        <v>1</v>
      </c>
    </row>
    <row r="469" customFormat="false" ht="15" hidden="false" customHeight="false" outlineLevel="0" collapsed="false">
      <c r="A469" s="5" t="str">
        <f aca="false">E469&amp;G469&amp;F469</f>
        <v>72011456</v>
      </c>
      <c r="B469" s="0" t="s">
        <v>3556</v>
      </c>
      <c r="C469" s="1" t="n">
        <v>42358</v>
      </c>
      <c r="D469" s="0" t="s">
        <v>1856</v>
      </c>
      <c r="E469" s="0" t="n">
        <v>7</v>
      </c>
      <c r="F469" s="0" t="n">
        <v>456</v>
      </c>
      <c r="G469" s="0" t="n">
        <v>2011</v>
      </c>
      <c r="H469" s="0" t="str">
        <f aca="false">"J"&amp;E469&amp;"\"&amp;F469&amp;"\"&amp;G469&amp;"\"&amp;W469</f>
        <v>J7\456\2011\1</v>
      </c>
      <c r="I469" s="0"/>
      <c r="J469" s="1" t="n">
        <v>40610</v>
      </c>
      <c r="K469" s="0" t="n">
        <v>0</v>
      </c>
      <c r="M469" s="1"/>
      <c r="N469" s="1"/>
      <c r="O469" s="1"/>
      <c r="P469" s="1"/>
      <c r="Q469" s="1"/>
      <c r="T469" s="121"/>
      <c r="U469" s="121"/>
      <c r="V469" s="122" t="n">
        <f aca="false">IF(AND(E469&gt;0,F469&gt;0,G469&gt;0),COUNTIFS($E:$E,E469,$F:$F,F469,$G:$G,G469),"")</f>
        <v>1</v>
      </c>
      <c r="W469" s="122" t="n">
        <f aca="false">IF(V469="","",IF(V469=1,1,IF(AND(E468=E469,F468=F469,G468=G469),W468+1,1)))</f>
        <v>1</v>
      </c>
      <c r="X469" s="0" t="n">
        <v>1</v>
      </c>
      <c r="Y469" s="0" t="n">
        <v>5</v>
      </c>
      <c r="Z469" s="0" t="s">
        <v>4413</v>
      </c>
      <c r="AA469" s="0" t="n">
        <v>0</v>
      </c>
      <c r="AB469" s="0" t="s">
        <v>4414</v>
      </c>
      <c r="AC469" s="0" t="s">
        <v>1661</v>
      </c>
      <c r="AD469" s="0" t="s">
        <v>229</v>
      </c>
      <c r="AE469" s="0" t="n">
        <v>0</v>
      </c>
      <c r="AF469" s="0" t="s">
        <v>4415</v>
      </c>
      <c r="AG469" s="0" t="n">
        <v>0</v>
      </c>
      <c r="AH469" s="0" t="s">
        <v>4416</v>
      </c>
      <c r="AI469" s="0" t="s">
        <v>3052</v>
      </c>
      <c r="AJ469" s="0" t="s">
        <v>322</v>
      </c>
      <c r="AL469" s="0" t="s">
        <v>4417</v>
      </c>
      <c r="AM469" s="0" t="n">
        <v>1</v>
      </c>
      <c r="AN469" s="0" t="s">
        <v>4416</v>
      </c>
      <c r="AO469" s="0" t="s">
        <v>3052</v>
      </c>
      <c r="AP469" s="0" t="s">
        <v>322</v>
      </c>
      <c r="AR469" s="0" t="s">
        <v>4418</v>
      </c>
      <c r="AS469" s="0" t="n">
        <v>1</v>
      </c>
      <c r="AT469" s="0" t="s">
        <v>4416</v>
      </c>
      <c r="AU469" s="0" t="s">
        <v>3052</v>
      </c>
      <c r="AV469" s="0" t="s">
        <v>322</v>
      </c>
      <c r="AX469" s="0" t="s">
        <v>4419</v>
      </c>
      <c r="AY469" s="0" t="n">
        <v>1</v>
      </c>
      <c r="AZ469" s="0" t="s">
        <v>4416</v>
      </c>
      <c r="BA469" s="0" t="s">
        <v>3052</v>
      </c>
      <c r="BB469" s="0" t="s">
        <v>322</v>
      </c>
      <c r="BD469" s="0" t="s">
        <v>1880</v>
      </c>
      <c r="BE469" s="0" t="n">
        <v>1</v>
      </c>
      <c r="BF469" s="0" t="s">
        <v>4416</v>
      </c>
      <c r="BG469" s="0" t="s">
        <v>3052</v>
      </c>
      <c r="BH469" s="0" t="s">
        <v>322</v>
      </c>
      <c r="BR469" s="0" t="n">
        <v>1</v>
      </c>
      <c r="BS469" s="0" t="s">
        <v>4420</v>
      </c>
      <c r="BV469" s="123"/>
      <c r="BW469" s="123"/>
      <c r="BX469" s="123"/>
      <c r="BY469" s="123"/>
      <c r="CA469" s="0" t="s">
        <v>4421</v>
      </c>
      <c r="CD469" s="0" t="s">
        <v>256</v>
      </c>
      <c r="CE469" s="0" t="n">
        <v>0</v>
      </c>
      <c r="CF469" s="0" t="s">
        <v>4422</v>
      </c>
      <c r="CI469" s="1" t="n">
        <v>39265</v>
      </c>
      <c r="CJ469" s="1" t="n">
        <v>40630</v>
      </c>
      <c r="CK469" s="124" t="n">
        <v>0.541666666666667</v>
      </c>
      <c r="CL469" s="0" t="s">
        <v>4419</v>
      </c>
      <c r="CM469" s="0" t="n">
        <f aca="false">IF(OR(CI469="",CJ469=""),"",DAYS360(CI469,CJ469)/360)</f>
        <v>3.73888888888889</v>
      </c>
      <c r="CN469" s="0" t="n">
        <f aca="false">IF(OR(CI469="",CJ469=""),"",DAYS360(CI469,CJ469)/30)</f>
        <v>44.8666666666667</v>
      </c>
      <c r="CO469" s="0" t="n">
        <f aca="false">IF(OR(CI469="",CJ469=""),"",DAYS360(CI469,CJ469)/7)</f>
        <v>192.285714285714</v>
      </c>
      <c r="CP469" s="0" t="n">
        <f aca="false">IF(OR(CI469="",CJ469=""),"",DAYS360(CI469,CJ469))</f>
        <v>1346</v>
      </c>
      <c r="CQ469" s="0" t="s">
        <v>240</v>
      </c>
      <c r="CR469" s="0" t="n">
        <v>1</v>
      </c>
      <c r="CT469" s="0" t="s">
        <v>221</v>
      </c>
      <c r="CU469" s="0" t="s">
        <v>221</v>
      </c>
      <c r="CV469" s="0" t="str">
        <f aca="false">IF(OR(CT469="",CT469="NO ESPECIFICA",CT469="NO MENCIONA"),"",IF(CU469=0,CT469,IF(CU469=1,CT469/30,IF(CU469=2,CT469/15,IF(CU469=3,CT469/7,"")))))</f>
        <v/>
      </c>
      <c r="CW469" s="125" t="n">
        <v>2500</v>
      </c>
      <c r="CX469" s="0" t="n">
        <v>2</v>
      </c>
      <c r="CY469" s="0" t="n">
        <f aca="false">IF(CW469="","",IF(CX469=0,CW469,IF(CX469=1,CW469/30,IF(CX469=2,CW469/15,IF(CX469=3,CW469/7,CW469)))))</f>
        <v>166.666666666667</v>
      </c>
      <c r="CZ469" s="0" t="n">
        <f aca="false">IF(DI469&gt;0,DI469,IF(CY469&gt;0,CY469,IF(CV469&gt;0,CV469,"")))</f>
        <v>166.666666666667</v>
      </c>
      <c r="DA469" s="0" t="n">
        <f aca="false">IF(DM469=1,CZ469/8,IF(OR(DM469=2,DM469=4),CZ469/7,IF(DM469=3,CZ469/7.5,"")))</f>
        <v>20.8333333333333</v>
      </c>
      <c r="DB469" s="0" t="s">
        <v>216</v>
      </c>
      <c r="DC469" s="0" t="s">
        <v>216</v>
      </c>
      <c r="DD469" s="0" t="s">
        <v>216</v>
      </c>
      <c r="DE469" s="0" t="s">
        <v>216</v>
      </c>
      <c r="DF469" s="0" t="s">
        <v>216</v>
      </c>
      <c r="DG469" s="0" t="s">
        <v>216</v>
      </c>
      <c r="DH469" s="0" t="n">
        <v>0</v>
      </c>
      <c r="DI469" s="126" t="n">
        <v>166.666666666667</v>
      </c>
      <c r="DK469" s="0" t="n">
        <v>0</v>
      </c>
      <c r="DM469" s="0" t="n">
        <v>1</v>
      </c>
      <c r="DN469" s="0" t="n">
        <v>78</v>
      </c>
      <c r="DO469" s="0" t="n">
        <v>3</v>
      </c>
      <c r="DP469" s="0" t="n">
        <v>0</v>
      </c>
      <c r="DQ469" s="0" t="n">
        <v>1</v>
      </c>
      <c r="DR469" s="0"/>
      <c r="DS469" s="0" t="n">
        <v>1</v>
      </c>
      <c r="DU469" s="0" t="n">
        <v>1</v>
      </c>
      <c r="DW469" s="1" t="n">
        <v>39265</v>
      </c>
      <c r="DX469" s="1" t="n">
        <v>40630</v>
      </c>
      <c r="DZ469" s="0"/>
      <c r="EA469" s="0" t="n">
        <v>1</v>
      </c>
      <c r="EC469" s="1" t="n">
        <v>39265</v>
      </c>
      <c r="ED469" s="1" t="n">
        <v>40630</v>
      </c>
      <c r="EF469" s="0"/>
      <c r="EG469" s="0" t="n">
        <v>1</v>
      </c>
      <c r="EH469" s="0" t="n">
        <v>36</v>
      </c>
      <c r="EI469" s="0" t="n">
        <f aca="false">IF(AND(DM469=1,DN469&lt;=48),"",IF(AND(DM469=2,DN469&lt;=42),"",IF(AND(DM469=3,DN469&lt;=45),"",EH469)))</f>
        <v>36</v>
      </c>
      <c r="EJ469" s="0" t="n">
        <f aca="false">IF(EI469="","",IF(EI469&lt;9,EI469,9))</f>
        <v>9</v>
      </c>
      <c r="EK469" s="0" t="n">
        <f aca="false">IF(EI469="","",IF(EI469&gt;9,EI469-EJ469,0))</f>
        <v>27</v>
      </c>
      <c r="EL469" s="0" t="n">
        <f aca="false">IF(EI469="","",EJ469*DA469*2+EK469*DA469*3)</f>
        <v>2062.5</v>
      </c>
      <c r="EP469" s="0" t="n">
        <v>0</v>
      </c>
      <c r="EQ469" s="0"/>
      <c r="ER469" s="0" t="n">
        <v>0</v>
      </c>
      <c r="ET469" s="0" t="n">
        <v>0</v>
      </c>
      <c r="EV469" s="0" t="n">
        <v>1</v>
      </c>
      <c r="EX469" s="0" t="n">
        <v>1</v>
      </c>
      <c r="EY469" s="0" t="n">
        <v>1</v>
      </c>
      <c r="EZ469" s="4" t="n">
        <v>3000</v>
      </c>
      <c r="FA469" s="4" t="n">
        <v>5000</v>
      </c>
      <c r="FB469" s="0" t="n">
        <v>0</v>
      </c>
      <c r="FC469" s="1" t="n">
        <v>40626</v>
      </c>
      <c r="FD469" s="0" t="n">
        <v>1</v>
      </c>
      <c r="FE469" s="0" t="n">
        <v>10000</v>
      </c>
      <c r="FF469" s="120" t="n">
        <f aca="false">(CJ469-CI469+1)/365</f>
        <v>3.74246575342466</v>
      </c>
      <c r="FG469" s="0" t="str">
        <f aca="false">CONCATENATE(F469,"/",G469)</f>
        <v>456/2011</v>
      </c>
      <c r="FH469" s="0" t="n">
        <v>1</v>
      </c>
      <c r="FI469" s="0" t="n">
        <f aca="false">IFERROR(IF((FC469-J469+1)/365&gt;3,0,1),"")</f>
        <v>1</v>
      </c>
    </row>
    <row r="470" customFormat="false" ht="15" hidden="false" customHeight="false" outlineLevel="0" collapsed="false">
      <c r="A470" s="5" t="str">
        <f aca="false">E470&amp;G470&amp;F470</f>
        <v>72011457</v>
      </c>
      <c r="B470" s="0" t="s">
        <v>3556</v>
      </c>
      <c r="C470" s="1" t="n">
        <v>42358</v>
      </c>
      <c r="D470" s="0" t="s">
        <v>1856</v>
      </c>
      <c r="E470" s="0" t="n">
        <v>7</v>
      </c>
      <c r="F470" s="0" t="n">
        <v>457</v>
      </c>
      <c r="G470" s="0" t="n">
        <v>2011</v>
      </c>
      <c r="H470" s="0" t="str">
        <f aca="false">"J"&amp;E470&amp;"\"&amp;F470&amp;"\"&amp;G470&amp;"\"&amp;W470</f>
        <v>J7\457\2011\1</v>
      </c>
      <c r="I470" s="0"/>
      <c r="J470" s="1" t="n">
        <v>40610</v>
      </c>
      <c r="K470" s="0" t="n">
        <v>0</v>
      </c>
      <c r="M470" s="1"/>
      <c r="N470" s="1"/>
      <c r="O470" s="1"/>
      <c r="P470" s="1"/>
      <c r="Q470" s="1"/>
      <c r="T470" s="121"/>
      <c r="U470" s="121"/>
      <c r="V470" s="122" t="n">
        <f aca="false">IF(AND(E470&gt;0,F470&gt;0,G470&gt;0),COUNTIFS($E:$E,E470,$F:$F,F470,$G:$G,G470),"")</f>
        <v>1</v>
      </c>
      <c r="W470" s="122" t="n">
        <f aca="false">IF(V470="","",IF(V470=1,1,IF(AND(E469=E470,F469=F470,G469=G470),W469+1,1)))</f>
        <v>1</v>
      </c>
      <c r="X470" s="0" t="n">
        <v>1</v>
      </c>
      <c r="Y470" s="0" t="n">
        <v>3</v>
      </c>
      <c r="Z470" s="0" t="s">
        <v>4423</v>
      </c>
      <c r="AA470" s="0" t="n">
        <v>0</v>
      </c>
      <c r="AB470" s="0" t="s">
        <v>4424</v>
      </c>
      <c r="AC470" s="0" t="s">
        <v>697</v>
      </c>
      <c r="AD470" s="0" t="s">
        <v>207</v>
      </c>
      <c r="AE470" s="0" t="n">
        <v>0</v>
      </c>
      <c r="AF470" s="0" t="s">
        <v>4425</v>
      </c>
      <c r="AG470" s="0" t="n">
        <v>0</v>
      </c>
      <c r="AH470" s="0" t="s">
        <v>4426</v>
      </c>
      <c r="AI470" s="0" t="s">
        <v>728</v>
      </c>
      <c r="AJ470" s="0" t="s">
        <v>352</v>
      </c>
      <c r="AL470" s="0" t="s">
        <v>4427</v>
      </c>
      <c r="AM470" s="0" t="n">
        <v>1</v>
      </c>
      <c r="AN470" s="0" t="s">
        <v>4426</v>
      </c>
      <c r="AO470" s="0" t="s">
        <v>728</v>
      </c>
      <c r="AP470" s="0" t="s">
        <v>352</v>
      </c>
      <c r="AR470" s="0" t="s">
        <v>1880</v>
      </c>
      <c r="AS470" s="0" t="n">
        <v>1</v>
      </c>
      <c r="AT470" s="0" t="s">
        <v>4426</v>
      </c>
      <c r="AU470" s="0" t="s">
        <v>728</v>
      </c>
      <c r="AV470" s="0" t="s">
        <v>352</v>
      </c>
      <c r="BR470" s="0" t="n">
        <v>1</v>
      </c>
      <c r="BS470" s="0" t="s">
        <v>3475</v>
      </c>
      <c r="BV470" s="123"/>
      <c r="BW470" s="123"/>
      <c r="BX470" s="123"/>
      <c r="BY470" s="123"/>
      <c r="CA470" s="0" t="s">
        <v>216</v>
      </c>
      <c r="CD470" s="0" t="s">
        <v>296</v>
      </c>
      <c r="CE470" s="0" t="n">
        <v>0</v>
      </c>
      <c r="CF470" s="0" t="s">
        <v>4428</v>
      </c>
      <c r="CI470" s="1" t="n">
        <v>40035</v>
      </c>
      <c r="CJ470" s="1" t="n">
        <v>40603</v>
      </c>
      <c r="CK470" s="124" t="n">
        <v>0.375</v>
      </c>
      <c r="CL470" s="0" t="s">
        <v>4427</v>
      </c>
      <c r="CM470" s="0" t="n">
        <f aca="false">IF(OR(CI470="",CJ470=""),"",DAYS360(CI470,CJ470)/360)</f>
        <v>1.55833333333333</v>
      </c>
      <c r="CN470" s="0" t="n">
        <f aca="false">IF(OR(CI470="",CJ470=""),"",DAYS360(CI470,CJ470)/30)</f>
        <v>18.7</v>
      </c>
      <c r="CO470" s="0" t="n">
        <f aca="false">IF(OR(CI470="",CJ470=""),"",DAYS360(CI470,CJ470)/7)</f>
        <v>80.1428571428571</v>
      </c>
      <c r="CP470" s="0" t="n">
        <f aca="false">IF(OR(CI470="",CJ470=""),"",DAYS360(CI470,CJ470))</f>
        <v>561</v>
      </c>
      <c r="CQ470" s="0" t="s">
        <v>240</v>
      </c>
      <c r="CR470" s="0" t="n">
        <v>1</v>
      </c>
      <c r="CT470" s="0" t="n">
        <v>198.36</v>
      </c>
      <c r="CU470" s="0" t="n">
        <v>0</v>
      </c>
      <c r="CV470" s="0" t="n">
        <f aca="false">IF(OR(CT470="",CT470="NO ESPECIFICA",CT470="NO MENCIONA"),"",IF(CU470=0,CT470,IF(CU470=1,CT470/30,IF(CU470=2,CT470/15,IF(CU470=3,CT470/7,"")))))</f>
        <v>198.36</v>
      </c>
      <c r="CW470" s="125" t="n">
        <v>263.36</v>
      </c>
      <c r="CX470" s="0" t="n">
        <v>0</v>
      </c>
      <c r="CY470" s="0" t="n">
        <f aca="false">IF(CW470="","",IF(CX470=0,CW470,IF(CX470=1,CW470/30,IF(CX470=2,CW470/15,IF(CX470=3,CW470/7,CW470)))))</f>
        <v>263.36</v>
      </c>
      <c r="CZ470" s="0" t="n">
        <f aca="false">IF(DI470&gt;0,DI470,IF(CY470&gt;0,CY470,IF(CV470&gt;0,CV470,"")))</f>
        <v>263.36</v>
      </c>
      <c r="DA470" s="0" t="n">
        <f aca="false">IF(DM470=1,CZ470/8,IF(OR(DM470=2,DM470=4),CZ470/7,IF(DM470=3,CZ470/7.5,"")))</f>
        <v>32.92</v>
      </c>
      <c r="DB470" s="0" t="s">
        <v>4429</v>
      </c>
      <c r="DC470" s="0" t="s">
        <v>4430</v>
      </c>
      <c r="DD470" s="0" t="s">
        <v>216</v>
      </c>
      <c r="DE470" s="0" t="s">
        <v>216</v>
      </c>
      <c r="DF470" s="0" t="s">
        <v>216</v>
      </c>
      <c r="DG470" s="0" t="s">
        <v>216</v>
      </c>
      <c r="DH470" s="0" t="n">
        <v>0</v>
      </c>
      <c r="DI470" s="126" t="n">
        <v>263.36</v>
      </c>
      <c r="DK470" s="0" t="n">
        <v>0</v>
      </c>
      <c r="DM470" s="0" t="n">
        <v>1</v>
      </c>
      <c r="DN470" s="0" t="n">
        <v>70</v>
      </c>
      <c r="DO470" s="0" t="n">
        <v>3</v>
      </c>
      <c r="DP470" s="0" t="n">
        <v>0</v>
      </c>
      <c r="DQ470" s="0" t="n">
        <v>1</v>
      </c>
      <c r="DR470" s="0"/>
      <c r="DS470" s="0" t="n">
        <v>1</v>
      </c>
      <c r="DU470" s="0" t="n">
        <v>1</v>
      </c>
      <c r="DW470" s="1" t="n">
        <v>40035</v>
      </c>
      <c r="DX470" s="1" t="n">
        <v>40603</v>
      </c>
      <c r="DZ470" s="0"/>
      <c r="EA470" s="0" t="n">
        <v>1</v>
      </c>
      <c r="EC470" s="1" t="n">
        <v>40035</v>
      </c>
      <c r="ED470" s="1" t="n">
        <v>40603</v>
      </c>
      <c r="EF470" s="0"/>
      <c r="EG470" s="0" t="n">
        <v>1</v>
      </c>
      <c r="EH470" s="0" t="n">
        <v>7</v>
      </c>
      <c r="EI470" s="0" t="n">
        <f aca="false">IF(AND(DM470=1,DN470&lt;=48),"",IF(AND(DM470=2,DN470&lt;=42),"",IF(AND(DM470=3,DN470&lt;=45),"",EH470)))</f>
        <v>7</v>
      </c>
      <c r="EJ470" s="0" t="n">
        <f aca="false">IF(EI470="","",IF(EI470&lt;9,EI470,9))</f>
        <v>7</v>
      </c>
      <c r="EK470" s="0" t="n">
        <f aca="false">IF(EI470="","",IF(EI470&gt;9,EI470-EJ470,0))</f>
        <v>0</v>
      </c>
      <c r="EL470" s="0" t="n">
        <f aca="false">IF(EI470="","",EJ470*DA470*2+EK470*DA470*3)</f>
        <v>460.88</v>
      </c>
      <c r="EP470" s="0" t="n">
        <v>1</v>
      </c>
      <c r="EQ470" s="0"/>
      <c r="ER470" s="0" t="n">
        <v>0</v>
      </c>
      <c r="ET470" s="0" t="n">
        <v>1</v>
      </c>
      <c r="EV470" s="0" t="n">
        <v>1</v>
      </c>
      <c r="EX470" s="0" t="n">
        <v>1</v>
      </c>
      <c r="EY470" s="0" t="n">
        <v>1</v>
      </c>
      <c r="EZ470" s="0"/>
      <c r="FA470" s="4" t="n">
        <v>7374.08</v>
      </c>
      <c r="FB470" s="0" t="n">
        <v>0</v>
      </c>
      <c r="FC470" s="1" t="n">
        <v>40823</v>
      </c>
      <c r="FD470" s="0" t="n">
        <v>1</v>
      </c>
      <c r="FE470" s="0" t="n">
        <v>12000</v>
      </c>
      <c r="FF470" s="120" t="n">
        <f aca="false">(CJ470-CI470+1)/365</f>
        <v>1.55890410958904</v>
      </c>
      <c r="FG470" s="0" t="str">
        <f aca="false">CONCATENATE(F470,"/",G470)</f>
        <v>457/2011</v>
      </c>
      <c r="FH470" s="0" t="n">
        <v>1</v>
      </c>
      <c r="FI470" s="0" t="n">
        <f aca="false">IFERROR(IF((FC470-J470+1)/365&gt;3,0,1),"")</f>
        <v>1</v>
      </c>
    </row>
    <row r="471" customFormat="false" ht="15" hidden="false" customHeight="false" outlineLevel="0" collapsed="false">
      <c r="A471" s="5" t="str">
        <f aca="false">E471&amp;G471&amp;F471</f>
        <v>72011459</v>
      </c>
      <c r="B471" s="0" t="s">
        <v>3556</v>
      </c>
      <c r="C471" s="1" t="n">
        <v>42358</v>
      </c>
      <c r="E471" s="0" t="n">
        <v>7</v>
      </c>
      <c r="F471" s="0" t="n">
        <v>459</v>
      </c>
      <c r="G471" s="0" t="n">
        <v>2011</v>
      </c>
      <c r="H471" s="0" t="str">
        <f aca="false">"J"&amp;E471&amp;"\"&amp;F471&amp;"\"&amp;G471&amp;"\"&amp;W471</f>
        <v>J7\459\2011\1</v>
      </c>
      <c r="I471" s="0"/>
      <c r="J471" s="1" t="n">
        <v>40610</v>
      </c>
      <c r="K471" s="0" t="n">
        <v>0</v>
      </c>
      <c r="M471" s="1" t="n">
        <v>40610</v>
      </c>
      <c r="N471" s="1" t="n">
        <v>40703</v>
      </c>
      <c r="O471" s="1"/>
      <c r="P471" s="1"/>
      <c r="Q471" s="1"/>
      <c r="T471" s="121"/>
      <c r="U471" s="121"/>
      <c r="V471" s="122" t="n">
        <f aca="false">IF(AND(E471&gt;0,F471&gt;0,G471&gt;0),COUNTIFS($E:$E,E471,$F:$F,F471,$G:$G,G471),"")</f>
        <v>1</v>
      </c>
      <c r="W471" s="122" t="n">
        <f aca="false">IF(V471="","",IF(V471=1,1,IF(AND(E470=E471,F470=F471,G470=G471),W470+1,1)))</f>
        <v>1</v>
      </c>
      <c r="X471" s="0" t="n">
        <v>1</v>
      </c>
      <c r="Y471" s="0" t="n">
        <v>2</v>
      </c>
      <c r="Z471" s="0" t="s">
        <v>4431</v>
      </c>
      <c r="AA471" s="0" t="n">
        <v>0</v>
      </c>
      <c r="AB471" s="0" t="s">
        <v>4432</v>
      </c>
      <c r="AC471" s="0" t="s">
        <v>728</v>
      </c>
      <c r="AD471" s="0" t="s">
        <v>352</v>
      </c>
      <c r="AE471" s="0" t="n">
        <v>0</v>
      </c>
      <c r="AF471" s="0" t="s">
        <v>4433</v>
      </c>
      <c r="AG471" s="0" t="n">
        <v>0</v>
      </c>
      <c r="AH471" s="0" t="s">
        <v>4434</v>
      </c>
      <c r="AI471" s="0" t="s">
        <v>287</v>
      </c>
      <c r="AJ471" s="0" t="s">
        <v>207</v>
      </c>
      <c r="AL471" s="0" t="s">
        <v>1880</v>
      </c>
      <c r="AM471" s="0" t="n">
        <v>1</v>
      </c>
      <c r="AN471" s="0" t="s">
        <v>4434</v>
      </c>
      <c r="AO471" s="0" t="s">
        <v>287</v>
      </c>
      <c r="AP471" s="0" t="s">
        <v>207</v>
      </c>
      <c r="BR471" s="0" t="n">
        <v>1</v>
      </c>
      <c r="BS471" s="0" t="s">
        <v>4435</v>
      </c>
      <c r="BV471" s="123"/>
      <c r="BW471" s="123"/>
      <c r="BX471" s="123"/>
      <c r="BY471" s="123"/>
      <c r="CA471" s="0" t="s">
        <v>216</v>
      </c>
      <c r="CD471" s="0" t="s">
        <v>256</v>
      </c>
      <c r="CE471" s="0" t="n">
        <v>0</v>
      </c>
      <c r="CF471" s="0" t="s">
        <v>503</v>
      </c>
      <c r="CI471" s="1" t="n">
        <v>40179</v>
      </c>
      <c r="CJ471" s="1" t="n">
        <v>40356</v>
      </c>
      <c r="CK471" s="124" t="s">
        <v>1775</v>
      </c>
      <c r="CL471" s="0" t="s">
        <v>1775</v>
      </c>
      <c r="CM471" s="0" t="n">
        <f aca="false">IF(OR(CI471="",CJ471=""),"",DAYS360(CI471,CJ471)/360)</f>
        <v>0.488888888888889</v>
      </c>
      <c r="CN471" s="0" t="n">
        <f aca="false">IF(OR(CI471="",CJ471=""),"",DAYS360(CI471,CJ471)/30)</f>
        <v>5.86666666666667</v>
      </c>
      <c r="CO471" s="0" t="n">
        <f aca="false">IF(OR(CI471="",CJ471=""),"",DAYS360(CI471,CJ471)/7)</f>
        <v>25.1428571428571</v>
      </c>
      <c r="CP471" s="0" t="n">
        <f aca="false">IF(OR(CI471="",CJ471=""),"",DAYS360(CI471,CJ471))</f>
        <v>176</v>
      </c>
      <c r="CQ471" s="0" t="s">
        <v>1761</v>
      </c>
      <c r="CR471" s="0" t="n">
        <v>5</v>
      </c>
      <c r="CS471" s="0" t="s">
        <v>1494</v>
      </c>
      <c r="CT471" s="0" t="s">
        <v>221</v>
      </c>
      <c r="CU471" s="0" t="s">
        <v>221</v>
      </c>
      <c r="CV471" s="0" t="str">
        <f aca="false">IF(OR(CT471="",CT471="NO ESPECIFICA",CT471="NO MENCIONA"),"",IF(CU471=0,CT471,IF(CU471=1,CT471/30,IF(CU471=2,CT471/15,IF(CU471=3,CT471/7,"")))))</f>
        <v/>
      </c>
      <c r="CW471" s="125" t="n">
        <v>870</v>
      </c>
      <c r="CX471" s="0" t="n">
        <v>0</v>
      </c>
      <c r="CY471" s="0" t="n">
        <f aca="false">IF(CW471="","",IF(CX471=0,CW471,IF(CX471=1,CW471/30,IF(CX471=2,CW471/15,IF(CX471=3,CW471/7,CW471)))))</f>
        <v>870</v>
      </c>
      <c r="CZ471" s="0" t="n">
        <f aca="false">IF(DI471&gt;0,DI471,IF(CY471&gt;0,CY471,IF(CV471&gt;0,CV471,"")))</f>
        <v>870</v>
      </c>
      <c r="DA471" s="0" t="n">
        <f aca="false">IF(DM471=1,CZ471/8,IF(OR(DM471=2,DM471=4),CZ471/7,IF(DM471=3,CZ471/7.5,"")))</f>
        <v>108.75</v>
      </c>
      <c r="DB471" s="0" t="s">
        <v>216</v>
      </c>
      <c r="DC471" s="0" t="s">
        <v>216</v>
      </c>
      <c r="DD471" s="0" t="s">
        <v>216</v>
      </c>
      <c r="DE471" s="0" t="s">
        <v>216</v>
      </c>
      <c r="DF471" s="0" t="s">
        <v>216</v>
      </c>
      <c r="DG471" s="0" t="s">
        <v>216</v>
      </c>
      <c r="DH471" s="0" t="n">
        <v>0</v>
      </c>
      <c r="DI471" s="126" t="n">
        <v>870</v>
      </c>
      <c r="DK471" s="0" t="n">
        <v>0</v>
      </c>
      <c r="DM471" s="0" t="n">
        <v>1</v>
      </c>
      <c r="DN471" s="0" t="n">
        <v>35</v>
      </c>
      <c r="DO471" s="0" t="n">
        <v>3</v>
      </c>
      <c r="DP471" s="0" t="n">
        <v>0</v>
      </c>
      <c r="DQ471" s="0" t="n">
        <v>0</v>
      </c>
      <c r="DR471" s="0"/>
      <c r="DS471" s="0" t="n">
        <v>0</v>
      </c>
      <c r="DU471" s="0" t="n">
        <v>0</v>
      </c>
      <c r="DW471" s="1" t="n">
        <v>40179</v>
      </c>
      <c r="DX471" s="1" t="n">
        <v>40359</v>
      </c>
      <c r="DZ471" s="0" t="n">
        <v>3236.65</v>
      </c>
      <c r="EA471" s="0" t="n">
        <v>1</v>
      </c>
      <c r="EC471" s="1" t="n">
        <v>40179</v>
      </c>
      <c r="ED471" s="1" t="n">
        <v>40356</v>
      </c>
      <c r="EF471" s="0" t="n">
        <v>6473.65</v>
      </c>
      <c r="EG471" s="0" t="n">
        <v>0</v>
      </c>
      <c r="EI471" s="0" t="str">
        <f aca="false">IF(AND(DM471=1,DN471&lt;=48),"",IF(AND(DM471=2,DN471&lt;=42),"",IF(AND(DM471=3,DN471&lt;=45),"",EH471)))</f>
        <v/>
      </c>
      <c r="EJ471" s="0" t="str">
        <f aca="false">IF(EI471="","",IF(EI471&lt;9,EI471,9))</f>
        <v/>
      </c>
      <c r="EK471" s="0" t="str">
        <f aca="false">IF(EI471="","",IF(EI471&gt;9,EI471-EJ471,0))</f>
        <v/>
      </c>
      <c r="EL471" s="0" t="str">
        <f aca="false">IF(EI471="","",EJ471*DA471*2+EK471*DA471*3)</f>
        <v/>
      </c>
      <c r="EP471" s="0" t="n">
        <v>0</v>
      </c>
      <c r="EQ471" s="0"/>
      <c r="ER471" s="0" t="n">
        <v>0</v>
      </c>
      <c r="ET471" s="0" t="n">
        <v>0</v>
      </c>
      <c r="EV471" s="0" t="n">
        <v>0</v>
      </c>
      <c r="EX471" s="0" t="n">
        <v>0</v>
      </c>
      <c r="EY471" s="0" t="n">
        <v>0</v>
      </c>
      <c r="EZ471" s="0"/>
      <c r="FA471" s="4" t="n">
        <v>13050.93</v>
      </c>
      <c r="FB471" s="0" t="n">
        <v>0</v>
      </c>
      <c r="FC471" s="1" t="n">
        <v>41358</v>
      </c>
      <c r="FD471" s="0" t="n">
        <v>1</v>
      </c>
      <c r="FE471" s="0" t="n">
        <v>19489.92</v>
      </c>
      <c r="FF471" s="120" t="n">
        <f aca="false">(CJ471-CI471+1)/365</f>
        <v>0.487671232876712</v>
      </c>
      <c r="FG471" s="0" t="str">
        <f aca="false">CONCATENATE(F471,"/",G471)</f>
        <v>459/2011</v>
      </c>
      <c r="FH471" s="0" t="n">
        <v>1</v>
      </c>
      <c r="FI471" s="0" t="n">
        <f aca="false">IFERROR(IF((FC471-J471+1)/365&gt;3,0,1),"")</f>
        <v>1</v>
      </c>
    </row>
    <row r="472" customFormat="false" ht="15" hidden="false" customHeight="false" outlineLevel="0" collapsed="false">
      <c r="A472" s="5" t="str">
        <f aca="false">E472&amp;G472&amp;F472</f>
        <v>72011460</v>
      </c>
      <c r="B472" s="0" t="s">
        <v>3556</v>
      </c>
      <c r="C472" s="1" t="n">
        <v>42361</v>
      </c>
      <c r="E472" s="0" t="n">
        <v>7</v>
      </c>
      <c r="F472" s="0" t="n">
        <v>460</v>
      </c>
      <c r="G472" s="0" t="n">
        <v>2011</v>
      </c>
      <c r="H472" s="0" t="str">
        <f aca="false">"J"&amp;E472&amp;"\"&amp;F472&amp;"\"&amp;G472&amp;"\"&amp;W472</f>
        <v>J7\460\2011\1</v>
      </c>
      <c r="I472" s="0"/>
      <c r="J472" s="1" t="n">
        <v>40610</v>
      </c>
      <c r="K472" s="0" t="n">
        <v>0</v>
      </c>
      <c r="M472" s="1" t="n">
        <v>40610</v>
      </c>
      <c r="N472" s="1" t="n">
        <v>40703</v>
      </c>
      <c r="O472" s="1"/>
      <c r="P472" s="1"/>
      <c r="Q472" s="1"/>
      <c r="T472" s="121"/>
      <c r="U472" s="121"/>
      <c r="V472" s="122" t="n">
        <f aca="false">IF(AND(E472&gt;0,F472&gt;0,G472&gt;0),COUNTIFS($E:$E,E472,$F:$F,F472,$G:$G,G472),"")</f>
        <v>1</v>
      </c>
      <c r="W472" s="122" t="n">
        <f aca="false">IF(V472="","",IF(V472=1,1,IF(AND(E471=E472,F471=F472,G471=G472),W471+1,1)))</f>
        <v>1</v>
      </c>
      <c r="X472" s="0" t="n">
        <v>1</v>
      </c>
      <c r="Y472" s="0" t="n">
        <v>3</v>
      </c>
      <c r="Z472" s="0" t="s">
        <v>4436</v>
      </c>
      <c r="AA472" s="0" t="n">
        <v>0</v>
      </c>
      <c r="AB472" s="0" t="s">
        <v>4437</v>
      </c>
      <c r="AC472" s="0" t="s">
        <v>1661</v>
      </c>
      <c r="AD472" s="0" t="s">
        <v>221</v>
      </c>
      <c r="AE472" s="0" t="n">
        <v>0</v>
      </c>
      <c r="AF472" s="0" t="s">
        <v>4438</v>
      </c>
      <c r="AG472" s="0" t="n">
        <v>0</v>
      </c>
      <c r="AH472" s="0" t="s">
        <v>4439</v>
      </c>
      <c r="AI472" s="0" t="s">
        <v>206</v>
      </c>
      <c r="AJ472" s="0" t="s">
        <v>207</v>
      </c>
      <c r="AL472" s="0" t="s">
        <v>4440</v>
      </c>
      <c r="AM472" s="0" t="n">
        <v>1</v>
      </c>
      <c r="AN472" s="0" t="s">
        <v>4439</v>
      </c>
      <c r="AO472" s="0" t="s">
        <v>206</v>
      </c>
      <c r="AP472" s="0" t="s">
        <v>207</v>
      </c>
      <c r="AR472" s="0" t="s">
        <v>1880</v>
      </c>
      <c r="AS472" s="0" t="n">
        <v>1</v>
      </c>
      <c r="AT472" s="0" t="s">
        <v>4439</v>
      </c>
      <c r="AU472" s="0" t="s">
        <v>206</v>
      </c>
      <c r="AV472" s="0" t="s">
        <v>207</v>
      </c>
      <c r="BR472" s="0" t="n">
        <v>1</v>
      </c>
      <c r="BS472" s="0" t="s">
        <v>3715</v>
      </c>
      <c r="BV472" s="123"/>
      <c r="BW472" s="123"/>
      <c r="BX472" s="123"/>
      <c r="BY472" s="123"/>
      <c r="CA472" s="0" t="s">
        <v>216</v>
      </c>
      <c r="CD472" s="0" t="s">
        <v>3716</v>
      </c>
      <c r="CE472" s="0" t="n">
        <v>0</v>
      </c>
      <c r="CF472" s="0" t="s">
        <v>503</v>
      </c>
      <c r="CI472" s="1" t="n">
        <v>40434</v>
      </c>
      <c r="CJ472" s="1" t="n">
        <v>40606</v>
      </c>
      <c r="CK472" s="124" t="n">
        <v>0.416666666666667</v>
      </c>
      <c r="CL472" s="0" t="s">
        <v>4440</v>
      </c>
      <c r="CM472" s="0" t="n">
        <f aca="false">IF(OR(CI472="",CJ472=""),"",DAYS360(CI472,CJ472)/360)</f>
        <v>0.475</v>
      </c>
      <c r="CN472" s="0" t="n">
        <f aca="false">IF(OR(CI472="",CJ472=""),"",DAYS360(CI472,CJ472)/30)</f>
        <v>5.7</v>
      </c>
      <c r="CO472" s="0" t="n">
        <f aca="false">IF(OR(CI472="",CJ472=""),"",DAYS360(CI472,CJ472)/7)</f>
        <v>24.4285714285714</v>
      </c>
      <c r="CP472" s="0" t="n">
        <f aca="false">IF(OR(CI472="",CJ472=""),"",DAYS360(CI472,CJ472))</f>
        <v>171</v>
      </c>
      <c r="CQ472" s="0" t="s">
        <v>240</v>
      </c>
      <c r="CR472" s="0" t="n">
        <v>1</v>
      </c>
      <c r="CT472" s="0" t="n">
        <v>6000</v>
      </c>
      <c r="CU472" s="0" t="n">
        <v>1</v>
      </c>
      <c r="CV472" s="0" t="n">
        <f aca="false">IF(OR(CT472="",CT472="NO ESPECIFICA",CT472="NO MENCIONA"),"",IF(CU472=0,CT472,IF(CU472=1,CT472/30,IF(CU472=2,CT472/15,IF(CU472=3,CT472/7,"")))))</f>
        <v>200</v>
      </c>
      <c r="CW472" s="125" t="s">
        <v>221</v>
      </c>
      <c r="CX472" s="0" t="s">
        <v>221</v>
      </c>
      <c r="CY472" s="0" t="str">
        <f aca="false">IF(CW472="","",IF(CX472=0,CW472,IF(CX472=1,CW472/30,IF(CX472=2,CW472/15,IF(CX472=3,CW472/7,CW472)))))</f>
        <v>NO ESPECIFICA</v>
      </c>
      <c r="CZ472" s="0" t="n">
        <f aca="false">IF(DI472&gt;0,DI472,IF(CY472&gt;0,CY472,IF(CV472&gt;0,CV472,"")))</f>
        <v>200</v>
      </c>
      <c r="DA472" s="0" t="n">
        <f aca="false">IF(DM472=1,CZ472/8,IF(OR(DM472=2,DM472=4),CZ472/7,IF(DM472=3,CZ472/7.5,"")))</f>
        <v>25</v>
      </c>
      <c r="DB472" s="0" t="s">
        <v>216</v>
      </c>
      <c r="DC472" s="0" t="s">
        <v>216</v>
      </c>
      <c r="DD472" s="0" t="s">
        <v>216</v>
      </c>
      <c r="DE472" s="0" t="s">
        <v>216</v>
      </c>
      <c r="DF472" s="0" t="s">
        <v>216</v>
      </c>
      <c r="DG472" s="0" t="s">
        <v>216</v>
      </c>
      <c r="DH472" s="0" t="n">
        <v>0</v>
      </c>
      <c r="DI472" s="126" t="n">
        <v>200</v>
      </c>
      <c r="DK472" s="0" t="n">
        <v>0</v>
      </c>
      <c r="DM472" s="0" t="n">
        <v>1</v>
      </c>
      <c r="DN472" s="0" t="n">
        <v>72</v>
      </c>
      <c r="DO472" s="0" t="n">
        <v>3</v>
      </c>
      <c r="DP472" s="0" t="n">
        <v>0</v>
      </c>
      <c r="DQ472" s="0" t="n">
        <v>1</v>
      </c>
      <c r="DR472" s="0"/>
      <c r="DS472" s="0" t="n">
        <v>1</v>
      </c>
      <c r="DU472" s="0" t="n">
        <v>1</v>
      </c>
      <c r="DW472" s="1" t="n">
        <v>40434</v>
      </c>
      <c r="DX472" s="1" t="n">
        <v>40606</v>
      </c>
      <c r="DZ472" s="0"/>
      <c r="EA472" s="0" t="n">
        <v>1</v>
      </c>
      <c r="EC472" s="1" t="n">
        <v>40434</v>
      </c>
      <c r="ED472" s="1" t="n">
        <v>40606</v>
      </c>
      <c r="EF472" s="0"/>
      <c r="EG472" s="0" t="n">
        <v>1</v>
      </c>
      <c r="EH472" s="0" t="n">
        <v>18</v>
      </c>
      <c r="EI472" s="0" t="n">
        <f aca="false">IF(AND(DM472=1,DN472&lt;=48),"",IF(AND(DM472=2,DN472&lt;=42),"",IF(AND(DM472=3,DN472&lt;=45),"",EH472)))</f>
        <v>18</v>
      </c>
      <c r="EJ472" s="0" t="n">
        <f aca="false">IF(EI472="","",IF(EI472&lt;9,EI472,9))</f>
        <v>9</v>
      </c>
      <c r="EK472" s="0" t="n">
        <f aca="false">IF(EI472="","",IF(EI472&gt;9,EI472-EJ472,0))</f>
        <v>9</v>
      </c>
      <c r="EL472" s="0" t="n">
        <f aca="false">IF(EI472="","",EJ472*DA472*2+EK472*DA472*3)</f>
        <v>1125</v>
      </c>
      <c r="EP472" s="0" t="n">
        <v>0</v>
      </c>
      <c r="EQ472" s="0"/>
      <c r="ER472" s="0" t="n">
        <v>1</v>
      </c>
      <c r="ET472" s="0" t="n">
        <v>1</v>
      </c>
      <c r="EV472" s="0" t="n">
        <v>1</v>
      </c>
      <c r="EX472" s="0" t="n">
        <v>0</v>
      </c>
      <c r="EY472" s="0" t="n">
        <v>0</v>
      </c>
      <c r="EZ472" s="0"/>
      <c r="FA472" s="4" t="n">
        <v>11800</v>
      </c>
      <c r="FB472" s="0" t="n">
        <v>1</v>
      </c>
      <c r="FC472" s="1" t="n">
        <v>40718</v>
      </c>
      <c r="FD472" s="0" t="n">
        <v>1</v>
      </c>
      <c r="FE472" s="0" t="n">
        <v>9000</v>
      </c>
      <c r="FF472" s="120" t="n">
        <f aca="false">(CJ472-CI472+1)/365</f>
        <v>0.473972602739726</v>
      </c>
      <c r="FG472" s="0" t="str">
        <f aca="false">CONCATENATE(F472,"/",G472)</f>
        <v>460/2011</v>
      </c>
      <c r="FH472" s="0" t="n">
        <v>1</v>
      </c>
      <c r="FI472" s="0" t="n">
        <f aca="false">IFERROR(IF((FC472-J472+1)/365&gt;3,0,1),"")</f>
        <v>1</v>
      </c>
    </row>
    <row r="473" customFormat="false" ht="15" hidden="false" customHeight="false" outlineLevel="0" collapsed="false">
      <c r="A473" s="5" t="str">
        <f aca="false">E473&amp;G473&amp;F473</f>
        <v>72011462</v>
      </c>
      <c r="B473" s="0" t="s">
        <v>3556</v>
      </c>
      <c r="C473" s="1" t="n">
        <v>42361</v>
      </c>
      <c r="E473" s="0" t="n">
        <v>7</v>
      </c>
      <c r="F473" s="0" t="n">
        <v>462</v>
      </c>
      <c r="G473" s="0" t="n">
        <v>2011</v>
      </c>
      <c r="H473" s="0" t="str">
        <f aca="false">"J"&amp;E473&amp;"\"&amp;F473&amp;"\"&amp;G473&amp;"\"&amp;W473</f>
        <v>J7\462\2011\1</v>
      </c>
      <c r="I473" s="0"/>
      <c r="J473" s="1" t="n">
        <v>40611</v>
      </c>
      <c r="K473" s="0" t="n">
        <v>0</v>
      </c>
      <c r="M473" s="1" t="n">
        <v>40611</v>
      </c>
      <c r="N473" s="1" t="n">
        <v>40703</v>
      </c>
      <c r="O473" s="1"/>
      <c r="P473" s="1"/>
      <c r="Q473" s="1"/>
      <c r="T473" s="121"/>
      <c r="U473" s="121"/>
      <c r="V473" s="122" t="n">
        <f aca="false">IF(AND(E473&gt;0,F473&gt;0,G473&gt;0),COUNTIFS($E:$E,E473,$F:$F,F473,$G:$G,G473),"")</f>
        <v>1</v>
      </c>
      <c r="W473" s="122" t="n">
        <f aca="false">IF(V473="","",IF(V473=1,1,IF(AND(E472=E473,F472=F473,G472=G473),W472+1,1)))</f>
        <v>1</v>
      </c>
      <c r="X473" s="0" t="n">
        <v>1</v>
      </c>
      <c r="Y473" s="0" t="n">
        <v>8</v>
      </c>
      <c r="Z473" s="0" t="s">
        <v>4441</v>
      </c>
      <c r="AA473" s="0" t="n">
        <v>0</v>
      </c>
      <c r="AB473" s="0" t="s">
        <v>4442</v>
      </c>
      <c r="AC473" s="0" t="s">
        <v>318</v>
      </c>
      <c r="AD473" s="0" t="s">
        <v>229</v>
      </c>
      <c r="AE473" s="0" t="n">
        <v>0</v>
      </c>
      <c r="AF473" s="0" t="s">
        <v>4443</v>
      </c>
      <c r="AG473" s="0" t="n">
        <v>0</v>
      </c>
      <c r="AH473" s="0" t="s">
        <v>4444</v>
      </c>
      <c r="AI473" s="0" t="s">
        <v>4445</v>
      </c>
      <c r="AJ473" s="0" t="s">
        <v>322</v>
      </c>
      <c r="AL473" s="0" t="s">
        <v>4446</v>
      </c>
      <c r="AM473" s="0" t="n">
        <v>1</v>
      </c>
      <c r="AN473" s="0" t="s">
        <v>4444</v>
      </c>
      <c r="AO473" s="0" t="s">
        <v>4445</v>
      </c>
      <c r="AP473" s="0" t="s">
        <v>322</v>
      </c>
      <c r="AR473" s="0" t="s">
        <v>4447</v>
      </c>
      <c r="AS473" s="0" t="n">
        <v>0</v>
      </c>
      <c r="AT473" s="0" t="s">
        <v>3664</v>
      </c>
      <c r="AU473" s="0" t="s">
        <v>206</v>
      </c>
      <c r="AV473" s="0" t="s">
        <v>207</v>
      </c>
      <c r="AX473" s="0" t="s">
        <v>4448</v>
      </c>
      <c r="AY473" s="0" t="n">
        <v>1</v>
      </c>
      <c r="AZ473" s="0" t="s">
        <v>3664</v>
      </c>
      <c r="BA473" s="0" t="s">
        <v>206</v>
      </c>
      <c r="BB473" s="0" t="s">
        <v>207</v>
      </c>
      <c r="BD473" s="0" t="s">
        <v>249</v>
      </c>
      <c r="BE473" s="0" t="n">
        <v>0</v>
      </c>
      <c r="BF473" s="0" t="s">
        <v>4449</v>
      </c>
      <c r="BG473" s="0" t="s">
        <v>410</v>
      </c>
      <c r="BH473" s="0" t="s">
        <v>411</v>
      </c>
      <c r="BJ473" s="0" t="s">
        <v>412</v>
      </c>
      <c r="BK473" s="0" t="n">
        <v>0</v>
      </c>
      <c r="BL473" s="0" t="s">
        <v>4450</v>
      </c>
      <c r="BM473" s="0" t="s">
        <v>438</v>
      </c>
      <c r="BN473" s="0" t="s">
        <v>352</v>
      </c>
      <c r="BR473" s="0" t="n">
        <v>1</v>
      </c>
      <c r="BS473" s="0" t="s">
        <v>4451</v>
      </c>
      <c r="BT473" s="0" t="s">
        <v>4452</v>
      </c>
      <c r="BU473" s="0" t="s">
        <v>4453</v>
      </c>
      <c r="BV473" s="123"/>
      <c r="BW473" s="123"/>
      <c r="BX473" s="123"/>
      <c r="BY473" s="123"/>
      <c r="CD473" s="0" t="s">
        <v>370</v>
      </c>
      <c r="CE473" s="0" t="n">
        <v>0</v>
      </c>
      <c r="CF473" s="0" t="s">
        <v>4454</v>
      </c>
      <c r="CI473" s="1" t="n">
        <v>38446</v>
      </c>
      <c r="CJ473" s="1" t="n">
        <v>40605</v>
      </c>
      <c r="CK473" s="124" t="n">
        <v>0.708333333333333</v>
      </c>
      <c r="CL473" s="0" t="s">
        <v>4446</v>
      </c>
      <c r="CM473" s="0" t="n">
        <f aca="false">IF(OR(CI473="",CJ473=""),"",DAYS360(CI473,CJ473)/360)</f>
        <v>5.91388888888889</v>
      </c>
      <c r="CN473" s="0" t="n">
        <f aca="false">IF(OR(CI473="",CJ473=""),"",DAYS360(CI473,CJ473)/30)</f>
        <v>70.9666666666667</v>
      </c>
      <c r="CO473" s="0" t="n">
        <f aca="false">IF(OR(CI473="",CJ473=""),"",DAYS360(CI473,CJ473)/7)</f>
        <v>304.142857142857</v>
      </c>
      <c r="CP473" s="0" t="n">
        <f aca="false">IF(OR(CI473="",CJ473=""),"",DAYS360(CI473,CJ473))</f>
        <v>2129</v>
      </c>
      <c r="CQ473" s="0" t="s">
        <v>220</v>
      </c>
      <c r="CR473" s="0" t="n">
        <v>1</v>
      </c>
      <c r="CT473" s="0" t="n">
        <v>250</v>
      </c>
      <c r="CU473" s="0" t="n">
        <v>0</v>
      </c>
      <c r="CV473" s="0" t="n">
        <f aca="false">IF(OR(CT473="",CT473="NO ESPECIFICA",CT473="NO MENCIONA"),"",IF(CU473=0,CT473,IF(CU473=1,CT473/30,IF(CU473=2,CT473/15,IF(CU473=3,CT473/7,"")))))</f>
        <v>250</v>
      </c>
      <c r="CW473" s="125" t="s">
        <v>221</v>
      </c>
      <c r="CX473" s="0" t="s">
        <v>221</v>
      </c>
      <c r="CY473" s="0" t="str">
        <f aca="false">IF(CW473="","",IF(CX473=0,CW473,IF(CX473=1,CW473/30,IF(CX473=2,CW473/15,IF(CX473=3,CW473/7,CW473)))))</f>
        <v>NO ESPECIFICA</v>
      </c>
      <c r="CZ473" s="0" t="n">
        <f aca="false">IF(DI473&gt;0,DI473,IF(CY473&gt;0,CY473,IF(CV473&gt;0,CV473,"")))</f>
        <v>376.073059360731</v>
      </c>
      <c r="DA473" s="0" t="n">
        <f aca="false">IF(DM473=1,CZ473/8,IF(OR(DM473=2,DM473=4),CZ473/7,IF(DM473=3,CZ473/7.5,"")))</f>
        <v>47.0091324200913</v>
      </c>
      <c r="DB473" s="0" t="s">
        <v>302</v>
      </c>
      <c r="DC473" s="0" t="s">
        <v>303</v>
      </c>
      <c r="DD473" s="0" t="s">
        <v>301</v>
      </c>
      <c r="DE473" s="0" t="s">
        <v>299</v>
      </c>
      <c r="DF473" s="0" t="s">
        <v>4455</v>
      </c>
      <c r="DG473" s="0" t="s">
        <v>4456</v>
      </c>
      <c r="DH473" s="0" t="n">
        <v>0</v>
      </c>
      <c r="DI473" s="126" t="n">
        <v>376.073059360731</v>
      </c>
      <c r="DK473" s="0" t="n">
        <v>0</v>
      </c>
      <c r="DM473" s="0" t="n">
        <v>1</v>
      </c>
      <c r="DN473" s="0" t="n">
        <v>64.5</v>
      </c>
      <c r="DO473" s="0" t="n">
        <v>3</v>
      </c>
      <c r="DP473" s="0" t="n">
        <v>1</v>
      </c>
      <c r="DQ473" s="0" t="n">
        <v>1</v>
      </c>
      <c r="DR473" s="0"/>
      <c r="DS473" s="0" t="n">
        <v>1</v>
      </c>
      <c r="DU473" s="0" t="n">
        <v>1</v>
      </c>
      <c r="DW473" s="1" t="n">
        <v>38446</v>
      </c>
      <c r="DX473" s="1" t="n">
        <v>40605</v>
      </c>
      <c r="DZ473" s="0"/>
      <c r="EA473" s="0" t="n">
        <v>1</v>
      </c>
      <c r="EC473" s="1" t="s">
        <v>216</v>
      </c>
      <c r="ED473" s="1" t="s">
        <v>216</v>
      </c>
      <c r="EE473" s="0" t="s">
        <v>216</v>
      </c>
      <c r="EF473" s="0" t="s">
        <v>216</v>
      </c>
      <c r="EG473" s="0" t="n">
        <v>1</v>
      </c>
      <c r="EH473" s="0" t="n">
        <v>19.5</v>
      </c>
      <c r="EI473" s="0" t="n">
        <f aca="false">IF(AND(DM473=1,DN473&lt;=48),"",IF(AND(DM473=2,DN473&lt;=42),"",IF(AND(DM473=3,DN473&lt;=45),"",EH473)))</f>
        <v>19.5</v>
      </c>
      <c r="EJ473" s="0" t="n">
        <f aca="false">IF(EI473="","",IF(EI473&lt;9,EI473,9))</f>
        <v>9</v>
      </c>
      <c r="EK473" s="0" t="n">
        <f aca="false">IF(EI473="","",IF(EI473&gt;9,EI473-EJ473,0))</f>
        <v>10.5</v>
      </c>
      <c r="EL473" s="0" t="n">
        <f aca="false">IF(EI473="","",EJ473*DA473*2+EK473*DA473*3)</f>
        <v>2326.95205479452</v>
      </c>
      <c r="EP473" s="0" t="n">
        <v>1</v>
      </c>
      <c r="EQ473" s="0"/>
      <c r="ER473" s="0" t="n">
        <v>1</v>
      </c>
      <c r="ET473" s="0" t="n">
        <v>0</v>
      </c>
      <c r="EV473" s="0" t="n">
        <v>1</v>
      </c>
      <c r="EX473" s="0" t="n">
        <v>1</v>
      </c>
      <c r="EY473" s="0" t="n">
        <v>1</v>
      </c>
      <c r="EZ473" s="0"/>
      <c r="FA473" s="4" t="n">
        <v>29569.444445</v>
      </c>
      <c r="FB473" s="0" t="n">
        <v>1</v>
      </c>
      <c r="FC473" s="1" t="n">
        <v>41289</v>
      </c>
      <c r="FD473" s="0" t="n">
        <v>1</v>
      </c>
      <c r="FE473" s="0" t="n">
        <v>26700</v>
      </c>
      <c r="FF473" s="120" t="n">
        <f aca="false">(CJ473-CI473+1)/365</f>
        <v>5.91780821917808</v>
      </c>
      <c r="FG473" s="0" t="str">
        <f aca="false">CONCATENATE(F473,"/",G473)</f>
        <v>462/2011</v>
      </c>
      <c r="FH473" s="0" t="n">
        <v>1</v>
      </c>
      <c r="FI473" s="0" t="n">
        <f aca="false">IFERROR(IF((FC473-J473+1)/365&gt;3,0,1),"")</f>
        <v>1</v>
      </c>
    </row>
    <row r="474" customFormat="false" ht="15" hidden="false" customHeight="false" outlineLevel="0" collapsed="false">
      <c r="A474" s="5" t="str">
        <f aca="false">E474&amp;G474&amp;F474</f>
        <v>72011464</v>
      </c>
      <c r="B474" s="0" t="s">
        <v>3556</v>
      </c>
      <c r="C474" s="1" t="n">
        <v>42361</v>
      </c>
      <c r="E474" s="0" t="n">
        <v>7</v>
      </c>
      <c r="F474" s="0" t="n">
        <v>464</v>
      </c>
      <c r="G474" s="0" t="n">
        <v>2011</v>
      </c>
      <c r="H474" s="0" t="str">
        <f aca="false">"J"&amp;E474&amp;"\"&amp;F474&amp;"\"&amp;G474&amp;"\"&amp;W474</f>
        <v>J7\464\2011\1</v>
      </c>
      <c r="I474" s="0"/>
      <c r="J474" s="1" t="n">
        <v>40611</v>
      </c>
      <c r="K474" s="0" t="n">
        <v>0</v>
      </c>
      <c r="M474" s="1" t="n">
        <v>40611</v>
      </c>
      <c r="N474" s="1" t="n">
        <v>40704</v>
      </c>
      <c r="O474" s="1"/>
      <c r="P474" s="1"/>
      <c r="Q474" s="1"/>
      <c r="T474" s="121"/>
      <c r="U474" s="121"/>
      <c r="V474" s="122" t="n">
        <f aca="false">IF(AND(E474&gt;0,F474&gt;0,G474&gt;0),COUNTIFS($E:$E,E474,$F:$F,F474,$G:$G,G474),"")</f>
        <v>1</v>
      </c>
      <c r="W474" s="122" t="n">
        <f aca="false">IF(V474="","",IF(V474=1,1,IF(AND(E473=E474,F473=F474,G473=G474),W473+1,1)))</f>
        <v>1</v>
      </c>
      <c r="X474" s="0" t="n">
        <v>1</v>
      </c>
      <c r="Y474" s="0" t="n">
        <v>4</v>
      </c>
      <c r="Z474" s="0" t="s">
        <v>4457</v>
      </c>
      <c r="AA474" s="0" t="n">
        <v>0</v>
      </c>
      <c r="AB474" s="0" t="s">
        <v>3589</v>
      </c>
      <c r="AC474" s="0" t="s">
        <v>228</v>
      </c>
      <c r="AD474" s="0" t="s">
        <v>229</v>
      </c>
      <c r="AE474" s="0" t="n">
        <v>0</v>
      </c>
      <c r="AF474" s="0" t="s">
        <v>3250</v>
      </c>
      <c r="AG474" s="0" t="n">
        <v>0</v>
      </c>
      <c r="AH474" s="0" t="s">
        <v>4458</v>
      </c>
      <c r="AI474" s="0" t="s">
        <v>206</v>
      </c>
      <c r="AJ474" s="0" t="s">
        <v>207</v>
      </c>
      <c r="AL474" s="0" t="s">
        <v>4459</v>
      </c>
      <c r="AM474" s="0" t="n">
        <v>1</v>
      </c>
      <c r="AN474" s="0" t="s">
        <v>4458</v>
      </c>
      <c r="AO474" s="0" t="s">
        <v>206</v>
      </c>
      <c r="AP474" s="0" t="s">
        <v>207</v>
      </c>
      <c r="AR474" s="0" t="s">
        <v>4460</v>
      </c>
      <c r="AS474" s="0" t="n">
        <v>1</v>
      </c>
      <c r="AT474" s="0" t="s">
        <v>4458</v>
      </c>
      <c r="AU474" s="0" t="s">
        <v>206</v>
      </c>
      <c r="AV474" s="0" t="s">
        <v>207</v>
      </c>
      <c r="AX474" s="0" t="s">
        <v>1880</v>
      </c>
      <c r="AY474" s="0" t="n">
        <v>1</v>
      </c>
      <c r="AZ474" s="0" t="s">
        <v>4458</v>
      </c>
      <c r="BA474" s="0" t="s">
        <v>206</v>
      </c>
      <c r="BB474" s="0" t="s">
        <v>207</v>
      </c>
      <c r="BR474" s="0" t="n">
        <v>3</v>
      </c>
      <c r="BS474" s="0" t="s">
        <v>3272</v>
      </c>
      <c r="BV474" s="123"/>
      <c r="BW474" s="123"/>
      <c r="BX474" s="123"/>
      <c r="BY474" s="123"/>
      <c r="CA474" s="0" t="s">
        <v>348</v>
      </c>
      <c r="CD474" s="0" t="s">
        <v>296</v>
      </c>
      <c r="CE474" s="0" t="n">
        <v>0</v>
      </c>
      <c r="CF474" s="0" t="s">
        <v>611</v>
      </c>
      <c r="CI474" s="1" t="n">
        <v>39769</v>
      </c>
      <c r="CJ474" s="1" t="n">
        <v>40554</v>
      </c>
      <c r="CK474" s="124" t="n">
        <v>0.333333333333333</v>
      </c>
      <c r="CL474" s="0" t="s">
        <v>4461</v>
      </c>
      <c r="CM474" s="0" t="n">
        <f aca="false">IF(OR(CI474="",CJ474=""),"",DAYS360(CI474,CJ474)/360)</f>
        <v>2.15</v>
      </c>
      <c r="CN474" s="0" t="n">
        <f aca="false">IF(OR(CI474="",CJ474=""),"",DAYS360(CI474,CJ474)/30)</f>
        <v>25.8</v>
      </c>
      <c r="CO474" s="0" t="n">
        <f aca="false">IF(OR(CI474="",CJ474=""),"",DAYS360(CI474,CJ474)/7)</f>
        <v>110.571428571429</v>
      </c>
      <c r="CP474" s="0" t="n">
        <f aca="false">IF(OR(CI474="",CJ474=""),"",DAYS360(CI474,CJ474))</f>
        <v>774</v>
      </c>
      <c r="CQ474" s="0" t="s">
        <v>240</v>
      </c>
      <c r="CR474" s="0" t="n">
        <v>1</v>
      </c>
      <c r="CT474" s="0" t="n">
        <v>65.75</v>
      </c>
      <c r="CU474" s="0" t="n">
        <v>0</v>
      </c>
      <c r="CV474" s="0" t="n">
        <f aca="false">IF(OR(CT474="",CT474="NO ESPECIFICA",CT474="NO MENCIONA"),"",IF(CU474=0,CT474,IF(CU474=1,CT474/30,IF(CU474=2,CT474/15,IF(CU474=3,CT474/7,"")))))</f>
        <v>65.75</v>
      </c>
      <c r="CW474" s="125" t="n">
        <v>68.9</v>
      </c>
      <c r="CX474" s="0" t="n">
        <v>0</v>
      </c>
      <c r="CY474" s="0" t="n">
        <f aca="false">IF(CW474="","",IF(CX474=0,CW474,IF(CX474=1,CW474/30,IF(CX474=2,CW474/15,IF(CX474=3,CW474/7,CW474)))))</f>
        <v>68.9</v>
      </c>
      <c r="CZ474" s="0" t="n">
        <f aca="false">IF(DI474&gt;0,DI474,IF(CY474&gt;0,CY474,IF(CV474&gt;0,CV474,"")))</f>
        <v>68.9</v>
      </c>
      <c r="DA474" s="0" t="n">
        <f aca="false">IF(DM474=1,CZ474/8,IF(OR(DM474=2,DM474=4),CZ474/7,IF(DM474=3,CZ474/7.5,"")))</f>
        <v>8.6125</v>
      </c>
      <c r="DB474" s="0" t="s">
        <v>216</v>
      </c>
      <c r="DC474" s="0" t="s">
        <v>216</v>
      </c>
      <c r="DD474" s="0" t="s">
        <v>216</v>
      </c>
      <c r="DE474" s="0" t="s">
        <v>216</v>
      </c>
      <c r="DF474" s="0" t="s">
        <v>216</v>
      </c>
      <c r="DG474" s="0" t="s">
        <v>216</v>
      </c>
      <c r="DH474" s="0" t="n">
        <v>0</v>
      </c>
      <c r="DI474" s="126" t="n">
        <v>68.9</v>
      </c>
      <c r="DK474" s="0" t="n">
        <v>1</v>
      </c>
      <c r="DM474" s="0" t="n">
        <v>1</v>
      </c>
      <c r="DN474" s="0" t="n">
        <v>54</v>
      </c>
      <c r="DO474" s="0" t="n">
        <v>3</v>
      </c>
      <c r="DP474" s="0" t="n">
        <v>0</v>
      </c>
      <c r="DQ474" s="0" t="n">
        <v>1</v>
      </c>
      <c r="DR474" s="0"/>
      <c r="DS474" s="0" t="n">
        <v>1</v>
      </c>
      <c r="DU474" s="0" t="n">
        <v>1</v>
      </c>
      <c r="DW474" s="1" t="n">
        <v>40499</v>
      </c>
      <c r="DX474" s="1" t="n">
        <v>40554</v>
      </c>
      <c r="DZ474" s="0"/>
      <c r="EA474" s="0" t="n">
        <v>1</v>
      </c>
      <c r="EC474" s="1" t="n">
        <v>40179</v>
      </c>
      <c r="ED474" s="1" t="n">
        <v>40554</v>
      </c>
      <c r="EF474" s="0"/>
      <c r="EG474" s="0" t="n">
        <v>1</v>
      </c>
      <c r="EH474" s="0" t="n">
        <v>6</v>
      </c>
      <c r="EI474" s="0" t="n">
        <f aca="false">IF(AND(DM474=1,DN474&lt;=48),"",IF(AND(DM474=2,DN474&lt;=42),"",IF(AND(DM474=3,DN474&lt;=45),"",EH474)))</f>
        <v>6</v>
      </c>
      <c r="EJ474" s="0" t="n">
        <f aca="false">IF(EI474="","",IF(EI474&lt;9,EI474,9))</f>
        <v>6</v>
      </c>
      <c r="EK474" s="0" t="n">
        <f aca="false">IF(EI474="","",IF(EI474&gt;9,EI474-EJ474,0))</f>
        <v>0</v>
      </c>
      <c r="EL474" s="0" t="n">
        <f aca="false">IF(EI474="","",EJ474*DA474*2+EK474*DA474*3)</f>
        <v>103.35</v>
      </c>
      <c r="EP474" s="0" t="n">
        <v>0</v>
      </c>
      <c r="EQ474" s="0"/>
      <c r="ER474" s="0" t="n">
        <v>0</v>
      </c>
      <c r="ET474" s="0" t="n">
        <v>0</v>
      </c>
      <c r="EV474" s="0" t="n">
        <v>0</v>
      </c>
      <c r="EX474" s="0" t="n">
        <v>0</v>
      </c>
      <c r="EY474" s="0" t="n">
        <v>0</v>
      </c>
      <c r="EZ474" s="0"/>
      <c r="FA474" s="0"/>
      <c r="FB474" s="0" t="n">
        <v>1</v>
      </c>
      <c r="FC474" s="1" t="n">
        <v>40875</v>
      </c>
      <c r="FD474" s="0" t="n">
        <v>1</v>
      </c>
      <c r="FE474" s="0" t="n">
        <v>5000</v>
      </c>
      <c r="FF474" s="120" t="n">
        <f aca="false">(CJ474-CI474+1)/365</f>
        <v>2.15342465753425</v>
      </c>
      <c r="FG474" s="0" t="str">
        <f aca="false">CONCATENATE(F474,"/",G474)</f>
        <v>464/2011</v>
      </c>
      <c r="FH474" s="0" t="n">
        <v>1</v>
      </c>
      <c r="FI474" s="0" t="n">
        <f aca="false">IFERROR(IF((FC474-J474+1)/365&gt;3,0,1),"")</f>
        <v>1</v>
      </c>
    </row>
    <row r="475" customFormat="false" ht="15" hidden="false" customHeight="false" outlineLevel="0" collapsed="false">
      <c r="A475" s="5" t="str">
        <f aca="false">E475&amp;G475&amp;F475</f>
        <v>72011475</v>
      </c>
      <c r="B475" s="0" t="s">
        <v>3556</v>
      </c>
      <c r="C475" s="1" t="n">
        <v>42361</v>
      </c>
      <c r="D475" s="0" t="s">
        <v>4462</v>
      </c>
      <c r="E475" s="0" t="n">
        <v>7</v>
      </c>
      <c r="F475" s="0" t="n">
        <v>475</v>
      </c>
      <c r="G475" s="0" t="n">
        <v>2011</v>
      </c>
      <c r="H475" s="0" t="str">
        <f aca="false">"J"&amp;E475&amp;"\"&amp;F475&amp;"\"&amp;G475&amp;"\"&amp;W475</f>
        <v>J7\475\2011\1</v>
      </c>
      <c r="I475" s="0"/>
      <c r="J475" s="1" t="n">
        <v>40611</v>
      </c>
      <c r="K475" s="0" t="n">
        <v>0</v>
      </c>
      <c r="M475" s="1"/>
      <c r="N475" s="1"/>
      <c r="O475" s="1"/>
      <c r="P475" s="1"/>
      <c r="Q475" s="1"/>
      <c r="T475" s="121"/>
      <c r="U475" s="121"/>
      <c r="V475" s="122" t="n">
        <f aca="false">IF(AND(E475&gt;0,F475&gt;0,G475&gt;0),COUNTIFS($E:$E,E475,$F:$F,F475,$G:$G,G475),"")</f>
        <v>1</v>
      </c>
      <c r="W475" s="122" t="n">
        <f aca="false">IF(V475="","",IF(V475=1,1,IF(AND(E474=E475,F474=F475,G474=G475),W474+1,1)))</f>
        <v>1</v>
      </c>
      <c r="X475" s="0" t="n">
        <v>1</v>
      </c>
      <c r="Y475" s="0" t="n">
        <v>7</v>
      </c>
      <c r="Z475" s="0" t="s">
        <v>4463</v>
      </c>
      <c r="AA475" s="0" t="n">
        <v>0</v>
      </c>
      <c r="AB475" s="0" t="s">
        <v>4464</v>
      </c>
      <c r="AC475" s="0" t="s">
        <v>206</v>
      </c>
      <c r="AD475" s="0" t="s">
        <v>207</v>
      </c>
      <c r="AF475" s="0" t="s">
        <v>4465</v>
      </c>
      <c r="AG475" s="0" t="n">
        <v>0</v>
      </c>
      <c r="AH475" s="0" t="s">
        <v>4466</v>
      </c>
      <c r="AI475" s="0" t="s">
        <v>2124</v>
      </c>
      <c r="AJ475" s="0" t="s">
        <v>322</v>
      </c>
      <c r="AL475" s="0" t="s">
        <v>4467</v>
      </c>
      <c r="AM475" s="0" t="n">
        <v>1</v>
      </c>
      <c r="AN475" s="0" t="s">
        <v>4466</v>
      </c>
      <c r="AO475" s="0" t="s">
        <v>2124</v>
      </c>
      <c r="AP475" s="0" t="s">
        <v>322</v>
      </c>
      <c r="AR475" s="0" t="s">
        <v>4468</v>
      </c>
      <c r="AS475" s="0" t="n">
        <v>1</v>
      </c>
      <c r="AT475" s="0" t="s">
        <v>4466</v>
      </c>
      <c r="AU475" s="0" t="s">
        <v>2124</v>
      </c>
      <c r="AV475" s="0" t="s">
        <v>322</v>
      </c>
      <c r="AX475" s="0" t="s">
        <v>1880</v>
      </c>
      <c r="AY475" s="0" t="n">
        <v>1</v>
      </c>
      <c r="AZ475" s="0" t="s">
        <v>4466</v>
      </c>
      <c r="BA475" s="0" t="s">
        <v>2124</v>
      </c>
      <c r="BB475" s="0" t="s">
        <v>322</v>
      </c>
      <c r="BD475" s="0" t="s">
        <v>4469</v>
      </c>
      <c r="BE475" s="0" t="n">
        <v>0</v>
      </c>
      <c r="BF475" s="0" t="s">
        <v>4470</v>
      </c>
      <c r="BG475" s="0" t="s">
        <v>4471</v>
      </c>
      <c r="BH475" s="0" t="s">
        <v>322</v>
      </c>
      <c r="BJ475" s="0" t="s">
        <v>249</v>
      </c>
      <c r="BK475" s="0" t="n">
        <v>0</v>
      </c>
      <c r="BL475" s="0" t="s">
        <v>4472</v>
      </c>
      <c r="BM475" s="0" t="s">
        <v>251</v>
      </c>
      <c r="BN475" s="0" t="s">
        <v>229</v>
      </c>
      <c r="BR475" s="0" t="n">
        <v>1</v>
      </c>
      <c r="BS475" s="0" t="s">
        <v>4473</v>
      </c>
      <c r="BT475" s="0" t="s">
        <v>4474</v>
      </c>
      <c r="BU475" s="0" t="s">
        <v>4475</v>
      </c>
      <c r="BV475" s="123"/>
      <c r="BW475" s="123"/>
      <c r="BX475" s="123"/>
      <c r="BY475" s="123"/>
      <c r="CA475" s="0" t="s">
        <v>216</v>
      </c>
      <c r="CD475" s="0" t="s">
        <v>357</v>
      </c>
      <c r="CE475" s="0" t="n">
        <v>1</v>
      </c>
      <c r="CF475" s="0" t="s">
        <v>4476</v>
      </c>
      <c r="CI475" s="1" t="n">
        <v>40087</v>
      </c>
      <c r="CJ475" s="1" t="n">
        <v>40603</v>
      </c>
      <c r="CK475" s="124" t="n">
        <v>0.375</v>
      </c>
      <c r="CL475" s="0" t="s">
        <v>216</v>
      </c>
      <c r="CM475" s="0" t="n">
        <f aca="false">IF(OR(CI475="",CJ475=""),"",DAYS360(CI475,CJ475)/360)</f>
        <v>1.41666666666667</v>
      </c>
      <c r="CN475" s="0" t="n">
        <f aca="false">IF(OR(CI475="",CJ475=""),"",DAYS360(CI475,CJ475)/30)</f>
        <v>17</v>
      </c>
      <c r="CO475" s="0" t="n">
        <f aca="false">IF(OR(CI475="",CJ475=""),"",DAYS360(CI475,CJ475)/7)</f>
        <v>72.8571428571429</v>
      </c>
      <c r="CP475" s="0" t="n">
        <f aca="false">IF(OR(CI475="",CJ475=""),"",DAYS360(CI475,CJ475))</f>
        <v>510</v>
      </c>
      <c r="CQ475" s="0" t="s">
        <v>240</v>
      </c>
      <c r="CR475" s="0" t="n">
        <v>5</v>
      </c>
      <c r="CS475" s="0" t="s">
        <v>4477</v>
      </c>
      <c r="CT475" s="0" t="s">
        <v>221</v>
      </c>
      <c r="CU475" s="0" t="s">
        <v>221</v>
      </c>
      <c r="CV475" s="0" t="str">
        <f aca="false">IF(OR(CT475="",CT475="NO ESPECIFICA",CT475="NO MENCIONA"),"",IF(CU475=0,CT475,IF(CU475=1,CT475/30,IF(CU475=2,CT475/15,IF(CU475=3,CT475/7,"")))))</f>
        <v/>
      </c>
      <c r="CW475" s="125" t="n">
        <v>10000</v>
      </c>
      <c r="CX475" s="0" t="n">
        <v>1</v>
      </c>
      <c r="CY475" s="0" t="n">
        <f aca="false">IF(CW475="","",IF(CX475=0,CW475,IF(CX475=1,CW475/30,IF(CX475=2,CW475/15,IF(CX475=3,CW475/7,CW475)))))</f>
        <v>333.333333333333</v>
      </c>
      <c r="CZ475" s="0" t="n">
        <f aca="false">IF(DI475&gt;0,DI475,IF(CY475&gt;0,CY475,IF(CV475&gt;0,CV475,"")))</f>
        <v>10000</v>
      </c>
      <c r="DA475" s="0" t="n">
        <f aca="false">IF(DM475=1,CZ475/8,IF(OR(DM475=2,DM475=4),CZ475/7,IF(DM475=3,CZ475/7.5,"")))</f>
        <v>1250</v>
      </c>
      <c r="DB475" s="0" t="s">
        <v>216</v>
      </c>
      <c r="DC475" s="0" t="s">
        <v>216</v>
      </c>
      <c r="DD475" s="0" t="s">
        <v>216</v>
      </c>
      <c r="DE475" s="0" t="s">
        <v>216</v>
      </c>
      <c r="DF475" s="0" t="s">
        <v>216</v>
      </c>
      <c r="DG475" s="0" t="s">
        <v>216</v>
      </c>
      <c r="DH475" s="0" t="n">
        <v>0</v>
      </c>
      <c r="DI475" s="126" t="n">
        <v>10000</v>
      </c>
      <c r="DK475" s="0" t="n">
        <v>1</v>
      </c>
      <c r="DM475" s="0" t="n">
        <v>1</v>
      </c>
      <c r="DN475" s="0" t="n">
        <v>47.5</v>
      </c>
      <c r="DO475" s="0" t="n">
        <v>3</v>
      </c>
      <c r="DP475" s="0" t="n">
        <v>0</v>
      </c>
      <c r="DQ475" s="0" t="n">
        <v>1</v>
      </c>
      <c r="DR475" s="0"/>
      <c r="DS475" s="0" t="n">
        <v>1</v>
      </c>
      <c r="DU475" s="0" t="n">
        <v>1</v>
      </c>
      <c r="DW475" s="1" t="n">
        <v>40544</v>
      </c>
      <c r="DX475" s="1" t="n">
        <v>40602</v>
      </c>
      <c r="DZ475" s="0"/>
      <c r="EA475" s="0" t="n">
        <v>1</v>
      </c>
      <c r="EC475" s="1" t="n">
        <v>40544</v>
      </c>
      <c r="ED475" s="1" t="n">
        <v>40602</v>
      </c>
      <c r="EF475" s="0"/>
      <c r="EG475" s="0" t="n">
        <v>1</v>
      </c>
      <c r="EH475" s="0" t="n">
        <v>12.5</v>
      </c>
      <c r="EI475" s="0" t="str">
        <f aca="false">IF(AND(DM475=1,DN475&lt;=48),"",IF(AND(DM475=2,DN475&lt;=42),"",IF(AND(DM475=3,DN475&lt;=45),"",EH475)))</f>
        <v/>
      </c>
      <c r="EJ475" s="0" t="str">
        <f aca="false">IF(EI475="","",IF(EI475&lt;9,EI475,9))</f>
        <v/>
      </c>
      <c r="EK475" s="0" t="str">
        <f aca="false">IF(EI475="","",IF(EI475&gt;9,EI475-EJ475,0))</f>
        <v/>
      </c>
      <c r="EL475" s="0" t="str">
        <f aca="false">IF(EI475="","",EJ475*DA475*2+EK475*DA475*3)</f>
        <v/>
      </c>
      <c r="EO475" s="0" t="n">
        <v>835</v>
      </c>
      <c r="EP475" s="0" t="n">
        <v>1</v>
      </c>
      <c r="EQ475" s="0"/>
      <c r="ER475" s="0" t="n">
        <v>0</v>
      </c>
      <c r="ET475" s="0" t="n">
        <v>0</v>
      </c>
      <c r="EV475" s="0" t="n">
        <v>1</v>
      </c>
      <c r="EX475" s="0" t="n">
        <v>1</v>
      </c>
      <c r="EY475" s="0" t="n">
        <v>1</v>
      </c>
      <c r="EZ475" s="0"/>
      <c r="FA475" s="4" t="n">
        <v>156033.38</v>
      </c>
      <c r="FB475" s="0" t="n">
        <v>0</v>
      </c>
      <c r="FC475" s="1" t="n">
        <v>40714</v>
      </c>
      <c r="FD475" s="0" t="n">
        <v>1</v>
      </c>
      <c r="FE475" s="0" t="n">
        <v>35000</v>
      </c>
      <c r="FF475" s="120" t="n">
        <f aca="false">(CJ475-CI475+1)/365</f>
        <v>1.41643835616438</v>
      </c>
      <c r="FG475" s="0" t="str">
        <f aca="false">CONCATENATE(F475,"/",G475)</f>
        <v>475/2011</v>
      </c>
      <c r="FH475" s="0" t="n">
        <v>1</v>
      </c>
      <c r="FI475" s="0" t="n">
        <f aca="false">IFERROR(IF((FC475-J475+1)/365&gt;3,0,1),"")</f>
        <v>1</v>
      </c>
    </row>
    <row r="476" customFormat="false" ht="15" hidden="false" customHeight="false" outlineLevel="0" collapsed="false">
      <c r="A476" s="5" t="str">
        <f aca="false">E476&amp;G476&amp;F476</f>
        <v>72011484</v>
      </c>
      <c r="B476" s="0" t="s">
        <v>3556</v>
      </c>
      <c r="C476" s="1" t="n">
        <v>42365</v>
      </c>
      <c r="E476" s="0" t="n">
        <v>7</v>
      </c>
      <c r="F476" s="0" t="n">
        <v>484</v>
      </c>
      <c r="G476" s="0" t="n">
        <v>2011</v>
      </c>
      <c r="H476" s="0" t="str">
        <f aca="false">"J"&amp;E476&amp;"\"&amp;F476&amp;"\"&amp;G476&amp;"\"&amp;W476</f>
        <v>J7\484\2011\1</v>
      </c>
      <c r="I476" s="0"/>
      <c r="J476" s="1" t="n">
        <v>40612</v>
      </c>
      <c r="K476" s="0" t="n">
        <v>0</v>
      </c>
      <c r="M476" s="1" t="n">
        <v>40612</v>
      </c>
      <c r="N476" s="1" t="n">
        <v>40709</v>
      </c>
      <c r="O476" s="1"/>
      <c r="P476" s="1"/>
      <c r="Q476" s="1"/>
      <c r="T476" s="121"/>
      <c r="U476" s="121"/>
      <c r="V476" s="122" t="n">
        <f aca="false">IF(AND(E476&gt;0,F476&gt;0,G476&gt;0),COUNTIFS($E:$E,E476,$F:$F,F476,$G:$G,G476),"")</f>
        <v>1</v>
      </c>
      <c r="W476" s="122" t="n">
        <f aca="false">IF(V476="","",IF(V476=1,1,IF(AND(E475=E476,F475=F476,G475=G476),W475+1,1)))</f>
        <v>1</v>
      </c>
      <c r="X476" s="0" t="n">
        <v>1</v>
      </c>
      <c r="Y476" s="0" t="n">
        <v>1</v>
      </c>
      <c r="Z476" s="0" t="s">
        <v>4478</v>
      </c>
      <c r="AA476" s="0" t="n">
        <v>0</v>
      </c>
      <c r="AB476" s="0" t="s">
        <v>4479</v>
      </c>
      <c r="AC476" s="0" t="s">
        <v>1661</v>
      </c>
      <c r="AD476" s="0" t="s">
        <v>221</v>
      </c>
      <c r="AF476" s="0" t="s">
        <v>4480</v>
      </c>
      <c r="AG476" s="0" t="n">
        <v>0</v>
      </c>
      <c r="AH476" s="0" t="s">
        <v>4481</v>
      </c>
      <c r="AI476" s="0" t="s">
        <v>1390</v>
      </c>
      <c r="AJ476" s="0" t="s">
        <v>322</v>
      </c>
      <c r="BR476" s="0" t="n">
        <v>1</v>
      </c>
      <c r="BS476" s="0" t="s">
        <v>4482</v>
      </c>
      <c r="BT476" s="0" t="s">
        <v>1392</v>
      </c>
      <c r="BU476" s="0" t="s">
        <v>1393</v>
      </c>
      <c r="BV476" s="123"/>
      <c r="BW476" s="123"/>
      <c r="BX476" s="123"/>
      <c r="BY476" s="123"/>
      <c r="CA476" s="0" t="s">
        <v>4483</v>
      </c>
      <c r="CD476" s="0" t="s">
        <v>357</v>
      </c>
      <c r="CE476" s="0" t="n">
        <v>1</v>
      </c>
      <c r="CF476" s="0" t="s">
        <v>4484</v>
      </c>
      <c r="CI476" s="1" t="n">
        <v>40245</v>
      </c>
      <c r="CJ476" s="1" t="n">
        <v>40595</v>
      </c>
      <c r="CK476" s="124" t="n">
        <v>0.291666666666667</v>
      </c>
      <c r="CL476" s="0" t="s">
        <v>4485</v>
      </c>
      <c r="CM476" s="0" t="n">
        <f aca="false">IF(OR(CI476="",CJ476=""),"",DAYS360(CI476,CJ476)/360)</f>
        <v>0.952777777777778</v>
      </c>
      <c r="CN476" s="0" t="n">
        <f aca="false">IF(OR(CI476="",CJ476=""),"",DAYS360(CI476,CJ476)/30)</f>
        <v>11.4333333333333</v>
      </c>
      <c r="CO476" s="0" t="n">
        <f aca="false">IF(OR(CI476="",CJ476=""),"",DAYS360(CI476,CJ476)/7)</f>
        <v>49</v>
      </c>
      <c r="CP476" s="0" t="n">
        <f aca="false">IF(OR(CI476="",CJ476=""),"",DAYS360(CI476,CJ476))</f>
        <v>343</v>
      </c>
      <c r="CQ476" s="0" t="s">
        <v>220</v>
      </c>
      <c r="CR476" s="0" t="n">
        <v>1</v>
      </c>
      <c r="CT476" s="0" t="n">
        <v>40000</v>
      </c>
      <c r="CU476" s="0" t="n">
        <v>1</v>
      </c>
      <c r="CV476" s="0" t="n">
        <f aca="false">IF(OR(CT476="",CT476="NO ESPECIFICA",CT476="NO MENCIONA"),"",IF(CU476=0,CT476,IF(CU476=1,CT476/30,IF(CU476=2,CT476/15,IF(CU476=3,CT476/7,"")))))</f>
        <v>1333.33333333333</v>
      </c>
      <c r="CW476" s="125" t="s">
        <v>216</v>
      </c>
      <c r="CX476" s="0" t="s">
        <v>216</v>
      </c>
      <c r="CY476" s="0" t="str">
        <f aca="false">IF(CW476="","",IF(CX476=0,CW476,IF(CX476=1,CW476/30,IF(CX476=2,CW476/15,IF(CX476=3,CW476/7,CW476)))))</f>
        <v>NO MENCIONA</v>
      </c>
      <c r="CZ476" s="0" t="n">
        <f aca="false">IF(DI476&gt;0,DI476,IF(CY476&gt;0,CY476,IF(CV476&gt;0,CV476,"")))</f>
        <v>1333.33333333333</v>
      </c>
      <c r="DA476" s="0" t="n">
        <f aca="false">IF(DM476=1,CZ476/8,IF(OR(DM476=2,DM476=4),CZ476/7,IF(DM476=3,CZ476/7.5,"")))</f>
        <v>166.666666666667</v>
      </c>
      <c r="DB476" s="0" t="s">
        <v>216</v>
      </c>
      <c r="DC476" s="0" t="s">
        <v>216</v>
      </c>
      <c r="DD476" s="0" t="s">
        <v>216</v>
      </c>
      <c r="DE476" s="0" t="s">
        <v>216</v>
      </c>
      <c r="DF476" s="0" t="s">
        <v>216</v>
      </c>
      <c r="DG476" s="0" t="s">
        <v>216</v>
      </c>
      <c r="DH476" s="0" t="n">
        <v>0</v>
      </c>
      <c r="DI476" s="126" t="n">
        <v>1333.33333333333</v>
      </c>
      <c r="DK476" s="0" t="n">
        <v>1</v>
      </c>
      <c r="DM476" s="0" t="n">
        <v>1</v>
      </c>
      <c r="DN476" s="0" t="n">
        <v>12</v>
      </c>
      <c r="DO476" s="0" t="n">
        <v>3</v>
      </c>
      <c r="DP476" s="0" t="n">
        <v>1</v>
      </c>
      <c r="DQ476" s="0" t="n">
        <v>1</v>
      </c>
      <c r="DR476" s="0"/>
      <c r="DS476" s="0" t="n">
        <v>1</v>
      </c>
      <c r="DU476" s="0" t="n">
        <v>1</v>
      </c>
      <c r="DW476" s="1" t="n">
        <v>40245</v>
      </c>
      <c r="DX476" s="1" t="n">
        <v>40595</v>
      </c>
      <c r="DZ476" s="0"/>
      <c r="EA476" s="0" t="n">
        <v>1</v>
      </c>
      <c r="EC476" s="1" t="n">
        <v>40245</v>
      </c>
      <c r="ED476" s="1" t="n">
        <v>40595</v>
      </c>
      <c r="EF476" s="0"/>
      <c r="EG476" s="0" t="n">
        <v>0</v>
      </c>
      <c r="EI476" s="0" t="str">
        <f aca="false">IF(AND(DM476=1,DN476&lt;=48),"",IF(AND(DM476=2,DN476&lt;=42),"",IF(AND(DM476=3,DN476&lt;=45),"",EH476)))</f>
        <v/>
      </c>
      <c r="EJ476" s="0" t="str">
        <f aca="false">IF(EI476="","",IF(EI476&lt;9,EI476,9))</f>
        <v/>
      </c>
      <c r="EK476" s="0" t="str">
        <f aca="false">IF(EI476="","",IF(EI476&gt;9,EI476-EJ476,0))</f>
        <v/>
      </c>
      <c r="EL476" s="0" t="str">
        <f aca="false">IF(EI476="","",EJ476*DA476*2+EK476*DA476*3)</f>
        <v/>
      </c>
      <c r="EP476" s="0" t="n">
        <v>1</v>
      </c>
      <c r="EQ476" s="0"/>
      <c r="ER476" s="0" t="n">
        <v>0</v>
      </c>
      <c r="ET476" s="0" t="n">
        <v>1</v>
      </c>
      <c r="EV476" s="0" t="n">
        <v>1</v>
      </c>
      <c r="EX476" s="0" t="n">
        <v>1</v>
      </c>
      <c r="EY476" s="0" t="n">
        <v>1</v>
      </c>
      <c r="EZ476" s="0"/>
      <c r="FA476" s="4" t="n">
        <v>5333.33333333333</v>
      </c>
      <c r="FB476" s="0" t="n">
        <v>1</v>
      </c>
      <c r="FC476" s="1" t="n">
        <v>41451</v>
      </c>
      <c r="FD476" s="0" t="n">
        <v>2</v>
      </c>
      <c r="FE476" s="0" t="n">
        <v>0</v>
      </c>
      <c r="FF476" s="120" t="n">
        <f aca="false">(CJ476-CI476+1)/365</f>
        <v>0.961643835616438</v>
      </c>
      <c r="FG476" s="0" t="str">
        <f aca="false">CONCATENATE(F476,"/",G476)</f>
        <v>484/2011</v>
      </c>
      <c r="FH476" s="0" t="n">
        <v>1</v>
      </c>
      <c r="FI476" s="0" t="n">
        <f aca="false">IFERROR(IF((FC476-J476+1)/365&gt;3,0,1),"")</f>
        <v>1</v>
      </c>
    </row>
    <row r="477" customFormat="false" ht="15" hidden="false" customHeight="false" outlineLevel="0" collapsed="false">
      <c r="A477" s="5" t="str">
        <f aca="false">E477&amp;G477&amp;F477</f>
        <v>72011486</v>
      </c>
      <c r="B477" s="0" t="s">
        <v>3556</v>
      </c>
      <c r="C477" s="1" t="n">
        <v>42365</v>
      </c>
      <c r="E477" s="0" t="n">
        <v>7</v>
      </c>
      <c r="F477" s="0" t="n">
        <v>486</v>
      </c>
      <c r="G477" s="0" t="n">
        <v>2011</v>
      </c>
      <c r="H477" s="0" t="str">
        <f aca="false">"J"&amp;E477&amp;"\"&amp;F477&amp;"\"&amp;G477&amp;"\"&amp;W477</f>
        <v>J7\486\2011\1</v>
      </c>
      <c r="I477" s="0"/>
      <c r="J477" s="1" t="n">
        <v>40612</v>
      </c>
      <c r="K477" s="0" t="n">
        <v>0</v>
      </c>
      <c r="M477" s="1" t="n">
        <v>40612</v>
      </c>
      <c r="N477" s="1" t="n">
        <v>40709</v>
      </c>
      <c r="O477" s="1"/>
      <c r="P477" s="1"/>
      <c r="Q477" s="1"/>
      <c r="T477" s="121"/>
      <c r="U477" s="121"/>
      <c r="V477" s="122" t="n">
        <f aca="false">IF(AND(E477&gt;0,F477&gt;0,G477&gt;0),COUNTIFS($E:$E,E477,$F:$F,F477,$G:$G,G477),"")</f>
        <v>1</v>
      </c>
      <c r="W477" s="122" t="n">
        <f aca="false">IF(V477="","",IF(V477=1,1,IF(AND(E476=E477,F476=F477,G476=G477),W476+1,1)))</f>
        <v>1</v>
      </c>
      <c r="X477" s="0" t="n">
        <v>1</v>
      </c>
      <c r="Y477" s="0" t="n">
        <v>3</v>
      </c>
      <c r="Z477" s="0" t="s">
        <v>4486</v>
      </c>
      <c r="AA477" s="0" t="n">
        <v>0</v>
      </c>
      <c r="AB477" s="0" t="s">
        <v>2132</v>
      </c>
      <c r="AC477" s="0" t="s">
        <v>274</v>
      </c>
      <c r="AD477" s="0" t="s">
        <v>221</v>
      </c>
      <c r="AF477" s="0" t="s">
        <v>4487</v>
      </c>
      <c r="AG477" s="0" t="n">
        <v>1</v>
      </c>
      <c r="AH477" s="0" t="s">
        <v>4488</v>
      </c>
      <c r="AI477" s="0" t="s">
        <v>4489</v>
      </c>
      <c r="AJ477" s="0" t="s">
        <v>485</v>
      </c>
      <c r="AL477" s="0" t="s">
        <v>4490</v>
      </c>
      <c r="AM477" s="0" t="n">
        <v>1</v>
      </c>
      <c r="AN477" s="0" t="s">
        <v>4488</v>
      </c>
      <c r="AO477" s="0" t="s">
        <v>4489</v>
      </c>
      <c r="AP477" s="0" t="s">
        <v>485</v>
      </c>
      <c r="AR477" s="0" t="s">
        <v>1880</v>
      </c>
      <c r="AS477" s="0" t="n">
        <v>1</v>
      </c>
      <c r="AT477" s="0" t="s">
        <v>4488</v>
      </c>
      <c r="AU477" s="0" t="s">
        <v>4489</v>
      </c>
      <c r="AV477" s="0" t="s">
        <v>485</v>
      </c>
      <c r="BR477" s="0" t="n">
        <v>1</v>
      </c>
      <c r="BS477" s="0" t="s">
        <v>1008</v>
      </c>
      <c r="BT477" s="0" t="s">
        <v>608</v>
      </c>
      <c r="BU477" s="0" t="s">
        <v>609</v>
      </c>
      <c r="BV477" s="123"/>
      <c r="BW477" s="123"/>
      <c r="BX477" s="123"/>
      <c r="BY477" s="123"/>
      <c r="CA477" s="0" t="s">
        <v>1010</v>
      </c>
      <c r="CD477" s="0" t="s">
        <v>3716</v>
      </c>
      <c r="CE477" s="0" t="n">
        <v>0</v>
      </c>
      <c r="CF477" s="0" t="s">
        <v>4491</v>
      </c>
      <c r="CI477" s="1" t="n">
        <v>33674</v>
      </c>
      <c r="CJ477" s="1" t="n">
        <v>40589</v>
      </c>
      <c r="CK477" s="124" t="n">
        <v>0.520833333333333</v>
      </c>
      <c r="CL477" s="0" t="s">
        <v>4487</v>
      </c>
      <c r="CM477" s="0" t="n">
        <f aca="false">IF(OR(CI477="",CJ477=""),"",DAYS360(CI477,CJ477)/360)</f>
        <v>18.9277777777778</v>
      </c>
      <c r="CN477" s="0" t="n">
        <f aca="false">IF(OR(CI477="",CJ477=""),"",DAYS360(CI477,CJ477)/30)</f>
        <v>227.133333333333</v>
      </c>
      <c r="CO477" s="0" t="n">
        <f aca="false">IF(OR(CI477="",CJ477=""),"",DAYS360(CI477,CJ477)/7)</f>
        <v>973.428571428572</v>
      </c>
      <c r="CP477" s="0" t="n">
        <f aca="false">IF(OR(CI477="",CJ477=""),"",DAYS360(CI477,CJ477))</f>
        <v>6814</v>
      </c>
      <c r="CQ477" s="0" t="s">
        <v>240</v>
      </c>
      <c r="CR477" s="0" t="n">
        <v>1</v>
      </c>
      <c r="CT477" s="0" t="s">
        <v>221</v>
      </c>
      <c r="CU477" s="0" t="s">
        <v>221</v>
      </c>
      <c r="CV477" s="0" t="str">
        <f aca="false">IF(OR(CT477="",CT477="NO ESPECIFICA",CT477="NO MENCIONA"),"",IF(CU477=0,CT477,IF(CU477=1,CT477/30,IF(CU477=2,CT477/15,IF(CU477=3,CT477/7,"")))))</f>
        <v/>
      </c>
      <c r="CW477" s="125" t="n">
        <v>300</v>
      </c>
      <c r="CX477" s="0" t="n">
        <v>0</v>
      </c>
      <c r="CY477" s="0" t="n">
        <f aca="false">IF(CW477="","",IF(CX477=0,CW477,IF(CX477=1,CW477/30,IF(CX477=2,CW477/15,IF(CX477=3,CW477/7,CW477)))))</f>
        <v>300</v>
      </c>
      <c r="CZ477" s="0" t="n">
        <f aca="false">IF(DI477&gt;0,DI477,IF(CY477&gt;0,CY477,IF(CV477&gt;0,CV477,"")))</f>
        <v>300</v>
      </c>
      <c r="DA477" s="0" t="n">
        <f aca="false">IF(DM477=1,CZ477/8,IF(OR(DM477=2,DM477=4),CZ477/7,IF(DM477=3,CZ477/7.5,"")))</f>
        <v>37.5</v>
      </c>
      <c r="DB477" s="0" t="s">
        <v>216</v>
      </c>
      <c r="DC477" s="0" t="s">
        <v>216</v>
      </c>
      <c r="DD477" s="0" t="s">
        <v>216</v>
      </c>
      <c r="DE477" s="0" t="s">
        <v>216</v>
      </c>
      <c r="DF477" s="0" t="s">
        <v>216</v>
      </c>
      <c r="DG477" s="0" t="s">
        <v>216</v>
      </c>
      <c r="DH477" s="0" t="n">
        <v>0</v>
      </c>
      <c r="DI477" s="126" t="n">
        <v>300</v>
      </c>
      <c r="DK477" s="0" t="n">
        <v>0</v>
      </c>
      <c r="DM477" s="0" t="n">
        <v>1</v>
      </c>
      <c r="DN477" s="0" t="n">
        <v>66</v>
      </c>
      <c r="DO477" s="0" t="n">
        <v>3</v>
      </c>
      <c r="DP477" s="0" t="n">
        <v>0</v>
      </c>
      <c r="DQ477" s="0" t="n">
        <v>1</v>
      </c>
      <c r="DR477" s="0"/>
      <c r="DS477" s="0" t="n">
        <v>1</v>
      </c>
      <c r="DU477" s="0" t="n">
        <v>1</v>
      </c>
      <c r="DW477" s="1" t="n">
        <v>33674</v>
      </c>
      <c r="DX477" s="1" t="n">
        <v>40589</v>
      </c>
      <c r="DZ477" s="0"/>
      <c r="EA477" s="0" t="n">
        <v>1</v>
      </c>
      <c r="EC477" s="1" t="n">
        <v>33674</v>
      </c>
      <c r="ED477" s="1" t="n">
        <v>40589</v>
      </c>
      <c r="EF477" s="0"/>
      <c r="EG477" s="0" t="n">
        <v>1</v>
      </c>
      <c r="EH477" s="0" t="n">
        <v>18</v>
      </c>
      <c r="EI477" s="0" t="n">
        <f aca="false">IF(AND(DM477=1,DN477&lt;=48),"",IF(AND(DM477=2,DN477&lt;=42),"",IF(AND(DM477=3,DN477&lt;=45),"",EH477)))</f>
        <v>18</v>
      </c>
      <c r="EJ477" s="0" t="n">
        <f aca="false">IF(EI477="","",IF(EI477&lt;9,EI477,9))</f>
        <v>9</v>
      </c>
      <c r="EK477" s="0" t="n">
        <f aca="false">IF(EI477="","",IF(EI477&gt;9,EI477-EJ477,0))</f>
        <v>9</v>
      </c>
      <c r="EL477" s="0" t="n">
        <f aca="false">IF(EI477="","",EJ477*DA477*2+EK477*DA477*3)</f>
        <v>1687.5</v>
      </c>
      <c r="EP477" s="0" t="n">
        <v>0</v>
      </c>
      <c r="EQ477" s="0"/>
      <c r="ER477" s="0" t="n">
        <v>0</v>
      </c>
      <c r="ET477" s="0" t="n">
        <v>0</v>
      </c>
      <c r="EV477" s="0" t="n">
        <v>1</v>
      </c>
      <c r="EX477" s="0" t="n">
        <v>1</v>
      </c>
      <c r="EY477" s="0" t="n">
        <v>1</v>
      </c>
      <c r="EZ477" s="4" t="n">
        <v>3000</v>
      </c>
      <c r="FA477" s="0"/>
      <c r="FB477" s="0" t="n">
        <v>0</v>
      </c>
      <c r="FC477" s="1" t="n">
        <v>41417</v>
      </c>
      <c r="FD477" s="0" t="n">
        <v>2</v>
      </c>
      <c r="FE477" s="0" t="n">
        <v>0</v>
      </c>
      <c r="FF477" s="120" t="n">
        <f aca="false">(CJ477-CI477+1)/365</f>
        <v>18.9479452054795</v>
      </c>
      <c r="FG477" s="0" t="str">
        <f aca="false">CONCATENATE(F477,"/",G477)</f>
        <v>486/2011</v>
      </c>
      <c r="FH477" s="0" t="n">
        <v>1</v>
      </c>
      <c r="FI477" s="0" t="n">
        <f aca="false">IFERROR(IF((FC477-J477+1)/365&gt;3,0,1),"")</f>
        <v>1</v>
      </c>
    </row>
    <row r="478" customFormat="false" ht="15" hidden="false" customHeight="false" outlineLevel="0" collapsed="false">
      <c r="A478" s="5" t="str">
        <f aca="false">E478&amp;G478&amp;F478</f>
        <v>72011487</v>
      </c>
      <c r="B478" s="0" t="s">
        <v>3556</v>
      </c>
      <c r="C478" s="1" t="n">
        <v>42365</v>
      </c>
      <c r="D478" s="0" t="s">
        <v>1856</v>
      </c>
      <c r="E478" s="0" t="n">
        <v>7</v>
      </c>
      <c r="F478" s="0" t="n">
        <v>487</v>
      </c>
      <c r="G478" s="0" t="n">
        <v>2011</v>
      </c>
      <c r="H478" s="0" t="str">
        <f aca="false">"J"&amp;E478&amp;"\"&amp;F478&amp;"\"&amp;G478&amp;"\"&amp;W478</f>
        <v>J7\487\2011\1</v>
      </c>
      <c r="I478" s="0"/>
      <c r="J478" s="1" t="n">
        <v>40612</v>
      </c>
      <c r="K478" s="0" t="n">
        <v>0</v>
      </c>
      <c r="M478" s="1"/>
      <c r="N478" s="1"/>
      <c r="O478" s="1"/>
      <c r="P478" s="1"/>
      <c r="Q478" s="1"/>
      <c r="T478" s="121"/>
      <c r="U478" s="121"/>
      <c r="V478" s="122" t="n">
        <f aca="false">IF(AND(E478&gt;0,F478&gt;0,G478&gt;0),COUNTIFS($E:$E,E478,$F:$F,F478,$G:$G,G478),"")</f>
        <v>1</v>
      </c>
      <c r="W478" s="122" t="n">
        <f aca="false">IF(V478="","",IF(V478=1,1,IF(AND(E477=E478,F477=F478,G477=G478),W477+1,1)))</f>
        <v>1</v>
      </c>
      <c r="X478" s="0" t="n">
        <v>1</v>
      </c>
      <c r="Y478" s="0" t="n">
        <v>4</v>
      </c>
      <c r="Z478" s="0" t="s">
        <v>4492</v>
      </c>
      <c r="AA478" s="0" t="n">
        <v>0</v>
      </c>
      <c r="AB478" s="0" t="s">
        <v>2132</v>
      </c>
      <c r="AC478" s="0" t="s">
        <v>274</v>
      </c>
      <c r="AD478" s="0" t="s">
        <v>221</v>
      </c>
      <c r="AF478" s="0" t="s">
        <v>4493</v>
      </c>
      <c r="AG478" s="0" t="n">
        <v>0</v>
      </c>
      <c r="AH478" s="0" t="s">
        <v>4494</v>
      </c>
      <c r="AI478" s="0" t="s">
        <v>318</v>
      </c>
      <c r="AJ478" s="0" t="s">
        <v>229</v>
      </c>
      <c r="AL478" s="0" t="s">
        <v>4495</v>
      </c>
      <c r="AM478" s="0" t="n">
        <v>1</v>
      </c>
      <c r="AN478" s="0" t="s">
        <v>4494</v>
      </c>
      <c r="AO478" s="0" t="s">
        <v>318</v>
      </c>
      <c r="AP478" s="0" t="s">
        <v>229</v>
      </c>
      <c r="AR478" s="0" t="s">
        <v>4496</v>
      </c>
      <c r="AS478" s="0" t="n">
        <v>1</v>
      </c>
      <c r="AT478" s="0" t="s">
        <v>4494</v>
      </c>
      <c r="AU478" s="0" t="s">
        <v>318</v>
      </c>
      <c r="AV478" s="0" t="s">
        <v>229</v>
      </c>
      <c r="AX478" s="0" t="s">
        <v>1880</v>
      </c>
      <c r="AY478" s="0" t="n">
        <v>1</v>
      </c>
      <c r="AZ478" s="0" t="s">
        <v>4494</v>
      </c>
      <c r="BA478" s="0" t="s">
        <v>318</v>
      </c>
      <c r="BB478" s="0" t="s">
        <v>229</v>
      </c>
      <c r="BR478" s="0" t="n">
        <v>1</v>
      </c>
      <c r="BS478" s="0" t="s">
        <v>1008</v>
      </c>
      <c r="BT478" s="0" t="s">
        <v>608</v>
      </c>
      <c r="BU478" s="0" t="s">
        <v>609</v>
      </c>
      <c r="BV478" s="123"/>
      <c r="BW478" s="123"/>
      <c r="BX478" s="123"/>
      <c r="BY478" s="123"/>
      <c r="CA478" s="0" t="s">
        <v>1010</v>
      </c>
      <c r="CD478" s="0" t="s">
        <v>370</v>
      </c>
      <c r="CE478" s="0" t="n">
        <v>0</v>
      </c>
      <c r="CF478" s="0" t="s">
        <v>4186</v>
      </c>
      <c r="CI478" s="1" t="n">
        <v>39805</v>
      </c>
      <c r="CJ478" s="1" t="n">
        <v>40588</v>
      </c>
      <c r="CK478" s="124" t="n">
        <v>0.604166666666667</v>
      </c>
      <c r="CL478" s="0" t="s">
        <v>4496</v>
      </c>
      <c r="CM478" s="0" t="n">
        <f aca="false">IF(OR(CI478="",CJ478=""),"",DAYS360(CI478,CJ478)/360)</f>
        <v>2.14166666666667</v>
      </c>
      <c r="CN478" s="0" t="n">
        <f aca="false">IF(OR(CI478="",CJ478=""),"",DAYS360(CI478,CJ478)/30)</f>
        <v>25.7</v>
      </c>
      <c r="CO478" s="0" t="n">
        <f aca="false">IF(OR(CI478="",CJ478=""),"",DAYS360(CI478,CJ478)/7)</f>
        <v>110.142857142857</v>
      </c>
      <c r="CP478" s="0" t="n">
        <f aca="false">IF(OR(CI478="",CJ478=""),"",DAYS360(CI478,CJ478))</f>
        <v>771</v>
      </c>
      <c r="CQ478" s="0" t="s">
        <v>240</v>
      </c>
      <c r="CR478" s="0" t="n">
        <v>1</v>
      </c>
      <c r="CT478" s="0" t="s">
        <v>221</v>
      </c>
      <c r="CU478" s="0" t="s">
        <v>221</v>
      </c>
      <c r="CV478" s="0" t="str">
        <f aca="false">IF(OR(CT478="",CT478="NO ESPECIFICA",CT478="NO MENCIONA"),"",IF(CU478=0,CT478,IF(CU478=1,CT478/30,IF(CU478=2,CT478/15,IF(CU478=3,CT478/7,"")))))</f>
        <v/>
      </c>
      <c r="CW478" s="125" t="n">
        <v>250</v>
      </c>
      <c r="CX478" s="0" t="n">
        <v>0</v>
      </c>
      <c r="CY478" s="0" t="n">
        <f aca="false">IF(CW478="","",IF(CX478=0,CW478,IF(CX478=1,CW478/30,IF(CX478=2,CW478/15,IF(CX478=3,CW478/7,CW478)))))</f>
        <v>250</v>
      </c>
      <c r="CZ478" s="0" t="n">
        <f aca="false">IF(DI478&gt;0,DI478,IF(CY478&gt;0,CY478,IF(CV478&gt;0,CV478,"")))</f>
        <v>250</v>
      </c>
      <c r="DA478" s="0" t="n">
        <f aca="false">IF(DM478=1,CZ478/8,IF(OR(DM478=2,DM478=4),CZ478/7,IF(DM478=3,CZ478/7.5,"")))</f>
        <v>31.25</v>
      </c>
      <c r="DB478" s="0" t="s">
        <v>216</v>
      </c>
      <c r="DC478" s="0" t="s">
        <v>216</v>
      </c>
      <c r="DD478" s="0" t="s">
        <v>216</v>
      </c>
      <c r="DE478" s="0" t="s">
        <v>216</v>
      </c>
      <c r="DF478" s="0" t="s">
        <v>216</v>
      </c>
      <c r="DG478" s="0" t="s">
        <v>216</v>
      </c>
      <c r="DH478" s="0" t="n">
        <v>0</v>
      </c>
      <c r="DI478" s="126" t="n">
        <v>250</v>
      </c>
      <c r="DK478" s="0" t="n">
        <v>0</v>
      </c>
      <c r="DM478" s="0" t="n">
        <v>1</v>
      </c>
      <c r="DN478" s="0" t="n">
        <v>66</v>
      </c>
      <c r="DO478" s="0" t="n">
        <v>3</v>
      </c>
      <c r="DP478" s="0" t="n">
        <v>0</v>
      </c>
      <c r="DQ478" s="0" t="n">
        <v>1</v>
      </c>
      <c r="DR478" s="0"/>
      <c r="DS478" s="0" t="n">
        <v>1</v>
      </c>
      <c r="DU478" s="0" t="n">
        <v>1</v>
      </c>
      <c r="DW478" s="1" t="n">
        <v>39805</v>
      </c>
      <c r="DX478" s="1" t="n">
        <v>40588</v>
      </c>
      <c r="DZ478" s="0"/>
      <c r="EA478" s="0" t="n">
        <v>1</v>
      </c>
      <c r="EC478" s="1" t="n">
        <v>39805</v>
      </c>
      <c r="ED478" s="1" t="n">
        <v>40588</v>
      </c>
      <c r="EF478" s="0"/>
      <c r="EG478" s="0" t="n">
        <v>1</v>
      </c>
      <c r="EH478" s="0" t="n">
        <v>18</v>
      </c>
      <c r="EI478" s="0" t="n">
        <f aca="false">IF(AND(DM478=1,DN478&lt;=48),"",IF(AND(DM478=2,DN478&lt;=42),"",IF(AND(DM478=3,DN478&lt;=45),"",EH478)))</f>
        <v>18</v>
      </c>
      <c r="EJ478" s="0" t="n">
        <f aca="false">IF(EI478="","",IF(EI478&lt;9,EI478,9))</f>
        <v>9</v>
      </c>
      <c r="EK478" s="0" t="n">
        <f aca="false">IF(EI478="","",IF(EI478&gt;9,EI478-EJ478,0))</f>
        <v>9</v>
      </c>
      <c r="EL478" s="0" t="n">
        <f aca="false">IF(EI478="","",EJ478*DA478*2+EK478*DA478*3)</f>
        <v>1406.25</v>
      </c>
      <c r="EM478" s="0" t="n">
        <v>87</v>
      </c>
      <c r="EP478" s="0" t="n">
        <v>0</v>
      </c>
      <c r="EQ478" s="0"/>
      <c r="ER478" s="0" t="n">
        <v>0</v>
      </c>
      <c r="ET478" s="0" t="n">
        <v>1</v>
      </c>
      <c r="EV478" s="0" t="n">
        <v>1</v>
      </c>
      <c r="EX478" s="0" t="n">
        <v>1</v>
      </c>
      <c r="EY478" s="0" t="n">
        <v>1</v>
      </c>
      <c r="EZ478" s="4" t="n">
        <v>3000</v>
      </c>
      <c r="FA478" s="0"/>
      <c r="FB478" s="0" t="n">
        <v>1</v>
      </c>
      <c r="FC478" s="1" t="n">
        <v>41148</v>
      </c>
      <c r="FD478" s="0" t="n">
        <v>1</v>
      </c>
      <c r="FE478" s="0" t="n">
        <v>15000</v>
      </c>
      <c r="FF478" s="120" t="n">
        <f aca="false">(CJ478-CI478+1)/365</f>
        <v>2.14794520547945</v>
      </c>
      <c r="FG478" s="0" t="str">
        <f aca="false">CONCATENATE(F478,"/",G478)</f>
        <v>487/2011</v>
      </c>
      <c r="FH478" s="0" t="n">
        <v>1</v>
      </c>
      <c r="FI478" s="0" t="n">
        <f aca="false">IFERROR(IF((FC478-J478+1)/365&gt;3,0,1),"")</f>
        <v>1</v>
      </c>
    </row>
    <row r="479" customFormat="false" ht="15" hidden="false" customHeight="false" outlineLevel="0" collapsed="false">
      <c r="A479" s="5" t="str">
        <f aca="false">E479&amp;G479&amp;F479</f>
        <v>72011490</v>
      </c>
      <c r="B479" s="0" t="s">
        <v>3556</v>
      </c>
      <c r="C479" s="1" t="n">
        <v>42365</v>
      </c>
      <c r="D479" s="0" t="s">
        <v>1856</v>
      </c>
      <c r="E479" s="0" t="n">
        <v>7</v>
      </c>
      <c r="F479" s="0" t="n">
        <v>490</v>
      </c>
      <c r="G479" s="0" t="n">
        <v>2011</v>
      </c>
      <c r="H479" s="0" t="str">
        <f aca="false">"J"&amp;E479&amp;"\"&amp;F479&amp;"\"&amp;G479&amp;"\"&amp;W479</f>
        <v>J7\490\2011\1</v>
      </c>
      <c r="I479" s="0"/>
      <c r="J479" s="1" t="n">
        <v>40612</v>
      </c>
      <c r="K479" s="0" t="n">
        <v>0</v>
      </c>
      <c r="M479" s="1"/>
      <c r="N479" s="1"/>
      <c r="O479" s="1"/>
      <c r="P479" s="1"/>
      <c r="Q479" s="1"/>
      <c r="T479" s="121"/>
      <c r="U479" s="121"/>
      <c r="V479" s="122" t="n">
        <f aca="false">IF(AND(E479&gt;0,F479&gt;0,G479&gt;0),COUNTIFS($E:$E,E479,$F:$F,F479,$G:$G,G479),"")</f>
        <v>1</v>
      </c>
      <c r="W479" s="122" t="n">
        <f aca="false">IF(V479="","",IF(V479=1,1,IF(AND(E478=E479,F478=F479,G478=G479),W478+1,1)))</f>
        <v>1</v>
      </c>
      <c r="X479" s="0" t="n">
        <v>1</v>
      </c>
      <c r="Y479" s="0" t="n">
        <v>3</v>
      </c>
      <c r="Z479" s="0" t="s">
        <v>4497</v>
      </c>
      <c r="AA479" s="0" t="n">
        <v>0</v>
      </c>
      <c r="AB479" s="0" t="s">
        <v>4498</v>
      </c>
      <c r="AC479" s="0" t="s">
        <v>1160</v>
      </c>
      <c r="AD479" s="0" t="s">
        <v>229</v>
      </c>
      <c r="AF479" s="0" t="s">
        <v>4499</v>
      </c>
      <c r="AG479" s="0" t="n">
        <v>0</v>
      </c>
      <c r="AH479" s="0" t="s">
        <v>4500</v>
      </c>
      <c r="AI479" s="0" t="s">
        <v>655</v>
      </c>
      <c r="AJ479" s="0" t="s">
        <v>211</v>
      </c>
      <c r="AL479" s="0" t="s">
        <v>4501</v>
      </c>
      <c r="AM479" s="0" t="n">
        <v>1</v>
      </c>
      <c r="AN479" s="0" t="s">
        <v>4500</v>
      </c>
      <c r="AO479" s="0" t="s">
        <v>655</v>
      </c>
      <c r="AP479" s="0" t="s">
        <v>211</v>
      </c>
      <c r="AR479" s="0" t="s">
        <v>1880</v>
      </c>
      <c r="AS479" s="0" t="n">
        <v>1</v>
      </c>
      <c r="AT479" s="0" t="s">
        <v>4500</v>
      </c>
      <c r="AU479" s="0" t="s">
        <v>655</v>
      </c>
      <c r="AV479" s="0" t="s">
        <v>211</v>
      </c>
      <c r="BR479" s="0" t="n">
        <v>1</v>
      </c>
      <c r="BS479" s="0" t="s">
        <v>3466</v>
      </c>
      <c r="BV479" s="123"/>
      <c r="BW479" s="123"/>
      <c r="BX479" s="123"/>
      <c r="BY479" s="123"/>
      <c r="CA479" s="0" t="s">
        <v>216</v>
      </c>
      <c r="CD479" s="0" t="s">
        <v>357</v>
      </c>
      <c r="CE479" s="0" t="n">
        <v>0</v>
      </c>
      <c r="CF479" s="0" t="s">
        <v>611</v>
      </c>
      <c r="CI479" s="1" t="n">
        <v>33531</v>
      </c>
      <c r="CJ479" s="1" t="n">
        <v>40576</v>
      </c>
      <c r="CK479" s="124" t="n">
        <v>0.395833333333333</v>
      </c>
      <c r="CL479" s="0" t="s">
        <v>4501</v>
      </c>
      <c r="CM479" s="0" t="n">
        <f aca="false">IF(OR(CI479="",CJ479=""),"",DAYS360(CI479,CJ479)/360)</f>
        <v>19.2833333333333</v>
      </c>
      <c r="CN479" s="0" t="n">
        <f aca="false">IF(OR(CI479="",CJ479=""),"",DAYS360(CI479,CJ479)/30)</f>
        <v>231.4</v>
      </c>
      <c r="CO479" s="0" t="n">
        <f aca="false">IF(OR(CI479="",CJ479=""),"",DAYS360(CI479,CJ479)/7)</f>
        <v>991.714285714286</v>
      </c>
      <c r="CP479" s="0" t="n">
        <f aca="false">IF(OR(CI479="",CJ479=""),"",DAYS360(CI479,CJ479))</f>
        <v>6942</v>
      </c>
      <c r="CQ479" s="0" t="s">
        <v>240</v>
      </c>
      <c r="CR479" s="0" t="n">
        <v>1</v>
      </c>
      <c r="CT479" s="0" t="n">
        <v>200</v>
      </c>
      <c r="CU479" s="0" t="n">
        <v>0</v>
      </c>
      <c r="CV479" s="0" t="n">
        <f aca="false">IF(OR(CT479="",CT479="NO ESPECIFICA",CT479="NO MENCIONA"),"",IF(CU479=0,CT479,IF(CU479=1,CT479/30,IF(CU479=2,CT479/15,IF(CU479=3,CT479/7,"")))))</f>
        <v>200</v>
      </c>
      <c r="CW479" s="125" t="s">
        <v>216</v>
      </c>
      <c r="CX479" s="0" t="s">
        <v>216</v>
      </c>
      <c r="CY479" s="0" t="str">
        <f aca="false">IF(CW479="","",IF(CX479=0,CW479,IF(CX479=1,CW479/30,IF(CX479=2,CW479/15,IF(CX479=3,CW479/7,CW479)))))</f>
        <v>NO MENCIONA</v>
      </c>
      <c r="CZ479" s="0" t="n">
        <f aca="false">IF(DI479&gt;0,DI479,IF(CY479&gt;0,CY479,IF(CV479&gt;0,CV479,"")))</f>
        <v>200</v>
      </c>
      <c r="DA479" s="0" t="n">
        <f aca="false">IF(DM479=1,CZ479/8,IF(OR(DM479=2,DM479=4),CZ479/7,IF(DM479=3,CZ479/7.5,"")))</f>
        <v>25</v>
      </c>
      <c r="DB479" s="0" t="s">
        <v>216</v>
      </c>
      <c r="DC479" s="0" t="s">
        <v>216</v>
      </c>
      <c r="DD479" s="0" t="s">
        <v>216</v>
      </c>
      <c r="DE479" s="0" t="s">
        <v>216</v>
      </c>
      <c r="DF479" s="0" t="s">
        <v>216</v>
      </c>
      <c r="DG479" s="0" t="s">
        <v>216</v>
      </c>
      <c r="DH479" s="0" t="n">
        <v>0</v>
      </c>
      <c r="DI479" s="126" t="n">
        <v>200</v>
      </c>
      <c r="DK479" s="0" t="n">
        <v>0</v>
      </c>
      <c r="DM479" s="0" t="n">
        <v>1</v>
      </c>
      <c r="DN479" s="0" t="n">
        <v>54</v>
      </c>
      <c r="DO479" s="0" t="n">
        <v>3</v>
      </c>
      <c r="DP479" s="0" t="n">
        <v>0</v>
      </c>
      <c r="DQ479" s="0" t="n">
        <v>1</v>
      </c>
      <c r="DR479" s="0"/>
      <c r="DS479" s="0" t="n">
        <v>1</v>
      </c>
      <c r="DU479" s="0" t="n">
        <v>1</v>
      </c>
      <c r="DW479" s="1" t="n">
        <v>33531</v>
      </c>
      <c r="DX479" s="1" t="n">
        <v>40576</v>
      </c>
      <c r="DZ479" s="0"/>
      <c r="EA479" s="0" t="n">
        <v>1</v>
      </c>
      <c r="EC479" s="1" t="n">
        <v>33531</v>
      </c>
      <c r="ED479" s="1" t="n">
        <v>40576</v>
      </c>
      <c r="EF479" s="0"/>
      <c r="EG479" s="0" t="n">
        <v>1</v>
      </c>
      <c r="EH479" s="0" t="s">
        <v>221</v>
      </c>
      <c r="EI479" s="0" t="str">
        <f aca="false">IF(AND(DM479=1,DN479&lt;=48),"",IF(AND(DM479=2,DN479&lt;=42),"",IF(AND(DM479=3,DN479&lt;=45),"",EH479)))</f>
        <v>NO ESPECIFICA</v>
      </c>
      <c r="EJ479" s="0" t="n">
        <f aca="false">IF(EI479="","",IF(EI479&lt;9,EI479,9))</f>
        <v>9</v>
      </c>
      <c r="EK479" s="0" t="e">
        <f aca="false">IF(EI479="","",IF(EI479&gt;9,EI479-EJ479,0))</f>
        <v>#VALUE!</v>
      </c>
      <c r="EL479" s="0" t="e">
        <f aca="false">IF(EI479="","",EJ479*DA479*2+EK479*DA479*3)</f>
        <v>#VALUE!</v>
      </c>
      <c r="EP479" s="0" t="n">
        <v>0</v>
      </c>
      <c r="EQ479" s="0"/>
      <c r="ER479" s="0" t="n">
        <v>0</v>
      </c>
      <c r="ET479" s="0" t="n">
        <v>0</v>
      </c>
      <c r="EV479" s="0" t="n">
        <v>0</v>
      </c>
      <c r="EX479" s="0" t="n">
        <v>0</v>
      </c>
      <c r="EY479" s="0" t="n">
        <v>0</v>
      </c>
      <c r="EZ479" s="0"/>
      <c r="FA479" s="0"/>
      <c r="FB479" s="0" t="n">
        <v>1</v>
      </c>
      <c r="FC479" s="1" t="n">
        <v>40708</v>
      </c>
      <c r="FD479" s="0" t="n">
        <v>2</v>
      </c>
      <c r="FE479" s="0" t="n">
        <v>0</v>
      </c>
      <c r="FF479" s="120" t="n">
        <f aca="false">(CJ479-CI479+1)/365</f>
        <v>19.3041095890411</v>
      </c>
      <c r="FG479" s="0" t="str">
        <f aca="false">CONCATENATE(F479,"/",G479)</f>
        <v>490/2011</v>
      </c>
      <c r="FH479" s="0" t="n">
        <v>1</v>
      </c>
      <c r="FI479" s="0" t="n">
        <f aca="false">IFERROR(IF((FC479-J479+1)/365&gt;3,0,1),"")</f>
        <v>1</v>
      </c>
    </row>
    <row r="480" customFormat="false" ht="15" hidden="false" customHeight="false" outlineLevel="0" collapsed="false">
      <c r="A480" s="5" t="str">
        <f aca="false">E480&amp;G480&amp;F480</f>
        <v>72011494</v>
      </c>
      <c r="B480" s="0" t="s">
        <v>3556</v>
      </c>
      <c r="C480" s="1" t="n">
        <v>42365</v>
      </c>
      <c r="D480" s="0" t="s">
        <v>1856</v>
      </c>
      <c r="E480" s="0" t="n">
        <v>7</v>
      </c>
      <c r="F480" s="0" t="n">
        <v>494</v>
      </c>
      <c r="G480" s="0" t="n">
        <v>2011</v>
      </c>
      <c r="H480" s="0" t="str">
        <f aca="false">"J"&amp;E480&amp;"\"&amp;F480&amp;"\"&amp;G480&amp;"\"&amp;W480</f>
        <v>J7\494\2011\1</v>
      </c>
      <c r="I480" s="0"/>
      <c r="J480" s="1" t="n">
        <v>40613</v>
      </c>
      <c r="K480" s="0" t="n">
        <v>0</v>
      </c>
      <c r="M480" s="1"/>
      <c r="N480" s="1"/>
      <c r="O480" s="1"/>
      <c r="P480" s="1"/>
      <c r="Q480" s="1"/>
      <c r="T480" s="121"/>
      <c r="U480" s="121"/>
      <c r="V480" s="122" t="n">
        <f aca="false">IF(AND(E480&gt;0,F480&gt;0,G480&gt;0),COUNTIFS($E:$E,E480,$F:$F,F480,$G:$G,G480),"")</f>
        <v>1</v>
      </c>
      <c r="W480" s="122" t="n">
        <f aca="false">IF(V480="","",IF(V480=1,1,IF(AND(E479=E480,F479=F480,G479=G480),W479+1,1)))</f>
        <v>1</v>
      </c>
      <c r="X480" s="0" t="n">
        <v>1</v>
      </c>
      <c r="Y480" s="0" t="n">
        <v>4</v>
      </c>
      <c r="Z480" s="0" t="s">
        <v>4502</v>
      </c>
      <c r="AA480" s="0" t="n">
        <v>0</v>
      </c>
      <c r="AB480" s="0" t="s">
        <v>4424</v>
      </c>
      <c r="AC480" s="0" t="s">
        <v>697</v>
      </c>
      <c r="AD480" s="0" t="s">
        <v>207</v>
      </c>
      <c r="AF480" s="0" t="s">
        <v>1821</v>
      </c>
      <c r="AG480" s="0" t="n">
        <v>0</v>
      </c>
      <c r="AH480" s="0" t="s">
        <v>4503</v>
      </c>
      <c r="AI480" s="0" t="s">
        <v>1160</v>
      </c>
      <c r="AJ480" s="0" t="s">
        <v>229</v>
      </c>
      <c r="AL480" s="0" t="s">
        <v>4504</v>
      </c>
      <c r="AM480" s="0" t="n">
        <v>1</v>
      </c>
      <c r="AN480" s="0" t="s">
        <v>4503</v>
      </c>
      <c r="AO480" s="0" t="s">
        <v>1160</v>
      </c>
      <c r="AP480" s="0" t="s">
        <v>229</v>
      </c>
      <c r="AR480" s="0" t="s">
        <v>1880</v>
      </c>
      <c r="AS480" s="0" t="n">
        <v>1</v>
      </c>
      <c r="AT480" s="0" t="s">
        <v>4503</v>
      </c>
      <c r="AU480" s="0" t="s">
        <v>1160</v>
      </c>
      <c r="AV480" s="0" t="s">
        <v>229</v>
      </c>
      <c r="AX480" s="0" t="s">
        <v>4505</v>
      </c>
      <c r="AY480" s="0" t="n">
        <v>0</v>
      </c>
      <c r="AZ480" s="0" t="s">
        <v>4506</v>
      </c>
      <c r="BA480" s="0" t="s">
        <v>497</v>
      </c>
      <c r="BB480" s="0" t="s">
        <v>322</v>
      </c>
      <c r="BR480" s="0" t="n">
        <v>1</v>
      </c>
      <c r="BS480" s="0" t="s">
        <v>3475</v>
      </c>
      <c r="BV480" s="123"/>
      <c r="BW480" s="123"/>
      <c r="BX480" s="123"/>
      <c r="BY480" s="123"/>
      <c r="CA480" s="0" t="s">
        <v>216</v>
      </c>
      <c r="CD480" s="0" t="s">
        <v>296</v>
      </c>
      <c r="CE480" s="0" t="n">
        <v>0</v>
      </c>
      <c r="CF480" s="0" t="s">
        <v>4507</v>
      </c>
      <c r="CI480" s="1" t="n">
        <v>40282</v>
      </c>
      <c r="CJ480" s="1" t="n">
        <v>40610</v>
      </c>
      <c r="CK480" s="124" t="n">
        <v>0.291666666666667</v>
      </c>
      <c r="CL480" s="0" t="s">
        <v>4504</v>
      </c>
      <c r="CM480" s="0" t="n">
        <f aca="false">IF(OR(CI480="",CJ480=""),"",DAYS360(CI480,CJ480)/360)</f>
        <v>0.9</v>
      </c>
      <c r="CN480" s="0" t="n">
        <f aca="false">IF(OR(CI480="",CJ480=""),"",DAYS360(CI480,CJ480)/30)</f>
        <v>10.8</v>
      </c>
      <c r="CO480" s="0" t="n">
        <f aca="false">IF(OR(CI480="",CJ480=""),"",DAYS360(CI480,CJ480)/7)</f>
        <v>46.2857142857143</v>
      </c>
      <c r="CP480" s="0" t="n">
        <f aca="false">IF(OR(CI480="",CJ480=""),"",DAYS360(CI480,CJ480))</f>
        <v>324</v>
      </c>
      <c r="CQ480" s="0" t="s">
        <v>240</v>
      </c>
      <c r="CR480" s="0" t="n">
        <v>1</v>
      </c>
      <c r="CT480" s="0" t="n">
        <v>116.66</v>
      </c>
      <c r="CU480" s="0" t="n">
        <v>0</v>
      </c>
      <c r="CV480" s="0" t="n">
        <f aca="false">IF(OR(CT480="",CT480="NO ESPECIFICA",CT480="NO MENCIONA"),"",IF(CU480=0,CT480,IF(CU480=1,CT480/30,IF(CU480=2,CT480/15,IF(CU480=3,CT480/7,"")))))</f>
        <v>116.66</v>
      </c>
      <c r="CW480" s="125" t="n">
        <v>259.51</v>
      </c>
      <c r="CX480" s="0" t="n">
        <v>0</v>
      </c>
      <c r="CY480" s="0" t="n">
        <f aca="false">IF(CW480="","",IF(CX480=0,CW480,IF(CX480=1,CW480/30,IF(CX480=2,CW480/15,IF(CX480=3,CW480/7,CW480)))))</f>
        <v>259.51</v>
      </c>
      <c r="CZ480" s="0" t="n">
        <f aca="false">IF(DI480&gt;0,DI480,IF(CY480&gt;0,CY480,IF(CV480&gt;0,CV480,"")))</f>
        <v>259.51</v>
      </c>
      <c r="DA480" s="0" t="n">
        <f aca="false">IF(DM480=1,CZ480/8,IF(OR(DM480=2,DM480=4),CZ480/7,IF(DM480=3,CZ480/7.5,"")))</f>
        <v>32.43875</v>
      </c>
      <c r="DB480" s="0" t="s">
        <v>417</v>
      </c>
      <c r="DC480" s="0" t="s">
        <v>216</v>
      </c>
      <c r="DD480" s="0" t="s">
        <v>216</v>
      </c>
      <c r="DE480" s="0" t="s">
        <v>216</v>
      </c>
      <c r="DF480" s="0" t="s">
        <v>216</v>
      </c>
      <c r="DG480" s="0" t="s">
        <v>216</v>
      </c>
      <c r="DH480" s="0" t="n">
        <v>0</v>
      </c>
      <c r="DI480" s="126" t="n">
        <v>259.51</v>
      </c>
      <c r="DK480" s="0" t="n">
        <v>0</v>
      </c>
      <c r="DM480" s="0" t="n">
        <v>1</v>
      </c>
      <c r="DN480" s="0" t="n">
        <v>66</v>
      </c>
      <c r="DO480" s="0" t="n">
        <v>3</v>
      </c>
      <c r="DP480" s="0" t="n">
        <v>0</v>
      </c>
      <c r="DQ480" s="0" t="n">
        <v>1</v>
      </c>
      <c r="DR480" s="0"/>
      <c r="DS480" s="0" t="n">
        <v>1</v>
      </c>
      <c r="DU480" s="0" t="n">
        <v>1</v>
      </c>
      <c r="DW480" s="1" t="n">
        <v>40282</v>
      </c>
      <c r="DX480" s="1" t="n">
        <v>40610</v>
      </c>
      <c r="DZ480" s="0"/>
      <c r="EA480" s="0" t="n">
        <v>1</v>
      </c>
      <c r="EC480" s="1" t="n">
        <v>40544</v>
      </c>
      <c r="ED480" s="1" t="n">
        <v>40610</v>
      </c>
      <c r="EF480" s="0"/>
      <c r="EG480" s="0" t="n">
        <v>1</v>
      </c>
      <c r="EH480" s="0" t="n">
        <v>12</v>
      </c>
      <c r="EI480" s="0" t="n">
        <f aca="false">IF(AND(DM480=1,DN480&lt;=48),"",IF(AND(DM480=2,DN480&lt;=42),"",IF(AND(DM480=3,DN480&lt;=45),"",EH480)))</f>
        <v>12</v>
      </c>
      <c r="EJ480" s="0" t="n">
        <f aca="false">IF(EI480="","",IF(EI480&lt;9,EI480,9))</f>
        <v>9</v>
      </c>
      <c r="EK480" s="0" t="n">
        <f aca="false">IF(EI480="","",IF(EI480&gt;9,EI480-EJ480,0))</f>
        <v>3</v>
      </c>
      <c r="EL480" s="0" t="n">
        <f aca="false">IF(EI480="","",EJ480*DA480*2+EK480*DA480*3)</f>
        <v>875.84625</v>
      </c>
      <c r="EP480" s="0" t="n">
        <v>0</v>
      </c>
      <c r="EQ480" s="0"/>
      <c r="ER480" s="0" t="n">
        <v>0</v>
      </c>
      <c r="ET480" s="0" t="n">
        <v>0</v>
      </c>
      <c r="EV480" s="0" t="n">
        <v>0</v>
      </c>
      <c r="EX480" s="0" t="n">
        <v>0</v>
      </c>
      <c r="EY480" s="0" t="n">
        <v>1</v>
      </c>
      <c r="EZ480" s="0"/>
      <c r="FA480" s="0"/>
      <c r="FB480" s="0" t="n">
        <v>0</v>
      </c>
      <c r="FC480" s="1" t="n">
        <v>40844</v>
      </c>
      <c r="FD480" s="0" t="n">
        <v>2</v>
      </c>
      <c r="FE480" s="0" t="n">
        <v>0</v>
      </c>
      <c r="FF480" s="120" t="n">
        <f aca="false">(CJ480-CI480+1)/365</f>
        <v>0.901369863013699</v>
      </c>
      <c r="FG480" s="0" t="str">
        <f aca="false">CONCATENATE(F480,"/",G480)</f>
        <v>494/2011</v>
      </c>
      <c r="FH480" s="0" t="n">
        <v>1</v>
      </c>
      <c r="FI480" s="0" t="n">
        <f aca="false">IFERROR(IF((FC480-J480+1)/365&gt;3,0,1),"")</f>
        <v>1</v>
      </c>
    </row>
    <row r="481" customFormat="false" ht="15" hidden="false" customHeight="false" outlineLevel="0" collapsed="false">
      <c r="A481" s="5" t="str">
        <f aca="false">E481&amp;G481&amp;F481</f>
        <v>72011495</v>
      </c>
      <c r="B481" s="0" t="s">
        <v>3556</v>
      </c>
      <c r="C481" s="1" t="n">
        <v>42365</v>
      </c>
      <c r="E481" s="0" t="n">
        <v>7</v>
      </c>
      <c r="F481" s="0" t="n">
        <v>495</v>
      </c>
      <c r="G481" s="0" t="n">
        <v>2011</v>
      </c>
      <c r="H481" s="0" t="str">
        <f aca="false">"J"&amp;E481&amp;"\"&amp;F481&amp;"\"&amp;G481&amp;"\"&amp;W481</f>
        <v>J7\495\2011\1</v>
      </c>
      <c r="I481" s="0"/>
      <c r="J481" s="1" t="n">
        <v>40613</v>
      </c>
      <c r="K481" s="0" t="n">
        <v>0</v>
      </c>
      <c r="M481" s="1" t="n">
        <v>40613</v>
      </c>
      <c r="N481" s="1" t="n">
        <v>40710</v>
      </c>
      <c r="O481" s="1"/>
      <c r="P481" s="1"/>
      <c r="Q481" s="1"/>
      <c r="T481" s="121"/>
      <c r="U481" s="121"/>
      <c r="V481" s="122" t="n">
        <f aca="false">IF(AND(E481&gt;0,F481&gt;0,G481&gt;0),COUNTIFS($E:$E,E481,$F:$F,F481,$G:$G,G481),"")</f>
        <v>1</v>
      </c>
      <c r="W481" s="122" t="n">
        <f aca="false">IF(V481="","",IF(V481=1,1,IF(AND(E480=E481,F480=F481,G480=G481),W480+1,1)))</f>
        <v>1</v>
      </c>
      <c r="X481" s="0" t="n">
        <v>1</v>
      </c>
      <c r="Y481" s="0" t="n">
        <v>6</v>
      </c>
      <c r="Z481" s="0" t="s">
        <v>4508</v>
      </c>
      <c r="AA481" s="0" t="n">
        <v>0</v>
      </c>
      <c r="AB481" s="0" t="s">
        <v>4509</v>
      </c>
      <c r="AC481" s="0" t="s">
        <v>318</v>
      </c>
      <c r="AD481" s="0" t="s">
        <v>221</v>
      </c>
      <c r="AF481" s="0" t="s">
        <v>4510</v>
      </c>
      <c r="AG481" s="0" t="n">
        <v>1</v>
      </c>
      <c r="AH481" s="0" t="s">
        <v>4511</v>
      </c>
      <c r="AI481" s="0" t="s">
        <v>760</v>
      </c>
      <c r="AJ481" s="0" t="s">
        <v>322</v>
      </c>
      <c r="AL481" s="0" t="s">
        <v>4512</v>
      </c>
      <c r="AM481" s="0" t="n">
        <v>1</v>
      </c>
      <c r="AN481" s="0" t="s">
        <v>4511</v>
      </c>
      <c r="AO481" s="0" t="s">
        <v>760</v>
      </c>
      <c r="AP481" s="0" t="s">
        <v>322</v>
      </c>
      <c r="AR481" s="0" t="s">
        <v>1880</v>
      </c>
      <c r="AS481" s="0" t="n">
        <v>1</v>
      </c>
      <c r="AT481" s="0" t="s">
        <v>4511</v>
      </c>
      <c r="AU481" s="0" t="s">
        <v>760</v>
      </c>
      <c r="AV481" s="0" t="s">
        <v>322</v>
      </c>
      <c r="AX481" s="0" t="s">
        <v>4513</v>
      </c>
      <c r="AY481" s="0" t="n">
        <v>0</v>
      </c>
      <c r="AZ481" s="0" t="s">
        <v>4511</v>
      </c>
      <c r="BA481" s="0" t="s">
        <v>760</v>
      </c>
      <c r="BB481" s="0" t="s">
        <v>322</v>
      </c>
      <c r="BD481" s="0" t="s">
        <v>4514</v>
      </c>
      <c r="BE481" s="0" t="n">
        <v>0</v>
      </c>
      <c r="BF481" s="0" t="s">
        <v>4511</v>
      </c>
      <c r="BG481" s="0" t="s">
        <v>760</v>
      </c>
      <c r="BH481" s="0" t="s">
        <v>322</v>
      </c>
      <c r="BJ481" s="0" t="s">
        <v>4515</v>
      </c>
      <c r="BK481" s="0" t="n">
        <v>0</v>
      </c>
      <c r="BL481" s="0" t="s">
        <v>4511</v>
      </c>
      <c r="BM481" s="0" t="s">
        <v>760</v>
      </c>
      <c r="BN481" s="0" t="s">
        <v>322</v>
      </c>
      <c r="BR481" s="0" t="n">
        <v>1</v>
      </c>
      <c r="BS481" s="0" t="s">
        <v>4516</v>
      </c>
      <c r="BV481" s="123"/>
      <c r="BW481" s="123"/>
      <c r="BX481" s="123"/>
      <c r="BY481" s="123"/>
      <c r="CA481" s="0" t="s">
        <v>3906</v>
      </c>
      <c r="CD481" s="0" t="s">
        <v>296</v>
      </c>
      <c r="CE481" s="0" t="n">
        <v>1</v>
      </c>
      <c r="CF481" s="0" t="s">
        <v>2185</v>
      </c>
      <c r="CI481" s="1" t="n">
        <v>40087</v>
      </c>
      <c r="CJ481" s="1" t="n">
        <v>40605</v>
      </c>
      <c r="CK481" s="124" t="n">
        <v>0.375</v>
      </c>
      <c r="CL481" s="0" t="s">
        <v>4512</v>
      </c>
      <c r="CM481" s="0" t="n">
        <f aca="false">IF(OR(CI481="",CJ481=""),"",DAYS360(CI481,CJ481)/360)</f>
        <v>1.42222222222222</v>
      </c>
      <c r="CN481" s="0" t="n">
        <f aca="false">IF(OR(CI481="",CJ481=""),"",DAYS360(CI481,CJ481)/30)</f>
        <v>17.0666666666667</v>
      </c>
      <c r="CO481" s="0" t="n">
        <f aca="false">IF(OR(CI481="",CJ481=""),"",DAYS360(CI481,CJ481)/7)</f>
        <v>73.1428571428571</v>
      </c>
      <c r="CP481" s="0" t="n">
        <f aca="false">IF(OR(CI481="",CJ481=""),"",DAYS360(CI481,CJ481))</f>
        <v>512</v>
      </c>
      <c r="CQ481" s="0" t="s">
        <v>240</v>
      </c>
      <c r="CR481" s="0" t="n">
        <v>1</v>
      </c>
      <c r="CT481" s="0" t="n">
        <v>370</v>
      </c>
      <c r="CU481" s="0" t="n">
        <v>0</v>
      </c>
      <c r="CV481" s="0" t="n">
        <f aca="false">IF(OR(CT481="",CT481="NO ESPECIFICA",CT481="NO MENCIONA"),"",IF(CU481=0,CT481,IF(CU481=1,CT481/30,IF(CU481=2,CT481/15,IF(CU481=3,CT481/7,"")))))</f>
        <v>370</v>
      </c>
      <c r="CW481" s="125" t="n">
        <v>460</v>
      </c>
      <c r="CX481" s="0" t="n">
        <v>0</v>
      </c>
      <c r="CY481" s="0" t="n">
        <f aca="false">IF(CW481="","",IF(CX481=0,CW481,IF(CX481=1,CW481/30,IF(CX481=2,CW481/15,IF(CX481=3,CW481/7,CW481)))))</f>
        <v>460</v>
      </c>
      <c r="CZ481" s="0" t="n">
        <f aca="false">IF(DI481&gt;0,DI481,IF(CY481&gt;0,CY481,IF(CV481&gt;0,CV481,"")))</f>
        <v>460</v>
      </c>
      <c r="DA481" s="0" t="n">
        <f aca="false">IF(DM481=1,CZ481/8,IF(OR(DM481=2,DM481=4),CZ481/7,IF(DM481=3,CZ481/7.5,"")))</f>
        <v>57.5</v>
      </c>
      <c r="DB481" s="0" t="s">
        <v>1582</v>
      </c>
      <c r="DC481" s="0" t="s">
        <v>216</v>
      </c>
      <c r="DD481" s="0" t="s">
        <v>216</v>
      </c>
      <c r="DE481" s="0" t="s">
        <v>216</v>
      </c>
      <c r="DF481" s="0" t="s">
        <v>216</v>
      </c>
      <c r="DG481" s="0" t="s">
        <v>216</v>
      </c>
      <c r="DH481" s="0" t="n">
        <v>0</v>
      </c>
      <c r="DI481" s="126" t="n">
        <v>460</v>
      </c>
      <c r="DK481" s="0" t="n">
        <v>1</v>
      </c>
      <c r="DM481" s="0" t="n">
        <v>1</v>
      </c>
      <c r="DN481" s="0" t="n">
        <v>50</v>
      </c>
      <c r="DO481" s="0" t="n">
        <v>3</v>
      </c>
      <c r="DP481" s="0" t="n">
        <v>0</v>
      </c>
      <c r="DQ481" s="0" t="n">
        <v>1</v>
      </c>
      <c r="DR481" s="0"/>
      <c r="DS481" s="0" t="n">
        <v>1</v>
      </c>
      <c r="DU481" s="0" t="n">
        <v>1</v>
      </c>
      <c r="DW481" s="1" t="n">
        <v>40087</v>
      </c>
      <c r="DX481" s="1" t="n">
        <v>40605</v>
      </c>
      <c r="DZ481" s="0"/>
      <c r="EA481" s="0" t="n">
        <v>1</v>
      </c>
      <c r="EC481" s="1" t="n">
        <v>40179</v>
      </c>
      <c r="ED481" s="1" t="n">
        <v>40605</v>
      </c>
      <c r="EF481" s="0"/>
      <c r="EG481" s="0" t="n">
        <v>1</v>
      </c>
      <c r="EH481" s="0" t="n">
        <v>10</v>
      </c>
      <c r="EI481" s="0" t="n">
        <f aca="false">IF(AND(DM481=1,DN481&lt;=48),"",IF(AND(DM481=2,DN481&lt;=42),"",IF(AND(DM481=3,DN481&lt;=45),"",EH481)))</f>
        <v>10</v>
      </c>
      <c r="EJ481" s="0" t="n">
        <f aca="false">IF(EI481="","",IF(EI481&lt;9,EI481,9))</f>
        <v>9</v>
      </c>
      <c r="EK481" s="0" t="n">
        <f aca="false">IF(EI481="","",IF(EI481&gt;9,EI481-EJ481,0))</f>
        <v>1</v>
      </c>
      <c r="EL481" s="0" t="n">
        <f aca="false">IF(EI481="","",EJ481*DA481*2+EK481*DA481*3)</f>
        <v>1207.5</v>
      </c>
      <c r="EP481" s="0" t="n">
        <v>0</v>
      </c>
      <c r="EQ481" s="0"/>
      <c r="ER481" s="0" t="n">
        <v>0</v>
      </c>
      <c r="ET481" s="0" t="n">
        <v>0</v>
      </c>
      <c r="EV481" s="0" t="n">
        <v>1</v>
      </c>
      <c r="EX481" s="0" t="n">
        <v>0</v>
      </c>
      <c r="EY481" s="0" t="n">
        <v>1</v>
      </c>
      <c r="EZ481" s="0"/>
      <c r="FA481" s="4" t="n">
        <v>6440</v>
      </c>
      <c r="FB481" s="0" t="n">
        <v>1</v>
      </c>
      <c r="FC481" s="1" t="n">
        <v>40991</v>
      </c>
      <c r="FD481" s="0" t="n">
        <v>1</v>
      </c>
      <c r="FE481" s="0" t="n">
        <v>37000</v>
      </c>
      <c r="FF481" s="120" t="n">
        <f aca="false">(CJ481-CI481+1)/365</f>
        <v>1.42191780821918</v>
      </c>
      <c r="FG481" s="0" t="str">
        <f aca="false">CONCATENATE(F481,"/",G481)</f>
        <v>495/2011</v>
      </c>
      <c r="FH481" s="0" t="n">
        <v>1</v>
      </c>
      <c r="FI481" s="0" t="n">
        <f aca="false">IFERROR(IF((FC481-J481+1)/365&gt;3,0,1),"")</f>
        <v>1</v>
      </c>
    </row>
    <row r="482" customFormat="false" ht="15" hidden="false" customHeight="false" outlineLevel="0" collapsed="false">
      <c r="A482" s="5" t="str">
        <f aca="false">E482&amp;G482&amp;F482</f>
        <v>72011496</v>
      </c>
      <c r="B482" s="0" t="s">
        <v>3556</v>
      </c>
      <c r="C482" s="1" t="n">
        <v>42365</v>
      </c>
      <c r="D482" s="0" t="s">
        <v>1856</v>
      </c>
      <c r="E482" s="0" t="n">
        <v>7</v>
      </c>
      <c r="F482" s="0" t="n">
        <v>496</v>
      </c>
      <c r="G482" s="0" t="n">
        <v>2011</v>
      </c>
      <c r="H482" s="0" t="str">
        <f aca="false">"J"&amp;E482&amp;"\"&amp;F482&amp;"\"&amp;G482&amp;"\"&amp;W482</f>
        <v>J7\496\2011\1</v>
      </c>
      <c r="I482" s="0"/>
      <c r="J482" s="1" t="n">
        <v>40613</v>
      </c>
      <c r="K482" s="0" t="n">
        <v>0</v>
      </c>
      <c r="M482" s="1"/>
      <c r="N482" s="1"/>
      <c r="O482" s="1"/>
      <c r="P482" s="1"/>
      <c r="Q482" s="1"/>
      <c r="T482" s="121"/>
      <c r="U482" s="121"/>
      <c r="V482" s="122" t="n">
        <f aca="false">IF(AND(E482&gt;0,F482&gt;0,G482&gt;0),COUNTIFS($E:$E,E482,$F:$F,F482,$G:$G,G482),"")</f>
        <v>1</v>
      </c>
      <c r="W482" s="122" t="n">
        <f aca="false">IF(V482="","",IF(V482=1,1,IF(AND(E481=E482,F481=F482,G481=G482),W481+1,1)))</f>
        <v>1</v>
      </c>
      <c r="X482" s="0" t="n">
        <v>1</v>
      </c>
      <c r="Y482" s="0" t="n">
        <v>4</v>
      </c>
      <c r="Z482" s="0" t="s">
        <v>4517</v>
      </c>
      <c r="AA482" s="0" t="n">
        <v>0</v>
      </c>
      <c r="AB482" s="0" t="s">
        <v>702</v>
      </c>
      <c r="AF482" s="0" t="s">
        <v>4518</v>
      </c>
      <c r="AG482" s="0" t="n">
        <v>0</v>
      </c>
      <c r="AH482" s="0" t="s">
        <v>4519</v>
      </c>
      <c r="AI482" s="0" t="s">
        <v>4520</v>
      </c>
      <c r="AJ482" s="0" t="s">
        <v>352</v>
      </c>
      <c r="AL482" s="0" t="s">
        <v>4521</v>
      </c>
      <c r="AM482" s="0" t="n">
        <v>0</v>
      </c>
      <c r="AN482" s="0" t="s">
        <v>4519</v>
      </c>
      <c r="AO482" s="0" t="s">
        <v>4520</v>
      </c>
      <c r="AP482" s="0" t="s">
        <v>352</v>
      </c>
      <c r="AR482" s="0" t="s">
        <v>4522</v>
      </c>
      <c r="AS482" s="0" t="n">
        <v>1</v>
      </c>
      <c r="AT482" s="0" t="s">
        <v>4519</v>
      </c>
      <c r="AU482" s="0" t="s">
        <v>4520</v>
      </c>
      <c r="AV482" s="0" t="s">
        <v>352</v>
      </c>
      <c r="AX482" s="0" t="s">
        <v>1880</v>
      </c>
      <c r="AY482" s="0" t="n">
        <v>1</v>
      </c>
      <c r="AZ482" s="0" t="s">
        <v>4519</v>
      </c>
      <c r="BA482" s="0" t="s">
        <v>4520</v>
      </c>
      <c r="BB482" s="0" t="s">
        <v>352</v>
      </c>
      <c r="BR482" s="0" t="n">
        <v>1</v>
      </c>
      <c r="BS482" s="0" t="s">
        <v>4523</v>
      </c>
      <c r="BT482" s="0" t="s">
        <v>4524</v>
      </c>
      <c r="BU482" s="0" t="s">
        <v>4525</v>
      </c>
      <c r="BV482" s="123"/>
      <c r="BW482" s="123"/>
      <c r="BX482" s="123"/>
      <c r="BY482" s="123"/>
      <c r="CD482" s="0" t="s">
        <v>296</v>
      </c>
      <c r="CE482" s="0" t="n">
        <v>0</v>
      </c>
      <c r="CF482" s="0" t="s">
        <v>4526</v>
      </c>
      <c r="CI482" s="1" t="n">
        <v>40299</v>
      </c>
      <c r="CJ482" s="1" t="n">
        <v>40561</v>
      </c>
      <c r="CK482" s="124" t="n">
        <v>0.25</v>
      </c>
      <c r="CL482" s="0" t="s">
        <v>4527</v>
      </c>
      <c r="CM482" s="0" t="n">
        <f aca="false">IF(OR(CI482="",CJ482=""),"",DAYS360(CI482,CJ482)/360)</f>
        <v>0.713888888888889</v>
      </c>
      <c r="CN482" s="0" t="n">
        <f aca="false">IF(OR(CI482="",CJ482=""),"",DAYS360(CI482,CJ482)/30)</f>
        <v>8.56666666666667</v>
      </c>
      <c r="CO482" s="0" t="n">
        <f aca="false">IF(OR(CI482="",CJ482=""),"",DAYS360(CI482,CJ482)/7)</f>
        <v>36.7142857142857</v>
      </c>
      <c r="CP482" s="0" t="n">
        <f aca="false">IF(OR(CI482="",CJ482=""),"",DAYS360(CI482,CJ482))</f>
        <v>257</v>
      </c>
      <c r="CQ482" s="0" t="s">
        <v>240</v>
      </c>
      <c r="CR482" s="0" t="n">
        <v>1</v>
      </c>
      <c r="CT482" s="0" t="s">
        <v>221</v>
      </c>
      <c r="CU482" s="0" t="s">
        <v>221</v>
      </c>
      <c r="CV482" s="0" t="str">
        <f aca="false">IF(OR(CT482="",CT482="NO ESPECIFICA",CT482="NO MENCIONA"),"",IF(CU482=0,CT482,IF(CU482=1,CT482/30,IF(CU482=2,CT482/15,IF(CU482=3,CT482/7,"")))))</f>
        <v/>
      </c>
      <c r="CW482" s="125" t="n">
        <v>7500</v>
      </c>
      <c r="CX482" s="0" t="n">
        <v>1</v>
      </c>
      <c r="CY482" s="0" t="n">
        <f aca="false">IF(CW482="","",IF(CX482=0,CW482,IF(CX482=1,CW482/30,IF(CX482=2,CW482/15,IF(CX482=3,CW482/7,CW482)))))</f>
        <v>250</v>
      </c>
      <c r="CZ482" s="0" t="n">
        <f aca="false">IF(DI482&gt;0,DI482,IF(CY482&gt;0,CY482,IF(CV482&gt;0,CV482,"")))</f>
        <v>250</v>
      </c>
      <c r="DA482" s="0" t="n">
        <f aca="false">IF(DM482=1,CZ482/8,IF(OR(DM482=2,DM482=4),CZ482/7,IF(DM482=3,CZ482/7.5,"")))</f>
        <v>33.3333333333333</v>
      </c>
      <c r="DB482" s="0" t="s">
        <v>216</v>
      </c>
      <c r="DC482" s="0" t="s">
        <v>216</v>
      </c>
      <c r="DD482" s="0" t="s">
        <v>216</v>
      </c>
      <c r="DE482" s="0" t="s">
        <v>216</v>
      </c>
      <c r="DF482" s="0" t="s">
        <v>216</v>
      </c>
      <c r="DG482" s="0" t="s">
        <v>216</v>
      </c>
      <c r="DH482" s="0" t="n">
        <v>0</v>
      </c>
      <c r="DI482" s="126" t="n">
        <v>250</v>
      </c>
      <c r="DK482" s="0" t="n">
        <v>0</v>
      </c>
      <c r="DL482" s="0" t="n">
        <v>1951</v>
      </c>
      <c r="DM482" s="0" t="n">
        <v>3</v>
      </c>
      <c r="DN482" s="0" t="n">
        <v>48</v>
      </c>
      <c r="DO482" s="0" t="n">
        <v>3</v>
      </c>
      <c r="DP482" s="0" t="n">
        <v>0</v>
      </c>
      <c r="DQ482" s="0" t="n">
        <v>1</v>
      </c>
      <c r="DR482" s="0"/>
      <c r="DS482" s="0" t="n">
        <v>1</v>
      </c>
      <c r="DU482" s="0" t="n">
        <v>1</v>
      </c>
      <c r="DW482" s="1" t="n">
        <v>40299</v>
      </c>
      <c r="DX482" s="1" t="n">
        <v>40561</v>
      </c>
      <c r="DZ482" s="0"/>
      <c r="EA482" s="0" t="n">
        <v>1</v>
      </c>
      <c r="EC482" s="1" t="n">
        <v>40299</v>
      </c>
      <c r="ED482" s="1" t="n">
        <v>40561</v>
      </c>
      <c r="EF482" s="0"/>
      <c r="EG482" s="0" t="n">
        <v>0</v>
      </c>
      <c r="EI482" s="0" t="n">
        <f aca="false">IF(AND(DM482=1,DN482&lt;=48),"",IF(AND(DM482=2,DN482&lt;=42),"",IF(AND(DM482=3,DN482&lt;=45),"",EH482)))</f>
        <v>0</v>
      </c>
      <c r="EJ482" s="0" t="str">
        <f aca="false">IF(EI482="","",IF(EI482&lt;9,EI482,9))</f>
        <v/>
      </c>
      <c r="EK482" s="0" t="str">
        <f aca="false">IF(EI482="","",IF(EI482&gt;9,EI482-EJ482,0))</f>
        <v/>
      </c>
      <c r="EL482" s="0" t="str">
        <f aca="false">IF(EI482="","",EJ482*DA482*2+EK482*DA482*3)</f>
        <v/>
      </c>
      <c r="EP482" s="0" t="n">
        <v>0</v>
      </c>
      <c r="EQ482" s="0"/>
      <c r="ER482" s="0" t="n">
        <v>1</v>
      </c>
      <c r="ET482" s="0" t="n">
        <v>0</v>
      </c>
      <c r="EV482" s="0" t="n">
        <v>1</v>
      </c>
      <c r="EX482" s="0" t="n">
        <v>0</v>
      </c>
      <c r="EY482" s="0" t="n">
        <v>0</v>
      </c>
      <c r="EZ482" s="0"/>
      <c r="FA482" s="0"/>
      <c r="FB482" s="0" t="n">
        <v>1</v>
      </c>
      <c r="FC482" s="1" t="n">
        <v>40886</v>
      </c>
      <c r="FD482" s="0" t="n">
        <v>4</v>
      </c>
      <c r="FE482" s="0" t="n">
        <v>0</v>
      </c>
      <c r="FF482" s="120" t="n">
        <f aca="false">(CJ482-CI482+1)/365</f>
        <v>0.72054794520548</v>
      </c>
      <c r="FG482" s="0" t="str">
        <f aca="false">CONCATENATE(F482,"/",G482)</f>
        <v>496/2011</v>
      </c>
      <c r="FH482" s="0" t="n">
        <v>1</v>
      </c>
      <c r="FI482" s="0" t="n">
        <f aca="false">IFERROR(IF((FC482-J482+1)/365&gt;3,0,1),"")</f>
        <v>1</v>
      </c>
    </row>
    <row r="483" customFormat="false" ht="15" hidden="false" customHeight="false" outlineLevel="0" collapsed="false">
      <c r="A483" s="5" t="str">
        <f aca="false">E483&amp;G483&amp;F483</f>
        <v>72011506</v>
      </c>
      <c r="B483" s="0" t="s">
        <v>3556</v>
      </c>
      <c r="C483" s="1" t="n">
        <v>42365</v>
      </c>
      <c r="D483" s="0" t="s">
        <v>1856</v>
      </c>
      <c r="E483" s="0" t="n">
        <v>7</v>
      </c>
      <c r="F483" s="0" t="n">
        <v>506</v>
      </c>
      <c r="G483" s="0" t="n">
        <v>2011</v>
      </c>
      <c r="H483" s="0" t="str">
        <f aca="false">"J"&amp;E483&amp;"\"&amp;F483&amp;"\"&amp;G483&amp;"\"&amp;W483</f>
        <v>J7\506\2011\1</v>
      </c>
      <c r="I483" s="0"/>
      <c r="J483" s="1" t="n">
        <v>40616</v>
      </c>
      <c r="K483" s="0" t="n">
        <v>0</v>
      </c>
      <c r="M483" s="1"/>
      <c r="N483" s="1"/>
      <c r="O483" s="1"/>
      <c r="P483" s="1"/>
      <c r="Q483" s="1"/>
      <c r="T483" s="121"/>
      <c r="U483" s="121"/>
      <c r="V483" s="122" t="n">
        <f aca="false">IF(AND(E483&gt;0,F483&gt;0,G483&gt;0),COUNTIFS($E:$E,E483,$F:$F,F483,$G:$G,G483),"")</f>
        <v>1</v>
      </c>
      <c r="W483" s="122" t="n">
        <f aca="false">IF(V483="","",IF(V483=1,1,IF(AND(E482=E483,F482=F483,G482=G483),W482+1,1)))</f>
        <v>1</v>
      </c>
      <c r="X483" s="0" t="n">
        <v>1</v>
      </c>
      <c r="Y483" s="0" t="n">
        <v>8</v>
      </c>
      <c r="Z483" s="0" t="s">
        <v>4528</v>
      </c>
      <c r="AA483" s="0" t="n">
        <v>0</v>
      </c>
      <c r="AB483" s="0" t="s">
        <v>4529</v>
      </c>
      <c r="AC483" s="0" t="s">
        <v>318</v>
      </c>
      <c r="AD483" s="0" t="s">
        <v>221</v>
      </c>
      <c r="AF483" s="0" t="s">
        <v>4530</v>
      </c>
      <c r="AG483" s="0" t="n">
        <v>0</v>
      </c>
      <c r="AH483" s="0" t="s">
        <v>4531</v>
      </c>
      <c r="AI483" s="0" t="s">
        <v>754</v>
      </c>
      <c r="AJ483" s="0" t="s">
        <v>755</v>
      </c>
      <c r="AL483" s="0" t="s">
        <v>4532</v>
      </c>
      <c r="AM483" s="0" t="n">
        <v>1</v>
      </c>
      <c r="AN483" s="0" t="s">
        <v>4531</v>
      </c>
      <c r="AO483" s="0" t="s">
        <v>754</v>
      </c>
      <c r="AP483" s="0" t="s">
        <v>755</v>
      </c>
      <c r="AR483" s="0" t="s">
        <v>4533</v>
      </c>
      <c r="AS483" s="0" t="n">
        <v>1</v>
      </c>
      <c r="AT483" s="0" t="s">
        <v>4531</v>
      </c>
      <c r="AU483" s="0" t="s">
        <v>754</v>
      </c>
      <c r="AV483" s="0" t="s">
        <v>755</v>
      </c>
      <c r="AX483" s="0" t="s">
        <v>4534</v>
      </c>
      <c r="AY483" s="0" t="n">
        <v>1</v>
      </c>
      <c r="AZ483" s="0" t="s">
        <v>4531</v>
      </c>
      <c r="BA483" s="0" t="s">
        <v>754</v>
      </c>
      <c r="BB483" s="0" t="s">
        <v>755</v>
      </c>
      <c r="BD483" s="0" t="s">
        <v>4535</v>
      </c>
      <c r="BE483" s="0" t="n">
        <v>0</v>
      </c>
      <c r="BF483" s="0" t="s">
        <v>1860</v>
      </c>
      <c r="BG483" s="0" t="s">
        <v>754</v>
      </c>
      <c r="BH483" s="0" t="s">
        <v>755</v>
      </c>
      <c r="BJ483" s="0" t="s">
        <v>4536</v>
      </c>
      <c r="BK483" s="0" t="n">
        <v>0</v>
      </c>
      <c r="BL483" s="0" t="s">
        <v>1860</v>
      </c>
      <c r="BM483" s="0" t="s">
        <v>754</v>
      </c>
      <c r="BN483" s="0" t="s">
        <v>755</v>
      </c>
      <c r="BR483" s="0" t="n">
        <v>1</v>
      </c>
      <c r="BS483" s="0" t="s">
        <v>4537</v>
      </c>
      <c r="BT483" s="0" t="s">
        <v>4538</v>
      </c>
      <c r="BU483" s="0" t="s">
        <v>4539</v>
      </c>
      <c r="BV483" s="123"/>
      <c r="BW483" s="123"/>
      <c r="BX483" s="123"/>
      <c r="BY483" s="123"/>
      <c r="CA483" s="0" t="s">
        <v>4540</v>
      </c>
      <c r="CD483" s="0" t="s">
        <v>556</v>
      </c>
      <c r="CE483" s="0" t="n">
        <v>0</v>
      </c>
      <c r="CF483" s="0" t="s">
        <v>4541</v>
      </c>
      <c r="CI483" s="1" t="n">
        <v>39816</v>
      </c>
      <c r="CJ483" s="1" t="n">
        <v>40606</v>
      </c>
      <c r="CK483" s="124" t="n">
        <v>0.395833333333333</v>
      </c>
      <c r="CL483" s="0" t="s">
        <v>4532</v>
      </c>
      <c r="CM483" s="0" t="n">
        <f aca="false">IF(OR(CI483="",CJ483=""),"",DAYS360(CI483,CJ483)/360)</f>
        <v>2.16944444444444</v>
      </c>
      <c r="CN483" s="0" t="n">
        <f aca="false">IF(OR(CI483="",CJ483=""),"",DAYS360(CI483,CJ483)/30)</f>
        <v>26.0333333333333</v>
      </c>
      <c r="CO483" s="0" t="n">
        <f aca="false">IF(OR(CI483="",CJ483=""),"",DAYS360(CI483,CJ483)/7)</f>
        <v>111.571428571429</v>
      </c>
      <c r="CP483" s="0" t="n">
        <f aca="false">IF(OR(CI483="",CJ483=""),"",DAYS360(CI483,CJ483))</f>
        <v>781</v>
      </c>
      <c r="CQ483" s="0" t="s">
        <v>220</v>
      </c>
      <c r="CR483" s="0" t="n">
        <v>1</v>
      </c>
      <c r="CT483" s="0" t="n">
        <v>1600</v>
      </c>
      <c r="CU483" s="0" t="n">
        <v>3</v>
      </c>
      <c r="CV483" s="0" t="n">
        <f aca="false">IF(OR(CT483="",CT483="NO ESPECIFICA",CT483="NO MENCIONA"),"",IF(CU483=0,CT483,IF(CU483=1,CT483/30,IF(CU483=2,CT483/15,IF(CU483=3,CT483/7,"")))))</f>
        <v>228.571428571429</v>
      </c>
      <c r="CW483" s="125" t="n">
        <v>261.9</v>
      </c>
      <c r="CX483" s="0" t="n">
        <v>0</v>
      </c>
      <c r="CY483" s="0" t="n">
        <f aca="false">IF(CW483="","",IF(CX483=0,CW483,IF(CX483=1,CW483/30,IF(CX483=2,CW483/15,IF(CX483=3,CW483/7,CW483)))))</f>
        <v>261.9</v>
      </c>
      <c r="CZ483" s="0" t="n">
        <f aca="false">IF(DI483&gt;0,DI483,IF(CY483&gt;0,CY483,IF(CV483&gt;0,CV483,"")))</f>
        <v>261.9</v>
      </c>
      <c r="DA483" s="0" t="n">
        <f aca="false">IF(DM483=1,CZ483/8,IF(OR(DM483=2,DM483=4),CZ483/7,IF(DM483=3,CZ483/7.5,"")))</f>
        <v>34.92</v>
      </c>
      <c r="DB483" s="0" t="s">
        <v>4542</v>
      </c>
      <c r="DC483" s="0" t="s">
        <v>2471</v>
      </c>
      <c r="DD483" s="0" t="s">
        <v>216</v>
      </c>
      <c r="DE483" s="0" t="s">
        <v>216</v>
      </c>
      <c r="DF483" s="0" t="s">
        <v>216</v>
      </c>
      <c r="DG483" s="0" t="s">
        <v>216</v>
      </c>
      <c r="DH483" s="0" t="n">
        <v>0</v>
      </c>
      <c r="DI483" s="126" t="n">
        <v>261.9</v>
      </c>
      <c r="DK483" s="0" t="n">
        <v>0</v>
      </c>
      <c r="DM483" s="0" t="n">
        <v>3</v>
      </c>
      <c r="DN483" s="0" t="n">
        <v>50</v>
      </c>
      <c r="DO483" s="0" t="n">
        <v>3</v>
      </c>
      <c r="DP483" s="0" t="n">
        <v>1</v>
      </c>
      <c r="DQ483" s="0" t="n">
        <v>1</v>
      </c>
      <c r="DR483" s="0"/>
      <c r="DS483" s="0" t="n">
        <v>1</v>
      </c>
      <c r="DU483" s="0" t="n">
        <v>1</v>
      </c>
      <c r="DW483" s="1" t="n">
        <v>40181</v>
      </c>
      <c r="DX483" s="1" t="n">
        <v>40606</v>
      </c>
      <c r="DZ483" s="0"/>
      <c r="EA483" s="0" t="n">
        <v>1</v>
      </c>
      <c r="EC483" s="1" t="n">
        <v>40179</v>
      </c>
      <c r="ED483" s="1" t="n">
        <v>40606</v>
      </c>
      <c r="EF483" s="0"/>
      <c r="EG483" s="0" t="n">
        <v>1</v>
      </c>
      <c r="EH483" s="0" t="n">
        <v>10</v>
      </c>
      <c r="EI483" s="0" t="n">
        <f aca="false">IF(AND(DM483=1,DN483&lt;=48),"",IF(AND(DM483=2,DN483&lt;=42),"",IF(AND(DM483=3,DN483&lt;=45),"",EH483)))</f>
        <v>10</v>
      </c>
      <c r="EJ483" s="0" t="n">
        <f aca="false">IF(EI483="","",IF(EI483&lt;9,EI483,9))</f>
        <v>9</v>
      </c>
      <c r="EK483" s="0" t="n">
        <f aca="false">IF(EI483="","",IF(EI483&gt;9,EI483-EJ483,0))</f>
        <v>1</v>
      </c>
      <c r="EL483" s="0" t="n">
        <f aca="false">IF(EI483="","",EJ483*DA483*2+EK483*DA483*3)</f>
        <v>733.32</v>
      </c>
      <c r="EP483" s="0" t="n">
        <v>0</v>
      </c>
      <c r="EQ483" s="0"/>
      <c r="ER483" s="0" t="n">
        <v>0</v>
      </c>
      <c r="ET483" s="0" t="n">
        <v>1</v>
      </c>
      <c r="EV483" s="0" t="n">
        <v>1</v>
      </c>
      <c r="EX483" s="0" t="n">
        <v>1</v>
      </c>
      <c r="EY483" s="0" t="n">
        <v>1</v>
      </c>
      <c r="EZ483" s="4" t="n">
        <v>7000</v>
      </c>
      <c r="FA483" s="4" t="n">
        <v>523.8</v>
      </c>
      <c r="FB483" s="0" t="n">
        <v>1</v>
      </c>
      <c r="FC483" s="1" t="n">
        <v>40851</v>
      </c>
      <c r="FD483" s="0" t="n">
        <v>2</v>
      </c>
      <c r="FE483" s="0" t="n">
        <v>0</v>
      </c>
      <c r="FF483" s="120" t="n">
        <f aca="false">(CJ483-CI483+1)/365</f>
        <v>2.16712328767123</v>
      </c>
      <c r="FG483" s="0" t="str">
        <f aca="false">CONCATENATE(F483,"/",G483)</f>
        <v>506/2011</v>
      </c>
      <c r="FH483" s="0" t="n">
        <v>1</v>
      </c>
      <c r="FI483" s="0" t="n">
        <f aca="false">IFERROR(IF((FC483-J483+1)/365&gt;3,0,1),"")</f>
        <v>1</v>
      </c>
    </row>
    <row r="484" customFormat="false" ht="15" hidden="false" customHeight="false" outlineLevel="0" collapsed="false">
      <c r="A484" s="5" t="str">
        <f aca="false">E484&amp;G484&amp;F484</f>
        <v>72011509</v>
      </c>
      <c r="B484" s="0" t="s">
        <v>3556</v>
      </c>
      <c r="C484" s="1" t="n">
        <v>42371</v>
      </c>
      <c r="D484" s="0" t="s">
        <v>1856</v>
      </c>
      <c r="E484" s="0" t="n">
        <v>7</v>
      </c>
      <c r="F484" s="0" t="n">
        <v>509</v>
      </c>
      <c r="G484" s="0" t="n">
        <v>2011</v>
      </c>
      <c r="H484" s="0" t="str">
        <f aca="false">"J"&amp;E484&amp;"\"&amp;F484&amp;"\"&amp;G484&amp;"\"&amp;W484</f>
        <v>J7\509\2011\1</v>
      </c>
      <c r="I484" s="0"/>
      <c r="J484" s="1" t="n">
        <v>40617</v>
      </c>
      <c r="K484" s="0" t="n">
        <v>0</v>
      </c>
      <c r="M484" s="1"/>
      <c r="N484" s="1"/>
      <c r="O484" s="1"/>
      <c r="P484" s="1"/>
      <c r="Q484" s="1"/>
      <c r="T484" s="121"/>
      <c r="U484" s="121"/>
      <c r="V484" s="122" t="n">
        <f aca="false">IF(AND(E484&gt;0,F484&gt;0,G484&gt;0),COUNTIFS($E:$E,E484,$F:$F,F484,$G:$G,G484),"")</f>
        <v>1</v>
      </c>
      <c r="W484" s="122" t="n">
        <f aca="false">IF(V484="","",IF(V484=1,1,IF(AND(E483=E484,F483=F484,G483=G484),W483+1,1)))</f>
        <v>1</v>
      </c>
      <c r="X484" s="0" t="n">
        <v>1</v>
      </c>
      <c r="Y484" s="0" t="n">
        <v>3</v>
      </c>
      <c r="Z484" s="0" t="s">
        <v>4543</v>
      </c>
      <c r="AA484" s="0" t="n">
        <v>0</v>
      </c>
      <c r="AB484" s="0" t="s">
        <v>4544</v>
      </c>
      <c r="AC484" s="0" t="s">
        <v>318</v>
      </c>
      <c r="AD484" s="0" t="s">
        <v>229</v>
      </c>
      <c r="AF484" s="0" t="s">
        <v>4545</v>
      </c>
      <c r="AG484" s="0" t="n">
        <v>0</v>
      </c>
      <c r="AH484" s="0" t="s">
        <v>4546</v>
      </c>
      <c r="AI484" s="0" t="s">
        <v>1203</v>
      </c>
      <c r="AJ484" s="0" t="s">
        <v>229</v>
      </c>
      <c r="AL484" s="0" t="s">
        <v>4547</v>
      </c>
      <c r="AM484" s="0" t="n">
        <v>1</v>
      </c>
      <c r="AN484" s="0" t="s">
        <v>4546</v>
      </c>
      <c r="AO484" s="0" t="s">
        <v>1203</v>
      </c>
      <c r="AP484" s="0" t="s">
        <v>229</v>
      </c>
      <c r="AR484" s="0" t="s">
        <v>1880</v>
      </c>
      <c r="AS484" s="0" t="n">
        <v>1</v>
      </c>
      <c r="AT484" s="0" t="s">
        <v>4546</v>
      </c>
      <c r="AU484" s="0" t="s">
        <v>1203</v>
      </c>
      <c r="AV484" s="0" t="s">
        <v>229</v>
      </c>
      <c r="BR484" s="0" t="n">
        <v>1</v>
      </c>
      <c r="BS484" s="0" t="s">
        <v>4548</v>
      </c>
      <c r="BT484" s="0" t="s">
        <v>4549</v>
      </c>
      <c r="BU484" s="0" t="s">
        <v>4550</v>
      </c>
      <c r="BV484" s="123"/>
      <c r="BW484" s="123"/>
      <c r="BX484" s="123"/>
      <c r="BY484" s="123"/>
      <c r="CA484" s="0" t="s">
        <v>216</v>
      </c>
      <c r="CD484" s="0" t="s">
        <v>216</v>
      </c>
      <c r="CE484" s="0" t="n">
        <v>0</v>
      </c>
      <c r="CF484" s="0" t="s">
        <v>1053</v>
      </c>
      <c r="CI484" s="1" t="n">
        <v>37695</v>
      </c>
      <c r="CJ484" s="1" t="n">
        <v>40576</v>
      </c>
      <c r="CK484" s="124" t="n">
        <v>0.625</v>
      </c>
      <c r="CL484" s="0" t="s">
        <v>4547</v>
      </c>
      <c r="CM484" s="0" t="n">
        <f aca="false">IF(OR(CI484="",CJ484=""),"",DAYS360(CI484,CJ484)/360)</f>
        <v>7.88055555555556</v>
      </c>
      <c r="CN484" s="0" t="n">
        <f aca="false">IF(OR(CI484="",CJ484=""),"",DAYS360(CI484,CJ484)/30)</f>
        <v>94.5666666666667</v>
      </c>
      <c r="CO484" s="0" t="n">
        <f aca="false">IF(OR(CI484="",CJ484=""),"",DAYS360(CI484,CJ484)/7)</f>
        <v>405.285714285714</v>
      </c>
      <c r="CP484" s="0" t="n">
        <f aca="false">IF(OR(CI484="",CJ484=""),"",DAYS360(CI484,CJ484))</f>
        <v>2837</v>
      </c>
      <c r="CQ484" s="0" t="s">
        <v>240</v>
      </c>
      <c r="CR484" s="0" t="n">
        <v>1</v>
      </c>
      <c r="CT484" s="0" t="s">
        <v>221</v>
      </c>
      <c r="CU484" s="0" t="s">
        <v>221</v>
      </c>
      <c r="CV484" s="0" t="str">
        <f aca="false">IF(OR(CT484="",CT484="NO ESPECIFICA",CT484="NO MENCIONA"),"",IF(CU484=0,CT484,IF(CU484=1,CT484/30,IF(CU484=2,CT484/15,IF(CU484=3,CT484/7,"")))))</f>
        <v/>
      </c>
      <c r="CW484" s="125" t="n">
        <v>1080.31</v>
      </c>
      <c r="CX484" s="0" t="n">
        <v>3</v>
      </c>
      <c r="CY484" s="0" t="n">
        <f aca="false">IF(CW484="","",IF(CX484=0,CW484,IF(CX484=1,CW484/30,IF(CX484=2,CW484/15,IF(CX484=3,CW484/7,CW484)))))</f>
        <v>154.33</v>
      </c>
      <c r="CZ484" s="0" t="n">
        <f aca="false">IF(DI484&gt;0,DI484,IF(CY484&gt;0,CY484,IF(CV484&gt;0,CV484,"")))</f>
        <v>154.33</v>
      </c>
      <c r="DA484" s="0" t="n">
        <f aca="false">IF(DM484=1,CZ484/8,IF(OR(DM484=2,DM484=4),CZ484/7,IF(DM484=3,CZ484/7.5,"")))</f>
        <v>19.29125</v>
      </c>
      <c r="DB484" s="0" t="s">
        <v>216</v>
      </c>
      <c r="DC484" s="0" t="s">
        <v>216</v>
      </c>
      <c r="DD484" s="0" t="s">
        <v>216</v>
      </c>
      <c r="DE484" s="0" t="s">
        <v>216</v>
      </c>
      <c r="DF484" s="0" t="s">
        <v>216</v>
      </c>
      <c r="DG484" s="0" t="s">
        <v>216</v>
      </c>
      <c r="DH484" s="0" t="n">
        <v>0</v>
      </c>
      <c r="DI484" s="126" t="n">
        <v>154.33</v>
      </c>
      <c r="DK484" s="0" t="n">
        <v>0</v>
      </c>
      <c r="DM484" s="0" t="n">
        <v>1</v>
      </c>
      <c r="DN484" s="0" t="n">
        <v>54</v>
      </c>
      <c r="DO484" s="0" t="n">
        <v>3</v>
      </c>
      <c r="DP484" s="0" t="n">
        <v>0</v>
      </c>
      <c r="DQ484" s="0" t="n">
        <v>1</v>
      </c>
      <c r="DR484" s="0"/>
      <c r="DS484" s="0" t="n">
        <v>1</v>
      </c>
      <c r="DU484" s="0" t="n">
        <v>1</v>
      </c>
      <c r="DW484" s="1" t="n">
        <v>37695</v>
      </c>
      <c r="DX484" s="1" t="n">
        <v>40576</v>
      </c>
      <c r="DZ484" s="0"/>
      <c r="EA484" s="0" t="n">
        <v>1</v>
      </c>
      <c r="EC484" s="1" t="n">
        <v>37695</v>
      </c>
      <c r="ED484" s="1" t="n">
        <v>40576</v>
      </c>
      <c r="EF484" s="0"/>
      <c r="EG484" s="0" t="n">
        <v>1</v>
      </c>
      <c r="EH484" s="0" t="s">
        <v>221</v>
      </c>
      <c r="EI484" s="0" t="str">
        <f aca="false">IF(AND(DM484=1,DN484&lt;=48),"",IF(AND(DM484=2,DN484&lt;=42),"",IF(AND(DM484=3,DN484&lt;=45),"",EH484)))</f>
        <v>NO ESPECIFICA</v>
      </c>
      <c r="EJ484" s="0" t="n">
        <f aca="false">IF(EI484="","",IF(EI484&lt;9,EI484,9))</f>
        <v>9</v>
      </c>
      <c r="EK484" s="0" t="e">
        <f aca="false">IF(EI484="","",IF(EI484&gt;9,EI484-EJ484,0))</f>
        <v>#VALUE!</v>
      </c>
      <c r="EL484" s="0" t="e">
        <f aca="false">IF(EI484="","",EJ484*DA484*2+EK484*DA484*3)</f>
        <v>#VALUE!</v>
      </c>
      <c r="EP484" s="0" t="n">
        <v>0</v>
      </c>
      <c r="EQ484" s="0"/>
      <c r="ER484" s="0" t="n">
        <v>0</v>
      </c>
      <c r="ET484" s="0" t="n">
        <v>0</v>
      </c>
      <c r="EV484" s="0" t="n">
        <v>1</v>
      </c>
      <c r="EX484" s="0" t="n">
        <v>0</v>
      </c>
      <c r="EY484" s="0" t="n">
        <v>0</v>
      </c>
      <c r="EZ484" s="0"/>
      <c r="FA484" s="4" t="n">
        <v>771.65</v>
      </c>
      <c r="FB484" s="0" t="n">
        <v>1</v>
      </c>
      <c r="FC484" s="1" t="n">
        <v>40932</v>
      </c>
      <c r="FD484" s="0" t="n">
        <v>1</v>
      </c>
      <c r="FE484" s="0" t="n">
        <v>16000</v>
      </c>
      <c r="FF484" s="120" t="n">
        <f aca="false">(CJ484-CI484+1)/365</f>
        <v>7.8958904109589</v>
      </c>
      <c r="FG484" s="0" t="str">
        <f aca="false">CONCATENATE(F484,"/",G484)</f>
        <v>509/2011</v>
      </c>
      <c r="FH484" s="0" t="n">
        <v>1</v>
      </c>
      <c r="FI484" s="0" t="n">
        <f aca="false">IFERROR(IF((FC484-J484+1)/365&gt;3,0,1),"")</f>
        <v>1</v>
      </c>
    </row>
    <row r="485" customFormat="false" ht="15" hidden="false" customHeight="false" outlineLevel="0" collapsed="false">
      <c r="A485" s="5" t="str">
        <f aca="false">E485&amp;G485&amp;F485</f>
        <v>72011514</v>
      </c>
      <c r="B485" s="0" t="s">
        <v>3556</v>
      </c>
      <c r="C485" s="1" t="n">
        <v>42372</v>
      </c>
      <c r="E485" s="0" t="n">
        <v>7</v>
      </c>
      <c r="F485" s="0" t="n">
        <v>514</v>
      </c>
      <c r="G485" s="0" t="n">
        <v>2011</v>
      </c>
      <c r="H485" s="0" t="str">
        <f aca="false">"J"&amp;E485&amp;"\"&amp;F485&amp;"\"&amp;G485&amp;"\"&amp;W485</f>
        <v>J7\514\2011\1</v>
      </c>
      <c r="I485" s="0"/>
      <c r="J485" s="1" t="n">
        <v>40617</v>
      </c>
      <c r="K485" s="0" t="n">
        <v>0</v>
      </c>
      <c r="M485" s="1" t="n">
        <v>40617</v>
      </c>
      <c r="N485" s="1" t="n">
        <v>40715</v>
      </c>
      <c r="O485" s="1"/>
      <c r="P485" s="1"/>
      <c r="Q485" s="1"/>
      <c r="T485" s="121"/>
      <c r="U485" s="121"/>
      <c r="V485" s="122" t="n">
        <f aca="false">IF(AND(E485&gt;0,F485&gt;0,G485&gt;0),COUNTIFS($E:$E,E485,$F:$F,F485,$G:$G,G485),"")</f>
        <v>1</v>
      </c>
      <c r="W485" s="122" t="n">
        <f aca="false">IF(V485="","",IF(V485=1,1,IF(AND(E484=E485,F484=F485,G484=G485),W484+1,1)))</f>
        <v>1</v>
      </c>
      <c r="X485" s="0" t="n">
        <v>1</v>
      </c>
      <c r="Y485" s="0" t="n">
        <v>3</v>
      </c>
      <c r="Z485" s="0" t="s">
        <v>4551</v>
      </c>
      <c r="AA485" s="0" t="n">
        <v>0</v>
      </c>
      <c r="AB485" s="0" t="s">
        <v>4552</v>
      </c>
      <c r="AC485" s="0" t="s">
        <v>274</v>
      </c>
      <c r="AD485" s="0" t="s">
        <v>221</v>
      </c>
      <c r="AF485" s="0" t="s">
        <v>4553</v>
      </c>
      <c r="AG485" s="0" t="n">
        <v>0</v>
      </c>
      <c r="AH485" s="0" t="s">
        <v>4554</v>
      </c>
      <c r="AI485" s="0" t="s">
        <v>318</v>
      </c>
      <c r="AJ485" s="0" t="s">
        <v>229</v>
      </c>
      <c r="AL485" s="0" t="s">
        <v>4555</v>
      </c>
      <c r="AM485" s="0" t="n">
        <v>1</v>
      </c>
      <c r="AN485" s="0" t="s">
        <v>4554</v>
      </c>
      <c r="AO485" s="0" t="s">
        <v>318</v>
      </c>
      <c r="AP485" s="0" t="s">
        <v>229</v>
      </c>
      <c r="AR485" s="0" t="s">
        <v>1880</v>
      </c>
      <c r="AS485" s="0" t="n">
        <v>1</v>
      </c>
      <c r="AT485" s="0" t="s">
        <v>4554</v>
      </c>
      <c r="AU485" s="0" t="s">
        <v>318</v>
      </c>
      <c r="AV485" s="0" t="s">
        <v>229</v>
      </c>
      <c r="BR485" s="0" t="n">
        <v>1</v>
      </c>
      <c r="BS485" s="0" t="s">
        <v>279</v>
      </c>
      <c r="BT485" s="0" t="s">
        <v>280</v>
      </c>
      <c r="BU485" s="0" t="s">
        <v>281</v>
      </c>
      <c r="BV485" s="123"/>
      <c r="BW485" s="123"/>
      <c r="BX485" s="123"/>
      <c r="BY485" s="123"/>
      <c r="CA485" s="0" t="s">
        <v>282</v>
      </c>
      <c r="CD485" s="0" t="s">
        <v>370</v>
      </c>
      <c r="CE485" s="0" t="n">
        <v>0</v>
      </c>
      <c r="CF485" s="0" t="s">
        <v>1599</v>
      </c>
      <c r="CI485" s="1" t="n">
        <v>39462</v>
      </c>
      <c r="CJ485" s="1" t="n">
        <v>40612</v>
      </c>
      <c r="CK485" s="124" t="n">
        <v>0.354166666666667</v>
      </c>
      <c r="CL485" s="0" t="s">
        <v>216</v>
      </c>
      <c r="CM485" s="0" t="n">
        <f aca="false">IF(OR(CI485="",CJ485=""),"",DAYS360(CI485,CJ485)/360)</f>
        <v>3.15277777777778</v>
      </c>
      <c r="CN485" s="0" t="n">
        <f aca="false">IF(OR(CI485="",CJ485=""),"",DAYS360(CI485,CJ485)/30)</f>
        <v>37.8333333333333</v>
      </c>
      <c r="CO485" s="0" t="n">
        <f aca="false">IF(OR(CI485="",CJ485=""),"",DAYS360(CI485,CJ485)/7)</f>
        <v>162.142857142857</v>
      </c>
      <c r="CP485" s="0" t="n">
        <f aca="false">IF(OR(CI485="",CJ485=""),"",DAYS360(CI485,CJ485))</f>
        <v>1135</v>
      </c>
      <c r="CQ485" s="0" t="s">
        <v>240</v>
      </c>
      <c r="CR485" s="0" t="n">
        <v>1</v>
      </c>
      <c r="CT485" s="0" t="s">
        <v>221</v>
      </c>
      <c r="CU485" s="0" t="s">
        <v>221</v>
      </c>
      <c r="CV485" s="0" t="str">
        <f aca="false">IF(OR(CT485="",CT485="NO ESPECIFICA",CT485="NO MENCIONA"),"",IF(CU485=0,CT485,IF(CU485=1,CT485/30,IF(CU485=2,CT485/15,IF(CU485=3,CT485/7,"")))))</f>
        <v/>
      </c>
      <c r="CW485" s="125" t="n">
        <v>8500</v>
      </c>
      <c r="CX485" s="0" t="n">
        <v>1</v>
      </c>
      <c r="CY485" s="0" t="n">
        <f aca="false">IF(CW485="","",IF(CX485=0,CW485,IF(CX485=1,CW485/30,IF(CX485=2,CW485/15,IF(CX485=3,CW485/7,CW485)))))</f>
        <v>283.333333333333</v>
      </c>
      <c r="CZ485" s="0" t="n">
        <f aca="false">IF(DI485&gt;0,DI485,IF(CY485&gt;0,CY485,IF(CV485&gt;0,CV485,"")))</f>
        <v>283.333333333333</v>
      </c>
      <c r="DA485" s="0" t="n">
        <f aca="false">IF(DM485=1,CZ485/8,IF(OR(DM485=2,DM485=4),CZ485/7,IF(DM485=3,CZ485/7.5,"")))</f>
        <v>35.4166666666667</v>
      </c>
      <c r="DB485" s="0" t="s">
        <v>216</v>
      </c>
      <c r="DC485" s="0" t="s">
        <v>216</v>
      </c>
      <c r="DD485" s="0" t="s">
        <v>216</v>
      </c>
      <c r="DE485" s="0" t="s">
        <v>216</v>
      </c>
      <c r="DF485" s="0" t="s">
        <v>216</v>
      </c>
      <c r="DG485" s="0" t="s">
        <v>216</v>
      </c>
      <c r="DH485" s="0" t="n">
        <v>0</v>
      </c>
      <c r="DI485" s="126" t="n">
        <v>283.333333333333</v>
      </c>
      <c r="DK485" s="0" t="n">
        <v>0</v>
      </c>
      <c r="DM485" s="0" t="n">
        <v>1</v>
      </c>
      <c r="DN485" s="0" t="n">
        <v>60</v>
      </c>
      <c r="DO485" s="0" t="n">
        <v>3</v>
      </c>
      <c r="DP485" s="0" t="n">
        <v>0</v>
      </c>
      <c r="DQ485" s="0" t="n">
        <v>1</v>
      </c>
      <c r="DR485" s="0"/>
      <c r="DS485" s="0" t="n">
        <v>1</v>
      </c>
      <c r="DU485" s="0" t="n">
        <v>1</v>
      </c>
      <c r="DW485" s="1" t="n">
        <v>39462</v>
      </c>
      <c r="DX485" s="1" t="n">
        <v>40612</v>
      </c>
      <c r="DZ485" s="0"/>
      <c r="EA485" s="0" t="n">
        <v>1</v>
      </c>
      <c r="EC485" s="1" t="n">
        <v>40179</v>
      </c>
      <c r="ED485" s="1" t="n">
        <v>40612</v>
      </c>
      <c r="EF485" s="0"/>
      <c r="EG485" s="0" t="n">
        <v>1</v>
      </c>
      <c r="EH485" s="0" t="n">
        <v>12</v>
      </c>
      <c r="EI485" s="0" t="n">
        <f aca="false">IF(AND(DM485=1,DN485&lt;=48),"",IF(AND(DM485=2,DN485&lt;=42),"",IF(AND(DM485=3,DN485&lt;=45),"",EH485)))</f>
        <v>12</v>
      </c>
      <c r="EJ485" s="0" t="n">
        <f aca="false">IF(EI485="","",IF(EI485&lt;9,EI485,9))</f>
        <v>9</v>
      </c>
      <c r="EK485" s="0" t="n">
        <f aca="false">IF(EI485="","",IF(EI485&gt;9,EI485-EJ485,0))</f>
        <v>3</v>
      </c>
      <c r="EL485" s="0" t="n">
        <f aca="false">IF(EI485="","",EJ485*DA485*2+EK485*DA485*3)</f>
        <v>956.25</v>
      </c>
      <c r="EP485" s="0" t="n">
        <v>0</v>
      </c>
      <c r="EQ485" s="0"/>
      <c r="ER485" s="0" t="n">
        <v>0</v>
      </c>
      <c r="ET485" s="0" t="n">
        <v>0</v>
      </c>
      <c r="EV485" s="0" t="n">
        <v>0</v>
      </c>
      <c r="EX485" s="0" t="n">
        <v>0</v>
      </c>
      <c r="EY485" s="0" t="n">
        <v>0</v>
      </c>
      <c r="EZ485" s="0"/>
      <c r="FA485" s="4" t="n">
        <v>6233.33333333333</v>
      </c>
      <c r="FB485" s="0" t="n">
        <v>0</v>
      </c>
      <c r="FC485" s="1" t="n">
        <v>40834</v>
      </c>
      <c r="FD485" s="0" t="n">
        <v>2</v>
      </c>
      <c r="FE485" s="0" t="n">
        <v>0</v>
      </c>
      <c r="FF485" s="120" t="n">
        <f aca="false">(CJ485-CI485+1)/365</f>
        <v>3.15342465753425</v>
      </c>
      <c r="FG485" s="0" t="str">
        <f aca="false">CONCATENATE(F485,"/",G485)</f>
        <v>514/2011</v>
      </c>
      <c r="FH485" s="0" t="n">
        <v>1</v>
      </c>
      <c r="FI485" s="0" t="n">
        <f aca="false">IFERROR(IF((FC485-J485+1)/365&gt;3,0,1),"")</f>
        <v>1</v>
      </c>
    </row>
    <row r="486" customFormat="false" ht="15" hidden="false" customHeight="false" outlineLevel="0" collapsed="false">
      <c r="A486" s="5" t="str">
        <f aca="false">E486&amp;G486&amp;F486</f>
        <v>72011526</v>
      </c>
      <c r="B486" s="0" t="s">
        <v>3556</v>
      </c>
      <c r="C486" s="1" t="n">
        <v>42372</v>
      </c>
      <c r="D486" s="0" t="s">
        <v>1856</v>
      </c>
      <c r="E486" s="0" t="n">
        <v>7</v>
      </c>
      <c r="F486" s="0" t="n">
        <v>526</v>
      </c>
      <c r="G486" s="0" t="n">
        <v>2011</v>
      </c>
      <c r="H486" s="0" t="str">
        <f aca="false">"J"&amp;E486&amp;"\"&amp;F486&amp;"\"&amp;G486&amp;"\"&amp;W486</f>
        <v>J7\526\2011\1</v>
      </c>
      <c r="I486" s="0"/>
      <c r="J486" s="1" t="n">
        <v>40618</v>
      </c>
      <c r="K486" s="0" t="n">
        <v>0</v>
      </c>
      <c r="M486" s="1"/>
      <c r="N486" s="1"/>
      <c r="O486" s="1"/>
      <c r="P486" s="1"/>
      <c r="Q486" s="1"/>
      <c r="T486" s="121"/>
      <c r="U486" s="121"/>
      <c r="V486" s="122" t="n">
        <f aca="false">IF(AND(E486&gt;0,F486&gt;0,G486&gt;0),COUNTIFS($E:$E,E486,$F:$F,F486,$G:$G,G486),"")</f>
        <v>1</v>
      </c>
      <c r="W486" s="122" t="n">
        <f aca="false">IF(V486="","",IF(V486=1,1,IF(AND(E485=E486,F485=F486,G485=G486),W485+1,1)))</f>
        <v>1</v>
      </c>
      <c r="X486" s="0" t="n">
        <v>1</v>
      </c>
      <c r="Y486" s="0" t="n">
        <v>6</v>
      </c>
      <c r="Z486" s="0" t="s">
        <v>4556</v>
      </c>
      <c r="AA486" s="0" t="n">
        <v>0</v>
      </c>
      <c r="AB486" s="0" t="s">
        <v>940</v>
      </c>
      <c r="AC486" s="0" t="s">
        <v>287</v>
      </c>
      <c r="AD486" s="0" t="s">
        <v>221</v>
      </c>
      <c r="AF486" s="0" t="s">
        <v>4557</v>
      </c>
      <c r="AG486" s="0" t="n">
        <v>0</v>
      </c>
      <c r="AH486" s="0" t="s">
        <v>4558</v>
      </c>
      <c r="AI486" s="0" t="s">
        <v>4559</v>
      </c>
      <c r="AJ486" s="0" t="s">
        <v>322</v>
      </c>
      <c r="AL486" s="0" t="s">
        <v>4560</v>
      </c>
      <c r="AM486" s="0" t="n">
        <v>1</v>
      </c>
      <c r="AN486" s="0" t="s">
        <v>4558</v>
      </c>
      <c r="AO486" s="0" t="s">
        <v>4559</v>
      </c>
      <c r="AP486" s="0" t="s">
        <v>322</v>
      </c>
      <c r="AR486" s="0" t="s">
        <v>4561</v>
      </c>
      <c r="AS486" s="0" t="n">
        <v>1</v>
      </c>
      <c r="AT486" s="0" t="s">
        <v>4558</v>
      </c>
      <c r="AU486" s="0" t="s">
        <v>4559</v>
      </c>
      <c r="AV486" s="0" t="s">
        <v>322</v>
      </c>
      <c r="AX486" s="0" t="s">
        <v>4562</v>
      </c>
      <c r="AY486" s="0" t="n">
        <v>1</v>
      </c>
      <c r="AZ486" s="0" t="s">
        <v>4558</v>
      </c>
      <c r="BA486" s="0" t="s">
        <v>4559</v>
      </c>
      <c r="BB486" s="0" t="s">
        <v>322</v>
      </c>
      <c r="BD486" s="0" t="s">
        <v>4563</v>
      </c>
      <c r="BE486" s="0" t="n">
        <v>1</v>
      </c>
      <c r="BF486" s="0" t="s">
        <v>4558</v>
      </c>
      <c r="BG486" s="0" t="s">
        <v>4559</v>
      </c>
      <c r="BH486" s="0" t="s">
        <v>322</v>
      </c>
      <c r="BJ486" s="0" t="s">
        <v>1880</v>
      </c>
      <c r="BK486" s="0" t="n">
        <v>1</v>
      </c>
      <c r="BL486" s="0" t="s">
        <v>4558</v>
      </c>
      <c r="BM486" s="0" t="s">
        <v>4559</v>
      </c>
      <c r="BN486" s="0" t="s">
        <v>322</v>
      </c>
      <c r="BR486" s="0" t="n">
        <v>1</v>
      </c>
      <c r="BS486" s="0" t="s">
        <v>637</v>
      </c>
      <c r="BT486" s="0" t="s">
        <v>1454</v>
      </c>
      <c r="BU486" s="0" t="s">
        <v>950</v>
      </c>
      <c r="BV486" s="123"/>
      <c r="BW486" s="123"/>
      <c r="BX486" s="123"/>
      <c r="BY486" s="123"/>
      <c r="CA486" s="0" t="s">
        <v>216</v>
      </c>
      <c r="CD486" s="0" t="s">
        <v>256</v>
      </c>
      <c r="CE486" s="0" t="n">
        <v>0</v>
      </c>
      <c r="CF486" s="0" t="s">
        <v>4564</v>
      </c>
      <c r="CI486" s="1" t="n">
        <v>40128</v>
      </c>
      <c r="CJ486" s="1" t="n">
        <v>40571</v>
      </c>
      <c r="CK486" s="124" t="n">
        <v>0.541666666666667</v>
      </c>
      <c r="CL486" s="0" t="s">
        <v>4560</v>
      </c>
      <c r="CM486" s="0" t="n">
        <f aca="false">IF(OR(CI486="",CJ486=""),"",DAYS360(CI486,CJ486)/360)</f>
        <v>1.21388888888889</v>
      </c>
      <c r="CN486" s="0" t="n">
        <f aca="false">IF(OR(CI486="",CJ486=""),"",DAYS360(CI486,CJ486)/30)</f>
        <v>14.5666666666667</v>
      </c>
      <c r="CO486" s="0" t="n">
        <f aca="false">IF(OR(CI486="",CJ486=""),"",DAYS360(CI486,CJ486)/7)</f>
        <v>62.4285714285714</v>
      </c>
      <c r="CP486" s="0" t="n">
        <f aca="false">IF(OR(CI486="",CJ486=""),"",DAYS360(CI486,CJ486))</f>
        <v>437</v>
      </c>
      <c r="CQ486" s="0" t="s">
        <v>220</v>
      </c>
      <c r="CR486" s="0" t="n">
        <v>1</v>
      </c>
      <c r="CT486" s="0" t="n">
        <v>233</v>
      </c>
      <c r="CU486" s="0" t="n">
        <v>0</v>
      </c>
      <c r="CV486" s="0" t="n">
        <f aca="false">IF(OR(CT486="",CT486="NO ESPECIFICA",CT486="NO MENCIONA"),"",IF(CU486=0,CT486,IF(CU486=1,CT486/30,IF(CU486=2,CT486/15,IF(CU486=3,CT486/7,"")))))</f>
        <v>233</v>
      </c>
      <c r="CW486" s="125" t="n">
        <v>435</v>
      </c>
      <c r="CX486" s="0" t="n">
        <v>0</v>
      </c>
      <c r="CY486" s="0" t="n">
        <f aca="false">IF(CW486="","",IF(CX486=0,CW486,IF(CX486=1,CW486/30,IF(CX486=2,CW486/15,IF(CX486=3,CW486/7,CW486)))))</f>
        <v>435</v>
      </c>
      <c r="CZ486" s="0" t="n">
        <f aca="false">IF(DI486&gt;0,DI486,IF(CY486&gt;0,CY486,IF(CV486&gt;0,CV486,"")))</f>
        <v>435</v>
      </c>
      <c r="DA486" s="0" t="n">
        <f aca="false">IF(DM486=1,CZ486/8,IF(OR(DM486=2,DM486=4),CZ486/7,IF(DM486=3,CZ486/7.5,"")))</f>
        <v>54.375</v>
      </c>
      <c r="DB486" s="0" t="s">
        <v>302</v>
      </c>
      <c r="DC486" s="0" t="s">
        <v>303</v>
      </c>
      <c r="DD486" s="0" t="s">
        <v>301</v>
      </c>
      <c r="DE486" s="0" t="s">
        <v>299</v>
      </c>
      <c r="DF486" s="0" t="s">
        <v>4565</v>
      </c>
      <c r="DG486" s="0" t="s">
        <v>216</v>
      </c>
      <c r="DH486" s="0" t="n">
        <v>0</v>
      </c>
      <c r="DI486" s="126" t="n">
        <v>435</v>
      </c>
      <c r="DK486" s="0" t="n">
        <v>1</v>
      </c>
      <c r="DM486" s="0" t="n">
        <v>1</v>
      </c>
      <c r="DN486" s="0" t="n">
        <v>55</v>
      </c>
      <c r="DO486" s="0" t="n">
        <v>3</v>
      </c>
      <c r="DP486" s="0" t="n">
        <v>1</v>
      </c>
      <c r="DQ486" s="0" t="n">
        <v>0</v>
      </c>
      <c r="DR486" s="0"/>
      <c r="DS486" s="0" t="n">
        <v>0</v>
      </c>
      <c r="DU486" s="0" t="n">
        <v>1</v>
      </c>
      <c r="DW486" s="1" t="n">
        <v>40128</v>
      </c>
      <c r="DX486" s="1" t="n">
        <v>40571</v>
      </c>
      <c r="DZ486" s="0"/>
      <c r="EA486" s="0" t="n">
        <v>1</v>
      </c>
      <c r="EC486" s="1" t="n">
        <v>40128</v>
      </c>
      <c r="ED486" s="1" t="n">
        <v>40571</v>
      </c>
      <c r="EF486" s="0"/>
      <c r="EG486" s="0" t="n">
        <v>1</v>
      </c>
      <c r="EH486" s="0" t="n">
        <v>14</v>
      </c>
      <c r="EI486" s="0" t="n">
        <f aca="false">IF(AND(DM486=1,DN486&lt;=48),"",IF(AND(DM486=2,DN486&lt;=42),"",IF(AND(DM486=3,DN486&lt;=45),"",EH486)))</f>
        <v>14</v>
      </c>
      <c r="EJ486" s="0" t="n">
        <f aca="false">IF(EI486="","",IF(EI486&lt;9,EI486,9))</f>
        <v>9</v>
      </c>
      <c r="EK486" s="0" t="n">
        <f aca="false">IF(EI486="","",IF(EI486&gt;9,EI486-EJ486,0))</f>
        <v>5</v>
      </c>
      <c r="EL486" s="0" t="n">
        <f aca="false">IF(EI486="","",EJ486*DA486*2+EK486*DA486*3)</f>
        <v>1794.375</v>
      </c>
      <c r="EN486" s="0" t="n">
        <v>41580</v>
      </c>
      <c r="EP486" s="0" t="n">
        <v>0</v>
      </c>
      <c r="EQ486" s="0"/>
      <c r="ER486" s="0" t="n">
        <v>0</v>
      </c>
      <c r="ET486" s="0" t="n">
        <v>1</v>
      </c>
      <c r="EV486" s="0" t="n">
        <v>1</v>
      </c>
      <c r="EX486" s="0" t="n">
        <v>1</v>
      </c>
      <c r="EY486" s="0" t="n">
        <v>1</v>
      </c>
      <c r="EZ486" s="0"/>
      <c r="FA486" s="0"/>
      <c r="FB486" s="0" t="n">
        <v>1</v>
      </c>
      <c r="FC486" s="1" t="n">
        <v>40844</v>
      </c>
      <c r="FD486" s="0" t="n">
        <v>1</v>
      </c>
      <c r="FE486" s="0" t="n">
        <v>7000</v>
      </c>
      <c r="FF486" s="120" t="n">
        <f aca="false">(CJ486-CI486+1)/365</f>
        <v>1.21643835616438</v>
      </c>
      <c r="FG486" s="0" t="str">
        <f aca="false">CONCATENATE(F486,"/",G486)</f>
        <v>526/2011</v>
      </c>
      <c r="FH486" s="0" t="n">
        <v>1</v>
      </c>
      <c r="FI486" s="0" t="n">
        <f aca="false">IFERROR(IF((FC486-J486+1)/365&gt;3,0,1),"")</f>
        <v>1</v>
      </c>
    </row>
    <row r="487" customFormat="false" ht="15" hidden="false" customHeight="false" outlineLevel="0" collapsed="false">
      <c r="A487" s="5" t="str">
        <f aca="false">E487&amp;G487&amp;F487</f>
        <v>72011527</v>
      </c>
      <c r="B487" s="0" t="s">
        <v>3556</v>
      </c>
      <c r="C487" s="1" t="n">
        <v>42372</v>
      </c>
      <c r="D487" s="0" t="s">
        <v>1856</v>
      </c>
      <c r="E487" s="0" t="n">
        <v>7</v>
      </c>
      <c r="F487" s="0" t="n">
        <v>527</v>
      </c>
      <c r="G487" s="0" t="n">
        <v>2011</v>
      </c>
      <c r="H487" s="0" t="str">
        <f aca="false">"J"&amp;E487&amp;"\"&amp;F487&amp;"\"&amp;G487&amp;"\"&amp;W487</f>
        <v>J7\527\2011\1</v>
      </c>
      <c r="I487" s="0"/>
      <c r="J487" s="1" t="n">
        <v>40619</v>
      </c>
      <c r="K487" s="0" t="n">
        <v>0</v>
      </c>
      <c r="M487" s="1"/>
      <c r="N487" s="1"/>
      <c r="O487" s="1"/>
      <c r="P487" s="1"/>
      <c r="Q487" s="1"/>
      <c r="T487" s="121"/>
      <c r="U487" s="121"/>
      <c r="V487" s="122" t="n">
        <f aca="false">IF(AND(E487&gt;0,F487&gt;0,G487&gt;0),COUNTIFS($E:$E,E487,$F:$F,F487,$G:$G,G487),"")</f>
        <v>1</v>
      </c>
      <c r="W487" s="122" t="n">
        <f aca="false">IF(V487="","",IF(V487=1,1,IF(AND(E486=E487,F486=F487,G486=G487),W486+1,1)))</f>
        <v>1</v>
      </c>
      <c r="X487" s="0" t="n">
        <v>1</v>
      </c>
      <c r="Y487" s="0" t="n">
        <v>2</v>
      </c>
      <c r="Z487" s="0" t="s">
        <v>4566</v>
      </c>
      <c r="AA487" s="0" t="n">
        <v>0</v>
      </c>
      <c r="AB487" s="0" t="s">
        <v>4567</v>
      </c>
      <c r="AC487" s="0" t="s">
        <v>318</v>
      </c>
      <c r="AD487" s="0" t="s">
        <v>229</v>
      </c>
      <c r="AF487" s="0" t="s">
        <v>3317</v>
      </c>
      <c r="AG487" s="0" t="n">
        <v>0</v>
      </c>
      <c r="AH487" s="0" t="s">
        <v>4568</v>
      </c>
      <c r="AI487" s="0" t="s">
        <v>251</v>
      </c>
      <c r="AJ487" s="0" t="s">
        <v>229</v>
      </c>
      <c r="AL487" s="0" t="s">
        <v>4569</v>
      </c>
      <c r="AM487" s="0" t="n">
        <v>1</v>
      </c>
      <c r="AN487" s="0" t="s">
        <v>4568</v>
      </c>
      <c r="AO487" s="0" t="s">
        <v>251</v>
      </c>
      <c r="AP487" s="0" t="s">
        <v>229</v>
      </c>
      <c r="BR487" s="0" t="n">
        <v>1</v>
      </c>
      <c r="BS487" s="0" t="s">
        <v>2311</v>
      </c>
      <c r="BT487" s="0" t="s">
        <v>2313</v>
      </c>
      <c r="BU487" s="0" t="s">
        <v>4570</v>
      </c>
      <c r="BV487" s="123"/>
      <c r="BW487" s="123"/>
      <c r="BX487" s="123"/>
      <c r="BY487" s="123"/>
      <c r="CA487" s="0" t="s">
        <v>216</v>
      </c>
      <c r="CD487" s="0" t="s">
        <v>296</v>
      </c>
      <c r="CE487" s="0" t="n">
        <v>0</v>
      </c>
      <c r="CF487" s="0" t="s">
        <v>4571</v>
      </c>
      <c r="CI487" s="1" t="n">
        <v>39930</v>
      </c>
      <c r="CJ487" s="1" t="n">
        <v>40568</v>
      </c>
      <c r="CK487" s="124" t="n">
        <v>0.541666666666667</v>
      </c>
      <c r="CL487" s="0" t="s">
        <v>4569</v>
      </c>
      <c r="CM487" s="0" t="n">
        <f aca="false">IF(OR(CI487="",CJ487=""),"",DAYS360(CI487,CJ487)/360)</f>
        <v>1.74444444444444</v>
      </c>
      <c r="CN487" s="0" t="n">
        <f aca="false">IF(OR(CI487="",CJ487=""),"",DAYS360(CI487,CJ487)/30)</f>
        <v>20.9333333333333</v>
      </c>
      <c r="CO487" s="0" t="n">
        <f aca="false">IF(OR(CI487="",CJ487=""),"",DAYS360(CI487,CJ487)/7)</f>
        <v>89.7142857142857</v>
      </c>
      <c r="CP487" s="0" t="n">
        <f aca="false">IF(OR(CI487="",CJ487=""),"",DAYS360(CI487,CJ487))</f>
        <v>628</v>
      </c>
      <c r="CQ487" s="0" t="s">
        <v>240</v>
      </c>
      <c r="CR487" s="0" t="n">
        <v>1</v>
      </c>
      <c r="CT487" s="0" t="s">
        <v>221</v>
      </c>
      <c r="CU487" s="0" t="s">
        <v>221</v>
      </c>
      <c r="CV487" s="0" t="str">
        <f aca="false">IF(OR(CT487="",CT487="NO ESPECIFICA",CT487="NO MENCIONA"),"",IF(CU487=0,CT487,IF(CU487=1,CT487/30,IF(CU487=2,CT487/15,IF(CU487=3,CT487/7,"")))))</f>
        <v/>
      </c>
      <c r="CW487" s="125" t="n">
        <v>4400.4</v>
      </c>
      <c r="CX487" s="0" t="n">
        <v>3</v>
      </c>
      <c r="CY487" s="0" t="n">
        <f aca="false">IF(CW487="","",IF(CX487=0,CW487,IF(CX487=1,CW487/30,IF(CX487=2,CW487/15,IF(CX487=3,CW487/7,CW487)))))</f>
        <v>628.628571428571</v>
      </c>
      <c r="CZ487" s="0" t="n">
        <f aca="false">IF(DI487&gt;0,DI487,IF(CY487&gt;0,CY487,IF(CV487&gt;0,CV487,"")))</f>
        <v>628.628571428571</v>
      </c>
      <c r="DA487" s="0" t="n">
        <f aca="false">IF(DM487=1,CZ487/8,IF(OR(DM487=2,DM487=4),CZ487/7,IF(DM487=3,CZ487/7.5,"")))</f>
        <v>83.8171428571429</v>
      </c>
      <c r="DB487" s="0" t="s">
        <v>216</v>
      </c>
      <c r="DC487" s="0" t="s">
        <v>216</v>
      </c>
      <c r="DD487" s="0" t="s">
        <v>216</v>
      </c>
      <c r="DE487" s="0" t="s">
        <v>216</v>
      </c>
      <c r="DF487" s="0" t="s">
        <v>216</v>
      </c>
      <c r="DG487" s="0" t="s">
        <v>216</v>
      </c>
      <c r="DH487" s="0" t="n">
        <v>0</v>
      </c>
      <c r="DI487" s="126" t="n">
        <v>628.628571428571</v>
      </c>
      <c r="DK487" s="0" t="n">
        <v>0</v>
      </c>
      <c r="DL487" s="0" t="n">
        <v>1986</v>
      </c>
      <c r="DM487" s="0" t="n">
        <v>3</v>
      </c>
      <c r="DN487" s="0" t="n">
        <v>60</v>
      </c>
      <c r="DO487" s="0" t="n">
        <v>3</v>
      </c>
      <c r="DP487" s="0" t="n">
        <v>0</v>
      </c>
      <c r="DQ487" s="0" t="n">
        <v>1</v>
      </c>
      <c r="DR487" s="0"/>
      <c r="DS487" s="0" t="n">
        <v>1</v>
      </c>
      <c r="DU487" s="0" t="n">
        <v>0</v>
      </c>
      <c r="DW487" s="1" t="n">
        <v>39930</v>
      </c>
      <c r="DX487" s="1" t="n">
        <v>40568</v>
      </c>
      <c r="DZ487" s="0"/>
      <c r="EA487" s="0" t="n">
        <v>1</v>
      </c>
      <c r="EC487" s="1" t="n">
        <v>39930</v>
      </c>
      <c r="ED487" s="1" t="n">
        <v>40568</v>
      </c>
      <c r="EF487" s="0"/>
      <c r="EG487" s="0" t="n">
        <v>1</v>
      </c>
      <c r="EH487" s="0" t="n">
        <v>12</v>
      </c>
      <c r="EI487" s="0" t="n">
        <f aca="false">IF(AND(DM487=1,DN487&lt;=48),"",IF(AND(DM487=2,DN487&lt;=42),"",IF(AND(DM487=3,DN487&lt;=45),"",EH487)))</f>
        <v>12</v>
      </c>
      <c r="EJ487" s="0" t="n">
        <f aca="false">IF(EI487="","",IF(EI487&lt;9,EI487,9))</f>
        <v>9</v>
      </c>
      <c r="EK487" s="0" t="n">
        <f aca="false">IF(EI487="","",IF(EI487&gt;9,EI487-EJ487,0))</f>
        <v>3</v>
      </c>
      <c r="EL487" s="0" t="n">
        <f aca="false">IF(EI487="","",EJ487*DA487*2+EK487*DA487*3)</f>
        <v>2263.06285714286</v>
      </c>
      <c r="EP487" s="0" t="n">
        <v>0</v>
      </c>
      <c r="EQ487" s="0"/>
      <c r="ER487" s="0" t="n">
        <v>0</v>
      </c>
      <c r="ET487" s="0" t="n">
        <v>0</v>
      </c>
      <c r="EV487" s="0" t="n">
        <v>0</v>
      </c>
      <c r="EX487" s="0" t="n">
        <v>1</v>
      </c>
      <c r="EY487" s="0" t="n">
        <v>0</v>
      </c>
      <c r="EZ487" s="0"/>
      <c r="FA487" s="4" t="n">
        <v>5119.92</v>
      </c>
      <c r="FB487" s="0" t="n">
        <v>1</v>
      </c>
      <c r="FC487" s="1" t="n">
        <v>40732</v>
      </c>
      <c r="FD487" s="0" t="n">
        <v>1</v>
      </c>
      <c r="FE487" s="0" t="n">
        <v>23500</v>
      </c>
      <c r="FF487" s="120" t="n">
        <f aca="false">(CJ487-CI487+1)/365</f>
        <v>1.75068493150685</v>
      </c>
      <c r="FG487" s="0" t="str">
        <f aca="false">CONCATENATE(F487,"/",G487)</f>
        <v>527/2011</v>
      </c>
      <c r="FH487" s="0" t="n">
        <v>1</v>
      </c>
      <c r="FI487" s="0" t="n">
        <f aca="false">IFERROR(IF((FC487-J487+1)/365&gt;3,0,1),"")</f>
        <v>1</v>
      </c>
    </row>
    <row r="488" customFormat="false" ht="15" hidden="false" customHeight="false" outlineLevel="0" collapsed="false">
      <c r="A488" s="5" t="str">
        <f aca="false">E488&amp;G488&amp;F488</f>
        <v>72011529</v>
      </c>
      <c r="B488" s="0" t="s">
        <v>3556</v>
      </c>
      <c r="C488" s="1" t="n">
        <v>42372</v>
      </c>
      <c r="D488" s="0" t="s">
        <v>1856</v>
      </c>
      <c r="E488" s="0" t="n">
        <v>7</v>
      </c>
      <c r="F488" s="0" t="n">
        <v>529</v>
      </c>
      <c r="G488" s="0" t="n">
        <v>2011</v>
      </c>
      <c r="H488" s="0" t="str">
        <f aca="false">"J"&amp;E488&amp;"\"&amp;F488&amp;"\"&amp;G488&amp;"\"&amp;W488</f>
        <v>J7\529\2011\1</v>
      </c>
      <c r="I488" s="0"/>
      <c r="J488" s="1" t="n">
        <v>40619</v>
      </c>
      <c r="K488" s="0" t="n">
        <v>0</v>
      </c>
      <c r="M488" s="1"/>
      <c r="N488" s="1"/>
      <c r="O488" s="1"/>
      <c r="P488" s="1"/>
      <c r="Q488" s="1"/>
      <c r="T488" s="121"/>
      <c r="U488" s="121"/>
      <c r="V488" s="122" t="n">
        <f aca="false">IF(AND(E488&gt;0,F488&gt;0,G488&gt;0),COUNTIFS($E:$E,E488,$F:$F,F488,$G:$G,G488),"")</f>
        <v>1</v>
      </c>
      <c r="W488" s="122" t="n">
        <f aca="false">IF(V488="","",IF(V488=1,1,IF(AND(E487=E488,F487=F488,G487=G488),W487+1,1)))</f>
        <v>1</v>
      </c>
      <c r="X488" s="0" t="n">
        <v>1</v>
      </c>
      <c r="Y488" s="0" t="n">
        <v>2</v>
      </c>
      <c r="Z488" s="0" t="s">
        <v>4572</v>
      </c>
      <c r="AA488" s="0" t="n">
        <v>0</v>
      </c>
      <c r="AB488" s="0" t="s">
        <v>4573</v>
      </c>
      <c r="AC488" s="0" t="s">
        <v>643</v>
      </c>
      <c r="AD488" s="0" t="s">
        <v>207</v>
      </c>
      <c r="AF488" s="0" t="s">
        <v>4574</v>
      </c>
      <c r="AG488" s="0" t="n">
        <v>1</v>
      </c>
      <c r="AH488" s="0" t="s">
        <v>4575</v>
      </c>
      <c r="AI488" s="0" t="s">
        <v>4576</v>
      </c>
      <c r="AJ488" s="0" t="s">
        <v>519</v>
      </c>
      <c r="AL488" s="0" t="s">
        <v>1880</v>
      </c>
      <c r="AM488" s="0" t="n">
        <v>1</v>
      </c>
      <c r="AN488" s="0" t="s">
        <v>4575</v>
      </c>
      <c r="AO488" s="0" t="s">
        <v>4576</v>
      </c>
      <c r="AP488" s="0" t="s">
        <v>519</v>
      </c>
      <c r="BR488" s="0" t="n">
        <v>1</v>
      </c>
      <c r="BS488" s="0" t="s">
        <v>4577</v>
      </c>
      <c r="BT488" s="0" t="s">
        <v>4578</v>
      </c>
      <c r="BU488" s="0" t="s">
        <v>4579</v>
      </c>
      <c r="BV488" s="123"/>
      <c r="BW488" s="123"/>
      <c r="BX488" s="123"/>
      <c r="BY488" s="123"/>
      <c r="CA488" s="0" t="s">
        <v>216</v>
      </c>
      <c r="CD488" s="0" t="s">
        <v>256</v>
      </c>
      <c r="CE488" s="0" t="n">
        <v>0</v>
      </c>
      <c r="CF488" s="0" t="s">
        <v>257</v>
      </c>
      <c r="CI488" s="1" t="n">
        <v>31460</v>
      </c>
      <c r="CJ488" s="1" t="n">
        <v>40585</v>
      </c>
      <c r="CK488" s="124" t="n">
        <v>0.798611111111111</v>
      </c>
      <c r="CL488" s="0" t="s">
        <v>4574</v>
      </c>
      <c r="CM488" s="0" t="n">
        <f aca="false">IF(OR(CI488="",CJ488=""),"",DAYS360(CI488,CJ488)/360)</f>
        <v>24.9833333333333</v>
      </c>
      <c r="CN488" s="0" t="n">
        <f aca="false">IF(OR(CI488="",CJ488=""),"",DAYS360(CI488,CJ488)/30)</f>
        <v>299.8</v>
      </c>
      <c r="CO488" s="0" t="n">
        <f aca="false">IF(OR(CI488="",CJ488=""),"",DAYS360(CI488,CJ488)/7)</f>
        <v>1284.85714285714</v>
      </c>
      <c r="CP488" s="0" t="n">
        <f aca="false">IF(OR(CI488="",CJ488=""),"",DAYS360(CI488,CJ488))</f>
        <v>8994</v>
      </c>
      <c r="CQ488" s="0" t="s">
        <v>240</v>
      </c>
      <c r="CR488" s="0" t="n">
        <v>1</v>
      </c>
      <c r="CT488" s="0" t="n">
        <v>306</v>
      </c>
      <c r="CU488" s="0" t="n">
        <v>0</v>
      </c>
      <c r="CV488" s="0" t="n">
        <f aca="false">IF(OR(CT488="",CT488="NO ESPECIFICA",CT488="NO MENCIONA"),"",IF(CU488=0,CT488,IF(CU488=1,CT488/30,IF(CU488=2,CT488/15,IF(CU488=3,CT488/7,"")))))</f>
        <v>306</v>
      </c>
      <c r="CW488" s="125" t="n">
        <v>406</v>
      </c>
      <c r="CX488" s="0" t="n">
        <v>0</v>
      </c>
      <c r="CY488" s="0" t="n">
        <f aca="false">IF(CW488="","",IF(CX488=0,CW488,IF(CX488=1,CW488/30,IF(CX488=2,CW488/15,IF(CX488=3,CW488/7,CW488)))))</f>
        <v>406</v>
      </c>
      <c r="CZ488" s="0" t="n">
        <f aca="false">IF(DI488&gt;0,DI488,IF(CY488&gt;0,CY488,IF(CV488&gt;0,CV488,"")))</f>
        <v>406</v>
      </c>
      <c r="DA488" s="0" t="n">
        <f aca="false">IF(DM488=1,CZ488/8,IF(OR(DM488=2,DM488=4),CZ488/7,IF(DM488=3,CZ488/7.5,"")))</f>
        <v>50.75</v>
      </c>
      <c r="DB488" s="0" t="s">
        <v>417</v>
      </c>
      <c r="DC488" s="0" t="s">
        <v>216</v>
      </c>
      <c r="DD488" s="0" t="s">
        <v>216</v>
      </c>
      <c r="DE488" s="0" t="s">
        <v>216</v>
      </c>
      <c r="DF488" s="0" t="s">
        <v>216</v>
      </c>
      <c r="DG488" s="0" t="s">
        <v>216</v>
      </c>
      <c r="DH488" s="0" t="n">
        <v>0</v>
      </c>
      <c r="DI488" s="126" t="n">
        <v>406</v>
      </c>
      <c r="DK488" s="0" t="n">
        <v>0</v>
      </c>
      <c r="DM488" s="0" t="n">
        <v>1</v>
      </c>
      <c r="DN488" s="0" t="n">
        <v>60</v>
      </c>
      <c r="DO488" s="0" t="n">
        <v>3</v>
      </c>
      <c r="DP488" s="0" t="n">
        <v>0</v>
      </c>
      <c r="DQ488" s="0" t="n">
        <v>1</v>
      </c>
      <c r="DR488" s="0"/>
      <c r="DS488" s="0" t="n">
        <v>1</v>
      </c>
      <c r="DU488" s="0" t="n">
        <v>1</v>
      </c>
      <c r="DW488" s="1" t="n">
        <v>31460</v>
      </c>
      <c r="DX488" s="1" t="n">
        <v>40585</v>
      </c>
      <c r="DZ488" s="0"/>
      <c r="EA488" s="0" t="n">
        <v>1</v>
      </c>
      <c r="EC488" s="1" t="n">
        <v>31460</v>
      </c>
      <c r="ED488" s="1" t="n">
        <v>40585</v>
      </c>
      <c r="EF488" s="0"/>
      <c r="EG488" s="0" t="n">
        <v>1</v>
      </c>
      <c r="EH488" s="0" t="n">
        <v>12</v>
      </c>
      <c r="EI488" s="0" t="n">
        <f aca="false">IF(AND(DM488=1,DN488&lt;=48),"",IF(AND(DM488=2,DN488&lt;=42),"",IF(AND(DM488=3,DN488&lt;=45),"",EH488)))</f>
        <v>12</v>
      </c>
      <c r="EJ488" s="0" t="n">
        <f aca="false">IF(EI488="","",IF(EI488&lt;9,EI488,9))</f>
        <v>9</v>
      </c>
      <c r="EK488" s="0" t="n">
        <f aca="false">IF(EI488="","",IF(EI488&gt;9,EI488-EJ488,0))</f>
        <v>3</v>
      </c>
      <c r="EL488" s="0" t="n">
        <f aca="false">IF(EI488="","",EJ488*DA488*2+EK488*DA488*3)</f>
        <v>1370.25</v>
      </c>
      <c r="EN488" s="0" t="n">
        <v>598612.5</v>
      </c>
      <c r="EP488" s="0" t="n">
        <v>0</v>
      </c>
      <c r="EQ488" s="0"/>
      <c r="ER488" s="0" t="n">
        <v>0</v>
      </c>
      <c r="ET488" s="0" t="n">
        <v>0</v>
      </c>
      <c r="EV488" s="0" t="n">
        <v>1</v>
      </c>
      <c r="EX488" s="0" t="n">
        <v>0</v>
      </c>
      <c r="EY488" s="0" t="n">
        <v>0</v>
      </c>
      <c r="EZ488" s="0"/>
      <c r="FA488" s="4" t="n">
        <v>4466</v>
      </c>
      <c r="FB488" s="0" t="n">
        <v>0</v>
      </c>
      <c r="FC488" s="1" t="n">
        <v>41029</v>
      </c>
      <c r="FD488" s="0" t="n">
        <v>1</v>
      </c>
      <c r="FE488" s="0" t="n">
        <v>15000</v>
      </c>
      <c r="FF488" s="120" t="n">
        <f aca="false">(CJ488-CI488+1)/365</f>
        <v>25.0027397260274</v>
      </c>
      <c r="FG488" s="0" t="str">
        <f aca="false">CONCATENATE(F488,"/",G488)</f>
        <v>529/2011</v>
      </c>
      <c r="FH488" s="0" t="n">
        <v>1</v>
      </c>
      <c r="FI488" s="0" t="n">
        <f aca="false">IFERROR(IF((FC488-J488+1)/365&gt;3,0,1),"")</f>
        <v>1</v>
      </c>
    </row>
    <row r="489" customFormat="false" ht="15" hidden="false" customHeight="false" outlineLevel="0" collapsed="false">
      <c r="A489" s="5" t="str">
        <f aca="false">E489&amp;G489&amp;F489</f>
        <v>72011530</v>
      </c>
      <c r="B489" s="0" t="s">
        <v>3556</v>
      </c>
      <c r="C489" s="1" t="n">
        <v>42372</v>
      </c>
      <c r="E489" s="0" t="n">
        <v>7</v>
      </c>
      <c r="F489" s="0" t="n">
        <v>530</v>
      </c>
      <c r="G489" s="0" t="n">
        <v>2011</v>
      </c>
      <c r="H489" s="0" t="str">
        <f aca="false">"J"&amp;E489&amp;"\"&amp;F489&amp;"\"&amp;G489&amp;"\"&amp;W489</f>
        <v>J7\530\2011\1</v>
      </c>
      <c r="I489" s="0"/>
      <c r="J489" s="1" t="n">
        <v>40619</v>
      </c>
      <c r="K489" s="0" t="n">
        <v>0</v>
      </c>
      <c r="M489" s="1" t="n">
        <v>40619</v>
      </c>
      <c r="N489" s="1" t="n">
        <v>40718</v>
      </c>
      <c r="O489" s="1"/>
      <c r="P489" s="1"/>
      <c r="Q489" s="1"/>
      <c r="T489" s="121"/>
      <c r="U489" s="121"/>
      <c r="V489" s="122" t="n">
        <f aca="false">IF(AND(E489&gt;0,F489&gt;0,G489&gt;0),COUNTIFS($E:$E,E489,$F:$F,F489,$G:$G,G489),"")</f>
        <v>1</v>
      </c>
      <c r="W489" s="122" t="n">
        <f aca="false">IF(V489="","",IF(V489=1,1,IF(AND(E488=E489,F488=F489,G488=G489),W488+1,1)))</f>
        <v>1</v>
      </c>
      <c r="X489" s="0" t="n">
        <v>1</v>
      </c>
      <c r="Y489" s="0" t="n">
        <v>3</v>
      </c>
      <c r="Z489" s="0" t="s">
        <v>4580</v>
      </c>
      <c r="AA489" s="0" t="n">
        <v>0</v>
      </c>
      <c r="AB489" s="0" t="s">
        <v>3589</v>
      </c>
      <c r="AC489" s="0" t="s">
        <v>228</v>
      </c>
      <c r="AD489" s="0" t="s">
        <v>229</v>
      </c>
      <c r="AF489" s="0" t="s">
        <v>2801</v>
      </c>
      <c r="AG489" s="0" t="n">
        <v>0</v>
      </c>
      <c r="AH489" s="0" t="s">
        <v>2802</v>
      </c>
      <c r="AI489" s="0" t="s">
        <v>2803</v>
      </c>
      <c r="AJ489" s="0" t="s">
        <v>485</v>
      </c>
      <c r="AL489" s="0" t="s">
        <v>4581</v>
      </c>
      <c r="AM489" s="0" t="n">
        <v>0</v>
      </c>
      <c r="AN489" s="0" t="s">
        <v>2802</v>
      </c>
      <c r="AO489" s="0" t="s">
        <v>2803</v>
      </c>
      <c r="AP489" s="0" t="s">
        <v>485</v>
      </c>
      <c r="AR489" s="0" t="s">
        <v>1880</v>
      </c>
      <c r="AS489" s="0" t="n">
        <v>1</v>
      </c>
      <c r="AT489" s="0" t="s">
        <v>2802</v>
      </c>
      <c r="AU489" s="0" t="s">
        <v>2803</v>
      </c>
      <c r="AV489" s="0" t="s">
        <v>485</v>
      </c>
      <c r="BR489" s="0" t="n">
        <v>3</v>
      </c>
      <c r="BS489" s="0" t="s">
        <v>651</v>
      </c>
      <c r="BT489" s="0" t="s">
        <v>500</v>
      </c>
      <c r="BU489" s="0" t="s">
        <v>501</v>
      </c>
      <c r="BV489" s="123"/>
      <c r="BW489" s="123"/>
      <c r="BX489" s="123"/>
      <c r="BY489" s="123"/>
      <c r="CA489" s="0" t="s">
        <v>348</v>
      </c>
      <c r="CD489" s="0" t="s">
        <v>256</v>
      </c>
      <c r="CE489" s="0" t="n">
        <v>0</v>
      </c>
      <c r="CF489" s="0" t="s">
        <v>600</v>
      </c>
      <c r="CI489" s="1" t="n">
        <v>38719</v>
      </c>
      <c r="CJ489" s="1" t="n">
        <v>40560</v>
      </c>
      <c r="CK489" s="124" t="n">
        <v>0.527083333333333</v>
      </c>
      <c r="CL489" s="0" t="s">
        <v>4581</v>
      </c>
      <c r="CM489" s="0" t="n">
        <f aca="false">IF(OR(CI489="",CJ489=""),"",DAYS360(CI489,CJ489)/360)</f>
        <v>5.04166666666667</v>
      </c>
      <c r="CN489" s="0" t="n">
        <f aca="false">IF(OR(CI489="",CJ489=""),"",DAYS360(CI489,CJ489)/30)</f>
        <v>60.5</v>
      </c>
      <c r="CO489" s="0" t="n">
        <f aca="false">IF(OR(CI489="",CJ489=""),"",DAYS360(CI489,CJ489)/7)</f>
        <v>259.285714285714</v>
      </c>
      <c r="CP489" s="0" t="n">
        <f aca="false">IF(OR(CI489="",CJ489=""),"",DAYS360(CI489,CJ489))</f>
        <v>1815</v>
      </c>
      <c r="CQ489" s="0" t="s">
        <v>240</v>
      </c>
      <c r="CR489" s="0" t="n">
        <v>1</v>
      </c>
      <c r="CT489" s="0" t="n">
        <v>148.62</v>
      </c>
      <c r="CU489" s="0" t="n">
        <v>0</v>
      </c>
      <c r="CV489" s="0" t="n">
        <f aca="false">IF(OR(CT489="",CT489="NO ESPECIFICA",CT489="NO MENCIONA"),"",IF(CU489=0,CT489,IF(CU489=1,CT489/30,IF(CU489=2,CT489/15,IF(CU489=3,CT489/7,"")))))</f>
        <v>148.62</v>
      </c>
      <c r="CW489" s="125" t="n">
        <v>154.7</v>
      </c>
      <c r="CX489" s="0" t="n">
        <v>0</v>
      </c>
      <c r="CY489" s="0" t="n">
        <f aca="false">IF(CW489="","",IF(CX489=0,CW489,IF(CX489=1,CW489/30,IF(CX489=2,CW489/15,IF(CX489=3,CW489/7,CW489)))))</f>
        <v>154.7</v>
      </c>
      <c r="CZ489" s="0" t="n">
        <f aca="false">IF(DI489&gt;0,DI489,IF(CY489&gt;0,CY489,IF(CV489&gt;0,CV489,"")))</f>
        <v>154.7</v>
      </c>
      <c r="DA489" s="0" t="n">
        <f aca="false">IF(DM489=1,CZ489/8,IF(OR(DM489=2,DM489=4),CZ489/7,IF(DM489=3,CZ489/7.5,"")))</f>
        <v>19.3375</v>
      </c>
      <c r="DB489" s="0" t="s">
        <v>303</v>
      </c>
      <c r="DC489" s="0" t="s">
        <v>301</v>
      </c>
      <c r="DD489" s="0" t="s">
        <v>216</v>
      </c>
      <c r="DE489" s="0" t="s">
        <v>216</v>
      </c>
      <c r="DF489" s="0" t="s">
        <v>216</v>
      </c>
      <c r="DG489" s="0" t="s">
        <v>216</v>
      </c>
      <c r="DH489" s="0" t="n">
        <v>0</v>
      </c>
      <c r="DI489" s="126" t="n">
        <v>154.7</v>
      </c>
      <c r="DK489" s="0" t="n">
        <v>1</v>
      </c>
      <c r="DM489" s="0" t="n">
        <v>1</v>
      </c>
      <c r="DN489" s="0" t="n">
        <v>48</v>
      </c>
      <c r="DO489" s="0" t="n">
        <v>3</v>
      </c>
      <c r="DP489" s="0" t="n">
        <v>0</v>
      </c>
      <c r="DQ489" s="0" t="n">
        <v>1</v>
      </c>
      <c r="DR489" s="0"/>
      <c r="DS489" s="0" t="n">
        <v>1</v>
      </c>
      <c r="DU489" s="0" t="n">
        <v>1</v>
      </c>
      <c r="DW489" s="1" t="n">
        <v>40180</v>
      </c>
      <c r="DX489" s="1" t="n">
        <v>40560</v>
      </c>
      <c r="DZ489" s="0"/>
      <c r="EA489" s="0" t="n">
        <v>1</v>
      </c>
      <c r="EC489" s="1" t="n">
        <v>40179</v>
      </c>
      <c r="ED489" s="1" t="n">
        <v>40560</v>
      </c>
      <c r="EF489" s="0"/>
      <c r="EG489" s="0" t="n">
        <v>0</v>
      </c>
      <c r="EI489" s="0" t="str">
        <f aca="false">IF(AND(DM489=1,DN489&lt;=48),"",IF(AND(DM489=2,DN489&lt;=42),"",IF(AND(DM489=3,DN489&lt;=45),"",EH489)))</f>
        <v/>
      </c>
      <c r="EJ489" s="0" t="str">
        <f aca="false">IF(EI489="","",IF(EI489&lt;9,EI489,9))</f>
        <v/>
      </c>
      <c r="EK489" s="0" t="str">
        <f aca="false">IF(EI489="","",IF(EI489&gt;9,EI489-EJ489,0))</f>
        <v/>
      </c>
      <c r="EL489" s="0" t="str">
        <f aca="false">IF(EI489="","",EJ489*DA489*2+EK489*DA489*3)</f>
        <v/>
      </c>
      <c r="EP489" s="0" t="n">
        <v>0</v>
      </c>
      <c r="EQ489" s="0"/>
      <c r="ER489" s="0" t="n">
        <v>0</v>
      </c>
      <c r="ET489" s="0" t="n">
        <v>0</v>
      </c>
      <c r="EV489" s="0" t="n">
        <v>0</v>
      </c>
      <c r="EX489" s="0" t="n">
        <v>0</v>
      </c>
      <c r="EY489" s="0" t="n">
        <v>0</v>
      </c>
      <c r="EZ489" s="0"/>
      <c r="FA489" s="0"/>
      <c r="FB489" s="0" t="n">
        <v>1</v>
      </c>
      <c r="FC489" s="1" t="n">
        <v>41544</v>
      </c>
      <c r="FD489" s="0" t="n">
        <v>1</v>
      </c>
      <c r="FE489" s="0" t="n">
        <v>10000</v>
      </c>
      <c r="FF489" s="120" t="n">
        <f aca="false">(CJ489-CI489+1)/365</f>
        <v>5.04657534246575</v>
      </c>
      <c r="FG489" s="0" t="str">
        <f aca="false">CONCATENATE(F489,"/",G489)</f>
        <v>530/2011</v>
      </c>
      <c r="FH489" s="0" t="n">
        <v>1</v>
      </c>
      <c r="FI489" s="0" t="n">
        <f aca="false">IFERROR(IF((FC489-J489+1)/365&gt;3,0,1),"")</f>
        <v>1</v>
      </c>
    </row>
    <row r="490" customFormat="false" ht="15" hidden="false" customHeight="false" outlineLevel="0" collapsed="false">
      <c r="A490" s="5" t="str">
        <f aca="false">E490&amp;G490&amp;F490</f>
        <v>72011537</v>
      </c>
      <c r="B490" s="0" t="s">
        <v>3556</v>
      </c>
      <c r="C490" s="1" t="n">
        <v>42372</v>
      </c>
      <c r="D490" s="0" t="s">
        <v>1856</v>
      </c>
      <c r="E490" s="0" t="n">
        <v>7</v>
      </c>
      <c r="F490" s="0" t="n">
        <v>537</v>
      </c>
      <c r="G490" s="0" t="n">
        <v>2011</v>
      </c>
      <c r="H490" s="0" t="str">
        <f aca="false">"J"&amp;E490&amp;"\"&amp;F490&amp;"\"&amp;G490&amp;"\"&amp;W490</f>
        <v>J7\537\2011\1</v>
      </c>
      <c r="I490" s="0"/>
      <c r="J490" s="1" t="n">
        <v>40620</v>
      </c>
      <c r="K490" s="0" t="n">
        <v>0</v>
      </c>
      <c r="M490" s="1"/>
      <c r="N490" s="1"/>
      <c r="O490" s="1"/>
      <c r="P490" s="1"/>
      <c r="Q490" s="1"/>
      <c r="T490" s="121"/>
      <c r="U490" s="121"/>
      <c r="V490" s="122" t="n">
        <f aca="false">IF(AND(E490&gt;0,F490&gt;0,G490&gt;0),COUNTIFS($E:$E,E490,$F:$F,F490,$G:$G,G490),"")</f>
        <v>1</v>
      </c>
      <c r="W490" s="122" t="n">
        <f aca="false">IF(V490="","",IF(V490=1,1,IF(AND(E489=E490,F489=F490,G489=G490),W489+1,1)))</f>
        <v>1</v>
      </c>
      <c r="X490" s="0" t="n">
        <v>1</v>
      </c>
      <c r="Y490" s="0" t="n">
        <v>6</v>
      </c>
      <c r="Z490" s="0" t="s">
        <v>4582</v>
      </c>
      <c r="AA490" s="0" t="n">
        <v>0</v>
      </c>
      <c r="AB490" s="0" t="s">
        <v>4583</v>
      </c>
      <c r="AC490" s="0" t="s">
        <v>4584</v>
      </c>
      <c r="AD490" s="0" t="s">
        <v>322</v>
      </c>
      <c r="AF490" s="0" t="s">
        <v>2334</v>
      </c>
      <c r="AG490" s="0" t="n">
        <v>0</v>
      </c>
      <c r="AH490" s="0" t="s">
        <v>4585</v>
      </c>
      <c r="AI490" s="0" t="s">
        <v>804</v>
      </c>
      <c r="AJ490" s="0" t="s">
        <v>352</v>
      </c>
      <c r="AL490" s="0" t="s">
        <v>4586</v>
      </c>
      <c r="AM490" s="0" t="n">
        <v>0</v>
      </c>
      <c r="AN490" s="0" t="s">
        <v>4585</v>
      </c>
      <c r="AO490" s="0" t="s">
        <v>804</v>
      </c>
      <c r="AP490" s="0" t="s">
        <v>352</v>
      </c>
      <c r="AR490" s="0" t="s">
        <v>4587</v>
      </c>
      <c r="AS490" s="0" t="n">
        <v>1</v>
      </c>
      <c r="AT490" s="0" t="s">
        <v>4585</v>
      </c>
      <c r="AU490" s="0" t="s">
        <v>804</v>
      </c>
      <c r="AV490" s="0" t="s">
        <v>352</v>
      </c>
      <c r="AX490" s="0" t="s">
        <v>4588</v>
      </c>
      <c r="AY490" s="0" t="n">
        <v>1</v>
      </c>
      <c r="AZ490" s="0" t="s">
        <v>4585</v>
      </c>
      <c r="BA490" s="0" t="s">
        <v>804</v>
      </c>
      <c r="BB490" s="0" t="s">
        <v>352</v>
      </c>
      <c r="BD490" s="0" t="s">
        <v>4589</v>
      </c>
      <c r="BE490" s="0" t="n">
        <v>1</v>
      </c>
      <c r="BF490" s="0" t="s">
        <v>4585</v>
      </c>
      <c r="BG490" s="0" t="s">
        <v>804</v>
      </c>
      <c r="BH490" s="0" t="s">
        <v>352</v>
      </c>
      <c r="BJ490" s="0" t="s">
        <v>1880</v>
      </c>
      <c r="BK490" s="0" t="n">
        <v>1</v>
      </c>
      <c r="BL490" s="0" t="s">
        <v>4590</v>
      </c>
      <c r="BR490" s="0" t="n">
        <v>1</v>
      </c>
      <c r="BS490" s="0" t="s">
        <v>4591</v>
      </c>
      <c r="BV490" s="123"/>
      <c r="BW490" s="123"/>
      <c r="BX490" s="123"/>
      <c r="BY490" s="123"/>
      <c r="CA490" s="0" t="s">
        <v>216</v>
      </c>
      <c r="CD490" s="0" t="s">
        <v>296</v>
      </c>
      <c r="CE490" s="0" t="n">
        <v>0</v>
      </c>
      <c r="CF490" s="0" t="s">
        <v>1348</v>
      </c>
      <c r="CI490" s="1" t="n">
        <v>40173</v>
      </c>
      <c r="CJ490" s="1" t="n">
        <v>40574</v>
      </c>
      <c r="CK490" s="124" t="n">
        <v>0.6875</v>
      </c>
      <c r="CL490" s="0" t="s">
        <v>4587</v>
      </c>
      <c r="CM490" s="0" t="n">
        <f aca="false">IF(OR(CI490="",CJ490=""),"",DAYS360(CI490,CJ490)/360)</f>
        <v>1.09722222222222</v>
      </c>
      <c r="CN490" s="0" t="n">
        <f aca="false">IF(OR(CI490="",CJ490=""),"",DAYS360(CI490,CJ490)/30)</f>
        <v>13.1666666666667</v>
      </c>
      <c r="CO490" s="0" t="n">
        <f aca="false">IF(OR(CI490="",CJ490=""),"",DAYS360(CI490,CJ490)/7)</f>
        <v>56.4285714285714</v>
      </c>
      <c r="CP490" s="0" t="n">
        <f aca="false">IF(OR(CI490="",CJ490=""),"",DAYS360(CI490,CJ490))</f>
        <v>395</v>
      </c>
      <c r="CQ490" s="0" t="s">
        <v>240</v>
      </c>
      <c r="CR490" s="0" t="n">
        <v>1</v>
      </c>
      <c r="CT490" s="0" t="n">
        <v>2000</v>
      </c>
      <c r="CU490" s="0" t="n">
        <v>2</v>
      </c>
      <c r="CV490" s="0" t="n">
        <f aca="false">IF(OR(CT490="",CT490="NO ESPECIFICA",CT490="NO MENCIONA"),"",IF(CU490=0,CT490,IF(CU490=1,CT490/30,IF(CU490=2,CT490/15,IF(CU490=3,CT490/7,"")))))</f>
        <v>133.333333333333</v>
      </c>
      <c r="CW490" s="125" t="n">
        <v>3500</v>
      </c>
      <c r="CX490" s="0" t="n">
        <v>2</v>
      </c>
      <c r="CY490" s="0" t="n">
        <f aca="false">IF(CW490="","",IF(CX490=0,CW490,IF(CX490=1,CW490/30,IF(CX490=2,CW490/15,IF(CX490=3,CW490/7,CW490)))))</f>
        <v>233.333333333333</v>
      </c>
      <c r="CZ490" s="0" t="n">
        <f aca="false">IF(DI490&gt;0,DI490,IF(CY490&gt;0,CY490,IF(CV490&gt;0,CV490,"")))</f>
        <v>3500</v>
      </c>
      <c r="DA490" s="0" t="n">
        <f aca="false">IF(DM490=1,CZ490/8,IF(OR(DM490=2,DM490=4),CZ490/7,IF(DM490=3,CZ490/7.5,"")))</f>
        <v>437.5</v>
      </c>
      <c r="DB490" s="0" t="s">
        <v>4592</v>
      </c>
      <c r="DC490" s="0" t="s">
        <v>216</v>
      </c>
      <c r="DD490" s="0" t="s">
        <v>216</v>
      </c>
      <c r="DE490" s="0" t="s">
        <v>216</v>
      </c>
      <c r="DF490" s="0" t="s">
        <v>216</v>
      </c>
      <c r="DG490" s="0" t="s">
        <v>216</v>
      </c>
      <c r="DH490" s="0" t="n">
        <v>0</v>
      </c>
      <c r="DI490" s="126" t="n">
        <v>3500</v>
      </c>
      <c r="DK490" s="0" t="n">
        <v>0</v>
      </c>
      <c r="DM490" s="0" t="n">
        <v>1</v>
      </c>
      <c r="DN490" s="0" t="n">
        <v>60</v>
      </c>
      <c r="DO490" s="0" t="n">
        <v>3</v>
      </c>
      <c r="DP490" s="0" t="n">
        <v>0</v>
      </c>
      <c r="DQ490" s="0" t="n">
        <v>1</v>
      </c>
      <c r="DR490" s="0"/>
      <c r="DS490" s="0" t="n">
        <v>1</v>
      </c>
      <c r="DU490" s="0" t="n">
        <v>1</v>
      </c>
      <c r="DW490" s="1" t="n">
        <v>40173</v>
      </c>
      <c r="DX490" s="1" t="n">
        <v>40574</v>
      </c>
      <c r="DZ490" s="0"/>
      <c r="EA490" s="0" t="n">
        <v>1</v>
      </c>
      <c r="EC490" s="1" t="n">
        <v>40173</v>
      </c>
      <c r="ED490" s="1" t="n">
        <v>40574</v>
      </c>
      <c r="EF490" s="0"/>
      <c r="EG490" s="0" t="n">
        <v>1</v>
      </c>
      <c r="EH490" s="0" t="n">
        <v>12</v>
      </c>
      <c r="EI490" s="0" t="n">
        <f aca="false">IF(AND(DM490=1,DN490&lt;=48),"",IF(AND(DM490=2,DN490&lt;=42),"",IF(AND(DM490=3,DN490&lt;=45),"",EH490)))</f>
        <v>12</v>
      </c>
      <c r="EJ490" s="0" t="n">
        <f aca="false">IF(EI490="","",IF(EI490&lt;9,EI490,9))</f>
        <v>9</v>
      </c>
      <c r="EK490" s="0" t="n">
        <f aca="false">IF(EI490="","",IF(EI490&gt;9,EI490-EJ490,0))</f>
        <v>3</v>
      </c>
      <c r="EL490" s="0" t="n">
        <f aca="false">IF(EI490="","",EJ490*DA490*2+EK490*DA490*3)</f>
        <v>11812.5</v>
      </c>
      <c r="EP490" s="0" t="n">
        <v>0</v>
      </c>
      <c r="EQ490" s="0"/>
      <c r="ER490" s="0" t="n">
        <v>0</v>
      </c>
      <c r="ET490" s="0" t="n">
        <v>0</v>
      </c>
      <c r="EV490" s="0" t="n">
        <v>1</v>
      </c>
      <c r="EX490" s="0" t="n">
        <v>0</v>
      </c>
      <c r="EY490" s="0" t="n">
        <v>1</v>
      </c>
      <c r="EZ490" s="0"/>
      <c r="FA490" s="4" t="n">
        <v>52500</v>
      </c>
      <c r="FB490" s="0" t="n">
        <v>0</v>
      </c>
      <c r="FC490" s="1" t="n">
        <v>40841</v>
      </c>
      <c r="FD490" s="0" t="n">
        <v>1</v>
      </c>
      <c r="FE490" s="0" t="n">
        <v>11500</v>
      </c>
      <c r="FF490" s="120" t="n">
        <f aca="false">(CJ490-CI490+1)/365</f>
        <v>1.1013698630137</v>
      </c>
      <c r="FG490" s="0" t="str">
        <f aca="false">CONCATENATE(F490,"/",G490)</f>
        <v>537/2011</v>
      </c>
      <c r="FH490" s="0" t="n">
        <v>1</v>
      </c>
      <c r="FI490" s="0" t="n">
        <f aca="false">IFERROR(IF((FC490-J490+1)/365&gt;3,0,1),"")</f>
        <v>1</v>
      </c>
    </row>
    <row r="491" customFormat="false" ht="15" hidden="false" customHeight="false" outlineLevel="0" collapsed="false">
      <c r="A491" s="5" t="str">
        <f aca="false">E491&amp;G491&amp;F491</f>
        <v>72011539</v>
      </c>
      <c r="B491" s="0" t="s">
        <v>3556</v>
      </c>
      <c r="C491" s="1" t="n">
        <v>42372</v>
      </c>
      <c r="E491" s="0" t="n">
        <v>7</v>
      </c>
      <c r="F491" s="0" t="n">
        <v>539</v>
      </c>
      <c r="G491" s="0" t="n">
        <v>2011</v>
      </c>
      <c r="H491" s="0" t="str">
        <f aca="false">"J"&amp;E491&amp;"\"&amp;F491&amp;"\"&amp;G491&amp;"\"&amp;W491</f>
        <v>J7\539\2011\1</v>
      </c>
      <c r="I491" s="0"/>
      <c r="J491" s="1" t="n">
        <v>40620</v>
      </c>
      <c r="K491" s="0" t="n">
        <v>0</v>
      </c>
      <c r="M491" s="1" t="n">
        <v>40620</v>
      </c>
      <c r="N491" s="1" t="n">
        <v>40721</v>
      </c>
      <c r="O491" s="1"/>
      <c r="P491" s="1"/>
      <c r="Q491" s="1"/>
      <c r="T491" s="121"/>
      <c r="U491" s="121"/>
      <c r="V491" s="122" t="n">
        <f aca="false">IF(AND(E491&gt;0,F491&gt;0,G491&gt;0),COUNTIFS($E:$E,E491,$F:$F,F491,$G:$G,G491),"")</f>
        <v>1</v>
      </c>
      <c r="W491" s="122" t="n">
        <f aca="false">IF(V491="","",IF(V491=1,1,IF(AND(E490=E491,F490=F491,G490=G491),W490+1,1)))</f>
        <v>1</v>
      </c>
      <c r="X491" s="0" t="n">
        <v>1</v>
      </c>
      <c r="Y491" s="0" t="n">
        <v>4</v>
      </c>
      <c r="Z491" s="0" t="s">
        <v>4593</v>
      </c>
      <c r="AA491" s="0" t="n">
        <v>0</v>
      </c>
      <c r="AB491" s="0" t="s">
        <v>3589</v>
      </c>
      <c r="AC491" s="0" t="s">
        <v>228</v>
      </c>
      <c r="AD491" s="0" t="s">
        <v>229</v>
      </c>
      <c r="AF491" s="0" t="s">
        <v>2334</v>
      </c>
      <c r="AG491" s="0" t="n">
        <v>0</v>
      </c>
      <c r="AH491" s="0" t="s">
        <v>4594</v>
      </c>
      <c r="AI491" s="0" t="s">
        <v>287</v>
      </c>
      <c r="AJ491" s="0" t="s">
        <v>207</v>
      </c>
      <c r="AL491" s="0" t="s">
        <v>4595</v>
      </c>
      <c r="AM491" s="0" t="n">
        <v>1</v>
      </c>
      <c r="AN491" s="0" t="s">
        <v>4594</v>
      </c>
      <c r="AO491" s="0" t="s">
        <v>287</v>
      </c>
      <c r="AP491" s="0" t="s">
        <v>207</v>
      </c>
      <c r="AR491" s="0" t="s">
        <v>1880</v>
      </c>
      <c r="AS491" s="0" t="n">
        <v>1</v>
      </c>
      <c r="AT491" s="0" t="s">
        <v>4594</v>
      </c>
      <c r="AU491" s="0" t="s">
        <v>287</v>
      </c>
      <c r="AV491" s="0" t="s">
        <v>207</v>
      </c>
      <c r="BR491" s="0" t="n">
        <v>3</v>
      </c>
      <c r="BS491" s="0" t="s">
        <v>499</v>
      </c>
      <c r="BT491" s="0" t="s">
        <v>4596</v>
      </c>
      <c r="BU491" s="0" t="s">
        <v>4597</v>
      </c>
      <c r="BV491" s="123"/>
      <c r="BW491" s="123"/>
      <c r="BX491" s="123"/>
      <c r="BY491" s="123"/>
      <c r="CA491" s="0" t="s">
        <v>348</v>
      </c>
      <c r="CD491" s="0" t="s">
        <v>296</v>
      </c>
      <c r="CE491" s="0" t="n">
        <v>0</v>
      </c>
      <c r="CF491" s="0" t="s">
        <v>4598</v>
      </c>
      <c r="CI491" s="1" t="n">
        <v>40560</v>
      </c>
      <c r="CJ491" s="1" t="n">
        <v>40575</v>
      </c>
      <c r="CK491" s="124" t="n">
        <v>0.375</v>
      </c>
      <c r="CL491" s="0" t="s">
        <v>4595</v>
      </c>
      <c r="CM491" s="0" t="n">
        <f aca="false">IF(OR(CI491="",CJ491=""),"",DAYS360(CI491,CJ491)/360)</f>
        <v>0.0388888888888889</v>
      </c>
      <c r="CN491" s="0" t="n">
        <f aca="false">IF(OR(CI491="",CJ491=""),"",DAYS360(CI491,CJ491)/30)</f>
        <v>0.466666666666667</v>
      </c>
      <c r="CO491" s="0" t="n">
        <f aca="false">IF(OR(CI491="",CJ491=""),"",DAYS360(CI491,CJ491)/7)</f>
        <v>2</v>
      </c>
      <c r="CP491" s="0" t="n">
        <f aca="false">IF(OR(CI491="",CJ491=""),"",DAYS360(CI491,CJ491))</f>
        <v>14</v>
      </c>
      <c r="CQ491" s="0" t="s">
        <v>240</v>
      </c>
      <c r="CR491" s="0" t="n">
        <v>1</v>
      </c>
      <c r="CT491" s="0" t="n">
        <v>248.89</v>
      </c>
      <c r="CU491" s="0" t="n">
        <v>0</v>
      </c>
      <c r="CV491" s="0" t="n">
        <f aca="false">IF(OR(CT491="",CT491="NO ESPECIFICA",CT491="NO MENCIONA"),"",IF(CU491=0,CT491,IF(CU491=1,CT491/30,IF(CU491=2,CT491/15,IF(CU491=3,CT491/7,"")))))</f>
        <v>248.89</v>
      </c>
      <c r="CW491" s="125" t="n">
        <v>260.13</v>
      </c>
      <c r="CX491" s="0" t="n">
        <v>0</v>
      </c>
      <c r="CY491" s="0" t="n">
        <f aca="false">IF(CW491="","",IF(CX491=0,CW491,IF(CX491=1,CW491/30,IF(CX491=2,CW491/15,IF(CX491=3,CW491/7,CW491)))))</f>
        <v>260.13</v>
      </c>
      <c r="CZ491" s="0" t="n">
        <f aca="false">IF(DI491&gt;0,DI491,IF(CY491&gt;0,CY491,IF(CV491&gt;0,CV491,"")))</f>
        <v>260.13</v>
      </c>
      <c r="DA491" s="0" t="n">
        <f aca="false">IF(DM491=1,CZ491/8,IF(OR(DM491=2,DM491=4),CZ491/7,IF(DM491=3,CZ491/7.5,"")))</f>
        <v>32.51625</v>
      </c>
      <c r="DB491" s="0" t="s">
        <v>303</v>
      </c>
      <c r="DC491" s="0" t="s">
        <v>301</v>
      </c>
      <c r="DD491" s="0" t="s">
        <v>216</v>
      </c>
      <c r="DE491" s="0" t="s">
        <v>216</v>
      </c>
      <c r="DF491" s="0" t="s">
        <v>216</v>
      </c>
      <c r="DG491" s="0" t="s">
        <v>216</v>
      </c>
      <c r="DH491" s="0" t="n">
        <v>0</v>
      </c>
      <c r="DI491" s="126" t="n">
        <v>260.13</v>
      </c>
      <c r="DK491" s="0" t="n">
        <v>1</v>
      </c>
      <c r="DM491" s="0" t="n">
        <v>1</v>
      </c>
      <c r="DN491" s="0" t="n">
        <v>45</v>
      </c>
      <c r="DO491" s="0" t="n">
        <v>3</v>
      </c>
      <c r="DP491" s="0" t="n">
        <v>0</v>
      </c>
      <c r="DQ491" s="0" t="n">
        <v>1</v>
      </c>
      <c r="DR491" s="0"/>
      <c r="DS491" s="0" t="n">
        <v>1</v>
      </c>
      <c r="DU491" s="0" t="n">
        <v>1</v>
      </c>
      <c r="DW491" s="1" t="n">
        <v>40560</v>
      </c>
      <c r="DX491" s="1" t="n">
        <v>40575</v>
      </c>
      <c r="DZ491" s="0"/>
      <c r="EA491" s="0" t="n">
        <v>1</v>
      </c>
      <c r="EC491" s="1" t="n">
        <v>40560</v>
      </c>
      <c r="ED491" s="1" t="n">
        <v>40575</v>
      </c>
      <c r="EF491" s="0"/>
      <c r="EG491" s="0" t="n">
        <v>0</v>
      </c>
      <c r="EI491" s="0" t="str">
        <f aca="false">IF(AND(DM491=1,DN491&lt;=48),"",IF(AND(DM491=2,DN491&lt;=42),"",IF(AND(DM491=3,DN491&lt;=45),"",EH491)))</f>
        <v/>
      </c>
      <c r="EJ491" s="0" t="str">
        <f aca="false">IF(EI491="","",IF(EI491&lt;9,EI491,9))</f>
        <v/>
      </c>
      <c r="EK491" s="0" t="str">
        <f aca="false">IF(EI491="","",IF(EI491&gt;9,EI491-EJ491,0))</f>
        <v/>
      </c>
      <c r="EL491" s="0" t="str">
        <f aca="false">IF(EI491="","",EJ491*DA491*2+EK491*DA491*3)</f>
        <v/>
      </c>
      <c r="EP491" s="0" t="n">
        <v>0</v>
      </c>
      <c r="EQ491" s="0"/>
      <c r="ER491" s="0" t="n">
        <v>0</v>
      </c>
      <c r="ET491" s="0" t="n">
        <v>0</v>
      </c>
      <c r="EV491" s="0" t="n">
        <v>0</v>
      </c>
      <c r="EX491" s="0" t="n">
        <v>0</v>
      </c>
      <c r="EY491" s="0" t="n">
        <v>0</v>
      </c>
      <c r="EZ491" s="0"/>
      <c r="FA491" s="0"/>
      <c r="FB491" s="0" t="n">
        <v>1</v>
      </c>
      <c r="FC491" s="1" t="n">
        <v>41068</v>
      </c>
      <c r="FD491" s="0" t="n">
        <v>1</v>
      </c>
      <c r="FE491" s="0" t="n">
        <v>10000</v>
      </c>
      <c r="FF491" s="120" t="n">
        <f aca="false">(CJ491-CI491+1)/365</f>
        <v>0.0438356164383562</v>
      </c>
      <c r="FG491" s="0" t="str">
        <f aca="false">CONCATENATE(F491,"/",G491)</f>
        <v>539/2011</v>
      </c>
      <c r="FH491" s="0" t="n">
        <v>1</v>
      </c>
      <c r="FI491" s="0" t="n">
        <f aca="false">IFERROR(IF((FC491-J491+1)/365&gt;3,0,1),"")</f>
        <v>1</v>
      </c>
    </row>
    <row r="492" customFormat="false" ht="15" hidden="false" customHeight="false" outlineLevel="0" collapsed="false">
      <c r="A492" s="5" t="str">
        <f aca="false">E492&amp;G492&amp;F492</f>
        <v>72011542</v>
      </c>
      <c r="B492" s="0" t="s">
        <v>3556</v>
      </c>
      <c r="C492" s="1" t="n">
        <v>42372</v>
      </c>
      <c r="D492" s="0" t="s">
        <v>1856</v>
      </c>
      <c r="E492" s="0" t="n">
        <v>7</v>
      </c>
      <c r="F492" s="0" t="n">
        <v>542</v>
      </c>
      <c r="G492" s="0" t="n">
        <v>2011</v>
      </c>
      <c r="H492" s="0" t="str">
        <f aca="false">"J"&amp;E492&amp;"\"&amp;F492&amp;"\"&amp;G492&amp;"\"&amp;W492</f>
        <v>J7\542\2011\1</v>
      </c>
      <c r="I492" s="0"/>
      <c r="J492" s="1" t="n">
        <v>40620</v>
      </c>
      <c r="K492" s="0" t="n">
        <v>0</v>
      </c>
      <c r="M492" s="1"/>
      <c r="N492" s="1"/>
      <c r="O492" s="1"/>
      <c r="P492" s="1"/>
      <c r="Q492" s="1"/>
      <c r="T492" s="121"/>
      <c r="U492" s="121"/>
      <c r="V492" s="122" t="n">
        <f aca="false">IF(AND(E492&gt;0,F492&gt;0,G492&gt;0),COUNTIFS($E:$E,E492,$F:$F,F492,$G:$G,G492),"")</f>
        <v>1</v>
      </c>
      <c r="W492" s="122" t="n">
        <f aca="false">IF(V492="","",IF(V492=1,1,IF(AND(E491=E492,F491=F492,G491=G492),W491+1,1)))</f>
        <v>1</v>
      </c>
      <c r="X492" s="0" t="n">
        <v>1</v>
      </c>
      <c r="Y492" s="0" t="n">
        <v>5</v>
      </c>
      <c r="Z492" s="0" t="s">
        <v>4599</v>
      </c>
      <c r="AA492" s="0" t="n">
        <v>0</v>
      </c>
      <c r="AB492" s="0" t="s">
        <v>4600</v>
      </c>
      <c r="AC492" s="0" t="s">
        <v>4601</v>
      </c>
      <c r="AD492" s="0" t="s">
        <v>411</v>
      </c>
      <c r="AF492" s="0" t="s">
        <v>4602</v>
      </c>
      <c r="AG492" s="0" t="n">
        <v>0</v>
      </c>
      <c r="AH492" s="0" t="s">
        <v>4603</v>
      </c>
      <c r="AI492" s="0" t="s">
        <v>4604</v>
      </c>
      <c r="AJ492" s="0" t="s">
        <v>322</v>
      </c>
      <c r="AL492" s="0" t="s">
        <v>4605</v>
      </c>
      <c r="AM492" s="0" t="n">
        <v>2</v>
      </c>
      <c r="AN492" s="0" t="s">
        <v>4603</v>
      </c>
      <c r="AO492" s="0" t="s">
        <v>4604</v>
      </c>
      <c r="AP492" s="0" t="s">
        <v>322</v>
      </c>
      <c r="AR492" s="0" t="s">
        <v>4606</v>
      </c>
      <c r="AS492" s="0" t="n">
        <v>1</v>
      </c>
      <c r="AT492" s="0" t="s">
        <v>4603</v>
      </c>
      <c r="AU492" s="0" t="s">
        <v>4604</v>
      </c>
      <c r="AV492" s="0" t="s">
        <v>322</v>
      </c>
      <c r="AX492" s="0" t="s">
        <v>4607</v>
      </c>
      <c r="AY492" s="0" t="n">
        <v>1</v>
      </c>
      <c r="AZ492" s="0" t="s">
        <v>4603</v>
      </c>
      <c r="BA492" s="0" t="s">
        <v>4604</v>
      </c>
      <c r="BB492" s="0" t="s">
        <v>322</v>
      </c>
      <c r="BD492" s="0" t="s">
        <v>1880</v>
      </c>
      <c r="BE492" s="0" t="n">
        <v>1</v>
      </c>
      <c r="BF492" s="0" t="s">
        <v>4603</v>
      </c>
      <c r="BG492" s="0" t="s">
        <v>4604</v>
      </c>
      <c r="BH492" s="0" t="s">
        <v>322</v>
      </c>
      <c r="BR492" s="0" t="n">
        <v>1</v>
      </c>
      <c r="BS492" s="0" t="s">
        <v>4608</v>
      </c>
      <c r="BT492" s="0" t="s">
        <v>4609</v>
      </c>
      <c r="BV492" s="123"/>
      <c r="BW492" s="123"/>
      <c r="BX492" s="123"/>
      <c r="BY492" s="123"/>
      <c r="CA492" s="0" t="s">
        <v>216</v>
      </c>
      <c r="CD492" s="0" t="s">
        <v>256</v>
      </c>
      <c r="CE492" s="0" t="n">
        <v>0</v>
      </c>
      <c r="CF492" s="0" t="s">
        <v>4610</v>
      </c>
      <c r="CI492" s="1" t="n">
        <v>40242</v>
      </c>
      <c r="CJ492" s="1" t="n">
        <v>40612</v>
      </c>
      <c r="CK492" s="124" t="n">
        <v>0.6875</v>
      </c>
      <c r="CL492" s="0" t="s">
        <v>4607</v>
      </c>
      <c r="CM492" s="0" t="n">
        <f aca="false">IF(OR(CI492="",CJ492=""),"",DAYS360(CI492,CJ492)/360)</f>
        <v>1.01388888888889</v>
      </c>
      <c r="CN492" s="0" t="n">
        <f aca="false">IF(OR(CI492="",CJ492=""),"",DAYS360(CI492,CJ492)/30)</f>
        <v>12.1666666666667</v>
      </c>
      <c r="CO492" s="0" t="n">
        <f aca="false">IF(OR(CI492="",CJ492=""),"",DAYS360(CI492,CJ492)/7)</f>
        <v>52.1428571428571</v>
      </c>
      <c r="CP492" s="0" t="n">
        <f aca="false">IF(OR(CI492="",CJ492=""),"",DAYS360(CI492,CJ492))</f>
        <v>365</v>
      </c>
      <c r="CQ492" s="0" t="s">
        <v>240</v>
      </c>
      <c r="CR492" s="0" t="n">
        <v>1</v>
      </c>
      <c r="CT492" s="0" t="s">
        <v>221</v>
      </c>
      <c r="CU492" s="0" t="s">
        <v>221</v>
      </c>
      <c r="CV492" s="0" t="str">
        <f aca="false">IF(OR(CT492="",CT492="NO ESPECIFICA",CT492="NO MENCIONA"),"",IF(CU492=0,CT492,IF(CU492=1,CT492/30,IF(CU492=2,CT492/15,IF(CU492=3,CT492/7,"")))))</f>
        <v/>
      </c>
      <c r="CW492" s="125" t="n">
        <v>659.33</v>
      </c>
      <c r="CX492" s="0" t="n">
        <v>3</v>
      </c>
      <c r="CY492" s="0" t="n">
        <f aca="false">IF(CW492="","",IF(CX492=0,CW492,IF(CX492=1,CW492/30,IF(CX492=2,CW492/15,IF(CX492=3,CW492/7,CW492)))))</f>
        <v>94.19</v>
      </c>
      <c r="CZ492" s="0" t="n">
        <f aca="false">IF(DI492&gt;0,DI492,IF(CY492&gt;0,CY492,IF(CV492&gt;0,CV492,"")))</f>
        <v>94.19</v>
      </c>
      <c r="DA492" s="0" t="n">
        <f aca="false">IF(DM492=1,CZ492/8,IF(OR(DM492=2,DM492=4),CZ492/7,IF(DM492=3,CZ492/7.5,"")))</f>
        <v>11.77375</v>
      </c>
      <c r="DB492" s="0" t="s">
        <v>216</v>
      </c>
      <c r="DC492" s="0" t="s">
        <v>216</v>
      </c>
      <c r="DD492" s="0" t="s">
        <v>216</v>
      </c>
      <c r="DE492" s="0" t="s">
        <v>216</v>
      </c>
      <c r="DF492" s="0" t="s">
        <v>216</v>
      </c>
      <c r="DG492" s="0" t="s">
        <v>216</v>
      </c>
      <c r="DH492" s="0" t="n">
        <v>0</v>
      </c>
      <c r="DI492" s="126" t="n">
        <v>94.19</v>
      </c>
      <c r="DK492" s="0" t="n">
        <v>1</v>
      </c>
      <c r="DL492" s="0" t="n">
        <v>1976</v>
      </c>
      <c r="DM492" s="0" t="n">
        <v>1</v>
      </c>
      <c r="DN492" s="0" t="n">
        <v>48</v>
      </c>
      <c r="DO492" s="0" t="n">
        <v>3</v>
      </c>
      <c r="DP492" s="0" t="n">
        <v>0</v>
      </c>
      <c r="DQ492" s="0" t="n">
        <v>1</v>
      </c>
      <c r="DR492" s="0"/>
      <c r="DS492" s="0" t="n">
        <v>1</v>
      </c>
      <c r="DU492" s="0" t="n">
        <v>0</v>
      </c>
      <c r="DW492" s="1" t="n">
        <v>40242</v>
      </c>
      <c r="DX492" s="1" t="n">
        <v>40612</v>
      </c>
      <c r="DZ492" s="0"/>
      <c r="EA492" s="0" t="n">
        <v>1</v>
      </c>
      <c r="EC492" s="1" t="n">
        <v>40242</v>
      </c>
      <c r="ED492" s="1" t="n">
        <v>40612</v>
      </c>
      <c r="EF492" s="0"/>
      <c r="EG492" s="0" t="n">
        <v>0</v>
      </c>
      <c r="EI492" s="0" t="str">
        <f aca="false">IF(AND(DM492=1,DN492&lt;=48),"",IF(AND(DM492=2,DN492&lt;=42),"",IF(AND(DM492=3,DN492&lt;=45),"",EH492)))</f>
        <v/>
      </c>
      <c r="EJ492" s="0" t="str">
        <f aca="false">IF(EI492="","",IF(EI492&lt;9,EI492,9))</f>
        <v/>
      </c>
      <c r="EK492" s="0" t="str">
        <f aca="false">IF(EI492="","",IF(EI492&gt;9,EI492-EJ492,0))</f>
        <v/>
      </c>
      <c r="EL492" s="0" t="str">
        <f aca="false">IF(EI492="","",EJ492*DA492*2+EK492*DA492*3)</f>
        <v/>
      </c>
      <c r="EP492" s="0" t="n">
        <v>0</v>
      </c>
      <c r="EQ492" s="0"/>
      <c r="ER492" s="0" t="n">
        <v>0</v>
      </c>
      <c r="ET492" s="0" t="n">
        <v>0</v>
      </c>
      <c r="EV492" s="0" t="n">
        <v>0</v>
      </c>
      <c r="EX492" s="0" t="n">
        <v>1</v>
      </c>
      <c r="EY492" s="0" t="n">
        <v>1</v>
      </c>
      <c r="EZ492" s="0"/>
      <c r="FA492" s="0"/>
      <c r="FB492" s="0" t="n">
        <v>1</v>
      </c>
      <c r="FC492" s="1" t="n">
        <v>41092</v>
      </c>
      <c r="FD492" s="0" t="n">
        <v>1</v>
      </c>
      <c r="FE492" s="0" t="n">
        <v>5800</v>
      </c>
      <c r="FF492" s="120" t="n">
        <f aca="false">(CJ492-CI492+1)/365</f>
        <v>1.01643835616438</v>
      </c>
      <c r="FG492" s="0" t="str">
        <f aca="false">CONCATENATE(F492,"/",G492)</f>
        <v>542/2011</v>
      </c>
      <c r="FH492" s="0" t="n">
        <v>1</v>
      </c>
      <c r="FI492" s="0" t="n">
        <f aca="false">IFERROR(IF((FC492-J492+1)/365&gt;3,0,1),"")</f>
        <v>1</v>
      </c>
    </row>
    <row r="493" customFormat="false" ht="15" hidden="false" customHeight="false" outlineLevel="0" collapsed="false">
      <c r="A493" s="5" t="str">
        <f aca="false">E493&amp;G493&amp;F493</f>
        <v>72011543</v>
      </c>
      <c r="B493" s="0" t="s">
        <v>3556</v>
      </c>
      <c r="C493" s="1" t="n">
        <v>42372</v>
      </c>
      <c r="E493" s="0" t="n">
        <v>7</v>
      </c>
      <c r="F493" s="0" t="n">
        <v>543</v>
      </c>
      <c r="G493" s="0" t="n">
        <v>2011</v>
      </c>
      <c r="H493" s="0" t="str">
        <f aca="false">"J"&amp;E493&amp;"\"&amp;F493&amp;"\"&amp;G493&amp;"\"&amp;W493</f>
        <v>J7\543\2011\1</v>
      </c>
      <c r="I493" s="0"/>
      <c r="J493" s="1" t="n">
        <v>40620</v>
      </c>
      <c r="K493" s="0" t="n">
        <v>0</v>
      </c>
      <c r="M493" s="1" t="n">
        <v>40620</v>
      </c>
      <c r="N493" s="1" t="n">
        <v>40722</v>
      </c>
      <c r="O493" s="1"/>
      <c r="P493" s="1"/>
      <c r="Q493" s="1"/>
      <c r="T493" s="121"/>
      <c r="U493" s="121"/>
      <c r="V493" s="122" t="n">
        <f aca="false">IF(AND(E493&gt;0,F493&gt;0,G493&gt;0),COUNTIFS($E:$E,E493,$F:$F,F493,$G:$G,G493),"")</f>
        <v>1</v>
      </c>
      <c r="W493" s="122" t="n">
        <f aca="false">IF(V493="","",IF(V493=1,1,IF(AND(E492=E493,F492=F493,G492=G493),W492+1,1)))</f>
        <v>1</v>
      </c>
      <c r="X493" s="0" t="n">
        <v>1</v>
      </c>
      <c r="Y493" s="0" t="n">
        <v>6</v>
      </c>
      <c r="Z493" s="0" t="s">
        <v>4611</v>
      </c>
      <c r="AA493" s="0" t="n">
        <v>0</v>
      </c>
      <c r="AB493" s="0" t="s">
        <v>3589</v>
      </c>
      <c r="AC493" s="0" t="s">
        <v>228</v>
      </c>
      <c r="AD493" s="0" t="s">
        <v>229</v>
      </c>
      <c r="AF493" s="0" t="s">
        <v>1267</v>
      </c>
      <c r="AG493" s="0" t="n">
        <v>0</v>
      </c>
      <c r="AH493" s="0" t="s">
        <v>4612</v>
      </c>
      <c r="AI493" s="0" t="s">
        <v>251</v>
      </c>
      <c r="AJ493" s="0" t="s">
        <v>229</v>
      </c>
      <c r="AL493" s="0" t="s">
        <v>4613</v>
      </c>
      <c r="AM493" s="0" t="n">
        <v>1</v>
      </c>
      <c r="AN493" s="0" t="s">
        <v>4612</v>
      </c>
      <c r="AO493" s="0" t="s">
        <v>251</v>
      </c>
      <c r="AP493" s="0" t="s">
        <v>229</v>
      </c>
      <c r="AR493" s="0" t="s">
        <v>4614</v>
      </c>
      <c r="AS493" s="0" t="n">
        <v>1</v>
      </c>
      <c r="AT493" s="0" t="s">
        <v>4612</v>
      </c>
      <c r="AU493" s="0" t="s">
        <v>251</v>
      </c>
      <c r="AV493" s="0" t="s">
        <v>229</v>
      </c>
      <c r="AX493" s="0" t="s">
        <v>4615</v>
      </c>
      <c r="AY493" s="0" t="n">
        <v>1</v>
      </c>
      <c r="AZ493" s="0" t="s">
        <v>4612</v>
      </c>
      <c r="BA493" s="0" t="s">
        <v>251</v>
      </c>
      <c r="BB493" s="0" t="s">
        <v>229</v>
      </c>
      <c r="BD493" s="0" t="s">
        <v>4616</v>
      </c>
      <c r="BE493" s="0" t="n">
        <v>1</v>
      </c>
      <c r="BF493" s="0" t="s">
        <v>4612</v>
      </c>
      <c r="BG493" s="0" t="s">
        <v>251</v>
      </c>
      <c r="BH493" s="0" t="s">
        <v>229</v>
      </c>
      <c r="BJ493" s="0" t="s">
        <v>1880</v>
      </c>
      <c r="BK493" s="0" t="n">
        <v>1</v>
      </c>
      <c r="BL493" s="0" t="s">
        <v>4612</v>
      </c>
      <c r="BM493" s="0" t="s">
        <v>251</v>
      </c>
      <c r="BN493" s="0" t="s">
        <v>229</v>
      </c>
      <c r="BR493" s="0" t="n">
        <v>3</v>
      </c>
      <c r="BS493" s="0" t="s">
        <v>499</v>
      </c>
      <c r="BT493" s="0" t="s">
        <v>4596</v>
      </c>
      <c r="BU493" s="0" t="s">
        <v>4597</v>
      </c>
      <c r="BV493" s="123"/>
      <c r="BW493" s="123"/>
      <c r="BX493" s="123"/>
      <c r="BY493" s="123"/>
      <c r="CA493" s="0" t="s">
        <v>348</v>
      </c>
      <c r="CD493" s="0" t="s">
        <v>296</v>
      </c>
      <c r="CE493" s="0" t="n">
        <v>0</v>
      </c>
      <c r="CF493" s="0" t="s">
        <v>1587</v>
      </c>
      <c r="CI493" s="1" t="n">
        <v>40324</v>
      </c>
      <c r="CJ493" s="1" t="n">
        <v>40575</v>
      </c>
      <c r="CK493" s="124" t="n">
        <v>0.708333333333333</v>
      </c>
      <c r="CL493" s="0" t="s">
        <v>4616</v>
      </c>
      <c r="CM493" s="0" t="n">
        <f aca="false">IF(OR(CI493="",CJ493=""),"",DAYS360(CI493,CJ493)/360)</f>
        <v>0.680555555555556</v>
      </c>
      <c r="CN493" s="0" t="n">
        <f aca="false">IF(OR(CI493="",CJ493=""),"",DAYS360(CI493,CJ493)/30)</f>
        <v>8.16666666666667</v>
      </c>
      <c r="CO493" s="0" t="n">
        <f aca="false">IF(OR(CI493="",CJ493=""),"",DAYS360(CI493,CJ493)/7)</f>
        <v>35</v>
      </c>
      <c r="CP493" s="0" t="n">
        <f aca="false">IF(OR(CI493="",CJ493=""),"",DAYS360(CI493,CJ493))</f>
        <v>245</v>
      </c>
      <c r="CQ493" s="0" t="s">
        <v>240</v>
      </c>
      <c r="CR493" s="0" t="n">
        <v>1</v>
      </c>
      <c r="CT493" s="0" t="n">
        <v>124.56</v>
      </c>
      <c r="CU493" s="0" t="n">
        <v>0</v>
      </c>
      <c r="CV493" s="0" t="n">
        <f aca="false">IF(OR(CT493="",CT493="NO ESPECIFICA",CT493="NO MENCIONA"),"",IF(CU493=0,CT493,IF(CU493=1,CT493/30,IF(CU493=2,CT493/15,IF(CU493=3,CT493/7,"")))))</f>
        <v>124.56</v>
      </c>
      <c r="CW493" s="125" t="n">
        <v>130.19</v>
      </c>
      <c r="CX493" s="0" t="n">
        <v>0</v>
      </c>
      <c r="CY493" s="0" t="n">
        <f aca="false">IF(CW493="","",IF(CX493=0,CW493,IF(CX493=1,CW493/30,IF(CX493=2,CW493/15,IF(CX493=3,CW493/7,CW493)))))</f>
        <v>130.19</v>
      </c>
      <c r="CZ493" s="0" t="n">
        <f aca="false">IF(DI493&gt;0,DI493,IF(CY493&gt;0,CY493,IF(CV493&gt;0,CV493,"")))</f>
        <v>130.19</v>
      </c>
      <c r="DA493" s="0" t="n">
        <f aca="false">IF(DM493=1,CZ493/8,IF(OR(DM493=2,DM493=4),CZ493/7,IF(DM493=3,CZ493/7.5,"")))</f>
        <v>17.3586666666667</v>
      </c>
      <c r="DB493" s="0" t="s">
        <v>303</v>
      </c>
      <c r="DC493" s="0" t="s">
        <v>301</v>
      </c>
      <c r="DD493" s="0" t="s">
        <v>216</v>
      </c>
      <c r="DE493" s="0" t="s">
        <v>216</v>
      </c>
      <c r="DF493" s="0" t="s">
        <v>216</v>
      </c>
      <c r="DG493" s="0" t="s">
        <v>216</v>
      </c>
      <c r="DH493" s="0" t="n">
        <v>0</v>
      </c>
      <c r="DI493" s="126" t="n">
        <v>130.19</v>
      </c>
      <c r="DK493" s="0" t="n">
        <v>0</v>
      </c>
      <c r="DM493" s="0" t="n">
        <v>3</v>
      </c>
      <c r="DN493" s="0" t="n">
        <v>36</v>
      </c>
      <c r="DO493" s="0" t="n">
        <v>3</v>
      </c>
      <c r="DP493" s="0" t="n">
        <v>0</v>
      </c>
      <c r="DQ493" s="0" t="n">
        <v>1</v>
      </c>
      <c r="DR493" s="0"/>
      <c r="DS493" s="0" t="n">
        <v>1</v>
      </c>
      <c r="DU493" s="0" t="n">
        <v>1</v>
      </c>
      <c r="DW493" s="1" t="s">
        <v>1775</v>
      </c>
      <c r="DX493" s="1" t="s">
        <v>1775</v>
      </c>
      <c r="DZ493" s="0"/>
      <c r="EA493" s="0" t="n">
        <v>1</v>
      </c>
      <c r="EC493" s="1" t="n">
        <v>40544</v>
      </c>
      <c r="ED493" s="1" t="n">
        <v>40575</v>
      </c>
      <c r="EF493" s="0"/>
      <c r="EG493" s="0" t="n">
        <v>0</v>
      </c>
      <c r="EI493" s="0" t="str">
        <f aca="false">IF(AND(DM493=1,DN493&lt;=48),"",IF(AND(DM493=2,DN493&lt;=42),"",IF(AND(DM493=3,DN493&lt;=45),"",EH493)))</f>
        <v/>
      </c>
      <c r="EJ493" s="0" t="str">
        <f aca="false">IF(EI493="","",IF(EI493&lt;9,EI493,9))</f>
        <v/>
      </c>
      <c r="EK493" s="0" t="str">
        <f aca="false">IF(EI493="","",IF(EI493&gt;9,EI493-EJ493,0))</f>
        <v/>
      </c>
      <c r="EL493" s="0" t="str">
        <f aca="false">IF(EI493="","",EJ493*DA493*2+EK493*DA493*3)</f>
        <v/>
      </c>
      <c r="EP493" s="0" t="n">
        <v>0</v>
      </c>
      <c r="EQ493" s="0"/>
      <c r="ER493" s="0" t="n">
        <v>0</v>
      </c>
      <c r="ET493" s="0" t="n">
        <v>0</v>
      </c>
      <c r="EV493" s="0" t="n">
        <v>0</v>
      </c>
      <c r="EX493" s="0" t="n">
        <v>0</v>
      </c>
      <c r="EY493" s="0" t="n">
        <v>0</v>
      </c>
      <c r="EZ493" s="0"/>
      <c r="FA493" s="0"/>
      <c r="FB493" s="0" t="n">
        <v>1</v>
      </c>
      <c r="FC493" s="1" t="n">
        <v>41976</v>
      </c>
      <c r="FD493" s="0" t="n">
        <v>4</v>
      </c>
      <c r="FE493" s="0" t="n">
        <v>0</v>
      </c>
      <c r="FF493" s="120" t="n">
        <f aca="false">(CJ493-CI493+1)/365</f>
        <v>0.69041095890411</v>
      </c>
      <c r="FG493" s="0" t="str">
        <f aca="false">CONCATENATE(F493,"/",G493)</f>
        <v>543/2011</v>
      </c>
      <c r="FH493" s="0" t="n">
        <v>1</v>
      </c>
      <c r="FI493" s="0" t="n">
        <f aca="false">IFERROR(IF((FC493-J493+1)/365&gt;3,0,1),"")</f>
        <v>0</v>
      </c>
    </row>
    <row r="494" customFormat="false" ht="15" hidden="false" customHeight="false" outlineLevel="0" collapsed="false">
      <c r="A494" s="5" t="str">
        <f aca="false">E494&amp;G494&amp;F494</f>
        <v>72011548</v>
      </c>
      <c r="B494" s="0" t="s">
        <v>3556</v>
      </c>
      <c r="C494" s="1" t="n">
        <v>42372</v>
      </c>
      <c r="E494" s="0" t="n">
        <v>7</v>
      </c>
      <c r="F494" s="0" t="n">
        <v>548</v>
      </c>
      <c r="G494" s="0" t="n">
        <v>2011</v>
      </c>
      <c r="H494" s="0" t="str">
        <f aca="false">"J"&amp;E494&amp;"\"&amp;F494&amp;"\"&amp;G494&amp;"\"&amp;W494</f>
        <v>J7\548\2011\1</v>
      </c>
      <c r="I494" s="0"/>
      <c r="J494" s="1" t="n">
        <v>40624</v>
      </c>
      <c r="K494" s="0" t="n">
        <v>0</v>
      </c>
      <c r="M494" s="1" t="n">
        <v>40624</v>
      </c>
      <c r="N494" s="1" t="n">
        <v>40722</v>
      </c>
      <c r="O494" s="1"/>
      <c r="P494" s="1"/>
      <c r="Q494" s="1"/>
      <c r="T494" s="121"/>
      <c r="U494" s="121"/>
      <c r="V494" s="122" t="n">
        <f aca="false">IF(AND(E494&gt;0,F494&gt;0,G494&gt;0),COUNTIFS($E:$E,E494,$F:$F,F494,$G:$G,G494),"")</f>
        <v>1</v>
      </c>
      <c r="W494" s="122" t="n">
        <f aca="false">IF(V494="","",IF(V494=1,1,IF(AND(E493=E494,F493=F494,G493=G494),W493+1,1)))</f>
        <v>1</v>
      </c>
      <c r="X494" s="0" t="n">
        <v>1</v>
      </c>
      <c r="Y494" s="0" t="n">
        <v>7</v>
      </c>
      <c r="Z494" s="0" t="s">
        <v>4617</v>
      </c>
      <c r="AA494" s="0" t="n">
        <v>0</v>
      </c>
      <c r="AB494" s="0" t="s">
        <v>4618</v>
      </c>
      <c r="AC494" s="0" t="s">
        <v>4619</v>
      </c>
      <c r="AD494" s="0" t="s">
        <v>221</v>
      </c>
      <c r="AF494" s="0" t="s">
        <v>4620</v>
      </c>
      <c r="AG494" s="0" t="n">
        <v>0</v>
      </c>
      <c r="AH494" s="0" t="s">
        <v>1060</v>
      </c>
      <c r="AI494" s="0" t="s">
        <v>1061</v>
      </c>
      <c r="AJ494" s="0" t="s">
        <v>211</v>
      </c>
      <c r="AL494" s="0" t="s">
        <v>4621</v>
      </c>
      <c r="AM494" s="0" t="n">
        <v>0</v>
      </c>
      <c r="AN494" s="0" t="s">
        <v>1060</v>
      </c>
      <c r="AO494" s="0" t="s">
        <v>1061</v>
      </c>
      <c r="AP494" s="0" t="s">
        <v>211</v>
      </c>
      <c r="AR494" s="0" t="s">
        <v>4622</v>
      </c>
      <c r="AS494" s="0" t="n">
        <v>0</v>
      </c>
      <c r="AT494" s="0" t="s">
        <v>4623</v>
      </c>
      <c r="AU494" s="0" t="s">
        <v>4624</v>
      </c>
      <c r="AV494" s="0" t="s">
        <v>207</v>
      </c>
      <c r="AX494" s="0" t="s">
        <v>4625</v>
      </c>
      <c r="AY494" s="0" t="n">
        <v>0</v>
      </c>
      <c r="AZ494" s="0" t="s">
        <v>4626</v>
      </c>
      <c r="BA494" s="0" t="s">
        <v>337</v>
      </c>
      <c r="BB494" s="0" t="s">
        <v>207</v>
      </c>
      <c r="BD494" s="0" t="s">
        <v>4627</v>
      </c>
      <c r="BE494" s="0" t="n">
        <v>1</v>
      </c>
      <c r="BF494" s="0" t="s">
        <v>4626</v>
      </c>
      <c r="BG494" s="0" t="s">
        <v>337</v>
      </c>
      <c r="BH494" s="0" t="s">
        <v>207</v>
      </c>
      <c r="BJ494" s="0" t="s">
        <v>4628</v>
      </c>
      <c r="BK494" s="0" t="n">
        <v>1</v>
      </c>
      <c r="BL494" s="0" t="s">
        <v>4626</v>
      </c>
      <c r="BM494" s="0" t="s">
        <v>337</v>
      </c>
      <c r="BN494" s="0" t="s">
        <v>207</v>
      </c>
      <c r="BR494" s="0" t="n">
        <v>1</v>
      </c>
      <c r="BS494" s="0" t="s">
        <v>4629</v>
      </c>
      <c r="BT494" s="0" t="s">
        <v>4630</v>
      </c>
      <c r="BU494" s="0" t="s">
        <v>4631</v>
      </c>
      <c r="BV494" s="123"/>
      <c r="BW494" s="123"/>
      <c r="BX494" s="123"/>
      <c r="BY494" s="123"/>
      <c r="CA494" s="0" t="s">
        <v>216</v>
      </c>
      <c r="CD494" s="0" t="s">
        <v>256</v>
      </c>
      <c r="CE494" s="0" t="n">
        <v>0</v>
      </c>
      <c r="CF494" s="0" t="s">
        <v>1249</v>
      </c>
      <c r="CI494" s="1" t="n">
        <v>40224</v>
      </c>
      <c r="CJ494" s="1" t="n">
        <v>40617</v>
      </c>
      <c r="CK494" s="124" t="n">
        <v>0.5</v>
      </c>
      <c r="CL494" s="0" t="s">
        <v>4627</v>
      </c>
      <c r="CM494" s="0" t="n">
        <f aca="false">IF(OR(CI494="",CJ494=""),"",DAYS360(CI494,CJ494)/360)</f>
        <v>1.08333333333333</v>
      </c>
      <c r="CN494" s="0" t="n">
        <f aca="false">IF(OR(CI494="",CJ494=""),"",DAYS360(CI494,CJ494)/30)</f>
        <v>13</v>
      </c>
      <c r="CO494" s="0" t="n">
        <f aca="false">IF(OR(CI494="",CJ494=""),"",DAYS360(CI494,CJ494)/7)</f>
        <v>55.7142857142857</v>
      </c>
      <c r="CP494" s="0" t="n">
        <f aca="false">IF(OR(CI494="",CJ494=""),"",DAYS360(CI494,CJ494))</f>
        <v>390</v>
      </c>
      <c r="CQ494" s="0" t="s">
        <v>220</v>
      </c>
      <c r="CR494" s="0" t="n">
        <v>1</v>
      </c>
      <c r="CT494" s="0" t="s">
        <v>221</v>
      </c>
      <c r="CU494" s="0" t="s">
        <v>221</v>
      </c>
      <c r="CV494" s="0" t="str">
        <f aca="false">IF(OR(CT494="",CT494="NO ESPECIFICA",CT494="NO MENCIONA"),"",IF(CU494=0,CT494,IF(CU494=1,CT494/30,IF(CU494=2,CT494/15,IF(CU494=3,CT494/7,"")))))</f>
        <v/>
      </c>
      <c r="CW494" s="125" t="n">
        <v>300</v>
      </c>
      <c r="CX494" s="0" t="n">
        <v>0</v>
      </c>
      <c r="CY494" s="0" t="n">
        <f aca="false">IF(CW494="","",IF(CX494=0,CW494,IF(CX494=1,CW494/30,IF(CX494=2,CW494/15,IF(CX494=3,CW494/7,CW494)))))</f>
        <v>300</v>
      </c>
      <c r="CZ494" s="0" t="n">
        <f aca="false">IF(DI494&gt;0,DI494,IF(CY494&gt;0,CY494,IF(CV494&gt;0,CV494,"")))</f>
        <v>300</v>
      </c>
      <c r="DA494" s="0" t="n">
        <f aca="false">IF(DM494=1,CZ494/8,IF(OR(DM494=2,DM494=4),CZ494/7,IF(DM494=3,CZ494/7.5,"")))</f>
        <v>37.5</v>
      </c>
      <c r="DB494" s="0" t="s">
        <v>216</v>
      </c>
      <c r="DC494" s="0" t="s">
        <v>216</v>
      </c>
      <c r="DD494" s="0" t="s">
        <v>216</v>
      </c>
      <c r="DE494" s="0" t="s">
        <v>216</v>
      </c>
      <c r="DF494" s="0" t="s">
        <v>216</v>
      </c>
      <c r="DG494" s="0" t="s">
        <v>216</v>
      </c>
      <c r="DH494" s="0" t="n">
        <v>0</v>
      </c>
      <c r="DI494" s="126" t="n">
        <v>300</v>
      </c>
      <c r="DK494" s="0" t="n">
        <v>0</v>
      </c>
      <c r="DM494" s="0" t="n">
        <v>1</v>
      </c>
      <c r="DN494" s="0" t="n">
        <v>50</v>
      </c>
      <c r="DO494" s="0" t="n">
        <v>3</v>
      </c>
      <c r="DP494" s="0" t="n">
        <v>1</v>
      </c>
      <c r="DQ494" s="0" t="n">
        <v>1</v>
      </c>
      <c r="DR494" s="0" t="n">
        <v>27000</v>
      </c>
      <c r="DS494" s="0" t="n">
        <v>1</v>
      </c>
      <c r="DU494" s="0" t="n">
        <v>0</v>
      </c>
      <c r="DW494" s="1" t="n">
        <v>40589</v>
      </c>
      <c r="DX494" s="1" t="n">
        <v>40617</v>
      </c>
      <c r="DZ494" s="0"/>
      <c r="EA494" s="0" t="n">
        <v>1</v>
      </c>
      <c r="EC494" s="1" t="n">
        <v>40544</v>
      </c>
      <c r="ED494" s="1" t="n">
        <v>40617</v>
      </c>
      <c r="EF494" s="0"/>
      <c r="EG494" s="0" t="n">
        <v>0</v>
      </c>
      <c r="EI494" s="0" t="n">
        <f aca="false">IF(AND(DM494=1,DN494&lt;=48),"",IF(AND(DM494=2,DN494&lt;=42),"",IF(AND(DM494=3,DN494&lt;=45),"",EH494)))</f>
        <v>0</v>
      </c>
      <c r="EJ494" s="0" t="str">
        <f aca="false">IF(EI494="","",IF(EI494&lt;9,EI494,9))</f>
        <v/>
      </c>
      <c r="EK494" s="0" t="str">
        <f aca="false">IF(EI494="","",IF(EI494&gt;9,EI494-EJ494,0))</f>
        <v/>
      </c>
      <c r="EL494" s="0" t="str">
        <f aca="false">IF(EI494="","",EJ494*DA494*2+EK494*DA494*3)</f>
        <v/>
      </c>
      <c r="EP494" s="0" t="n">
        <v>0</v>
      </c>
      <c r="EQ494" s="0"/>
      <c r="ER494" s="0" t="n">
        <v>0</v>
      </c>
      <c r="ET494" s="0" t="n">
        <v>0</v>
      </c>
      <c r="EV494" s="0" t="n">
        <v>0</v>
      </c>
      <c r="EX494" s="0" t="n">
        <v>0</v>
      </c>
      <c r="EY494" s="0" t="n">
        <v>0</v>
      </c>
      <c r="EZ494" s="0"/>
      <c r="FA494" s="0"/>
      <c r="FB494" s="0" t="n">
        <v>0</v>
      </c>
      <c r="FC494" s="1"/>
      <c r="FF494" s="120" t="n">
        <f aca="false">(CJ494-CI494+1)/365</f>
        <v>1.07945205479452</v>
      </c>
      <c r="FG494" s="0" t="str">
        <f aca="false">CONCATENATE(F494,"/",G494)</f>
        <v>548/2011</v>
      </c>
      <c r="FH494" s="0" t="n">
        <v>1</v>
      </c>
      <c r="FI494" s="0" t="n">
        <f aca="false">IFERROR(IF((FC494-J494+1)/365&gt;3,0,1),"")</f>
        <v>1</v>
      </c>
    </row>
    <row r="495" customFormat="false" ht="15" hidden="false" customHeight="false" outlineLevel="0" collapsed="false">
      <c r="A495" s="5" t="str">
        <f aca="false">E495&amp;G495&amp;F495</f>
        <v>72011560</v>
      </c>
      <c r="B495" s="0" t="s">
        <v>3556</v>
      </c>
      <c r="C495" s="1" t="n">
        <v>42377</v>
      </c>
      <c r="D495" s="0" t="s">
        <v>1856</v>
      </c>
      <c r="E495" s="0" t="n">
        <v>7</v>
      </c>
      <c r="F495" s="0" t="n">
        <v>560</v>
      </c>
      <c r="G495" s="0" t="n">
        <v>2011</v>
      </c>
      <c r="H495" s="0" t="str">
        <f aca="false">"J"&amp;E495&amp;"\"&amp;F495&amp;"\"&amp;G495&amp;"\"&amp;W495</f>
        <v>J7\560\2011\1</v>
      </c>
      <c r="I495" s="0"/>
      <c r="J495" s="1" t="n">
        <v>40625</v>
      </c>
      <c r="K495" s="0" t="n">
        <v>0</v>
      </c>
      <c r="M495" s="1"/>
      <c r="N495" s="1"/>
      <c r="O495" s="1"/>
      <c r="P495" s="1"/>
      <c r="Q495" s="1"/>
      <c r="T495" s="121"/>
      <c r="U495" s="121"/>
      <c r="V495" s="122" t="n">
        <f aca="false">IF(AND(E495&gt;0,F495&gt;0,G495&gt;0),COUNTIFS($E:$E,E495,$F:$F,F495,$G:$G,G495),"")</f>
        <v>1</v>
      </c>
      <c r="W495" s="122" t="n">
        <f aca="false">IF(V495="","",IF(V495=1,1,IF(AND(E494=E495,F494=F495,G494=G495),W494+1,1)))</f>
        <v>1</v>
      </c>
      <c r="X495" s="0" t="n">
        <v>1</v>
      </c>
      <c r="Y495" s="0" t="n">
        <v>2</v>
      </c>
      <c r="Z495" s="0" t="s">
        <v>4632</v>
      </c>
      <c r="AA495" s="0" t="n">
        <v>0</v>
      </c>
      <c r="AB495" s="0" t="s">
        <v>4633</v>
      </c>
      <c r="AC495" s="0" t="s">
        <v>1160</v>
      </c>
      <c r="AD495" s="0" t="s">
        <v>229</v>
      </c>
      <c r="AF495" s="0" t="s">
        <v>2334</v>
      </c>
      <c r="AG495" s="0" t="n">
        <v>0</v>
      </c>
      <c r="AH495" s="0" t="s">
        <v>4594</v>
      </c>
      <c r="AI495" s="0" t="s">
        <v>287</v>
      </c>
      <c r="AJ495" s="0" t="s">
        <v>207</v>
      </c>
      <c r="AL495" s="0" t="s">
        <v>1880</v>
      </c>
      <c r="AM495" s="0" t="n">
        <v>1</v>
      </c>
      <c r="AN495" s="0" t="s">
        <v>4594</v>
      </c>
      <c r="AO495" s="0" t="s">
        <v>287</v>
      </c>
      <c r="AP495" s="0" t="s">
        <v>207</v>
      </c>
      <c r="BR495" s="0" t="n">
        <v>1</v>
      </c>
      <c r="BS495" s="0" t="s">
        <v>4634</v>
      </c>
      <c r="BT495" s="0" t="s">
        <v>4635</v>
      </c>
      <c r="BV495" s="123"/>
      <c r="BW495" s="123"/>
      <c r="BX495" s="123"/>
      <c r="BY495" s="123"/>
      <c r="CA495" s="0" t="s">
        <v>216</v>
      </c>
      <c r="CD495" s="0" t="s">
        <v>296</v>
      </c>
      <c r="CE495" s="0" t="n">
        <v>0</v>
      </c>
      <c r="CF495" s="0" t="s">
        <v>1027</v>
      </c>
      <c r="CI495" s="1" t="n">
        <v>40260</v>
      </c>
      <c r="CJ495" s="1" t="n">
        <v>40596</v>
      </c>
      <c r="CK495" s="124" t="n">
        <v>0.625</v>
      </c>
      <c r="CL495" s="0" t="s">
        <v>4636</v>
      </c>
      <c r="CM495" s="0" t="n">
        <f aca="false">IF(OR(CI495="",CJ495=""),"",DAYS360(CI495,CJ495)/360)</f>
        <v>0.913888888888889</v>
      </c>
      <c r="CN495" s="0" t="n">
        <f aca="false">IF(OR(CI495="",CJ495=""),"",DAYS360(CI495,CJ495)/30)</f>
        <v>10.9666666666667</v>
      </c>
      <c r="CO495" s="0" t="n">
        <f aca="false">IF(OR(CI495="",CJ495=""),"",DAYS360(CI495,CJ495)/7)</f>
        <v>47</v>
      </c>
      <c r="CP495" s="0" t="n">
        <f aca="false">IF(OR(CI495="",CJ495=""),"",DAYS360(CI495,CJ495))</f>
        <v>329</v>
      </c>
      <c r="CQ495" s="0" t="s">
        <v>240</v>
      </c>
      <c r="CR495" s="0" t="n">
        <v>1</v>
      </c>
      <c r="CT495" s="0" t="n">
        <v>6200</v>
      </c>
      <c r="CU495" s="0" t="n">
        <v>1</v>
      </c>
      <c r="CV495" s="0" t="n">
        <f aca="false">IF(OR(CT495="",CT495="NO ESPECIFICA",CT495="NO MENCIONA"),"",IF(CU495=0,CT495,IF(CU495=1,CT495/30,IF(CU495=2,CT495/15,IF(CU495=3,CT495/7,"")))))</f>
        <v>206.666666666667</v>
      </c>
      <c r="CW495" s="125" t="n">
        <v>526.11</v>
      </c>
      <c r="CX495" s="0" t="n">
        <v>0</v>
      </c>
      <c r="CY495" s="0" t="n">
        <f aca="false">IF(CW495="","",IF(CX495=0,CW495,IF(CX495=1,CW495/30,IF(CX495=2,CW495/15,IF(CX495=3,CW495/7,CW495)))))</f>
        <v>526.11</v>
      </c>
      <c r="CZ495" s="0" t="n">
        <f aca="false">IF(DI495&gt;0,DI495,IF(CY495&gt;0,CY495,IF(CV495&gt;0,CV495,"")))</f>
        <v>526.11</v>
      </c>
      <c r="DA495" s="0" t="n">
        <f aca="false">IF(DM495=1,CZ495/8,IF(OR(DM495=2,DM495=4),CZ495/7,IF(DM495=3,CZ495/7.5,"")))</f>
        <v>70.148</v>
      </c>
      <c r="DB495" s="0" t="s">
        <v>301</v>
      </c>
      <c r="DC495" s="0" t="s">
        <v>303</v>
      </c>
      <c r="DD495" s="0" t="s">
        <v>4637</v>
      </c>
      <c r="DE495" s="0" t="s">
        <v>216</v>
      </c>
      <c r="DF495" s="0" t="s">
        <v>216</v>
      </c>
      <c r="DG495" s="0" t="s">
        <v>216</v>
      </c>
      <c r="DH495" s="0" t="n">
        <v>0</v>
      </c>
      <c r="DI495" s="126" t="n">
        <v>526.11</v>
      </c>
      <c r="DK495" s="0" t="n">
        <v>0</v>
      </c>
      <c r="DM495" s="0" t="n">
        <v>3</v>
      </c>
      <c r="DN495" s="0" t="n">
        <v>42</v>
      </c>
      <c r="DO495" s="0" t="n">
        <v>3</v>
      </c>
      <c r="DP495" s="0" t="n">
        <v>0</v>
      </c>
      <c r="DQ495" s="0" t="n">
        <v>1</v>
      </c>
      <c r="DR495" s="0"/>
      <c r="DS495" s="0" t="n">
        <v>1</v>
      </c>
      <c r="DU495" s="0" t="n">
        <v>0</v>
      </c>
      <c r="DW495" s="1" t="n">
        <v>40260</v>
      </c>
      <c r="DX495" s="1" t="n">
        <v>40596</v>
      </c>
      <c r="DZ495" s="0"/>
      <c r="EA495" s="0" t="n">
        <v>1</v>
      </c>
      <c r="EC495" s="1" t="n">
        <v>40260</v>
      </c>
      <c r="ED495" s="1" t="n">
        <v>40596</v>
      </c>
      <c r="EF495" s="0"/>
      <c r="EG495" s="0" t="n">
        <v>1</v>
      </c>
      <c r="EH495" s="0" t="n">
        <v>3</v>
      </c>
      <c r="EI495" s="0" t="str">
        <f aca="false">IF(AND(DM495=1,DN495&lt;=48),"",IF(AND(DM495=2,DN495&lt;=42),"",IF(AND(DM495=3,DN495&lt;=45),"",EH495)))</f>
        <v/>
      </c>
      <c r="EJ495" s="0" t="str">
        <f aca="false">IF(EI495="","",IF(EI495&lt;9,EI495,9))</f>
        <v/>
      </c>
      <c r="EK495" s="0" t="str">
        <f aca="false">IF(EI495="","",IF(EI495&gt;9,EI495-EJ495,0))</f>
        <v/>
      </c>
      <c r="EL495" s="0" t="str">
        <f aca="false">IF(EI495="","",EJ495*DA495*2+EK495*DA495*3)</f>
        <v/>
      </c>
      <c r="EP495" s="0" t="n">
        <v>0</v>
      </c>
      <c r="EQ495" s="0"/>
      <c r="ER495" s="0" t="n">
        <v>0</v>
      </c>
      <c r="ET495" s="0" t="n">
        <v>0</v>
      </c>
      <c r="EV495" s="0" t="n">
        <v>0</v>
      </c>
      <c r="EX495" s="0" t="n">
        <v>1</v>
      </c>
      <c r="EY495" s="0" t="n">
        <v>0</v>
      </c>
      <c r="EZ495" s="0"/>
      <c r="FA495" s="4" t="n">
        <v>9052.22</v>
      </c>
      <c r="FB495" s="0" t="n">
        <v>0</v>
      </c>
      <c r="FC495" s="1" t="n">
        <v>40738</v>
      </c>
      <c r="FD495" s="0" t="n">
        <v>1</v>
      </c>
      <c r="FE495" s="0" t="n">
        <v>33000</v>
      </c>
      <c r="FF495" s="120" t="n">
        <f aca="false">(CJ495-CI495+1)/365</f>
        <v>0.923287671232877</v>
      </c>
      <c r="FG495" s="0" t="str">
        <f aca="false">CONCATENATE(F495,"/",G495)</f>
        <v>560/2011</v>
      </c>
      <c r="FH495" s="0" t="n">
        <v>1</v>
      </c>
      <c r="FI495" s="0" t="n">
        <f aca="false">IFERROR(IF((FC495-J495+1)/365&gt;3,0,1),"")</f>
        <v>1</v>
      </c>
    </row>
    <row r="496" customFormat="false" ht="15" hidden="false" customHeight="false" outlineLevel="0" collapsed="false">
      <c r="A496" s="5" t="str">
        <f aca="false">E496&amp;G496&amp;F496</f>
        <v>72011562</v>
      </c>
      <c r="B496" s="0" t="s">
        <v>3556</v>
      </c>
      <c r="C496" s="1" t="n">
        <v>42377</v>
      </c>
      <c r="D496" s="0" t="s">
        <v>1856</v>
      </c>
      <c r="E496" s="0" t="n">
        <v>7</v>
      </c>
      <c r="F496" s="0" t="n">
        <v>562</v>
      </c>
      <c r="G496" s="0" t="n">
        <v>2011</v>
      </c>
      <c r="H496" s="0" t="str">
        <f aca="false">"J"&amp;E496&amp;"\"&amp;F496&amp;"\"&amp;G496&amp;"\"&amp;W496</f>
        <v>J7\562\2011\1</v>
      </c>
      <c r="I496" s="0"/>
      <c r="J496" s="1" t="n">
        <v>40625</v>
      </c>
      <c r="K496" s="0" t="n">
        <v>0</v>
      </c>
      <c r="M496" s="1"/>
      <c r="N496" s="1"/>
      <c r="O496" s="1"/>
      <c r="P496" s="1"/>
      <c r="Q496" s="1"/>
      <c r="T496" s="121"/>
      <c r="U496" s="121"/>
      <c r="V496" s="122" t="n">
        <f aca="false">IF(AND(E496&gt;0,F496&gt;0,G496&gt;0),COUNTIFS($E:$E,E496,$F:$F,F496,$G:$G,G496),"")</f>
        <v>1</v>
      </c>
      <c r="W496" s="122" t="n">
        <f aca="false">IF(V496="","",IF(V496=1,1,IF(AND(E495=E496,F495=F496,G495=G496),W495+1,1)))</f>
        <v>1</v>
      </c>
      <c r="X496" s="0" t="n">
        <v>1</v>
      </c>
      <c r="Y496" s="0" t="n">
        <v>5</v>
      </c>
      <c r="Z496" s="0" t="s">
        <v>4638</v>
      </c>
      <c r="AA496" s="0" t="n">
        <v>0</v>
      </c>
      <c r="AB496" s="0" t="s">
        <v>4639</v>
      </c>
      <c r="AC496" s="0" t="s">
        <v>789</v>
      </c>
      <c r="AD496" s="0" t="s">
        <v>229</v>
      </c>
      <c r="AF496" s="0" t="s">
        <v>4640</v>
      </c>
      <c r="AG496" s="0" t="n">
        <v>0</v>
      </c>
      <c r="AH496" s="0" t="s">
        <v>4641</v>
      </c>
      <c r="AI496" s="0" t="s">
        <v>3064</v>
      </c>
      <c r="AJ496" s="0" t="s">
        <v>590</v>
      </c>
      <c r="AL496" s="0" t="s">
        <v>1880</v>
      </c>
      <c r="AM496" s="0" t="n">
        <v>1</v>
      </c>
      <c r="AN496" s="0" t="s">
        <v>4641</v>
      </c>
      <c r="AO496" s="0" t="s">
        <v>3064</v>
      </c>
      <c r="AP496" s="0" t="s">
        <v>590</v>
      </c>
      <c r="AR496" s="0" t="s">
        <v>249</v>
      </c>
      <c r="AS496" s="0" t="n">
        <v>0</v>
      </c>
      <c r="AT496" s="0" t="s">
        <v>4642</v>
      </c>
      <c r="AU496" s="0" t="s">
        <v>410</v>
      </c>
      <c r="AV496" s="0" t="s">
        <v>229</v>
      </c>
      <c r="AX496" s="0" t="s">
        <v>412</v>
      </c>
      <c r="AY496" s="0" t="n">
        <v>0</v>
      </c>
      <c r="AZ496" s="0" t="s">
        <v>437</v>
      </c>
      <c r="BA496" s="0" t="s">
        <v>438</v>
      </c>
      <c r="BB496" s="0" t="s">
        <v>221</v>
      </c>
      <c r="BD496" s="0" t="s">
        <v>4643</v>
      </c>
      <c r="BE496" s="0" t="n">
        <v>0</v>
      </c>
      <c r="BF496" s="0" t="s">
        <v>4644</v>
      </c>
      <c r="BG496" s="0" t="s">
        <v>404</v>
      </c>
      <c r="BH496" s="0" t="s">
        <v>221</v>
      </c>
      <c r="BR496" s="0" t="n">
        <v>1</v>
      </c>
      <c r="BS496" s="0" t="s">
        <v>3402</v>
      </c>
      <c r="BT496" s="0" t="s">
        <v>3403</v>
      </c>
      <c r="BU496" s="0" t="s">
        <v>2115</v>
      </c>
      <c r="BV496" s="123"/>
      <c r="BW496" s="123"/>
      <c r="BX496" s="123"/>
      <c r="BY496" s="123"/>
      <c r="CA496" s="0" t="s">
        <v>2116</v>
      </c>
      <c r="CD496" s="0" t="s">
        <v>370</v>
      </c>
      <c r="CE496" s="0" t="n">
        <v>1</v>
      </c>
      <c r="CF496" s="0" t="s">
        <v>4645</v>
      </c>
      <c r="CI496" s="1" t="n">
        <v>37928</v>
      </c>
      <c r="CJ496" s="1" t="n">
        <v>40604</v>
      </c>
      <c r="CK496" s="124" t="n">
        <v>0.375</v>
      </c>
      <c r="CL496" s="0" t="s">
        <v>4646</v>
      </c>
      <c r="CM496" s="0" t="n">
        <f aca="false">IF(OR(CI496="",CJ496=""),"",DAYS360(CI496,CJ496)/360)</f>
        <v>7.33055555555556</v>
      </c>
      <c r="CN496" s="0" t="n">
        <f aca="false">IF(OR(CI496="",CJ496=""),"",DAYS360(CI496,CJ496)/30)</f>
        <v>87.9666666666667</v>
      </c>
      <c r="CO496" s="0" t="n">
        <f aca="false">IF(OR(CI496="",CJ496=""),"",DAYS360(CI496,CJ496)/7)</f>
        <v>377</v>
      </c>
      <c r="CP496" s="0" t="n">
        <f aca="false">IF(OR(CI496="",CJ496=""),"",DAYS360(CI496,CJ496))</f>
        <v>2639</v>
      </c>
      <c r="CQ496" s="0" t="s">
        <v>220</v>
      </c>
      <c r="CR496" s="0" t="n">
        <v>1</v>
      </c>
      <c r="CT496" s="0" t="n">
        <v>40000</v>
      </c>
      <c r="CU496" s="0" t="n">
        <v>1</v>
      </c>
      <c r="CV496" s="0" t="n">
        <f aca="false">IF(OR(CT496="",CT496="NO ESPECIFICA",CT496="NO MENCIONA"),"",IF(CU496=0,CT496,IF(CU496=1,CT496/30,IF(CU496=2,CT496/15,IF(CU496=3,CT496/7,"")))))</f>
        <v>1333.33333333333</v>
      </c>
      <c r="CW496" s="125" t="n">
        <v>1666.66</v>
      </c>
      <c r="CX496" s="0" t="n">
        <v>0</v>
      </c>
      <c r="CY496" s="0" t="n">
        <f aca="false">IF(CW496="","",IF(CX496=0,CW496,IF(CX496=1,CW496/30,IF(CX496=2,CW496/15,IF(CX496=3,CW496/7,CW496)))))</f>
        <v>1666.66</v>
      </c>
      <c r="CZ496" s="0" t="n">
        <f aca="false">IF(DI496&gt;0,DI496,IF(CY496&gt;0,CY496,IF(CV496&gt;0,CV496,"")))</f>
        <v>1666.66</v>
      </c>
      <c r="DA496" s="0" t="n">
        <f aca="false">IF(DM496=1,CZ496/8,IF(OR(DM496=2,DM496=4),CZ496/7,IF(DM496=3,CZ496/7.5,"")))</f>
        <v>208.3325</v>
      </c>
      <c r="DB496" s="0" t="s">
        <v>259</v>
      </c>
      <c r="DC496" s="0" t="s">
        <v>4647</v>
      </c>
      <c r="DD496" s="0" t="s">
        <v>216</v>
      </c>
      <c r="DE496" s="0" t="s">
        <v>216</v>
      </c>
      <c r="DF496" s="0" t="s">
        <v>216</v>
      </c>
      <c r="DG496" s="0" t="s">
        <v>216</v>
      </c>
      <c r="DH496" s="0" t="n">
        <v>0</v>
      </c>
      <c r="DI496" s="126" t="n">
        <v>1666.66</v>
      </c>
      <c r="DK496" s="0" t="n">
        <v>0</v>
      </c>
      <c r="DM496" s="0" t="n">
        <v>1</v>
      </c>
      <c r="DN496" s="0" t="n">
        <v>50</v>
      </c>
      <c r="DO496" s="0" t="n">
        <v>3</v>
      </c>
      <c r="DP496" s="0" t="n">
        <v>1</v>
      </c>
      <c r="DQ496" s="0" t="n">
        <v>0</v>
      </c>
      <c r="DR496" s="0"/>
      <c r="DS496" s="0" t="n">
        <v>1</v>
      </c>
      <c r="DU496" s="0" t="n">
        <v>1</v>
      </c>
      <c r="DW496" s="1" t="n">
        <v>37928</v>
      </c>
      <c r="DX496" s="1" t="n">
        <v>40604</v>
      </c>
      <c r="DZ496" s="0"/>
      <c r="EA496" s="0" t="n">
        <v>1</v>
      </c>
      <c r="EC496" s="1" t="n">
        <v>37928</v>
      </c>
      <c r="ED496" s="1" t="n">
        <v>40604</v>
      </c>
      <c r="EF496" s="0"/>
      <c r="EG496" s="0" t="n">
        <v>1</v>
      </c>
      <c r="EH496" s="0" t="n">
        <v>9</v>
      </c>
      <c r="EI496" s="0" t="n">
        <f aca="false">IF(AND(DM496=1,DN496&lt;=48),"",IF(AND(DM496=2,DN496&lt;=42),"",IF(AND(DM496=3,DN496&lt;=45),"",EH496)))</f>
        <v>9</v>
      </c>
      <c r="EJ496" s="0" t="n">
        <f aca="false">IF(EI496="","",IF(EI496&lt;9,EI496,9))</f>
        <v>9</v>
      </c>
      <c r="EK496" s="0" t="n">
        <f aca="false">IF(EI496="","",IF(EI496&gt;9,EI496-EJ496,0))</f>
        <v>0</v>
      </c>
      <c r="EL496" s="0" t="n">
        <f aca="false">IF(EI496="","",EJ496*DA496*2+EK496*DA496*3)</f>
        <v>3749.985</v>
      </c>
      <c r="EM496" s="0" t="n">
        <v>52</v>
      </c>
      <c r="EN496" s="0" t="n">
        <v>195532.58</v>
      </c>
      <c r="EP496" s="0" t="n">
        <v>0</v>
      </c>
      <c r="EQ496" s="0"/>
      <c r="ER496" s="0" t="n">
        <v>0</v>
      </c>
      <c r="ET496" s="0" t="n">
        <v>1</v>
      </c>
      <c r="EV496" s="0" t="n">
        <v>1</v>
      </c>
      <c r="EX496" s="0" t="n">
        <v>1</v>
      </c>
      <c r="EY496" s="0" t="n">
        <v>1</v>
      </c>
      <c r="EZ496" s="4" t="n">
        <v>50000</v>
      </c>
      <c r="FA496" s="0"/>
      <c r="FB496" s="0" t="n">
        <v>1</v>
      </c>
      <c r="FC496" s="1" t="n">
        <v>40757</v>
      </c>
      <c r="FD496" s="0" t="n">
        <v>1</v>
      </c>
      <c r="FE496" s="0" t="n">
        <v>120000</v>
      </c>
      <c r="FF496" s="120" t="n">
        <f aca="false">(CJ496-CI496+1)/365</f>
        <v>7.33424657534247</v>
      </c>
      <c r="FG496" s="0" t="str">
        <f aca="false">CONCATENATE(F496,"/",G496)</f>
        <v>562/2011</v>
      </c>
      <c r="FH496" s="0" t="n">
        <v>1</v>
      </c>
      <c r="FI496" s="0" t="n">
        <f aca="false">IFERROR(IF((FC496-J496+1)/365&gt;3,0,1),"")</f>
        <v>1</v>
      </c>
    </row>
    <row r="497" customFormat="false" ht="15" hidden="false" customHeight="false" outlineLevel="0" collapsed="false">
      <c r="A497" s="5" t="str">
        <f aca="false">E497&amp;G497&amp;F497</f>
        <v>72011563</v>
      </c>
      <c r="B497" s="0" t="s">
        <v>3556</v>
      </c>
      <c r="C497" s="1" t="n">
        <v>42377</v>
      </c>
      <c r="E497" s="0" t="n">
        <v>7</v>
      </c>
      <c r="F497" s="0" t="n">
        <v>563</v>
      </c>
      <c r="G497" s="0" t="n">
        <v>2011</v>
      </c>
      <c r="H497" s="0" t="str">
        <f aca="false">"J"&amp;E497&amp;"\"&amp;F497&amp;"\"&amp;G497&amp;"\"&amp;W497</f>
        <v>J7\563\2011\1</v>
      </c>
      <c r="I497" s="0"/>
      <c r="J497" s="1" t="n">
        <v>40625</v>
      </c>
      <c r="K497" s="0" t="n">
        <v>0</v>
      </c>
      <c r="M497" s="1" t="n">
        <v>40625</v>
      </c>
      <c r="N497" s="1" t="n">
        <v>40695</v>
      </c>
      <c r="O497" s="1"/>
      <c r="P497" s="1"/>
      <c r="Q497" s="1"/>
      <c r="T497" s="121"/>
      <c r="U497" s="121"/>
      <c r="V497" s="122" t="n">
        <f aca="false">IF(AND(E497&gt;0,F497&gt;0,G497&gt;0),COUNTIFS($E:$E,E497,$F:$F,F497,$G:$G,G497),"")</f>
        <v>1</v>
      </c>
      <c r="W497" s="122" t="n">
        <f aca="false">IF(V497="","",IF(V497=1,1,IF(AND(E496=E497,F496=F497,G496=G497),W496+1,1)))</f>
        <v>1</v>
      </c>
      <c r="X497" s="0" t="n">
        <v>1</v>
      </c>
      <c r="Y497" s="0" t="n">
        <v>5</v>
      </c>
      <c r="Z497" s="0" t="s">
        <v>4648</v>
      </c>
      <c r="AA497" s="0" t="n">
        <v>0</v>
      </c>
      <c r="AB497" s="0" t="s">
        <v>4639</v>
      </c>
      <c r="AC497" s="0" t="s">
        <v>789</v>
      </c>
      <c r="AD497" s="0" t="s">
        <v>229</v>
      </c>
      <c r="AF497" s="0" t="s">
        <v>4649</v>
      </c>
      <c r="AG497" s="0" t="n">
        <v>0</v>
      </c>
      <c r="AH497" s="0" t="s">
        <v>4650</v>
      </c>
      <c r="AI497" s="0" t="s">
        <v>3769</v>
      </c>
      <c r="AJ497" s="0" t="s">
        <v>322</v>
      </c>
      <c r="AL497" s="0" t="s">
        <v>1880</v>
      </c>
      <c r="AM497" s="0" t="n">
        <v>1</v>
      </c>
      <c r="AN497" s="0" t="s">
        <v>4650</v>
      </c>
      <c r="AO497" s="0" t="s">
        <v>3769</v>
      </c>
      <c r="AP497" s="0" t="s">
        <v>322</v>
      </c>
      <c r="AR497" s="0" t="s">
        <v>249</v>
      </c>
      <c r="AS497" s="0" t="n">
        <v>0</v>
      </c>
      <c r="AT497" s="0" t="s">
        <v>4642</v>
      </c>
      <c r="AU497" s="0" t="s">
        <v>410</v>
      </c>
      <c r="AV497" s="0" t="s">
        <v>229</v>
      </c>
      <c r="AX497" s="0" t="s">
        <v>412</v>
      </c>
      <c r="AY497" s="0" t="n">
        <v>0</v>
      </c>
      <c r="AZ497" s="0" t="s">
        <v>437</v>
      </c>
      <c r="BA497" s="0" t="s">
        <v>438</v>
      </c>
      <c r="BB497" s="0" t="s">
        <v>221</v>
      </c>
      <c r="BD497" s="0" t="s">
        <v>4643</v>
      </c>
      <c r="BE497" s="0" t="n">
        <v>0</v>
      </c>
      <c r="BF497" s="0" t="s">
        <v>4644</v>
      </c>
      <c r="BG497" s="0" t="s">
        <v>404</v>
      </c>
      <c r="BH497" s="0" t="s">
        <v>221</v>
      </c>
      <c r="BR497" s="0" t="n">
        <v>1</v>
      </c>
      <c r="BS497" s="0" t="s">
        <v>3402</v>
      </c>
      <c r="BT497" s="0" t="s">
        <v>3403</v>
      </c>
      <c r="BU497" s="0" t="s">
        <v>2115</v>
      </c>
      <c r="BV497" s="123"/>
      <c r="BW497" s="123"/>
      <c r="BX497" s="123"/>
      <c r="BY497" s="123"/>
      <c r="CA497" s="0" t="s">
        <v>2116</v>
      </c>
      <c r="CD497" s="0" t="s">
        <v>370</v>
      </c>
      <c r="CE497" s="0" t="n">
        <v>0</v>
      </c>
      <c r="CF497" s="0" t="s">
        <v>4651</v>
      </c>
      <c r="CI497" s="1" t="n">
        <v>38397</v>
      </c>
      <c r="CJ497" s="1" t="n">
        <v>40603</v>
      </c>
      <c r="CK497" s="124" t="n">
        <v>0.375</v>
      </c>
      <c r="CL497" s="0" t="s">
        <v>4652</v>
      </c>
      <c r="CM497" s="0" t="n">
        <f aca="false">IF(OR(CI497="",CJ497=""),"",DAYS360(CI497,CJ497)/360)</f>
        <v>6.04722222222222</v>
      </c>
      <c r="CN497" s="0" t="n">
        <f aca="false">IF(OR(CI497="",CJ497=""),"",DAYS360(CI497,CJ497)/30)</f>
        <v>72.5666666666667</v>
      </c>
      <c r="CO497" s="0" t="n">
        <f aca="false">IF(OR(CI497="",CJ497=""),"",DAYS360(CI497,CJ497)/7)</f>
        <v>311</v>
      </c>
      <c r="CP497" s="0" t="n">
        <f aca="false">IF(OR(CI497="",CJ497=""),"",DAYS360(CI497,CJ497))</f>
        <v>2177</v>
      </c>
      <c r="CQ497" s="0" t="s">
        <v>240</v>
      </c>
      <c r="CR497" s="0" t="n">
        <v>1</v>
      </c>
      <c r="CT497" s="0" t="n">
        <v>14000</v>
      </c>
      <c r="CU497" s="0" t="n">
        <v>1</v>
      </c>
      <c r="CV497" s="0" t="n">
        <f aca="false">IF(OR(CT497="",CT497="NO ESPECIFICA",CT497="NO MENCIONA"),"",IF(CU497=0,CT497,IF(CU497=1,CT497/30,IF(CU497=2,CT497/15,IF(CU497=3,CT497/7,"")))))</f>
        <v>466.666666666667</v>
      </c>
      <c r="CW497" s="125" t="n">
        <v>600</v>
      </c>
      <c r="CX497" s="0" t="n">
        <v>0</v>
      </c>
      <c r="CY497" s="0" t="n">
        <f aca="false">IF(CW497="","",IF(CX497=0,CW497,IF(CX497=1,CW497/30,IF(CX497=2,CW497/15,IF(CX497=3,CW497/7,CW497)))))</f>
        <v>600</v>
      </c>
      <c r="CZ497" s="0" t="n">
        <f aca="false">IF(DI497&gt;0,DI497,IF(CY497&gt;0,CY497,IF(CV497&gt;0,CV497,"")))</f>
        <v>600</v>
      </c>
      <c r="DA497" s="0" t="n">
        <f aca="false">IF(DM497=1,CZ497/8,IF(OR(DM497=2,DM497=4),CZ497/7,IF(DM497=3,CZ497/7.5,"")))</f>
        <v>75</v>
      </c>
      <c r="DB497" s="0" t="s">
        <v>259</v>
      </c>
      <c r="DC497" s="0" t="s">
        <v>4647</v>
      </c>
      <c r="DD497" s="0" t="s">
        <v>216</v>
      </c>
      <c r="DE497" s="0" t="s">
        <v>216</v>
      </c>
      <c r="DF497" s="0" t="s">
        <v>216</v>
      </c>
      <c r="DG497" s="0" t="s">
        <v>216</v>
      </c>
      <c r="DH497" s="0" t="n">
        <v>0</v>
      </c>
      <c r="DI497" s="126" t="n">
        <v>600</v>
      </c>
      <c r="DK497" s="0" t="n">
        <v>0</v>
      </c>
      <c r="DM497" s="0" t="n">
        <v>1</v>
      </c>
      <c r="DN497" s="0" t="n">
        <v>60</v>
      </c>
      <c r="DO497" s="0" t="n">
        <v>3</v>
      </c>
      <c r="DP497" s="0" t="n">
        <v>0</v>
      </c>
      <c r="DQ497" s="0" t="n">
        <v>1</v>
      </c>
      <c r="DR497" s="0"/>
      <c r="DS497" s="0" t="n">
        <v>1</v>
      </c>
      <c r="DU497" s="0" t="n">
        <v>1</v>
      </c>
      <c r="DW497" s="1" t="n">
        <v>38397</v>
      </c>
      <c r="DX497" s="1" t="n">
        <v>40603</v>
      </c>
      <c r="DZ497" s="0"/>
      <c r="EA497" s="0" t="n">
        <v>1</v>
      </c>
      <c r="EC497" s="1" t="n">
        <v>38397</v>
      </c>
      <c r="ED497" s="1" t="n">
        <v>40603</v>
      </c>
      <c r="EF497" s="0"/>
      <c r="EG497" s="0" t="n">
        <v>1</v>
      </c>
      <c r="EH497" s="0" t="n">
        <v>9</v>
      </c>
      <c r="EI497" s="0" t="n">
        <f aca="false">IF(AND(DM497=1,DN497&lt;=48),"",IF(AND(DM497=2,DN497&lt;=42),"",IF(AND(DM497=3,DN497&lt;=45),"",EH497)))</f>
        <v>9</v>
      </c>
      <c r="EJ497" s="0" t="n">
        <f aca="false">IF(EI497="","",IF(EI497&lt;9,EI497,9))</f>
        <v>9</v>
      </c>
      <c r="EK497" s="0" t="n">
        <f aca="false">IF(EI497="","",IF(EI497&gt;9,EI497-EJ497,0))</f>
        <v>0</v>
      </c>
      <c r="EL497" s="0" t="n">
        <f aca="false">IF(EI497="","",EJ497*DA497*2+EK497*DA497*3)</f>
        <v>1350</v>
      </c>
      <c r="EM497" s="0" t="n">
        <v>52</v>
      </c>
      <c r="EN497" s="0" t="n">
        <v>70393</v>
      </c>
      <c r="EP497" s="0" t="n">
        <v>0</v>
      </c>
      <c r="EQ497" s="0"/>
      <c r="ER497" s="0" t="n">
        <v>0</v>
      </c>
      <c r="ET497" s="0" t="n">
        <v>1</v>
      </c>
      <c r="EV497" s="0" t="n">
        <v>1</v>
      </c>
      <c r="EX497" s="0" t="n">
        <v>1</v>
      </c>
      <c r="EY497" s="0" t="n">
        <v>1</v>
      </c>
      <c r="EZ497" s="4" t="n">
        <v>50000</v>
      </c>
      <c r="FA497" s="0"/>
      <c r="FB497" s="0" t="n">
        <v>1</v>
      </c>
      <c r="FC497" s="1" t="n">
        <v>41435</v>
      </c>
      <c r="FD497" s="0" t="n">
        <v>3</v>
      </c>
      <c r="FE497" s="0" t="n">
        <v>20000</v>
      </c>
      <c r="FF497" s="120" t="n">
        <f aca="false">(CJ497-CI497+1)/365</f>
        <v>6.04657534246575</v>
      </c>
      <c r="FG497" s="0" t="str">
        <f aca="false">CONCATENATE(F497,"/",G497)</f>
        <v>563/2011</v>
      </c>
      <c r="FH497" s="0" t="n">
        <v>1</v>
      </c>
      <c r="FI497" s="0" t="n">
        <f aca="false">IFERROR(IF((FC497-J497+1)/365&gt;3,0,1),"")</f>
        <v>1</v>
      </c>
    </row>
    <row r="498" customFormat="false" ht="15" hidden="false" customHeight="false" outlineLevel="0" collapsed="false">
      <c r="A498" s="5" t="str">
        <f aca="false">E498&amp;G498&amp;F498</f>
        <v>72011568</v>
      </c>
      <c r="B498" s="0" t="s">
        <v>3556</v>
      </c>
      <c r="C498" s="1" t="n">
        <v>42377</v>
      </c>
      <c r="D498" s="0" t="s">
        <v>1856</v>
      </c>
      <c r="E498" s="0" t="n">
        <v>7</v>
      </c>
      <c r="F498" s="0" t="n">
        <v>568</v>
      </c>
      <c r="G498" s="0" t="n">
        <v>2011</v>
      </c>
      <c r="H498" s="0" t="str">
        <f aca="false">"J"&amp;E498&amp;"\"&amp;F498&amp;"\"&amp;G498&amp;"\"&amp;W498</f>
        <v>J7\568\2011\1</v>
      </c>
      <c r="I498" s="0"/>
      <c r="J498" s="1" t="n">
        <v>40627</v>
      </c>
      <c r="K498" s="0" t="n">
        <v>0</v>
      </c>
      <c r="M498" s="1"/>
      <c r="N498" s="1"/>
      <c r="O498" s="1"/>
      <c r="P498" s="1"/>
      <c r="Q498" s="1"/>
      <c r="T498" s="121"/>
      <c r="U498" s="121"/>
      <c r="V498" s="122" t="n">
        <f aca="false">IF(AND(E498&gt;0,F498&gt;0,G498&gt;0),COUNTIFS($E:$E,E498,$F:$F,F498,$G:$G,G498),"")</f>
        <v>1</v>
      </c>
      <c r="W498" s="122" t="n">
        <f aca="false">IF(V498="","",IF(V498=1,1,IF(AND(E497=E498,F497=F498,G497=G498),W497+1,1)))</f>
        <v>1</v>
      </c>
      <c r="X498" s="0" t="n">
        <v>1</v>
      </c>
      <c r="Y498" s="0" t="n">
        <v>7</v>
      </c>
      <c r="Z498" s="0" t="s">
        <v>4653</v>
      </c>
      <c r="AA498" s="0" t="n">
        <v>0</v>
      </c>
      <c r="AB498" s="0" t="s">
        <v>4654</v>
      </c>
      <c r="AC498" s="0" t="s">
        <v>4655</v>
      </c>
      <c r="AD498" s="0" t="s">
        <v>755</v>
      </c>
      <c r="AF498" s="0" t="s">
        <v>4656</v>
      </c>
      <c r="AG498" s="0" t="n">
        <v>0</v>
      </c>
      <c r="AH498" s="0" t="s">
        <v>4657</v>
      </c>
      <c r="AI498" s="0" t="s">
        <v>1126</v>
      </c>
      <c r="AJ498" s="0" t="s">
        <v>268</v>
      </c>
      <c r="AL498" s="0" t="s">
        <v>1880</v>
      </c>
      <c r="AM498" s="0" t="n">
        <v>1</v>
      </c>
      <c r="AN498" s="0" t="s">
        <v>4657</v>
      </c>
      <c r="AO498" s="0" t="s">
        <v>1126</v>
      </c>
      <c r="AP498" s="0" t="s">
        <v>268</v>
      </c>
      <c r="AR498" s="0" t="s">
        <v>4658</v>
      </c>
      <c r="AS498" s="0" t="n">
        <v>0</v>
      </c>
      <c r="AT498" s="0" t="s">
        <v>4659</v>
      </c>
      <c r="AU498" s="0" t="s">
        <v>4660</v>
      </c>
      <c r="AV498" s="0" t="s">
        <v>211</v>
      </c>
      <c r="AX498" s="0" t="s">
        <v>4661</v>
      </c>
      <c r="AY498" s="0" t="n">
        <v>1</v>
      </c>
      <c r="AZ498" s="0" t="s">
        <v>4659</v>
      </c>
      <c r="BA498" s="0" t="s">
        <v>4660</v>
      </c>
      <c r="BB498" s="0" t="s">
        <v>211</v>
      </c>
      <c r="BD498" s="0" t="s">
        <v>4662</v>
      </c>
      <c r="BE498" s="0" t="n">
        <v>1</v>
      </c>
      <c r="BF498" s="0" t="s">
        <v>4659</v>
      </c>
      <c r="BG498" s="0" t="s">
        <v>4660</v>
      </c>
      <c r="BH498" s="0" t="s">
        <v>211</v>
      </c>
      <c r="BJ498" s="0" t="s">
        <v>4663</v>
      </c>
      <c r="BK498" s="0" t="n">
        <v>1</v>
      </c>
      <c r="BL498" s="0" t="s">
        <v>4659</v>
      </c>
      <c r="BM498" s="0" t="s">
        <v>4660</v>
      </c>
      <c r="BN498" s="0" t="s">
        <v>211</v>
      </c>
      <c r="BR498" s="0" t="n">
        <v>1</v>
      </c>
      <c r="BS498" s="0" t="s">
        <v>4664</v>
      </c>
      <c r="BT498" s="0" t="s">
        <v>4665</v>
      </c>
      <c r="BU498" s="0" t="s">
        <v>4666</v>
      </c>
      <c r="BV498" s="123"/>
      <c r="BW498" s="123"/>
      <c r="BX498" s="123"/>
      <c r="BY498" s="123"/>
      <c r="CA498" s="0" t="s">
        <v>216</v>
      </c>
      <c r="CD498" s="0" t="s">
        <v>296</v>
      </c>
      <c r="CE498" s="0" t="n">
        <v>0</v>
      </c>
      <c r="CF498" s="0" t="s">
        <v>4667</v>
      </c>
      <c r="CI498" s="1" t="n">
        <v>39398</v>
      </c>
      <c r="CJ498" s="1" t="n">
        <v>40603</v>
      </c>
      <c r="CK498" s="124" t="n">
        <v>0.8125</v>
      </c>
      <c r="CL498" s="0" t="s">
        <v>4663</v>
      </c>
      <c r="CM498" s="0" t="n">
        <f aca="false">IF(OR(CI498="",CJ498=""),"",DAYS360(CI498,CJ498)/360)</f>
        <v>3.30277777777778</v>
      </c>
      <c r="CN498" s="0" t="n">
        <f aca="false">IF(OR(CI498="",CJ498=""),"",DAYS360(CI498,CJ498)/30)</f>
        <v>39.6333333333333</v>
      </c>
      <c r="CO498" s="0" t="n">
        <f aca="false">IF(OR(CI498="",CJ498=""),"",DAYS360(CI498,CJ498)/7)</f>
        <v>169.857142857143</v>
      </c>
      <c r="CP498" s="0" t="n">
        <f aca="false">IF(OR(CI498="",CJ498=""),"",DAYS360(CI498,CJ498))</f>
        <v>1189</v>
      </c>
      <c r="CQ498" s="0" t="s">
        <v>220</v>
      </c>
      <c r="CR498" s="0" t="n">
        <v>1</v>
      </c>
      <c r="CT498" s="0" t="s">
        <v>221</v>
      </c>
      <c r="CU498" s="0" t="s">
        <v>221</v>
      </c>
      <c r="CV498" s="0" t="str">
        <f aca="false">IF(OR(CT498="",CT498="NO ESPECIFICA",CT498="NO MENCIONA"),"",IF(CU498=0,CT498,IF(CU498=1,CT498/30,IF(CU498=2,CT498/15,IF(CU498=3,CT498/7,"")))))</f>
        <v/>
      </c>
      <c r="CW498" s="125" t="n">
        <v>5250</v>
      </c>
      <c r="CX498" s="0" t="n">
        <v>1</v>
      </c>
      <c r="CY498" s="0" t="n">
        <f aca="false">IF(CW498="","",IF(CX498=0,CW498,IF(CX498=1,CW498/30,IF(CX498=2,CW498/15,IF(CX498=3,CW498/7,CW498)))))</f>
        <v>175</v>
      </c>
      <c r="CZ498" s="0" t="n">
        <f aca="false">IF(DI498&gt;0,DI498,IF(CY498&gt;0,CY498,IF(CV498&gt;0,CV498,"")))</f>
        <v>175</v>
      </c>
      <c r="DA498" s="0" t="n">
        <f aca="false">IF(DM498=1,CZ498/8,IF(OR(DM498=2,DM498=4),CZ498/7,IF(DM498=3,CZ498/7.5,"")))</f>
        <v>23.3333333333333</v>
      </c>
      <c r="DB498" s="0" t="s">
        <v>216</v>
      </c>
      <c r="DC498" s="0" t="s">
        <v>216</v>
      </c>
      <c r="DD498" s="0" t="s">
        <v>216</v>
      </c>
      <c r="DE498" s="0" t="s">
        <v>216</v>
      </c>
      <c r="DF498" s="0" t="s">
        <v>216</v>
      </c>
      <c r="DG498" s="0" t="s">
        <v>216</v>
      </c>
      <c r="DH498" s="0" t="n">
        <v>0</v>
      </c>
      <c r="DI498" s="126" t="n">
        <v>175</v>
      </c>
      <c r="DK498" s="0" t="n">
        <v>1</v>
      </c>
      <c r="DM498" s="0" t="n">
        <v>3</v>
      </c>
      <c r="DN498" s="0" t="n">
        <v>51</v>
      </c>
      <c r="DO498" s="0" t="n">
        <v>3</v>
      </c>
      <c r="DP498" s="0" t="n">
        <v>1</v>
      </c>
      <c r="DQ498" s="0" t="n">
        <v>0</v>
      </c>
      <c r="DR498" s="0"/>
      <c r="DS498" s="0" t="n">
        <v>1</v>
      </c>
      <c r="DU498" s="0" t="n">
        <v>0</v>
      </c>
      <c r="DW498" s="1" t="n">
        <v>39398</v>
      </c>
      <c r="DX498" s="1" t="n">
        <v>40603</v>
      </c>
      <c r="DZ498" s="0"/>
      <c r="EA498" s="0" t="n">
        <v>1</v>
      </c>
      <c r="EC498" s="1" t="n">
        <v>39398</v>
      </c>
      <c r="ED498" s="1" t="n">
        <v>40603</v>
      </c>
      <c r="EF498" s="0"/>
      <c r="EG498" s="0" t="n">
        <v>1</v>
      </c>
      <c r="EH498" s="0" t="s">
        <v>221</v>
      </c>
      <c r="EI498" s="0" t="str">
        <f aca="false">IF(AND(DM498=1,DN498&lt;=48),"",IF(AND(DM498=2,DN498&lt;=42),"",IF(AND(DM498=3,DN498&lt;=45),"",EH498)))</f>
        <v>NO ESPECIFICA</v>
      </c>
      <c r="EJ498" s="0" t="n">
        <f aca="false">IF(EI498="","",IF(EI498&lt;9,EI498,9))</f>
        <v>9</v>
      </c>
      <c r="EK498" s="0" t="e">
        <f aca="false">IF(EI498="","",IF(EI498&gt;9,EI498-EJ498,0))</f>
        <v>#VALUE!</v>
      </c>
      <c r="EL498" s="0" t="e">
        <f aca="false">IF(EI498="","",EJ498*DA498*2+EK498*DA498*3)</f>
        <v>#VALUE!</v>
      </c>
      <c r="EP498" s="0" t="n">
        <v>0</v>
      </c>
      <c r="EQ498" s="0"/>
      <c r="ER498" s="0" t="n">
        <v>0</v>
      </c>
      <c r="ET498" s="0" t="n">
        <v>0</v>
      </c>
      <c r="EV498" s="0" t="n">
        <v>0</v>
      </c>
      <c r="EX498" s="0" t="n">
        <v>1</v>
      </c>
      <c r="EY498" s="0" t="n">
        <v>1</v>
      </c>
      <c r="EZ498" s="0"/>
      <c r="FA498" s="4" t="n">
        <v>2625</v>
      </c>
      <c r="FB498" s="0" t="n">
        <v>1</v>
      </c>
      <c r="FC498" s="1" t="n">
        <v>40738</v>
      </c>
      <c r="FD498" s="0" t="n">
        <v>1</v>
      </c>
      <c r="FE498" s="0" t="n">
        <v>12500</v>
      </c>
      <c r="FF498" s="120" t="n">
        <f aca="false">(CJ498-CI498+1)/365</f>
        <v>3.3041095890411</v>
      </c>
      <c r="FG498" s="0" t="str">
        <f aca="false">CONCATENATE(F498,"/",G498)</f>
        <v>568/2011</v>
      </c>
      <c r="FH498" s="0" t="n">
        <v>1</v>
      </c>
      <c r="FI498" s="0" t="n">
        <f aca="false">IFERROR(IF((FC498-J498+1)/365&gt;3,0,1),"")</f>
        <v>1</v>
      </c>
    </row>
    <row r="499" customFormat="false" ht="15" hidden="false" customHeight="false" outlineLevel="0" collapsed="false">
      <c r="A499" s="5" t="str">
        <f aca="false">E499&amp;G499&amp;F499</f>
        <v>72011573</v>
      </c>
      <c r="B499" s="0" t="s">
        <v>3556</v>
      </c>
      <c r="C499" s="1" t="n">
        <v>42377</v>
      </c>
      <c r="D499" s="0" t="s">
        <v>1856</v>
      </c>
      <c r="E499" s="0" t="n">
        <v>7</v>
      </c>
      <c r="F499" s="0" t="n">
        <v>573</v>
      </c>
      <c r="G499" s="0" t="n">
        <v>2011</v>
      </c>
      <c r="H499" s="0" t="str">
        <f aca="false">"J"&amp;E499&amp;"\"&amp;F499&amp;"\"&amp;G499&amp;"\"&amp;W499</f>
        <v>J7\573\2011\1</v>
      </c>
      <c r="I499" s="0"/>
      <c r="J499" s="1" t="n">
        <v>40627</v>
      </c>
      <c r="K499" s="0" t="n">
        <v>1</v>
      </c>
      <c r="L499" s="0" t="s">
        <v>4668</v>
      </c>
      <c r="M499" s="1" t="n">
        <v>40627</v>
      </c>
      <c r="N499" s="1" t="n">
        <v>40728</v>
      </c>
      <c r="O499" s="1"/>
      <c r="P499" s="1"/>
      <c r="Q499" s="1"/>
      <c r="T499" s="121"/>
      <c r="U499" s="121"/>
      <c r="V499" s="122" t="n">
        <f aca="false">IF(AND(E499&gt;0,F499&gt;0,G499&gt;0),COUNTIFS($E:$E,E499,$F:$F,F499,$G:$G,G499),"")</f>
        <v>1</v>
      </c>
      <c r="W499" s="122" t="n">
        <f aca="false">IF(V499="","",IF(V499=1,1,IF(AND(E498=E499,F498=F499,G498=G499),W498+1,1)))</f>
        <v>1</v>
      </c>
      <c r="X499" s="0" t="n">
        <v>1</v>
      </c>
      <c r="Y499" s="0" t="n">
        <v>4</v>
      </c>
      <c r="Z499" s="0" t="s">
        <v>4669</v>
      </c>
      <c r="AA499" s="0" t="n">
        <v>0</v>
      </c>
      <c r="AB499" s="0" t="s">
        <v>4670</v>
      </c>
      <c r="AC499" s="0" t="s">
        <v>244</v>
      </c>
      <c r="AD499" s="0" t="s">
        <v>229</v>
      </c>
      <c r="AF499" s="0" t="s">
        <v>4671</v>
      </c>
      <c r="AG499" s="0" t="n">
        <v>1</v>
      </c>
      <c r="AH499" s="0" t="s">
        <v>4672</v>
      </c>
      <c r="AI499" s="0" t="s">
        <v>4673</v>
      </c>
      <c r="AJ499" s="0" t="s">
        <v>411</v>
      </c>
      <c r="AL499" s="0" t="s">
        <v>4674</v>
      </c>
      <c r="AM499" s="0" t="n">
        <v>1</v>
      </c>
      <c r="AN499" s="0" t="s">
        <v>4672</v>
      </c>
      <c r="AO499" s="0" t="s">
        <v>4673</v>
      </c>
      <c r="AP499" s="0" t="s">
        <v>411</v>
      </c>
      <c r="AR499" s="0" t="s">
        <v>4675</v>
      </c>
      <c r="AS499" s="0" t="n">
        <v>2</v>
      </c>
      <c r="AT499" s="0" t="s">
        <v>4672</v>
      </c>
      <c r="AU499" s="0" t="s">
        <v>4673</v>
      </c>
      <c r="AV499" s="0" t="s">
        <v>411</v>
      </c>
      <c r="AX499" s="0" t="s">
        <v>1880</v>
      </c>
      <c r="AY499" s="0" t="n">
        <v>1</v>
      </c>
      <c r="AZ499" s="0" t="s">
        <v>4672</v>
      </c>
      <c r="BA499" s="0" t="s">
        <v>4673</v>
      </c>
      <c r="BB499" s="0" t="s">
        <v>411</v>
      </c>
      <c r="BR499" s="0" t="n">
        <v>1</v>
      </c>
      <c r="BS499" s="0" t="s">
        <v>4676</v>
      </c>
      <c r="BT499" s="0" t="s">
        <v>4677</v>
      </c>
      <c r="BU499" s="0" t="s">
        <v>4678</v>
      </c>
      <c r="BV499" s="123"/>
      <c r="BW499" s="123"/>
      <c r="BX499" s="123"/>
      <c r="BY499" s="123"/>
      <c r="CA499" s="0" t="s">
        <v>216</v>
      </c>
      <c r="CD499" s="0" t="s">
        <v>1308</v>
      </c>
      <c r="CE499" s="0" t="n">
        <v>0</v>
      </c>
      <c r="CF499" s="0" t="s">
        <v>503</v>
      </c>
      <c r="CI499" s="1" t="n">
        <v>38520</v>
      </c>
      <c r="CJ499" s="1" t="n">
        <v>40623</v>
      </c>
      <c r="CK499" s="124" t="n">
        <v>0.541666666666667</v>
      </c>
      <c r="CL499" s="0" t="s">
        <v>4674</v>
      </c>
      <c r="CM499" s="0" t="n">
        <f aca="false">IF(OR(CI499="",CJ499=""),"",DAYS360(CI499,CJ499)/360)</f>
        <v>5.76111111111111</v>
      </c>
      <c r="CN499" s="0" t="n">
        <f aca="false">IF(OR(CI499="",CJ499=""),"",DAYS360(CI499,CJ499)/30)</f>
        <v>69.1333333333333</v>
      </c>
      <c r="CO499" s="0" t="n">
        <f aca="false">IF(OR(CI499="",CJ499=""),"",DAYS360(CI499,CJ499)/7)</f>
        <v>296.285714285714</v>
      </c>
      <c r="CP499" s="0" t="n">
        <f aca="false">IF(OR(CI499="",CJ499=""),"",DAYS360(CI499,CJ499))</f>
        <v>2074</v>
      </c>
      <c r="CQ499" s="0" t="s">
        <v>240</v>
      </c>
      <c r="CR499" s="0" t="n">
        <v>1</v>
      </c>
      <c r="CT499" s="0" t="s">
        <v>221</v>
      </c>
      <c r="CU499" s="0" t="s">
        <v>221</v>
      </c>
      <c r="CV499" s="0" t="str">
        <f aca="false">IF(OR(CT499="",CT499="NO ESPECIFICA",CT499="NO MENCIONA"),"",IF(CU499=0,CT499,IF(CU499=1,CT499/30,IF(CU499=2,CT499/15,IF(CU499=3,CT499/7,"")))))</f>
        <v/>
      </c>
      <c r="CW499" s="125" t="n">
        <v>460</v>
      </c>
      <c r="CX499" s="0" t="n">
        <v>0</v>
      </c>
      <c r="CY499" s="0" t="n">
        <f aca="false">IF(CW499="","",IF(CX499=0,CW499,IF(CX499=1,CW499/30,IF(CX499=2,CW499/15,IF(CX499=3,CW499/7,CW499)))))</f>
        <v>460</v>
      </c>
      <c r="CZ499" s="0" t="n">
        <f aca="false">IF(DI499&gt;0,DI499,IF(CY499&gt;0,CY499,IF(CV499&gt;0,CV499,"")))</f>
        <v>460</v>
      </c>
      <c r="DA499" s="0" t="n">
        <f aca="false">IF(DM499=1,CZ499/8,IF(OR(DM499=2,DM499=4),CZ499/7,IF(DM499=3,CZ499/7.5,"")))</f>
        <v>57.5</v>
      </c>
      <c r="DB499" s="0" t="s">
        <v>216</v>
      </c>
      <c r="DC499" s="0" t="s">
        <v>216</v>
      </c>
      <c r="DD499" s="0" t="s">
        <v>216</v>
      </c>
      <c r="DE499" s="0" t="s">
        <v>216</v>
      </c>
      <c r="DF499" s="0" t="s">
        <v>216</v>
      </c>
      <c r="DG499" s="0" t="s">
        <v>216</v>
      </c>
      <c r="DH499" s="0" t="n">
        <v>0</v>
      </c>
      <c r="DI499" s="126" t="n">
        <v>460</v>
      </c>
      <c r="DK499" s="0" t="n">
        <v>0</v>
      </c>
      <c r="DM499" s="0" t="n">
        <v>1</v>
      </c>
      <c r="DN499" s="0" t="n">
        <v>77</v>
      </c>
      <c r="DO499" s="0" t="n">
        <v>3</v>
      </c>
      <c r="DP499" s="0" t="n">
        <v>0</v>
      </c>
      <c r="DQ499" s="0" t="n">
        <v>1</v>
      </c>
      <c r="DR499" s="0"/>
      <c r="DS499" s="0" t="n">
        <v>1</v>
      </c>
      <c r="DU499" s="0" t="n">
        <v>0</v>
      </c>
      <c r="DW499" s="1" t="n">
        <v>38520</v>
      </c>
      <c r="DX499" s="1" t="n">
        <v>40623</v>
      </c>
      <c r="DZ499" s="0"/>
      <c r="EA499" s="0" t="n">
        <v>1</v>
      </c>
      <c r="EC499" s="1" t="n">
        <v>38520</v>
      </c>
      <c r="ED499" s="1" t="n">
        <v>40623</v>
      </c>
      <c r="EF499" s="0"/>
      <c r="EG499" s="0" t="n">
        <v>0</v>
      </c>
      <c r="EI499" s="0" t="n">
        <f aca="false">IF(AND(DM499=1,DN499&lt;=48),"",IF(AND(DM499=2,DN499&lt;=42),"",IF(AND(DM499=3,DN499&lt;=45),"",EH499)))</f>
        <v>0</v>
      </c>
      <c r="EJ499" s="0" t="str">
        <f aca="false">IF(EI499="","",IF(EI499&lt;9,EI499,9))</f>
        <v/>
      </c>
      <c r="EK499" s="0" t="str">
        <f aca="false">IF(EI499="","",IF(EI499&gt;9,EI499-EJ499,0))</f>
        <v/>
      </c>
      <c r="EL499" s="0" t="str">
        <f aca="false">IF(EI499="","",EJ499*DA499*2+EK499*DA499*3)</f>
        <v/>
      </c>
      <c r="EP499" s="0" t="n">
        <v>0</v>
      </c>
      <c r="EQ499" s="0"/>
      <c r="ER499" s="0" t="n">
        <v>0</v>
      </c>
      <c r="ET499" s="0" t="n">
        <v>0</v>
      </c>
      <c r="EV499" s="0" t="n">
        <v>0</v>
      </c>
      <c r="EX499" s="0" t="n">
        <v>0</v>
      </c>
      <c r="EY499" s="0" t="n">
        <v>0</v>
      </c>
      <c r="EZ499" s="0"/>
      <c r="FA499" s="0"/>
      <c r="FB499" s="0" t="n">
        <v>0</v>
      </c>
      <c r="FC499" s="1" t="n">
        <v>41037</v>
      </c>
      <c r="FD499" s="0" t="n">
        <v>2</v>
      </c>
      <c r="FE499" s="0" t="n">
        <v>0</v>
      </c>
      <c r="FF499" s="120" t="n">
        <f aca="false">(CJ499-CI499+1)/365</f>
        <v>5.76438356164384</v>
      </c>
      <c r="FG499" s="0" t="str">
        <f aca="false">CONCATENATE(F499,"/",G499)</f>
        <v>573/2011</v>
      </c>
      <c r="FH499" s="0" t="n">
        <v>1</v>
      </c>
      <c r="FI499" s="0" t="n">
        <f aca="false">IFERROR(IF((FC499-J499+1)/365&gt;3,0,1),"")</f>
        <v>1</v>
      </c>
    </row>
    <row r="500" customFormat="false" ht="15" hidden="false" customHeight="false" outlineLevel="0" collapsed="false">
      <c r="A500" s="5" t="str">
        <f aca="false">E500&amp;G500&amp;F500</f>
        <v>72011577</v>
      </c>
      <c r="B500" s="0" t="s">
        <v>3556</v>
      </c>
      <c r="C500" s="1" t="n">
        <v>42379</v>
      </c>
      <c r="E500" s="0" t="n">
        <v>7</v>
      </c>
      <c r="F500" s="0" t="n">
        <v>577</v>
      </c>
      <c r="G500" s="0" t="n">
        <v>2011</v>
      </c>
      <c r="H500" s="0" t="str">
        <f aca="false">"J"&amp;E500&amp;"\"&amp;F500&amp;"\"&amp;G500&amp;"\"&amp;W500</f>
        <v>J7\577\2011\1</v>
      </c>
      <c r="I500" s="0"/>
      <c r="J500" s="1" t="n">
        <v>40627</v>
      </c>
      <c r="K500" s="0" t="n">
        <v>0</v>
      </c>
      <c r="M500" s="1" t="n">
        <v>40627</v>
      </c>
      <c r="N500" s="1" t="n">
        <v>40728</v>
      </c>
      <c r="O500" s="1"/>
      <c r="P500" s="1"/>
      <c r="Q500" s="1"/>
      <c r="T500" s="121"/>
      <c r="U500" s="121"/>
      <c r="V500" s="122" t="n">
        <f aca="false">IF(AND(E500&gt;0,F500&gt;0,G500&gt;0),COUNTIFS($E:$E,E500,$F:$F,F500,$G:$G,G500),"")</f>
        <v>1</v>
      </c>
      <c r="W500" s="122" t="n">
        <f aca="false">IF(V500="","",IF(V500=1,1,IF(AND(E499=E500,F499=F500,G499=G500),W499+1,1)))</f>
        <v>1</v>
      </c>
      <c r="X500" s="0" t="n">
        <v>1</v>
      </c>
      <c r="Y500" s="0" t="n">
        <v>5</v>
      </c>
      <c r="Z500" s="0" t="s">
        <v>4679</v>
      </c>
      <c r="AA500" s="0" t="n">
        <v>0</v>
      </c>
      <c r="AB500" s="0" t="s">
        <v>4680</v>
      </c>
      <c r="AC500" s="0" t="s">
        <v>4681</v>
      </c>
      <c r="AD500" s="0" t="s">
        <v>519</v>
      </c>
      <c r="AF500" s="0" t="s">
        <v>4682</v>
      </c>
      <c r="AG500" s="0" t="n">
        <v>0</v>
      </c>
      <c r="AH500" s="0" t="s">
        <v>4683</v>
      </c>
      <c r="AI500" s="0" t="s">
        <v>1126</v>
      </c>
      <c r="AJ500" s="0" t="s">
        <v>221</v>
      </c>
      <c r="AL500" s="0" t="s">
        <v>4684</v>
      </c>
      <c r="AM500" s="0" t="n">
        <v>1</v>
      </c>
      <c r="AN500" s="0" t="s">
        <v>4683</v>
      </c>
      <c r="AO500" s="0" t="s">
        <v>1126</v>
      </c>
      <c r="AP500" s="0" t="s">
        <v>221</v>
      </c>
      <c r="AR500" s="0" t="s">
        <v>4685</v>
      </c>
      <c r="AS500" s="0" t="n">
        <v>1</v>
      </c>
      <c r="AT500" s="0" t="s">
        <v>4683</v>
      </c>
      <c r="AU500" s="0" t="s">
        <v>1126</v>
      </c>
      <c r="AV500" s="0" t="s">
        <v>221</v>
      </c>
      <c r="AX500" s="0" t="s">
        <v>4686</v>
      </c>
      <c r="AY500" s="0" t="n">
        <v>1</v>
      </c>
      <c r="AZ500" s="0" t="s">
        <v>4683</v>
      </c>
      <c r="BA500" s="0" t="s">
        <v>1126</v>
      </c>
      <c r="BB500" s="0" t="s">
        <v>221</v>
      </c>
      <c r="BD500" s="0" t="s">
        <v>1880</v>
      </c>
      <c r="BE500" s="0" t="n">
        <v>1</v>
      </c>
      <c r="BF500" s="0" t="s">
        <v>4683</v>
      </c>
      <c r="BG500" s="0" t="s">
        <v>1126</v>
      </c>
      <c r="BH500" s="0" t="s">
        <v>221</v>
      </c>
      <c r="BR500" s="0" t="n">
        <v>1</v>
      </c>
      <c r="BS500" s="0" t="s">
        <v>4687</v>
      </c>
      <c r="BT500" s="0" t="s">
        <v>4688</v>
      </c>
      <c r="BU500" s="0" t="s">
        <v>4689</v>
      </c>
      <c r="BV500" s="123"/>
      <c r="BW500" s="123"/>
      <c r="BX500" s="123"/>
      <c r="BY500" s="123"/>
      <c r="CA500" s="0" t="s">
        <v>216</v>
      </c>
      <c r="CD500" s="0" t="s">
        <v>3716</v>
      </c>
      <c r="CE500" s="0" t="n">
        <v>0</v>
      </c>
      <c r="CF500" s="0" t="s">
        <v>1309</v>
      </c>
      <c r="CI500" s="1" t="n">
        <v>39474</v>
      </c>
      <c r="CJ500" s="1" t="n">
        <v>40588</v>
      </c>
      <c r="CK500" s="124" t="n">
        <v>0.416666666666667</v>
      </c>
      <c r="CL500" s="0" t="s">
        <v>4690</v>
      </c>
      <c r="CM500" s="0" t="n">
        <f aca="false">IF(OR(CI500="",CJ500=""),"",DAYS360(CI500,CJ500)/360)</f>
        <v>3.04722222222222</v>
      </c>
      <c r="CN500" s="0" t="n">
        <f aca="false">IF(OR(CI500="",CJ500=""),"",DAYS360(CI500,CJ500)/30)</f>
        <v>36.5666666666667</v>
      </c>
      <c r="CO500" s="0" t="n">
        <f aca="false">IF(OR(CI500="",CJ500=""),"",DAYS360(CI500,CJ500)/7)</f>
        <v>156.714285714286</v>
      </c>
      <c r="CP500" s="0" t="n">
        <f aca="false">IF(OR(CI500="",CJ500=""),"",DAYS360(CI500,CJ500))</f>
        <v>1097</v>
      </c>
      <c r="CQ500" s="0" t="s">
        <v>220</v>
      </c>
      <c r="CR500" s="0" t="n">
        <v>1</v>
      </c>
      <c r="CT500" s="0" t="s">
        <v>221</v>
      </c>
      <c r="CU500" s="0" t="s">
        <v>221</v>
      </c>
      <c r="CV500" s="0" t="str">
        <f aca="false">IF(OR(CT500="",CT500="NO ESPECIFICA",CT500="NO MENCIONA"),"",IF(CU500=0,CT500,IF(CU500=1,CT500/30,IF(CU500=2,CT500/15,IF(CU500=3,CT500/7,"")))))</f>
        <v/>
      </c>
      <c r="CW500" s="125" t="n">
        <v>2862.39</v>
      </c>
      <c r="CX500" s="0" t="n">
        <v>2</v>
      </c>
      <c r="CY500" s="0" t="n">
        <f aca="false">IF(CW500="","",IF(CX500=0,CW500,IF(CX500=1,CW500/30,IF(CX500=2,CW500/15,IF(CX500=3,CW500/7,CW500)))))</f>
        <v>190.826</v>
      </c>
      <c r="CZ500" s="0" t="n">
        <f aca="false">IF(DI500&gt;0,DI500,IF(CY500&gt;0,CY500,IF(CV500&gt;0,CV500,"")))</f>
        <v>190.826</v>
      </c>
      <c r="DA500" s="0" t="str">
        <f aca="false">IF(DM500=1,CZ500/8,IF(OR(DM500=2,DM500=4),CZ500/7,IF(DM500=3,CZ500/7.5,"")))</f>
        <v/>
      </c>
      <c r="DB500" s="0" t="s">
        <v>216</v>
      </c>
      <c r="DC500" s="0" t="s">
        <v>216</v>
      </c>
      <c r="DD500" s="0" t="s">
        <v>216</v>
      </c>
      <c r="DE500" s="0" t="s">
        <v>216</v>
      </c>
      <c r="DF500" s="0" t="s">
        <v>216</v>
      </c>
      <c r="DG500" s="0" t="s">
        <v>216</v>
      </c>
      <c r="DH500" s="0" t="n">
        <v>0</v>
      </c>
      <c r="DI500" s="126" t="n">
        <v>190.826</v>
      </c>
      <c r="DK500" s="0" t="n">
        <v>0</v>
      </c>
      <c r="DM500" s="0" t="s">
        <v>221</v>
      </c>
      <c r="DN500" s="0" t="s">
        <v>221</v>
      </c>
      <c r="DO500" s="0" t="s">
        <v>221</v>
      </c>
      <c r="DP500" s="0" t="n">
        <v>1</v>
      </c>
      <c r="DQ500" s="0" t="n">
        <v>1</v>
      </c>
      <c r="DR500" s="0"/>
      <c r="DS500" s="0" t="n">
        <v>1</v>
      </c>
      <c r="DU500" s="0" t="n">
        <v>0</v>
      </c>
      <c r="DW500" s="1" t="n">
        <v>40544</v>
      </c>
      <c r="DX500" s="1" t="n">
        <v>40588</v>
      </c>
      <c r="DZ500" s="0"/>
      <c r="EA500" s="0" t="n">
        <v>1</v>
      </c>
      <c r="EC500" s="1" t="s">
        <v>221</v>
      </c>
      <c r="ED500" s="1" t="s">
        <v>221</v>
      </c>
      <c r="EF500" s="0"/>
      <c r="EG500" s="0" t="n">
        <v>1</v>
      </c>
      <c r="EH500" s="0" t="n">
        <v>21</v>
      </c>
      <c r="EI500" s="0" t="n">
        <f aca="false">IF(AND(DM500=1,DN500&lt;=48),"",IF(AND(DM500=2,DN500&lt;=42),"",IF(AND(DM500=3,DN500&lt;=45),"",EH500)))</f>
        <v>21</v>
      </c>
      <c r="EJ500" s="0" t="n">
        <f aca="false">IF(EI500="","",IF(EI500&lt;9,EI500,9))</f>
        <v>9</v>
      </c>
      <c r="EK500" s="0" t="n">
        <f aca="false">IF(EI500="","",IF(EI500&gt;9,EI500-EJ500,0))</f>
        <v>12</v>
      </c>
      <c r="EL500" s="0" t="e">
        <f aca="false">IF(EI500="","",EJ500*DA500*2+EK500*DA500*3)</f>
        <v>#VALUE!</v>
      </c>
      <c r="EP500" s="0" t="n">
        <v>0</v>
      </c>
      <c r="EQ500" s="0"/>
      <c r="ER500" s="0" t="n">
        <v>0</v>
      </c>
      <c r="ET500" s="0" t="n">
        <v>1</v>
      </c>
      <c r="EV500" s="0" t="n">
        <v>1</v>
      </c>
      <c r="EX500" s="0" t="n">
        <v>1</v>
      </c>
      <c r="EY500" s="0" t="n">
        <v>1</v>
      </c>
      <c r="EZ500" s="0"/>
      <c r="FA500" s="0"/>
      <c r="FB500" s="0" t="n">
        <v>0</v>
      </c>
      <c r="FC500" s="1"/>
      <c r="FF500" s="120" t="n">
        <f aca="false">(CJ500-CI500+1)/365</f>
        <v>3.05479452054795</v>
      </c>
      <c r="FG500" s="0" t="str">
        <f aca="false">CONCATENATE(F500,"/",G500)</f>
        <v>577/2011</v>
      </c>
      <c r="FH500" s="0" t="n">
        <v>1</v>
      </c>
      <c r="FI500" s="0" t="n">
        <f aca="false">IFERROR(IF((FC500-J500+1)/365&gt;3,0,1),"")</f>
        <v>1</v>
      </c>
    </row>
    <row r="501" customFormat="false" ht="15" hidden="false" customHeight="false" outlineLevel="0" collapsed="false">
      <c r="A501" s="5" t="str">
        <f aca="false">E501&amp;G501&amp;F501</f>
        <v>72011586</v>
      </c>
      <c r="B501" s="0" t="s">
        <v>3556</v>
      </c>
      <c r="C501" s="1" t="n">
        <v>42383</v>
      </c>
      <c r="D501" s="0" t="s">
        <v>1856</v>
      </c>
      <c r="E501" s="0" t="n">
        <v>7</v>
      </c>
      <c r="F501" s="0" t="n">
        <v>586</v>
      </c>
      <c r="G501" s="0" t="n">
        <v>2011</v>
      </c>
      <c r="H501" s="0" t="str">
        <f aca="false">"J"&amp;E501&amp;"\"&amp;F501&amp;"\"&amp;G501&amp;"\"&amp;W501</f>
        <v>J7\586\2011\1</v>
      </c>
      <c r="I501" s="0"/>
      <c r="J501" s="1" t="n">
        <v>40631</v>
      </c>
      <c r="K501" s="0" t="n">
        <v>0</v>
      </c>
      <c r="M501" s="1"/>
      <c r="N501" s="1"/>
      <c r="O501" s="1"/>
      <c r="P501" s="1"/>
      <c r="Q501" s="1"/>
      <c r="T501" s="121"/>
      <c r="U501" s="121"/>
      <c r="V501" s="122" t="n">
        <f aca="false">IF(AND(E501&gt;0,F501&gt;0,G501&gt;0),COUNTIFS($E:$E,E501,$F:$F,F501,$G:$G,G501),"")</f>
        <v>1</v>
      </c>
      <c r="W501" s="122" t="n">
        <f aca="false">IF(V501="","",IF(V501=1,1,IF(AND(E500=E501,F500=F501,G500=G501),W500+1,1)))</f>
        <v>1</v>
      </c>
      <c r="X501" s="0" t="n">
        <v>1</v>
      </c>
      <c r="Y501" s="0" t="n">
        <v>2</v>
      </c>
      <c r="Z501" s="0" t="s">
        <v>4691</v>
      </c>
      <c r="AA501" s="0" t="n">
        <v>0</v>
      </c>
      <c r="AB501" s="0" t="s">
        <v>4692</v>
      </c>
      <c r="AC501" s="0" t="s">
        <v>4693</v>
      </c>
      <c r="AD501" s="0" t="s">
        <v>659</v>
      </c>
      <c r="AF501" s="0" t="s">
        <v>4694</v>
      </c>
      <c r="AG501" s="0" t="n">
        <v>0</v>
      </c>
      <c r="AH501" s="0" t="s">
        <v>4695</v>
      </c>
      <c r="AI501" s="0" t="s">
        <v>321</v>
      </c>
      <c r="AJ501" s="0" t="s">
        <v>229</v>
      </c>
      <c r="AL501" s="0" t="s">
        <v>1880</v>
      </c>
      <c r="AM501" s="0" t="n">
        <v>1</v>
      </c>
      <c r="AN501" s="0" t="s">
        <v>4695</v>
      </c>
      <c r="AO501" s="0" t="s">
        <v>321</v>
      </c>
      <c r="AP501" s="0" t="s">
        <v>229</v>
      </c>
      <c r="BR501" s="0" t="n">
        <v>1</v>
      </c>
      <c r="BS501" s="0" t="s">
        <v>4696</v>
      </c>
      <c r="BT501" s="0" t="s">
        <v>4697</v>
      </c>
      <c r="BV501" s="123"/>
      <c r="BW501" s="123"/>
      <c r="BX501" s="123"/>
      <c r="BY501" s="123"/>
      <c r="CA501" s="0" t="s">
        <v>216</v>
      </c>
      <c r="CD501" s="0" t="s">
        <v>556</v>
      </c>
      <c r="CE501" s="0" t="n">
        <v>1</v>
      </c>
      <c r="CF501" s="0" t="s">
        <v>4698</v>
      </c>
      <c r="CI501" s="1" t="n">
        <v>37115</v>
      </c>
      <c r="CJ501" s="1" t="n">
        <v>40620</v>
      </c>
      <c r="CK501" s="124" t="n">
        <v>0.354166666666667</v>
      </c>
      <c r="CL501" s="0" t="s">
        <v>4699</v>
      </c>
      <c r="CM501" s="0" t="n">
        <f aca="false">IF(OR(CI501="",CJ501=""),"",DAYS360(CI501,CJ501)/360)</f>
        <v>9.6</v>
      </c>
      <c r="CN501" s="0" t="n">
        <f aca="false">IF(OR(CI501="",CJ501=""),"",DAYS360(CI501,CJ501)/30)</f>
        <v>115.2</v>
      </c>
      <c r="CO501" s="0" t="n">
        <f aca="false">IF(OR(CI501="",CJ501=""),"",DAYS360(CI501,CJ501)/7)</f>
        <v>493.714285714286</v>
      </c>
      <c r="CP501" s="0" t="n">
        <f aca="false">IF(OR(CI501="",CJ501=""),"",DAYS360(CI501,CJ501))</f>
        <v>3456</v>
      </c>
      <c r="CQ501" s="0" t="s">
        <v>220</v>
      </c>
      <c r="CR501" s="0" t="n">
        <v>1</v>
      </c>
      <c r="CT501" s="0" t="s">
        <v>221</v>
      </c>
      <c r="CU501" s="0" t="s">
        <v>221</v>
      </c>
      <c r="CV501" s="0" t="str">
        <f aca="false">IF(OR(CT501="",CT501="NO ESPECIFICA",CT501="NO MENCIONA"),"",IF(CU501=0,CT501,IF(CU501=1,CT501/30,IF(CU501=2,CT501/15,IF(CU501=3,CT501/7,"")))))</f>
        <v/>
      </c>
      <c r="CW501" s="125" t="n">
        <v>266.66</v>
      </c>
      <c r="CX501" s="0" t="n">
        <v>0</v>
      </c>
      <c r="CY501" s="0" t="n">
        <f aca="false">IF(CW501="","",IF(CX501=0,CW501,IF(CX501=1,CW501/30,IF(CX501=2,CW501/15,IF(CX501=3,CW501/7,CW501)))))</f>
        <v>266.66</v>
      </c>
      <c r="CZ501" s="0" t="n">
        <f aca="false">IF(DI501&gt;0,DI501,IF(CY501&gt;0,CY501,IF(CV501&gt;0,CV501,"")))</f>
        <v>266.66</v>
      </c>
      <c r="DA501" s="0" t="n">
        <f aca="false">IF(DM501=1,CZ501/8,IF(OR(DM501=2,DM501=4),CZ501/7,IF(DM501=3,CZ501/7.5,"")))</f>
        <v>33.3325</v>
      </c>
      <c r="DB501" s="0" t="s">
        <v>216</v>
      </c>
      <c r="DC501" s="0" t="s">
        <v>216</v>
      </c>
      <c r="DD501" s="0" t="s">
        <v>216</v>
      </c>
      <c r="DE501" s="0" t="s">
        <v>216</v>
      </c>
      <c r="DF501" s="0" t="s">
        <v>216</v>
      </c>
      <c r="DG501" s="0" t="s">
        <v>216</v>
      </c>
      <c r="DH501" s="0" t="n">
        <v>0</v>
      </c>
      <c r="DI501" s="126" t="n">
        <v>266.66</v>
      </c>
      <c r="DJ501" s="0" t="n">
        <v>30977621017</v>
      </c>
      <c r="DK501" s="0" t="n">
        <v>0</v>
      </c>
      <c r="DM501" s="0" t="n">
        <v>1</v>
      </c>
      <c r="DN501" s="0" t="n">
        <v>47.5</v>
      </c>
      <c r="DO501" s="0" t="n">
        <v>3</v>
      </c>
      <c r="DP501" s="0" t="n">
        <v>1</v>
      </c>
      <c r="DQ501" s="0" t="n">
        <v>1</v>
      </c>
      <c r="DR501" s="0"/>
      <c r="DS501" s="0" t="n">
        <v>1</v>
      </c>
      <c r="DU501" s="0" t="n">
        <v>0</v>
      </c>
      <c r="DW501" s="1" t="n">
        <v>37115</v>
      </c>
      <c r="DX501" s="1" t="n">
        <v>40620</v>
      </c>
      <c r="DZ501" s="0"/>
      <c r="EA501" s="0" t="n">
        <v>1</v>
      </c>
      <c r="EC501" s="1" t="n">
        <v>40544</v>
      </c>
      <c r="ED501" s="1" t="n">
        <v>40620</v>
      </c>
      <c r="EF501" s="0"/>
      <c r="EG501" s="0" t="n">
        <v>0</v>
      </c>
      <c r="EI501" s="0" t="str">
        <f aca="false">IF(AND(DM501=1,DN501&lt;=48),"",IF(AND(DM501=2,DN501&lt;=42),"",IF(AND(DM501=3,DN501&lt;=45),"",EH501)))</f>
        <v/>
      </c>
      <c r="EJ501" s="0" t="str">
        <f aca="false">IF(EI501="","",IF(EI501&lt;9,EI501,9))</f>
        <v/>
      </c>
      <c r="EK501" s="0" t="str">
        <f aca="false">IF(EI501="","",IF(EI501&gt;9,EI501-EJ501,0))</f>
        <v/>
      </c>
      <c r="EL501" s="0" t="str">
        <f aca="false">IF(EI501="","",EJ501*DA501*2+EK501*DA501*3)</f>
        <v/>
      </c>
      <c r="EP501" s="0" t="n">
        <v>1</v>
      </c>
      <c r="EQ501" s="0"/>
      <c r="ER501" s="0" t="n">
        <v>0</v>
      </c>
      <c r="ET501" s="0" t="n">
        <v>0</v>
      </c>
      <c r="EV501" s="0" t="n">
        <v>0</v>
      </c>
      <c r="EX501" s="0" t="n">
        <v>0</v>
      </c>
      <c r="EY501" s="0" t="n">
        <v>0</v>
      </c>
      <c r="EZ501" s="0"/>
      <c r="FA501" s="4" t="n">
        <v>3733.24</v>
      </c>
      <c r="FB501" s="0" t="n">
        <v>0</v>
      </c>
      <c r="FC501" s="1" t="n">
        <v>40723</v>
      </c>
      <c r="FD501" s="0" t="n">
        <v>1</v>
      </c>
      <c r="FE501" s="0" t="n">
        <v>60000</v>
      </c>
      <c r="FF501" s="120" t="n">
        <f aca="false">(CJ501-CI501+1)/365</f>
        <v>9.60547945205479</v>
      </c>
      <c r="FG501" s="0" t="str">
        <f aca="false">CONCATENATE(F501,"/",G501)</f>
        <v>586/2011</v>
      </c>
      <c r="FH501" s="0" t="n">
        <v>1</v>
      </c>
      <c r="FI501" s="0" t="n">
        <f aca="false">IFERROR(IF((FC501-J501+1)/365&gt;3,0,1),"")</f>
        <v>1</v>
      </c>
    </row>
    <row r="502" customFormat="false" ht="15" hidden="false" customHeight="false" outlineLevel="0" collapsed="false">
      <c r="A502" s="5" t="str">
        <f aca="false">E502&amp;G502&amp;F502</f>
        <v>72011588</v>
      </c>
      <c r="B502" s="0" t="s">
        <v>3556</v>
      </c>
      <c r="C502" s="1" t="n">
        <v>42383</v>
      </c>
      <c r="D502" s="0" t="s">
        <v>1856</v>
      </c>
      <c r="E502" s="0" t="n">
        <v>7</v>
      </c>
      <c r="F502" s="0" t="n">
        <v>588</v>
      </c>
      <c r="G502" s="0" t="n">
        <v>2011</v>
      </c>
      <c r="H502" s="0" t="str">
        <f aca="false">"J"&amp;E502&amp;"\"&amp;F502&amp;"\"&amp;G502&amp;"\"&amp;W502</f>
        <v>J7\588\2011\1</v>
      </c>
      <c r="I502" s="0"/>
      <c r="J502" s="1" t="n">
        <v>40631</v>
      </c>
      <c r="K502" s="0" t="n">
        <v>0</v>
      </c>
      <c r="M502" s="1"/>
      <c r="N502" s="1"/>
      <c r="O502" s="1"/>
      <c r="P502" s="1"/>
      <c r="Q502" s="1"/>
      <c r="T502" s="121"/>
      <c r="U502" s="121"/>
      <c r="V502" s="122" t="n">
        <f aca="false">IF(AND(E502&gt;0,F502&gt;0,G502&gt;0),COUNTIFS($E:$E,E502,$F:$F,F502,$G:$G,G502),"")</f>
        <v>1</v>
      </c>
      <c r="W502" s="122" t="n">
        <f aca="false">IF(V502="","",IF(V502=1,1,IF(AND(E501=E502,F501=F502,G501=G502),W501+1,1)))</f>
        <v>1</v>
      </c>
      <c r="X502" s="0" t="n">
        <v>1</v>
      </c>
      <c r="Y502" s="0" t="n">
        <v>3</v>
      </c>
      <c r="Z502" s="0" t="s">
        <v>4700</v>
      </c>
      <c r="AA502" s="0" t="n">
        <v>0</v>
      </c>
      <c r="AB502" s="0" t="s">
        <v>3589</v>
      </c>
      <c r="AC502" s="0" t="s">
        <v>228</v>
      </c>
      <c r="AD502" s="0" t="s">
        <v>229</v>
      </c>
      <c r="AF502" s="0" t="s">
        <v>4701</v>
      </c>
      <c r="AG502" s="0" t="n">
        <v>1</v>
      </c>
      <c r="AH502" s="0" t="s">
        <v>4702</v>
      </c>
      <c r="AI502" s="0" t="s">
        <v>508</v>
      </c>
      <c r="AJ502" s="0" t="s">
        <v>322</v>
      </c>
      <c r="AL502" s="0" t="s">
        <v>4703</v>
      </c>
      <c r="AM502" s="0" t="n">
        <v>1</v>
      </c>
      <c r="AN502" s="0" t="s">
        <v>4702</v>
      </c>
      <c r="AO502" s="0" t="s">
        <v>508</v>
      </c>
      <c r="AP502" s="0" t="s">
        <v>322</v>
      </c>
      <c r="AR502" s="0" t="s">
        <v>1880</v>
      </c>
      <c r="AS502" s="0" t="n">
        <v>1</v>
      </c>
      <c r="AT502" s="0" t="s">
        <v>4702</v>
      </c>
      <c r="AU502" s="0" t="s">
        <v>508</v>
      </c>
      <c r="AV502" s="0" t="s">
        <v>322</v>
      </c>
      <c r="BR502" s="0" t="n">
        <v>3</v>
      </c>
      <c r="BS502" s="0" t="s">
        <v>651</v>
      </c>
      <c r="BT502" s="0" t="s">
        <v>1818</v>
      </c>
      <c r="BU502" s="0" t="s">
        <v>501</v>
      </c>
      <c r="BV502" s="123"/>
      <c r="BW502" s="123"/>
      <c r="BX502" s="123"/>
      <c r="BY502" s="123"/>
      <c r="CA502" s="0" t="s">
        <v>348</v>
      </c>
      <c r="CD502" s="0" t="s">
        <v>1465</v>
      </c>
      <c r="CE502" s="0" t="n">
        <v>0</v>
      </c>
      <c r="CF502" s="0" t="s">
        <v>283</v>
      </c>
      <c r="CI502" s="1" t="n">
        <v>25570</v>
      </c>
      <c r="CJ502" s="1" t="n">
        <v>40574</v>
      </c>
      <c r="CK502" s="124" t="n">
        <v>0.75</v>
      </c>
      <c r="CL502" s="0" t="s">
        <v>4701</v>
      </c>
      <c r="CM502" s="0" t="n">
        <f aca="false">IF(OR(CI502="",CJ502=""),"",DAYS360(CI502,CJ502)/360)</f>
        <v>41.0805555555556</v>
      </c>
      <c r="CN502" s="0" t="n">
        <f aca="false">IF(OR(CI502="",CJ502=""),"",DAYS360(CI502,CJ502)/30)</f>
        <v>492.966666666667</v>
      </c>
      <c r="CO502" s="0" t="n">
        <f aca="false">IF(OR(CI502="",CJ502=""),"",DAYS360(CI502,CJ502)/7)</f>
        <v>2112.71428571429</v>
      </c>
      <c r="CP502" s="0" t="n">
        <f aca="false">IF(OR(CI502="",CJ502=""),"",DAYS360(CI502,CJ502))</f>
        <v>14789</v>
      </c>
      <c r="CQ502" s="0" t="s">
        <v>240</v>
      </c>
      <c r="CR502" s="0" t="n">
        <v>1</v>
      </c>
      <c r="CT502" s="0" t="n">
        <v>114.28</v>
      </c>
      <c r="CU502" s="0" t="n">
        <v>0</v>
      </c>
      <c r="CV502" s="0" t="n">
        <f aca="false">IF(OR(CT502="",CT502="NO ESPECIFICA",CT502="NO MENCIONA"),"",IF(CU502=0,CT502,IF(CU502=1,CT502/30,IF(CU502=2,CT502/15,IF(CU502=3,CT502/7,"")))))</f>
        <v>114.28</v>
      </c>
      <c r="CW502" s="125" t="n">
        <v>121.16</v>
      </c>
      <c r="CX502" s="0" t="n">
        <v>0</v>
      </c>
      <c r="CY502" s="0" t="n">
        <f aca="false">IF(CW502="","",IF(CX502=0,CW502,IF(CX502=1,CW502/30,IF(CX502=2,CW502/15,IF(CX502=3,CW502/7,CW502)))))</f>
        <v>121.16</v>
      </c>
      <c r="CZ502" s="0" t="n">
        <f aca="false">IF(DI502&gt;0,DI502,IF(CY502&gt;0,CY502,IF(CV502&gt;0,CV502,"")))</f>
        <v>121.16</v>
      </c>
      <c r="DA502" s="0" t="n">
        <f aca="false">IF(DM502=1,CZ502/8,IF(OR(DM502=2,DM502=4),CZ502/7,IF(DM502=3,CZ502/7.5,"")))</f>
        <v>17.3085714285714</v>
      </c>
      <c r="DB502" s="0" t="s">
        <v>303</v>
      </c>
      <c r="DC502" s="0" t="s">
        <v>301</v>
      </c>
      <c r="DD502" s="0" t="s">
        <v>216</v>
      </c>
      <c r="DE502" s="0" t="s">
        <v>216</v>
      </c>
      <c r="DF502" s="0" t="s">
        <v>216</v>
      </c>
      <c r="DG502" s="0" t="s">
        <v>216</v>
      </c>
      <c r="DH502" s="0" t="n">
        <v>0</v>
      </c>
      <c r="DI502" s="126" t="n">
        <v>121.16</v>
      </c>
      <c r="DK502" s="0" t="n">
        <v>0</v>
      </c>
      <c r="DM502" s="0" t="n">
        <v>2</v>
      </c>
      <c r="DN502" s="0" t="n">
        <v>70</v>
      </c>
      <c r="DO502" s="0" t="n">
        <v>3</v>
      </c>
      <c r="DP502" s="0" t="n">
        <v>0</v>
      </c>
      <c r="DQ502" s="0" t="n">
        <v>1</v>
      </c>
      <c r="DR502" s="0"/>
      <c r="DS502" s="0" t="n">
        <v>1</v>
      </c>
      <c r="DU502" s="0" t="n">
        <v>1</v>
      </c>
      <c r="DW502" s="1" t="n">
        <v>40180</v>
      </c>
      <c r="DX502" s="1" t="n">
        <v>40574</v>
      </c>
      <c r="DZ502" s="0"/>
      <c r="EA502" s="0" t="n">
        <v>1</v>
      </c>
      <c r="EC502" s="1" t="n">
        <v>40179</v>
      </c>
      <c r="ED502" s="1" t="n">
        <v>40574</v>
      </c>
      <c r="EF502" s="0"/>
      <c r="EG502" s="0" t="n">
        <v>0</v>
      </c>
      <c r="EI502" s="0" t="n">
        <f aca="false">IF(AND(DM502=1,DN502&lt;=48),"",IF(AND(DM502=2,DN502&lt;=42),"",IF(AND(DM502=3,DN502&lt;=45),"",EH502)))</f>
        <v>0</v>
      </c>
      <c r="EJ502" s="0" t="str">
        <f aca="false">IF(EI502="","",IF(EI502&lt;9,EI502,9))</f>
        <v/>
      </c>
      <c r="EK502" s="0" t="str">
        <f aca="false">IF(EI502="","",IF(EI502&gt;9,EI502-EJ502,0))</f>
        <v/>
      </c>
      <c r="EL502" s="0" t="str">
        <f aca="false">IF(EI502="","",EJ502*DA502*2+EK502*DA502*3)</f>
        <v/>
      </c>
      <c r="EP502" s="0" t="n">
        <v>0</v>
      </c>
      <c r="EQ502" s="0"/>
      <c r="ER502" s="0" t="n">
        <v>0</v>
      </c>
      <c r="ET502" s="0" t="n">
        <v>0</v>
      </c>
      <c r="EV502" s="0" t="n">
        <v>0</v>
      </c>
      <c r="EX502" s="0" t="n">
        <v>0</v>
      </c>
      <c r="EY502" s="0" t="n">
        <v>0</v>
      </c>
      <c r="EZ502" s="0"/>
      <c r="FA502" s="0"/>
      <c r="FB502" s="0" t="n">
        <v>1</v>
      </c>
      <c r="FC502" s="1" t="n">
        <v>40947</v>
      </c>
      <c r="FD502" s="0" t="n">
        <v>2</v>
      </c>
      <c r="FE502" s="0" t="n">
        <v>0</v>
      </c>
      <c r="FF502" s="120" t="n">
        <f aca="false">(CJ502-CI502+1)/365</f>
        <v>41.1095890410959</v>
      </c>
      <c r="FG502" s="0" t="str">
        <f aca="false">CONCATENATE(F502,"/",G502)</f>
        <v>588/2011</v>
      </c>
      <c r="FH502" s="0" t="n">
        <v>1</v>
      </c>
      <c r="FI502" s="0" t="n">
        <f aca="false">IFERROR(IF((FC502-J502+1)/365&gt;3,0,1),"")</f>
        <v>1</v>
      </c>
    </row>
    <row r="503" customFormat="false" ht="15" hidden="false" customHeight="false" outlineLevel="0" collapsed="false">
      <c r="A503" s="5" t="str">
        <f aca="false">E503&amp;G503&amp;F503</f>
        <v>72011593</v>
      </c>
      <c r="B503" s="0" t="s">
        <v>3556</v>
      </c>
      <c r="C503" s="1" t="n">
        <v>42383</v>
      </c>
      <c r="D503" s="0" t="s">
        <v>1856</v>
      </c>
      <c r="E503" s="0" t="n">
        <v>7</v>
      </c>
      <c r="F503" s="0" t="n">
        <v>593</v>
      </c>
      <c r="G503" s="0" t="n">
        <v>2011</v>
      </c>
      <c r="H503" s="0" t="str">
        <f aca="false">"J"&amp;E503&amp;"\"&amp;F503&amp;"\"&amp;G503&amp;"\"&amp;W503</f>
        <v>J7\593\2011\1</v>
      </c>
      <c r="I503" s="0"/>
      <c r="J503" s="1" t="n">
        <v>40632</v>
      </c>
      <c r="K503" s="0" t="n">
        <v>0</v>
      </c>
      <c r="M503" s="1"/>
      <c r="N503" s="1"/>
      <c r="O503" s="1"/>
      <c r="P503" s="1"/>
      <c r="Q503" s="1"/>
      <c r="T503" s="121"/>
      <c r="U503" s="121"/>
      <c r="V503" s="122" t="n">
        <f aca="false">IF(AND(E503&gt;0,F503&gt;0,G503&gt;0),COUNTIFS($E:$E,E503,$F:$F,F503,$G:$G,G503),"")</f>
        <v>1</v>
      </c>
      <c r="W503" s="122" t="n">
        <f aca="false">IF(V503="","",IF(V503=1,1,IF(AND(E502=E503,F502=F503,G502=G503),W502+1,1)))</f>
        <v>1</v>
      </c>
      <c r="X503" s="0" t="n">
        <v>1</v>
      </c>
      <c r="Y503" s="0" t="n">
        <v>2</v>
      </c>
      <c r="Z503" s="0" t="s">
        <v>4704</v>
      </c>
      <c r="AA503" s="0" t="n">
        <v>0</v>
      </c>
      <c r="AB503" s="0" t="s">
        <v>4705</v>
      </c>
      <c r="AC503" s="0" t="s">
        <v>318</v>
      </c>
      <c r="AD503" s="0" t="s">
        <v>229</v>
      </c>
      <c r="AF503" s="0" t="s">
        <v>4706</v>
      </c>
      <c r="AG503" s="0" t="n">
        <v>0</v>
      </c>
      <c r="AH503" s="0" t="s">
        <v>4707</v>
      </c>
      <c r="AI503" s="0" t="s">
        <v>754</v>
      </c>
      <c r="AJ503" s="0" t="s">
        <v>755</v>
      </c>
      <c r="AL503" s="0" t="s">
        <v>1880</v>
      </c>
      <c r="AM503" s="0" t="n">
        <v>1</v>
      </c>
      <c r="AN503" s="0" t="s">
        <v>4707</v>
      </c>
      <c r="AO503" s="0" t="s">
        <v>754</v>
      </c>
      <c r="AP503" s="0" t="s">
        <v>755</v>
      </c>
      <c r="BR503" s="0" t="n">
        <v>1</v>
      </c>
      <c r="BS503" s="0" t="s">
        <v>2237</v>
      </c>
      <c r="BT503" s="0" t="s">
        <v>4708</v>
      </c>
      <c r="BU503" s="0" t="s">
        <v>4709</v>
      </c>
      <c r="BV503" s="123"/>
      <c r="BW503" s="123"/>
      <c r="BX503" s="123"/>
      <c r="BY503" s="123"/>
      <c r="CA503" s="0" t="s">
        <v>216</v>
      </c>
      <c r="CD503" s="0" t="s">
        <v>256</v>
      </c>
      <c r="CE503" s="0" t="n">
        <v>0</v>
      </c>
      <c r="CF503" s="0" t="s">
        <v>4710</v>
      </c>
      <c r="CI503" s="1" t="n">
        <v>34583</v>
      </c>
      <c r="CJ503" s="1" t="n">
        <v>40616</v>
      </c>
      <c r="CK503" s="124" t="n">
        <v>0.302083333333333</v>
      </c>
      <c r="CL503" s="0" t="s">
        <v>4711</v>
      </c>
      <c r="CM503" s="0" t="n">
        <f aca="false">IF(OR(CI503="",CJ503=""),"",DAYS360(CI503,CJ503)/360)</f>
        <v>16.5222222222222</v>
      </c>
      <c r="CN503" s="0" t="n">
        <f aca="false">IF(OR(CI503="",CJ503=""),"",DAYS360(CI503,CJ503)/30)</f>
        <v>198.266666666667</v>
      </c>
      <c r="CO503" s="0" t="n">
        <f aca="false">IF(OR(CI503="",CJ503=""),"",DAYS360(CI503,CJ503)/7)</f>
        <v>849.714285714286</v>
      </c>
      <c r="CP503" s="0" t="n">
        <f aca="false">IF(OR(CI503="",CJ503=""),"",DAYS360(CI503,CJ503))</f>
        <v>5948</v>
      </c>
      <c r="CQ503" s="0" t="s">
        <v>220</v>
      </c>
      <c r="CR503" s="0" t="n">
        <v>1</v>
      </c>
      <c r="CT503" s="0" t="n">
        <v>120</v>
      </c>
      <c r="CU503" s="0" t="n">
        <v>0</v>
      </c>
      <c r="CV503" s="0" t="n">
        <f aca="false">IF(OR(CT503="",CT503="NO ESPECIFICA",CT503="NO MENCIONA"),"",IF(CU503=0,CT503,IF(CU503=1,CT503/30,IF(CU503=2,CT503/15,IF(CU503=3,CT503/7,"")))))</f>
        <v>120</v>
      </c>
      <c r="CW503" s="125" t="n">
        <v>380</v>
      </c>
      <c r="CX503" s="0" t="n">
        <v>0</v>
      </c>
      <c r="CY503" s="0" t="n">
        <f aca="false">IF(CW503="","",IF(CX503=0,CW503,IF(CX503=1,CW503/30,IF(CX503=2,CW503/15,IF(CX503=3,CW503/7,CW503)))))</f>
        <v>380</v>
      </c>
      <c r="CZ503" s="0" t="n">
        <f aca="false">IF(DI503&gt;0,DI503,IF(CY503&gt;0,CY503,IF(CV503&gt;0,CV503,"")))</f>
        <v>380</v>
      </c>
      <c r="DA503" s="0" t="n">
        <f aca="false">IF(DM503=1,CZ503/8,IF(OR(DM503=2,DM503=4),CZ503/7,IF(DM503=3,CZ503/7.5,"")))</f>
        <v>47.5</v>
      </c>
      <c r="DB503" s="0" t="s">
        <v>301</v>
      </c>
      <c r="DC503" s="0" t="s">
        <v>302</v>
      </c>
      <c r="DD503" s="0" t="s">
        <v>303</v>
      </c>
      <c r="DE503" s="0" t="s">
        <v>216</v>
      </c>
      <c r="DF503" s="0" t="s">
        <v>216</v>
      </c>
      <c r="DG503" s="0" t="s">
        <v>216</v>
      </c>
      <c r="DH503" s="0" t="n">
        <v>0</v>
      </c>
      <c r="DI503" s="126" t="n">
        <v>380</v>
      </c>
      <c r="DK503" s="0" t="n">
        <v>1</v>
      </c>
      <c r="DM503" s="0" t="n">
        <v>1</v>
      </c>
      <c r="DN503" s="0" t="n">
        <v>66</v>
      </c>
      <c r="DO503" s="0" t="n">
        <v>3</v>
      </c>
      <c r="DP503" s="0" t="n">
        <v>1</v>
      </c>
      <c r="DQ503" s="0" t="n">
        <v>1</v>
      </c>
      <c r="DR503" s="0"/>
      <c r="DS503" s="0" t="n">
        <v>1</v>
      </c>
      <c r="DU503" s="0" t="n">
        <v>1</v>
      </c>
      <c r="DW503" s="1" t="n">
        <v>34583</v>
      </c>
      <c r="DX503" s="1" t="n">
        <v>40616</v>
      </c>
      <c r="DZ503" s="0"/>
      <c r="EA503" s="0" t="n">
        <v>1</v>
      </c>
      <c r="EC503" s="1" t="n">
        <v>34583</v>
      </c>
      <c r="ED503" s="1" t="n">
        <v>40616</v>
      </c>
      <c r="EF503" s="0"/>
      <c r="EG503" s="0" t="n">
        <v>1</v>
      </c>
      <c r="EH503" s="0" t="n">
        <v>18</v>
      </c>
      <c r="EI503" s="0" t="n">
        <f aca="false">IF(AND(DM503=1,DN503&lt;=48),"",IF(AND(DM503=2,DN503&lt;=42),"",IF(AND(DM503=3,DN503&lt;=45),"",EH503)))</f>
        <v>18</v>
      </c>
      <c r="EJ503" s="0" t="n">
        <f aca="false">IF(EI503="","",IF(EI503&lt;9,EI503,9))</f>
        <v>9</v>
      </c>
      <c r="EK503" s="0" t="n">
        <f aca="false">IF(EI503="","",IF(EI503&gt;9,EI503-EJ503,0))</f>
        <v>9</v>
      </c>
      <c r="EL503" s="0" t="n">
        <f aca="false">IF(EI503="","",EJ503*DA503*2+EK503*DA503*3)</f>
        <v>2137.5</v>
      </c>
      <c r="EP503" s="0" t="n">
        <v>1</v>
      </c>
      <c r="EQ503" s="0"/>
      <c r="ER503" s="0" t="n">
        <v>0</v>
      </c>
      <c r="ET503" s="0" t="n">
        <v>0</v>
      </c>
      <c r="EV503" s="0" t="n">
        <v>0</v>
      </c>
      <c r="EX503" s="0" t="n">
        <v>1</v>
      </c>
      <c r="EY503" s="0" t="n">
        <v>1</v>
      </c>
      <c r="EZ503" s="4" t="n">
        <v>22800</v>
      </c>
      <c r="FA503" s="4" t="n">
        <v>1560</v>
      </c>
      <c r="FB503" s="0" t="n">
        <v>0</v>
      </c>
      <c r="FC503" s="1" t="n">
        <v>40735</v>
      </c>
      <c r="FD503" s="0" t="n">
        <v>1</v>
      </c>
      <c r="FE503" s="0" t="n">
        <v>25000</v>
      </c>
      <c r="FF503" s="120" t="n">
        <f aca="false">(CJ503-CI503+1)/365</f>
        <v>16.5315068493151</v>
      </c>
      <c r="FG503" s="0" t="str">
        <f aca="false">CONCATENATE(F503,"/",G503)</f>
        <v>593/2011</v>
      </c>
      <c r="FH503" s="0" t="n">
        <v>1</v>
      </c>
      <c r="FI503" s="0" t="n">
        <f aca="false">IFERROR(IF((FC503-J503+1)/365&gt;3,0,1),"")</f>
        <v>1</v>
      </c>
    </row>
    <row r="504" customFormat="false" ht="15" hidden="false" customHeight="false" outlineLevel="0" collapsed="false">
      <c r="A504" s="5" t="str">
        <f aca="false">E504&amp;G504&amp;F504</f>
        <v>720111517</v>
      </c>
      <c r="B504" s="0" t="s">
        <v>2737</v>
      </c>
      <c r="C504" s="1" t="n">
        <v>42358</v>
      </c>
      <c r="D504" s="0" t="s">
        <v>1630</v>
      </c>
      <c r="E504" s="0" t="n">
        <v>7</v>
      </c>
      <c r="F504" s="0" t="n">
        <v>1517</v>
      </c>
      <c r="G504" s="0" t="n">
        <v>2011</v>
      </c>
      <c r="H504" s="0" t="str">
        <f aca="false">"J"&amp;E504&amp;"\"&amp;F504&amp;"\"&amp;G504&amp;"\"&amp;W504</f>
        <v>J7\1517\2011\1</v>
      </c>
      <c r="I504" s="0"/>
      <c r="J504" s="1" t="n">
        <v>40788</v>
      </c>
      <c r="K504" s="0" t="n">
        <v>0</v>
      </c>
      <c r="M504" s="1"/>
      <c r="N504" s="1"/>
      <c r="O504" s="1"/>
      <c r="P504" s="1"/>
      <c r="Q504" s="1"/>
      <c r="T504" s="121"/>
      <c r="U504" s="121"/>
      <c r="V504" s="122" t="n">
        <f aca="false">IF(AND(E504&gt;0,F504&gt;0,G504&gt;0),COUNTIFS($E:$E,E504,$F:$F,F504,$G:$G,G504),"")</f>
        <v>1</v>
      </c>
      <c r="W504" s="122" t="n">
        <f aca="false">IF(V504="","",IF(V504=1,1,IF(AND(E503=E504,F503=F504,G503=G504),W503+1,1)))</f>
        <v>1</v>
      </c>
      <c r="X504" s="0" t="n">
        <v>1</v>
      </c>
      <c r="Y504" s="0" t="n">
        <v>3</v>
      </c>
      <c r="Z504" s="0" t="s">
        <v>4712</v>
      </c>
      <c r="AA504" s="0" t="n">
        <v>0</v>
      </c>
      <c r="AB504" s="0" t="s">
        <v>4713</v>
      </c>
      <c r="AC504" s="0" t="s">
        <v>318</v>
      </c>
      <c r="AD504" s="0" t="s">
        <v>229</v>
      </c>
      <c r="AE504" s="0" t="n">
        <v>0</v>
      </c>
      <c r="AF504" s="0" t="s">
        <v>4714</v>
      </c>
      <c r="AG504" s="0" t="n">
        <v>1</v>
      </c>
      <c r="AH504" s="0" t="s">
        <v>4715</v>
      </c>
      <c r="AI504" s="0" t="s">
        <v>287</v>
      </c>
      <c r="AJ504" s="0" t="s">
        <v>207</v>
      </c>
      <c r="AL504" s="0" t="s">
        <v>4716</v>
      </c>
      <c r="AM504" s="0" t="n">
        <v>0</v>
      </c>
      <c r="AN504" s="0" t="s">
        <v>4715</v>
      </c>
      <c r="AO504" s="0" t="s">
        <v>287</v>
      </c>
      <c r="AP504" s="0" t="s">
        <v>207</v>
      </c>
      <c r="AR504" s="0" t="s">
        <v>1637</v>
      </c>
      <c r="AS504" s="0" t="n">
        <v>1</v>
      </c>
      <c r="AT504" s="0" t="s">
        <v>4715</v>
      </c>
      <c r="AU504" s="0" t="s">
        <v>287</v>
      </c>
      <c r="AV504" s="0" t="s">
        <v>207</v>
      </c>
      <c r="BR504" s="0" t="n">
        <v>1</v>
      </c>
      <c r="BS504" s="0" t="s">
        <v>1107</v>
      </c>
      <c r="BT504" s="0" t="s">
        <v>1106</v>
      </c>
      <c r="BU504" s="0" t="s">
        <v>3905</v>
      </c>
      <c r="BV504" s="123"/>
      <c r="BW504" s="123"/>
      <c r="BX504" s="123"/>
      <c r="BY504" s="123"/>
      <c r="CA504" s="0" t="s">
        <v>3906</v>
      </c>
      <c r="CD504" s="0" t="s">
        <v>357</v>
      </c>
      <c r="CE504" s="0" t="n">
        <v>0</v>
      </c>
      <c r="CF504" s="0" t="s">
        <v>4717</v>
      </c>
      <c r="CI504" s="1" t="n">
        <v>40405</v>
      </c>
      <c r="CJ504" s="1" t="n">
        <v>40781</v>
      </c>
      <c r="CK504" s="124" t="n">
        <v>0.333333333333333</v>
      </c>
      <c r="CL504" s="0" t="s">
        <v>4714</v>
      </c>
      <c r="CM504" s="0" t="n">
        <f aca="false">IF(OR(CI504="",CJ504=""),"",DAYS360(CI504,CJ504)/360)</f>
        <v>1.03055555555556</v>
      </c>
      <c r="CN504" s="0" t="n">
        <f aca="false">IF(OR(CI504="",CJ504=""),"",DAYS360(CI504,CJ504)/30)</f>
        <v>12.3666666666667</v>
      </c>
      <c r="CO504" s="0" t="n">
        <f aca="false">IF(OR(CI504="",CJ504=""),"",DAYS360(CI504,CJ504)/7)</f>
        <v>53</v>
      </c>
      <c r="CP504" s="0" t="n">
        <f aca="false">IF(OR(CI504="",CJ504=""),"",DAYS360(CI504,CJ504))</f>
        <v>371</v>
      </c>
      <c r="CQ504" s="0" t="s">
        <v>220</v>
      </c>
      <c r="CR504" s="0" t="n">
        <v>1</v>
      </c>
      <c r="CT504" s="0" t="n">
        <v>183.33</v>
      </c>
      <c r="CU504" s="0" t="n">
        <v>0</v>
      </c>
      <c r="CV504" s="0" t="n">
        <f aca="false">IF(OR(CT504="",CT504="NO ESPECIFICA",CT504="NO MENCIONA"),"",IF(CU504=0,CT504,IF(CU504=1,CT504/30,IF(CU504=2,CT504/15,IF(CU504=3,CT504/7,"")))))</f>
        <v>183.33</v>
      </c>
      <c r="CW504" s="125" t="n">
        <v>583.33</v>
      </c>
      <c r="CX504" s="0" t="n">
        <v>0</v>
      </c>
      <c r="CY504" s="0" t="n">
        <f aca="false">IF(CW504="","",IF(CX504=0,CW504,IF(CX504=1,CW504/30,IF(CX504=2,CW504/15,IF(CX504=3,CW504/7,CW504)))))</f>
        <v>583.33</v>
      </c>
      <c r="CZ504" s="0" t="n">
        <f aca="false">IF(DI504&gt;0,DI504,IF(CY504&gt;0,CY504,IF(CV504&gt;0,CV504,"")))</f>
        <v>583.33</v>
      </c>
      <c r="DA504" s="0" t="n">
        <f aca="false">IF(DM504=1,CZ504/8,IF(OR(DM504=2,DM504=4),CZ504/7,IF(DM504=3,CZ504/7.5,"")))</f>
        <v>72.91625</v>
      </c>
      <c r="DB504" s="0" t="s">
        <v>417</v>
      </c>
      <c r="DC504" s="0" t="s">
        <v>216</v>
      </c>
      <c r="DD504" s="0" t="s">
        <v>216</v>
      </c>
      <c r="DE504" s="0" t="s">
        <v>216</v>
      </c>
      <c r="DF504" s="0" t="s">
        <v>216</v>
      </c>
      <c r="DG504" s="0" t="s">
        <v>216</v>
      </c>
      <c r="DH504" s="0" t="n">
        <v>0</v>
      </c>
      <c r="DI504" s="126" t="n">
        <v>583.33</v>
      </c>
      <c r="DK504" s="0" t="n">
        <v>1</v>
      </c>
      <c r="DM504" s="0" t="n">
        <v>1</v>
      </c>
      <c r="DN504" s="0" t="n">
        <v>52.5</v>
      </c>
      <c r="DO504" s="0" t="n">
        <v>3</v>
      </c>
      <c r="DP504" s="0" t="n">
        <v>1</v>
      </c>
      <c r="DQ504" s="0" t="n">
        <v>1</v>
      </c>
      <c r="DR504" s="0"/>
      <c r="DS504" s="0" t="n">
        <v>1</v>
      </c>
      <c r="DU504" s="0" t="n">
        <v>1</v>
      </c>
      <c r="DW504" s="1" t="n">
        <v>40405</v>
      </c>
      <c r="DX504" s="1" t="n">
        <v>40781</v>
      </c>
      <c r="DZ504" s="0"/>
      <c r="EA504" s="0" t="n">
        <v>1</v>
      </c>
      <c r="EC504" s="1" t="n">
        <v>40405</v>
      </c>
      <c r="ED504" s="1" t="n">
        <v>40781</v>
      </c>
      <c r="EF504" s="0"/>
      <c r="EG504" s="0" t="n">
        <v>0</v>
      </c>
      <c r="EI504" s="0" t="n">
        <f aca="false">IF(AND(DM504=1,DN504&lt;=48),"",IF(AND(DM504=2,DN504&lt;=42),"",IF(AND(DM504=3,DN504&lt;=45),"",EH504)))</f>
        <v>0</v>
      </c>
      <c r="EJ504" s="0" t="str">
        <f aca="false">IF(EI504="","",IF(EI504&lt;9,EI504,9))</f>
        <v/>
      </c>
      <c r="EK504" s="0" t="str">
        <f aca="false">IF(EI504="","",IF(EI504&gt;9,EI504-EJ504,0))</f>
        <v/>
      </c>
      <c r="EL504" s="0" t="str">
        <f aca="false">IF(EI504="","",EJ504*DA504*2+EK504*DA504*3)</f>
        <v/>
      </c>
      <c r="EP504" s="0" t="n">
        <v>1</v>
      </c>
      <c r="EQ504" s="0"/>
      <c r="ER504" s="0" t="n">
        <v>0</v>
      </c>
      <c r="ET504" s="0" t="n">
        <v>0</v>
      </c>
      <c r="EV504" s="0" t="n">
        <v>1</v>
      </c>
      <c r="EX504" s="0" t="n">
        <v>1</v>
      </c>
      <c r="EY504" s="0" t="n">
        <v>1</v>
      </c>
      <c r="EZ504" s="0"/>
      <c r="FA504" s="4" t="n">
        <v>9033.3</v>
      </c>
      <c r="FB504" s="0" t="n">
        <v>1</v>
      </c>
      <c r="FC504" s="1" t="n">
        <v>41565</v>
      </c>
      <c r="FD504" s="0" t="n">
        <v>2</v>
      </c>
      <c r="FE504" s="0" t="n">
        <v>0</v>
      </c>
      <c r="FF504" s="120" t="n">
        <f aca="false">(CJ504-CI504+1)/365</f>
        <v>1.03287671232877</v>
      </c>
      <c r="FG504" s="0" t="str">
        <f aca="false">CONCATENATE(F504,"/",G504)</f>
        <v>1517/2011</v>
      </c>
      <c r="FH504" s="0" t="n">
        <v>1</v>
      </c>
      <c r="FI504" s="0" t="n">
        <f aca="false">IFERROR(IF((FC504-J504+1)/365&gt;3,0,1),"")</f>
        <v>1</v>
      </c>
    </row>
    <row r="505" customFormat="false" ht="15" hidden="false" customHeight="false" outlineLevel="0" collapsed="false">
      <c r="A505" s="5" t="str">
        <f aca="false">E505&amp;G505&amp;F505</f>
        <v>720111534</v>
      </c>
      <c r="B505" s="0" t="s">
        <v>2737</v>
      </c>
      <c r="C505" s="1" t="n">
        <v>42358</v>
      </c>
      <c r="E505" s="0" t="n">
        <v>7</v>
      </c>
      <c r="F505" s="0" t="n">
        <v>1534</v>
      </c>
      <c r="G505" s="0" t="n">
        <v>2011</v>
      </c>
      <c r="H505" s="0" t="str">
        <f aca="false">"J"&amp;E505&amp;"\"&amp;F505&amp;"\"&amp;G505&amp;"\"&amp;W505</f>
        <v>J7\1534\2011\1</v>
      </c>
      <c r="I505" s="0"/>
      <c r="J505" s="1" t="n">
        <v>40792</v>
      </c>
      <c r="K505" s="0" t="n">
        <v>0</v>
      </c>
      <c r="M505" s="1" t="n">
        <v>40792</v>
      </c>
      <c r="N505" s="1" t="n">
        <v>41019</v>
      </c>
      <c r="O505" s="1"/>
      <c r="P505" s="1"/>
      <c r="Q505" s="1"/>
      <c r="T505" s="121"/>
      <c r="U505" s="121"/>
      <c r="V505" s="122" t="n">
        <f aca="false">IF(AND(E505&gt;0,F505&gt;0,G505&gt;0),COUNTIFS($E:$E,E505,$F:$F,F505,$G:$G,G505),"")</f>
        <v>1</v>
      </c>
      <c r="W505" s="122" t="n">
        <f aca="false">IF(V505="","",IF(V505=1,1,IF(AND(E504=E505,F504=F505,G504=G505),W504+1,1)))</f>
        <v>1</v>
      </c>
      <c r="X505" s="0" t="n">
        <v>1</v>
      </c>
      <c r="Y505" s="0" t="n">
        <v>8</v>
      </c>
      <c r="Z505" s="0" t="s">
        <v>4718</v>
      </c>
      <c r="AA505" s="0" t="n">
        <v>0</v>
      </c>
      <c r="AB505" s="0" t="s">
        <v>4719</v>
      </c>
      <c r="AC505" s="0" t="s">
        <v>786</v>
      </c>
      <c r="AD505" s="0" t="s">
        <v>590</v>
      </c>
      <c r="AE505" s="0" t="n">
        <v>0</v>
      </c>
      <c r="AF505" s="0" t="s">
        <v>4720</v>
      </c>
      <c r="AG505" s="0" t="n">
        <v>0</v>
      </c>
      <c r="AH505" s="0" t="s">
        <v>4721</v>
      </c>
      <c r="AI505" s="0" t="s">
        <v>244</v>
      </c>
      <c r="AJ505" s="0" t="s">
        <v>229</v>
      </c>
      <c r="AL505" s="0" t="s">
        <v>4722</v>
      </c>
      <c r="AM505" s="0" t="n">
        <v>1</v>
      </c>
      <c r="AN505" s="0" t="s">
        <v>4721</v>
      </c>
      <c r="AO505" s="0" t="s">
        <v>244</v>
      </c>
      <c r="AP505" s="0" t="s">
        <v>229</v>
      </c>
      <c r="AR505" s="0" t="s">
        <v>4723</v>
      </c>
      <c r="AS505" s="0" t="n">
        <v>1</v>
      </c>
      <c r="AT505" s="0" t="s">
        <v>4721</v>
      </c>
      <c r="AU505" s="0" t="s">
        <v>244</v>
      </c>
      <c r="AV505" s="0" t="s">
        <v>229</v>
      </c>
      <c r="AX505" s="0" t="s">
        <v>4724</v>
      </c>
      <c r="AY505" s="0" t="n">
        <v>1</v>
      </c>
      <c r="AZ505" s="0" t="s">
        <v>4721</v>
      </c>
      <c r="BA505" s="0" t="s">
        <v>244</v>
      </c>
      <c r="BB505" s="0" t="s">
        <v>229</v>
      </c>
      <c r="BD505" s="0" t="s">
        <v>4725</v>
      </c>
      <c r="BE505" s="0" t="n">
        <v>1</v>
      </c>
      <c r="BF505" s="0" t="s">
        <v>4721</v>
      </c>
      <c r="BG505" s="0" t="s">
        <v>244</v>
      </c>
      <c r="BH505" s="0" t="s">
        <v>229</v>
      </c>
      <c r="BJ505" s="0" t="s">
        <v>4726</v>
      </c>
      <c r="BK505" s="0" t="n">
        <v>1</v>
      </c>
      <c r="BL505" s="0" t="s">
        <v>4721</v>
      </c>
      <c r="BM505" s="0" t="s">
        <v>244</v>
      </c>
      <c r="BN505" s="0" t="s">
        <v>229</v>
      </c>
      <c r="BR505" s="0" t="n">
        <v>1</v>
      </c>
      <c r="BS505" s="0" t="s">
        <v>4727</v>
      </c>
      <c r="BT505" s="0" t="s">
        <v>4728</v>
      </c>
      <c r="BU505" s="0" t="s">
        <v>4729</v>
      </c>
      <c r="BV505" s="123"/>
      <c r="BW505" s="123"/>
      <c r="BX505" s="123"/>
      <c r="BY505" s="123"/>
      <c r="CA505" s="0" t="s">
        <v>216</v>
      </c>
      <c r="CD505" s="0" t="s">
        <v>256</v>
      </c>
      <c r="CE505" s="0" t="n">
        <v>0</v>
      </c>
      <c r="CF505" s="0" t="s">
        <v>4730</v>
      </c>
      <c r="CI505" s="1" t="n">
        <v>40584</v>
      </c>
      <c r="CJ505" s="1" t="n">
        <v>40735</v>
      </c>
      <c r="CK505" s="124" t="n">
        <v>0.583333333333333</v>
      </c>
      <c r="CL505" s="0" t="s">
        <v>4725</v>
      </c>
      <c r="CM505" s="0" t="n">
        <f aca="false">IF(OR(CI505="",CJ505=""),"",DAYS360(CI505,CJ505)/360)</f>
        <v>0.419444444444444</v>
      </c>
      <c r="CN505" s="0" t="n">
        <f aca="false">IF(OR(CI505="",CJ505=""),"",DAYS360(CI505,CJ505)/30)</f>
        <v>5.03333333333333</v>
      </c>
      <c r="CO505" s="0" t="n">
        <f aca="false">IF(OR(CI505="",CJ505=""),"",DAYS360(CI505,CJ505)/7)</f>
        <v>21.5714285714286</v>
      </c>
      <c r="CP505" s="0" t="n">
        <f aca="false">IF(OR(CI505="",CJ505=""),"",DAYS360(CI505,CJ505))</f>
        <v>151</v>
      </c>
      <c r="CQ505" s="0" t="s">
        <v>240</v>
      </c>
      <c r="CR505" s="0" t="n">
        <v>1</v>
      </c>
      <c r="CT505" s="0" t="n">
        <v>1600</v>
      </c>
      <c r="CU505" s="0" t="n">
        <v>2</v>
      </c>
      <c r="CV505" s="0" t="n">
        <f aca="false">IF(OR(CT505="",CT505="NO ESPECIFICA",CT505="NO MENCIONA"),"",IF(CU505=0,CT505,IF(CU505=1,CT505/30,IF(CU505=2,CT505/15,IF(CU505=3,CT505/7,"")))))</f>
        <v>106.666666666667</v>
      </c>
      <c r="CW505" s="125" t="n">
        <v>113.19</v>
      </c>
      <c r="CX505" s="0" t="n">
        <v>0</v>
      </c>
      <c r="CY505" s="0" t="n">
        <f aca="false">IF(CW505="","",IF(CX505=0,CW505,IF(CX505=1,CW505/30,IF(CX505=2,CW505/15,IF(CX505=3,CW505/7,CW505)))))</f>
        <v>113.19</v>
      </c>
      <c r="CZ505" s="0" t="n">
        <f aca="false">IF(DI505&gt;0,DI505,IF(CY505&gt;0,CY505,IF(CV505&gt;0,CV505,"")))</f>
        <v>113.19</v>
      </c>
      <c r="DA505" s="0" t="n">
        <f aca="false">IF(DM505=1,CZ505/8,IF(OR(DM505=2,DM505=4),CZ505/7,IF(DM505=3,CZ505/7.5,"")))</f>
        <v>14.14875</v>
      </c>
      <c r="DB505" s="0" t="s">
        <v>301</v>
      </c>
      <c r="DC505" s="0" t="s">
        <v>302</v>
      </c>
      <c r="DD505" s="0" t="s">
        <v>303</v>
      </c>
      <c r="DE505" s="0" t="s">
        <v>1119</v>
      </c>
      <c r="DF505" s="0" t="s">
        <v>259</v>
      </c>
      <c r="DG505" s="0" t="s">
        <v>4731</v>
      </c>
      <c r="DH505" s="0" t="n">
        <v>0</v>
      </c>
      <c r="DI505" s="126" t="n">
        <v>113.19</v>
      </c>
      <c r="DK505" s="0" t="n">
        <v>1</v>
      </c>
      <c r="DM505" s="0" t="n">
        <v>1</v>
      </c>
      <c r="DN505" s="0" t="n">
        <v>66</v>
      </c>
      <c r="DO505" s="0" t="n">
        <v>3</v>
      </c>
      <c r="DP505" s="0" t="n">
        <v>0</v>
      </c>
      <c r="DQ505" s="0" t="n">
        <v>1</v>
      </c>
      <c r="DR505" s="0"/>
      <c r="DS505" s="0" t="n">
        <v>1</v>
      </c>
      <c r="DU505" s="0" t="n">
        <v>1</v>
      </c>
      <c r="DW505" s="1" t="n">
        <v>40584</v>
      </c>
      <c r="DX505" s="1" t="n">
        <v>40735</v>
      </c>
      <c r="DZ505" s="0"/>
      <c r="EA505" s="0" t="n">
        <v>1</v>
      </c>
      <c r="EC505" s="1" t="n">
        <v>40584</v>
      </c>
      <c r="ED505" s="1" t="n">
        <v>40735</v>
      </c>
      <c r="EF505" s="0"/>
      <c r="EG505" s="0" t="n">
        <v>1</v>
      </c>
      <c r="EI505" s="0" t="n">
        <f aca="false">IF(AND(DM505=1,DN505&lt;=48),"",IF(AND(DM505=2,DN505&lt;=42),"",IF(AND(DM505=3,DN505&lt;=45),"",EH505)))</f>
        <v>0</v>
      </c>
      <c r="EJ505" s="0" t="str">
        <f aca="false">IF(EI505="","",IF(EI505&lt;9,EI505,9))</f>
        <v/>
      </c>
      <c r="EK505" s="0" t="str">
        <f aca="false">IF(EI505="","",IF(EI505&gt;9,EI505-EJ505,0))</f>
        <v/>
      </c>
      <c r="EL505" s="0" t="str">
        <f aca="false">IF(EI505="","",EJ505*DA505*2+EK505*DA505*3)</f>
        <v/>
      </c>
      <c r="EP505" s="0" t="n">
        <v>0</v>
      </c>
      <c r="EQ505" s="0"/>
      <c r="ER505" s="0" t="n">
        <v>1</v>
      </c>
      <c r="ET505" s="0" t="n">
        <v>0</v>
      </c>
      <c r="EV505" s="0" t="n">
        <v>0</v>
      </c>
      <c r="EX505" s="0" t="n">
        <v>0</v>
      </c>
      <c r="EY505" s="0" t="n">
        <v>0</v>
      </c>
      <c r="EZ505" s="0"/>
      <c r="FA505" s="4" t="n">
        <v>0</v>
      </c>
      <c r="FB505" s="0" t="n">
        <v>1</v>
      </c>
      <c r="FC505" s="1" t="n">
        <v>41252</v>
      </c>
      <c r="FD505" s="0" t="n">
        <v>1</v>
      </c>
      <c r="FE505" s="0" t="n">
        <v>5000</v>
      </c>
      <c r="FF505" s="120" t="n">
        <f aca="false">(CJ505-CI505+1)/365</f>
        <v>0.416438356164384</v>
      </c>
      <c r="FG505" s="0" t="str">
        <f aca="false">CONCATENATE(F505,"/",G505)</f>
        <v>1534/2011</v>
      </c>
      <c r="FH505" s="0" t="n">
        <v>1</v>
      </c>
      <c r="FI505" s="0" t="n">
        <f aca="false">IFERROR(IF((FC505-J505+1)/365&gt;3,0,1),"")</f>
        <v>1</v>
      </c>
    </row>
    <row r="506" customFormat="false" ht="15" hidden="false" customHeight="false" outlineLevel="0" collapsed="false">
      <c r="A506" s="5" t="str">
        <f aca="false">E506&amp;G506&amp;F506</f>
        <v>720111542</v>
      </c>
      <c r="B506" s="0" t="s">
        <v>2737</v>
      </c>
      <c r="C506" s="1" t="n">
        <v>42358</v>
      </c>
      <c r="E506" s="0" t="n">
        <v>7</v>
      </c>
      <c r="F506" s="0" t="n">
        <v>1542</v>
      </c>
      <c r="G506" s="0" t="n">
        <v>2011</v>
      </c>
      <c r="H506" s="0" t="str">
        <f aca="false">"J"&amp;E506&amp;"\"&amp;F506&amp;"\"&amp;G506&amp;"\"&amp;W506</f>
        <v>J7\1542\2011\1</v>
      </c>
      <c r="I506" s="0"/>
      <c r="J506" s="1" t="n">
        <v>40792</v>
      </c>
      <c r="K506" s="0" t="n">
        <v>0</v>
      </c>
      <c r="M506" s="1"/>
      <c r="N506" s="1"/>
      <c r="O506" s="1"/>
      <c r="P506" s="1"/>
      <c r="Q506" s="1"/>
      <c r="T506" s="121"/>
      <c r="U506" s="121"/>
      <c r="V506" s="122" t="n">
        <f aca="false">IF(AND(E506&gt;0,F506&gt;0,G506&gt;0),COUNTIFS($E:$E,E506,$F:$F,F506,$G:$G,G506),"")</f>
        <v>1</v>
      </c>
      <c r="W506" s="122" t="n">
        <f aca="false">IF(V506="","",IF(V506=1,1,IF(AND(E505=E506,F505=F506,G505=G506),W505+1,1)))</f>
        <v>1</v>
      </c>
      <c r="X506" s="0" t="n">
        <v>1</v>
      </c>
      <c r="Y506" s="0" t="n">
        <v>4</v>
      </c>
      <c r="Z506" s="0" t="s">
        <v>4732</v>
      </c>
      <c r="AA506" s="0" t="n">
        <v>0</v>
      </c>
      <c r="AB506" s="0" t="s">
        <v>4733</v>
      </c>
      <c r="AD506" s="0" t="s">
        <v>590</v>
      </c>
      <c r="AE506" s="0" t="n">
        <v>0</v>
      </c>
      <c r="AF506" s="0" t="s">
        <v>4734</v>
      </c>
      <c r="AG506" s="0" t="n">
        <v>0</v>
      </c>
      <c r="AH506" s="0" t="s">
        <v>4735</v>
      </c>
      <c r="AI506" s="0" t="s">
        <v>287</v>
      </c>
      <c r="AJ506" s="0" t="s">
        <v>207</v>
      </c>
      <c r="AL506" s="0" t="s">
        <v>4736</v>
      </c>
      <c r="AM506" s="0" t="n">
        <v>0</v>
      </c>
      <c r="AN506" s="0" t="s">
        <v>4737</v>
      </c>
      <c r="AO506" s="0" t="s">
        <v>287</v>
      </c>
      <c r="AP506" s="0" t="s">
        <v>207</v>
      </c>
      <c r="AR506" s="0" t="s">
        <v>4738</v>
      </c>
      <c r="AS506" s="0" t="n">
        <v>1</v>
      </c>
      <c r="AT506" s="0" t="s">
        <v>4737</v>
      </c>
      <c r="AU506" s="0" t="s">
        <v>287</v>
      </c>
      <c r="AV506" s="0" t="s">
        <v>207</v>
      </c>
      <c r="AX506" s="0" t="s">
        <v>4739</v>
      </c>
      <c r="AY506" s="0" t="n">
        <v>1</v>
      </c>
      <c r="AZ506" s="0" t="s">
        <v>4737</v>
      </c>
      <c r="BA506" s="0" t="s">
        <v>287</v>
      </c>
      <c r="BB506" s="0" t="s">
        <v>207</v>
      </c>
      <c r="BR506" s="0" t="n">
        <v>1</v>
      </c>
      <c r="BS506" s="0" t="s">
        <v>4740</v>
      </c>
      <c r="BT506" s="0" t="s">
        <v>4741</v>
      </c>
      <c r="BV506" s="123"/>
      <c r="BW506" s="123"/>
      <c r="BX506" s="123"/>
      <c r="BY506" s="123"/>
      <c r="CA506" s="0" t="s">
        <v>216</v>
      </c>
      <c r="CD506" s="0" t="s">
        <v>216</v>
      </c>
      <c r="CE506" s="0" t="n">
        <v>0</v>
      </c>
      <c r="CF506" s="0" t="s">
        <v>645</v>
      </c>
      <c r="CI506" s="1" t="n">
        <v>40436</v>
      </c>
      <c r="CJ506" s="1" t="n">
        <v>40781</v>
      </c>
      <c r="CK506" s="124" t="n">
        <v>0.666666666666667</v>
      </c>
      <c r="CL506" s="0" t="s">
        <v>4739</v>
      </c>
      <c r="CM506" s="0" t="n">
        <f aca="false">IF(OR(CI506="",CJ506=""),"",DAYS360(CI506,CJ506)/360)</f>
        <v>0.947222222222222</v>
      </c>
      <c r="CN506" s="0" t="n">
        <f aca="false">IF(OR(CI506="",CJ506=""),"",DAYS360(CI506,CJ506)/30)</f>
        <v>11.3666666666667</v>
      </c>
      <c r="CO506" s="0" t="n">
        <f aca="false">IF(OR(CI506="",CJ506=""),"",DAYS360(CI506,CJ506)/7)</f>
        <v>48.7142857142857</v>
      </c>
      <c r="CP506" s="0" t="n">
        <f aca="false">IF(OR(CI506="",CJ506=""),"",DAYS360(CI506,CJ506))</f>
        <v>341</v>
      </c>
      <c r="CQ506" s="0" t="s">
        <v>220</v>
      </c>
      <c r="CR506" s="0" t="n">
        <v>1</v>
      </c>
      <c r="CT506" s="0" t="s">
        <v>221</v>
      </c>
      <c r="CU506" s="0" t="s">
        <v>221</v>
      </c>
      <c r="CV506" s="0" t="str">
        <f aca="false">IF(OR(CT506="",CT506="NO ESPECIFICA",CT506="NO MENCIONA"),"",IF(CU506=0,CT506,IF(CU506=1,CT506/30,IF(CU506=2,CT506/15,IF(CU506=3,CT506/7,"")))))</f>
        <v/>
      </c>
      <c r="CW506" s="125" t="n">
        <v>2300</v>
      </c>
      <c r="CX506" s="0" t="n">
        <v>2</v>
      </c>
      <c r="CY506" s="0" t="n">
        <f aca="false">IF(CW506="","",IF(CX506=0,CW506,IF(CX506=1,CW506/30,IF(CX506=2,CW506/15,IF(CX506=3,CW506/7,CW506)))))</f>
        <v>153.333333333333</v>
      </c>
      <c r="CZ506" s="0" t="n">
        <f aca="false">IF(DI506&gt;0,DI506,IF(CY506&gt;0,CY506,IF(CV506&gt;0,CV506,"")))</f>
        <v>153.333333333333</v>
      </c>
      <c r="DA506" s="0" t="n">
        <f aca="false">IF(DM506=1,CZ506/8,IF(OR(DM506=2,DM506=4),CZ506/7,IF(DM506=3,CZ506/7.5,"")))</f>
        <v>19.1666666666667</v>
      </c>
      <c r="DB506" s="0" t="s">
        <v>216</v>
      </c>
      <c r="DC506" s="0" t="s">
        <v>216</v>
      </c>
      <c r="DD506" s="0" t="s">
        <v>216</v>
      </c>
      <c r="DE506" s="0" t="s">
        <v>216</v>
      </c>
      <c r="DF506" s="0" t="s">
        <v>216</v>
      </c>
      <c r="DG506" s="0" t="s">
        <v>216</v>
      </c>
      <c r="DH506" s="0" t="n">
        <v>0</v>
      </c>
      <c r="DI506" s="126" t="n">
        <v>153.333333333333</v>
      </c>
      <c r="DK506" s="0" t="n">
        <v>0</v>
      </c>
      <c r="DM506" s="0" t="n">
        <v>1</v>
      </c>
      <c r="DN506" s="0" t="n">
        <v>54</v>
      </c>
      <c r="DO506" s="0" t="n">
        <v>3</v>
      </c>
      <c r="DP506" s="0" t="n">
        <v>1</v>
      </c>
      <c r="DQ506" s="0" t="n">
        <v>0</v>
      </c>
      <c r="DR506" s="0"/>
      <c r="DS506" s="0" t="n">
        <v>1</v>
      </c>
      <c r="DU506" s="0" t="n">
        <v>0</v>
      </c>
      <c r="DW506" s="1" t="n">
        <v>40436</v>
      </c>
      <c r="DX506" s="1" t="n">
        <v>40781</v>
      </c>
      <c r="DZ506" s="0"/>
      <c r="EA506" s="0" t="n">
        <v>1</v>
      </c>
      <c r="EC506" s="1" t="n">
        <v>40436</v>
      </c>
      <c r="ED506" s="1" t="n">
        <v>40781</v>
      </c>
      <c r="EF506" s="0"/>
      <c r="EG506" s="0" t="n">
        <v>1</v>
      </c>
      <c r="EH506" s="0" t="n">
        <v>6</v>
      </c>
      <c r="EI506" s="0" t="n">
        <f aca="false">IF(AND(DM506=1,DN506&lt;=48),"",IF(AND(DM506=2,DN506&lt;=42),"",IF(AND(DM506=3,DN506&lt;=45),"",EH506)))</f>
        <v>6</v>
      </c>
      <c r="EJ506" s="0" t="n">
        <f aca="false">IF(EI506="","",IF(EI506&lt;9,EI506,9))</f>
        <v>6</v>
      </c>
      <c r="EK506" s="0" t="n">
        <f aca="false">IF(EI506="","",IF(EI506&gt;9,EI506-EJ506,0))</f>
        <v>0</v>
      </c>
      <c r="EL506" s="0" t="n">
        <f aca="false">IF(EI506="","",EJ506*DA506*2+EK506*DA506*3)</f>
        <v>230</v>
      </c>
      <c r="EP506" s="0" t="n">
        <v>0</v>
      </c>
      <c r="EQ506" s="0"/>
      <c r="ER506" s="0" t="n">
        <v>0</v>
      </c>
      <c r="ET506" s="0" t="n">
        <v>0</v>
      </c>
      <c r="EV506" s="0" t="n">
        <v>0</v>
      </c>
      <c r="EX506" s="0" t="n">
        <v>1</v>
      </c>
      <c r="EY506" s="0" t="n">
        <v>0</v>
      </c>
      <c r="EZ506" s="0"/>
      <c r="FA506" s="4" t="n">
        <v>1686.66666666667</v>
      </c>
      <c r="FB506" s="0" t="n">
        <v>1</v>
      </c>
      <c r="FC506" s="1" t="n">
        <v>41044</v>
      </c>
      <c r="FD506" s="0" t="n">
        <v>1</v>
      </c>
      <c r="FE506" s="0" t="n">
        <v>5000</v>
      </c>
      <c r="FF506" s="120" t="n">
        <f aca="false">(CJ506-CI506+1)/365</f>
        <v>0.947945205479452</v>
      </c>
      <c r="FG506" s="0" t="str">
        <f aca="false">CONCATENATE(F506,"/",G506)</f>
        <v>1542/2011</v>
      </c>
      <c r="FH506" s="0" t="n">
        <v>1</v>
      </c>
      <c r="FI506" s="0" t="n">
        <f aca="false">IFERROR(IF((FC506-J506+1)/365&gt;3,0,1),"")</f>
        <v>1</v>
      </c>
    </row>
    <row r="507" customFormat="false" ht="15" hidden="false" customHeight="false" outlineLevel="0" collapsed="false">
      <c r="A507" s="5" t="str">
        <f aca="false">E507&amp;G507&amp;F507</f>
        <v>720111544</v>
      </c>
      <c r="B507" s="0" t="s">
        <v>2737</v>
      </c>
      <c r="C507" s="1" t="n">
        <v>42358</v>
      </c>
      <c r="E507" s="0" t="n">
        <v>7</v>
      </c>
      <c r="F507" s="0" t="n">
        <v>1544</v>
      </c>
      <c r="G507" s="0" t="n">
        <v>2011</v>
      </c>
      <c r="H507" s="0" t="str">
        <f aca="false">"J"&amp;E507&amp;"\"&amp;F507&amp;"\"&amp;G507&amp;"\"&amp;W507</f>
        <v>J7\1544\2011\1</v>
      </c>
      <c r="I507" s="0"/>
      <c r="J507" s="1" t="n">
        <v>40793</v>
      </c>
      <c r="K507" s="0" t="n">
        <v>0</v>
      </c>
      <c r="M507" s="1" t="n">
        <v>40793</v>
      </c>
      <c r="N507" s="1" t="n">
        <v>41023</v>
      </c>
      <c r="O507" s="1"/>
      <c r="P507" s="1"/>
      <c r="Q507" s="1"/>
      <c r="T507" s="121"/>
      <c r="U507" s="121"/>
      <c r="V507" s="122" t="n">
        <f aca="false">IF(AND(E507&gt;0,F507&gt;0,G507&gt;0),COUNTIFS($E:$E,E507,$F:$F,F507,$G:$G,G507),"")</f>
        <v>1</v>
      </c>
      <c r="W507" s="122" t="n">
        <f aca="false">IF(V507="","",IF(V507=1,1,IF(AND(E506=E507,F506=F507,G506=G507),W506+1,1)))</f>
        <v>1</v>
      </c>
      <c r="X507" s="0" t="n">
        <v>1</v>
      </c>
      <c r="Y507" s="0" t="n">
        <v>2</v>
      </c>
      <c r="Z507" s="0" t="s">
        <v>4742</v>
      </c>
      <c r="AA507" s="0" t="n">
        <v>0</v>
      </c>
      <c r="AB507" s="0" t="s">
        <v>4743</v>
      </c>
      <c r="AD507" s="0" t="s">
        <v>229</v>
      </c>
      <c r="AE507" s="0" t="n">
        <v>0</v>
      </c>
      <c r="AF507" s="0" t="s">
        <v>4744</v>
      </c>
      <c r="AG507" s="0" t="n">
        <v>0</v>
      </c>
      <c r="AH507" s="0" t="s">
        <v>4745</v>
      </c>
      <c r="AI507" s="0" t="s">
        <v>3245</v>
      </c>
      <c r="AJ507" s="0" t="s">
        <v>207</v>
      </c>
      <c r="AL507" s="0" t="s">
        <v>4746</v>
      </c>
      <c r="AM507" s="0" t="n">
        <v>1</v>
      </c>
      <c r="AN507" s="0" t="s">
        <v>4745</v>
      </c>
      <c r="AO507" s="0" t="s">
        <v>3245</v>
      </c>
      <c r="AP507" s="0" t="s">
        <v>207</v>
      </c>
      <c r="BR507" s="0" t="n">
        <v>1</v>
      </c>
      <c r="BS507" s="0" t="s">
        <v>4747</v>
      </c>
      <c r="BT507" s="0" t="s">
        <v>4748</v>
      </c>
      <c r="BU507" s="0" t="s">
        <v>4749</v>
      </c>
      <c r="BV507" s="123"/>
      <c r="BW507" s="123"/>
      <c r="BX507" s="123"/>
      <c r="BY507" s="123"/>
      <c r="CA507" s="0" t="s">
        <v>4750</v>
      </c>
      <c r="CD507" s="0" t="s">
        <v>256</v>
      </c>
      <c r="CE507" s="0" t="n">
        <v>0</v>
      </c>
      <c r="CF507" s="0" t="s">
        <v>4751</v>
      </c>
      <c r="CI507" s="1" t="n">
        <v>40544</v>
      </c>
      <c r="CJ507" s="1" t="n">
        <v>40779</v>
      </c>
      <c r="CK507" s="124" t="n">
        <v>0.75</v>
      </c>
      <c r="CL507" s="0" t="s">
        <v>4746</v>
      </c>
      <c r="CM507" s="0" t="n">
        <f aca="false">IF(OR(CI507="",CJ507=""),"",DAYS360(CI507,CJ507)/360)</f>
        <v>0.647222222222222</v>
      </c>
      <c r="CN507" s="0" t="n">
        <f aca="false">IF(OR(CI507="",CJ507=""),"",DAYS360(CI507,CJ507)/30)</f>
        <v>7.76666666666667</v>
      </c>
      <c r="CO507" s="0" t="n">
        <f aca="false">IF(OR(CI507="",CJ507=""),"",DAYS360(CI507,CJ507)/7)</f>
        <v>33.2857142857143</v>
      </c>
      <c r="CP507" s="0" t="n">
        <f aca="false">IF(OR(CI507="",CJ507=""),"",DAYS360(CI507,CJ507))</f>
        <v>233</v>
      </c>
      <c r="CQ507" s="0" t="s">
        <v>220</v>
      </c>
      <c r="CR507" s="0" t="n">
        <v>1</v>
      </c>
      <c r="CT507" s="0" t="s">
        <v>216</v>
      </c>
      <c r="CU507" s="0" t="s">
        <v>216</v>
      </c>
      <c r="CV507" s="0" t="str">
        <f aca="false">IF(OR(CT507="",CT507="NO ESPECIFICA",CT507="NO MENCIONA"),"",IF(CU507=0,CT507,IF(CU507=1,CT507/30,IF(CU507=2,CT507/15,IF(CU507=3,CT507/7,"")))))</f>
        <v/>
      </c>
      <c r="CW507" s="125" t="n">
        <v>942.09</v>
      </c>
      <c r="CX507" s="0" t="n">
        <v>0</v>
      </c>
      <c r="CY507" s="0" t="n">
        <f aca="false">IF(CW507="","",IF(CX507=0,CW507,IF(CX507=1,CW507/30,IF(CX507=2,CW507/15,IF(CX507=3,CW507/7,CW507)))))</f>
        <v>942.09</v>
      </c>
      <c r="CZ507" s="0" t="n">
        <f aca="false">IF(DI507&gt;0,DI507,IF(CY507&gt;0,CY507,IF(CV507&gt;0,CV507,"")))</f>
        <v>942.09</v>
      </c>
      <c r="DA507" s="0" t="n">
        <f aca="false">IF(DM507=1,CZ507/8,IF(OR(DM507=2,DM507=4),CZ507/7,IF(DM507=3,CZ507/7.5,"")))</f>
        <v>117.76125</v>
      </c>
      <c r="DB507" s="0" t="s">
        <v>4752</v>
      </c>
      <c r="DC507" s="0" t="s">
        <v>4753</v>
      </c>
      <c r="DD507" s="0" t="s">
        <v>303</v>
      </c>
      <c r="DE507" s="0" t="s">
        <v>301</v>
      </c>
      <c r="DF507" s="0" t="s">
        <v>216</v>
      </c>
      <c r="DG507" s="0" t="s">
        <v>216</v>
      </c>
      <c r="DH507" s="0" t="n">
        <v>0</v>
      </c>
      <c r="DI507" s="126" t="n">
        <v>942.09</v>
      </c>
      <c r="DK507" s="0" t="n">
        <v>0</v>
      </c>
      <c r="DM507" s="0" t="n">
        <v>1</v>
      </c>
      <c r="DN507" s="0" t="n">
        <v>72</v>
      </c>
      <c r="DO507" s="0" t="n">
        <v>3</v>
      </c>
      <c r="DP507" s="0" t="n">
        <v>1</v>
      </c>
      <c r="DQ507" s="0" t="n">
        <v>0</v>
      </c>
      <c r="DR507" s="0"/>
      <c r="DS507" s="0" t="n">
        <v>1</v>
      </c>
      <c r="DU507" s="0" t="n">
        <v>0</v>
      </c>
      <c r="DW507" s="1" t="n">
        <v>40544</v>
      </c>
      <c r="DX507" s="1" t="n">
        <v>40779</v>
      </c>
      <c r="DZ507" s="0"/>
      <c r="EA507" s="0" t="n">
        <v>1</v>
      </c>
      <c r="EC507" s="1" t="n">
        <v>40544</v>
      </c>
      <c r="ED507" s="1" t="n">
        <v>40779</v>
      </c>
      <c r="EF507" s="0"/>
      <c r="EG507" s="0" t="n">
        <v>1</v>
      </c>
      <c r="EH507" s="0" t="n">
        <v>24</v>
      </c>
      <c r="EI507" s="0" t="n">
        <f aca="false">IF(AND(DM507=1,DN507&lt;=48),"",IF(AND(DM507=2,DN507&lt;=42),"",IF(AND(DM507=3,DN507&lt;=45),"",EH507)))</f>
        <v>24</v>
      </c>
      <c r="EJ507" s="0" t="n">
        <f aca="false">IF(EI507="","",IF(EI507&lt;9,EI507,9))</f>
        <v>9</v>
      </c>
      <c r="EK507" s="0" t="n">
        <f aca="false">IF(EI507="","",IF(EI507&gt;9,EI507-EJ507,0))</f>
        <v>15</v>
      </c>
      <c r="EL507" s="0" t="n">
        <f aca="false">IF(EI507="","",EJ507*DA507*2+EK507*DA507*3)</f>
        <v>7418.95875</v>
      </c>
      <c r="EP507" s="0" t="n">
        <v>0</v>
      </c>
      <c r="EQ507" s="0"/>
      <c r="ER507" s="0" t="n">
        <v>0</v>
      </c>
      <c r="ET507" s="0" t="n">
        <v>0</v>
      </c>
      <c r="EV507" s="0" t="n">
        <v>0</v>
      </c>
      <c r="EX507" s="0" t="n">
        <v>1</v>
      </c>
      <c r="EY507" s="0" t="n">
        <v>0</v>
      </c>
      <c r="EZ507" s="0"/>
      <c r="FA507" s="4" t="n">
        <v>2826.27</v>
      </c>
      <c r="FB507" s="0" t="n">
        <v>1</v>
      </c>
      <c r="FC507" s="1" t="n">
        <v>40960</v>
      </c>
      <c r="FD507" s="0" t="n">
        <v>1</v>
      </c>
      <c r="FE507" s="0" t="n">
        <v>13000</v>
      </c>
      <c r="FF507" s="120" t="n">
        <f aca="false">(CJ507-CI507+1)/365</f>
        <v>0.646575342465753</v>
      </c>
      <c r="FG507" s="0" t="str">
        <f aca="false">CONCATENATE(F507,"/",G507)</f>
        <v>1544/2011</v>
      </c>
      <c r="FH507" s="0" t="n">
        <v>1</v>
      </c>
      <c r="FI507" s="0" t="n">
        <f aca="false">IFERROR(IF((FC507-J507+1)/365&gt;3,0,1),"")</f>
        <v>1</v>
      </c>
    </row>
    <row r="508" customFormat="false" ht="15" hidden="false" customHeight="false" outlineLevel="0" collapsed="false">
      <c r="A508" s="5" t="str">
        <f aca="false">E508&amp;G508&amp;F508</f>
        <v>720111545</v>
      </c>
      <c r="B508" s="0" t="s">
        <v>2737</v>
      </c>
      <c r="C508" s="1" t="n">
        <v>42358</v>
      </c>
      <c r="E508" s="0" t="n">
        <v>7</v>
      </c>
      <c r="F508" s="0" t="n">
        <v>1545</v>
      </c>
      <c r="G508" s="0" t="n">
        <v>2011</v>
      </c>
      <c r="H508" s="0" t="str">
        <f aca="false">"J"&amp;E508&amp;"\"&amp;F508&amp;"\"&amp;G508&amp;"\"&amp;W508</f>
        <v>J7\1545\2011\1</v>
      </c>
      <c r="I508" s="0"/>
      <c r="J508" s="1" t="n">
        <v>40793</v>
      </c>
      <c r="K508" s="0" t="n">
        <v>0</v>
      </c>
      <c r="M508" s="1"/>
      <c r="N508" s="1"/>
      <c r="O508" s="1"/>
      <c r="P508" s="1"/>
      <c r="Q508" s="1"/>
      <c r="T508" s="121"/>
      <c r="U508" s="121"/>
      <c r="V508" s="122" t="n">
        <f aca="false">IF(AND(E508&gt;0,F508&gt;0,G508&gt;0),COUNTIFS($E:$E,E508,$F:$F,F508,$G:$G,G508),"")</f>
        <v>1</v>
      </c>
      <c r="W508" s="122" t="n">
        <f aca="false">IF(V508="","",IF(V508=1,1,IF(AND(E507=E508,F507=F508,G507=G508),W507+1,1)))</f>
        <v>1</v>
      </c>
      <c r="X508" s="0" t="n">
        <v>1</v>
      </c>
      <c r="Y508" s="0" t="n">
        <v>6</v>
      </c>
      <c r="Z508" s="0" t="s">
        <v>4754</v>
      </c>
      <c r="AA508" s="0" t="n">
        <v>0</v>
      </c>
      <c r="AB508" s="0" t="s">
        <v>4755</v>
      </c>
      <c r="AC508" s="0" t="s">
        <v>318</v>
      </c>
      <c r="AE508" s="0" t="n">
        <v>0</v>
      </c>
      <c r="AF508" s="0" t="s">
        <v>4756</v>
      </c>
      <c r="AG508" s="0" t="n">
        <v>0</v>
      </c>
      <c r="AH508" s="0" t="s">
        <v>4757</v>
      </c>
      <c r="AI508" s="0" t="s">
        <v>4758</v>
      </c>
      <c r="AJ508" s="0" t="s">
        <v>590</v>
      </c>
      <c r="AL508" s="0" t="s">
        <v>4759</v>
      </c>
      <c r="AM508" s="0" t="n">
        <v>1</v>
      </c>
      <c r="AN508" s="0" t="s">
        <v>4757</v>
      </c>
      <c r="AO508" s="0" t="s">
        <v>4758</v>
      </c>
      <c r="AP508" s="0" t="s">
        <v>590</v>
      </c>
      <c r="AR508" s="0" t="s">
        <v>4760</v>
      </c>
      <c r="AS508" s="0" t="n">
        <v>1</v>
      </c>
      <c r="AT508" s="0" t="s">
        <v>4757</v>
      </c>
      <c r="AU508" s="0" t="s">
        <v>4758</v>
      </c>
      <c r="AV508" s="0" t="s">
        <v>590</v>
      </c>
      <c r="AX508" s="0" t="s">
        <v>4761</v>
      </c>
      <c r="AY508" s="0" t="n">
        <v>1</v>
      </c>
      <c r="AZ508" s="0" t="s">
        <v>4757</v>
      </c>
      <c r="BA508" s="0" t="s">
        <v>4758</v>
      </c>
      <c r="BB508" s="0" t="s">
        <v>590</v>
      </c>
      <c r="BD508" s="0" t="s">
        <v>1637</v>
      </c>
      <c r="BE508" s="0" t="n">
        <v>1</v>
      </c>
      <c r="BF508" s="0" t="s">
        <v>4757</v>
      </c>
      <c r="BG508" s="0" t="s">
        <v>4758</v>
      </c>
      <c r="BH508" s="0" t="s">
        <v>590</v>
      </c>
      <c r="BJ508" s="0" t="s">
        <v>249</v>
      </c>
      <c r="BK508" s="0" t="n">
        <v>0</v>
      </c>
      <c r="BL508" s="0" t="s">
        <v>4762</v>
      </c>
      <c r="BM508" s="0" t="s">
        <v>251</v>
      </c>
      <c r="BN508" s="0" t="s">
        <v>229</v>
      </c>
      <c r="BR508" s="0" t="n">
        <v>1</v>
      </c>
      <c r="BS508" s="0" t="s">
        <v>4359</v>
      </c>
      <c r="BT508" s="0" t="s">
        <v>747</v>
      </c>
      <c r="BU508" s="0" t="s">
        <v>4360</v>
      </c>
      <c r="BV508" s="123"/>
      <c r="BW508" s="123"/>
      <c r="BX508" s="123"/>
      <c r="BY508" s="123"/>
      <c r="CA508" s="0" t="s">
        <v>4361</v>
      </c>
      <c r="CD508" s="0" t="s">
        <v>502</v>
      </c>
      <c r="CE508" s="0" t="n">
        <v>0</v>
      </c>
      <c r="CF508" s="0" t="s">
        <v>4763</v>
      </c>
      <c r="CI508" s="1" t="n">
        <v>40253</v>
      </c>
      <c r="CJ508" s="1" t="n">
        <v>40792</v>
      </c>
      <c r="CK508" s="124" t="n">
        <v>0.25</v>
      </c>
      <c r="CL508" s="0" t="s">
        <v>4759</v>
      </c>
      <c r="CM508" s="0" t="n">
        <f aca="false">IF(OR(CI508="",CJ508=""),"",DAYS360(CI508,CJ508)/360)</f>
        <v>1.47222222222222</v>
      </c>
      <c r="CN508" s="0" t="n">
        <f aca="false">IF(OR(CI508="",CJ508=""),"",DAYS360(CI508,CJ508)/30)</f>
        <v>17.6666666666667</v>
      </c>
      <c r="CO508" s="0" t="n">
        <f aca="false">IF(OR(CI508="",CJ508=""),"",DAYS360(CI508,CJ508)/7)</f>
        <v>75.7142857142857</v>
      </c>
      <c r="CP508" s="0" t="n">
        <f aca="false">IF(OR(CI508="",CJ508=""),"",DAYS360(CI508,CJ508))</f>
        <v>530</v>
      </c>
      <c r="CQ508" s="0" t="s">
        <v>240</v>
      </c>
      <c r="CR508" s="0" t="n">
        <v>1</v>
      </c>
      <c r="CT508" s="0" t="s">
        <v>221</v>
      </c>
      <c r="CU508" s="0" t="s">
        <v>221</v>
      </c>
      <c r="CV508" s="0" t="str">
        <f aca="false">IF(OR(CT508="",CT508="NO ESPECIFICA",CT508="NO MENCIONA"),"",IF(CU508=0,CT508,IF(CU508=1,CT508/30,IF(CU508=2,CT508/15,IF(CU508=3,CT508/7,"")))))</f>
        <v/>
      </c>
      <c r="CW508" s="125" t="n">
        <v>2898.75</v>
      </c>
      <c r="CX508" s="0" t="n">
        <v>2</v>
      </c>
      <c r="CY508" s="0" t="n">
        <f aca="false">IF(CW508="","",IF(CX508=0,CW508,IF(CX508=1,CW508/30,IF(CX508=2,CW508/15,IF(CX508=3,CW508/7,CW508)))))</f>
        <v>193.25</v>
      </c>
      <c r="CZ508" s="0" t="n">
        <f aca="false">IF(DI508&gt;0,DI508,IF(CY508&gt;0,CY508,IF(CV508&gt;0,CV508,"")))</f>
        <v>193.25</v>
      </c>
      <c r="DA508" s="0" t="n">
        <f aca="false">IF(DM508=1,CZ508/8,IF(OR(DM508=2,DM508=4),CZ508/7,IF(DM508=3,CZ508/7.5,"")))</f>
        <v>24.15625</v>
      </c>
      <c r="DB508" s="0" t="s">
        <v>216</v>
      </c>
      <c r="DC508" s="0" t="s">
        <v>216</v>
      </c>
      <c r="DD508" s="0" t="s">
        <v>216</v>
      </c>
      <c r="DE508" s="0" t="s">
        <v>216</v>
      </c>
      <c r="DF508" s="0" t="s">
        <v>216</v>
      </c>
      <c r="DG508" s="0" t="s">
        <v>216</v>
      </c>
      <c r="DH508" s="0" t="n">
        <v>0</v>
      </c>
      <c r="DI508" s="126" t="n">
        <v>193.25</v>
      </c>
      <c r="DK508" s="0" t="n">
        <v>1</v>
      </c>
      <c r="DM508" s="0" t="n">
        <v>1</v>
      </c>
      <c r="DN508" s="0" t="n">
        <v>51</v>
      </c>
      <c r="DO508" s="0" t="n">
        <v>3</v>
      </c>
      <c r="DP508" s="0" t="n">
        <v>0</v>
      </c>
      <c r="DQ508" s="0" t="n">
        <v>1</v>
      </c>
      <c r="DR508" s="0"/>
      <c r="DS508" s="0" t="n">
        <v>1</v>
      </c>
      <c r="DU508" s="0" t="n">
        <v>1</v>
      </c>
      <c r="DW508" s="1" t="n">
        <v>40253</v>
      </c>
      <c r="DX508" s="1" t="n">
        <v>40792</v>
      </c>
      <c r="DZ508" s="0"/>
      <c r="EA508" s="0" t="n">
        <v>1</v>
      </c>
      <c r="EC508" s="1" t="n">
        <v>40253</v>
      </c>
      <c r="ED508" s="1" t="n">
        <v>40792</v>
      </c>
      <c r="EF508" s="0"/>
      <c r="EG508" s="0" t="n">
        <v>1</v>
      </c>
      <c r="EI508" s="0" t="n">
        <f aca="false">IF(AND(DM508=1,DN508&lt;=48),"",IF(AND(DM508=2,DN508&lt;=42),"",IF(AND(DM508=3,DN508&lt;=45),"",EH508)))</f>
        <v>0</v>
      </c>
      <c r="EJ508" s="0" t="str">
        <f aca="false">IF(EI508="","",IF(EI508&lt;9,EI508,9))</f>
        <v/>
      </c>
      <c r="EK508" s="0" t="str">
        <f aca="false">IF(EI508="","",IF(EI508&gt;9,EI508-EJ508,0))</f>
        <v/>
      </c>
      <c r="EL508" s="0" t="str">
        <f aca="false">IF(EI508="","",EJ508*DA508*2+EK508*DA508*3)</f>
        <v/>
      </c>
      <c r="EP508" s="0" t="n">
        <v>0</v>
      </c>
      <c r="EQ508" s="0"/>
      <c r="ER508" s="0" t="n">
        <v>0</v>
      </c>
      <c r="ET508" s="0" t="n">
        <v>1</v>
      </c>
      <c r="EV508" s="0" t="n">
        <v>1</v>
      </c>
      <c r="EX508" s="0" t="n">
        <v>1</v>
      </c>
      <c r="EY508" s="0" t="n">
        <v>1</v>
      </c>
      <c r="EZ508" s="4" t="n">
        <v>4000</v>
      </c>
      <c r="FA508" s="4" t="n">
        <v>0</v>
      </c>
      <c r="FB508" s="0" t="n">
        <v>1</v>
      </c>
      <c r="FC508" s="1" t="n">
        <v>40882</v>
      </c>
      <c r="FD508" s="0" t="n">
        <v>1</v>
      </c>
      <c r="FE508" s="0" t="n">
        <v>16072</v>
      </c>
      <c r="FF508" s="120" t="n">
        <f aca="false">(CJ508-CI508+1)/365</f>
        <v>1.47945205479452</v>
      </c>
      <c r="FG508" s="0" t="str">
        <f aca="false">CONCATENATE(F508,"/",G508)</f>
        <v>1545/2011</v>
      </c>
      <c r="FH508" s="0" t="n">
        <v>1</v>
      </c>
      <c r="FI508" s="0" t="n">
        <f aca="false">IFERROR(IF((FC508-J508+1)/365&gt;3,0,1),"")</f>
        <v>1</v>
      </c>
    </row>
    <row r="509" customFormat="false" ht="15" hidden="false" customHeight="false" outlineLevel="0" collapsed="false">
      <c r="A509" s="5" t="str">
        <f aca="false">E509&amp;G509&amp;F509</f>
        <v>720111552</v>
      </c>
      <c r="B509" s="0" t="s">
        <v>2737</v>
      </c>
      <c r="C509" s="1" t="n">
        <v>42358</v>
      </c>
      <c r="E509" s="0" t="n">
        <v>7</v>
      </c>
      <c r="F509" s="0" t="n">
        <v>1552</v>
      </c>
      <c r="G509" s="0" t="n">
        <v>2011</v>
      </c>
      <c r="H509" s="0" t="str">
        <f aca="false">"J"&amp;E509&amp;"\"&amp;F509&amp;"\"&amp;G509&amp;"\"&amp;W509</f>
        <v>J7\1552\2011\1</v>
      </c>
      <c r="I509" s="0"/>
      <c r="J509" s="1" t="n">
        <v>40794</v>
      </c>
      <c r="K509" s="0" t="n">
        <v>0</v>
      </c>
      <c r="M509" s="1"/>
      <c r="N509" s="1"/>
      <c r="O509" s="1"/>
      <c r="P509" s="1"/>
      <c r="Q509" s="1"/>
      <c r="T509" s="121"/>
      <c r="U509" s="121"/>
      <c r="V509" s="122" t="n">
        <f aca="false">IF(AND(E509&gt;0,F509&gt;0,G509&gt;0),COUNTIFS($E:$E,E509,$F:$F,F509,$G:$G,G509),"")</f>
        <v>1</v>
      </c>
      <c r="W509" s="122" t="n">
        <f aca="false">IF(V509="","",IF(V509=1,1,IF(AND(E508=E509,F508=F509,G508=G509),W508+1,1)))</f>
        <v>1</v>
      </c>
      <c r="X509" s="0" t="n">
        <v>1</v>
      </c>
      <c r="Y509" s="0" t="n">
        <v>6</v>
      </c>
      <c r="Z509" s="0" t="s">
        <v>4764</v>
      </c>
      <c r="AA509" s="0" t="n">
        <v>0</v>
      </c>
      <c r="AB509" s="0" t="s">
        <v>4765</v>
      </c>
      <c r="AC509" s="0" t="s">
        <v>4766</v>
      </c>
      <c r="AD509" s="0" t="s">
        <v>2415</v>
      </c>
      <c r="AE509" s="0" t="n">
        <v>0</v>
      </c>
      <c r="AF509" s="0" t="s">
        <v>4767</v>
      </c>
      <c r="AG509" s="0" t="n">
        <v>0</v>
      </c>
      <c r="AH509" s="0" t="s">
        <v>4768</v>
      </c>
      <c r="AI509" s="0" t="s">
        <v>287</v>
      </c>
      <c r="AL509" s="0" t="s">
        <v>4769</v>
      </c>
      <c r="AM509" s="0" t="n">
        <v>0</v>
      </c>
      <c r="AN509" s="0" t="s">
        <v>4768</v>
      </c>
      <c r="AO509" s="0" t="s">
        <v>287</v>
      </c>
      <c r="AR509" s="0" t="s">
        <v>4770</v>
      </c>
      <c r="AS509" s="0" t="n">
        <v>1</v>
      </c>
      <c r="AT509" s="0" t="s">
        <v>4768</v>
      </c>
      <c r="AU509" s="0" t="s">
        <v>287</v>
      </c>
      <c r="AX509" s="0" t="s">
        <v>4771</v>
      </c>
      <c r="AY509" s="0" t="n">
        <v>1</v>
      </c>
      <c r="AZ509" s="0" t="s">
        <v>4768</v>
      </c>
      <c r="BA509" s="0" t="s">
        <v>287</v>
      </c>
      <c r="BD509" s="0" t="s">
        <v>1637</v>
      </c>
      <c r="BE509" s="0" t="n">
        <v>1</v>
      </c>
      <c r="BF509" s="0" t="s">
        <v>4768</v>
      </c>
      <c r="BG509" s="0" t="s">
        <v>287</v>
      </c>
      <c r="BJ509" s="0" t="s">
        <v>249</v>
      </c>
      <c r="BK509" s="0" t="n">
        <v>0</v>
      </c>
      <c r="BL509" s="0" t="s">
        <v>4772</v>
      </c>
      <c r="BM509" s="0" t="s">
        <v>410</v>
      </c>
      <c r="BR509" s="0" t="n">
        <v>1</v>
      </c>
      <c r="BS509" s="0" t="s">
        <v>4773</v>
      </c>
      <c r="BT509" s="0" t="s">
        <v>4774</v>
      </c>
      <c r="BU509" s="0" t="s">
        <v>4775</v>
      </c>
      <c r="BV509" s="123"/>
      <c r="BW509" s="123"/>
      <c r="BX509" s="123"/>
      <c r="BY509" s="123"/>
      <c r="CA509" s="0" t="s">
        <v>216</v>
      </c>
      <c r="CD509" s="0" t="s">
        <v>370</v>
      </c>
      <c r="CE509" s="0" t="n">
        <v>1</v>
      </c>
      <c r="CF509" s="0" t="s">
        <v>2314</v>
      </c>
      <c r="CI509" s="1" t="n">
        <v>40483</v>
      </c>
      <c r="CJ509" s="1" t="n">
        <v>40709</v>
      </c>
      <c r="CK509" s="124" t="s">
        <v>216</v>
      </c>
      <c r="CL509" s="0" t="s">
        <v>216</v>
      </c>
      <c r="CM509" s="0" t="n">
        <f aca="false">IF(OR(CI509="",CJ509=""),"",DAYS360(CI509,CJ509)/360)</f>
        <v>0.622222222222222</v>
      </c>
      <c r="CN509" s="0" t="n">
        <f aca="false">IF(OR(CI509="",CJ509=""),"",DAYS360(CI509,CJ509)/30)</f>
        <v>7.46666666666667</v>
      </c>
      <c r="CO509" s="0" t="n">
        <f aca="false">IF(OR(CI509="",CJ509=""),"",DAYS360(CI509,CJ509)/7)</f>
        <v>32</v>
      </c>
      <c r="CP509" s="0" t="n">
        <f aca="false">IF(OR(CI509="",CJ509=""),"",DAYS360(CI509,CJ509))</f>
        <v>224</v>
      </c>
      <c r="CQ509" s="0" t="s">
        <v>240</v>
      </c>
      <c r="CR509" s="0" t="n">
        <v>1</v>
      </c>
      <c r="CT509" s="0" t="n">
        <v>600</v>
      </c>
      <c r="CU509" s="0" t="n">
        <v>0</v>
      </c>
      <c r="CV509" s="0" t="n">
        <f aca="false">IF(OR(CT509="",CT509="NO ESPECIFICA",CT509="NO MENCIONA"),"",IF(CU509=0,CT509,IF(CU509=1,CT509/30,IF(CU509=2,CT509/15,IF(CU509=3,CT509/7,"")))))</f>
        <v>600</v>
      </c>
      <c r="CW509" s="125" t="s">
        <v>216</v>
      </c>
      <c r="CX509" s="0" t="s">
        <v>216</v>
      </c>
      <c r="CY509" s="0" t="str">
        <f aca="false">IF(CW509="","",IF(CX509=0,CW509,IF(CX509=1,CW509/30,IF(CX509=2,CW509/15,IF(CX509=3,CW509/7,CW509)))))</f>
        <v>NO MENCIONA</v>
      </c>
      <c r="CZ509" s="0" t="n">
        <f aca="false">IF(DI509&gt;0,DI509,IF(CY509&gt;0,CY509,IF(CV509&gt;0,CV509,"")))</f>
        <v>600</v>
      </c>
      <c r="DA509" s="0" t="n">
        <f aca="false">IF(DM509=1,CZ509/8,IF(OR(DM509=2,DM509=4),CZ509/7,IF(DM509=3,CZ509/7.5,"")))</f>
        <v>75</v>
      </c>
      <c r="DB509" s="0" t="s">
        <v>216</v>
      </c>
      <c r="DC509" s="0" t="s">
        <v>216</v>
      </c>
      <c r="DD509" s="0" t="s">
        <v>216</v>
      </c>
      <c r="DE509" s="0" t="s">
        <v>216</v>
      </c>
      <c r="DF509" s="0" t="s">
        <v>216</v>
      </c>
      <c r="DG509" s="0" t="s">
        <v>216</v>
      </c>
      <c r="DH509" s="0" t="n">
        <v>0</v>
      </c>
      <c r="DI509" s="126" t="n">
        <v>600</v>
      </c>
      <c r="DK509" s="0" t="n">
        <v>0</v>
      </c>
      <c r="DM509" s="0" t="n">
        <v>1</v>
      </c>
      <c r="DN509" s="0" t="n">
        <v>50</v>
      </c>
      <c r="DO509" s="0" t="n">
        <v>3</v>
      </c>
      <c r="DP509" s="0" t="n">
        <v>0</v>
      </c>
      <c r="DQ509" s="0" t="n">
        <v>1</v>
      </c>
      <c r="DR509" s="0"/>
      <c r="DS509" s="0" t="n">
        <v>1</v>
      </c>
      <c r="DU509" s="0" t="n">
        <v>0</v>
      </c>
      <c r="DW509" s="1" t="s">
        <v>216</v>
      </c>
      <c r="DX509" s="1" t="s">
        <v>216</v>
      </c>
      <c r="DZ509" s="0"/>
      <c r="EA509" s="0" t="n">
        <v>0</v>
      </c>
      <c r="EC509" s="1" t="s">
        <v>216</v>
      </c>
      <c r="ED509" s="1" t="s">
        <v>216</v>
      </c>
      <c r="EF509" s="0"/>
      <c r="EG509" s="0" t="n">
        <v>0</v>
      </c>
      <c r="EI509" s="0" t="n">
        <f aca="false">IF(AND(DM509=1,DN509&lt;=48),"",IF(AND(DM509=2,DN509&lt;=42),"",IF(AND(DM509=3,DN509&lt;=45),"",EH509)))</f>
        <v>0</v>
      </c>
      <c r="EJ509" s="0" t="str">
        <f aca="false">IF(EI509="","",IF(EI509&lt;9,EI509,9))</f>
        <v/>
      </c>
      <c r="EK509" s="0" t="str">
        <f aca="false">IF(EI509="","",IF(EI509&gt;9,EI509-EJ509,0))</f>
        <v/>
      </c>
      <c r="EL509" s="0" t="str">
        <f aca="false">IF(EI509="","",EJ509*DA509*2+EK509*DA509*3)</f>
        <v/>
      </c>
      <c r="EP509" s="0" t="n">
        <v>0</v>
      </c>
      <c r="EQ509" s="0"/>
      <c r="ER509" s="0" t="n">
        <v>0</v>
      </c>
      <c r="ET509" s="0" t="n">
        <v>0</v>
      </c>
      <c r="EV509" s="0" t="n">
        <v>0</v>
      </c>
      <c r="EX509" s="0" t="n">
        <v>0</v>
      </c>
      <c r="EY509" s="0" t="n">
        <v>0</v>
      </c>
      <c r="EZ509" s="0"/>
      <c r="FA509" s="4" t="n">
        <v>0</v>
      </c>
      <c r="FB509" s="0" t="n">
        <v>0</v>
      </c>
      <c r="FC509" s="1" t="n">
        <v>40795</v>
      </c>
      <c r="FD509" s="0" t="n">
        <v>2</v>
      </c>
      <c r="FE509" s="0" t="n">
        <v>0</v>
      </c>
      <c r="FF509" s="120" t="n">
        <f aca="false">(CJ509-CI509+1)/365</f>
        <v>0.621917808219178</v>
      </c>
      <c r="FG509" s="0" t="str">
        <f aca="false">CONCATENATE(F509,"/",G509)</f>
        <v>1552/2011</v>
      </c>
      <c r="FH509" s="0" t="n">
        <v>1</v>
      </c>
      <c r="FI509" s="0" t="n">
        <f aca="false">IFERROR(IF((FC509-J509+1)/365&gt;3,0,1),"")</f>
        <v>1</v>
      </c>
    </row>
    <row r="510" customFormat="false" ht="15" hidden="false" customHeight="false" outlineLevel="0" collapsed="false">
      <c r="A510" s="5" t="str">
        <f aca="false">E510&amp;G510&amp;F510</f>
        <v>720111560</v>
      </c>
      <c r="B510" s="0" t="s">
        <v>2737</v>
      </c>
      <c r="C510" s="1" t="n">
        <v>42358</v>
      </c>
      <c r="E510" s="0" t="n">
        <v>7</v>
      </c>
      <c r="F510" s="0" t="n">
        <v>1560</v>
      </c>
      <c r="G510" s="0" t="n">
        <v>2011</v>
      </c>
      <c r="H510" s="0" t="str">
        <f aca="false">"J"&amp;E510&amp;"\"&amp;F510&amp;"\"&amp;G510&amp;"\"&amp;W510</f>
        <v>J7\1560\2011\1</v>
      </c>
      <c r="I510" s="0"/>
      <c r="J510" s="1" t="n">
        <v>40794</v>
      </c>
      <c r="K510" s="0" t="n">
        <v>0</v>
      </c>
      <c r="M510" s="1"/>
      <c r="N510" s="1"/>
      <c r="O510" s="1"/>
      <c r="P510" s="1"/>
      <c r="Q510" s="1"/>
      <c r="T510" s="121"/>
      <c r="U510" s="121"/>
      <c r="V510" s="122" t="n">
        <f aca="false">IF(AND(E510&gt;0,F510&gt;0,G510&gt;0),COUNTIFS($E:$E,E510,$F:$F,F510,$G:$G,G510),"")</f>
        <v>1</v>
      </c>
      <c r="W510" s="122" t="n">
        <f aca="false">IF(V510="","",IF(V510=1,1,IF(AND(E509=E510,F509=F510,G509=G510),W509+1,1)))</f>
        <v>1</v>
      </c>
      <c r="X510" s="0" t="n">
        <v>1</v>
      </c>
      <c r="Y510" s="0" t="n">
        <v>6</v>
      </c>
      <c r="Z510" s="0" t="s">
        <v>4776</v>
      </c>
      <c r="AA510" s="0" t="n">
        <v>0</v>
      </c>
      <c r="AB510" s="0" t="s">
        <v>2840</v>
      </c>
      <c r="AC510" s="0" t="s">
        <v>318</v>
      </c>
      <c r="AD510" s="0" t="s">
        <v>229</v>
      </c>
      <c r="AE510" s="0" t="n">
        <v>0</v>
      </c>
      <c r="AF510" s="0" t="s">
        <v>4777</v>
      </c>
      <c r="AG510" s="0" t="n">
        <v>0</v>
      </c>
      <c r="AH510" s="0" t="s">
        <v>4778</v>
      </c>
      <c r="AI510" s="0" t="s">
        <v>4779</v>
      </c>
      <c r="AJ510" s="0" t="s">
        <v>352</v>
      </c>
      <c r="AL510" s="0" t="s">
        <v>4780</v>
      </c>
      <c r="AM510" s="0" t="n">
        <v>1</v>
      </c>
      <c r="AN510" s="0" t="s">
        <v>4778</v>
      </c>
      <c r="AO510" s="0" t="s">
        <v>4779</v>
      </c>
      <c r="AP510" s="0" t="s">
        <v>352</v>
      </c>
      <c r="AR510" s="0" t="s">
        <v>1637</v>
      </c>
      <c r="AS510" s="0" t="n">
        <v>1</v>
      </c>
      <c r="AT510" s="0" t="s">
        <v>4778</v>
      </c>
      <c r="AU510" s="0" t="s">
        <v>4779</v>
      </c>
      <c r="AV510" s="0" t="s">
        <v>352</v>
      </c>
      <c r="AX510" s="0" t="s">
        <v>249</v>
      </c>
      <c r="AY510" s="0" t="n">
        <v>0</v>
      </c>
      <c r="AZ510" s="0" t="s">
        <v>436</v>
      </c>
      <c r="BA510" s="0" t="s">
        <v>410</v>
      </c>
      <c r="BB510" s="0" t="s">
        <v>411</v>
      </c>
      <c r="BD510" s="0" t="s">
        <v>412</v>
      </c>
      <c r="BE510" s="0" t="n">
        <v>0</v>
      </c>
      <c r="BF510" s="0" t="s">
        <v>437</v>
      </c>
      <c r="BG510" s="0" t="s">
        <v>438</v>
      </c>
      <c r="BJ510" s="0" t="s">
        <v>4469</v>
      </c>
      <c r="BK510" s="0" t="n">
        <v>0</v>
      </c>
      <c r="BL510" s="0" t="s">
        <v>4781</v>
      </c>
      <c r="BM510" s="0" t="s">
        <v>3645</v>
      </c>
      <c r="BN510" s="0" t="s">
        <v>229</v>
      </c>
      <c r="BR510" s="0" t="n">
        <v>1</v>
      </c>
      <c r="BS510" s="0" t="s">
        <v>2846</v>
      </c>
      <c r="BT510" s="0" t="s">
        <v>4782</v>
      </c>
      <c r="BU510" s="0" t="s">
        <v>2847</v>
      </c>
      <c r="BV510" s="123"/>
      <c r="BW510" s="123"/>
      <c r="BX510" s="123"/>
      <c r="BY510" s="123"/>
      <c r="CA510" s="0" t="s">
        <v>2849</v>
      </c>
      <c r="CD510" s="0" t="s">
        <v>256</v>
      </c>
      <c r="CE510" s="0" t="n">
        <v>1</v>
      </c>
      <c r="CF510" s="0" t="s">
        <v>4783</v>
      </c>
      <c r="CI510" s="1" t="n">
        <v>39995</v>
      </c>
      <c r="CJ510" s="1" t="n">
        <v>40756</v>
      </c>
      <c r="CK510" s="124" t="n">
        <v>0.416666666666667</v>
      </c>
      <c r="CL510" s="0" t="s">
        <v>4780</v>
      </c>
      <c r="CM510" s="0" t="n">
        <f aca="false">IF(OR(CI510="",CJ510=""),"",DAYS360(CI510,CJ510)/360)</f>
        <v>2.08333333333333</v>
      </c>
      <c r="CN510" s="0" t="n">
        <f aca="false">IF(OR(CI510="",CJ510=""),"",DAYS360(CI510,CJ510)/30)</f>
        <v>25</v>
      </c>
      <c r="CO510" s="0" t="n">
        <f aca="false">IF(OR(CI510="",CJ510=""),"",DAYS360(CI510,CJ510)/7)</f>
        <v>107.142857142857</v>
      </c>
      <c r="CP510" s="0" t="n">
        <f aca="false">IF(OR(CI510="",CJ510=""),"",DAYS360(CI510,CJ510))</f>
        <v>750</v>
      </c>
      <c r="CQ510" s="0" t="s">
        <v>240</v>
      </c>
      <c r="CR510" s="0" t="n">
        <v>1</v>
      </c>
      <c r="CT510" s="0" t="n">
        <v>600</v>
      </c>
      <c r="CU510" s="0" t="n">
        <v>0</v>
      </c>
      <c r="CV510" s="0" t="n">
        <f aca="false">IF(OR(CT510="",CT510="NO ESPECIFICA",CT510="NO MENCIONA"),"",IF(CU510=0,CT510,IF(CU510=1,CT510/30,IF(CU510=2,CT510/15,IF(CU510=3,CT510/7,"")))))</f>
        <v>600</v>
      </c>
      <c r="CW510" s="125" t="s">
        <v>216</v>
      </c>
      <c r="CX510" s="0" t="s">
        <v>216</v>
      </c>
      <c r="CY510" s="0" t="str">
        <f aca="false">IF(CW510="","",IF(CX510=0,CW510,IF(CX510=1,CW510/30,IF(CX510=2,CW510/15,IF(CX510=3,CW510/7,CW510)))))</f>
        <v>NO MENCIONA</v>
      </c>
      <c r="CZ510" s="0" t="n">
        <f aca="false">IF(DI510&gt;0,DI510,IF(CY510&gt;0,CY510,IF(CV510&gt;0,CV510,"")))</f>
        <v>600</v>
      </c>
      <c r="DA510" s="0" t="n">
        <f aca="false">IF(DM510=1,CZ510/8,IF(OR(DM510=2,DM510=4),CZ510/7,IF(DM510=3,CZ510/7.5,"")))</f>
        <v>75</v>
      </c>
      <c r="DB510" s="0" t="s">
        <v>216</v>
      </c>
      <c r="DC510" s="0" t="s">
        <v>216</v>
      </c>
      <c r="DD510" s="0" t="s">
        <v>216</v>
      </c>
      <c r="DE510" s="0" t="s">
        <v>216</v>
      </c>
      <c r="DF510" s="0" t="s">
        <v>216</v>
      </c>
      <c r="DG510" s="0" t="s">
        <v>216</v>
      </c>
      <c r="DH510" s="0" t="n">
        <v>0</v>
      </c>
      <c r="DI510" s="126" t="n">
        <v>600</v>
      </c>
      <c r="DK510" s="0" t="n">
        <v>1</v>
      </c>
      <c r="DM510" s="0" t="n">
        <v>1</v>
      </c>
      <c r="DN510" s="0" t="n">
        <v>60</v>
      </c>
      <c r="DO510" s="0" t="n">
        <v>3</v>
      </c>
      <c r="DP510" s="0" t="n">
        <v>0</v>
      </c>
      <c r="DQ510" s="0" t="n">
        <v>1</v>
      </c>
      <c r="DR510" s="0"/>
      <c r="DS510" s="0" t="n">
        <v>1</v>
      </c>
      <c r="DU510" s="0" t="n">
        <v>1</v>
      </c>
      <c r="DW510" s="1" t="n">
        <v>39995</v>
      </c>
      <c r="DX510" s="1" t="n">
        <v>40756</v>
      </c>
      <c r="DZ510" s="0"/>
      <c r="EA510" s="0" t="n">
        <v>1</v>
      </c>
      <c r="EC510" s="1" t="n">
        <v>39995</v>
      </c>
      <c r="ED510" s="1" t="n">
        <v>40756</v>
      </c>
      <c r="EF510" s="0"/>
      <c r="EG510" s="0" t="n">
        <v>1</v>
      </c>
      <c r="EH510" s="0" t="n">
        <v>12</v>
      </c>
      <c r="EI510" s="0" t="n">
        <f aca="false">IF(AND(DM510=1,DN510&lt;=48),"",IF(AND(DM510=2,DN510&lt;=42),"",IF(AND(DM510=3,DN510&lt;=45),"",EH510)))</f>
        <v>12</v>
      </c>
      <c r="EJ510" s="0" t="n">
        <f aca="false">IF(EI510="","",IF(EI510&lt;9,EI510,9))</f>
        <v>9</v>
      </c>
      <c r="EK510" s="0" t="n">
        <f aca="false">IF(EI510="","",IF(EI510&gt;9,EI510-EJ510,0))</f>
        <v>3</v>
      </c>
      <c r="EL510" s="0" t="n">
        <f aca="false">IF(EI510="","",EJ510*DA510*2+EK510*DA510*3)</f>
        <v>2025</v>
      </c>
      <c r="EP510" s="0" t="n">
        <v>0</v>
      </c>
      <c r="EQ510" s="0"/>
      <c r="ER510" s="0" t="n">
        <v>0</v>
      </c>
      <c r="ET510" s="0" t="n">
        <v>0</v>
      </c>
      <c r="EV510" s="0" t="n">
        <v>0</v>
      </c>
      <c r="EX510" s="0" t="n">
        <v>1</v>
      </c>
      <c r="EY510" s="0" t="n">
        <v>0</v>
      </c>
      <c r="EZ510" s="0"/>
      <c r="FA510" s="4" t="n">
        <v>0</v>
      </c>
      <c r="FB510" s="0" t="n">
        <v>1</v>
      </c>
      <c r="FC510" s="1" t="n">
        <v>41151</v>
      </c>
      <c r="FD510" s="0" t="n">
        <v>1</v>
      </c>
      <c r="FE510" s="0" t="n">
        <v>35000</v>
      </c>
      <c r="FF510" s="120" t="n">
        <f aca="false">(CJ510-CI510+1)/365</f>
        <v>2.08767123287671</v>
      </c>
      <c r="FG510" s="0" t="str">
        <f aca="false">CONCATENATE(F510,"/",G510)</f>
        <v>1560/2011</v>
      </c>
      <c r="FH510" s="0" t="n">
        <v>1</v>
      </c>
      <c r="FI510" s="0" t="n">
        <f aca="false">IFERROR(IF((FC510-J510+1)/365&gt;3,0,1),"")</f>
        <v>1</v>
      </c>
    </row>
    <row r="511" customFormat="false" ht="15" hidden="false" customHeight="false" outlineLevel="0" collapsed="false">
      <c r="A511" s="5" t="str">
        <f aca="false">E511&amp;G511&amp;F511</f>
        <v>720111568</v>
      </c>
      <c r="B511" s="0" t="s">
        <v>2737</v>
      </c>
      <c r="C511" s="1" t="n">
        <v>42358</v>
      </c>
      <c r="E511" s="0" t="n">
        <v>7</v>
      </c>
      <c r="F511" s="0" t="n">
        <v>1568</v>
      </c>
      <c r="G511" s="0" t="n">
        <v>2011</v>
      </c>
      <c r="H511" s="0" t="str">
        <f aca="false">"J"&amp;E511&amp;"\"&amp;F511&amp;"\"&amp;G511&amp;"\"&amp;W511</f>
        <v>J7\1568\2011\1</v>
      </c>
      <c r="I511" s="0"/>
      <c r="J511" s="1" t="n">
        <v>40795</v>
      </c>
      <c r="K511" s="0" t="n">
        <v>0</v>
      </c>
      <c r="M511" s="1"/>
      <c r="N511" s="1"/>
      <c r="O511" s="1"/>
      <c r="P511" s="1"/>
      <c r="Q511" s="1"/>
      <c r="T511" s="121"/>
      <c r="U511" s="121"/>
      <c r="V511" s="122" t="n">
        <f aca="false">IF(AND(E511&gt;0,F511&gt;0,G511&gt;0),COUNTIFS($E:$E,E511,$F:$F,F511,$G:$G,G511),"")</f>
        <v>1</v>
      </c>
      <c r="W511" s="122" t="n">
        <f aca="false">IF(V511="","",IF(V511=1,1,IF(AND(E510=E511,F510=F511,G510=G511),W510+1,1)))</f>
        <v>1</v>
      </c>
      <c r="X511" s="0" t="n">
        <v>1</v>
      </c>
      <c r="Y511" s="0" t="n">
        <v>2</v>
      </c>
      <c r="Z511" s="0" t="s">
        <v>4784</v>
      </c>
      <c r="AA511" s="0" t="n">
        <v>0</v>
      </c>
      <c r="AB511" s="0" t="s">
        <v>1812</v>
      </c>
      <c r="AC511" s="0" t="s">
        <v>228</v>
      </c>
      <c r="AD511" s="0" t="s">
        <v>229</v>
      </c>
      <c r="AE511" s="0" t="n">
        <v>0</v>
      </c>
      <c r="AF511" s="0" t="s">
        <v>4785</v>
      </c>
      <c r="AG511" s="0" t="n">
        <v>1</v>
      </c>
      <c r="AH511" s="0" t="s">
        <v>4786</v>
      </c>
      <c r="AI511" s="0" t="s">
        <v>4787</v>
      </c>
      <c r="AJ511" s="0" t="s">
        <v>211</v>
      </c>
      <c r="AL511" s="0" t="s">
        <v>1637</v>
      </c>
      <c r="AM511" s="0" t="n">
        <v>1</v>
      </c>
      <c r="AN511" s="0" t="s">
        <v>4786</v>
      </c>
      <c r="AO511" s="0" t="s">
        <v>4787</v>
      </c>
      <c r="AP511" s="0" t="s">
        <v>211</v>
      </c>
      <c r="BR511" s="0" t="n">
        <v>3</v>
      </c>
      <c r="BS511" s="0" t="s">
        <v>2900</v>
      </c>
      <c r="BT511" s="0" t="s">
        <v>1818</v>
      </c>
      <c r="BU511" s="0" t="s">
        <v>1841</v>
      </c>
      <c r="BV511" s="123"/>
      <c r="BW511" s="123"/>
      <c r="BX511" s="123"/>
      <c r="BY511" s="123"/>
      <c r="CA511" s="0" t="s">
        <v>348</v>
      </c>
      <c r="CD511" s="0" t="s">
        <v>502</v>
      </c>
      <c r="CE511" s="0" t="n">
        <v>0</v>
      </c>
      <c r="CF511" s="0" t="s">
        <v>4788</v>
      </c>
      <c r="CI511" s="1" t="n">
        <v>38185</v>
      </c>
      <c r="CJ511" s="1" t="n">
        <v>40752</v>
      </c>
      <c r="CK511" s="124" t="n">
        <v>0.65625</v>
      </c>
      <c r="CL511" s="0" t="s">
        <v>4785</v>
      </c>
      <c r="CM511" s="0" t="n">
        <f aca="false">IF(OR(CI511="",CJ511=""),"",DAYS360(CI511,CJ511)/360)</f>
        <v>7.03055555555556</v>
      </c>
      <c r="CN511" s="0" t="n">
        <f aca="false">IF(OR(CI511="",CJ511=""),"",DAYS360(CI511,CJ511)/30)</f>
        <v>84.3666666666667</v>
      </c>
      <c r="CO511" s="0" t="n">
        <f aca="false">IF(OR(CI511="",CJ511=""),"",DAYS360(CI511,CJ511)/7)</f>
        <v>361.571428571429</v>
      </c>
      <c r="CP511" s="0" t="n">
        <f aca="false">IF(OR(CI511="",CJ511=""),"",DAYS360(CI511,CJ511))</f>
        <v>2531</v>
      </c>
      <c r="CQ511" s="0" t="s">
        <v>240</v>
      </c>
      <c r="CR511" s="0" t="n">
        <v>1</v>
      </c>
      <c r="CT511" s="0" t="n">
        <v>350</v>
      </c>
      <c r="CU511" s="0" t="n">
        <v>0</v>
      </c>
      <c r="CV511" s="0" t="n">
        <f aca="false">IF(OR(CT511="",CT511="NO ESPECIFICA",CT511="NO MENCIONA"),"",IF(CU511=0,CT511,IF(CU511=1,CT511/30,IF(CU511=2,CT511/15,IF(CU511=3,CT511/7,"")))))</f>
        <v>350</v>
      </c>
      <c r="CW511" s="125" t="n">
        <v>367.73</v>
      </c>
      <c r="CX511" s="0" t="n">
        <v>0</v>
      </c>
      <c r="CY511" s="0" t="n">
        <f aca="false">IF(CW511="","",IF(CX511=0,CW511,IF(CX511=1,CW511/30,IF(CX511=2,CW511/15,IF(CX511=3,CW511/7,CW511)))))</f>
        <v>367.73</v>
      </c>
      <c r="CZ511" s="0" t="n">
        <f aca="false">IF(DI511&gt;0,DI511,IF(CY511&gt;0,CY511,IF(CV511&gt;0,CV511,"")))</f>
        <v>367.73</v>
      </c>
      <c r="DA511" s="0" t="n">
        <f aca="false">IF(DM511=1,CZ511/8,IF(OR(DM511=2,DM511=4),CZ511/7,IF(DM511=3,CZ511/7.5,"")))</f>
        <v>45.96625</v>
      </c>
      <c r="DB511" s="0" t="s">
        <v>303</v>
      </c>
      <c r="DC511" s="0" t="s">
        <v>301</v>
      </c>
      <c r="DD511" s="0" t="s">
        <v>216</v>
      </c>
      <c r="DE511" s="0" t="s">
        <v>216</v>
      </c>
      <c r="DF511" s="0" t="s">
        <v>216</v>
      </c>
      <c r="DG511" s="0" t="s">
        <v>216</v>
      </c>
      <c r="DH511" s="0" t="n">
        <v>0</v>
      </c>
      <c r="DI511" s="126" t="n">
        <v>367.73</v>
      </c>
      <c r="DK511" s="0" t="n">
        <v>0</v>
      </c>
      <c r="DM511" s="0" t="n">
        <v>1</v>
      </c>
      <c r="DN511" s="0" t="n">
        <v>96</v>
      </c>
      <c r="DO511" s="0" t="n">
        <v>3</v>
      </c>
      <c r="DP511" s="0" t="n">
        <v>0</v>
      </c>
      <c r="DQ511" s="0" t="n">
        <v>1</v>
      </c>
      <c r="DR511" s="0"/>
      <c r="DS511" s="0" t="n">
        <v>1</v>
      </c>
      <c r="DU511" s="0" t="n">
        <v>1</v>
      </c>
      <c r="DW511" s="1" t="n">
        <v>40376</v>
      </c>
      <c r="DX511" s="1" t="n">
        <v>40752</v>
      </c>
      <c r="DZ511" s="0"/>
      <c r="EA511" s="0" t="n">
        <v>1</v>
      </c>
      <c r="EC511" s="1" t="n">
        <v>40179</v>
      </c>
      <c r="ED511" s="1" t="n">
        <v>40752</v>
      </c>
      <c r="EF511" s="0"/>
      <c r="EG511" s="0" t="n">
        <v>1</v>
      </c>
      <c r="EH511" s="0" t="n">
        <v>48</v>
      </c>
      <c r="EI511" s="0" t="n">
        <f aca="false">IF(AND(DM511=1,DN511&lt;=48),"",IF(AND(DM511=2,DN511&lt;=42),"",IF(AND(DM511=3,DN511&lt;=45),"",EH511)))</f>
        <v>48</v>
      </c>
      <c r="EJ511" s="0" t="n">
        <f aca="false">IF(EI511="","",IF(EI511&lt;9,EI511,9))</f>
        <v>9</v>
      </c>
      <c r="EK511" s="0" t="n">
        <f aca="false">IF(EI511="","",IF(EI511&gt;9,EI511-EJ511,0))</f>
        <v>39</v>
      </c>
      <c r="EL511" s="0" t="n">
        <f aca="false">IF(EI511="","",EJ511*DA511*2+EK511*DA511*3)</f>
        <v>6205.44375</v>
      </c>
      <c r="EP511" s="0" t="n">
        <v>0</v>
      </c>
      <c r="EQ511" s="0"/>
      <c r="ER511" s="0" t="n">
        <v>0</v>
      </c>
      <c r="ET511" s="0" t="n">
        <v>0</v>
      </c>
      <c r="EV511" s="0" t="n">
        <v>0</v>
      </c>
      <c r="EX511" s="0" t="n">
        <v>0</v>
      </c>
      <c r="EY511" s="0" t="n">
        <v>0</v>
      </c>
      <c r="EZ511" s="0"/>
      <c r="FA511" s="4" t="n">
        <v>0</v>
      </c>
      <c r="FB511" s="0" t="n">
        <v>1</v>
      </c>
      <c r="FC511" s="1" t="n">
        <v>41212</v>
      </c>
      <c r="FD511" s="0" t="n">
        <v>2</v>
      </c>
      <c r="FE511" s="0" t="n">
        <v>0</v>
      </c>
      <c r="FF511" s="120" t="n">
        <f aca="false">(CJ511-CI511+1)/365</f>
        <v>7.03561643835617</v>
      </c>
      <c r="FG511" s="0" t="str">
        <f aca="false">CONCATENATE(F511,"/",G511)</f>
        <v>1568/2011</v>
      </c>
      <c r="FH511" s="0" t="n">
        <v>1</v>
      </c>
      <c r="FI511" s="0" t="n">
        <f aca="false">IFERROR(IF((FC511-J511+1)/365&gt;3,0,1),"")</f>
        <v>1</v>
      </c>
    </row>
    <row r="512" customFormat="false" ht="15" hidden="false" customHeight="false" outlineLevel="0" collapsed="false">
      <c r="A512" s="5" t="str">
        <f aca="false">E512&amp;G512&amp;F512</f>
        <v>720111571</v>
      </c>
      <c r="B512" s="0" t="s">
        <v>2737</v>
      </c>
      <c r="C512" s="1" t="n">
        <v>42364</v>
      </c>
      <c r="E512" s="0" t="n">
        <v>7</v>
      </c>
      <c r="F512" s="0" t="n">
        <v>1571</v>
      </c>
      <c r="G512" s="0" t="n">
        <v>2011</v>
      </c>
      <c r="H512" s="0" t="str">
        <f aca="false">"J"&amp;E512&amp;"\"&amp;F512&amp;"\"&amp;G512&amp;"\"&amp;W512</f>
        <v>J7\1571\2011\1</v>
      </c>
      <c r="I512" s="0"/>
      <c r="J512" s="1" t="n">
        <v>40795</v>
      </c>
      <c r="K512" s="0" t="n">
        <v>0</v>
      </c>
      <c r="M512" s="1" t="n">
        <v>40795</v>
      </c>
      <c r="N512" s="1" t="n">
        <v>41032</v>
      </c>
      <c r="O512" s="1"/>
      <c r="P512" s="1"/>
      <c r="Q512" s="1"/>
      <c r="T512" s="121"/>
      <c r="U512" s="121"/>
      <c r="V512" s="122" t="n">
        <f aca="false">IF(AND(E512&gt;0,F512&gt;0,G512&gt;0),COUNTIFS($E:$E,E512,$F:$F,F512,$G:$G,G512),"")</f>
        <v>1</v>
      </c>
      <c r="W512" s="122" t="n">
        <f aca="false">IF(V512="","",IF(V512=1,1,IF(AND(E511=E512,F511=F512,G511=G512),W511+1,1)))</f>
        <v>1</v>
      </c>
      <c r="X512" s="0" t="n">
        <v>1</v>
      </c>
      <c r="Y512" s="0" t="n">
        <v>4</v>
      </c>
      <c r="Z512" s="0" t="s">
        <v>4789</v>
      </c>
      <c r="AA512" s="0" t="n">
        <v>0</v>
      </c>
      <c r="AB512" s="0" t="s">
        <v>1812</v>
      </c>
      <c r="AC512" s="0" t="s">
        <v>228</v>
      </c>
      <c r="AD512" s="0" t="s">
        <v>229</v>
      </c>
      <c r="AE512" s="0" t="n">
        <v>0</v>
      </c>
      <c r="AF512" s="0" t="s">
        <v>4790</v>
      </c>
      <c r="AG512" s="0" t="n">
        <v>0</v>
      </c>
      <c r="AH512" s="0" t="s">
        <v>4791</v>
      </c>
      <c r="AI512" s="0" t="s">
        <v>1635</v>
      </c>
      <c r="AJ512" s="0" t="s">
        <v>229</v>
      </c>
      <c r="AL512" s="0" t="s">
        <v>4792</v>
      </c>
      <c r="AM512" s="0" t="n">
        <v>2</v>
      </c>
      <c r="AN512" s="0" t="s">
        <v>4791</v>
      </c>
      <c r="AO512" s="0" t="s">
        <v>1635</v>
      </c>
      <c r="AP512" s="0" t="s">
        <v>229</v>
      </c>
      <c r="AR512" s="0" t="s">
        <v>4793</v>
      </c>
      <c r="AS512" s="0" t="n">
        <v>1</v>
      </c>
      <c r="AT512" s="0" t="s">
        <v>4791</v>
      </c>
      <c r="AU512" s="0" t="s">
        <v>1635</v>
      </c>
      <c r="AV512" s="0" t="s">
        <v>229</v>
      </c>
      <c r="AX512" s="0" t="s">
        <v>1637</v>
      </c>
      <c r="AY512" s="0" t="n">
        <v>1</v>
      </c>
      <c r="AZ512" s="0" t="s">
        <v>4791</v>
      </c>
      <c r="BA512" s="0" t="s">
        <v>1635</v>
      </c>
      <c r="BB512" s="0" t="s">
        <v>229</v>
      </c>
      <c r="BR512" s="0" t="n">
        <v>3</v>
      </c>
      <c r="BS512" s="0" t="s">
        <v>4794</v>
      </c>
      <c r="BT512" s="0" t="s">
        <v>1818</v>
      </c>
      <c r="BU512" s="0" t="s">
        <v>1841</v>
      </c>
      <c r="BV512" s="123"/>
      <c r="BW512" s="123"/>
      <c r="BX512" s="123"/>
      <c r="BY512" s="123"/>
      <c r="CA512" s="0" t="s">
        <v>348</v>
      </c>
      <c r="CD512" s="0" t="s">
        <v>296</v>
      </c>
      <c r="CE512" s="0" t="n">
        <v>0</v>
      </c>
      <c r="CF512" s="0" t="s">
        <v>4795</v>
      </c>
      <c r="CI512" s="1" t="n">
        <v>40680</v>
      </c>
      <c r="CJ512" s="1" t="n">
        <v>40737</v>
      </c>
      <c r="CK512" s="124" t="n">
        <v>0.427083333333333</v>
      </c>
      <c r="CL512" s="0" t="s">
        <v>4793</v>
      </c>
      <c r="CM512" s="0" t="n">
        <f aca="false">IF(OR(CI512="",CJ512=""),"",DAYS360(CI512,CJ512)/360)</f>
        <v>0.155555555555556</v>
      </c>
      <c r="CN512" s="0" t="n">
        <f aca="false">IF(OR(CI512="",CJ512=""),"",DAYS360(CI512,CJ512)/30)</f>
        <v>1.86666666666667</v>
      </c>
      <c r="CO512" s="0" t="n">
        <f aca="false">IF(OR(CI512="",CJ512=""),"",DAYS360(CI512,CJ512)/7)</f>
        <v>8</v>
      </c>
      <c r="CP512" s="0" t="n">
        <f aca="false">IF(OR(CI512="",CJ512=""),"",DAYS360(CI512,CJ512))</f>
        <v>56</v>
      </c>
      <c r="CQ512" s="0" t="s">
        <v>240</v>
      </c>
      <c r="CR512" s="0" t="n">
        <v>1</v>
      </c>
      <c r="CT512" s="0" t="n">
        <v>181.67</v>
      </c>
      <c r="CU512" s="0" t="n">
        <v>0</v>
      </c>
      <c r="CV512" s="0" t="n">
        <f aca="false">IF(OR(CT512="",CT512="NO ESPECIFICA",CT512="NO MENCIONA"),"",IF(CU512=0,CT512,IF(CU512=1,CT512/30,IF(CU512=2,CT512/15,IF(CU512=3,CT512/7,"")))))</f>
        <v>181.67</v>
      </c>
      <c r="CW512" s="125" t="n">
        <v>189.88</v>
      </c>
      <c r="CX512" s="0" t="n">
        <v>0</v>
      </c>
      <c r="CY512" s="0" t="n">
        <f aca="false">IF(CW512="","",IF(CX512=0,CW512,IF(CX512=1,CW512/30,IF(CX512=2,CW512/15,IF(CX512=3,CW512/7,CW512)))))</f>
        <v>189.88</v>
      </c>
      <c r="CZ512" s="0" t="n">
        <f aca="false">IF(DI512&gt;0,DI512,IF(CY512&gt;0,CY512,IF(CV512&gt;0,CV512,"")))</f>
        <v>189.88</v>
      </c>
      <c r="DA512" s="0" t="n">
        <f aca="false">IF(DM512=1,CZ512/8,IF(OR(DM512=2,DM512=4),CZ512/7,IF(DM512=3,CZ512/7.5,"")))</f>
        <v>23.735</v>
      </c>
      <c r="DB512" s="0" t="s">
        <v>303</v>
      </c>
      <c r="DC512" s="0" t="s">
        <v>301</v>
      </c>
      <c r="DD512" s="0" t="s">
        <v>216</v>
      </c>
      <c r="DE512" s="0" t="s">
        <v>216</v>
      </c>
      <c r="DF512" s="0" t="s">
        <v>216</v>
      </c>
      <c r="DG512" s="0" t="s">
        <v>216</v>
      </c>
      <c r="DH512" s="0" t="n">
        <v>0</v>
      </c>
      <c r="DI512" s="126" t="n">
        <v>189.88</v>
      </c>
      <c r="DK512" s="0" t="n">
        <v>1</v>
      </c>
      <c r="DM512" s="0" t="n">
        <v>1</v>
      </c>
      <c r="DN512" s="0" t="n">
        <v>54</v>
      </c>
      <c r="DO512" s="0" t="n">
        <v>3</v>
      </c>
      <c r="DP512" s="0" t="n">
        <v>0</v>
      </c>
      <c r="DQ512" s="0" t="n">
        <v>1</v>
      </c>
      <c r="DR512" s="0"/>
      <c r="DS512" s="0" t="n">
        <v>1</v>
      </c>
      <c r="DU512" s="0" t="n">
        <v>1</v>
      </c>
      <c r="DW512" s="1" t="n">
        <v>40680</v>
      </c>
      <c r="DX512" s="1" t="n">
        <v>40737</v>
      </c>
      <c r="DZ512" s="0"/>
      <c r="EA512" s="0" t="n">
        <v>1</v>
      </c>
      <c r="EC512" s="1" t="n">
        <v>40680</v>
      </c>
      <c r="ED512" s="1" t="n">
        <v>40737</v>
      </c>
      <c r="EF512" s="0"/>
      <c r="EG512" s="0" t="n">
        <v>1</v>
      </c>
      <c r="EH512" s="0" t="n">
        <v>6</v>
      </c>
      <c r="EI512" s="0" t="n">
        <f aca="false">IF(AND(DM512=1,DN512&lt;=48),"",IF(AND(DM512=2,DN512&lt;=42),"",IF(AND(DM512=3,DN512&lt;=45),"",EH512)))</f>
        <v>6</v>
      </c>
      <c r="EJ512" s="0" t="n">
        <f aca="false">IF(EI512="","",IF(EI512&lt;9,EI512,9))</f>
        <v>6</v>
      </c>
      <c r="EK512" s="0" t="n">
        <f aca="false">IF(EI512="","",IF(EI512&gt;9,EI512-EJ512,0))</f>
        <v>0</v>
      </c>
      <c r="EL512" s="0" t="n">
        <f aca="false">IF(EI512="","",EJ512*DA512*2+EK512*DA512*3)</f>
        <v>284.82</v>
      </c>
      <c r="EP512" s="0" t="n">
        <v>0</v>
      </c>
      <c r="EQ512" s="0"/>
      <c r="ER512" s="0" t="n">
        <v>0</v>
      </c>
      <c r="ET512" s="0" t="n">
        <v>0</v>
      </c>
      <c r="EV512" s="0" t="n">
        <v>0</v>
      </c>
      <c r="EX512" s="0" t="n">
        <v>0</v>
      </c>
      <c r="EY512" s="0" t="n">
        <v>0</v>
      </c>
      <c r="EZ512" s="0"/>
      <c r="FA512" s="4" t="n">
        <v>0</v>
      </c>
      <c r="FB512" s="0" t="n">
        <v>1</v>
      </c>
      <c r="FC512" s="1" t="n">
        <v>41682</v>
      </c>
      <c r="FD512" s="0" t="n">
        <v>1</v>
      </c>
      <c r="FE512" s="0" t="n">
        <v>5000</v>
      </c>
      <c r="FF512" s="120" t="n">
        <f aca="false">(CJ512-CI512+1)/365</f>
        <v>0.158904109589041</v>
      </c>
      <c r="FG512" s="0" t="str">
        <f aca="false">CONCATENATE(F512,"/",G512)</f>
        <v>1571/2011</v>
      </c>
      <c r="FH512" s="0" t="n">
        <v>1</v>
      </c>
      <c r="FI512" s="0" t="n">
        <f aca="false">IFERROR(IF((FC512-J512+1)/365&gt;3,0,1),"")</f>
        <v>1</v>
      </c>
    </row>
    <row r="513" customFormat="false" ht="15" hidden="false" customHeight="false" outlineLevel="0" collapsed="false">
      <c r="A513" s="5" t="str">
        <f aca="false">E513&amp;G513&amp;F513</f>
        <v>720111573</v>
      </c>
      <c r="B513" s="0" t="s">
        <v>2737</v>
      </c>
      <c r="C513" s="1" t="n">
        <v>42364</v>
      </c>
      <c r="E513" s="0" t="n">
        <v>7</v>
      </c>
      <c r="F513" s="0" t="n">
        <v>1573</v>
      </c>
      <c r="G513" s="0" t="n">
        <v>2011</v>
      </c>
      <c r="H513" s="0" t="str">
        <f aca="false">"J"&amp;E513&amp;"\"&amp;F513&amp;"\"&amp;G513&amp;"\"&amp;W513</f>
        <v>J7\1573\2011\1</v>
      </c>
      <c r="I513" s="0"/>
      <c r="J513" s="1" t="n">
        <v>40798</v>
      </c>
      <c r="K513" s="0" t="n">
        <v>0</v>
      </c>
      <c r="M513" s="1"/>
      <c r="N513" s="1"/>
      <c r="O513" s="1"/>
      <c r="P513" s="1"/>
      <c r="Q513" s="1"/>
      <c r="T513" s="121"/>
      <c r="U513" s="121"/>
      <c r="V513" s="122" t="n">
        <f aca="false">IF(AND(E513&gt;0,F513&gt;0,G513&gt;0),COUNTIFS($E:$E,E513,$F:$F,F513,$G:$G,G513),"")</f>
        <v>1</v>
      </c>
      <c r="W513" s="122" t="n">
        <f aca="false">IF(V513="","",IF(V513=1,1,IF(AND(E512=E513,F512=F513,G512=G513),W512+1,1)))</f>
        <v>1</v>
      </c>
      <c r="X513" s="0" t="n">
        <v>1</v>
      </c>
      <c r="Y513" s="0" t="n">
        <v>5</v>
      </c>
      <c r="Z513" s="0" t="s">
        <v>4796</v>
      </c>
      <c r="AA513" s="0" t="n">
        <v>0</v>
      </c>
      <c r="AB513" s="0" t="s">
        <v>4797</v>
      </c>
      <c r="AC513" s="0" t="s">
        <v>1635</v>
      </c>
      <c r="AD513" s="0" t="s">
        <v>229</v>
      </c>
      <c r="AE513" s="0" t="n">
        <v>0</v>
      </c>
      <c r="AF513" s="0" t="s">
        <v>4798</v>
      </c>
      <c r="AG513" s="0" t="n">
        <v>0</v>
      </c>
      <c r="AH513" s="0" t="s">
        <v>4799</v>
      </c>
      <c r="AI513" s="0" t="s">
        <v>4800</v>
      </c>
      <c r="AJ513" s="0" t="s">
        <v>590</v>
      </c>
      <c r="AL513" s="0" t="s">
        <v>4801</v>
      </c>
      <c r="AM513" s="0" t="n">
        <v>1</v>
      </c>
      <c r="AN513" s="0" t="s">
        <v>4799</v>
      </c>
      <c r="AO513" s="0" t="s">
        <v>4800</v>
      </c>
      <c r="AP513" s="0" t="s">
        <v>590</v>
      </c>
      <c r="AR513" s="0" t="s">
        <v>4802</v>
      </c>
      <c r="AS513" s="0" t="n">
        <v>1</v>
      </c>
      <c r="AT513" s="0" t="s">
        <v>4799</v>
      </c>
      <c r="AU513" s="0" t="s">
        <v>4800</v>
      </c>
      <c r="AV513" s="0" t="s">
        <v>590</v>
      </c>
      <c r="AX513" s="0" t="s">
        <v>249</v>
      </c>
      <c r="AY513" s="0" t="n">
        <v>0</v>
      </c>
      <c r="AZ513" s="0" t="s">
        <v>4772</v>
      </c>
      <c r="BA513" s="0" t="s">
        <v>410</v>
      </c>
      <c r="BB513" s="0" t="s">
        <v>411</v>
      </c>
      <c r="BD513" s="0" t="s">
        <v>412</v>
      </c>
      <c r="BE513" s="0" t="n">
        <v>0</v>
      </c>
      <c r="BF513" s="0" t="s">
        <v>437</v>
      </c>
      <c r="BG513" s="0" t="s">
        <v>438</v>
      </c>
      <c r="BH513" s="0" t="s">
        <v>352</v>
      </c>
      <c r="BR513" s="0" t="n">
        <v>1</v>
      </c>
      <c r="BS513" s="0" t="s">
        <v>4803</v>
      </c>
      <c r="BT513" s="0" t="s">
        <v>4804</v>
      </c>
      <c r="BU513" s="0" t="s">
        <v>4805</v>
      </c>
      <c r="BV513" s="123"/>
      <c r="BW513" s="123"/>
      <c r="BX513" s="123"/>
      <c r="BY513" s="123"/>
      <c r="CA513" s="0" t="s">
        <v>4806</v>
      </c>
      <c r="CD513" s="0" t="s">
        <v>256</v>
      </c>
      <c r="CE513" s="0" t="n">
        <v>0</v>
      </c>
      <c r="CF513" s="0" t="s">
        <v>4807</v>
      </c>
      <c r="CI513" s="1" t="n">
        <v>38749</v>
      </c>
      <c r="CJ513" s="1" t="n">
        <v>40771</v>
      </c>
      <c r="CK513" s="124" t="n">
        <v>0.25</v>
      </c>
      <c r="CL513" s="0" t="s">
        <v>4802</v>
      </c>
      <c r="CM513" s="0" t="n">
        <f aca="false">IF(OR(CI513="",CJ513=""),"",DAYS360(CI513,CJ513)/360)</f>
        <v>5.54166666666667</v>
      </c>
      <c r="CN513" s="0" t="n">
        <f aca="false">IF(OR(CI513="",CJ513=""),"",DAYS360(CI513,CJ513)/30)</f>
        <v>66.5</v>
      </c>
      <c r="CO513" s="0" t="n">
        <f aca="false">IF(OR(CI513="",CJ513=""),"",DAYS360(CI513,CJ513)/7)</f>
        <v>285</v>
      </c>
      <c r="CP513" s="0" t="n">
        <f aca="false">IF(OR(CI513="",CJ513=""),"",DAYS360(CI513,CJ513))</f>
        <v>1995</v>
      </c>
      <c r="CQ513" s="0" t="s">
        <v>240</v>
      </c>
      <c r="CR513" s="0" t="n">
        <v>1</v>
      </c>
      <c r="CT513" s="0" t="s">
        <v>221</v>
      </c>
      <c r="CU513" s="0" t="s">
        <v>221</v>
      </c>
      <c r="CV513" s="0" t="str">
        <f aca="false">IF(OR(CT513="",CT513="NO ESPECIFICA",CT513="NO MENCIONA"),"",IF(CU513=0,CT513,IF(CU513=1,CT513/30,IF(CU513=2,CT513/15,IF(CU513=3,CT513/7,"")))))</f>
        <v/>
      </c>
      <c r="CW513" s="125" t="n">
        <v>2500</v>
      </c>
      <c r="CX513" s="0" t="n">
        <v>2</v>
      </c>
      <c r="CY513" s="0" t="n">
        <f aca="false">IF(CW513="","",IF(CX513=0,CW513,IF(CX513=1,CW513/30,IF(CX513=2,CW513/15,IF(CX513=3,CW513/7,CW513)))))</f>
        <v>166.666666666667</v>
      </c>
      <c r="CZ513" s="0" t="n">
        <f aca="false">IF(DI513&gt;0,DI513,IF(CY513&gt;0,CY513,IF(CV513&gt;0,CV513,"")))</f>
        <v>166.666666666667</v>
      </c>
      <c r="DA513" s="0" t="n">
        <f aca="false">IF(DM513=1,CZ513/8,IF(OR(DM513=2,DM513=4),CZ513/7,IF(DM513=3,CZ513/7.5,"")))</f>
        <v>23.8095238095238</v>
      </c>
      <c r="DB513" s="0" t="s">
        <v>216</v>
      </c>
      <c r="DC513" s="0" t="s">
        <v>216</v>
      </c>
      <c r="DD513" s="0" t="s">
        <v>216</v>
      </c>
      <c r="DE513" s="0" t="s">
        <v>216</v>
      </c>
      <c r="DF513" s="0" t="s">
        <v>216</v>
      </c>
      <c r="DG513" s="0" t="s">
        <v>216</v>
      </c>
      <c r="DH513" s="0" t="n">
        <v>0</v>
      </c>
      <c r="DI513" s="126" t="n">
        <v>166.666666666667</v>
      </c>
      <c r="DK513" s="0" t="n">
        <v>0</v>
      </c>
      <c r="DM513" s="0" t="n">
        <v>2</v>
      </c>
      <c r="DN513" s="0" t="n">
        <v>48</v>
      </c>
      <c r="DO513" s="0" t="n">
        <v>3</v>
      </c>
      <c r="DP513" s="0" t="n">
        <v>0</v>
      </c>
      <c r="DQ513" s="0" t="n">
        <v>1</v>
      </c>
      <c r="DR513" s="0"/>
      <c r="DS513" s="0" t="n">
        <v>1</v>
      </c>
      <c r="DU513" s="0" t="n">
        <v>1</v>
      </c>
      <c r="DW513" s="1" t="n">
        <v>38749</v>
      </c>
      <c r="DX513" s="1" t="n">
        <v>40771</v>
      </c>
      <c r="DZ513" s="0"/>
      <c r="EA513" s="0" t="n">
        <v>1</v>
      </c>
      <c r="EC513" s="1" t="n">
        <v>38749</v>
      </c>
      <c r="ED513" s="1" t="n">
        <v>40771</v>
      </c>
      <c r="EF513" s="0"/>
      <c r="EG513" s="0" t="n">
        <v>1</v>
      </c>
      <c r="EH513" s="0" t="n">
        <v>6</v>
      </c>
      <c r="EI513" s="0" t="n">
        <f aca="false">IF(AND(DM513=1,DN513&lt;=48),"",IF(AND(DM513=2,DN513&lt;=42),"",IF(AND(DM513=3,DN513&lt;=45),"",EH513)))</f>
        <v>6</v>
      </c>
      <c r="EJ513" s="0" t="n">
        <f aca="false">IF(EI513="","",IF(EI513&lt;9,EI513,9))</f>
        <v>6</v>
      </c>
      <c r="EK513" s="0" t="n">
        <f aca="false">IF(EI513="","",IF(EI513&gt;9,EI513-EJ513,0))</f>
        <v>0</v>
      </c>
      <c r="EL513" s="0" t="n">
        <f aca="false">IF(EI513="","",EJ513*DA513*2+EK513*DA513*3)</f>
        <v>285.714285714286</v>
      </c>
      <c r="EP513" s="0" t="n">
        <v>0</v>
      </c>
      <c r="EQ513" s="0"/>
      <c r="ER513" s="0" t="n">
        <v>0</v>
      </c>
      <c r="ET513" s="0" t="n">
        <v>0</v>
      </c>
      <c r="EV513" s="0" t="n">
        <v>0</v>
      </c>
      <c r="EX513" s="0" t="n">
        <v>1</v>
      </c>
      <c r="EY513" s="0" t="n">
        <v>0</v>
      </c>
      <c r="EZ513" s="0"/>
      <c r="FA513" s="4" t="n">
        <v>2666.66666666667</v>
      </c>
      <c r="FB513" s="0" t="n">
        <v>1</v>
      </c>
      <c r="FC513" s="1" t="n">
        <v>41535</v>
      </c>
      <c r="FD513" s="0" t="n">
        <v>4</v>
      </c>
      <c r="FE513" s="0" t="n">
        <v>0</v>
      </c>
      <c r="FF513" s="120" t="n">
        <f aca="false">(CJ513-CI513+1)/365</f>
        <v>5.54246575342466</v>
      </c>
      <c r="FG513" s="0" t="str">
        <f aca="false">CONCATENATE(F513,"/",G513)</f>
        <v>1573/2011</v>
      </c>
      <c r="FH513" s="0" t="n">
        <v>1</v>
      </c>
      <c r="FI513" s="0" t="n">
        <f aca="false">IFERROR(IF((FC513-J513+1)/365&gt;3,0,1),"")</f>
        <v>1</v>
      </c>
    </row>
    <row r="514" customFormat="false" ht="15" hidden="false" customHeight="false" outlineLevel="0" collapsed="false">
      <c r="A514" s="5" t="str">
        <f aca="false">E514&amp;G514&amp;F514</f>
        <v>720111574</v>
      </c>
      <c r="B514" s="0" t="s">
        <v>2737</v>
      </c>
      <c r="C514" s="1" t="n">
        <v>42364</v>
      </c>
      <c r="E514" s="0" t="n">
        <v>7</v>
      </c>
      <c r="F514" s="0" t="n">
        <v>1574</v>
      </c>
      <c r="G514" s="0" t="n">
        <v>2011</v>
      </c>
      <c r="H514" s="0" t="str">
        <f aca="false">"J"&amp;E514&amp;"\"&amp;F514&amp;"\"&amp;G514&amp;"\"&amp;W514</f>
        <v>J7\1574\2011\1</v>
      </c>
      <c r="I514" s="0"/>
      <c r="J514" s="1" t="n">
        <v>40798</v>
      </c>
      <c r="K514" s="0" t="n">
        <v>0</v>
      </c>
      <c r="M514" s="1"/>
      <c r="N514" s="1"/>
      <c r="O514" s="1"/>
      <c r="P514" s="1"/>
      <c r="Q514" s="1"/>
      <c r="T514" s="121"/>
      <c r="U514" s="121"/>
      <c r="V514" s="122" t="n">
        <f aca="false">IF(AND(E514&gt;0,F514&gt;0,G514&gt;0),COUNTIFS($E:$E,E514,$F:$F,F514,$G:$G,G514),"")</f>
        <v>1</v>
      </c>
      <c r="W514" s="122" t="n">
        <f aca="false">IF(V514="","",IF(V514=1,1,IF(AND(E513=E514,F513=F514,G513=G514),W513+1,1)))</f>
        <v>1</v>
      </c>
      <c r="X514" s="0" t="n">
        <v>1</v>
      </c>
      <c r="Y514" s="0" t="n">
        <v>4</v>
      </c>
      <c r="Z514" s="0" t="s">
        <v>4808</v>
      </c>
      <c r="AA514" s="0" t="n">
        <v>0</v>
      </c>
      <c r="AB514" s="0" t="s">
        <v>4733</v>
      </c>
      <c r="AD514" s="0" t="s">
        <v>590</v>
      </c>
      <c r="AE514" s="0" t="n">
        <v>0</v>
      </c>
      <c r="AF514" s="0" t="s">
        <v>4734</v>
      </c>
      <c r="AG514" s="0" t="n">
        <v>0</v>
      </c>
      <c r="AH514" s="0" t="s">
        <v>4735</v>
      </c>
      <c r="AI514" s="0" t="s">
        <v>287</v>
      </c>
      <c r="AJ514" s="0" t="s">
        <v>207</v>
      </c>
      <c r="AL514" s="0" t="s">
        <v>4736</v>
      </c>
      <c r="AM514" s="0" t="n">
        <v>0</v>
      </c>
      <c r="AN514" s="0" t="s">
        <v>4737</v>
      </c>
      <c r="AO514" s="0" t="s">
        <v>287</v>
      </c>
      <c r="AP514" s="0" t="s">
        <v>207</v>
      </c>
      <c r="AR514" s="0" t="s">
        <v>4738</v>
      </c>
      <c r="AS514" s="0" t="n">
        <v>1</v>
      </c>
      <c r="AT514" s="0" t="s">
        <v>4737</v>
      </c>
      <c r="AU514" s="0" t="s">
        <v>287</v>
      </c>
      <c r="AV514" s="0" t="s">
        <v>207</v>
      </c>
      <c r="AX514" s="0" t="s">
        <v>4739</v>
      </c>
      <c r="AY514" s="0" t="n">
        <v>1</v>
      </c>
      <c r="AZ514" s="0" t="s">
        <v>4737</v>
      </c>
      <c r="BA514" s="0" t="s">
        <v>287</v>
      </c>
      <c r="BB514" s="0" t="s">
        <v>207</v>
      </c>
      <c r="BR514" s="0" t="n">
        <v>1</v>
      </c>
      <c r="BS514" s="0" t="s">
        <v>4740</v>
      </c>
      <c r="BT514" s="0" t="s">
        <v>4741</v>
      </c>
      <c r="BV514" s="123"/>
      <c r="BW514" s="123"/>
      <c r="BX514" s="123"/>
      <c r="BY514" s="123"/>
      <c r="CA514" s="0" t="s">
        <v>216</v>
      </c>
      <c r="CD514" s="0" t="s">
        <v>216</v>
      </c>
      <c r="CE514" s="0" t="n">
        <v>0</v>
      </c>
      <c r="CF514" s="0" t="s">
        <v>645</v>
      </c>
      <c r="CI514" s="1" t="n">
        <v>40260</v>
      </c>
      <c r="CJ514" s="1" t="n">
        <v>40774</v>
      </c>
      <c r="CK514" s="124" t="n">
        <v>0.666666666666667</v>
      </c>
      <c r="CL514" s="0" t="s">
        <v>4739</v>
      </c>
      <c r="CM514" s="0" t="n">
        <f aca="false">IF(OR(CI514="",CJ514=""),"",DAYS360(CI514,CJ514)/360)</f>
        <v>1.40555555555556</v>
      </c>
      <c r="CN514" s="0" t="n">
        <f aca="false">IF(OR(CI514="",CJ514=""),"",DAYS360(CI514,CJ514)/30)</f>
        <v>16.8666666666667</v>
      </c>
      <c r="CO514" s="0" t="n">
        <f aca="false">IF(OR(CI514="",CJ514=""),"",DAYS360(CI514,CJ514)/7)</f>
        <v>72.2857142857143</v>
      </c>
      <c r="CP514" s="0" t="n">
        <f aca="false">IF(OR(CI514="",CJ514=""),"",DAYS360(CI514,CJ514))</f>
        <v>506</v>
      </c>
      <c r="CQ514" s="0" t="s">
        <v>220</v>
      </c>
      <c r="CR514" s="0" t="n">
        <v>1</v>
      </c>
      <c r="CT514" s="0" t="s">
        <v>221</v>
      </c>
      <c r="CU514" s="0" t="s">
        <v>221</v>
      </c>
      <c r="CV514" s="0" t="str">
        <f aca="false">IF(OR(CT514="",CT514="NO ESPECIFICA",CT514="NO MENCIONA"),"",IF(CU514=0,CT514,IF(CU514=1,CT514/30,IF(CU514=2,CT514/15,IF(CU514=3,CT514/7,"")))))</f>
        <v/>
      </c>
      <c r="CW514" s="125" t="n">
        <v>2300</v>
      </c>
      <c r="CX514" s="0" t="n">
        <v>2</v>
      </c>
      <c r="CY514" s="0" t="n">
        <f aca="false">IF(CW514="","",IF(CX514=0,CW514,IF(CX514=1,CW514/30,IF(CX514=2,CW514/15,IF(CX514=3,CW514/7,CW514)))))</f>
        <v>153.333333333333</v>
      </c>
      <c r="CZ514" s="0" t="n">
        <f aca="false">IF(DI514&gt;0,DI514,IF(CY514&gt;0,CY514,IF(CV514&gt;0,CV514,"")))</f>
        <v>153.333333333333</v>
      </c>
      <c r="DA514" s="0" t="n">
        <f aca="false">IF(DM514=1,CZ514/8,IF(OR(DM514=2,DM514=4),CZ514/7,IF(DM514=3,CZ514/7.5,"")))</f>
        <v>19.1666666666667</v>
      </c>
      <c r="DB514" s="0" t="s">
        <v>216</v>
      </c>
      <c r="DC514" s="0" t="s">
        <v>216</v>
      </c>
      <c r="DD514" s="0" t="s">
        <v>216</v>
      </c>
      <c r="DE514" s="0" t="s">
        <v>216</v>
      </c>
      <c r="DF514" s="0" t="s">
        <v>216</v>
      </c>
      <c r="DG514" s="0" t="s">
        <v>216</v>
      </c>
      <c r="DH514" s="0" t="n">
        <v>0</v>
      </c>
      <c r="DI514" s="126" t="n">
        <v>153.333333333333</v>
      </c>
      <c r="DK514" s="0" t="n">
        <v>0</v>
      </c>
      <c r="DM514" s="0" t="n">
        <v>1</v>
      </c>
      <c r="DN514" s="0" t="n">
        <v>54</v>
      </c>
      <c r="DO514" s="0" t="n">
        <v>3</v>
      </c>
      <c r="DP514" s="0" t="n">
        <v>1</v>
      </c>
      <c r="DQ514" s="0" t="n">
        <v>0</v>
      </c>
      <c r="DR514" s="0"/>
      <c r="DS514" s="0" t="n">
        <v>1</v>
      </c>
      <c r="DU514" s="0" t="n">
        <v>0</v>
      </c>
      <c r="DW514" s="1" t="n">
        <v>40260</v>
      </c>
      <c r="DX514" s="1" t="n">
        <v>40774</v>
      </c>
      <c r="DZ514" s="0"/>
      <c r="EA514" s="0" t="n">
        <v>1</v>
      </c>
      <c r="EC514" s="1" t="n">
        <v>40260</v>
      </c>
      <c r="ED514" s="1" t="n">
        <v>40774</v>
      </c>
      <c r="EF514" s="0"/>
      <c r="EG514" s="0" t="n">
        <v>1</v>
      </c>
      <c r="EH514" s="0" t="n">
        <v>6</v>
      </c>
      <c r="EI514" s="0" t="n">
        <f aca="false">IF(AND(DM514=1,DN514&lt;=48),"",IF(AND(DM514=2,DN514&lt;=42),"",IF(AND(DM514=3,DN514&lt;=45),"",EH514)))</f>
        <v>6</v>
      </c>
      <c r="EJ514" s="0" t="n">
        <f aca="false">IF(EI514="","",IF(EI514&lt;9,EI514,9))</f>
        <v>6</v>
      </c>
      <c r="EK514" s="0" t="n">
        <f aca="false">IF(EI514="","",IF(EI514&gt;9,EI514-EJ514,0))</f>
        <v>0</v>
      </c>
      <c r="EL514" s="0" t="n">
        <f aca="false">IF(EI514="","",EJ514*DA514*2+EK514*DA514*3)</f>
        <v>230</v>
      </c>
      <c r="EP514" s="0" t="n">
        <v>0</v>
      </c>
      <c r="EQ514" s="0"/>
      <c r="ER514" s="0" t="n">
        <v>0</v>
      </c>
      <c r="ET514" s="0" t="n">
        <v>0</v>
      </c>
      <c r="EV514" s="0" t="n">
        <v>0</v>
      </c>
      <c r="EX514" s="0" t="n">
        <v>1</v>
      </c>
      <c r="EY514" s="0" t="n">
        <v>0</v>
      </c>
      <c r="EZ514" s="0"/>
      <c r="FA514" s="4" t="n">
        <v>613.333333333333</v>
      </c>
      <c r="FB514" s="0" t="n">
        <v>1</v>
      </c>
      <c r="FC514" s="1" t="n">
        <v>41044</v>
      </c>
      <c r="FD514" s="0" t="n">
        <v>1</v>
      </c>
      <c r="FE514" s="0" t="n">
        <v>5000</v>
      </c>
      <c r="FF514" s="120" t="n">
        <f aca="false">(CJ514-CI514+1)/365</f>
        <v>1.41095890410959</v>
      </c>
      <c r="FG514" s="0" t="str">
        <f aca="false">CONCATENATE(F514,"/",G514)</f>
        <v>1574/2011</v>
      </c>
      <c r="FH514" s="0" t="n">
        <v>1</v>
      </c>
      <c r="FI514" s="0" t="n">
        <f aca="false">IFERROR(IF((FC514-J514+1)/365&gt;3,0,1),"")</f>
        <v>1</v>
      </c>
    </row>
    <row r="515" customFormat="false" ht="15" hidden="false" customHeight="false" outlineLevel="0" collapsed="false">
      <c r="A515" s="5" t="str">
        <f aca="false">E515&amp;G515&amp;F515</f>
        <v>720111575</v>
      </c>
      <c r="B515" s="0" t="s">
        <v>2737</v>
      </c>
      <c r="C515" s="1" t="n">
        <v>42364</v>
      </c>
      <c r="E515" s="0" t="n">
        <v>7</v>
      </c>
      <c r="F515" s="0" t="n">
        <v>1575</v>
      </c>
      <c r="G515" s="0" t="n">
        <v>2011</v>
      </c>
      <c r="H515" s="0" t="str">
        <f aca="false">"J"&amp;E515&amp;"\"&amp;F515&amp;"\"&amp;G515&amp;"\"&amp;W515</f>
        <v>J7\1575\2011\1</v>
      </c>
      <c r="I515" s="0"/>
      <c r="J515" s="1" t="n">
        <v>40798</v>
      </c>
      <c r="K515" s="0" t="n">
        <v>0</v>
      </c>
      <c r="M515" s="1"/>
      <c r="N515" s="1"/>
      <c r="O515" s="1"/>
      <c r="P515" s="1"/>
      <c r="Q515" s="1"/>
      <c r="T515" s="121"/>
      <c r="U515" s="121"/>
      <c r="V515" s="122" t="n">
        <f aca="false">IF(AND(E515&gt;0,F515&gt;0,G515&gt;0),COUNTIFS($E:$E,E515,$F:$F,F515,$G:$G,G515),"")</f>
        <v>1</v>
      </c>
      <c r="W515" s="122" t="n">
        <f aca="false">IF(V515="","",IF(V515=1,1,IF(AND(E514=E515,F514=F515,G514=G515),W514+1,1)))</f>
        <v>1</v>
      </c>
      <c r="X515" s="0" t="n">
        <v>1</v>
      </c>
      <c r="Y515" s="0" t="n">
        <v>5</v>
      </c>
      <c r="Z515" s="0" t="s">
        <v>4809</v>
      </c>
      <c r="AA515" s="0" t="n">
        <v>0</v>
      </c>
      <c r="AB515" s="0" t="s">
        <v>4810</v>
      </c>
      <c r="AC515" s="0" t="s">
        <v>4811</v>
      </c>
      <c r="AD515" s="0" t="s">
        <v>4812</v>
      </c>
      <c r="AE515" s="0" t="n">
        <v>0</v>
      </c>
      <c r="AF515" s="0" t="s">
        <v>4813</v>
      </c>
      <c r="AG515" s="0" t="n">
        <v>0</v>
      </c>
      <c r="AH515" s="0" t="s">
        <v>4814</v>
      </c>
      <c r="AI515" s="0" t="s">
        <v>4815</v>
      </c>
      <c r="AJ515" s="0" t="s">
        <v>485</v>
      </c>
      <c r="AL515" s="0" t="s">
        <v>4816</v>
      </c>
      <c r="AM515" s="0" t="n">
        <v>0</v>
      </c>
      <c r="AN515" s="0" t="s">
        <v>4814</v>
      </c>
      <c r="AO515" s="0" t="s">
        <v>4815</v>
      </c>
      <c r="AP515" s="0" t="s">
        <v>485</v>
      </c>
      <c r="AR515" s="0" t="s">
        <v>4817</v>
      </c>
      <c r="AS515" s="0" t="n">
        <v>1</v>
      </c>
      <c r="AT515" s="0" t="s">
        <v>4814</v>
      </c>
      <c r="AU515" s="0" t="s">
        <v>4815</v>
      </c>
      <c r="AV515" s="0" t="s">
        <v>485</v>
      </c>
      <c r="AX515" s="0" t="s">
        <v>4818</v>
      </c>
      <c r="AY515" s="0" t="n">
        <v>1</v>
      </c>
      <c r="AZ515" s="0" t="s">
        <v>4814</v>
      </c>
      <c r="BA515" s="0" t="s">
        <v>4815</v>
      </c>
      <c r="BB515" s="0" t="s">
        <v>485</v>
      </c>
      <c r="BD515" s="0" t="s">
        <v>1637</v>
      </c>
      <c r="BE515" s="0" t="n">
        <v>1</v>
      </c>
      <c r="BF515" s="0" t="s">
        <v>4814</v>
      </c>
      <c r="BG515" s="0" t="s">
        <v>4815</v>
      </c>
      <c r="BH515" s="0" t="s">
        <v>485</v>
      </c>
      <c r="BR515" s="0" t="n">
        <v>1</v>
      </c>
      <c r="BS515" s="0" t="s">
        <v>4819</v>
      </c>
      <c r="BT515" s="0" t="s">
        <v>4820</v>
      </c>
      <c r="BV515" s="123"/>
      <c r="BW515" s="123"/>
      <c r="BX515" s="123"/>
      <c r="BY515" s="123"/>
      <c r="CA515" s="0" t="s">
        <v>216</v>
      </c>
      <c r="CD515" s="0" t="s">
        <v>296</v>
      </c>
      <c r="CE515" s="0" t="n">
        <v>0</v>
      </c>
      <c r="CF515" s="0" t="s">
        <v>4821</v>
      </c>
      <c r="CI515" s="1" t="n">
        <v>40372</v>
      </c>
      <c r="CJ515" s="1" t="n">
        <v>40777</v>
      </c>
      <c r="CK515" s="124" t="n">
        <v>0.25</v>
      </c>
      <c r="CL515" s="0" t="s">
        <v>4817</v>
      </c>
      <c r="CM515" s="0" t="n">
        <f aca="false">IF(OR(CI515="",CJ515=""),"",DAYS360(CI515,CJ515)/360)</f>
        <v>1.10833333333333</v>
      </c>
      <c r="CN515" s="0" t="n">
        <f aca="false">IF(OR(CI515="",CJ515=""),"",DAYS360(CI515,CJ515)/30)</f>
        <v>13.3</v>
      </c>
      <c r="CO515" s="0" t="n">
        <f aca="false">IF(OR(CI515="",CJ515=""),"",DAYS360(CI515,CJ515)/7)</f>
        <v>57</v>
      </c>
      <c r="CP515" s="0" t="n">
        <f aca="false">IF(OR(CI515="",CJ515=""),"",DAYS360(CI515,CJ515))</f>
        <v>399</v>
      </c>
      <c r="CQ515" s="0" t="s">
        <v>240</v>
      </c>
      <c r="CR515" s="0" t="n">
        <v>1</v>
      </c>
      <c r="CT515" s="0" t="s">
        <v>216</v>
      </c>
      <c r="CU515" s="0" t="s">
        <v>216</v>
      </c>
      <c r="CV515" s="0" t="str">
        <f aca="false">IF(OR(CT515="",CT515="NO ESPECIFICA",CT515="NO MENCIONA"),"",IF(CU515=0,CT515,IF(CU515=1,CT515/30,IF(CU515=2,CT515/15,IF(CU515=3,CT515/7,"")))))</f>
        <v/>
      </c>
      <c r="CW515" s="125" t="n">
        <v>125.42</v>
      </c>
      <c r="CX515" s="0" t="n">
        <v>0</v>
      </c>
      <c r="CY515" s="0" t="n">
        <f aca="false">IF(CW515="","",IF(CX515=0,CW515,IF(CX515=1,CW515/30,IF(CX515=2,CW515/15,IF(CX515=3,CW515/7,CW515)))))</f>
        <v>125.42</v>
      </c>
      <c r="CZ515" s="0" t="n">
        <f aca="false">IF(DI515&gt;0,DI515,IF(CY515&gt;0,CY515,IF(CV515&gt;0,CV515,"")))</f>
        <v>125.42</v>
      </c>
      <c r="DA515" s="0" t="n">
        <f aca="false">IF(DM515=1,CZ515/8,IF(OR(DM515=2,DM515=4),CZ515/7,IF(DM515=3,CZ515/7.5,"")))</f>
        <v>15.6775</v>
      </c>
      <c r="DB515" s="0" t="s">
        <v>216</v>
      </c>
      <c r="DC515" s="0" t="s">
        <v>216</v>
      </c>
      <c r="DD515" s="0" t="s">
        <v>216</v>
      </c>
      <c r="DE515" s="0" t="s">
        <v>216</v>
      </c>
      <c r="DF515" s="0" t="s">
        <v>216</v>
      </c>
      <c r="DG515" s="0" t="s">
        <v>216</v>
      </c>
      <c r="DH515" s="0" t="n">
        <v>0</v>
      </c>
      <c r="DI515" s="126" t="n">
        <v>125.42</v>
      </c>
      <c r="DK515" s="0" t="n">
        <v>0</v>
      </c>
      <c r="DM515" s="0" t="n">
        <v>1</v>
      </c>
      <c r="DN515" s="0" t="n">
        <v>66</v>
      </c>
      <c r="DO515" s="0" t="n">
        <v>3</v>
      </c>
      <c r="DP515" s="0" t="n">
        <v>0</v>
      </c>
      <c r="DQ515" s="0" t="n">
        <v>1</v>
      </c>
      <c r="DR515" s="0"/>
      <c r="DS515" s="0" t="n">
        <v>1</v>
      </c>
      <c r="DU515" s="0" t="n">
        <v>1</v>
      </c>
      <c r="DW515" s="1" t="n">
        <v>40372</v>
      </c>
      <c r="DX515" s="1" t="n">
        <v>40777</v>
      </c>
      <c r="DZ515" s="0"/>
      <c r="EA515" s="0" t="n">
        <v>1</v>
      </c>
      <c r="EC515" s="1" t="n">
        <v>40372</v>
      </c>
      <c r="ED515" s="1" t="n">
        <v>40777</v>
      </c>
      <c r="EF515" s="0"/>
      <c r="EG515" s="0" t="n">
        <v>1</v>
      </c>
      <c r="EH515" s="0" t="n">
        <v>15</v>
      </c>
      <c r="EI515" s="0" t="n">
        <f aca="false">IF(AND(DM515=1,DN515&lt;=48),"",IF(AND(DM515=2,DN515&lt;=42),"",IF(AND(DM515=3,DN515&lt;=45),"",EH515)))</f>
        <v>15</v>
      </c>
      <c r="EJ515" s="0" t="n">
        <f aca="false">IF(EI515="","",IF(EI515&lt;9,EI515,9))</f>
        <v>9</v>
      </c>
      <c r="EK515" s="0" t="n">
        <f aca="false">IF(EI515="","",IF(EI515&gt;9,EI515-EJ515,0))</f>
        <v>6</v>
      </c>
      <c r="EL515" s="0" t="n">
        <f aca="false">IF(EI515="","",EJ515*DA515*2+EK515*DA515*3)</f>
        <v>564.39</v>
      </c>
      <c r="EP515" s="0" t="n">
        <v>0</v>
      </c>
      <c r="EQ515" s="0"/>
      <c r="ER515" s="0" t="n">
        <v>0</v>
      </c>
      <c r="ET515" s="0" t="n">
        <v>0</v>
      </c>
      <c r="EV515" s="0" t="n">
        <v>0</v>
      </c>
      <c r="EX515" s="0" t="n">
        <v>0</v>
      </c>
      <c r="EY515" s="0" t="n">
        <v>0</v>
      </c>
      <c r="EZ515" s="0"/>
      <c r="FA515" s="4" t="n">
        <v>0</v>
      </c>
      <c r="FB515" s="0" t="n">
        <v>1</v>
      </c>
      <c r="FC515" s="1" t="n">
        <v>41218</v>
      </c>
      <c r="FD515" s="0" t="n">
        <v>1</v>
      </c>
      <c r="FE515" s="0" t="n">
        <v>9000</v>
      </c>
      <c r="FF515" s="120" t="n">
        <f aca="false">(CJ515-CI515+1)/365</f>
        <v>1.11232876712329</v>
      </c>
      <c r="FG515" s="0" t="str">
        <f aca="false">CONCATENATE(F515,"/",G515)</f>
        <v>1575/2011</v>
      </c>
      <c r="FH515" s="0" t="n">
        <v>1</v>
      </c>
      <c r="FI515" s="0" t="n">
        <f aca="false">IFERROR(IF((FC515-J515+1)/365&gt;3,0,1),"")</f>
        <v>1</v>
      </c>
    </row>
    <row r="516" customFormat="false" ht="15" hidden="false" customHeight="false" outlineLevel="0" collapsed="false">
      <c r="A516" s="5" t="str">
        <f aca="false">E516&amp;G516&amp;F516</f>
        <v>720111580</v>
      </c>
      <c r="B516" s="0" t="s">
        <v>2737</v>
      </c>
      <c r="C516" s="1" t="n">
        <v>42365</v>
      </c>
      <c r="E516" s="0" t="n">
        <v>7</v>
      </c>
      <c r="F516" s="0" t="n">
        <v>1580</v>
      </c>
      <c r="G516" s="0" t="n">
        <v>2011</v>
      </c>
      <c r="H516" s="0" t="str">
        <f aca="false">"J"&amp;E516&amp;"\"&amp;F516&amp;"\"&amp;G516&amp;"\"&amp;W516</f>
        <v>J7\1580\2011\1</v>
      </c>
      <c r="I516" s="0"/>
      <c r="J516" s="1" t="n">
        <v>40798</v>
      </c>
      <c r="K516" s="0" t="n">
        <v>0</v>
      </c>
      <c r="M516" s="1"/>
      <c r="N516" s="1"/>
      <c r="O516" s="1"/>
      <c r="P516" s="1"/>
      <c r="Q516" s="1"/>
      <c r="T516" s="121"/>
      <c r="U516" s="121"/>
      <c r="V516" s="122" t="n">
        <f aca="false">IF(AND(E516&gt;0,F516&gt;0,G516&gt;0),COUNTIFS($E:$E,E516,$F:$F,F516,$G:$G,G516),"")</f>
        <v>1</v>
      </c>
      <c r="W516" s="122" t="n">
        <f aca="false">IF(V516="","",IF(V516=1,1,IF(AND(E515=E516,F515=F516,G515=G516),W515+1,1)))</f>
        <v>1</v>
      </c>
      <c r="X516" s="0" t="n">
        <v>1</v>
      </c>
      <c r="Y516" s="0" t="n">
        <v>8</v>
      </c>
      <c r="Z516" s="0" t="s">
        <v>4822</v>
      </c>
      <c r="AA516" s="0" t="n">
        <v>0</v>
      </c>
      <c r="AB516" s="0" t="s">
        <v>4823</v>
      </c>
      <c r="AC516" s="0" t="s">
        <v>287</v>
      </c>
      <c r="AE516" s="0" t="n">
        <v>0</v>
      </c>
      <c r="AF516" s="0" t="s">
        <v>4824</v>
      </c>
      <c r="AG516" s="0" t="n">
        <v>0</v>
      </c>
      <c r="AH516" s="0" t="s">
        <v>4825</v>
      </c>
      <c r="AI516" s="0" t="s">
        <v>3645</v>
      </c>
      <c r="AJ516" s="0" t="s">
        <v>229</v>
      </c>
      <c r="AL516" s="0" t="s">
        <v>4826</v>
      </c>
      <c r="AM516" s="0" t="n">
        <v>0</v>
      </c>
      <c r="AN516" s="0" t="s">
        <v>4825</v>
      </c>
      <c r="AO516" s="0" t="s">
        <v>3645</v>
      </c>
      <c r="AP516" s="0" t="s">
        <v>229</v>
      </c>
      <c r="AR516" s="0" t="s">
        <v>4827</v>
      </c>
      <c r="AS516" s="0" t="n">
        <v>2</v>
      </c>
      <c r="AT516" s="0" t="s">
        <v>4825</v>
      </c>
      <c r="AU516" s="0" t="s">
        <v>3645</v>
      </c>
      <c r="AV516" s="0" t="s">
        <v>229</v>
      </c>
      <c r="AX516" s="0" t="s">
        <v>4828</v>
      </c>
      <c r="AY516" s="0" t="n">
        <v>1</v>
      </c>
      <c r="AZ516" s="0" t="s">
        <v>4825</v>
      </c>
      <c r="BA516" s="0" t="s">
        <v>3645</v>
      </c>
      <c r="BB516" s="0" t="s">
        <v>229</v>
      </c>
      <c r="BD516" s="0" t="s">
        <v>4829</v>
      </c>
      <c r="BE516" s="0" t="n">
        <v>1</v>
      </c>
      <c r="BF516" s="0" t="s">
        <v>4825</v>
      </c>
      <c r="BG516" s="0" t="s">
        <v>3645</v>
      </c>
      <c r="BH516" s="0" t="s">
        <v>229</v>
      </c>
      <c r="BJ516" s="0" t="s">
        <v>4830</v>
      </c>
      <c r="BK516" s="0" t="n">
        <v>1</v>
      </c>
      <c r="BL516" s="0" t="s">
        <v>4825</v>
      </c>
      <c r="BM516" s="0" t="s">
        <v>3645</v>
      </c>
      <c r="BN516" s="0" t="s">
        <v>229</v>
      </c>
      <c r="BR516" s="0" t="n">
        <v>1</v>
      </c>
      <c r="BS516" s="0" t="s">
        <v>4831</v>
      </c>
      <c r="BT516" s="0" t="s">
        <v>4832</v>
      </c>
      <c r="BU516" s="0" t="s">
        <v>4833</v>
      </c>
      <c r="BV516" s="123"/>
      <c r="BW516" s="123"/>
      <c r="BX516" s="123"/>
      <c r="BY516" s="123"/>
      <c r="CA516" s="0" t="s">
        <v>216</v>
      </c>
      <c r="CD516" s="0" t="s">
        <v>216</v>
      </c>
      <c r="CE516" s="0" t="n">
        <v>0</v>
      </c>
      <c r="CF516" s="0" t="s">
        <v>4834</v>
      </c>
      <c r="CI516" s="1" t="n">
        <v>40455</v>
      </c>
      <c r="CJ516" s="1" t="n">
        <v>40738</v>
      </c>
      <c r="CK516" s="124" t="n">
        <v>0.333333333333333</v>
      </c>
      <c r="CL516" s="0" t="s">
        <v>4830</v>
      </c>
      <c r="CM516" s="0" t="n">
        <f aca="false">IF(OR(CI516="",CJ516=""),"",DAYS360(CI516,CJ516)/360)</f>
        <v>0.777777777777778</v>
      </c>
      <c r="CN516" s="0" t="n">
        <f aca="false">IF(OR(CI516="",CJ516=""),"",DAYS360(CI516,CJ516)/30)</f>
        <v>9.33333333333333</v>
      </c>
      <c r="CO516" s="0" t="n">
        <f aca="false">IF(OR(CI516="",CJ516=""),"",DAYS360(CI516,CJ516)/7)</f>
        <v>40</v>
      </c>
      <c r="CP516" s="0" t="n">
        <f aca="false">IF(OR(CI516="",CJ516=""),"",DAYS360(CI516,CJ516))</f>
        <v>280</v>
      </c>
      <c r="CQ516" s="0" t="s">
        <v>220</v>
      </c>
      <c r="CR516" s="0" t="n">
        <v>1</v>
      </c>
      <c r="CT516" s="0" t="s">
        <v>216</v>
      </c>
      <c r="CU516" s="0" t="s">
        <v>216</v>
      </c>
      <c r="CV516" s="0" t="str">
        <f aca="false">IF(OR(CT516="",CT516="NO ESPECIFICA",CT516="NO MENCIONA"),"",IF(CU516=0,CT516,IF(CU516=1,CT516/30,IF(CU516=2,CT516/15,IF(CU516=3,CT516/7,"")))))</f>
        <v/>
      </c>
      <c r="CW516" s="125" t="n">
        <v>6000</v>
      </c>
      <c r="CX516" s="0" t="n">
        <v>1</v>
      </c>
      <c r="CY516" s="0" t="n">
        <f aca="false">IF(CW516="","",IF(CX516=0,CW516,IF(CX516=1,CW516/30,IF(CX516=2,CW516/15,IF(CX516=3,CW516/7,CW516)))))</f>
        <v>200</v>
      </c>
      <c r="CZ516" s="0" t="n">
        <f aca="false">IF(DI516&gt;0,DI516,IF(CY516&gt;0,CY516,IF(CV516&gt;0,CV516,"")))</f>
        <v>200</v>
      </c>
      <c r="DA516" s="0" t="n">
        <f aca="false">IF(DM516=1,CZ516/8,IF(OR(DM516=2,DM516=4),CZ516/7,IF(DM516=3,CZ516/7.5,"")))</f>
        <v>25</v>
      </c>
      <c r="DB516" s="0" t="s">
        <v>216</v>
      </c>
      <c r="DC516" s="0" t="s">
        <v>216</v>
      </c>
      <c r="DD516" s="0" t="s">
        <v>216</v>
      </c>
      <c r="DE516" s="0" t="s">
        <v>216</v>
      </c>
      <c r="DF516" s="0" t="s">
        <v>216</v>
      </c>
      <c r="DG516" s="0" t="s">
        <v>216</v>
      </c>
      <c r="DH516" s="0" t="n">
        <v>0</v>
      </c>
      <c r="DI516" s="126" t="n">
        <v>200</v>
      </c>
      <c r="DK516" s="0" t="n">
        <v>1</v>
      </c>
      <c r="DM516" s="0" t="n">
        <v>1</v>
      </c>
      <c r="DN516" s="0" t="n">
        <v>55</v>
      </c>
      <c r="DO516" s="0" t="n">
        <v>3</v>
      </c>
      <c r="DP516" s="0" t="n">
        <v>1</v>
      </c>
      <c r="DQ516" s="0" t="n">
        <v>1</v>
      </c>
      <c r="DR516" s="0"/>
      <c r="DS516" s="0" t="n">
        <v>1</v>
      </c>
      <c r="DU516" s="0" t="n">
        <v>1</v>
      </c>
      <c r="DW516" s="1" t="n">
        <v>40455</v>
      </c>
      <c r="DX516" s="1" t="n">
        <v>40738</v>
      </c>
      <c r="DZ516" s="0"/>
      <c r="EA516" s="0" t="n">
        <v>1</v>
      </c>
      <c r="EC516" s="1" t="n">
        <v>40455</v>
      </c>
      <c r="ED516" s="1" t="n">
        <v>40738</v>
      </c>
      <c r="EF516" s="0"/>
      <c r="EG516" s="0" t="n">
        <v>1</v>
      </c>
      <c r="EH516" s="0" t="n">
        <v>7</v>
      </c>
      <c r="EI516" s="0" t="n">
        <f aca="false">IF(AND(DM516=1,DN516&lt;=48),"",IF(AND(DM516=2,DN516&lt;=42),"",IF(AND(DM516=3,DN516&lt;=45),"",EH516)))</f>
        <v>7</v>
      </c>
      <c r="EJ516" s="0" t="n">
        <f aca="false">IF(EI516="","",IF(EI516&lt;9,EI516,9))</f>
        <v>7</v>
      </c>
      <c r="EK516" s="0" t="n">
        <f aca="false">IF(EI516="","",IF(EI516&gt;9,EI516-EJ516,0))</f>
        <v>0</v>
      </c>
      <c r="EL516" s="0" t="n">
        <f aca="false">IF(EI516="","",EJ516*DA516*2+EK516*DA516*3)</f>
        <v>350</v>
      </c>
      <c r="EP516" s="0" t="n">
        <v>1</v>
      </c>
      <c r="EQ516" s="0"/>
      <c r="ER516" s="0" t="n">
        <v>0</v>
      </c>
      <c r="ET516" s="0" t="n">
        <v>1</v>
      </c>
      <c r="EV516" s="0" t="n">
        <v>0</v>
      </c>
      <c r="EX516" s="0" t="n">
        <v>1</v>
      </c>
      <c r="EY516" s="0" t="n">
        <v>1</v>
      </c>
      <c r="EZ516" s="0"/>
      <c r="FA516" s="4" t="n">
        <v>0</v>
      </c>
      <c r="FB516" s="0" t="n">
        <v>1</v>
      </c>
      <c r="FC516" s="1" t="n">
        <v>41185</v>
      </c>
      <c r="FD516" s="0" t="n">
        <v>1</v>
      </c>
      <c r="FE516" s="0" t="n">
        <v>7500</v>
      </c>
      <c r="FF516" s="120" t="n">
        <f aca="false">(CJ516-CI516+1)/365</f>
        <v>0.778082191780822</v>
      </c>
      <c r="FG516" s="0" t="str">
        <f aca="false">CONCATENATE(F516,"/",G516)</f>
        <v>1580/2011</v>
      </c>
      <c r="FH516" s="0" t="n">
        <v>1</v>
      </c>
      <c r="FI516" s="0" t="n">
        <f aca="false">IFERROR(IF((FC516-J516+1)/365&gt;3,0,1),"")</f>
        <v>1</v>
      </c>
    </row>
    <row r="517" customFormat="false" ht="15" hidden="false" customHeight="false" outlineLevel="0" collapsed="false">
      <c r="A517" s="5" t="str">
        <f aca="false">E517&amp;G517&amp;F517</f>
        <v>720111581</v>
      </c>
      <c r="B517" s="0" t="s">
        <v>2737</v>
      </c>
      <c r="C517" s="1" t="n">
        <v>42365</v>
      </c>
      <c r="E517" s="0" t="n">
        <v>7</v>
      </c>
      <c r="F517" s="0" t="n">
        <v>1581</v>
      </c>
      <c r="G517" s="0" t="n">
        <v>2011</v>
      </c>
      <c r="H517" s="0" t="str">
        <f aca="false">"J"&amp;E517&amp;"\"&amp;F517&amp;"\"&amp;G517&amp;"\"&amp;W517</f>
        <v>J7\1581\2011\1</v>
      </c>
      <c r="I517" s="0"/>
      <c r="J517" s="1" t="n">
        <v>40798</v>
      </c>
      <c r="K517" s="0" t="n">
        <v>0</v>
      </c>
      <c r="M517" s="1"/>
      <c r="N517" s="1"/>
      <c r="O517" s="1"/>
      <c r="P517" s="1"/>
      <c r="Q517" s="1"/>
      <c r="T517" s="121"/>
      <c r="U517" s="121"/>
      <c r="V517" s="122" t="n">
        <f aca="false">IF(AND(E517&gt;0,F517&gt;0,G517&gt;0),COUNTIFS($E:$E,E517,$F:$F,F517,$G:$G,G517),"")</f>
        <v>1</v>
      </c>
      <c r="W517" s="122" t="n">
        <f aca="false">IF(V517="","",IF(V517=1,1,IF(AND(E516=E517,F516=F517,G516=G517),W516+1,1)))</f>
        <v>1</v>
      </c>
      <c r="X517" s="0" t="n">
        <v>1</v>
      </c>
      <c r="Y517" s="0" t="n">
        <v>5</v>
      </c>
      <c r="Z517" s="0" t="s">
        <v>4835</v>
      </c>
      <c r="AA517" s="0" t="n">
        <v>0</v>
      </c>
      <c r="AB517" s="0" t="s">
        <v>2333</v>
      </c>
      <c r="AC517" s="0" t="s">
        <v>318</v>
      </c>
      <c r="AD517" s="0" t="s">
        <v>229</v>
      </c>
      <c r="AE517" s="0" t="n">
        <v>0</v>
      </c>
      <c r="AF517" s="0" t="s">
        <v>4836</v>
      </c>
      <c r="AG517" s="0" t="n">
        <v>0</v>
      </c>
      <c r="AH517" s="0" t="s">
        <v>4837</v>
      </c>
      <c r="AI517" s="0" t="s">
        <v>318</v>
      </c>
      <c r="AJ517" s="0" t="s">
        <v>229</v>
      </c>
      <c r="AL517" s="0" t="s">
        <v>3538</v>
      </c>
      <c r="AM517" s="0" t="n">
        <v>0</v>
      </c>
      <c r="AN517" s="0" t="s">
        <v>4837</v>
      </c>
      <c r="AO517" s="0" t="s">
        <v>318</v>
      </c>
      <c r="AP517" s="0" t="s">
        <v>229</v>
      </c>
      <c r="AR517" s="0" t="s">
        <v>4838</v>
      </c>
      <c r="AS517" s="0" t="n">
        <v>1</v>
      </c>
      <c r="AT517" s="0" t="s">
        <v>4837</v>
      </c>
      <c r="AU517" s="0" t="s">
        <v>318</v>
      </c>
      <c r="AV517" s="0" t="s">
        <v>229</v>
      </c>
      <c r="AX517" s="0" t="s">
        <v>4839</v>
      </c>
      <c r="AY517" s="0" t="n">
        <v>1</v>
      </c>
      <c r="AZ517" s="0" t="s">
        <v>4837</v>
      </c>
      <c r="BA517" s="0" t="s">
        <v>318</v>
      </c>
      <c r="BB517" s="0" t="s">
        <v>229</v>
      </c>
      <c r="BD517" s="0" t="s">
        <v>1637</v>
      </c>
      <c r="BE517" s="0" t="n">
        <v>1</v>
      </c>
      <c r="BF517" s="0" t="s">
        <v>4837</v>
      </c>
      <c r="BG517" s="0" t="s">
        <v>318</v>
      </c>
      <c r="BH517" s="0" t="s">
        <v>229</v>
      </c>
      <c r="BR517" s="0" t="n">
        <v>1</v>
      </c>
      <c r="BS517" s="0" t="s">
        <v>1096</v>
      </c>
      <c r="BT517" s="0" t="s">
        <v>3849</v>
      </c>
      <c r="BU517" s="0" t="s">
        <v>1095</v>
      </c>
      <c r="BV517" s="123"/>
      <c r="BW517" s="123"/>
      <c r="BX517" s="123"/>
      <c r="BY517" s="123"/>
      <c r="CA517" s="0" t="s">
        <v>3850</v>
      </c>
      <c r="CD517" s="0" t="s">
        <v>296</v>
      </c>
      <c r="CE517" s="0" t="n">
        <v>0</v>
      </c>
      <c r="CF517" s="0" t="s">
        <v>645</v>
      </c>
      <c r="CI517" s="1" t="n">
        <v>40263</v>
      </c>
      <c r="CJ517" s="1" t="n">
        <v>40771</v>
      </c>
      <c r="CK517" s="124" t="n">
        <v>0.375</v>
      </c>
      <c r="CL517" s="0" t="s">
        <v>4838</v>
      </c>
      <c r="CM517" s="0" t="n">
        <f aca="false">IF(OR(CI517="",CJ517=""),"",DAYS360(CI517,CJ517)/360)</f>
        <v>1.38888888888889</v>
      </c>
      <c r="CN517" s="0" t="n">
        <f aca="false">IF(OR(CI517="",CJ517=""),"",DAYS360(CI517,CJ517)/30)</f>
        <v>16.6666666666667</v>
      </c>
      <c r="CO517" s="0" t="n">
        <f aca="false">IF(OR(CI517="",CJ517=""),"",DAYS360(CI517,CJ517)/7)</f>
        <v>71.4285714285714</v>
      </c>
      <c r="CP517" s="0" t="n">
        <f aca="false">IF(OR(CI517="",CJ517=""),"",DAYS360(CI517,CJ517))</f>
        <v>500</v>
      </c>
      <c r="CQ517" s="0" t="s">
        <v>240</v>
      </c>
      <c r="CR517" s="0" t="n">
        <v>1</v>
      </c>
      <c r="CT517" s="0" t="n">
        <v>3100</v>
      </c>
      <c r="CU517" s="0" t="n">
        <v>2</v>
      </c>
      <c r="CV517" s="0" t="n">
        <f aca="false">IF(OR(CT517="",CT517="NO ESPECIFICA",CT517="NO MENCIONA"),"",IF(CU517=0,CT517,IF(CU517=1,CT517/30,IF(CU517=2,CT517/15,IF(CU517=3,CT517/7,"")))))</f>
        <v>206.666666666667</v>
      </c>
      <c r="CW517" s="125" t="s">
        <v>216</v>
      </c>
      <c r="CX517" s="0" t="s">
        <v>216</v>
      </c>
      <c r="CY517" s="0" t="str">
        <f aca="false">IF(CW517="","",IF(CX517=0,CW517,IF(CX517=1,CW517/30,IF(CX517=2,CW517/15,IF(CX517=3,CW517/7,CW517)))))</f>
        <v>NO MENCIONA</v>
      </c>
      <c r="CZ517" s="0" t="n">
        <f aca="false">IF(DI517&gt;0,DI517,IF(CY517&gt;0,CY517,IF(CV517&gt;0,CV517,"")))</f>
        <v>280</v>
      </c>
      <c r="DA517" s="0" t="n">
        <f aca="false">IF(DM517=1,CZ517/8,IF(OR(DM517=2,DM517=4),CZ517/7,IF(DM517=3,CZ517/7.5,"")))</f>
        <v>35</v>
      </c>
      <c r="DB517" s="0" t="s">
        <v>771</v>
      </c>
      <c r="DC517" s="0" t="s">
        <v>216</v>
      </c>
      <c r="DD517" s="0" t="s">
        <v>216</v>
      </c>
      <c r="DE517" s="0" t="s">
        <v>216</v>
      </c>
      <c r="DF517" s="0" t="s">
        <v>216</v>
      </c>
      <c r="DG517" s="0" t="s">
        <v>216</v>
      </c>
      <c r="DH517" s="0" t="n">
        <v>0</v>
      </c>
      <c r="DI517" s="126" t="n">
        <v>280</v>
      </c>
      <c r="DK517" s="0" t="n">
        <v>0</v>
      </c>
      <c r="DM517" s="0" t="n">
        <v>1</v>
      </c>
      <c r="DN517" s="0" t="n">
        <v>63</v>
      </c>
      <c r="DO517" s="0" t="n">
        <v>3</v>
      </c>
      <c r="DP517" s="0" t="n">
        <v>0</v>
      </c>
      <c r="DQ517" s="0" t="n">
        <v>1</v>
      </c>
      <c r="DR517" s="0"/>
      <c r="DS517" s="0" t="n">
        <v>1</v>
      </c>
      <c r="DU517" s="0" t="n">
        <v>1</v>
      </c>
      <c r="DW517" s="1" t="n">
        <v>40263</v>
      </c>
      <c r="DX517" s="1" t="n">
        <v>40771</v>
      </c>
      <c r="DZ517" s="0"/>
      <c r="EA517" s="0" t="n">
        <v>1</v>
      </c>
      <c r="EC517" s="1" t="n">
        <v>40263</v>
      </c>
      <c r="ED517" s="1" t="n">
        <v>40771</v>
      </c>
      <c r="EF517" s="0"/>
      <c r="EG517" s="0" t="n">
        <v>1</v>
      </c>
      <c r="EH517" s="0" t="n">
        <v>6</v>
      </c>
      <c r="EI517" s="0" t="n">
        <f aca="false">IF(AND(DM517=1,DN517&lt;=48),"",IF(AND(DM517=2,DN517&lt;=42),"",IF(AND(DM517=3,DN517&lt;=45),"",EH517)))</f>
        <v>6</v>
      </c>
      <c r="EJ517" s="0" t="n">
        <f aca="false">IF(EI517="","",IF(EI517&lt;9,EI517,9))</f>
        <v>6</v>
      </c>
      <c r="EK517" s="0" t="n">
        <f aca="false">IF(EI517="","",IF(EI517&gt;9,EI517-EJ517,0))</f>
        <v>0</v>
      </c>
      <c r="EL517" s="0" t="n">
        <f aca="false">IF(EI517="","",EJ517*DA517*2+EK517*DA517*3)</f>
        <v>420</v>
      </c>
      <c r="EP517" s="0" t="n">
        <v>0</v>
      </c>
      <c r="EQ517" s="0"/>
      <c r="ER517" s="0" t="n">
        <v>0</v>
      </c>
      <c r="ET517" s="0" t="n">
        <v>0</v>
      </c>
      <c r="EV517" s="0" t="n">
        <v>1</v>
      </c>
      <c r="EX517" s="0" t="n">
        <v>0</v>
      </c>
      <c r="EY517" s="0" t="n">
        <v>1</v>
      </c>
      <c r="EZ517" s="0"/>
      <c r="FA517" s="4" t="n">
        <v>8680</v>
      </c>
      <c r="FB517" s="0" t="n">
        <v>1</v>
      </c>
      <c r="FC517" s="1" t="n">
        <v>40947</v>
      </c>
      <c r="FD517" s="0" t="n">
        <v>1</v>
      </c>
      <c r="FE517" s="0" t="n">
        <v>9500</v>
      </c>
      <c r="FF517" s="120" t="n">
        <f aca="false">(CJ517-CI517+1)/365</f>
        <v>1.39452054794521</v>
      </c>
      <c r="FG517" s="0" t="str">
        <f aca="false">CONCATENATE(F517,"/",G517)</f>
        <v>1581/2011</v>
      </c>
      <c r="FH517" s="0" t="n">
        <v>1</v>
      </c>
      <c r="FI517" s="0" t="n">
        <f aca="false">IFERROR(IF((FC517-J517+1)/365&gt;3,0,1),"")</f>
        <v>1</v>
      </c>
    </row>
    <row r="518" customFormat="false" ht="15" hidden="false" customHeight="false" outlineLevel="0" collapsed="false">
      <c r="A518" s="5" t="str">
        <f aca="false">E518&amp;G518&amp;F518</f>
        <v>720111583</v>
      </c>
      <c r="B518" s="0" t="s">
        <v>2737</v>
      </c>
      <c r="C518" s="1" t="n">
        <v>42365</v>
      </c>
      <c r="E518" s="0" t="n">
        <v>7</v>
      </c>
      <c r="F518" s="0" t="n">
        <v>1583</v>
      </c>
      <c r="G518" s="0" t="n">
        <v>2011</v>
      </c>
      <c r="H518" s="0" t="str">
        <f aca="false">"J"&amp;E518&amp;"\"&amp;F518&amp;"\"&amp;G518&amp;"\"&amp;W518</f>
        <v>J7\1583\2011\1</v>
      </c>
      <c r="I518" s="0"/>
      <c r="J518" s="1" t="n">
        <v>40799</v>
      </c>
      <c r="K518" s="0" t="n">
        <v>0</v>
      </c>
      <c r="M518" s="1"/>
      <c r="N518" s="1"/>
      <c r="O518" s="1"/>
      <c r="P518" s="1"/>
      <c r="Q518" s="1"/>
      <c r="T518" s="121"/>
      <c r="U518" s="121"/>
      <c r="V518" s="122" t="n">
        <f aca="false">IF(AND(E518&gt;0,F518&gt;0,G518&gt;0),COUNTIFS($E:$E,E518,$F:$F,F518,$G:$G,G518),"")</f>
        <v>1</v>
      </c>
      <c r="W518" s="122" t="n">
        <f aca="false">IF(V518="","",IF(V518=1,1,IF(AND(E517=E518,F517=F518,G517=G518),W517+1,1)))</f>
        <v>1</v>
      </c>
      <c r="X518" s="0" t="n">
        <v>1</v>
      </c>
      <c r="Y518" s="0" t="n">
        <v>7</v>
      </c>
      <c r="Z518" s="0" t="s">
        <v>4840</v>
      </c>
      <c r="AA518" s="0" t="n">
        <v>0</v>
      </c>
      <c r="AB518" s="0" t="s">
        <v>629</v>
      </c>
      <c r="AC518" s="0" t="s">
        <v>630</v>
      </c>
      <c r="AD518" s="0" t="s">
        <v>590</v>
      </c>
      <c r="AE518" s="0" t="n">
        <v>0</v>
      </c>
      <c r="AF518" s="0" t="s">
        <v>4841</v>
      </c>
      <c r="AG518" s="0" t="n">
        <v>0</v>
      </c>
      <c r="AH518" s="0" t="s">
        <v>4842</v>
      </c>
      <c r="AI518" s="0" t="s">
        <v>4843</v>
      </c>
      <c r="AJ518" s="0" t="s">
        <v>485</v>
      </c>
      <c r="AL518" s="0" t="s">
        <v>4844</v>
      </c>
      <c r="AM518" s="0" t="n">
        <v>0</v>
      </c>
      <c r="AN518" s="0" t="s">
        <v>4845</v>
      </c>
      <c r="AO518" s="0" t="s">
        <v>4846</v>
      </c>
      <c r="AP518" s="0" t="s">
        <v>322</v>
      </c>
      <c r="AR518" s="0" t="s">
        <v>4847</v>
      </c>
      <c r="AS518" s="0" t="n">
        <v>0</v>
      </c>
      <c r="AT518" s="0" t="s">
        <v>4845</v>
      </c>
      <c r="AU518" s="0" t="s">
        <v>4846</v>
      </c>
      <c r="AV518" s="0" t="s">
        <v>322</v>
      </c>
      <c r="AX518" s="0" t="s">
        <v>4848</v>
      </c>
      <c r="AY518" s="0" t="n">
        <v>1</v>
      </c>
      <c r="AZ518" s="0" t="s">
        <v>4845</v>
      </c>
      <c r="BA518" s="0" t="s">
        <v>4846</v>
      </c>
      <c r="BB518" s="0" t="s">
        <v>322</v>
      </c>
      <c r="BD518" s="0" t="s">
        <v>4849</v>
      </c>
      <c r="BE518" s="0" t="n">
        <v>1</v>
      </c>
      <c r="BF518" s="0" t="s">
        <v>4845</v>
      </c>
      <c r="BG518" s="0" t="s">
        <v>4846</v>
      </c>
      <c r="BH518" s="0" t="s">
        <v>322</v>
      </c>
      <c r="BJ518" s="0" t="s">
        <v>4850</v>
      </c>
      <c r="BK518" s="0" t="n">
        <v>1</v>
      </c>
      <c r="BL518" s="0" t="s">
        <v>4845</v>
      </c>
      <c r="BM518" s="0" t="s">
        <v>4846</v>
      </c>
      <c r="BN518" s="0" t="s">
        <v>322</v>
      </c>
      <c r="BR518" s="0" t="n">
        <v>1</v>
      </c>
      <c r="BS518" s="0" t="s">
        <v>636</v>
      </c>
      <c r="BT518" s="0" t="s">
        <v>637</v>
      </c>
      <c r="BU518" s="0" t="s">
        <v>638</v>
      </c>
      <c r="BV518" s="123"/>
      <c r="BW518" s="123"/>
      <c r="BX518" s="123"/>
      <c r="BY518" s="123"/>
      <c r="CA518" s="0" t="s">
        <v>216</v>
      </c>
      <c r="CD518" s="0" t="s">
        <v>296</v>
      </c>
      <c r="CE518" s="0" t="n">
        <v>1</v>
      </c>
      <c r="CF518" s="0" t="s">
        <v>567</v>
      </c>
      <c r="CI518" s="1" t="n">
        <v>40380</v>
      </c>
      <c r="CJ518" s="1" t="n">
        <v>40795</v>
      </c>
      <c r="CK518" s="124" t="n">
        <v>0.75</v>
      </c>
      <c r="CL518" s="0" t="s">
        <v>4851</v>
      </c>
      <c r="CM518" s="0" t="n">
        <f aca="false">IF(OR(CI518="",CJ518=""),"",DAYS360(CI518,CJ518)/360)</f>
        <v>1.13333333333333</v>
      </c>
      <c r="CN518" s="0" t="n">
        <f aca="false">IF(OR(CI518="",CJ518=""),"",DAYS360(CI518,CJ518)/30)</f>
        <v>13.6</v>
      </c>
      <c r="CO518" s="0" t="n">
        <f aca="false">IF(OR(CI518="",CJ518=""),"",DAYS360(CI518,CJ518)/7)</f>
        <v>58.2857142857143</v>
      </c>
      <c r="CP518" s="0" t="n">
        <f aca="false">IF(OR(CI518="",CJ518=""),"",DAYS360(CI518,CJ518))</f>
        <v>408</v>
      </c>
      <c r="CQ518" s="0" t="s">
        <v>240</v>
      </c>
      <c r="CR518" s="0" t="n">
        <v>1</v>
      </c>
      <c r="CT518" s="0" t="s">
        <v>221</v>
      </c>
      <c r="CU518" s="0" t="s">
        <v>221</v>
      </c>
      <c r="CV518" s="0" t="str">
        <f aca="false">IF(OR(CT518="",CT518="NO ESPECIFICA",CT518="NO MENCIONA"),"",IF(CU518=0,CT518,IF(CU518=1,CT518/30,IF(CU518=2,CT518/15,IF(CU518=3,CT518/7,"")))))</f>
        <v/>
      </c>
      <c r="CW518" s="125" t="n">
        <v>34000</v>
      </c>
      <c r="CX518" s="0" t="n">
        <v>1</v>
      </c>
      <c r="CY518" s="0" t="n">
        <f aca="false">IF(CW518="","",IF(CX518=0,CW518,IF(CX518=1,CW518/30,IF(CX518=2,CW518/15,IF(CX518=3,CW518/7,CW518)))))</f>
        <v>1133.33333333333</v>
      </c>
      <c r="CZ518" s="0" t="n">
        <f aca="false">IF(DI518&gt;0,DI518,IF(CY518&gt;0,CY518,IF(CV518&gt;0,CV518,"")))</f>
        <v>1133.33333333333</v>
      </c>
      <c r="DA518" s="0" t="n">
        <f aca="false">IF(DM518=1,CZ518/8,IF(OR(DM518=2,DM518=4),CZ518/7,IF(DM518=3,CZ518/7.5,"")))</f>
        <v>141.666666666667</v>
      </c>
      <c r="DB518" s="0" t="s">
        <v>216</v>
      </c>
      <c r="DC518" s="0" t="s">
        <v>216</v>
      </c>
      <c r="DD518" s="0" t="s">
        <v>216</v>
      </c>
      <c r="DE518" s="0" t="s">
        <v>216</v>
      </c>
      <c r="DF518" s="0" t="s">
        <v>216</v>
      </c>
      <c r="DG518" s="0" t="s">
        <v>216</v>
      </c>
      <c r="DH518" s="0" t="n">
        <v>0</v>
      </c>
      <c r="DI518" s="126" t="n">
        <v>1133.33333333333</v>
      </c>
      <c r="DK518" s="0" t="n">
        <v>0</v>
      </c>
      <c r="DM518" s="0" t="n">
        <v>1</v>
      </c>
      <c r="DN518" s="0" t="n">
        <v>54</v>
      </c>
      <c r="DO518" s="0" t="n">
        <v>3</v>
      </c>
      <c r="DP518" s="0" t="n">
        <v>0</v>
      </c>
      <c r="DQ518" s="0" t="n">
        <v>1</v>
      </c>
      <c r="DR518" s="0"/>
      <c r="DS518" s="0" t="n">
        <v>1</v>
      </c>
      <c r="DU518" s="0" t="n">
        <v>1</v>
      </c>
      <c r="DW518" s="1" t="n">
        <v>40380</v>
      </c>
      <c r="DX518" s="1" t="n">
        <v>40795</v>
      </c>
      <c r="DZ518" s="0"/>
      <c r="EA518" s="0" t="n">
        <v>1</v>
      </c>
      <c r="EC518" s="1" t="n">
        <v>40380</v>
      </c>
      <c r="ED518" s="1" t="n">
        <v>40795</v>
      </c>
      <c r="EF518" s="0"/>
      <c r="EG518" s="0" t="n">
        <v>0</v>
      </c>
      <c r="EI518" s="0" t="n">
        <f aca="false">IF(AND(DM518=1,DN518&lt;=48),"",IF(AND(DM518=2,DN518&lt;=42),"",IF(AND(DM518=3,DN518&lt;=45),"",EH518)))</f>
        <v>0</v>
      </c>
      <c r="EJ518" s="0" t="str">
        <f aca="false">IF(EI518="","",IF(EI518&lt;9,EI518,9))</f>
        <v/>
      </c>
      <c r="EK518" s="0" t="str">
        <f aca="false">IF(EI518="","",IF(EI518&gt;9,EI518-EJ518,0))</f>
        <v/>
      </c>
      <c r="EL518" s="0" t="str">
        <f aca="false">IF(EI518="","",EJ518*DA518*2+EK518*DA518*3)</f>
        <v/>
      </c>
      <c r="EP518" s="0" t="n">
        <v>0</v>
      </c>
      <c r="EQ518" s="0"/>
      <c r="ER518" s="0" t="n">
        <v>0</v>
      </c>
      <c r="ET518" s="0" t="n">
        <v>0</v>
      </c>
      <c r="EV518" s="0" t="n">
        <v>0</v>
      </c>
      <c r="EX518" s="0" t="n">
        <v>0</v>
      </c>
      <c r="EY518" s="0" t="n">
        <v>0</v>
      </c>
      <c r="EZ518" s="0"/>
      <c r="FA518" s="4" t="n">
        <v>0</v>
      </c>
      <c r="FB518" s="0" t="n">
        <v>1</v>
      </c>
      <c r="FC518" s="1" t="n">
        <v>41463</v>
      </c>
      <c r="FD518" s="0" t="n">
        <v>1</v>
      </c>
      <c r="FE518" s="0" t="n">
        <v>12000</v>
      </c>
      <c r="FF518" s="120" t="n">
        <f aca="false">(CJ518-CI518+1)/365</f>
        <v>1.13972602739726</v>
      </c>
      <c r="FG518" s="0" t="str">
        <f aca="false">CONCATENATE(F518,"/",G518)</f>
        <v>1583/2011</v>
      </c>
      <c r="FH518" s="0" t="n">
        <v>1</v>
      </c>
      <c r="FI518" s="0" t="n">
        <f aca="false">IFERROR(IF((FC518-J518+1)/365&gt;3,0,1),"")</f>
        <v>1</v>
      </c>
    </row>
    <row r="519" customFormat="false" ht="15" hidden="false" customHeight="false" outlineLevel="0" collapsed="false">
      <c r="A519" s="5" t="str">
        <f aca="false">E519&amp;G519&amp;F519</f>
        <v>720111587</v>
      </c>
      <c r="B519" s="0" t="s">
        <v>2737</v>
      </c>
      <c r="C519" s="1" t="n">
        <v>42365</v>
      </c>
      <c r="E519" s="0" t="n">
        <v>7</v>
      </c>
      <c r="F519" s="0" t="n">
        <v>1587</v>
      </c>
      <c r="G519" s="0" t="n">
        <v>2011</v>
      </c>
      <c r="H519" s="0" t="str">
        <f aca="false">"J"&amp;E519&amp;"\"&amp;F519&amp;"\"&amp;G519&amp;"\"&amp;W519</f>
        <v>J7\1587\2011\1</v>
      </c>
      <c r="I519" s="0"/>
      <c r="J519" s="1" t="n">
        <v>40799</v>
      </c>
      <c r="K519" s="0" t="n">
        <v>0</v>
      </c>
      <c r="M519" s="1"/>
      <c r="N519" s="1"/>
      <c r="O519" s="1"/>
      <c r="P519" s="1"/>
      <c r="Q519" s="1"/>
      <c r="T519" s="121"/>
      <c r="U519" s="121"/>
      <c r="V519" s="122" t="n">
        <f aca="false">IF(AND(E519&gt;0,F519&gt;0,G519&gt;0),COUNTIFS($E:$E,E519,$F:$F,F519,$G:$G,G519),"")</f>
        <v>1</v>
      </c>
      <c r="W519" s="122" t="n">
        <f aca="false">IF(V519="","",IF(V519=1,1,IF(AND(E518=E519,F518=F519,G518=G519),W518+1,1)))</f>
        <v>1</v>
      </c>
      <c r="X519" s="0" t="n">
        <v>1</v>
      </c>
      <c r="Y519" s="0" t="n">
        <v>1</v>
      </c>
      <c r="Z519" s="0" t="s">
        <v>4852</v>
      </c>
      <c r="AA519" s="0" t="n">
        <v>0</v>
      </c>
      <c r="AB519" s="0" t="s">
        <v>4853</v>
      </c>
      <c r="AC519" s="0" t="s">
        <v>318</v>
      </c>
      <c r="AE519" s="0" t="n">
        <v>0</v>
      </c>
      <c r="AF519" s="0" t="s">
        <v>4640</v>
      </c>
      <c r="AG519" s="0" t="n">
        <v>0</v>
      </c>
      <c r="AH519" s="0" t="s">
        <v>4854</v>
      </c>
      <c r="AI519" s="0" t="s">
        <v>3064</v>
      </c>
      <c r="AJ519" s="0" t="s">
        <v>590</v>
      </c>
      <c r="BR519" s="0" t="n">
        <v>1</v>
      </c>
      <c r="BS519" s="0" t="s">
        <v>4855</v>
      </c>
      <c r="BT519" s="0" t="s">
        <v>4856</v>
      </c>
      <c r="BU519" s="0" t="s">
        <v>4857</v>
      </c>
      <c r="BV519" s="123"/>
      <c r="BW519" s="123"/>
      <c r="BX519" s="123"/>
      <c r="BY519" s="123"/>
      <c r="CA519" s="0" t="s">
        <v>216</v>
      </c>
      <c r="CD519" s="0" t="s">
        <v>296</v>
      </c>
      <c r="CE519" s="0" t="n">
        <v>0</v>
      </c>
      <c r="CF519" s="0" t="s">
        <v>4858</v>
      </c>
      <c r="CI519" s="1" t="n">
        <v>40425</v>
      </c>
      <c r="CJ519" s="1" t="n">
        <v>40786</v>
      </c>
      <c r="CK519" s="124" t="n">
        <v>0.583333333333333</v>
      </c>
      <c r="CL519" s="0" t="s">
        <v>4859</v>
      </c>
      <c r="CM519" s="0" t="n">
        <f aca="false">IF(OR(CI519="",CJ519=""),"",DAYS360(CI519,CJ519)/360)</f>
        <v>0.991666666666667</v>
      </c>
      <c r="CN519" s="0" t="n">
        <f aca="false">IF(OR(CI519="",CJ519=""),"",DAYS360(CI519,CJ519)/30)</f>
        <v>11.9</v>
      </c>
      <c r="CO519" s="0" t="n">
        <f aca="false">IF(OR(CI519="",CJ519=""),"",DAYS360(CI519,CJ519)/7)</f>
        <v>51</v>
      </c>
      <c r="CP519" s="0" t="n">
        <f aca="false">IF(OR(CI519="",CJ519=""),"",DAYS360(CI519,CJ519))</f>
        <v>357</v>
      </c>
      <c r="CQ519" s="0" t="s">
        <v>240</v>
      </c>
      <c r="CR519" s="0" t="n">
        <v>1</v>
      </c>
      <c r="CT519" s="0" t="n">
        <v>1933</v>
      </c>
      <c r="CU519" s="0" t="n">
        <v>3</v>
      </c>
      <c r="CV519" s="0" t="n">
        <f aca="false">IF(OR(CT519="",CT519="NO ESPECIFICA",CT519="NO MENCIONA"),"",IF(CU519=0,CT519,IF(CU519=1,CT519/30,IF(CU519=2,CT519/15,IF(CU519=3,CT519/7,"")))))</f>
        <v>276.142857142857</v>
      </c>
      <c r="CW519" s="125" t="s">
        <v>216</v>
      </c>
      <c r="CX519" s="0" t="s">
        <v>216</v>
      </c>
      <c r="CY519" s="0" t="str">
        <f aca="false">IF(CW519="","",IF(CX519=0,CW519,IF(CX519=1,CW519/30,IF(CX519=2,CW519/15,IF(CX519=3,CW519/7,CW519)))))</f>
        <v>NO MENCIONA</v>
      </c>
      <c r="CZ519" s="0" t="n">
        <f aca="false">IF(DI519&gt;0,DI519,IF(CY519&gt;0,CY519,IF(CV519&gt;0,CV519,"")))</f>
        <v>276.142857142857</v>
      </c>
      <c r="DA519" s="0" t="n">
        <f aca="false">IF(DM519=1,CZ519/8,IF(OR(DM519=2,DM519=4),CZ519/7,IF(DM519=3,CZ519/7.5,"")))</f>
        <v>36.8190476190476</v>
      </c>
      <c r="DB519" s="0" t="s">
        <v>216</v>
      </c>
      <c r="DC519" s="0" t="s">
        <v>216</v>
      </c>
      <c r="DD519" s="0" t="s">
        <v>216</v>
      </c>
      <c r="DE519" s="0" t="s">
        <v>216</v>
      </c>
      <c r="DF519" s="0" t="s">
        <v>216</v>
      </c>
      <c r="DG519" s="0" t="s">
        <v>216</v>
      </c>
      <c r="DH519" s="0" t="n">
        <v>0</v>
      </c>
      <c r="DI519" s="126" t="n">
        <v>276.142857142857</v>
      </c>
      <c r="DK519" s="0" t="n">
        <v>1</v>
      </c>
      <c r="DM519" s="0" t="n">
        <v>3</v>
      </c>
      <c r="DN519" s="0" t="n">
        <v>60</v>
      </c>
      <c r="DO519" s="0" t="n">
        <v>3</v>
      </c>
      <c r="DP519" s="0" t="n">
        <v>0</v>
      </c>
      <c r="DQ519" s="0" t="n">
        <v>1</v>
      </c>
      <c r="DR519" s="0"/>
      <c r="DS519" s="0" t="n">
        <v>1</v>
      </c>
      <c r="DU519" s="0" t="n">
        <v>1</v>
      </c>
      <c r="DW519" s="1" t="n">
        <v>40425</v>
      </c>
      <c r="DX519" s="1" t="n">
        <v>40786</v>
      </c>
      <c r="DZ519" s="0"/>
      <c r="EA519" s="0" t="n">
        <v>1</v>
      </c>
      <c r="EC519" s="1" t="n">
        <v>40425</v>
      </c>
      <c r="ED519" s="1" t="n">
        <v>40786</v>
      </c>
      <c r="EF519" s="0"/>
      <c r="EG519" s="0" t="n">
        <v>1</v>
      </c>
      <c r="EH519" s="0" t="n">
        <v>12</v>
      </c>
      <c r="EI519" s="0" t="n">
        <f aca="false">IF(AND(DM519=1,DN519&lt;=48),"",IF(AND(DM519=2,DN519&lt;=42),"",IF(AND(DM519=3,DN519&lt;=45),"",EH519)))</f>
        <v>12</v>
      </c>
      <c r="EJ519" s="0" t="n">
        <f aca="false">IF(EI519="","",IF(EI519&lt;9,EI519,9))</f>
        <v>9</v>
      </c>
      <c r="EK519" s="0" t="n">
        <f aca="false">IF(EI519="","",IF(EI519&gt;9,EI519-EJ519,0))</f>
        <v>3</v>
      </c>
      <c r="EL519" s="0" t="n">
        <f aca="false">IF(EI519="","",EJ519*DA519*2+EK519*DA519*3)</f>
        <v>994.114285714286</v>
      </c>
      <c r="EP519" s="0" t="n">
        <v>0</v>
      </c>
      <c r="EQ519" s="0"/>
      <c r="ER519" s="0" t="n">
        <v>0</v>
      </c>
      <c r="ET519" s="0" t="n">
        <v>0</v>
      </c>
      <c r="EV519" s="0" t="n">
        <v>1</v>
      </c>
      <c r="EX519" s="0" t="n">
        <v>0</v>
      </c>
      <c r="EY519" s="0" t="n">
        <v>1</v>
      </c>
      <c r="EZ519" s="0"/>
      <c r="FA519" s="4" t="n">
        <v>4418.28571428572</v>
      </c>
      <c r="FB519" s="0" t="n">
        <v>1</v>
      </c>
      <c r="FC519" s="1" t="n">
        <v>40839</v>
      </c>
      <c r="FD519" s="0" t="n">
        <v>1</v>
      </c>
      <c r="FE519" s="0" t="n">
        <v>14000</v>
      </c>
      <c r="FF519" s="120" t="n">
        <f aca="false">(CJ519-CI519+1)/365</f>
        <v>0.991780821917808</v>
      </c>
      <c r="FG519" s="0" t="str">
        <f aca="false">CONCATENATE(F519,"/",G519)</f>
        <v>1587/2011</v>
      </c>
      <c r="FH519" s="0" t="n">
        <v>1</v>
      </c>
      <c r="FI519" s="0" t="n">
        <f aca="false">IFERROR(IF((FC519-J519+1)/365&gt;3,0,1),"")</f>
        <v>1</v>
      </c>
    </row>
    <row r="520" customFormat="false" ht="15" hidden="false" customHeight="false" outlineLevel="0" collapsed="false">
      <c r="A520" s="5" t="str">
        <f aca="false">E520&amp;G520&amp;F520</f>
        <v>720111594</v>
      </c>
      <c r="B520" s="0" t="s">
        <v>2737</v>
      </c>
      <c r="C520" s="1" t="n">
        <v>42365</v>
      </c>
      <c r="E520" s="0" t="n">
        <v>7</v>
      </c>
      <c r="F520" s="0" t="n">
        <v>1594</v>
      </c>
      <c r="G520" s="0" t="n">
        <v>2011</v>
      </c>
      <c r="H520" s="0" t="str">
        <f aca="false">"J"&amp;E520&amp;"\"&amp;F520&amp;"\"&amp;G520&amp;"\"&amp;W520</f>
        <v>J7\1594\2011\1</v>
      </c>
      <c r="I520" s="0"/>
      <c r="J520" s="1" t="n">
        <v>40799</v>
      </c>
      <c r="K520" s="0" t="n">
        <v>0</v>
      </c>
      <c r="M520" s="1"/>
      <c r="N520" s="1"/>
      <c r="O520" s="1"/>
      <c r="P520" s="1"/>
      <c r="Q520" s="1"/>
      <c r="T520" s="121"/>
      <c r="U520" s="121"/>
      <c r="V520" s="122" t="n">
        <f aca="false">IF(AND(E520&gt;0,F520&gt;0,G520&gt;0),COUNTIFS($E:$E,E520,$F:$F,F520,$G:$G,G520),"")</f>
        <v>1</v>
      </c>
      <c r="W520" s="122" t="n">
        <f aca="false">IF(V520="","",IF(V520=1,1,IF(AND(E519=E520,F519=F520,G519=G520),W519+1,1)))</f>
        <v>1</v>
      </c>
      <c r="X520" s="0" t="n">
        <v>1</v>
      </c>
      <c r="Y520" s="0" t="n">
        <v>6</v>
      </c>
      <c r="Z520" s="0" t="s">
        <v>4860</v>
      </c>
      <c r="AA520" s="0" t="n">
        <v>0</v>
      </c>
      <c r="AB520" s="0" t="s">
        <v>3461</v>
      </c>
      <c r="AC520" s="0" t="s">
        <v>1160</v>
      </c>
      <c r="AD520" s="0" t="s">
        <v>229</v>
      </c>
      <c r="AE520" s="0" t="n">
        <v>0</v>
      </c>
      <c r="AF520" s="0" t="s">
        <v>4861</v>
      </c>
      <c r="AG520" s="0" t="n">
        <v>0</v>
      </c>
      <c r="AH520" s="0" t="s">
        <v>4862</v>
      </c>
      <c r="AI520" s="0" t="s">
        <v>3809</v>
      </c>
      <c r="AJ520" s="0" t="s">
        <v>411</v>
      </c>
      <c r="AL520" s="0" t="s">
        <v>4863</v>
      </c>
      <c r="AM520" s="0" t="n">
        <v>0</v>
      </c>
      <c r="AN520" s="0" t="s">
        <v>4862</v>
      </c>
      <c r="AO520" s="0" t="s">
        <v>3809</v>
      </c>
      <c r="AP520" s="0" t="s">
        <v>411</v>
      </c>
      <c r="AR520" s="0" t="s">
        <v>4864</v>
      </c>
      <c r="AS520" s="0" t="n">
        <v>0</v>
      </c>
      <c r="AT520" s="0" t="s">
        <v>4862</v>
      </c>
      <c r="AU520" s="0" t="s">
        <v>3809</v>
      </c>
      <c r="AV520" s="0" t="s">
        <v>411</v>
      </c>
      <c r="AX520" s="0" t="s">
        <v>4865</v>
      </c>
      <c r="AY520" s="0" t="n">
        <v>1</v>
      </c>
      <c r="AZ520" s="0" t="s">
        <v>4862</v>
      </c>
      <c r="BA520" s="0" t="s">
        <v>3809</v>
      </c>
      <c r="BB520" s="0" t="s">
        <v>411</v>
      </c>
      <c r="BD520" s="0" t="s">
        <v>4866</v>
      </c>
      <c r="BE520" s="0" t="n">
        <v>1</v>
      </c>
      <c r="BF520" s="0" t="s">
        <v>4862</v>
      </c>
      <c r="BG520" s="0" t="s">
        <v>3809</v>
      </c>
      <c r="BH520" s="0" t="s">
        <v>411</v>
      </c>
      <c r="BJ520" s="0" t="s">
        <v>1637</v>
      </c>
      <c r="BK520" s="0" t="n">
        <v>1</v>
      </c>
      <c r="BL520" s="0" t="s">
        <v>4862</v>
      </c>
      <c r="BM520" s="0" t="s">
        <v>3809</v>
      </c>
      <c r="BN520" s="0" t="s">
        <v>411</v>
      </c>
      <c r="BR520" s="0" t="n">
        <v>1</v>
      </c>
      <c r="BS520" s="0" t="s">
        <v>3466</v>
      </c>
      <c r="BT520" s="0" t="s">
        <v>4867</v>
      </c>
      <c r="BU520" s="0" t="s">
        <v>4185</v>
      </c>
      <c r="BV520" s="123"/>
      <c r="BW520" s="123"/>
      <c r="BX520" s="123"/>
      <c r="BY520" s="123"/>
      <c r="CA520" s="0" t="s">
        <v>216</v>
      </c>
      <c r="CD520" s="0" t="s">
        <v>216</v>
      </c>
      <c r="CE520" s="0" t="n">
        <v>0</v>
      </c>
      <c r="CF520" s="0" t="s">
        <v>4868</v>
      </c>
      <c r="CI520" s="1" t="n">
        <v>33462</v>
      </c>
      <c r="CJ520" s="1" t="n">
        <v>40788</v>
      </c>
      <c r="CK520" s="124" t="n">
        <v>0.333333333333333</v>
      </c>
      <c r="CL520" s="0" t="s">
        <v>4866</v>
      </c>
      <c r="CM520" s="0" t="n">
        <f aca="false">IF(OR(CI520="",CJ520=""),"",DAYS360(CI520,CJ520)/360)</f>
        <v>20.0555555555556</v>
      </c>
      <c r="CN520" s="0" t="n">
        <f aca="false">IF(OR(CI520="",CJ520=""),"",DAYS360(CI520,CJ520)/30)</f>
        <v>240.666666666667</v>
      </c>
      <c r="CO520" s="0" t="n">
        <f aca="false">IF(OR(CI520="",CJ520=""),"",DAYS360(CI520,CJ520)/7)</f>
        <v>1031.42857142857</v>
      </c>
      <c r="CP520" s="0" t="n">
        <f aca="false">IF(OR(CI520="",CJ520=""),"",DAYS360(CI520,CJ520))</f>
        <v>7220</v>
      </c>
      <c r="CQ520" s="0" t="s">
        <v>240</v>
      </c>
      <c r="CR520" s="0" t="n">
        <v>1</v>
      </c>
      <c r="CT520" s="0" t="n">
        <v>140.83</v>
      </c>
      <c r="CU520" s="0" t="n">
        <v>0</v>
      </c>
      <c r="CV520" s="0" t="n">
        <f aca="false">IF(OR(CT520="",CT520="NO ESPECIFICA",CT520="NO MENCIONA"),"",IF(CU520=0,CT520,IF(CU520=1,CT520/30,IF(CU520=2,CT520/15,IF(CU520=3,CT520/7,"")))))</f>
        <v>140.83</v>
      </c>
      <c r="CW520" s="125" t="s">
        <v>216</v>
      </c>
      <c r="CX520" s="0" t="s">
        <v>216</v>
      </c>
      <c r="CY520" s="0" t="str">
        <f aca="false">IF(CW520="","",IF(CX520=0,CW520,IF(CX520=1,CW520/30,IF(CX520=2,CW520/15,IF(CX520=3,CW520/7,CW520)))))</f>
        <v>NO MENCIONA</v>
      </c>
      <c r="CZ520" s="0" t="n">
        <f aca="false">IF(DI520&gt;0,DI520,IF(CY520&gt;0,CY520,IF(CV520&gt;0,CV520,"")))</f>
        <v>140.83</v>
      </c>
      <c r="DA520" s="0" t="n">
        <f aca="false">IF(DM520=1,CZ520/8,IF(OR(DM520=2,DM520=4),CZ520/7,IF(DM520=3,CZ520/7.5,"")))</f>
        <v>17.60375</v>
      </c>
      <c r="DB520" s="0" t="s">
        <v>216</v>
      </c>
      <c r="DC520" s="0" t="s">
        <v>216</v>
      </c>
      <c r="DD520" s="0" t="s">
        <v>216</v>
      </c>
      <c r="DE520" s="0" t="s">
        <v>216</v>
      </c>
      <c r="DF520" s="0" t="s">
        <v>216</v>
      </c>
      <c r="DG520" s="0" t="s">
        <v>216</v>
      </c>
      <c r="DH520" s="0" t="n">
        <v>0</v>
      </c>
      <c r="DI520" s="126" t="n">
        <v>140.83</v>
      </c>
      <c r="DK520" s="0" t="n">
        <v>0</v>
      </c>
      <c r="DM520" s="0" t="n">
        <v>1</v>
      </c>
      <c r="DN520" s="0" t="n">
        <v>52.5</v>
      </c>
      <c r="DO520" s="0" t="n">
        <v>3</v>
      </c>
      <c r="DP520" s="0" t="n">
        <v>0</v>
      </c>
      <c r="DQ520" s="0" t="n">
        <v>1</v>
      </c>
      <c r="DR520" s="0"/>
      <c r="DS520" s="0" t="n">
        <v>1</v>
      </c>
      <c r="DU520" s="0" t="n">
        <v>1</v>
      </c>
      <c r="DW520" s="1" t="n">
        <v>33462</v>
      </c>
      <c r="DX520" s="1" t="n">
        <v>40788</v>
      </c>
      <c r="DZ520" s="0"/>
      <c r="EA520" s="0" t="n">
        <v>1</v>
      </c>
      <c r="EC520" s="1" t="n">
        <v>33462</v>
      </c>
      <c r="ED520" s="1" t="n">
        <v>40788</v>
      </c>
      <c r="EF520" s="0"/>
      <c r="EG520" s="0" t="n">
        <v>1</v>
      </c>
      <c r="EH520" s="0" t="n">
        <v>12.5</v>
      </c>
      <c r="EI520" s="0" t="n">
        <f aca="false">IF(AND(DM520=1,DN520&lt;=48),"",IF(AND(DM520=2,DN520&lt;=42),"",IF(AND(DM520=3,DN520&lt;=45),"",EH520)))</f>
        <v>12.5</v>
      </c>
      <c r="EJ520" s="0" t="n">
        <f aca="false">IF(EI520="","",IF(EI520&lt;9,EI520,9))</f>
        <v>9</v>
      </c>
      <c r="EK520" s="0" t="n">
        <f aca="false">IF(EI520="","",IF(EI520&gt;9,EI520-EJ520,0))</f>
        <v>3.5</v>
      </c>
      <c r="EL520" s="0" t="n">
        <f aca="false">IF(EI520="","",EJ520*DA520*2+EK520*DA520*3)</f>
        <v>501.706875</v>
      </c>
      <c r="EP520" s="0" t="n">
        <v>0</v>
      </c>
      <c r="EQ520" s="0"/>
      <c r="ER520" s="0" t="n">
        <v>0</v>
      </c>
      <c r="ET520" s="0" t="n">
        <v>0</v>
      </c>
      <c r="EV520" s="0" t="n">
        <v>0</v>
      </c>
      <c r="EX520" s="0" t="n">
        <v>0</v>
      </c>
      <c r="EY520" s="0" t="n">
        <v>0</v>
      </c>
      <c r="EZ520" s="0"/>
      <c r="FA520" s="4" t="n">
        <v>0</v>
      </c>
      <c r="FB520" s="0" t="n">
        <v>1</v>
      </c>
      <c r="FC520" s="1" t="n">
        <v>40834</v>
      </c>
      <c r="FD520" s="0" t="n">
        <v>1</v>
      </c>
      <c r="FE520" s="0" t="n">
        <v>30593.06</v>
      </c>
      <c r="FF520" s="120" t="n">
        <f aca="false">(CJ520-CI520+1)/365</f>
        <v>20.0739726027397</v>
      </c>
      <c r="FG520" s="0" t="str">
        <f aca="false">CONCATENATE(F520,"/",G520)</f>
        <v>1594/2011</v>
      </c>
      <c r="FH520" s="0" t="n">
        <v>1</v>
      </c>
      <c r="FI520" s="0" t="n">
        <f aca="false">IFERROR(IF((FC520-J520+1)/365&gt;3,0,1),"")</f>
        <v>1</v>
      </c>
    </row>
    <row r="521" customFormat="false" ht="15" hidden="false" customHeight="false" outlineLevel="0" collapsed="false">
      <c r="A521" s="5" t="str">
        <f aca="false">E521&amp;G521&amp;F521</f>
        <v>720111599</v>
      </c>
      <c r="B521" s="0" t="s">
        <v>2737</v>
      </c>
      <c r="C521" s="1" t="n">
        <v>42365</v>
      </c>
      <c r="E521" s="0" t="n">
        <v>7</v>
      </c>
      <c r="F521" s="0" t="n">
        <v>1599</v>
      </c>
      <c r="G521" s="0" t="n">
        <v>2011</v>
      </c>
      <c r="H521" s="0" t="str">
        <f aca="false">"J"&amp;E521&amp;"\"&amp;F521&amp;"\"&amp;G521&amp;"\"&amp;W521</f>
        <v>J7\1599\2011\1</v>
      </c>
      <c r="I521" s="0"/>
      <c r="J521" s="1" t="n">
        <v>40805</v>
      </c>
      <c r="K521" s="0" t="n">
        <v>1</v>
      </c>
      <c r="L521" s="0" t="s">
        <v>4869</v>
      </c>
      <c r="M521" s="1" t="n">
        <v>40805</v>
      </c>
      <c r="N521" s="1" t="n">
        <v>41043</v>
      </c>
      <c r="O521" s="1"/>
      <c r="P521" s="1"/>
      <c r="Q521" s="1"/>
      <c r="T521" s="121"/>
      <c r="U521" s="121"/>
      <c r="V521" s="122" t="n">
        <f aca="false">IF(AND(E521&gt;0,F521&gt;0,G521&gt;0),COUNTIFS($E:$E,E521,$F:$F,F521,$G:$G,G521),"")</f>
        <v>1</v>
      </c>
      <c r="W521" s="122" t="n">
        <f aca="false">IF(V521="","",IF(V521=1,1,IF(AND(E520=E521,F520=F521,G520=G521),W520+1,1)))</f>
        <v>1</v>
      </c>
      <c r="X521" s="0" t="n">
        <v>1</v>
      </c>
      <c r="Y521" s="0" t="n">
        <v>3</v>
      </c>
      <c r="Z521" s="0" t="s">
        <v>4870</v>
      </c>
      <c r="AA521" s="0" t="n">
        <v>0</v>
      </c>
      <c r="AB521" s="0" t="s">
        <v>4743</v>
      </c>
      <c r="AD521" s="0" t="s">
        <v>229</v>
      </c>
      <c r="AE521" s="0" t="n">
        <v>0</v>
      </c>
      <c r="AF521" s="0" t="s">
        <v>4716</v>
      </c>
      <c r="AG521" s="0" t="n">
        <v>0</v>
      </c>
      <c r="AH521" s="0" t="s">
        <v>4871</v>
      </c>
      <c r="AI521" s="0" t="s">
        <v>287</v>
      </c>
      <c r="AJ521" s="0" t="s">
        <v>207</v>
      </c>
      <c r="AL521" s="0" t="s">
        <v>4872</v>
      </c>
      <c r="AM521" s="0" t="n">
        <v>0</v>
      </c>
      <c r="AN521" s="0" t="s">
        <v>4871</v>
      </c>
      <c r="AO521" s="0" t="s">
        <v>287</v>
      </c>
      <c r="AP521" s="0" t="s">
        <v>207</v>
      </c>
      <c r="AR521" s="0" t="s">
        <v>4873</v>
      </c>
      <c r="AS521" s="0" t="n">
        <v>1</v>
      </c>
      <c r="AT521" s="0" t="s">
        <v>4871</v>
      </c>
      <c r="AU521" s="0" t="s">
        <v>287</v>
      </c>
      <c r="AV521" s="0" t="s">
        <v>207</v>
      </c>
      <c r="BR521" s="0" t="n">
        <v>1</v>
      </c>
      <c r="BS521" s="0" t="s">
        <v>4748</v>
      </c>
      <c r="BT521" s="0" t="s">
        <v>4749</v>
      </c>
      <c r="BU521" s="0" t="s">
        <v>4874</v>
      </c>
      <c r="BV521" s="123"/>
      <c r="BW521" s="123"/>
      <c r="BX521" s="123"/>
      <c r="BY521" s="123"/>
      <c r="CA521" s="0" t="s">
        <v>4750</v>
      </c>
      <c r="CD521" s="0" t="s">
        <v>216</v>
      </c>
      <c r="CE521" s="0" t="n">
        <v>0</v>
      </c>
      <c r="CF521" s="0" t="s">
        <v>1132</v>
      </c>
      <c r="CI521" s="1" t="n">
        <v>40225</v>
      </c>
      <c r="CJ521" s="1" t="n">
        <v>40773</v>
      </c>
      <c r="CK521" s="124" t="n">
        <v>0.770833333333333</v>
      </c>
      <c r="CL521" s="0" t="s">
        <v>4873</v>
      </c>
      <c r="CM521" s="0" t="n">
        <f aca="false">IF(OR(CI521="",CJ521=""),"",DAYS360(CI521,CJ521)/360)</f>
        <v>1.50555555555556</v>
      </c>
      <c r="CN521" s="0" t="n">
        <f aca="false">IF(OR(CI521="",CJ521=""),"",DAYS360(CI521,CJ521)/30)</f>
        <v>18.0666666666667</v>
      </c>
      <c r="CO521" s="0" t="n">
        <f aca="false">IF(OR(CI521="",CJ521=""),"",DAYS360(CI521,CJ521)/7)</f>
        <v>77.4285714285714</v>
      </c>
      <c r="CP521" s="0" t="n">
        <f aca="false">IF(OR(CI521="",CJ521=""),"",DAYS360(CI521,CJ521))</f>
        <v>542</v>
      </c>
      <c r="CQ521" s="0" t="s">
        <v>220</v>
      </c>
      <c r="CR521" s="0" t="n">
        <v>1</v>
      </c>
      <c r="CT521" s="0" t="n">
        <v>2500</v>
      </c>
      <c r="CU521" s="0" t="n">
        <v>2</v>
      </c>
      <c r="CV521" s="0" t="n">
        <f aca="false">IF(OR(CT521="",CT521="NO ESPECIFICA",CT521="NO MENCIONA"),"",IF(CU521=0,CT521,IF(CU521=1,CT521/30,IF(CU521=2,CT521/15,IF(CU521=3,CT521/7,"")))))</f>
        <v>166.666666666667</v>
      </c>
      <c r="CW521" s="125" t="n">
        <v>461.17</v>
      </c>
      <c r="CX521" s="0" t="n">
        <v>0</v>
      </c>
      <c r="CY521" s="0" t="n">
        <f aca="false">IF(CW521="","",IF(CX521=0,CW521,IF(CX521=1,CW521/30,IF(CX521=2,CW521/15,IF(CX521=3,CW521/7,CW521)))))</f>
        <v>461.17</v>
      </c>
      <c r="CZ521" s="0" t="n">
        <f aca="false">IF(DI521&gt;0,DI521,IF(CY521&gt;0,CY521,IF(CV521&gt;0,CV521,"")))</f>
        <v>461.17</v>
      </c>
      <c r="DA521" s="0" t="n">
        <f aca="false">IF(DM521=1,CZ521/8,IF(OR(DM521=2,DM521=4),CZ521/7,IF(DM521=3,CZ521/7.5,"")))</f>
        <v>57.64625</v>
      </c>
      <c r="DB521" s="0" t="s">
        <v>301</v>
      </c>
      <c r="DC521" s="0" t="s">
        <v>303</v>
      </c>
      <c r="DD521" s="0" t="s">
        <v>627</v>
      </c>
      <c r="DE521" s="0" t="s">
        <v>3117</v>
      </c>
      <c r="DF521" s="0" t="s">
        <v>3024</v>
      </c>
      <c r="DG521" s="0" t="s">
        <v>216</v>
      </c>
      <c r="DH521" s="0" t="n">
        <v>0</v>
      </c>
      <c r="DI521" s="126" t="n">
        <v>461.17</v>
      </c>
      <c r="DK521" s="0" t="n">
        <v>1</v>
      </c>
      <c r="DM521" s="0" t="n">
        <v>1</v>
      </c>
      <c r="DN521" s="0" t="n">
        <v>63</v>
      </c>
      <c r="DO521" s="0" t="n">
        <v>3</v>
      </c>
      <c r="DP521" s="0" t="n">
        <v>1</v>
      </c>
      <c r="DQ521" s="0" t="n">
        <v>1</v>
      </c>
      <c r="DR521" s="0"/>
      <c r="DS521" s="0" t="n">
        <v>1</v>
      </c>
      <c r="DU521" s="0" t="n">
        <v>1</v>
      </c>
      <c r="DW521" s="1" t="n">
        <v>40225</v>
      </c>
      <c r="DX521" s="1" t="n">
        <v>40773</v>
      </c>
      <c r="DZ521" s="0"/>
      <c r="EA521" s="0" t="n">
        <v>1</v>
      </c>
      <c r="EC521" s="1" t="n">
        <v>40225</v>
      </c>
      <c r="ED521" s="1" t="n">
        <v>40773</v>
      </c>
      <c r="EF521" s="0"/>
      <c r="EG521" s="0" t="n">
        <v>1</v>
      </c>
      <c r="EH521" s="0" t="n">
        <v>15</v>
      </c>
      <c r="EI521" s="0" t="n">
        <f aca="false">IF(AND(DM521=1,DN521&lt;=48),"",IF(AND(DM521=2,DN521&lt;=42),"",IF(AND(DM521=3,DN521&lt;=45),"",EH521)))</f>
        <v>15</v>
      </c>
      <c r="EJ521" s="0" t="n">
        <f aca="false">IF(EI521="","",IF(EI521&lt;9,EI521,9))</f>
        <v>9</v>
      </c>
      <c r="EK521" s="0" t="n">
        <f aca="false">IF(EI521="","",IF(EI521&gt;9,EI521-EJ521,0))</f>
        <v>6</v>
      </c>
      <c r="EL521" s="0" t="n">
        <f aca="false">IF(EI521="","",EJ521*DA521*2+EK521*DA521*3)</f>
        <v>2075.265</v>
      </c>
      <c r="EP521" s="0" t="n">
        <v>1</v>
      </c>
      <c r="EQ521" s="0"/>
      <c r="ER521" s="0" t="n">
        <v>0</v>
      </c>
      <c r="ET521" s="0" t="n">
        <v>0</v>
      </c>
      <c r="EV521" s="0" t="n">
        <v>0</v>
      </c>
      <c r="EX521" s="0" t="n">
        <v>1</v>
      </c>
      <c r="EY521" s="0" t="n">
        <v>1</v>
      </c>
      <c r="EZ521" s="0"/>
      <c r="FA521" s="4" t="n">
        <v>1383.51</v>
      </c>
      <c r="FB521" s="0" t="n">
        <v>1</v>
      </c>
      <c r="FC521" s="1" t="n">
        <v>41064</v>
      </c>
      <c r="FD521" s="0" t="n">
        <v>1</v>
      </c>
      <c r="FE521" s="0" t="n">
        <v>15000</v>
      </c>
      <c r="FF521" s="120" t="n">
        <f aca="false">(CJ521-CI521+1)/365</f>
        <v>1.5041095890411</v>
      </c>
      <c r="FG521" s="0" t="str">
        <f aca="false">CONCATENATE(F521,"/",G521)</f>
        <v>1599/2011</v>
      </c>
      <c r="FH521" s="0" t="n">
        <v>1</v>
      </c>
      <c r="FI521" s="0" t="n">
        <f aca="false">IFERROR(IF((FC521-J521+1)/365&gt;3,0,1),"")</f>
        <v>1</v>
      </c>
    </row>
    <row r="522" customFormat="false" ht="15" hidden="false" customHeight="false" outlineLevel="0" collapsed="false">
      <c r="A522" s="5" t="str">
        <f aca="false">E522&amp;G522&amp;F522</f>
        <v>720111600</v>
      </c>
      <c r="B522" s="0" t="s">
        <v>2737</v>
      </c>
      <c r="C522" s="1" t="n">
        <v>42365</v>
      </c>
      <c r="E522" s="0" t="n">
        <v>7</v>
      </c>
      <c r="F522" s="0" t="n">
        <v>1600</v>
      </c>
      <c r="G522" s="0" t="n">
        <v>2011</v>
      </c>
      <c r="H522" s="0" t="str">
        <f aca="false">"J"&amp;E522&amp;"\"&amp;F522&amp;"\"&amp;G522&amp;"\"&amp;W522</f>
        <v>J7\1600\2011\1</v>
      </c>
      <c r="I522" s="0"/>
      <c r="J522" s="1" t="n">
        <v>40805</v>
      </c>
      <c r="K522" s="0" t="n">
        <v>0</v>
      </c>
      <c r="M522" s="1"/>
      <c r="N522" s="1"/>
      <c r="O522" s="1"/>
      <c r="P522" s="1"/>
      <c r="Q522" s="1"/>
      <c r="T522" s="121"/>
      <c r="U522" s="121"/>
      <c r="V522" s="122" t="n">
        <f aca="false">IF(AND(E522&gt;0,F522&gt;0,G522&gt;0),COUNTIFS($E:$E,E522,$F:$F,F522,$G:$G,G522),"")</f>
        <v>1</v>
      </c>
      <c r="W522" s="122" t="n">
        <f aca="false">IF(V522="","",IF(V522=1,1,IF(AND(E521=E522,F521=F522,G521=G522),W521+1,1)))</f>
        <v>1</v>
      </c>
      <c r="X522" s="0" t="n">
        <v>1</v>
      </c>
      <c r="Y522" s="0" t="n">
        <v>5</v>
      </c>
      <c r="Z522" s="0" t="s">
        <v>4875</v>
      </c>
      <c r="AA522" s="0" t="n">
        <v>0</v>
      </c>
      <c r="AB522" s="0" t="s">
        <v>702</v>
      </c>
      <c r="AE522" s="0" t="n">
        <v>0</v>
      </c>
      <c r="AF522" s="0" t="s">
        <v>486</v>
      </c>
      <c r="AG522" s="0" t="n">
        <v>0</v>
      </c>
      <c r="AH522" s="0" t="s">
        <v>4876</v>
      </c>
      <c r="AI522" s="0" t="s">
        <v>2221</v>
      </c>
      <c r="AJ522" s="0" t="s">
        <v>659</v>
      </c>
      <c r="AL522" s="0" t="s">
        <v>4877</v>
      </c>
      <c r="AM522" s="0" t="n">
        <v>1</v>
      </c>
      <c r="AN522" s="0" t="s">
        <v>4876</v>
      </c>
      <c r="AO522" s="0" t="s">
        <v>2221</v>
      </c>
      <c r="AP522" s="0" t="s">
        <v>659</v>
      </c>
      <c r="AR522" s="0" t="s">
        <v>4878</v>
      </c>
      <c r="AS522" s="0" t="n">
        <v>0</v>
      </c>
      <c r="AT522" s="0" t="s">
        <v>4879</v>
      </c>
      <c r="AU522" s="0" t="s">
        <v>3721</v>
      </c>
      <c r="AV522" s="0" t="s">
        <v>485</v>
      </c>
      <c r="AX522" s="0" t="s">
        <v>4880</v>
      </c>
      <c r="AY522" s="0" t="n">
        <v>1</v>
      </c>
      <c r="AZ522" s="0" t="s">
        <v>4879</v>
      </c>
      <c r="BA522" s="0" t="s">
        <v>3721</v>
      </c>
      <c r="BB522" s="0" t="s">
        <v>485</v>
      </c>
      <c r="BD522" s="0" t="s">
        <v>4881</v>
      </c>
      <c r="BE522" s="0" t="n">
        <v>1</v>
      </c>
      <c r="BF522" s="0" t="s">
        <v>4879</v>
      </c>
      <c r="BG522" s="0" t="s">
        <v>3721</v>
      </c>
      <c r="BH522" s="0" t="s">
        <v>485</v>
      </c>
      <c r="BR522" s="0" t="n">
        <v>1</v>
      </c>
      <c r="BS522" s="0" t="s">
        <v>4882</v>
      </c>
      <c r="BT522" s="0" t="s">
        <v>4883</v>
      </c>
      <c r="BU522" s="0" t="s">
        <v>4884</v>
      </c>
      <c r="BV522" s="123"/>
      <c r="BW522" s="123"/>
      <c r="BX522" s="123"/>
      <c r="BY522" s="123"/>
      <c r="CA522" s="0" t="s">
        <v>4885</v>
      </c>
      <c r="CD522" s="0" t="s">
        <v>296</v>
      </c>
      <c r="CE522" s="0" t="n">
        <v>1</v>
      </c>
      <c r="CF522" s="0" t="s">
        <v>4886</v>
      </c>
      <c r="CI522" s="1" t="n">
        <v>40609</v>
      </c>
      <c r="CJ522" s="1" t="n">
        <v>40786</v>
      </c>
      <c r="CK522" s="124" t="n">
        <v>0.416666666666667</v>
      </c>
      <c r="CL522" s="0" t="s">
        <v>4887</v>
      </c>
      <c r="CM522" s="0" t="n">
        <f aca="false">IF(OR(CI522="",CJ522=""),"",DAYS360(CI522,CJ522)/360)</f>
        <v>0.483333333333333</v>
      </c>
      <c r="CN522" s="0" t="n">
        <f aca="false">IF(OR(CI522="",CJ522=""),"",DAYS360(CI522,CJ522)/30)</f>
        <v>5.8</v>
      </c>
      <c r="CO522" s="0" t="n">
        <f aca="false">IF(OR(CI522="",CJ522=""),"",DAYS360(CI522,CJ522)/7)</f>
        <v>24.8571428571429</v>
      </c>
      <c r="CP522" s="0" t="n">
        <f aca="false">IF(OR(CI522="",CJ522=""),"",DAYS360(CI522,CJ522))</f>
        <v>174</v>
      </c>
      <c r="CQ522" s="0" t="s">
        <v>240</v>
      </c>
      <c r="CR522" s="0" t="n">
        <v>1</v>
      </c>
      <c r="CT522" s="0" t="n">
        <v>350</v>
      </c>
      <c r="CU522" s="0" t="n">
        <v>0</v>
      </c>
      <c r="CV522" s="0" t="n">
        <f aca="false">IF(OR(CT522="",CT522="NO ESPECIFICA",CT522="NO MENCIONA"),"",IF(CU522=0,CT522,IF(CU522=1,CT522/30,IF(CU522=2,CT522/15,IF(CU522=3,CT522/7,"")))))</f>
        <v>350</v>
      </c>
      <c r="CW522" s="125" t="n">
        <v>550</v>
      </c>
      <c r="CX522" s="0" t="n">
        <v>0</v>
      </c>
      <c r="CY522" s="0" t="n">
        <f aca="false">IF(CW522="","",IF(CX522=0,CW522,IF(CX522=1,CW522/30,IF(CX522=2,CW522/15,IF(CX522=3,CW522/7,CW522)))))</f>
        <v>550</v>
      </c>
      <c r="CZ522" s="0" t="n">
        <f aca="false">IF(DI522&gt;0,DI522,IF(CY522&gt;0,CY522,IF(CV522&gt;0,CV522,"")))</f>
        <v>550</v>
      </c>
      <c r="DA522" s="0" t="n">
        <f aca="false">IF(DM522=1,CZ522/8,IF(OR(DM522=2,DM522=4),CZ522/7,IF(DM522=3,CZ522/7.5,"")))</f>
        <v>68.75</v>
      </c>
      <c r="DB522" s="0" t="s">
        <v>4888</v>
      </c>
      <c r="DC522" s="0" t="s">
        <v>258</v>
      </c>
      <c r="DD522" s="0" t="s">
        <v>259</v>
      </c>
      <c r="DE522" s="0" t="s">
        <v>299</v>
      </c>
      <c r="DF522" s="0" t="s">
        <v>216</v>
      </c>
      <c r="DG522" s="0" t="s">
        <v>216</v>
      </c>
      <c r="DH522" s="0" t="n">
        <v>0</v>
      </c>
      <c r="DI522" s="126" t="n">
        <v>550</v>
      </c>
      <c r="DK522" s="0" t="n">
        <v>0</v>
      </c>
      <c r="DM522" s="0" t="n">
        <v>1</v>
      </c>
      <c r="DN522" s="0" t="n">
        <v>60</v>
      </c>
      <c r="DO522" s="0" t="n">
        <v>3</v>
      </c>
      <c r="DP522" s="0" t="n">
        <v>0</v>
      </c>
      <c r="DQ522" s="0" t="n">
        <v>1</v>
      </c>
      <c r="DR522" s="0" t="n">
        <v>49500</v>
      </c>
      <c r="DS522" s="0" t="n">
        <v>1</v>
      </c>
      <c r="DU522" s="0" t="n">
        <v>1</v>
      </c>
      <c r="DW522" s="1" t="n">
        <v>40609</v>
      </c>
      <c r="DX522" s="1" t="n">
        <v>40786</v>
      </c>
      <c r="DZ522" s="0"/>
      <c r="EA522" s="0" t="n">
        <v>1</v>
      </c>
      <c r="EC522" s="1" t="n">
        <v>40609</v>
      </c>
      <c r="ED522" s="1" t="n">
        <v>40786</v>
      </c>
      <c r="EF522" s="0"/>
      <c r="EG522" s="0" t="n">
        <v>1</v>
      </c>
      <c r="EH522" s="0" t="n">
        <v>12</v>
      </c>
      <c r="EI522" s="0" t="n">
        <f aca="false">IF(AND(DM522=1,DN522&lt;=48),"",IF(AND(DM522=2,DN522&lt;=42),"",IF(AND(DM522=3,DN522&lt;=45),"",EH522)))</f>
        <v>12</v>
      </c>
      <c r="EJ522" s="0" t="n">
        <f aca="false">IF(EI522="","",IF(EI522&lt;9,EI522,9))</f>
        <v>9</v>
      </c>
      <c r="EK522" s="0" t="n">
        <f aca="false">IF(EI522="","",IF(EI522&gt;9,EI522-EJ522,0))</f>
        <v>3</v>
      </c>
      <c r="EL522" s="0" t="n">
        <f aca="false">IF(EI522="","",EJ522*DA522*2+EK522*DA522*3)</f>
        <v>1856.25</v>
      </c>
      <c r="EN522" s="0" t="n">
        <v>96525</v>
      </c>
      <c r="EP522" s="0" t="n">
        <v>0</v>
      </c>
      <c r="EQ522" s="0"/>
      <c r="ER522" s="0" t="n">
        <v>0</v>
      </c>
      <c r="ET522" s="0" t="n">
        <v>0</v>
      </c>
      <c r="EV522" s="0" t="n">
        <v>0</v>
      </c>
      <c r="EX522" s="0" t="n">
        <v>1</v>
      </c>
      <c r="EY522" s="0" t="n">
        <v>0</v>
      </c>
      <c r="EZ522" s="0"/>
      <c r="FA522" s="4" t="n">
        <v>8250</v>
      </c>
      <c r="FB522" s="0" t="n">
        <v>0</v>
      </c>
      <c r="FC522" s="1" t="n">
        <v>41708</v>
      </c>
      <c r="FD522" s="0" t="n">
        <v>1</v>
      </c>
      <c r="FE522" s="0" t="n">
        <v>4000</v>
      </c>
      <c r="FF522" s="120" t="n">
        <f aca="false">(CJ522-CI522+1)/365</f>
        <v>0.487671232876712</v>
      </c>
      <c r="FG522" s="0" t="str">
        <f aca="false">CONCATENATE(F522,"/",G522)</f>
        <v>1600/2011</v>
      </c>
      <c r="FH522" s="0" t="n">
        <v>1</v>
      </c>
      <c r="FI522" s="0" t="n">
        <f aca="false">IFERROR(IF((FC522-J522+1)/365&gt;3,0,1),"")</f>
        <v>1</v>
      </c>
    </row>
    <row r="523" customFormat="false" ht="15" hidden="false" customHeight="false" outlineLevel="0" collapsed="false">
      <c r="A523" s="5" t="str">
        <f aca="false">E523&amp;G523&amp;F523</f>
        <v>720111601</v>
      </c>
      <c r="B523" s="0" t="s">
        <v>2737</v>
      </c>
      <c r="C523" s="1" t="n">
        <v>42365</v>
      </c>
      <c r="E523" s="0" t="n">
        <v>7</v>
      </c>
      <c r="F523" s="0" t="n">
        <v>1601</v>
      </c>
      <c r="G523" s="0" t="n">
        <v>2011</v>
      </c>
      <c r="H523" s="0" t="str">
        <f aca="false">"J"&amp;E523&amp;"\"&amp;F523&amp;"\"&amp;G523&amp;"\"&amp;W523</f>
        <v>J7\1601\2011\1</v>
      </c>
      <c r="I523" s="0"/>
      <c r="J523" s="1" t="n">
        <v>40805</v>
      </c>
      <c r="K523" s="0" t="n">
        <v>0</v>
      </c>
      <c r="M523" s="1"/>
      <c r="N523" s="1"/>
      <c r="O523" s="1"/>
      <c r="P523" s="1"/>
      <c r="Q523" s="1"/>
      <c r="T523" s="121"/>
      <c r="U523" s="121"/>
      <c r="V523" s="122" t="n">
        <f aca="false">IF(AND(E523&gt;0,F523&gt;0,G523&gt;0),COUNTIFS($E:$E,E523,$F:$F,F523,$G:$G,G523),"")</f>
        <v>1</v>
      </c>
      <c r="W523" s="122" t="n">
        <f aca="false">IF(V523="","",IF(V523=1,1,IF(AND(E522=E523,F522=F523,G522=G523),W522+1,1)))</f>
        <v>1</v>
      </c>
      <c r="X523" s="0" t="n">
        <v>1</v>
      </c>
      <c r="Y523" s="0" t="n">
        <v>4</v>
      </c>
      <c r="Z523" s="0" t="s">
        <v>4889</v>
      </c>
      <c r="AA523" s="0" t="n">
        <v>0</v>
      </c>
      <c r="AB523" s="0" t="s">
        <v>4890</v>
      </c>
      <c r="AC523" s="0" t="s">
        <v>274</v>
      </c>
      <c r="AD523" s="0" t="s">
        <v>229</v>
      </c>
      <c r="AE523" s="0" t="n">
        <v>0</v>
      </c>
      <c r="AF523" s="0" t="s">
        <v>4891</v>
      </c>
      <c r="AG523" s="0" t="n">
        <v>1</v>
      </c>
      <c r="AH523" s="0" t="s">
        <v>4892</v>
      </c>
      <c r="AI523" s="0" t="s">
        <v>3260</v>
      </c>
      <c r="AJ523" s="0" t="s">
        <v>411</v>
      </c>
      <c r="AL523" s="0" t="s">
        <v>4893</v>
      </c>
      <c r="AM523" s="0" t="n">
        <v>1</v>
      </c>
      <c r="AN523" s="0" t="s">
        <v>4892</v>
      </c>
      <c r="AO523" s="0" t="s">
        <v>3260</v>
      </c>
      <c r="AP523" s="0" t="s">
        <v>411</v>
      </c>
      <c r="AR523" s="0" t="s">
        <v>4894</v>
      </c>
      <c r="AS523" s="0" t="n">
        <v>0</v>
      </c>
      <c r="AT523" s="0" t="s">
        <v>4892</v>
      </c>
      <c r="AU523" s="0" t="s">
        <v>3260</v>
      </c>
      <c r="AV523" s="0" t="s">
        <v>411</v>
      </c>
      <c r="AX523" s="0" t="s">
        <v>1637</v>
      </c>
      <c r="AY523" s="0" t="n">
        <v>1</v>
      </c>
      <c r="AZ523" s="0" t="s">
        <v>4892</v>
      </c>
      <c r="BA523" s="0" t="s">
        <v>3260</v>
      </c>
      <c r="BB523" s="0" t="s">
        <v>411</v>
      </c>
      <c r="BR523" s="0" t="n">
        <v>1</v>
      </c>
      <c r="BS523" s="0" t="s">
        <v>4895</v>
      </c>
      <c r="BT523" s="0" t="s">
        <v>4896</v>
      </c>
      <c r="BU523" s="0" t="s">
        <v>4895</v>
      </c>
      <c r="BV523" s="123"/>
      <c r="BW523" s="123"/>
      <c r="BX523" s="123"/>
      <c r="BY523" s="123"/>
      <c r="CA523" s="0" t="s">
        <v>4897</v>
      </c>
      <c r="CD523" s="0" t="s">
        <v>216</v>
      </c>
      <c r="CE523" s="0" t="n">
        <v>0</v>
      </c>
      <c r="CF523" s="0" t="s">
        <v>4898</v>
      </c>
      <c r="CI523" s="1" t="n">
        <v>34823</v>
      </c>
      <c r="CJ523" s="1" t="n">
        <v>40802</v>
      </c>
      <c r="CK523" s="124" t="n">
        <v>0.354166666666667</v>
      </c>
      <c r="CL523" s="0" t="s">
        <v>4891</v>
      </c>
      <c r="CM523" s="0" t="n">
        <f aca="false">IF(OR(CI523="",CJ523=""),"",DAYS360(CI523,CJ523)/360)</f>
        <v>16.3666666666667</v>
      </c>
      <c r="CN523" s="0" t="n">
        <f aca="false">IF(OR(CI523="",CJ523=""),"",DAYS360(CI523,CJ523)/30)</f>
        <v>196.4</v>
      </c>
      <c r="CO523" s="0" t="n">
        <f aca="false">IF(OR(CI523="",CJ523=""),"",DAYS360(CI523,CJ523)/7)</f>
        <v>841.714285714286</v>
      </c>
      <c r="CP523" s="0" t="n">
        <f aca="false">IF(OR(CI523="",CJ523=""),"",DAYS360(CI523,CJ523))</f>
        <v>5892</v>
      </c>
      <c r="CQ523" s="0" t="s">
        <v>240</v>
      </c>
      <c r="CR523" s="0" t="n">
        <v>1</v>
      </c>
      <c r="CT523" s="0" t="n">
        <v>261</v>
      </c>
      <c r="CU523" s="0" t="n">
        <v>0</v>
      </c>
      <c r="CV523" s="0" t="n">
        <f aca="false">IF(OR(CT523="",CT523="NO ESPECIFICA",CT523="NO MENCIONA"),"",IF(CU523=0,CT523,IF(CU523=1,CT523/30,IF(CU523=2,CT523/15,IF(CU523=3,CT523/7,"")))))</f>
        <v>261</v>
      </c>
      <c r="CW523" s="125" t="n">
        <v>566.66</v>
      </c>
      <c r="CX523" s="0" t="n">
        <v>0</v>
      </c>
      <c r="CY523" s="0" t="n">
        <f aca="false">IF(CW523="","",IF(CX523=0,CW523,IF(CX523=1,CW523/30,IF(CX523=2,CW523/15,IF(CX523=3,CW523/7,CW523)))))</f>
        <v>566.66</v>
      </c>
      <c r="CZ523" s="0" t="n">
        <f aca="false">IF(DI523&gt;0,DI523,IF(CY523&gt;0,CY523,IF(CV523&gt;0,CV523,"")))</f>
        <v>566.66</v>
      </c>
      <c r="DA523" s="0" t="n">
        <f aca="false">IF(DM523=1,CZ523/8,IF(OR(DM523=2,DM523=4),CZ523/7,IF(DM523=3,CZ523/7.5,"")))</f>
        <v>70.8325</v>
      </c>
      <c r="DB523" s="0" t="s">
        <v>299</v>
      </c>
      <c r="DC523" s="0" t="s">
        <v>216</v>
      </c>
      <c r="DD523" s="0" t="s">
        <v>216</v>
      </c>
      <c r="DE523" s="0" t="s">
        <v>216</v>
      </c>
      <c r="DF523" s="0" t="s">
        <v>216</v>
      </c>
      <c r="DG523" s="0" t="s">
        <v>216</v>
      </c>
      <c r="DH523" s="0" t="n">
        <v>0</v>
      </c>
      <c r="DI523" s="126" t="n">
        <v>566.66</v>
      </c>
      <c r="DK523" s="0" t="n">
        <v>0</v>
      </c>
      <c r="DM523" s="0" t="n">
        <v>1</v>
      </c>
      <c r="DN523" s="0" t="n">
        <v>47.5</v>
      </c>
      <c r="DO523" s="0" t="n">
        <v>3</v>
      </c>
      <c r="DP523" s="0" t="n">
        <v>0</v>
      </c>
      <c r="DQ523" s="0" t="n">
        <v>1</v>
      </c>
      <c r="DR523" s="0"/>
      <c r="DS523" s="0" t="n">
        <v>1</v>
      </c>
      <c r="DU523" s="0" t="n">
        <v>1</v>
      </c>
      <c r="DW523" s="1" t="n">
        <v>34823</v>
      </c>
      <c r="DX523" s="1" t="n">
        <v>40802</v>
      </c>
      <c r="DZ523" s="0"/>
      <c r="EA523" s="0" t="n">
        <v>1</v>
      </c>
      <c r="EC523" s="1" t="n">
        <v>34823</v>
      </c>
      <c r="ED523" s="1" t="n">
        <v>40802</v>
      </c>
      <c r="EF523" s="0"/>
      <c r="EG523" s="0" t="n">
        <v>0</v>
      </c>
      <c r="EI523" s="0" t="str">
        <f aca="false">IF(AND(DM523=1,DN523&lt;=48),"",IF(AND(DM523=2,DN523&lt;=42),"",IF(AND(DM523=3,DN523&lt;=45),"",EH523)))</f>
        <v/>
      </c>
      <c r="EJ523" s="0" t="str">
        <f aca="false">IF(EI523="","",IF(EI523&lt;9,EI523,9))</f>
        <v/>
      </c>
      <c r="EK523" s="0" t="str">
        <f aca="false">IF(EI523="","",IF(EI523&gt;9,EI523-EJ523,0))</f>
        <v/>
      </c>
      <c r="EL523" s="0" t="str">
        <f aca="false">IF(EI523="","",EJ523*DA523*2+EK523*DA523*3)</f>
        <v/>
      </c>
      <c r="EP523" s="0" t="n">
        <v>0</v>
      </c>
      <c r="EQ523" s="0"/>
      <c r="ER523" s="0" t="n">
        <v>0</v>
      </c>
      <c r="ET523" s="0" t="n">
        <v>0</v>
      </c>
      <c r="EV523" s="0" t="n">
        <v>1</v>
      </c>
      <c r="EX523" s="0" t="n">
        <v>0</v>
      </c>
      <c r="EY523" s="0" t="n">
        <v>0</v>
      </c>
      <c r="EZ523" s="0"/>
      <c r="FA523" s="4" t="n">
        <v>10000</v>
      </c>
      <c r="FB523" s="0" t="n">
        <v>1</v>
      </c>
      <c r="FC523" s="1" t="n">
        <v>40870</v>
      </c>
      <c r="FD523" s="0" t="n">
        <v>4</v>
      </c>
      <c r="FE523" s="0" t="n">
        <v>0</v>
      </c>
      <c r="FF523" s="120" t="n">
        <f aca="false">(CJ523-CI523+1)/365</f>
        <v>16.3835616438356</v>
      </c>
      <c r="FG523" s="0" t="str">
        <f aca="false">CONCATENATE(F523,"/",G523)</f>
        <v>1601/2011</v>
      </c>
      <c r="FH523" s="0" t="n">
        <v>1</v>
      </c>
      <c r="FI523" s="0" t="n">
        <f aca="false">IFERROR(IF((FC523-J523+1)/365&gt;3,0,1),"")</f>
        <v>1</v>
      </c>
    </row>
    <row r="524" customFormat="false" ht="15" hidden="false" customHeight="false" outlineLevel="0" collapsed="false">
      <c r="A524" s="5" t="str">
        <f aca="false">E524&amp;G524&amp;F524</f>
        <v>720111602</v>
      </c>
      <c r="B524" s="0" t="s">
        <v>2737</v>
      </c>
      <c r="C524" s="1" t="n">
        <v>42365</v>
      </c>
      <c r="E524" s="0" t="n">
        <v>7</v>
      </c>
      <c r="F524" s="0" t="n">
        <v>1602</v>
      </c>
      <c r="G524" s="0" t="n">
        <v>2011</v>
      </c>
      <c r="H524" s="0" t="str">
        <f aca="false">"J"&amp;E524&amp;"\"&amp;F524&amp;"\"&amp;G524&amp;"\"&amp;W524</f>
        <v>J7\1602\2011\1</v>
      </c>
      <c r="I524" s="0"/>
      <c r="J524" s="1" t="n">
        <v>40805</v>
      </c>
      <c r="K524" s="0" t="n">
        <v>0</v>
      </c>
      <c r="M524" s="1"/>
      <c r="N524" s="1"/>
      <c r="O524" s="1"/>
      <c r="P524" s="1"/>
      <c r="Q524" s="1"/>
      <c r="T524" s="121"/>
      <c r="U524" s="121"/>
      <c r="V524" s="122" t="n">
        <f aca="false">IF(AND(E524&gt;0,F524&gt;0,G524&gt;0),COUNTIFS($E:$E,E524,$F:$F,F524,$G:$G,G524),"")</f>
        <v>1</v>
      </c>
      <c r="W524" s="122" t="n">
        <f aca="false">IF(V524="","",IF(V524=1,1,IF(AND(E523=E524,F523=F524,G523=G524),W523+1,1)))</f>
        <v>1</v>
      </c>
      <c r="X524" s="0" t="n">
        <v>1</v>
      </c>
      <c r="Y524" s="0" t="n">
        <v>5</v>
      </c>
      <c r="Z524" s="0" t="s">
        <v>4899</v>
      </c>
      <c r="AA524" s="0" t="n">
        <v>0</v>
      </c>
      <c r="AB524" s="0" t="s">
        <v>4900</v>
      </c>
      <c r="AC524" s="0" t="s">
        <v>4901</v>
      </c>
      <c r="AD524" s="0" t="s">
        <v>485</v>
      </c>
      <c r="AE524" s="0" t="n">
        <v>0</v>
      </c>
      <c r="AF524" s="0" t="s">
        <v>4902</v>
      </c>
      <c r="AG524" s="0" t="n">
        <v>0</v>
      </c>
      <c r="AH524" s="0" t="s">
        <v>4903</v>
      </c>
      <c r="AI524" s="0" t="s">
        <v>4904</v>
      </c>
      <c r="AL524" s="0" t="s">
        <v>4905</v>
      </c>
      <c r="AM524" s="0" t="n">
        <v>0</v>
      </c>
      <c r="AN524" s="0" t="s">
        <v>4906</v>
      </c>
      <c r="AO524" s="0" t="s">
        <v>4843</v>
      </c>
      <c r="AR524" s="0" t="s">
        <v>4907</v>
      </c>
      <c r="AS524" s="0" t="n">
        <v>0</v>
      </c>
      <c r="AT524" s="0" t="s">
        <v>4845</v>
      </c>
      <c r="AU524" s="0" t="s">
        <v>4846</v>
      </c>
      <c r="AX524" s="0" t="s">
        <v>4908</v>
      </c>
      <c r="AY524" s="0" t="n">
        <v>1</v>
      </c>
      <c r="AZ524" s="0" t="s">
        <v>4903</v>
      </c>
      <c r="BA524" s="0" t="s">
        <v>4904</v>
      </c>
      <c r="BD524" s="0" t="s">
        <v>1637</v>
      </c>
      <c r="BE524" s="0" t="n">
        <v>1</v>
      </c>
      <c r="BF524" s="0" t="s">
        <v>4903</v>
      </c>
      <c r="BG524" s="0" t="s">
        <v>4904</v>
      </c>
      <c r="BR524" s="0" t="n">
        <v>1</v>
      </c>
      <c r="BS524" s="0" t="s">
        <v>4909</v>
      </c>
      <c r="BT524" s="0" t="s">
        <v>4910</v>
      </c>
      <c r="BU524" s="0" t="s">
        <v>4911</v>
      </c>
      <c r="BV524" s="123"/>
      <c r="BW524" s="123"/>
      <c r="BX524" s="123"/>
      <c r="BY524" s="123"/>
      <c r="CA524" s="0" t="s">
        <v>216</v>
      </c>
      <c r="CD524" s="0" t="s">
        <v>216</v>
      </c>
      <c r="CE524" s="0" t="n">
        <v>0</v>
      </c>
      <c r="CF524" s="0" t="s">
        <v>4912</v>
      </c>
      <c r="CI524" s="1" t="n">
        <v>39630</v>
      </c>
      <c r="CJ524" s="1" t="n">
        <v>40746</v>
      </c>
      <c r="CK524" s="124" t="n">
        <v>0.875</v>
      </c>
      <c r="CL524" s="0" t="s">
        <v>4908</v>
      </c>
      <c r="CM524" s="0" t="n">
        <f aca="false">IF(OR(CI524="",CJ524=""),"",DAYS360(CI524,CJ524)/360)</f>
        <v>3.05833333333333</v>
      </c>
      <c r="CN524" s="0" t="n">
        <f aca="false">IF(OR(CI524="",CJ524=""),"",DAYS360(CI524,CJ524)/30)</f>
        <v>36.7</v>
      </c>
      <c r="CO524" s="0" t="n">
        <f aca="false">IF(OR(CI524="",CJ524=""),"",DAYS360(CI524,CJ524)/7)</f>
        <v>157.285714285714</v>
      </c>
      <c r="CP524" s="0" t="n">
        <f aca="false">IF(OR(CI524="",CJ524=""),"",DAYS360(CI524,CJ524))</f>
        <v>1101</v>
      </c>
      <c r="CQ524" s="0" t="s">
        <v>240</v>
      </c>
      <c r="CR524" s="0" t="n">
        <v>1</v>
      </c>
      <c r="CT524" s="0" t="s">
        <v>221</v>
      </c>
      <c r="CU524" s="0" t="s">
        <v>221</v>
      </c>
      <c r="CV524" s="0" t="str">
        <f aca="false">IF(OR(CT524="",CT524="NO ESPECIFICA",CT524="NO MENCIONA"),"",IF(CU524=0,CT524,IF(CU524=1,CT524/30,IF(CU524=2,CT524/15,IF(CU524=3,CT524/7,"")))))</f>
        <v/>
      </c>
      <c r="CW524" s="125" t="n">
        <v>200</v>
      </c>
      <c r="CX524" s="0" t="n">
        <v>0</v>
      </c>
      <c r="CY524" s="0" t="n">
        <f aca="false">IF(CW524="","",IF(CX524=0,CW524,IF(CX524=1,CW524/30,IF(CX524=2,CW524/15,IF(CX524=3,CW524/7,CW524)))))</f>
        <v>200</v>
      </c>
      <c r="CZ524" s="0" t="n">
        <f aca="false">IF(DI524&gt;0,DI524,IF(CY524&gt;0,CY524,IF(CV524&gt;0,CV524,"")))</f>
        <v>200</v>
      </c>
      <c r="DA524" s="0" t="n">
        <f aca="false">IF(DM524=1,CZ524/8,IF(OR(DM524=2,DM524=4),CZ524/7,IF(DM524=3,CZ524/7.5,"")))</f>
        <v>25</v>
      </c>
      <c r="DB524" s="0" t="s">
        <v>216</v>
      </c>
      <c r="DC524" s="0" t="s">
        <v>216</v>
      </c>
      <c r="DD524" s="0" t="s">
        <v>216</v>
      </c>
      <c r="DE524" s="0" t="s">
        <v>216</v>
      </c>
      <c r="DF524" s="0" t="s">
        <v>216</v>
      </c>
      <c r="DG524" s="0" t="s">
        <v>216</v>
      </c>
      <c r="DH524" s="0" t="n">
        <v>0</v>
      </c>
      <c r="DI524" s="126" t="n">
        <v>200</v>
      </c>
      <c r="DK524" s="0" t="n">
        <v>0</v>
      </c>
      <c r="DM524" s="0" t="n">
        <v>1</v>
      </c>
      <c r="DN524" s="0" t="n">
        <v>70.5</v>
      </c>
      <c r="DO524" s="0" t="n">
        <v>3</v>
      </c>
      <c r="DP524" s="0" t="n">
        <v>0</v>
      </c>
      <c r="DQ524" s="0" t="n">
        <v>1</v>
      </c>
      <c r="DR524" s="0"/>
      <c r="DS524" s="0" t="n">
        <v>1</v>
      </c>
      <c r="DU524" s="0" t="n">
        <v>1</v>
      </c>
      <c r="DW524" s="1" t="n">
        <v>40360</v>
      </c>
      <c r="DX524" s="1" t="n">
        <v>40746</v>
      </c>
      <c r="DZ524" s="0"/>
      <c r="EA524" s="0" t="n">
        <v>1</v>
      </c>
      <c r="EC524" s="1" t="n">
        <v>40179</v>
      </c>
      <c r="ED524" s="1" t="n">
        <v>40746</v>
      </c>
      <c r="EF524" s="0"/>
      <c r="EG524" s="0" t="n">
        <v>0</v>
      </c>
      <c r="EI524" s="0" t="n">
        <f aca="false">IF(AND(DM524=1,DN524&lt;=48),"",IF(AND(DM524=2,DN524&lt;=42),"",IF(AND(DM524=3,DN524&lt;=45),"",EH524)))</f>
        <v>0</v>
      </c>
      <c r="EJ524" s="0" t="str">
        <f aca="false">IF(EI524="","",IF(EI524&lt;9,EI524,9))</f>
        <v/>
      </c>
      <c r="EK524" s="0" t="str">
        <f aca="false">IF(EI524="","",IF(EI524&gt;9,EI524-EJ524,0))</f>
        <v/>
      </c>
      <c r="EL524" s="0" t="str">
        <f aca="false">IF(EI524="","",EJ524*DA524*2+EK524*DA524*3)</f>
        <v/>
      </c>
      <c r="EP524" s="0" t="n">
        <v>1</v>
      </c>
      <c r="EQ524" s="0"/>
      <c r="ER524" s="0" t="n">
        <v>0</v>
      </c>
      <c r="ET524" s="0" t="n">
        <v>0</v>
      </c>
      <c r="EV524" s="0" t="n">
        <v>0</v>
      </c>
      <c r="EX524" s="0" t="n">
        <v>1</v>
      </c>
      <c r="EY524" s="0" t="n">
        <v>1</v>
      </c>
      <c r="EZ524" s="0"/>
      <c r="FA524" s="4" t="n">
        <v>0</v>
      </c>
      <c r="FB524" s="0" t="n">
        <v>0</v>
      </c>
      <c r="FC524" s="1" t="n">
        <v>41162</v>
      </c>
      <c r="FD524" s="0" t="n">
        <v>1</v>
      </c>
      <c r="FE524" s="0" t="n">
        <v>20000</v>
      </c>
      <c r="FF524" s="120" t="n">
        <f aca="false">(CJ524-CI524+1)/365</f>
        <v>3.06027397260274</v>
      </c>
      <c r="FG524" s="0" t="str">
        <f aca="false">CONCATENATE(F524,"/",G524)</f>
        <v>1602/2011</v>
      </c>
      <c r="FH524" s="0" t="n">
        <v>1</v>
      </c>
      <c r="FI524" s="0" t="n">
        <f aca="false">IFERROR(IF((FC524-J524+1)/365&gt;3,0,1),"")</f>
        <v>1</v>
      </c>
    </row>
    <row r="525" customFormat="false" ht="15" hidden="false" customHeight="false" outlineLevel="0" collapsed="false">
      <c r="A525" s="5" t="str">
        <f aca="false">E525&amp;G525&amp;F525</f>
        <v>720111603</v>
      </c>
      <c r="B525" s="0" t="s">
        <v>2737</v>
      </c>
      <c r="C525" s="1" t="n">
        <v>42365</v>
      </c>
      <c r="E525" s="0" t="n">
        <v>7</v>
      </c>
      <c r="F525" s="0" t="n">
        <v>1603</v>
      </c>
      <c r="G525" s="0" t="n">
        <v>2011</v>
      </c>
      <c r="H525" s="0" t="str">
        <f aca="false">"J"&amp;E525&amp;"\"&amp;F525&amp;"\"&amp;G525&amp;"\"&amp;W525</f>
        <v>J7\1603\2011\1</v>
      </c>
      <c r="I525" s="0"/>
      <c r="J525" s="1" t="n">
        <v>40805</v>
      </c>
      <c r="K525" s="0" t="n">
        <v>0</v>
      </c>
      <c r="M525" s="1"/>
      <c r="N525" s="1"/>
      <c r="O525" s="1"/>
      <c r="P525" s="1"/>
      <c r="Q525" s="1"/>
      <c r="T525" s="121"/>
      <c r="U525" s="121"/>
      <c r="V525" s="122" t="n">
        <f aca="false">IF(AND(E525&gt;0,F525&gt;0,G525&gt;0),COUNTIFS($E:$E,E525,$F:$F,F525,$G:$G,G525),"")</f>
        <v>1</v>
      </c>
      <c r="W525" s="122" t="n">
        <f aca="false">IF(V525="","",IF(V525=1,1,IF(AND(E524=E525,F524=F525,G524=G525),W524+1,1)))</f>
        <v>1</v>
      </c>
      <c r="X525" s="0" t="n">
        <v>1</v>
      </c>
      <c r="Y525" s="0" t="n">
        <v>2</v>
      </c>
      <c r="Z525" s="0" t="s">
        <v>4913</v>
      </c>
      <c r="AA525" s="0" t="n">
        <v>0</v>
      </c>
      <c r="AB525" s="0" t="s">
        <v>2232</v>
      </c>
      <c r="AC525" s="0" t="s">
        <v>318</v>
      </c>
      <c r="AD525" s="0" t="s">
        <v>229</v>
      </c>
      <c r="AE525" s="0" t="n">
        <v>0</v>
      </c>
      <c r="AF525" s="0" t="s">
        <v>4706</v>
      </c>
      <c r="AG525" s="0" t="n">
        <v>0</v>
      </c>
      <c r="AH525" s="0" t="s">
        <v>4707</v>
      </c>
      <c r="AI525" s="0" t="s">
        <v>4914</v>
      </c>
      <c r="AJ525" s="0" t="s">
        <v>485</v>
      </c>
      <c r="AL525" s="0" t="s">
        <v>1637</v>
      </c>
      <c r="AM525" s="0" t="n">
        <v>1</v>
      </c>
      <c r="AN525" s="0" t="s">
        <v>4707</v>
      </c>
      <c r="AO525" s="0" t="s">
        <v>4914</v>
      </c>
      <c r="AP525" s="0" t="s">
        <v>485</v>
      </c>
      <c r="BR525" s="0" t="n">
        <v>1</v>
      </c>
      <c r="BS525" s="0" t="s">
        <v>2237</v>
      </c>
      <c r="BT525" s="0" t="s">
        <v>4708</v>
      </c>
      <c r="BU525" s="0" t="s">
        <v>4915</v>
      </c>
      <c r="BV525" s="123"/>
      <c r="BW525" s="123"/>
      <c r="BX525" s="123"/>
      <c r="BY525" s="123"/>
      <c r="CA525" s="0" t="s">
        <v>216</v>
      </c>
      <c r="CD525" s="0" t="s">
        <v>216</v>
      </c>
      <c r="CE525" s="0" t="n">
        <v>0</v>
      </c>
      <c r="CF525" s="0" t="s">
        <v>4710</v>
      </c>
      <c r="CI525" s="1" t="n">
        <v>40434</v>
      </c>
      <c r="CJ525" s="1" t="n">
        <v>40794</v>
      </c>
      <c r="CK525" s="124" t="n">
        <v>0.645833333333333</v>
      </c>
      <c r="CL525" s="0" t="s">
        <v>4916</v>
      </c>
      <c r="CM525" s="0" t="n">
        <f aca="false">IF(OR(CI525="",CJ525=""),"",DAYS360(CI525,CJ525)/360)</f>
        <v>0.986111111111111</v>
      </c>
      <c r="CN525" s="0" t="n">
        <f aca="false">IF(OR(CI525="",CJ525=""),"",DAYS360(CI525,CJ525)/30)</f>
        <v>11.8333333333333</v>
      </c>
      <c r="CO525" s="0" t="n">
        <f aca="false">IF(OR(CI525="",CJ525=""),"",DAYS360(CI525,CJ525)/7)</f>
        <v>50.7142857142857</v>
      </c>
      <c r="CP525" s="0" t="n">
        <f aca="false">IF(OR(CI525="",CJ525=""),"",DAYS360(CI525,CJ525))</f>
        <v>355</v>
      </c>
      <c r="CQ525" s="0" t="s">
        <v>220</v>
      </c>
      <c r="CR525" s="0" t="n">
        <v>1</v>
      </c>
      <c r="CT525" s="0" t="n">
        <v>2808</v>
      </c>
      <c r="CU525" s="0" t="n">
        <v>1</v>
      </c>
      <c r="CV525" s="0" t="n">
        <f aca="false">IF(OR(CT525="",CT525="NO ESPECIFICA",CT525="NO MENCIONA"),"",IF(CU525=0,CT525,IF(CU525=1,CT525/30,IF(CU525=2,CT525/15,IF(CU525=3,CT525/7,"")))))</f>
        <v>93.6</v>
      </c>
      <c r="CW525" s="125" t="s">
        <v>216</v>
      </c>
      <c r="CX525" s="0" t="s">
        <v>216</v>
      </c>
      <c r="CY525" s="0" t="str">
        <f aca="false">IF(CW525="","",IF(CX525=0,CW525,IF(CX525=1,CW525/30,IF(CX525=2,CW525/15,IF(CX525=3,CW525/7,CW525)))))</f>
        <v>NO MENCIONA</v>
      </c>
      <c r="CZ525" s="0" t="n">
        <f aca="false">IF(DI525&gt;0,DI525,IF(CY525&gt;0,CY525,IF(CV525&gt;0,CV525,"")))</f>
        <v>223.773333333333</v>
      </c>
      <c r="DA525" s="0" t="n">
        <f aca="false">IF(DM525=1,CZ525/8,IF(OR(DM525=2,DM525=4),CZ525/7,IF(DM525=3,CZ525/7.5,"")))</f>
        <v>27.9716666666667</v>
      </c>
      <c r="DB525" s="0" t="s">
        <v>627</v>
      </c>
      <c r="DC525" s="0" t="s">
        <v>569</v>
      </c>
      <c r="DD525" s="0" t="s">
        <v>4917</v>
      </c>
      <c r="DE525" s="0" t="s">
        <v>216</v>
      </c>
      <c r="DF525" s="0" t="s">
        <v>216</v>
      </c>
      <c r="DG525" s="0" t="s">
        <v>216</v>
      </c>
      <c r="DH525" s="0" t="n">
        <v>0</v>
      </c>
      <c r="DI525" s="126" t="n">
        <v>223.773333333333</v>
      </c>
      <c r="DK525" s="0" t="n">
        <v>1</v>
      </c>
      <c r="DM525" s="0" t="n">
        <v>1</v>
      </c>
      <c r="DN525" s="0" t="n">
        <v>48</v>
      </c>
      <c r="DO525" s="0" t="n">
        <v>3</v>
      </c>
      <c r="DP525" s="0" t="n">
        <v>1</v>
      </c>
      <c r="DQ525" s="0" t="n">
        <v>1</v>
      </c>
      <c r="DR525" s="0"/>
      <c r="DS525" s="0" t="n">
        <v>1</v>
      </c>
      <c r="DU525" s="0" t="n">
        <v>1</v>
      </c>
      <c r="DW525" s="1" t="n">
        <v>40434</v>
      </c>
      <c r="DX525" s="1" t="n">
        <v>40794</v>
      </c>
      <c r="DZ525" s="0"/>
      <c r="EA525" s="0" t="n">
        <v>1</v>
      </c>
      <c r="EC525" s="1" t="n">
        <v>40434</v>
      </c>
      <c r="ED525" s="1" t="n">
        <v>40794</v>
      </c>
      <c r="EF525" s="0"/>
      <c r="EG525" s="0" t="n">
        <v>1</v>
      </c>
      <c r="EH525" s="0" t="n">
        <v>50</v>
      </c>
      <c r="EI525" s="0" t="str">
        <f aca="false">IF(AND(DM525=1,DN525&lt;=48),"",IF(AND(DM525=2,DN525&lt;=42),"",IF(AND(DM525=3,DN525&lt;=45),"",EH525)))</f>
        <v/>
      </c>
      <c r="EJ525" s="0" t="str">
        <f aca="false">IF(EI525="","",IF(EI525&lt;9,EI525,9))</f>
        <v/>
      </c>
      <c r="EK525" s="0" t="str">
        <f aca="false">IF(EI525="","",IF(EI525&gt;9,EI525-EJ525,0))</f>
        <v/>
      </c>
      <c r="EL525" s="0" t="str">
        <f aca="false">IF(EI525="","",EJ525*DA525*2+EK525*DA525*3)</f>
        <v/>
      </c>
      <c r="EP525" s="0" t="n">
        <v>1</v>
      </c>
      <c r="EQ525" s="0"/>
      <c r="ER525" s="0" t="n">
        <v>0</v>
      </c>
      <c r="ET525" s="0" t="n">
        <v>1</v>
      </c>
      <c r="EV525" s="0" t="n">
        <v>1</v>
      </c>
      <c r="EX525" s="0" t="n">
        <v>0</v>
      </c>
      <c r="EY525" s="0" t="n">
        <v>1</v>
      </c>
      <c r="EZ525" s="0"/>
      <c r="FA525" s="4" t="n">
        <v>6713.2</v>
      </c>
      <c r="FB525" s="0" t="n">
        <v>0</v>
      </c>
      <c r="FC525" s="1" t="n">
        <v>40879</v>
      </c>
      <c r="FD525" s="0" t="n">
        <v>1</v>
      </c>
      <c r="FE525" s="0" t="n">
        <v>10777.81</v>
      </c>
      <c r="FF525" s="120" t="n">
        <f aca="false">(CJ525-CI525+1)/365</f>
        <v>0.989041095890411</v>
      </c>
      <c r="FG525" s="0" t="str">
        <f aca="false">CONCATENATE(F525,"/",G525)</f>
        <v>1603/2011</v>
      </c>
      <c r="FH525" s="0" t="n">
        <v>1</v>
      </c>
      <c r="FI525" s="0" t="n">
        <f aca="false">IFERROR(IF((FC525-J525+1)/365&gt;3,0,1),"")</f>
        <v>1</v>
      </c>
    </row>
    <row r="526" customFormat="false" ht="15" hidden="false" customHeight="false" outlineLevel="0" collapsed="false">
      <c r="A526" s="5" t="str">
        <f aca="false">E526&amp;G526&amp;F526</f>
        <v>720111607</v>
      </c>
      <c r="B526" s="0" t="s">
        <v>2737</v>
      </c>
      <c r="C526" s="1" t="n">
        <v>42365</v>
      </c>
      <c r="E526" s="0" t="n">
        <v>7</v>
      </c>
      <c r="F526" s="0" t="n">
        <v>1607</v>
      </c>
      <c r="G526" s="0" t="n">
        <v>2011</v>
      </c>
      <c r="H526" s="0" t="str">
        <f aca="false">"J"&amp;E526&amp;"\"&amp;F526&amp;"\"&amp;G526&amp;"\"&amp;W526</f>
        <v>J7\1607\2011\1</v>
      </c>
      <c r="I526" s="0"/>
      <c r="J526" s="1" t="n">
        <v>40805</v>
      </c>
      <c r="K526" s="0" t="n">
        <v>0</v>
      </c>
      <c r="M526" s="1"/>
      <c r="N526" s="1"/>
      <c r="O526" s="1"/>
      <c r="P526" s="1"/>
      <c r="Q526" s="1"/>
      <c r="T526" s="121"/>
      <c r="U526" s="121"/>
      <c r="V526" s="122" t="n">
        <f aca="false">IF(AND(E526&gt;0,F526&gt;0,G526&gt;0),COUNTIFS($E:$E,E526,$F:$F,F526,$G:$G,G526),"")</f>
        <v>1</v>
      </c>
      <c r="W526" s="122" t="n">
        <f aca="false">IF(V526="","",IF(V526=1,1,IF(AND(E525=E526,F525=F526,G525=G526),W525+1,1)))</f>
        <v>1</v>
      </c>
      <c r="X526" s="0" t="n">
        <v>1</v>
      </c>
      <c r="Y526" s="0" t="n">
        <v>2</v>
      </c>
      <c r="Z526" s="0" t="s">
        <v>4918</v>
      </c>
      <c r="AA526" s="0" t="n">
        <v>0</v>
      </c>
      <c r="AB526" s="0" t="s">
        <v>1812</v>
      </c>
      <c r="AC526" s="0" t="s">
        <v>228</v>
      </c>
      <c r="AD526" s="0" t="s">
        <v>229</v>
      </c>
      <c r="AE526" s="0" t="n">
        <v>0</v>
      </c>
      <c r="AF526" s="0" t="s">
        <v>4919</v>
      </c>
      <c r="AG526" s="0" t="n">
        <v>1</v>
      </c>
      <c r="AH526" s="0" t="s">
        <v>4920</v>
      </c>
      <c r="AI526" s="0" t="s">
        <v>4921</v>
      </c>
      <c r="AJ526" s="0" t="s">
        <v>485</v>
      </c>
      <c r="AL526" s="0" t="s">
        <v>1637</v>
      </c>
      <c r="AM526" s="0" t="n">
        <v>1</v>
      </c>
      <c r="AN526" s="0" t="s">
        <v>4920</v>
      </c>
      <c r="AO526" s="0" t="s">
        <v>4921</v>
      </c>
      <c r="AP526" s="0" t="s">
        <v>485</v>
      </c>
      <c r="BR526" s="0" t="n">
        <v>3</v>
      </c>
      <c r="BS526" s="0" t="s">
        <v>4922</v>
      </c>
      <c r="BT526" s="0" t="s">
        <v>1818</v>
      </c>
      <c r="BU526" s="0" t="s">
        <v>1841</v>
      </c>
      <c r="BV526" s="123"/>
      <c r="BW526" s="123"/>
      <c r="BX526" s="123"/>
      <c r="BY526" s="123"/>
      <c r="CA526" s="0" t="s">
        <v>348</v>
      </c>
      <c r="CD526" s="0" t="s">
        <v>256</v>
      </c>
      <c r="CE526" s="0" t="n">
        <v>0</v>
      </c>
      <c r="CF526" s="0" t="s">
        <v>2281</v>
      </c>
      <c r="CI526" s="1" t="n">
        <v>40609</v>
      </c>
      <c r="CJ526" s="1" t="n">
        <v>40775</v>
      </c>
      <c r="CK526" s="124" t="n">
        <v>0.645833333333333</v>
      </c>
      <c r="CL526" s="0" t="s">
        <v>4919</v>
      </c>
      <c r="CM526" s="0" t="n">
        <f aca="false">IF(OR(CI526="",CJ526=""),"",DAYS360(CI526,CJ526)/360)</f>
        <v>0.452777777777778</v>
      </c>
      <c r="CN526" s="0" t="n">
        <f aca="false">IF(OR(CI526="",CJ526=""),"",DAYS360(CI526,CJ526)/30)</f>
        <v>5.43333333333333</v>
      </c>
      <c r="CO526" s="0" t="n">
        <f aca="false">IF(OR(CI526="",CJ526=""),"",DAYS360(CI526,CJ526)/7)</f>
        <v>23.2857142857143</v>
      </c>
      <c r="CP526" s="0" t="n">
        <f aca="false">IF(OR(CI526="",CJ526=""),"",DAYS360(CI526,CJ526))</f>
        <v>163</v>
      </c>
      <c r="CQ526" s="0" t="s">
        <v>240</v>
      </c>
      <c r="CR526" s="0" t="n">
        <v>1</v>
      </c>
      <c r="CT526" s="0" t="n">
        <v>114.28</v>
      </c>
      <c r="CU526" s="0" t="n">
        <v>0</v>
      </c>
      <c r="CV526" s="0" t="n">
        <f aca="false">IF(OR(CT526="",CT526="NO ESPECIFICA",CT526="NO MENCIONA"),"",IF(CU526=0,CT526,IF(CU526=1,CT526/30,IF(CU526=2,CT526/15,IF(CU526=3,CT526/7,"")))))</f>
        <v>114.28</v>
      </c>
      <c r="CW526" s="125" t="n">
        <v>119.43</v>
      </c>
      <c r="CX526" s="0" t="n">
        <v>0</v>
      </c>
      <c r="CY526" s="0" t="n">
        <f aca="false">IF(CW526="","",IF(CX526=0,CW526,IF(CX526=1,CW526/30,IF(CX526=2,CW526/15,IF(CX526=3,CW526/7,CW526)))))</f>
        <v>119.43</v>
      </c>
      <c r="CZ526" s="0" t="n">
        <f aca="false">IF(DI526&gt;0,DI526,IF(CY526&gt;0,CY526,IF(CV526&gt;0,CV526,"")))</f>
        <v>119.43</v>
      </c>
      <c r="DA526" s="0" t="n">
        <f aca="false">IF(DM526=1,CZ526/8,IF(OR(DM526=2,DM526=4),CZ526/7,IF(DM526=3,CZ526/7.5,"")))</f>
        <v>14.92875</v>
      </c>
      <c r="DB526" s="0" t="s">
        <v>301</v>
      </c>
      <c r="DC526" s="0" t="s">
        <v>303</v>
      </c>
      <c r="DD526" s="0" t="s">
        <v>216</v>
      </c>
      <c r="DE526" s="0" t="s">
        <v>216</v>
      </c>
      <c r="DF526" s="0" t="s">
        <v>216</v>
      </c>
      <c r="DG526" s="0" t="s">
        <v>216</v>
      </c>
      <c r="DH526" s="0" t="n">
        <v>0</v>
      </c>
      <c r="DI526" s="126" t="n">
        <v>119.43</v>
      </c>
      <c r="DK526" s="0" t="n">
        <v>0</v>
      </c>
      <c r="DM526" s="0" t="n">
        <v>1</v>
      </c>
      <c r="DN526" s="0" t="n">
        <v>57</v>
      </c>
      <c r="DO526" s="0" t="n">
        <v>3</v>
      </c>
      <c r="DP526" s="0" t="n">
        <v>0</v>
      </c>
      <c r="DQ526" s="0" t="n">
        <v>1</v>
      </c>
      <c r="DR526" s="0"/>
      <c r="DS526" s="0" t="n">
        <v>1</v>
      </c>
      <c r="DU526" s="0" t="n">
        <v>0</v>
      </c>
      <c r="DW526" s="1" t="n">
        <v>40609</v>
      </c>
      <c r="DX526" s="1" t="n">
        <v>40775</v>
      </c>
      <c r="DZ526" s="0"/>
      <c r="EA526" s="0" t="n">
        <v>1</v>
      </c>
      <c r="EC526" s="1" t="n">
        <v>40609</v>
      </c>
      <c r="ED526" s="1" t="n">
        <v>40775</v>
      </c>
      <c r="EF526" s="0"/>
      <c r="EG526" s="0" t="n">
        <v>0</v>
      </c>
      <c r="EI526" s="0" t="n">
        <f aca="false">IF(AND(DM526=1,DN526&lt;=48),"",IF(AND(DM526=2,DN526&lt;=42),"",IF(AND(DM526=3,DN526&lt;=45),"",EH526)))</f>
        <v>0</v>
      </c>
      <c r="EJ526" s="0" t="str">
        <f aca="false">IF(EI526="","",IF(EI526&lt;9,EI526,9))</f>
        <v/>
      </c>
      <c r="EK526" s="0" t="str">
        <f aca="false">IF(EI526="","",IF(EI526&gt;9,EI526-EJ526,0))</f>
        <v/>
      </c>
      <c r="EL526" s="0" t="str">
        <f aca="false">IF(EI526="","",EJ526*DA526*2+EK526*DA526*3)</f>
        <v/>
      </c>
      <c r="EP526" s="0" t="n">
        <v>0</v>
      </c>
      <c r="EQ526" s="0"/>
      <c r="ER526" s="0" t="n">
        <v>0</v>
      </c>
      <c r="ET526" s="0" t="n">
        <v>0</v>
      </c>
      <c r="EV526" s="0" t="n">
        <v>0</v>
      </c>
      <c r="EX526" s="0" t="n">
        <v>0</v>
      </c>
      <c r="EY526" s="0" t="n">
        <v>0</v>
      </c>
      <c r="EZ526" s="0"/>
      <c r="FA526" s="4" t="n">
        <v>0</v>
      </c>
      <c r="FB526" s="0" t="n">
        <v>1</v>
      </c>
      <c r="FC526" s="1" t="n">
        <v>41045</v>
      </c>
      <c r="FD526" s="0" t="n">
        <v>1</v>
      </c>
      <c r="FE526" s="0" t="n">
        <v>5000</v>
      </c>
      <c r="FF526" s="120" t="n">
        <f aca="false">(CJ526-CI526+1)/365</f>
        <v>0.457534246575342</v>
      </c>
      <c r="FG526" s="0" t="str">
        <f aca="false">CONCATENATE(F526,"/",G526)</f>
        <v>1607/2011</v>
      </c>
      <c r="FH526" s="0" t="n">
        <v>1</v>
      </c>
      <c r="FI526" s="0" t="n">
        <f aca="false">IFERROR(IF((FC526-J526+1)/365&gt;3,0,1),"")</f>
        <v>1</v>
      </c>
    </row>
    <row r="527" customFormat="false" ht="15" hidden="false" customHeight="false" outlineLevel="0" collapsed="false">
      <c r="A527" s="5" t="str">
        <f aca="false">E527&amp;G527&amp;F527</f>
        <v>720111610</v>
      </c>
      <c r="B527" s="0" t="s">
        <v>2737</v>
      </c>
      <c r="C527" s="1" t="n">
        <v>42365</v>
      </c>
      <c r="D527" s="0" t="s">
        <v>4923</v>
      </c>
      <c r="E527" s="0" t="n">
        <v>7</v>
      </c>
      <c r="F527" s="0" t="n">
        <v>1610</v>
      </c>
      <c r="G527" s="0" t="n">
        <v>2011</v>
      </c>
      <c r="H527" s="0" t="str">
        <f aca="false">"J"&amp;E527&amp;"\"&amp;F527&amp;"\"&amp;G527&amp;"\"&amp;W527</f>
        <v>J7\1610\2011\1</v>
      </c>
      <c r="I527" s="0"/>
      <c r="J527" s="1" t="n">
        <v>40805</v>
      </c>
      <c r="K527" s="0" t="n">
        <v>0</v>
      </c>
      <c r="M527" s="1"/>
      <c r="N527" s="1"/>
      <c r="O527" s="1"/>
      <c r="P527" s="1"/>
      <c r="Q527" s="1"/>
      <c r="T527" s="121"/>
      <c r="U527" s="121"/>
      <c r="V527" s="122" t="n">
        <f aca="false">IF(AND(E527&gt;0,F527&gt;0,G527&gt;0),COUNTIFS($E:$E,E527,$F:$F,F527,$G:$G,G527),"")</f>
        <v>1</v>
      </c>
      <c r="W527" s="122" t="n">
        <f aca="false">IF(V527="","",IF(V527=1,1,IF(AND(E526=E527,F526=F527,G526=G527),W526+1,1)))</f>
        <v>1</v>
      </c>
      <c r="X527" s="0" t="n">
        <v>1</v>
      </c>
      <c r="Y527" s="0" t="n">
        <v>7</v>
      </c>
      <c r="Z527" s="0" t="s">
        <v>4924</v>
      </c>
      <c r="AA527" s="0" t="n">
        <v>0</v>
      </c>
      <c r="AB527" s="0" t="s">
        <v>4925</v>
      </c>
      <c r="AC527" s="0" t="s">
        <v>4926</v>
      </c>
      <c r="AD527" s="0" t="s">
        <v>211</v>
      </c>
      <c r="AE527" s="0" t="n">
        <v>0</v>
      </c>
      <c r="AF527" s="0" t="s">
        <v>4927</v>
      </c>
      <c r="AG527" s="0" t="n">
        <v>0</v>
      </c>
      <c r="AH527" s="0" t="s">
        <v>4928</v>
      </c>
      <c r="AI527" s="0" t="s">
        <v>1635</v>
      </c>
      <c r="AJ527" s="0" t="s">
        <v>229</v>
      </c>
      <c r="AL527" s="0" t="s">
        <v>4929</v>
      </c>
      <c r="AM527" s="0" t="n">
        <v>0</v>
      </c>
      <c r="AN527" s="0" t="s">
        <v>4928</v>
      </c>
      <c r="AO527" s="0" t="s">
        <v>1635</v>
      </c>
      <c r="AP527" s="0" t="s">
        <v>229</v>
      </c>
      <c r="AR527" s="0" t="s">
        <v>4930</v>
      </c>
      <c r="AS527" s="0" t="n">
        <v>1</v>
      </c>
      <c r="AT527" s="0" t="s">
        <v>4928</v>
      </c>
      <c r="AU527" s="0" t="s">
        <v>1635</v>
      </c>
      <c r="AV527" s="0" t="s">
        <v>229</v>
      </c>
      <c r="AX527" s="0" t="s">
        <v>4931</v>
      </c>
      <c r="AY527" s="0" t="n">
        <v>1</v>
      </c>
      <c r="AZ527" s="0" t="s">
        <v>4928</v>
      </c>
      <c r="BA527" s="0" t="s">
        <v>1635</v>
      </c>
      <c r="BB527" s="0" t="s">
        <v>229</v>
      </c>
      <c r="BD527" s="0" t="s">
        <v>4932</v>
      </c>
      <c r="BE527" s="0" t="n">
        <v>1</v>
      </c>
      <c r="BF527" s="0" t="s">
        <v>4928</v>
      </c>
      <c r="BG527" s="0" t="s">
        <v>1635</v>
      </c>
      <c r="BH527" s="0" t="s">
        <v>229</v>
      </c>
      <c r="BJ527" s="0" t="s">
        <v>4933</v>
      </c>
      <c r="BK527" s="0" t="n">
        <v>1</v>
      </c>
      <c r="BL527" s="0" t="s">
        <v>4928</v>
      </c>
      <c r="BM527" s="0" t="s">
        <v>1635</v>
      </c>
      <c r="BN527" s="0" t="s">
        <v>229</v>
      </c>
      <c r="BR527" s="0" t="n">
        <v>1</v>
      </c>
      <c r="BS527" s="0" t="s">
        <v>4934</v>
      </c>
      <c r="BT527" s="0" t="s">
        <v>4935</v>
      </c>
      <c r="BU527" s="0" t="s">
        <v>4936</v>
      </c>
      <c r="BV527" s="123"/>
      <c r="BW527" s="123"/>
      <c r="BX527" s="123"/>
      <c r="BY527" s="123"/>
      <c r="CA527" s="0" t="s">
        <v>216</v>
      </c>
      <c r="CD527" s="0" t="s">
        <v>216</v>
      </c>
      <c r="CE527" s="0" t="n">
        <v>0</v>
      </c>
      <c r="CF527" s="0" t="s">
        <v>216</v>
      </c>
      <c r="CI527" s="1" t="s">
        <v>216</v>
      </c>
      <c r="CJ527" s="1" t="n">
        <v>40745</v>
      </c>
      <c r="CK527" s="124" t="n">
        <v>0.333333333333333</v>
      </c>
      <c r="CL527" s="0" t="s">
        <v>4932</v>
      </c>
      <c r="CM527" s="0" t="e">
        <f aca="false">IF(OR(CI527="",CJ527=""),"",DAYS360(CI527,CJ527)/360)</f>
        <v>#VALUE!</v>
      </c>
      <c r="CN527" s="0" t="e">
        <f aca="false">IF(OR(CI527="",CJ527=""),"",DAYS360(CI527,CJ527)/30)</f>
        <v>#VALUE!</v>
      </c>
      <c r="CO527" s="0" t="e">
        <f aca="false">IF(OR(CI527="",CJ527=""),"",DAYS360(CI527,CJ527)/7)</f>
        <v>#VALUE!</v>
      </c>
      <c r="CP527" s="0" t="e">
        <f aca="false">IF(OR(CI527="",CJ527=""),"",DAYS360(CI527,CJ527))</f>
        <v>#VALUE!</v>
      </c>
      <c r="CQ527" s="0" t="s">
        <v>240</v>
      </c>
      <c r="CR527" s="0" t="n">
        <v>1</v>
      </c>
      <c r="CT527" s="0" t="s">
        <v>216</v>
      </c>
      <c r="CU527" s="0" t="s">
        <v>216</v>
      </c>
      <c r="CV527" s="0" t="str">
        <f aca="false">IF(OR(CT527="",CT527="NO ESPECIFICA",CT527="NO MENCIONA"),"",IF(CU527=0,CT527,IF(CU527=1,CT527/30,IF(CU527=2,CT527/15,IF(CU527=3,CT527/7,"")))))</f>
        <v/>
      </c>
      <c r="CW527" s="125" t="s">
        <v>216</v>
      </c>
      <c r="CX527" s="0" t="s">
        <v>216</v>
      </c>
      <c r="CY527" s="0" t="str">
        <f aca="false">IF(CW527="","",IF(CX527=0,CW527,IF(CX527=1,CW527/30,IF(CX527=2,CW527/15,IF(CX527=3,CW527/7,CW527)))))</f>
        <v>NO MENCIONA</v>
      </c>
      <c r="CZ527" s="0" t="str">
        <f aca="false">IF(DI527&gt;0,DI527,IF(CY527&gt;0,CY527,IF(CV527&gt;0,CV527,"")))</f>
        <v>NO MENCIONA</v>
      </c>
      <c r="DA527" s="0" t="str">
        <f aca="false">IF(DM527=1,CZ527/8,IF(OR(DM527=2,DM527=4),CZ527/7,IF(DM527=3,CZ527/7.5,"")))</f>
        <v/>
      </c>
      <c r="DB527" s="0" t="s">
        <v>216</v>
      </c>
      <c r="DC527" s="0" t="s">
        <v>216</v>
      </c>
      <c r="DD527" s="0" t="s">
        <v>216</v>
      </c>
      <c r="DE527" s="0" t="s">
        <v>216</v>
      </c>
      <c r="DF527" s="0" t="s">
        <v>216</v>
      </c>
      <c r="DG527" s="0" t="s">
        <v>216</v>
      </c>
      <c r="DH527" s="0" t="n">
        <v>0</v>
      </c>
      <c r="DI527" s="126" t="s">
        <v>216</v>
      </c>
      <c r="DK527" s="0" t="n">
        <v>0</v>
      </c>
      <c r="DM527" s="0" t="s">
        <v>216</v>
      </c>
      <c r="DN527" s="0" t="s">
        <v>216</v>
      </c>
      <c r="DO527" s="0" t="s">
        <v>216</v>
      </c>
      <c r="DP527" s="0" t="n">
        <v>0</v>
      </c>
      <c r="DQ527" s="0" t="n">
        <v>1</v>
      </c>
      <c r="DR527" s="0"/>
      <c r="DS527" s="0" t="n">
        <v>1</v>
      </c>
      <c r="DU527" s="0" t="n">
        <v>1</v>
      </c>
      <c r="DW527" s="1" t="s">
        <v>216</v>
      </c>
      <c r="DX527" s="1" t="s">
        <v>216</v>
      </c>
      <c r="DY527" s="0" t="s">
        <v>216</v>
      </c>
      <c r="DZ527" s="0" t="s">
        <v>216</v>
      </c>
      <c r="EA527" s="0" t="n">
        <v>0</v>
      </c>
      <c r="EC527" s="1" t="s">
        <v>216</v>
      </c>
      <c r="ED527" s="1" t="s">
        <v>216</v>
      </c>
      <c r="EE527" s="0" t="s">
        <v>216</v>
      </c>
      <c r="EF527" s="0" t="s">
        <v>216</v>
      </c>
      <c r="EG527" s="0" t="n">
        <v>1</v>
      </c>
      <c r="EI527" s="0" t="n">
        <f aca="false">IF(AND(DM527=1,DN527&lt;=48),"",IF(AND(DM527=2,DN527&lt;=42),"",IF(AND(DM527=3,DN527&lt;=45),"",EH527)))</f>
        <v>0</v>
      </c>
      <c r="EJ527" s="0" t="str">
        <f aca="false">IF(EI527="","",IF(EI527&lt;9,EI527,9))</f>
        <v/>
      </c>
      <c r="EK527" s="0" t="str">
        <f aca="false">IF(EI527="","",IF(EI527&gt;9,EI527-EJ527,0))</f>
        <v/>
      </c>
      <c r="EL527" s="0" t="str">
        <f aca="false">IF(EI527="","",EJ527*DA527*2+EK527*DA527*3)</f>
        <v/>
      </c>
      <c r="EP527" s="0" t="n">
        <v>0</v>
      </c>
      <c r="EQ527" s="0"/>
      <c r="ER527" s="0" t="n">
        <v>0</v>
      </c>
      <c r="ET527" s="0" t="n">
        <v>0</v>
      </c>
      <c r="EV527" s="0" t="n">
        <v>0</v>
      </c>
      <c r="EX527" s="0" t="n">
        <v>0</v>
      </c>
      <c r="EY527" s="0" t="n">
        <v>0</v>
      </c>
      <c r="EZ527" s="0"/>
      <c r="FA527" s="4" t="n">
        <v>0</v>
      </c>
      <c r="FB527" s="0" t="n">
        <v>1</v>
      </c>
      <c r="FC527" s="1" t="n">
        <v>41177</v>
      </c>
      <c r="FD527" s="0" t="n">
        <v>1</v>
      </c>
      <c r="FE527" s="0" t="n">
        <v>22000</v>
      </c>
      <c r="FF527" s="120" t="e">
        <f aca="false">(CJ527-CI527+1)/365</f>
        <v>#VALUE!</v>
      </c>
      <c r="FG527" s="0" t="str">
        <f aca="false">CONCATENATE(F527,"/",G527)</f>
        <v>1610/2011</v>
      </c>
      <c r="FH527" s="0" t="n">
        <v>1</v>
      </c>
      <c r="FI527" s="0" t="n">
        <f aca="false">IFERROR(IF((FC527-J527+1)/365&gt;3,0,1),"")</f>
        <v>1</v>
      </c>
    </row>
    <row r="528" customFormat="false" ht="15" hidden="false" customHeight="false" outlineLevel="0" collapsed="false">
      <c r="A528" s="5" t="str">
        <f aca="false">E528&amp;G528&amp;F528</f>
        <v>720111655</v>
      </c>
      <c r="B528" s="0" t="s">
        <v>2737</v>
      </c>
      <c r="C528" s="1" t="n">
        <v>42372</v>
      </c>
      <c r="E528" s="0" t="n">
        <v>7</v>
      </c>
      <c r="F528" s="0" t="n">
        <v>1655</v>
      </c>
      <c r="G528" s="0" t="n">
        <v>2011</v>
      </c>
      <c r="H528" s="0" t="str">
        <f aca="false">"J"&amp;E528&amp;"\"&amp;F528&amp;"\"&amp;G528&amp;"\"&amp;W528</f>
        <v>J7\1655\2011\1</v>
      </c>
      <c r="I528" s="0"/>
      <c r="J528" s="1" t="n">
        <v>40813</v>
      </c>
      <c r="K528" s="0" t="n">
        <v>0</v>
      </c>
      <c r="M528" s="1"/>
      <c r="N528" s="1"/>
      <c r="O528" s="1"/>
      <c r="P528" s="1"/>
      <c r="Q528" s="1"/>
      <c r="T528" s="121"/>
      <c r="U528" s="121"/>
      <c r="V528" s="122" t="n">
        <f aca="false">IF(AND(E528&gt;0,F528&gt;0,G528&gt;0),COUNTIFS($E:$E,E528,$F:$F,F528,$G:$G,G528),"")</f>
        <v>2</v>
      </c>
      <c r="W528" s="122" t="n">
        <f aca="false">IF(V528="","",IF(V528=1,1,IF(AND(E527=E528,F527=F528,G527=G528),W527+1,1)))</f>
        <v>1</v>
      </c>
      <c r="X528" s="0" t="n">
        <v>2</v>
      </c>
      <c r="Y528" s="0" t="n">
        <v>5</v>
      </c>
      <c r="Z528" s="0" t="s">
        <v>4937</v>
      </c>
      <c r="AA528" s="0" t="n">
        <v>0</v>
      </c>
      <c r="AB528" s="0" t="s">
        <v>2375</v>
      </c>
      <c r="AC528" s="0" t="s">
        <v>318</v>
      </c>
      <c r="AD528" s="0" t="s">
        <v>229</v>
      </c>
      <c r="AE528" s="0" t="n">
        <v>0</v>
      </c>
      <c r="AF528" s="0" t="s">
        <v>4938</v>
      </c>
      <c r="AG528" s="0" t="n">
        <v>0</v>
      </c>
      <c r="AH528" s="0" t="s">
        <v>712</v>
      </c>
      <c r="AI528" s="0" t="s">
        <v>251</v>
      </c>
      <c r="AJ528" s="0" t="s">
        <v>229</v>
      </c>
      <c r="AL528" s="0" t="s">
        <v>4939</v>
      </c>
      <c r="AM528" s="0" t="n">
        <v>1</v>
      </c>
      <c r="AN528" s="0" t="s">
        <v>712</v>
      </c>
      <c r="AO528" s="0" t="s">
        <v>251</v>
      </c>
      <c r="AP528" s="0" t="s">
        <v>229</v>
      </c>
      <c r="AR528" s="0" t="s">
        <v>4940</v>
      </c>
      <c r="AS528" s="0" t="n">
        <v>1</v>
      </c>
      <c r="AT528" s="0" t="s">
        <v>712</v>
      </c>
      <c r="AU528" s="0" t="s">
        <v>251</v>
      </c>
      <c r="AV528" s="0" t="s">
        <v>229</v>
      </c>
      <c r="AX528" s="0" t="s">
        <v>1637</v>
      </c>
      <c r="AY528" s="0" t="n">
        <v>1</v>
      </c>
      <c r="AZ528" s="0" t="s">
        <v>712</v>
      </c>
      <c r="BA528" s="0" t="s">
        <v>251</v>
      </c>
      <c r="BB528" s="0" t="s">
        <v>229</v>
      </c>
      <c r="BD528" s="0" t="s">
        <v>4941</v>
      </c>
      <c r="BE528" s="0" t="n">
        <v>0</v>
      </c>
      <c r="BF528" s="0" t="s">
        <v>4942</v>
      </c>
      <c r="BG528" s="0" t="s">
        <v>760</v>
      </c>
      <c r="BH528" s="0" t="s">
        <v>4943</v>
      </c>
      <c r="BR528" s="0" t="n">
        <v>1</v>
      </c>
      <c r="BS528" s="0" t="s">
        <v>2381</v>
      </c>
      <c r="BT528" s="0" t="s">
        <v>2382</v>
      </c>
      <c r="BU528" s="0" t="s">
        <v>2383</v>
      </c>
      <c r="BV528" s="123"/>
      <c r="BW528" s="123"/>
      <c r="BX528" s="123"/>
      <c r="BY528" s="123"/>
      <c r="CA528" s="0" t="s">
        <v>2384</v>
      </c>
      <c r="CD528" s="0" t="s">
        <v>216</v>
      </c>
      <c r="CE528" s="0" t="n">
        <v>0</v>
      </c>
      <c r="CF528" s="0" t="s">
        <v>527</v>
      </c>
      <c r="CI528" s="1" t="n">
        <v>40452</v>
      </c>
      <c r="CJ528" s="1" t="n">
        <v>40800</v>
      </c>
      <c r="CK528" s="124" t="n">
        <v>0.333333333333333</v>
      </c>
      <c r="CL528" s="0" t="s">
        <v>4939</v>
      </c>
      <c r="CM528" s="0" t="n">
        <f aca="false">IF(OR(CI528="",CJ528=""),"",DAYS360(CI528,CJ528)/360)</f>
        <v>0.952777777777778</v>
      </c>
      <c r="CN528" s="0" t="n">
        <f aca="false">IF(OR(CI528="",CJ528=""),"",DAYS360(CI528,CJ528)/30)</f>
        <v>11.4333333333333</v>
      </c>
      <c r="CO528" s="0" t="n">
        <f aca="false">IF(OR(CI528="",CJ528=""),"",DAYS360(CI528,CJ528)/7)</f>
        <v>49</v>
      </c>
      <c r="CP528" s="0" t="n">
        <f aca="false">IF(OR(CI528="",CJ528=""),"",DAYS360(CI528,CJ528))</f>
        <v>343</v>
      </c>
      <c r="CQ528" s="0" t="s">
        <v>240</v>
      </c>
      <c r="CR528" s="0" t="n">
        <v>1</v>
      </c>
      <c r="CT528" s="0" t="n">
        <v>208</v>
      </c>
      <c r="CU528" s="0" t="n">
        <v>0</v>
      </c>
      <c r="CV528" s="0" t="n">
        <f aca="false">IF(OR(CT528="",CT528="NO ESPECIFICA",CT528="NO MENCIONA"),"",IF(CU528=0,CT528,IF(CU528=1,CT528/30,IF(CU528=2,CT528/15,IF(CU528=3,CT528/7,"")))))</f>
        <v>208</v>
      </c>
      <c r="CW528" s="125" t="s">
        <v>216</v>
      </c>
      <c r="CX528" s="0" t="s">
        <v>216</v>
      </c>
      <c r="CY528" s="0" t="str">
        <f aca="false">IF(CW528="","",IF(CX528=0,CW528,IF(CX528=1,CW528/30,IF(CX528=2,CW528/15,IF(CX528=3,CW528/7,CW528)))))</f>
        <v>NO MENCIONA</v>
      </c>
      <c r="CZ528" s="0" t="n">
        <f aca="false">IF(DI528&gt;0,DI528,IF(CY528&gt;0,CY528,IF(CV528&gt;0,CV528,"")))</f>
        <v>208</v>
      </c>
      <c r="DA528" s="0" t="n">
        <f aca="false">IF(DM528=1,CZ528/8,IF(OR(DM528=2,DM528=4),CZ528/7,IF(DM528=3,CZ528/7.5,"")))</f>
        <v>26</v>
      </c>
      <c r="DB528" s="0" t="s">
        <v>216</v>
      </c>
      <c r="DC528" s="0" t="s">
        <v>216</v>
      </c>
      <c r="DD528" s="0" t="s">
        <v>216</v>
      </c>
      <c r="DE528" s="0" t="s">
        <v>216</v>
      </c>
      <c r="DF528" s="0" t="s">
        <v>216</v>
      </c>
      <c r="DG528" s="0" t="s">
        <v>216</v>
      </c>
      <c r="DH528" s="0" t="n">
        <v>0</v>
      </c>
      <c r="DI528" s="126" t="n">
        <v>208</v>
      </c>
      <c r="DK528" s="0" t="n">
        <v>1</v>
      </c>
      <c r="DM528" s="0" t="n">
        <v>1</v>
      </c>
      <c r="DN528" s="0" t="n">
        <v>72</v>
      </c>
      <c r="DO528" s="0" t="n">
        <v>3</v>
      </c>
      <c r="DP528" s="0" t="n">
        <v>0</v>
      </c>
      <c r="DQ528" s="0" t="n">
        <v>1</v>
      </c>
      <c r="DR528" s="0"/>
      <c r="DS528" s="0" t="n">
        <v>1</v>
      </c>
      <c r="DU528" s="0" t="n">
        <v>1</v>
      </c>
      <c r="DW528" s="1" t="n">
        <v>40452</v>
      </c>
      <c r="DX528" s="1" t="n">
        <v>40800</v>
      </c>
      <c r="DZ528" s="0"/>
      <c r="EA528" s="0" t="n">
        <v>1</v>
      </c>
      <c r="EC528" s="1" t="n">
        <v>40452</v>
      </c>
      <c r="ED528" s="1" t="n">
        <v>40800</v>
      </c>
      <c r="EF528" s="0"/>
      <c r="EG528" s="0" t="n">
        <v>1</v>
      </c>
      <c r="EH528" s="0" t="n">
        <v>12</v>
      </c>
      <c r="EI528" s="0" t="n">
        <f aca="false">IF(AND(DM528=1,DN528&lt;=48),"",IF(AND(DM528=2,DN528&lt;=42),"",IF(AND(DM528=3,DN528&lt;=45),"",EH528)))</f>
        <v>12</v>
      </c>
      <c r="EJ528" s="0" t="n">
        <f aca="false">IF(EI528="","",IF(EI528&lt;9,EI528,9))</f>
        <v>9</v>
      </c>
      <c r="EK528" s="0" t="n">
        <f aca="false">IF(EI528="","",IF(EI528&gt;9,EI528-EJ528,0))</f>
        <v>3</v>
      </c>
      <c r="EL528" s="0" t="n">
        <f aca="false">IF(EI528="","",EJ528*DA528*2+EK528*DA528*3)</f>
        <v>702</v>
      </c>
      <c r="EP528" s="0" t="n">
        <v>0</v>
      </c>
      <c r="EQ528" s="0"/>
      <c r="ER528" s="0" t="n">
        <v>0</v>
      </c>
      <c r="ET528" s="0" t="n">
        <v>0</v>
      </c>
      <c r="EV528" s="0" t="n">
        <v>0</v>
      </c>
      <c r="EX528" s="0" t="n">
        <v>0</v>
      </c>
      <c r="EY528" s="0" t="n">
        <v>1</v>
      </c>
      <c r="EZ528" s="0"/>
      <c r="FA528" s="4" t="n">
        <v>208</v>
      </c>
      <c r="FB528" s="0" t="n">
        <v>1</v>
      </c>
      <c r="FC528" s="1"/>
      <c r="FF528" s="120" t="n">
        <f aca="false">(CJ528-CI528+1)/365</f>
        <v>0.956164383561644</v>
      </c>
      <c r="FG528" s="0" t="str">
        <f aca="false">CONCATENATE(F528,"/",G528)</f>
        <v>1655/2011</v>
      </c>
      <c r="FH528" s="0" t="n">
        <v>1</v>
      </c>
      <c r="FI528" s="0" t="n">
        <f aca="false">IFERROR(IF((FC528-J528+1)/365&gt;3,0,1),"")</f>
        <v>1</v>
      </c>
    </row>
    <row r="529" customFormat="false" ht="15" hidden="false" customHeight="false" outlineLevel="0" collapsed="false">
      <c r="A529" s="5" t="str">
        <f aca="false">E529&amp;G529&amp;F529</f>
        <v>720111655</v>
      </c>
      <c r="B529" s="0" t="s">
        <v>2737</v>
      </c>
      <c r="C529" s="1" t="n">
        <v>42372</v>
      </c>
      <c r="E529" s="0" t="n">
        <v>7</v>
      </c>
      <c r="F529" s="0" t="n">
        <v>1655</v>
      </c>
      <c r="G529" s="0" t="n">
        <v>2011</v>
      </c>
      <c r="H529" s="0" t="str">
        <f aca="false">"J"&amp;E529&amp;"\"&amp;F529&amp;"\"&amp;G529&amp;"\"&amp;W529</f>
        <v>J7\1655\2011\2</v>
      </c>
      <c r="I529" s="0"/>
      <c r="J529" s="1" t="n">
        <v>40813</v>
      </c>
      <c r="K529" s="0" t="n">
        <v>0</v>
      </c>
      <c r="M529" s="1"/>
      <c r="N529" s="1"/>
      <c r="O529" s="1"/>
      <c r="P529" s="1"/>
      <c r="Q529" s="1"/>
      <c r="T529" s="121"/>
      <c r="U529" s="121"/>
      <c r="V529" s="122" t="n">
        <f aca="false">IF(AND(E529&gt;0,F529&gt;0,G529&gt;0),COUNTIFS($E:$E,E529,$F:$F,F529,$G:$G,G529),"")</f>
        <v>2</v>
      </c>
      <c r="W529" s="122" t="n">
        <f aca="false">IF(V529="","",IF(V529=1,1,IF(AND(E528=E529,F528=F529,G528=G529),W528+1,1)))</f>
        <v>2</v>
      </c>
      <c r="X529" s="0" t="n">
        <v>2</v>
      </c>
      <c r="Y529" s="0" t="n">
        <v>5</v>
      </c>
      <c r="Z529" s="0" t="s">
        <v>4944</v>
      </c>
      <c r="AA529" s="0" t="n">
        <v>0</v>
      </c>
      <c r="AB529" s="0" t="s">
        <v>2375</v>
      </c>
      <c r="AC529" s="0" t="s">
        <v>318</v>
      </c>
      <c r="AD529" s="0" t="s">
        <v>229</v>
      </c>
      <c r="AE529" s="0" t="n">
        <v>0</v>
      </c>
      <c r="AF529" s="0" t="s">
        <v>4938</v>
      </c>
      <c r="AG529" s="0" t="n">
        <v>0</v>
      </c>
      <c r="AH529" s="0" t="s">
        <v>712</v>
      </c>
      <c r="AI529" s="0" t="s">
        <v>251</v>
      </c>
      <c r="AJ529" s="0" t="s">
        <v>229</v>
      </c>
      <c r="AL529" s="0" t="s">
        <v>4939</v>
      </c>
      <c r="AM529" s="0" t="n">
        <v>1</v>
      </c>
      <c r="AN529" s="0" t="s">
        <v>712</v>
      </c>
      <c r="AO529" s="0" t="s">
        <v>251</v>
      </c>
      <c r="AP529" s="0" t="s">
        <v>229</v>
      </c>
      <c r="AR529" s="0" t="s">
        <v>4940</v>
      </c>
      <c r="AS529" s="0" t="n">
        <v>1</v>
      </c>
      <c r="AT529" s="0" t="s">
        <v>712</v>
      </c>
      <c r="AU529" s="0" t="s">
        <v>251</v>
      </c>
      <c r="AV529" s="0" t="s">
        <v>229</v>
      </c>
      <c r="AX529" s="0" t="s">
        <v>1637</v>
      </c>
      <c r="AY529" s="0" t="n">
        <v>1</v>
      </c>
      <c r="AZ529" s="0" t="s">
        <v>712</v>
      </c>
      <c r="BA529" s="0" t="s">
        <v>251</v>
      </c>
      <c r="BB529" s="0" t="s">
        <v>229</v>
      </c>
      <c r="BD529" s="0" t="s">
        <v>4941</v>
      </c>
      <c r="BE529" s="0" t="n">
        <v>0</v>
      </c>
      <c r="BF529" s="0" t="s">
        <v>4942</v>
      </c>
      <c r="BG529" s="0" t="s">
        <v>760</v>
      </c>
      <c r="BH529" s="0" t="s">
        <v>4943</v>
      </c>
      <c r="BR529" s="0" t="n">
        <v>1</v>
      </c>
      <c r="BS529" s="0" t="s">
        <v>2381</v>
      </c>
      <c r="BT529" s="0" t="s">
        <v>2382</v>
      </c>
      <c r="BU529" s="0" t="s">
        <v>2383</v>
      </c>
      <c r="BV529" s="123"/>
      <c r="BW529" s="123"/>
      <c r="BX529" s="123"/>
      <c r="BY529" s="123"/>
      <c r="CA529" s="0" t="s">
        <v>2384</v>
      </c>
      <c r="CD529" s="0" t="s">
        <v>216</v>
      </c>
      <c r="CE529" s="0" t="n">
        <v>0</v>
      </c>
      <c r="CF529" s="0" t="s">
        <v>527</v>
      </c>
      <c r="CI529" s="1" t="n">
        <v>40452</v>
      </c>
      <c r="CJ529" s="1" t="n">
        <v>40800</v>
      </c>
      <c r="CK529" s="124" t="n">
        <v>0.333333333333333</v>
      </c>
      <c r="CL529" s="0" t="s">
        <v>4939</v>
      </c>
      <c r="CM529" s="0" t="n">
        <f aca="false">IF(OR(CI529="",CJ529=""),"",DAYS360(CI529,CJ529)/360)</f>
        <v>0.952777777777778</v>
      </c>
      <c r="CN529" s="0" t="n">
        <f aca="false">IF(OR(CI529="",CJ529=""),"",DAYS360(CI529,CJ529)/30)</f>
        <v>11.4333333333333</v>
      </c>
      <c r="CO529" s="0" t="n">
        <f aca="false">IF(OR(CI529="",CJ529=""),"",DAYS360(CI529,CJ529)/7)</f>
        <v>49</v>
      </c>
      <c r="CP529" s="0" t="n">
        <f aca="false">IF(OR(CI529="",CJ529=""),"",DAYS360(CI529,CJ529))</f>
        <v>343</v>
      </c>
      <c r="CQ529" s="0" t="s">
        <v>240</v>
      </c>
      <c r="CR529" s="0" t="n">
        <v>1</v>
      </c>
      <c r="CT529" s="0" t="n">
        <v>208</v>
      </c>
      <c r="CU529" s="0" t="n">
        <v>0</v>
      </c>
      <c r="CV529" s="0" t="n">
        <f aca="false">IF(OR(CT529="",CT529="NO ESPECIFICA",CT529="NO MENCIONA"),"",IF(CU529=0,CT529,IF(CU529=1,CT529/30,IF(CU529=2,CT529/15,IF(CU529=3,CT529/7,"")))))</f>
        <v>208</v>
      </c>
      <c r="CW529" s="125" t="s">
        <v>216</v>
      </c>
      <c r="CX529" s="0" t="s">
        <v>216</v>
      </c>
      <c r="CY529" s="0" t="str">
        <f aca="false">IF(CW529="","",IF(CX529=0,CW529,IF(CX529=1,CW529/30,IF(CX529=2,CW529/15,IF(CX529=3,CW529/7,CW529)))))</f>
        <v>NO MENCIONA</v>
      </c>
      <c r="CZ529" s="0" t="n">
        <f aca="false">IF(DI529&gt;0,DI529,IF(CY529&gt;0,CY529,IF(CV529&gt;0,CV529,"")))</f>
        <v>208</v>
      </c>
      <c r="DA529" s="0" t="n">
        <f aca="false">IF(DM529=1,CZ529/8,IF(OR(DM529=2,DM529=4),CZ529/7,IF(DM529=3,CZ529/7.5,"")))</f>
        <v>26</v>
      </c>
      <c r="DB529" s="0" t="s">
        <v>216</v>
      </c>
      <c r="DC529" s="0" t="s">
        <v>216</v>
      </c>
      <c r="DD529" s="0" t="s">
        <v>216</v>
      </c>
      <c r="DE529" s="0" t="s">
        <v>216</v>
      </c>
      <c r="DF529" s="0" t="s">
        <v>216</v>
      </c>
      <c r="DG529" s="0" t="s">
        <v>216</v>
      </c>
      <c r="DH529" s="0" t="n">
        <v>0</v>
      </c>
      <c r="DI529" s="126" t="n">
        <v>208</v>
      </c>
      <c r="DK529" s="0" t="n">
        <v>0</v>
      </c>
      <c r="DM529" s="0" t="n">
        <v>1</v>
      </c>
      <c r="DN529" s="0" t="n">
        <v>72</v>
      </c>
      <c r="DO529" s="0" t="n">
        <v>3</v>
      </c>
      <c r="DP529" s="0" t="n">
        <v>0</v>
      </c>
      <c r="DQ529" s="0" t="n">
        <v>1</v>
      </c>
      <c r="DR529" s="0"/>
      <c r="DS529" s="0" t="n">
        <v>1</v>
      </c>
      <c r="DU529" s="0" t="n">
        <v>1</v>
      </c>
      <c r="DW529" s="1" t="n">
        <v>40452</v>
      </c>
      <c r="DX529" s="1" t="n">
        <v>40800</v>
      </c>
      <c r="DZ529" s="0"/>
      <c r="EA529" s="0" t="n">
        <v>1</v>
      </c>
      <c r="EC529" s="1" t="n">
        <v>40452</v>
      </c>
      <c r="ED529" s="1" t="n">
        <v>40800</v>
      </c>
      <c r="EF529" s="0"/>
      <c r="EG529" s="0" t="n">
        <v>1</v>
      </c>
      <c r="EH529" s="0" t="n">
        <v>12</v>
      </c>
      <c r="EI529" s="0" t="n">
        <f aca="false">IF(AND(DM529=1,DN529&lt;=48),"",IF(AND(DM529=2,DN529&lt;=42),"",IF(AND(DM529=3,DN529&lt;=45),"",EH529)))</f>
        <v>12</v>
      </c>
      <c r="EJ529" s="0" t="n">
        <f aca="false">IF(EI529="","",IF(EI529&lt;9,EI529,9))</f>
        <v>9</v>
      </c>
      <c r="EK529" s="0" t="n">
        <f aca="false">IF(EI529="","",IF(EI529&gt;9,EI529-EJ529,0))</f>
        <v>3</v>
      </c>
      <c r="EL529" s="0" t="n">
        <f aca="false">IF(EI529="","",EJ529*DA529*2+EK529*DA529*3)</f>
        <v>702</v>
      </c>
      <c r="EP529" s="0" t="n">
        <v>0</v>
      </c>
      <c r="EQ529" s="0"/>
      <c r="ER529" s="0" t="n">
        <v>0</v>
      </c>
      <c r="ET529" s="0" t="n">
        <v>0</v>
      </c>
      <c r="EV529" s="0" t="n">
        <v>0</v>
      </c>
      <c r="EX529" s="0" t="n">
        <v>0</v>
      </c>
      <c r="EY529" s="0" t="n">
        <v>1</v>
      </c>
      <c r="EZ529" s="0"/>
      <c r="FA529" s="4" t="n">
        <v>208</v>
      </c>
      <c r="FB529" s="0" t="n">
        <v>1</v>
      </c>
      <c r="FC529" s="1"/>
      <c r="FF529" s="120" t="n">
        <f aca="false">(CJ529-CI529+1)/365</f>
        <v>0.956164383561644</v>
      </c>
      <c r="FG529" s="0" t="str">
        <f aca="false">CONCATENATE(F529,"/",G529)</f>
        <v>1655/2011</v>
      </c>
      <c r="FH529" s="0" t="n">
        <v>1</v>
      </c>
      <c r="FI529" s="0" t="n">
        <f aca="false">IFERROR(IF((FC529-J529+1)/365&gt;3,0,1),"")</f>
        <v>1</v>
      </c>
    </row>
    <row r="530" customFormat="false" ht="15" hidden="false" customHeight="false" outlineLevel="0" collapsed="false">
      <c r="A530" s="5" t="str">
        <f aca="false">E530&amp;G530&amp;F530</f>
        <v>720111643</v>
      </c>
      <c r="B530" s="0" t="s">
        <v>2737</v>
      </c>
      <c r="C530" s="1" t="n">
        <v>42372</v>
      </c>
      <c r="E530" s="0" t="n">
        <v>7</v>
      </c>
      <c r="F530" s="0" t="n">
        <v>1643</v>
      </c>
      <c r="G530" s="0" t="n">
        <v>2011</v>
      </c>
      <c r="H530" s="0" t="str">
        <f aca="false">"J"&amp;E530&amp;"\"&amp;F530&amp;"\"&amp;G530&amp;"\"&amp;W530</f>
        <v>J7\1643\2011\1</v>
      </c>
      <c r="I530" s="0"/>
      <c r="J530" s="1" t="n">
        <v>40809</v>
      </c>
      <c r="K530" s="0" t="n">
        <v>0</v>
      </c>
      <c r="M530" s="1" t="n">
        <v>40809</v>
      </c>
      <c r="N530" s="1" t="n">
        <v>41053</v>
      </c>
      <c r="O530" s="1"/>
      <c r="P530" s="1"/>
      <c r="Q530" s="1"/>
      <c r="T530" s="121"/>
      <c r="U530" s="121"/>
      <c r="V530" s="122" t="n">
        <f aca="false">IF(AND(E530&gt;0,F530&gt;0,G530&gt;0),COUNTIFS($E:$E,E530,$F:$F,F530,$G:$G,G530),"")</f>
        <v>1</v>
      </c>
      <c r="W530" s="122" t="n">
        <f aca="false">IF(V530="","",IF(V530=1,1,IF(AND(E529=E530,F529=F530,G529=G530),W529+1,1)))</f>
        <v>1</v>
      </c>
      <c r="X530" s="0" t="n">
        <v>1</v>
      </c>
      <c r="Y530" s="0" t="n">
        <v>3</v>
      </c>
      <c r="Z530" s="0" t="s">
        <v>4945</v>
      </c>
      <c r="AA530" s="0" t="n">
        <v>0</v>
      </c>
      <c r="AB530" s="0" t="s">
        <v>4946</v>
      </c>
      <c r="AC530" s="0" t="s">
        <v>287</v>
      </c>
      <c r="AE530" s="0" t="n">
        <v>0</v>
      </c>
      <c r="AF530" s="0" t="s">
        <v>4947</v>
      </c>
      <c r="AG530" s="0" t="n">
        <v>0</v>
      </c>
      <c r="AH530" s="0" t="s">
        <v>4948</v>
      </c>
      <c r="AI530" s="0" t="s">
        <v>4949</v>
      </c>
      <c r="AJ530" s="0" t="s">
        <v>411</v>
      </c>
      <c r="AL530" s="0" t="s">
        <v>4950</v>
      </c>
      <c r="AM530" s="0" t="n">
        <v>1</v>
      </c>
      <c r="AN530" s="0" t="s">
        <v>4948</v>
      </c>
      <c r="AO530" s="0" t="s">
        <v>4949</v>
      </c>
      <c r="AP530" s="0" t="s">
        <v>411</v>
      </c>
      <c r="AR530" s="0" t="s">
        <v>1637</v>
      </c>
      <c r="AS530" s="0" t="n">
        <v>1</v>
      </c>
      <c r="AT530" s="0" t="s">
        <v>4948</v>
      </c>
      <c r="AU530" s="0" t="s">
        <v>4949</v>
      </c>
      <c r="AV530" s="0" t="s">
        <v>411</v>
      </c>
      <c r="BR530" s="0" t="n">
        <v>1</v>
      </c>
      <c r="BS530" s="0" t="s">
        <v>4951</v>
      </c>
      <c r="BT530" s="0" t="s">
        <v>4952</v>
      </c>
      <c r="BV530" s="123"/>
      <c r="BW530" s="123"/>
      <c r="BX530" s="123"/>
      <c r="BY530" s="123"/>
      <c r="CA530" s="0" t="s">
        <v>216</v>
      </c>
      <c r="CD530" s="0" t="s">
        <v>1308</v>
      </c>
      <c r="CE530" s="0" t="n">
        <v>0</v>
      </c>
      <c r="CF530" s="0" t="s">
        <v>503</v>
      </c>
      <c r="CI530" s="1" t="n">
        <v>40222</v>
      </c>
      <c r="CJ530" s="1" t="n">
        <v>40749</v>
      </c>
      <c r="CK530" s="124" t="n">
        <v>0.5</v>
      </c>
      <c r="CL530" s="0" t="s">
        <v>4950</v>
      </c>
      <c r="CM530" s="0" t="n">
        <f aca="false">IF(OR(CI530="",CJ530=""),"",DAYS360(CI530,CJ530)/360)</f>
        <v>1.45</v>
      </c>
      <c r="CN530" s="0" t="n">
        <f aca="false">IF(OR(CI530="",CJ530=""),"",DAYS360(CI530,CJ530)/30)</f>
        <v>17.4</v>
      </c>
      <c r="CO530" s="0" t="n">
        <f aca="false">IF(OR(CI530="",CJ530=""),"",DAYS360(CI530,CJ530)/7)</f>
        <v>74.5714285714286</v>
      </c>
      <c r="CP530" s="0" t="n">
        <f aca="false">IF(OR(CI530="",CJ530=""),"",DAYS360(CI530,CJ530))</f>
        <v>522</v>
      </c>
      <c r="CQ530" s="0" t="s">
        <v>240</v>
      </c>
      <c r="CR530" s="0" t="n">
        <v>1</v>
      </c>
      <c r="CT530" s="0" t="s">
        <v>221</v>
      </c>
      <c r="CU530" s="0" t="s">
        <v>221</v>
      </c>
      <c r="CV530" s="0" t="str">
        <f aca="false">IF(OR(CT530="",CT530="NO ESPECIFICA",CT530="NO MENCIONA"),"",IF(CU530=0,CT530,IF(CU530=1,CT530/30,IF(CU530=2,CT530/15,IF(CU530=3,CT530/7,"")))))</f>
        <v/>
      </c>
      <c r="CW530" s="125" t="n">
        <v>1500</v>
      </c>
      <c r="CX530" s="0" t="n">
        <v>3</v>
      </c>
      <c r="CY530" s="0" t="n">
        <f aca="false">IF(CW530="","",IF(CX530=0,CW530,IF(CX530=1,CW530/30,IF(CX530=2,CW530/15,IF(CX530=3,CW530/7,CW530)))))</f>
        <v>214.285714285714</v>
      </c>
      <c r="CZ530" s="0" t="n">
        <f aca="false">IF(DI530&gt;0,DI530,IF(CY530&gt;0,CY530,IF(CV530&gt;0,CV530,"")))</f>
        <v>214.285714285714</v>
      </c>
      <c r="DA530" s="0" t="n">
        <f aca="false">IF(DM530=1,CZ530/8,IF(OR(DM530=2,DM530=4),CZ530/7,IF(DM530=3,CZ530/7.5,"")))</f>
        <v>26.7857142857143</v>
      </c>
      <c r="DB530" s="0" t="s">
        <v>216</v>
      </c>
      <c r="DC530" s="0" t="s">
        <v>216</v>
      </c>
      <c r="DD530" s="0" t="s">
        <v>216</v>
      </c>
      <c r="DE530" s="0" t="s">
        <v>216</v>
      </c>
      <c r="DF530" s="0" t="s">
        <v>216</v>
      </c>
      <c r="DG530" s="0" t="s">
        <v>216</v>
      </c>
      <c r="DH530" s="0" t="n">
        <v>0</v>
      </c>
      <c r="DI530" s="126" t="n">
        <v>214.285714285714</v>
      </c>
      <c r="DK530" s="0" t="n">
        <v>0</v>
      </c>
      <c r="DM530" s="0" t="n">
        <v>1</v>
      </c>
      <c r="DN530" s="0" t="n">
        <v>66</v>
      </c>
      <c r="DO530" s="0" t="n">
        <v>3</v>
      </c>
      <c r="DP530" s="0" t="n">
        <v>0</v>
      </c>
      <c r="DQ530" s="0" t="n">
        <v>1</v>
      </c>
      <c r="DR530" s="0"/>
      <c r="DS530" s="0" t="n">
        <v>1</v>
      </c>
      <c r="DU530" s="0" t="n">
        <v>1</v>
      </c>
      <c r="DW530" s="1" t="n">
        <v>40222</v>
      </c>
      <c r="DX530" s="1" t="n">
        <v>40749</v>
      </c>
      <c r="DZ530" s="0"/>
      <c r="EA530" s="0" t="n">
        <v>1</v>
      </c>
      <c r="EC530" s="1" t="n">
        <v>40222</v>
      </c>
      <c r="ED530" s="1" t="n">
        <v>40749</v>
      </c>
      <c r="EF530" s="0"/>
      <c r="EG530" s="0" t="n">
        <v>1</v>
      </c>
      <c r="EH530" s="0" t="s">
        <v>221</v>
      </c>
      <c r="EI530" s="0" t="str">
        <f aca="false">IF(AND(DM530=1,DN530&lt;=48),"",IF(AND(DM530=2,DN530&lt;=42),"",IF(AND(DM530=3,DN530&lt;=45),"",EH530)))</f>
        <v>NO ESPECIFICA</v>
      </c>
      <c r="EJ530" s="0" t="n">
        <f aca="false">IF(EI530="","",IF(EI530&lt;9,EI530,9))</f>
        <v>9</v>
      </c>
      <c r="EK530" s="0" t="e">
        <f aca="false">IF(EI530="","",IF(EI530&gt;9,EI530-EJ530,0))</f>
        <v>#VALUE!</v>
      </c>
      <c r="EL530" s="0" t="e">
        <f aca="false">IF(EI530="","",EJ530*DA530*2+EK530*DA530*3)</f>
        <v>#VALUE!</v>
      </c>
      <c r="EP530" s="0" t="n">
        <v>0</v>
      </c>
      <c r="EQ530" s="0"/>
      <c r="ER530" s="0" t="n">
        <v>0</v>
      </c>
      <c r="ET530" s="0" t="n">
        <v>0</v>
      </c>
      <c r="EV530" s="0" t="n">
        <v>0</v>
      </c>
      <c r="EX530" s="0" t="n">
        <v>1</v>
      </c>
      <c r="EY530" s="0" t="n">
        <v>1</v>
      </c>
      <c r="EZ530" s="0"/>
      <c r="FA530" s="4" t="n">
        <v>0</v>
      </c>
      <c r="FB530" s="0" t="n">
        <v>1</v>
      </c>
      <c r="FC530" s="1" t="n">
        <v>40921</v>
      </c>
      <c r="FD530" s="0" t="n">
        <v>2</v>
      </c>
      <c r="FE530" s="0" t="n">
        <v>0</v>
      </c>
      <c r="FF530" s="120" t="n">
        <f aca="false">(CJ530-CI530+1)/365</f>
        <v>1.44657534246575</v>
      </c>
      <c r="FG530" s="0" t="str">
        <f aca="false">CONCATENATE(F530,"/",G530)</f>
        <v>1643/2011</v>
      </c>
      <c r="FH530" s="0" t="n">
        <v>1</v>
      </c>
      <c r="FI530" s="0" t="n">
        <f aca="false">IFERROR(IF((FC530-J530+1)/365&gt;3,0,1),"")</f>
        <v>1</v>
      </c>
    </row>
    <row r="531" customFormat="false" ht="15" hidden="false" customHeight="false" outlineLevel="0" collapsed="false">
      <c r="A531" s="5" t="str">
        <f aca="false">E531&amp;G531&amp;F531</f>
        <v>720111629</v>
      </c>
      <c r="B531" s="0" t="s">
        <v>2737</v>
      </c>
      <c r="C531" s="1" t="n">
        <v>42372</v>
      </c>
      <c r="E531" s="0" t="n">
        <v>7</v>
      </c>
      <c r="F531" s="0" t="n">
        <v>1629</v>
      </c>
      <c r="G531" s="0" t="n">
        <v>2011</v>
      </c>
      <c r="H531" s="0" t="str">
        <f aca="false">"J"&amp;E531&amp;"\"&amp;F531&amp;"\"&amp;G531&amp;"\"&amp;W531</f>
        <v>J7\1629\2011\1</v>
      </c>
      <c r="I531" s="0"/>
      <c r="J531" s="1" t="n">
        <v>40807</v>
      </c>
      <c r="K531" s="0" t="n">
        <v>0</v>
      </c>
      <c r="M531" s="1"/>
      <c r="N531" s="1"/>
      <c r="O531" s="1"/>
      <c r="P531" s="1"/>
      <c r="Q531" s="1"/>
      <c r="T531" s="121"/>
      <c r="U531" s="121"/>
      <c r="V531" s="122" t="n">
        <f aca="false">IF(AND(E531&gt;0,F531&gt;0,G531&gt;0),COUNTIFS($E:$E,E531,$F:$F,F531,$G:$G,G531),"")</f>
        <v>1</v>
      </c>
      <c r="W531" s="122" t="n">
        <f aca="false">IF(V531="","",IF(V531=1,1,IF(AND(E530=E531,F530=F531,G530=G531),W530+1,1)))</f>
        <v>1</v>
      </c>
      <c r="X531" s="0" t="n">
        <v>1</v>
      </c>
      <c r="Y531" s="0" t="n">
        <v>2</v>
      </c>
      <c r="Z531" s="0" t="s">
        <v>4953</v>
      </c>
      <c r="AA531" s="0" t="n">
        <v>0</v>
      </c>
      <c r="AB531" s="0" t="s">
        <v>4954</v>
      </c>
      <c r="AC531" s="0" t="s">
        <v>4955</v>
      </c>
      <c r="AD531" s="0" t="s">
        <v>590</v>
      </c>
      <c r="AE531" s="0" t="n">
        <v>0</v>
      </c>
      <c r="AF531" s="0" t="s">
        <v>4956</v>
      </c>
      <c r="AG531" s="0" t="n">
        <v>0</v>
      </c>
      <c r="AH531" s="0" t="s">
        <v>4957</v>
      </c>
      <c r="AI531" s="0" t="s">
        <v>4958</v>
      </c>
      <c r="AJ531" s="0" t="s">
        <v>590</v>
      </c>
      <c r="AL531" s="0" t="s">
        <v>1637</v>
      </c>
      <c r="AM531" s="0" t="n">
        <v>1</v>
      </c>
      <c r="AN531" s="0" t="s">
        <v>4957</v>
      </c>
      <c r="AO531" s="0" t="s">
        <v>4958</v>
      </c>
      <c r="AP531" s="0" t="s">
        <v>590</v>
      </c>
      <c r="BR531" s="0" t="n">
        <v>1</v>
      </c>
      <c r="BS531" s="0" t="s">
        <v>4959</v>
      </c>
      <c r="BT531" s="0" t="s">
        <v>4960</v>
      </c>
      <c r="BU531" s="0" t="s">
        <v>4961</v>
      </c>
      <c r="BV531" s="123"/>
      <c r="BW531" s="123"/>
      <c r="BX531" s="123"/>
      <c r="BY531" s="123"/>
      <c r="CA531" s="0" t="s">
        <v>216</v>
      </c>
      <c r="CD531" s="0" t="s">
        <v>502</v>
      </c>
      <c r="CE531" s="0" t="n">
        <v>0</v>
      </c>
      <c r="CF531" s="0" t="s">
        <v>611</v>
      </c>
      <c r="CI531" s="1" t="n">
        <v>38808</v>
      </c>
      <c r="CJ531" s="1" t="n">
        <v>40575</v>
      </c>
      <c r="CK531" s="124" t="s">
        <v>216</v>
      </c>
      <c r="CL531" s="0" t="s">
        <v>1775</v>
      </c>
      <c r="CM531" s="0" t="n">
        <f aca="false">IF(OR(CI531="",CJ531=""),"",DAYS360(CI531,CJ531)/360)</f>
        <v>4.83333333333333</v>
      </c>
      <c r="CN531" s="0" t="n">
        <f aca="false">IF(OR(CI531="",CJ531=""),"",DAYS360(CI531,CJ531)/30)</f>
        <v>58</v>
      </c>
      <c r="CO531" s="0" t="n">
        <f aca="false">IF(OR(CI531="",CJ531=""),"",DAYS360(CI531,CJ531)/7)</f>
        <v>248.571428571429</v>
      </c>
      <c r="CP531" s="0" t="n">
        <f aca="false">IF(OR(CI531="",CJ531=""),"",DAYS360(CI531,CJ531))</f>
        <v>1740</v>
      </c>
      <c r="CQ531" s="0" t="s">
        <v>1761</v>
      </c>
      <c r="CR531" s="0" t="n">
        <v>5</v>
      </c>
      <c r="CS531" s="0" t="s">
        <v>1494</v>
      </c>
      <c r="CT531" s="0" t="s">
        <v>216</v>
      </c>
      <c r="CU531" s="0" t="s">
        <v>216</v>
      </c>
      <c r="CV531" s="0" t="str">
        <f aca="false">IF(OR(CT531="",CT531="NO ESPECIFICA",CT531="NO MENCIONA"),"",IF(CU531=0,CT531,IF(CU531=1,CT531/30,IF(CU531=2,CT531/15,IF(CU531=3,CT531/7,"")))))</f>
        <v/>
      </c>
      <c r="CW531" s="125" t="n">
        <v>524.66</v>
      </c>
      <c r="CX531" s="0" t="n">
        <v>0</v>
      </c>
      <c r="CY531" s="0" t="n">
        <f aca="false">IF(CW531="","",IF(CX531=0,CW531,IF(CX531=1,CW531/30,IF(CX531=2,CW531/15,IF(CX531=3,CW531/7,CW531)))))</f>
        <v>524.66</v>
      </c>
      <c r="CZ531" s="0" t="n">
        <f aca="false">IF(DI531&gt;0,DI531,IF(CY531&gt;0,CY531,IF(CV531&gt;0,CV531,"")))</f>
        <v>524.66</v>
      </c>
      <c r="DA531" s="0" t="str">
        <f aca="false">IF(DM531=1,CZ531/8,IF(OR(DM531=2,DM531=4),CZ531/7,IF(DM531=3,CZ531/7.5,"")))</f>
        <v/>
      </c>
      <c r="DB531" s="0" t="s">
        <v>216</v>
      </c>
      <c r="DC531" s="0" t="s">
        <v>216</v>
      </c>
      <c r="DD531" s="0" t="s">
        <v>216</v>
      </c>
      <c r="DE531" s="0" t="s">
        <v>216</v>
      </c>
      <c r="DF531" s="0" t="s">
        <v>216</v>
      </c>
      <c r="DG531" s="0" t="s">
        <v>216</v>
      </c>
      <c r="DH531" s="0" t="n">
        <v>0</v>
      </c>
      <c r="DI531" s="126" t="n">
        <v>524.66</v>
      </c>
      <c r="DK531" s="0" t="n">
        <v>0</v>
      </c>
      <c r="DM531" s="0" t="s">
        <v>216</v>
      </c>
      <c r="DN531" s="0" t="s">
        <v>216</v>
      </c>
      <c r="DO531" s="0" t="s">
        <v>216</v>
      </c>
      <c r="DP531" s="0" t="n">
        <v>0</v>
      </c>
      <c r="DQ531" s="0" t="n">
        <v>0</v>
      </c>
      <c r="DR531" s="0"/>
      <c r="DS531" s="0" t="n">
        <v>0</v>
      </c>
      <c r="DU531" s="0" t="n">
        <v>1</v>
      </c>
      <c r="DW531" s="1" t="n">
        <v>38808</v>
      </c>
      <c r="DX531" s="1" t="n">
        <v>40575</v>
      </c>
      <c r="DZ531" s="0"/>
      <c r="EA531" s="0" t="n">
        <v>1</v>
      </c>
      <c r="EC531" s="1" t="s">
        <v>216</v>
      </c>
      <c r="ED531" s="1" t="s">
        <v>216</v>
      </c>
      <c r="EF531" s="0"/>
      <c r="EG531" s="0" t="n">
        <v>0</v>
      </c>
      <c r="EI531" s="0" t="n">
        <f aca="false">IF(AND(DM531=1,DN531&lt;=48),"",IF(AND(DM531=2,DN531&lt;=42),"",IF(AND(DM531=3,DN531&lt;=45),"",EH531)))</f>
        <v>0</v>
      </c>
      <c r="EJ531" s="0" t="str">
        <f aca="false">IF(EI531="","",IF(EI531&lt;9,EI531,9))</f>
        <v/>
      </c>
      <c r="EK531" s="0" t="str">
        <f aca="false">IF(EI531="","",IF(EI531&gt;9,EI531-EJ531,0))</f>
        <v/>
      </c>
      <c r="EL531" s="0" t="str">
        <f aca="false">IF(EI531="","",EJ531*DA531*2+EK531*DA531*3)</f>
        <v/>
      </c>
      <c r="EP531" s="0" t="n">
        <v>0</v>
      </c>
      <c r="EQ531" s="0"/>
      <c r="ER531" s="0" t="n">
        <v>0</v>
      </c>
      <c r="ET531" s="0" t="n">
        <v>0</v>
      </c>
      <c r="EV531" s="0" t="n">
        <v>0</v>
      </c>
      <c r="EX531" s="0" t="n">
        <v>0</v>
      </c>
      <c r="EY531" s="0" t="n">
        <v>0</v>
      </c>
      <c r="EZ531" s="0"/>
      <c r="FA531" s="4" t="n">
        <v>414481.4</v>
      </c>
      <c r="FB531" s="0" t="n">
        <v>0</v>
      </c>
      <c r="FC531" s="1" t="n">
        <v>41305</v>
      </c>
      <c r="FD531" s="0" t="n">
        <v>2</v>
      </c>
      <c r="FE531" s="0" t="n">
        <v>0</v>
      </c>
      <c r="FF531" s="120" t="n">
        <f aca="false">(CJ531-CI531+1)/365</f>
        <v>4.84383561643836</v>
      </c>
      <c r="FG531" s="0" t="str">
        <f aca="false">CONCATENATE(F531,"/",G531)</f>
        <v>1629/2011</v>
      </c>
      <c r="FH531" s="0" t="n">
        <v>1</v>
      </c>
      <c r="FI531" s="0" t="n">
        <f aca="false">IFERROR(IF((FC531-J531+1)/365&gt;3,0,1),"")</f>
        <v>1</v>
      </c>
    </row>
    <row r="532" customFormat="false" ht="15" hidden="false" customHeight="false" outlineLevel="0" collapsed="false">
      <c r="A532" s="5" t="str">
        <f aca="false">E532&amp;G532&amp;F532</f>
        <v>720111627</v>
      </c>
      <c r="B532" s="0" t="s">
        <v>2737</v>
      </c>
      <c r="C532" s="1" t="n">
        <v>42372</v>
      </c>
      <c r="E532" s="0" t="n">
        <v>7</v>
      </c>
      <c r="F532" s="0" t="n">
        <v>1627</v>
      </c>
      <c r="G532" s="0" t="n">
        <v>2011</v>
      </c>
      <c r="H532" s="0" t="str">
        <f aca="false">"J"&amp;E532&amp;"\"&amp;F532&amp;"\"&amp;G532&amp;"\"&amp;W532</f>
        <v>J7\1627\2011\1</v>
      </c>
      <c r="I532" s="0"/>
      <c r="J532" s="1" t="n">
        <v>40807</v>
      </c>
      <c r="K532" s="0" t="n">
        <v>0</v>
      </c>
      <c r="M532" s="1"/>
      <c r="N532" s="1"/>
      <c r="O532" s="1"/>
      <c r="P532" s="1"/>
      <c r="Q532" s="1"/>
      <c r="T532" s="121"/>
      <c r="U532" s="121"/>
      <c r="V532" s="122" t="n">
        <f aca="false">IF(AND(E532&gt;0,F532&gt;0,G532&gt;0),COUNTIFS($E:$E,E532,$F:$F,F532,$G:$G,G532),"")</f>
        <v>1</v>
      </c>
      <c r="W532" s="122" t="n">
        <f aca="false">IF(V532="","",IF(V532=1,1,IF(AND(E531=E532,F531=F532,G531=G532),W531+1,1)))</f>
        <v>1</v>
      </c>
      <c r="X532" s="0" t="n">
        <v>1</v>
      </c>
      <c r="Y532" s="0" t="n">
        <v>1</v>
      </c>
      <c r="Z532" s="0" t="s">
        <v>4962</v>
      </c>
      <c r="AA532" s="0" t="n">
        <v>0</v>
      </c>
      <c r="AB532" s="0" t="s">
        <v>4963</v>
      </c>
      <c r="AC532" s="0" t="s">
        <v>1611</v>
      </c>
      <c r="AD532" s="0" t="s">
        <v>229</v>
      </c>
      <c r="AE532" s="0" t="n">
        <v>0</v>
      </c>
      <c r="AF532" s="0" t="s">
        <v>2334</v>
      </c>
      <c r="AG532" s="0" t="n">
        <v>0</v>
      </c>
      <c r="AH532" s="0" t="s">
        <v>4964</v>
      </c>
      <c r="AI532" s="0" t="s">
        <v>287</v>
      </c>
      <c r="AJ532" s="0" t="s">
        <v>207</v>
      </c>
      <c r="BR532" s="0" t="n">
        <v>1</v>
      </c>
      <c r="BS532" s="0" t="s">
        <v>4965</v>
      </c>
      <c r="BT532" s="0" t="s">
        <v>4162</v>
      </c>
      <c r="BU532" s="0" t="s">
        <v>4966</v>
      </c>
      <c r="BV532" s="123"/>
      <c r="BW532" s="123"/>
      <c r="BX532" s="123"/>
      <c r="BY532" s="123"/>
      <c r="CA532" s="0" t="s">
        <v>4967</v>
      </c>
      <c r="CD532" s="0" t="s">
        <v>296</v>
      </c>
      <c r="CE532" s="0" t="n">
        <v>0</v>
      </c>
      <c r="CF532" s="0" t="s">
        <v>4968</v>
      </c>
      <c r="CI532" s="1" t="n">
        <v>40576</v>
      </c>
      <c r="CJ532" s="1" t="n">
        <v>40784</v>
      </c>
      <c r="CK532" s="124" t="n">
        <v>0.375</v>
      </c>
      <c r="CL532" s="0" t="s">
        <v>4969</v>
      </c>
      <c r="CM532" s="0" t="n">
        <f aca="false">IF(OR(CI532="",CJ532=""),"",DAYS360(CI532,CJ532)/360)</f>
        <v>0.575</v>
      </c>
      <c r="CN532" s="0" t="n">
        <f aca="false">IF(OR(CI532="",CJ532=""),"",DAYS360(CI532,CJ532)/30)</f>
        <v>6.9</v>
      </c>
      <c r="CO532" s="0" t="n">
        <f aca="false">IF(OR(CI532="",CJ532=""),"",DAYS360(CI532,CJ532)/7)</f>
        <v>29.5714285714286</v>
      </c>
      <c r="CP532" s="0" t="n">
        <f aca="false">IF(OR(CI532="",CJ532=""),"",DAYS360(CI532,CJ532))</f>
        <v>207</v>
      </c>
      <c r="CQ532" s="0" t="s">
        <v>220</v>
      </c>
      <c r="CR532" s="0" t="n">
        <v>1</v>
      </c>
      <c r="CT532" s="0" t="s">
        <v>221</v>
      </c>
      <c r="CU532" s="0" t="s">
        <v>221</v>
      </c>
      <c r="CV532" s="0" t="str">
        <f aca="false">IF(OR(CT532="",CT532="NO ESPECIFICA",CT532="NO MENCIONA"),"",IF(CU532=0,CT532,IF(CU532=1,CT532/30,IF(CU532=2,CT532/15,IF(CU532=3,CT532/7,"")))))</f>
        <v/>
      </c>
      <c r="CW532" s="125" t="n">
        <v>133.33</v>
      </c>
      <c r="CX532" s="0" t="n">
        <v>0</v>
      </c>
      <c r="CY532" s="0" t="n">
        <f aca="false">IF(CW532="","",IF(CX532=0,CW532,IF(CX532=1,CW532/30,IF(CX532=2,CW532/15,IF(CX532=3,CW532/7,CW532)))))</f>
        <v>133.33</v>
      </c>
      <c r="CZ532" s="0" t="n">
        <f aca="false">IF(DI532&gt;0,DI532,IF(CY532&gt;0,CY532,IF(CV532&gt;0,CV532,"")))</f>
        <v>530.178</v>
      </c>
      <c r="DA532" s="0" t="n">
        <f aca="false">IF(DM532=1,CZ532/8,IF(OR(DM532=2,DM532=4),CZ532/7,IF(DM532=3,CZ532/7.5,"")))</f>
        <v>75.7397142857143</v>
      </c>
      <c r="DB532" s="0" t="s">
        <v>4970</v>
      </c>
      <c r="DC532" s="0" t="s">
        <v>771</v>
      </c>
      <c r="DD532" s="0" t="s">
        <v>216</v>
      </c>
      <c r="DE532" s="0" t="s">
        <v>216</v>
      </c>
      <c r="DF532" s="0" t="s">
        <v>216</v>
      </c>
      <c r="DG532" s="0" t="s">
        <v>216</v>
      </c>
      <c r="DH532" s="0" t="n">
        <v>0</v>
      </c>
      <c r="DI532" s="126" t="n">
        <v>530.178</v>
      </c>
      <c r="DK532" s="0" t="n">
        <v>1</v>
      </c>
      <c r="DM532" s="0" t="n">
        <v>2</v>
      </c>
      <c r="DN532" s="0" t="n">
        <v>48</v>
      </c>
      <c r="DO532" s="0" t="n">
        <v>3</v>
      </c>
      <c r="DP532" s="0" t="n">
        <v>1</v>
      </c>
      <c r="DQ532" s="0" t="n">
        <v>0</v>
      </c>
      <c r="DR532" s="0"/>
      <c r="DS532" s="0" t="n">
        <v>1</v>
      </c>
      <c r="DU532" s="0" t="n">
        <v>0</v>
      </c>
      <c r="DW532" s="1" t="n">
        <v>40576</v>
      </c>
      <c r="DX532" s="1" t="n">
        <v>40784</v>
      </c>
      <c r="DZ532" s="0"/>
      <c r="EA532" s="0" t="n">
        <v>1</v>
      </c>
      <c r="EC532" s="1" t="n">
        <v>40576</v>
      </c>
      <c r="ED532" s="1" t="n">
        <v>40784</v>
      </c>
      <c r="EF532" s="0"/>
      <c r="EG532" s="0" t="n">
        <v>1</v>
      </c>
      <c r="EH532" s="0" t="n">
        <v>12</v>
      </c>
      <c r="EI532" s="0" t="n">
        <f aca="false">IF(AND(DM532=1,DN532&lt;=48),"",IF(AND(DM532=2,DN532&lt;=42),"",IF(AND(DM532=3,DN532&lt;=45),"",EH532)))</f>
        <v>12</v>
      </c>
      <c r="EJ532" s="0" t="n">
        <f aca="false">IF(EI532="","",IF(EI532&lt;9,EI532,9))</f>
        <v>9</v>
      </c>
      <c r="EK532" s="0" t="n">
        <f aca="false">IF(EI532="","",IF(EI532&gt;9,EI532-EJ532,0))</f>
        <v>3</v>
      </c>
      <c r="EL532" s="0" t="n">
        <f aca="false">IF(EI532="","",EJ532*DA532*2+EK532*DA532*3)</f>
        <v>2044.97228571429</v>
      </c>
      <c r="EP532" s="0" t="n">
        <v>0</v>
      </c>
      <c r="EQ532" s="0"/>
      <c r="ER532" s="0" t="n">
        <v>0</v>
      </c>
      <c r="ET532" s="0" t="n">
        <v>0</v>
      </c>
      <c r="EV532" s="0" t="n">
        <v>0</v>
      </c>
      <c r="EX532" s="0" t="n">
        <v>1</v>
      </c>
      <c r="EY532" s="0" t="n">
        <v>0</v>
      </c>
      <c r="EZ532" s="0"/>
      <c r="FA532" s="4" t="n">
        <v>44534.952</v>
      </c>
      <c r="FB532" s="0" t="n">
        <v>0</v>
      </c>
      <c r="FC532" s="1" t="n">
        <v>40988</v>
      </c>
      <c r="FD532" s="0" t="n">
        <v>1</v>
      </c>
      <c r="FE532" s="0" t="n">
        <v>13000</v>
      </c>
      <c r="FF532" s="120" t="n">
        <f aca="false">(CJ532-CI532+1)/365</f>
        <v>0.572602739726027</v>
      </c>
      <c r="FG532" s="0" t="str">
        <f aca="false">CONCATENATE(F532,"/",G532)</f>
        <v>1627/2011</v>
      </c>
      <c r="FH532" s="0" t="n">
        <v>1</v>
      </c>
      <c r="FI532" s="0" t="n">
        <f aca="false">IFERROR(IF((FC532-J532+1)/365&gt;3,0,1),"")</f>
        <v>1</v>
      </c>
    </row>
    <row r="533" customFormat="false" ht="15" hidden="false" customHeight="false" outlineLevel="0" collapsed="false">
      <c r="A533" s="5" t="str">
        <f aca="false">E533&amp;G533&amp;F533</f>
        <v>720111625</v>
      </c>
      <c r="B533" s="0" t="s">
        <v>2737</v>
      </c>
      <c r="C533" s="1" t="n">
        <v>42372</v>
      </c>
      <c r="E533" s="0" t="n">
        <v>7</v>
      </c>
      <c r="F533" s="0" t="n">
        <v>1625</v>
      </c>
      <c r="G533" s="0" t="n">
        <v>2011</v>
      </c>
      <c r="H533" s="0" t="str">
        <f aca="false">"J"&amp;E533&amp;"\"&amp;F533&amp;"\"&amp;G533&amp;"\"&amp;W533</f>
        <v>J7\1625\2011\1</v>
      </c>
      <c r="I533" s="0"/>
      <c r="J533" s="1" t="n">
        <v>40807</v>
      </c>
      <c r="K533" s="0" t="n">
        <v>0</v>
      </c>
      <c r="M533" s="1"/>
      <c r="N533" s="1"/>
      <c r="O533" s="1"/>
      <c r="P533" s="1"/>
      <c r="Q533" s="1"/>
      <c r="T533" s="121"/>
      <c r="U533" s="121"/>
      <c r="V533" s="122" t="n">
        <f aca="false">IF(AND(E533&gt;0,F533&gt;0,G533&gt;0),COUNTIFS($E:$E,E533,$F:$F,F533,$G:$G,G533),"")</f>
        <v>1</v>
      </c>
      <c r="W533" s="122" t="n">
        <f aca="false">IF(V533="","",IF(V533=1,1,IF(AND(E532=E533,F532=F533,G532=G533),W532+1,1)))</f>
        <v>1</v>
      </c>
      <c r="X533" s="0" t="n">
        <v>1</v>
      </c>
      <c r="Y533" s="0" t="n">
        <v>4</v>
      </c>
      <c r="Z533" s="0" t="s">
        <v>4971</v>
      </c>
      <c r="AA533" s="0" t="n">
        <v>0</v>
      </c>
      <c r="AB533" s="0" t="s">
        <v>1802</v>
      </c>
      <c r="AC533" s="0" t="s">
        <v>1661</v>
      </c>
      <c r="AE533" s="0" t="n">
        <v>0</v>
      </c>
      <c r="AF533" s="0" t="s">
        <v>4972</v>
      </c>
      <c r="AG533" s="0" t="n">
        <v>0</v>
      </c>
      <c r="AH533" s="0" t="s">
        <v>4973</v>
      </c>
      <c r="AI533" s="0" t="s">
        <v>1591</v>
      </c>
      <c r="AJ533" s="0" t="s">
        <v>352</v>
      </c>
      <c r="AL533" s="0" t="s">
        <v>4974</v>
      </c>
      <c r="AM533" s="0" t="n">
        <v>0</v>
      </c>
      <c r="AN533" s="0" t="s">
        <v>4973</v>
      </c>
      <c r="AO533" s="0" t="s">
        <v>1591</v>
      </c>
      <c r="AP533" s="0" t="s">
        <v>352</v>
      </c>
      <c r="AR533" s="0" t="s">
        <v>4975</v>
      </c>
      <c r="AS533" s="0" t="n">
        <v>1</v>
      </c>
      <c r="AT533" s="0" t="s">
        <v>4973</v>
      </c>
      <c r="AU533" s="0" t="s">
        <v>1591</v>
      </c>
      <c r="AV533" s="0" t="s">
        <v>352</v>
      </c>
      <c r="AX533" s="0" t="s">
        <v>4976</v>
      </c>
      <c r="AY533" s="0" t="n">
        <v>1</v>
      </c>
      <c r="AZ533" s="0" t="s">
        <v>4973</v>
      </c>
      <c r="BA533" s="0" t="s">
        <v>1591</v>
      </c>
      <c r="BB533" s="0" t="s">
        <v>352</v>
      </c>
      <c r="BR533" s="0" t="n">
        <v>1</v>
      </c>
      <c r="BS533" s="0" t="s">
        <v>1273</v>
      </c>
      <c r="BT533" s="0" t="s">
        <v>1809</v>
      </c>
      <c r="BU533" s="0" t="s">
        <v>1209</v>
      </c>
      <c r="BV533" s="123"/>
      <c r="BW533" s="123"/>
      <c r="BX533" s="123"/>
      <c r="BY533" s="123"/>
      <c r="CA533" s="0" t="s">
        <v>216</v>
      </c>
      <c r="CD533" s="0" t="s">
        <v>216</v>
      </c>
      <c r="CE533" s="0" t="n">
        <v>0</v>
      </c>
      <c r="CF533" s="0" t="s">
        <v>4977</v>
      </c>
      <c r="CI533" s="1" t="n">
        <v>39873</v>
      </c>
      <c r="CJ533" s="1" t="n">
        <v>40806</v>
      </c>
      <c r="CK533" s="124" t="n">
        <v>0.5</v>
      </c>
      <c r="CL533" s="0" t="s">
        <v>4976</v>
      </c>
      <c r="CM533" s="0" t="n">
        <f aca="false">IF(OR(CI533="",CJ533=""),"",DAYS360(CI533,CJ533)/360)</f>
        <v>2.55277777777778</v>
      </c>
      <c r="CN533" s="0" t="n">
        <f aca="false">IF(OR(CI533="",CJ533=""),"",DAYS360(CI533,CJ533)/30)</f>
        <v>30.6333333333333</v>
      </c>
      <c r="CO533" s="0" t="n">
        <f aca="false">IF(OR(CI533="",CJ533=""),"",DAYS360(CI533,CJ533)/7)</f>
        <v>131.285714285714</v>
      </c>
      <c r="CP533" s="0" t="n">
        <f aca="false">IF(OR(CI533="",CJ533=""),"",DAYS360(CI533,CJ533))</f>
        <v>919</v>
      </c>
      <c r="CQ533" s="0" t="s">
        <v>240</v>
      </c>
      <c r="CR533" s="0" t="n">
        <v>1</v>
      </c>
      <c r="CT533" s="0" t="s">
        <v>221</v>
      </c>
      <c r="CU533" s="0" t="s">
        <v>221</v>
      </c>
      <c r="CV533" s="0" t="str">
        <f aca="false">IF(OR(CT533="",CT533="NO ESPECIFICA",CT533="NO MENCIONA"),"",IF(CU533=0,CT533,IF(CU533=1,CT533/30,IF(CU533=2,CT533/15,IF(CU533=3,CT533/7,"")))))</f>
        <v/>
      </c>
      <c r="CW533" s="125" t="n">
        <v>20000</v>
      </c>
      <c r="CX533" s="0" t="n">
        <v>1</v>
      </c>
      <c r="CY533" s="0" t="n">
        <f aca="false">IF(CW533="","",IF(CX533=0,CW533,IF(CX533=1,CW533/30,IF(CX533=2,CW533/15,IF(CX533=3,CW533/7,CW533)))))</f>
        <v>666.666666666667</v>
      </c>
      <c r="CZ533" s="0" t="n">
        <f aca="false">IF(DI533&gt;0,DI533,IF(CY533&gt;0,CY533,IF(CV533&gt;0,CV533,"")))</f>
        <v>666.666666666667</v>
      </c>
      <c r="DA533" s="0" t="n">
        <f aca="false">IF(DM533=1,CZ533/8,IF(OR(DM533=2,DM533=4),CZ533/7,IF(DM533=3,CZ533/7.5,"")))</f>
        <v>83.3333333333333</v>
      </c>
      <c r="DB533" s="0" t="s">
        <v>216</v>
      </c>
      <c r="DC533" s="0" t="s">
        <v>216</v>
      </c>
      <c r="DD533" s="0" t="s">
        <v>216</v>
      </c>
      <c r="DE533" s="0" t="s">
        <v>216</v>
      </c>
      <c r="DF533" s="0" t="s">
        <v>216</v>
      </c>
      <c r="DG533" s="0" t="s">
        <v>216</v>
      </c>
      <c r="DH533" s="0" t="n">
        <v>0</v>
      </c>
      <c r="DI533" s="126" t="n">
        <v>666.666666666667</v>
      </c>
      <c r="DK533" s="0" t="n">
        <v>1</v>
      </c>
      <c r="DM533" s="0" t="n">
        <v>1</v>
      </c>
      <c r="DN533" s="0" t="n">
        <v>72</v>
      </c>
      <c r="DO533" s="0" t="n">
        <v>3</v>
      </c>
      <c r="DP533" s="0" t="n">
        <v>0</v>
      </c>
      <c r="DQ533" s="0" t="n">
        <v>1</v>
      </c>
      <c r="DR533" s="0"/>
      <c r="DS533" s="0" t="n">
        <v>1</v>
      </c>
      <c r="DU533" s="0" t="n">
        <v>1</v>
      </c>
      <c r="DW533" s="1" t="n">
        <v>39873</v>
      </c>
      <c r="DX533" s="1" t="n">
        <v>40806</v>
      </c>
      <c r="DZ533" s="0"/>
      <c r="EA533" s="0" t="n">
        <v>1</v>
      </c>
      <c r="EC533" s="1" t="n">
        <v>39873</v>
      </c>
      <c r="ED533" s="1" t="n">
        <v>40806</v>
      </c>
      <c r="EF533" s="0"/>
      <c r="EG533" s="0" t="n">
        <v>1</v>
      </c>
      <c r="EH533" s="0" t="n">
        <v>18</v>
      </c>
      <c r="EI533" s="0" t="n">
        <f aca="false">IF(AND(DM533=1,DN533&lt;=48),"",IF(AND(DM533=2,DN533&lt;=42),"",IF(AND(DM533=3,DN533&lt;=45),"",EH533)))</f>
        <v>18</v>
      </c>
      <c r="EJ533" s="0" t="n">
        <f aca="false">IF(EI533="","",IF(EI533&lt;9,EI533,9))</f>
        <v>9</v>
      </c>
      <c r="EK533" s="0" t="n">
        <f aca="false">IF(EI533="","",IF(EI533&gt;9,EI533-EJ533,0))</f>
        <v>9</v>
      </c>
      <c r="EL533" s="0" t="n">
        <f aca="false">IF(EI533="","",EJ533*DA533*2+EK533*DA533*3)</f>
        <v>3750</v>
      </c>
      <c r="EP533" s="0" t="n">
        <v>0</v>
      </c>
      <c r="EQ533" s="0"/>
      <c r="ER533" s="0" t="n">
        <v>1</v>
      </c>
      <c r="ET533" s="0" t="n">
        <v>1</v>
      </c>
      <c r="EV533" s="0" t="n">
        <v>1</v>
      </c>
      <c r="EX533" s="0" t="n">
        <v>0</v>
      </c>
      <c r="EY533" s="0" t="n">
        <v>0</v>
      </c>
      <c r="EZ533" s="0"/>
      <c r="FA533" s="4" t="n">
        <v>61333.3333333333</v>
      </c>
      <c r="FB533" s="0" t="n">
        <v>1</v>
      </c>
      <c r="FC533" s="1" t="n">
        <v>41096</v>
      </c>
      <c r="FD533" s="0" t="n">
        <v>2</v>
      </c>
      <c r="FE533" s="0" t="n">
        <v>0</v>
      </c>
      <c r="FF533" s="120" t="n">
        <f aca="false">(CJ533-CI533+1)/365</f>
        <v>2.55890410958904</v>
      </c>
      <c r="FG533" s="0" t="str">
        <f aca="false">CONCATENATE(F533,"/",G533)</f>
        <v>1625/2011</v>
      </c>
      <c r="FH533" s="0" t="n">
        <v>1</v>
      </c>
      <c r="FI533" s="0" t="n">
        <f aca="false">IFERROR(IF((FC533-J533+1)/365&gt;3,0,1),"")</f>
        <v>1</v>
      </c>
    </row>
    <row r="534" customFormat="false" ht="15" hidden="false" customHeight="false" outlineLevel="0" collapsed="false">
      <c r="A534" s="5" t="str">
        <f aca="false">E534&amp;G534&amp;F534</f>
        <v>720111615</v>
      </c>
      <c r="B534" s="0" t="s">
        <v>2737</v>
      </c>
      <c r="C534" s="1" t="n">
        <v>42372</v>
      </c>
      <c r="E534" s="0" t="n">
        <v>7</v>
      </c>
      <c r="F534" s="0" t="n">
        <v>1615</v>
      </c>
      <c r="G534" s="0" t="n">
        <v>2011</v>
      </c>
      <c r="H534" s="0" t="str">
        <f aca="false">"J"&amp;E534&amp;"\"&amp;F534&amp;"\"&amp;G534&amp;"\"&amp;W534</f>
        <v>J7\1615\2011\1</v>
      </c>
      <c r="I534" s="0"/>
      <c r="J534" s="1" t="n">
        <v>40806</v>
      </c>
      <c r="K534" s="0" t="n">
        <v>0</v>
      </c>
      <c r="M534" s="1" t="n">
        <v>40806</v>
      </c>
      <c r="N534" s="1" t="n">
        <v>41046</v>
      </c>
      <c r="O534" s="1"/>
      <c r="P534" s="1"/>
      <c r="Q534" s="1"/>
      <c r="T534" s="121"/>
      <c r="U534" s="121"/>
      <c r="V534" s="122" t="n">
        <f aca="false">IF(AND(E534&gt;0,F534&gt;0,G534&gt;0),COUNTIFS($E:$E,E534,$F:$F,F534,$G:$G,G534),"")</f>
        <v>1</v>
      </c>
      <c r="W534" s="122" t="n">
        <f aca="false">IF(V534="","",IF(V534=1,1,IF(AND(E533=E534,F533=F534,G533=G534),W533+1,1)))</f>
        <v>1</v>
      </c>
      <c r="X534" s="0" t="n">
        <v>1</v>
      </c>
      <c r="Y534" s="0" t="n">
        <v>7</v>
      </c>
      <c r="Z534" s="0" t="s">
        <v>4978</v>
      </c>
      <c r="AA534" s="0" t="n">
        <v>0</v>
      </c>
      <c r="AB534" s="0" t="s">
        <v>4979</v>
      </c>
      <c r="AC534" s="0" t="s">
        <v>318</v>
      </c>
      <c r="AE534" s="0" t="n">
        <v>0</v>
      </c>
      <c r="AF534" s="0" t="s">
        <v>4980</v>
      </c>
      <c r="AG534" s="0" t="n">
        <v>0</v>
      </c>
      <c r="AH534" s="0" t="s">
        <v>4981</v>
      </c>
      <c r="AI534" s="0" t="s">
        <v>206</v>
      </c>
      <c r="AJ534" s="0" t="s">
        <v>207</v>
      </c>
      <c r="AL534" s="0" t="s">
        <v>4982</v>
      </c>
      <c r="AM534" s="0" t="n">
        <v>1</v>
      </c>
      <c r="AN534" s="0" t="s">
        <v>4981</v>
      </c>
      <c r="AO534" s="0" t="s">
        <v>206</v>
      </c>
      <c r="AP534" s="0" t="s">
        <v>207</v>
      </c>
      <c r="AR534" s="0" t="s">
        <v>4983</v>
      </c>
      <c r="AS534" s="0" t="n">
        <v>1</v>
      </c>
      <c r="AT534" s="0" t="s">
        <v>4981</v>
      </c>
      <c r="AU534" s="0" t="s">
        <v>206</v>
      </c>
      <c r="AV534" s="0" t="s">
        <v>207</v>
      </c>
      <c r="AX534" s="0" t="s">
        <v>4984</v>
      </c>
      <c r="AY534" s="0" t="n">
        <v>1</v>
      </c>
      <c r="AZ534" s="0" t="s">
        <v>4981</v>
      </c>
      <c r="BA534" s="0" t="s">
        <v>206</v>
      </c>
      <c r="BB534" s="0" t="s">
        <v>207</v>
      </c>
      <c r="BD534" s="0" t="s">
        <v>4985</v>
      </c>
      <c r="BE534" s="0" t="n">
        <v>1</v>
      </c>
      <c r="BF534" s="0" t="s">
        <v>4981</v>
      </c>
      <c r="BG534" s="0" t="s">
        <v>206</v>
      </c>
      <c r="BH534" s="0" t="s">
        <v>207</v>
      </c>
      <c r="BJ534" s="0" t="s">
        <v>1637</v>
      </c>
      <c r="BK534" s="0" t="n">
        <v>1</v>
      </c>
      <c r="BL534" s="0" t="s">
        <v>4981</v>
      </c>
      <c r="BM534" s="0" t="s">
        <v>206</v>
      </c>
      <c r="BN534" s="0" t="s">
        <v>207</v>
      </c>
      <c r="BR534" s="0" t="n">
        <v>1</v>
      </c>
      <c r="BS534" s="0" t="s">
        <v>4537</v>
      </c>
      <c r="BT534" s="0" t="s">
        <v>4538</v>
      </c>
      <c r="BU534" s="0" t="s">
        <v>4539</v>
      </c>
      <c r="BV534" s="123"/>
      <c r="BW534" s="123"/>
      <c r="BX534" s="123"/>
      <c r="BY534" s="123"/>
      <c r="CA534" s="0" t="s">
        <v>4540</v>
      </c>
      <c r="CD534" s="0" t="s">
        <v>216</v>
      </c>
      <c r="CE534" s="0" t="n">
        <v>0</v>
      </c>
      <c r="CF534" s="0" t="s">
        <v>1873</v>
      </c>
      <c r="CI534" s="1" t="n">
        <v>33974</v>
      </c>
      <c r="CJ534" s="1" t="n">
        <v>40765</v>
      </c>
      <c r="CK534" s="124" t="n">
        <v>0.381944444444444</v>
      </c>
      <c r="CL534" s="0" t="s">
        <v>4982</v>
      </c>
      <c r="CM534" s="0" t="n">
        <f aca="false">IF(OR(CI534="",CJ534=""),"",DAYS360(CI534,CJ534)/360)</f>
        <v>18.5972222222222</v>
      </c>
      <c r="CN534" s="0" t="n">
        <f aca="false">IF(OR(CI534="",CJ534=""),"",DAYS360(CI534,CJ534)/30)</f>
        <v>223.166666666667</v>
      </c>
      <c r="CO534" s="0" t="n">
        <f aca="false">IF(OR(CI534="",CJ534=""),"",DAYS360(CI534,CJ534)/7)</f>
        <v>956.428571428572</v>
      </c>
      <c r="CP534" s="0" t="n">
        <f aca="false">IF(OR(CI534="",CJ534=""),"",DAYS360(CI534,CJ534))</f>
        <v>6695</v>
      </c>
      <c r="CQ534" s="0" t="s">
        <v>220</v>
      </c>
      <c r="CR534" s="0" t="n">
        <v>1</v>
      </c>
      <c r="CT534" s="0" t="n">
        <v>2000</v>
      </c>
      <c r="CU534" s="0" t="n">
        <v>2</v>
      </c>
      <c r="CV534" s="0" t="n">
        <f aca="false">IF(OR(CT534="",CT534="NO ESPECIFICA",CT534="NO MENCIONA"),"",IF(CU534=0,CT534,IF(CU534=1,CT534/30,IF(CU534=2,CT534/15,IF(CU534=3,CT534/7,"")))))</f>
        <v>133.333333333333</v>
      </c>
      <c r="CW534" s="125" t="n">
        <v>166.65</v>
      </c>
      <c r="CX534" s="0" t="n">
        <v>0</v>
      </c>
      <c r="CY534" s="0" t="n">
        <f aca="false">IF(CW534="","",IF(CX534=0,CW534,IF(CX534=1,CW534/30,IF(CX534=2,CW534/15,IF(CX534=3,CW534/7,CW534)))))</f>
        <v>166.65</v>
      </c>
      <c r="CZ534" s="0" t="n">
        <f aca="false">IF(DI534&gt;0,DI534,IF(CY534&gt;0,CY534,IF(CV534&gt;0,CV534,"")))</f>
        <v>166.65</v>
      </c>
      <c r="DA534" s="0" t="n">
        <f aca="false">IF(DM534=1,CZ534/8,IF(OR(DM534=2,DM534=4),CZ534/7,IF(DM534=3,CZ534/7.5,"")))</f>
        <v>20.83125</v>
      </c>
      <c r="DB534" s="0" t="s">
        <v>1842</v>
      </c>
      <c r="DC534" s="0" t="s">
        <v>2471</v>
      </c>
      <c r="DD534" s="0" t="s">
        <v>216</v>
      </c>
      <c r="DE534" s="0" t="s">
        <v>216</v>
      </c>
      <c r="DF534" s="0" t="s">
        <v>216</v>
      </c>
      <c r="DG534" s="0" t="s">
        <v>216</v>
      </c>
      <c r="DH534" s="0" t="n">
        <v>0</v>
      </c>
      <c r="DI534" s="126" t="n">
        <v>166.65</v>
      </c>
      <c r="DK534" s="0" t="n">
        <v>1</v>
      </c>
      <c r="DM534" s="0" t="n">
        <v>1</v>
      </c>
      <c r="DN534" s="0" t="n">
        <v>60</v>
      </c>
      <c r="DO534" s="0" t="n">
        <v>3</v>
      </c>
      <c r="DP534" s="0" t="n">
        <v>1</v>
      </c>
      <c r="DQ534" s="0" t="n">
        <v>0</v>
      </c>
      <c r="DR534" s="0"/>
      <c r="DS534" s="0" t="n">
        <v>1</v>
      </c>
      <c r="DU534" s="0" t="n">
        <v>0</v>
      </c>
      <c r="DW534" s="1" t="n">
        <v>40183</v>
      </c>
      <c r="DX534" s="1" t="n">
        <v>40548</v>
      </c>
      <c r="DZ534" s="0"/>
      <c r="EA534" s="0" t="n">
        <v>1</v>
      </c>
      <c r="EC534" s="1" t="n">
        <v>40179</v>
      </c>
      <c r="ED534" s="1" t="n">
        <v>40543</v>
      </c>
      <c r="EF534" s="0"/>
      <c r="EG534" s="0" t="n">
        <v>1</v>
      </c>
      <c r="EH534" s="0" t="n">
        <v>12</v>
      </c>
      <c r="EI534" s="0" t="n">
        <f aca="false">IF(AND(DM534=1,DN534&lt;=48),"",IF(AND(DM534=2,DN534&lt;=42),"",IF(AND(DM534=3,DN534&lt;=45),"",EH534)))</f>
        <v>12</v>
      </c>
      <c r="EJ534" s="0" t="n">
        <f aca="false">IF(EI534="","",IF(EI534&lt;9,EI534,9))</f>
        <v>9</v>
      </c>
      <c r="EK534" s="0" t="n">
        <f aca="false">IF(EI534="","",IF(EI534&gt;9,EI534-EJ534,0))</f>
        <v>3</v>
      </c>
      <c r="EL534" s="0" t="n">
        <f aca="false">IF(EI534="","",EJ534*DA534*2+EK534*DA534*3)</f>
        <v>562.44375</v>
      </c>
      <c r="EP534" s="0" t="n">
        <v>0</v>
      </c>
      <c r="EQ534" s="0"/>
      <c r="ER534" s="0" t="n">
        <v>0</v>
      </c>
      <c r="ET534" s="0" t="n">
        <v>1</v>
      </c>
      <c r="EV534" s="0" t="n">
        <v>1</v>
      </c>
      <c r="EX534" s="0" t="n">
        <v>1</v>
      </c>
      <c r="EY534" s="0" t="n">
        <v>1</v>
      </c>
      <c r="EZ534" s="4" t="n">
        <v>10000</v>
      </c>
      <c r="FA534" s="4" t="n">
        <v>3999.6</v>
      </c>
      <c r="FB534" s="0" t="n">
        <v>1</v>
      </c>
      <c r="FC534" s="1" t="n">
        <v>42031</v>
      </c>
      <c r="FD534" s="0" t="n">
        <v>4</v>
      </c>
      <c r="FE534" s="0" t="n">
        <v>0</v>
      </c>
      <c r="FF534" s="120" t="n">
        <f aca="false">(CJ534-CI534+1)/365</f>
        <v>18.6082191780822</v>
      </c>
      <c r="FG534" s="0" t="str">
        <f aca="false">CONCATENATE(F534,"/",G534)</f>
        <v>1615/2011</v>
      </c>
      <c r="FH534" s="0" t="n">
        <v>1</v>
      </c>
      <c r="FI534" s="0" t="n">
        <f aca="false">IFERROR(IF((FC534-J534+1)/365&gt;3,0,1),"")</f>
        <v>0</v>
      </c>
    </row>
    <row r="535" customFormat="false" ht="15" hidden="false" customHeight="false" outlineLevel="0" collapsed="false">
      <c r="A535" s="5" t="str">
        <f aca="false">E535&amp;G535&amp;F535</f>
        <v>720111707</v>
      </c>
      <c r="B535" s="0" t="s">
        <v>2737</v>
      </c>
      <c r="C535" s="1" t="n">
        <v>42378</v>
      </c>
      <c r="E535" s="0" t="n">
        <v>7</v>
      </c>
      <c r="F535" s="0" t="n">
        <v>1707</v>
      </c>
      <c r="G535" s="0" t="n">
        <v>2011</v>
      </c>
      <c r="H535" s="0" t="str">
        <f aca="false">"J"&amp;E535&amp;"\"&amp;F535&amp;"\"&amp;G535&amp;"\"&amp;W535</f>
        <v>J7\1707\2011\1</v>
      </c>
      <c r="I535" s="0"/>
      <c r="J535" s="1" t="n">
        <v>40820</v>
      </c>
      <c r="K535" s="0" t="n">
        <v>0</v>
      </c>
      <c r="M535" s="1"/>
      <c r="N535" s="1"/>
      <c r="O535" s="1"/>
      <c r="P535" s="1"/>
      <c r="Q535" s="1"/>
      <c r="T535" s="121"/>
      <c r="U535" s="121"/>
      <c r="V535" s="122" t="n">
        <f aca="false">IF(AND(E535&gt;0,F535&gt;0,G535&gt;0),COUNTIFS($E:$E,E535,$F:$F,F535,$G:$G,G535),"")</f>
        <v>1</v>
      </c>
      <c r="W535" s="122" t="n">
        <f aca="false">IF(V535="","",IF(V535=1,1,IF(AND(E534=E535,F534=F535,G534=G535),W534+1,1)))</f>
        <v>1</v>
      </c>
      <c r="X535" s="0" t="n">
        <v>1</v>
      </c>
      <c r="Y535" s="0" t="n">
        <v>3</v>
      </c>
      <c r="Z535" s="0" t="s">
        <v>4986</v>
      </c>
      <c r="AA535" s="0" t="n">
        <v>0</v>
      </c>
      <c r="AB535" s="0" t="s">
        <v>3461</v>
      </c>
      <c r="AC535" s="0" t="s">
        <v>1160</v>
      </c>
      <c r="AD535" s="0" t="s">
        <v>229</v>
      </c>
      <c r="AE535" s="0" t="n">
        <v>0</v>
      </c>
      <c r="AF535" s="0" t="s">
        <v>4987</v>
      </c>
      <c r="AG535" s="0" t="n">
        <v>0</v>
      </c>
      <c r="AH535" s="0" t="s">
        <v>4988</v>
      </c>
      <c r="AI535" s="0" t="s">
        <v>2740</v>
      </c>
      <c r="AJ535" s="0" t="s">
        <v>207</v>
      </c>
      <c r="AL535" s="0" t="s">
        <v>4989</v>
      </c>
      <c r="AM535" s="0" t="n">
        <v>1</v>
      </c>
      <c r="AN535" s="0" t="s">
        <v>4988</v>
      </c>
      <c r="AO535" s="0" t="s">
        <v>2740</v>
      </c>
      <c r="AP535" s="0" t="s">
        <v>207</v>
      </c>
      <c r="AR535" s="0" t="s">
        <v>1637</v>
      </c>
      <c r="AS535" s="0" t="n">
        <v>1</v>
      </c>
      <c r="AT535" s="0" t="s">
        <v>4988</v>
      </c>
      <c r="AU535" s="0" t="s">
        <v>2740</v>
      </c>
      <c r="AV535" s="0" t="s">
        <v>207</v>
      </c>
      <c r="BR535" s="0" t="n">
        <v>1</v>
      </c>
      <c r="BS535" s="0" t="s">
        <v>3466</v>
      </c>
      <c r="BT535" s="0" t="s">
        <v>4184</v>
      </c>
      <c r="BU535" s="0" t="s">
        <v>4185</v>
      </c>
      <c r="BV535" s="123"/>
      <c r="BW535" s="123"/>
      <c r="BX535" s="123"/>
      <c r="BY535" s="123"/>
      <c r="CA535" s="0" t="s">
        <v>216</v>
      </c>
      <c r="CD535" s="0" t="s">
        <v>296</v>
      </c>
      <c r="CE535" s="0" t="n">
        <v>0</v>
      </c>
      <c r="CF535" s="0" t="s">
        <v>611</v>
      </c>
      <c r="CI535" s="1" t="n">
        <v>40336</v>
      </c>
      <c r="CJ535" s="1" t="n">
        <v>40815</v>
      </c>
      <c r="CK535" s="124" t="n">
        <v>0.333333333333333</v>
      </c>
      <c r="CL535" s="0" t="s">
        <v>4989</v>
      </c>
      <c r="CM535" s="0" t="n">
        <f aca="false">IF(OR(CI535="",CJ535=""),"",DAYS360(CI535,CJ535)/360)</f>
        <v>1.31111111111111</v>
      </c>
      <c r="CN535" s="0" t="n">
        <f aca="false">IF(OR(CI535="",CJ535=""),"",DAYS360(CI535,CJ535)/30)</f>
        <v>15.7333333333333</v>
      </c>
      <c r="CO535" s="0" t="n">
        <f aca="false">IF(OR(CI535="",CJ535=""),"",DAYS360(CI535,CJ535)/7)</f>
        <v>67.4285714285714</v>
      </c>
      <c r="CP535" s="0" t="n">
        <f aca="false">IF(OR(CI535="",CJ535=""),"",DAYS360(CI535,CJ535))</f>
        <v>472</v>
      </c>
      <c r="CQ535" s="0" t="s">
        <v>240</v>
      </c>
      <c r="CR535" s="0" t="n">
        <v>1</v>
      </c>
      <c r="CT535" s="0" t="n">
        <v>116.66</v>
      </c>
      <c r="CU535" s="0" t="n">
        <v>0</v>
      </c>
      <c r="CV535" s="0" t="n">
        <f aca="false">IF(OR(CT535="",CT535="NO ESPECIFICA",CT535="NO MENCIONA"),"",IF(CU535=0,CT535,IF(CU535=1,CT535/30,IF(CU535=2,CT535/15,IF(CU535=3,CT535/7,"")))))</f>
        <v>116.66</v>
      </c>
      <c r="CW535" s="125" t="s">
        <v>216</v>
      </c>
      <c r="CX535" s="0" t="s">
        <v>216</v>
      </c>
      <c r="CY535" s="0" t="str">
        <f aca="false">IF(CW535="","",IF(CX535=0,CW535,IF(CX535=1,CW535/30,IF(CX535=2,CW535/15,IF(CX535=3,CW535/7,CW535)))))</f>
        <v>NO MENCIONA</v>
      </c>
      <c r="CZ535" s="0" t="n">
        <f aca="false">IF(DI535&gt;0,DI535,IF(CY535&gt;0,CY535,IF(CV535&gt;0,CV535,"")))</f>
        <v>116.66</v>
      </c>
      <c r="DA535" s="0" t="n">
        <f aca="false">IF(DM535=1,CZ535/8,IF(OR(DM535=2,DM535=4),CZ535/7,IF(DM535=3,CZ535/7.5,"")))</f>
        <v>14.5825</v>
      </c>
      <c r="DB535" s="0" t="s">
        <v>216</v>
      </c>
      <c r="DC535" s="0" t="s">
        <v>216</v>
      </c>
      <c r="DD535" s="0" t="s">
        <v>216</v>
      </c>
      <c r="DE535" s="0" t="s">
        <v>216</v>
      </c>
      <c r="DF535" s="0" t="s">
        <v>216</v>
      </c>
      <c r="DG535" s="0" t="s">
        <v>216</v>
      </c>
      <c r="DH535" s="0" t="n">
        <v>0</v>
      </c>
      <c r="DI535" s="126" t="n">
        <v>116.66</v>
      </c>
      <c r="DK535" s="0" t="n">
        <v>1</v>
      </c>
      <c r="DM535" s="0" t="n">
        <v>1</v>
      </c>
      <c r="DN535" s="0" t="n">
        <v>45</v>
      </c>
      <c r="DO535" s="0" t="n">
        <v>3</v>
      </c>
      <c r="DP535" s="0" t="n">
        <v>0</v>
      </c>
      <c r="DQ535" s="0" t="n">
        <v>1</v>
      </c>
      <c r="DR535" s="0"/>
      <c r="DS535" s="0" t="n">
        <v>1</v>
      </c>
      <c r="DU535" s="0" t="n">
        <v>1</v>
      </c>
      <c r="DW535" s="1" t="n">
        <v>40336</v>
      </c>
      <c r="DX535" s="1" t="n">
        <v>40815</v>
      </c>
      <c r="DZ535" s="0"/>
      <c r="EA535" s="0" t="n">
        <v>1</v>
      </c>
      <c r="EC535" s="1" t="n">
        <v>40336</v>
      </c>
      <c r="ED535" s="1" t="n">
        <v>40815</v>
      </c>
      <c r="EF535" s="0"/>
      <c r="EG535" s="0" t="n">
        <v>1</v>
      </c>
      <c r="EH535" s="0" t="n">
        <v>5</v>
      </c>
      <c r="EI535" s="0" t="str">
        <f aca="false">IF(AND(DM535=1,DN535&lt;=48),"",IF(AND(DM535=2,DN535&lt;=42),"",IF(AND(DM535=3,DN535&lt;=45),"",EH535)))</f>
        <v/>
      </c>
      <c r="EJ535" s="0" t="str">
        <f aca="false">IF(EI535="","",IF(EI535&lt;9,EI535,9))</f>
        <v/>
      </c>
      <c r="EK535" s="0" t="str">
        <f aca="false">IF(EI535="","",IF(EI535&gt;9,EI535-EJ535,0))</f>
        <v/>
      </c>
      <c r="EL535" s="0" t="str">
        <f aca="false">IF(EI535="","",EJ535*DA535*2+EK535*DA535*3)</f>
        <v/>
      </c>
      <c r="EP535" s="0" t="n">
        <v>0</v>
      </c>
      <c r="EQ535" s="0"/>
      <c r="ER535" s="0" t="n">
        <v>0</v>
      </c>
      <c r="ET535" s="0" t="n">
        <v>0</v>
      </c>
      <c r="EV535" s="0" t="n">
        <v>0</v>
      </c>
      <c r="EX535" s="0" t="n">
        <v>0</v>
      </c>
      <c r="EY535" s="0" t="n">
        <v>0</v>
      </c>
      <c r="EZ535" s="0"/>
      <c r="FA535" s="4" t="n">
        <v>1633.24</v>
      </c>
      <c r="FB535" s="0" t="n">
        <v>1</v>
      </c>
      <c r="FC535" s="1" t="n">
        <v>40836</v>
      </c>
      <c r="FD535" s="0" t="n">
        <v>2</v>
      </c>
      <c r="FE535" s="0" t="n">
        <v>0</v>
      </c>
      <c r="FF535" s="120" t="n">
        <f aca="false">(CJ535-CI535+1)/365</f>
        <v>1.31506849315068</v>
      </c>
      <c r="FG535" s="0" t="str">
        <f aca="false">CONCATENATE(F535,"/",G535)</f>
        <v>1707/2011</v>
      </c>
      <c r="FH535" s="0" t="n">
        <v>1</v>
      </c>
      <c r="FI535" s="0" t="n">
        <f aca="false">IFERROR(IF((FC535-J535+1)/365&gt;3,0,1),"")</f>
        <v>1</v>
      </c>
    </row>
    <row r="536" customFormat="false" ht="15" hidden="false" customHeight="false" outlineLevel="0" collapsed="false">
      <c r="A536" s="5" t="str">
        <f aca="false">E536&amp;G536&amp;F536</f>
        <v>720111701</v>
      </c>
      <c r="B536" s="0" t="s">
        <v>2737</v>
      </c>
      <c r="C536" s="1" t="n">
        <v>42378</v>
      </c>
      <c r="E536" s="0" t="n">
        <v>7</v>
      </c>
      <c r="F536" s="0" t="n">
        <v>1701</v>
      </c>
      <c r="G536" s="0" t="n">
        <v>2011</v>
      </c>
      <c r="H536" s="0" t="str">
        <f aca="false">"J"&amp;E536&amp;"\"&amp;F536&amp;"\"&amp;G536&amp;"\"&amp;W536</f>
        <v>J7\1701\2011\1</v>
      </c>
      <c r="I536" s="0"/>
      <c r="J536" s="1" t="n">
        <v>40819</v>
      </c>
      <c r="K536" s="0" t="n">
        <v>0</v>
      </c>
      <c r="M536" s="1"/>
      <c r="N536" s="1"/>
      <c r="O536" s="1"/>
      <c r="P536" s="1"/>
      <c r="Q536" s="1"/>
      <c r="T536" s="121"/>
      <c r="U536" s="121"/>
      <c r="V536" s="122" t="n">
        <f aca="false">IF(AND(E536&gt;0,F536&gt;0,G536&gt;0),COUNTIFS($E:$E,E536,$F:$F,F536,$G:$G,G536),"")</f>
        <v>1</v>
      </c>
      <c r="W536" s="122" t="n">
        <f aca="false">IF(V536="","",IF(V536=1,1,IF(AND(E535=E536,F535=F536,G535=G536),W535+1,1)))</f>
        <v>1</v>
      </c>
      <c r="X536" s="0" t="n">
        <v>1</v>
      </c>
      <c r="Y536" s="0" t="n">
        <v>5</v>
      </c>
      <c r="Z536" s="0" t="s">
        <v>4990</v>
      </c>
      <c r="AA536" s="0" t="n">
        <v>0</v>
      </c>
      <c r="AB536" s="0" t="s">
        <v>702</v>
      </c>
      <c r="AE536" s="0" t="n">
        <v>0</v>
      </c>
      <c r="AF536" s="0" t="s">
        <v>4991</v>
      </c>
      <c r="AG536" s="0" t="n">
        <v>0</v>
      </c>
      <c r="AH536" s="0" t="s">
        <v>4992</v>
      </c>
      <c r="AI536" s="0" t="s">
        <v>4993</v>
      </c>
      <c r="AJ536" s="0" t="s">
        <v>590</v>
      </c>
      <c r="AL536" s="0" t="s">
        <v>4994</v>
      </c>
      <c r="AM536" s="0" t="n">
        <v>0</v>
      </c>
      <c r="AN536" s="0" t="s">
        <v>4992</v>
      </c>
      <c r="AO536" s="0" t="s">
        <v>4993</v>
      </c>
      <c r="AP536" s="0" t="s">
        <v>590</v>
      </c>
      <c r="AR536" s="0" t="s">
        <v>4995</v>
      </c>
      <c r="AS536" s="0" t="n">
        <v>1</v>
      </c>
      <c r="AT536" s="0" t="s">
        <v>4992</v>
      </c>
      <c r="AU536" s="0" t="s">
        <v>4993</v>
      </c>
      <c r="AV536" s="0" t="s">
        <v>590</v>
      </c>
      <c r="AX536" s="0" t="s">
        <v>4996</v>
      </c>
      <c r="AY536" s="0" t="n">
        <v>1</v>
      </c>
      <c r="AZ536" s="0" t="s">
        <v>4992</v>
      </c>
      <c r="BA536" s="0" t="s">
        <v>4993</v>
      </c>
      <c r="BB536" s="0" t="s">
        <v>590</v>
      </c>
      <c r="BD536" s="0" t="s">
        <v>1637</v>
      </c>
      <c r="BE536" s="0" t="n">
        <v>1</v>
      </c>
      <c r="BF536" s="0" t="s">
        <v>4992</v>
      </c>
      <c r="BG536" s="0" t="s">
        <v>4993</v>
      </c>
      <c r="BH536" s="0" t="s">
        <v>590</v>
      </c>
      <c r="BR536" s="0" t="n">
        <v>1</v>
      </c>
      <c r="BS536" s="0" t="s">
        <v>4997</v>
      </c>
      <c r="BV536" s="123"/>
      <c r="BW536" s="123"/>
      <c r="BX536" s="123"/>
      <c r="BY536" s="123"/>
      <c r="CA536" s="0" t="s">
        <v>216</v>
      </c>
      <c r="CD536" s="0" t="s">
        <v>556</v>
      </c>
      <c r="CE536" s="0" t="n">
        <v>0</v>
      </c>
      <c r="CF536" s="0" t="s">
        <v>4998</v>
      </c>
      <c r="CI536" s="1" t="n">
        <v>37322</v>
      </c>
      <c r="CJ536" s="1" t="n">
        <v>40770</v>
      </c>
      <c r="CK536" s="124" t="n">
        <v>0.333333333333333</v>
      </c>
      <c r="CL536" s="0" t="s">
        <v>4995</v>
      </c>
      <c r="CM536" s="0" t="n">
        <f aca="false">IF(OR(CI536="",CJ536=""),"",DAYS360(CI536,CJ536)/360)</f>
        <v>9.43888888888889</v>
      </c>
      <c r="CN536" s="0" t="n">
        <f aca="false">IF(OR(CI536="",CJ536=""),"",DAYS360(CI536,CJ536)/30)</f>
        <v>113.266666666667</v>
      </c>
      <c r="CO536" s="0" t="n">
        <f aca="false">IF(OR(CI536="",CJ536=""),"",DAYS360(CI536,CJ536)/7)</f>
        <v>485.428571428571</v>
      </c>
      <c r="CP536" s="0" t="n">
        <f aca="false">IF(OR(CI536="",CJ536=""),"",DAYS360(CI536,CJ536))</f>
        <v>3398</v>
      </c>
      <c r="CQ536" s="0" t="s">
        <v>240</v>
      </c>
      <c r="CR536" s="0" t="n">
        <v>1</v>
      </c>
      <c r="CT536" s="0" t="s">
        <v>221</v>
      </c>
      <c r="CU536" s="0" t="s">
        <v>221</v>
      </c>
      <c r="CV536" s="0" t="str">
        <f aca="false">IF(OR(CT536="",CT536="NO ESPECIFICA",CT536="NO MENCIONA"),"",IF(CU536=0,CT536,IF(CU536=1,CT536/30,IF(CU536=2,CT536/15,IF(CU536=3,CT536/7,"")))))</f>
        <v/>
      </c>
      <c r="CW536" s="125" t="n">
        <v>1010</v>
      </c>
      <c r="CX536" s="0" t="n">
        <v>3</v>
      </c>
      <c r="CY536" s="0" t="n">
        <f aca="false">IF(CW536="","",IF(CX536=0,CW536,IF(CX536=1,CW536/30,IF(CX536=2,CW536/15,IF(CX536=3,CW536/7,CW536)))))</f>
        <v>144.285714285714</v>
      </c>
      <c r="CZ536" s="0" t="n">
        <f aca="false">IF(DI536&gt;0,DI536,IF(CY536&gt;0,CY536,IF(CV536&gt;0,CV536,"")))</f>
        <v>144.285714285714</v>
      </c>
      <c r="DA536" s="0" t="n">
        <f aca="false">IF(DM536=1,CZ536/8,IF(OR(DM536=2,DM536=4),CZ536/7,IF(DM536=3,CZ536/7.5,"")))</f>
        <v>18.0357142857143</v>
      </c>
      <c r="DB536" s="0" t="s">
        <v>216</v>
      </c>
      <c r="DC536" s="0" t="s">
        <v>216</v>
      </c>
      <c r="DD536" s="0" t="s">
        <v>216</v>
      </c>
      <c r="DE536" s="0" t="s">
        <v>216</v>
      </c>
      <c r="DF536" s="0" t="s">
        <v>216</v>
      </c>
      <c r="DG536" s="0" t="s">
        <v>216</v>
      </c>
      <c r="DH536" s="0" t="n">
        <v>0</v>
      </c>
      <c r="DI536" s="126" t="n">
        <v>144.285714285714</v>
      </c>
      <c r="DK536" s="0" t="n">
        <v>0</v>
      </c>
      <c r="DM536" s="0" t="n">
        <v>1</v>
      </c>
      <c r="DN536" s="0" t="n">
        <v>42.5</v>
      </c>
      <c r="DO536" s="0" t="n">
        <v>3</v>
      </c>
      <c r="DP536" s="0" t="n">
        <v>0</v>
      </c>
      <c r="DQ536" s="0" t="n">
        <v>1</v>
      </c>
      <c r="DR536" s="0"/>
      <c r="DS536" s="0" t="n">
        <v>1</v>
      </c>
      <c r="DU536" s="0" t="n">
        <v>1</v>
      </c>
      <c r="DW536" s="1" t="n">
        <v>40244</v>
      </c>
      <c r="DX536" s="1" t="n">
        <v>40770</v>
      </c>
      <c r="DZ536" s="0"/>
      <c r="EA536" s="0" t="n">
        <v>1</v>
      </c>
      <c r="EC536" s="1" t="n">
        <v>40544</v>
      </c>
      <c r="ED536" s="1" t="n">
        <v>40770</v>
      </c>
      <c r="EF536" s="0"/>
      <c r="EG536" s="0" t="n">
        <v>0</v>
      </c>
      <c r="EI536" s="0" t="str">
        <f aca="false">IF(AND(DM536=1,DN536&lt;=48),"",IF(AND(DM536=2,DN536&lt;=42),"",IF(AND(DM536=3,DN536&lt;=45),"",EH536)))</f>
        <v/>
      </c>
      <c r="EJ536" s="0" t="str">
        <f aca="false">IF(EI536="","",IF(EI536&lt;9,EI536,9))</f>
        <v/>
      </c>
      <c r="EK536" s="0" t="str">
        <f aca="false">IF(EI536="","",IF(EI536&gt;9,EI536-EJ536,0))</f>
        <v/>
      </c>
      <c r="EL536" s="0" t="str">
        <f aca="false">IF(EI536="","",EJ536*DA536*2+EK536*DA536*3)</f>
        <v/>
      </c>
      <c r="EP536" s="0" t="n">
        <v>0</v>
      </c>
      <c r="EQ536" s="0"/>
      <c r="ER536" s="0" t="n">
        <v>0</v>
      </c>
      <c r="ET536" s="0" t="n">
        <v>0</v>
      </c>
      <c r="EV536" s="0" t="n">
        <v>0</v>
      </c>
      <c r="EX536" s="0" t="n">
        <v>0</v>
      </c>
      <c r="EY536" s="0" t="n">
        <v>0</v>
      </c>
      <c r="EZ536" s="0"/>
      <c r="FA536" s="4" t="n">
        <v>2020</v>
      </c>
      <c r="FB536" s="0" t="n">
        <v>1</v>
      </c>
      <c r="FC536" s="1" t="n">
        <v>41326</v>
      </c>
      <c r="FD536" s="0" t="n">
        <v>1</v>
      </c>
      <c r="FE536" s="0" t="n">
        <v>17000</v>
      </c>
      <c r="FF536" s="120" t="n">
        <f aca="false">(CJ536-CI536+1)/365</f>
        <v>9.44931506849315</v>
      </c>
      <c r="FG536" s="0" t="str">
        <f aca="false">CONCATENATE(F536,"/",G536)</f>
        <v>1701/2011</v>
      </c>
      <c r="FH536" s="0" t="n">
        <v>1</v>
      </c>
      <c r="FI536" s="0" t="n">
        <f aca="false">IFERROR(IF((FC536-J536+1)/365&gt;3,0,1),"")</f>
        <v>1</v>
      </c>
    </row>
    <row r="537" customFormat="false" ht="15" hidden="false" customHeight="false" outlineLevel="0" collapsed="false">
      <c r="A537" s="5" t="str">
        <f aca="false">E537&amp;G537&amp;F537</f>
        <v>720111699</v>
      </c>
      <c r="B537" s="0" t="s">
        <v>2737</v>
      </c>
      <c r="C537" s="1" t="n">
        <v>42378</v>
      </c>
      <c r="E537" s="0" t="n">
        <v>7</v>
      </c>
      <c r="F537" s="0" t="n">
        <v>1699</v>
      </c>
      <c r="G537" s="0" t="n">
        <v>2011</v>
      </c>
      <c r="H537" s="0" t="str">
        <f aca="false">"J"&amp;E537&amp;"\"&amp;F537&amp;"\"&amp;G537&amp;"\"&amp;W537</f>
        <v>J7\1699\2011\1</v>
      </c>
      <c r="I537" s="0"/>
      <c r="J537" s="1" t="n">
        <v>40819</v>
      </c>
      <c r="K537" s="0" t="n">
        <v>0</v>
      </c>
      <c r="M537" s="1"/>
      <c r="N537" s="1"/>
      <c r="O537" s="1"/>
      <c r="P537" s="1"/>
      <c r="Q537" s="1"/>
      <c r="T537" s="121"/>
      <c r="U537" s="121"/>
      <c r="V537" s="122" t="n">
        <f aca="false">IF(AND(E537&gt;0,F537&gt;0,G537&gt;0),COUNTIFS($E:$E,E537,$F:$F,F537,$G:$G,G537),"")</f>
        <v>1</v>
      </c>
      <c r="W537" s="122" t="n">
        <f aca="false">IF(V537="","",IF(V537=1,1,IF(AND(E536=E537,F536=F537,G536=G537),W536+1,1)))</f>
        <v>1</v>
      </c>
      <c r="X537" s="0" t="n">
        <v>1</v>
      </c>
      <c r="Y537" s="0" t="n">
        <v>8</v>
      </c>
      <c r="Z537" s="0" t="s">
        <v>4999</v>
      </c>
      <c r="AA537" s="0" t="n">
        <v>0</v>
      </c>
      <c r="AB537" s="0" t="s">
        <v>5000</v>
      </c>
      <c r="AC537" s="0" t="s">
        <v>274</v>
      </c>
      <c r="AD537" s="0" t="s">
        <v>229</v>
      </c>
      <c r="AE537" s="0" t="n">
        <v>0</v>
      </c>
      <c r="AF537" s="0" t="s">
        <v>1622</v>
      </c>
      <c r="AG537" s="0" t="n">
        <v>0</v>
      </c>
      <c r="AH537" s="0" t="s">
        <v>5001</v>
      </c>
      <c r="AI537" s="0" t="s">
        <v>728</v>
      </c>
      <c r="AJ537" s="0" t="s">
        <v>352</v>
      </c>
      <c r="AL537" s="0" t="s">
        <v>5002</v>
      </c>
      <c r="AM537" s="0" t="n">
        <v>0</v>
      </c>
      <c r="AN537" s="0" t="s">
        <v>5001</v>
      </c>
      <c r="AO537" s="0" t="s">
        <v>728</v>
      </c>
      <c r="AP537" s="0" t="s">
        <v>352</v>
      </c>
      <c r="AR537" s="0" t="s">
        <v>5003</v>
      </c>
      <c r="AS537" s="0" t="n">
        <v>1</v>
      </c>
      <c r="AT537" s="0" t="s">
        <v>5001</v>
      </c>
      <c r="AU537" s="0" t="s">
        <v>728</v>
      </c>
      <c r="AV537" s="0" t="s">
        <v>352</v>
      </c>
      <c r="AX537" s="0" t="s">
        <v>5004</v>
      </c>
      <c r="AY537" s="0" t="n">
        <v>1</v>
      </c>
      <c r="AZ537" s="0" t="s">
        <v>5001</v>
      </c>
      <c r="BA537" s="0" t="s">
        <v>728</v>
      </c>
      <c r="BB537" s="0" t="s">
        <v>352</v>
      </c>
      <c r="BD537" s="0" t="s">
        <v>5005</v>
      </c>
      <c r="BE537" s="0" t="n">
        <v>1</v>
      </c>
      <c r="BF537" s="0" t="s">
        <v>5001</v>
      </c>
      <c r="BG537" s="0" t="s">
        <v>728</v>
      </c>
      <c r="BH537" s="0" t="s">
        <v>352</v>
      </c>
      <c r="BJ537" s="0" t="s">
        <v>5006</v>
      </c>
      <c r="BK537" s="0" t="n">
        <v>1</v>
      </c>
      <c r="BL537" s="0" t="s">
        <v>5001</v>
      </c>
      <c r="BM537" s="0" t="s">
        <v>728</v>
      </c>
      <c r="BN537" s="0" t="s">
        <v>352</v>
      </c>
      <c r="BR537" s="0" t="n">
        <v>1</v>
      </c>
      <c r="BS537" s="0" t="s">
        <v>3393</v>
      </c>
      <c r="BT537" s="0" t="s">
        <v>3394</v>
      </c>
      <c r="BU537" s="0" t="s">
        <v>5007</v>
      </c>
      <c r="BV537" s="123"/>
      <c r="BW537" s="123"/>
      <c r="BX537" s="123"/>
      <c r="BY537" s="123"/>
      <c r="CA537" s="0" t="s">
        <v>216</v>
      </c>
      <c r="CD537" s="0" t="s">
        <v>296</v>
      </c>
      <c r="CE537" s="0" t="n">
        <v>0</v>
      </c>
      <c r="CF537" s="0" t="s">
        <v>2082</v>
      </c>
      <c r="CI537" s="1" t="n">
        <v>39151</v>
      </c>
      <c r="CJ537" s="1" t="n">
        <v>40795</v>
      </c>
      <c r="CK537" s="124" t="n">
        <v>0.333333333333333</v>
      </c>
      <c r="CL537" s="0" t="s">
        <v>5003</v>
      </c>
      <c r="CM537" s="0" t="n">
        <f aca="false">IF(OR(CI537="",CJ537=""),"",DAYS360(CI537,CJ537)/360)</f>
        <v>4.49722222222222</v>
      </c>
      <c r="CN537" s="0" t="n">
        <f aca="false">IF(OR(CI537="",CJ537=""),"",DAYS360(CI537,CJ537)/30)</f>
        <v>53.9666666666667</v>
      </c>
      <c r="CO537" s="0" t="n">
        <f aca="false">IF(OR(CI537="",CJ537=""),"",DAYS360(CI537,CJ537)/7)</f>
        <v>231.285714285714</v>
      </c>
      <c r="CP537" s="0" t="n">
        <f aca="false">IF(OR(CI537="",CJ537=""),"",DAYS360(CI537,CJ537))</f>
        <v>1619</v>
      </c>
      <c r="CQ537" s="0" t="s">
        <v>240</v>
      </c>
      <c r="CR537" s="0" t="n">
        <v>1</v>
      </c>
      <c r="CT537" s="0" t="s">
        <v>221</v>
      </c>
      <c r="CU537" s="0" t="s">
        <v>221</v>
      </c>
      <c r="CV537" s="0" t="str">
        <f aca="false">IF(OR(CT537="",CT537="NO ESPECIFICA",CT537="NO MENCIONA"),"",IF(CU537=0,CT537,IF(CU537=1,CT537/30,IF(CU537=2,CT537/15,IF(CU537=3,CT537/7,"")))))</f>
        <v/>
      </c>
      <c r="CW537" s="125" t="n">
        <v>300</v>
      </c>
      <c r="CX537" s="0" t="n">
        <v>0</v>
      </c>
      <c r="CY537" s="0" t="n">
        <f aca="false">IF(CW537="","",IF(CX537=0,CW537,IF(CX537=1,CW537/30,IF(CX537=2,CW537/15,IF(CX537=3,CW537/7,CW537)))))</f>
        <v>300</v>
      </c>
      <c r="CZ537" s="0" t="n">
        <f aca="false">IF(DI537&gt;0,DI537,IF(CY537&gt;0,CY537,IF(CV537&gt;0,CV537,"")))</f>
        <v>300</v>
      </c>
      <c r="DA537" s="0" t="n">
        <f aca="false">IF(DM537=1,CZ537/8,IF(OR(DM537=2,DM537=4),CZ537/7,IF(DM537=3,CZ537/7.5,"")))</f>
        <v>37.5</v>
      </c>
      <c r="DB537" s="0" t="s">
        <v>216</v>
      </c>
      <c r="DC537" s="0" t="s">
        <v>216</v>
      </c>
      <c r="DD537" s="0" t="s">
        <v>216</v>
      </c>
      <c r="DE537" s="0" t="s">
        <v>216</v>
      </c>
      <c r="DF537" s="0" t="s">
        <v>216</v>
      </c>
      <c r="DG537" s="0" t="s">
        <v>216</v>
      </c>
      <c r="DH537" s="0" t="n">
        <v>0</v>
      </c>
      <c r="DI537" s="126" t="n">
        <v>300</v>
      </c>
      <c r="DK537" s="0" t="n">
        <v>1</v>
      </c>
      <c r="DM537" s="0" t="n">
        <v>1</v>
      </c>
      <c r="DN537" s="0" t="n">
        <v>75</v>
      </c>
      <c r="DO537" s="0" t="n">
        <v>3</v>
      </c>
      <c r="DP537" s="0" t="n">
        <v>0</v>
      </c>
      <c r="DQ537" s="0" t="n">
        <v>1</v>
      </c>
      <c r="DR537" s="0"/>
      <c r="DS537" s="0" t="n">
        <v>1</v>
      </c>
      <c r="DU537" s="0" t="n">
        <v>0</v>
      </c>
      <c r="DW537" s="1" t="n">
        <v>39151</v>
      </c>
      <c r="DX537" s="1" t="n">
        <v>40795</v>
      </c>
      <c r="DZ537" s="0"/>
      <c r="EA537" s="0" t="n">
        <v>1</v>
      </c>
      <c r="EC537" s="1" t="n">
        <v>39151</v>
      </c>
      <c r="ED537" s="1" t="n">
        <v>40795</v>
      </c>
      <c r="EF537" s="0"/>
      <c r="EG537" s="0" t="n">
        <v>1</v>
      </c>
      <c r="EH537" s="0" t="n">
        <v>30</v>
      </c>
      <c r="EI537" s="0" t="n">
        <f aca="false">IF(AND(DM537=1,DN537&lt;=48),"",IF(AND(DM537=2,DN537&lt;=42),"",IF(AND(DM537=3,DN537&lt;=45),"",EH537)))</f>
        <v>30</v>
      </c>
      <c r="EJ537" s="0" t="n">
        <f aca="false">IF(EI537="","",IF(EI537&lt;9,EI537,9))</f>
        <v>9</v>
      </c>
      <c r="EK537" s="0" t="n">
        <f aca="false">IF(EI537="","",IF(EI537&gt;9,EI537-EJ537,0))</f>
        <v>21</v>
      </c>
      <c r="EL537" s="0" t="n">
        <f aca="false">IF(EI537="","",EJ537*DA537*2+EK537*DA537*3)</f>
        <v>3037.5</v>
      </c>
      <c r="EP537" s="0" t="n">
        <v>0</v>
      </c>
      <c r="EQ537" s="0"/>
      <c r="ER537" s="0" t="n">
        <v>1</v>
      </c>
      <c r="ET537" s="0" t="n">
        <v>1</v>
      </c>
      <c r="EV537" s="0" t="n">
        <v>1</v>
      </c>
      <c r="EX537" s="0" t="n">
        <v>0</v>
      </c>
      <c r="EY537" s="0" t="n">
        <v>1</v>
      </c>
      <c r="EZ537" s="0"/>
      <c r="FA537" s="4" t="n">
        <v>9000</v>
      </c>
      <c r="FB537" s="0" t="n">
        <v>0</v>
      </c>
      <c r="FC537" s="1" t="n">
        <v>40919</v>
      </c>
      <c r="FD537" s="0" t="n">
        <v>2</v>
      </c>
      <c r="FE537" s="0" t="n">
        <v>0</v>
      </c>
      <c r="FF537" s="120" t="n">
        <f aca="false">(CJ537-CI537+1)/365</f>
        <v>4.50684931506849</v>
      </c>
      <c r="FG537" s="0" t="str">
        <f aca="false">CONCATENATE(F537,"/",G537)</f>
        <v>1699/2011</v>
      </c>
      <c r="FH537" s="0" t="n">
        <v>1</v>
      </c>
      <c r="FI537" s="0" t="n">
        <f aca="false">IFERROR(IF((FC537-J537+1)/365&gt;3,0,1),"")</f>
        <v>1</v>
      </c>
    </row>
    <row r="538" customFormat="false" ht="15" hidden="false" customHeight="false" outlineLevel="0" collapsed="false">
      <c r="A538" s="5" t="str">
        <f aca="false">E538&amp;G538&amp;F538</f>
        <v>720111696</v>
      </c>
      <c r="B538" s="0" t="s">
        <v>2737</v>
      </c>
      <c r="C538" s="1" t="n">
        <v>42378</v>
      </c>
      <c r="E538" s="0" t="n">
        <v>7</v>
      </c>
      <c r="F538" s="0" t="n">
        <v>1696</v>
      </c>
      <c r="G538" s="0" t="n">
        <v>2011</v>
      </c>
      <c r="H538" s="0" t="str">
        <f aca="false">"J"&amp;E538&amp;"\"&amp;F538&amp;"\"&amp;G538&amp;"\"&amp;W538</f>
        <v>J7\1696\2011\1</v>
      </c>
      <c r="I538" s="0"/>
      <c r="J538" s="1" t="n">
        <v>40819</v>
      </c>
      <c r="K538" s="0" t="n">
        <v>0</v>
      </c>
      <c r="M538" s="1" t="n">
        <v>40819</v>
      </c>
      <c r="N538" s="1" t="n">
        <v>41066</v>
      </c>
      <c r="O538" s="1"/>
      <c r="P538" s="1"/>
      <c r="Q538" s="1"/>
      <c r="T538" s="121"/>
      <c r="U538" s="121"/>
      <c r="V538" s="122" t="n">
        <f aca="false">IF(AND(E538&gt;0,F538&gt;0,G538&gt;0),COUNTIFS($E:$E,E538,$F:$F,F538,$G:$G,G538),"")</f>
        <v>1</v>
      </c>
      <c r="W538" s="122" t="n">
        <f aca="false">IF(V538="","",IF(V538=1,1,IF(AND(E537=E538,F537=F538,G537=G538),W537+1,1)))</f>
        <v>1</v>
      </c>
      <c r="X538" s="0" t="n">
        <v>1</v>
      </c>
      <c r="Y538" s="0" t="n">
        <v>3</v>
      </c>
      <c r="Z538" s="0" t="s">
        <v>5008</v>
      </c>
      <c r="AA538" s="0" t="n">
        <v>0</v>
      </c>
      <c r="AB538" s="0" t="s">
        <v>5009</v>
      </c>
      <c r="AC538" s="0" t="s">
        <v>5010</v>
      </c>
      <c r="AD538" s="0" t="s">
        <v>211</v>
      </c>
      <c r="AE538" s="0" t="n">
        <v>0</v>
      </c>
      <c r="AF538" s="0" t="s">
        <v>5011</v>
      </c>
      <c r="AG538" s="0" t="n">
        <v>0</v>
      </c>
      <c r="AH538" s="0" t="s">
        <v>5012</v>
      </c>
      <c r="AI538" s="0" t="s">
        <v>274</v>
      </c>
      <c r="AL538" s="0" t="s">
        <v>5013</v>
      </c>
      <c r="AM538" s="0" t="n">
        <v>1</v>
      </c>
      <c r="AN538" s="0" t="s">
        <v>5012</v>
      </c>
      <c r="AO538" s="0" t="s">
        <v>274</v>
      </c>
      <c r="AR538" s="0" t="s">
        <v>1637</v>
      </c>
      <c r="AS538" s="0" t="n">
        <v>1</v>
      </c>
      <c r="AT538" s="0" t="s">
        <v>5012</v>
      </c>
      <c r="AU538" s="0" t="s">
        <v>274</v>
      </c>
      <c r="BR538" s="0" t="n">
        <v>1</v>
      </c>
      <c r="BS538" s="0" t="s">
        <v>5014</v>
      </c>
      <c r="BT538" s="0" t="s">
        <v>5015</v>
      </c>
      <c r="BU538" s="0" t="s">
        <v>5016</v>
      </c>
      <c r="BV538" s="123"/>
      <c r="BW538" s="123"/>
      <c r="BX538" s="123"/>
      <c r="BY538" s="123"/>
      <c r="CA538" s="0" t="s">
        <v>216</v>
      </c>
      <c r="CD538" s="0" t="s">
        <v>370</v>
      </c>
      <c r="CE538" s="0" t="n">
        <v>0</v>
      </c>
      <c r="CF538" s="0" t="s">
        <v>5017</v>
      </c>
      <c r="CI538" s="1" t="n">
        <v>40247</v>
      </c>
      <c r="CJ538" s="1" t="n">
        <v>40775</v>
      </c>
      <c r="CK538" s="124" t="n">
        <v>0.75</v>
      </c>
      <c r="CL538" s="0" t="s">
        <v>5013</v>
      </c>
      <c r="CM538" s="0" t="n">
        <f aca="false">IF(OR(CI538="",CJ538=""),"",DAYS360(CI538,CJ538)/360)</f>
        <v>1.44444444444444</v>
      </c>
      <c r="CN538" s="0" t="n">
        <f aca="false">IF(OR(CI538="",CJ538=""),"",DAYS360(CI538,CJ538)/30)</f>
        <v>17.3333333333333</v>
      </c>
      <c r="CO538" s="0" t="n">
        <f aca="false">IF(OR(CI538="",CJ538=""),"",DAYS360(CI538,CJ538)/7)</f>
        <v>74.2857142857143</v>
      </c>
      <c r="CP538" s="0" t="n">
        <f aca="false">IF(OR(CI538="",CJ538=""),"",DAYS360(CI538,CJ538))</f>
        <v>520</v>
      </c>
      <c r="CQ538" s="0" t="s">
        <v>240</v>
      </c>
      <c r="CR538" s="0" t="n">
        <v>1</v>
      </c>
      <c r="CT538" s="0" t="s">
        <v>221</v>
      </c>
      <c r="CU538" s="0" t="s">
        <v>221</v>
      </c>
      <c r="CV538" s="0" t="str">
        <f aca="false">IF(OR(CT538="",CT538="NO ESPECIFICA",CT538="NO MENCIONA"),"",IF(CU538=0,CT538,IF(CU538=1,CT538/30,IF(CU538=2,CT538/15,IF(CU538=3,CT538/7,"")))))</f>
        <v/>
      </c>
      <c r="CW538" s="125" t="n">
        <v>5000</v>
      </c>
      <c r="CX538" s="0" t="n">
        <v>1</v>
      </c>
      <c r="CY538" s="0" t="n">
        <f aca="false">IF(CW538="","",IF(CX538=0,CW538,IF(CX538=1,CW538/30,IF(CX538=2,CW538/15,IF(CX538=3,CW538/7,CW538)))))</f>
        <v>166.666666666667</v>
      </c>
      <c r="CZ538" s="0" t="n">
        <f aca="false">IF(DI538&gt;0,DI538,IF(CY538&gt;0,CY538,IF(CV538&gt;0,CV538,"")))</f>
        <v>183.333333333333</v>
      </c>
      <c r="DA538" s="0" t="n">
        <f aca="false">IF(DM538=1,CZ538/8,IF(OR(DM538=2,DM538=4),CZ538/7,IF(DM538=3,CZ538/7.5,"")))</f>
        <v>22.9166666666667</v>
      </c>
      <c r="DB538" s="0" t="s">
        <v>1842</v>
      </c>
      <c r="DC538" s="0" t="s">
        <v>216</v>
      </c>
      <c r="DD538" s="0" t="s">
        <v>216</v>
      </c>
      <c r="DE538" s="0" t="s">
        <v>216</v>
      </c>
      <c r="DF538" s="0" t="s">
        <v>216</v>
      </c>
      <c r="DG538" s="0" t="s">
        <v>216</v>
      </c>
      <c r="DH538" s="0" t="n">
        <v>0</v>
      </c>
      <c r="DI538" s="126" t="n">
        <v>183.333333333333</v>
      </c>
      <c r="DK538" s="0" t="n">
        <v>0</v>
      </c>
      <c r="DM538" s="0" t="n">
        <v>1</v>
      </c>
      <c r="DN538" s="0" t="n">
        <v>58</v>
      </c>
      <c r="DO538" s="0" t="n">
        <v>3</v>
      </c>
      <c r="DP538" s="0" t="n">
        <v>0</v>
      </c>
      <c r="DQ538" s="0" t="n">
        <v>1</v>
      </c>
      <c r="DR538" s="0"/>
      <c r="DS538" s="0" t="n">
        <v>1</v>
      </c>
      <c r="DU538" s="0" t="n">
        <v>1</v>
      </c>
      <c r="DW538" s="1" t="n">
        <v>40247</v>
      </c>
      <c r="DX538" s="1" t="n">
        <v>40775</v>
      </c>
      <c r="DZ538" s="0"/>
      <c r="EA538" s="0" t="n">
        <v>1</v>
      </c>
      <c r="EC538" s="1" t="n">
        <v>40247</v>
      </c>
      <c r="ED538" s="1" t="n">
        <v>40775</v>
      </c>
      <c r="EF538" s="0"/>
      <c r="EG538" s="0" t="n">
        <v>1</v>
      </c>
      <c r="EH538" s="0" t="s">
        <v>221</v>
      </c>
      <c r="EI538" s="0" t="str">
        <f aca="false">IF(AND(DM538=1,DN538&lt;=48),"",IF(AND(DM538=2,DN538&lt;=42),"",IF(AND(DM538=3,DN538&lt;=45),"",EH538)))</f>
        <v>NO ESPECIFICA</v>
      </c>
      <c r="EJ538" s="0" t="n">
        <f aca="false">IF(EI538="","",IF(EI538&lt;9,EI538,9))</f>
        <v>9</v>
      </c>
      <c r="EK538" s="0" t="e">
        <f aca="false">IF(EI538="","",IF(EI538&gt;9,EI538-EJ538,0))</f>
        <v>#VALUE!</v>
      </c>
      <c r="EL538" s="0" t="e">
        <f aca="false">IF(EI538="","",EJ538*DA538*2+EK538*DA538*3)</f>
        <v>#VALUE!</v>
      </c>
      <c r="EP538" s="0" t="n">
        <v>0</v>
      </c>
      <c r="EQ538" s="0"/>
      <c r="ER538" s="0" t="n">
        <v>0</v>
      </c>
      <c r="ET538" s="0" t="n">
        <v>0</v>
      </c>
      <c r="EV538" s="0" t="n">
        <v>1</v>
      </c>
      <c r="EX538" s="0" t="n">
        <v>0</v>
      </c>
      <c r="EY538" s="0" t="n">
        <v>0</v>
      </c>
      <c r="EZ538" s="0"/>
      <c r="FA538" s="4" t="n">
        <v>43666.6666666667</v>
      </c>
      <c r="FB538" s="0" t="n">
        <v>1</v>
      </c>
      <c r="FC538" s="1" t="n">
        <v>41439</v>
      </c>
      <c r="FD538" s="0" t="n">
        <v>2</v>
      </c>
      <c r="FE538" s="0" t="n">
        <v>0</v>
      </c>
      <c r="FF538" s="120" t="n">
        <f aca="false">(CJ538-CI538+1)/365</f>
        <v>1.44931506849315</v>
      </c>
      <c r="FG538" s="0" t="str">
        <f aca="false">CONCATENATE(F538,"/",G538)</f>
        <v>1696/2011</v>
      </c>
      <c r="FH538" s="0" t="n">
        <v>1</v>
      </c>
      <c r="FI538" s="0" t="n">
        <f aca="false">IFERROR(IF((FC538-J538+1)/365&gt;3,0,1),"")</f>
        <v>1</v>
      </c>
    </row>
    <row r="539" customFormat="false" ht="15" hidden="false" customHeight="false" outlineLevel="0" collapsed="false">
      <c r="A539" s="5" t="str">
        <f aca="false">E539&amp;G539&amp;F539</f>
        <v>720111695</v>
      </c>
      <c r="B539" s="0" t="s">
        <v>2737</v>
      </c>
      <c r="C539" s="1" t="n">
        <v>42378</v>
      </c>
      <c r="E539" s="0" t="n">
        <v>7</v>
      </c>
      <c r="F539" s="0" t="n">
        <v>1695</v>
      </c>
      <c r="G539" s="0" t="n">
        <v>2011</v>
      </c>
      <c r="H539" s="0" t="str">
        <f aca="false">"J"&amp;E539&amp;"\"&amp;F539&amp;"\"&amp;G539&amp;"\"&amp;W539</f>
        <v>J7\1695\2011\1</v>
      </c>
      <c r="I539" s="0"/>
      <c r="J539" s="1" t="n">
        <v>40819</v>
      </c>
      <c r="K539" s="0" t="n">
        <v>0</v>
      </c>
      <c r="M539" s="1"/>
      <c r="N539" s="1"/>
      <c r="O539" s="1"/>
      <c r="P539" s="1"/>
      <c r="Q539" s="1"/>
      <c r="T539" s="121"/>
      <c r="U539" s="121"/>
      <c r="V539" s="122" t="n">
        <f aca="false">IF(AND(E539&gt;0,F539&gt;0,G539&gt;0),COUNTIFS($E:$E,E539,$F:$F,F539,$G:$G,G539),"")</f>
        <v>1</v>
      </c>
      <c r="W539" s="122" t="n">
        <f aca="false">IF(V539="","",IF(V539=1,1,IF(AND(E538=E539,F538=F539,G538=G539),W538+1,1)))</f>
        <v>1</v>
      </c>
      <c r="X539" s="0" t="n">
        <v>1</v>
      </c>
      <c r="Y539" s="0" t="n">
        <v>6</v>
      </c>
      <c r="Z539" s="0" t="s">
        <v>5018</v>
      </c>
      <c r="AA539" s="0" t="n">
        <v>0</v>
      </c>
      <c r="AB539" s="0" t="s">
        <v>5019</v>
      </c>
      <c r="AC539" s="0" t="s">
        <v>287</v>
      </c>
      <c r="AD539" s="0" t="s">
        <v>207</v>
      </c>
      <c r="AE539" s="0" t="n">
        <v>0</v>
      </c>
      <c r="AF539" s="0" t="s">
        <v>5020</v>
      </c>
      <c r="AG539" s="0" t="n">
        <v>0</v>
      </c>
      <c r="AH539" s="0" t="s">
        <v>5021</v>
      </c>
      <c r="AI539" s="0" t="s">
        <v>1313</v>
      </c>
      <c r="AJ539" s="0" t="s">
        <v>229</v>
      </c>
      <c r="AL539" s="0" t="s">
        <v>3093</v>
      </c>
      <c r="AM539" s="0" t="n">
        <v>0</v>
      </c>
      <c r="AN539" s="0" t="s">
        <v>5021</v>
      </c>
      <c r="AO539" s="0" t="s">
        <v>1313</v>
      </c>
      <c r="AP539" s="0" t="s">
        <v>229</v>
      </c>
      <c r="AR539" s="0" t="s">
        <v>5022</v>
      </c>
      <c r="AS539" s="0" t="n">
        <v>1</v>
      </c>
      <c r="AT539" s="0" t="s">
        <v>5021</v>
      </c>
      <c r="AU539" s="0" t="s">
        <v>1313</v>
      </c>
      <c r="AV539" s="0" t="s">
        <v>229</v>
      </c>
      <c r="AX539" s="0" t="s">
        <v>5023</v>
      </c>
      <c r="AY539" s="0" t="n">
        <v>1</v>
      </c>
      <c r="AZ539" s="0" t="s">
        <v>5021</v>
      </c>
      <c r="BA539" s="0" t="s">
        <v>1313</v>
      </c>
      <c r="BB539" s="0" t="s">
        <v>229</v>
      </c>
      <c r="BD539" s="0" t="s">
        <v>5024</v>
      </c>
      <c r="BE539" s="0" t="n">
        <v>1</v>
      </c>
      <c r="BF539" s="0" t="s">
        <v>5021</v>
      </c>
      <c r="BG539" s="0" t="s">
        <v>1313</v>
      </c>
      <c r="BH539" s="0" t="s">
        <v>229</v>
      </c>
      <c r="BJ539" s="0" t="s">
        <v>1637</v>
      </c>
      <c r="BK539" s="0" t="n">
        <v>1</v>
      </c>
      <c r="BL539" s="0" t="s">
        <v>5021</v>
      </c>
      <c r="BM539" s="0" t="s">
        <v>1313</v>
      </c>
      <c r="BN539" s="0" t="s">
        <v>229</v>
      </c>
      <c r="BR539" s="0" t="n">
        <v>1</v>
      </c>
      <c r="BS539" s="0" t="s">
        <v>5025</v>
      </c>
      <c r="BT539" s="0" t="s">
        <v>5026</v>
      </c>
      <c r="BU539" s="0" t="s">
        <v>5027</v>
      </c>
      <c r="BV539" s="123"/>
      <c r="BW539" s="123"/>
      <c r="BX539" s="123"/>
      <c r="BY539" s="123"/>
      <c r="CA539" s="0" t="s">
        <v>216</v>
      </c>
      <c r="CD539" s="0" t="s">
        <v>256</v>
      </c>
      <c r="CE539" s="0" t="n">
        <v>0</v>
      </c>
      <c r="CF539" s="0" t="s">
        <v>5028</v>
      </c>
      <c r="CI539" s="1" t="n">
        <v>40269</v>
      </c>
      <c r="CJ539" s="1" t="n">
        <v>40813</v>
      </c>
      <c r="CK539" s="124" t="n">
        <v>0.416666666666667</v>
      </c>
      <c r="CL539" s="0" t="s">
        <v>5022</v>
      </c>
      <c r="CM539" s="0" t="n">
        <f aca="false">IF(OR(CI539="",CJ539=""),"",DAYS360(CI539,CJ539)/360)</f>
        <v>1.48888888888889</v>
      </c>
      <c r="CN539" s="0" t="n">
        <f aca="false">IF(OR(CI539="",CJ539=""),"",DAYS360(CI539,CJ539)/30)</f>
        <v>17.8666666666667</v>
      </c>
      <c r="CO539" s="0" t="n">
        <f aca="false">IF(OR(CI539="",CJ539=""),"",DAYS360(CI539,CJ539)/7)</f>
        <v>76.5714285714286</v>
      </c>
      <c r="CP539" s="0" t="n">
        <f aca="false">IF(OR(CI539="",CJ539=""),"",DAYS360(CI539,CJ539))</f>
        <v>536</v>
      </c>
      <c r="CQ539" s="0" t="s">
        <v>220</v>
      </c>
      <c r="CR539" s="0" t="n">
        <v>1</v>
      </c>
      <c r="CT539" s="0" t="s">
        <v>216</v>
      </c>
      <c r="CU539" s="0" t="s">
        <v>216</v>
      </c>
      <c r="CV539" s="0" t="str">
        <f aca="false">IF(OR(CT539="",CT539="NO ESPECIFICA",CT539="NO MENCIONA"),"",IF(CU539=0,CT539,IF(CU539=1,CT539/30,IF(CU539=2,CT539/15,IF(CU539=3,CT539/7,"")))))</f>
        <v/>
      </c>
      <c r="CW539" s="125" t="n">
        <v>25000</v>
      </c>
      <c r="CX539" s="0" t="n">
        <v>1</v>
      </c>
      <c r="CY539" s="0" t="n">
        <f aca="false">IF(CW539="","",IF(CX539=0,CW539,IF(CX539=1,CW539/30,IF(CX539=2,CW539/15,IF(CX539=3,CW539/7,CW539)))))</f>
        <v>833.333333333333</v>
      </c>
      <c r="CZ539" s="0" t="n">
        <f aca="false">IF(DI539&gt;0,DI539,IF(CY539&gt;0,CY539,IF(CV539&gt;0,CV539,"")))</f>
        <v>833.333333333333</v>
      </c>
      <c r="DA539" s="0" t="n">
        <f aca="false">IF(DM539=1,CZ539/8,IF(OR(DM539=2,DM539=4),CZ539/7,IF(DM539=3,CZ539/7.5,"")))</f>
        <v>104.166666666667</v>
      </c>
      <c r="DB539" s="0" t="s">
        <v>216</v>
      </c>
      <c r="DC539" s="0" t="s">
        <v>216</v>
      </c>
      <c r="DD539" s="0" t="s">
        <v>216</v>
      </c>
      <c r="DE539" s="0" t="s">
        <v>216</v>
      </c>
      <c r="DF539" s="0" t="s">
        <v>216</v>
      </c>
      <c r="DG539" s="0" t="s">
        <v>216</v>
      </c>
      <c r="DH539" s="0" t="n">
        <v>0</v>
      </c>
      <c r="DI539" s="126" t="n">
        <v>833.333333333333</v>
      </c>
      <c r="DK539" s="0" t="n">
        <v>1</v>
      </c>
      <c r="DM539" s="0" t="n">
        <v>1</v>
      </c>
      <c r="DN539" s="0" t="n">
        <v>72</v>
      </c>
      <c r="DO539" s="0" t="n">
        <v>3</v>
      </c>
      <c r="DP539" s="0" t="n">
        <v>1</v>
      </c>
      <c r="DQ539" s="0" t="n">
        <v>1</v>
      </c>
      <c r="DR539" s="0"/>
      <c r="DS539" s="0" t="n">
        <v>1</v>
      </c>
      <c r="DU539" s="0" t="n">
        <v>1</v>
      </c>
      <c r="DW539" s="1" t="n">
        <v>40269</v>
      </c>
      <c r="DX539" s="1" t="n">
        <v>40813</v>
      </c>
      <c r="DZ539" s="0"/>
      <c r="EA539" s="0" t="n">
        <v>1</v>
      </c>
      <c r="EC539" s="1" t="n">
        <v>40269</v>
      </c>
      <c r="ED539" s="1" t="n">
        <v>40813</v>
      </c>
      <c r="EF539" s="0"/>
      <c r="EG539" s="0" t="n">
        <v>1</v>
      </c>
      <c r="EH539" s="0" t="s">
        <v>221</v>
      </c>
      <c r="EI539" s="0" t="str">
        <f aca="false">IF(AND(DM539=1,DN539&lt;=48),"",IF(AND(DM539=2,DN539&lt;=42),"",IF(AND(DM539=3,DN539&lt;=45),"",EH539)))</f>
        <v>NO ESPECIFICA</v>
      </c>
      <c r="EJ539" s="0" t="n">
        <f aca="false">IF(EI539="","",IF(EI539&lt;9,EI539,9))</f>
        <v>9</v>
      </c>
      <c r="EK539" s="0" t="e">
        <f aca="false">IF(EI539="","",IF(EI539&gt;9,EI539-EJ539,0))</f>
        <v>#VALUE!</v>
      </c>
      <c r="EL539" s="0" t="e">
        <f aca="false">IF(EI539="","",EJ539*DA539*2+EK539*DA539*3)</f>
        <v>#VALUE!</v>
      </c>
      <c r="EP539" s="0" t="n">
        <v>1</v>
      </c>
      <c r="EQ539" s="0"/>
      <c r="ER539" s="0" t="n">
        <v>0</v>
      </c>
      <c r="ET539" s="0" t="n">
        <v>0</v>
      </c>
      <c r="EV539" s="0" t="n">
        <v>0</v>
      </c>
      <c r="EX539" s="0" t="n">
        <v>0</v>
      </c>
      <c r="EY539" s="0" t="n">
        <v>0</v>
      </c>
      <c r="EZ539" s="0"/>
      <c r="FA539" s="4" t="n">
        <v>25000</v>
      </c>
      <c r="FB539" s="0" t="n">
        <v>0</v>
      </c>
      <c r="FC539" s="1" t="n">
        <v>40862</v>
      </c>
      <c r="FD539" s="0" t="n">
        <v>2</v>
      </c>
      <c r="FE539" s="0" t="n">
        <v>0</v>
      </c>
      <c r="FF539" s="120" t="n">
        <f aca="false">(CJ539-CI539+1)/365</f>
        <v>1.49315068493151</v>
      </c>
      <c r="FG539" s="0" t="str">
        <f aca="false">CONCATENATE(F539,"/",G539)</f>
        <v>1695/2011</v>
      </c>
      <c r="FH539" s="0" t="n">
        <v>1</v>
      </c>
      <c r="FI539" s="0" t="n">
        <f aca="false">IFERROR(IF((FC539-J539+1)/365&gt;3,0,1),"")</f>
        <v>1</v>
      </c>
    </row>
    <row r="540" customFormat="false" ht="15" hidden="false" customHeight="false" outlineLevel="0" collapsed="false">
      <c r="A540" s="5" t="str">
        <f aca="false">E540&amp;G540&amp;F540</f>
        <v>720111694</v>
      </c>
      <c r="B540" s="0" t="s">
        <v>2737</v>
      </c>
      <c r="C540" s="1" t="n">
        <v>42378</v>
      </c>
      <c r="E540" s="0" t="n">
        <v>7</v>
      </c>
      <c r="F540" s="0" t="n">
        <v>1694</v>
      </c>
      <c r="G540" s="0" t="n">
        <v>2011</v>
      </c>
      <c r="H540" s="0" t="str">
        <f aca="false">"J"&amp;E540&amp;"\"&amp;F540&amp;"\"&amp;G540&amp;"\"&amp;W540</f>
        <v>J7\1694\2011\1</v>
      </c>
      <c r="I540" s="0"/>
      <c r="J540" s="1" t="n">
        <v>40819</v>
      </c>
      <c r="K540" s="0" t="n">
        <v>0</v>
      </c>
      <c r="M540" s="1"/>
      <c r="N540" s="1"/>
      <c r="O540" s="1"/>
      <c r="P540" s="1"/>
      <c r="Q540" s="1"/>
      <c r="T540" s="121"/>
      <c r="U540" s="121"/>
      <c r="V540" s="122" t="n">
        <f aca="false">IF(AND(E540&gt;0,F540&gt;0,G540&gt;0),COUNTIFS($E:$E,E540,$F:$F,F540,$G:$G,G540),"")</f>
        <v>1</v>
      </c>
      <c r="W540" s="122" t="n">
        <f aca="false">IF(V540="","",IF(V540=1,1,IF(AND(E539=E540,F539=F540,G539=G540),W539+1,1)))</f>
        <v>1</v>
      </c>
      <c r="X540" s="0" t="n">
        <v>1</v>
      </c>
      <c r="Y540" s="0" t="n">
        <v>6</v>
      </c>
      <c r="Z540" s="0" t="s">
        <v>5029</v>
      </c>
      <c r="AA540" s="0" t="n">
        <v>0</v>
      </c>
      <c r="AB540" s="0" t="s">
        <v>5030</v>
      </c>
      <c r="AC540" s="0" t="s">
        <v>1661</v>
      </c>
      <c r="AE540" s="0" t="n">
        <v>0</v>
      </c>
      <c r="AF540" s="0" t="s">
        <v>5031</v>
      </c>
      <c r="AG540" s="0" t="n">
        <v>0</v>
      </c>
      <c r="AH540" s="0" t="s">
        <v>5032</v>
      </c>
      <c r="AI540" s="0" t="s">
        <v>206</v>
      </c>
      <c r="AJ540" s="0" t="s">
        <v>207</v>
      </c>
      <c r="AL540" s="0" t="s">
        <v>5033</v>
      </c>
      <c r="AM540" s="0" t="n">
        <v>0</v>
      </c>
      <c r="AN540" s="0" t="s">
        <v>5034</v>
      </c>
      <c r="AO540" s="0" t="s">
        <v>1871</v>
      </c>
      <c r="AP540" s="0" t="s">
        <v>207</v>
      </c>
      <c r="AR540" s="0" t="s">
        <v>5035</v>
      </c>
      <c r="AS540" s="0" t="n">
        <v>1</v>
      </c>
      <c r="AT540" s="0" t="s">
        <v>5032</v>
      </c>
      <c r="AU540" s="0" t="s">
        <v>206</v>
      </c>
      <c r="AV540" s="0" t="s">
        <v>207</v>
      </c>
      <c r="AX540" s="0" t="s">
        <v>5036</v>
      </c>
      <c r="AY540" s="0" t="n">
        <v>1</v>
      </c>
      <c r="AZ540" s="0" t="s">
        <v>5032</v>
      </c>
      <c r="BA540" s="0" t="s">
        <v>206</v>
      </c>
      <c r="BB540" s="0" t="s">
        <v>207</v>
      </c>
      <c r="BD540" s="0" t="s">
        <v>5037</v>
      </c>
      <c r="BE540" s="0" t="n">
        <v>1</v>
      </c>
      <c r="BF540" s="0" t="s">
        <v>5034</v>
      </c>
      <c r="BG540" s="0" t="s">
        <v>1871</v>
      </c>
      <c r="BH540" s="0" t="s">
        <v>207</v>
      </c>
      <c r="BJ540" s="0" t="s">
        <v>1637</v>
      </c>
      <c r="BK540" s="0" t="n">
        <v>1</v>
      </c>
      <c r="BL540" s="0" t="s">
        <v>5032</v>
      </c>
      <c r="BM540" s="0" t="s">
        <v>206</v>
      </c>
      <c r="BN540" s="0" t="s">
        <v>207</v>
      </c>
      <c r="BR540" s="0" t="n">
        <v>1</v>
      </c>
      <c r="BS540" s="0" t="s">
        <v>5038</v>
      </c>
      <c r="BT540" s="0" t="s">
        <v>1809</v>
      </c>
      <c r="BU540" s="0" t="s">
        <v>823</v>
      </c>
      <c r="BV540" s="123"/>
      <c r="BW540" s="123"/>
      <c r="BX540" s="123"/>
      <c r="BY540" s="123"/>
      <c r="CA540" s="0" t="s">
        <v>216</v>
      </c>
      <c r="CD540" s="0" t="s">
        <v>216</v>
      </c>
      <c r="CE540" s="0" t="n">
        <v>0</v>
      </c>
      <c r="CF540" s="0" t="s">
        <v>5039</v>
      </c>
      <c r="CI540" s="1" t="n">
        <v>40488</v>
      </c>
      <c r="CJ540" s="1" t="n">
        <v>40807</v>
      </c>
      <c r="CK540" s="124" t="n">
        <v>0.8125</v>
      </c>
      <c r="CL540" s="0" t="s">
        <v>5036</v>
      </c>
      <c r="CM540" s="0" t="n">
        <f aca="false">IF(OR(CI540="",CJ540=""),"",DAYS360(CI540,CJ540)/360)</f>
        <v>0.875</v>
      </c>
      <c r="CN540" s="0" t="n">
        <f aca="false">IF(OR(CI540="",CJ540=""),"",DAYS360(CI540,CJ540)/30)</f>
        <v>10.5</v>
      </c>
      <c r="CO540" s="0" t="n">
        <f aca="false">IF(OR(CI540="",CJ540=""),"",DAYS360(CI540,CJ540)/7)</f>
        <v>45</v>
      </c>
      <c r="CP540" s="0" t="n">
        <f aca="false">IF(OR(CI540="",CJ540=""),"",DAYS360(CI540,CJ540))</f>
        <v>315</v>
      </c>
      <c r="CQ540" s="0" t="s">
        <v>240</v>
      </c>
      <c r="CR540" s="0" t="n">
        <v>1</v>
      </c>
      <c r="CT540" s="0" t="n">
        <v>300</v>
      </c>
      <c r="CU540" s="0" t="n">
        <v>0</v>
      </c>
      <c r="CV540" s="0" t="n">
        <f aca="false">IF(OR(CT540="",CT540="NO ESPECIFICA",CT540="NO MENCIONA"),"",IF(CU540=0,CT540,IF(CU540=1,CT540/30,IF(CU540=2,CT540/15,IF(CU540=3,CT540/7,"")))))</f>
        <v>300</v>
      </c>
      <c r="CW540" s="125" t="n">
        <v>500</v>
      </c>
      <c r="CX540" s="0" t="n">
        <v>0</v>
      </c>
      <c r="CY540" s="0" t="n">
        <f aca="false">IF(CW540="","",IF(CX540=0,CW540,IF(CX540=1,CW540/30,IF(CX540=2,CW540/15,IF(CX540=3,CW540/7,CW540)))))</f>
        <v>500</v>
      </c>
      <c r="CZ540" s="0" t="n">
        <f aca="false">IF(DI540&gt;0,DI540,IF(CY540&gt;0,CY540,IF(CV540&gt;0,CV540,"")))</f>
        <v>500</v>
      </c>
      <c r="DA540" s="0" t="n">
        <f aca="false">IF(DM540=1,CZ540/8,IF(OR(DM540=2,DM540=4),CZ540/7,IF(DM540=3,CZ540/7.5,"")))</f>
        <v>62.5</v>
      </c>
      <c r="DB540" s="0" t="s">
        <v>5040</v>
      </c>
      <c r="DC540" s="0" t="s">
        <v>1582</v>
      </c>
      <c r="DD540" s="0" t="s">
        <v>216</v>
      </c>
      <c r="DE540" s="0" t="s">
        <v>216</v>
      </c>
      <c r="DF540" s="0" t="s">
        <v>216</v>
      </c>
      <c r="DG540" s="0" t="s">
        <v>216</v>
      </c>
      <c r="DH540" s="0" t="n">
        <v>0</v>
      </c>
      <c r="DI540" s="126" t="n">
        <v>500</v>
      </c>
      <c r="DK540" s="0" t="n">
        <v>1</v>
      </c>
      <c r="DM540" s="0" t="n">
        <v>1</v>
      </c>
      <c r="DN540" s="0" t="n">
        <v>72</v>
      </c>
      <c r="DO540" s="0" t="n">
        <v>3</v>
      </c>
      <c r="DP540" s="0" t="n">
        <v>0</v>
      </c>
      <c r="DQ540" s="0" t="n">
        <v>1</v>
      </c>
      <c r="DR540" s="0"/>
      <c r="DS540" s="0" t="n">
        <v>1</v>
      </c>
      <c r="DU540" s="0" t="n">
        <v>1</v>
      </c>
      <c r="DW540" s="1" t="n">
        <v>40488</v>
      </c>
      <c r="DX540" s="1" t="n">
        <v>40807</v>
      </c>
      <c r="DZ540" s="0"/>
      <c r="EA540" s="0" t="n">
        <v>1</v>
      </c>
      <c r="EC540" s="1" t="n">
        <v>40488</v>
      </c>
      <c r="ED540" s="1" t="n">
        <v>40807</v>
      </c>
      <c r="EF540" s="0"/>
      <c r="EG540" s="0" t="n">
        <v>1</v>
      </c>
      <c r="EH540" s="0" t="n">
        <v>24</v>
      </c>
      <c r="EI540" s="0" t="n">
        <f aca="false">IF(AND(DM540=1,DN540&lt;=48),"",IF(AND(DM540=2,DN540&lt;=42),"",IF(AND(DM540=3,DN540&lt;=45),"",EH540)))</f>
        <v>24</v>
      </c>
      <c r="EJ540" s="0" t="n">
        <f aca="false">IF(EI540="","",IF(EI540&lt;9,EI540,9))</f>
        <v>9</v>
      </c>
      <c r="EK540" s="0" t="n">
        <f aca="false">IF(EI540="","",IF(EI540&gt;9,EI540-EJ540,0))</f>
        <v>15</v>
      </c>
      <c r="EL540" s="0" t="n">
        <f aca="false">IF(EI540="","",EJ540*DA540*2+EK540*DA540*3)</f>
        <v>3937.5</v>
      </c>
      <c r="EP540" s="0" t="n">
        <v>0</v>
      </c>
      <c r="EQ540" s="0"/>
      <c r="ER540" s="0" t="n">
        <v>1</v>
      </c>
      <c r="ET540" s="0" t="n">
        <v>0</v>
      </c>
      <c r="EV540" s="0" t="n">
        <v>0</v>
      </c>
      <c r="EX540" s="0" t="n">
        <v>0</v>
      </c>
      <c r="EY540" s="0" t="n">
        <v>0</v>
      </c>
      <c r="EZ540" s="0"/>
      <c r="FA540" s="4" t="n">
        <v>38500</v>
      </c>
      <c r="FB540" s="0" t="n">
        <v>1</v>
      </c>
      <c r="FC540" s="1" t="n">
        <v>41101</v>
      </c>
      <c r="FD540" s="0" t="n">
        <v>1</v>
      </c>
      <c r="FE540" s="0" t="n">
        <v>17000</v>
      </c>
      <c r="FF540" s="120" t="n">
        <f aca="false">(CJ540-CI540+1)/365</f>
        <v>0.876712328767123</v>
      </c>
      <c r="FG540" s="0" t="str">
        <f aca="false">CONCATENATE(F540,"/",G540)</f>
        <v>1694/2011</v>
      </c>
      <c r="FH540" s="0" t="n">
        <v>1</v>
      </c>
      <c r="FI540" s="0" t="n">
        <f aca="false">IFERROR(IF((FC540-J540+1)/365&gt;3,0,1),"")</f>
        <v>1</v>
      </c>
    </row>
    <row r="541" customFormat="false" ht="15" hidden="false" customHeight="false" outlineLevel="0" collapsed="false">
      <c r="A541" s="5" t="str">
        <f aca="false">E541&amp;G541&amp;F541</f>
        <v>720111693</v>
      </c>
      <c r="B541" s="0" t="s">
        <v>2737</v>
      </c>
      <c r="C541" s="1" t="n">
        <v>42378</v>
      </c>
      <c r="E541" s="0" t="n">
        <v>7</v>
      </c>
      <c r="F541" s="0" t="n">
        <v>1693</v>
      </c>
      <c r="G541" s="0" t="n">
        <v>2011</v>
      </c>
      <c r="H541" s="0" t="str">
        <f aca="false">"J"&amp;E541&amp;"\"&amp;F541&amp;"\"&amp;G541&amp;"\"&amp;W541</f>
        <v>J7\1693\2011\1</v>
      </c>
      <c r="I541" s="0"/>
      <c r="J541" s="1" t="n">
        <v>40819</v>
      </c>
      <c r="K541" s="0" t="n">
        <v>0</v>
      </c>
      <c r="M541" s="1"/>
      <c r="N541" s="1"/>
      <c r="O541" s="1"/>
      <c r="P541" s="1"/>
      <c r="Q541" s="1"/>
      <c r="T541" s="121"/>
      <c r="U541" s="121"/>
      <c r="V541" s="122" t="n">
        <f aca="false">IF(AND(E541&gt;0,F541&gt;0,G541&gt;0),COUNTIFS($E:$E,E541,$F:$F,F541,$G:$G,G541),"")</f>
        <v>1</v>
      </c>
      <c r="W541" s="122" t="n">
        <f aca="false">IF(V541="","",IF(V541=1,1,IF(AND(E540=E541,F540=F541,G540=G541),W540+1,1)))</f>
        <v>1</v>
      </c>
      <c r="X541" s="0" t="n">
        <v>1</v>
      </c>
      <c r="Y541" s="0" t="n">
        <v>2</v>
      </c>
      <c r="Z541" s="0" t="s">
        <v>5041</v>
      </c>
      <c r="AA541" s="0" t="n">
        <v>0</v>
      </c>
      <c r="AB541" s="0" t="s">
        <v>5042</v>
      </c>
      <c r="AC541" s="0" t="s">
        <v>244</v>
      </c>
      <c r="AE541" s="0" t="n">
        <v>0</v>
      </c>
      <c r="AF541" s="0" t="s">
        <v>5043</v>
      </c>
      <c r="AG541" s="0" t="n">
        <v>0</v>
      </c>
      <c r="AH541" s="0" t="s">
        <v>5044</v>
      </c>
      <c r="AI541" s="0" t="s">
        <v>1591</v>
      </c>
      <c r="AJ541" s="0" t="s">
        <v>352</v>
      </c>
      <c r="AL541" s="0" t="s">
        <v>5045</v>
      </c>
      <c r="AM541" s="0" t="n">
        <v>0</v>
      </c>
      <c r="AN541" s="0" t="s">
        <v>5044</v>
      </c>
      <c r="AO541" s="0" t="s">
        <v>1591</v>
      </c>
      <c r="AP541" s="0" t="s">
        <v>352</v>
      </c>
      <c r="BR541" s="0" t="n">
        <v>1</v>
      </c>
      <c r="BS541" s="0" t="s">
        <v>4405</v>
      </c>
      <c r="BT541" s="0" t="s">
        <v>5046</v>
      </c>
      <c r="BU541" s="0" t="s">
        <v>5047</v>
      </c>
      <c r="BV541" s="123"/>
      <c r="BW541" s="123"/>
      <c r="BX541" s="123"/>
      <c r="BY541" s="123"/>
      <c r="CA541" s="0" t="s">
        <v>5048</v>
      </c>
      <c r="CD541" s="0" t="s">
        <v>256</v>
      </c>
      <c r="CE541" s="0" t="n">
        <v>0</v>
      </c>
      <c r="CF541" s="0" t="s">
        <v>5049</v>
      </c>
      <c r="CI541" s="1" t="n">
        <v>38412</v>
      </c>
      <c r="CJ541" s="1" t="n">
        <v>40813</v>
      </c>
      <c r="CK541" s="124" t="n">
        <v>0.458333333333333</v>
      </c>
      <c r="CL541" s="0" t="s">
        <v>5050</v>
      </c>
      <c r="CM541" s="0" t="n">
        <f aca="false">IF(OR(CI541="",CJ541=""),"",DAYS360(CI541,CJ541)/360)</f>
        <v>6.57222222222222</v>
      </c>
      <c r="CN541" s="0" t="n">
        <f aca="false">IF(OR(CI541="",CJ541=""),"",DAYS360(CI541,CJ541)/30)</f>
        <v>78.8666666666667</v>
      </c>
      <c r="CO541" s="0" t="n">
        <f aca="false">IF(OR(CI541="",CJ541=""),"",DAYS360(CI541,CJ541)/7)</f>
        <v>338</v>
      </c>
      <c r="CP541" s="0" t="n">
        <f aca="false">IF(OR(CI541="",CJ541=""),"",DAYS360(CI541,CJ541))</f>
        <v>2366</v>
      </c>
      <c r="CQ541" s="0" t="s">
        <v>220</v>
      </c>
      <c r="CR541" s="0" t="n">
        <v>1</v>
      </c>
      <c r="CT541" s="0" t="n">
        <v>570.65</v>
      </c>
      <c r="CU541" s="0" t="n">
        <v>3</v>
      </c>
      <c r="CV541" s="0" t="n">
        <f aca="false">IF(OR(CT541="",CT541="NO ESPECIFICA",CT541="NO MENCIONA"),"",IF(CU541=0,CT541,IF(CU541=1,CT541/30,IF(CU541=2,CT541/15,IF(CU541=3,CT541/7,"")))))</f>
        <v>81.5214285714286</v>
      </c>
      <c r="CW541" s="125" t="n">
        <v>708.34</v>
      </c>
      <c r="CX541" s="0" t="n">
        <v>0</v>
      </c>
      <c r="CY541" s="0" t="n">
        <f aca="false">IF(CW541="","",IF(CX541=0,CW541,IF(CX541=1,CW541/30,IF(CX541=2,CW541/15,IF(CX541=3,CW541/7,CW541)))))</f>
        <v>708.34</v>
      </c>
      <c r="CZ541" s="0" t="n">
        <f aca="false">IF(DI541&gt;0,DI541,IF(CY541&gt;0,CY541,IF(CV541&gt;0,CV541,"")))</f>
        <v>708.34</v>
      </c>
      <c r="DA541" s="0" t="n">
        <f aca="false">IF(DM541=1,CZ541/8,IF(OR(DM541=2,DM541=4),CZ541/7,IF(DM541=3,CZ541/7.5,"")))</f>
        <v>88.5425</v>
      </c>
      <c r="DB541" s="0" t="s">
        <v>1446</v>
      </c>
      <c r="DC541" s="0" t="s">
        <v>5051</v>
      </c>
      <c r="DD541" s="0" t="s">
        <v>303</v>
      </c>
      <c r="DE541" s="0" t="s">
        <v>301</v>
      </c>
      <c r="DF541" s="0" t="s">
        <v>216</v>
      </c>
      <c r="DG541" s="0" t="s">
        <v>216</v>
      </c>
      <c r="DH541" s="0" t="n">
        <v>0</v>
      </c>
      <c r="DI541" s="126" t="n">
        <v>708.34</v>
      </c>
      <c r="DK541" s="0" t="n">
        <v>1</v>
      </c>
      <c r="DM541" s="0" t="n">
        <v>1</v>
      </c>
      <c r="DN541" s="0" t="n">
        <v>42</v>
      </c>
      <c r="DO541" s="0" t="n">
        <v>3</v>
      </c>
      <c r="DP541" s="0" t="n">
        <v>1</v>
      </c>
      <c r="DQ541" s="0" t="n">
        <v>1</v>
      </c>
      <c r="DR541" s="0" t="n">
        <v>58212</v>
      </c>
      <c r="DS541" s="0" t="n">
        <v>1</v>
      </c>
      <c r="DU541" s="0" t="n">
        <v>1</v>
      </c>
      <c r="DW541" s="1" t="s">
        <v>216</v>
      </c>
      <c r="DX541" s="1" t="s">
        <v>216</v>
      </c>
      <c r="DY541" s="0" t="s">
        <v>216</v>
      </c>
      <c r="DZ541" s="0" t="s">
        <v>216</v>
      </c>
      <c r="EA541" s="0" t="n">
        <v>0</v>
      </c>
      <c r="EC541" s="1" t="s">
        <v>216</v>
      </c>
      <c r="ED541" s="1" t="s">
        <v>216</v>
      </c>
      <c r="EE541" s="0" t="s">
        <v>216</v>
      </c>
      <c r="EF541" s="0" t="s">
        <v>216</v>
      </c>
      <c r="EG541" s="0" t="n">
        <v>0</v>
      </c>
      <c r="EI541" s="0" t="str">
        <f aca="false">IF(AND(DM541=1,DN541&lt;=48),"",IF(AND(DM541=2,DN541&lt;=42),"",IF(AND(DM541=3,DN541&lt;=45),"",EH541)))</f>
        <v/>
      </c>
      <c r="EJ541" s="0" t="str">
        <f aca="false">IF(EI541="","",IF(EI541&lt;9,EI541,9))</f>
        <v/>
      </c>
      <c r="EK541" s="0" t="str">
        <f aca="false">IF(EI541="","",IF(EI541&gt;9,EI541-EJ541,0))</f>
        <v/>
      </c>
      <c r="EL541" s="0" t="str">
        <f aca="false">IF(EI541="","",EJ541*DA541*2+EK541*DA541*3)</f>
        <v/>
      </c>
      <c r="EP541" s="0" t="n">
        <v>1</v>
      </c>
      <c r="EQ541" s="0" t="n">
        <v>77616</v>
      </c>
      <c r="ER541" s="0" t="n">
        <v>0</v>
      </c>
      <c r="ET541" s="0" t="n">
        <v>0</v>
      </c>
      <c r="EV541" s="0" t="n">
        <v>0</v>
      </c>
      <c r="EX541" s="0" t="n">
        <v>0</v>
      </c>
      <c r="EY541" s="0" t="n">
        <v>0</v>
      </c>
      <c r="EZ541" s="0"/>
      <c r="FA541" s="4" t="n">
        <v>0</v>
      </c>
      <c r="FB541" s="0" t="n">
        <v>0</v>
      </c>
      <c r="FC541" s="1" t="n">
        <v>40968</v>
      </c>
      <c r="FD541" s="0" t="n">
        <v>2</v>
      </c>
      <c r="FE541" s="0" t="n">
        <v>0</v>
      </c>
      <c r="FF541" s="120" t="n">
        <f aca="false">(CJ541-CI541+1)/365</f>
        <v>6.58082191780822</v>
      </c>
      <c r="FG541" s="0" t="str">
        <f aca="false">CONCATENATE(F541,"/",G541)</f>
        <v>1693/2011</v>
      </c>
      <c r="FH541" s="0" t="n">
        <v>1</v>
      </c>
      <c r="FI541" s="0" t="n">
        <f aca="false">IFERROR(IF((FC541-J541+1)/365&gt;3,0,1),"")</f>
        <v>1</v>
      </c>
    </row>
    <row r="542" customFormat="false" ht="15" hidden="false" customHeight="false" outlineLevel="0" collapsed="false">
      <c r="A542" s="5" t="str">
        <f aca="false">E542&amp;G542&amp;F542</f>
        <v>720111689</v>
      </c>
      <c r="B542" s="0" t="s">
        <v>2737</v>
      </c>
      <c r="C542" s="1" t="n">
        <v>42378</v>
      </c>
      <c r="E542" s="0" t="n">
        <v>7</v>
      </c>
      <c r="F542" s="0" t="n">
        <v>1689</v>
      </c>
      <c r="G542" s="0" t="n">
        <v>2011</v>
      </c>
      <c r="H542" s="0" t="str">
        <f aca="false">"J"&amp;E542&amp;"\"&amp;F542&amp;"\"&amp;G542&amp;"\"&amp;W542</f>
        <v>J7\1689\2011\1</v>
      </c>
      <c r="I542" s="0"/>
      <c r="J542" s="1" t="n">
        <v>40816</v>
      </c>
      <c r="K542" s="0" t="n">
        <v>0</v>
      </c>
      <c r="M542" s="1" t="n">
        <v>40816</v>
      </c>
      <c r="N542" s="1" t="n">
        <v>41065</v>
      </c>
      <c r="O542" s="1"/>
      <c r="P542" s="1"/>
      <c r="Q542" s="1"/>
      <c r="T542" s="121"/>
      <c r="U542" s="121"/>
      <c r="V542" s="122" t="n">
        <f aca="false">IF(AND(E542&gt;0,F542&gt;0,G542&gt;0),COUNTIFS($E:$E,E542,$F:$F,F542,$G:$G,G542),"")</f>
        <v>1</v>
      </c>
      <c r="W542" s="122" t="n">
        <f aca="false">IF(V542="","",IF(V542=1,1,IF(AND(E541=E542,F541=F542,G541=G542),W541+1,1)))</f>
        <v>1</v>
      </c>
      <c r="X542" s="0" t="n">
        <v>1</v>
      </c>
      <c r="Y542" s="0" t="n">
        <v>3</v>
      </c>
      <c r="Z542" s="0" t="s">
        <v>5052</v>
      </c>
      <c r="AA542" s="0" t="n">
        <v>0</v>
      </c>
      <c r="AB542" s="0" t="s">
        <v>1802</v>
      </c>
      <c r="AC542" s="0" t="s">
        <v>1661</v>
      </c>
      <c r="AE542" s="0" t="n">
        <v>0</v>
      </c>
      <c r="AF542" s="0" t="s">
        <v>422</v>
      </c>
      <c r="AG542" s="0" t="n">
        <v>0</v>
      </c>
      <c r="AH542" s="0" t="s">
        <v>5053</v>
      </c>
      <c r="AI542" s="0" t="s">
        <v>3809</v>
      </c>
      <c r="AJ542" s="0" t="s">
        <v>411</v>
      </c>
      <c r="AL542" s="0" t="s">
        <v>5054</v>
      </c>
      <c r="AM542" s="0" t="n">
        <v>1</v>
      </c>
      <c r="AN542" s="0" t="s">
        <v>5053</v>
      </c>
      <c r="AO542" s="0" t="s">
        <v>3809</v>
      </c>
      <c r="AP542" s="0" t="s">
        <v>411</v>
      </c>
      <c r="AR542" s="0" t="s">
        <v>1637</v>
      </c>
      <c r="AS542" s="0" t="n">
        <v>1</v>
      </c>
      <c r="AT542" s="0" t="s">
        <v>5053</v>
      </c>
      <c r="AU542" s="0" t="s">
        <v>3809</v>
      </c>
      <c r="AV542" s="0" t="s">
        <v>411</v>
      </c>
      <c r="BR542" s="0" t="n">
        <v>1</v>
      </c>
      <c r="BS542" s="0" t="s">
        <v>1273</v>
      </c>
      <c r="BT542" s="0" t="s">
        <v>1809</v>
      </c>
      <c r="BU542" s="0" t="s">
        <v>1209</v>
      </c>
      <c r="BV542" s="123"/>
      <c r="BW542" s="123"/>
      <c r="BX542" s="123"/>
      <c r="BY542" s="123"/>
      <c r="CA542" s="0" t="s">
        <v>216</v>
      </c>
      <c r="CD542" s="0" t="s">
        <v>1308</v>
      </c>
      <c r="CE542" s="0" t="n">
        <v>0</v>
      </c>
      <c r="CF542" s="0" t="s">
        <v>313</v>
      </c>
      <c r="CI542" s="1" t="n">
        <v>40500</v>
      </c>
      <c r="CJ542" s="1" t="n">
        <v>40813</v>
      </c>
      <c r="CK542" s="124" t="n">
        <v>0.333333333333333</v>
      </c>
      <c r="CL542" s="0" t="s">
        <v>5054</v>
      </c>
      <c r="CM542" s="0" t="n">
        <f aca="false">IF(OR(CI542="",CJ542=""),"",DAYS360(CI542,CJ542)/360)</f>
        <v>0.858333333333333</v>
      </c>
      <c r="CN542" s="0" t="n">
        <f aca="false">IF(OR(CI542="",CJ542=""),"",DAYS360(CI542,CJ542)/30)</f>
        <v>10.3</v>
      </c>
      <c r="CO542" s="0" t="n">
        <f aca="false">IF(OR(CI542="",CJ542=""),"",DAYS360(CI542,CJ542)/7)</f>
        <v>44.1428571428571</v>
      </c>
      <c r="CP542" s="0" t="n">
        <f aca="false">IF(OR(CI542="",CJ542=""),"",DAYS360(CI542,CJ542))</f>
        <v>309</v>
      </c>
      <c r="CQ542" s="0" t="s">
        <v>240</v>
      </c>
      <c r="CR542" s="0" t="n">
        <v>1</v>
      </c>
      <c r="CT542" s="0" t="s">
        <v>221</v>
      </c>
      <c r="CU542" s="0" t="s">
        <v>221</v>
      </c>
      <c r="CV542" s="0" t="str">
        <f aca="false">IF(OR(CT542="",CT542="NO ESPECIFICA",CT542="NO MENCIONA"),"",IF(CU542=0,CT542,IF(CU542=1,CT542/30,IF(CU542=2,CT542/15,IF(CU542=3,CT542/7,"")))))</f>
        <v/>
      </c>
      <c r="CW542" s="125" t="n">
        <v>20000</v>
      </c>
      <c r="CX542" s="0" t="n">
        <v>1</v>
      </c>
      <c r="CY542" s="0" t="n">
        <f aca="false">IF(CW542="","",IF(CX542=0,CW542,IF(CX542=1,CW542/30,IF(CX542=2,CW542/15,IF(CX542=3,CW542/7,CW542)))))</f>
        <v>666.666666666667</v>
      </c>
      <c r="CZ542" s="0" t="n">
        <f aca="false">IF(DI542&gt;0,DI542,IF(CY542&gt;0,CY542,IF(CV542&gt;0,CV542,"")))</f>
        <v>666.666666666667</v>
      </c>
      <c r="DA542" s="0" t="n">
        <f aca="false">IF(DM542=1,CZ542/8,IF(OR(DM542=2,DM542=4),CZ542/7,IF(DM542=3,CZ542/7.5,"")))</f>
        <v>83.3333333333333</v>
      </c>
      <c r="DB542" s="0" t="s">
        <v>216</v>
      </c>
      <c r="DC542" s="0" t="s">
        <v>216</v>
      </c>
      <c r="DD542" s="0" t="s">
        <v>216</v>
      </c>
      <c r="DE542" s="0" t="s">
        <v>216</v>
      </c>
      <c r="DF542" s="0" t="s">
        <v>216</v>
      </c>
      <c r="DG542" s="0" t="s">
        <v>216</v>
      </c>
      <c r="DH542" s="0" t="n">
        <v>0</v>
      </c>
      <c r="DI542" s="126" t="n">
        <v>666.666666666667</v>
      </c>
      <c r="DK542" s="0" t="n">
        <v>0</v>
      </c>
      <c r="DM542" s="0" t="n">
        <v>1</v>
      </c>
      <c r="DN542" s="0" t="n">
        <v>72</v>
      </c>
      <c r="DO542" s="0" t="n">
        <v>3</v>
      </c>
      <c r="DP542" s="0" t="n">
        <v>0</v>
      </c>
      <c r="DQ542" s="0" t="n">
        <v>1</v>
      </c>
      <c r="DR542" s="0"/>
      <c r="DS542" s="0" t="n">
        <v>1</v>
      </c>
      <c r="DU542" s="0" t="n">
        <v>1</v>
      </c>
      <c r="DW542" s="1" t="n">
        <v>40500</v>
      </c>
      <c r="DX542" s="1" t="n">
        <v>40813</v>
      </c>
      <c r="DZ542" s="0"/>
      <c r="EA542" s="0" t="n">
        <v>1</v>
      </c>
      <c r="EC542" s="1" t="n">
        <v>40500</v>
      </c>
      <c r="ED542" s="1" t="n">
        <v>40813</v>
      </c>
      <c r="EF542" s="0"/>
      <c r="EG542" s="0" t="n">
        <v>1</v>
      </c>
      <c r="EH542" s="0" t="n">
        <v>18</v>
      </c>
      <c r="EI542" s="0" t="n">
        <f aca="false">IF(AND(DM542=1,DN542&lt;=48),"",IF(AND(DM542=2,DN542&lt;=42),"",IF(AND(DM542=3,DN542&lt;=45),"",EH542)))</f>
        <v>18</v>
      </c>
      <c r="EJ542" s="0" t="n">
        <f aca="false">IF(EI542="","",IF(EI542&lt;9,EI542,9))</f>
        <v>9</v>
      </c>
      <c r="EK542" s="0" t="n">
        <f aca="false">IF(EI542="","",IF(EI542&gt;9,EI542-EJ542,0))</f>
        <v>9</v>
      </c>
      <c r="EL542" s="0" t="n">
        <f aca="false">IF(EI542="","",EJ542*DA542*2+EK542*DA542*3)</f>
        <v>3750</v>
      </c>
      <c r="EP542" s="0" t="n">
        <v>0</v>
      </c>
      <c r="EQ542" s="0"/>
      <c r="ER542" s="0" t="n">
        <v>1</v>
      </c>
      <c r="ET542" s="0" t="n">
        <v>1</v>
      </c>
      <c r="EV542" s="0" t="n">
        <v>1</v>
      </c>
      <c r="EX542" s="0" t="n">
        <v>0</v>
      </c>
      <c r="EY542" s="0" t="n">
        <v>0</v>
      </c>
      <c r="EZ542" s="0"/>
      <c r="FA542" s="4" t="n">
        <v>41333.3333333333</v>
      </c>
      <c r="FB542" s="0" t="n">
        <v>1</v>
      </c>
      <c r="FC542" s="1"/>
      <c r="FF542" s="120" t="n">
        <f aca="false">(CJ542-CI542+1)/365</f>
        <v>0.86027397260274</v>
      </c>
      <c r="FG542" s="0" t="str">
        <f aca="false">CONCATENATE(F542,"/",G542)</f>
        <v>1689/2011</v>
      </c>
      <c r="FH542" s="0" t="n">
        <v>1</v>
      </c>
      <c r="FI542" s="0" t="n">
        <f aca="false">IFERROR(IF((FC542-J542+1)/365&gt;3,0,1),"")</f>
        <v>1</v>
      </c>
    </row>
    <row r="543" customFormat="false" ht="15" hidden="false" customHeight="false" outlineLevel="0" collapsed="false">
      <c r="A543" s="5" t="str">
        <f aca="false">E543&amp;G543&amp;F543</f>
        <v>720111688</v>
      </c>
      <c r="B543" s="0" t="s">
        <v>2737</v>
      </c>
      <c r="C543" s="1" t="n">
        <v>42378</v>
      </c>
      <c r="E543" s="0" t="n">
        <v>7</v>
      </c>
      <c r="F543" s="0" t="n">
        <v>1688</v>
      </c>
      <c r="G543" s="0" t="n">
        <v>2011</v>
      </c>
      <c r="H543" s="0" t="str">
        <f aca="false">"J"&amp;E543&amp;"\"&amp;F543&amp;"\"&amp;G543&amp;"\"&amp;W543</f>
        <v>J7\1688\2011\1</v>
      </c>
      <c r="I543" s="0"/>
      <c r="J543" s="1" t="n">
        <v>40816</v>
      </c>
      <c r="K543" s="0" t="n">
        <v>0</v>
      </c>
      <c r="M543" s="1"/>
      <c r="N543" s="1"/>
      <c r="O543" s="1"/>
      <c r="P543" s="1"/>
      <c r="Q543" s="1"/>
      <c r="T543" s="121"/>
      <c r="U543" s="121"/>
      <c r="V543" s="122" t="n">
        <f aca="false">IF(AND(E543&gt;0,F543&gt;0,G543&gt;0),COUNTIFS($E:$E,E543,$F:$F,F543,$G:$G,G543),"")</f>
        <v>1</v>
      </c>
      <c r="W543" s="122" t="n">
        <f aca="false">IF(V543="","",IF(V543=1,1,IF(AND(E542=E543,F542=F543,G542=G543),W542+1,1)))</f>
        <v>1</v>
      </c>
      <c r="X543" s="0" t="n">
        <v>1</v>
      </c>
      <c r="Y543" s="0" t="n">
        <v>3</v>
      </c>
      <c r="Z543" s="0" t="s">
        <v>5055</v>
      </c>
      <c r="AA543" s="0" t="n">
        <v>0</v>
      </c>
      <c r="AB543" s="0" t="s">
        <v>5056</v>
      </c>
      <c r="AC543" s="0" t="s">
        <v>830</v>
      </c>
      <c r="AD543" s="0" t="s">
        <v>322</v>
      </c>
      <c r="AE543" s="0" t="n">
        <v>0</v>
      </c>
      <c r="AF543" s="0" t="s">
        <v>5057</v>
      </c>
      <c r="AG543" s="0" t="n">
        <v>0</v>
      </c>
      <c r="AH543" s="0" t="s">
        <v>5058</v>
      </c>
      <c r="AI543" s="0" t="s">
        <v>5059</v>
      </c>
      <c r="AJ543" s="0" t="s">
        <v>211</v>
      </c>
      <c r="AL543" s="0" t="s">
        <v>5060</v>
      </c>
      <c r="AM543" s="0" t="n">
        <v>1</v>
      </c>
      <c r="AN543" s="0" t="s">
        <v>5058</v>
      </c>
      <c r="AO543" s="0" t="s">
        <v>5059</v>
      </c>
      <c r="AP543" s="0" t="s">
        <v>211</v>
      </c>
      <c r="AR543" s="0" t="s">
        <v>5061</v>
      </c>
      <c r="AS543" s="0" t="n">
        <v>1</v>
      </c>
      <c r="AT543" s="0" t="s">
        <v>5058</v>
      </c>
      <c r="AU543" s="0" t="s">
        <v>5059</v>
      </c>
      <c r="AV543" s="0" t="s">
        <v>211</v>
      </c>
      <c r="BR543" s="0" t="n">
        <v>1</v>
      </c>
      <c r="BS543" s="0" t="s">
        <v>5062</v>
      </c>
      <c r="BT543" s="0" t="s">
        <v>5063</v>
      </c>
      <c r="BU543" s="0" t="s">
        <v>5064</v>
      </c>
      <c r="BV543" s="123"/>
      <c r="BW543" s="123"/>
      <c r="BX543" s="123"/>
      <c r="BY543" s="123"/>
      <c r="CA543" s="0" t="s">
        <v>216</v>
      </c>
      <c r="CD543" s="0" t="s">
        <v>502</v>
      </c>
      <c r="CE543" s="0" t="n">
        <v>0</v>
      </c>
      <c r="CF543" s="0" t="s">
        <v>503</v>
      </c>
      <c r="CI543" s="1" t="n">
        <v>32390</v>
      </c>
      <c r="CJ543" s="1" t="n">
        <v>40799</v>
      </c>
      <c r="CK543" s="124" t="n">
        <v>0.458333333333333</v>
      </c>
      <c r="CL543" s="0" t="s">
        <v>5060</v>
      </c>
      <c r="CM543" s="0" t="n">
        <f aca="false">IF(OR(CI543="",CJ543=""),"",DAYS360(CI543,CJ543)/360)</f>
        <v>23.025</v>
      </c>
      <c r="CN543" s="0" t="n">
        <f aca="false">IF(OR(CI543="",CJ543=""),"",DAYS360(CI543,CJ543)/30)</f>
        <v>276.3</v>
      </c>
      <c r="CO543" s="0" t="n">
        <f aca="false">IF(OR(CI543="",CJ543=""),"",DAYS360(CI543,CJ543)/7)</f>
        <v>1184.14285714286</v>
      </c>
      <c r="CP543" s="0" t="n">
        <f aca="false">IF(OR(CI543="",CJ543=""),"",DAYS360(CI543,CJ543))</f>
        <v>8289</v>
      </c>
      <c r="CQ543" s="0" t="s">
        <v>240</v>
      </c>
      <c r="CR543" s="0" t="n">
        <v>1</v>
      </c>
      <c r="CT543" s="0" t="s">
        <v>221</v>
      </c>
      <c r="CU543" s="0" t="s">
        <v>221</v>
      </c>
      <c r="CV543" s="0" t="str">
        <f aca="false">IF(OR(CT543="",CT543="NO ESPECIFICA",CT543="NO MENCIONA"),"",IF(CU543=0,CT543,IF(CU543=1,CT543/30,IF(CU543=2,CT543/15,IF(CU543=3,CT543/7,"")))))</f>
        <v/>
      </c>
      <c r="CW543" s="125" t="n">
        <v>1564.79</v>
      </c>
      <c r="CX543" s="0" t="n">
        <v>3</v>
      </c>
      <c r="CY543" s="0" t="n">
        <f aca="false">IF(CW543="","",IF(CX543=0,CW543,IF(CX543=1,CW543/30,IF(CX543=2,CW543/15,IF(CX543=3,CW543/7,CW543)))))</f>
        <v>223.541428571429</v>
      </c>
      <c r="CZ543" s="0" t="n">
        <f aca="false">IF(DI543&gt;0,DI543,IF(CY543&gt;0,CY543,IF(CV543&gt;0,CV543,"")))</f>
        <v>223.541428571429</v>
      </c>
      <c r="DA543" s="0" t="n">
        <f aca="false">IF(DM543=1,CZ543/8,IF(OR(DM543=2,DM543=4),CZ543/7,IF(DM543=3,CZ543/7.5,"")))</f>
        <v>29.8055238095238</v>
      </c>
      <c r="DB543" s="0" t="s">
        <v>216</v>
      </c>
      <c r="DC543" s="0" t="s">
        <v>216</v>
      </c>
      <c r="DD543" s="0" t="s">
        <v>216</v>
      </c>
      <c r="DE543" s="0" t="s">
        <v>216</v>
      </c>
      <c r="DF543" s="0" t="s">
        <v>216</v>
      </c>
      <c r="DG543" s="0" t="s">
        <v>216</v>
      </c>
      <c r="DH543" s="0" t="n">
        <v>0</v>
      </c>
      <c r="DI543" s="126" t="n">
        <v>223.541428571429</v>
      </c>
      <c r="DK543" s="0" t="n">
        <v>0</v>
      </c>
      <c r="DM543" s="0" t="n">
        <v>3</v>
      </c>
      <c r="DN543" s="0" t="n">
        <v>108</v>
      </c>
      <c r="DO543" s="0" t="n">
        <v>3</v>
      </c>
      <c r="DP543" s="0" t="n">
        <v>0</v>
      </c>
      <c r="DQ543" s="0" t="n">
        <v>1</v>
      </c>
      <c r="DR543" s="0"/>
      <c r="DS543" s="0" t="n">
        <v>1</v>
      </c>
      <c r="DU543" s="0" t="n">
        <v>1</v>
      </c>
      <c r="DW543" s="1" t="n">
        <v>32390</v>
      </c>
      <c r="DX543" s="1" t="n">
        <v>40799</v>
      </c>
      <c r="DZ543" s="0"/>
      <c r="EA543" s="0" t="n">
        <v>1</v>
      </c>
      <c r="EC543" s="1" t="n">
        <v>32390</v>
      </c>
      <c r="ED543" s="1" t="n">
        <v>40799</v>
      </c>
      <c r="EF543" s="0"/>
      <c r="EG543" s="0" t="n">
        <v>1</v>
      </c>
      <c r="EH543" s="0" t="s">
        <v>221</v>
      </c>
      <c r="EI543" s="0" t="str">
        <f aca="false">IF(AND(DM543=1,DN543&lt;=48),"",IF(AND(DM543=2,DN543&lt;=42),"",IF(AND(DM543=3,DN543&lt;=45),"",EH543)))</f>
        <v>NO ESPECIFICA</v>
      </c>
      <c r="EJ543" s="0" t="n">
        <f aca="false">IF(EI543="","",IF(EI543&lt;9,EI543,9))</f>
        <v>9</v>
      </c>
      <c r="EK543" s="0" t="e">
        <f aca="false">IF(EI543="","",IF(EI543&gt;9,EI543-EJ543,0))</f>
        <v>#VALUE!</v>
      </c>
      <c r="EL543" s="0" t="e">
        <f aca="false">IF(EI543="","",EJ543*DA543*2+EK543*DA543*3)</f>
        <v>#VALUE!</v>
      </c>
      <c r="EP543" s="0" t="n">
        <v>0</v>
      </c>
      <c r="EQ543" s="0"/>
      <c r="ER543" s="0" t="n">
        <v>0</v>
      </c>
      <c r="ET543" s="0" t="n">
        <v>0</v>
      </c>
      <c r="EV543" s="0" t="n">
        <v>0</v>
      </c>
      <c r="EX543" s="0" t="n">
        <v>0</v>
      </c>
      <c r="EY543" s="0" t="n">
        <v>0</v>
      </c>
      <c r="EZ543" s="0"/>
      <c r="FA543" s="4" t="n">
        <v>1341.24857142857</v>
      </c>
      <c r="FB543" s="0" t="n">
        <v>1</v>
      </c>
      <c r="FC543" s="1" t="n">
        <v>41514</v>
      </c>
      <c r="FD543" s="0" t="n">
        <v>1</v>
      </c>
      <c r="FE543" s="0" t="n">
        <v>27000</v>
      </c>
      <c r="FF543" s="120" t="n">
        <f aca="false">(CJ543-CI543+1)/365</f>
        <v>23.041095890411</v>
      </c>
      <c r="FG543" s="0" t="str">
        <f aca="false">CONCATENATE(F543,"/",G543)</f>
        <v>1688/2011</v>
      </c>
      <c r="FH543" s="0" t="n">
        <v>1</v>
      </c>
      <c r="FI543" s="0" t="n">
        <f aca="false">IFERROR(IF((FC543-J543+1)/365&gt;3,0,1),"")</f>
        <v>1</v>
      </c>
    </row>
    <row r="544" customFormat="false" ht="15" hidden="false" customHeight="false" outlineLevel="0" collapsed="false">
      <c r="A544" s="5" t="str">
        <f aca="false">E544&amp;G544&amp;F544</f>
        <v>720111674</v>
      </c>
      <c r="B544" s="0" t="s">
        <v>2737</v>
      </c>
      <c r="C544" s="1" t="n">
        <v>42379</v>
      </c>
      <c r="E544" s="0" t="n">
        <v>7</v>
      </c>
      <c r="F544" s="0" t="n">
        <v>1674</v>
      </c>
      <c r="G544" s="0" t="n">
        <v>2011</v>
      </c>
      <c r="H544" s="0" t="str">
        <f aca="false">"J"&amp;E544&amp;"\"&amp;F544&amp;"\"&amp;G544&amp;"\"&amp;W544</f>
        <v>J7\1674\2011\1</v>
      </c>
      <c r="I544" s="0"/>
      <c r="J544" s="1" t="n">
        <v>40815</v>
      </c>
      <c r="K544" s="0" t="n">
        <v>0</v>
      </c>
      <c r="M544" s="1" t="n">
        <v>40815</v>
      </c>
      <c r="N544" s="1" t="n">
        <v>41061</v>
      </c>
      <c r="O544" s="1"/>
      <c r="P544" s="1"/>
      <c r="Q544" s="1"/>
      <c r="T544" s="121"/>
      <c r="U544" s="121"/>
      <c r="V544" s="122" t="n">
        <f aca="false">IF(AND(E544&gt;0,F544&gt;0,G544&gt;0),COUNTIFS($E:$E,E544,$F:$F,F544,$G:$G,G544),"")</f>
        <v>1</v>
      </c>
      <c r="W544" s="122" t="n">
        <f aca="false">IF(V544="","",IF(V544=1,1,IF(AND(E543=E544,F543=F544,G543=G544),W543+1,1)))</f>
        <v>1</v>
      </c>
      <c r="X544" s="0" t="n">
        <v>1</v>
      </c>
      <c r="Y544" s="0" t="n">
        <v>2</v>
      </c>
      <c r="Z544" s="0" t="s">
        <v>5065</v>
      </c>
      <c r="AA544" s="0" t="n">
        <v>0</v>
      </c>
      <c r="AB544" s="0" t="s">
        <v>5066</v>
      </c>
      <c r="AC544" s="0" t="s">
        <v>318</v>
      </c>
      <c r="AE544" s="0" t="n">
        <v>0</v>
      </c>
      <c r="AF544" s="0" t="s">
        <v>5067</v>
      </c>
      <c r="AG544" s="0" t="n">
        <v>0</v>
      </c>
      <c r="AH544" s="0" t="s">
        <v>5068</v>
      </c>
      <c r="AI544" s="0" t="s">
        <v>3013</v>
      </c>
      <c r="AJ544" s="0" t="s">
        <v>322</v>
      </c>
      <c r="AL544" s="0" t="s">
        <v>1637</v>
      </c>
      <c r="AM544" s="0" t="n">
        <v>1</v>
      </c>
      <c r="AN544" s="0" t="s">
        <v>5068</v>
      </c>
      <c r="AO544" s="0" t="s">
        <v>3013</v>
      </c>
      <c r="AP544" s="0" t="s">
        <v>322</v>
      </c>
      <c r="BR544" s="0" t="n">
        <v>1</v>
      </c>
      <c r="BS544" s="0" t="s">
        <v>5069</v>
      </c>
      <c r="BT544" s="0" t="s">
        <v>5070</v>
      </c>
      <c r="BU544" s="0" t="s">
        <v>5071</v>
      </c>
      <c r="BV544" s="123"/>
      <c r="BW544" s="123"/>
      <c r="BX544" s="123"/>
      <c r="BY544" s="123"/>
      <c r="CA544" s="0" t="s">
        <v>5072</v>
      </c>
      <c r="CD544" s="0" t="s">
        <v>256</v>
      </c>
      <c r="CE544" s="0" t="n">
        <v>0</v>
      </c>
      <c r="CF544" s="0" t="s">
        <v>5073</v>
      </c>
      <c r="CI544" s="1" t="n">
        <v>35080</v>
      </c>
      <c r="CJ544" s="1" t="n">
        <v>40756</v>
      </c>
      <c r="CK544" s="124" t="n">
        <v>0.375</v>
      </c>
      <c r="CL544" s="0" t="s">
        <v>5074</v>
      </c>
      <c r="CM544" s="0" t="n">
        <f aca="false">IF(OR(CI544="",CJ544=""),"",DAYS360(CI544,CJ544)/360)</f>
        <v>15.5416666666667</v>
      </c>
      <c r="CN544" s="0" t="n">
        <f aca="false">IF(OR(CI544="",CJ544=""),"",DAYS360(CI544,CJ544)/30)</f>
        <v>186.5</v>
      </c>
      <c r="CO544" s="0" t="n">
        <f aca="false">IF(OR(CI544="",CJ544=""),"",DAYS360(CI544,CJ544)/7)</f>
        <v>799.285714285714</v>
      </c>
      <c r="CP544" s="0" t="n">
        <f aca="false">IF(OR(CI544="",CJ544=""),"",DAYS360(CI544,CJ544))</f>
        <v>5595</v>
      </c>
      <c r="CQ544" s="0" t="s">
        <v>220</v>
      </c>
      <c r="CR544" s="0" t="n">
        <v>1</v>
      </c>
      <c r="CT544" s="0" t="n">
        <v>214.21</v>
      </c>
      <c r="CU544" s="0" t="n">
        <v>0</v>
      </c>
      <c r="CV544" s="0" t="n">
        <f aca="false">IF(OR(CT544="",CT544="NO ESPECIFICA",CT544="NO MENCIONA"),"",IF(CU544=0,CT544,IF(CU544=1,CT544/30,IF(CU544=2,CT544/15,IF(CU544=3,CT544/7,"")))))</f>
        <v>214.21</v>
      </c>
      <c r="CW544" s="125" t="n">
        <v>345</v>
      </c>
      <c r="CX544" s="0" t="n">
        <v>0</v>
      </c>
      <c r="CY544" s="0" t="n">
        <f aca="false">IF(CW544="","",IF(CX544=0,CW544,IF(CX544=1,CW544/30,IF(CX544=2,CW544/15,IF(CX544=3,CW544/7,CW544)))))</f>
        <v>345</v>
      </c>
      <c r="CZ544" s="0" t="n">
        <f aca="false">IF(DI544&gt;0,DI544,IF(CY544&gt;0,CY544,IF(CV544&gt;0,CV544,"")))</f>
        <v>345</v>
      </c>
      <c r="DA544" s="0" t="n">
        <f aca="false">IF(DM544=1,CZ544/8,IF(OR(DM544=2,DM544=4),CZ544/7,IF(DM544=3,CZ544/7.5,"")))</f>
        <v>43.125</v>
      </c>
      <c r="DB544" s="0" t="s">
        <v>216</v>
      </c>
      <c r="DC544" s="0" t="s">
        <v>216</v>
      </c>
      <c r="DD544" s="0" t="s">
        <v>216</v>
      </c>
      <c r="DE544" s="0" t="s">
        <v>216</v>
      </c>
      <c r="DF544" s="0" t="s">
        <v>216</v>
      </c>
      <c r="DG544" s="0" t="s">
        <v>216</v>
      </c>
      <c r="DH544" s="0" t="n">
        <v>0</v>
      </c>
      <c r="DI544" s="126" t="n">
        <v>345</v>
      </c>
      <c r="DK544" s="0" t="n">
        <v>0</v>
      </c>
      <c r="DM544" s="0" t="n">
        <v>1</v>
      </c>
      <c r="DN544" s="0" t="n">
        <v>45</v>
      </c>
      <c r="DO544" s="0" t="n">
        <v>3</v>
      </c>
      <c r="DP544" s="0" t="n">
        <v>1</v>
      </c>
      <c r="DQ544" s="0" t="n">
        <v>0</v>
      </c>
      <c r="DR544" s="0"/>
      <c r="DS544" s="0" t="n">
        <v>1</v>
      </c>
      <c r="DU544" s="0" t="n">
        <v>0</v>
      </c>
      <c r="DW544" s="1" t="n">
        <v>40559</v>
      </c>
      <c r="DX544" s="1" t="n">
        <v>40756</v>
      </c>
      <c r="DZ544" s="0"/>
      <c r="EA544" s="0" t="n">
        <v>1</v>
      </c>
      <c r="EC544" s="1" t="n">
        <v>40544</v>
      </c>
      <c r="ED544" s="1" t="n">
        <v>40756</v>
      </c>
      <c r="EF544" s="0"/>
      <c r="EG544" s="0" t="n">
        <v>0</v>
      </c>
      <c r="EI544" s="0" t="str">
        <f aca="false">IF(AND(DM544=1,DN544&lt;=48),"",IF(AND(DM544=2,DN544&lt;=42),"",IF(AND(DM544=3,DN544&lt;=45),"",EH544)))</f>
        <v/>
      </c>
      <c r="EJ544" s="0" t="str">
        <f aca="false">IF(EI544="","",IF(EI544&lt;9,EI544,9))</f>
        <v/>
      </c>
      <c r="EK544" s="0" t="str">
        <f aca="false">IF(EI544="","",IF(EI544&gt;9,EI544-EJ544,0))</f>
        <v/>
      </c>
      <c r="EL544" s="0" t="str">
        <f aca="false">IF(EI544="","",EJ544*DA544*2+EK544*DA544*3)</f>
        <v/>
      </c>
      <c r="EP544" s="0" t="n">
        <v>0</v>
      </c>
      <c r="EQ544" s="0"/>
      <c r="ER544" s="0" t="n">
        <v>0</v>
      </c>
      <c r="ET544" s="0" t="n">
        <v>0</v>
      </c>
      <c r="EV544" s="0" t="n">
        <v>0</v>
      </c>
      <c r="EX544" s="0" t="n">
        <v>0</v>
      </c>
      <c r="EY544" s="0" t="n">
        <v>0</v>
      </c>
      <c r="EZ544" s="0"/>
      <c r="FA544" s="4" t="n">
        <v>0</v>
      </c>
      <c r="FB544" s="0" t="n">
        <v>1</v>
      </c>
      <c r="FC544" s="1" t="n">
        <v>41101</v>
      </c>
      <c r="FD544" s="0" t="n">
        <v>1</v>
      </c>
      <c r="FE544" s="0" t="n">
        <v>50000</v>
      </c>
      <c r="FF544" s="120" t="n">
        <f aca="false">(CJ544-CI544+1)/365</f>
        <v>15.5534246575342</v>
      </c>
      <c r="FG544" s="0" t="str">
        <f aca="false">CONCATENATE(F544,"/",G544)</f>
        <v>1674/2011</v>
      </c>
      <c r="FH544" s="0" t="n">
        <v>1</v>
      </c>
      <c r="FI544" s="0" t="n">
        <f aca="false">IFERROR(IF((FC544-J544+1)/365&gt;3,0,1),"")</f>
        <v>1</v>
      </c>
    </row>
    <row r="545" customFormat="false" ht="15" hidden="false" customHeight="false" outlineLevel="0" collapsed="false">
      <c r="A545" s="5" t="str">
        <f aca="false">E545&amp;G545&amp;F545</f>
        <v>720111672</v>
      </c>
      <c r="B545" s="0" t="s">
        <v>2737</v>
      </c>
      <c r="C545" s="1" t="n">
        <v>42379</v>
      </c>
      <c r="E545" s="0" t="n">
        <v>7</v>
      </c>
      <c r="F545" s="0" t="n">
        <v>1672</v>
      </c>
      <c r="G545" s="0" t="n">
        <v>2011</v>
      </c>
      <c r="H545" s="0" t="str">
        <f aca="false">"J"&amp;E545&amp;"\"&amp;F545&amp;"\"&amp;G545&amp;"\"&amp;W545</f>
        <v>J7\1672\2011\1</v>
      </c>
      <c r="I545" s="0"/>
      <c r="J545" s="1" t="n">
        <v>40815</v>
      </c>
      <c r="K545" s="0" t="n">
        <v>0</v>
      </c>
      <c r="M545" s="1" t="n">
        <v>40815</v>
      </c>
      <c r="N545" s="1" t="n">
        <v>41060</v>
      </c>
      <c r="O545" s="1"/>
      <c r="P545" s="1"/>
      <c r="Q545" s="1"/>
      <c r="T545" s="121"/>
      <c r="U545" s="121"/>
      <c r="V545" s="122" t="n">
        <f aca="false">IF(AND(E545&gt;0,F545&gt;0,G545&gt;0),COUNTIFS($E:$E,E545,$F:$F,F545,$G:$G,G545),"")</f>
        <v>1</v>
      </c>
      <c r="W545" s="122" t="n">
        <f aca="false">IF(V545="","",IF(V545=1,1,IF(AND(E544=E545,F544=F545,G544=G545),W544+1,1)))</f>
        <v>1</v>
      </c>
      <c r="X545" s="0" t="n">
        <v>1</v>
      </c>
      <c r="Y545" s="0" t="n">
        <v>3</v>
      </c>
      <c r="Z545" s="0" t="s">
        <v>5075</v>
      </c>
      <c r="AA545" s="0" t="n">
        <v>0</v>
      </c>
      <c r="AB545" s="0" t="s">
        <v>1875</v>
      </c>
      <c r="AC545" s="0" t="s">
        <v>228</v>
      </c>
      <c r="AD545" s="0" t="s">
        <v>229</v>
      </c>
      <c r="AE545" s="0" t="n">
        <v>0</v>
      </c>
      <c r="AF545" s="0" t="s">
        <v>5076</v>
      </c>
      <c r="AG545" s="0" t="n">
        <v>0</v>
      </c>
      <c r="AH545" s="0" t="s">
        <v>5077</v>
      </c>
      <c r="AI545" s="0" t="s">
        <v>4386</v>
      </c>
      <c r="AJ545" s="0" t="s">
        <v>211</v>
      </c>
      <c r="AL545" s="0" t="s">
        <v>5078</v>
      </c>
      <c r="AM545" s="0" t="n">
        <v>1</v>
      </c>
      <c r="AN545" s="0" t="s">
        <v>5077</v>
      </c>
      <c r="AO545" s="0" t="s">
        <v>4386</v>
      </c>
      <c r="AP545" s="0" t="s">
        <v>211</v>
      </c>
      <c r="AR545" s="0" t="s">
        <v>1637</v>
      </c>
      <c r="AS545" s="0" t="n">
        <v>1</v>
      </c>
      <c r="AT545" s="0" t="s">
        <v>5077</v>
      </c>
      <c r="AU545" s="0" t="s">
        <v>4386</v>
      </c>
      <c r="AV545" s="0" t="s">
        <v>211</v>
      </c>
      <c r="BR545" s="0" t="n">
        <v>3</v>
      </c>
      <c r="BS545" s="0" t="s">
        <v>1882</v>
      </c>
      <c r="BT545" s="0" t="s">
        <v>1881</v>
      </c>
      <c r="BU545" s="0" t="s">
        <v>1818</v>
      </c>
      <c r="BV545" s="123"/>
      <c r="BW545" s="123"/>
      <c r="BX545" s="123"/>
      <c r="BY545" s="123"/>
      <c r="CA545" s="0" t="s">
        <v>348</v>
      </c>
      <c r="CD545" s="0" t="s">
        <v>296</v>
      </c>
      <c r="CE545" s="0" t="n">
        <v>0</v>
      </c>
      <c r="CF545" s="0" t="s">
        <v>4234</v>
      </c>
      <c r="CI545" s="1" t="n">
        <v>39675</v>
      </c>
      <c r="CJ545" s="1" t="n">
        <v>40757</v>
      </c>
      <c r="CK545" s="124" t="n">
        <v>0.625</v>
      </c>
      <c r="CL545" s="0" t="s">
        <v>5078</v>
      </c>
      <c r="CM545" s="0" t="n">
        <f aca="false">IF(OR(CI545="",CJ545=""),"",DAYS360(CI545,CJ545)/360)</f>
        <v>2.96388888888889</v>
      </c>
      <c r="CN545" s="0" t="n">
        <f aca="false">IF(OR(CI545="",CJ545=""),"",DAYS360(CI545,CJ545)/30)</f>
        <v>35.5666666666667</v>
      </c>
      <c r="CO545" s="0" t="n">
        <f aca="false">IF(OR(CI545="",CJ545=""),"",DAYS360(CI545,CJ545)/7)</f>
        <v>152.428571428571</v>
      </c>
      <c r="CP545" s="0" t="n">
        <f aca="false">IF(OR(CI545="",CJ545=""),"",DAYS360(CI545,CJ545))</f>
        <v>1067</v>
      </c>
      <c r="CQ545" s="0" t="s">
        <v>240</v>
      </c>
      <c r="CR545" s="0" t="n">
        <v>1</v>
      </c>
      <c r="CT545" s="0" t="n">
        <v>188.91</v>
      </c>
      <c r="CU545" s="0" t="n">
        <v>0</v>
      </c>
      <c r="CV545" s="0" t="n">
        <f aca="false">IF(OR(CT545="",CT545="NO ESPECIFICA",CT545="NO MENCIONA"),"",IF(CU545=0,CT545,IF(CU545=1,CT545/30,IF(CU545=2,CT545/15,IF(CU545=3,CT545/7,"")))))</f>
        <v>188.91</v>
      </c>
      <c r="CW545" s="125" t="n">
        <v>232.68</v>
      </c>
      <c r="CX545" s="0" t="n">
        <v>0</v>
      </c>
      <c r="CY545" s="0" t="n">
        <f aca="false">IF(CW545="","",IF(CX545=0,CW545,IF(CX545=1,CW545/30,IF(CX545=2,CW545/15,IF(CX545=3,CW545/7,CW545)))))</f>
        <v>232.68</v>
      </c>
      <c r="CZ545" s="0" t="n">
        <f aca="false">IF(DI545&gt;0,DI545,IF(CY545&gt;0,CY545,IF(CV545&gt;0,CV545,"")))</f>
        <v>232.68</v>
      </c>
      <c r="DA545" s="0" t="n">
        <f aca="false">IF(DM545=1,CZ545/8,IF(OR(DM545=2,DM545=4),CZ545/7,IF(DM545=3,CZ545/7.5,"")))</f>
        <v>29.085</v>
      </c>
      <c r="DB545" s="0" t="s">
        <v>303</v>
      </c>
      <c r="DC545" s="0" t="s">
        <v>301</v>
      </c>
      <c r="DD545" s="0" t="s">
        <v>216</v>
      </c>
      <c r="DE545" s="0" t="s">
        <v>216</v>
      </c>
      <c r="DF545" s="0" t="s">
        <v>216</v>
      </c>
      <c r="DG545" s="0" t="s">
        <v>216</v>
      </c>
      <c r="DH545" s="0" t="n">
        <v>0</v>
      </c>
      <c r="DI545" s="126" t="n">
        <v>232.68</v>
      </c>
      <c r="DK545" s="0" t="n">
        <v>0</v>
      </c>
      <c r="DL545" s="0" t="n">
        <v>1971</v>
      </c>
      <c r="DM545" s="0" t="n">
        <v>1</v>
      </c>
      <c r="DN545" s="0" t="n">
        <v>42</v>
      </c>
      <c r="DO545" s="0" t="n">
        <v>3</v>
      </c>
      <c r="DP545" s="0" t="n">
        <v>0</v>
      </c>
      <c r="DQ545" s="0" t="n">
        <v>1</v>
      </c>
      <c r="DR545" s="0"/>
      <c r="DS545" s="0" t="n">
        <v>1</v>
      </c>
      <c r="DU545" s="0" t="n">
        <v>1</v>
      </c>
      <c r="DW545" s="1" t="n">
        <v>40405</v>
      </c>
      <c r="DX545" s="1" t="n">
        <v>40757</v>
      </c>
      <c r="DZ545" s="0"/>
      <c r="EA545" s="0" t="n">
        <v>1</v>
      </c>
      <c r="EC545" s="1" t="n">
        <v>40179</v>
      </c>
      <c r="ED545" s="1" t="n">
        <v>40757</v>
      </c>
      <c r="EF545" s="0"/>
      <c r="EG545" s="0" t="n">
        <v>0</v>
      </c>
      <c r="EI545" s="0" t="str">
        <f aca="false">IF(AND(DM545=1,DN545&lt;=48),"",IF(AND(DM545=2,DN545&lt;=42),"",IF(AND(DM545=3,DN545&lt;=45),"",EH545)))</f>
        <v/>
      </c>
      <c r="EJ545" s="0" t="str">
        <f aca="false">IF(EI545="","",IF(EI545&lt;9,EI545,9))</f>
        <v/>
      </c>
      <c r="EK545" s="0" t="str">
        <f aca="false">IF(EI545="","",IF(EI545&gt;9,EI545-EJ545,0))</f>
        <v/>
      </c>
      <c r="EL545" s="0" t="str">
        <f aca="false">IF(EI545="","",EJ545*DA545*2+EK545*DA545*3)</f>
        <v/>
      </c>
      <c r="EP545" s="0" t="n">
        <v>0</v>
      </c>
      <c r="EQ545" s="0"/>
      <c r="ER545" s="0" t="n">
        <v>0</v>
      </c>
      <c r="ET545" s="0" t="n">
        <v>0</v>
      </c>
      <c r="EV545" s="0" t="n">
        <v>0</v>
      </c>
      <c r="EX545" s="0" t="n">
        <v>0</v>
      </c>
      <c r="EY545" s="0" t="n">
        <v>0</v>
      </c>
      <c r="EZ545" s="0"/>
      <c r="FA545" s="4" t="n">
        <v>232.68</v>
      </c>
      <c r="FB545" s="0" t="n">
        <v>1</v>
      </c>
      <c r="FC545" s="1" t="n">
        <v>41459</v>
      </c>
      <c r="FD545" s="0" t="n">
        <v>1</v>
      </c>
      <c r="FE545" s="0" t="n">
        <v>2000</v>
      </c>
      <c r="FF545" s="120" t="n">
        <f aca="false">(CJ545-CI545+1)/365</f>
        <v>2.96712328767123</v>
      </c>
      <c r="FG545" s="0" t="str">
        <f aca="false">CONCATENATE(F545,"/",G545)</f>
        <v>1672/2011</v>
      </c>
      <c r="FH545" s="0" t="n">
        <v>1</v>
      </c>
      <c r="FI545" s="0" t="n">
        <f aca="false">IFERROR(IF((FC545-J545+1)/365&gt;3,0,1),"")</f>
        <v>1</v>
      </c>
    </row>
    <row r="546" customFormat="false" ht="15" hidden="false" customHeight="false" outlineLevel="0" collapsed="false">
      <c r="A546" s="5" t="str">
        <f aca="false">E546&amp;G546&amp;F546</f>
        <v>720111663</v>
      </c>
      <c r="B546" s="0" t="s">
        <v>2737</v>
      </c>
      <c r="C546" s="1" t="n">
        <v>42379</v>
      </c>
      <c r="E546" s="0" t="n">
        <v>7</v>
      </c>
      <c r="F546" s="0" t="n">
        <v>1663</v>
      </c>
      <c r="G546" s="0" t="n">
        <v>2011</v>
      </c>
      <c r="H546" s="0" t="str">
        <f aca="false">"J"&amp;E546&amp;"\"&amp;F546&amp;"\"&amp;G546&amp;"\"&amp;W546</f>
        <v>J7\1663\2011\1</v>
      </c>
      <c r="I546" s="0"/>
      <c r="J546" s="1" t="n">
        <v>40814</v>
      </c>
      <c r="K546" s="0" t="n">
        <v>0</v>
      </c>
      <c r="M546" s="1"/>
      <c r="N546" s="1"/>
      <c r="O546" s="1"/>
      <c r="P546" s="1"/>
      <c r="Q546" s="1"/>
      <c r="T546" s="121"/>
      <c r="U546" s="121"/>
      <c r="V546" s="122" t="n">
        <f aca="false">IF(AND(E546&gt;0,F546&gt;0,G546&gt;0),COUNTIFS($E:$E,E546,$F:$F,F546,$G:$G,G546),"")</f>
        <v>1</v>
      </c>
      <c r="W546" s="122" t="n">
        <f aca="false">IF(V546="","",IF(V546=1,1,IF(AND(E545=E546,F545=F546,G545=G546),W545+1,1)))</f>
        <v>1</v>
      </c>
      <c r="X546" s="0" t="n">
        <v>1</v>
      </c>
      <c r="Y546" s="0" t="n">
        <v>5</v>
      </c>
      <c r="Z546" s="0" t="s">
        <v>5079</v>
      </c>
      <c r="AA546" s="0" t="n">
        <v>0</v>
      </c>
      <c r="AB546" s="0" t="s">
        <v>1227</v>
      </c>
      <c r="AC546" s="0" t="s">
        <v>274</v>
      </c>
      <c r="AE546" s="0" t="n">
        <v>0</v>
      </c>
      <c r="AF546" s="0" t="s">
        <v>5080</v>
      </c>
      <c r="AG546" s="0" t="n">
        <v>0</v>
      </c>
      <c r="AH546" s="0" t="s">
        <v>5081</v>
      </c>
      <c r="AI546" s="0" t="s">
        <v>5082</v>
      </c>
      <c r="AJ546" s="0" t="s">
        <v>485</v>
      </c>
      <c r="AL546" s="0" t="s">
        <v>5083</v>
      </c>
      <c r="AM546" s="0" t="n">
        <v>1</v>
      </c>
      <c r="AN546" s="0" t="s">
        <v>5081</v>
      </c>
      <c r="AO546" s="0" t="s">
        <v>5082</v>
      </c>
      <c r="AP546" s="0" t="s">
        <v>485</v>
      </c>
      <c r="AR546" s="0" t="s">
        <v>5084</v>
      </c>
      <c r="AS546" s="0" t="n">
        <v>1</v>
      </c>
      <c r="AT546" s="0" t="s">
        <v>5081</v>
      </c>
      <c r="AU546" s="0" t="s">
        <v>5082</v>
      </c>
      <c r="AV546" s="0" t="s">
        <v>485</v>
      </c>
      <c r="AX546" s="0" t="s">
        <v>249</v>
      </c>
      <c r="AY546" s="0" t="n">
        <v>0</v>
      </c>
      <c r="AZ546" s="0" t="s">
        <v>964</v>
      </c>
      <c r="BA546" s="0" t="s">
        <v>410</v>
      </c>
      <c r="BB546" s="0" t="s">
        <v>411</v>
      </c>
      <c r="BD546" s="0" t="s">
        <v>412</v>
      </c>
      <c r="BE546" s="0" t="n">
        <v>0</v>
      </c>
      <c r="BF546" s="0" t="s">
        <v>437</v>
      </c>
      <c r="BG546" s="0" t="s">
        <v>438</v>
      </c>
      <c r="BH546" s="0" t="s">
        <v>352</v>
      </c>
      <c r="BR546" s="0" t="n">
        <v>1</v>
      </c>
      <c r="BS546" s="0" t="s">
        <v>5085</v>
      </c>
      <c r="BT546" s="0" t="s">
        <v>1231</v>
      </c>
      <c r="BU546" s="0" t="s">
        <v>1232</v>
      </c>
      <c r="BV546" s="123"/>
      <c r="BW546" s="123"/>
      <c r="BX546" s="123"/>
      <c r="BY546" s="123"/>
      <c r="CA546" s="0" t="s">
        <v>1749</v>
      </c>
      <c r="CD546" s="0" t="s">
        <v>216</v>
      </c>
      <c r="CE546" s="0" t="n">
        <v>0</v>
      </c>
      <c r="CF546" s="0" t="s">
        <v>5086</v>
      </c>
      <c r="CI546" s="1" t="n">
        <v>37627</v>
      </c>
      <c r="CJ546" s="1" t="n">
        <v>40795</v>
      </c>
      <c r="CK546" s="124" t="n">
        <v>0.375</v>
      </c>
      <c r="CL546" s="0" t="s">
        <v>5083</v>
      </c>
      <c r="CM546" s="0" t="n">
        <f aca="false">IF(OR(CI546="",CJ546=""),"",DAYS360(CI546,CJ546)/360)</f>
        <v>8.675</v>
      </c>
      <c r="CN546" s="0" t="n">
        <f aca="false">IF(OR(CI546="",CJ546=""),"",DAYS360(CI546,CJ546)/30)</f>
        <v>104.1</v>
      </c>
      <c r="CO546" s="0" t="n">
        <f aca="false">IF(OR(CI546="",CJ546=""),"",DAYS360(CI546,CJ546)/7)</f>
        <v>446.142857142857</v>
      </c>
      <c r="CP546" s="0" t="n">
        <f aca="false">IF(OR(CI546="",CJ546=""),"",DAYS360(CI546,CJ546))</f>
        <v>3123</v>
      </c>
      <c r="CQ546" s="0" t="s">
        <v>220</v>
      </c>
      <c r="CR546" s="0" t="n">
        <v>1</v>
      </c>
      <c r="CT546" s="0" t="n">
        <v>400</v>
      </c>
      <c r="CU546" s="0" t="n">
        <v>0</v>
      </c>
      <c r="CV546" s="0" t="n">
        <f aca="false">IF(OR(CT546="",CT546="NO ESPECIFICA",CT546="NO MENCIONA"),"",IF(CU546=0,CT546,IF(CU546=1,CT546/30,IF(CU546=2,CT546/15,IF(CU546=3,CT546/7,"")))))</f>
        <v>400</v>
      </c>
      <c r="CW546" s="125" t="n">
        <v>600</v>
      </c>
      <c r="CX546" s="0" t="n">
        <v>0</v>
      </c>
      <c r="CY546" s="0" t="n">
        <f aca="false">IF(CW546="","",IF(CX546=0,CW546,IF(CX546=1,CW546/30,IF(CX546=2,CW546/15,IF(CX546=3,CW546/7,CW546)))))</f>
        <v>600</v>
      </c>
      <c r="CZ546" s="0" t="n">
        <f aca="false">IF(DI546&gt;0,DI546,IF(CY546&gt;0,CY546,IF(CV546&gt;0,CV546,"")))</f>
        <v>600</v>
      </c>
      <c r="DA546" s="0" t="n">
        <f aca="false">IF(DM546=1,CZ546/8,IF(OR(DM546=2,DM546=4),CZ546/7,IF(DM546=3,CZ546/7.5,"")))</f>
        <v>75</v>
      </c>
      <c r="DB546" s="0" t="s">
        <v>299</v>
      </c>
      <c r="DC546" s="0" t="s">
        <v>259</v>
      </c>
      <c r="DD546" s="0" t="s">
        <v>258</v>
      </c>
      <c r="DE546" s="0" t="s">
        <v>627</v>
      </c>
      <c r="DF546" s="0" t="s">
        <v>216</v>
      </c>
      <c r="DG546" s="0" t="s">
        <v>216</v>
      </c>
      <c r="DH546" s="0" t="n">
        <v>0</v>
      </c>
      <c r="DI546" s="126" t="n">
        <v>600</v>
      </c>
      <c r="DK546" s="0" t="n">
        <v>0</v>
      </c>
      <c r="DM546" s="0" t="n">
        <v>1</v>
      </c>
      <c r="DN546" s="0" t="n">
        <v>60</v>
      </c>
      <c r="DO546" s="0" t="n">
        <v>3</v>
      </c>
      <c r="DP546" s="0" t="n">
        <v>1</v>
      </c>
      <c r="DQ546" s="0" t="n">
        <v>1</v>
      </c>
      <c r="DR546" s="0"/>
      <c r="DS546" s="0" t="n">
        <v>1</v>
      </c>
      <c r="DU546" s="0" t="n">
        <v>1</v>
      </c>
      <c r="DW546" s="1" t="n">
        <v>37627</v>
      </c>
      <c r="DX546" s="1" t="n">
        <v>40795</v>
      </c>
      <c r="DZ546" s="0"/>
      <c r="EA546" s="0" t="n">
        <v>1</v>
      </c>
      <c r="EC546" s="1" t="n">
        <v>37627</v>
      </c>
      <c r="ED546" s="1" t="n">
        <v>40795</v>
      </c>
      <c r="EF546" s="0"/>
      <c r="EG546" s="0" t="n">
        <v>1</v>
      </c>
      <c r="EH546" s="0" t="n">
        <v>12</v>
      </c>
      <c r="EI546" s="0" t="n">
        <f aca="false">IF(AND(DM546=1,DN546&lt;=48),"",IF(AND(DM546=2,DN546&lt;=42),"",IF(AND(DM546=3,DN546&lt;=45),"",EH546)))</f>
        <v>12</v>
      </c>
      <c r="EJ546" s="0" t="n">
        <f aca="false">IF(EI546="","",IF(EI546&lt;9,EI546,9))</f>
        <v>9</v>
      </c>
      <c r="EK546" s="0" t="n">
        <f aca="false">IF(EI546="","",IF(EI546&gt;9,EI546-EJ546,0))</f>
        <v>3</v>
      </c>
      <c r="EL546" s="0" t="n">
        <f aca="false">IF(EI546="","",EJ546*DA546*2+EK546*DA546*3)</f>
        <v>2025</v>
      </c>
      <c r="EN546" s="0" t="n">
        <v>105300</v>
      </c>
      <c r="EP546" s="0" t="n">
        <v>1</v>
      </c>
      <c r="EQ546" s="0"/>
      <c r="ER546" s="0" t="n">
        <v>0</v>
      </c>
      <c r="ET546" s="0" t="n">
        <v>0</v>
      </c>
      <c r="EV546" s="0" t="n">
        <v>0</v>
      </c>
      <c r="EX546" s="0" t="n">
        <v>1</v>
      </c>
      <c r="EY546" s="0" t="n">
        <v>0</v>
      </c>
      <c r="EZ546" s="0"/>
      <c r="FA546" s="4" t="n">
        <v>4200</v>
      </c>
      <c r="FB546" s="0" t="n">
        <v>0</v>
      </c>
      <c r="FC546" s="1" t="n">
        <v>41138</v>
      </c>
      <c r="FD546" s="0" t="n">
        <v>1</v>
      </c>
      <c r="FE546" s="0" t="n">
        <v>30000</v>
      </c>
      <c r="FF546" s="120" t="n">
        <f aca="false">(CJ546-CI546+1)/365</f>
        <v>8.68219178082192</v>
      </c>
      <c r="FG546" s="0" t="str">
        <f aca="false">CONCATENATE(F546,"/",G546)</f>
        <v>1663/2011</v>
      </c>
      <c r="FH546" s="0" t="n">
        <v>1</v>
      </c>
      <c r="FI546" s="0" t="n">
        <f aca="false">IFERROR(IF((FC546-J546+1)/365&gt;3,0,1),"")</f>
        <v>1</v>
      </c>
    </row>
    <row r="547" customFormat="false" ht="15" hidden="false" customHeight="false" outlineLevel="0" collapsed="false">
      <c r="A547" s="5" t="str">
        <f aca="false">E547&amp;G547&amp;F547</f>
        <v>720111658</v>
      </c>
      <c r="B547" s="0" t="s">
        <v>2737</v>
      </c>
      <c r="C547" s="1" t="n">
        <v>42379</v>
      </c>
      <c r="E547" s="0" t="n">
        <v>7</v>
      </c>
      <c r="F547" s="0" t="n">
        <v>1658</v>
      </c>
      <c r="G547" s="0" t="n">
        <v>2011</v>
      </c>
      <c r="H547" s="0" t="str">
        <f aca="false">"J"&amp;E547&amp;"\"&amp;F547&amp;"\"&amp;G547&amp;"\"&amp;W547</f>
        <v>J7\1658\2011\1</v>
      </c>
      <c r="I547" s="0"/>
      <c r="J547" s="1" t="n">
        <v>40813</v>
      </c>
      <c r="K547" s="0" t="n">
        <v>0</v>
      </c>
      <c r="M547" s="1"/>
      <c r="N547" s="1"/>
      <c r="O547" s="1"/>
      <c r="P547" s="1"/>
      <c r="Q547" s="1"/>
      <c r="T547" s="121"/>
      <c r="U547" s="121"/>
      <c r="V547" s="122" t="n">
        <f aca="false">IF(AND(E547&gt;0,F547&gt;0,G547&gt;0),COUNTIFS($E:$E,E547,$F:$F,F547,$G:$G,G547),"")</f>
        <v>1</v>
      </c>
      <c r="W547" s="122" t="n">
        <f aca="false">IF(V547="","",IF(V547=1,1,IF(AND(E546=E547,F546=F547,G546=G547),W546+1,1)))</f>
        <v>1</v>
      </c>
      <c r="X547" s="0" t="n">
        <v>1</v>
      </c>
      <c r="Y547" s="0" t="n">
        <v>5</v>
      </c>
      <c r="Z547" s="0" t="s">
        <v>5087</v>
      </c>
      <c r="AA547" s="0" t="n">
        <v>0</v>
      </c>
      <c r="AB547" s="0" t="s">
        <v>5088</v>
      </c>
      <c r="AC547" s="0" t="s">
        <v>244</v>
      </c>
      <c r="AD547" s="0" t="s">
        <v>229</v>
      </c>
      <c r="AE547" s="0" t="n">
        <v>0</v>
      </c>
      <c r="AF547" s="0" t="s">
        <v>5089</v>
      </c>
      <c r="AG547" s="0" t="n">
        <v>0</v>
      </c>
      <c r="AH547" s="0" t="s">
        <v>5090</v>
      </c>
      <c r="AI547" s="0" t="s">
        <v>830</v>
      </c>
      <c r="AL547" s="0" t="s">
        <v>5091</v>
      </c>
      <c r="AM547" s="0" t="n">
        <v>0</v>
      </c>
      <c r="AN547" s="0" t="s">
        <v>5090</v>
      </c>
      <c r="AO547" s="0" t="s">
        <v>830</v>
      </c>
      <c r="AR547" s="0" t="s">
        <v>5092</v>
      </c>
      <c r="AS547" s="0" t="n">
        <v>1</v>
      </c>
      <c r="AT547" s="0" t="s">
        <v>5090</v>
      </c>
      <c r="AU547" s="0" t="s">
        <v>830</v>
      </c>
      <c r="AX547" s="0" t="s">
        <v>5093</v>
      </c>
      <c r="AY547" s="0" t="n">
        <v>1</v>
      </c>
      <c r="AZ547" s="0" t="s">
        <v>5090</v>
      </c>
      <c r="BA547" s="0" t="s">
        <v>830</v>
      </c>
      <c r="BD547" s="0" t="s">
        <v>1637</v>
      </c>
      <c r="BE547" s="0" t="n">
        <v>1</v>
      </c>
      <c r="BF547" s="0" t="s">
        <v>5090</v>
      </c>
      <c r="BG547" s="0" t="s">
        <v>830</v>
      </c>
      <c r="BR547" s="0" t="n">
        <v>1</v>
      </c>
      <c r="BS547" s="0" t="s">
        <v>5094</v>
      </c>
      <c r="BT547" s="0" t="s">
        <v>5095</v>
      </c>
      <c r="BV547" s="123"/>
      <c r="BW547" s="123"/>
      <c r="BX547" s="123"/>
      <c r="BY547" s="123"/>
      <c r="CA547" s="0" t="s">
        <v>216</v>
      </c>
      <c r="CD547" s="0" t="s">
        <v>2546</v>
      </c>
      <c r="CE547" s="0" t="n">
        <v>0</v>
      </c>
      <c r="CF547" s="0" t="s">
        <v>5096</v>
      </c>
      <c r="CI547" s="1" t="n">
        <v>40452</v>
      </c>
      <c r="CJ547" s="1" t="n">
        <v>40786</v>
      </c>
      <c r="CK547" s="124" t="n">
        <v>0.708333333333333</v>
      </c>
      <c r="CL547" s="0" t="s">
        <v>5092</v>
      </c>
      <c r="CM547" s="0" t="n">
        <f aca="false">IF(OR(CI547="",CJ547=""),"",DAYS360(CI547,CJ547)/360)</f>
        <v>0.916666666666667</v>
      </c>
      <c r="CN547" s="0" t="n">
        <f aca="false">IF(OR(CI547="",CJ547=""),"",DAYS360(CI547,CJ547)/30)</f>
        <v>11</v>
      </c>
      <c r="CO547" s="0" t="n">
        <f aca="false">IF(OR(CI547="",CJ547=""),"",DAYS360(CI547,CJ547)/7)</f>
        <v>47.1428571428571</v>
      </c>
      <c r="CP547" s="0" t="n">
        <f aca="false">IF(OR(CI547="",CJ547=""),"",DAYS360(CI547,CJ547))</f>
        <v>330</v>
      </c>
      <c r="CQ547" s="0" t="s">
        <v>240</v>
      </c>
      <c r="CR547" s="0" t="n">
        <v>1</v>
      </c>
      <c r="CT547" s="0" t="n">
        <v>21000</v>
      </c>
      <c r="CU547" s="0" t="n">
        <v>1</v>
      </c>
      <c r="CV547" s="0" t="n">
        <f aca="false">IF(OR(CT547="",CT547="NO ESPECIFICA",CT547="NO MENCIONA"),"",IF(CU547=0,CT547,IF(CU547=1,CT547/30,IF(CU547=2,CT547/15,IF(CU547=3,CT547/7,"")))))</f>
        <v>700</v>
      </c>
      <c r="CW547" s="125" t="s">
        <v>216</v>
      </c>
      <c r="CX547" s="0" t="s">
        <v>216</v>
      </c>
      <c r="CY547" s="0" t="str">
        <f aca="false">IF(CW547="","",IF(CX547=0,CW547,IF(CX547=1,CW547/30,IF(CX547=2,CW547/15,IF(CX547=3,CW547/7,CW547)))))</f>
        <v>NO MENCIONA</v>
      </c>
      <c r="CZ547" s="0" t="n">
        <f aca="false">IF(DI547&gt;0,DI547,IF(CY547&gt;0,CY547,IF(CV547&gt;0,CV547,"")))</f>
        <v>933.333333333333</v>
      </c>
      <c r="DA547" s="0" t="n">
        <f aca="false">IF(DM547=1,CZ547/8,IF(OR(DM547=2,DM547=4),CZ547/7,IF(DM547=3,CZ547/7.5,"")))</f>
        <v>116.666666666667</v>
      </c>
      <c r="DB547" s="0" t="s">
        <v>417</v>
      </c>
      <c r="DC547" s="0" t="s">
        <v>216</v>
      </c>
      <c r="DD547" s="0" t="s">
        <v>216</v>
      </c>
      <c r="DE547" s="0" t="s">
        <v>216</v>
      </c>
      <c r="DF547" s="0" t="s">
        <v>216</v>
      </c>
      <c r="DG547" s="0" t="s">
        <v>216</v>
      </c>
      <c r="DH547" s="0" t="n">
        <v>0</v>
      </c>
      <c r="DI547" s="126" t="n">
        <v>933.333333333333</v>
      </c>
      <c r="DK547" s="0" t="n">
        <v>0</v>
      </c>
      <c r="DM547" s="0" t="n">
        <v>1</v>
      </c>
      <c r="DN547" s="0" t="n">
        <v>45</v>
      </c>
      <c r="DO547" s="0" t="n">
        <v>3</v>
      </c>
      <c r="DP547" s="0" t="n">
        <v>0</v>
      </c>
      <c r="DQ547" s="0" t="n">
        <v>1</v>
      </c>
      <c r="DR547" s="0"/>
      <c r="DS547" s="0" t="n">
        <v>1</v>
      </c>
      <c r="DU547" s="0" t="n">
        <v>0</v>
      </c>
      <c r="DW547" s="1" t="n">
        <v>40452</v>
      </c>
      <c r="DX547" s="1" t="n">
        <v>40786</v>
      </c>
      <c r="DZ547" s="0"/>
      <c r="EA547" s="0" t="n">
        <v>1</v>
      </c>
      <c r="EC547" s="1" t="n">
        <v>40544</v>
      </c>
      <c r="ED547" s="1" t="n">
        <v>40786</v>
      </c>
      <c r="EF547" s="0"/>
      <c r="EG547" s="0" t="n">
        <v>1</v>
      </c>
      <c r="EH547" s="0" t="n">
        <v>10</v>
      </c>
      <c r="EI547" s="0" t="str">
        <f aca="false">IF(AND(DM547=1,DN547&lt;=48),"",IF(AND(DM547=2,DN547&lt;=42),"",IF(AND(DM547=3,DN547&lt;=45),"",EH547)))</f>
        <v/>
      </c>
      <c r="EJ547" s="0" t="str">
        <f aca="false">IF(EI547="","",IF(EI547&lt;9,EI547,9))</f>
        <v/>
      </c>
      <c r="EK547" s="0" t="str">
        <f aca="false">IF(EI547="","",IF(EI547&gt;9,EI547-EJ547,0))</f>
        <v/>
      </c>
      <c r="EL547" s="0" t="str">
        <f aca="false">IF(EI547="","",EJ547*DA547*2+EK547*DA547*3)</f>
        <v/>
      </c>
      <c r="EP547" s="0" t="n">
        <v>0</v>
      </c>
      <c r="EQ547" s="0"/>
      <c r="ER547" s="0" t="n">
        <v>0</v>
      </c>
      <c r="ET547" s="0" t="n">
        <v>0</v>
      </c>
      <c r="EV547" s="0" t="n">
        <v>0</v>
      </c>
      <c r="EX547" s="0" t="n">
        <v>0</v>
      </c>
      <c r="EY547" s="0" t="n">
        <v>0</v>
      </c>
      <c r="EZ547" s="0"/>
      <c r="FA547" s="4" t="n">
        <v>0</v>
      </c>
      <c r="FB547" s="0" t="n">
        <v>0</v>
      </c>
      <c r="FC547" s="1" t="n">
        <v>40827</v>
      </c>
      <c r="FD547" s="0" t="n">
        <v>2</v>
      </c>
      <c r="FE547" s="0" t="n">
        <v>0</v>
      </c>
      <c r="FF547" s="120" t="n">
        <f aca="false">(CJ547-CI547+1)/365</f>
        <v>0.917808219178082</v>
      </c>
      <c r="FG547" s="0" t="str">
        <f aca="false">CONCATENATE(F547,"/",G547)</f>
        <v>1658/2011</v>
      </c>
      <c r="FH547" s="0" t="n">
        <v>1</v>
      </c>
      <c r="FI547" s="0" t="n">
        <f aca="false">IFERROR(IF((FC547-J547+1)/365&gt;3,0,1),"")</f>
        <v>1</v>
      </c>
    </row>
    <row r="548" customFormat="false" ht="15" hidden="false" customHeight="false" outlineLevel="0" collapsed="false">
      <c r="A548" s="5" t="str">
        <f aca="false">E548&amp;G548&amp;F548</f>
        <v>720112111</v>
      </c>
      <c r="B548" s="0" t="s">
        <v>5097</v>
      </c>
      <c r="C548" s="1" t="n">
        <v>42378</v>
      </c>
      <c r="E548" s="0" t="n">
        <v>7</v>
      </c>
      <c r="F548" s="0" t="n">
        <v>2111</v>
      </c>
      <c r="G548" s="0" t="n">
        <v>2011</v>
      </c>
      <c r="H548" s="0" t="str">
        <f aca="false">"J"&amp;E548&amp;"\"&amp;F548&amp;"\"&amp;G548&amp;"\"&amp;W548</f>
        <v>J7\2111\2011\1</v>
      </c>
      <c r="I548" s="0"/>
      <c r="J548" s="1" t="n">
        <v>40892</v>
      </c>
      <c r="M548" s="1" t="n">
        <v>40892</v>
      </c>
      <c r="N548" s="1" t="n">
        <v>40956</v>
      </c>
      <c r="O548" s="1"/>
      <c r="P548" s="1"/>
      <c r="Q548" s="1"/>
      <c r="T548" s="121"/>
      <c r="U548" s="121"/>
      <c r="V548" s="122" t="n">
        <f aca="false">IF(AND(E548&gt;0,F548&gt;0,G548&gt;0),COUNTIFS($E:$E,E548,$F:$F,F548,$G:$G,G548),"")</f>
        <v>1</v>
      </c>
      <c r="W548" s="122" t="n">
        <f aca="false">IF(V548="","",IF(V548=1,1,IF(AND(E547=E548,F547=F548,G547=G548),W547+1,1)))</f>
        <v>1</v>
      </c>
      <c r="X548" s="0" t="n">
        <v>1</v>
      </c>
      <c r="Y548" s="0" t="n">
        <v>6</v>
      </c>
      <c r="Z548" s="0" t="s">
        <v>5098</v>
      </c>
      <c r="AA548" s="0" t="n">
        <v>0</v>
      </c>
      <c r="AB548" s="0" t="s">
        <v>2250</v>
      </c>
      <c r="AC548" s="0" t="s">
        <v>274</v>
      </c>
      <c r="AD548" s="0" t="s">
        <v>221</v>
      </c>
      <c r="AE548" s="0" t="n">
        <v>0</v>
      </c>
      <c r="AF548" s="0" t="s">
        <v>5099</v>
      </c>
      <c r="AG548" s="0" t="n">
        <v>0</v>
      </c>
      <c r="AH548" s="0" t="s">
        <v>5100</v>
      </c>
      <c r="AI548" s="0" t="s">
        <v>3931</v>
      </c>
      <c r="AJ548" s="0" t="s">
        <v>322</v>
      </c>
      <c r="AL548" s="0" t="s">
        <v>5101</v>
      </c>
      <c r="AM548" s="0" t="n">
        <v>0</v>
      </c>
      <c r="AN548" s="0" t="s">
        <v>5100</v>
      </c>
      <c r="AO548" s="0" t="s">
        <v>3931</v>
      </c>
      <c r="AP548" s="0" t="s">
        <v>322</v>
      </c>
      <c r="AR548" s="0" t="s">
        <v>5102</v>
      </c>
      <c r="AS548" s="0" t="n">
        <v>1</v>
      </c>
      <c r="AT548" s="0" t="s">
        <v>5100</v>
      </c>
      <c r="AU548" s="0" t="s">
        <v>3931</v>
      </c>
      <c r="AV548" s="0" t="s">
        <v>322</v>
      </c>
      <c r="AX548" s="0" t="s">
        <v>5103</v>
      </c>
      <c r="AY548" s="0" t="n">
        <v>1</v>
      </c>
      <c r="AZ548" s="0" t="s">
        <v>5100</v>
      </c>
      <c r="BA548" s="0" t="s">
        <v>3931</v>
      </c>
      <c r="BB548" s="0" t="s">
        <v>322</v>
      </c>
      <c r="BD548" s="0" t="s">
        <v>5104</v>
      </c>
      <c r="BE548" s="0" t="n">
        <v>1</v>
      </c>
      <c r="BF548" s="0" t="s">
        <v>5100</v>
      </c>
      <c r="BG548" s="0" t="s">
        <v>3931</v>
      </c>
      <c r="BH548" s="0" t="s">
        <v>322</v>
      </c>
      <c r="BJ548" s="0" t="s">
        <v>213</v>
      </c>
      <c r="BK548" s="0" t="n">
        <v>1</v>
      </c>
      <c r="BL548" s="0" t="s">
        <v>5100</v>
      </c>
      <c r="BM548" s="0" t="s">
        <v>3931</v>
      </c>
      <c r="BN548" s="0" t="s">
        <v>322</v>
      </c>
      <c r="BR548" s="0" t="n">
        <v>1</v>
      </c>
      <c r="BS548" s="0" t="s">
        <v>2256</v>
      </c>
      <c r="BT548" s="0" t="s">
        <v>2257</v>
      </c>
      <c r="BU548" s="0" t="s">
        <v>5105</v>
      </c>
      <c r="BV548" s="123"/>
      <c r="BW548" s="123"/>
      <c r="BX548" s="123"/>
      <c r="BY548" s="123"/>
      <c r="CA548" s="0" t="s">
        <v>2979</v>
      </c>
      <c r="CD548" s="0" t="s">
        <v>502</v>
      </c>
      <c r="CE548" s="0" t="n">
        <v>0</v>
      </c>
      <c r="CF548" s="0" t="s">
        <v>5106</v>
      </c>
      <c r="CI548" s="1" t="n">
        <v>39311</v>
      </c>
      <c r="CJ548" s="1" t="n">
        <v>40885</v>
      </c>
      <c r="CK548" s="124" t="n">
        <v>0.354166666666667</v>
      </c>
      <c r="CL548" s="0" t="s">
        <v>5107</v>
      </c>
      <c r="CM548" s="0" t="n">
        <f aca="false">IF(OR(CI548="",CJ548=""),"",DAYS360(CI548,CJ548)/360)</f>
        <v>4.30833333333333</v>
      </c>
      <c r="CN548" s="0" t="n">
        <f aca="false">IF(OR(CI548="",CJ548=""),"",DAYS360(CI548,CJ548)/30)</f>
        <v>51.7</v>
      </c>
      <c r="CO548" s="0" t="n">
        <f aca="false">IF(OR(CI548="",CJ548=""),"",DAYS360(CI548,CJ548)/7)</f>
        <v>221.571428571429</v>
      </c>
      <c r="CP548" s="0" t="n">
        <f aca="false">IF(OR(CI548="",CJ548=""),"",DAYS360(CI548,CJ548))</f>
        <v>1551</v>
      </c>
      <c r="CQ548" s="0" t="s">
        <v>240</v>
      </c>
      <c r="CR548" s="0" t="n">
        <v>1</v>
      </c>
      <c r="CT548" s="0" t="s">
        <v>221</v>
      </c>
      <c r="CU548" s="0" t="s">
        <v>221</v>
      </c>
      <c r="CV548" s="0" t="str">
        <f aca="false">IF(OR(CT548="",CT548="NO ESPECIFICA",CT548="NO MENCIONA"),"",IF(CU548=0,CT548,IF(CU548=1,CT548/30,IF(CU548=2,CT548/15,IF(CU548=3,CT548/7,"")))))</f>
        <v/>
      </c>
      <c r="CW548" s="125" t="n">
        <v>5000</v>
      </c>
      <c r="CX548" s="0" t="n">
        <v>1</v>
      </c>
      <c r="CY548" s="0" t="n">
        <f aca="false">IF(CW548="","",IF(CX548=0,CW548,IF(CX548=1,CW548/30,IF(CX548=2,CW548/15,IF(CX548=3,CW548/7,CW548)))))</f>
        <v>166.666666666667</v>
      </c>
      <c r="CZ548" s="0" t="n">
        <f aca="false">IF(DI548&gt;0,DI548,IF(CY548&gt;0,CY548,IF(CV548&gt;0,CV548,"")))</f>
        <v>166.666666666667</v>
      </c>
      <c r="DA548" s="0" t="n">
        <f aca="false">IF(DM548=1,CZ548/8,IF(OR(DM548=2,DM548=4),CZ548/7,IF(DM548=3,CZ548/7.5,"")))</f>
        <v>20.8333333333333</v>
      </c>
      <c r="DB548" s="0" t="s">
        <v>216</v>
      </c>
      <c r="DC548" s="0" t="s">
        <v>216</v>
      </c>
      <c r="DD548" s="0" t="s">
        <v>216</v>
      </c>
      <c r="DE548" s="0" t="s">
        <v>216</v>
      </c>
      <c r="DF548" s="0" t="s">
        <v>216</v>
      </c>
      <c r="DG548" s="0" t="s">
        <v>216</v>
      </c>
      <c r="DH548" s="0" t="n">
        <v>0</v>
      </c>
      <c r="DI548" s="126" t="n">
        <v>166.666666666667</v>
      </c>
      <c r="DK548" s="0" t="n">
        <v>1</v>
      </c>
      <c r="DM548" s="0" t="n">
        <v>1</v>
      </c>
      <c r="DN548" s="0" t="n">
        <v>47.5</v>
      </c>
      <c r="DO548" s="0" t="n">
        <v>3</v>
      </c>
      <c r="DP548" s="0" t="n">
        <v>0</v>
      </c>
      <c r="DQ548" s="0" t="n">
        <v>1</v>
      </c>
      <c r="DR548" s="0"/>
      <c r="DS548" s="0" t="n">
        <v>1</v>
      </c>
      <c r="DU548" s="0" t="n">
        <v>1</v>
      </c>
      <c r="DW548" s="1" t="n">
        <v>40042</v>
      </c>
      <c r="DX548" s="1" t="n">
        <v>40772</v>
      </c>
      <c r="DZ548" s="0"/>
      <c r="EA548" s="0" t="n">
        <v>1</v>
      </c>
      <c r="EC548" s="1" t="n">
        <v>40179</v>
      </c>
      <c r="ED548" s="1" t="n">
        <v>40885</v>
      </c>
      <c r="EF548" s="0"/>
      <c r="EG548" s="0" t="n">
        <v>1</v>
      </c>
      <c r="EH548" s="0" t="s">
        <v>221</v>
      </c>
      <c r="EI548" s="0" t="str">
        <f aca="false">IF(AND(DM548=1,DN548&lt;=48),"",IF(AND(DM548=2,DN548&lt;=42),"",IF(AND(DM548=3,DN548&lt;=45),"",EH548)))</f>
        <v/>
      </c>
      <c r="EJ548" s="0" t="str">
        <f aca="false">IF(EI548="","",IF(EI548&lt;9,EI548,9))</f>
        <v/>
      </c>
      <c r="EK548" s="0" t="str">
        <f aca="false">IF(EI548="","",IF(EI548&gt;9,EI548-EJ548,0))</f>
        <v/>
      </c>
      <c r="EL548" s="0" t="str">
        <f aca="false">IF(EI548="","",EJ548*DA548*2+EK548*DA548*3)</f>
        <v/>
      </c>
      <c r="EP548" s="0" t="n">
        <v>0</v>
      </c>
      <c r="EQ548" s="0"/>
      <c r="ER548" s="0" t="n">
        <v>0</v>
      </c>
      <c r="ET548" s="0" t="n">
        <v>0</v>
      </c>
      <c r="EV548" s="0" t="n">
        <v>1</v>
      </c>
      <c r="EX548" s="0" t="n">
        <v>1</v>
      </c>
      <c r="EY548" s="0" t="n">
        <v>1</v>
      </c>
      <c r="EZ548" s="0"/>
      <c r="FA548" s="4" t="n">
        <v>1166.66666666667</v>
      </c>
      <c r="FB548" s="0" t="n">
        <v>0</v>
      </c>
      <c r="FC548" s="1" t="n">
        <v>41880</v>
      </c>
      <c r="FD548" s="0" t="n">
        <v>1</v>
      </c>
      <c r="FE548" s="0" t="n">
        <v>26528.28</v>
      </c>
      <c r="FF548" s="120" t="n">
        <f aca="false">(CJ548-CI548+1)/365</f>
        <v>4.31506849315069</v>
      </c>
      <c r="FG548" s="0" t="str">
        <f aca="false">CONCATENATE(F548,"/",G548)</f>
        <v>2111/2011</v>
      </c>
      <c r="FH548" s="0" t="n">
        <v>1</v>
      </c>
      <c r="FI548" s="0" t="n">
        <f aca="false">IFERROR(IF((FC548-J548+1)/365&gt;3,0,1),"")</f>
        <v>1</v>
      </c>
    </row>
    <row r="549" customFormat="false" ht="15" hidden="false" customHeight="false" outlineLevel="0" collapsed="false">
      <c r="A549" s="5" t="str">
        <f aca="false">E549&amp;G549&amp;F549</f>
        <v>720112117</v>
      </c>
      <c r="B549" s="0" t="s">
        <v>5097</v>
      </c>
      <c r="C549" s="1" t="n">
        <v>42378</v>
      </c>
      <c r="D549" s="0" t="s">
        <v>3265</v>
      </c>
      <c r="E549" s="0" t="n">
        <v>7</v>
      </c>
      <c r="F549" s="0" t="n">
        <v>2117</v>
      </c>
      <c r="G549" s="0" t="n">
        <v>2011</v>
      </c>
      <c r="H549" s="0" t="str">
        <f aca="false">"J"&amp;E549&amp;"\"&amp;F549&amp;"\"&amp;G549&amp;"\"&amp;W549</f>
        <v>J7\2117\2011\1</v>
      </c>
      <c r="I549" s="0"/>
      <c r="J549" s="1" t="n">
        <v>40898</v>
      </c>
      <c r="M549" s="1"/>
      <c r="N549" s="1"/>
      <c r="O549" s="1"/>
      <c r="P549" s="1"/>
      <c r="Q549" s="1"/>
      <c r="T549" s="121"/>
      <c r="U549" s="121"/>
      <c r="V549" s="122" t="n">
        <f aca="false">IF(AND(E549&gt;0,F549&gt;0,G549&gt;0),COUNTIFS($E:$E,E549,$F:$F,F549,$G:$G,G549),"")</f>
        <v>1</v>
      </c>
      <c r="W549" s="122" t="n">
        <f aca="false">IF(V549="","",IF(V549=1,1,IF(AND(E548=E549,F548=F549,G548=G549),W548+1,1)))</f>
        <v>1</v>
      </c>
      <c r="X549" s="0" t="n">
        <v>1</v>
      </c>
      <c r="Y549" s="0" t="n">
        <v>5</v>
      </c>
      <c r="Z549" s="0" t="s">
        <v>5108</v>
      </c>
      <c r="AA549" s="0" t="n">
        <v>0</v>
      </c>
      <c r="AB549" s="0" t="s">
        <v>5109</v>
      </c>
      <c r="AC549" s="0" t="s">
        <v>244</v>
      </c>
      <c r="AD549" s="0" t="s">
        <v>229</v>
      </c>
      <c r="AE549" s="0" t="n">
        <v>0</v>
      </c>
      <c r="AF549" s="0" t="s">
        <v>5110</v>
      </c>
      <c r="AG549" s="0" t="n">
        <v>0</v>
      </c>
      <c r="AH549" s="0" t="s">
        <v>5111</v>
      </c>
      <c r="AI549" s="0" t="s">
        <v>2787</v>
      </c>
      <c r="AJ549" s="0" t="s">
        <v>207</v>
      </c>
      <c r="AL549" s="0" t="s">
        <v>5112</v>
      </c>
      <c r="AM549" s="0" t="n">
        <v>0</v>
      </c>
      <c r="AN549" s="0" t="s">
        <v>5111</v>
      </c>
      <c r="AO549" s="0" t="s">
        <v>2787</v>
      </c>
      <c r="AP549" s="0" t="s">
        <v>207</v>
      </c>
      <c r="AR549" s="0" t="s">
        <v>213</v>
      </c>
      <c r="AS549" s="0" t="n">
        <v>1</v>
      </c>
      <c r="AT549" s="0" t="s">
        <v>5111</v>
      </c>
      <c r="AU549" s="0" t="s">
        <v>2787</v>
      </c>
      <c r="AV549" s="0" t="s">
        <v>207</v>
      </c>
      <c r="AX549" s="0" t="s">
        <v>249</v>
      </c>
      <c r="AY549" s="0" t="n">
        <v>0</v>
      </c>
      <c r="AZ549" s="0" t="s">
        <v>4272</v>
      </c>
      <c r="BA549" s="0" t="s">
        <v>251</v>
      </c>
      <c r="BB549" s="0" t="s">
        <v>229</v>
      </c>
      <c r="BD549" s="0" t="s">
        <v>412</v>
      </c>
      <c r="BE549" s="0" t="n">
        <v>0</v>
      </c>
      <c r="BF549" s="0" t="s">
        <v>437</v>
      </c>
      <c r="BG549" s="0" t="s">
        <v>438</v>
      </c>
      <c r="BH549" s="0" t="s">
        <v>2340</v>
      </c>
      <c r="BR549" s="0" t="n">
        <v>1</v>
      </c>
      <c r="BS549" s="0" t="s">
        <v>5113</v>
      </c>
      <c r="BT549" s="0" t="s">
        <v>5114</v>
      </c>
      <c r="BU549" s="0" t="s">
        <v>5115</v>
      </c>
      <c r="BV549" s="123"/>
      <c r="BW549" s="123"/>
      <c r="BX549" s="123"/>
      <c r="BY549" s="123"/>
      <c r="CD549" s="0" t="s">
        <v>357</v>
      </c>
      <c r="CE549" s="0" t="n">
        <v>0</v>
      </c>
      <c r="CF549" s="0" t="s">
        <v>645</v>
      </c>
      <c r="CI549" s="1" t="n">
        <v>40119</v>
      </c>
      <c r="CJ549" s="1" t="n">
        <v>40847</v>
      </c>
      <c r="CK549" s="124" t="n">
        <v>0.666666666666667</v>
      </c>
      <c r="CL549" s="0" t="s">
        <v>5116</v>
      </c>
      <c r="CM549" s="0" t="n">
        <f aca="false">IF(OR(CI549="",CJ549=""),"",DAYS360(CI549,CJ549)/360)</f>
        <v>1.99722222222222</v>
      </c>
      <c r="CN549" s="0" t="n">
        <f aca="false">IF(OR(CI549="",CJ549=""),"",DAYS360(CI549,CJ549)/30)</f>
        <v>23.9666666666667</v>
      </c>
      <c r="CO549" s="0" t="n">
        <f aca="false">IF(OR(CI549="",CJ549=""),"",DAYS360(CI549,CJ549)/7)</f>
        <v>102.714285714286</v>
      </c>
      <c r="CP549" s="0" t="n">
        <f aca="false">IF(OR(CI549="",CJ549=""),"",DAYS360(CI549,CJ549))</f>
        <v>719</v>
      </c>
      <c r="CQ549" s="0" t="s">
        <v>240</v>
      </c>
      <c r="CR549" s="0" t="n">
        <v>1</v>
      </c>
      <c r="CT549" s="0" t="s">
        <v>221</v>
      </c>
      <c r="CU549" s="0" t="s">
        <v>221</v>
      </c>
      <c r="CV549" s="0" t="str">
        <f aca="false">IF(OR(CT549="",CT549="NO ESPECIFICA",CT549="NO MENCIONA"),"",IF(CU549=0,CT549,IF(CU549=1,CT549/30,IF(CU549=2,CT549/15,IF(CU549=3,CT549/7,"")))))</f>
        <v/>
      </c>
      <c r="CW549" s="125" t="n">
        <v>25050</v>
      </c>
      <c r="CX549" s="0" t="n">
        <v>1</v>
      </c>
      <c r="CY549" s="0" t="n">
        <f aca="false">IF(CW549="","",IF(CX549=0,CW549,IF(CX549=1,CW549/30,IF(CX549=2,CW549/15,IF(CX549=3,CW549/7,CW549)))))</f>
        <v>835</v>
      </c>
      <c r="CZ549" s="0" t="n">
        <f aca="false">IF(DI549&gt;0,DI549,IF(CY549&gt;0,CY549,IF(CV549&gt;0,CV549,"")))</f>
        <v>835</v>
      </c>
      <c r="DA549" s="0" t="n">
        <f aca="false">IF(DM549=1,CZ549/8,IF(OR(DM549=2,DM549=4),CZ549/7,IF(DM549=3,CZ549/7.5,"")))</f>
        <v>104.375</v>
      </c>
      <c r="DB549" s="0" t="s">
        <v>216</v>
      </c>
      <c r="DC549" s="0" t="s">
        <v>216</v>
      </c>
      <c r="DD549" s="0" t="s">
        <v>216</v>
      </c>
      <c r="DE549" s="0" t="s">
        <v>216</v>
      </c>
      <c r="DF549" s="0" t="s">
        <v>216</v>
      </c>
      <c r="DG549" s="0" t="s">
        <v>216</v>
      </c>
      <c r="DH549" s="0" t="n">
        <v>0</v>
      </c>
      <c r="DI549" s="126" t="n">
        <v>835</v>
      </c>
      <c r="DK549" s="0" t="n">
        <v>0</v>
      </c>
      <c r="DM549" s="0" t="n">
        <v>1</v>
      </c>
      <c r="DN549" s="0" t="n">
        <v>46.5</v>
      </c>
      <c r="DO549" s="0" t="n">
        <v>3</v>
      </c>
      <c r="DP549" s="0" t="n">
        <v>0</v>
      </c>
      <c r="DQ549" s="0" t="n">
        <v>1</v>
      </c>
      <c r="DR549" s="0"/>
      <c r="DS549" s="0" t="n">
        <v>1</v>
      </c>
      <c r="DU549" s="0" t="n">
        <v>1</v>
      </c>
      <c r="DW549" s="1" t="n">
        <v>40119</v>
      </c>
      <c r="DX549" s="1" t="n">
        <v>40847</v>
      </c>
      <c r="DZ549" s="0"/>
      <c r="EA549" s="0" t="n">
        <v>1</v>
      </c>
      <c r="EC549" s="1" t="n">
        <v>40119</v>
      </c>
      <c r="ED549" s="1" t="n">
        <v>40847</v>
      </c>
      <c r="EF549" s="0"/>
      <c r="EG549" s="0" t="n">
        <v>0</v>
      </c>
      <c r="EI549" s="0" t="str">
        <f aca="false">IF(AND(DM549=1,DN549&lt;=48),"",IF(AND(DM549=2,DN549&lt;=42),"",IF(AND(DM549=3,DN549&lt;=45),"",EH549)))</f>
        <v/>
      </c>
      <c r="EJ549" s="0" t="str">
        <f aca="false">IF(EI549="","",IF(EI549&lt;9,EI549,9))</f>
        <v/>
      </c>
      <c r="EK549" s="0" t="str">
        <f aca="false">IF(EI549="","",IF(EI549&gt;9,EI549-EJ549,0))</f>
        <v/>
      </c>
      <c r="EL549" s="0" t="str">
        <f aca="false">IF(EI549="","",EJ549*DA549*2+EK549*DA549*3)</f>
        <v/>
      </c>
      <c r="EP549" s="0" t="n">
        <v>1</v>
      </c>
      <c r="EQ549" s="0"/>
      <c r="ER549" s="0" t="n">
        <v>0</v>
      </c>
      <c r="ET549" s="0" t="n">
        <v>0</v>
      </c>
      <c r="EV549" s="0" t="n">
        <v>0</v>
      </c>
      <c r="EX549" s="0" t="n">
        <v>1</v>
      </c>
      <c r="EY549" s="0" t="n">
        <v>0</v>
      </c>
      <c r="EZ549" s="0"/>
      <c r="FA549" s="4" t="n">
        <v>12525</v>
      </c>
      <c r="FB549" s="0" t="n">
        <v>1</v>
      </c>
      <c r="FC549" s="1" t="n">
        <v>41016</v>
      </c>
      <c r="FD549" s="0" t="n">
        <v>4</v>
      </c>
      <c r="FE549" s="0" t="n">
        <v>0</v>
      </c>
      <c r="FF549" s="120" t="n">
        <f aca="false">(CJ549-CI549+1)/365</f>
        <v>1.9972602739726</v>
      </c>
      <c r="FG549" s="0" t="str">
        <f aca="false">CONCATENATE(F549,"/",G549)</f>
        <v>2117/2011</v>
      </c>
      <c r="FH549" s="0" t="n">
        <v>1</v>
      </c>
      <c r="FI549" s="0" t="n">
        <f aca="false">IFERROR(IF((FC549-J549+1)/365&gt;3,0,1),"")</f>
        <v>1</v>
      </c>
    </row>
    <row r="550" customFormat="false" ht="15" hidden="false" customHeight="false" outlineLevel="0" collapsed="false">
      <c r="A550" s="5" t="str">
        <f aca="false">E550&amp;G550&amp;F550</f>
        <v>720112120</v>
      </c>
      <c r="B550" s="0" t="s">
        <v>5097</v>
      </c>
      <c r="C550" s="1" t="n">
        <v>42378</v>
      </c>
      <c r="E550" s="0" t="n">
        <v>7</v>
      </c>
      <c r="F550" s="0" t="n">
        <v>2120</v>
      </c>
      <c r="G550" s="0" t="n">
        <v>2011</v>
      </c>
      <c r="H550" s="0" t="str">
        <f aca="false">"J"&amp;E550&amp;"\"&amp;F550&amp;"\"&amp;G550&amp;"\"&amp;W550</f>
        <v>J7\2120\2011\1</v>
      </c>
      <c r="I550" s="0"/>
      <c r="J550" s="1" t="n">
        <v>40905</v>
      </c>
      <c r="M550" s="1" t="n">
        <v>40910</v>
      </c>
      <c r="N550" s="1" t="n">
        <v>40963</v>
      </c>
      <c r="O550" s="1"/>
      <c r="P550" s="1"/>
      <c r="Q550" s="1"/>
      <c r="T550" s="121"/>
      <c r="U550" s="121"/>
      <c r="V550" s="122" t="n">
        <f aca="false">IF(AND(E550&gt;0,F550&gt;0,G550&gt;0),COUNTIFS($E:$E,E550,$F:$F,F550,$G:$G,G550),"")</f>
        <v>1</v>
      </c>
      <c r="W550" s="122" t="n">
        <f aca="false">IF(V550="","",IF(V550=1,1,IF(AND(E549=E550,F549=F550,G549=G550),W549+1,1)))</f>
        <v>1</v>
      </c>
      <c r="X550" s="0" t="n">
        <v>1</v>
      </c>
      <c r="Y550" s="0" t="n">
        <v>1</v>
      </c>
      <c r="Z550" s="0" t="s">
        <v>5117</v>
      </c>
      <c r="AA550" s="0" t="n">
        <v>0</v>
      </c>
      <c r="AB550" s="0" t="s">
        <v>5118</v>
      </c>
      <c r="AC550" s="0" t="s">
        <v>789</v>
      </c>
      <c r="AD550" s="0" t="s">
        <v>229</v>
      </c>
      <c r="AE550" s="0" t="n">
        <v>0</v>
      </c>
      <c r="AF550" s="0" t="s">
        <v>5119</v>
      </c>
      <c r="AG550" s="0" t="n">
        <v>0</v>
      </c>
      <c r="AH550" s="0" t="s">
        <v>5120</v>
      </c>
      <c r="AI550" s="0" t="s">
        <v>5121</v>
      </c>
      <c r="AJ550" s="0" t="s">
        <v>221</v>
      </c>
      <c r="BR550" s="0" t="n">
        <v>1</v>
      </c>
      <c r="BS550" s="0" t="s">
        <v>5122</v>
      </c>
      <c r="BT550" s="0" t="s">
        <v>5123</v>
      </c>
      <c r="BU550" s="0" t="s">
        <v>5124</v>
      </c>
      <c r="BV550" s="123"/>
      <c r="BW550" s="123"/>
      <c r="BX550" s="123"/>
      <c r="BY550" s="123"/>
      <c r="CD550" s="0" t="s">
        <v>370</v>
      </c>
      <c r="CE550" s="0" t="n">
        <v>0</v>
      </c>
      <c r="CF550" s="0" t="s">
        <v>1309</v>
      </c>
      <c r="CI550" s="1" t="n">
        <v>40496</v>
      </c>
      <c r="CJ550" s="1" t="n">
        <v>40844</v>
      </c>
      <c r="CK550" s="124" t="n">
        <v>0.291666666666667</v>
      </c>
      <c r="CL550" s="0" t="s">
        <v>5125</v>
      </c>
      <c r="CM550" s="0" t="n">
        <f aca="false">IF(OR(CI550="",CJ550=""),"",DAYS360(CI550,CJ550)/360)</f>
        <v>0.955555555555556</v>
      </c>
      <c r="CN550" s="0" t="n">
        <f aca="false">IF(OR(CI550="",CJ550=""),"",DAYS360(CI550,CJ550)/30)</f>
        <v>11.4666666666667</v>
      </c>
      <c r="CO550" s="0" t="n">
        <f aca="false">IF(OR(CI550="",CJ550=""),"",DAYS360(CI550,CJ550)/7)</f>
        <v>49.1428571428571</v>
      </c>
      <c r="CP550" s="0" t="n">
        <f aca="false">IF(OR(CI550="",CJ550=""),"",DAYS360(CI550,CJ550))</f>
        <v>344</v>
      </c>
      <c r="CQ550" s="0" t="s">
        <v>220</v>
      </c>
      <c r="CR550" s="0" t="n">
        <v>1</v>
      </c>
      <c r="CT550" s="0" t="n">
        <v>11000</v>
      </c>
      <c r="CU550" s="0" t="n">
        <v>1</v>
      </c>
      <c r="CV550" s="0" t="n">
        <f aca="false">IF(OR(CT550="",CT550="NO ESPECIFICA",CT550="NO MENCIONA"),"",IF(CU550=0,CT550,IF(CU550=1,CT550/30,IF(CU550=2,CT550/15,IF(CU550=3,CT550/7,"")))))</f>
        <v>366.666666666667</v>
      </c>
      <c r="CW550" s="125" t="n">
        <v>14000</v>
      </c>
      <c r="CX550" s="0" t="n">
        <v>1</v>
      </c>
      <c r="CY550" s="0" t="n">
        <f aca="false">IF(CW550="","",IF(CX550=0,CW550,IF(CX550=1,CW550/30,IF(CX550=2,CW550/15,IF(CX550=3,CW550/7,CW550)))))</f>
        <v>466.666666666667</v>
      </c>
      <c r="CZ550" s="0" t="n">
        <f aca="false">IF(DI550&gt;0,DI550,IF(CY550&gt;0,CY550,IF(CV550&gt;0,CV550,"")))</f>
        <v>466.666666666667</v>
      </c>
      <c r="DA550" s="0" t="str">
        <f aca="false">IF(DM550=1,CZ550/8,IF(OR(DM550=2,DM550=4),CZ550/7,IF(DM550=3,CZ550/7.5,"")))</f>
        <v/>
      </c>
      <c r="DB550" s="0" t="s">
        <v>5126</v>
      </c>
      <c r="DC550" s="0" t="s">
        <v>299</v>
      </c>
      <c r="DD550" s="0" t="s">
        <v>216</v>
      </c>
      <c r="DE550" s="0" t="s">
        <v>216</v>
      </c>
      <c r="DF550" s="0" t="s">
        <v>216</v>
      </c>
      <c r="DG550" s="0" t="s">
        <v>216</v>
      </c>
      <c r="DH550" s="0" t="n">
        <v>0</v>
      </c>
      <c r="DI550" s="126" t="n">
        <v>466.666666666667</v>
      </c>
      <c r="DK550" s="0" t="n">
        <v>0</v>
      </c>
      <c r="DM550" s="0" t="s">
        <v>216</v>
      </c>
      <c r="DN550" s="0" t="s">
        <v>216</v>
      </c>
      <c r="DO550" s="0" t="s">
        <v>216</v>
      </c>
      <c r="DP550" s="0" t="n">
        <v>1</v>
      </c>
      <c r="DQ550" s="0" t="n">
        <v>1</v>
      </c>
      <c r="DR550" s="0"/>
      <c r="DS550" s="0" t="n">
        <v>1</v>
      </c>
      <c r="DU550" s="0" t="n">
        <v>0</v>
      </c>
      <c r="DW550" s="1" t="n">
        <v>40496</v>
      </c>
      <c r="DX550" s="1" t="n">
        <v>40844</v>
      </c>
      <c r="DZ550" s="0"/>
      <c r="EA550" s="0" t="n">
        <v>1</v>
      </c>
      <c r="EC550" s="1" t="n">
        <v>40496</v>
      </c>
      <c r="ED550" s="1" t="n">
        <v>40844</v>
      </c>
      <c r="EF550" s="0"/>
      <c r="EG550" s="0" t="n">
        <v>0</v>
      </c>
      <c r="EI550" s="0" t="n">
        <f aca="false">IF(AND(DM550=1,DN550&lt;=48),"",IF(AND(DM550=2,DN550&lt;=42),"",IF(AND(DM550=3,DN550&lt;=45),"",EH550)))</f>
        <v>0</v>
      </c>
      <c r="EJ550" s="0" t="str">
        <f aca="false">IF(EI550="","",IF(EI550&lt;9,EI550,9))</f>
        <v/>
      </c>
      <c r="EK550" s="0" t="str">
        <f aca="false">IF(EI550="","",IF(EI550&gt;9,EI550-EJ550,0))</f>
        <v/>
      </c>
      <c r="EL550" s="0" t="str">
        <f aca="false">IF(EI550="","",EJ550*DA550*2+EK550*DA550*3)</f>
        <v/>
      </c>
      <c r="EP550" s="0" t="n">
        <v>1</v>
      </c>
      <c r="EQ550" s="0"/>
      <c r="ER550" s="0" t="n">
        <v>0</v>
      </c>
      <c r="ET550" s="0" t="n">
        <v>0</v>
      </c>
      <c r="EV550" s="0" t="n">
        <v>0</v>
      </c>
      <c r="EX550" s="0" t="n">
        <v>1</v>
      </c>
      <c r="EY550" s="0" t="n">
        <v>1</v>
      </c>
      <c r="EZ550" s="4" t="n">
        <v>9000</v>
      </c>
      <c r="FA550" s="4" t="n">
        <v>26600</v>
      </c>
      <c r="FB550" s="0" t="n">
        <v>0</v>
      </c>
      <c r="FC550" s="1" t="n">
        <v>41870</v>
      </c>
      <c r="FD550" s="0" t="n">
        <v>4</v>
      </c>
      <c r="FE550" s="0" t="n">
        <v>0</v>
      </c>
      <c r="FF550" s="120" t="n">
        <f aca="false">(CJ550-CI550+1)/365</f>
        <v>0.956164383561644</v>
      </c>
      <c r="FG550" s="0" t="str">
        <f aca="false">CONCATENATE(F550,"/",G550)</f>
        <v>2120/2011</v>
      </c>
      <c r="FH550" s="0" t="n">
        <v>1</v>
      </c>
      <c r="FI550" s="0" t="n">
        <f aca="false">IFERROR(IF((FC550-J550+1)/365&gt;3,0,1),"")</f>
        <v>1</v>
      </c>
    </row>
    <row r="551" customFormat="false" ht="15" hidden="false" customHeight="false" outlineLevel="0" collapsed="false">
      <c r="A551" s="5" t="str">
        <f aca="false">E551&amp;G551&amp;F551</f>
        <v>720111915</v>
      </c>
      <c r="B551" s="0" t="s">
        <v>3217</v>
      </c>
      <c r="C551" s="1" t="n">
        <v>42361</v>
      </c>
      <c r="D551" s="0" t="s">
        <v>3265</v>
      </c>
      <c r="E551" s="0" t="n">
        <v>7</v>
      </c>
      <c r="F551" s="0" t="n">
        <v>1915</v>
      </c>
      <c r="G551" s="0" t="n">
        <v>2011</v>
      </c>
      <c r="H551" s="0" t="str">
        <f aca="false">"J"&amp;E551&amp;"\"&amp;F551&amp;"\"&amp;G551&amp;"\"&amp;W551</f>
        <v>J7\1915\2011\1</v>
      </c>
      <c r="I551" s="0"/>
      <c r="J551" s="1" t="n">
        <v>40863</v>
      </c>
      <c r="K551" s="0" t="n">
        <v>0</v>
      </c>
      <c r="M551" s="1"/>
      <c r="N551" s="1"/>
      <c r="O551" s="1"/>
      <c r="P551" s="1"/>
      <c r="Q551" s="1"/>
      <c r="T551" s="121"/>
      <c r="U551" s="121"/>
      <c r="V551" s="122" t="n">
        <f aca="false">IF(AND(E551&gt;0,F551&gt;0,G551&gt;0),COUNTIFS($E:$E,E551,$F:$F,F551,$G:$G,G551),"")</f>
        <v>1</v>
      </c>
      <c r="W551" s="122" t="n">
        <f aca="false">IF(V551="","",IF(V551=1,1,IF(AND(E550=E551,F550=F551,G550=G551),W550+1,1)))</f>
        <v>1</v>
      </c>
      <c r="X551" s="0" t="n">
        <v>1</v>
      </c>
      <c r="Y551" s="0" t="n">
        <v>4</v>
      </c>
      <c r="Z551" s="0" t="s">
        <v>5127</v>
      </c>
      <c r="AA551" s="0" t="n">
        <v>0</v>
      </c>
      <c r="AB551" s="0" t="s">
        <v>2941</v>
      </c>
      <c r="AC551" s="0" t="s">
        <v>228</v>
      </c>
      <c r="AD551" s="0" t="s">
        <v>229</v>
      </c>
      <c r="AE551" s="0" t="n">
        <v>0</v>
      </c>
      <c r="AF551" s="0" t="s">
        <v>3317</v>
      </c>
      <c r="AG551" s="0" t="n">
        <v>0</v>
      </c>
      <c r="AH551" s="0" t="s">
        <v>5128</v>
      </c>
      <c r="AI551" s="0" t="s">
        <v>3319</v>
      </c>
      <c r="AJ551" s="0" t="s">
        <v>229</v>
      </c>
      <c r="AL551" s="0" t="s">
        <v>5129</v>
      </c>
      <c r="AM551" s="0" t="n">
        <v>1</v>
      </c>
      <c r="AN551" s="0" t="s">
        <v>5128</v>
      </c>
      <c r="AO551" s="0" t="s">
        <v>3319</v>
      </c>
      <c r="AP551" s="0" t="s">
        <v>229</v>
      </c>
      <c r="AR551" s="0" t="s">
        <v>5130</v>
      </c>
      <c r="AS551" s="0" t="n">
        <v>1</v>
      </c>
      <c r="AT551" s="0" t="s">
        <v>5128</v>
      </c>
      <c r="AU551" s="0" t="s">
        <v>3319</v>
      </c>
      <c r="AV551" s="0" t="s">
        <v>229</v>
      </c>
      <c r="AX551" s="0" t="s">
        <v>1880</v>
      </c>
      <c r="AY551" s="0" t="n">
        <v>1</v>
      </c>
      <c r="AZ551" s="0" t="s">
        <v>5128</v>
      </c>
      <c r="BA551" s="0" t="s">
        <v>3319</v>
      </c>
      <c r="BB551" s="0" t="s">
        <v>229</v>
      </c>
      <c r="BR551" s="0" t="n">
        <v>3</v>
      </c>
      <c r="BS551" s="0" t="s">
        <v>3856</v>
      </c>
      <c r="BT551" s="0" t="s">
        <v>1818</v>
      </c>
      <c r="BU551" s="0" t="s">
        <v>1841</v>
      </c>
      <c r="BV551" s="123"/>
      <c r="BW551" s="123"/>
      <c r="BX551" s="123"/>
      <c r="BY551" s="123"/>
      <c r="CA551" s="0" t="s">
        <v>348</v>
      </c>
      <c r="CD551" s="0" t="s">
        <v>296</v>
      </c>
      <c r="CE551" s="0" t="n">
        <v>0</v>
      </c>
      <c r="CF551" s="0" t="s">
        <v>5131</v>
      </c>
      <c r="CI551" s="1" t="n">
        <v>40399</v>
      </c>
      <c r="CJ551" s="1" t="n">
        <v>40805</v>
      </c>
      <c r="CK551" s="124" t="n">
        <v>0.708333333333333</v>
      </c>
      <c r="CL551" s="0" t="s">
        <v>5129</v>
      </c>
      <c r="CM551" s="0" t="n">
        <f aca="false">IF(OR(CI551="",CJ551=""),"",DAYS360(CI551,CJ551)/360)</f>
        <v>1.11111111111111</v>
      </c>
      <c r="CN551" s="0" t="n">
        <f aca="false">IF(OR(CI551="",CJ551=""),"",DAYS360(CI551,CJ551)/30)</f>
        <v>13.3333333333333</v>
      </c>
      <c r="CO551" s="0" t="n">
        <f aca="false">IF(OR(CI551="",CJ551=""),"",DAYS360(CI551,CJ551)/7)</f>
        <v>57.1428571428571</v>
      </c>
      <c r="CP551" s="0" t="n">
        <f aca="false">IF(OR(CI551="",CJ551=""),"",DAYS360(CI551,CJ551))</f>
        <v>400</v>
      </c>
      <c r="CQ551" s="0" t="s">
        <v>240</v>
      </c>
      <c r="CR551" s="0" t="n">
        <v>1</v>
      </c>
      <c r="CT551" s="0" t="n">
        <v>118.02</v>
      </c>
      <c r="CU551" s="0" t="n">
        <v>0</v>
      </c>
      <c r="CV551" s="0" t="n">
        <f aca="false">IF(OR(CT551="",CT551="NO ESPECIFICA",CT551="NO MENCIONA"),"",IF(CU551=0,CT551,IF(CU551=1,CT551/30,IF(CU551=2,CT551/15,IF(CU551=3,CT551/7,"")))))</f>
        <v>118.02</v>
      </c>
      <c r="CW551" s="125" t="n">
        <v>123.53</v>
      </c>
      <c r="CX551" s="0" t="n">
        <v>0</v>
      </c>
      <c r="CY551" s="0" t="n">
        <f aca="false">IF(CW551="","",IF(CX551=0,CW551,IF(CX551=1,CW551/30,IF(CX551=2,CW551/15,IF(CX551=3,CW551/7,CW551)))))</f>
        <v>123.53</v>
      </c>
      <c r="CZ551" s="0" t="n">
        <f aca="false">IF(DI551&gt;0,DI551,IF(CY551&gt;0,CY551,IF(CV551&gt;0,CV551,"")))</f>
        <v>123.53</v>
      </c>
      <c r="DA551" s="0" t="n">
        <f aca="false">IF(DM551=1,CZ551/8,IF(OR(DM551=2,DM551=4),CZ551/7,IF(DM551=3,CZ551/7.5,"")))</f>
        <v>16.4706666666667</v>
      </c>
      <c r="DB551" s="0" t="s">
        <v>303</v>
      </c>
      <c r="DC551" s="0" t="s">
        <v>301</v>
      </c>
      <c r="DD551" s="0" t="s">
        <v>216</v>
      </c>
      <c r="DE551" s="0" t="s">
        <v>216</v>
      </c>
      <c r="DF551" s="0" t="s">
        <v>216</v>
      </c>
      <c r="DG551" s="0" t="s">
        <v>216</v>
      </c>
      <c r="DH551" s="0" t="n">
        <v>0</v>
      </c>
      <c r="DI551" s="126" t="n">
        <v>123.53</v>
      </c>
      <c r="DK551" s="0" t="n">
        <v>1</v>
      </c>
      <c r="DM551" s="0" t="n">
        <v>3</v>
      </c>
      <c r="DN551" s="0" t="n">
        <v>35</v>
      </c>
      <c r="DO551" s="0" t="n">
        <v>3</v>
      </c>
      <c r="DP551" s="0" t="n">
        <v>0</v>
      </c>
      <c r="DQ551" s="0" t="n">
        <v>1</v>
      </c>
      <c r="DR551" s="0"/>
      <c r="DS551" s="0" t="n">
        <v>1</v>
      </c>
      <c r="DU551" s="0" t="n">
        <v>1</v>
      </c>
      <c r="DW551" s="1" t="n">
        <v>40399</v>
      </c>
      <c r="DX551" s="1" t="n">
        <v>40805</v>
      </c>
      <c r="DZ551" s="0"/>
      <c r="EA551" s="0" t="n">
        <v>1</v>
      </c>
      <c r="EC551" s="1" t="n">
        <v>40399</v>
      </c>
      <c r="ED551" s="1" t="n">
        <v>40805</v>
      </c>
      <c r="EF551" s="0"/>
      <c r="EG551" s="0" t="n">
        <v>0</v>
      </c>
      <c r="EI551" s="0" t="str">
        <f aca="false">IF(AND(DM551=1,DN551&lt;=48),"",IF(AND(DM551=2,DN551&lt;=42),"",IF(AND(DM551=3,DN551&lt;=45),"",EH551)))</f>
        <v/>
      </c>
      <c r="EJ551" s="0" t="str">
        <f aca="false">IF(EI551="","",IF(EI551&lt;9,EI551,9))</f>
        <v/>
      </c>
      <c r="EK551" s="0" t="str">
        <f aca="false">IF(EI551="","",IF(EI551&gt;9,EI551-EJ551,0))</f>
        <v/>
      </c>
      <c r="EL551" s="0" t="str">
        <f aca="false">IF(EI551="","",EJ551*DA551*2+EK551*DA551*3)</f>
        <v/>
      </c>
      <c r="EP551" s="0" t="n">
        <v>0</v>
      </c>
      <c r="EQ551" s="0"/>
      <c r="ER551" s="0" t="n">
        <v>0</v>
      </c>
      <c r="ET551" s="0" t="n">
        <v>0</v>
      </c>
      <c r="EV551" s="0" t="n">
        <v>0</v>
      </c>
      <c r="EX551" s="0" t="n">
        <v>0</v>
      </c>
      <c r="EY551" s="0" t="n">
        <v>0</v>
      </c>
      <c r="EZ551" s="0"/>
      <c r="FA551" s="4" t="n">
        <v>0</v>
      </c>
      <c r="FB551" s="0" t="n">
        <v>1</v>
      </c>
      <c r="FC551" s="1" t="n">
        <v>41060</v>
      </c>
      <c r="FD551" s="0" t="n">
        <v>1</v>
      </c>
      <c r="FE551" s="0" t="n">
        <v>7600</v>
      </c>
      <c r="FF551" s="120" t="n">
        <f aca="false">(CJ551-CI551+1)/365</f>
        <v>1.11506849315069</v>
      </c>
      <c r="FG551" s="0" t="str">
        <f aca="false">CONCATENATE(F551,"/",G551)</f>
        <v>1915/2011</v>
      </c>
      <c r="FH551" s="0" t="n">
        <v>1</v>
      </c>
      <c r="FI551" s="0" t="n">
        <f aca="false">IFERROR(IF((FC551-J551+1)/365&gt;3,0,1),"")</f>
        <v>1</v>
      </c>
    </row>
    <row r="552" customFormat="false" ht="15" hidden="false" customHeight="false" outlineLevel="0" collapsed="false">
      <c r="A552" s="5" t="str">
        <f aca="false">E552&amp;G552&amp;F552</f>
        <v>720111916</v>
      </c>
      <c r="B552" s="0" t="s">
        <v>3217</v>
      </c>
      <c r="C552" s="1" t="n">
        <v>42361</v>
      </c>
      <c r="D552" s="0" t="s">
        <v>3265</v>
      </c>
      <c r="E552" s="0" t="n">
        <v>7</v>
      </c>
      <c r="F552" s="0" t="n">
        <v>1916</v>
      </c>
      <c r="G552" s="0" t="n">
        <v>2011</v>
      </c>
      <c r="H552" s="0" t="str">
        <f aca="false">"J"&amp;E552&amp;"\"&amp;F552&amp;"\"&amp;G552&amp;"\"&amp;W552</f>
        <v>J7\1916\2011\1</v>
      </c>
      <c r="I552" s="0"/>
      <c r="J552" s="1" t="n">
        <v>40863</v>
      </c>
      <c r="K552" s="0" t="n">
        <v>0</v>
      </c>
      <c r="M552" s="1"/>
      <c r="N552" s="1"/>
      <c r="O552" s="1"/>
      <c r="P552" s="1"/>
      <c r="Q552" s="1"/>
      <c r="T552" s="121"/>
      <c r="U552" s="121"/>
      <c r="V552" s="122" t="n">
        <f aca="false">IF(AND(E552&gt;0,F552&gt;0,G552&gt;0),COUNTIFS($E:$E,E552,$F:$F,F552,$G:$G,G552),"")</f>
        <v>1</v>
      </c>
      <c r="W552" s="122" t="n">
        <f aca="false">IF(V552="","",IF(V552=1,1,IF(AND(E551=E552,F551=F552,G551=G552),W551+1,1)))</f>
        <v>1</v>
      </c>
      <c r="X552" s="0" t="n">
        <v>1</v>
      </c>
      <c r="Y552" s="0" t="n">
        <v>3</v>
      </c>
      <c r="Z552" s="0" t="s">
        <v>5132</v>
      </c>
      <c r="AA552" s="0" t="n">
        <v>0</v>
      </c>
      <c r="AB552" s="0" t="s">
        <v>2941</v>
      </c>
      <c r="AC552" s="0" t="s">
        <v>228</v>
      </c>
      <c r="AD552" s="0" t="s">
        <v>229</v>
      </c>
      <c r="AE552" s="0" t="n">
        <v>0</v>
      </c>
      <c r="AF552" s="0" t="s">
        <v>5133</v>
      </c>
      <c r="AG552" s="0" t="n">
        <v>0</v>
      </c>
      <c r="AH552" s="0" t="s">
        <v>5134</v>
      </c>
      <c r="AI552" s="0" t="s">
        <v>5135</v>
      </c>
      <c r="AJ552" s="0" t="s">
        <v>352</v>
      </c>
      <c r="AL552" s="0" t="s">
        <v>5136</v>
      </c>
      <c r="AM552" s="0" t="n">
        <v>1</v>
      </c>
      <c r="AN552" s="0" t="s">
        <v>5134</v>
      </c>
      <c r="AO552" s="0" t="s">
        <v>5135</v>
      </c>
      <c r="AP552" s="0" t="s">
        <v>352</v>
      </c>
      <c r="AR552" s="0" t="s">
        <v>1880</v>
      </c>
      <c r="AS552" s="0" t="n">
        <v>1</v>
      </c>
      <c r="AT552" s="0" t="s">
        <v>5134</v>
      </c>
      <c r="AU552" s="0" t="s">
        <v>5135</v>
      </c>
      <c r="AV552" s="0" t="s">
        <v>352</v>
      </c>
      <c r="BR552" s="0" t="n">
        <v>3</v>
      </c>
      <c r="BS552" s="0" t="s">
        <v>3272</v>
      </c>
      <c r="BT552" s="0" t="s">
        <v>1818</v>
      </c>
      <c r="BU552" s="0" t="s">
        <v>1841</v>
      </c>
      <c r="BV552" s="123"/>
      <c r="BW552" s="123"/>
      <c r="BX552" s="123"/>
      <c r="BY552" s="123"/>
      <c r="CA552" s="0" t="s">
        <v>348</v>
      </c>
      <c r="CD552" s="0" t="s">
        <v>256</v>
      </c>
      <c r="CE552" s="0" t="n">
        <v>0</v>
      </c>
      <c r="CF552" s="0" t="s">
        <v>2946</v>
      </c>
      <c r="CI552" s="1" t="n">
        <v>40735</v>
      </c>
      <c r="CJ552" s="1" t="n">
        <v>40828</v>
      </c>
      <c r="CK552" s="124" t="n">
        <v>0.375</v>
      </c>
      <c r="CL552" s="0" t="s">
        <v>5136</v>
      </c>
      <c r="CM552" s="0" t="n">
        <f aca="false">IF(OR(CI552="",CJ552=""),"",DAYS360(CI552,CJ552)/360)</f>
        <v>0.252777777777778</v>
      </c>
      <c r="CN552" s="0" t="n">
        <f aca="false">IF(OR(CI552="",CJ552=""),"",DAYS360(CI552,CJ552)/30)</f>
        <v>3.03333333333333</v>
      </c>
      <c r="CO552" s="0" t="n">
        <f aca="false">IF(OR(CI552="",CJ552=""),"",DAYS360(CI552,CJ552)/7)</f>
        <v>13</v>
      </c>
      <c r="CP552" s="0" t="n">
        <f aca="false">IF(OR(CI552="",CJ552=""),"",DAYS360(CI552,CJ552))</f>
        <v>91</v>
      </c>
      <c r="CQ552" s="0" t="s">
        <v>240</v>
      </c>
      <c r="CR552" s="0" t="n">
        <v>1</v>
      </c>
      <c r="CT552" s="0" t="n">
        <v>200</v>
      </c>
      <c r="CU552" s="0" t="n">
        <v>0</v>
      </c>
      <c r="CV552" s="0" t="n">
        <f aca="false">IF(OR(CT552="",CT552="NO ESPECIFICA",CT552="NO MENCIONA"),"",IF(CU552=0,CT552,IF(CU552=1,CT552/30,IF(CU552=2,CT552/15,IF(CU552=3,CT552/7,"")))))</f>
        <v>200</v>
      </c>
      <c r="CW552" s="125" t="n">
        <v>209.04</v>
      </c>
      <c r="CX552" s="0" t="n">
        <v>0</v>
      </c>
      <c r="CY552" s="0" t="n">
        <f aca="false">IF(CW552="","",IF(CX552=0,CW552,IF(CX552=1,CW552/30,IF(CX552=2,CW552/15,IF(CX552=3,CW552/7,CW552)))))</f>
        <v>209.04</v>
      </c>
      <c r="CZ552" s="0" t="n">
        <f aca="false">IF(DI552&gt;0,DI552,IF(CY552&gt;0,CY552,IF(CV552&gt;0,CV552,"")))</f>
        <v>209.04</v>
      </c>
      <c r="DA552" s="0" t="n">
        <f aca="false">IF(DM552=1,CZ552/8,IF(OR(DM552=2,DM552=4),CZ552/7,IF(DM552=3,CZ552/7.5,"")))</f>
        <v>26.13</v>
      </c>
      <c r="DB552" s="0" t="s">
        <v>303</v>
      </c>
      <c r="DC552" s="0" t="s">
        <v>301</v>
      </c>
      <c r="DD552" s="0" t="s">
        <v>1446</v>
      </c>
      <c r="DE552" s="0" t="s">
        <v>216</v>
      </c>
      <c r="DF552" s="0" t="s">
        <v>216</v>
      </c>
      <c r="DG552" s="0" t="s">
        <v>216</v>
      </c>
      <c r="DH552" s="0" t="n">
        <v>0</v>
      </c>
      <c r="DI552" s="126" t="n">
        <v>209.04</v>
      </c>
      <c r="DK552" s="0" t="n">
        <v>0</v>
      </c>
      <c r="DM552" s="0" t="n">
        <v>1</v>
      </c>
      <c r="DN552" s="0" t="n">
        <v>57</v>
      </c>
      <c r="DO552" s="0" t="n">
        <v>3</v>
      </c>
      <c r="DP552" s="0" t="n">
        <v>0</v>
      </c>
      <c r="DQ552" s="0" t="n">
        <v>1</v>
      </c>
      <c r="DR552" s="0"/>
      <c r="DS552" s="0" t="n">
        <v>1</v>
      </c>
      <c r="DU552" s="0" t="n">
        <v>1</v>
      </c>
      <c r="DW552" s="1" t="n">
        <v>40735</v>
      </c>
      <c r="DX552" s="1" t="n">
        <v>40828</v>
      </c>
      <c r="DZ552" s="0"/>
      <c r="EA552" s="0" t="n">
        <v>1</v>
      </c>
      <c r="EC552" s="1" t="n">
        <v>40735</v>
      </c>
      <c r="ED552" s="1" t="n">
        <v>40828</v>
      </c>
      <c r="EF552" s="0"/>
      <c r="EG552" s="0" t="n">
        <v>1</v>
      </c>
      <c r="EH552" s="0" t="n">
        <v>9</v>
      </c>
      <c r="EI552" s="0" t="n">
        <f aca="false">IF(AND(DM552=1,DN552&lt;=48),"",IF(AND(DM552=2,DN552&lt;=42),"",IF(AND(DM552=3,DN552&lt;=45),"",EH552)))</f>
        <v>9</v>
      </c>
      <c r="EJ552" s="0" t="n">
        <f aca="false">IF(EI552="","",IF(EI552&lt;9,EI552,9))</f>
        <v>9</v>
      </c>
      <c r="EK552" s="0" t="n">
        <f aca="false">IF(EI552="","",IF(EI552&gt;9,EI552-EJ552,0))</f>
        <v>0</v>
      </c>
      <c r="EL552" s="0" t="n">
        <f aca="false">IF(EI552="","",EJ552*DA552*2+EK552*DA552*3)</f>
        <v>470.34</v>
      </c>
      <c r="EP552" s="0" t="n">
        <v>0</v>
      </c>
      <c r="EQ552" s="0"/>
      <c r="ER552" s="0" t="n">
        <v>0</v>
      </c>
      <c r="ET552" s="0" t="n">
        <v>0</v>
      </c>
      <c r="EV552" s="0" t="n">
        <v>0</v>
      </c>
      <c r="EX552" s="0" t="n">
        <v>0</v>
      </c>
      <c r="EY552" s="0" t="n">
        <v>0</v>
      </c>
      <c r="EZ552" s="0"/>
      <c r="FA552" s="4" t="n">
        <v>2299.44</v>
      </c>
      <c r="FB552" s="0" t="n">
        <v>1</v>
      </c>
      <c r="FC552" s="1" t="n">
        <v>40929</v>
      </c>
      <c r="FD552" s="0" t="n">
        <v>2</v>
      </c>
      <c r="FE552" s="0" t="n">
        <v>0</v>
      </c>
      <c r="FF552" s="120" t="n">
        <f aca="false">(CJ552-CI552+1)/365</f>
        <v>0.257534246575342</v>
      </c>
      <c r="FG552" s="0" t="str">
        <f aca="false">CONCATENATE(F552,"/",G552)</f>
        <v>1916/2011</v>
      </c>
      <c r="FH552" s="0" t="n">
        <v>1</v>
      </c>
      <c r="FI552" s="0" t="n">
        <f aca="false">IFERROR(IF((FC552-J552+1)/365&gt;3,0,1),"")</f>
        <v>1</v>
      </c>
    </row>
    <row r="553" customFormat="false" ht="15" hidden="false" customHeight="false" outlineLevel="0" collapsed="false">
      <c r="A553" s="5" t="str">
        <f aca="false">E553&amp;G553&amp;F553</f>
        <v>720111917</v>
      </c>
      <c r="B553" s="0" t="s">
        <v>3217</v>
      </c>
      <c r="C553" s="1" t="n">
        <v>42361</v>
      </c>
      <c r="D553" s="0" t="s">
        <v>5137</v>
      </c>
      <c r="E553" s="0" t="n">
        <v>7</v>
      </c>
      <c r="F553" s="0" t="n">
        <v>1917</v>
      </c>
      <c r="G553" s="0" t="n">
        <v>2011</v>
      </c>
      <c r="H553" s="0" t="str">
        <f aca="false">"J"&amp;E553&amp;"\"&amp;F553&amp;"\"&amp;G553&amp;"\"&amp;W553</f>
        <v>J7\1917\2011\1</v>
      </c>
      <c r="I553" s="0"/>
      <c r="J553" s="1" t="n">
        <v>40863</v>
      </c>
      <c r="K553" s="0" t="n">
        <v>0</v>
      </c>
      <c r="M553" s="1"/>
      <c r="N553" s="1"/>
      <c r="O553" s="1"/>
      <c r="P553" s="1"/>
      <c r="Q553" s="1"/>
      <c r="T553" s="121"/>
      <c r="U553" s="121"/>
      <c r="V553" s="122" t="n">
        <f aca="false">IF(AND(E553&gt;0,F553&gt;0,G553&gt;0),COUNTIFS($E:$E,E553,$F:$F,F553,$G:$G,G553),"")</f>
        <v>1</v>
      </c>
      <c r="W553" s="122" t="n">
        <f aca="false">IF(V553="","",IF(V553=1,1,IF(AND(E552=E553,F552=F553,G552=G553),W552+1,1)))</f>
        <v>1</v>
      </c>
      <c r="X553" s="0" t="n">
        <v>1</v>
      </c>
      <c r="Y553" s="0" t="n">
        <v>5</v>
      </c>
      <c r="Z553" s="0" t="s">
        <v>5138</v>
      </c>
      <c r="AA553" s="0" t="n">
        <v>0</v>
      </c>
      <c r="AB553" s="0" t="s">
        <v>5139</v>
      </c>
      <c r="AC553" s="0" t="s">
        <v>251</v>
      </c>
      <c r="AD553" s="0" t="s">
        <v>229</v>
      </c>
      <c r="AE553" s="0" t="n">
        <v>0</v>
      </c>
      <c r="AF553" s="0" t="s">
        <v>756</v>
      </c>
      <c r="AG553" s="0" t="n">
        <v>0</v>
      </c>
      <c r="AH553" s="0" t="s">
        <v>5140</v>
      </c>
      <c r="AI553" s="0" t="s">
        <v>206</v>
      </c>
      <c r="AJ553" s="0" t="s">
        <v>221</v>
      </c>
      <c r="AL553" s="0" t="s">
        <v>5141</v>
      </c>
      <c r="AM553" s="0" t="n">
        <v>1</v>
      </c>
      <c r="AN553" s="0" t="s">
        <v>5140</v>
      </c>
      <c r="AO553" s="0" t="s">
        <v>206</v>
      </c>
      <c r="AP553" s="0" t="s">
        <v>221</v>
      </c>
      <c r="AR553" s="0" t="s">
        <v>5142</v>
      </c>
      <c r="AS553" s="0" t="n">
        <v>0</v>
      </c>
      <c r="AT553" s="0" t="s">
        <v>5143</v>
      </c>
      <c r="AU553" s="0" t="s">
        <v>1123</v>
      </c>
      <c r="AX553" s="0" t="s">
        <v>5144</v>
      </c>
      <c r="AY553" s="0" t="n">
        <v>1</v>
      </c>
      <c r="AZ553" s="0" t="s">
        <v>5143</v>
      </c>
      <c r="BA553" s="0" t="s">
        <v>1123</v>
      </c>
      <c r="BD553" s="0" t="s">
        <v>1880</v>
      </c>
      <c r="BE553" s="0" t="n">
        <v>1</v>
      </c>
      <c r="BF553" s="0" t="s">
        <v>5140</v>
      </c>
      <c r="BG553" s="0" t="s">
        <v>206</v>
      </c>
      <c r="BH553" s="0" t="s">
        <v>221</v>
      </c>
      <c r="BR553" s="0" t="n">
        <v>1</v>
      </c>
      <c r="BS553" s="0" t="s">
        <v>5145</v>
      </c>
      <c r="BT553" s="0" t="s">
        <v>5146</v>
      </c>
      <c r="BU553" s="0" t="s">
        <v>5147</v>
      </c>
      <c r="BV553" s="123"/>
      <c r="BW553" s="123"/>
      <c r="BX553" s="123"/>
      <c r="BY553" s="123"/>
      <c r="CA553" s="0" t="s">
        <v>5148</v>
      </c>
      <c r="CD553" s="0" t="s">
        <v>296</v>
      </c>
      <c r="CE553" s="0" t="n">
        <v>0</v>
      </c>
      <c r="CF553" s="0" t="s">
        <v>5149</v>
      </c>
      <c r="CI553" s="1" t="n">
        <v>40637</v>
      </c>
      <c r="CJ553" s="1" t="n">
        <v>40819</v>
      </c>
      <c r="CK553" s="124" t="n">
        <v>0.375694444444444</v>
      </c>
      <c r="CL553" s="0" t="s">
        <v>5141</v>
      </c>
      <c r="CM553" s="0" t="n">
        <f aca="false">IF(OR(CI553="",CJ553=""),"",DAYS360(CI553,CJ553)/360)</f>
        <v>0.497222222222222</v>
      </c>
      <c r="CN553" s="0" t="n">
        <f aca="false">IF(OR(CI553="",CJ553=""),"",DAYS360(CI553,CJ553)/30)</f>
        <v>5.96666666666667</v>
      </c>
      <c r="CO553" s="0" t="n">
        <f aca="false">IF(OR(CI553="",CJ553=""),"",DAYS360(CI553,CJ553)/7)</f>
        <v>25.5714285714286</v>
      </c>
      <c r="CP553" s="0" t="n">
        <f aca="false">IF(OR(CI553="",CJ553=""),"",DAYS360(CI553,CJ553))</f>
        <v>179</v>
      </c>
      <c r="CQ553" s="0" t="s">
        <v>240</v>
      </c>
      <c r="CR553" s="0" t="n">
        <v>1</v>
      </c>
      <c r="CT553" s="0" t="n">
        <v>266.67</v>
      </c>
      <c r="CU553" s="0" t="n">
        <v>0</v>
      </c>
      <c r="CV553" s="0" t="n">
        <f aca="false">IF(OR(CT553="",CT553="NO ESPECIFICA",CT553="NO MENCIONA"),"",IF(CU553=0,CT553,IF(CU553=1,CT553/30,IF(CU553=2,CT553/15,IF(CU553=3,CT553/7,"")))))</f>
        <v>266.67</v>
      </c>
      <c r="CW553" s="125" t="s">
        <v>216</v>
      </c>
      <c r="CX553" s="0" t="s">
        <v>216</v>
      </c>
      <c r="CY553" s="0" t="str">
        <f aca="false">IF(CW553="","",IF(CX553=0,CW553,IF(CX553=1,CW553/30,IF(CX553=2,CW553/15,IF(CX553=3,CW553/7,CW553)))))</f>
        <v>NO MENCIONA</v>
      </c>
      <c r="CZ553" s="0" t="n">
        <f aca="false">IF(DI553&gt;0,DI553,IF(CY553&gt;0,CY553,IF(CV553&gt;0,CV553,"")))</f>
        <v>286.67</v>
      </c>
      <c r="DA553" s="0" t="n">
        <f aca="false">IF(DM553=1,CZ553/8,IF(OR(DM553=2,DM553=4),CZ553/7,IF(DM553=3,CZ553/7.5,"")))</f>
        <v>35.83375</v>
      </c>
      <c r="DB553" s="0" t="s">
        <v>299</v>
      </c>
      <c r="DC553" s="0" t="s">
        <v>216</v>
      </c>
      <c r="DD553" s="0" t="s">
        <v>216</v>
      </c>
      <c r="DE553" s="0" t="s">
        <v>216</v>
      </c>
      <c r="DF553" s="0" t="s">
        <v>216</v>
      </c>
      <c r="DG553" s="0" t="s">
        <v>216</v>
      </c>
      <c r="DH553" s="0" t="n">
        <v>0</v>
      </c>
      <c r="DI553" s="126" t="n">
        <v>286.67</v>
      </c>
      <c r="DK553" s="0" t="n">
        <v>0</v>
      </c>
      <c r="DM553" s="0" t="n">
        <v>1</v>
      </c>
      <c r="DN553" s="0" t="n">
        <v>30</v>
      </c>
      <c r="DO553" s="0" t="n">
        <v>3</v>
      </c>
      <c r="DP553" s="0" t="n">
        <v>0</v>
      </c>
      <c r="DQ553" s="0" t="n">
        <v>1</v>
      </c>
      <c r="DR553" s="0"/>
      <c r="DS553" s="0" t="n">
        <v>1</v>
      </c>
      <c r="DU553" s="0" t="n">
        <v>1</v>
      </c>
      <c r="DW553" s="1" t="s">
        <v>221</v>
      </c>
      <c r="DX553" s="1" t="s">
        <v>221</v>
      </c>
      <c r="DZ553" s="0"/>
      <c r="EA553" s="0" t="n">
        <v>1</v>
      </c>
      <c r="EC553" s="1" t="s">
        <v>221</v>
      </c>
      <c r="ED553" s="1" t="s">
        <v>221</v>
      </c>
      <c r="EF553" s="0"/>
      <c r="EG553" s="0" t="n">
        <v>1</v>
      </c>
      <c r="EH553" s="0" t="s">
        <v>221</v>
      </c>
      <c r="EI553" s="0" t="str">
        <f aca="false">IF(AND(DM553=1,DN553&lt;=48),"",IF(AND(DM553=2,DN553&lt;=42),"",IF(AND(DM553=3,DN553&lt;=45),"",EH553)))</f>
        <v/>
      </c>
      <c r="EJ553" s="0" t="str">
        <f aca="false">IF(EI553="","",IF(EI553&lt;9,EI553,9))</f>
        <v/>
      </c>
      <c r="EK553" s="0" t="str">
        <f aca="false">IF(EI553="","",IF(EI553&gt;9,EI553-EJ553,0))</f>
        <v/>
      </c>
      <c r="EL553" s="0" t="str">
        <f aca="false">IF(EI553="","",EJ553*DA553*2+EK553*DA553*3)</f>
        <v/>
      </c>
      <c r="EP553" s="0" t="n">
        <v>0</v>
      </c>
      <c r="EQ553" s="0"/>
      <c r="ER553" s="0" t="n">
        <v>1</v>
      </c>
      <c r="ET553" s="0" t="n">
        <v>0</v>
      </c>
      <c r="EV553" s="0" t="n">
        <v>0</v>
      </c>
      <c r="EX553" s="0" t="n">
        <v>1</v>
      </c>
      <c r="EY553" s="0" t="n">
        <v>0</v>
      </c>
      <c r="EZ553" s="0"/>
      <c r="FA553" s="4" t="n">
        <v>0</v>
      </c>
      <c r="FB553" s="0" t="n">
        <v>0</v>
      </c>
      <c r="FC553" s="1" t="n">
        <v>40968</v>
      </c>
      <c r="FD553" s="0" t="n">
        <v>1</v>
      </c>
      <c r="FE553" s="0" t="n">
        <v>10000</v>
      </c>
      <c r="FF553" s="120" t="n">
        <f aca="false">(CJ553-CI553+1)/365</f>
        <v>0.501369863013699</v>
      </c>
      <c r="FG553" s="0" t="str">
        <f aca="false">CONCATENATE(F553,"/",G553)</f>
        <v>1917/2011</v>
      </c>
      <c r="FH553" s="0" t="n">
        <v>1</v>
      </c>
      <c r="FI553" s="0" t="n">
        <f aca="false">IFERROR(IF((FC553-J553+1)/365&gt;3,0,1),"")</f>
        <v>1</v>
      </c>
    </row>
    <row r="554" customFormat="false" ht="15" hidden="false" customHeight="false" outlineLevel="0" collapsed="false">
      <c r="A554" s="5" t="str">
        <f aca="false">E554&amp;G554&amp;F554</f>
        <v>720111918</v>
      </c>
      <c r="B554" s="0" t="s">
        <v>3217</v>
      </c>
      <c r="C554" s="1" t="n">
        <v>42364</v>
      </c>
      <c r="D554" s="0" t="s">
        <v>3265</v>
      </c>
      <c r="E554" s="0" t="n">
        <v>7</v>
      </c>
      <c r="F554" s="0" t="n">
        <v>1918</v>
      </c>
      <c r="G554" s="0" t="n">
        <v>2011</v>
      </c>
      <c r="H554" s="0" t="str">
        <f aca="false">"J"&amp;E554&amp;"\"&amp;F554&amp;"\"&amp;G554&amp;"\"&amp;W554</f>
        <v>J7\1918\2011\1</v>
      </c>
      <c r="I554" s="0"/>
      <c r="J554" s="1" t="n">
        <v>40863</v>
      </c>
      <c r="K554" s="0" t="n">
        <v>0</v>
      </c>
      <c r="M554" s="1"/>
      <c r="N554" s="1"/>
      <c r="O554" s="1"/>
      <c r="P554" s="1"/>
      <c r="Q554" s="1"/>
      <c r="T554" s="121"/>
      <c r="U554" s="121"/>
      <c r="V554" s="122" t="n">
        <f aca="false">IF(AND(E554&gt;0,F554&gt;0,G554&gt;0),COUNTIFS($E:$E,E554,$F:$F,F554,$G:$G,G554),"")</f>
        <v>1</v>
      </c>
      <c r="W554" s="122" t="n">
        <f aca="false">IF(V554="","",IF(V554=1,1,IF(AND(E553=E554,F553=F554,G553=G554),W553+1,1)))</f>
        <v>1</v>
      </c>
      <c r="X554" s="0" t="n">
        <v>1</v>
      </c>
      <c r="Y554" s="0" t="n">
        <v>3</v>
      </c>
      <c r="Z554" s="0" t="s">
        <v>5150</v>
      </c>
      <c r="AA554" s="0" t="n">
        <v>0</v>
      </c>
      <c r="AB554" s="0" t="s">
        <v>3911</v>
      </c>
      <c r="AC554" s="0" t="s">
        <v>1123</v>
      </c>
      <c r="AD554" s="0" t="s">
        <v>322</v>
      </c>
      <c r="AE554" s="0" t="n">
        <v>0</v>
      </c>
      <c r="AF554" s="0" t="s">
        <v>896</v>
      </c>
      <c r="AG554" s="0" t="n">
        <v>0</v>
      </c>
      <c r="AH554" s="0" t="s">
        <v>5151</v>
      </c>
      <c r="AI554" s="0" t="s">
        <v>643</v>
      </c>
      <c r="AJ554" s="0" t="s">
        <v>221</v>
      </c>
      <c r="AL554" s="0" t="s">
        <v>5152</v>
      </c>
      <c r="AM554" s="0" t="n">
        <v>1</v>
      </c>
      <c r="AN554" s="0" t="s">
        <v>5151</v>
      </c>
      <c r="AO554" s="0" t="s">
        <v>643</v>
      </c>
      <c r="AP554" s="0" t="s">
        <v>221</v>
      </c>
      <c r="AR554" s="0" t="s">
        <v>1880</v>
      </c>
      <c r="AS554" s="0" t="n">
        <v>1</v>
      </c>
      <c r="AT554" s="0" t="s">
        <v>5151</v>
      </c>
      <c r="AU554" s="0" t="s">
        <v>643</v>
      </c>
      <c r="AV554" s="0" t="s">
        <v>221</v>
      </c>
      <c r="BR554" s="0" t="n">
        <v>1</v>
      </c>
      <c r="BS554" s="0" t="s">
        <v>5153</v>
      </c>
      <c r="BT554" s="0" t="s">
        <v>3919</v>
      </c>
      <c r="BU554" s="0" t="s">
        <v>3918</v>
      </c>
      <c r="BV554" s="123"/>
      <c r="BW554" s="123"/>
      <c r="BX554" s="123"/>
      <c r="BY554" s="123"/>
      <c r="CA554" s="0" t="s">
        <v>5154</v>
      </c>
      <c r="CD554" s="0" t="s">
        <v>296</v>
      </c>
      <c r="CE554" s="0" t="n">
        <v>0</v>
      </c>
      <c r="CF554" s="0" t="s">
        <v>5155</v>
      </c>
      <c r="CI554" s="1" t="n">
        <v>39462</v>
      </c>
      <c r="CJ554" s="1" t="n">
        <v>40827</v>
      </c>
      <c r="CK554" s="124" t="n">
        <v>0.291666666666667</v>
      </c>
      <c r="CL554" s="0" t="s">
        <v>5156</v>
      </c>
      <c r="CM554" s="0" t="n">
        <f aca="false">IF(OR(CI554="",CJ554=""),"",DAYS360(CI554,CJ554)/360)</f>
        <v>3.73888888888889</v>
      </c>
      <c r="CN554" s="0" t="n">
        <f aca="false">IF(OR(CI554="",CJ554=""),"",DAYS360(CI554,CJ554)/30)</f>
        <v>44.8666666666667</v>
      </c>
      <c r="CO554" s="0" t="n">
        <f aca="false">IF(OR(CI554="",CJ554=""),"",DAYS360(CI554,CJ554)/7)</f>
        <v>192.285714285714</v>
      </c>
      <c r="CP554" s="0" t="n">
        <f aca="false">IF(OR(CI554="",CJ554=""),"",DAYS360(CI554,CJ554))</f>
        <v>1346</v>
      </c>
      <c r="CQ554" s="0" t="s">
        <v>240</v>
      </c>
      <c r="CR554" s="0" t="n">
        <v>1</v>
      </c>
      <c r="CT554" s="0" t="n">
        <v>10000</v>
      </c>
      <c r="CU554" s="0" t="n">
        <v>1</v>
      </c>
      <c r="CV554" s="0" t="n">
        <f aca="false">IF(OR(CT554="",CT554="NO ESPECIFICA",CT554="NO MENCIONA"),"",IF(CU554=0,CT554,IF(CU554=1,CT554/30,IF(CU554=2,CT554/15,IF(CU554=3,CT554/7,"")))))</f>
        <v>333.333333333333</v>
      </c>
      <c r="CW554" s="125" t="s">
        <v>216</v>
      </c>
      <c r="CX554" s="0" t="s">
        <v>216</v>
      </c>
      <c r="CY554" s="0" t="str">
        <f aca="false">IF(CW554="","",IF(CX554=0,CW554,IF(CX554=1,CW554/30,IF(CX554=2,CW554/15,IF(CX554=3,CW554/7,CW554)))))</f>
        <v>NO MENCIONA</v>
      </c>
      <c r="CZ554" s="0" t="n">
        <f aca="false">IF(DI554&gt;0,DI554,IF(CY554&gt;0,CY554,IF(CV554&gt;0,CV554,"")))</f>
        <v>333.333333333333</v>
      </c>
      <c r="DA554" s="0" t="n">
        <f aca="false">IF(DM554=1,CZ554/8,IF(OR(DM554=2,DM554=4),CZ554/7,IF(DM554=3,CZ554/7.5,"")))</f>
        <v>41.6666666666667</v>
      </c>
      <c r="DB554" s="0" t="s">
        <v>216</v>
      </c>
      <c r="DC554" s="0" t="s">
        <v>216</v>
      </c>
      <c r="DD554" s="0" t="s">
        <v>216</v>
      </c>
      <c r="DE554" s="0" t="s">
        <v>216</v>
      </c>
      <c r="DF554" s="0" t="s">
        <v>216</v>
      </c>
      <c r="DG554" s="0" t="s">
        <v>216</v>
      </c>
      <c r="DH554" s="0" t="n">
        <v>0</v>
      </c>
      <c r="DI554" s="126" t="n">
        <v>333.333333333333</v>
      </c>
      <c r="DK554" s="0" t="n">
        <v>0</v>
      </c>
      <c r="DM554" s="0" t="n">
        <v>1</v>
      </c>
      <c r="DN554" s="0" t="n">
        <v>72</v>
      </c>
      <c r="DO554" s="0" t="n">
        <v>3</v>
      </c>
      <c r="DP554" s="0" t="n">
        <v>0</v>
      </c>
      <c r="DQ554" s="0" t="n">
        <v>1</v>
      </c>
      <c r="DR554" s="0"/>
      <c r="DS554" s="0" t="n">
        <v>1</v>
      </c>
      <c r="DU554" s="0" t="n">
        <v>1</v>
      </c>
      <c r="DW554" s="1" t="n">
        <v>40193</v>
      </c>
      <c r="DX554" s="1" t="n">
        <v>40827</v>
      </c>
      <c r="DZ554" s="0"/>
      <c r="EA554" s="0" t="n">
        <v>1</v>
      </c>
      <c r="EC554" s="1" t="n">
        <v>40179</v>
      </c>
      <c r="ED554" s="1" t="n">
        <v>40827</v>
      </c>
      <c r="EF554" s="0"/>
      <c r="EG554" s="0" t="n">
        <v>0</v>
      </c>
      <c r="EI554" s="0" t="n">
        <f aca="false">IF(AND(DM554=1,DN554&lt;=48),"",IF(AND(DM554=2,DN554&lt;=42),"",IF(AND(DM554=3,DN554&lt;=45),"",EH554)))</f>
        <v>0</v>
      </c>
      <c r="EJ554" s="0" t="str">
        <f aca="false">IF(EI554="","",IF(EI554&lt;9,EI554,9))</f>
        <v/>
      </c>
      <c r="EK554" s="0" t="str">
        <f aca="false">IF(EI554="","",IF(EI554&gt;9,EI554-EJ554,0))</f>
        <v/>
      </c>
      <c r="EL554" s="0" t="str">
        <f aca="false">IF(EI554="","",EJ554*DA554*2+EK554*DA554*3)</f>
        <v/>
      </c>
      <c r="EP554" s="0" t="n">
        <v>0</v>
      </c>
      <c r="EQ554" s="0"/>
      <c r="ER554" s="0" t="n">
        <v>1</v>
      </c>
      <c r="ET554" s="0" t="n">
        <v>0</v>
      </c>
      <c r="EV554" s="0" t="n">
        <v>1</v>
      </c>
      <c r="EX554" s="0" t="n">
        <v>0</v>
      </c>
      <c r="EY554" s="0" t="n">
        <v>1</v>
      </c>
      <c r="EZ554" s="4" t="n">
        <v>10000</v>
      </c>
      <c r="FA554" s="4" t="n">
        <v>3333.3</v>
      </c>
      <c r="FB554" s="0" t="n">
        <v>1</v>
      </c>
      <c r="FC554" s="1" t="n">
        <v>40956</v>
      </c>
      <c r="FD554" s="0" t="n">
        <v>2</v>
      </c>
      <c r="FE554" s="0" t="n">
        <v>0</v>
      </c>
      <c r="FF554" s="120" t="n">
        <f aca="false">(CJ554-CI554+1)/365</f>
        <v>3.74246575342466</v>
      </c>
      <c r="FG554" s="0" t="str">
        <f aca="false">CONCATENATE(F554,"/",G554)</f>
        <v>1918/2011</v>
      </c>
      <c r="FH554" s="0" t="n">
        <v>1</v>
      </c>
      <c r="FI554" s="0" t="n">
        <f aca="false">IFERROR(IF((FC554-J554+1)/365&gt;3,0,1),"")</f>
        <v>1</v>
      </c>
    </row>
    <row r="555" customFormat="false" ht="15" hidden="false" customHeight="false" outlineLevel="0" collapsed="false">
      <c r="A555" s="5" t="str">
        <f aca="false">E555&amp;G555&amp;F555</f>
        <v>720111919</v>
      </c>
      <c r="B555" s="0" t="s">
        <v>3217</v>
      </c>
      <c r="C555" s="1" t="n">
        <v>42364</v>
      </c>
      <c r="D555" s="0" t="s">
        <v>3265</v>
      </c>
      <c r="E555" s="0" t="n">
        <v>7</v>
      </c>
      <c r="F555" s="0" t="n">
        <v>1919</v>
      </c>
      <c r="G555" s="0" t="n">
        <v>2011</v>
      </c>
      <c r="H555" s="0" t="str">
        <f aca="false">"J"&amp;E555&amp;"\"&amp;F555&amp;"\"&amp;G555&amp;"\"&amp;W555</f>
        <v>J7\1919\2011\1</v>
      </c>
      <c r="I555" s="0"/>
      <c r="J555" s="1" t="n">
        <v>40864</v>
      </c>
      <c r="K555" s="0" t="n">
        <v>0</v>
      </c>
      <c r="M555" s="1"/>
      <c r="N555" s="1"/>
      <c r="O555" s="1"/>
      <c r="P555" s="1"/>
      <c r="Q555" s="1"/>
      <c r="T555" s="121"/>
      <c r="U555" s="121"/>
      <c r="V555" s="122" t="n">
        <f aca="false">IF(AND(E555&gt;0,F555&gt;0,G555&gt;0),COUNTIFS($E:$E,E555,$F:$F,F555,$G:$G,G555),"")</f>
        <v>1</v>
      </c>
      <c r="W555" s="122" t="n">
        <f aca="false">IF(V555="","",IF(V555=1,1,IF(AND(E554=E555,F554=F555,G554=G555),W554+1,1)))</f>
        <v>1</v>
      </c>
      <c r="X555" s="0" t="n">
        <v>1</v>
      </c>
      <c r="Y555" s="0" t="n">
        <v>4</v>
      </c>
      <c r="Z555" s="0" t="s">
        <v>5157</v>
      </c>
      <c r="AA555" s="0" t="n">
        <v>0</v>
      </c>
      <c r="AB555" s="0" t="s">
        <v>5158</v>
      </c>
      <c r="AC555" s="0" t="s">
        <v>1661</v>
      </c>
      <c r="AD555" s="0" t="s">
        <v>229</v>
      </c>
      <c r="AE555" s="0" t="n">
        <v>0</v>
      </c>
      <c r="AF555" s="0" t="s">
        <v>5159</v>
      </c>
      <c r="AG555" s="0" t="n">
        <v>0</v>
      </c>
      <c r="AH555" s="0" t="s">
        <v>5160</v>
      </c>
      <c r="AI555" s="0" t="s">
        <v>2760</v>
      </c>
      <c r="AJ555" s="0" t="s">
        <v>322</v>
      </c>
      <c r="AL555" s="0" t="s">
        <v>1880</v>
      </c>
      <c r="AM555" s="0" t="n">
        <v>1</v>
      </c>
      <c r="AN555" s="0" t="s">
        <v>5160</v>
      </c>
      <c r="AO555" s="0" t="s">
        <v>2760</v>
      </c>
      <c r="AP555" s="0" t="s">
        <v>322</v>
      </c>
      <c r="AR555" s="0" t="s">
        <v>249</v>
      </c>
      <c r="AS555" s="0" t="n">
        <v>0</v>
      </c>
      <c r="AT555" s="0" t="s">
        <v>221</v>
      </c>
      <c r="AU555" s="0" t="s">
        <v>221</v>
      </c>
      <c r="AV555" s="0" t="s">
        <v>221</v>
      </c>
      <c r="AX555" s="0" t="s">
        <v>2109</v>
      </c>
      <c r="AY555" s="0" t="n">
        <v>0</v>
      </c>
      <c r="BR555" s="0" t="n">
        <v>1</v>
      </c>
      <c r="BS555" s="0" t="s">
        <v>5161</v>
      </c>
      <c r="BT555" s="0" t="s">
        <v>5162</v>
      </c>
      <c r="BU555" s="0" t="s">
        <v>5163</v>
      </c>
      <c r="BV555" s="123"/>
      <c r="BW555" s="123"/>
      <c r="BX555" s="123"/>
      <c r="BY555" s="123"/>
      <c r="CA555" s="0" t="s">
        <v>216</v>
      </c>
      <c r="CD555" s="0" t="s">
        <v>370</v>
      </c>
      <c r="CE555" s="0" t="n">
        <v>0</v>
      </c>
      <c r="CF555" s="0" t="s">
        <v>4710</v>
      </c>
      <c r="CI555" s="1" t="n">
        <v>39181</v>
      </c>
      <c r="CJ555" s="1" t="n">
        <v>40805</v>
      </c>
      <c r="CK555" s="124" t="n">
        <v>0.583333333333333</v>
      </c>
      <c r="CL555" s="0" t="s">
        <v>5164</v>
      </c>
      <c r="CM555" s="0" t="n">
        <f aca="false">IF(OR(CI555="",CJ555=""),"",DAYS360(CI555,CJ555)/360)</f>
        <v>4.44444444444444</v>
      </c>
      <c r="CN555" s="0" t="n">
        <f aca="false">IF(OR(CI555="",CJ555=""),"",DAYS360(CI555,CJ555)/30)</f>
        <v>53.3333333333333</v>
      </c>
      <c r="CO555" s="0" t="n">
        <f aca="false">IF(OR(CI555="",CJ555=""),"",DAYS360(CI555,CJ555)/7)</f>
        <v>228.571428571429</v>
      </c>
      <c r="CP555" s="0" t="n">
        <f aca="false">IF(OR(CI555="",CJ555=""),"",DAYS360(CI555,CJ555))</f>
        <v>1600</v>
      </c>
      <c r="CQ555" s="0" t="s">
        <v>240</v>
      </c>
      <c r="CR555" s="0" t="n">
        <v>1</v>
      </c>
      <c r="CT555" s="0" t="s">
        <v>221</v>
      </c>
      <c r="CU555" s="0" t="s">
        <v>221</v>
      </c>
      <c r="CV555" s="0" t="str">
        <f aca="false">IF(OR(CT555="",CT555="NO ESPECIFICA",CT555="NO MENCIONA"),"",IF(CU555=0,CT555,IF(CU555=1,CT555/30,IF(CU555=2,CT555/15,IF(CU555=3,CT555/7,"")))))</f>
        <v/>
      </c>
      <c r="CW555" s="125" t="n">
        <v>3107</v>
      </c>
      <c r="CX555" s="0" t="n">
        <v>1</v>
      </c>
      <c r="CY555" s="0" t="n">
        <f aca="false">IF(CW555="","",IF(CX555=0,CW555,IF(CX555=1,CW555/30,IF(CX555=2,CW555/15,IF(CX555=3,CW555/7,CW555)))))</f>
        <v>103.566666666667</v>
      </c>
      <c r="CZ555" s="0" t="n">
        <f aca="false">IF(DI555&gt;0,DI555,IF(CY555&gt;0,CY555,IF(CV555&gt;0,CV555,"")))</f>
        <v>103.56</v>
      </c>
      <c r="DA555" s="0" t="n">
        <f aca="false">IF(DM555=1,CZ555/8,IF(OR(DM555=2,DM555=4),CZ555/7,IF(DM555=3,CZ555/7.5,"")))</f>
        <v>12.945</v>
      </c>
      <c r="DB555" s="0" t="s">
        <v>216</v>
      </c>
      <c r="DC555" s="0" t="s">
        <v>216</v>
      </c>
      <c r="DD555" s="0" t="s">
        <v>216</v>
      </c>
      <c r="DE555" s="0" t="s">
        <v>216</v>
      </c>
      <c r="DF555" s="0" t="s">
        <v>216</v>
      </c>
      <c r="DG555" s="0" t="s">
        <v>216</v>
      </c>
      <c r="DH555" s="0" t="n">
        <v>0</v>
      </c>
      <c r="DI555" s="126" t="n">
        <v>103.56</v>
      </c>
      <c r="DK555" s="0" t="n">
        <v>1</v>
      </c>
      <c r="DM555" s="0" t="n">
        <v>1</v>
      </c>
      <c r="DN555" s="0" t="n">
        <v>25</v>
      </c>
      <c r="DO555" s="0" t="n">
        <v>3</v>
      </c>
      <c r="DP555" s="0" t="n">
        <v>0</v>
      </c>
      <c r="DQ555" s="0" t="n">
        <v>1</v>
      </c>
      <c r="DR555" s="0"/>
      <c r="DS555" s="0" t="n">
        <v>1</v>
      </c>
      <c r="DU555" s="0" t="n">
        <v>1</v>
      </c>
      <c r="DW555" s="1" t="n">
        <v>39181</v>
      </c>
      <c r="DX555" s="1" t="n">
        <v>40805</v>
      </c>
      <c r="DZ555" s="0"/>
      <c r="EA555" s="0" t="n">
        <v>1</v>
      </c>
      <c r="EC555" s="1" t="n">
        <v>39181</v>
      </c>
      <c r="ED555" s="1" t="n">
        <v>40805</v>
      </c>
      <c r="EF555" s="0"/>
      <c r="EG555" s="0" t="n">
        <v>0</v>
      </c>
      <c r="EI555" s="0" t="str">
        <f aca="false">IF(AND(DM555=1,DN555&lt;=48),"",IF(AND(DM555=2,DN555&lt;=42),"",IF(AND(DM555=3,DN555&lt;=45),"",EH555)))</f>
        <v/>
      </c>
      <c r="EJ555" s="0" t="str">
        <f aca="false">IF(EI555="","",IF(EI555&lt;9,EI555,9))</f>
        <v/>
      </c>
      <c r="EK555" s="0" t="str">
        <f aca="false">IF(EI555="","",IF(EI555&gt;9,EI555-EJ555,0))</f>
        <v/>
      </c>
      <c r="EL555" s="0" t="str">
        <f aca="false">IF(EI555="","",EJ555*DA555*2+EK555*DA555*3)</f>
        <v/>
      </c>
      <c r="EP555" s="0" t="n">
        <v>0</v>
      </c>
      <c r="EQ555" s="0"/>
      <c r="ER555" s="0" t="n">
        <v>0</v>
      </c>
      <c r="ET555" s="0" t="n">
        <v>0</v>
      </c>
      <c r="EV555" s="0" t="n">
        <v>0</v>
      </c>
      <c r="EX555" s="0" t="n">
        <v>1</v>
      </c>
      <c r="EY555" s="0" t="n">
        <v>1</v>
      </c>
      <c r="EZ555" s="0"/>
      <c r="FA555" s="4" t="n">
        <v>0</v>
      </c>
      <c r="FB555" s="0" t="n">
        <v>1</v>
      </c>
      <c r="FC555" s="1" t="n">
        <v>41137</v>
      </c>
      <c r="FD555" s="0" t="n">
        <v>2</v>
      </c>
      <c r="FE555" s="0" t="n">
        <v>0</v>
      </c>
      <c r="FF555" s="120" t="n">
        <f aca="false">(CJ555-CI555+1)/365</f>
        <v>4.45205479452055</v>
      </c>
      <c r="FG555" s="0" t="str">
        <f aca="false">CONCATENATE(F555,"/",G555)</f>
        <v>1919/2011</v>
      </c>
      <c r="FH555" s="0" t="n">
        <v>1</v>
      </c>
      <c r="FI555" s="0" t="n">
        <f aca="false">IFERROR(IF((FC555-J555+1)/365&gt;3,0,1),"")</f>
        <v>1</v>
      </c>
    </row>
    <row r="556" customFormat="false" ht="15" hidden="false" customHeight="false" outlineLevel="0" collapsed="false">
      <c r="A556" s="5" t="str">
        <f aca="false">E556&amp;G556&amp;F556</f>
        <v>720111927</v>
      </c>
      <c r="B556" s="0" t="s">
        <v>3217</v>
      </c>
      <c r="C556" s="1" t="n">
        <v>42364</v>
      </c>
      <c r="D556" s="0" t="s">
        <v>3265</v>
      </c>
      <c r="E556" s="0" t="n">
        <v>7</v>
      </c>
      <c r="F556" s="0" t="n">
        <v>1927</v>
      </c>
      <c r="G556" s="0" t="n">
        <v>2011</v>
      </c>
      <c r="H556" s="0" t="str">
        <f aca="false">"J"&amp;E556&amp;"\"&amp;F556&amp;"\"&amp;G556&amp;"\"&amp;W556</f>
        <v>J7\1927\2011\1</v>
      </c>
      <c r="I556" s="0"/>
      <c r="J556" s="1" t="n">
        <v>40865</v>
      </c>
      <c r="K556" s="0" t="n">
        <v>0</v>
      </c>
      <c r="M556" s="1"/>
      <c r="N556" s="1"/>
      <c r="O556" s="1"/>
      <c r="P556" s="1"/>
      <c r="Q556" s="1"/>
      <c r="T556" s="121"/>
      <c r="U556" s="121"/>
      <c r="V556" s="122" t="n">
        <f aca="false">IF(AND(E556&gt;0,F556&gt;0,G556&gt;0),COUNTIFS($E:$E,E556,$F:$F,F556,$G:$G,G556),"")</f>
        <v>1</v>
      </c>
      <c r="W556" s="122" t="n">
        <f aca="false">IF(V556="","",IF(V556=1,1,IF(AND(E555=E556,F555=F556,G555=G556),W555+1,1)))</f>
        <v>1</v>
      </c>
      <c r="X556" s="0" t="n">
        <v>1</v>
      </c>
      <c r="Y556" s="0" t="n">
        <v>3</v>
      </c>
      <c r="Z556" s="0" t="s">
        <v>5165</v>
      </c>
      <c r="AA556" s="0" t="n">
        <v>0</v>
      </c>
      <c r="AB556" s="0" t="s">
        <v>2941</v>
      </c>
      <c r="AC556" s="0" t="s">
        <v>228</v>
      </c>
      <c r="AD556" s="0" t="s">
        <v>229</v>
      </c>
      <c r="AE556" s="0" t="n">
        <v>0</v>
      </c>
      <c r="AF556" s="0" t="s">
        <v>5166</v>
      </c>
      <c r="AG556" s="0" t="n">
        <v>0</v>
      </c>
      <c r="AH556" s="0" t="s">
        <v>5167</v>
      </c>
      <c r="AI556" s="0" t="s">
        <v>5168</v>
      </c>
      <c r="AJ556" s="0" t="s">
        <v>4240</v>
      </c>
      <c r="AL556" s="0" t="s">
        <v>5169</v>
      </c>
      <c r="AM556" s="0" t="n">
        <v>1</v>
      </c>
      <c r="AN556" s="0" t="s">
        <v>5167</v>
      </c>
      <c r="AO556" s="0" t="s">
        <v>5168</v>
      </c>
      <c r="AP556" s="0" t="s">
        <v>4240</v>
      </c>
      <c r="AR556" s="0" t="s">
        <v>1880</v>
      </c>
      <c r="AS556" s="0" t="n">
        <v>1</v>
      </c>
      <c r="AT556" s="0" t="s">
        <v>5167</v>
      </c>
      <c r="AU556" s="0" t="s">
        <v>5168</v>
      </c>
      <c r="AV556" s="0" t="s">
        <v>4240</v>
      </c>
      <c r="BR556" s="0" t="n">
        <v>3</v>
      </c>
      <c r="BS556" s="0" t="s">
        <v>1840</v>
      </c>
      <c r="BT556" s="0" t="s">
        <v>1818</v>
      </c>
      <c r="BU556" s="0" t="s">
        <v>1841</v>
      </c>
      <c r="BV556" s="123"/>
      <c r="BW556" s="123"/>
      <c r="BX556" s="123"/>
      <c r="BY556" s="123"/>
      <c r="CA556" s="0" t="s">
        <v>348</v>
      </c>
      <c r="CD556" s="0" t="s">
        <v>256</v>
      </c>
      <c r="CE556" s="0" t="n">
        <v>0</v>
      </c>
      <c r="CF556" s="0" t="s">
        <v>5170</v>
      </c>
      <c r="CI556" s="1" t="n">
        <v>40603</v>
      </c>
      <c r="CJ556" s="1" t="n">
        <v>40821</v>
      </c>
      <c r="CK556" s="124" t="n">
        <v>0.458333333333333</v>
      </c>
      <c r="CL556" s="0" t="s">
        <v>5169</v>
      </c>
      <c r="CM556" s="0" t="n">
        <f aca="false">IF(OR(CI556="",CJ556=""),"",DAYS360(CI556,CJ556)/360)</f>
        <v>0.594444444444444</v>
      </c>
      <c r="CN556" s="0" t="n">
        <f aca="false">IF(OR(CI556="",CJ556=""),"",DAYS360(CI556,CJ556)/30)</f>
        <v>7.13333333333333</v>
      </c>
      <c r="CO556" s="0" t="n">
        <f aca="false">IF(OR(CI556="",CJ556=""),"",DAYS360(CI556,CJ556)/7)</f>
        <v>30.5714285714286</v>
      </c>
      <c r="CP556" s="0" t="n">
        <f aca="false">IF(OR(CI556="",CJ556=""),"",DAYS360(CI556,CJ556))</f>
        <v>214</v>
      </c>
      <c r="CQ556" s="0" t="s">
        <v>240</v>
      </c>
      <c r="CR556" s="0" t="n">
        <v>1</v>
      </c>
      <c r="CT556" s="0" t="n">
        <v>166.66</v>
      </c>
      <c r="CU556" s="0" t="n">
        <v>0</v>
      </c>
      <c r="CV556" s="0" t="n">
        <f aca="false">IF(OR(CT556="",CT556="NO ESPECIFICA",CT556="NO MENCIONA"),"",IF(CU556=0,CT556,IF(CU556=1,CT556/30,IF(CU556=2,CT556/15,IF(CU556=3,CT556/7,"")))))</f>
        <v>166.66</v>
      </c>
      <c r="CW556" s="125" t="n">
        <v>174.29</v>
      </c>
      <c r="CX556" s="0" t="n">
        <v>0</v>
      </c>
      <c r="CY556" s="0" t="n">
        <f aca="false">IF(CW556="","",IF(CX556=0,CW556,IF(CX556=1,CW556/30,IF(CX556=2,CW556/15,IF(CX556=3,CW556/7,CW556)))))</f>
        <v>174.29</v>
      </c>
      <c r="CZ556" s="0" t="n">
        <f aca="false">IF(DI556&gt;0,DI556,IF(CY556&gt;0,CY556,IF(CV556&gt;0,CV556,"")))</f>
        <v>174.29</v>
      </c>
      <c r="DA556" s="0" t="n">
        <f aca="false">IF(DM556=1,CZ556/8,IF(OR(DM556=2,DM556=4),CZ556/7,IF(DM556=3,CZ556/7.5,"")))</f>
        <v>21.78625</v>
      </c>
      <c r="DB556" s="0" t="s">
        <v>303</v>
      </c>
      <c r="DC556" s="0" t="s">
        <v>301</v>
      </c>
      <c r="DD556" s="0" t="s">
        <v>216</v>
      </c>
      <c r="DE556" s="0" t="s">
        <v>216</v>
      </c>
      <c r="DF556" s="0" t="s">
        <v>216</v>
      </c>
      <c r="DG556" s="0" t="s">
        <v>216</v>
      </c>
      <c r="DH556" s="0" t="n">
        <v>0</v>
      </c>
      <c r="DI556" s="126" t="n">
        <v>174.29</v>
      </c>
      <c r="DK556" s="0" t="n">
        <v>1</v>
      </c>
      <c r="DM556" s="0" t="n">
        <v>1</v>
      </c>
      <c r="DN556" s="0" t="n">
        <v>40</v>
      </c>
      <c r="DO556" s="0" t="n">
        <v>3</v>
      </c>
      <c r="DP556" s="0" t="n">
        <v>0</v>
      </c>
      <c r="DQ556" s="0" t="n">
        <v>1</v>
      </c>
      <c r="DR556" s="0"/>
      <c r="DS556" s="0" t="n">
        <v>1</v>
      </c>
      <c r="DU556" s="0" t="n">
        <v>1</v>
      </c>
      <c r="DW556" s="1" t="n">
        <v>40603</v>
      </c>
      <c r="DX556" s="1" t="n">
        <v>40821</v>
      </c>
      <c r="DZ556" s="0"/>
      <c r="EA556" s="0" t="n">
        <v>1</v>
      </c>
      <c r="EC556" s="1" t="n">
        <v>40603</v>
      </c>
      <c r="ED556" s="1" t="n">
        <v>40821</v>
      </c>
      <c r="EF556" s="0"/>
      <c r="EG556" s="0" t="n">
        <v>0</v>
      </c>
      <c r="EI556" s="0" t="str">
        <f aca="false">IF(AND(DM556=1,DN556&lt;=48),"",IF(AND(DM556=2,DN556&lt;=42),"",IF(AND(DM556=3,DN556&lt;=45),"",EH556)))</f>
        <v/>
      </c>
      <c r="EJ556" s="0" t="str">
        <f aca="false">IF(EI556="","",IF(EI556&lt;9,EI556,9))</f>
        <v/>
      </c>
      <c r="EK556" s="0" t="str">
        <f aca="false">IF(EI556="","",IF(EI556&gt;9,EI556-EJ556,0))</f>
        <v/>
      </c>
      <c r="EL556" s="0" t="str">
        <f aca="false">IF(EI556="","",EJ556*DA556*2+EK556*DA556*3)</f>
        <v/>
      </c>
      <c r="EP556" s="0" t="n">
        <v>0</v>
      </c>
      <c r="EQ556" s="0"/>
      <c r="ER556" s="0" t="n">
        <v>0</v>
      </c>
      <c r="ET556" s="0" t="n">
        <v>0</v>
      </c>
      <c r="EV556" s="0" t="n">
        <v>0</v>
      </c>
      <c r="EX556" s="0" t="n">
        <v>0</v>
      </c>
      <c r="EY556" s="0" t="n">
        <v>0</v>
      </c>
      <c r="EZ556" s="0"/>
      <c r="FA556" s="4" t="n">
        <v>0</v>
      </c>
      <c r="FB556" s="0" t="n">
        <v>1</v>
      </c>
      <c r="FC556" s="1" t="n">
        <v>41393</v>
      </c>
      <c r="FD556" s="0" t="n">
        <v>2</v>
      </c>
      <c r="FE556" s="0" t="n">
        <v>0</v>
      </c>
      <c r="FF556" s="120" t="n">
        <f aca="false">(CJ556-CI556+1)/365</f>
        <v>0.6</v>
      </c>
      <c r="FG556" s="0" t="str">
        <f aca="false">CONCATENATE(F556,"/",G556)</f>
        <v>1927/2011</v>
      </c>
      <c r="FH556" s="0" t="n">
        <v>1</v>
      </c>
      <c r="FI556" s="0" t="n">
        <f aca="false">IFERROR(IF((FC556-J556+1)/365&gt;3,0,1),"")</f>
        <v>1</v>
      </c>
    </row>
    <row r="557" customFormat="false" ht="15" hidden="false" customHeight="false" outlineLevel="0" collapsed="false">
      <c r="A557" s="5" t="str">
        <f aca="false">E557&amp;G557&amp;F557</f>
        <v>720111928</v>
      </c>
      <c r="B557" s="0" t="s">
        <v>3217</v>
      </c>
      <c r="C557" s="1" t="n">
        <v>42364</v>
      </c>
      <c r="D557" s="0" t="s">
        <v>3265</v>
      </c>
      <c r="E557" s="0" t="n">
        <v>7</v>
      </c>
      <c r="F557" s="0" t="n">
        <v>1928</v>
      </c>
      <c r="G557" s="0" t="n">
        <v>2011</v>
      </c>
      <c r="H557" s="0" t="str">
        <f aca="false">"J"&amp;E557&amp;"\"&amp;F557&amp;"\"&amp;G557&amp;"\"&amp;W557</f>
        <v>J7\1928\2011\1</v>
      </c>
      <c r="I557" s="0"/>
      <c r="J557" s="1" t="n">
        <v>40865</v>
      </c>
      <c r="K557" s="0" t="n">
        <v>0</v>
      </c>
      <c r="M557" s="1"/>
      <c r="N557" s="1"/>
      <c r="O557" s="1"/>
      <c r="P557" s="1"/>
      <c r="Q557" s="1"/>
      <c r="T557" s="121"/>
      <c r="U557" s="121"/>
      <c r="V557" s="122" t="n">
        <f aca="false">IF(AND(E557&gt;0,F557&gt;0,G557&gt;0),COUNTIFS($E:$E,E557,$F:$F,F557,$G:$G,G557),"")</f>
        <v>1</v>
      </c>
      <c r="W557" s="122" t="n">
        <f aca="false">IF(V557="","",IF(V557=1,1,IF(AND(E556=E557,F556=F557,G556=G557),W556+1,1)))</f>
        <v>1</v>
      </c>
      <c r="X557" s="0" t="n">
        <v>1</v>
      </c>
      <c r="Y557" s="0" t="n">
        <v>3</v>
      </c>
      <c r="Z557" s="0" t="s">
        <v>5171</v>
      </c>
      <c r="AA557" s="0" t="n">
        <v>0</v>
      </c>
      <c r="AB557" s="0" t="s">
        <v>5172</v>
      </c>
      <c r="AC557" s="0" t="s">
        <v>251</v>
      </c>
      <c r="AD557" s="0" t="s">
        <v>229</v>
      </c>
      <c r="AE557" s="0" t="n">
        <v>0</v>
      </c>
      <c r="AF557" s="0" t="s">
        <v>5173</v>
      </c>
      <c r="AG557" s="0" t="n">
        <v>1</v>
      </c>
      <c r="AH557" s="0" t="s">
        <v>5174</v>
      </c>
      <c r="AI557" s="0" t="s">
        <v>5175</v>
      </c>
      <c r="AJ557" s="0" t="s">
        <v>4240</v>
      </c>
      <c r="AL557" s="0" t="s">
        <v>5176</v>
      </c>
      <c r="AM557" s="0" t="n">
        <v>1</v>
      </c>
      <c r="AN557" s="0" t="s">
        <v>5174</v>
      </c>
      <c r="AO557" s="0" t="s">
        <v>5175</v>
      </c>
      <c r="AP557" s="0" t="s">
        <v>4240</v>
      </c>
      <c r="AR557" s="0" t="s">
        <v>1880</v>
      </c>
      <c r="AS557" s="0" t="n">
        <v>1</v>
      </c>
      <c r="AT557" s="0" t="s">
        <v>5174</v>
      </c>
      <c r="AU557" s="0" t="s">
        <v>5175</v>
      </c>
      <c r="AV557" s="0" t="s">
        <v>4240</v>
      </c>
      <c r="BR557" s="0" t="n">
        <v>1</v>
      </c>
      <c r="BS557" s="0" t="s">
        <v>5177</v>
      </c>
      <c r="BT557" s="0" t="s">
        <v>5178</v>
      </c>
      <c r="BU557" s="0" t="s">
        <v>5179</v>
      </c>
      <c r="BV557" s="123"/>
      <c r="BW557" s="123"/>
      <c r="BX557" s="123"/>
      <c r="BY557" s="123"/>
      <c r="CA557" s="0" t="s">
        <v>216</v>
      </c>
      <c r="CD557" s="0" t="s">
        <v>256</v>
      </c>
      <c r="CE557" s="0" t="n">
        <v>0</v>
      </c>
      <c r="CF557" s="0" t="s">
        <v>503</v>
      </c>
      <c r="CI557" s="1" t="n">
        <v>40387</v>
      </c>
      <c r="CJ557" s="1" t="n">
        <v>40855</v>
      </c>
      <c r="CK557" s="124" t="n">
        <v>0.5</v>
      </c>
      <c r="CL557" s="0" t="s">
        <v>5176</v>
      </c>
      <c r="CM557" s="0" t="n">
        <f aca="false">IF(OR(CI557="",CJ557=""),"",DAYS360(CI557,CJ557)/360)</f>
        <v>1.27777777777778</v>
      </c>
      <c r="CN557" s="0" t="n">
        <f aca="false">IF(OR(CI557="",CJ557=""),"",DAYS360(CI557,CJ557)/30)</f>
        <v>15.3333333333333</v>
      </c>
      <c r="CO557" s="0" t="n">
        <f aca="false">IF(OR(CI557="",CJ557=""),"",DAYS360(CI557,CJ557)/7)</f>
        <v>65.7142857142857</v>
      </c>
      <c r="CP557" s="0" t="n">
        <f aca="false">IF(OR(CI557="",CJ557=""),"",DAYS360(CI557,CJ557))</f>
        <v>460</v>
      </c>
      <c r="CQ557" s="0" t="s">
        <v>240</v>
      </c>
      <c r="CR557" s="0" t="n">
        <v>1</v>
      </c>
      <c r="CT557" s="0" t="n">
        <v>70</v>
      </c>
      <c r="CU557" s="0" t="n">
        <v>0</v>
      </c>
      <c r="CV557" s="0" t="n">
        <f aca="false">IF(OR(CT557="",CT557="NO ESPECIFICA",CT557="NO MENCIONA"),"",IF(CU557=0,CT557,IF(CU557=1,CT557/30,IF(CU557=2,CT557/15,IF(CU557=3,CT557/7,"")))))</f>
        <v>70</v>
      </c>
      <c r="CW557" s="125" t="n">
        <v>90</v>
      </c>
      <c r="CX557" s="0" t="n">
        <v>0</v>
      </c>
      <c r="CY557" s="0" t="n">
        <f aca="false">IF(CW557="","",IF(CX557=0,CW557,IF(CX557=1,CW557/30,IF(CX557=2,CW557/15,IF(CX557=3,CW557/7,CW557)))))</f>
        <v>90</v>
      </c>
      <c r="CZ557" s="0" t="n">
        <f aca="false">IF(DI557&gt;0,DI557,IF(CY557&gt;0,CY557,IF(CV557&gt;0,CV557,"")))</f>
        <v>90</v>
      </c>
      <c r="DA557" s="0" t="n">
        <f aca="false">IF(DM557=1,CZ557/8,IF(OR(DM557=2,DM557=4),CZ557/7,IF(DM557=3,CZ557/7.5,"")))</f>
        <v>11.25</v>
      </c>
      <c r="DB557" s="0" t="s">
        <v>1582</v>
      </c>
      <c r="DC557" s="0" t="s">
        <v>216</v>
      </c>
      <c r="DD557" s="0" t="s">
        <v>216</v>
      </c>
      <c r="DE557" s="0" t="s">
        <v>216</v>
      </c>
      <c r="DF557" s="0" t="s">
        <v>216</v>
      </c>
      <c r="DG557" s="0" t="s">
        <v>216</v>
      </c>
      <c r="DH557" s="0" t="n">
        <v>0</v>
      </c>
      <c r="DI557" s="126" t="n">
        <v>90</v>
      </c>
      <c r="DK557" s="0" t="n">
        <v>0</v>
      </c>
      <c r="DM557" s="0" t="n">
        <v>1</v>
      </c>
      <c r="DN557" s="0" t="n">
        <v>84</v>
      </c>
      <c r="DO557" s="0" t="n">
        <v>3</v>
      </c>
      <c r="DP557" s="0" t="n">
        <v>0</v>
      </c>
      <c r="DQ557" s="0" t="n">
        <v>1</v>
      </c>
      <c r="DR557" s="0"/>
      <c r="DS557" s="0" t="n">
        <v>1</v>
      </c>
      <c r="DU557" s="0" t="n">
        <v>1</v>
      </c>
      <c r="DW557" s="1" t="n">
        <v>40387</v>
      </c>
      <c r="DX557" s="1" t="n">
        <v>40855</v>
      </c>
      <c r="DZ557" s="0"/>
      <c r="EA557" s="0" t="n">
        <v>1</v>
      </c>
      <c r="EC557" s="1" t="n">
        <v>40387</v>
      </c>
      <c r="ED557" s="1" t="n">
        <v>40855</v>
      </c>
      <c r="EF557" s="0"/>
      <c r="EG557" s="0" t="n">
        <v>1</v>
      </c>
      <c r="EH557" s="0" t="n">
        <v>30</v>
      </c>
      <c r="EI557" s="0" t="n">
        <f aca="false">IF(AND(DM557=1,DN557&lt;=48),"",IF(AND(DM557=2,DN557&lt;=42),"",IF(AND(DM557=3,DN557&lt;=45),"",EH557)))</f>
        <v>30</v>
      </c>
      <c r="EJ557" s="0" t="n">
        <f aca="false">IF(EI557="","",IF(EI557&lt;9,EI557,9))</f>
        <v>9</v>
      </c>
      <c r="EK557" s="0" t="n">
        <f aca="false">IF(EI557="","",IF(EI557&gt;9,EI557-EJ557,0))</f>
        <v>21</v>
      </c>
      <c r="EL557" s="0" t="n">
        <f aca="false">IF(EI557="","",EJ557*DA557*2+EK557*DA557*3)</f>
        <v>911.25</v>
      </c>
      <c r="EP557" s="0" t="n">
        <v>0</v>
      </c>
      <c r="EQ557" s="0"/>
      <c r="ER557" s="0" t="n">
        <v>0</v>
      </c>
      <c r="ET557" s="0" t="n">
        <v>0</v>
      </c>
      <c r="EV557" s="0" t="n">
        <v>0</v>
      </c>
      <c r="EX557" s="0" t="n">
        <v>1</v>
      </c>
      <c r="EY557" s="0" t="n">
        <v>0</v>
      </c>
      <c r="EZ557" s="0"/>
      <c r="FA557" s="4" t="n">
        <v>560</v>
      </c>
      <c r="FB557" s="0" t="n">
        <v>0</v>
      </c>
      <c r="FC557" s="1" t="n">
        <v>41564</v>
      </c>
      <c r="FD557" s="0" t="n">
        <v>2</v>
      </c>
      <c r="FE557" s="0" t="n">
        <v>0</v>
      </c>
      <c r="FF557" s="120" t="n">
        <f aca="false">(CJ557-CI557+1)/365</f>
        <v>1.28493150684932</v>
      </c>
      <c r="FG557" s="0" t="str">
        <f aca="false">CONCATENATE(F557,"/",G557)</f>
        <v>1928/2011</v>
      </c>
      <c r="FH557" s="0" t="n">
        <v>1</v>
      </c>
      <c r="FI557" s="0" t="n">
        <f aca="false">IFERROR(IF((FC557-J557+1)/365&gt;3,0,1),"")</f>
        <v>1</v>
      </c>
    </row>
    <row r="558" customFormat="false" ht="15" hidden="false" customHeight="false" outlineLevel="0" collapsed="false">
      <c r="A558" s="5" t="str">
        <f aca="false">E558&amp;G558&amp;F558</f>
        <v>720111930</v>
      </c>
      <c r="B558" s="0" t="s">
        <v>3217</v>
      </c>
      <c r="C558" s="1" t="n">
        <v>42364</v>
      </c>
      <c r="D558" s="0" t="s">
        <v>3265</v>
      </c>
      <c r="E558" s="0" t="n">
        <v>7</v>
      </c>
      <c r="F558" s="0" t="n">
        <v>1930</v>
      </c>
      <c r="G558" s="0" t="n">
        <v>2011</v>
      </c>
      <c r="H558" s="0" t="str">
        <f aca="false">"J"&amp;E558&amp;"\"&amp;F558&amp;"\"&amp;G558&amp;"\"&amp;W558</f>
        <v>J7\1930\2011\1</v>
      </c>
      <c r="I558" s="0"/>
      <c r="J558" s="1" t="n">
        <v>40865</v>
      </c>
      <c r="K558" s="0" t="n">
        <v>0</v>
      </c>
      <c r="M558" s="1"/>
      <c r="N558" s="1"/>
      <c r="O558" s="1"/>
      <c r="P558" s="1"/>
      <c r="Q558" s="1"/>
      <c r="T558" s="121"/>
      <c r="U558" s="121"/>
      <c r="V558" s="122" t="n">
        <f aca="false">IF(AND(E558&gt;0,F558&gt;0,G558&gt;0),COUNTIFS($E:$E,E558,$F:$F,F558,$G:$G,G558),"")</f>
        <v>1</v>
      </c>
      <c r="W558" s="122" t="n">
        <f aca="false">IF(V558="","",IF(V558=1,1,IF(AND(E557=E558,F557=F558,G557=G558),W557+1,1)))</f>
        <v>1</v>
      </c>
      <c r="X558" s="0" t="n">
        <v>1</v>
      </c>
      <c r="Y558" s="0" t="n">
        <v>3</v>
      </c>
      <c r="Z558" s="0" t="s">
        <v>5180</v>
      </c>
      <c r="AA558" s="0" t="n">
        <v>0</v>
      </c>
      <c r="AB558" s="0" t="s">
        <v>2982</v>
      </c>
      <c r="AC558" s="0" t="s">
        <v>1661</v>
      </c>
      <c r="AD558" s="0" t="s">
        <v>229</v>
      </c>
      <c r="AE558" s="0" t="n">
        <v>0</v>
      </c>
      <c r="AF558" s="0" t="s">
        <v>5181</v>
      </c>
      <c r="AG558" s="0" t="n">
        <v>0</v>
      </c>
      <c r="AH558" s="0" t="s">
        <v>5182</v>
      </c>
      <c r="AI558" s="0" t="s">
        <v>244</v>
      </c>
      <c r="AJ558" s="0" t="s">
        <v>229</v>
      </c>
      <c r="AL558" s="0" t="s">
        <v>5183</v>
      </c>
      <c r="AM558" s="0" t="n">
        <v>1</v>
      </c>
      <c r="AN558" s="0" t="s">
        <v>5182</v>
      </c>
      <c r="AO558" s="0" t="s">
        <v>244</v>
      </c>
      <c r="AP558" s="0" t="s">
        <v>229</v>
      </c>
      <c r="AR558" s="0" t="s">
        <v>1880</v>
      </c>
      <c r="AS558" s="0" t="n">
        <v>1</v>
      </c>
      <c r="AT558" s="0" t="s">
        <v>5182</v>
      </c>
      <c r="AU558" s="0" t="s">
        <v>244</v>
      </c>
      <c r="AV558" s="0" t="s">
        <v>229</v>
      </c>
      <c r="BR558" s="0" t="n">
        <v>1</v>
      </c>
      <c r="BS558" s="0" t="s">
        <v>2986</v>
      </c>
      <c r="BT558" s="0" t="s">
        <v>2987</v>
      </c>
      <c r="BU558" s="0" t="s">
        <v>2988</v>
      </c>
      <c r="BV558" s="123"/>
      <c r="BW558" s="123"/>
      <c r="BX558" s="123"/>
      <c r="BY558" s="123"/>
      <c r="CA558" s="0" t="s">
        <v>2989</v>
      </c>
      <c r="CD558" s="0" t="s">
        <v>256</v>
      </c>
      <c r="CE558" s="0" t="n">
        <v>0</v>
      </c>
      <c r="CF558" s="0" t="s">
        <v>5184</v>
      </c>
      <c r="CI558" s="1" t="n">
        <v>39888</v>
      </c>
      <c r="CJ558" s="1" t="n">
        <v>40862</v>
      </c>
      <c r="CK558" s="124" t="n">
        <v>0.5625</v>
      </c>
      <c r="CL558" s="0" t="s">
        <v>5183</v>
      </c>
      <c r="CM558" s="0" t="n">
        <f aca="false">IF(OR(CI558="",CJ558=""),"",DAYS360(CI558,CJ558)/360)</f>
        <v>2.66388888888889</v>
      </c>
      <c r="CN558" s="0" t="n">
        <f aca="false">IF(OR(CI558="",CJ558=""),"",DAYS360(CI558,CJ558)/30)</f>
        <v>31.9666666666667</v>
      </c>
      <c r="CO558" s="0" t="n">
        <f aca="false">IF(OR(CI558="",CJ558=""),"",DAYS360(CI558,CJ558)/7)</f>
        <v>137</v>
      </c>
      <c r="CP558" s="0" t="n">
        <f aca="false">IF(OR(CI558="",CJ558=""),"",DAYS360(CI558,CJ558))</f>
        <v>959</v>
      </c>
      <c r="CQ558" s="0" t="s">
        <v>240</v>
      </c>
      <c r="CR558" s="0" t="n">
        <v>1</v>
      </c>
      <c r="CT558" s="0" t="n">
        <v>2500</v>
      </c>
      <c r="CU558" s="0" t="n">
        <v>2</v>
      </c>
      <c r="CV558" s="0" t="n">
        <f aca="false">IF(OR(CT558="",CT558="NO ESPECIFICA",CT558="NO MENCIONA"),"",IF(CU558=0,CT558,IF(CU558=1,CT558/30,IF(CU558=2,CT558/15,IF(CU558=3,CT558/7,"")))))</f>
        <v>166.666666666667</v>
      </c>
      <c r="CW558" s="125" t="n">
        <v>180</v>
      </c>
      <c r="CX558" s="0" t="n">
        <v>0</v>
      </c>
      <c r="CY558" s="0" t="n">
        <f aca="false">IF(CW558="","",IF(CX558=0,CW558,IF(CX558=1,CW558/30,IF(CX558=2,CW558/15,IF(CX558=3,CW558/7,CW558)))))</f>
        <v>180</v>
      </c>
      <c r="CZ558" s="0" t="n">
        <f aca="false">IF(DI558&gt;0,DI558,IF(CY558&gt;0,CY558,IF(CV558&gt;0,CV558,"")))</f>
        <v>180</v>
      </c>
      <c r="DA558" s="0" t="n">
        <f aca="false">IF(DM558=1,CZ558/8,IF(OR(DM558=2,DM558=4),CZ558/7,IF(DM558=3,CZ558/7.5,"")))</f>
        <v>24</v>
      </c>
      <c r="DB558" s="0" t="s">
        <v>259</v>
      </c>
      <c r="DC558" s="0" t="s">
        <v>3117</v>
      </c>
      <c r="DD558" s="0" t="s">
        <v>216</v>
      </c>
      <c r="DE558" s="0" t="s">
        <v>216</v>
      </c>
      <c r="DF558" s="0" t="s">
        <v>216</v>
      </c>
      <c r="DG558" s="0" t="s">
        <v>216</v>
      </c>
      <c r="DH558" s="0" t="n">
        <v>0</v>
      </c>
      <c r="DI558" s="126" t="n">
        <v>180</v>
      </c>
      <c r="DK558" s="0" t="n">
        <v>1</v>
      </c>
      <c r="DM558" s="0" t="n">
        <v>3</v>
      </c>
      <c r="DN558" s="0" t="n">
        <v>60</v>
      </c>
      <c r="DO558" s="0" t="n">
        <v>3</v>
      </c>
      <c r="DP558" s="0" t="n">
        <v>0</v>
      </c>
      <c r="DQ558" s="0" t="n">
        <v>1</v>
      </c>
      <c r="DR558" s="0"/>
      <c r="DS558" s="0" t="n">
        <v>1</v>
      </c>
      <c r="DU558" s="0" t="n">
        <v>1</v>
      </c>
      <c r="DW558" s="1" t="n">
        <v>39888</v>
      </c>
      <c r="DX558" s="1" t="n">
        <v>40862</v>
      </c>
      <c r="DZ558" s="0"/>
      <c r="EA558" s="0" t="n">
        <v>1</v>
      </c>
      <c r="EC558" s="1" t="n">
        <v>39888</v>
      </c>
      <c r="ED558" s="1" t="n">
        <v>40862</v>
      </c>
      <c r="EF558" s="0"/>
      <c r="EG558" s="0" t="n">
        <v>1</v>
      </c>
      <c r="EH558" s="0" t="n">
        <v>6</v>
      </c>
      <c r="EI558" s="0" t="n">
        <f aca="false">IF(AND(DM558=1,DN558&lt;=48),"",IF(AND(DM558=2,DN558&lt;=42),"",IF(AND(DM558=3,DN558&lt;=45),"",EH558)))</f>
        <v>6</v>
      </c>
      <c r="EJ558" s="0" t="n">
        <f aca="false">IF(EI558="","",IF(EI558&lt;9,EI558,9))</f>
        <v>6</v>
      </c>
      <c r="EK558" s="0" t="n">
        <f aca="false">IF(EI558="","",IF(EI558&gt;9,EI558-EJ558,0))</f>
        <v>0</v>
      </c>
      <c r="EL558" s="0" t="n">
        <f aca="false">IF(EI558="","",EJ558*DA558*2+EK558*DA558*3)</f>
        <v>288</v>
      </c>
      <c r="EP558" s="0" t="n">
        <v>0</v>
      </c>
      <c r="EQ558" s="0"/>
      <c r="ER558" s="0" t="n">
        <v>0</v>
      </c>
      <c r="ET558" s="0" t="n">
        <v>0</v>
      </c>
      <c r="EV558" s="0" t="n">
        <v>1</v>
      </c>
      <c r="EX558" s="0" t="n">
        <v>1</v>
      </c>
      <c r="EY558" s="0" t="n">
        <v>0</v>
      </c>
      <c r="EZ558" s="0"/>
      <c r="FA558" s="4" t="n">
        <v>5220</v>
      </c>
      <c r="FB558" s="0" t="n">
        <v>1</v>
      </c>
      <c r="FC558" s="1" t="n">
        <v>40955</v>
      </c>
      <c r="FD558" s="0" t="n">
        <v>2</v>
      </c>
      <c r="FE558" s="0" t="n">
        <v>0</v>
      </c>
      <c r="FF558" s="120" t="n">
        <f aca="false">(CJ558-CI558+1)/365</f>
        <v>2.67123287671233</v>
      </c>
      <c r="FG558" s="0" t="str">
        <f aca="false">CONCATENATE(F558,"/",G558)</f>
        <v>1930/2011</v>
      </c>
      <c r="FH558" s="0" t="n">
        <v>1</v>
      </c>
      <c r="FI558" s="0" t="n">
        <f aca="false">IFERROR(IF((FC558-J558+1)/365&gt;3,0,1),"")</f>
        <v>1</v>
      </c>
    </row>
    <row r="559" customFormat="false" ht="15" hidden="false" customHeight="false" outlineLevel="0" collapsed="false">
      <c r="A559" s="5" t="str">
        <f aca="false">E559&amp;G559&amp;F559</f>
        <v>720111938</v>
      </c>
      <c r="B559" s="0" t="s">
        <v>3217</v>
      </c>
      <c r="C559" s="1" t="n">
        <v>42365</v>
      </c>
      <c r="D559" s="0" t="s">
        <v>3265</v>
      </c>
      <c r="E559" s="0" t="n">
        <v>7</v>
      </c>
      <c r="F559" s="0" t="n">
        <v>1938</v>
      </c>
      <c r="G559" s="0" t="n">
        <v>2011</v>
      </c>
      <c r="H559" s="0" t="str">
        <f aca="false">"J"&amp;E559&amp;"\"&amp;F559&amp;"\"&amp;G559&amp;"\"&amp;W559</f>
        <v>J7\1938\2011\1</v>
      </c>
      <c r="I559" s="0"/>
      <c r="J559" s="1" t="n">
        <v>40869</v>
      </c>
      <c r="K559" s="0" t="n">
        <v>0</v>
      </c>
      <c r="M559" s="1"/>
      <c r="N559" s="1"/>
      <c r="O559" s="1"/>
      <c r="P559" s="1"/>
      <c r="Q559" s="1"/>
      <c r="T559" s="121"/>
      <c r="U559" s="121"/>
      <c r="V559" s="122" t="n">
        <f aca="false">IF(AND(E559&gt;0,F559&gt;0,G559&gt;0),COUNTIFS($E:$E,E559,$F:$F,F559,$G:$G,G559),"")</f>
        <v>1</v>
      </c>
      <c r="W559" s="122" t="n">
        <f aca="false">IF(V559="","",IF(V559=1,1,IF(AND(E558=E559,F558=F559,G558=G559),W558+1,1)))</f>
        <v>1</v>
      </c>
      <c r="X559" s="0" t="n">
        <v>1</v>
      </c>
      <c r="Y559" s="0" t="n">
        <v>5</v>
      </c>
      <c r="Z559" s="0" t="s">
        <v>5185</v>
      </c>
      <c r="AA559" s="0" t="n">
        <v>0</v>
      </c>
      <c r="AB559" s="0" t="s">
        <v>5186</v>
      </c>
      <c r="AC559" s="0" t="s">
        <v>5187</v>
      </c>
      <c r="AD559" s="0" t="s">
        <v>485</v>
      </c>
      <c r="AE559" s="0" t="n">
        <v>0</v>
      </c>
      <c r="AF559" s="0" t="s">
        <v>5188</v>
      </c>
      <c r="AG559" s="0" t="n">
        <v>0</v>
      </c>
      <c r="AH559" s="0" t="s">
        <v>5189</v>
      </c>
      <c r="AI559" s="0" t="s">
        <v>5190</v>
      </c>
      <c r="AJ559" s="0" t="s">
        <v>248</v>
      </c>
      <c r="AL559" s="0" t="s">
        <v>5191</v>
      </c>
      <c r="AM559" s="0" t="n">
        <v>1</v>
      </c>
      <c r="AN559" s="0" t="s">
        <v>5189</v>
      </c>
      <c r="AO559" s="0" t="s">
        <v>5190</v>
      </c>
      <c r="AP559" s="0" t="s">
        <v>248</v>
      </c>
      <c r="AR559" s="0" t="s">
        <v>5192</v>
      </c>
      <c r="AS559" s="0" t="n">
        <v>1</v>
      </c>
      <c r="AT559" s="0" t="s">
        <v>5189</v>
      </c>
      <c r="AU559" s="0" t="s">
        <v>5190</v>
      </c>
      <c r="AV559" s="0" t="s">
        <v>248</v>
      </c>
      <c r="AX559" s="0" t="s">
        <v>5193</v>
      </c>
      <c r="AY559" s="0" t="n">
        <v>1</v>
      </c>
      <c r="AZ559" s="0" t="s">
        <v>5189</v>
      </c>
      <c r="BA559" s="0" t="s">
        <v>5190</v>
      </c>
      <c r="BB559" s="0" t="s">
        <v>248</v>
      </c>
      <c r="BD559" s="0" t="s">
        <v>1880</v>
      </c>
      <c r="BE559" s="0" t="n">
        <v>1</v>
      </c>
      <c r="BF559" s="0" t="s">
        <v>5189</v>
      </c>
      <c r="BG559" s="0" t="s">
        <v>5190</v>
      </c>
      <c r="BH559" s="0" t="s">
        <v>248</v>
      </c>
      <c r="BR559" s="0" t="n">
        <v>1</v>
      </c>
      <c r="BS559" s="0" t="s">
        <v>5194</v>
      </c>
      <c r="BT559" s="0" t="s">
        <v>5195</v>
      </c>
      <c r="BU559" s="0" t="s">
        <v>5196</v>
      </c>
      <c r="BV559" s="123"/>
      <c r="BW559" s="123"/>
      <c r="BX559" s="123"/>
      <c r="BY559" s="123"/>
      <c r="CA559" s="0" t="s">
        <v>5197</v>
      </c>
      <c r="CD559" s="0" t="s">
        <v>370</v>
      </c>
      <c r="CE559" s="0" t="n">
        <v>0</v>
      </c>
      <c r="CF559" s="0" t="s">
        <v>5198</v>
      </c>
      <c r="CI559" s="1" t="n">
        <v>40352</v>
      </c>
      <c r="CJ559" s="1" t="n">
        <v>40833</v>
      </c>
      <c r="CK559" s="124" t="n">
        <v>0.333333333333333</v>
      </c>
      <c r="CL559" s="0" t="s">
        <v>5193</v>
      </c>
      <c r="CM559" s="0" t="n">
        <f aca="false">IF(OR(CI559="",CJ559=""),"",DAYS360(CI559,CJ559)/360)</f>
        <v>1.31666666666667</v>
      </c>
      <c r="CN559" s="0" t="n">
        <f aca="false">IF(OR(CI559="",CJ559=""),"",DAYS360(CI559,CJ559)/30)</f>
        <v>15.8</v>
      </c>
      <c r="CO559" s="0" t="n">
        <f aca="false">IF(OR(CI559="",CJ559=""),"",DAYS360(CI559,CJ559)/7)</f>
        <v>67.7142857142857</v>
      </c>
      <c r="CP559" s="0" t="n">
        <f aca="false">IF(OR(CI559="",CJ559=""),"",DAYS360(CI559,CJ559))</f>
        <v>474</v>
      </c>
      <c r="CQ559" s="0" t="s">
        <v>220</v>
      </c>
      <c r="CR559" s="0" t="n">
        <v>1</v>
      </c>
      <c r="CT559" s="0" t="n">
        <v>133.33</v>
      </c>
      <c r="CU559" s="0" t="n">
        <v>0</v>
      </c>
      <c r="CV559" s="0" t="n">
        <f aca="false">IF(OR(CT559="",CT559="NO ESPECIFICA",CT559="NO MENCIONA"),"",IF(CU559=0,CT559,IF(CU559=1,CT559/30,IF(CU559=2,CT559/15,IF(CU559=3,CT559/7,"")))))</f>
        <v>133.33</v>
      </c>
      <c r="CW559" s="125" t="n">
        <v>203.22</v>
      </c>
      <c r="CX559" s="0" t="n">
        <v>0</v>
      </c>
      <c r="CY559" s="0" t="n">
        <f aca="false">IF(CW559="","",IF(CX559=0,CW559,IF(CX559=1,CW559/30,IF(CX559=2,CW559/15,IF(CX559=3,CW559/7,CW559)))))</f>
        <v>203.22</v>
      </c>
      <c r="CZ559" s="0" t="n">
        <f aca="false">IF(DI559&gt;0,DI559,IF(CY559&gt;0,CY559,IF(CV559&gt;0,CV559,"")))</f>
        <v>203.22</v>
      </c>
      <c r="DA559" s="0" t="n">
        <f aca="false">IF(DM559=1,CZ559/8,IF(OR(DM559=2,DM559=4),CZ559/7,IF(DM559=3,CZ559/7.5,"")))</f>
        <v>25.4025</v>
      </c>
      <c r="DB559" s="0" t="s">
        <v>301</v>
      </c>
      <c r="DC559" s="0" t="s">
        <v>303</v>
      </c>
      <c r="DD559" s="0" t="s">
        <v>299</v>
      </c>
      <c r="DE559" s="0" t="s">
        <v>1582</v>
      </c>
      <c r="DF559" s="0" t="s">
        <v>258</v>
      </c>
      <c r="DG559" s="0" t="s">
        <v>259</v>
      </c>
      <c r="DH559" s="0" t="n">
        <v>0</v>
      </c>
      <c r="DI559" s="126" t="n">
        <v>203.22</v>
      </c>
      <c r="DK559" s="0" t="n">
        <v>1</v>
      </c>
      <c r="DM559" s="0" t="n">
        <v>1</v>
      </c>
      <c r="DN559" s="0" t="n">
        <v>72</v>
      </c>
      <c r="DO559" s="0" t="n">
        <v>3</v>
      </c>
      <c r="DP559" s="0" t="n">
        <v>1</v>
      </c>
      <c r="DQ559" s="0" t="n">
        <v>1</v>
      </c>
      <c r="DR559" s="0"/>
      <c r="DS559" s="0" t="n">
        <v>1</v>
      </c>
      <c r="DU559" s="0" t="n">
        <v>1</v>
      </c>
      <c r="DW559" s="1" t="n">
        <v>40352</v>
      </c>
      <c r="DX559" s="1" t="n">
        <v>40832</v>
      </c>
      <c r="DZ559" s="0"/>
      <c r="EA559" s="0" t="n">
        <v>1</v>
      </c>
      <c r="EC559" s="1" t="n">
        <v>40532</v>
      </c>
      <c r="ED559" s="1" t="n">
        <v>40832</v>
      </c>
      <c r="EF559" s="0"/>
      <c r="EG559" s="0" t="n">
        <v>1</v>
      </c>
      <c r="EH559" s="0" t="n">
        <v>24</v>
      </c>
      <c r="EI559" s="0" t="n">
        <f aca="false">IF(AND(DM559=1,DN559&lt;=48),"",IF(AND(DM559=2,DN559&lt;=42),"",IF(AND(DM559=3,DN559&lt;=45),"",EH559)))</f>
        <v>24</v>
      </c>
      <c r="EJ559" s="0" t="n">
        <f aca="false">IF(EI559="","",IF(EI559&lt;9,EI559,9))</f>
        <v>9</v>
      </c>
      <c r="EK559" s="0" t="n">
        <f aca="false">IF(EI559="","",IF(EI559&gt;9,EI559-EJ559,0))</f>
        <v>15</v>
      </c>
      <c r="EL559" s="0" t="n">
        <f aca="false">IF(EI559="","",EJ559*DA559*2+EK559*DA559*3)</f>
        <v>1600.3575</v>
      </c>
      <c r="EM559" s="0" t="n">
        <v>5</v>
      </c>
      <c r="EP559" s="0" t="n">
        <v>1</v>
      </c>
      <c r="EQ559" s="0"/>
      <c r="ER559" s="0" t="n">
        <v>0</v>
      </c>
      <c r="ET559" s="0" t="n">
        <v>1</v>
      </c>
      <c r="EV559" s="0" t="n">
        <v>0</v>
      </c>
      <c r="EX559" s="0" t="n">
        <v>1</v>
      </c>
      <c r="EY559" s="0" t="n">
        <v>1</v>
      </c>
      <c r="EZ559" s="0"/>
      <c r="FA559" s="4" t="n">
        <v>20534.72</v>
      </c>
      <c r="FB559" s="0" t="n">
        <v>1</v>
      </c>
      <c r="FC559" s="1" t="n">
        <v>41024</v>
      </c>
      <c r="FD559" s="0" t="n">
        <v>1</v>
      </c>
      <c r="FE559" s="0" t="n">
        <v>21000</v>
      </c>
      <c r="FF559" s="120" t="n">
        <f aca="false">(CJ559-CI559+1)/365</f>
        <v>1.32054794520548</v>
      </c>
      <c r="FG559" s="0" t="str">
        <f aca="false">CONCATENATE(F559,"/",G559)</f>
        <v>1938/2011</v>
      </c>
      <c r="FH559" s="0" t="n">
        <v>1</v>
      </c>
      <c r="FI559" s="0" t="n">
        <f aca="false">IFERROR(IF((FC559-J559+1)/365&gt;3,0,1),"")</f>
        <v>1</v>
      </c>
    </row>
    <row r="560" customFormat="false" ht="15" hidden="false" customHeight="false" outlineLevel="0" collapsed="false">
      <c r="A560" s="5" t="str">
        <f aca="false">E560&amp;G560&amp;F560</f>
        <v>720111941</v>
      </c>
      <c r="B560" s="0" t="s">
        <v>3217</v>
      </c>
      <c r="C560" s="1" t="n">
        <v>42365</v>
      </c>
      <c r="D560" s="0" t="s">
        <v>3265</v>
      </c>
      <c r="E560" s="0" t="n">
        <v>7</v>
      </c>
      <c r="F560" s="0" t="n">
        <v>1941</v>
      </c>
      <c r="G560" s="0" t="n">
        <v>2011</v>
      </c>
      <c r="H560" s="0" t="str">
        <f aca="false">"J"&amp;E560&amp;"\"&amp;F560&amp;"\"&amp;G560&amp;"\"&amp;W560</f>
        <v>J7\1941\2011\1</v>
      </c>
      <c r="I560" s="0"/>
      <c r="J560" s="1" t="n">
        <v>40869</v>
      </c>
      <c r="K560" s="0" t="n">
        <v>0</v>
      </c>
      <c r="M560" s="1"/>
      <c r="N560" s="1"/>
      <c r="O560" s="1"/>
      <c r="P560" s="1"/>
      <c r="Q560" s="1"/>
      <c r="T560" s="121"/>
      <c r="U560" s="121"/>
      <c r="V560" s="122" t="n">
        <f aca="false">IF(AND(E560&gt;0,F560&gt;0,G560&gt;0),COUNTIFS($E:$E,E560,$F:$F,F560,$G:$G,G560),"")</f>
        <v>1</v>
      </c>
      <c r="W560" s="122" t="n">
        <f aca="false">IF(V560="","",IF(V560=1,1,IF(AND(E559=E560,F559=F560,G559=G560),W559+1,1)))</f>
        <v>1</v>
      </c>
      <c r="X560" s="0" t="n">
        <v>1</v>
      </c>
      <c r="Y560" s="0" t="n">
        <v>5</v>
      </c>
      <c r="Z560" s="0" t="s">
        <v>5199</v>
      </c>
      <c r="AA560" s="0" t="n">
        <v>0</v>
      </c>
      <c r="AB560" s="0" t="s">
        <v>5200</v>
      </c>
      <c r="AC560" s="0" t="s">
        <v>697</v>
      </c>
      <c r="AD560" s="0" t="s">
        <v>207</v>
      </c>
      <c r="AE560" s="0" t="n">
        <v>0</v>
      </c>
      <c r="AF560" s="0" t="s">
        <v>4131</v>
      </c>
      <c r="AG560" s="0" t="n">
        <v>0</v>
      </c>
      <c r="AH560" s="0" t="s">
        <v>5201</v>
      </c>
      <c r="AI560" s="0" t="s">
        <v>251</v>
      </c>
      <c r="AJ560" s="0" t="s">
        <v>229</v>
      </c>
      <c r="AL560" s="0" t="s">
        <v>5202</v>
      </c>
      <c r="AM560" s="0" t="n">
        <v>1</v>
      </c>
      <c r="AN560" s="0" t="s">
        <v>5201</v>
      </c>
      <c r="AO560" s="0" t="s">
        <v>251</v>
      </c>
      <c r="AP560" s="0" t="s">
        <v>229</v>
      </c>
      <c r="AR560" s="0" t="s">
        <v>5203</v>
      </c>
      <c r="AS560" s="0" t="n">
        <v>1</v>
      </c>
      <c r="AT560" s="0" t="s">
        <v>5201</v>
      </c>
      <c r="AU560" s="0" t="s">
        <v>251</v>
      </c>
      <c r="AV560" s="0" t="s">
        <v>229</v>
      </c>
      <c r="AX560" s="0" t="s">
        <v>5204</v>
      </c>
      <c r="AY560" s="0" t="n">
        <v>0</v>
      </c>
      <c r="AZ560" s="0" t="s">
        <v>5205</v>
      </c>
      <c r="BA560" s="0" t="s">
        <v>251</v>
      </c>
      <c r="BB560" s="0" t="s">
        <v>229</v>
      </c>
      <c r="BD560" s="0" t="s">
        <v>1880</v>
      </c>
      <c r="BE560" s="0" t="n">
        <v>1</v>
      </c>
      <c r="BF560" s="0" t="s">
        <v>5205</v>
      </c>
      <c r="BG560" s="0" t="s">
        <v>251</v>
      </c>
      <c r="BH560" s="0" t="s">
        <v>229</v>
      </c>
      <c r="BR560" s="0" t="n">
        <v>1</v>
      </c>
      <c r="BS560" s="0" t="s">
        <v>3475</v>
      </c>
      <c r="BT560" s="0" t="s">
        <v>1639</v>
      </c>
      <c r="BU560" s="0" t="s">
        <v>1640</v>
      </c>
      <c r="BV560" s="123"/>
      <c r="BW560" s="123"/>
      <c r="BX560" s="123"/>
      <c r="BY560" s="123"/>
      <c r="CA560" s="0" t="s">
        <v>216</v>
      </c>
      <c r="CD560" s="0" t="s">
        <v>296</v>
      </c>
      <c r="CE560" s="0" t="n">
        <v>0</v>
      </c>
      <c r="CF560" s="0" t="s">
        <v>5206</v>
      </c>
      <c r="CI560" s="1" t="n">
        <v>40016</v>
      </c>
      <c r="CJ560" s="1" t="n">
        <v>40861</v>
      </c>
      <c r="CK560" s="124" t="n">
        <v>0.375</v>
      </c>
      <c r="CL560" s="0" t="s">
        <v>5202</v>
      </c>
      <c r="CM560" s="0" t="n">
        <f aca="false">IF(OR(CI560="",CJ560=""),"",DAYS360(CI560,CJ560)/360)</f>
        <v>2.31111111111111</v>
      </c>
      <c r="CN560" s="0" t="n">
        <f aca="false">IF(OR(CI560="",CJ560=""),"",DAYS360(CI560,CJ560)/30)</f>
        <v>27.7333333333333</v>
      </c>
      <c r="CO560" s="0" t="n">
        <f aca="false">IF(OR(CI560="",CJ560=""),"",DAYS360(CI560,CJ560)/7)</f>
        <v>118.857142857143</v>
      </c>
      <c r="CP560" s="0" t="n">
        <f aca="false">IF(OR(CI560="",CJ560=""),"",DAYS360(CI560,CJ560))</f>
        <v>832</v>
      </c>
      <c r="CQ560" s="0" t="s">
        <v>240</v>
      </c>
      <c r="CR560" s="0" t="n">
        <v>1</v>
      </c>
      <c r="CT560" s="0" t="n">
        <v>96.54</v>
      </c>
      <c r="CU560" s="0" t="n">
        <v>0</v>
      </c>
      <c r="CV560" s="0" t="n">
        <f aca="false">IF(OR(CT560="",CT560="NO ESPECIFICA",CT560="NO MENCIONA"),"",IF(CU560=0,CT560,IF(CU560=1,CT560/30,IF(CU560=2,CT560/15,IF(CU560=3,CT560/7,"")))))</f>
        <v>96.54</v>
      </c>
      <c r="CW560" s="125" t="n">
        <v>187.95</v>
      </c>
      <c r="CX560" s="0" t="n">
        <v>0</v>
      </c>
      <c r="CY560" s="0" t="n">
        <f aca="false">IF(CW560="","",IF(CX560=0,CW560,IF(CX560=1,CW560/30,IF(CX560=2,CW560/15,IF(CX560=3,CW560/7,CW560)))))</f>
        <v>187.95</v>
      </c>
      <c r="CZ560" s="0" t="n">
        <f aca="false">IF(DI560&gt;0,DI560,IF(CY560&gt;0,CY560,IF(CV560&gt;0,CV560,"")))</f>
        <v>187.95</v>
      </c>
      <c r="DA560" s="0" t="n">
        <f aca="false">IF(DM560=1,CZ560/8,IF(OR(DM560=2,DM560=4),CZ560/7,IF(DM560=3,CZ560/7.5,"")))</f>
        <v>23.49375</v>
      </c>
      <c r="DB560" s="0" t="s">
        <v>299</v>
      </c>
      <c r="DC560" s="0" t="s">
        <v>417</v>
      </c>
      <c r="DD560" s="0" t="s">
        <v>1003</v>
      </c>
      <c r="DE560" s="0" t="s">
        <v>216</v>
      </c>
      <c r="DF560" s="0" t="s">
        <v>216</v>
      </c>
      <c r="DG560" s="0" t="s">
        <v>216</v>
      </c>
      <c r="DH560" s="0" t="n">
        <v>0</v>
      </c>
      <c r="DI560" s="126" t="n">
        <v>187.95</v>
      </c>
      <c r="DK560" s="0" t="n">
        <v>1</v>
      </c>
      <c r="DM560" s="0" t="n">
        <v>1</v>
      </c>
      <c r="DN560" s="0" t="n">
        <v>80.5</v>
      </c>
      <c r="DO560" s="0" t="n">
        <v>3</v>
      </c>
      <c r="DP560" s="0" t="n">
        <v>0</v>
      </c>
      <c r="DQ560" s="0" t="n">
        <v>1</v>
      </c>
      <c r="DR560" s="0"/>
      <c r="DS560" s="0" t="n">
        <v>1</v>
      </c>
      <c r="DU560" s="0" t="n">
        <v>1</v>
      </c>
      <c r="DW560" s="1" t="n">
        <v>40016</v>
      </c>
      <c r="DX560" s="1" t="n">
        <v>40861</v>
      </c>
      <c r="DZ560" s="0"/>
      <c r="EA560" s="0" t="n">
        <v>1</v>
      </c>
      <c r="EC560" s="1" t="n">
        <v>40016</v>
      </c>
      <c r="ED560" s="1" t="n">
        <v>40861</v>
      </c>
      <c r="EF560" s="0"/>
      <c r="EG560" s="0" t="n">
        <v>1</v>
      </c>
      <c r="EH560" s="0" t="n">
        <v>17.5</v>
      </c>
      <c r="EI560" s="0" t="n">
        <f aca="false">IF(AND(DM560=1,DN560&lt;=48),"",IF(AND(DM560=2,DN560&lt;=42),"",IF(AND(DM560=3,DN560&lt;=45),"",EH560)))</f>
        <v>17.5</v>
      </c>
      <c r="EJ560" s="0" t="n">
        <f aca="false">IF(EI560="","",IF(EI560&lt;9,EI560,9))</f>
        <v>9</v>
      </c>
      <c r="EK560" s="0" t="n">
        <f aca="false">IF(EI560="","",IF(EI560&gt;9,EI560-EJ560,0))</f>
        <v>8.5</v>
      </c>
      <c r="EL560" s="0" t="n">
        <f aca="false">IF(EI560="","",EJ560*DA560*2+EK560*DA560*3)</f>
        <v>1021.978125</v>
      </c>
      <c r="EP560" s="0" t="n">
        <v>0</v>
      </c>
      <c r="EQ560" s="0"/>
      <c r="ER560" s="0" t="n">
        <v>1</v>
      </c>
      <c r="ET560" s="0" t="n">
        <v>0</v>
      </c>
      <c r="EV560" s="0" t="n">
        <v>0</v>
      </c>
      <c r="EX560" s="0" t="n">
        <v>1</v>
      </c>
      <c r="EY560" s="0" t="n">
        <v>0</v>
      </c>
      <c r="EZ560" s="0"/>
      <c r="FA560" s="4" t="n">
        <v>3500</v>
      </c>
      <c r="FB560" s="0" t="n">
        <v>0</v>
      </c>
      <c r="FC560" s="1" t="n">
        <v>41052</v>
      </c>
      <c r="FD560" s="0" t="n">
        <v>1</v>
      </c>
      <c r="FE560" s="0" t="n">
        <v>15000</v>
      </c>
      <c r="FF560" s="120" t="n">
        <f aca="false">(CJ560-CI560+1)/365</f>
        <v>2.31780821917808</v>
      </c>
      <c r="FG560" s="0" t="str">
        <f aca="false">CONCATENATE(F560,"/",G560)</f>
        <v>1941/2011</v>
      </c>
      <c r="FH560" s="0" t="n">
        <v>1</v>
      </c>
      <c r="FI560" s="0" t="n">
        <f aca="false">IFERROR(IF((FC560-J560+1)/365&gt;3,0,1),"")</f>
        <v>1</v>
      </c>
    </row>
    <row r="561" customFormat="false" ht="15" hidden="false" customHeight="false" outlineLevel="0" collapsed="false">
      <c r="A561" s="5" t="str">
        <f aca="false">E561&amp;G561&amp;F561</f>
        <v>720111952</v>
      </c>
      <c r="B561" s="0" t="s">
        <v>3217</v>
      </c>
      <c r="C561" s="1" t="n">
        <v>42373</v>
      </c>
      <c r="D561" s="0" t="s">
        <v>3265</v>
      </c>
      <c r="E561" s="0" t="n">
        <v>7</v>
      </c>
      <c r="F561" s="0" t="n">
        <v>1952</v>
      </c>
      <c r="G561" s="0" t="n">
        <v>2011</v>
      </c>
      <c r="H561" s="0" t="str">
        <f aca="false">"J"&amp;E561&amp;"\"&amp;F561&amp;"\"&amp;G561&amp;"\"&amp;W561</f>
        <v>J7\1952\2011\1</v>
      </c>
      <c r="I561" s="0"/>
      <c r="J561" s="1" t="n">
        <v>40869</v>
      </c>
      <c r="K561" s="0" t="n">
        <v>0</v>
      </c>
      <c r="M561" s="1"/>
      <c r="N561" s="1"/>
      <c r="O561" s="1"/>
      <c r="P561" s="1"/>
      <c r="Q561" s="1"/>
      <c r="T561" s="121"/>
      <c r="U561" s="121"/>
      <c r="V561" s="122" t="n">
        <f aca="false">IF(AND(E561&gt;0,F561&gt;0,G561&gt;0),COUNTIFS($E:$E,E561,$F:$F,F561,$G:$G,G561),"")</f>
        <v>1</v>
      </c>
      <c r="W561" s="122" t="n">
        <f aca="false">IF(V561="","",IF(V561=1,1,IF(AND(E560=E561,F560=F561,G560=G561),W560+1,1)))</f>
        <v>1</v>
      </c>
      <c r="X561" s="0" t="n">
        <v>1</v>
      </c>
      <c r="Y561" s="0" t="n">
        <v>3</v>
      </c>
      <c r="Z561" s="0" t="s">
        <v>5207</v>
      </c>
      <c r="AA561" s="0" t="n">
        <v>0</v>
      </c>
      <c r="AB561" s="0" t="s">
        <v>702</v>
      </c>
      <c r="AC561" s="0" t="s">
        <v>221</v>
      </c>
      <c r="AD561" s="0" t="s">
        <v>221</v>
      </c>
      <c r="AE561" s="0" t="n">
        <v>0</v>
      </c>
      <c r="AF561" s="0" t="s">
        <v>1821</v>
      </c>
      <c r="AG561" s="0" t="n">
        <v>0</v>
      </c>
      <c r="AH561" s="0" t="s">
        <v>5208</v>
      </c>
      <c r="AI561" s="0" t="s">
        <v>497</v>
      </c>
      <c r="AJ561" s="0" t="s">
        <v>322</v>
      </c>
      <c r="AL561" s="0" t="s">
        <v>1823</v>
      </c>
      <c r="AM561" s="0" t="n">
        <v>0</v>
      </c>
      <c r="AN561" s="0" t="s">
        <v>5208</v>
      </c>
      <c r="AO561" s="0" t="s">
        <v>497</v>
      </c>
      <c r="AP561" s="0" t="s">
        <v>322</v>
      </c>
      <c r="AR561" s="0" t="s">
        <v>1880</v>
      </c>
      <c r="AS561" s="0" t="n">
        <v>1</v>
      </c>
      <c r="AT561" s="0" t="s">
        <v>5208</v>
      </c>
      <c r="AU561" s="0" t="s">
        <v>497</v>
      </c>
      <c r="AV561" s="0" t="s">
        <v>322</v>
      </c>
      <c r="BR561" s="0" t="n">
        <v>1</v>
      </c>
      <c r="BS561" s="0" t="s">
        <v>5209</v>
      </c>
      <c r="BT561" s="0" t="s">
        <v>5210</v>
      </c>
      <c r="BU561" s="0" t="s">
        <v>5211</v>
      </c>
      <c r="BV561" s="123"/>
      <c r="BW561" s="123"/>
      <c r="BX561" s="123"/>
      <c r="BY561" s="123"/>
      <c r="CA561" s="0" t="s">
        <v>216</v>
      </c>
      <c r="CD561" s="0" t="s">
        <v>357</v>
      </c>
      <c r="CE561" s="0" t="n">
        <v>0</v>
      </c>
      <c r="CF561" s="0" t="s">
        <v>645</v>
      </c>
      <c r="CI561" s="1" t="n">
        <v>39351</v>
      </c>
      <c r="CJ561" s="1" t="n">
        <v>40806</v>
      </c>
      <c r="CK561" s="124" t="n">
        <v>0.625</v>
      </c>
      <c r="CL561" s="0" t="s">
        <v>5212</v>
      </c>
      <c r="CM561" s="0" t="n">
        <f aca="false">IF(OR(CI561="",CJ561=""),"",DAYS360(CI561,CJ561)/360)</f>
        <v>3.98333333333333</v>
      </c>
      <c r="CN561" s="0" t="n">
        <f aca="false">IF(OR(CI561="",CJ561=""),"",DAYS360(CI561,CJ561)/30)</f>
        <v>47.8</v>
      </c>
      <c r="CO561" s="0" t="n">
        <f aca="false">IF(OR(CI561="",CJ561=""),"",DAYS360(CI561,CJ561)/7)</f>
        <v>204.857142857143</v>
      </c>
      <c r="CP561" s="0" t="n">
        <f aca="false">IF(OR(CI561="",CJ561=""),"",DAYS360(CI561,CJ561))</f>
        <v>1434</v>
      </c>
      <c r="CQ561" s="0" t="s">
        <v>240</v>
      </c>
      <c r="CR561" s="0" t="n">
        <v>1</v>
      </c>
      <c r="CT561" s="0" t="s">
        <v>221</v>
      </c>
      <c r="CU561" s="0" t="s">
        <v>221</v>
      </c>
      <c r="CV561" s="0" t="str">
        <f aca="false">IF(OR(CT561="",CT561="NO ESPECIFICA",CT561="NO MENCIONA"),"",IF(CU561=0,CT561,IF(CU561=1,CT561/30,IF(CU561=2,CT561/15,IF(CU561=3,CT561/7,"")))))</f>
        <v/>
      </c>
      <c r="CW561" s="125" t="n">
        <v>210</v>
      </c>
      <c r="CX561" s="0" t="n">
        <v>0</v>
      </c>
      <c r="CY561" s="0" t="n">
        <f aca="false">IF(CW561="","",IF(CX561=0,CW561,IF(CX561=1,CW561/30,IF(CX561=2,CW561/15,IF(CX561=3,CW561/7,CW561)))))</f>
        <v>210</v>
      </c>
      <c r="CZ561" s="0" t="n">
        <f aca="false">IF(DI561&gt;0,DI561,IF(CY561&gt;0,CY561,IF(CV561&gt;0,CV561,"")))</f>
        <v>210</v>
      </c>
      <c r="DA561" s="0" t="n">
        <f aca="false">IF(DM561=1,CZ561/8,IF(OR(DM561=2,DM561=4),CZ561/7,IF(DM561=3,CZ561/7.5,"")))</f>
        <v>28</v>
      </c>
      <c r="DB561" s="0" t="s">
        <v>216</v>
      </c>
      <c r="DC561" s="0" t="s">
        <v>216</v>
      </c>
      <c r="DD561" s="0" t="s">
        <v>216</v>
      </c>
      <c r="DE561" s="0" t="s">
        <v>216</v>
      </c>
      <c r="DF561" s="0" t="s">
        <v>216</v>
      </c>
      <c r="DG561" s="0" t="s">
        <v>216</v>
      </c>
      <c r="DH561" s="0" t="n">
        <v>0</v>
      </c>
      <c r="DI561" s="126" t="n">
        <v>210</v>
      </c>
      <c r="DK561" s="0" t="n">
        <v>1</v>
      </c>
      <c r="DM561" s="0" t="n">
        <v>3</v>
      </c>
      <c r="DN561" s="0" t="n">
        <v>45</v>
      </c>
      <c r="DO561" s="0" t="n">
        <v>3</v>
      </c>
      <c r="DP561" s="0" t="n">
        <v>0</v>
      </c>
      <c r="DQ561" s="0" t="n">
        <v>1</v>
      </c>
      <c r="DR561" s="0"/>
      <c r="DS561" s="0" t="n">
        <v>1</v>
      </c>
      <c r="DU561" s="0" t="n">
        <v>0</v>
      </c>
      <c r="DW561" s="1" t="n">
        <v>39351</v>
      </c>
      <c r="DX561" s="1" t="n">
        <v>40806</v>
      </c>
      <c r="DZ561" s="0"/>
      <c r="EA561" s="0" t="n">
        <v>1</v>
      </c>
      <c r="EC561" s="1" t="n">
        <v>39351</v>
      </c>
      <c r="ED561" s="1" t="n">
        <v>40806</v>
      </c>
      <c r="EF561" s="0"/>
      <c r="EG561" s="0" t="n">
        <v>0</v>
      </c>
      <c r="EI561" s="0" t="str">
        <f aca="false">IF(AND(DM561=1,DN561&lt;=48),"",IF(AND(DM561=2,DN561&lt;=42),"",IF(AND(DM561=3,DN561&lt;=45),"",EH561)))</f>
        <v/>
      </c>
      <c r="EJ561" s="0" t="str">
        <f aca="false">IF(EI561="","",IF(EI561&lt;9,EI561,9))</f>
        <v/>
      </c>
      <c r="EK561" s="0" t="str">
        <f aca="false">IF(EI561="","",IF(EI561&gt;9,EI561-EJ561,0))</f>
        <v/>
      </c>
      <c r="EL561" s="0" t="str">
        <f aca="false">IF(EI561="","",EJ561*DA561*2+EK561*DA561*3)</f>
        <v/>
      </c>
      <c r="EP561" s="0" t="n">
        <v>0</v>
      </c>
      <c r="EQ561" s="0"/>
      <c r="ER561" s="0" t="n">
        <v>0</v>
      </c>
      <c r="ET561" s="0" t="n">
        <v>0</v>
      </c>
      <c r="EV561" s="0" t="n">
        <v>0</v>
      </c>
      <c r="EX561" s="0" t="n">
        <v>1</v>
      </c>
      <c r="EY561" s="0" t="n">
        <v>1</v>
      </c>
      <c r="EZ561" s="0"/>
      <c r="FA561" s="4" t="n">
        <v>0</v>
      </c>
      <c r="FB561" s="0" t="n">
        <v>0</v>
      </c>
      <c r="FC561" s="1" t="n">
        <v>41669</v>
      </c>
      <c r="FD561" s="0" t="n">
        <v>1</v>
      </c>
      <c r="FE561" s="0" t="n">
        <v>50000</v>
      </c>
      <c r="FF561" s="120" t="n">
        <f aca="false">(CJ561-CI561+1)/365</f>
        <v>3.98904109589041</v>
      </c>
      <c r="FG561" s="0" t="str">
        <f aca="false">CONCATENATE(F561,"/",G561)</f>
        <v>1952/2011</v>
      </c>
      <c r="FH561" s="0" t="n">
        <v>1</v>
      </c>
      <c r="FI561" s="0" t="n">
        <f aca="false">IFERROR(IF((FC561-J561+1)/365&gt;3,0,1),"")</f>
        <v>1</v>
      </c>
    </row>
    <row r="562" customFormat="false" ht="15" hidden="false" customHeight="false" outlineLevel="0" collapsed="false">
      <c r="A562" s="5" t="str">
        <f aca="false">E562&amp;G562&amp;F562</f>
        <v>720111953</v>
      </c>
      <c r="B562" s="0" t="s">
        <v>3217</v>
      </c>
      <c r="C562" s="1" t="n">
        <v>42373</v>
      </c>
      <c r="D562" s="0" t="s">
        <v>3265</v>
      </c>
      <c r="E562" s="0" t="n">
        <v>7</v>
      </c>
      <c r="F562" s="0" t="n">
        <v>1953</v>
      </c>
      <c r="G562" s="0" t="n">
        <v>2011</v>
      </c>
      <c r="H562" s="0" t="str">
        <f aca="false">"J"&amp;E562&amp;"\"&amp;F562&amp;"\"&amp;G562&amp;"\"&amp;W562</f>
        <v>J7\1953\2011\1</v>
      </c>
      <c r="I562" s="0"/>
      <c r="J562" s="1" t="n">
        <v>40870</v>
      </c>
      <c r="K562" s="0" t="n">
        <v>0</v>
      </c>
      <c r="M562" s="1"/>
      <c r="N562" s="1"/>
      <c r="O562" s="1"/>
      <c r="P562" s="1"/>
      <c r="Q562" s="1"/>
      <c r="T562" s="121"/>
      <c r="U562" s="121"/>
      <c r="V562" s="122" t="n">
        <f aca="false">IF(AND(E562&gt;0,F562&gt;0,G562&gt;0),COUNTIFS($E:$E,E562,$F:$F,F562,$G:$G,G562),"")</f>
        <v>1</v>
      </c>
      <c r="W562" s="122" t="n">
        <f aca="false">IF(V562="","",IF(V562=1,1,IF(AND(E561=E562,F561=F562,G561=G562),W561+1,1)))</f>
        <v>1</v>
      </c>
      <c r="X562" s="0" t="n">
        <v>1</v>
      </c>
      <c r="Y562" s="0" t="n">
        <v>4</v>
      </c>
      <c r="Z562" s="0" t="s">
        <v>5213</v>
      </c>
      <c r="AA562" s="0" t="n">
        <v>0</v>
      </c>
      <c r="AB562" s="0" t="s">
        <v>2375</v>
      </c>
      <c r="AC562" s="0" t="s">
        <v>318</v>
      </c>
      <c r="AD562" s="0" t="s">
        <v>229</v>
      </c>
      <c r="AE562" s="0" t="n">
        <v>0</v>
      </c>
      <c r="AF562" s="0" t="s">
        <v>5214</v>
      </c>
      <c r="AG562" s="0" t="n">
        <v>0</v>
      </c>
      <c r="AH562" s="0" t="s">
        <v>5215</v>
      </c>
      <c r="AI562" s="0" t="s">
        <v>2640</v>
      </c>
      <c r="AJ562" s="0" t="s">
        <v>221</v>
      </c>
      <c r="AL562" s="0" t="s">
        <v>5216</v>
      </c>
      <c r="AM562" s="0" t="n">
        <v>1</v>
      </c>
      <c r="AN562" s="0" t="s">
        <v>5215</v>
      </c>
      <c r="AO562" s="0" t="s">
        <v>2640</v>
      </c>
      <c r="AP562" s="0" t="s">
        <v>221</v>
      </c>
      <c r="AR562" s="0" t="s">
        <v>1880</v>
      </c>
      <c r="AS562" s="0" t="n">
        <v>1</v>
      </c>
      <c r="AT562" s="0" t="s">
        <v>5215</v>
      </c>
      <c r="AU562" s="0" t="s">
        <v>2640</v>
      </c>
      <c r="AV562" s="0" t="s">
        <v>221</v>
      </c>
      <c r="AX562" s="0" t="s">
        <v>5217</v>
      </c>
      <c r="AY562" s="0" t="n">
        <v>0</v>
      </c>
      <c r="AZ562" s="0" t="s">
        <v>5218</v>
      </c>
      <c r="BA562" s="0" t="s">
        <v>433</v>
      </c>
      <c r="BB562" s="0" t="s">
        <v>221</v>
      </c>
      <c r="BR562" s="0" t="n">
        <v>1</v>
      </c>
      <c r="BS562" s="0" t="s">
        <v>2381</v>
      </c>
      <c r="BT562" s="0" t="s">
        <v>2382</v>
      </c>
      <c r="BU562" s="0" t="s">
        <v>5219</v>
      </c>
      <c r="BV562" s="123"/>
      <c r="BW562" s="123"/>
      <c r="BX562" s="123"/>
      <c r="BY562" s="123"/>
      <c r="CA562" s="0" t="s">
        <v>2384</v>
      </c>
      <c r="CD562" s="0" t="s">
        <v>357</v>
      </c>
      <c r="CE562" s="0" t="n">
        <v>0</v>
      </c>
      <c r="CF562" s="0" t="s">
        <v>600</v>
      </c>
      <c r="CI562" s="1" t="n">
        <v>40455</v>
      </c>
      <c r="CJ562" s="1" t="n">
        <v>40846</v>
      </c>
      <c r="CK562" s="124" t="n">
        <v>0.458333333333333</v>
      </c>
      <c r="CL562" s="0" t="s">
        <v>5216</v>
      </c>
      <c r="CM562" s="0" t="n">
        <f aca="false">IF(OR(CI562="",CJ562=""),"",DAYS360(CI562,CJ562)/360)</f>
        <v>1.07222222222222</v>
      </c>
      <c r="CN562" s="0" t="n">
        <f aca="false">IF(OR(CI562="",CJ562=""),"",DAYS360(CI562,CJ562)/30)</f>
        <v>12.8666666666667</v>
      </c>
      <c r="CO562" s="0" t="n">
        <f aca="false">IF(OR(CI562="",CJ562=""),"",DAYS360(CI562,CJ562)/7)</f>
        <v>55.1428571428571</v>
      </c>
      <c r="CP562" s="0" t="n">
        <f aca="false">IF(OR(CI562="",CJ562=""),"",DAYS360(CI562,CJ562))</f>
        <v>386</v>
      </c>
      <c r="CQ562" s="0" t="s">
        <v>240</v>
      </c>
      <c r="CR562" s="0" t="n">
        <v>1</v>
      </c>
      <c r="CT562" s="0" t="s">
        <v>221</v>
      </c>
      <c r="CU562" s="0" t="s">
        <v>221</v>
      </c>
      <c r="CV562" s="0" t="str">
        <f aca="false">IF(OR(CT562="",CT562="NO ESPECIFICA",CT562="NO MENCIONA"),"",IF(CU562=0,CT562,IF(CU562=1,CT562/30,IF(CU562=2,CT562/15,IF(CU562=3,CT562/7,"")))))</f>
        <v/>
      </c>
      <c r="CW562" s="125" t="n">
        <v>250</v>
      </c>
      <c r="CX562" s="0" t="n">
        <v>0</v>
      </c>
      <c r="CY562" s="0" t="n">
        <f aca="false">IF(CW562="","",IF(CX562=0,CW562,IF(CX562=1,CW562/30,IF(CX562=2,CW562/15,IF(CX562=3,CW562/7,CW562)))))</f>
        <v>250</v>
      </c>
      <c r="CZ562" s="0" t="n">
        <f aca="false">IF(DI562&gt;0,DI562,IF(CY562&gt;0,CY562,IF(CV562&gt;0,CV562,"")))</f>
        <v>250</v>
      </c>
      <c r="DA562" s="0" t="n">
        <f aca="false">IF(DM562=1,CZ562/8,IF(OR(DM562=2,DM562=4),CZ562/7,IF(DM562=3,CZ562/7.5,"")))</f>
        <v>31.25</v>
      </c>
      <c r="DB562" s="0" t="s">
        <v>216</v>
      </c>
      <c r="DC562" s="0" t="s">
        <v>216</v>
      </c>
      <c r="DD562" s="0" t="s">
        <v>216</v>
      </c>
      <c r="DE562" s="0" t="s">
        <v>216</v>
      </c>
      <c r="DF562" s="0" t="s">
        <v>216</v>
      </c>
      <c r="DG562" s="0" t="s">
        <v>216</v>
      </c>
      <c r="DH562" s="0" t="n">
        <v>0</v>
      </c>
      <c r="DI562" s="126" t="n">
        <v>250</v>
      </c>
      <c r="DK562" s="0" t="n">
        <v>1</v>
      </c>
      <c r="DM562" s="0" t="n">
        <v>1</v>
      </c>
      <c r="DN562" s="0" t="n">
        <v>48</v>
      </c>
      <c r="DO562" s="0" t="n">
        <v>3</v>
      </c>
      <c r="DP562" s="0" t="n">
        <v>0</v>
      </c>
      <c r="DQ562" s="0" t="n">
        <v>1</v>
      </c>
      <c r="DR562" s="0"/>
      <c r="DS562" s="0" t="n">
        <v>1</v>
      </c>
      <c r="DU562" s="0" t="n">
        <v>1</v>
      </c>
      <c r="DW562" s="1" t="n">
        <v>40455</v>
      </c>
      <c r="DX562" s="1" t="n">
        <v>40846</v>
      </c>
      <c r="DZ562" s="0"/>
      <c r="EA562" s="0" t="n">
        <v>1</v>
      </c>
      <c r="EC562" s="1" t="n">
        <v>40455</v>
      </c>
      <c r="ED562" s="1" t="n">
        <v>40846</v>
      </c>
      <c r="EF562" s="0"/>
      <c r="EG562" s="0" t="n">
        <v>1</v>
      </c>
      <c r="EH562" s="0" t="s">
        <v>221</v>
      </c>
      <c r="EI562" s="0" t="str">
        <f aca="false">IF(AND(DM562=1,DN562&lt;=48),"",IF(AND(DM562=2,DN562&lt;=42),"",IF(AND(DM562=3,DN562&lt;=45),"",EH562)))</f>
        <v/>
      </c>
      <c r="EJ562" s="0" t="str">
        <f aca="false">IF(EI562="","",IF(EI562&lt;9,EI562,9))</f>
        <v/>
      </c>
      <c r="EK562" s="0" t="str">
        <f aca="false">IF(EI562="","",IF(EI562&gt;9,EI562-EJ562,0))</f>
        <v/>
      </c>
      <c r="EL562" s="0" t="str">
        <f aca="false">IF(EI562="","",EJ562*DA562*2+EK562*DA562*3)</f>
        <v/>
      </c>
      <c r="EP562" s="0" t="n">
        <v>0</v>
      </c>
      <c r="EQ562" s="0"/>
      <c r="ER562" s="0" t="n">
        <v>0</v>
      </c>
      <c r="ET562" s="0" t="n">
        <v>0</v>
      </c>
      <c r="EV562" s="0" t="n">
        <v>0</v>
      </c>
      <c r="EX562" s="0" t="n">
        <v>0</v>
      </c>
      <c r="EY562" s="0" t="n">
        <v>1</v>
      </c>
      <c r="EZ562" s="0"/>
      <c r="FA562" s="4" t="n">
        <v>0</v>
      </c>
      <c r="FB562" s="0" t="n">
        <v>1</v>
      </c>
      <c r="FC562" s="1"/>
      <c r="FF562" s="120" t="n">
        <f aca="false">(CJ562-CI562+1)/365</f>
        <v>1.07397260273973</v>
      </c>
      <c r="FG562" s="0" t="str">
        <f aca="false">CONCATENATE(F562,"/",G562)</f>
        <v>1953/2011</v>
      </c>
      <c r="FH562" s="0" t="n">
        <v>1</v>
      </c>
      <c r="FI562" s="0" t="n">
        <f aca="false">IFERROR(IF((FC562-J562+1)/365&gt;3,0,1),"")</f>
        <v>1</v>
      </c>
    </row>
    <row r="563" customFormat="false" ht="15" hidden="false" customHeight="false" outlineLevel="0" collapsed="false">
      <c r="A563" s="5" t="str">
        <f aca="false">E563&amp;G563&amp;F563</f>
        <v>720111958</v>
      </c>
      <c r="B563" s="0" t="s">
        <v>3217</v>
      </c>
      <c r="C563" s="1" t="n">
        <v>42373</v>
      </c>
      <c r="D563" s="0" t="s">
        <v>3265</v>
      </c>
      <c r="E563" s="0" t="n">
        <v>7</v>
      </c>
      <c r="F563" s="0" t="n">
        <v>1958</v>
      </c>
      <c r="G563" s="0" t="n">
        <v>2011</v>
      </c>
      <c r="H563" s="0" t="str">
        <f aca="false">"J"&amp;E563&amp;"\"&amp;F563&amp;"\"&amp;G563&amp;"\"&amp;W563</f>
        <v>J7\1958\2011\1</v>
      </c>
      <c r="I563" s="0"/>
      <c r="J563" s="1" t="n">
        <v>40870</v>
      </c>
      <c r="K563" s="0" t="n">
        <v>0</v>
      </c>
      <c r="M563" s="1"/>
      <c r="N563" s="1"/>
      <c r="O563" s="1"/>
      <c r="P563" s="1"/>
      <c r="Q563" s="1"/>
      <c r="T563" s="121"/>
      <c r="U563" s="121"/>
      <c r="V563" s="122" t="n">
        <f aca="false">IF(AND(E563&gt;0,F563&gt;0,G563&gt;0),COUNTIFS($E:$E,E563,$F:$F,F563,$G:$G,G563),"")</f>
        <v>1</v>
      </c>
      <c r="W563" s="122" t="n">
        <f aca="false">IF(V563="","",IF(V563=1,1,IF(AND(E562=E563,F562=F563,G562=G563),W562+1,1)))</f>
        <v>1</v>
      </c>
      <c r="X563" s="0" t="n">
        <v>1</v>
      </c>
      <c r="Y563" s="0" t="n">
        <v>3</v>
      </c>
      <c r="Z563" s="0" t="s">
        <v>5220</v>
      </c>
      <c r="AA563" s="0" t="n">
        <v>0</v>
      </c>
      <c r="AB563" s="0" t="s">
        <v>702</v>
      </c>
      <c r="AC563" s="0" t="s">
        <v>221</v>
      </c>
      <c r="AD563" s="0" t="s">
        <v>221</v>
      </c>
      <c r="AE563" s="0" t="n">
        <v>0</v>
      </c>
      <c r="AF563" s="0" t="s">
        <v>5221</v>
      </c>
      <c r="AG563" s="0" t="n">
        <v>0</v>
      </c>
      <c r="AH563" s="0" t="s">
        <v>5222</v>
      </c>
      <c r="AI563" s="0" t="s">
        <v>1241</v>
      </c>
      <c r="AJ563" s="0" t="s">
        <v>207</v>
      </c>
      <c r="AL563" s="0" t="s">
        <v>5223</v>
      </c>
      <c r="AM563" s="0" t="n">
        <v>1</v>
      </c>
      <c r="AN563" s="0" t="s">
        <v>5222</v>
      </c>
      <c r="AO563" s="0" t="s">
        <v>1241</v>
      </c>
      <c r="AP563" s="0" t="s">
        <v>207</v>
      </c>
      <c r="AR563" s="0" t="s">
        <v>1880</v>
      </c>
      <c r="AS563" s="0" t="n">
        <v>1</v>
      </c>
      <c r="AT563" s="0" t="s">
        <v>5222</v>
      </c>
      <c r="AU563" s="0" t="s">
        <v>1241</v>
      </c>
      <c r="AV563" s="0" t="s">
        <v>207</v>
      </c>
      <c r="BR563" s="0" t="n">
        <v>1</v>
      </c>
      <c r="BS563" s="0" t="s">
        <v>5224</v>
      </c>
      <c r="BT563" s="0" t="s">
        <v>2128</v>
      </c>
      <c r="BV563" s="123"/>
      <c r="BW563" s="123"/>
      <c r="BX563" s="123"/>
      <c r="BY563" s="123"/>
      <c r="CA563" s="0" t="s">
        <v>216</v>
      </c>
      <c r="CD563" s="0" t="s">
        <v>256</v>
      </c>
      <c r="CE563" s="0" t="n">
        <v>0</v>
      </c>
      <c r="CF563" s="0" t="s">
        <v>5225</v>
      </c>
      <c r="CI563" s="1" t="n">
        <v>40000</v>
      </c>
      <c r="CJ563" s="1" t="n">
        <v>40855</v>
      </c>
      <c r="CK563" s="124" t="n">
        <v>0.25</v>
      </c>
      <c r="CL563" s="0" t="s">
        <v>5223</v>
      </c>
      <c r="CM563" s="0" t="n">
        <f aca="false">IF(OR(CI563="",CJ563=""),"",DAYS360(CI563,CJ563)/360)</f>
        <v>2.33888888888889</v>
      </c>
      <c r="CN563" s="0" t="n">
        <f aca="false">IF(OR(CI563="",CJ563=""),"",DAYS360(CI563,CJ563)/30)</f>
        <v>28.0666666666667</v>
      </c>
      <c r="CO563" s="0" t="n">
        <f aca="false">IF(OR(CI563="",CJ563=""),"",DAYS360(CI563,CJ563)/7)</f>
        <v>120.285714285714</v>
      </c>
      <c r="CP563" s="0" t="n">
        <f aca="false">IF(OR(CI563="",CJ563=""),"",DAYS360(CI563,CJ563))</f>
        <v>842</v>
      </c>
      <c r="CQ563" s="0" t="s">
        <v>240</v>
      </c>
      <c r="CR563" s="0" t="n">
        <v>1</v>
      </c>
      <c r="CT563" s="0" t="s">
        <v>221</v>
      </c>
      <c r="CU563" s="0" t="s">
        <v>221</v>
      </c>
      <c r="CV563" s="0" t="str">
        <f aca="false">IF(OR(CT563="",CT563="NO ESPECIFICA",CT563="NO MENCIONA"),"",IF(CU563=0,CT563,IF(CU563=1,CT563/30,IF(CU563=2,CT563/15,IF(CU563=3,CT563/7,"")))))</f>
        <v/>
      </c>
      <c r="CW563" s="125" t="n">
        <v>200</v>
      </c>
      <c r="CX563" s="0" t="n">
        <v>0</v>
      </c>
      <c r="CY563" s="0" t="n">
        <f aca="false">IF(CW563="","",IF(CX563=0,CW563,IF(CX563=1,CW563/30,IF(CX563=2,CW563/15,IF(CX563=3,CW563/7,CW563)))))</f>
        <v>200</v>
      </c>
      <c r="CZ563" s="0" t="n">
        <f aca="false">IF(DI563&gt;0,DI563,IF(CY563&gt;0,CY563,IF(CV563&gt;0,CV563,"")))</f>
        <v>200</v>
      </c>
      <c r="DA563" s="0" t="n">
        <f aca="false">IF(DM563=1,CZ563/8,IF(OR(DM563=2,DM563=4),CZ563/7,IF(DM563=3,CZ563/7.5,"")))</f>
        <v>25</v>
      </c>
      <c r="DB563" s="0" t="s">
        <v>216</v>
      </c>
      <c r="DC563" s="0" t="s">
        <v>216</v>
      </c>
      <c r="DD563" s="0" t="s">
        <v>216</v>
      </c>
      <c r="DE563" s="0" t="s">
        <v>216</v>
      </c>
      <c r="DF563" s="0" t="s">
        <v>216</v>
      </c>
      <c r="DG563" s="0" t="s">
        <v>216</v>
      </c>
      <c r="DH563" s="0" t="n">
        <v>0</v>
      </c>
      <c r="DI563" s="126" t="n">
        <v>200</v>
      </c>
      <c r="DK563" s="0" t="n">
        <v>0</v>
      </c>
      <c r="DM563" s="0" t="n">
        <v>1</v>
      </c>
      <c r="DN563" s="0" t="n">
        <v>72</v>
      </c>
      <c r="DO563" s="0" t="n">
        <v>3</v>
      </c>
      <c r="DP563" s="0" t="n">
        <v>0</v>
      </c>
      <c r="DQ563" s="0" t="n">
        <v>1</v>
      </c>
      <c r="DR563" s="0"/>
      <c r="DS563" s="0" t="n">
        <v>1</v>
      </c>
      <c r="DU563" s="0" t="n">
        <v>1</v>
      </c>
      <c r="DW563" s="1" t="n">
        <v>40365</v>
      </c>
      <c r="DX563" s="1" t="n">
        <v>40855</v>
      </c>
      <c r="DZ563" s="0"/>
      <c r="EA563" s="0" t="n">
        <v>1</v>
      </c>
      <c r="EC563" s="1" t="n">
        <v>40179</v>
      </c>
      <c r="ED563" s="1" t="n">
        <v>40855</v>
      </c>
      <c r="EF563" s="0"/>
      <c r="EG563" s="0" t="n">
        <v>1</v>
      </c>
      <c r="EH563" s="0" t="n">
        <v>12</v>
      </c>
      <c r="EI563" s="0" t="n">
        <f aca="false">IF(AND(DM563=1,DN563&lt;=48),"",IF(AND(DM563=2,DN563&lt;=42),"",IF(AND(DM563=3,DN563&lt;=45),"",EH563)))</f>
        <v>12</v>
      </c>
      <c r="EJ563" s="0" t="n">
        <f aca="false">IF(EI563="","",IF(EI563&lt;9,EI563,9))</f>
        <v>9</v>
      </c>
      <c r="EK563" s="0" t="n">
        <f aca="false">IF(EI563="","",IF(EI563&gt;9,EI563-EJ563,0))</f>
        <v>3</v>
      </c>
      <c r="EL563" s="0" t="n">
        <f aca="false">IF(EI563="","",EJ563*DA563*2+EK563*DA563*3)</f>
        <v>675</v>
      </c>
      <c r="EP563" s="0" t="n">
        <v>0</v>
      </c>
      <c r="EQ563" s="0"/>
      <c r="ER563" s="0" t="n">
        <v>0</v>
      </c>
      <c r="ET563" s="0" t="n">
        <v>0</v>
      </c>
      <c r="EV563" s="0" t="n">
        <v>0</v>
      </c>
      <c r="EX563" s="0" t="n">
        <v>1</v>
      </c>
      <c r="EY563" s="0" t="n">
        <v>1</v>
      </c>
      <c r="EZ563" s="0"/>
      <c r="FA563" s="4" t="n">
        <v>0</v>
      </c>
      <c r="FB563" s="0" t="n">
        <v>1</v>
      </c>
      <c r="FC563" s="1" t="n">
        <v>41050</v>
      </c>
      <c r="FD563" s="0" t="n">
        <v>1</v>
      </c>
      <c r="FE563" s="0" t="n">
        <v>8827</v>
      </c>
      <c r="FF563" s="120" t="n">
        <f aca="false">(CJ563-CI563+1)/365</f>
        <v>2.34520547945205</v>
      </c>
      <c r="FG563" s="0" t="str">
        <f aca="false">CONCATENATE(F563,"/",G563)</f>
        <v>1958/2011</v>
      </c>
      <c r="FH563" s="0" t="n">
        <v>1</v>
      </c>
      <c r="FI563" s="0" t="n">
        <f aca="false">IFERROR(IF((FC563-J563+1)/365&gt;3,0,1),"")</f>
        <v>1</v>
      </c>
    </row>
    <row r="564" customFormat="false" ht="15" hidden="false" customHeight="false" outlineLevel="0" collapsed="false">
      <c r="A564" s="5" t="str">
        <f aca="false">E564&amp;G564&amp;F564</f>
        <v>720111959</v>
      </c>
      <c r="B564" s="0" t="s">
        <v>3217</v>
      </c>
      <c r="C564" s="1" t="n">
        <v>42375</v>
      </c>
      <c r="D564" s="0" t="s">
        <v>3265</v>
      </c>
      <c r="E564" s="0" t="n">
        <v>7</v>
      </c>
      <c r="F564" s="0" t="n">
        <v>1959</v>
      </c>
      <c r="G564" s="0" t="n">
        <v>2011</v>
      </c>
      <c r="H564" s="0" t="str">
        <f aca="false">"J"&amp;E564&amp;"\"&amp;F564&amp;"\"&amp;G564&amp;"\"&amp;W564</f>
        <v>J7\1959\2011\1</v>
      </c>
      <c r="I564" s="0"/>
      <c r="J564" s="1" t="n">
        <v>40870</v>
      </c>
      <c r="K564" s="0" t="n">
        <v>0</v>
      </c>
      <c r="M564" s="1"/>
      <c r="N564" s="1"/>
      <c r="O564" s="1"/>
      <c r="P564" s="1"/>
      <c r="Q564" s="1"/>
      <c r="T564" s="121"/>
      <c r="U564" s="121"/>
      <c r="V564" s="122" t="n">
        <f aca="false">IF(AND(E564&gt;0,F564&gt;0,G564&gt;0),COUNTIFS($E:$E,E564,$F:$F,F564,$G:$G,G564),"")</f>
        <v>1</v>
      </c>
      <c r="W564" s="122" t="n">
        <f aca="false">IF(V564="","",IF(V564=1,1,IF(AND(E563=E564,F563=F564,G563=G564),W563+1,1)))</f>
        <v>1</v>
      </c>
      <c r="X564" s="0" t="n">
        <v>1</v>
      </c>
      <c r="Y564" s="0" t="n">
        <v>4</v>
      </c>
      <c r="Z564" s="0" t="s">
        <v>5226</v>
      </c>
      <c r="AA564" s="0" t="n">
        <v>0</v>
      </c>
      <c r="AB564" s="0" t="s">
        <v>2639</v>
      </c>
      <c r="AC564" s="0" t="s">
        <v>287</v>
      </c>
      <c r="AD564" s="0" t="s">
        <v>207</v>
      </c>
      <c r="AE564" s="0" t="n">
        <v>0</v>
      </c>
      <c r="AF564" s="0" t="s">
        <v>5227</v>
      </c>
      <c r="AG564" s="0" t="n">
        <v>0</v>
      </c>
      <c r="AH564" s="0" t="s">
        <v>5228</v>
      </c>
      <c r="AI564" s="0" t="s">
        <v>5229</v>
      </c>
      <c r="AJ564" s="0" t="s">
        <v>207</v>
      </c>
      <c r="AL564" s="0" t="s">
        <v>5230</v>
      </c>
      <c r="AM564" s="0" t="n">
        <v>0</v>
      </c>
      <c r="AN564" s="0" t="s">
        <v>5228</v>
      </c>
      <c r="AO564" s="0" t="s">
        <v>5229</v>
      </c>
      <c r="AP564" s="0" t="s">
        <v>207</v>
      </c>
      <c r="AR564" s="0" t="s">
        <v>5231</v>
      </c>
      <c r="AS564" s="0" t="n">
        <v>1</v>
      </c>
      <c r="AT564" s="0" t="s">
        <v>5228</v>
      </c>
      <c r="AU564" s="0" t="s">
        <v>5229</v>
      </c>
      <c r="AV564" s="0" t="s">
        <v>207</v>
      </c>
      <c r="AX564" s="0" t="s">
        <v>1880</v>
      </c>
      <c r="AY564" s="0" t="n">
        <v>1</v>
      </c>
      <c r="AZ564" s="0" t="s">
        <v>5228</v>
      </c>
      <c r="BA564" s="0" t="s">
        <v>5229</v>
      </c>
      <c r="BB564" s="0" t="s">
        <v>207</v>
      </c>
      <c r="BR564" s="0" t="n">
        <v>1</v>
      </c>
      <c r="BS564" s="0" t="s">
        <v>3066</v>
      </c>
      <c r="BT564" s="0" t="s">
        <v>3067</v>
      </c>
      <c r="BU564" s="0" t="s">
        <v>5232</v>
      </c>
      <c r="BV564" s="123"/>
      <c r="BW564" s="123"/>
      <c r="BX564" s="123"/>
      <c r="BY564" s="123"/>
      <c r="CA564" s="0" t="s">
        <v>5233</v>
      </c>
      <c r="CD564" s="0" t="s">
        <v>216</v>
      </c>
      <c r="CE564" s="0" t="n">
        <v>0</v>
      </c>
      <c r="CF564" s="0" t="s">
        <v>5234</v>
      </c>
      <c r="CI564" s="1" t="n">
        <v>40225</v>
      </c>
      <c r="CJ564" s="1" t="n">
        <v>40813</v>
      </c>
      <c r="CK564" s="124" t="n">
        <v>0.333333333333333</v>
      </c>
      <c r="CL564" s="0" t="s">
        <v>5231</v>
      </c>
      <c r="CM564" s="0" t="n">
        <f aca="false">IF(OR(CI564="",CJ564=""),"",DAYS360(CI564,CJ564)/360)</f>
        <v>1.61388888888889</v>
      </c>
      <c r="CN564" s="0" t="n">
        <f aca="false">IF(OR(CI564="",CJ564=""),"",DAYS360(CI564,CJ564)/30)</f>
        <v>19.3666666666667</v>
      </c>
      <c r="CO564" s="0" t="n">
        <f aca="false">IF(OR(CI564="",CJ564=""),"",DAYS360(CI564,CJ564)/7)</f>
        <v>83</v>
      </c>
      <c r="CP564" s="0" t="n">
        <f aca="false">IF(OR(CI564="",CJ564=""),"",DAYS360(CI564,CJ564))</f>
        <v>581</v>
      </c>
      <c r="CQ564" s="0" t="s">
        <v>240</v>
      </c>
      <c r="CR564" s="0" t="n">
        <v>1</v>
      </c>
      <c r="CT564" s="0" t="s">
        <v>221</v>
      </c>
      <c r="CU564" s="0" t="s">
        <v>221</v>
      </c>
      <c r="CV564" s="0" t="str">
        <f aca="false">IF(OR(CT564="",CT564="NO ESPECIFICA",CT564="NO MENCIONA"),"",IF(CU564=0,CT564,IF(CU564=1,CT564/30,IF(CU564=2,CT564/15,IF(CU564=3,CT564/7,"")))))</f>
        <v/>
      </c>
      <c r="CW564" s="125" t="n">
        <v>1600</v>
      </c>
      <c r="CX564" s="0" t="n">
        <v>0</v>
      </c>
      <c r="CY564" s="0" t="n">
        <f aca="false">IF(CW564="","",IF(CX564=0,CW564,IF(CX564=1,CW564/30,IF(CX564=2,CW564/15,IF(CX564=3,CW564/7,CW564)))))</f>
        <v>1600</v>
      </c>
      <c r="CZ564" s="0" t="n">
        <f aca="false">IF(DI564&gt;0,DI564,IF(CY564&gt;0,CY564,IF(CV564&gt;0,CV564,"")))</f>
        <v>1600</v>
      </c>
      <c r="DA564" s="0" t="n">
        <f aca="false">IF(DM564=1,CZ564/8,IF(OR(DM564=2,DM564=4),CZ564/7,IF(DM564=3,CZ564/7.5,"")))</f>
        <v>200</v>
      </c>
      <c r="DB564" s="0" t="s">
        <v>216</v>
      </c>
      <c r="DC564" s="0" t="s">
        <v>216</v>
      </c>
      <c r="DD564" s="0" t="s">
        <v>216</v>
      </c>
      <c r="DE564" s="0" t="s">
        <v>216</v>
      </c>
      <c r="DF564" s="0" t="s">
        <v>216</v>
      </c>
      <c r="DG564" s="0" t="s">
        <v>216</v>
      </c>
      <c r="DH564" s="0" t="n">
        <v>0</v>
      </c>
      <c r="DI564" s="126" t="n">
        <v>1600</v>
      </c>
      <c r="DK564" s="0" t="n">
        <v>0</v>
      </c>
      <c r="DM564" s="0" t="n">
        <v>1</v>
      </c>
      <c r="DN564" s="0" t="n">
        <v>66</v>
      </c>
      <c r="DO564" s="0" t="n">
        <v>3</v>
      </c>
      <c r="DP564" s="0" t="n">
        <v>0</v>
      </c>
      <c r="DQ564" s="0" t="n">
        <v>1</v>
      </c>
      <c r="DR564" s="0"/>
      <c r="DS564" s="0" t="n">
        <v>1</v>
      </c>
      <c r="DU564" s="0" t="n">
        <v>0</v>
      </c>
      <c r="DW564" s="1" t="n">
        <v>40225</v>
      </c>
      <c r="DX564" s="1" t="n">
        <v>40813</v>
      </c>
      <c r="DZ564" s="0"/>
      <c r="EA564" s="0" t="n">
        <v>1</v>
      </c>
      <c r="EC564" s="1" t="n">
        <v>40225</v>
      </c>
      <c r="ED564" s="1" t="n">
        <v>40813</v>
      </c>
      <c r="EF564" s="0"/>
      <c r="EG564" s="0" t="n">
        <v>1</v>
      </c>
      <c r="EH564" s="0" t="n">
        <v>18</v>
      </c>
      <c r="EI564" s="0" t="n">
        <f aca="false">IF(AND(DM564=1,DN564&lt;=48),"",IF(AND(DM564=2,DN564&lt;=42),"",IF(AND(DM564=3,DN564&lt;=45),"",EH564)))</f>
        <v>18</v>
      </c>
      <c r="EJ564" s="0" t="n">
        <f aca="false">IF(EI564="","",IF(EI564&lt;9,EI564,9))</f>
        <v>9</v>
      </c>
      <c r="EK564" s="0" t="n">
        <f aca="false">IF(EI564="","",IF(EI564&gt;9,EI564-EJ564,0))</f>
        <v>9</v>
      </c>
      <c r="EL564" s="0" t="n">
        <f aca="false">IF(EI564="","",EJ564*DA564*2+EK564*DA564*3)</f>
        <v>9000</v>
      </c>
      <c r="EP564" s="0" t="n">
        <v>0</v>
      </c>
      <c r="EQ564" s="0"/>
      <c r="ER564" s="0" t="n">
        <v>1</v>
      </c>
      <c r="ET564" s="0" t="n">
        <v>0</v>
      </c>
      <c r="EV564" s="0" t="n">
        <v>1</v>
      </c>
      <c r="EX564" s="0" t="n">
        <v>0</v>
      </c>
      <c r="EY564" s="0" t="n">
        <v>1</v>
      </c>
      <c r="EZ564" s="4" t="n">
        <v>15000</v>
      </c>
      <c r="FA564" s="4" t="n">
        <v>138120</v>
      </c>
      <c r="FB564" s="0" t="n">
        <v>1</v>
      </c>
      <c r="FC564" s="1" t="n">
        <v>42244</v>
      </c>
      <c r="FD564" s="0" t="n">
        <v>2</v>
      </c>
      <c r="FE564" s="0" t="n">
        <v>0</v>
      </c>
      <c r="FF564" s="120" t="n">
        <f aca="false">(CJ564-CI564+1)/365</f>
        <v>1.61369863013699</v>
      </c>
      <c r="FG564" s="0" t="str">
        <f aca="false">CONCATENATE(F564,"/",G564)</f>
        <v>1959/2011</v>
      </c>
      <c r="FH564" s="0" t="n">
        <v>1</v>
      </c>
      <c r="FI564" s="0" t="n">
        <f aca="false">IFERROR(IF((FC564-J564+1)/365&gt;3,0,1),"")</f>
        <v>0</v>
      </c>
    </row>
    <row r="565" customFormat="false" ht="15" hidden="false" customHeight="false" outlineLevel="0" collapsed="false">
      <c r="A565" s="5" t="str">
        <f aca="false">E565&amp;G565&amp;F565</f>
        <v>720111961</v>
      </c>
      <c r="B565" s="0" t="s">
        <v>3217</v>
      </c>
      <c r="C565" s="1" t="n">
        <v>42375</v>
      </c>
      <c r="D565" s="0" t="s">
        <v>3265</v>
      </c>
      <c r="E565" s="0" t="n">
        <v>7</v>
      </c>
      <c r="F565" s="0" t="n">
        <v>1961</v>
      </c>
      <c r="G565" s="0" t="n">
        <v>2011</v>
      </c>
      <c r="H565" s="0" t="str">
        <f aca="false">"J"&amp;E565&amp;"\"&amp;F565&amp;"\"&amp;G565&amp;"\"&amp;W565</f>
        <v>J7\1961\2011\1</v>
      </c>
      <c r="I565" s="0"/>
      <c r="J565" s="1" t="n">
        <v>40871</v>
      </c>
      <c r="K565" s="0" t="n">
        <v>0</v>
      </c>
      <c r="M565" s="1"/>
      <c r="N565" s="1"/>
      <c r="O565" s="1"/>
      <c r="P565" s="1"/>
      <c r="Q565" s="1"/>
      <c r="T565" s="121"/>
      <c r="U565" s="121"/>
      <c r="V565" s="122" t="n">
        <f aca="false">IF(AND(E565&gt;0,F565&gt;0,G565&gt;0),COUNTIFS($E:$E,E565,$F:$F,F565,$G:$G,G565),"")</f>
        <v>1</v>
      </c>
      <c r="W565" s="122" t="n">
        <f aca="false">IF(V565="","",IF(V565=1,1,IF(AND(E564=E565,F564=F565,G564=G565),W564+1,1)))</f>
        <v>1</v>
      </c>
      <c r="X565" s="0" t="n">
        <v>1</v>
      </c>
      <c r="Y565" s="0" t="n">
        <v>10</v>
      </c>
      <c r="Z565" s="0" t="s">
        <v>5235</v>
      </c>
      <c r="AA565" s="0" t="n">
        <v>0</v>
      </c>
      <c r="AB565" s="0" t="s">
        <v>1227</v>
      </c>
      <c r="AC565" s="0" t="s">
        <v>274</v>
      </c>
      <c r="AD565" s="0" t="s">
        <v>229</v>
      </c>
      <c r="AE565" s="0" t="n">
        <v>0</v>
      </c>
      <c r="AF565" s="0" t="s">
        <v>5236</v>
      </c>
      <c r="AG565" s="0" t="n">
        <v>0</v>
      </c>
      <c r="AH565" s="0" t="s">
        <v>5237</v>
      </c>
      <c r="AI565" s="0" t="s">
        <v>1838</v>
      </c>
      <c r="AJ565" s="0" t="s">
        <v>207</v>
      </c>
      <c r="AL565" s="0" t="s">
        <v>5238</v>
      </c>
      <c r="AM565" s="0" t="n">
        <v>0</v>
      </c>
      <c r="AN565" s="0" t="s">
        <v>5237</v>
      </c>
      <c r="AO565" s="0" t="s">
        <v>1838</v>
      </c>
      <c r="AP565" s="0" t="s">
        <v>207</v>
      </c>
      <c r="AR565" s="0" t="s">
        <v>5239</v>
      </c>
      <c r="AS565" s="0" t="n">
        <v>1</v>
      </c>
      <c r="AT565" s="0" t="s">
        <v>5237</v>
      </c>
      <c r="AU565" s="0" t="s">
        <v>1838</v>
      </c>
      <c r="AV565" s="0" t="s">
        <v>207</v>
      </c>
      <c r="AX565" s="0" t="s">
        <v>5240</v>
      </c>
      <c r="AY565" s="0" t="n">
        <v>1</v>
      </c>
      <c r="AZ565" s="0" t="s">
        <v>5237</v>
      </c>
      <c r="BA565" s="0" t="s">
        <v>1838</v>
      </c>
      <c r="BB565" s="0" t="s">
        <v>207</v>
      </c>
      <c r="BD565" s="0" t="s">
        <v>5241</v>
      </c>
      <c r="BE565" s="0" t="n">
        <v>1</v>
      </c>
      <c r="BF565" s="0" t="s">
        <v>5237</v>
      </c>
      <c r="BG565" s="0" t="s">
        <v>1838</v>
      </c>
      <c r="BH565" s="0" t="s">
        <v>207</v>
      </c>
      <c r="BJ565" s="0" t="s">
        <v>5242</v>
      </c>
      <c r="BK565" s="0" t="n">
        <v>1</v>
      </c>
      <c r="BL565" s="0" t="s">
        <v>5237</v>
      </c>
      <c r="BM565" s="0" t="s">
        <v>1838</v>
      </c>
      <c r="BN565" s="0" t="s">
        <v>207</v>
      </c>
      <c r="BR565" s="0" t="n">
        <v>1</v>
      </c>
      <c r="BS565" s="0" t="s">
        <v>1231</v>
      </c>
      <c r="BT565" s="0" t="s">
        <v>1232</v>
      </c>
      <c r="BU565" s="0" t="s">
        <v>1233</v>
      </c>
      <c r="BV565" s="123"/>
      <c r="BW565" s="123"/>
      <c r="BX565" s="123"/>
      <c r="BY565" s="123"/>
      <c r="CA565" s="0" t="s">
        <v>5243</v>
      </c>
      <c r="CD565" s="0" t="s">
        <v>296</v>
      </c>
      <c r="CE565" s="0" t="n">
        <v>0</v>
      </c>
      <c r="CF565" s="0" t="s">
        <v>5244</v>
      </c>
      <c r="CI565" s="1" t="n">
        <v>40381</v>
      </c>
      <c r="CJ565" s="1" t="n">
        <v>40863</v>
      </c>
      <c r="CK565" s="124" t="n">
        <v>0.416666666666667</v>
      </c>
      <c r="CL565" s="0" t="s">
        <v>5245</v>
      </c>
      <c r="CM565" s="0" t="n">
        <f aca="false">IF(OR(CI565="",CJ565=""),"",DAYS360(CI565,CJ565)/360)</f>
        <v>1.31666666666667</v>
      </c>
      <c r="CN565" s="0" t="n">
        <f aca="false">IF(OR(CI565="",CJ565=""),"",DAYS360(CI565,CJ565)/30)</f>
        <v>15.8</v>
      </c>
      <c r="CO565" s="0" t="n">
        <f aca="false">IF(OR(CI565="",CJ565=""),"",DAYS360(CI565,CJ565)/7)</f>
        <v>67.7142857142857</v>
      </c>
      <c r="CP565" s="0" t="n">
        <f aca="false">IF(OR(CI565="",CJ565=""),"",DAYS360(CI565,CJ565))</f>
        <v>474</v>
      </c>
      <c r="CQ565" s="0" t="s">
        <v>240</v>
      </c>
      <c r="CR565" s="0" t="n">
        <v>1</v>
      </c>
      <c r="CT565" s="0" t="s">
        <v>221</v>
      </c>
      <c r="CU565" s="0" t="s">
        <v>221</v>
      </c>
      <c r="CV565" s="0" t="str">
        <f aca="false">IF(OR(CT565="",CT565="NO ESPECIFICA",CT565="NO MENCIONA"),"",IF(CU565=0,CT565,IF(CU565=1,CT565/30,IF(CU565=2,CT565/15,IF(CU565=3,CT565/7,"")))))</f>
        <v/>
      </c>
      <c r="CW565" s="125" t="n">
        <v>400</v>
      </c>
      <c r="CX565" s="0" t="n">
        <v>0</v>
      </c>
      <c r="CY565" s="0" t="n">
        <f aca="false">IF(CW565="","",IF(CX565=0,CW565,IF(CX565=1,CW565/30,IF(CX565=2,CW565/15,IF(CX565=3,CW565/7,CW565)))))</f>
        <v>400</v>
      </c>
      <c r="CZ565" s="0" t="n">
        <f aca="false">IF(DI565&gt;0,DI565,IF(CY565&gt;0,CY565,IF(CV565&gt;0,CV565,"")))</f>
        <v>400</v>
      </c>
      <c r="DA565" s="0" t="n">
        <f aca="false">IF(DM565=1,CZ565/8,IF(OR(DM565=2,DM565=4),CZ565/7,IF(DM565=3,CZ565/7.5,"")))</f>
        <v>50</v>
      </c>
      <c r="DB565" s="0" t="s">
        <v>216</v>
      </c>
      <c r="DC565" s="0" t="s">
        <v>216</v>
      </c>
      <c r="DD565" s="0" t="s">
        <v>216</v>
      </c>
      <c r="DE565" s="0" t="s">
        <v>216</v>
      </c>
      <c r="DF565" s="0" t="s">
        <v>216</v>
      </c>
      <c r="DG565" s="0" t="s">
        <v>216</v>
      </c>
      <c r="DH565" s="0" t="n">
        <v>0</v>
      </c>
      <c r="DI565" s="126" t="n">
        <v>400</v>
      </c>
      <c r="DK565" s="0" t="n">
        <v>1</v>
      </c>
      <c r="DM565" s="0" t="n">
        <v>1</v>
      </c>
      <c r="DN565" s="0" t="n">
        <v>60</v>
      </c>
      <c r="DO565" s="0" t="n">
        <v>3</v>
      </c>
      <c r="DP565" s="0" t="n">
        <v>0</v>
      </c>
      <c r="DQ565" s="0" t="n">
        <v>1</v>
      </c>
      <c r="DR565" s="0" t="n">
        <v>36000</v>
      </c>
      <c r="DS565" s="0" t="n">
        <v>1</v>
      </c>
      <c r="DU565" s="0" t="n">
        <v>1</v>
      </c>
      <c r="DW565" s="1" t="n">
        <v>40381</v>
      </c>
      <c r="DX565" s="1" t="n">
        <v>40863</v>
      </c>
      <c r="DZ565" s="0"/>
      <c r="EA565" s="0" t="n">
        <v>1</v>
      </c>
      <c r="EC565" s="1" t="n">
        <v>40381</v>
      </c>
      <c r="ED565" s="1" t="n">
        <v>40863</v>
      </c>
      <c r="EF565" s="0"/>
      <c r="EG565" s="0" t="n">
        <v>1</v>
      </c>
      <c r="EH565" s="0" t="n">
        <v>12</v>
      </c>
      <c r="EI565" s="0" t="n">
        <f aca="false">IF(AND(DM565=1,DN565&lt;=48),"",IF(AND(DM565=2,DN565&lt;=42),"",IF(AND(DM565=3,DN565&lt;=45),"",EH565)))</f>
        <v>12</v>
      </c>
      <c r="EJ565" s="0" t="n">
        <f aca="false">IF(EI565="","",IF(EI565&lt;9,EI565,9))</f>
        <v>9</v>
      </c>
      <c r="EK565" s="0" t="n">
        <f aca="false">IF(EI565="","",IF(EI565&gt;9,EI565-EJ565,0))</f>
        <v>3</v>
      </c>
      <c r="EL565" s="0" t="n">
        <f aca="false">IF(EI565="","",EJ565*DA565*2+EK565*DA565*3)</f>
        <v>1350</v>
      </c>
      <c r="EN565" s="0" t="n">
        <v>70200</v>
      </c>
      <c r="EP565" s="0" t="n">
        <v>0</v>
      </c>
      <c r="EQ565" s="0"/>
      <c r="ER565" s="0" t="n">
        <v>0</v>
      </c>
      <c r="ET565" s="0" t="n">
        <v>0</v>
      </c>
      <c r="EV565" s="0" t="n">
        <v>0</v>
      </c>
      <c r="EX565" s="0" t="n">
        <v>1</v>
      </c>
      <c r="EY565" s="0" t="n">
        <v>0</v>
      </c>
      <c r="EZ565" s="0"/>
      <c r="FA565" s="4" t="n">
        <v>6000</v>
      </c>
      <c r="FB565" s="0" t="n">
        <v>0</v>
      </c>
      <c r="FC565" s="1" t="n">
        <v>41053</v>
      </c>
      <c r="FD565" s="0" t="n">
        <v>1</v>
      </c>
      <c r="FE565" s="0" t="n">
        <v>10500</v>
      </c>
      <c r="FF565" s="120" t="n">
        <f aca="false">(CJ565-CI565+1)/365</f>
        <v>1.32328767123288</v>
      </c>
      <c r="FG565" s="0" t="str">
        <f aca="false">CONCATENATE(F565,"/",G565)</f>
        <v>1961/2011</v>
      </c>
      <c r="FH565" s="0" t="n">
        <v>1</v>
      </c>
      <c r="FI565" s="0" t="n">
        <f aca="false">IFERROR(IF((FC565-J565+1)/365&gt;3,0,1),"")</f>
        <v>1</v>
      </c>
    </row>
    <row r="566" customFormat="false" ht="15" hidden="false" customHeight="false" outlineLevel="0" collapsed="false">
      <c r="A566" s="5" t="str">
        <f aca="false">E566&amp;G566&amp;F566</f>
        <v>720111971</v>
      </c>
      <c r="B566" s="0" t="s">
        <v>3217</v>
      </c>
      <c r="C566" s="1" t="n">
        <v>42376</v>
      </c>
      <c r="D566" s="0" t="s">
        <v>3265</v>
      </c>
      <c r="E566" s="0" t="n">
        <v>7</v>
      </c>
      <c r="F566" s="0" t="n">
        <v>1971</v>
      </c>
      <c r="G566" s="0" t="n">
        <v>2011</v>
      </c>
      <c r="H566" s="0" t="str">
        <f aca="false">"J"&amp;E566&amp;"\"&amp;F566&amp;"\"&amp;G566&amp;"\"&amp;W566</f>
        <v>J7\1971\2011\1</v>
      </c>
      <c r="I566" s="0"/>
      <c r="J566" s="1" t="n">
        <v>40872</v>
      </c>
      <c r="K566" s="0" t="n">
        <v>0</v>
      </c>
      <c r="M566" s="1"/>
      <c r="N566" s="1"/>
      <c r="O566" s="1"/>
      <c r="P566" s="1"/>
      <c r="Q566" s="1"/>
      <c r="T566" s="121"/>
      <c r="U566" s="121"/>
      <c r="V566" s="122" t="n">
        <f aca="false">IF(AND(E566&gt;0,F566&gt;0,G566&gt;0),COUNTIFS($E:$E,E566,$F:$F,F566,$G:$G,G566),"")</f>
        <v>1</v>
      </c>
      <c r="W566" s="122" t="n">
        <f aca="false">IF(V566="","",IF(V566=1,1,IF(AND(E565=E566,F565=F566,G565=G566),W565+1,1)))</f>
        <v>1</v>
      </c>
      <c r="X566" s="0" t="n">
        <v>1</v>
      </c>
      <c r="Y566" s="0" t="n">
        <v>5</v>
      </c>
      <c r="Z566" s="0" t="s">
        <v>5246</v>
      </c>
      <c r="AA566" s="0" t="n">
        <v>0</v>
      </c>
      <c r="AB566" s="0" t="s">
        <v>1264</v>
      </c>
      <c r="AC566" s="0" t="s">
        <v>1963</v>
      </c>
      <c r="AD566" s="0" t="s">
        <v>229</v>
      </c>
      <c r="AE566" s="0" t="n">
        <v>0</v>
      </c>
      <c r="AF566" s="0" t="s">
        <v>5247</v>
      </c>
      <c r="AG566" s="0" t="n">
        <v>0</v>
      </c>
      <c r="AH566" s="0" t="s">
        <v>5248</v>
      </c>
      <c r="AI566" s="0" t="s">
        <v>5249</v>
      </c>
      <c r="AJ566" s="0" t="s">
        <v>322</v>
      </c>
      <c r="AL566" s="0" t="s">
        <v>5250</v>
      </c>
      <c r="AM566" s="0" t="n">
        <v>1</v>
      </c>
      <c r="AN566" s="0" t="s">
        <v>5248</v>
      </c>
      <c r="AO566" s="0" t="s">
        <v>5249</v>
      </c>
      <c r="AP566" s="0" t="s">
        <v>322</v>
      </c>
      <c r="AR566" s="0" t="s">
        <v>5251</v>
      </c>
      <c r="AS566" s="0" t="n">
        <v>1</v>
      </c>
      <c r="AT566" s="0" t="s">
        <v>5248</v>
      </c>
      <c r="AU566" s="0" t="s">
        <v>5249</v>
      </c>
      <c r="AV566" s="0" t="s">
        <v>322</v>
      </c>
      <c r="AX566" s="0" t="s">
        <v>5252</v>
      </c>
      <c r="AY566" s="0" t="n">
        <v>1</v>
      </c>
      <c r="AZ566" s="0" t="s">
        <v>5248</v>
      </c>
      <c r="BA566" s="0" t="s">
        <v>5249</v>
      </c>
      <c r="BB566" s="0" t="s">
        <v>322</v>
      </c>
      <c r="BD566" s="0" t="s">
        <v>1880</v>
      </c>
      <c r="BE566" s="0" t="n">
        <v>1</v>
      </c>
      <c r="BF566" s="0" t="s">
        <v>5248</v>
      </c>
      <c r="BG566" s="0" t="s">
        <v>5249</v>
      </c>
      <c r="BH566" s="0" t="s">
        <v>322</v>
      </c>
      <c r="BR566" s="0" t="n">
        <v>1</v>
      </c>
      <c r="BS566" s="0" t="s">
        <v>5253</v>
      </c>
      <c r="BT566" s="0" t="s">
        <v>1271</v>
      </c>
      <c r="BU566" s="0" t="s">
        <v>1272</v>
      </c>
      <c r="BV566" s="123"/>
      <c r="BW566" s="123"/>
      <c r="BX566" s="123"/>
      <c r="BY566" s="123"/>
      <c r="CA566" s="0" t="s">
        <v>216</v>
      </c>
      <c r="CD566" s="0" t="s">
        <v>370</v>
      </c>
      <c r="CE566" s="0" t="n">
        <v>0</v>
      </c>
      <c r="CF566" s="0" t="s">
        <v>5254</v>
      </c>
      <c r="CI566" s="1" t="n">
        <v>40452</v>
      </c>
      <c r="CJ566" s="1" t="n">
        <v>40864</v>
      </c>
      <c r="CK566" s="124" t="n">
        <v>0.333333333333333</v>
      </c>
      <c r="CL566" s="0" t="s">
        <v>5250</v>
      </c>
      <c r="CM566" s="0" t="n">
        <f aca="false">IF(OR(CI566="",CJ566=""),"",DAYS360(CI566,CJ566)/360)</f>
        <v>1.12777777777778</v>
      </c>
      <c r="CN566" s="0" t="n">
        <f aca="false">IF(OR(CI566="",CJ566=""),"",DAYS360(CI566,CJ566)/30)</f>
        <v>13.5333333333333</v>
      </c>
      <c r="CO566" s="0" t="n">
        <f aca="false">IF(OR(CI566="",CJ566=""),"",DAYS360(CI566,CJ566)/7)</f>
        <v>58</v>
      </c>
      <c r="CP566" s="0" t="n">
        <f aca="false">IF(OR(CI566="",CJ566=""),"",DAYS360(CI566,CJ566))</f>
        <v>406</v>
      </c>
      <c r="CQ566" s="0" t="s">
        <v>240</v>
      </c>
      <c r="CR566" s="0" t="n">
        <v>1</v>
      </c>
      <c r="CT566" s="0" t="n">
        <v>2100</v>
      </c>
      <c r="CU566" s="0" t="n">
        <v>2</v>
      </c>
      <c r="CV566" s="0" t="n">
        <f aca="false">IF(OR(CT566="",CT566="NO ESPECIFICA",CT566="NO MENCIONA"),"",IF(CU566=0,CT566,IF(CU566=1,CT566/30,IF(CU566=2,CT566/15,IF(CU566=3,CT566/7,"")))))</f>
        <v>140</v>
      </c>
      <c r="CW566" s="125" t="n">
        <v>195.28</v>
      </c>
      <c r="CX566" s="0" t="n">
        <v>0</v>
      </c>
      <c r="CY566" s="0" t="n">
        <f aca="false">IF(CW566="","",IF(CX566=0,CW566,IF(CX566=1,CW566/30,IF(CX566=2,CW566/15,IF(CX566=3,CW566/7,CW566)))))</f>
        <v>195.28</v>
      </c>
      <c r="CZ566" s="0" t="n">
        <f aca="false">IF(DI566&gt;0,DI566,IF(CY566&gt;0,CY566,IF(CV566&gt;0,CV566,"")))</f>
        <v>195.28</v>
      </c>
      <c r="DA566" s="0" t="n">
        <f aca="false">IF(DM566=1,CZ566/8,IF(OR(DM566=2,DM566=4),CZ566/7,IF(DM566=3,CZ566/7.5,"")))</f>
        <v>24.41</v>
      </c>
      <c r="DB566" s="0" t="s">
        <v>301</v>
      </c>
      <c r="DC566" s="0" t="s">
        <v>302</v>
      </c>
      <c r="DD566" s="0" t="s">
        <v>303</v>
      </c>
      <c r="DE566" s="0" t="s">
        <v>259</v>
      </c>
      <c r="DF566" s="0" t="s">
        <v>299</v>
      </c>
      <c r="DG566" s="0" t="s">
        <v>216</v>
      </c>
      <c r="DH566" s="0" t="n">
        <v>0</v>
      </c>
      <c r="DI566" s="126" t="n">
        <v>195.28</v>
      </c>
      <c r="DK566" s="0" t="n">
        <v>0</v>
      </c>
      <c r="DM566" s="0" t="n">
        <v>1</v>
      </c>
      <c r="DN566" s="0" t="n">
        <v>66</v>
      </c>
      <c r="DO566" s="0" t="n">
        <v>3</v>
      </c>
      <c r="DP566" s="0" t="n">
        <v>0</v>
      </c>
      <c r="DQ566" s="0" t="n">
        <v>1</v>
      </c>
      <c r="DR566" s="0"/>
      <c r="DS566" s="0" t="n">
        <v>1</v>
      </c>
      <c r="DU566" s="0" t="n">
        <v>1</v>
      </c>
      <c r="DW566" s="1" t="n">
        <v>40452</v>
      </c>
      <c r="DX566" s="1" t="n">
        <v>40864</v>
      </c>
      <c r="DZ566" s="0"/>
      <c r="EA566" s="0" t="n">
        <v>1</v>
      </c>
      <c r="EC566" s="1" t="n">
        <v>40452</v>
      </c>
      <c r="ED566" s="1" t="n">
        <v>40864</v>
      </c>
      <c r="EF566" s="0"/>
      <c r="EG566" s="0" t="n">
        <v>1</v>
      </c>
      <c r="EH566" s="0" t="n">
        <v>18</v>
      </c>
      <c r="EI566" s="0" t="n">
        <f aca="false">IF(AND(DM566=1,DN566&lt;=48),"",IF(AND(DM566=2,DN566&lt;=42),"",IF(AND(DM566=3,DN566&lt;=45),"",EH566)))</f>
        <v>18</v>
      </c>
      <c r="EJ566" s="0" t="n">
        <f aca="false">IF(EI566="","",IF(EI566&lt;9,EI566,9))</f>
        <v>9</v>
      </c>
      <c r="EK566" s="0" t="n">
        <f aca="false">IF(EI566="","",IF(EI566&gt;9,EI566-EJ566,0))</f>
        <v>9</v>
      </c>
      <c r="EL566" s="0" t="n">
        <f aca="false">IF(EI566="","",EJ566*DA566*2+EK566*DA566*3)</f>
        <v>1098.45</v>
      </c>
      <c r="EP566" s="0" t="n">
        <v>0</v>
      </c>
      <c r="EQ566" s="0"/>
      <c r="ER566" s="0" t="n">
        <v>0</v>
      </c>
      <c r="ET566" s="0" t="n">
        <v>1</v>
      </c>
      <c r="EV566" s="0" t="n">
        <v>1</v>
      </c>
      <c r="EX566" s="0" t="n">
        <v>1</v>
      </c>
      <c r="EY566" s="0" t="n">
        <v>0</v>
      </c>
      <c r="EZ566" s="0"/>
      <c r="FA566" s="4" t="n">
        <v>5858.4</v>
      </c>
      <c r="FB566" s="0" t="n">
        <v>0</v>
      </c>
      <c r="FC566" s="1" t="n">
        <v>41348</v>
      </c>
      <c r="FD566" s="0" t="n">
        <v>1</v>
      </c>
      <c r="FE566" s="0" t="n">
        <v>5000</v>
      </c>
      <c r="FF566" s="120" t="n">
        <f aca="false">(CJ566-CI566+1)/365</f>
        <v>1.13150684931507</v>
      </c>
      <c r="FG566" s="0" t="str">
        <f aca="false">CONCATENATE(F566,"/",G566)</f>
        <v>1971/2011</v>
      </c>
      <c r="FH566" s="0" t="n">
        <v>1</v>
      </c>
      <c r="FI566" s="0" t="n">
        <f aca="false">IFERROR(IF((FC566-J566+1)/365&gt;3,0,1),"")</f>
        <v>1</v>
      </c>
    </row>
    <row r="567" customFormat="false" ht="15" hidden="false" customHeight="false" outlineLevel="0" collapsed="false">
      <c r="A567" s="5" t="str">
        <f aca="false">E567&amp;G567&amp;F567</f>
        <v>720111974</v>
      </c>
      <c r="B567" s="0" t="s">
        <v>3217</v>
      </c>
      <c r="C567" s="1" t="n">
        <v>42376</v>
      </c>
      <c r="D567" s="0" t="s">
        <v>3265</v>
      </c>
      <c r="E567" s="0" t="n">
        <v>7</v>
      </c>
      <c r="F567" s="0" t="n">
        <v>1974</v>
      </c>
      <c r="G567" s="0" t="n">
        <v>2011</v>
      </c>
      <c r="H567" s="0" t="str">
        <f aca="false">"J"&amp;E567&amp;"\"&amp;F567&amp;"\"&amp;G567&amp;"\"&amp;W567</f>
        <v>J7\1974\2011\1</v>
      </c>
      <c r="I567" s="0"/>
      <c r="J567" s="1" t="n">
        <v>40872</v>
      </c>
      <c r="K567" s="0" t="n">
        <v>0</v>
      </c>
      <c r="M567" s="1"/>
      <c r="N567" s="1"/>
      <c r="O567" s="1"/>
      <c r="P567" s="1"/>
      <c r="Q567" s="1"/>
      <c r="T567" s="121"/>
      <c r="U567" s="121"/>
      <c r="V567" s="122" t="n">
        <f aca="false">IF(AND(E567&gt;0,F567&gt;0,G567&gt;0),COUNTIFS($E:$E,E567,$F:$F,F567,$G:$G,G567),"")</f>
        <v>1</v>
      </c>
      <c r="W567" s="122" t="n">
        <f aca="false">IF(V567="","",IF(V567=1,1,IF(AND(E566=E567,F566=F567,G566=G567),W566+1,1)))</f>
        <v>1</v>
      </c>
      <c r="X567" s="0" t="n">
        <v>1</v>
      </c>
      <c r="Y567" s="0" t="n">
        <v>2</v>
      </c>
      <c r="Z567" s="0" t="s">
        <v>5255</v>
      </c>
      <c r="AA567" s="0" t="n">
        <v>0</v>
      </c>
      <c r="AB567" s="0" t="s">
        <v>273</v>
      </c>
      <c r="AC567" s="0" t="s">
        <v>274</v>
      </c>
      <c r="AD567" s="0" t="s">
        <v>221</v>
      </c>
      <c r="AE567" s="0" t="n">
        <v>0</v>
      </c>
      <c r="AF567" s="0" t="s">
        <v>5256</v>
      </c>
      <c r="AG567" s="0" t="n">
        <v>0</v>
      </c>
      <c r="AH567" s="0" t="s">
        <v>5257</v>
      </c>
      <c r="AI567" s="0" t="s">
        <v>5258</v>
      </c>
      <c r="AJ567" s="0" t="s">
        <v>590</v>
      </c>
      <c r="AL567" s="0" t="s">
        <v>1931</v>
      </c>
      <c r="AM567" s="0" t="n">
        <v>1</v>
      </c>
      <c r="AN567" s="0" t="s">
        <v>5257</v>
      </c>
      <c r="AO567" s="0" t="s">
        <v>5258</v>
      </c>
      <c r="AP567" s="0" t="s">
        <v>590</v>
      </c>
      <c r="BR567" s="0" t="n">
        <v>1</v>
      </c>
      <c r="BS567" s="0" t="s">
        <v>415</v>
      </c>
      <c r="BT567" s="0" t="s">
        <v>280</v>
      </c>
      <c r="BU567" s="0" t="s">
        <v>281</v>
      </c>
      <c r="BV567" s="123"/>
      <c r="BW567" s="123"/>
      <c r="BX567" s="123"/>
      <c r="BY567" s="123"/>
      <c r="CA567" s="0" t="s">
        <v>282</v>
      </c>
      <c r="CD567" s="0" t="s">
        <v>1308</v>
      </c>
      <c r="CE567" s="0" t="n">
        <v>0</v>
      </c>
      <c r="CF567" s="0" t="s">
        <v>5259</v>
      </c>
      <c r="CI567" s="1" t="n">
        <v>40437</v>
      </c>
      <c r="CJ567" s="1" t="n">
        <v>40869</v>
      </c>
      <c r="CK567" s="124" t="n">
        <v>0.375</v>
      </c>
      <c r="CL567" s="0" t="s">
        <v>5260</v>
      </c>
      <c r="CM567" s="0" t="n">
        <f aca="false">IF(OR(CI567="",CJ567=""),"",DAYS360(CI567,CJ567)/360)</f>
        <v>1.18333333333333</v>
      </c>
      <c r="CN567" s="0" t="n">
        <f aca="false">IF(OR(CI567="",CJ567=""),"",DAYS360(CI567,CJ567)/30)</f>
        <v>14.2</v>
      </c>
      <c r="CO567" s="0" t="n">
        <f aca="false">IF(OR(CI567="",CJ567=""),"",DAYS360(CI567,CJ567)/7)</f>
        <v>60.8571428571429</v>
      </c>
      <c r="CP567" s="0" t="n">
        <f aca="false">IF(OR(CI567="",CJ567=""),"",DAYS360(CI567,CJ567))</f>
        <v>426</v>
      </c>
      <c r="CQ567" s="0" t="s">
        <v>240</v>
      </c>
      <c r="CR567" s="0" t="n">
        <v>1</v>
      </c>
      <c r="CT567" s="0" t="s">
        <v>221</v>
      </c>
      <c r="CU567" s="0" t="s">
        <v>221</v>
      </c>
      <c r="CV567" s="0" t="str">
        <f aca="false">IF(OR(CT567="",CT567="NO ESPECIFICA",CT567="NO MENCIONA"),"",IF(CU567=0,CT567,IF(CU567=1,CT567/30,IF(CU567=2,CT567/15,IF(CU567=3,CT567/7,"")))))</f>
        <v/>
      </c>
      <c r="CW567" s="125" t="n">
        <v>4000</v>
      </c>
      <c r="CX567" s="0" t="n">
        <v>3</v>
      </c>
      <c r="CY567" s="0" t="n">
        <f aca="false">IF(CW567="","",IF(CX567=0,CW567,IF(CX567=1,CW567/30,IF(CX567=2,CW567/15,IF(CX567=3,CW567/7,CW567)))))</f>
        <v>571.428571428571</v>
      </c>
      <c r="CZ567" s="0" t="n">
        <f aca="false">IF(DI567&gt;0,DI567,IF(CY567&gt;0,CY567,IF(CV567&gt;0,CV567,"")))</f>
        <v>571.42</v>
      </c>
      <c r="DA567" s="0" t="n">
        <f aca="false">IF(DM567=1,CZ567/8,IF(OR(DM567=2,DM567=4),CZ567/7,IF(DM567=3,CZ567/7.5,"")))</f>
        <v>71.4275</v>
      </c>
      <c r="DB567" s="0" t="s">
        <v>216</v>
      </c>
      <c r="DC567" s="0" t="s">
        <v>216</v>
      </c>
      <c r="DD567" s="0" t="s">
        <v>216</v>
      </c>
      <c r="DE567" s="0" t="s">
        <v>216</v>
      </c>
      <c r="DF567" s="0" t="s">
        <v>216</v>
      </c>
      <c r="DG567" s="0" t="s">
        <v>216</v>
      </c>
      <c r="DH567" s="0" t="n">
        <v>0</v>
      </c>
      <c r="DI567" s="126" t="n">
        <v>571.42</v>
      </c>
      <c r="DK567" s="0" t="n">
        <v>0</v>
      </c>
      <c r="DM567" s="0" t="n">
        <v>1</v>
      </c>
      <c r="DN567" s="0" t="n">
        <v>84</v>
      </c>
      <c r="DO567" s="0" t="n">
        <v>3</v>
      </c>
      <c r="DP567" s="0" t="n">
        <v>0</v>
      </c>
      <c r="DQ567" s="0" t="n">
        <v>1</v>
      </c>
      <c r="DR567" s="0"/>
      <c r="DS567" s="0" t="n">
        <v>1</v>
      </c>
      <c r="DU567" s="0" t="n">
        <v>1</v>
      </c>
      <c r="DW567" s="1" t="n">
        <v>40437</v>
      </c>
      <c r="DX567" s="1" t="n">
        <v>40869</v>
      </c>
      <c r="DZ567" s="0"/>
      <c r="EA567" s="0" t="n">
        <v>1</v>
      </c>
      <c r="EC567" s="1" t="n">
        <v>40437</v>
      </c>
      <c r="ED567" s="1" t="n">
        <v>40869</v>
      </c>
      <c r="EF567" s="0"/>
      <c r="EG567" s="0" t="n">
        <v>1</v>
      </c>
      <c r="EH567" s="0" t="n">
        <v>28</v>
      </c>
      <c r="EI567" s="0" t="n">
        <f aca="false">IF(AND(DM567=1,DN567&lt;=48),"",IF(AND(DM567=2,DN567&lt;=42),"",IF(AND(DM567=3,DN567&lt;=45),"",EH567)))</f>
        <v>28</v>
      </c>
      <c r="EJ567" s="0" t="n">
        <f aca="false">IF(EI567="","",IF(EI567&lt;9,EI567,9))</f>
        <v>9</v>
      </c>
      <c r="EK567" s="0" t="n">
        <f aca="false">IF(EI567="","",IF(EI567&gt;9,EI567-EJ567,0))</f>
        <v>19</v>
      </c>
      <c r="EL567" s="0" t="n">
        <f aca="false">IF(EI567="","",EJ567*DA567*2+EK567*DA567*3)</f>
        <v>5357.0625</v>
      </c>
      <c r="EP567" s="0" t="n">
        <v>0</v>
      </c>
      <c r="EQ567" s="0"/>
      <c r="ER567" s="0" t="n">
        <v>0</v>
      </c>
      <c r="ET567" s="0" t="n">
        <v>0</v>
      </c>
      <c r="EV567" s="0" t="n">
        <v>0</v>
      </c>
      <c r="EX567" s="0" t="n">
        <v>0</v>
      </c>
      <c r="EY567" s="0" t="n">
        <v>0</v>
      </c>
      <c r="EZ567" s="0"/>
      <c r="FA567" s="4" t="n">
        <v>13147.3</v>
      </c>
      <c r="FB567" s="0" t="n">
        <v>0</v>
      </c>
      <c r="FC567" s="1" t="n">
        <v>41697</v>
      </c>
      <c r="FD567" s="0" t="n">
        <v>3</v>
      </c>
      <c r="FE567" s="0" t="n">
        <v>0</v>
      </c>
      <c r="FF567" s="120" t="n">
        <f aca="false">(CJ567-CI567+1)/365</f>
        <v>1.18630136986301</v>
      </c>
      <c r="FG567" s="0" t="str">
        <f aca="false">CONCATENATE(F567,"/",G567)</f>
        <v>1974/2011</v>
      </c>
      <c r="FH567" s="0" t="n">
        <v>1</v>
      </c>
      <c r="FI567" s="0" t="n">
        <f aca="false">IFERROR(IF((FC567-J567+1)/365&gt;3,0,1),"")</f>
        <v>1</v>
      </c>
    </row>
    <row r="568" customFormat="false" ht="15" hidden="false" customHeight="false" outlineLevel="0" collapsed="false">
      <c r="A568" s="5" t="str">
        <f aca="false">E568&amp;G568&amp;F568</f>
        <v>720111976</v>
      </c>
      <c r="B568" s="0" t="s">
        <v>3217</v>
      </c>
      <c r="C568" s="1" t="n">
        <v>42377</v>
      </c>
      <c r="E568" s="0" t="n">
        <v>7</v>
      </c>
      <c r="F568" s="0" t="n">
        <v>1976</v>
      </c>
      <c r="G568" s="0" t="n">
        <v>2011</v>
      </c>
      <c r="H568" s="0" t="str">
        <f aca="false">"J"&amp;E568&amp;"\"&amp;F568&amp;"\"&amp;G568&amp;"\"&amp;W568</f>
        <v>J7\1976\2011\1</v>
      </c>
      <c r="I568" s="0"/>
      <c r="J568" s="1" t="n">
        <v>40872</v>
      </c>
      <c r="K568" s="0" t="n">
        <v>0</v>
      </c>
      <c r="M568" s="1" t="n">
        <v>40872</v>
      </c>
      <c r="N568" s="1" t="n">
        <v>40942</v>
      </c>
      <c r="O568" s="1"/>
      <c r="P568" s="1"/>
      <c r="Q568" s="1"/>
      <c r="T568" s="121"/>
      <c r="U568" s="121"/>
      <c r="V568" s="122" t="n">
        <f aca="false">IF(AND(E568&gt;0,F568&gt;0,G568&gt;0),COUNTIFS($E:$E,E568,$F:$F,F568,$G:$G,G568),"")</f>
        <v>1</v>
      </c>
      <c r="W568" s="122" t="n">
        <f aca="false">IF(V568="","",IF(V568=1,1,IF(AND(E567=E568,F567=F568,G567=G568),W567+1,1)))</f>
        <v>1</v>
      </c>
      <c r="X568" s="0" t="n">
        <v>1</v>
      </c>
      <c r="Y568" s="0" t="n">
        <v>2</v>
      </c>
      <c r="Z568" s="0" t="s">
        <v>5261</v>
      </c>
      <c r="AA568" s="0" t="n">
        <v>0</v>
      </c>
      <c r="AB568" s="0" t="s">
        <v>2941</v>
      </c>
      <c r="AC568" s="0" t="s">
        <v>228</v>
      </c>
      <c r="AD568" s="0" t="s">
        <v>229</v>
      </c>
      <c r="AE568" s="0" t="n">
        <v>0</v>
      </c>
      <c r="AF568" s="0" t="s">
        <v>5262</v>
      </c>
      <c r="AG568" s="0" t="n">
        <v>0</v>
      </c>
      <c r="AH568" s="0" t="s">
        <v>5263</v>
      </c>
      <c r="AI568" s="0" t="s">
        <v>2640</v>
      </c>
      <c r="AJ568" s="0" t="s">
        <v>207</v>
      </c>
      <c r="AL568" s="0" t="s">
        <v>1931</v>
      </c>
      <c r="AM568" s="0" t="n">
        <v>1</v>
      </c>
      <c r="AN568" s="0" t="s">
        <v>5263</v>
      </c>
      <c r="AO568" s="0" t="s">
        <v>2640</v>
      </c>
      <c r="AP568" s="0" t="s">
        <v>207</v>
      </c>
      <c r="BR568" s="0" t="n">
        <v>3</v>
      </c>
      <c r="BS568" s="0" t="s">
        <v>499</v>
      </c>
      <c r="BT568" s="0" t="s">
        <v>1818</v>
      </c>
      <c r="BU568" s="0" t="s">
        <v>1841</v>
      </c>
      <c r="BV568" s="123"/>
      <c r="BW568" s="123"/>
      <c r="BX568" s="123"/>
      <c r="BY568" s="123"/>
      <c r="CA568" s="0" t="s">
        <v>348</v>
      </c>
      <c r="CD568" s="0" t="s">
        <v>296</v>
      </c>
      <c r="CE568" s="0" t="n">
        <v>0</v>
      </c>
      <c r="CF568" s="0" t="s">
        <v>5264</v>
      </c>
      <c r="CI568" s="1" t="n">
        <v>40618</v>
      </c>
      <c r="CJ568" s="1" t="n">
        <v>40816</v>
      </c>
      <c r="CK568" s="124" t="n">
        <v>0.708333333333333</v>
      </c>
      <c r="CL568" s="0" t="s">
        <v>5265</v>
      </c>
      <c r="CM568" s="0" t="n">
        <f aca="false">IF(OR(CI568="",CJ568=""),"",DAYS360(CI568,CJ568)/360)</f>
        <v>0.538888888888889</v>
      </c>
      <c r="CN568" s="0" t="n">
        <f aca="false">IF(OR(CI568="",CJ568=""),"",DAYS360(CI568,CJ568)/30)</f>
        <v>6.46666666666667</v>
      </c>
      <c r="CO568" s="0" t="n">
        <f aca="false">IF(OR(CI568="",CJ568=""),"",DAYS360(CI568,CJ568)/7)</f>
        <v>27.7142857142857</v>
      </c>
      <c r="CP568" s="0" t="n">
        <f aca="false">IF(OR(CI568="",CJ568=""),"",DAYS360(CI568,CJ568))</f>
        <v>194</v>
      </c>
      <c r="CQ568" s="0" t="s">
        <v>240</v>
      </c>
      <c r="CR568" s="0" t="n">
        <v>1</v>
      </c>
      <c r="CT568" s="0" t="n">
        <v>270</v>
      </c>
      <c r="CU568" s="0" t="n">
        <v>0</v>
      </c>
      <c r="CV568" s="0" t="n">
        <f aca="false">IF(OR(CT568="",CT568="NO ESPECIFICA",CT568="NO MENCIONA"),"",IF(CU568=0,CT568,IF(CU568=1,CT568/30,IF(CU568=2,CT568/15,IF(CU568=3,CT568/7,"")))))</f>
        <v>270</v>
      </c>
      <c r="CW568" s="125" t="n">
        <v>282.2</v>
      </c>
      <c r="CX568" s="0" t="n">
        <v>0</v>
      </c>
      <c r="CY568" s="0" t="n">
        <f aca="false">IF(CW568="","",IF(CX568=0,CW568,IF(CX568=1,CW568/30,IF(CX568=2,CW568/15,IF(CX568=3,CW568/7,CW568)))))</f>
        <v>282.2</v>
      </c>
      <c r="CZ568" s="0" t="n">
        <f aca="false">IF(DI568&gt;0,DI568,IF(CY568&gt;0,CY568,IF(CV568&gt;0,CV568,"")))</f>
        <v>282.2</v>
      </c>
      <c r="DA568" s="0" t="n">
        <f aca="false">IF(DM568=1,CZ568/8,IF(OR(DM568=2,DM568=4),CZ568/7,IF(DM568=3,CZ568/7.5,"")))</f>
        <v>35.275</v>
      </c>
      <c r="DB568" s="0" t="s">
        <v>303</v>
      </c>
      <c r="DC568" s="0" t="s">
        <v>301</v>
      </c>
      <c r="DD568" s="0" t="s">
        <v>216</v>
      </c>
      <c r="DE568" s="0" t="s">
        <v>216</v>
      </c>
      <c r="DF568" s="0" t="s">
        <v>216</v>
      </c>
      <c r="DG568" s="0" t="s">
        <v>216</v>
      </c>
      <c r="DH568" s="0" t="n">
        <v>0</v>
      </c>
      <c r="DI568" s="126" t="n">
        <v>282.2</v>
      </c>
      <c r="DK568" s="0" t="n">
        <v>0</v>
      </c>
      <c r="DM568" s="0" t="n">
        <v>1</v>
      </c>
      <c r="DN568" s="0" t="n">
        <v>54</v>
      </c>
      <c r="DO568" s="0" t="n">
        <v>3</v>
      </c>
      <c r="DP568" s="0" t="n">
        <v>0</v>
      </c>
      <c r="DQ568" s="0" t="n">
        <v>1</v>
      </c>
      <c r="DR568" s="0"/>
      <c r="DS568" s="0" t="n">
        <v>1</v>
      </c>
      <c r="DU568" s="0" t="n">
        <v>1</v>
      </c>
      <c r="DW568" s="1" t="n">
        <v>40618</v>
      </c>
      <c r="DX568" s="1" t="n">
        <v>40816</v>
      </c>
      <c r="DZ568" s="0"/>
      <c r="EA568" s="0" t="n">
        <v>1</v>
      </c>
      <c r="EC568" s="1" t="n">
        <v>40618</v>
      </c>
      <c r="ED568" s="1" t="n">
        <v>40816</v>
      </c>
      <c r="EF568" s="0"/>
      <c r="EG568" s="0" t="n">
        <v>0</v>
      </c>
      <c r="EI568" s="0" t="n">
        <f aca="false">IF(AND(DM568=1,DN568&lt;=48),"",IF(AND(DM568=2,DN568&lt;=42),"",IF(AND(DM568=3,DN568&lt;=45),"",EH568)))</f>
        <v>0</v>
      </c>
      <c r="EJ568" s="0" t="str">
        <f aca="false">IF(EI568="","",IF(EI568&lt;9,EI568,9))</f>
        <v/>
      </c>
      <c r="EK568" s="0" t="str">
        <f aca="false">IF(EI568="","",IF(EI568&gt;9,EI568-EJ568,0))</f>
        <v/>
      </c>
      <c r="EL568" s="0" t="str">
        <f aca="false">IF(EI568="","",EJ568*DA568*2+EK568*DA568*3)</f>
        <v/>
      </c>
      <c r="EP568" s="0" t="n">
        <v>0</v>
      </c>
      <c r="EQ568" s="0"/>
      <c r="ER568" s="0" t="n">
        <v>0</v>
      </c>
      <c r="ET568" s="0" t="n">
        <v>0</v>
      </c>
      <c r="EV568" s="0" t="n">
        <v>0</v>
      </c>
      <c r="EX568" s="0" t="n">
        <v>0</v>
      </c>
      <c r="EY568" s="0" t="n">
        <v>0</v>
      </c>
      <c r="EZ568" s="0"/>
      <c r="FA568" s="4" t="n">
        <v>0</v>
      </c>
      <c r="FB568" s="0" t="n">
        <v>0</v>
      </c>
      <c r="FC568" s="1" t="n">
        <v>42195</v>
      </c>
      <c r="FD568" s="0" t="n">
        <v>2</v>
      </c>
      <c r="FE568" s="0" t="n">
        <v>0</v>
      </c>
      <c r="FF568" s="120" t="n">
        <f aca="false">(CJ568-CI568+1)/365</f>
        <v>0.545205479452055</v>
      </c>
      <c r="FG568" s="0" t="str">
        <f aca="false">CONCATENATE(F568,"/",G568)</f>
        <v>1976/2011</v>
      </c>
      <c r="FH568" s="0" t="n">
        <v>1</v>
      </c>
      <c r="FI568" s="0" t="n">
        <f aca="false">IFERROR(IF((FC568-J568+1)/365&gt;3,0,1),"")</f>
        <v>0</v>
      </c>
    </row>
    <row r="569" customFormat="false" ht="15" hidden="false" customHeight="false" outlineLevel="0" collapsed="false">
      <c r="A569" s="5" t="str">
        <f aca="false">E569&amp;G569&amp;F569</f>
        <v>720111980</v>
      </c>
      <c r="B569" s="0" t="s">
        <v>3217</v>
      </c>
      <c r="C569" s="1" t="n">
        <v>42377</v>
      </c>
      <c r="E569" s="0" t="n">
        <v>7</v>
      </c>
      <c r="F569" s="0" t="n">
        <v>1980</v>
      </c>
      <c r="G569" s="0" t="n">
        <v>2011</v>
      </c>
      <c r="H569" s="0" t="str">
        <f aca="false">"J"&amp;E569&amp;"\"&amp;F569&amp;"\"&amp;G569&amp;"\"&amp;W569</f>
        <v>J7\1980\2011\1</v>
      </c>
      <c r="I569" s="0"/>
      <c r="J569" s="1" t="n">
        <v>40875</v>
      </c>
      <c r="K569" s="0" t="n">
        <v>0</v>
      </c>
      <c r="M569" s="1" t="n">
        <v>40875</v>
      </c>
      <c r="N569" s="1" t="n">
        <v>40942</v>
      </c>
      <c r="O569" s="1"/>
      <c r="P569" s="1"/>
      <c r="Q569" s="1"/>
      <c r="T569" s="121"/>
      <c r="U569" s="121"/>
      <c r="V569" s="122" t="n">
        <f aca="false">IF(AND(E569&gt;0,F569&gt;0,G569&gt;0),COUNTIFS($E:$E,E569,$F:$F,F569,$G:$G,G569),"")</f>
        <v>1</v>
      </c>
      <c r="W569" s="122" t="n">
        <f aca="false">IF(V569="","",IF(V569=1,1,IF(AND(E568=E569,F568=F569,G568=G569),W568+1,1)))</f>
        <v>1</v>
      </c>
      <c r="X569" s="0" t="n">
        <v>1</v>
      </c>
      <c r="Y569" s="0" t="n">
        <v>7</v>
      </c>
      <c r="Z569" s="0" t="s">
        <v>5266</v>
      </c>
      <c r="AA569" s="0" t="n">
        <v>0</v>
      </c>
      <c r="AB569" s="0" t="s">
        <v>5267</v>
      </c>
      <c r="AC569" s="0" t="s">
        <v>5268</v>
      </c>
      <c r="AD569" s="0" t="s">
        <v>485</v>
      </c>
      <c r="AE569" s="0" t="n">
        <v>0</v>
      </c>
      <c r="AF569" s="0" t="s">
        <v>5269</v>
      </c>
      <c r="AG569" s="0" t="n">
        <v>1</v>
      </c>
      <c r="AH569" s="0" t="s">
        <v>5270</v>
      </c>
      <c r="AI569" s="0" t="s">
        <v>5271</v>
      </c>
      <c r="AJ569" s="0" t="s">
        <v>590</v>
      </c>
      <c r="AL569" s="0" t="s">
        <v>5272</v>
      </c>
      <c r="AM569" s="0" t="n">
        <v>1</v>
      </c>
      <c r="AN569" s="0" t="s">
        <v>5270</v>
      </c>
      <c r="AO569" s="0" t="s">
        <v>5271</v>
      </c>
      <c r="AP569" s="0" t="s">
        <v>590</v>
      </c>
      <c r="AR569" s="0" t="s">
        <v>1931</v>
      </c>
      <c r="AS569" s="0" t="n">
        <v>1</v>
      </c>
      <c r="AT569" s="0" t="s">
        <v>5270</v>
      </c>
      <c r="AU569" s="0" t="s">
        <v>5271</v>
      </c>
      <c r="AV569" s="0" t="s">
        <v>590</v>
      </c>
      <c r="AX569" s="0" t="s">
        <v>249</v>
      </c>
      <c r="AY569" s="0" t="n">
        <v>0</v>
      </c>
      <c r="AZ569" s="0" t="s">
        <v>5273</v>
      </c>
      <c r="BA569" s="0" t="s">
        <v>251</v>
      </c>
      <c r="BB569" s="0" t="s">
        <v>229</v>
      </c>
      <c r="BD569" s="0" t="s">
        <v>412</v>
      </c>
      <c r="BE569" s="0" t="n">
        <v>0</v>
      </c>
      <c r="BF569" s="0" t="s">
        <v>437</v>
      </c>
      <c r="BG569" s="0" t="s">
        <v>438</v>
      </c>
      <c r="BH569" s="0" t="s">
        <v>352</v>
      </c>
      <c r="BJ569" s="0" t="s">
        <v>5274</v>
      </c>
      <c r="BK569" s="0" t="n">
        <v>0</v>
      </c>
      <c r="BL569" s="0" t="s">
        <v>5275</v>
      </c>
      <c r="BM569" s="0" t="s">
        <v>4367</v>
      </c>
      <c r="BN569" s="0" t="s">
        <v>659</v>
      </c>
      <c r="BR569" s="0" t="n">
        <v>1</v>
      </c>
      <c r="BS569" s="0" t="s">
        <v>5276</v>
      </c>
      <c r="BT569" s="0" t="s">
        <v>5277</v>
      </c>
      <c r="BU569" s="0" t="s">
        <v>5278</v>
      </c>
      <c r="BV569" s="123"/>
      <c r="BW569" s="123"/>
      <c r="BX569" s="123"/>
      <c r="BY569" s="123"/>
      <c r="CA569" s="0" t="s">
        <v>216</v>
      </c>
      <c r="CD569" s="0" t="s">
        <v>502</v>
      </c>
      <c r="CE569" s="0" t="n">
        <v>0</v>
      </c>
      <c r="CF569" s="0" t="s">
        <v>503</v>
      </c>
      <c r="CI569" s="1" t="n">
        <v>35169</v>
      </c>
      <c r="CJ569" s="1" t="n">
        <v>40871</v>
      </c>
      <c r="CK569" s="124" t="n">
        <v>0.708333333333333</v>
      </c>
      <c r="CL569" s="0" t="s">
        <v>5272</v>
      </c>
      <c r="CM569" s="0" t="n">
        <f aca="false">IF(OR(CI569="",CJ569=""),"",DAYS360(CI569,CJ569)/360)</f>
        <v>15.6111111111111</v>
      </c>
      <c r="CN569" s="0" t="n">
        <f aca="false">IF(OR(CI569="",CJ569=""),"",DAYS360(CI569,CJ569)/30)</f>
        <v>187.333333333333</v>
      </c>
      <c r="CO569" s="0" t="n">
        <f aca="false">IF(OR(CI569="",CJ569=""),"",DAYS360(CI569,CJ569)/7)</f>
        <v>802.857142857143</v>
      </c>
      <c r="CP569" s="0" t="n">
        <f aca="false">IF(OR(CI569="",CJ569=""),"",DAYS360(CI569,CJ569))</f>
        <v>5620</v>
      </c>
      <c r="CQ569" s="0" t="s">
        <v>220</v>
      </c>
      <c r="CR569" s="0" t="n">
        <v>1</v>
      </c>
      <c r="CT569" s="0" t="n">
        <v>300</v>
      </c>
      <c r="CU569" s="0" t="n">
        <v>0</v>
      </c>
      <c r="CV569" s="0" t="n">
        <f aca="false">IF(OR(CT569="",CT569="NO ESPECIFICA",CT569="NO MENCIONA"),"",IF(CU569=0,CT569,IF(CU569=1,CT569/30,IF(CU569=2,CT569/15,IF(CU569=3,CT569/7,"")))))</f>
        <v>300</v>
      </c>
      <c r="CW569" s="125" t="n">
        <v>440</v>
      </c>
      <c r="CX569" s="0" t="n">
        <v>0</v>
      </c>
      <c r="CY569" s="0" t="n">
        <f aca="false">IF(CW569="","",IF(CX569=0,CW569,IF(CX569=1,CW569/30,IF(CX569=2,CW569/15,IF(CX569=3,CW569/7,CW569)))))</f>
        <v>440</v>
      </c>
      <c r="CZ569" s="0" t="n">
        <f aca="false">IF(DI569&gt;0,DI569,IF(CY569&gt;0,CY569,IF(CV569&gt;0,CV569,"")))</f>
        <v>440</v>
      </c>
      <c r="DA569" s="0" t="n">
        <f aca="false">IF(DM569=1,CZ569/8,IF(OR(DM569=2,DM569=4),CZ569/7,IF(DM569=3,CZ569/7.5,"")))</f>
        <v>55</v>
      </c>
      <c r="DB569" s="0" t="s">
        <v>2315</v>
      </c>
      <c r="DC569" s="0" t="s">
        <v>216</v>
      </c>
      <c r="DD569" s="0" t="s">
        <v>216</v>
      </c>
      <c r="DE569" s="0" t="s">
        <v>216</v>
      </c>
      <c r="DF569" s="0" t="s">
        <v>216</v>
      </c>
      <c r="DG569" s="0" t="s">
        <v>216</v>
      </c>
      <c r="DH569" s="0" t="n">
        <v>0</v>
      </c>
      <c r="DI569" s="126" t="n">
        <v>440</v>
      </c>
      <c r="DK569" s="0" t="n">
        <v>0</v>
      </c>
      <c r="DM569" s="0" t="n">
        <v>1</v>
      </c>
      <c r="DN569" s="0" t="n">
        <v>96</v>
      </c>
      <c r="DO569" s="0" t="n">
        <v>3</v>
      </c>
      <c r="DP569" s="0" t="n">
        <v>1</v>
      </c>
      <c r="DQ569" s="0" t="n">
        <v>1</v>
      </c>
      <c r="DR569" s="0"/>
      <c r="DS569" s="0" t="n">
        <v>1</v>
      </c>
      <c r="DU569" s="0" t="n">
        <v>1</v>
      </c>
      <c r="DW569" s="1" t="n">
        <v>35169</v>
      </c>
      <c r="DX569" s="1" t="n">
        <v>40871</v>
      </c>
      <c r="DZ569" s="0"/>
      <c r="EA569" s="0" t="n">
        <v>1</v>
      </c>
      <c r="EC569" s="1" t="n">
        <v>35169</v>
      </c>
      <c r="ED569" s="1" t="n">
        <v>40871</v>
      </c>
      <c r="EF569" s="0"/>
      <c r="EG569" s="0" t="n">
        <v>1</v>
      </c>
      <c r="EH569" s="0" t="n">
        <v>48</v>
      </c>
      <c r="EI569" s="0" t="n">
        <f aca="false">IF(AND(DM569=1,DN569&lt;=48),"",IF(AND(DM569=2,DN569&lt;=42),"",IF(AND(DM569=3,DN569&lt;=45),"",EH569)))</f>
        <v>48</v>
      </c>
      <c r="EJ569" s="0" t="n">
        <f aca="false">IF(EI569="","",IF(EI569&lt;9,EI569,9))</f>
        <v>9</v>
      </c>
      <c r="EK569" s="0" t="n">
        <f aca="false">IF(EI569="","",IF(EI569&gt;9,EI569-EJ569,0))</f>
        <v>39</v>
      </c>
      <c r="EL569" s="0" t="n">
        <f aca="false">IF(EI569="","",EJ569*DA569*2+EK569*DA569*3)</f>
        <v>7425</v>
      </c>
      <c r="EP569" s="0" t="n">
        <v>1</v>
      </c>
      <c r="EQ569" s="0"/>
      <c r="ER569" s="0" t="n">
        <v>0</v>
      </c>
      <c r="ET569" s="0" t="n">
        <v>0</v>
      </c>
      <c r="EV569" s="0" t="n">
        <v>1</v>
      </c>
      <c r="EX569" s="0" t="n">
        <v>1</v>
      </c>
      <c r="EY569" s="0" t="n">
        <v>1</v>
      </c>
      <c r="EZ569" s="4" t="n">
        <v>5000</v>
      </c>
      <c r="FA569" s="4" t="n">
        <v>4820</v>
      </c>
      <c r="FB569" s="0" t="n">
        <v>1</v>
      </c>
      <c r="FC569" s="1" t="n">
        <v>41148</v>
      </c>
      <c r="FD569" s="0" t="n">
        <v>2</v>
      </c>
      <c r="FE569" s="0" t="n">
        <v>0</v>
      </c>
      <c r="FF569" s="120" t="n">
        <f aca="false">(CJ569-CI569+1)/365</f>
        <v>15.6246575342466</v>
      </c>
      <c r="FG569" s="0" t="str">
        <f aca="false">CONCATENATE(F569,"/",G569)</f>
        <v>1980/2011</v>
      </c>
      <c r="FH569" s="0" t="n">
        <v>1</v>
      </c>
      <c r="FI569" s="0" t="n">
        <f aca="false">IFERROR(IF((FC569-J569+1)/365&gt;3,0,1),"")</f>
        <v>1</v>
      </c>
    </row>
    <row r="570" customFormat="false" ht="15" hidden="false" customHeight="false" outlineLevel="0" collapsed="false">
      <c r="A570" s="5" t="str">
        <f aca="false">E570&amp;G570&amp;F570</f>
        <v>720111983</v>
      </c>
      <c r="B570" s="0" t="s">
        <v>3217</v>
      </c>
      <c r="C570" s="1" t="n">
        <v>42377</v>
      </c>
      <c r="D570" s="0" t="s">
        <v>3265</v>
      </c>
      <c r="E570" s="0" t="n">
        <v>7</v>
      </c>
      <c r="F570" s="0" t="n">
        <v>1983</v>
      </c>
      <c r="G570" s="0" t="n">
        <v>2011</v>
      </c>
      <c r="H570" s="0" t="str">
        <f aca="false">"J"&amp;E570&amp;"\"&amp;F570&amp;"\"&amp;G570&amp;"\"&amp;W570</f>
        <v>J7\1983\2011\1</v>
      </c>
      <c r="I570" s="0"/>
      <c r="J570" s="1" t="n">
        <v>40875</v>
      </c>
      <c r="K570" s="0" t="n">
        <v>0</v>
      </c>
      <c r="M570" s="1"/>
      <c r="N570" s="1"/>
      <c r="O570" s="1"/>
      <c r="P570" s="1"/>
      <c r="Q570" s="1"/>
      <c r="T570" s="121"/>
      <c r="U570" s="121"/>
      <c r="V570" s="122" t="n">
        <f aca="false">IF(AND(E570&gt;0,F570&gt;0,G570&gt;0),COUNTIFS($E:$E,E570,$F:$F,F570,$G:$G,G570),"")</f>
        <v>1</v>
      </c>
      <c r="W570" s="122" t="n">
        <f aca="false">IF(V570="","",IF(V570=1,1,IF(AND(E569=E570,F569=F570,G569=G570),W569+1,1)))</f>
        <v>1</v>
      </c>
      <c r="X570" s="0" t="n">
        <v>1</v>
      </c>
      <c r="Y570" s="0" t="n">
        <v>3</v>
      </c>
      <c r="Z570" s="0" t="s">
        <v>5279</v>
      </c>
      <c r="AA570" s="0" t="n">
        <v>0</v>
      </c>
      <c r="AB570" s="0" t="s">
        <v>5280</v>
      </c>
      <c r="AC570" s="0" t="s">
        <v>5281</v>
      </c>
      <c r="AD570" s="0" t="s">
        <v>755</v>
      </c>
      <c r="AE570" s="0" t="n">
        <v>0</v>
      </c>
      <c r="AF570" s="0" t="s">
        <v>5282</v>
      </c>
      <c r="AG570" s="0" t="n">
        <v>0</v>
      </c>
      <c r="AH570" s="0" t="s">
        <v>5283</v>
      </c>
      <c r="AI570" s="0" t="s">
        <v>3703</v>
      </c>
      <c r="AJ570" s="0" t="s">
        <v>590</v>
      </c>
      <c r="AL570" s="0" t="s">
        <v>5284</v>
      </c>
      <c r="AM570" s="0" t="n">
        <v>1</v>
      </c>
      <c r="AN570" s="0" t="s">
        <v>5283</v>
      </c>
      <c r="AO570" s="0" t="s">
        <v>3703</v>
      </c>
      <c r="AP570" s="0" t="s">
        <v>590</v>
      </c>
      <c r="AR570" s="0" t="s">
        <v>1931</v>
      </c>
      <c r="AS570" s="0" t="n">
        <v>1</v>
      </c>
      <c r="AT570" s="0" t="s">
        <v>5283</v>
      </c>
      <c r="AU570" s="0" t="s">
        <v>3703</v>
      </c>
      <c r="AV570" s="0" t="s">
        <v>590</v>
      </c>
      <c r="BR570" s="0" t="n">
        <v>1</v>
      </c>
      <c r="BS570" s="0" t="s">
        <v>5285</v>
      </c>
      <c r="BT570" s="0" t="s">
        <v>5286</v>
      </c>
      <c r="BU570" s="0" t="s">
        <v>5287</v>
      </c>
      <c r="BV570" s="123"/>
      <c r="BW570" s="123"/>
      <c r="BX570" s="123"/>
      <c r="BY570" s="123"/>
      <c r="CA570" s="0" t="s">
        <v>216</v>
      </c>
      <c r="CD570" s="0" t="s">
        <v>296</v>
      </c>
      <c r="CE570" s="0" t="n">
        <v>0</v>
      </c>
      <c r="CF570" s="0" t="s">
        <v>5288</v>
      </c>
      <c r="CI570" s="1" t="n">
        <v>40553</v>
      </c>
      <c r="CJ570" s="1" t="n">
        <v>40814</v>
      </c>
      <c r="CK570" s="124" t="n">
        <v>0.291666666666667</v>
      </c>
      <c r="CL570" s="0" t="s">
        <v>5284</v>
      </c>
      <c r="CM570" s="0" t="n">
        <f aca="false">IF(OR(CI570="",CJ570=""),"",DAYS360(CI570,CJ570)/360)</f>
        <v>0.716666666666667</v>
      </c>
      <c r="CN570" s="0" t="n">
        <f aca="false">IF(OR(CI570="",CJ570=""),"",DAYS360(CI570,CJ570)/30)</f>
        <v>8.6</v>
      </c>
      <c r="CO570" s="0" t="n">
        <f aca="false">IF(OR(CI570="",CJ570=""),"",DAYS360(CI570,CJ570)/7)</f>
        <v>36.8571428571429</v>
      </c>
      <c r="CP570" s="0" t="n">
        <f aca="false">IF(OR(CI570="",CJ570=""),"",DAYS360(CI570,CJ570))</f>
        <v>258</v>
      </c>
      <c r="CQ570" s="0" t="s">
        <v>240</v>
      </c>
      <c r="CR570" s="0" t="n">
        <v>1</v>
      </c>
      <c r="CT570" s="0" t="n">
        <v>93.44</v>
      </c>
      <c r="CU570" s="0" t="n">
        <v>0</v>
      </c>
      <c r="CV570" s="0" t="n">
        <f aca="false">IF(OR(CT570="",CT570="NO ESPECIFICA",CT570="NO MENCIONA"),"",IF(CU570=0,CT570,IF(CU570=1,CT570/30,IF(CU570=2,CT570/15,IF(CU570=3,CT570/7,"")))))</f>
        <v>93.44</v>
      </c>
      <c r="CW570" s="125" t="n">
        <v>153.44</v>
      </c>
      <c r="CX570" s="0" t="n">
        <v>0</v>
      </c>
      <c r="CY570" s="0" t="n">
        <f aca="false">IF(CW570="","",IF(CX570=0,CW570,IF(CX570=1,CW570/30,IF(CX570=2,CW570/15,IF(CX570=3,CW570/7,CW570)))))</f>
        <v>153.44</v>
      </c>
      <c r="CZ570" s="0" t="n">
        <f aca="false">IF(DI570&gt;0,DI570,IF(CY570&gt;0,CY570,IF(CV570&gt;0,CV570,"")))</f>
        <v>153.44</v>
      </c>
      <c r="DA570" s="0" t="n">
        <f aca="false">IF(DM570=1,CZ570/8,IF(OR(DM570=2,DM570=4),CZ570/7,IF(DM570=3,CZ570/7.5,"")))</f>
        <v>19.18</v>
      </c>
      <c r="DB570" s="0" t="s">
        <v>216</v>
      </c>
      <c r="DC570" s="0" t="s">
        <v>216</v>
      </c>
      <c r="DD570" s="0" t="s">
        <v>216</v>
      </c>
      <c r="DE570" s="0" t="s">
        <v>216</v>
      </c>
      <c r="DF570" s="0" t="s">
        <v>216</v>
      </c>
      <c r="DG570" s="0" t="s">
        <v>216</v>
      </c>
      <c r="DH570" s="0" t="n">
        <v>0</v>
      </c>
      <c r="DI570" s="126" t="n">
        <v>153.44</v>
      </c>
      <c r="DK570" s="0" t="n">
        <v>0</v>
      </c>
      <c r="DM570" s="0" t="n">
        <v>1</v>
      </c>
      <c r="DN570" s="0" t="n">
        <v>60</v>
      </c>
      <c r="DO570" s="0" t="n">
        <v>3</v>
      </c>
      <c r="DP570" s="0" t="n">
        <v>0</v>
      </c>
      <c r="DQ570" s="0" t="n">
        <v>1</v>
      </c>
      <c r="DR570" s="0"/>
      <c r="DS570" s="0" t="n">
        <v>1</v>
      </c>
      <c r="DU570" s="0" t="n">
        <v>1</v>
      </c>
      <c r="DW570" s="1" t="n">
        <v>40553</v>
      </c>
      <c r="DX570" s="1" t="n">
        <v>40814</v>
      </c>
      <c r="DZ570" s="0"/>
      <c r="EA570" s="0" t="n">
        <v>1</v>
      </c>
      <c r="EC570" s="1" t="n">
        <v>40553</v>
      </c>
      <c r="ED570" s="1" t="n">
        <v>40814</v>
      </c>
      <c r="EF570" s="0"/>
      <c r="EG570" s="0" t="n">
        <v>1</v>
      </c>
      <c r="EH570" s="0" t="n">
        <v>6</v>
      </c>
      <c r="EI570" s="0" t="n">
        <f aca="false">IF(AND(DM570=1,DN570&lt;=48),"",IF(AND(DM570=2,DN570&lt;=42),"",IF(AND(DM570=3,DN570&lt;=45),"",EH570)))</f>
        <v>6</v>
      </c>
      <c r="EJ570" s="0" t="n">
        <f aca="false">IF(EI570="","",IF(EI570&lt;9,EI570,9))</f>
        <v>6</v>
      </c>
      <c r="EK570" s="0" t="n">
        <f aca="false">IF(EI570="","",IF(EI570&gt;9,EI570-EJ570,0))</f>
        <v>0</v>
      </c>
      <c r="EL570" s="0" t="n">
        <f aca="false">IF(EI570="","",EJ570*DA570*2+EK570*DA570*3)</f>
        <v>230.16</v>
      </c>
      <c r="EP570" s="0" t="n">
        <v>0</v>
      </c>
      <c r="EQ570" s="0"/>
      <c r="ER570" s="0" t="n">
        <v>0</v>
      </c>
      <c r="ET570" s="0" t="n">
        <v>0</v>
      </c>
      <c r="EV570" s="0" t="n">
        <v>0</v>
      </c>
      <c r="EX570" s="0" t="n">
        <v>1</v>
      </c>
      <c r="EY570" s="0" t="n">
        <v>1</v>
      </c>
      <c r="EZ570" s="0"/>
      <c r="FA570" s="4" t="n">
        <v>1841.28</v>
      </c>
      <c r="FB570" s="0" t="n">
        <v>1</v>
      </c>
      <c r="FC570" s="1" t="n">
        <v>41101</v>
      </c>
      <c r="FD570" s="0" t="n">
        <v>1</v>
      </c>
      <c r="FE570" s="0" t="n">
        <v>4000</v>
      </c>
      <c r="FF570" s="120" t="n">
        <f aca="false">(CJ570-CI570+1)/365</f>
        <v>0.717808219178082</v>
      </c>
      <c r="FG570" s="0" t="str">
        <f aca="false">CONCATENATE(F570,"/",G570)</f>
        <v>1983/2011</v>
      </c>
      <c r="FH570" s="0" t="n">
        <v>1</v>
      </c>
      <c r="FI570" s="0" t="n">
        <f aca="false">IFERROR(IF((FC570-J570+1)/365&gt;3,0,1),"")</f>
        <v>1</v>
      </c>
    </row>
    <row r="571" customFormat="false" ht="15" hidden="false" customHeight="false" outlineLevel="0" collapsed="false">
      <c r="A571" s="5" t="str">
        <f aca="false">E571&amp;G571&amp;F571</f>
        <v>720111992</v>
      </c>
      <c r="B571" s="0" t="s">
        <v>3217</v>
      </c>
      <c r="C571" s="1" t="n">
        <v>42379</v>
      </c>
      <c r="E571" s="0" t="n">
        <v>7</v>
      </c>
      <c r="F571" s="0" t="n">
        <v>1992</v>
      </c>
      <c r="G571" s="0" t="n">
        <v>2011</v>
      </c>
      <c r="H571" s="0" t="str">
        <f aca="false">"J"&amp;E571&amp;"\"&amp;F571&amp;"\"&amp;G571&amp;"\"&amp;W571</f>
        <v>J7\1992\2011\1</v>
      </c>
      <c r="I571" s="0"/>
      <c r="J571" s="1" t="n">
        <v>40876</v>
      </c>
      <c r="K571" s="0" t="n">
        <v>0</v>
      </c>
      <c r="M571" s="1" t="n">
        <v>40876</v>
      </c>
      <c r="N571" s="1" t="n">
        <v>40942</v>
      </c>
      <c r="O571" s="1"/>
      <c r="P571" s="1"/>
      <c r="Q571" s="1"/>
      <c r="T571" s="121"/>
      <c r="U571" s="121"/>
      <c r="V571" s="122" t="n">
        <f aca="false">IF(AND(E571&gt;0,F571&gt;0,G571&gt;0),COUNTIFS($E:$E,E571,$F:$F,F571,$G:$G,G571),"")</f>
        <v>3</v>
      </c>
      <c r="W571" s="122" t="n">
        <f aca="false">IF(V571="","",IF(V571=1,1,IF(AND(E570=E571,F570=F571,G570=G571),W570+1,1)))</f>
        <v>1</v>
      </c>
      <c r="X571" s="0" t="n">
        <v>3</v>
      </c>
      <c r="Y571" s="0" t="n">
        <v>3</v>
      </c>
      <c r="Z571" s="0" t="s">
        <v>5289</v>
      </c>
      <c r="AA571" s="0" t="n">
        <v>0</v>
      </c>
      <c r="AB571" s="0" t="s">
        <v>5290</v>
      </c>
      <c r="AC571" s="0" t="s">
        <v>1757</v>
      </c>
      <c r="AD571" s="0" t="s">
        <v>411</v>
      </c>
      <c r="AE571" s="0" t="n">
        <v>0</v>
      </c>
      <c r="AF571" s="0" t="s">
        <v>5291</v>
      </c>
      <c r="AG571" s="0" t="n">
        <v>0</v>
      </c>
      <c r="AH571" s="0" t="s">
        <v>5292</v>
      </c>
      <c r="AI571" s="0" t="s">
        <v>3510</v>
      </c>
      <c r="AJ571" s="0" t="s">
        <v>3511</v>
      </c>
      <c r="AL571" s="0" t="s">
        <v>5293</v>
      </c>
      <c r="AM571" s="0" t="n">
        <v>1</v>
      </c>
      <c r="AN571" s="0" t="s">
        <v>5292</v>
      </c>
      <c r="AO571" s="0" t="s">
        <v>3510</v>
      </c>
      <c r="AP571" s="0" t="s">
        <v>3511</v>
      </c>
      <c r="AR571" s="0" t="s">
        <v>1931</v>
      </c>
      <c r="AS571" s="0" t="n">
        <v>1</v>
      </c>
      <c r="AT571" s="0" t="s">
        <v>5292</v>
      </c>
      <c r="AU571" s="0" t="s">
        <v>3510</v>
      </c>
      <c r="AV571" s="0" t="s">
        <v>3511</v>
      </c>
      <c r="BR571" s="0" t="n">
        <v>1</v>
      </c>
      <c r="BS571" s="0" t="s">
        <v>5294</v>
      </c>
      <c r="BT571" s="0" t="s">
        <v>5295</v>
      </c>
      <c r="BU571" s="0" t="s">
        <v>5296</v>
      </c>
      <c r="BV571" s="123"/>
      <c r="BW571" s="123"/>
      <c r="BX571" s="123"/>
      <c r="BY571" s="123"/>
      <c r="CA571" s="0" t="s">
        <v>5297</v>
      </c>
      <c r="CD571" s="0" t="s">
        <v>256</v>
      </c>
      <c r="CE571" s="0" t="n">
        <v>0</v>
      </c>
      <c r="CF571" s="0" t="s">
        <v>611</v>
      </c>
      <c r="CI571" s="1" t="n">
        <v>40630</v>
      </c>
      <c r="CJ571" s="1" t="n">
        <v>40872</v>
      </c>
      <c r="CK571" s="124" t="n">
        <v>0.333333333333333</v>
      </c>
      <c r="CL571" s="0" t="s">
        <v>5293</v>
      </c>
      <c r="CM571" s="0" t="n">
        <f aca="false">IF(OR(CI571="",CJ571=""),"",DAYS360(CI571,CJ571)/360)</f>
        <v>0.658333333333333</v>
      </c>
      <c r="CN571" s="0" t="n">
        <f aca="false">IF(OR(CI571="",CJ571=""),"",DAYS360(CI571,CJ571)/30)</f>
        <v>7.9</v>
      </c>
      <c r="CO571" s="0" t="n">
        <f aca="false">IF(OR(CI571="",CJ571=""),"",DAYS360(CI571,CJ571)/7)</f>
        <v>33.8571428571429</v>
      </c>
      <c r="CP571" s="0" t="n">
        <f aca="false">IF(OR(CI571="",CJ571=""),"",DAYS360(CI571,CJ571))</f>
        <v>237</v>
      </c>
      <c r="CQ571" s="0" t="s">
        <v>240</v>
      </c>
      <c r="CR571" s="0" t="n">
        <v>1</v>
      </c>
      <c r="CT571" s="0" t="n">
        <v>250</v>
      </c>
      <c r="CU571" s="0" t="n">
        <v>0</v>
      </c>
      <c r="CV571" s="0" t="n">
        <f aca="false">IF(OR(CT571="",CT571="NO ESPECIFICA",CT571="NO MENCIONA"),"",IF(CU571=0,CT571,IF(CU571=1,CT571/30,IF(CU571=2,CT571/15,IF(CU571=3,CT571/7,"")))))</f>
        <v>250</v>
      </c>
      <c r="CW571" s="125" t="n">
        <v>301.35</v>
      </c>
      <c r="CX571" s="0" t="n">
        <v>0</v>
      </c>
      <c r="CY571" s="0" t="n">
        <f aca="false">IF(CW571="","",IF(CX571=0,CW571,IF(CX571=1,CW571/30,IF(CX571=2,CW571/15,IF(CX571=3,CW571/7,CW571)))))</f>
        <v>301.35</v>
      </c>
      <c r="CZ571" s="0" t="n">
        <f aca="false">IF(DI571&gt;0,DI571,IF(CY571&gt;0,CY571,IF(CV571&gt;0,CV571,"")))</f>
        <v>301.35</v>
      </c>
      <c r="DA571" s="0" t="n">
        <f aca="false">IF(DM571=1,CZ571/8,IF(OR(DM571=2,DM571=4),CZ571/7,IF(DM571=3,CZ571/7.5,"")))</f>
        <v>37.66875</v>
      </c>
      <c r="DB571" s="0" t="s">
        <v>302</v>
      </c>
      <c r="DC571" s="0" t="s">
        <v>303</v>
      </c>
      <c r="DD571" s="0" t="s">
        <v>301</v>
      </c>
      <c r="DE571" s="0" t="s">
        <v>216</v>
      </c>
      <c r="DF571" s="0" t="s">
        <v>216</v>
      </c>
      <c r="DG571" s="0" t="s">
        <v>216</v>
      </c>
      <c r="DH571" s="0" t="n">
        <v>0</v>
      </c>
      <c r="DI571" s="126" t="n">
        <v>301.35</v>
      </c>
      <c r="DK571" s="0" t="n">
        <v>0</v>
      </c>
      <c r="DM571" s="0" t="n">
        <v>1</v>
      </c>
      <c r="DN571" s="0" t="n">
        <v>72</v>
      </c>
      <c r="DO571" s="0" t="n">
        <v>3</v>
      </c>
      <c r="DP571" s="0" t="n">
        <v>0</v>
      </c>
      <c r="DQ571" s="0" t="n">
        <v>1</v>
      </c>
      <c r="DR571" s="0"/>
      <c r="DS571" s="0" t="n">
        <v>1</v>
      </c>
      <c r="DU571" s="0" t="n">
        <v>0</v>
      </c>
      <c r="DW571" s="1" t="n">
        <v>40630</v>
      </c>
      <c r="DX571" s="1" t="n">
        <v>40872</v>
      </c>
      <c r="DZ571" s="0"/>
      <c r="EA571" s="0" t="n">
        <v>1</v>
      </c>
      <c r="EC571" s="1" t="n">
        <v>40630</v>
      </c>
      <c r="ED571" s="1" t="n">
        <v>40872</v>
      </c>
      <c r="EF571" s="0"/>
      <c r="EG571" s="0" t="n">
        <v>1</v>
      </c>
      <c r="EH571" s="0" t="n">
        <v>24</v>
      </c>
      <c r="EI571" s="0" t="n">
        <f aca="false">IF(AND(DM571=1,DN571&lt;=48),"",IF(AND(DM571=2,DN571&lt;=42),"",IF(AND(DM571=3,DN571&lt;=45),"",EH571)))</f>
        <v>24</v>
      </c>
      <c r="EJ571" s="0" t="n">
        <f aca="false">IF(EI571="","",IF(EI571&lt;9,EI571,9))</f>
        <v>9</v>
      </c>
      <c r="EK571" s="0" t="n">
        <f aca="false">IF(EI571="","",IF(EI571&gt;9,EI571-EJ571,0))</f>
        <v>15</v>
      </c>
      <c r="EL571" s="0" t="n">
        <f aca="false">IF(EI571="","",EJ571*DA571*2+EK571*DA571*3)</f>
        <v>2373.13125</v>
      </c>
      <c r="EP571" s="0" t="n">
        <v>0</v>
      </c>
      <c r="EQ571" s="0"/>
      <c r="ER571" s="0" t="n">
        <v>0</v>
      </c>
      <c r="ET571" s="0" t="n">
        <v>1</v>
      </c>
      <c r="EV571" s="0" t="n">
        <v>1</v>
      </c>
      <c r="EX571" s="0" t="n">
        <v>1</v>
      </c>
      <c r="EY571" s="0" t="n">
        <v>0</v>
      </c>
      <c r="EZ571" s="0"/>
      <c r="FA571" s="4" t="n">
        <v>7232.4</v>
      </c>
      <c r="FB571" s="0" t="n">
        <v>1</v>
      </c>
      <c r="FC571" s="1"/>
      <c r="FF571" s="120" t="n">
        <f aca="false">(CJ571-CI571+1)/365</f>
        <v>0.665753424657534</v>
      </c>
      <c r="FG571" s="0" t="str">
        <f aca="false">CONCATENATE(F571,"/",G571)</f>
        <v>1992/2011</v>
      </c>
      <c r="FH571" s="0" t="n">
        <v>1</v>
      </c>
      <c r="FI571" s="0" t="n">
        <f aca="false">IFERROR(IF((FC571-J571+1)/365&gt;3,0,1),"")</f>
        <v>1</v>
      </c>
    </row>
    <row r="572" customFormat="false" ht="15" hidden="false" customHeight="false" outlineLevel="0" collapsed="false">
      <c r="A572" s="5" t="str">
        <f aca="false">E572&amp;G572&amp;F572</f>
        <v>720111992</v>
      </c>
      <c r="B572" s="0" t="s">
        <v>3217</v>
      </c>
      <c r="C572" s="1" t="n">
        <v>42379</v>
      </c>
      <c r="E572" s="0" t="n">
        <v>7</v>
      </c>
      <c r="F572" s="0" t="n">
        <v>1992</v>
      </c>
      <c r="G572" s="0" t="n">
        <v>2011</v>
      </c>
      <c r="H572" s="0" t="str">
        <f aca="false">"J"&amp;E572&amp;"\"&amp;F572&amp;"\"&amp;G572&amp;"\"&amp;W572</f>
        <v>J7\1992\2011\2</v>
      </c>
      <c r="I572" s="0"/>
      <c r="J572" s="1" t="n">
        <v>40876</v>
      </c>
      <c r="K572" s="0" t="n">
        <v>0</v>
      </c>
      <c r="M572" s="1" t="n">
        <v>40876</v>
      </c>
      <c r="N572" s="1" t="n">
        <v>40942</v>
      </c>
      <c r="O572" s="1"/>
      <c r="P572" s="1"/>
      <c r="Q572" s="1"/>
      <c r="T572" s="121"/>
      <c r="U572" s="121"/>
      <c r="V572" s="122" t="n">
        <f aca="false">IF(AND(E572&gt;0,F572&gt;0,G572&gt;0),COUNTIFS($E:$E,E572,$F:$F,F572,$G:$G,G572),"")</f>
        <v>3</v>
      </c>
      <c r="W572" s="122" t="n">
        <f aca="false">IF(V572="","",IF(V572=1,1,IF(AND(E571=E572,F571=F572,G571=G572),W571+1,1)))</f>
        <v>2</v>
      </c>
      <c r="X572" s="0" t="n">
        <v>3</v>
      </c>
      <c r="Y572" s="0" t="n">
        <v>3</v>
      </c>
      <c r="Z572" s="0" t="s">
        <v>5298</v>
      </c>
      <c r="AA572" s="0" t="n">
        <v>0</v>
      </c>
      <c r="AB572" s="0" t="s">
        <v>5290</v>
      </c>
      <c r="AC572" s="0" t="s">
        <v>1757</v>
      </c>
      <c r="AD572" s="0" t="s">
        <v>411</v>
      </c>
      <c r="AE572" s="0" t="n">
        <v>0</v>
      </c>
      <c r="AF572" s="0" t="s">
        <v>5291</v>
      </c>
      <c r="AG572" s="0" t="n">
        <v>0</v>
      </c>
      <c r="AH572" s="0" t="s">
        <v>5292</v>
      </c>
      <c r="AI572" s="0" t="s">
        <v>3510</v>
      </c>
      <c r="AJ572" s="0" t="s">
        <v>3511</v>
      </c>
      <c r="AL572" s="0" t="s">
        <v>5293</v>
      </c>
      <c r="AM572" s="0" t="n">
        <v>1</v>
      </c>
      <c r="AN572" s="0" t="s">
        <v>5292</v>
      </c>
      <c r="AO572" s="0" t="s">
        <v>3510</v>
      </c>
      <c r="AP572" s="0" t="s">
        <v>3511</v>
      </c>
      <c r="AR572" s="0" t="s">
        <v>1931</v>
      </c>
      <c r="AS572" s="0" t="n">
        <v>1</v>
      </c>
      <c r="AT572" s="0" t="s">
        <v>5292</v>
      </c>
      <c r="AU572" s="0" t="s">
        <v>3510</v>
      </c>
      <c r="AV572" s="0" t="s">
        <v>3511</v>
      </c>
      <c r="BR572" s="0" t="n">
        <v>1</v>
      </c>
      <c r="BS572" s="0" t="s">
        <v>5294</v>
      </c>
      <c r="BT572" s="0" t="s">
        <v>5295</v>
      </c>
      <c r="BU572" s="0" t="s">
        <v>5296</v>
      </c>
      <c r="BV572" s="123"/>
      <c r="BW572" s="123"/>
      <c r="BX572" s="123"/>
      <c r="BY572" s="123"/>
      <c r="CA572" s="0" t="s">
        <v>5297</v>
      </c>
      <c r="CD572" s="0" t="s">
        <v>256</v>
      </c>
      <c r="CE572" s="0" t="n">
        <v>0</v>
      </c>
      <c r="CF572" s="0" t="s">
        <v>611</v>
      </c>
      <c r="CI572" s="1" t="n">
        <v>40616</v>
      </c>
      <c r="CJ572" s="1" t="n">
        <v>40872</v>
      </c>
      <c r="CK572" s="124" t="n">
        <v>0.333333333333333</v>
      </c>
      <c r="CL572" s="0" t="s">
        <v>5293</v>
      </c>
      <c r="CM572" s="0" t="n">
        <f aca="false">IF(OR(CI572="",CJ572=""),"",DAYS360(CI572,CJ572)/360)</f>
        <v>0.697222222222222</v>
      </c>
      <c r="CN572" s="0" t="n">
        <f aca="false">IF(OR(CI572="",CJ572=""),"",DAYS360(CI572,CJ572)/30)</f>
        <v>8.36666666666667</v>
      </c>
      <c r="CO572" s="0" t="n">
        <f aca="false">IF(OR(CI572="",CJ572=""),"",DAYS360(CI572,CJ572)/7)</f>
        <v>35.8571428571429</v>
      </c>
      <c r="CP572" s="0" t="n">
        <f aca="false">IF(OR(CI572="",CJ572=""),"",DAYS360(CI572,CJ572))</f>
        <v>251</v>
      </c>
      <c r="CQ572" s="0" t="s">
        <v>240</v>
      </c>
      <c r="CR572" s="0" t="n">
        <v>1</v>
      </c>
      <c r="CT572" s="0" t="n">
        <v>250</v>
      </c>
      <c r="CU572" s="0" t="n">
        <v>0</v>
      </c>
      <c r="CV572" s="0" t="n">
        <f aca="false">IF(OR(CT572="",CT572="NO ESPECIFICA",CT572="NO MENCIONA"),"",IF(CU572=0,CT572,IF(CU572=1,CT572/30,IF(CU572=2,CT572/15,IF(CU572=3,CT572/7,"")))))</f>
        <v>250</v>
      </c>
      <c r="CW572" s="125" t="n">
        <v>301.35</v>
      </c>
      <c r="CX572" s="0" t="n">
        <v>0</v>
      </c>
      <c r="CY572" s="0" t="n">
        <f aca="false">IF(CW572="","",IF(CX572=0,CW572,IF(CX572=1,CW572/30,IF(CX572=2,CW572/15,IF(CX572=3,CW572/7,CW572)))))</f>
        <v>301.35</v>
      </c>
      <c r="CZ572" s="0" t="n">
        <f aca="false">IF(DI572&gt;0,DI572,IF(CY572&gt;0,CY572,IF(CV572&gt;0,CV572,"")))</f>
        <v>301.35</v>
      </c>
      <c r="DA572" s="0" t="n">
        <f aca="false">IF(DM572=1,CZ572/8,IF(OR(DM572=2,DM572=4),CZ572/7,IF(DM572=3,CZ572/7.5,"")))</f>
        <v>37.66875</v>
      </c>
      <c r="DB572" s="0" t="s">
        <v>302</v>
      </c>
      <c r="DC572" s="0" t="s">
        <v>303</v>
      </c>
      <c r="DD572" s="0" t="s">
        <v>301</v>
      </c>
      <c r="DE572" s="0" t="s">
        <v>216</v>
      </c>
      <c r="DF572" s="0" t="s">
        <v>216</v>
      </c>
      <c r="DG572" s="0" t="s">
        <v>216</v>
      </c>
      <c r="DH572" s="0" t="n">
        <v>0</v>
      </c>
      <c r="DI572" s="126" t="n">
        <v>301.35</v>
      </c>
      <c r="DK572" s="0" t="n">
        <v>0</v>
      </c>
      <c r="DM572" s="0" t="n">
        <v>1</v>
      </c>
      <c r="DN572" s="0" t="n">
        <v>72</v>
      </c>
      <c r="DO572" s="0" t="n">
        <v>3</v>
      </c>
      <c r="DP572" s="0" t="n">
        <v>0</v>
      </c>
      <c r="DQ572" s="0" t="n">
        <v>1</v>
      </c>
      <c r="DR572" s="0"/>
      <c r="DS572" s="0" t="n">
        <v>1</v>
      </c>
      <c r="DU572" s="0" t="n">
        <v>0</v>
      </c>
      <c r="DW572" s="1" t="n">
        <v>40616</v>
      </c>
      <c r="DX572" s="1" t="n">
        <v>40872</v>
      </c>
      <c r="DZ572" s="0"/>
      <c r="EA572" s="0" t="n">
        <v>1</v>
      </c>
      <c r="EC572" s="1" t="n">
        <v>40616</v>
      </c>
      <c r="ED572" s="1" t="n">
        <v>40872</v>
      </c>
      <c r="EF572" s="0"/>
      <c r="EG572" s="0" t="n">
        <v>1</v>
      </c>
      <c r="EH572" s="0" t="n">
        <v>24</v>
      </c>
      <c r="EI572" s="0" t="n">
        <f aca="false">IF(AND(DM572=1,DN572&lt;=48),"",IF(AND(DM572=2,DN572&lt;=42),"",IF(AND(DM572=3,DN572&lt;=45),"",EH572)))</f>
        <v>24</v>
      </c>
      <c r="EJ572" s="0" t="n">
        <f aca="false">IF(EI572="","",IF(EI572&lt;9,EI572,9))</f>
        <v>9</v>
      </c>
      <c r="EK572" s="0" t="n">
        <f aca="false">IF(EI572="","",IF(EI572&gt;9,EI572-EJ572,0))</f>
        <v>15</v>
      </c>
      <c r="EL572" s="0" t="n">
        <f aca="false">IF(EI572="","",EJ572*DA572*2+EK572*DA572*3)</f>
        <v>2373.13125</v>
      </c>
      <c r="EP572" s="0" t="n">
        <v>0</v>
      </c>
      <c r="EQ572" s="0"/>
      <c r="ER572" s="0" t="n">
        <v>0</v>
      </c>
      <c r="ET572" s="0" t="n">
        <v>1</v>
      </c>
      <c r="EV572" s="0" t="n">
        <v>1</v>
      </c>
      <c r="EX572" s="0" t="n">
        <v>1</v>
      </c>
      <c r="EY572" s="0" t="n">
        <v>0</v>
      </c>
      <c r="EZ572" s="0"/>
      <c r="FA572" s="4" t="n">
        <v>7232.4</v>
      </c>
      <c r="FB572" s="0" t="n">
        <v>1</v>
      </c>
      <c r="FC572" s="1"/>
      <c r="FF572" s="120" t="n">
        <f aca="false">(CJ572-CI572+1)/365</f>
        <v>0.704109589041096</v>
      </c>
      <c r="FG572" s="0" t="str">
        <f aca="false">CONCATENATE(F572,"/",G572)</f>
        <v>1992/2011</v>
      </c>
      <c r="FH572" s="0" t="n">
        <v>1</v>
      </c>
      <c r="FI572" s="0" t="n">
        <f aca="false">IFERROR(IF((FC572-J572+1)/365&gt;3,0,1),"")</f>
        <v>1</v>
      </c>
    </row>
    <row r="573" customFormat="false" ht="15" hidden="false" customHeight="false" outlineLevel="0" collapsed="false">
      <c r="A573" s="5" t="str">
        <f aca="false">E573&amp;G573&amp;F573</f>
        <v>720111992</v>
      </c>
      <c r="B573" s="0" t="s">
        <v>3217</v>
      </c>
      <c r="C573" s="1" t="n">
        <v>42379</v>
      </c>
      <c r="E573" s="0" t="n">
        <v>7</v>
      </c>
      <c r="F573" s="0" t="n">
        <v>1992</v>
      </c>
      <c r="G573" s="0" t="n">
        <v>2011</v>
      </c>
      <c r="H573" s="0" t="str">
        <f aca="false">"J"&amp;E573&amp;"\"&amp;F573&amp;"\"&amp;G573&amp;"\"&amp;W573</f>
        <v>J7\1992\2011\3</v>
      </c>
      <c r="I573" s="0"/>
      <c r="J573" s="1" t="n">
        <v>40876</v>
      </c>
      <c r="K573" s="0" t="n">
        <v>0</v>
      </c>
      <c r="M573" s="1" t="n">
        <v>40876</v>
      </c>
      <c r="N573" s="1" t="n">
        <v>40942</v>
      </c>
      <c r="O573" s="1"/>
      <c r="P573" s="1"/>
      <c r="Q573" s="1"/>
      <c r="T573" s="121"/>
      <c r="U573" s="121"/>
      <c r="V573" s="122" t="n">
        <f aca="false">IF(AND(E573&gt;0,F573&gt;0,G573&gt;0),COUNTIFS($E:$E,E573,$F:$F,F573,$G:$G,G573),"")</f>
        <v>3</v>
      </c>
      <c r="W573" s="122" t="n">
        <f aca="false">IF(V573="","",IF(V573=1,1,IF(AND(E572=E573,F572=F573,G572=G573),W572+1,1)))</f>
        <v>3</v>
      </c>
      <c r="X573" s="0" t="n">
        <v>3</v>
      </c>
      <c r="Y573" s="0" t="n">
        <v>3</v>
      </c>
      <c r="Z573" s="0" t="s">
        <v>5299</v>
      </c>
      <c r="AA573" s="0" t="n">
        <v>0</v>
      </c>
      <c r="AB573" s="0" t="s">
        <v>5290</v>
      </c>
      <c r="AC573" s="0" t="s">
        <v>1757</v>
      </c>
      <c r="AD573" s="0" t="s">
        <v>411</v>
      </c>
      <c r="AE573" s="0" t="n">
        <v>0</v>
      </c>
      <c r="AF573" s="0" t="s">
        <v>5291</v>
      </c>
      <c r="AG573" s="0" t="n">
        <v>0</v>
      </c>
      <c r="AH573" s="0" t="s">
        <v>5292</v>
      </c>
      <c r="AI573" s="0" t="s">
        <v>3510</v>
      </c>
      <c r="AJ573" s="0" t="s">
        <v>3511</v>
      </c>
      <c r="AL573" s="0" t="s">
        <v>5293</v>
      </c>
      <c r="AM573" s="0" t="n">
        <v>1</v>
      </c>
      <c r="AN573" s="0" t="s">
        <v>5292</v>
      </c>
      <c r="AO573" s="0" t="s">
        <v>3510</v>
      </c>
      <c r="AP573" s="0" t="s">
        <v>3511</v>
      </c>
      <c r="AR573" s="0" t="s">
        <v>1931</v>
      </c>
      <c r="AS573" s="0" t="n">
        <v>1</v>
      </c>
      <c r="AT573" s="0" t="s">
        <v>5292</v>
      </c>
      <c r="AU573" s="0" t="s">
        <v>3510</v>
      </c>
      <c r="AV573" s="0" t="s">
        <v>3511</v>
      </c>
      <c r="BR573" s="0" t="n">
        <v>1</v>
      </c>
      <c r="BS573" s="0" t="s">
        <v>5294</v>
      </c>
      <c r="BT573" s="0" t="s">
        <v>5295</v>
      </c>
      <c r="BU573" s="0" t="s">
        <v>5296</v>
      </c>
      <c r="BV573" s="123"/>
      <c r="BW573" s="123"/>
      <c r="BX573" s="123"/>
      <c r="BY573" s="123"/>
      <c r="CA573" s="0" t="s">
        <v>5297</v>
      </c>
      <c r="CD573" s="0" t="s">
        <v>256</v>
      </c>
      <c r="CE573" s="0" t="n">
        <v>0</v>
      </c>
      <c r="CF573" s="0" t="s">
        <v>611</v>
      </c>
      <c r="CI573" s="1" t="n">
        <v>40560</v>
      </c>
      <c r="CJ573" s="1" t="n">
        <v>40872</v>
      </c>
      <c r="CK573" s="124" t="n">
        <v>0.333333333333333</v>
      </c>
      <c r="CL573" s="0" t="s">
        <v>5293</v>
      </c>
      <c r="CM573" s="0" t="n">
        <f aca="false">IF(OR(CI573="",CJ573=""),"",DAYS360(CI573,CJ573)/360)</f>
        <v>0.855555555555556</v>
      </c>
      <c r="CN573" s="0" t="n">
        <f aca="false">IF(OR(CI573="",CJ573=""),"",DAYS360(CI573,CJ573)/30)</f>
        <v>10.2666666666667</v>
      </c>
      <c r="CO573" s="0" t="n">
        <f aca="false">IF(OR(CI573="",CJ573=""),"",DAYS360(CI573,CJ573)/7)</f>
        <v>44</v>
      </c>
      <c r="CP573" s="0" t="n">
        <f aca="false">IF(OR(CI573="",CJ573=""),"",DAYS360(CI573,CJ573))</f>
        <v>308</v>
      </c>
      <c r="CQ573" s="0" t="s">
        <v>240</v>
      </c>
      <c r="CR573" s="0" t="n">
        <v>1</v>
      </c>
      <c r="CT573" s="0" t="n">
        <v>250</v>
      </c>
      <c r="CU573" s="0" t="n">
        <v>0</v>
      </c>
      <c r="CV573" s="0" t="n">
        <f aca="false">IF(OR(CT573="",CT573="NO ESPECIFICA",CT573="NO MENCIONA"),"",IF(CU573=0,CT573,IF(CU573=1,CT573/30,IF(CU573=2,CT573/15,IF(CU573=3,CT573/7,"")))))</f>
        <v>250</v>
      </c>
      <c r="CW573" s="125" t="n">
        <v>301.35</v>
      </c>
      <c r="CX573" s="0" t="n">
        <v>0</v>
      </c>
      <c r="CY573" s="0" t="n">
        <f aca="false">IF(CW573="","",IF(CX573=0,CW573,IF(CX573=1,CW573/30,IF(CX573=2,CW573/15,IF(CX573=3,CW573/7,CW573)))))</f>
        <v>301.35</v>
      </c>
      <c r="CZ573" s="0" t="n">
        <f aca="false">IF(DI573&gt;0,DI573,IF(CY573&gt;0,CY573,IF(CV573&gt;0,CV573,"")))</f>
        <v>301.35</v>
      </c>
      <c r="DA573" s="0" t="n">
        <f aca="false">IF(DM573=1,CZ573/8,IF(OR(DM573=2,DM573=4),CZ573/7,IF(DM573=3,CZ573/7.5,"")))</f>
        <v>37.66875</v>
      </c>
      <c r="DB573" s="0" t="s">
        <v>302</v>
      </c>
      <c r="DC573" s="0" t="s">
        <v>303</v>
      </c>
      <c r="DD573" s="0" t="s">
        <v>301</v>
      </c>
      <c r="DE573" s="0" t="s">
        <v>216</v>
      </c>
      <c r="DF573" s="0" t="s">
        <v>216</v>
      </c>
      <c r="DG573" s="0" t="s">
        <v>216</v>
      </c>
      <c r="DH573" s="0" t="n">
        <v>0</v>
      </c>
      <c r="DI573" s="126" t="n">
        <v>301.35</v>
      </c>
      <c r="DK573" s="0" t="n">
        <v>0</v>
      </c>
      <c r="DM573" s="0" t="n">
        <v>1</v>
      </c>
      <c r="DN573" s="0" t="n">
        <v>72</v>
      </c>
      <c r="DO573" s="0" t="n">
        <v>3</v>
      </c>
      <c r="DP573" s="0" t="n">
        <v>0</v>
      </c>
      <c r="DQ573" s="0" t="n">
        <v>1</v>
      </c>
      <c r="DR573" s="0"/>
      <c r="DS573" s="0" t="n">
        <v>1</v>
      </c>
      <c r="DU573" s="0" t="n">
        <v>0</v>
      </c>
      <c r="DW573" s="1" t="n">
        <v>40560</v>
      </c>
      <c r="DX573" s="1" t="n">
        <v>40872</v>
      </c>
      <c r="DZ573" s="0"/>
      <c r="EA573" s="0" t="n">
        <v>1</v>
      </c>
      <c r="EC573" s="1" t="n">
        <v>40560</v>
      </c>
      <c r="ED573" s="1" t="n">
        <v>40872</v>
      </c>
      <c r="EF573" s="0"/>
      <c r="EG573" s="0" t="n">
        <v>1</v>
      </c>
      <c r="EH573" s="0" t="n">
        <v>24</v>
      </c>
      <c r="EI573" s="0" t="n">
        <f aca="false">IF(AND(DM573=1,DN573&lt;=48),"",IF(AND(DM573=2,DN573&lt;=42),"",IF(AND(DM573=3,DN573&lt;=45),"",EH573)))</f>
        <v>24</v>
      </c>
      <c r="EJ573" s="0" t="n">
        <f aca="false">IF(EI573="","",IF(EI573&lt;9,EI573,9))</f>
        <v>9</v>
      </c>
      <c r="EK573" s="0" t="n">
        <f aca="false">IF(EI573="","",IF(EI573&gt;9,EI573-EJ573,0))</f>
        <v>15</v>
      </c>
      <c r="EL573" s="0" t="n">
        <f aca="false">IF(EI573="","",EJ573*DA573*2+EK573*DA573*3)</f>
        <v>2373.13125</v>
      </c>
      <c r="EP573" s="0" t="n">
        <v>0</v>
      </c>
      <c r="EQ573" s="0"/>
      <c r="ER573" s="0" t="n">
        <v>0</v>
      </c>
      <c r="ET573" s="0" t="n">
        <v>1</v>
      </c>
      <c r="EV573" s="0" t="n">
        <v>1</v>
      </c>
      <c r="EX573" s="0" t="n">
        <v>1</v>
      </c>
      <c r="EY573" s="0" t="n">
        <v>0</v>
      </c>
      <c r="EZ573" s="0"/>
      <c r="FA573" s="4" t="n">
        <v>7232.4</v>
      </c>
      <c r="FB573" s="0" t="n">
        <v>1</v>
      </c>
      <c r="FC573" s="1"/>
      <c r="FF573" s="120" t="n">
        <f aca="false">(CJ573-CI573+1)/365</f>
        <v>0.857534246575342</v>
      </c>
      <c r="FG573" s="0" t="str">
        <f aca="false">CONCATENATE(F573,"/",G573)</f>
        <v>1992/2011</v>
      </c>
      <c r="FH573" s="0" t="n">
        <v>1</v>
      </c>
      <c r="FI573" s="0" t="n">
        <f aca="false">IFERROR(IF((FC573-J573+1)/365&gt;3,0,1),"")</f>
        <v>1</v>
      </c>
    </row>
    <row r="574" customFormat="false" ht="15" hidden="false" customHeight="false" outlineLevel="0" collapsed="false">
      <c r="A574" s="5" t="str">
        <f aca="false">E574&amp;G574&amp;F574</f>
        <v>720111995</v>
      </c>
      <c r="B574" s="0" t="s">
        <v>3217</v>
      </c>
      <c r="C574" s="1" t="n">
        <v>42379</v>
      </c>
      <c r="D574" s="0" t="s">
        <v>3265</v>
      </c>
      <c r="E574" s="0" t="n">
        <v>7</v>
      </c>
      <c r="F574" s="0" t="n">
        <v>1995</v>
      </c>
      <c r="G574" s="0" t="n">
        <v>2011</v>
      </c>
      <c r="H574" s="0" t="str">
        <f aca="false">"J"&amp;E574&amp;"\"&amp;F574&amp;"\"&amp;G574&amp;"\"&amp;W574</f>
        <v>J7\1995\2011\1</v>
      </c>
      <c r="I574" s="0"/>
      <c r="J574" s="1" t="n">
        <v>40877</v>
      </c>
      <c r="K574" s="0" t="n">
        <v>0</v>
      </c>
      <c r="M574" s="1"/>
      <c r="N574" s="1"/>
      <c r="O574" s="1"/>
      <c r="P574" s="1"/>
      <c r="Q574" s="1"/>
      <c r="T574" s="121"/>
      <c r="U574" s="121"/>
      <c r="V574" s="122" t="n">
        <f aca="false">IF(AND(E574&gt;0,F574&gt;0,G574&gt;0),COUNTIFS($E:$E,E574,$F:$F,F574,$G:$G,G574),"")</f>
        <v>1</v>
      </c>
      <c r="W574" s="122" t="n">
        <f aca="false">IF(V574="","",IF(V574=1,1,IF(AND(E573=E574,F573=F574,G573=G574),W573+1,1)))</f>
        <v>1</v>
      </c>
      <c r="X574" s="0" t="n">
        <v>1</v>
      </c>
      <c r="Y574" s="0" t="n">
        <v>5</v>
      </c>
      <c r="Z574" s="0" t="s">
        <v>5300</v>
      </c>
      <c r="AA574" s="0" t="n">
        <v>0</v>
      </c>
      <c r="AB574" s="0" t="s">
        <v>702</v>
      </c>
      <c r="AC574" s="0" t="s">
        <v>221</v>
      </c>
      <c r="AD574" s="0" t="s">
        <v>221</v>
      </c>
      <c r="AE574" s="0" t="n">
        <v>0</v>
      </c>
      <c r="AF574" s="0" t="s">
        <v>3219</v>
      </c>
      <c r="AG574" s="0" t="n">
        <v>0</v>
      </c>
      <c r="AH574" s="0" t="s">
        <v>3220</v>
      </c>
      <c r="AI574" s="0" t="s">
        <v>2640</v>
      </c>
      <c r="AJ574" s="0" t="s">
        <v>207</v>
      </c>
      <c r="AL574" s="0" t="s">
        <v>5301</v>
      </c>
      <c r="AM574" s="0" t="n">
        <v>1</v>
      </c>
      <c r="AN574" s="0" t="s">
        <v>3220</v>
      </c>
      <c r="AO574" s="0" t="s">
        <v>2640</v>
      </c>
      <c r="AP574" s="0" t="s">
        <v>207</v>
      </c>
      <c r="AR574" s="0" t="s">
        <v>5302</v>
      </c>
      <c r="AS574" s="0" t="n">
        <v>1</v>
      </c>
      <c r="AT574" s="0" t="s">
        <v>3220</v>
      </c>
      <c r="AU574" s="0" t="s">
        <v>2640</v>
      </c>
      <c r="AV574" s="0" t="s">
        <v>207</v>
      </c>
      <c r="AX574" s="0" t="s">
        <v>5303</v>
      </c>
      <c r="AY574" s="0" t="n">
        <v>1</v>
      </c>
      <c r="AZ574" s="0" t="s">
        <v>3220</v>
      </c>
      <c r="BA574" s="0" t="s">
        <v>2640</v>
      </c>
      <c r="BB574" s="0" t="s">
        <v>207</v>
      </c>
      <c r="BD574" s="0" t="s">
        <v>1880</v>
      </c>
      <c r="BE574" s="0" t="n">
        <v>1</v>
      </c>
      <c r="BF574" s="0" t="s">
        <v>3220</v>
      </c>
      <c r="BG574" s="0" t="s">
        <v>2640</v>
      </c>
      <c r="BH574" s="0" t="s">
        <v>207</v>
      </c>
      <c r="BR574" s="0" t="n">
        <v>1</v>
      </c>
      <c r="BS574" s="0" t="s">
        <v>5304</v>
      </c>
      <c r="BT574" s="0" t="s">
        <v>5305</v>
      </c>
      <c r="BU574" s="0" t="s">
        <v>5306</v>
      </c>
      <c r="BV574" s="123"/>
      <c r="BW574" s="123"/>
      <c r="BX574" s="123"/>
      <c r="BY574" s="123"/>
      <c r="CA574" s="0" t="s">
        <v>5307</v>
      </c>
      <c r="CD574" s="0" t="s">
        <v>296</v>
      </c>
      <c r="CE574" s="0" t="n">
        <v>0</v>
      </c>
      <c r="CF574" s="0" t="s">
        <v>5264</v>
      </c>
      <c r="CI574" s="1" t="n">
        <v>38091</v>
      </c>
      <c r="CJ574" s="1" t="n">
        <v>40850</v>
      </c>
      <c r="CK574" s="124" t="n">
        <v>0.333333333333333</v>
      </c>
      <c r="CL574" s="0" t="s">
        <v>5303</v>
      </c>
      <c r="CM574" s="0" t="n">
        <f aca="false">IF(OR(CI574="",CJ574=""),"",DAYS360(CI574,CJ574)/360)</f>
        <v>7.55277777777778</v>
      </c>
      <c r="CN574" s="0" t="n">
        <f aca="false">IF(OR(CI574="",CJ574=""),"",DAYS360(CI574,CJ574)/30)</f>
        <v>90.6333333333333</v>
      </c>
      <c r="CO574" s="0" t="n">
        <f aca="false">IF(OR(CI574="",CJ574=""),"",DAYS360(CI574,CJ574)/7)</f>
        <v>388.428571428571</v>
      </c>
      <c r="CP574" s="0" t="n">
        <f aca="false">IF(OR(CI574="",CJ574=""),"",DAYS360(CI574,CJ574))</f>
        <v>2719</v>
      </c>
      <c r="CQ574" s="0" t="s">
        <v>240</v>
      </c>
      <c r="CR574" s="0" t="n">
        <v>1</v>
      </c>
      <c r="CT574" s="0" t="n">
        <v>8500</v>
      </c>
      <c r="CU574" s="0" t="n">
        <v>1</v>
      </c>
      <c r="CV574" s="0" t="n">
        <f aca="false">IF(OR(CT574="",CT574="NO ESPECIFICA",CT574="NO MENCIONA"),"",IF(CU574=0,CT574,IF(CU574=1,CT574/30,IF(CU574=2,CT574/15,IF(CU574=3,CT574/7,"")))))</f>
        <v>283.333333333333</v>
      </c>
      <c r="CW574" s="125" t="n">
        <v>13500</v>
      </c>
      <c r="CX574" s="0" t="n">
        <v>1</v>
      </c>
      <c r="CY574" s="0" t="n">
        <f aca="false">IF(CW574="","",IF(CX574=0,CW574,IF(CX574=1,CW574/30,IF(CX574=2,CW574/15,IF(CX574=3,CW574/7,CW574)))))</f>
        <v>450</v>
      </c>
      <c r="CZ574" s="0" t="n">
        <f aca="false">IF(DI574&gt;0,DI574,IF(CY574&gt;0,CY574,IF(CV574&gt;0,CV574,"")))</f>
        <v>450</v>
      </c>
      <c r="DA574" s="0" t="n">
        <f aca="false">IF(DM574=1,CZ574/8,IF(OR(DM574=2,DM574=4),CZ574/7,IF(DM574=3,CZ574/7.5,"")))</f>
        <v>56.25</v>
      </c>
      <c r="DB574" s="0" t="s">
        <v>417</v>
      </c>
      <c r="DC574" s="0" t="s">
        <v>299</v>
      </c>
      <c r="DD574" s="0" t="s">
        <v>216</v>
      </c>
      <c r="DE574" s="0" t="s">
        <v>216</v>
      </c>
      <c r="DF574" s="0" t="s">
        <v>216</v>
      </c>
      <c r="DG574" s="0" t="s">
        <v>216</v>
      </c>
      <c r="DH574" s="0" t="n">
        <v>0</v>
      </c>
      <c r="DI574" s="126" t="n">
        <v>450</v>
      </c>
      <c r="DK574" s="0" t="n">
        <v>0</v>
      </c>
      <c r="DM574" s="0" t="n">
        <v>1</v>
      </c>
      <c r="DN574" s="0" t="n">
        <v>84</v>
      </c>
      <c r="DO574" s="0" t="n">
        <v>3</v>
      </c>
      <c r="DP574" s="0" t="n">
        <v>0</v>
      </c>
      <c r="DQ574" s="0" t="n">
        <v>1</v>
      </c>
      <c r="DR574" s="0"/>
      <c r="DS574" s="0" t="n">
        <v>1</v>
      </c>
      <c r="DU574" s="0" t="n">
        <v>1</v>
      </c>
      <c r="DW574" s="1" t="n">
        <v>38091</v>
      </c>
      <c r="DX574" s="1" t="n">
        <v>40850</v>
      </c>
      <c r="DZ574" s="0"/>
      <c r="EA574" s="0" t="n">
        <v>1</v>
      </c>
      <c r="EC574" s="1" t="n">
        <v>38091</v>
      </c>
      <c r="ED574" s="1" t="n">
        <v>40850</v>
      </c>
      <c r="EF574" s="0"/>
      <c r="EG574" s="0" t="n">
        <v>1</v>
      </c>
      <c r="EH574" s="0" t="n">
        <v>28</v>
      </c>
      <c r="EI574" s="0" t="n">
        <f aca="false">IF(AND(DM574=1,DN574&lt;=48),"",IF(AND(DM574=2,DN574&lt;=42),"",IF(AND(DM574=3,DN574&lt;=45),"",EH574)))</f>
        <v>28</v>
      </c>
      <c r="EJ574" s="0" t="n">
        <f aca="false">IF(EI574="","",IF(EI574&lt;9,EI574,9))</f>
        <v>9</v>
      </c>
      <c r="EK574" s="0" t="n">
        <f aca="false">IF(EI574="","",IF(EI574&gt;9,EI574-EJ574,0))</f>
        <v>19</v>
      </c>
      <c r="EL574" s="0" t="n">
        <f aca="false">IF(EI574="","",EJ574*DA574*2+EK574*DA574*3)</f>
        <v>4218.75</v>
      </c>
      <c r="EP574" s="0" t="n">
        <v>0</v>
      </c>
      <c r="EQ574" s="0"/>
      <c r="ER574" s="0" t="n">
        <v>1</v>
      </c>
      <c r="ET574" s="0" t="n">
        <v>1</v>
      </c>
      <c r="EV574" s="0" t="n">
        <v>1</v>
      </c>
      <c r="EX574" s="0" t="n">
        <v>1</v>
      </c>
      <c r="EY574" s="0" t="n">
        <v>0</v>
      </c>
      <c r="EZ574" s="0"/>
      <c r="FA574" s="4" t="n">
        <v>900</v>
      </c>
      <c r="FB574" s="0" t="n">
        <v>1</v>
      </c>
      <c r="FC574" s="1" t="n">
        <v>40974</v>
      </c>
      <c r="FD574" s="0" t="n">
        <v>1</v>
      </c>
      <c r="FE574" s="0" t="n">
        <v>17500</v>
      </c>
      <c r="FF574" s="120" t="n">
        <f aca="false">(CJ574-CI574+1)/365</f>
        <v>7.56164383561644</v>
      </c>
      <c r="FG574" s="0" t="str">
        <f aca="false">CONCATENATE(F574,"/",G574)</f>
        <v>1995/2011</v>
      </c>
      <c r="FH574" s="0" t="n">
        <v>1</v>
      </c>
      <c r="FI574" s="0" t="n">
        <f aca="false">IFERROR(IF((FC574-J574+1)/365&gt;3,0,1),"")</f>
        <v>1</v>
      </c>
    </row>
    <row r="575" customFormat="false" ht="15" hidden="false" customHeight="false" outlineLevel="0" collapsed="false">
      <c r="A575" s="5" t="str">
        <f aca="false">E575&amp;G575&amp;F575</f>
        <v>72011121</v>
      </c>
      <c r="B575" s="0" t="s">
        <v>203</v>
      </c>
      <c r="C575" s="1" t="n">
        <v>42356</v>
      </c>
      <c r="E575" s="0" t="n">
        <v>7</v>
      </c>
      <c r="F575" s="0" t="n">
        <v>121</v>
      </c>
      <c r="G575" s="0" t="n">
        <v>2011</v>
      </c>
      <c r="H575" s="0" t="str">
        <f aca="false">"J"&amp;E575&amp;"\"&amp;F575&amp;"\"&amp;G575&amp;"\"&amp;W575</f>
        <v>J7\121\2011\1</v>
      </c>
      <c r="I575" s="0"/>
      <c r="J575" s="1" t="n">
        <v>40562</v>
      </c>
      <c r="K575" s="0" t="n">
        <v>1</v>
      </c>
      <c r="L575" s="0" t="s">
        <v>528</v>
      </c>
      <c r="M575" s="1" t="n">
        <v>40562</v>
      </c>
      <c r="N575" s="1" t="n">
        <v>40625</v>
      </c>
      <c r="O575" s="1"/>
      <c r="P575" s="1"/>
      <c r="Q575" s="1"/>
      <c r="T575" s="121"/>
      <c r="U575" s="121"/>
      <c r="V575" s="122" t="n">
        <f aca="false">IF(AND(E575&gt;0,F575&gt;0,G575&gt;0),COUNTIFS($E:$E,E575,$F:$F,F575,$G:$G,G575),"")</f>
        <v>6</v>
      </c>
      <c r="W575" s="122" t="n">
        <f aca="false">IF(V575="","",IF(V575=1,1,IF(AND(E574=E575,F574=F575,G574=G575),W574+1,1)))</f>
        <v>1</v>
      </c>
      <c r="X575" s="0" t="n">
        <v>6</v>
      </c>
      <c r="Y575" s="0" t="n">
        <v>6</v>
      </c>
      <c r="Z575" s="0" t="s">
        <v>5308</v>
      </c>
      <c r="AA575" s="0" t="n">
        <v>0</v>
      </c>
      <c r="AB575" s="0" t="s">
        <v>5309</v>
      </c>
      <c r="AC575" s="0" t="s">
        <v>865</v>
      </c>
      <c r="AD575" s="0" t="s">
        <v>207</v>
      </c>
      <c r="AE575" s="0" t="n">
        <v>0</v>
      </c>
      <c r="AF575" s="0" t="s">
        <v>5310</v>
      </c>
      <c r="AG575" s="0" t="n">
        <v>0</v>
      </c>
      <c r="AH575" s="0" t="s">
        <v>5311</v>
      </c>
      <c r="AI575" s="0" t="s">
        <v>274</v>
      </c>
      <c r="AJ575" s="0" t="s">
        <v>229</v>
      </c>
      <c r="AL575" s="0" t="s">
        <v>5312</v>
      </c>
      <c r="AM575" s="0" t="n">
        <v>2</v>
      </c>
      <c r="AN575" s="0" t="s">
        <v>5311</v>
      </c>
      <c r="AO575" s="0" t="s">
        <v>274</v>
      </c>
      <c r="AP575" s="0" t="s">
        <v>229</v>
      </c>
      <c r="AR575" s="0" t="s">
        <v>5313</v>
      </c>
      <c r="AS575" s="0" t="n">
        <v>2</v>
      </c>
      <c r="AT575" s="0" t="s">
        <v>5311</v>
      </c>
      <c r="AU575" s="0" t="s">
        <v>274</v>
      </c>
      <c r="AV575" s="0" t="s">
        <v>229</v>
      </c>
      <c r="AX575" s="0" t="s">
        <v>5314</v>
      </c>
      <c r="AY575" s="0" t="n">
        <v>1</v>
      </c>
      <c r="AZ575" s="0" t="s">
        <v>5311</v>
      </c>
      <c r="BA575" s="0" t="s">
        <v>274</v>
      </c>
      <c r="BB575" s="0" t="s">
        <v>229</v>
      </c>
      <c r="BD575" s="0" t="s">
        <v>5315</v>
      </c>
      <c r="BE575" s="0" t="n">
        <v>1</v>
      </c>
      <c r="BF575" s="0" t="s">
        <v>5311</v>
      </c>
      <c r="BG575" s="0" t="s">
        <v>274</v>
      </c>
      <c r="BH575" s="0" t="s">
        <v>229</v>
      </c>
      <c r="BJ575" s="0" t="s">
        <v>213</v>
      </c>
      <c r="BK575" s="0" t="n">
        <v>1</v>
      </c>
      <c r="BL575" s="0" t="s">
        <v>5311</v>
      </c>
      <c r="BM575" s="0" t="s">
        <v>274</v>
      </c>
      <c r="BN575" s="0" t="s">
        <v>229</v>
      </c>
      <c r="BR575" s="0" t="n">
        <v>1</v>
      </c>
      <c r="BS575" s="0" t="s">
        <v>5316</v>
      </c>
      <c r="BT575" s="0" t="s">
        <v>5317</v>
      </c>
      <c r="BU575" s="0" t="s">
        <v>216</v>
      </c>
      <c r="BV575" s="123"/>
      <c r="BW575" s="123"/>
      <c r="BX575" s="123"/>
      <c r="BY575" s="123"/>
      <c r="CA575" s="0" t="s">
        <v>216</v>
      </c>
      <c r="CD575" s="0" t="s">
        <v>556</v>
      </c>
      <c r="CE575" s="0" t="n">
        <v>0</v>
      </c>
      <c r="CF575" s="0" t="s">
        <v>5318</v>
      </c>
      <c r="CG575" s="0" t="s">
        <v>218</v>
      </c>
      <c r="CI575" s="1" t="n">
        <v>38558</v>
      </c>
      <c r="CJ575" s="1" t="n">
        <v>40527</v>
      </c>
      <c r="CK575" s="124" t="n">
        <v>0.652777777777778</v>
      </c>
      <c r="CL575" s="0" t="s">
        <v>5319</v>
      </c>
      <c r="CM575" s="0" t="n">
        <f aca="false">IF(OR(CI575="",CJ575=""),"",DAYS360(CI575,CJ575)/360)</f>
        <v>5.38888888888889</v>
      </c>
      <c r="CN575" s="0" t="n">
        <f aca="false">IF(OR(CI575="",CJ575=""),"",DAYS360(CI575,CJ575)/30)</f>
        <v>64.6666666666667</v>
      </c>
      <c r="CO575" s="0" t="n">
        <f aca="false">IF(OR(CI575="",CJ575=""),"",DAYS360(CI575,CJ575)/7)</f>
        <v>277.142857142857</v>
      </c>
      <c r="CP575" s="0" t="n">
        <f aca="false">IF(OR(CI575="",CJ575=""),"",DAYS360(CI575,CJ575))</f>
        <v>1940</v>
      </c>
      <c r="CQ575" s="0" t="s">
        <v>240</v>
      </c>
      <c r="CR575" s="0" t="n">
        <v>1</v>
      </c>
      <c r="CT575" s="0" t="s">
        <v>221</v>
      </c>
      <c r="CU575" s="0" t="s">
        <v>221</v>
      </c>
      <c r="CV575" s="0" t="str">
        <f aca="false">IF(OR(CT575="",CT575="NO ESPECIFICA",CT575="NO MENCIONA"),"",IF(CU575=0,CT575,IF(CU575=1,CT575/30,IF(CU575=2,CT575/15,IF(CU575=3,CT575/7,"")))))</f>
        <v/>
      </c>
      <c r="CW575" s="125" t="n">
        <v>3282.99</v>
      </c>
      <c r="CX575" s="0" t="n">
        <v>2</v>
      </c>
      <c r="CY575" s="0" t="n">
        <f aca="false">IF(CW575="","",IF(CX575=0,CW575,IF(CX575=1,CW575/30,IF(CX575=2,CW575/15,IF(CX575=3,CW575/7,CW575)))))</f>
        <v>218.866</v>
      </c>
      <c r="CZ575" s="0" t="n">
        <f aca="false">IF(DI575&gt;0,DI575,IF(CY575&gt;0,CY575,IF(CV575&gt;0,CV575,"")))</f>
        <v>218.86</v>
      </c>
      <c r="DA575" s="0" t="n">
        <f aca="false">IF(DM575=1,CZ575/8,IF(OR(DM575=2,DM575=4),CZ575/7,IF(DM575=3,CZ575/7.5,"")))</f>
        <v>29.1813333333333</v>
      </c>
      <c r="DB575" s="0" t="s">
        <v>216</v>
      </c>
      <c r="DC575" s="0" t="s">
        <v>216</v>
      </c>
      <c r="DD575" s="0" t="s">
        <v>216</v>
      </c>
      <c r="DE575" s="0" t="s">
        <v>216</v>
      </c>
      <c r="DF575" s="0" t="s">
        <v>216</v>
      </c>
      <c r="DG575" s="0" t="s">
        <v>216</v>
      </c>
      <c r="DH575" s="0" t="n">
        <v>0</v>
      </c>
      <c r="DI575" s="126" t="n">
        <v>218.86</v>
      </c>
      <c r="DK575" s="0" t="n">
        <v>1</v>
      </c>
      <c r="DM575" s="0" t="n">
        <v>3</v>
      </c>
      <c r="DN575" s="0" t="n">
        <v>70</v>
      </c>
      <c r="DO575" s="0" t="n">
        <v>3</v>
      </c>
      <c r="DP575" s="0" t="n">
        <v>0</v>
      </c>
      <c r="DQ575" s="0" t="n">
        <v>1</v>
      </c>
      <c r="DR575" s="0"/>
      <c r="DS575" s="0" t="n">
        <v>1</v>
      </c>
      <c r="DU575" s="0" t="n">
        <v>1</v>
      </c>
      <c r="DW575" s="1" t="n">
        <v>38558</v>
      </c>
      <c r="DX575" s="1" t="n">
        <v>40527</v>
      </c>
      <c r="DZ575" s="0"/>
      <c r="EA575" s="0" t="n">
        <v>1</v>
      </c>
      <c r="EC575" s="1" t="n">
        <v>38558</v>
      </c>
      <c r="ED575" s="1" t="n">
        <v>40527</v>
      </c>
      <c r="EF575" s="0"/>
      <c r="EG575" s="0" t="n">
        <v>1</v>
      </c>
      <c r="EH575" s="0" t="n">
        <v>12</v>
      </c>
      <c r="EI575" s="0" t="n">
        <f aca="false">IF(AND(DM575=1,DN575&lt;=48),"",IF(AND(DM575=2,DN575&lt;=42),"",IF(AND(DM575=3,DN575&lt;=45),"",EH575)))</f>
        <v>12</v>
      </c>
      <c r="EJ575" s="0" t="n">
        <f aca="false">IF(EI575="","",IF(EI575&lt;9,EI575,9))</f>
        <v>9</v>
      </c>
      <c r="EK575" s="0" t="n">
        <f aca="false">IF(EI575="","",IF(EI575&gt;9,EI575-EJ575,0))</f>
        <v>3</v>
      </c>
      <c r="EL575" s="0" t="n">
        <f aca="false">IF(EI575="","",EJ575*DA575*2+EK575*DA575*3)</f>
        <v>787.896</v>
      </c>
      <c r="EP575" s="0" t="n">
        <v>1</v>
      </c>
      <c r="EQ575" s="0"/>
      <c r="ER575" s="0" t="n">
        <v>0</v>
      </c>
      <c r="ET575" s="0" t="n">
        <v>0</v>
      </c>
      <c r="EV575" s="0" t="n">
        <v>1</v>
      </c>
      <c r="EX575" s="0" t="n">
        <v>0</v>
      </c>
      <c r="EY575" s="0" t="n">
        <v>1</v>
      </c>
      <c r="EZ575" s="0"/>
      <c r="FA575" s="4" t="n">
        <v>0</v>
      </c>
      <c r="FB575" s="0" t="n">
        <v>1</v>
      </c>
      <c r="FC575" s="1"/>
      <c r="FF575" s="120" t="n">
        <f aca="false">(CJ575-CI575+1)/365</f>
        <v>5.3972602739726</v>
      </c>
      <c r="FG575" s="0" t="str">
        <f aca="false">CONCATENATE(F575,"/",G575)</f>
        <v>121/2011</v>
      </c>
      <c r="FH575" s="0" t="n">
        <v>1</v>
      </c>
      <c r="FI575" s="0" t="n">
        <f aca="false">IFERROR(IF((FC575-J575+1)/365&gt;3,0,1),"")</f>
        <v>1</v>
      </c>
    </row>
    <row r="576" customFormat="false" ht="15" hidden="false" customHeight="false" outlineLevel="0" collapsed="false">
      <c r="A576" s="5" t="str">
        <f aca="false">E576&amp;G576&amp;F576</f>
        <v>72011121</v>
      </c>
      <c r="B576" s="0" t="s">
        <v>203</v>
      </c>
      <c r="C576" s="1" t="n">
        <v>42356</v>
      </c>
      <c r="E576" s="0" t="n">
        <v>7</v>
      </c>
      <c r="F576" s="0" t="n">
        <v>121</v>
      </c>
      <c r="G576" s="0" t="n">
        <v>2011</v>
      </c>
      <c r="H576" s="0" t="str">
        <f aca="false">"J"&amp;E576&amp;"\"&amp;F576&amp;"\"&amp;G576&amp;"\"&amp;W576</f>
        <v>J7\121\2011\2</v>
      </c>
      <c r="I576" s="0"/>
      <c r="J576" s="1" t="n">
        <v>40562</v>
      </c>
      <c r="K576" s="0" t="n">
        <v>1</v>
      </c>
      <c r="L576" s="0" t="s">
        <v>528</v>
      </c>
      <c r="M576" s="1" t="n">
        <v>40562</v>
      </c>
      <c r="N576" s="1" t="n">
        <v>40625</v>
      </c>
      <c r="O576" s="1"/>
      <c r="P576" s="1"/>
      <c r="Q576" s="1"/>
      <c r="T576" s="121"/>
      <c r="U576" s="121"/>
      <c r="V576" s="122" t="n">
        <f aca="false">IF(AND(E576&gt;0,F576&gt;0,G576&gt;0),COUNTIFS($E:$E,E576,$F:$F,F576,$G:$G,G576),"")</f>
        <v>6</v>
      </c>
      <c r="W576" s="122" t="n">
        <f aca="false">IF(V576="","",IF(V576=1,1,IF(AND(E575=E576,F575=F576,G575=G576),W575+1,1)))</f>
        <v>2</v>
      </c>
      <c r="X576" s="0" t="n">
        <v>6</v>
      </c>
      <c r="Y576" s="0" t="n">
        <v>6</v>
      </c>
      <c r="Z576" s="0" t="s">
        <v>5320</v>
      </c>
      <c r="AA576" s="0" t="n">
        <v>0</v>
      </c>
      <c r="AB576" s="0" t="s">
        <v>5309</v>
      </c>
      <c r="AC576" s="0" t="s">
        <v>865</v>
      </c>
      <c r="AD576" s="0" t="s">
        <v>207</v>
      </c>
      <c r="AE576" s="0" t="n">
        <v>0</v>
      </c>
      <c r="AF576" s="0" t="s">
        <v>5310</v>
      </c>
      <c r="AG576" s="0" t="n">
        <v>0</v>
      </c>
      <c r="AH576" s="0" t="s">
        <v>5311</v>
      </c>
      <c r="AI576" s="0" t="s">
        <v>274</v>
      </c>
      <c r="AJ576" s="0" t="s">
        <v>229</v>
      </c>
      <c r="AL576" s="0" t="s">
        <v>5312</v>
      </c>
      <c r="AM576" s="0" t="n">
        <v>2</v>
      </c>
      <c r="AN576" s="0" t="s">
        <v>5311</v>
      </c>
      <c r="AO576" s="0" t="s">
        <v>274</v>
      </c>
      <c r="AP576" s="0" t="s">
        <v>229</v>
      </c>
      <c r="AR576" s="0" t="s">
        <v>5313</v>
      </c>
      <c r="AS576" s="0" t="n">
        <v>2</v>
      </c>
      <c r="AT576" s="0" t="s">
        <v>5311</v>
      </c>
      <c r="AU576" s="0" t="s">
        <v>274</v>
      </c>
      <c r="AV576" s="0" t="s">
        <v>229</v>
      </c>
      <c r="AX576" s="0" t="s">
        <v>5314</v>
      </c>
      <c r="AY576" s="0" t="n">
        <v>1</v>
      </c>
      <c r="AZ576" s="0" t="s">
        <v>5311</v>
      </c>
      <c r="BA576" s="0" t="s">
        <v>274</v>
      </c>
      <c r="BB576" s="0" t="s">
        <v>229</v>
      </c>
      <c r="BD576" s="0" t="s">
        <v>5315</v>
      </c>
      <c r="BE576" s="0" t="n">
        <v>1</v>
      </c>
      <c r="BF576" s="0" t="s">
        <v>5311</v>
      </c>
      <c r="BG576" s="0" t="s">
        <v>274</v>
      </c>
      <c r="BH576" s="0" t="s">
        <v>229</v>
      </c>
      <c r="BJ576" s="0" t="s">
        <v>213</v>
      </c>
      <c r="BK576" s="0" t="n">
        <v>1</v>
      </c>
      <c r="BL576" s="0" t="s">
        <v>5311</v>
      </c>
      <c r="BM576" s="0" t="s">
        <v>274</v>
      </c>
      <c r="BN576" s="0" t="s">
        <v>229</v>
      </c>
      <c r="BR576" s="0" t="n">
        <v>1</v>
      </c>
      <c r="BS576" s="0" t="s">
        <v>5316</v>
      </c>
      <c r="BT576" s="0" t="s">
        <v>5317</v>
      </c>
      <c r="BU576" s="0" t="s">
        <v>216</v>
      </c>
      <c r="BV576" s="123"/>
      <c r="BW576" s="123"/>
      <c r="BX576" s="123"/>
      <c r="BY576" s="123"/>
      <c r="CA576" s="0" t="s">
        <v>216</v>
      </c>
      <c r="CD576" s="0" t="s">
        <v>556</v>
      </c>
      <c r="CE576" s="0" t="n">
        <v>0</v>
      </c>
      <c r="CF576" s="0" t="s">
        <v>5321</v>
      </c>
      <c r="CG576" s="0" t="s">
        <v>218</v>
      </c>
      <c r="CI576" s="1" t="n">
        <v>37921</v>
      </c>
      <c r="CJ576" s="1" t="n">
        <v>40527</v>
      </c>
      <c r="CK576" s="124" t="n">
        <v>0.652777777777778</v>
      </c>
      <c r="CL576" s="0" t="s">
        <v>5319</v>
      </c>
      <c r="CM576" s="0" t="n">
        <f aca="false">IF(OR(CI576="",CJ576=""),"",DAYS360(CI576,CJ576)/360)</f>
        <v>7.13333333333333</v>
      </c>
      <c r="CN576" s="0" t="n">
        <f aca="false">IF(OR(CI576="",CJ576=""),"",DAYS360(CI576,CJ576)/30)</f>
        <v>85.6</v>
      </c>
      <c r="CO576" s="0" t="n">
        <f aca="false">IF(OR(CI576="",CJ576=""),"",DAYS360(CI576,CJ576)/7)</f>
        <v>366.857142857143</v>
      </c>
      <c r="CP576" s="0" t="n">
        <f aca="false">IF(OR(CI576="",CJ576=""),"",DAYS360(CI576,CJ576))</f>
        <v>2568</v>
      </c>
      <c r="CQ576" s="0" t="s">
        <v>240</v>
      </c>
      <c r="CR576" s="0" t="n">
        <v>1</v>
      </c>
      <c r="CT576" s="0" t="s">
        <v>221</v>
      </c>
      <c r="CU576" s="0" t="s">
        <v>221</v>
      </c>
      <c r="CV576" s="0" t="str">
        <f aca="false">IF(OR(CT576="",CT576="NO ESPECIFICA",CT576="NO MENCIONA"),"",IF(CU576=0,CT576,IF(CU576=1,CT576/30,IF(CU576=2,CT576/15,IF(CU576=3,CT576/7,"")))))</f>
        <v/>
      </c>
      <c r="CW576" s="125" t="n">
        <v>4581.87</v>
      </c>
      <c r="CX576" s="0" t="n">
        <v>2</v>
      </c>
      <c r="CY576" s="0" t="n">
        <f aca="false">IF(CW576="","",IF(CX576=0,CW576,IF(CX576=1,CW576/30,IF(CX576=2,CW576/15,IF(CX576=3,CW576/7,CW576)))))</f>
        <v>305.458</v>
      </c>
      <c r="CZ576" s="0" t="n">
        <f aca="false">IF(DI576&gt;0,DI576,IF(CY576&gt;0,CY576,IF(CV576&gt;0,CV576,"")))</f>
        <v>305.45</v>
      </c>
      <c r="DA576" s="0" t="n">
        <f aca="false">IF(DM576=1,CZ576/8,IF(OR(DM576=2,DM576=4),CZ576/7,IF(DM576=3,CZ576/7.5,"")))</f>
        <v>43.6357142857143</v>
      </c>
      <c r="DB576" s="0" t="s">
        <v>216</v>
      </c>
      <c r="DC576" s="0" t="s">
        <v>216</v>
      </c>
      <c r="DD576" s="0" t="s">
        <v>216</v>
      </c>
      <c r="DE576" s="0" t="s">
        <v>216</v>
      </c>
      <c r="DF576" s="0" t="s">
        <v>216</v>
      </c>
      <c r="DG576" s="0" t="s">
        <v>216</v>
      </c>
      <c r="DH576" s="0" t="n">
        <v>0</v>
      </c>
      <c r="DI576" s="126" t="n">
        <v>305.45</v>
      </c>
      <c r="DK576" s="0" t="n">
        <v>0</v>
      </c>
      <c r="DM576" s="0" t="n">
        <v>2</v>
      </c>
      <c r="DN576" s="0" t="n">
        <v>56</v>
      </c>
      <c r="DO576" s="0" t="n">
        <v>3</v>
      </c>
      <c r="DP576" s="0" t="n">
        <v>0</v>
      </c>
      <c r="DQ576" s="0" t="n">
        <v>1</v>
      </c>
      <c r="DR576" s="0"/>
      <c r="DS576" s="0" t="n">
        <v>1</v>
      </c>
      <c r="DU576" s="0" t="n">
        <v>1</v>
      </c>
      <c r="DW576" s="1" t="n">
        <v>37921</v>
      </c>
      <c r="DX576" s="1" t="n">
        <v>40527</v>
      </c>
      <c r="DZ576" s="0"/>
      <c r="EA576" s="0" t="n">
        <v>1</v>
      </c>
      <c r="EC576" s="1" t="n">
        <v>37921</v>
      </c>
      <c r="ED576" s="1" t="n">
        <v>40527</v>
      </c>
      <c r="EF576" s="0"/>
      <c r="EG576" s="0" t="n">
        <v>1</v>
      </c>
      <c r="EH576" s="0" t="n">
        <v>12</v>
      </c>
      <c r="EI576" s="0" t="n">
        <f aca="false">IF(AND(DM576=1,DN576&lt;=48),"",IF(AND(DM576=2,DN576&lt;=42),"",IF(AND(DM576=3,DN576&lt;=45),"",EH576)))</f>
        <v>12</v>
      </c>
      <c r="EJ576" s="0" t="n">
        <f aca="false">IF(EI576="","",IF(EI576&lt;9,EI576,9))</f>
        <v>9</v>
      </c>
      <c r="EK576" s="0" t="n">
        <f aca="false">IF(EI576="","",IF(EI576&gt;9,EI576-EJ576,0))</f>
        <v>3</v>
      </c>
      <c r="EL576" s="0" t="n">
        <f aca="false">IF(EI576="","",EJ576*DA576*2+EK576*DA576*3)</f>
        <v>1178.16428571429</v>
      </c>
      <c r="EP576" s="0" t="n">
        <v>1</v>
      </c>
      <c r="EQ576" s="0"/>
      <c r="ER576" s="0" t="n">
        <v>0</v>
      </c>
      <c r="ET576" s="0" t="n">
        <v>0</v>
      </c>
      <c r="EV576" s="0" t="n">
        <v>1</v>
      </c>
      <c r="EX576" s="0" t="n">
        <v>0</v>
      </c>
      <c r="EY576" s="0" t="n">
        <v>1</v>
      </c>
      <c r="EZ576" s="0"/>
      <c r="FA576" s="4" t="n">
        <v>0</v>
      </c>
      <c r="FB576" s="0" t="n">
        <v>1</v>
      </c>
      <c r="FC576" s="1"/>
      <c r="FF576" s="120" t="n">
        <f aca="false">(CJ576-CI576+1)/365</f>
        <v>7.14246575342466</v>
      </c>
      <c r="FG576" s="0" t="str">
        <f aca="false">CONCATENATE(F576,"/",G576)</f>
        <v>121/2011</v>
      </c>
      <c r="FH576" s="0" t="n">
        <v>1</v>
      </c>
      <c r="FI576" s="0" t="n">
        <f aca="false">IFERROR(IF((FC576-J576+1)/365&gt;3,0,1),"")</f>
        <v>1</v>
      </c>
    </row>
    <row r="577" customFormat="false" ht="15" hidden="false" customHeight="false" outlineLevel="0" collapsed="false">
      <c r="A577" s="5" t="str">
        <f aca="false">E577&amp;G577&amp;F577</f>
        <v>72011121</v>
      </c>
      <c r="B577" s="0" t="s">
        <v>203</v>
      </c>
      <c r="C577" s="1" t="n">
        <v>42356</v>
      </c>
      <c r="E577" s="0" t="n">
        <v>7</v>
      </c>
      <c r="F577" s="0" t="n">
        <v>121</v>
      </c>
      <c r="G577" s="0" t="n">
        <v>2011</v>
      </c>
      <c r="H577" s="0" t="str">
        <f aca="false">"J"&amp;E577&amp;"\"&amp;F577&amp;"\"&amp;G577&amp;"\"&amp;W577</f>
        <v>J7\121\2011\3</v>
      </c>
      <c r="I577" s="0"/>
      <c r="J577" s="1" t="n">
        <v>40562</v>
      </c>
      <c r="K577" s="0" t="n">
        <v>1</v>
      </c>
      <c r="L577" s="0" t="s">
        <v>528</v>
      </c>
      <c r="M577" s="1" t="n">
        <v>40562</v>
      </c>
      <c r="N577" s="1" t="n">
        <v>40625</v>
      </c>
      <c r="O577" s="1"/>
      <c r="P577" s="1"/>
      <c r="Q577" s="1"/>
      <c r="T577" s="121"/>
      <c r="U577" s="121"/>
      <c r="V577" s="122" t="n">
        <f aca="false">IF(AND(E577&gt;0,F577&gt;0,G577&gt;0),COUNTIFS($E:$E,E577,$F:$F,F577,$G:$G,G577),"")</f>
        <v>6</v>
      </c>
      <c r="W577" s="122" t="n">
        <f aca="false">IF(V577="","",IF(V577=1,1,IF(AND(E576=E577,F576=F577,G576=G577),W576+1,1)))</f>
        <v>3</v>
      </c>
      <c r="X577" s="0" t="n">
        <v>6</v>
      </c>
      <c r="Y577" s="0" t="n">
        <v>6</v>
      </c>
      <c r="Z577" s="0" t="s">
        <v>5322</v>
      </c>
      <c r="AA577" s="0" t="n">
        <v>0</v>
      </c>
      <c r="AB577" s="0" t="s">
        <v>5309</v>
      </c>
      <c r="AC577" s="0" t="s">
        <v>865</v>
      </c>
      <c r="AD577" s="0" t="s">
        <v>207</v>
      </c>
      <c r="AE577" s="0" t="n">
        <v>0</v>
      </c>
      <c r="AF577" s="0" t="s">
        <v>5310</v>
      </c>
      <c r="AG577" s="0" t="n">
        <v>0</v>
      </c>
      <c r="AH577" s="0" t="s">
        <v>5311</v>
      </c>
      <c r="AI577" s="0" t="s">
        <v>274</v>
      </c>
      <c r="AJ577" s="0" t="s">
        <v>229</v>
      </c>
      <c r="AL577" s="0" t="s">
        <v>5312</v>
      </c>
      <c r="AM577" s="0" t="n">
        <v>2</v>
      </c>
      <c r="AN577" s="0" t="s">
        <v>5311</v>
      </c>
      <c r="AO577" s="0" t="s">
        <v>274</v>
      </c>
      <c r="AP577" s="0" t="s">
        <v>229</v>
      </c>
      <c r="AR577" s="0" t="s">
        <v>5313</v>
      </c>
      <c r="AS577" s="0" t="n">
        <v>2</v>
      </c>
      <c r="AT577" s="0" t="s">
        <v>5311</v>
      </c>
      <c r="AU577" s="0" t="s">
        <v>274</v>
      </c>
      <c r="AV577" s="0" t="s">
        <v>229</v>
      </c>
      <c r="AX577" s="0" t="s">
        <v>5314</v>
      </c>
      <c r="AY577" s="0" t="n">
        <v>1</v>
      </c>
      <c r="AZ577" s="0" t="s">
        <v>5311</v>
      </c>
      <c r="BA577" s="0" t="s">
        <v>274</v>
      </c>
      <c r="BB577" s="0" t="s">
        <v>229</v>
      </c>
      <c r="BD577" s="0" t="s">
        <v>5315</v>
      </c>
      <c r="BE577" s="0" t="n">
        <v>1</v>
      </c>
      <c r="BF577" s="0" t="s">
        <v>5311</v>
      </c>
      <c r="BG577" s="0" t="s">
        <v>274</v>
      </c>
      <c r="BH577" s="0" t="s">
        <v>229</v>
      </c>
      <c r="BJ577" s="0" t="s">
        <v>213</v>
      </c>
      <c r="BK577" s="0" t="n">
        <v>1</v>
      </c>
      <c r="BL577" s="0" t="s">
        <v>5311</v>
      </c>
      <c r="BM577" s="0" t="s">
        <v>274</v>
      </c>
      <c r="BN577" s="0" t="s">
        <v>229</v>
      </c>
      <c r="BR577" s="0" t="n">
        <v>1</v>
      </c>
      <c r="BS577" s="0" t="s">
        <v>5316</v>
      </c>
      <c r="BT577" s="0" t="s">
        <v>5317</v>
      </c>
      <c r="BU577" s="0" t="s">
        <v>216</v>
      </c>
      <c r="BV577" s="123"/>
      <c r="BW577" s="123"/>
      <c r="BX577" s="123"/>
      <c r="BY577" s="123"/>
      <c r="CA577" s="0" t="s">
        <v>216</v>
      </c>
      <c r="CD577" s="0" t="s">
        <v>556</v>
      </c>
      <c r="CE577" s="0" t="n">
        <v>0</v>
      </c>
      <c r="CF577" s="0" t="s">
        <v>5318</v>
      </c>
      <c r="CG577" s="0" t="s">
        <v>218</v>
      </c>
      <c r="CI577" s="1" t="n">
        <v>35677</v>
      </c>
      <c r="CJ577" s="1" t="n">
        <v>40527</v>
      </c>
      <c r="CK577" s="124" t="n">
        <v>0.652777777777778</v>
      </c>
      <c r="CL577" s="0" t="s">
        <v>5319</v>
      </c>
      <c r="CM577" s="0" t="n">
        <f aca="false">IF(OR(CI577="",CJ577=""),"",DAYS360(CI577,CJ577)/360)</f>
        <v>13.2805555555556</v>
      </c>
      <c r="CN577" s="0" t="n">
        <f aca="false">IF(OR(CI577="",CJ577=""),"",DAYS360(CI577,CJ577)/30)</f>
        <v>159.366666666667</v>
      </c>
      <c r="CO577" s="0" t="n">
        <f aca="false">IF(OR(CI577="",CJ577=""),"",DAYS360(CI577,CJ577)/7)</f>
        <v>683</v>
      </c>
      <c r="CP577" s="0" t="n">
        <f aca="false">IF(OR(CI577="",CJ577=""),"",DAYS360(CI577,CJ577))</f>
        <v>4781</v>
      </c>
      <c r="CQ577" s="0" t="s">
        <v>240</v>
      </c>
      <c r="CR577" s="0" t="n">
        <v>1</v>
      </c>
      <c r="CT577" s="0" t="s">
        <v>221</v>
      </c>
      <c r="CU577" s="0" t="s">
        <v>221</v>
      </c>
      <c r="CV577" s="0" t="str">
        <f aca="false">IF(OR(CT577="",CT577="NO ESPECIFICA",CT577="NO MENCIONA"),"",IF(CU577=0,CT577,IF(CU577=1,CT577/30,IF(CU577=2,CT577/15,IF(CU577=3,CT577/7,"")))))</f>
        <v/>
      </c>
      <c r="CW577" s="125" t="n">
        <v>2863.4</v>
      </c>
      <c r="CX577" s="0" t="n">
        <v>2</v>
      </c>
      <c r="CY577" s="0" t="n">
        <f aca="false">IF(CW577="","",IF(CX577=0,CW577,IF(CX577=1,CW577/30,IF(CX577=2,CW577/15,IF(CX577=3,CW577/7,CW577)))))</f>
        <v>190.893333333333</v>
      </c>
      <c r="CZ577" s="0" t="n">
        <f aca="false">IF(DI577&gt;0,DI577,IF(CY577&gt;0,CY577,IF(CV577&gt;0,CV577,"")))</f>
        <v>190.89</v>
      </c>
      <c r="DA577" s="0" t="n">
        <f aca="false">IF(DM577=1,CZ577/8,IF(OR(DM577=2,DM577=4),CZ577/7,IF(DM577=3,CZ577/7.5,"")))</f>
        <v>25.452</v>
      </c>
      <c r="DB577" s="0" t="s">
        <v>216</v>
      </c>
      <c r="DC577" s="0" t="s">
        <v>216</v>
      </c>
      <c r="DD577" s="0" t="s">
        <v>216</v>
      </c>
      <c r="DE577" s="0" t="s">
        <v>216</v>
      </c>
      <c r="DF577" s="0" t="s">
        <v>216</v>
      </c>
      <c r="DG577" s="0" t="s">
        <v>216</v>
      </c>
      <c r="DH577" s="0" t="n">
        <v>0</v>
      </c>
      <c r="DI577" s="126" t="n">
        <v>190.89</v>
      </c>
      <c r="DK577" s="0" t="n">
        <v>0</v>
      </c>
      <c r="DM577" s="0" t="n">
        <v>3</v>
      </c>
      <c r="DN577" s="0" t="n">
        <v>66.5</v>
      </c>
      <c r="DO577" s="0" t="n">
        <v>3</v>
      </c>
      <c r="DP577" s="0" t="n">
        <v>0</v>
      </c>
      <c r="DQ577" s="0" t="n">
        <v>1</v>
      </c>
      <c r="DR577" s="0"/>
      <c r="DS577" s="0" t="n">
        <v>1</v>
      </c>
      <c r="DU577" s="0" t="n">
        <v>1</v>
      </c>
      <c r="DW577" s="1" t="n">
        <v>35677</v>
      </c>
      <c r="DX577" s="1" t="n">
        <v>40527</v>
      </c>
      <c r="DZ577" s="0"/>
      <c r="EA577" s="0" t="n">
        <v>1</v>
      </c>
      <c r="EC577" s="1" t="n">
        <v>35677</v>
      </c>
      <c r="ED577" s="1" t="n">
        <v>40527</v>
      </c>
      <c r="EF577" s="0"/>
      <c r="EG577" s="0" t="n">
        <v>1</v>
      </c>
      <c r="EH577" s="0" t="n">
        <v>12</v>
      </c>
      <c r="EI577" s="0" t="n">
        <f aca="false">IF(AND(DM577=1,DN577&lt;=48),"",IF(AND(DM577=2,DN577&lt;=42),"",IF(AND(DM577=3,DN577&lt;=45),"",EH577)))</f>
        <v>12</v>
      </c>
      <c r="EJ577" s="0" t="n">
        <f aca="false">IF(EI577="","",IF(EI577&lt;9,EI577,9))</f>
        <v>9</v>
      </c>
      <c r="EK577" s="0" t="n">
        <f aca="false">IF(EI577="","",IF(EI577&gt;9,EI577-EJ577,0))</f>
        <v>3</v>
      </c>
      <c r="EL577" s="0" t="n">
        <f aca="false">IF(EI577="","",EJ577*DA577*2+EK577*DA577*3)</f>
        <v>687.204</v>
      </c>
      <c r="EP577" s="0" t="n">
        <v>1</v>
      </c>
      <c r="EQ577" s="0"/>
      <c r="ER577" s="0" t="n">
        <v>0</v>
      </c>
      <c r="ET577" s="0" t="n">
        <v>0</v>
      </c>
      <c r="EV577" s="0" t="n">
        <v>1</v>
      </c>
      <c r="EX577" s="0" t="n">
        <v>0</v>
      </c>
      <c r="EY577" s="0" t="n">
        <v>1</v>
      </c>
      <c r="EZ577" s="0"/>
      <c r="FA577" s="4" t="n">
        <v>0</v>
      </c>
      <c r="FB577" s="0" t="n">
        <v>1</v>
      </c>
      <c r="FC577" s="1"/>
      <c r="FF577" s="120" t="n">
        <f aca="false">(CJ577-CI577+1)/365</f>
        <v>13.2904109589041</v>
      </c>
      <c r="FG577" s="0" t="str">
        <f aca="false">CONCATENATE(F577,"/",G577)</f>
        <v>121/2011</v>
      </c>
      <c r="FH577" s="0" t="n">
        <v>1</v>
      </c>
      <c r="FI577" s="0" t="n">
        <f aca="false">IFERROR(IF((FC577-J577+1)/365&gt;3,0,1),"")</f>
        <v>1</v>
      </c>
    </row>
    <row r="578" customFormat="false" ht="15" hidden="false" customHeight="false" outlineLevel="0" collapsed="false">
      <c r="A578" s="5" t="str">
        <f aca="false">E578&amp;G578&amp;F578</f>
        <v>72011121</v>
      </c>
      <c r="B578" s="0" t="s">
        <v>203</v>
      </c>
      <c r="C578" s="1" t="n">
        <v>42356</v>
      </c>
      <c r="E578" s="0" t="n">
        <v>7</v>
      </c>
      <c r="F578" s="0" t="n">
        <v>121</v>
      </c>
      <c r="G578" s="0" t="n">
        <v>2011</v>
      </c>
      <c r="H578" s="0" t="str">
        <f aca="false">"J"&amp;E578&amp;"\"&amp;F578&amp;"\"&amp;G578&amp;"\"&amp;W578</f>
        <v>J7\121\2011\4</v>
      </c>
      <c r="I578" s="0"/>
      <c r="J578" s="1" t="n">
        <v>40562</v>
      </c>
      <c r="K578" s="0" t="n">
        <v>1</v>
      </c>
      <c r="L578" s="0" t="s">
        <v>528</v>
      </c>
      <c r="M578" s="1" t="n">
        <v>40562</v>
      </c>
      <c r="N578" s="1" t="n">
        <v>40625</v>
      </c>
      <c r="O578" s="1"/>
      <c r="P578" s="1"/>
      <c r="Q578" s="1"/>
      <c r="T578" s="121"/>
      <c r="U578" s="121"/>
      <c r="V578" s="122" t="n">
        <f aca="false">IF(AND(E578&gt;0,F578&gt;0,G578&gt;0),COUNTIFS($E:$E,E578,$F:$F,F578,$G:$G,G578),"")</f>
        <v>6</v>
      </c>
      <c r="W578" s="122" t="n">
        <f aca="false">IF(V578="","",IF(V578=1,1,IF(AND(E577=E578,F577=F578,G577=G578),W577+1,1)))</f>
        <v>4</v>
      </c>
      <c r="X578" s="0" t="n">
        <v>6</v>
      </c>
      <c r="Y578" s="0" t="n">
        <v>6</v>
      </c>
      <c r="Z578" s="0" t="s">
        <v>5323</v>
      </c>
      <c r="AA578" s="0" t="n">
        <v>0</v>
      </c>
      <c r="AB578" s="0" t="s">
        <v>5309</v>
      </c>
      <c r="AC578" s="0" t="s">
        <v>865</v>
      </c>
      <c r="AD578" s="0" t="s">
        <v>207</v>
      </c>
      <c r="AE578" s="0" t="n">
        <v>0</v>
      </c>
      <c r="AF578" s="0" t="s">
        <v>5310</v>
      </c>
      <c r="AG578" s="0" t="n">
        <v>0</v>
      </c>
      <c r="AH578" s="0" t="s">
        <v>5311</v>
      </c>
      <c r="AI578" s="0" t="s">
        <v>274</v>
      </c>
      <c r="AJ578" s="0" t="s">
        <v>229</v>
      </c>
      <c r="AL578" s="0" t="s">
        <v>5312</v>
      </c>
      <c r="AM578" s="0" t="n">
        <v>2</v>
      </c>
      <c r="AN578" s="0" t="s">
        <v>5311</v>
      </c>
      <c r="AO578" s="0" t="s">
        <v>274</v>
      </c>
      <c r="AP578" s="0" t="s">
        <v>229</v>
      </c>
      <c r="AR578" s="0" t="s">
        <v>5313</v>
      </c>
      <c r="AS578" s="0" t="n">
        <v>2</v>
      </c>
      <c r="AT578" s="0" t="s">
        <v>5311</v>
      </c>
      <c r="AU578" s="0" t="s">
        <v>274</v>
      </c>
      <c r="AV578" s="0" t="s">
        <v>229</v>
      </c>
      <c r="AX578" s="0" t="s">
        <v>5314</v>
      </c>
      <c r="AY578" s="0" t="n">
        <v>1</v>
      </c>
      <c r="AZ578" s="0" t="s">
        <v>5311</v>
      </c>
      <c r="BA578" s="0" t="s">
        <v>274</v>
      </c>
      <c r="BB578" s="0" t="s">
        <v>229</v>
      </c>
      <c r="BD578" s="0" t="s">
        <v>5315</v>
      </c>
      <c r="BE578" s="0" t="n">
        <v>1</v>
      </c>
      <c r="BF578" s="0" t="s">
        <v>5311</v>
      </c>
      <c r="BG578" s="0" t="s">
        <v>274</v>
      </c>
      <c r="BH578" s="0" t="s">
        <v>229</v>
      </c>
      <c r="BJ578" s="0" t="s">
        <v>213</v>
      </c>
      <c r="BK578" s="0" t="n">
        <v>1</v>
      </c>
      <c r="BL578" s="0" t="s">
        <v>5311</v>
      </c>
      <c r="BM578" s="0" t="s">
        <v>274</v>
      </c>
      <c r="BN578" s="0" t="s">
        <v>229</v>
      </c>
      <c r="BR578" s="0" t="n">
        <v>1</v>
      </c>
      <c r="BS578" s="0" t="s">
        <v>5316</v>
      </c>
      <c r="BT578" s="0" t="s">
        <v>5317</v>
      </c>
      <c r="BU578" s="0" t="s">
        <v>216</v>
      </c>
      <c r="BV578" s="123"/>
      <c r="BW578" s="123"/>
      <c r="BX578" s="123"/>
      <c r="BY578" s="123"/>
      <c r="CA578" s="0" t="s">
        <v>216</v>
      </c>
      <c r="CD578" s="0" t="s">
        <v>556</v>
      </c>
      <c r="CE578" s="0" t="n">
        <v>0</v>
      </c>
      <c r="CF578" s="0" t="s">
        <v>5324</v>
      </c>
      <c r="CG578" s="0" t="s">
        <v>218</v>
      </c>
      <c r="CI578" s="1" t="n">
        <v>37865</v>
      </c>
      <c r="CJ578" s="1" t="n">
        <v>40527</v>
      </c>
      <c r="CK578" s="124" t="n">
        <v>0.652777777777778</v>
      </c>
      <c r="CL578" s="0" t="s">
        <v>5319</v>
      </c>
      <c r="CM578" s="0" t="n">
        <f aca="false">IF(OR(CI578="",CJ578=""),"",DAYS360(CI578,CJ578)/360)</f>
        <v>7.28888888888889</v>
      </c>
      <c r="CN578" s="0" t="n">
        <f aca="false">IF(OR(CI578="",CJ578=""),"",DAYS360(CI578,CJ578)/30)</f>
        <v>87.4666666666667</v>
      </c>
      <c r="CO578" s="0" t="n">
        <f aca="false">IF(OR(CI578="",CJ578=""),"",DAYS360(CI578,CJ578)/7)</f>
        <v>374.857142857143</v>
      </c>
      <c r="CP578" s="0" t="n">
        <f aca="false">IF(OR(CI578="",CJ578=""),"",DAYS360(CI578,CJ578))</f>
        <v>2624</v>
      </c>
      <c r="CQ578" s="0" t="s">
        <v>240</v>
      </c>
      <c r="CR578" s="0" t="n">
        <v>1</v>
      </c>
      <c r="CT578" s="0" t="s">
        <v>221</v>
      </c>
      <c r="CU578" s="0" t="s">
        <v>221</v>
      </c>
      <c r="CV578" s="0" t="str">
        <f aca="false">IF(OR(CT578="",CT578="NO ESPECIFICA",CT578="NO MENCIONA"),"",IF(CU578=0,CT578,IF(CU578=1,CT578/30,IF(CU578=2,CT578/15,IF(CU578=3,CT578/7,"")))))</f>
        <v/>
      </c>
      <c r="CW578" s="125" t="n">
        <v>4388.42</v>
      </c>
      <c r="CX578" s="0" t="n">
        <v>2</v>
      </c>
      <c r="CY578" s="0" t="n">
        <f aca="false">IF(CW578="","",IF(CX578=0,CW578,IF(CX578=1,CW578/30,IF(CX578=2,CW578/15,IF(CX578=3,CW578/7,CW578)))))</f>
        <v>292.561333333333</v>
      </c>
      <c r="CZ578" s="0" t="n">
        <f aca="false">IF(DI578&gt;0,DI578,IF(CY578&gt;0,CY578,IF(CV578&gt;0,CV578,"")))</f>
        <v>292.56</v>
      </c>
      <c r="DA578" s="0" t="n">
        <f aca="false">IF(DM578=1,CZ578/8,IF(OR(DM578=2,DM578=4),CZ578/7,IF(DM578=3,CZ578/7.5,"")))</f>
        <v>41.7942857142857</v>
      </c>
      <c r="DB578" s="0" t="s">
        <v>216</v>
      </c>
      <c r="DC578" s="0" t="s">
        <v>216</v>
      </c>
      <c r="DD578" s="0" t="s">
        <v>216</v>
      </c>
      <c r="DE578" s="0" t="s">
        <v>216</v>
      </c>
      <c r="DF578" s="0" t="s">
        <v>216</v>
      </c>
      <c r="DG578" s="0" t="s">
        <v>216</v>
      </c>
      <c r="DH578" s="0" t="n">
        <v>0</v>
      </c>
      <c r="DI578" s="126" t="n">
        <v>292.56</v>
      </c>
      <c r="DK578" s="0" t="n">
        <v>0</v>
      </c>
      <c r="DM578" s="0" t="n">
        <v>2</v>
      </c>
      <c r="DN578" s="0" t="n">
        <v>56</v>
      </c>
      <c r="DO578" s="0" t="n">
        <v>3</v>
      </c>
      <c r="DP578" s="0" t="n">
        <v>0</v>
      </c>
      <c r="DQ578" s="0" t="n">
        <v>1</v>
      </c>
      <c r="DR578" s="0"/>
      <c r="DS578" s="0" t="n">
        <v>1</v>
      </c>
      <c r="DU578" s="0" t="n">
        <v>1</v>
      </c>
      <c r="DW578" s="1" t="n">
        <v>37865</v>
      </c>
      <c r="DX578" s="1" t="n">
        <v>40527</v>
      </c>
      <c r="DZ578" s="0"/>
      <c r="EA578" s="0" t="n">
        <v>1</v>
      </c>
      <c r="EC578" s="1" t="n">
        <v>37865</v>
      </c>
      <c r="ED578" s="1" t="n">
        <v>40527</v>
      </c>
      <c r="EF578" s="0"/>
      <c r="EG578" s="0" t="n">
        <v>1</v>
      </c>
      <c r="EH578" s="0" t="n">
        <v>12</v>
      </c>
      <c r="EI578" s="0" t="n">
        <f aca="false">IF(AND(DM578=1,DN578&lt;=48),"",IF(AND(DM578=2,DN578&lt;=42),"",IF(AND(DM578=3,DN578&lt;=45),"",EH578)))</f>
        <v>12</v>
      </c>
      <c r="EJ578" s="0" t="n">
        <f aca="false">IF(EI578="","",IF(EI578&lt;9,EI578,9))</f>
        <v>9</v>
      </c>
      <c r="EK578" s="0" t="n">
        <f aca="false">IF(EI578="","",IF(EI578&gt;9,EI578-EJ578,0))</f>
        <v>3</v>
      </c>
      <c r="EL578" s="0" t="n">
        <f aca="false">IF(EI578="","",EJ578*DA578*2+EK578*DA578*3)</f>
        <v>1128.44571428571</v>
      </c>
      <c r="EP578" s="0" t="n">
        <v>1</v>
      </c>
      <c r="EQ578" s="0"/>
      <c r="ER578" s="0" t="n">
        <v>0</v>
      </c>
      <c r="ET578" s="0" t="n">
        <v>0</v>
      </c>
      <c r="EV578" s="0" t="n">
        <v>1</v>
      </c>
      <c r="EX578" s="0" t="n">
        <v>0</v>
      </c>
      <c r="EY578" s="0" t="n">
        <v>1</v>
      </c>
      <c r="EZ578" s="0"/>
      <c r="FA578" s="4" t="n">
        <v>0</v>
      </c>
      <c r="FB578" s="0" t="n">
        <v>1</v>
      </c>
      <c r="FC578" s="1"/>
      <c r="FF578" s="120" t="n">
        <f aca="false">(CJ578-CI578+1)/365</f>
        <v>7.2958904109589</v>
      </c>
      <c r="FG578" s="0" t="str">
        <f aca="false">CONCATENATE(F578,"/",G578)</f>
        <v>121/2011</v>
      </c>
      <c r="FH578" s="0" t="n">
        <v>1</v>
      </c>
      <c r="FI578" s="0" t="n">
        <f aca="false">IFERROR(IF((FC578-J578+1)/365&gt;3,0,1),"")</f>
        <v>1</v>
      </c>
    </row>
    <row r="579" customFormat="false" ht="15" hidden="false" customHeight="false" outlineLevel="0" collapsed="false">
      <c r="A579" s="5" t="str">
        <f aca="false">E579&amp;G579&amp;F579</f>
        <v>72011121</v>
      </c>
      <c r="B579" s="0" t="s">
        <v>203</v>
      </c>
      <c r="C579" s="1" t="n">
        <v>42356</v>
      </c>
      <c r="E579" s="0" t="n">
        <v>7</v>
      </c>
      <c r="F579" s="0" t="n">
        <v>121</v>
      </c>
      <c r="G579" s="0" t="n">
        <v>2011</v>
      </c>
      <c r="H579" s="0" t="str">
        <f aca="false">"J"&amp;E579&amp;"\"&amp;F579&amp;"\"&amp;G579&amp;"\"&amp;W579</f>
        <v>J7\121\2011\5</v>
      </c>
      <c r="I579" s="0"/>
      <c r="J579" s="1" t="n">
        <v>40562</v>
      </c>
      <c r="K579" s="0" t="n">
        <v>1</v>
      </c>
      <c r="L579" s="0" t="s">
        <v>528</v>
      </c>
      <c r="M579" s="1" t="n">
        <v>40562</v>
      </c>
      <c r="N579" s="1" t="n">
        <v>40625</v>
      </c>
      <c r="O579" s="1"/>
      <c r="P579" s="1"/>
      <c r="Q579" s="1"/>
      <c r="T579" s="121"/>
      <c r="U579" s="121"/>
      <c r="V579" s="122" t="n">
        <f aca="false">IF(AND(E579&gt;0,F579&gt;0,G579&gt;0),COUNTIFS($E:$E,E579,$F:$F,F579,$G:$G,G579),"")</f>
        <v>6</v>
      </c>
      <c r="W579" s="122" t="n">
        <f aca="false">IF(V579="","",IF(V579=1,1,IF(AND(E578=E579,F578=F579,G578=G579),W578+1,1)))</f>
        <v>5</v>
      </c>
      <c r="X579" s="0" t="n">
        <v>6</v>
      </c>
      <c r="Y579" s="0" t="n">
        <v>6</v>
      </c>
      <c r="Z579" s="0" t="s">
        <v>5325</v>
      </c>
      <c r="AA579" s="0" t="n">
        <v>0</v>
      </c>
      <c r="AB579" s="0" t="s">
        <v>5309</v>
      </c>
      <c r="AC579" s="0" t="s">
        <v>865</v>
      </c>
      <c r="AD579" s="0" t="s">
        <v>207</v>
      </c>
      <c r="AE579" s="0" t="n">
        <v>0</v>
      </c>
      <c r="AF579" s="0" t="s">
        <v>5310</v>
      </c>
      <c r="AG579" s="0" t="n">
        <v>0</v>
      </c>
      <c r="AH579" s="0" t="s">
        <v>5311</v>
      </c>
      <c r="AI579" s="0" t="s">
        <v>274</v>
      </c>
      <c r="AJ579" s="0" t="s">
        <v>229</v>
      </c>
      <c r="AL579" s="0" t="s">
        <v>5312</v>
      </c>
      <c r="AM579" s="0" t="n">
        <v>2</v>
      </c>
      <c r="AN579" s="0" t="s">
        <v>5311</v>
      </c>
      <c r="AO579" s="0" t="s">
        <v>274</v>
      </c>
      <c r="AP579" s="0" t="s">
        <v>229</v>
      </c>
      <c r="AR579" s="0" t="s">
        <v>5313</v>
      </c>
      <c r="AS579" s="0" t="n">
        <v>2</v>
      </c>
      <c r="AT579" s="0" t="s">
        <v>5311</v>
      </c>
      <c r="AU579" s="0" t="s">
        <v>274</v>
      </c>
      <c r="AV579" s="0" t="s">
        <v>229</v>
      </c>
      <c r="AX579" s="0" t="s">
        <v>5314</v>
      </c>
      <c r="AY579" s="0" t="n">
        <v>1</v>
      </c>
      <c r="AZ579" s="0" t="s">
        <v>5311</v>
      </c>
      <c r="BA579" s="0" t="s">
        <v>274</v>
      </c>
      <c r="BB579" s="0" t="s">
        <v>229</v>
      </c>
      <c r="BD579" s="0" t="s">
        <v>5315</v>
      </c>
      <c r="BE579" s="0" t="n">
        <v>1</v>
      </c>
      <c r="BF579" s="0" t="s">
        <v>5311</v>
      </c>
      <c r="BG579" s="0" t="s">
        <v>274</v>
      </c>
      <c r="BH579" s="0" t="s">
        <v>229</v>
      </c>
      <c r="BJ579" s="0" t="s">
        <v>213</v>
      </c>
      <c r="BK579" s="0" t="n">
        <v>1</v>
      </c>
      <c r="BL579" s="0" t="s">
        <v>5311</v>
      </c>
      <c r="BM579" s="0" t="s">
        <v>274</v>
      </c>
      <c r="BN579" s="0" t="s">
        <v>229</v>
      </c>
      <c r="BR579" s="0" t="n">
        <v>1</v>
      </c>
      <c r="BS579" s="0" t="s">
        <v>5316</v>
      </c>
      <c r="BT579" s="0" t="s">
        <v>5317</v>
      </c>
      <c r="BU579" s="0" t="s">
        <v>216</v>
      </c>
      <c r="BV579" s="123"/>
      <c r="BW579" s="123"/>
      <c r="BX579" s="123"/>
      <c r="BY579" s="123"/>
      <c r="CA579" s="0" t="s">
        <v>216</v>
      </c>
      <c r="CD579" s="0" t="s">
        <v>556</v>
      </c>
      <c r="CE579" s="0" t="n">
        <v>0</v>
      </c>
      <c r="CF579" s="0" t="s">
        <v>5326</v>
      </c>
      <c r="CG579" s="0" t="s">
        <v>218</v>
      </c>
      <c r="CI579" s="1" t="n">
        <v>38749</v>
      </c>
      <c r="CJ579" s="1" t="n">
        <v>40527</v>
      </c>
      <c r="CK579" s="124" t="n">
        <v>0.652777777777778</v>
      </c>
      <c r="CL579" s="0" t="s">
        <v>5319</v>
      </c>
      <c r="CM579" s="0" t="n">
        <f aca="false">IF(OR(CI579="",CJ579=""),"",DAYS360(CI579,CJ579)/360)</f>
        <v>4.87222222222222</v>
      </c>
      <c r="CN579" s="0" t="n">
        <f aca="false">IF(OR(CI579="",CJ579=""),"",DAYS360(CI579,CJ579)/30)</f>
        <v>58.4666666666667</v>
      </c>
      <c r="CO579" s="0" t="n">
        <f aca="false">IF(OR(CI579="",CJ579=""),"",DAYS360(CI579,CJ579)/7)</f>
        <v>250.571428571429</v>
      </c>
      <c r="CP579" s="0" t="n">
        <f aca="false">IF(OR(CI579="",CJ579=""),"",DAYS360(CI579,CJ579))</f>
        <v>1754</v>
      </c>
      <c r="CQ579" s="0" t="s">
        <v>240</v>
      </c>
      <c r="CR579" s="0" t="n">
        <v>1</v>
      </c>
      <c r="CT579" s="0" t="s">
        <v>221</v>
      </c>
      <c r="CU579" s="0" t="s">
        <v>221</v>
      </c>
      <c r="CV579" s="0" t="str">
        <f aca="false">IF(OR(CT579="",CT579="NO ESPECIFICA",CT579="NO MENCIONA"),"",IF(CU579=0,CT579,IF(CU579=1,CT579/30,IF(CU579=2,CT579/15,IF(CU579=3,CT579/7,"")))))</f>
        <v/>
      </c>
      <c r="CW579" s="125" t="n">
        <v>3180.85</v>
      </c>
      <c r="CX579" s="0" t="n">
        <v>2</v>
      </c>
      <c r="CY579" s="0" t="n">
        <f aca="false">IF(CW579="","",IF(CX579=0,CW579,IF(CX579=1,CW579/30,IF(CX579=2,CW579/15,IF(CX579=3,CW579/7,CW579)))))</f>
        <v>212.056666666667</v>
      </c>
      <c r="CZ579" s="0" t="n">
        <f aca="false">IF(DI579&gt;0,DI579,IF(CY579&gt;0,CY579,IF(CV579&gt;0,CV579,"")))</f>
        <v>212.05</v>
      </c>
      <c r="DA579" s="0" t="n">
        <f aca="false">IF(DM579=1,CZ579/8,IF(OR(DM579=2,DM579=4),CZ579/7,IF(DM579=3,CZ579/7.5,"")))</f>
        <v>28.2733333333333</v>
      </c>
      <c r="DB579" s="0" t="s">
        <v>216</v>
      </c>
      <c r="DC579" s="0" t="s">
        <v>216</v>
      </c>
      <c r="DD579" s="0" t="s">
        <v>216</v>
      </c>
      <c r="DE579" s="0" t="s">
        <v>216</v>
      </c>
      <c r="DF579" s="0" t="s">
        <v>216</v>
      </c>
      <c r="DG579" s="0" t="s">
        <v>216</v>
      </c>
      <c r="DH579" s="0" t="n">
        <v>0</v>
      </c>
      <c r="DI579" s="126" t="n">
        <v>212.05</v>
      </c>
      <c r="DK579" s="0" t="n">
        <v>0</v>
      </c>
      <c r="DM579" s="0" t="n">
        <v>3</v>
      </c>
      <c r="DN579" s="0" t="n">
        <v>70</v>
      </c>
      <c r="DO579" s="0" t="n">
        <v>3</v>
      </c>
      <c r="DP579" s="0" t="n">
        <v>0</v>
      </c>
      <c r="DQ579" s="0" t="n">
        <v>1</v>
      </c>
      <c r="DR579" s="0"/>
      <c r="DS579" s="0" t="n">
        <v>1</v>
      </c>
      <c r="DU579" s="0" t="n">
        <v>1</v>
      </c>
      <c r="DW579" s="1" t="n">
        <v>38749</v>
      </c>
      <c r="DX579" s="1" t="n">
        <v>40527</v>
      </c>
      <c r="DZ579" s="0"/>
      <c r="EA579" s="0" t="n">
        <v>1</v>
      </c>
      <c r="EC579" s="1" t="n">
        <v>38749</v>
      </c>
      <c r="ED579" s="1" t="n">
        <v>40527</v>
      </c>
      <c r="EF579" s="0"/>
      <c r="EG579" s="0" t="n">
        <v>1</v>
      </c>
      <c r="EH579" s="0" t="n">
        <v>12</v>
      </c>
      <c r="EI579" s="0" t="n">
        <f aca="false">IF(AND(DM579=1,DN579&lt;=48),"",IF(AND(DM579=2,DN579&lt;=42),"",IF(AND(DM579=3,DN579&lt;=45),"",EH579)))</f>
        <v>12</v>
      </c>
      <c r="EJ579" s="0" t="n">
        <f aca="false">IF(EI579="","",IF(EI579&lt;9,EI579,9))</f>
        <v>9</v>
      </c>
      <c r="EK579" s="0" t="n">
        <f aca="false">IF(EI579="","",IF(EI579&gt;9,EI579-EJ579,0))</f>
        <v>3</v>
      </c>
      <c r="EL579" s="0" t="n">
        <f aca="false">IF(EI579="","",EJ579*DA579*2+EK579*DA579*3)</f>
        <v>763.38</v>
      </c>
      <c r="EP579" s="0" t="n">
        <v>1</v>
      </c>
      <c r="EQ579" s="0"/>
      <c r="ER579" s="0" t="n">
        <v>0</v>
      </c>
      <c r="ET579" s="0" t="n">
        <v>0</v>
      </c>
      <c r="EV579" s="0" t="n">
        <v>1</v>
      </c>
      <c r="EX579" s="0" t="n">
        <v>0</v>
      </c>
      <c r="EY579" s="0" t="n">
        <v>1</v>
      </c>
      <c r="EZ579" s="0"/>
      <c r="FA579" s="4" t="n">
        <v>0</v>
      </c>
      <c r="FB579" s="0" t="n">
        <v>1</v>
      </c>
      <c r="FC579" s="1"/>
      <c r="FF579" s="120" t="n">
        <f aca="false">(CJ579-CI579+1)/365</f>
        <v>4.87397260273973</v>
      </c>
      <c r="FG579" s="0" t="str">
        <f aca="false">CONCATENATE(F579,"/",G579)</f>
        <v>121/2011</v>
      </c>
      <c r="FH579" s="0" t="n">
        <v>1</v>
      </c>
      <c r="FI579" s="0" t="n">
        <f aca="false">IFERROR(IF((FC579-J579+1)/365&gt;3,0,1),"")</f>
        <v>1</v>
      </c>
    </row>
    <row r="580" customFormat="false" ht="15" hidden="false" customHeight="false" outlineLevel="0" collapsed="false">
      <c r="A580" s="5" t="str">
        <f aca="false">E580&amp;G580&amp;F580</f>
        <v>72011121</v>
      </c>
      <c r="B580" s="0" t="s">
        <v>203</v>
      </c>
      <c r="C580" s="1" t="n">
        <v>42356</v>
      </c>
      <c r="E580" s="0" t="n">
        <v>7</v>
      </c>
      <c r="F580" s="0" t="n">
        <v>121</v>
      </c>
      <c r="G580" s="0" t="n">
        <v>2011</v>
      </c>
      <c r="H580" s="0" t="str">
        <f aca="false">"J"&amp;E580&amp;"\"&amp;F580&amp;"\"&amp;G580&amp;"\"&amp;W580</f>
        <v>J7\121\2011\6</v>
      </c>
      <c r="I580" s="0"/>
      <c r="J580" s="1" t="n">
        <v>40562</v>
      </c>
      <c r="K580" s="0" t="n">
        <v>1</v>
      </c>
      <c r="L580" s="0" t="s">
        <v>528</v>
      </c>
      <c r="M580" s="1" t="n">
        <v>40562</v>
      </c>
      <c r="N580" s="1" t="n">
        <v>40625</v>
      </c>
      <c r="O580" s="1"/>
      <c r="P580" s="1"/>
      <c r="Q580" s="1"/>
      <c r="T580" s="121"/>
      <c r="U580" s="121"/>
      <c r="V580" s="122" t="n">
        <f aca="false">IF(AND(E580&gt;0,F580&gt;0,G580&gt;0),COUNTIFS($E:$E,E580,$F:$F,F580,$G:$G,G580),"")</f>
        <v>6</v>
      </c>
      <c r="W580" s="122" t="n">
        <f aca="false">IF(V580="","",IF(V580=1,1,IF(AND(E579=E580,F579=F580,G579=G580),W579+1,1)))</f>
        <v>6</v>
      </c>
      <c r="X580" s="0" t="n">
        <v>6</v>
      </c>
      <c r="Y580" s="0" t="n">
        <v>6</v>
      </c>
      <c r="Z580" s="0" t="s">
        <v>5327</v>
      </c>
      <c r="AA580" s="0" t="n">
        <v>0</v>
      </c>
      <c r="AB580" s="0" t="s">
        <v>5309</v>
      </c>
      <c r="AC580" s="0" t="s">
        <v>865</v>
      </c>
      <c r="AD580" s="0" t="s">
        <v>207</v>
      </c>
      <c r="AE580" s="0" t="n">
        <v>0</v>
      </c>
      <c r="AF580" s="0" t="s">
        <v>5310</v>
      </c>
      <c r="AG580" s="0" t="n">
        <v>0</v>
      </c>
      <c r="AH580" s="0" t="s">
        <v>5311</v>
      </c>
      <c r="AI580" s="0" t="s">
        <v>274</v>
      </c>
      <c r="AJ580" s="0" t="s">
        <v>229</v>
      </c>
      <c r="AL580" s="0" t="s">
        <v>5312</v>
      </c>
      <c r="AM580" s="0" t="n">
        <v>2</v>
      </c>
      <c r="AN580" s="0" t="s">
        <v>5311</v>
      </c>
      <c r="AO580" s="0" t="s">
        <v>274</v>
      </c>
      <c r="AP580" s="0" t="s">
        <v>229</v>
      </c>
      <c r="AR580" s="0" t="s">
        <v>5313</v>
      </c>
      <c r="AS580" s="0" t="n">
        <v>2</v>
      </c>
      <c r="AT580" s="0" t="s">
        <v>5311</v>
      </c>
      <c r="AU580" s="0" t="s">
        <v>274</v>
      </c>
      <c r="AV580" s="0" t="s">
        <v>229</v>
      </c>
      <c r="AX580" s="0" t="s">
        <v>5314</v>
      </c>
      <c r="AY580" s="0" t="n">
        <v>1</v>
      </c>
      <c r="AZ580" s="0" t="s">
        <v>5311</v>
      </c>
      <c r="BA580" s="0" t="s">
        <v>274</v>
      </c>
      <c r="BB580" s="0" t="s">
        <v>229</v>
      </c>
      <c r="BD580" s="0" t="s">
        <v>5315</v>
      </c>
      <c r="BE580" s="0" t="n">
        <v>1</v>
      </c>
      <c r="BF580" s="0" t="s">
        <v>5311</v>
      </c>
      <c r="BG580" s="0" t="s">
        <v>274</v>
      </c>
      <c r="BH580" s="0" t="s">
        <v>229</v>
      </c>
      <c r="BJ580" s="0" t="s">
        <v>213</v>
      </c>
      <c r="BK580" s="0" t="n">
        <v>1</v>
      </c>
      <c r="BL580" s="0" t="s">
        <v>5311</v>
      </c>
      <c r="BM580" s="0" t="s">
        <v>274</v>
      </c>
      <c r="BN580" s="0" t="s">
        <v>229</v>
      </c>
      <c r="BR580" s="0" t="n">
        <v>1</v>
      </c>
      <c r="BS580" s="0" t="s">
        <v>5316</v>
      </c>
      <c r="BT580" s="0" t="s">
        <v>5317</v>
      </c>
      <c r="BU580" s="0" t="s">
        <v>216</v>
      </c>
      <c r="BV580" s="123"/>
      <c r="BW580" s="123"/>
      <c r="BX580" s="123"/>
      <c r="BY580" s="123"/>
      <c r="CA580" s="0" t="s">
        <v>216</v>
      </c>
      <c r="CD580" s="0" t="s">
        <v>556</v>
      </c>
      <c r="CE580" s="0" t="n">
        <v>0</v>
      </c>
      <c r="CF580" s="0" t="s">
        <v>5318</v>
      </c>
      <c r="CG580" s="0" t="s">
        <v>218</v>
      </c>
      <c r="CI580" s="1" t="n">
        <v>38313</v>
      </c>
      <c r="CJ580" s="1" t="n">
        <v>40527</v>
      </c>
      <c r="CK580" s="124" t="n">
        <v>0.652777777777778</v>
      </c>
      <c r="CL580" s="0" t="s">
        <v>5319</v>
      </c>
      <c r="CM580" s="0" t="n">
        <f aca="false">IF(OR(CI580="",CJ580=""),"",DAYS360(CI580,CJ580)/360)</f>
        <v>6.06388888888889</v>
      </c>
      <c r="CN580" s="0" t="n">
        <f aca="false">IF(OR(CI580="",CJ580=""),"",DAYS360(CI580,CJ580)/30)</f>
        <v>72.7666666666667</v>
      </c>
      <c r="CO580" s="0" t="n">
        <f aca="false">IF(OR(CI580="",CJ580=""),"",DAYS360(CI580,CJ580)/7)</f>
        <v>311.857142857143</v>
      </c>
      <c r="CP580" s="0" t="n">
        <f aca="false">IF(OR(CI580="",CJ580=""),"",DAYS360(CI580,CJ580))</f>
        <v>2183</v>
      </c>
      <c r="CQ580" s="0" t="s">
        <v>240</v>
      </c>
      <c r="CR580" s="0" t="n">
        <v>1</v>
      </c>
      <c r="CT580" s="0" t="s">
        <v>221</v>
      </c>
      <c r="CU580" s="0" t="s">
        <v>221</v>
      </c>
      <c r="CV580" s="0" t="str">
        <f aca="false">IF(OR(CT580="",CT580="NO ESPECIFICA",CT580="NO MENCIONA"),"",IF(CU580=0,CT580,IF(CU580=1,CT580/30,IF(CU580=2,CT580/15,IF(CU580=3,CT580/7,"")))))</f>
        <v/>
      </c>
      <c r="CW580" s="125" t="n">
        <v>3331.73</v>
      </c>
      <c r="CX580" s="0" t="n">
        <v>2</v>
      </c>
      <c r="CY580" s="0" t="n">
        <f aca="false">IF(CW580="","",IF(CX580=0,CW580,IF(CX580=1,CW580/30,IF(CX580=2,CW580/15,IF(CX580=3,CW580/7,CW580)))))</f>
        <v>222.115333333333</v>
      </c>
      <c r="CZ580" s="0" t="n">
        <f aca="false">IF(DI580&gt;0,DI580,IF(CY580&gt;0,CY580,IF(CV580&gt;0,CV580,"")))</f>
        <v>222.11</v>
      </c>
      <c r="DA580" s="0" t="n">
        <f aca="false">IF(DM580=1,CZ580/8,IF(OR(DM580=2,DM580=4),CZ580/7,IF(DM580=3,CZ580/7.5,"")))</f>
        <v>29.6146666666667</v>
      </c>
      <c r="DB580" s="0" t="s">
        <v>216</v>
      </c>
      <c r="DC580" s="0" t="s">
        <v>216</v>
      </c>
      <c r="DD580" s="0" t="s">
        <v>216</v>
      </c>
      <c r="DE580" s="0" t="s">
        <v>216</v>
      </c>
      <c r="DF580" s="0" t="s">
        <v>216</v>
      </c>
      <c r="DG580" s="0" t="s">
        <v>216</v>
      </c>
      <c r="DH580" s="0" t="n">
        <v>0</v>
      </c>
      <c r="DI580" s="126" t="n">
        <v>222.11</v>
      </c>
      <c r="DK580" s="0" t="n">
        <v>1</v>
      </c>
      <c r="DM580" s="0" t="n">
        <v>3</v>
      </c>
      <c r="DN580" s="0" t="n">
        <v>70</v>
      </c>
      <c r="DO580" s="0" t="n">
        <v>3</v>
      </c>
      <c r="DP580" s="0" t="n">
        <v>0</v>
      </c>
      <c r="DQ580" s="0" t="n">
        <v>1</v>
      </c>
      <c r="DR580" s="0"/>
      <c r="DS580" s="0" t="n">
        <v>1</v>
      </c>
      <c r="DU580" s="0" t="n">
        <v>1</v>
      </c>
      <c r="DW580" s="1" t="n">
        <v>38313</v>
      </c>
      <c r="DX580" s="1" t="n">
        <v>40527</v>
      </c>
      <c r="DZ580" s="0"/>
      <c r="EA580" s="0" t="n">
        <v>1</v>
      </c>
      <c r="EC580" s="1" t="n">
        <v>38313</v>
      </c>
      <c r="ED580" s="1" t="n">
        <v>40527</v>
      </c>
      <c r="EF580" s="0"/>
      <c r="EG580" s="0" t="n">
        <v>1</v>
      </c>
      <c r="EH580" s="0" t="n">
        <v>12</v>
      </c>
      <c r="EI580" s="0" t="n">
        <f aca="false">IF(AND(DM580=1,DN580&lt;=48),"",IF(AND(DM580=2,DN580&lt;=42),"",IF(AND(DM580=3,DN580&lt;=45),"",EH580)))</f>
        <v>12</v>
      </c>
      <c r="EJ580" s="0" t="n">
        <f aca="false">IF(EI580="","",IF(EI580&lt;9,EI580,9))</f>
        <v>9</v>
      </c>
      <c r="EK580" s="0" t="n">
        <f aca="false">IF(EI580="","",IF(EI580&gt;9,EI580-EJ580,0))</f>
        <v>3</v>
      </c>
      <c r="EL580" s="0" t="n">
        <f aca="false">IF(EI580="","",EJ580*DA580*2+EK580*DA580*3)</f>
        <v>799.596</v>
      </c>
      <c r="EP580" s="0" t="n">
        <v>1</v>
      </c>
      <c r="EQ580" s="0"/>
      <c r="ER580" s="0" t="n">
        <v>0</v>
      </c>
      <c r="ET580" s="0" t="n">
        <v>0</v>
      </c>
      <c r="EV580" s="0" t="n">
        <v>1</v>
      </c>
      <c r="EX580" s="0" t="n">
        <v>0</v>
      </c>
      <c r="EY580" s="0" t="n">
        <v>1</v>
      </c>
      <c r="EZ580" s="0"/>
      <c r="FA580" s="4" t="n">
        <v>0</v>
      </c>
      <c r="FB580" s="0" t="n">
        <v>1</v>
      </c>
      <c r="FC580" s="1"/>
      <c r="FF580" s="120" t="n">
        <f aca="false">(CJ580-CI580+1)/365</f>
        <v>6.06849315068493</v>
      </c>
      <c r="FG580" s="0" t="str">
        <f aca="false">CONCATENATE(F580,"/",G580)</f>
        <v>121/2011</v>
      </c>
      <c r="FH580" s="0" t="n">
        <v>1</v>
      </c>
      <c r="FI580" s="0" t="n">
        <f aca="false">IFERROR(IF((FC580-J580+1)/365&gt;3,0,1),"")</f>
        <v>1</v>
      </c>
    </row>
    <row r="581" customFormat="false" ht="15" hidden="false" customHeight="false" outlineLevel="0" collapsed="false">
      <c r="A581" s="5" t="str">
        <f aca="false">E581&amp;G581&amp;F581</f>
        <v>72011125</v>
      </c>
      <c r="B581" s="0" t="s">
        <v>203</v>
      </c>
      <c r="C581" s="1" t="n">
        <v>42356</v>
      </c>
      <c r="E581" s="0" t="n">
        <v>7</v>
      </c>
      <c r="F581" s="0" t="n">
        <v>125</v>
      </c>
      <c r="G581" s="0" t="n">
        <v>2011</v>
      </c>
      <c r="H581" s="0" t="str">
        <f aca="false">"J"&amp;E581&amp;"\"&amp;F581&amp;"\"&amp;G581&amp;"\"&amp;W581</f>
        <v>J7\125\2011\1</v>
      </c>
      <c r="I581" s="0"/>
      <c r="J581" s="1" t="n">
        <v>40563</v>
      </c>
      <c r="K581" s="0" t="n">
        <v>0</v>
      </c>
      <c r="M581" s="1" t="n">
        <v>40563</v>
      </c>
      <c r="N581" s="1" t="n">
        <v>40626</v>
      </c>
      <c r="O581" s="1"/>
      <c r="P581" s="1"/>
      <c r="Q581" s="1"/>
      <c r="T581" s="121"/>
      <c r="U581" s="121"/>
      <c r="V581" s="122" t="n">
        <f aca="false">IF(AND(E581&gt;0,F581&gt;0,G581&gt;0),COUNTIFS($E:$E,E581,$F:$F,F581,$G:$G,G581),"")</f>
        <v>1</v>
      </c>
      <c r="W581" s="122" t="n">
        <f aca="false">IF(V581="","",IF(V581=1,1,IF(AND(E580=E581,F580=F581,G580=G581),W580+1,1)))</f>
        <v>1</v>
      </c>
      <c r="X581" s="0" t="n">
        <v>1</v>
      </c>
      <c r="Y581" s="0" t="n">
        <v>4</v>
      </c>
      <c r="Z581" s="0" t="s">
        <v>5328</v>
      </c>
      <c r="AA581" s="0" t="n">
        <v>0</v>
      </c>
      <c r="AB581" s="0" t="s">
        <v>5329</v>
      </c>
      <c r="AC581" s="0" t="s">
        <v>2218</v>
      </c>
      <c r="AD581" s="0" t="s">
        <v>485</v>
      </c>
      <c r="AE581" s="0" t="n">
        <v>0</v>
      </c>
      <c r="AF581" s="0" t="s">
        <v>5330</v>
      </c>
      <c r="AG581" s="0" t="n">
        <v>0</v>
      </c>
      <c r="AH581" s="0" t="s">
        <v>5331</v>
      </c>
      <c r="AI581" s="0" t="s">
        <v>5332</v>
      </c>
      <c r="AJ581" s="0" t="s">
        <v>411</v>
      </c>
      <c r="AL581" s="0" t="s">
        <v>5333</v>
      </c>
      <c r="AM581" s="0" t="n">
        <v>1</v>
      </c>
      <c r="AN581" s="0" t="s">
        <v>5331</v>
      </c>
      <c r="AO581" s="0" t="s">
        <v>5332</v>
      </c>
      <c r="AP581" s="0" t="s">
        <v>411</v>
      </c>
      <c r="AR581" s="0" t="s">
        <v>5334</v>
      </c>
      <c r="AS581" s="0" t="n">
        <v>1</v>
      </c>
      <c r="AT581" s="0" t="s">
        <v>5331</v>
      </c>
      <c r="AU581" s="0" t="s">
        <v>5332</v>
      </c>
      <c r="AV581" s="0" t="s">
        <v>411</v>
      </c>
      <c r="AX581" s="0" t="s">
        <v>213</v>
      </c>
      <c r="AY581" s="0" t="n">
        <v>1</v>
      </c>
      <c r="AZ581" s="0" t="s">
        <v>5331</v>
      </c>
      <c r="BA581" s="0" t="s">
        <v>5332</v>
      </c>
      <c r="BB581" s="0" t="s">
        <v>411</v>
      </c>
      <c r="BR581" s="0" t="n">
        <v>1</v>
      </c>
      <c r="BS581" s="0" t="s">
        <v>5335</v>
      </c>
      <c r="BT581" s="0" t="s">
        <v>5336</v>
      </c>
      <c r="BU581" s="0" t="s">
        <v>5337</v>
      </c>
      <c r="BV581" s="123"/>
      <c r="BW581" s="123"/>
      <c r="BX581" s="123"/>
      <c r="BY581" s="123"/>
      <c r="CA581" s="0" t="s">
        <v>216</v>
      </c>
      <c r="CD581" s="0" t="s">
        <v>216</v>
      </c>
      <c r="CE581" s="0" t="n">
        <v>0</v>
      </c>
      <c r="CF581" s="0" t="s">
        <v>2213</v>
      </c>
      <c r="CG581" s="0" t="s">
        <v>218</v>
      </c>
      <c r="CI581" s="1" t="n">
        <v>39120</v>
      </c>
      <c r="CJ581" s="1" t="n">
        <v>40504</v>
      </c>
      <c r="CK581" s="124" t="n">
        <v>0.375</v>
      </c>
      <c r="CL581" s="0" t="s">
        <v>5333</v>
      </c>
      <c r="CM581" s="0" t="n">
        <f aca="false">IF(OR(CI581="",CJ581=""),"",DAYS360(CI581,CJ581)/360)</f>
        <v>3.79166666666667</v>
      </c>
      <c r="CN581" s="0" t="n">
        <f aca="false">IF(OR(CI581="",CJ581=""),"",DAYS360(CI581,CJ581)/30)</f>
        <v>45.5</v>
      </c>
      <c r="CO581" s="0" t="n">
        <f aca="false">IF(OR(CI581="",CJ581=""),"",DAYS360(CI581,CJ581)/7)</f>
        <v>195</v>
      </c>
      <c r="CP581" s="0" t="n">
        <f aca="false">IF(OR(CI581="",CJ581=""),"",DAYS360(CI581,CJ581))</f>
        <v>1365</v>
      </c>
      <c r="CQ581" s="0" t="s">
        <v>220</v>
      </c>
      <c r="CR581" s="0" t="n">
        <v>1</v>
      </c>
      <c r="CT581" s="0" t="n">
        <v>2000</v>
      </c>
      <c r="CU581" s="0" t="n">
        <v>3</v>
      </c>
      <c r="CV581" s="0" t="n">
        <f aca="false">IF(OR(CT581="",CT581="NO ESPECIFICA",CT581="NO MENCIONA"),"",IF(CU581=0,CT581,IF(CU581=1,CT581/30,IF(CU581=2,CT581/15,IF(CU581=3,CT581/7,"")))))</f>
        <v>285.714285714286</v>
      </c>
      <c r="CW581" s="125" t="n">
        <v>3700</v>
      </c>
      <c r="CX581" s="0" t="n">
        <v>3</v>
      </c>
      <c r="CY581" s="0" t="n">
        <f aca="false">IF(CW581="","",IF(CX581=0,CW581,IF(CX581=1,CW581/30,IF(CX581=2,CW581/15,IF(CX581=3,CW581/7,CW581)))))</f>
        <v>528.571428571429</v>
      </c>
      <c r="CZ581" s="0" t="n">
        <f aca="false">IF(DI581&gt;0,DI581,IF(CY581&gt;0,CY581,IF(CV581&gt;0,CV581,"")))</f>
        <v>528.57</v>
      </c>
      <c r="DA581" s="0" t="n">
        <f aca="false">IF(DM581=1,CZ581/8,IF(OR(DM581=2,DM581=4),CZ581/7,IF(DM581=3,CZ581/7.5,"")))</f>
        <v>66.07125</v>
      </c>
      <c r="DB581" s="0" t="s">
        <v>216</v>
      </c>
      <c r="DC581" s="0" t="s">
        <v>216</v>
      </c>
      <c r="DD581" s="0" t="s">
        <v>216</v>
      </c>
      <c r="DE581" s="0" t="s">
        <v>216</v>
      </c>
      <c r="DF581" s="0" t="s">
        <v>216</v>
      </c>
      <c r="DG581" s="0" t="s">
        <v>216</v>
      </c>
      <c r="DH581" s="0" t="n">
        <v>0</v>
      </c>
      <c r="DI581" s="126" t="n">
        <v>528.57</v>
      </c>
      <c r="DK581" s="0" t="n">
        <v>1</v>
      </c>
      <c r="DM581" s="0" t="n">
        <v>1</v>
      </c>
      <c r="DN581" s="0" t="n">
        <v>53</v>
      </c>
      <c r="DO581" s="0" t="n">
        <v>3</v>
      </c>
      <c r="DP581" s="0" t="n">
        <v>1</v>
      </c>
      <c r="DQ581" s="0" t="n">
        <v>1</v>
      </c>
      <c r="DR581" s="0"/>
      <c r="DS581" s="0" t="n">
        <v>1</v>
      </c>
      <c r="DU581" s="0" t="n">
        <v>1</v>
      </c>
      <c r="DW581" s="1" t="n">
        <v>39485</v>
      </c>
      <c r="DX581" s="1" t="n">
        <v>40504</v>
      </c>
      <c r="DZ581" s="0"/>
      <c r="EA581" s="0" t="n">
        <v>1</v>
      </c>
      <c r="EC581" s="1" t="n">
        <v>40179</v>
      </c>
      <c r="ED581" s="1" t="n">
        <v>40504</v>
      </c>
      <c r="EF581" s="0"/>
      <c r="EG581" s="0" t="n">
        <v>0</v>
      </c>
      <c r="EI581" s="0" t="n">
        <f aca="false">IF(AND(DM581=1,DN581&lt;=48),"",IF(AND(DM581=2,DN581&lt;=42),"",IF(AND(DM581=3,DN581&lt;=45),"",EH581)))</f>
        <v>0</v>
      </c>
      <c r="EJ581" s="0" t="str">
        <f aca="false">IF(EI581="","",IF(EI581&lt;9,EI581,9))</f>
        <v/>
      </c>
      <c r="EK581" s="0" t="str">
        <f aca="false">IF(EI581="","",IF(EI581&gt;9,EI581-EJ581,0))</f>
        <v/>
      </c>
      <c r="EL581" s="0" t="str">
        <f aca="false">IF(EI581="","",EJ581*DA581*2+EK581*DA581*3)</f>
        <v/>
      </c>
      <c r="EP581" s="0" t="n">
        <v>1</v>
      </c>
      <c r="EQ581" s="0"/>
      <c r="ER581" s="0" t="n">
        <v>1</v>
      </c>
      <c r="ET581" s="0" t="n">
        <v>1</v>
      </c>
      <c r="EV581" s="0" t="n">
        <v>0</v>
      </c>
      <c r="EX581" s="0" t="n">
        <v>0</v>
      </c>
      <c r="EY581" s="0" t="n">
        <v>1</v>
      </c>
      <c r="EZ581" s="4" t="n">
        <v>46000</v>
      </c>
      <c r="FA581" s="4" t="n">
        <v>0</v>
      </c>
      <c r="FB581" s="0" t="n">
        <v>0</v>
      </c>
      <c r="FC581" s="1" t="n">
        <v>40739</v>
      </c>
      <c r="FD581" s="0" t="n">
        <v>1</v>
      </c>
      <c r="FE581" s="0" t="n">
        <v>23000</v>
      </c>
      <c r="FF581" s="120" t="n">
        <f aca="false">(CJ581-CI581+1)/365</f>
        <v>3.79452054794521</v>
      </c>
      <c r="FG581" s="0" t="str">
        <f aca="false">CONCATENATE(F581,"/",G581)</f>
        <v>125/2011</v>
      </c>
      <c r="FH581" s="0" t="n">
        <v>1</v>
      </c>
      <c r="FI581" s="0" t="n">
        <f aca="false">IFERROR(IF((FC581-J581+1)/365&gt;3,0,1),"")</f>
        <v>1</v>
      </c>
    </row>
    <row r="582" customFormat="false" ht="15" hidden="false" customHeight="false" outlineLevel="0" collapsed="false">
      <c r="A582" s="5" t="str">
        <f aca="false">E582&amp;G582&amp;F582</f>
        <v>72011126</v>
      </c>
      <c r="B582" s="0" t="s">
        <v>203</v>
      </c>
      <c r="C582" s="1" t="n">
        <v>42356</v>
      </c>
      <c r="D582" s="0" t="s">
        <v>1856</v>
      </c>
      <c r="E582" s="0" t="n">
        <v>7</v>
      </c>
      <c r="F582" s="0" t="n">
        <v>126</v>
      </c>
      <c r="G582" s="0" t="n">
        <v>2011</v>
      </c>
      <c r="H582" s="0" t="str">
        <f aca="false">"J"&amp;E582&amp;"\"&amp;F582&amp;"\"&amp;G582&amp;"\"&amp;W582</f>
        <v>J7\126\2011\1</v>
      </c>
      <c r="I582" s="0"/>
      <c r="J582" s="1" t="n">
        <v>40563</v>
      </c>
      <c r="K582" s="0" t="n">
        <v>0</v>
      </c>
      <c r="M582" s="1"/>
      <c r="N582" s="1"/>
      <c r="O582" s="1"/>
      <c r="P582" s="1"/>
      <c r="Q582" s="1"/>
      <c r="T582" s="121"/>
      <c r="U582" s="121"/>
      <c r="V582" s="122" t="n">
        <f aca="false">IF(AND(E582&gt;0,F582&gt;0,G582&gt;0),COUNTIFS($E:$E,E582,$F:$F,F582,$G:$G,G582),"")</f>
        <v>1</v>
      </c>
      <c r="W582" s="122" t="n">
        <f aca="false">IF(V582="","",IF(V582=1,1,IF(AND(E581=E582,F581=F582,G581=G582),W581+1,1)))</f>
        <v>1</v>
      </c>
      <c r="X582" s="0" t="n">
        <v>1</v>
      </c>
      <c r="Y582" s="0" t="n">
        <v>4</v>
      </c>
      <c r="Z582" s="0" t="s">
        <v>5338</v>
      </c>
      <c r="AA582" s="0" t="n">
        <v>0</v>
      </c>
      <c r="AB582" s="0" t="s">
        <v>2590</v>
      </c>
      <c r="AC582" s="0" t="s">
        <v>321</v>
      </c>
      <c r="AD582" s="0" t="s">
        <v>229</v>
      </c>
      <c r="AE582" s="0" t="n">
        <v>0</v>
      </c>
      <c r="AF582" s="0" t="s">
        <v>5339</v>
      </c>
      <c r="AG582" s="0" t="n">
        <v>0</v>
      </c>
      <c r="AH582" s="0" t="s">
        <v>5340</v>
      </c>
      <c r="AI582" s="0" t="s">
        <v>5341</v>
      </c>
      <c r="AJ582" s="0" t="s">
        <v>590</v>
      </c>
      <c r="AL582" s="0" t="s">
        <v>5342</v>
      </c>
      <c r="AM582" s="0" t="n">
        <v>1</v>
      </c>
      <c r="AN582" s="0" t="s">
        <v>5340</v>
      </c>
      <c r="AO582" s="0" t="s">
        <v>5341</v>
      </c>
      <c r="AP582" s="0" t="s">
        <v>590</v>
      </c>
      <c r="AR582" s="0" t="s">
        <v>5343</v>
      </c>
      <c r="AS582" s="0" t="n">
        <v>2</v>
      </c>
      <c r="AT582" s="0" t="s">
        <v>5340</v>
      </c>
      <c r="AU582" s="0" t="s">
        <v>5341</v>
      </c>
      <c r="AV582" s="0" t="s">
        <v>590</v>
      </c>
      <c r="AX582" s="0" t="s">
        <v>213</v>
      </c>
      <c r="AY582" s="0" t="n">
        <v>1</v>
      </c>
      <c r="AZ582" s="0" t="s">
        <v>5340</v>
      </c>
      <c r="BA582" s="0" t="s">
        <v>5341</v>
      </c>
      <c r="BB582" s="0" t="s">
        <v>590</v>
      </c>
      <c r="BR582" s="0" t="n">
        <v>1</v>
      </c>
      <c r="BS582" s="0" t="s">
        <v>5344</v>
      </c>
      <c r="BT582" s="0" t="s">
        <v>5345</v>
      </c>
      <c r="BU582" s="0" t="s">
        <v>5346</v>
      </c>
      <c r="BV582" s="123"/>
      <c r="BW582" s="123"/>
      <c r="BX582" s="123"/>
      <c r="BY582" s="123"/>
      <c r="CA582" s="0" t="s">
        <v>216</v>
      </c>
      <c r="CD582" s="0" t="s">
        <v>370</v>
      </c>
      <c r="CE582" s="0" t="n">
        <v>0</v>
      </c>
      <c r="CF582" s="0" t="s">
        <v>5347</v>
      </c>
      <c r="CG582" s="0" t="s">
        <v>218</v>
      </c>
      <c r="CI582" s="1" t="n">
        <v>38764</v>
      </c>
      <c r="CJ582" s="1" t="n">
        <v>40515</v>
      </c>
      <c r="CK582" s="124" t="n">
        <v>0.791666666666667</v>
      </c>
      <c r="CL582" s="0" t="s">
        <v>5339</v>
      </c>
      <c r="CM582" s="0" t="n">
        <f aca="false">IF(OR(CI582="",CJ582=""),"",DAYS360(CI582,CJ582)/360)</f>
        <v>4.79722222222222</v>
      </c>
      <c r="CN582" s="0" t="n">
        <f aca="false">IF(OR(CI582="",CJ582=""),"",DAYS360(CI582,CJ582)/30)</f>
        <v>57.5666666666667</v>
      </c>
      <c r="CO582" s="0" t="n">
        <f aca="false">IF(OR(CI582="",CJ582=""),"",DAYS360(CI582,CJ582)/7)</f>
        <v>246.714285714286</v>
      </c>
      <c r="CP582" s="0" t="n">
        <f aca="false">IF(OR(CI582="",CJ582=""),"",DAYS360(CI582,CJ582))</f>
        <v>1727</v>
      </c>
      <c r="CQ582" s="0" t="s">
        <v>240</v>
      </c>
      <c r="CR582" s="0" t="n">
        <v>1</v>
      </c>
      <c r="CT582" s="0" t="n">
        <v>220</v>
      </c>
      <c r="CU582" s="0" t="n">
        <v>0</v>
      </c>
      <c r="CV582" s="0" t="n">
        <f aca="false">IF(OR(CT582="",CT582="NO ESPECIFICA",CT582="NO MENCIONA"),"",IF(CU582=0,CT582,IF(CU582=1,CT582/30,IF(CU582=2,CT582/15,IF(CU582=3,CT582/7,"")))))</f>
        <v>220</v>
      </c>
      <c r="CW582" s="125" t="s">
        <v>216</v>
      </c>
      <c r="CX582" s="0" t="s">
        <v>216</v>
      </c>
      <c r="CY582" s="0" t="str">
        <f aca="false">IF(CW582="","",IF(CX582=0,CW582,IF(CX582=1,CW582/30,IF(CX582=2,CW582/15,IF(CX582=3,CW582/7,CW582)))))</f>
        <v>NO MENCIONA</v>
      </c>
      <c r="CZ582" s="0" t="n">
        <f aca="false">IF(DI582&gt;0,DI582,IF(CY582&gt;0,CY582,IF(CV582&gt;0,CV582,"")))</f>
        <v>220</v>
      </c>
      <c r="DA582" s="0" t="n">
        <f aca="false">IF(DM582=1,CZ582/8,IF(OR(DM582=2,DM582=4),CZ582/7,IF(DM582=3,CZ582/7.5,"")))</f>
        <v>27.5</v>
      </c>
      <c r="DB582" s="0" t="s">
        <v>216</v>
      </c>
      <c r="DC582" s="0" t="s">
        <v>216</v>
      </c>
      <c r="DD582" s="0" t="s">
        <v>216</v>
      </c>
      <c r="DE582" s="0" t="s">
        <v>216</v>
      </c>
      <c r="DF582" s="0" t="s">
        <v>216</v>
      </c>
      <c r="DG582" s="0" t="s">
        <v>216</v>
      </c>
      <c r="DH582" s="0" t="n">
        <v>0</v>
      </c>
      <c r="DI582" s="126" t="n">
        <v>220</v>
      </c>
      <c r="DK582" s="0" t="n">
        <v>0</v>
      </c>
      <c r="DM582" s="0" t="n">
        <v>1</v>
      </c>
      <c r="DN582" s="0" t="n">
        <v>59</v>
      </c>
      <c r="DO582" s="0" t="n">
        <v>3</v>
      </c>
      <c r="DP582" s="0" t="n">
        <v>0</v>
      </c>
      <c r="DQ582" s="0" t="n">
        <v>1</v>
      </c>
      <c r="DR582" s="0"/>
      <c r="DS582" s="0" t="n">
        <v>1</v>
      </c>
      <c r="DU582" s="0" t="n">
        <v>1</v>
      </c>
      <c r="DW582" s="1" t="n">
        <v>40225</v>
      </c>
      <c r="DX582" s="1" t="n">
        <v>40515</v>
      </c>
      <c r="DZ582" s="0"/>
      <c r="EA582" s="0" t="n">
        <v>1</v>
      </c>
      <c r="EC582" s="1" t="n">
        <v>40179</v>
      </c>
      <c r="ED582" s="1" t="n">
        <v>40515</v>
      </c>
      <c r="EF582" s="0"/>
      <c r="EG582" s="0" t="n">
        <v>0</v>
      </c>
      <c r="EI582" s="0" t="n">
        <f aca="false">IF(AND(DM582=1,DN582&lt;=48),"",IF(AND(DM582=2,DN582&lt;=42),"",IF(AND(DM582=3,DN582&lt;=45),"",EH582)))</f>
        <v>0</v>
      </c>
      <c r="EJ582" s="0" t="str">
        <f aca="false">IF(EI582="","",IF(EI582&lt;9,EI582,9))</f>
        <v/>
      </c>
      <c r="EK582" s="0" t="str">
        <f aca="false">IF(EI582="","",IF(EI582&gt;9,EI582-EJ582,0))</f>
        <v/>
      </c>
      <c r="EL582" s="0" t="str">
        <f aca="false">IF(EI582="","",EJ582*DA582*2+EK582*DA582*3)</f>
        <v/>
      </c>
      <c r="EP582" s="0" t="n">
        <v>1</v>
      </c>
      <c r="EQ582" s="0"/>
      <c r="ER582" s="0" t="n">
        <v>0</v>
      </c>
      <c r="ET582" s="0" t="n">
        <v>0</v>
      </c>
      <c r="EV582" s="0" t="n">
        <v>0</v>
      </c>
      <c r="EX582" s="0" t="n">
        <v>1</v>
      </c>
      <c r="EY582" s="0" t="n">
        <v>0</v>
      </c>
      <c r="EZ582" s="0"/>
      <c r="FA582" s="4" t="n">
        <v>0</v>
      </c>
      <c r="FB582" s="0" t="n">
        <v>0</v>
      </c>
      <c r="FC582" s="1" t="n">
        <v>40768</v>
      </c>
      <c r="FD582" s="0" t="n">
        <v>1</v>
      </c>
      <c r="FE582" s="0" t="n">
        <v>28000</v>
      </c>
      <c r="FF582" s="120" t="n">
        <f aca="false">(CJ582-CI582+1)/365</f>
        <v>4.8</v>
      </c>
      <c r="FG582" s="0" t="str">
        <f aca="false">CONCATENATE(F582,"/",G582)</f>
        <v>126/2011</v>
      </c>
      <c r="FH582" s="0" t="n">
        <v>1</v>
      </c>
      <c r="FI582" s="0" t="n">
        <f aca="false">IFERROR(IF((FC582-J582+1)/365&gt;3,0,1),"")</f>
        <v>1</v>
      </c>
    </row>
    <row r="583" customFormat="false" ht="15" hidden="false" customHeight="false" outlineLevel="0" collapsed="false">
      <c r="A583" s="5" t="str">
        <f aca="false">E583&amp;G583&amp;F583</f>
        <v>72011129</v>
      </c>
      <c r="B583" s="0" t="s">
        <v>203</v>
      </c>
      <c r="C583" s="1" t="n">
        <v>42356</v>
      </c>
      <c r="E583" s="0" t="n">
        <v>7</v>
      </c>
      <c r="F583" s="0" t="n">
        <v>129</v>
      </c>
      <c r="G583" s="0" t="n">
        <v>2011</v>
      </c>
      <c r="H583" s="0" t="str">
        <f aca="false">"J"&amp;E583&amp;"\"&amp;F583&amp;"\"&amp;G583&amp;"\"&amp;W583</f>
        <v>J7\129\2011\1</v>
      </c>
      <c r="I583" s="0"/>
      <c r="J583" s="1" t="n">
        <v>40563</v>
      </c>
      <c r="K583" s="0" t="n">
        <v>1</v>
      </c>
      <c r="L583" s="0" t="s">
        <v>5348</v>
      </c>
      <c r="M583" s="1" t="n">
        <v>40563</v>
      </c>
      <c r="N583" s="1" t="n">
        <v>40630</v>
      </c>
      <c r="O583" s="1"/>
      <c r="P583" s="1"/>
      <c r="Q583" s="1"/>
      <c r="T583" s="121"/>
      <c r="U583" s="121"/>
      <c r="V583" s="122" t="n">
        <f aca="false">IF(AND(E583&gt;0,F583&gt;0,G583&gt;0),COUNTIFS($E:$E,E583,$F:$F,F583,$G:$G,G583),"")</f>
        <v>1</v>
      </c>
      <c r="W583" s="122" t="n">
        <f aca="false">IF(V583="","",IF(V583=1,1,IF(AND(E582=E583,F582=F583,G582=G583),W582+1,1)))</f>
        <v>1</v>
      </c>
      <c r="X583" s="0" t="n">
        <v>1</v>
      </c>
      <c r="Y583" s="0" t="n">
        <v>3</v>
      </c>
      <c r="Z583" s="0" t="s">
        <v>5349</v>
      </c>
      <c r="AA583" s="0" t="n">
        <v>0</v>
      </c>
      <c r="AB583" s="0" t="s">
        <v>5350</v>
      </c>
      <c r="AC583" s="0" t="s">
        <v>5351</v>
      </c>
      <c r="AD583" s="0" t="s">
        <v>352</v>
      </c>
      <c r="AE583" s="0" t="n">
        <v>0</v>
      </c>
      <c r="AF583" s="0" t="s">
        <v>1823</v>
      </c>
      <c r="AG583" s="0" t="n">
        <v>0</v>
      </c>
      <c r="AH583" s="0" t="s">
        <v>4506</v>
      </c>
      <c r="AI583" s="0" t="s">
        <v>497</v>
      </c>
      <c r="AJ583" s="0" t="s">
        <v>207</v>
      </c>
      <c r="AL583" s="0" t="s">
        <v>1821</v>
      </c>
      <c r="AM583" s="0" t="n">
        <v>0</v>
      </c>
      <c r="AN583" s="0" t="s">
        <v>4506</v>
      </c>
      <c r="AO583" s="0" t="s">
        <v>497</v>
      </c>
      <c r="AP583" s="0" t="s">
        <v>207</v>
      </c>
      <c r="AR583" s="0" t="s">
        <v>213</v>
      </c>
      <c r="AS583" s="0" t="n">
        <v>1</v>
      </c>
      <c r="AT583" s="0" t="s">
        <v>4506</v>
      </c>
      <c r="AU583" s="0" t="s">
        <v>497</v>
      </c>
      <c r="AV583" s="0" t="s">
        <v>207</v>
      </c>
      <c r="BR583" s="0" t="n">
        <v>1</v>
      </c>
      <c r="BS583" s="0" t="s">
        <v>5352</v>
      </c>
      <c r="BT583" s="0" t="s">
        <v>5353</v>
      </c>
      <c r="BU583" s="0" t="s">
        <v>216</v>
      </c>
      <c r="BV583" s="123"/>
      <c r="BW583" s="123"/>
      <c r="BX583" s="123"/>
      <c r="BY583" s="123"/>
      <c r="CA583" s="0" t="s">
        <v>216</v>
      </c>
      <c r="CD583" s="0" t="s">
        <v>216</v>
      </c>
      <c r="CE583" s="0" t="n">
        <v>0</v>
      </c>
      <c r="CF583" s="0" t="s">
        <v>3083</v>
      </c>
      <c r="CG583" s="0" t="s">
        <v>218</v>
      </c>
      <c r="CI583" s="1" t="n">
        <v>39135</v>
      </c>
      <c r="CJ583" s="1" t="n">
        <v>40519</v>
      </c>
      <c r="CK583" s="124" t="n">
        <v>0.583333333333333</v>
      </c>
      <c r="CL583" s="0" t="s">
        <v>5354</v>
      </c>
      <c r="CM583" s="0" t="n">
        <f aca="false">IF(OR(CI583="",CJ583=""),"",DAYS360(CI583,CJ583)/360)</f>
        <v>3.79166666666667</v>
      </c>
      <c r="CN583" s="0" t="n">
        <f aca="false">IF(OR(CI583="",CJ583=""),"",DAYS360(CI583,CJ583)/30)</f>
        <v>45.5</v>
      </c>
      <c r="CO583" s="0" t="n">
        <f aca="false">IF(OR(CI583="",CJ583=""),"",DAYS360(CI583,CJ583)/7)</f>
        <v>195</v>
      </c>
      <c r="CP583" s="0" t="n">
        <f aca="false">IF(OR(CI583="",CJ583=""),"",DAYS360(CI583,CJ583))</f>
        <v>1365</v>
      </c>
      <c r="CQ583" s="0" t="s">
        <v>220</v>
      </c>
      <c r="CR583" s="0" t="n">
        <v>1</v>
      </c>
      <c r="CT583" s="0" t="n">
        <v>4500</v>
      </c>
      <c r="CU583" s="0" t="n">
        <v>2</v>
      </c>
      <c r="CV583" s="0" t="n">
        <f aca="false">IF(OR(CT583="",CT583="NO ESPECIFICA",CT583="NO MENCIONA"),"",IF(CU583=0,CT583,IF(CU583=1,CT583/30,IF(CU583=2,CT583/15,IF(CU583=3,CT583/7,"")))))</f>
        <v>300</v>
      </c>
      <c r="CW583" s="125" t="n">
        <v>15900</v>
      </c>
      <c r="CX583" s="0" t="n">
        <v>1</v>
      </c>
      <c r="CY583" s="0" t="n">
        <f aca="false">IF(CW583="","",IF(CX583=0,CW583,IF(CX583=1,CW583/30,IF(CX583=2,CW583/15,IF(CX583=3,CW583/7,CW583)))))</f>
        <v>530</v>
      </c>
      <c r="CZ583" s="0" t="n">
        <f aca="false">IF(DI583&gt;0,DI583,IF(CY583&gt;0,CY583,IF(CV583&gt;0,CV583,"")))</f>
        <v>530</v>
      </c>
      <c r="DA583" s="0" t="n">
        <f aca="false">IF(DM583=1,CZ583/8,IF(OR(DM583=2,DM583=4),CZ583/7,IF(DM583=3,CZ583/7.5,"")))</f>
        <v>66.25</v>
      </c>
      <c r="DB583" s="0" t="s">
        <v>373</v>
      </c>
      <c r="DC583" s="0" t="s">
        <v>216</v>
      </c>
      <c r="DD583" s="0" t="s">
        <v>216</v>
      </c>
      <c r="DE583" s="0" t="s">
        <v>216</v>
      </c>
      <c r="DF583" s="0" t="s">
        <v>216</v>
      </c>
      <c r="DG583" s="0" t="s">
        <v>216</v>
      </c>
      <c r="DH583" s="0" t="n">
        <v>0</v>
      </c>
      <c r="DI583" s="126" t="n">
        <v>530</v>
      </c>
      <c r="DK583" s="0" t="n">
        <v>0</v>
      </c>
      <c r="DM583" s="0" t="n">
        <v>1</v>
      </c>
      <c r="DN583" s="0" t="n">
        <v>50</v>
      </c>
      <c r="DO583" s="0" t="n">
        <v>3</v>
      </c>
      <c r="DP583" s="0" t="n">
        <v>1</v>
      </c>
      <c r="DQ583" s="0" t="n">
        <v>1</v>
      </c>
      <c r="DR583" s="0"/>
      <c r="DS583" s="0" t="n">
        <v>1</v>
      </c>
      <c r="DU583" s="0" t="n">
        <v>1</v>
      </c>
      <c r="DW583" s="1" t="n">
        <v>40231</v>
      </c>
      <c r="DX583" s="1" t="n">
        <v>40519</v>
      </c>
      <c r="DZ583" s="0"/>
      <c r="EA583" s="0" t="n">
        <v>1</v>
      </c>
      <c r="EC583" s="1" t="n">
        <v>40179</v>
      </c>
      <c r="ED583" s="1" t="n">
        <v>40519</v>
      </c>
      <c r="EF583" s="0"/>
      <c r="EG583" s="0" t="n">
        <v>0</v>
      </c>
      <c r="EI583" s="0" t="n">
        <f aca="false">IF(AND(DM583=1,DN583&lt;=48),"",IF(AND(DM583=2,DN583&lt;=42),"",IF(AND(DM583=3,DN583&lt;=45),"",EH583)))</f>
        <v>0</v>
      </c>
      <c r="EJ583" s="0" t="str">
        <f aca="false">IF(EI583="","",IF(EI583&lt;9,EI583,9))</f>
        <v/>
      </c>
      <c r="EK583" s="0" t="str">
        <f aca="false">IF(EI583="","",IF(EI583&gt;9,EI583-EJ583,0))</f>
        <v/>
      </c>
      <c r="EL583" s="0" t="str">
        <f aca="false">IF(EI583="","",EJ583*DA583*2+EK583*DA583*3)</f>
        <v/>
      </c>
      <c r="EP583" s="0" t="n">
        <v>0</v>
      </c>
      <c r="EQ583" s="0"/>
      <c r="ER583" s="0" t="n">
        <v>1</v>
      </c>
      <c r="ET583" s="0" t="n">
        <v>0</v>
      </c>
      <c r="EV583" s="0" t="n">
        <v>0</v>
      </c>
      <c r="EX583" s="0" t="n">
        <v>0</v>
      </c>
      <c r="EY583" s="0" t="n">
        <v>1</v>
      </c>
      <c r="EZ583" s="0"/>
      <c r="FA583" s="4" t="n">
        <v>3710</v>
      </c>
      <c r="FB583" s="0" t="n">
        <v>0</v>
      </c>
      <c r="FC583" s="1" t="n">
        <v>41451</v>
      </c>
      <c r="FD583" s="0" t="n">
        <v>1</v>
      </c>
      <c r="FE583" s="0" t="n">
        <v>24000</v>
      </c>
      <c r="FF583" s="120" t="n">
        <f aca="false">(CJ583-CI583+1)/365</f>
        <v>3.79452054794521</v>
      </c>
      <c r="FG583" s="0" t="str">
        <f aca="false">CONCATENATE(F583,"/",G583)</f>
        <v>129/2011</v>
      </c>
      <c r="FH583" s="0" t="n">
        <v>1</v>
      </c>
      <c r="FI583" s="0" t="n">
        <f aca="false">IFERROR(IF((FC583-J583+1)/365&gt;3,0,1),"")</f>
        <v>1</v>
      </c>
    </row>
    <row r="584" customFormat="false" ht="15" hidden="false" customHeight="false" outlineLevel="0" collapsed="false">
      <c r="A584" s="5" t="str">
        <f aca="false">E584&amp;G584&amp;F584</f>
        <v>72011139</v>
      </c>
      <c r="B584" s="0" t="s">
        <v>203</v>
      </c>
      <c r="C584" s="1" t="n">
        <v>42356</v>
      </c>
      <c r="E584" s="0" t="n">
        <v>7</v>
      </c>
      <c r="F584" s="0" t="n">
        <v>139</v>
      </c>
      <c r="G584" s="0" t="n">
        <v>2011</v>
      </c>
      <c r="H584" s="0" t="str">
        <f aca="false">"J"&amp;E584&amp;"\"&amp;F584&amp;"\"&amp;G584&amp;"\"&amp;W584</f>
        <v>J7\139\2011\1</v>
      </c>
      <c r="I584" s="0"/>
      <c r="J584" s="1" t="n">
        <v>40564</v>
      </c>
      <c r="K584" s="0" t="n">
        <v>0</v>
      </c>
      <c r="M584" s="1" t="n">
        <v>40564</v>
      </c>
      <c r="N584" s="1" t="n">
        <v>40631</v>
      </c>
      <c r="O584" s="1"/>
      <c r="P584" s="1"/>
      <c r="Q584" s="1"/>
      <c r="T584" s="121"/>
      <c r="U584" s="121"/>
      <c r="V584" s="122" t="n">
        <f aca="false">IF(AND(E584&gt;0,F584&gt;0,G584&gt;0),COUNTIFS($E:$E,E584,$F:$F,F584,$G:$G,G584),"")</f>
        <v>1</v>
      </c>
      <c r="W584" s="122" t="n">
        <f aca="false">IF(V584="","",IF(V584=1,1,IF(AND(E583=E584,F583=F584,G583=G584),W583+1,1)))</f>
        <v>1</v>
      </c>
      <c r="X584" s="0" t="n">
        <v>1</v>
      </c>
      <c r="Y584" s="0" t="n">
        <v>3</v>
      </c>
      <c r="Z584" s="0" t="s">
        <v>5355</v>
      </c>
      <c r="AA584" s="0" t="n">
        <v>0</v>
      </c>
      <c r="AB584" s="0" t="s">
        <v>348</v>
      </c>
      <c r="AE584" s="0" t="n">
        <v>0</v>
      </c>
      <c r="AF584" s="0" t="s">
        <v>5356</v>
      </c>
      <c r="AG584" s="0" t="n">
        <v>0</v>
      </c>
      <c r="AH584" s="0" t="s">
        <v>5357</v>
      </c>
      <c r="AI584" s="0" t="s">
        <v>1561</v>
      </c>
      <c r="AJ584" s="0" t="s">
        <v>207</v>
      </c>
      <c r="AL584" s="0" t="s">
        <v>5358</v>
      </c>
      <c r="AM584" s="0" t="n">
        <v>1</v>
      </c>
      <c r="AN584" s="0" t="s">
        <v>5357</v>
      </c>
      <c r="AO584" s="0" t="s">
        <v>1561</v>
      </c>
      <c r="AP584" s="0" t="s">
        <v>207</v>
      </c>
      <c r="AR584" s="0" t="s">
        <v>213</v>
      </c>
      <c r="AS584" s="0" t="n">
        <v>1</v>
      </c>
      <c r="AT584" s="0" t="s">
        <v>5357</v>
      </c>
      <c r="AU584" s="0" t="s">
        <v>1561</v>
      </c>
      <c r="AV584" s="0" t="s">
        <v>207</v>
      </c>
      <c r="BR584" s="0" t="n">
        <v>3</v>
      </c>
      <c r="BS584" s="0" t="s">
        <v>1625</v>
      </c>
      <c r="BT584" s="0" t="s">
        <v>1626</v>
      </c>
      <c r="BU584" s="0" t="s">
        <v>500</v>
      </c>
      <c r="BV584" s="123"/>
      <c r="BW584" s="123"/>
      <c r="BX584" s="123"/>
      <c r="BY584" s="123"/>
      <c r="CA584" s="0" t="s">
        <v>348</v>
      </c>
      <c r="CD584" s="0" t="s">
        <v>296</v>
      </c>
      <c r="CE584" s="0" t="n">
        <v>0</v>
      </c>
      <c r="CF584" s="0" t="s">
        <v>5359</v>
      </c>
      <c r="CG584" s="0" t="s">
        <v>218</v>
      </c>
      <c r="CI584" s="1" t="n">
        <v>39650</v>
      </c>
      <c r="CJ584" s="1" t="n">
        <v>40520</v>
      </c>
      <c r="CK584" s="124" t="n">
        <v>0.875</v>
      </c>
      <c r="CL584" s="0" t="s">
        <v>5360</v>
      </c>
      <c r="CM584" s="0" t="n">
        <f aca="false">IF(OR(CI584="",CJ584=""),"",DAYS360(CI584,CJ584)/360)</f>
        <v>2.38055555555556</v>
      </c>
      <c r="CN584" s="0" t="n">
        <f aca="false">IF(OR(CI584="",CJ584=""),"",DAYS360(CI584,CJ584)/30)</f>
        <v>28.5666666666667</v>
      </c>
      <c r="CO584" s="0" t="n">
        <f aca="false">IF(OR(CI584="",CJ584=""),"",DAYS360(CI584,CJ584)/7)</f>
        <v>122.428571428571</v>
      </c>
      <c r="CP584" s="0" t="n">
        <f aca="false">IF(OR(CI584="",CJ584=""),"",DAYS360(CI584,CJ584))</f>
        <v>857</v>
      </c>
      <c r="CQ584" s="0" t="s">
        <v>240</v>
      </c>
      <c r="CR584" s="0" t="n">
        <v>1</v>
      </c>
      <c r="CT584" s="0" t="n">
        <v>295.4</v>
      </c>
      <c r="CU584" s="0" t="n">
        <v>0</v>
      </c>
      <c r="CV584" s="0" t="n">
        <f aca="false">IF(OR(CT584="",CT584="NO ESPECIFICA",CT584="NO MENCIONA"),"",IF(CU584=0,CT584,IF(CU584=1,CT584/30,IF(CU584=2,CT584/15,IF(CU584=3,CT584/7,"")))))</f>
        <v>295.4</v>
      </c>
      <c r="CW584" s="125" t="n">
        <v>295.4</v>
      </c>
      <c r="CX584" s="0" t="n">
        <v>0</v>
      </c>
      <c r="CY584" s="0" t="n">
        <f aca="false">IF(CW584="","",IF(CX584=0,CW584,IF(CX584=1,CW584/30,IF(CX584=2,CW584/15,IF(CX584=3,CW584/7,CW584)))))</f>
        <v>295.4</v>
      </c>
      <c r="CZ584" s="0" t="n">
        <f aca="false">IF(DI584&gt;0,DI584,IF(CY584&gt;0,CY584,IF(CV584&gt;0,CV584,"")))</f>
        <v>308.69</v>
      </c>
      <c r="DA584" s="0" t="n">
        <f aca="false">IF(DM584=1,CZ584/8,IF(OR(DM584=2,DM584=4),CZ584/7,IF(DM584=3,CZ584/7.5,"")))</f>
        <v>41.1586666666667</v>
      </c>
      <c r="DB584" s="0" t="s">
        <v>1935</v>
      </c>
      <c r="DC584" s="0" t="s">
        <v>301</v>
      </c>
      <c r="DD584" s="0" t="s">
        <v>216</v>
      </c>
      <c r="DE584" s="0" t="s">
        <v>216</v>
      </c>
      <c r="DF584" s="0" t="s">
        <v>216</v>
      </c>
      <c r="DG584" s="0" t="s">
        <v>216</v>
      </c>
      <c r="DH584" s="0" t="n">
        <v>0</v>
      </c>
      <c r="DI584" s="126" t="n">
        <v>308.69</v>
      </c>
      <c r="DK584" s="0" t="n">
        <v>0</v>
      </c>
      <c r="DM584" s="0" t="n">
        <v>3</v>
      </c>
      <c r="DN584" s="0" t="n">
        <v>73.5</v>
      </c>
      <c r="DO584" s="0" t="n">
        <v>3</v>
      </c>
      <c r="DP584" s="0" t="n">
        <v>0</v>
      </c>
      <c r="DQ584" s="0" t="n">
        <v>1</v>
      </c>
      <c r="DR584" s="0"/>
      <c r="DS584" s="0" t="n">
        <v>1</v>
      </c>
      <c r="DU584" s="0" t="n">
        <v>1</v>
      </c>
      <c r="DW584" s="1" t="n">
        <v>40380</v>
      </c>
      <c r="DX584" s="1" t="n">
        <v>40520</v>
      </c>
      <c r="DZ584" s="0"/>
      <c r="EA584" s="0" t="n">
        <v>1</v>
      </c>
      <c r="EC584" s="1" t="n">
        <v>40179</v>
      </c>
      <c r="ED584" s="1" t="n">
        <v>40520</v>
      </c>
      <c r="EF584" s="0"/>
      <c r="EG584" s="0" t="n">
        <v>0</v>
      </c>
      <c r="EI584" s="0" t="n">
        <f aca="false">IF(AND(DM584=1,DN584&lt;=48),"",IF(AND(DM584=2,DN584&lt;=42),"",IF(AND(DM584=3,DN584&lt;=45),"",EH584)))</f>
        <v>0</v>
      </c>
      <c r="EJ584" s="0" t="str">
        <f aca="false">IF(EI584="","",IF(EI584&lt;9,EI584,9))</f>
        <v/>
      </c>
      <c r="EK584" s="0" t="str">
        <f aca="false">IF(EI584="","",IF(EI584&gt;9,EI584-EJ584,0))</f>
        <v/>
      </c>
      <c r="EL584" s="0" t="str">
        <f aca="false">IF(EI584="","",EJ584*DA584*2+EK584*DA584*3)</f>
        <v/>
      </c>
      <c r="EP584" s="0" t="n">
        <v>0</v>
      </c>
      <c r="EQ584" s="0"/>
      <c r="ER584" s="0" t="n">
        <v>0</v>
      </c>
      <c r="ET584" s="0" t="n">
        <v>0</v>
      </c>
      <c r="EV584" s="0" t="n">
        <v>0</v>
      </c>
      <c r="EX584" s="0" t="n">
        <v>0</v>
      </c>
      <c r="EY584" s="0" t="n">
        <v>0</v>
      </c>
      <c r="EZ584" s="0"/>
      <c r="FA584" s="4" t="n">
        <v>2363.2</v>
      </c>
      <c r="FB584" s="0" t="n">
        <v>1</v>
      </c>
      <c r="FC584" s="1" t="n">
        <v>41227</v>
      </c>
      <c r="FD584" s="0" t="n">
        <v>1</v>
      </c>
      <c r="FE584" s="0" t="n">
        <v>26000</v>
      </c>
      <c r="FF584" s="120" t="n">
        <f aca="false">(CJ584-CI584+1)/365</f>
        <v>2.38630136986301</v>
      </c>
      <c r="FG584" s="0" t="str">
        <f aca="false">CONCATENATE(F584,"/",G584)</f>
        <v>139/2011</v>
      </c>
      <c r="FH584" s="0" t="n">
        <v>1</v>
      </c>
      <c r="FI584" s="0" t="n">
        <f aca="false">IFERROR(IF((FC584-J584+1)/365&gt;3,0,1),"")</f>
        <v>1</v>
      </c>
    </row>
    <row r="585" customFormat="false" ht="15" hidden="false" customHeight="false" outlineLevel="0" collapsed="false">
      <c r="A585" s="5" t="str">
        <f aca="false">E585&amp;G585&amp;F585</f>
        <v>72011142</v>
      </c>
      <c r="B585" s="0" t="s">
        <v>203</v>
      </c>
      <c r="C585" s="1" t="n">
        <v>42356</v>
      </c>
      <c r="E585" s="0" t="n">
        <v>7</v>
      </c>
      <c r="F585" s="0" t="n">
        <v>142</v>
      </c>
      <c r="G585" s="0" t="n">
        <v>2011</v>
      </c>
      <c r="H585" s="0" t="str">
        <f aca="false">"J"&amp;E585&amp;"\"&amp;F585&amp;"\"&amp;G585&amp;"\"&amp;W585</f>
        <v>J7\142\2011\1</v>
      </c>
      <c r="I585" s="0"/>
      <c r="J585" s="1" t="n">
        <v>40564</v>
      </c>
      <c r="K585" s="0" t="n">
        <v>0</v>
      </c>
      <c r="M585" s="1" t="n">
        <v>40564</v>
      </c>
      <c r="N585" s="1" t="n">
        <v>40623</v>
      </c>
      <c r="O585" s="1"/>
      <c r="P585" s="1"/>
      <c r="Q585" s="1"/>
      <c r="T585" s="121"/>
      <c r="U585" s="121"/>
      <c r="V585" s="122" t="n">
        <f aca="false">IF(AND(E585&gt;0,F585&gt;0,G585&gt;0),COUNTIFS($E:$E,E585,$F:$F,F585,$G:$G,G585),"")</f>
        <v>1</v>
      </c>
      <c r="W585" s="122" t="n">
        <f aca="false">IF(V585="","",IF(V585=1,1,IF(AND(E584=E585,F584=F585,G584=G585),W584+1,1)))</f>
        <v>1</v>
      </c>
      <c r="X585" s="0" t="n">
        <v>1</v>
      </c>
      <c r="Y585" s="0" t="n">
        <v>2</v>
      </c>
      <c r="Z585" s="0" t="s">
        <v>5361</v>
      </c>
      <c r="AA585" s="0" t="n">
        <v>0</v>
      </c>
      <c r="AB585" s="0" t="s">
        <v>348</v>
      </c>
      <c r="AE585" s="0" t="n">
        <v>0</v>
      </c>
      <c r="AF585" s="0" t="s">
        <v>5362</v>
      </c>
      <c r="AG585" s="0" t="n">
        <v>1</v>
      </c>
      <c r="AH585" s="0" t="s">
        <v>5363</v>
      </c>
      <c r="AI585" s="0" t="s">
        <v>4208</v>
      </c>
      <c r="AJ585" s="0" t="s">
        <v>211</v>
      </c>
      <c r="AL585" s="0" t="s">
        <v>213</v>
      </c>
      <c r="AM585" s="0" t="n">
        <v>1</v>
      </c>
      <c r="AN585" s="0" t="s">
        <v>5363</v>
      </c>
      <c r="AO585" s="0" t="s">
        <v>4208</v>
      </c>
      <c r="AP585" s="0" t="s">
        <v>211</v>
      </c>
      <c r="BR585" s="0" t="n">
        <v>3</v>
      </c>
      <c r="BS585" s="0" t="s">
        <v>651</v>
      </c>
      <c r="BT585" s="0" t="s">
        <v>500</v>
      </c>
      <c r="BU585" s="0" t="s">
        <v>501</v>
      </c>
      <c r="BV585" s="123"/>
      <c r="BW585" s="123"/>
      <c r="BX585" s="123"/>
      <c r="BY585" s="123"/>
      <c r="CA585" s="0" t="s">
        <v>348</v>
      </c>
      <c r="CD585" s="0" t="s">
        <v>556</v>
      </c>
      <c r="CE585" s="0" t="n">
        <v>0</v>
      </c>
      <c r="CF585" s="0" t="s">
        <v>5364</v>
      </c>
      <c r="CG585" s="0" t="s">
        <v>218</v>
      </c>
      <c r="CI585" s="1" t="n">
        <v>38691</v>
      </c>
      <c r="CJ585" s="1" t="n">
        <v>40505</v>
      </c>
      <c r="CK585" s="124" t="n">
        <v>0.375</v>
      </c>
      <c r="CL585" s="0" t="s">
        <v>5362</v>
      </c>
      <c r="CM585" s="0" t="n">
        <f aca="false">IF(OR(CI585="",CJ585=""),"",DAYS360(CI585,CJ585)/360)</f>
        <v>4.96666666666667</v>
      </c>
      <c r="CN585" s="0" t="n">
        <f aca="false">IF(OR(CI585="",CJ585=""),"",DAYS360(CI585,CJ585)/30)</f>
        <v>59.6</v>
      </c>
      <c r="CO585" s="0" t="n">
        <f aca="false">IF(OR(CI585="",CJ585=""),"",DAYS360(CI585,CJ585)/7)</f>
        <v>255.428571428571</v>
      </c>
      <c r="CP585" s="0" t="n">
        <f aca="false">IF(OR(CI585="",CJ585=""),"",DAYS360(CI585,CJ585))</f>
        <v>1788</v>
      </c>
      <c r="CQ585" s="0" t="s">
        <v>240</v>
      </c>
      <c r="CR585" s="0" t="n">
        <v>1</v>
      </c>
      <c r="CT585" s="0" t="n">
        <v>257.14</v>
      </c>
      <c r="CU585" s="0" t="n">
        <v>0</v>
      </c>
      <c r="CV585" s="0" t="n">
        <f aca="false">IF(OR(CT585="",CT585="NO ESPECIFICA",CT585="NO MENCIONA"),"",IF(CU585=0,CT585,IF(CU585=1,CT585/30,IF(CU585=2,CT585/15,IF(CU585=3,CT585/7,"")))))</f>
        <v>257.14</v>
      </c>
      <c r="CW585" s="125" t="n">
        <v>268.76</v>
      </c>
      <c r="CX585" s="0" t="n">
        <v>0</v>
      </c>
      <c r="CY585" s="0" t="n">
        <f aca="false">IF(CW585="","",IF(CX585=0,CW585,IF(CX585=1,CW585/30,IF(CX585=2,CW585/15,IF(CX585=3,CW585/7,CW585)))))</f>
        <v>268.76</v>
      </c>
      <c r="CZ585" s="0" t="n">
        <f aca="false">IF(DI585&gt;0,DI585,IF(CY585&gt;0,CY585,IF(CV585&gt;0,CV585,"")))</f>
        <v>268.76</v>
      </c>
      <c r="DA585" s="0" t="n">
        <f aca="false">IF(DM585=1,CZ585/8,IF(OR(DM585=2,DM585=4),CZ585/7,IF(DM585=3,CZ585/7.5,"")))</f>
        <v>33.595</v>
      </c>
      <c r="DB585" s="0" t="s">
        <v>1935</v>
      </c>
      <c r="DC585" s="0" t="s">
        <v>301</v>
      </c>
      <c r="DD585" s="0" t="s">
        <v>216</v>
      </c>
      <c r="DE585" s="0" t="s">
        <v>216</v>
      </c>
      <c r="DF585" s="0" t="s">
        <v>216</v>
      </c>
      <c r="DG585" s="0" t="s">
        <v>216</v>
      </c>
      <c r="DH585" s="0" t="n">
        <v>0</v>
      </c>
      <c r="DI585" s="126" t="n">
        <v>268.76</v>
      </c>
      <c r="DK585" s="0" t="n">
        <v>0</v>
      </c>
      <c r="DM585" s="0" t="n">
        <v>1</v>
      </c>
      <c r="DN585" s="0" t="n">
        <v>54</v>
      </c>
      <c r="DO585" s="0" t="n">
        <v>3</v>
      </c>
      <c r="DP585" s="0" t="n">
        <v>0</v>
      </c>
      <c r="DQ585" s="0" t="n">
        <v>1</v>
      </c>
      <c r="DR585" s="0"/>
      <c r="DS585" s="0" t="n">
        <v>1</v>
      </c>
      <c r="DU585" s="0" t="n">
        <v>1</v>
      </c>
      <c r="DW585" s="1" t="n">
        <v>39787</v>
      </c>
      <c r="DX585" s="1" t="n">
        <v>40505</v>
      </c>
      <c r="DZ585" s="0"/>
      <c r="EA585" s="0" t="n">
        <v>1</v>
      </c>
      <c r="EC585" s="1" t="n">
        <v>39814</v>
      </c>
      <c r="ED585" s="1" t="n">
        <v>40505</v>
      </c>
      <c r="EF585" s="0"/>
      <c r="EG585" s="0" t="n">
        <v>0</v>
      </c>
      <c r="EI585" s="0" t="n">
        <f aca="false">IF(AND(DM585=1,DN585&lt;=48),"",IF(AND(DM585=2,DN585&lt;=42),"",IF(AND(DM585=3,DN585&lt;=45),"",EH585)))</f>
        <v>0</v>
      </c>
      <c r="EJ585" s="0" t="str">
        <f aca="false">IF(EI585="","",IF(EI585&lt;9,EI585,9))</f>
        <v/>
      </c>
      <c r="EK585" s="0" t="str">
        <f aca="false">IF(EI585="","",IF(EI585&gt;9,EI585-EJ585,0))</f>
        <v/>
      </c>
      <c r="EL585" s="0" t="str">
        <f aca="false">IF(EI585="","",EJ585*DA585*2+EK585*DA585*3)</f>
        <v/>
      </c>
      <c r="EP585" s="0" t="n">
        <v>0</v>
      </c>
      <c r="EQ585" s="0"/>
      <c r="ER585" s="0" t="n">
        <v>0</v>
      </c>
      <c r="ET585" s="0" t="n">
        <v>0</v>
      </c>
      <c r="EV585" s="0" t="n">
        <v>0</v>
      </c>
      <c r="EX585" s="0" t="n">
        <v>0</v>
      </c>
      <c r="EY585" s="0" t="n">
        <v>0</v>
      </c>
      <c r="EZ585" s="0"/>
      <c r="FA585" s="4" t="n">
        <v>0</v>
      </c>
      <c r="FB585" s="0" t="n">
        <v>1</v>
      </c>
      <c r="FC585" s="1" t="n">
        <v>40639</v>
      </c>
      <c r="FD585" s="0" t="n">
        <v>2</v>
      </c>
      <c r="FE585" s="0" t="n">
        <v>0</v>
      </c>
      <c r="FF585" s="120" t="n">
        <f aca="false">(CJ585-CI585+1)/365</f>
        <v>4.97260273972603</v>
      </c>
      <c r="FG585" s="0" t="str">
        <f aca="false">CONCATENATE(F585,"/",G585)</f>
        <v>142/2011</v>
      </c>
      <c r="FH585" s="0" t="n">
        <v>1</v>
      </c>
      <c r="FI585" s="0" t="n">
        <f aca="false">IFERROR(IF((FC585-J585+1)/365&gt;3,0,1),"")</f>
        <v>1</v>
      </c>
    </row>
    <row r="586" customFormat="false" ht="15" hidden="false" customHeight="false" outlineLevel="0" collapsed="false">
      <c r="A586" s="5" t="str">
        <f aca="false">E586&amp;G586&amp;F586</f>
        <v>72011143</v>
      </c>
      <c r="B586" s="0" t="s">
        <v>203</v>
      </c>
      <c r="C586" s="1" t="n">
        <v>42356</v>
      </c>
      <c r="E586" s="0" t="n">
        <v>7</v>
      </c>
      <c r="F586" s="0" t="n">
        <v>143</v>
      </c>
      <c r="G586" s="0" t="n">
        <v>2011</v>
      </c>
      <c r="H586" s="0" t="str">
        <f aca="false">"J"&amp;E586&amp;"\"&amp;F586&amp;"\"&amp;G586&amp;"\"&amp;W586</f>
        <v>J7\143\2011\1</v>
      </c>
      <c r="I586" s="0"/>
      <c r="J586" s="1" t="n">
        <v>40564</v>
      </c>
      <c r="K586" s="0" t="n">
        <v>0</v>
      </c>
      <c r="M586" s="1" t="n">
        <v>40564</v>
      </c>
      <c r="N586" s="1" t="n">
        <v>40633</v>
      </c>
      <c r="O586" s="1"/>
      <c r="P586" s="1"/>
      <c r="Q586" s="1"/>
      <c r="T586" s="121"/>
      <c r="U586" s="121"/>
      <c r="V586" s="122" t="n">
        <f aca="false">IF(AND(E586&gt;0,F586&gt;0,G586&gt;0),COUNTIFS($E:$E,E586,$F:$F,F586,$G:$G,G586),"")</f>
        <v>1</v>
      </c>
      <c r="W586" s="122" t="n">
        <f aca="false">IF(V586="","",IF(V586=1,1,IF(AND(E585=E586,F585=F586,G585=G586),W585+1,1)))</f>
        <v>1</v>
      </c>
      <c r="X586" s="0" t="n">
        <v>1</v>
      </c>
      <c r="Y586" s="0" t="n">
        <v>2</v>
      </c>
      <c r="Z586" s="0" t="s">
        <v>5365</v>
      </c>
      <c r="AA586" s="0" t="n">
        <v>0</v>
      </c>
      <c r="AB586" s="0" t="s">
        <v>5366</v>
      </c>
      <c r="AC586" s="0" t="s">
        <v>5367</v>
      </c>
      <c r="AD586" s="0" t="s">
        <v>5368</v>
      </c>
      <c r="AE586" s="0" t="n">
        <v>0</v>
      </c>
      <c r="AF586" s="0" t="s">
        <v>5369</v>
      </c>
      <c r="AG586" s="0" t="n">
        <v>0</v>
      </c>
      <c r="AH586" s="0" t="s">
        <v>5370</v>
      </c>
      <c r="AI586" s="0" t="s">
        <v>1796</v>
      </c>
      <c r="AJ586" s="0" t="s">
        <v>322</v>
      </c>
      <c r="AL586" s="0" t="s">
        <v>213</v>
      </c>
      <c r="AM586" s="0" t="n">
        <v>1</v>
      </c>
      <c r="AN586" s="0" t="s">
        <v>5370</v>
      </c>
      <c r="AO586" s="0" t="s">
        <v>1796</v>
      </c>
      <c r="AP586" s="0" t="s">
        <v>322</v>
      </c>
      <c r="BR586" s="0" t="n">
        <v>1</v>
      </c>
      <c r="BS586" s="0" t="s">
        <v>5371</v>
      </c>
      <c r="BT586" s="0" t="s">
        <v>5372</v>
      </c>
      <c r="BU586" s="0" t="s">
        <v>216</v>
      </c>
      <c r="BV586" s="123"/>
      <c r="BW586" s="123"/>
      <c r="BX586" s="123"/>
      <c r="BY586" s="123"/>
      <c r="CA586" s="0" t="s">
        <v>216</v>
      </c>
      <c r="CD586" s="0" t="s">
        <v>1308</v>
      </c>
      <c r="CE586" s="0" t="n">
        <v>0</v>
      </c>
      <c r="CF586" s="0" t="s">
        <v>5373</v>
      </c>
      <c r="CG586" s="0" t="s">
        <v>218</v>
      </c>
      <c r="CI586" s="1" t="n">
        <v>39676</v>
      </c>
      <c r="CJ586" s="1" t="n">
        <v>40506</v>
      </c>
      <c r="CK586" s="124" t="n">
        <v>0.541666666666667</v>
      </c>
      <c r="CL586" s="0" t="s">
        <v>5374</v>
      </c>
      <c r="CM586" s="0" t="n">
        <f aca="false">IF(OR(CI586="",CJ586=""),"",DAYS360(CI586,CJ586)/360)</f>
        <v>2.27222222222222</v>
      </c>
      <c r="CN586" s="0" t="n">
        <f aca="false">IF(OR(CI586="",CJ586=""),"",DAYS360(CI586,CJ586)/30)</f>
        <v>27.2666666666667</v>
      </c>
      <c r="CO586" s="0" t="n">
        <f aca="false">IF(OR(CI586="",CJ586=""),"",DAYS360(CI586,CJ586)/7)</f>
        <v>116.857142857143</v>
      </c>
      <c r="CP586" s="0" t="n">
        <f aca="false">IF(OR(CI586="",CJ586=""),"",DAYS360(CI586,CJ586))</f>
        <v>818</v>
      </c>
      <c r="CQ586" s="0" t="s">
        <v>240</v>
      </c>
      <c r="CR586" s="0" t="n">
        <v>1</v>
      </c>
      <c r="CT586" s="0" t="s">
        <v>216</v>
      </c>
      <c r="CU586" s="0" t="s">
        <v>216</v>
      </c>
      <c r="CV586" s="0" t="str">
        <f aca="false">IF(OR(CT586="",CT586="NO ESPECIFICA",CT586="NO MENCIONA"),"",IF(CU586=0,CT586,IF(CU586=1,CT586/30,IF(CU586=2,CT586/15,IF(CU586=3,CT586/7,"")))))</f>
        <v/>
      </c>
      <c r="CW586" s="125" t="n">
        <v>390.2</v>
      </c>
      <c r="CX586" s="0" t="n">
        <v>0</v>
      </c>
      <c r="CY586" s="0" t="n">
        <f aca="false">IF(CW586="","",IF(CX586=0,CW586,IF(CX586=1,CW586/30,IF(CX586=2,CW586/15,IF(CX586=3,CW586/7,CW586)))))</f>
        <v>390.2</v>
      </c>
      <c r="CZ586" s="0" t="n">
        <f aca="false">IF(DI586&gt;0,DI586,IF(CY586&gt;0,CY586,IF(CV586&gt;0,CV586,"")))</f>
        <v>390.2</v>
      </c>
      <c r="DA586" s="0" t="n">
        <f aca="false">IF(DM586=1,CZ586/8,IF(OR(DM586=2,DM586=4),CZ586/7,IF(DM586=3,CZ586/7.5,"")))</f>
        <v>48.775</v>
      </c>
      <c r="DB586" s="0" t="s">
        <v>216</v>
      </c>
      <c r="DC586" s="0" t="s">
        <v>216</v>
      </c>
      <c r="DD586" s="0" t="s">
        <v>216</v>
      </c>
      <c r="DE586" s="0" t="s">
        <v>216</v>
      </c>
      <c r="DF586" s="0" t="s">
        <v>216</v>
      </c>
      <c r="DG586" s="0" t="s">
        <v>216</v>
      </c>
      <c r="DH586" s="0" t="n">
        <v>0</v>
      </c>
      <c r="DI586" s="126" t="n">
        <v>390.2</v>
      </c>
      <c r="DK586" s="0" t="n">
        <v>0</v>
      </c>
      <c r="DM586" s="0" t="n">
        <v>1</v>
      </c>
      <c r="DN586" s="0" t="n">
        <v>72</v>
      </c>
      <c r="DO586" s="0" t="n">
        <v>3</v>
      </c>
      <c r="DP586" s="0" t="n">
        <v>0</v>
      </c>
      <c r="DQ586" s="0" t="n">
        <v>1</v>
      </c>
      <c r="DR586" s="0" t="n">
        <v>35126.1</v>
      </c>
      <c r="DS586" s="0" t="n">
        <v>1</v>
      </c>
      <c r="DU586" s="0" t="n">
        <v>1</v>
      </c>
      <c r="DV586" s="0" t="n">
        <v>3230.28</v>
      </c>
      <c r="DW586" s="1" t="n">
        <v>40041</v>
      </c>
      <c r="DX586" s="1" t="n">
        <v>40406</v>
      </c>
      <c r="DZ586" s="0" t="n">
        <v>3903.9</v>
      </c>
      <c r="EA586" s="0" t="n">
        <v>1</v>
      </c>
      <c r="EC586" s="1" t="n">
        <v>40506</v>
      </c>
      <c r="ED586" s="1" t="n">
        <v>40506</v>
      </c>
      <c r="EF586" s="0" t="n">
        <v>5366.48</v>
      </c>
      <c r="EG586" s="0" t="n">
        <v>1</v>
      </c>
      <c r="EH586" s="0" t="n">
        <v>12</v>
      </c>
      <c r="EI586" s="0" t="n">
        <f aca="false">IF(AND(DM586=1,DN586&lt;=48),"",IF(AND(DM586=2,DN586&lt;=42),"",IF(AND(DM586=3,DN586&lt;=45),"",EH586)))</f>
        <v>12</v>
      </c>
      <c r="EJ586" s="0" t="n">
        <f aca="false">IF(EI586="","",IF(EI586&lt;9,EI586,9))</f>
        <v>9</v>
      </c>
      <c r="EK586" s="0" t="n">
        <f aca="false">IF(EI586="","",IF(EI586&gt;9,EI586-EJ586,0))</f>
        <v>3</v>
      </c>
      <c r="EL586" s="0" t="n">
        <f aca="false">IF(EI586="","",EJ586*DA586*2+EK586*DA586*3)</f>
        <v>1316.925</v>
      </c>
      <c r="EN586" s="0" t="n">
        <v>162862.7</v>
      </c>
      <c r="EP586" s="0" t="n">
        <v>0</v>
      </c>
      <c r="EQ586" s="0"/>
      <c r="ER586" s="0" t="n">
        <v>0</v>
      </c>
      <c r="ET586" s="0" t="n">
        <v>0</v>
      </c>
      <c r="EV586" s="0" t="n">
        <v>0</v>
      </c>
      <c r="EX586" s="0" t="n">
        <v>0</v>
      </c>
      <c r="EY586" s="0" t="n">
        <v>1</v>
      </c>
      <c r="EZ586" s="4" t="n">
        <v>5000</v>
      </c>
      <c r="FA586" s="4" t="n">
        <v>0</v>
      </c>
      <c r="FB586" s="0" t="n">
        <v>0</v>
      </c>
      <c r="FC586" s="1" t="n">
        <v>41158</v>
      </c>
      <c r="FD586" s="0" t="n">
        <v>1</v>
      </c>
      <c r="FE586" s="0" t="n">
        <v>20000</v>
      </c>
      <c r="FF586" s="120" t="n">
        <f aca="false">(CJ586-CI586+1)/365</f>
        <v>2.27671232876712</v>
      </c>
      <c r="FG586" s="0" t="str">
        <f aca="false">CONCATENATE(F586,"/",G586)</f>
        <v>143/2011</v>
      </c>
      <c r="FH586" s="0" t="n">
        <v>1</v>
      </c>
      <c r="FI586" s="0" t="n">
        <f aca="false">IFERROR(IF((FC586-J586+1)/365&gt;3,0,1),"")</f>
        <v>1</v>
      </c>
    </row>
    <row r="587" customFormat="false" ht="15" hidden="false" customHeight="false" outlineLevel="0" collapsed="false">
      <c r="A587" s="5" t="str">
        <f aca="false">E587&amp;G587&amp;F587</f>
        <v>72011144</v>
      </c>
      <c r="B587" s="0" t="s">
        <v>203</v>
      </c>
      <c r="C587" s="1" t="n">
        <v>42356</v>
      </c>
      <c r="D587" s="0" t="s">
        <v>1856</v>
      </c>
      <c r="E587" s="0" t="n">
        <v>7</v>
      </c>
      <c r="F587" s="0" t="n">
        <v>144</v>
      </c>
      <c r="G587" s="0" t="n">
        <v>2011</v>
      </c>
      <c r="H587" s="0" t="str">
        <f aca="false">"J"&amp;E587&amp;"\"&amp;F587&amp;"\"&amp;G587&amp;"\"&amp;W587</f>
        <v>J7\144\2011\1</v>
      </c>
      <c r="I587" s="0"/>
      <c r="J587" s="1" t="n">
        <v>40564</v>
      </c>
      <c r="K587" s="0" t="n">
        <v>0</v>
      </c>
      <c r="M587" s="1"/>
      <c r="N587" s="1"/>
      <c r="O587" s="1"/>
      <c r="P587" s="1"/>
      <c r="Q587" s="1"/>
      <c r="T587" s="121"/>
      <c r="U587" s="121"/>
      <c r="V587" s="122" t="n">
        <f aca="false">IF(AND(E587&gt;0,F587&gt;0,G587&gt;0),COUNTIFS($E:$E,E587,$F:$F,F587,$G:$G,G587),"")</f>
        <v>1</v>
      </c>
      <c r="W587" s="122" t="n">
        <f aca="false">IF(V587="","",IF(V587=1,1,IF(AND(E586=E587,F586=F587,G586=G587),W586+1,1)))</f>
        <v>1</v>
      </c>
      <c r="X587" s="0" t="n">
        <v>1</v>
      </c>
      <c r="Y587" s="0" t="n">
        <v>2</v>
      </c>
      <c r="Z587" s="0" t="s">
        <v>5375</v>
      </c>
      <c r="AA587" s="0" t="n">
        <v>0</v>
      </c>
      <c r="AB587" s="0" t="s">
        <v>348</v>
      </c>
      <c r="AE587" s="0" t="n">
        <v>0</v>
      </c>
      <c r="AF587" s="0" t="s">
        <v>5376</v>
      </c>
      <c r="AG587" s="0" t="n">
        <v>1</v>
      </c>
      <c r="AH587" s="0" t="s">
        <v>5377</v>
      </c>
      <c r="AI587" s="0" t="s">
        <v>318</v>
      </c>
      <c r="AJ587" s="0" t="s">
        <v>229</v>
      </c>
      <c r="AL587" s="0" t="s">
        <v>213</v>
      </c>
      <c r="AM587" s="0" t="n">
        <v>1</v>
      </c>
      <c r="AN587" s="0" t="s">
        <v>5377</v>
      </c>
      <c r="AO587" s="0" t="s">
        <v>318</v>
      </c>
      <c r="AP587" s="0" t="s">
        <v>229</v>
      </c>
      <c r="BR587" s="0" t="n">
        <v>3</v>
      </c>
      <c r="BS587" s="0" t="s">
        <v>858</v>
      </c>
      <c r="BT587" s="0" t="s">
        <v>4597</v>
      </c>
      <c r="BU587" s="0" t="s">
        <v>500</v>
      </c>
      <c r="BV587" s="123"/>
      <c r="BW587" s="123"/>
      <c r="BX587" s="123"/>
      <c r="BY587" s="123"/>
      <c r="CA587" s="0" t="s">
        <v>348</v>
      </c>
      <c r="CD587" s="0" t="s">
        <v>256</v>
      </c>
      <c r="CE587" s="0" t="n">
        <v>0</v>
      </c>
      <c r="CF587" s="0" t="s">
        <v>5378</v>
      </c>
      <c r="CG587" s="0" t="s">
        <v>218</v>
      </c>
      <c r="CI587" s="1" t="n">
        <v>40469</v>
      </c>
      <c r="CJ587" s="1" t="n">
        <v>40518</v>
      </c>
      <c r="CK587" s="124" t="n">
        <v>0.916666666666667</v>
      </c>
      <c r="CL587" s="0" t="s">
        <v>5379</v>
      </c>
      <c r="CM587" s="0" t="n">
        <f aca="false">IF(OR(CI587="",CJ587=""),"",DAYS360(CI587,CJ587)/360)</f>
        <v>0.133333333333333</v>
      </c>
      <c r="CN587" s="0" t="n">
        <f aca="false">IF(OR(CI587="",CJ587=""),"",DAYS360(CI587,CJ587)/30)</f>
        <v>1.6</v>
      </c>
      <c r="CO587" s="0" t="n">
        <f aca="false">IF(OR(CI587="",CJ587=""),"",DAYS360(CI587,CJ587)/7)</f>
        <v>6.85714285714286</v>
      </c>
      <c r="CP587" s="0" t="n">
        <f aca="false">IF(OR(CI587="",CJ587=""),"",DAYS360(CI587,CJ587))</f>
        <v>48</v>
      </c>
      <c r="CQ587" s="0" t="s">
        <v>240</v>
      </c>
      <c r="CR587" s="0" t="n">
        <v>1</v>
      </c>
      <c r="CT587" s="0" t="n">
        <v>166.6</v>
      </c>
      <c r="CU587" s="0" t="n">
        <v>0</v>
      </c>
      <c r="CV587" s="0" t="n">
        <f aca="false">IF(OR(CT587="",CT587="NO ESPECIFICA",CT587="NO MENCIONA"),"",IF(CU587=0,CT587,IF(CU587=1,CT587/30,IF(CU587=2,CT587/15,IF(CU587=3,CT587/7,"")))))</f>
        <v>166.6</v>
      </c>
      <c r="CW587" s="125" t="n">
        <v>174.13</v>
      </c>
      <c r="CX587" s="0" t="n">
        <v>0</v>
      </c>
      <c r="CY587" s="0" t="n">
        <f aca="false">IF(CW587="","",IF(CX587=0,CW587,IF(CX587=1,CW587/30,IF(CX587=2,CW587/15,IF(CX587=3,CW587/7,CW587)))))</f>
        <v>174.13</v>
      </c>
      <c r="CZ587" s="0" t="n">
        <f aca="false">IF(DI587&gt;0,DI587,IF(CY587&gt;0,CY587,IF(CV587&gt;0,CV587,"")))</f>
        <v>174.13</v>
      </c>
      <c r="DA587" s="0" t="n">
        <f aca="false">IF(DM587=1,CZ587/8,IF(OR(DM587=2,DM587=4),CZ587/7,IF(DM587=3,CZ587/7.5,"")))</f>
        <v>23.2173333333333</v>
      </c>
      <c r="DB587" s="0" t="s">
        <v>1935</v>
      </c>
      <c r="DC587" s="0" t="s">
        <v>301</v>
      </c>
      <c r="DD587" s="0" t="s">
        <v>216</v>
      </c>
      <c r="DE587" s="0" t="s">
        <v>216</v>
      </c>
      <c r="DF587" s="0" t="s">
        <v>216</v>
      </c>
      <c r="DG587" s="0" t="s">
        <v>216</v>
      </c>
      <c r="DH587" s="0" t="n">
        <v>0</v>
      </c>
      <c r="DI587" s="126" t="n">
        <v>174.13</v>
      </c>
      <c r="DK587" s="0" t="n">
        <v>0</v>
      </c>
      <c r="DM587" s="0" t="n">
        <v>3</v>
      </c>
      <c r="DN587" s="0" t="n">
        <v>96</v>
      </c>
      <c r="DO587" s="0" t="n">
        <v>3</v>
      </c>
      <c r="DP587" s="0" t="n">
        <v>0</v>
      </c>
      <c r="DQ587" s="0" t="n">
        <v>1</v>
      </c>
      <c r="DR587" s="0"/>
      <c r="DS587" s="0" t="n">
        <v>1</v>
      </c>
      <c r="DU587" s="0" t="n">
        <v>1</v>
      </c>
      <c r="DW587" s="1" t="n">
        <v>40469</v>
      </c>
      <c r="DX587" s="1" t="n">
        <v>40518</v>
      </c>
      <c r="DZ587" s="0"/>
      <c r="EA587" s="0" t="n">
        <v>1</v>
      </c>
      <c r="EC587" s="1" t="n">
        <v>40469</v>
      </c>
      <c r="ED587" s="1" t="n">
        <v>40518</v>
      </c>
      <c r="EF587" s="0"/>
      <c r="EG587" s="0" t="n">
        <v>0</v>
      </c>
      <c r="EI587" s="0" t="n">
        <f aca="false">IF(AND(DM587=1,DN587&lt;=48),"",IF(AND(DM587=2,DN587&lt;=42),"",IF(AND(DM587=3,DN587&lt;=45),"",EH587)))</f>
        <v>0</v>
      </c>
      <c r="EJ587" s="0" t="str">
        <f aca="false">IF(EI587="","",IF(EI587&lt;9,EI587,9))</f>
        <v/>
      </c>
      <c r="EK587" s="0" t="str">
        <f aca="false">IF(EI587="","",IF(EI587&gt;9,EI587-EJ587,0))</f>
        <v/>
      </c>
      <c r="EL587" s="0" t="str">
        <f aca="false">IF(EI587="","",EJ587*DA587*2+EK587*DA587*3)</f>
        <v/>
      </c>
      <c r="EP587" s="0" t="n">
        <v>0</v>
      </c>
      <c r="EQ587" s="0"/>
      <c r="ER587" s="0" t="n">
        <v>0</v>
      </c>
      <c r="ET587" s="0" t="n">
        <v>0</v>
      </c>
      <c r="EV587" s="0" t="n">
        <v>0</v>
      </c>
      <c r="EX587" s="0" t="n">
        <v>0</v>
      </c>
      <c r="EY587" s="0" t="n">
        <v>0</v>
      </c>
      <c r="EZ587" s="0"/>
      <c r="FA587" s="4" t="n">
        <v>3482.6</v>
      </c>
      <c r="FB587" s="0" t="n">
        <v>1</v>
      </c>
      <c r="FC587" s="1" t="n">
        <v>41976</v>
      </c>
      <c r="FD587" s="0" t="n">
        <v>4</v>
      </c>
      <c r="FE587" s="0" t="n">
        <v>0</v>
      </c>
      <c r="FF587" s="120" t="n">
        <f aca="false">(CJ587-CI587+1)/365</f>
        <v>0.136986301369863</v>
      </c>
      <c r="FG587" s="0" t="str">
        <f aca="false">CONCATENATE(F587,"/",G587)</f>
        <v>144/2011</v>
      </c>
      <c r="FH587" s="0" t="n">
        <v>1</v>
      </c>
      <c r="FI587" s="0" t="n">
        <f aca="false">IFERROR(IF((FC587-J587+1)/365&gt;3,0,1),"")</f>
        <v>0</v>
      </c>
    </row>
    <row r="588" customFormat="false" ht="15" hidden="false" customHeight="false" outlineLevel="0" collapsed="false">
      <c r="A588" s="5" t="str">
        <f aca="false">E588&amp;G588&amp;F588</f>
        <v>72011158</v>
      </c>
      <c r="B588" s="0" t="s">
        <v>203</v>
      </c>
      <c r="C588" s="1" t="n">
        <v>42357</v>
      </c>
      <c r="D588" s="0" t="s">
        <v>1856</v>
      </c>
      <c r="E588" s="0" t="n">
        <v>7</v>
      </c>
      <c r="F588" s="0" t="n">
        <v>158</v>
      </c>
      <c r="G588" s="0" t="n">
        <v>2011</v>
      </c>
      <c r="H588" s="0" t="str">
        <f aca="false">"J"&amp;E588&amp;"\"&amp;F588&amp;"\"&amp;G588&amp;"\"&amp;W588</f>
        <v>J7\158\2011\1</v>
      </c>
      <c r="I588" s="0"/>
      <c r="J588" s="1" t="n">
        <v>40568</v>
      </c>
      <c r="K588" s="0" t="n">
        <v>0</v>
      </c>
      <c r="M588" s="1"/>
      <c r="N588" s="1"/>
      <c r="O588" s="1"/>
      <c r="P588" s="1"/>
      <c r="Q588" s="1"/>
      <c r="T588" s="121"/>
      <c r="U588" s="121"/>
      <c r="V588" s="122" t="n">
        <f aca="false">IF(AND(E588&gt;0,F588&gt;0,G588&gt;0),COUNTIFS($E:$E,E588,$F:$F,F588,$G:$G,G588),"")</f>
        <v>1</v>
      </c>
      <c r="W588" s="122" t="n">
        <f aca="false">IF(V588="","",IF(V588=1,1,IF(AND(E587=E588,F587=F588,G587=G588),W587+1,1)))</f>
        <v>1</v>
      </c>
      <c r="X588" s="0" t="n">
        <v>1</v>
      </c>
      <c r="Y588" s="0" t="n">
        <v>5</v>
      </c>
      <c r="Z588" s="0" t="s">
        <v>5380</v>
      </c>
      <c r="AA588" s="0" t="n">
        <v>0</v>
      </c>
      <c r="AB588" s="0" t="s">
        <v>5381</v>
      </c>
      <c r="AC588" s="0" t="s">
        <v>244</v>
      </c>
      <c r="AD588" s="0" t="s">
        <v>221</v>
      </c>
      <c r="AE588" s="0" t="n">
        <v>0</v>
      </c>
      <c r="AF588" s="0" t="s">
        <v>5382</v>
      </c>
      <c r="AG588" s="0" t="n">
        <v>0</v>
      </c>
      <c r="AH588" s="0" t="s">
        <v>5383</v>
      </c>
      <c r="AI588" s="0" t="s">
        <v>3618</v>
      </c>
      <c r="AJ588" s="0" t="s">
        <v>519</v>
      </c>
      <c r="AL588" s="0" t="s">
        <v>5384</v>
      </c>
      <c r="AM588" s="0" t="n">
        <v>0</v>
      </c>
      <c r="AN588" s="0" t="s">
        <v>5383</v>
      </c>
      <c r="AO588" s="0" t="s">
        <v>3618</v>
      </c>
      <c r="AP588" s="0" t="s">
        <v>519</v>
      </c>
      <c r="AR588" s="0" t="s">
        <v>5385</v>
      </c>
      <c r="AS588" s="0" t="n">
        <v>0</v>
      </c>
      <c r="AT588" s="0" t="s">
        <v>5383</v>
      </c>
      <c r="AU588" s="0" t="s">
        <v>3618</v>
      </c>
      <c r="AV588" s="0" t="s">
        <v>519</v>
      </c>
      <c r="AX588" s="0" t="s">
        <v>5386</v>
      </c>
      <c r="AY588" s="0" t="n">
        <v>1</v>
      </c>
      <c r="AZ588" s="0" t="s">
        <v>5383</v>
      </c>
      <c r="BA588" s="0" t="s">
        <v>3618</v>
      </c>
      <c r="BB588" s="0" t="s">
        <v>519</v>
      </c>
      <c r="BD588" s="0" t="s">
        <v>213</v>
      </c>
      <c r="BE588" s="0" t="n">
        <v>1</v>
      </c>
      <c r="BF588" s="0" t="s">
        <v>5383</v>
      </c>
      <c r="BG588" s="0" t="s">
        <v>3618</v>
      </c>
      <c r="BH588" s="0" t="s">
        <v>519</v>
      </c>
      <c r="BR588" s="0" t="n">
        <v>1</v>
      </c>
      <c r="BS588" s="0" t="s">
        <v>1181</v>
      </c>
      <c r="BT588" s="0" t="s">
        <v>538</v>
      </c>
      <c r="BU588" s="0" t="s">
        <v>540</v>
      </c>
      <c r="BV588" s="123"/>
      <c r="BW588" s="123"/>
      <c r="BX588" s="123"/>
      <c r="BY588" s="123"/>
      <c r="CA588" s="0" t="s">
        <v>5387</v>
      </c>
      <c r="CD588" s="0" t="s">
        <v>370</v>
      </c>
      <c r="CE588" s="0" t="n">
        <v>0</v>
      </c>
      <c r="CF588" s="0" t="s">
        <v>5388</v>
      </c>
      <c r="CG588" s="0" t="s">
        <v>218</v>
      </c>
      <c r="CI588" s="1" t="n">
        <v>32408</v>
      </c>
      <c r="CJ588" s="1" t="n">
        <v>40543</v>
      </c>
      <c r="CK588" s="124" t="n">
        <v>0.375</v>
      </c>
      <c r="CL588" s="0" t="s">
        <v>5386</v>
      </c>
      <c r="CM588" s="0" t="n">
        <f aca="false">IF(OR(CI588="",CJ588=""),"",DAYS360(CI588,CJ588)/360)</f>
        <v>22.275</v>
      </c>
      <c r="CN588" s="0" t="n">
        <f aca="false">IF(OR(CI588="",CJ588=""),"",DAYS360(CI588,CJ588)/30)</f>
        <v>267.3</v>
      </c>
      <c r="CO588" s="0" t="n">
        <f aca="false">IF(OR(CI588="",CJ588=""),"",DAYS360(CI588,CJ588)/7)</f>
        <v>1145.57142857143</v>
      </c>
      <c r="CP588" s="0" t="n">
        <f aca="false">IF(OR(CI588="",CJ588=""),"",DAYS360(CI588,CJ588))</f>
        <v>8019</v>
      </c>
      <c r="CQ588" s="0" t="s">
        <v>220</v>
      </c>
      <c r="CR588" s="0" t="n">
        <v>1</v>
      </c>
      <c r="CT588" s="0" t="n">
        <v>333.33</v>
      </c>
      <c r="CU588" s="0" t="n">
        <v>0</v>
      </c>
      <c r="CV588" s="0" t="n">
        <f aca="false">IF(OR(CT588="",CT588="NO ESPECIFICA",CT588="NO MENCIONA"),"",IF(CU588=0,CT588,IF(CU588=1,CT588/30,IF(CU588=2,CT588/15,IF(CU588=3,CT588/7,"")))))</f>
        <v>333.33</v>
      </c>
      <c r="CW588" s="125" t="n">
        <v>369.84</v>
      </c>
      <c r="CX588" s="0" t="n">
        <v>0</v>
      </c>
      <c r="CY588" s="0" t="n">
        <f aca="false">IF(CW588="","",IF(CX588=0,CW588,IF(CX588=1,CW588/30,IF(CX588=2,CW588/15,IF(CX588=3,CW588/7,CW588)))))</f>
        <v>369.84</v>
      </c>
      <c r="CZ588" s="0" t="n">
        <f aca="false">IF(DI588&gt;0,DI588,IF(CY588&gt;0,CY588,IF(CV588&gt;0,CV588,"")))</f>
        <v>369.84</v>
      </c>
      <c r="DA588" s="0" t="n">
        <f aca="false">IF(DM588=1,CZ588/8,IF(OR(DM588=2,DM588=4),CZ588/7,IF(DM588=3,CZ588/7.5,"")))</f>
        <v>46.23</v>
      </c>
      <c r="DB588" s="0" t="s">
        <v>301</v>
      </c>
      <c r="DC588" s="0" t="s">
        <v>302</v>
      </c>
      <c r="DD588" s="0" t="s">
        <v>303</v>
      </c>
      <c r="DE588" s="0" t="s">
        <v>216</v>
      </c>
      <c r="DF588" s="0" t="s">
        <v>216</v>
      </c>
      <c r="DG588" s="0" t="s">
        <v>216</v>
      </c>
      <c r="DH588" s="0" t="n">
        <v>0</v>
      </c>
      <c r="DI588" s="126" t="n">
        <v>369.84</v>
      </c>
      <c r="DK588" s="0" t="n">
        <v>0</v>
      </c>
      <c r="DM588" s="0" t="n">
        <v>1</v>
      </c>
      <c r="DN588" s="0" t="n">
        <v>84</v>
      </c>
      <c r="DO588" s="0" t="n">
        <v>3</v>
      </c>
      <c r="DP588" s="0" t="n">
        <v>1</v>
      </c>
      <c r="DQ588" s="0" t="n">
        <v>1</v>
      </c>
      <c r="DR588" s="0"/>
      <c r="DS588" s="0" t="n">
        <v>1</v>
      </c>
      <c r="DU588" s="0" t="n">
        <v>1</v>
      </c>
      <c r="DW588" s="1" t="n">
        <v>32408</v>
      </c>
      <c r="DX588" s="1" t="n">
        <v>40543</v>
      </c>
      <c r="DZ588" s="0"/>
      <c r="EA588" s="0" t="n">
        <v>1</v>
      </c>
      <c r="EC588" s="1" t="n">
        <v>32408</v>
      </c>
      <c r="ED588" s="1" t="n">
        <v>40543</v>
      </c>
      <c r="EF588" s="0"/>
      <c r="EG588" s="0" t="n">
        <v>1</v>
      </c>
      <c r="EH588" s="0" t="n">
        <v>30</v>
      </c>
      <c r="EI588" s="0" t="n">
        <f aca="false">IF(AND(DM588=1,DN588&lt;=48),"",IF(AND(DM588=2,DN588&lt;=42),"",IF(AND(DM588=3,DN588&lt;=45),"",EH588)))</f>
        <v>30</v>
      </c>
      <c r="EJ588" s="0" t="n">
        <f aca="false">IF(EI588="","",IF(EI588&lt;9,EI588,9))</f>
        <v>9</v>
      </c>
      <c r="EK588" s="0" t="n">
        <f aca="false">IF(EI588="","",IF(EI588&gt;9,EI588-EJ588,0))</f>
        <v>21</v>
      </c>
      <c r="EL588" s="0" t="n">
        <f aca="false">IF(EI588="","",EJ588*DA588*2+EK588*DA588*3)</f>
        <v>3744.63</v>
      </c>
      <c r="EP588" s="0" t="n">
        <v>0</v>
      </c>
      <c r="EQ588" s="0"/>
      <c r="ER588" s="0" t="n">
        <v>1</v>
      </c>
      <c r="ET588" s="0" t="n">
        <v>0</v>
      </c>
      <c r="EV588" s="0" t="n">
        <v>1</v>
      </c>
      <c r="EX588" s="0" t="n">
        <v>1</v>
      </c>
      <c r="EY588" s="0" t="n">
        <v>1</v>
      </c>
      <c r="EZ588" s="0"/>
      <c r="FA588" s="4" t="n">
        <v>0</v>
      </c>
      <c r="FB588" s="0" t="n">
        <v>1</v>
      </c>
      <c r="FC588" s="1" t="n">
        <v>41927</v>
      </c>
      <c r="FD588" s="0" t="n">
        <v>2</v>
      </c>
      <c r="FE588" s="0" t="n">
        <v>0</v>
      </c>
      <c r="FF588" s="120" t="n">
        <f aca="false">(CJ588-CI588+1)/365</f>
        <v>22.2904109589041</v>
      </c>
      <c r="FG588" s="0" t="str">
        <f aca="false">CONCATENATE(F588,"/",G588)</f>
        <v>158/2011</v>
      </c>
      <c r="FH588" s="0" t="n">
        <v>1</v>
      </c>
      <c r="FI588" s="0" t="n">
        <f aca="false">IFERROR(IF((FC588-J588+1)/365&gt;3,0,1),"")</f>
        <v>0</v>
      </c>
    </row>
    <row r="589" customFormat="false" ht="15" hidden="false" customHeight="false" outlineLevel="0" collapsed="false">
      <c r="A589" s="5" t="str">
        <f aca="false">E589&amp;G589&amp;F589</f>
        <v>72011159</v>
      </c>
      <c r="B589" s="0" t="s">
        <v>203</v>
      </c>
      <c r="C589" s="1" t="n">
        <v>42357</v>
      </c>
      <c r="D589" s="0" t="s">
        <v>1856</v>
      </c>
      <c r="E589" s="0" t="n">
        <v>7</v>
      </c>
      <c r="F589" s="0" t="n">
        <v>159</v>
      </c>
      <c r="G589" s="0" t="n">
        <v>2011</v>
      </c>
      <c r="H589" s="0" t="str">
        <f aca="false">"J"&amp;E589&amp;"\"&amp;F589&amp;"\"&amp;G589&amp;"\"&amp;W589</f>
        <v>J7\159\2011\1</v>
      </c>
      <c r="I589" s="0"/>
      <c r="J589" s="1" t="n">
        <v>40568</v>
      </c>
      <c r="K589" s="0" t="n">
        <v>0</v>
      </c>
      <c r="M589" s="1"/>
      <c r="N589" s="1"/>
      <c r="O589" s="1"/>
      <c r="P589" s="1"/>
      <c r="Q589" s="1"/>
      <c r="T589" s="121"/>
      <c r="U589" s="121"/>
      <c r="V589" s="122" t="n">
        <f aca="false">IF(AND(E589&gt;0,F589&gt;0,G589&gt;0),COUNTIFS($E:$E,E589,$F:$F,F589,$G:$G,G589),"")</f>
        <v>2</v>
      </c>
      <c r="W589" s="122" t="n">
        <f aca="false">IF(V589="","",IF(V589=1,1,IF(AND(E588=E589,F588=F589,G588=G589),W588+1,1)))</f>
        <v>1</v>
      </c>
      <c r="X589" s="0" t="n">
        <v>2</v>
      </c>
      <c r="Y589" s="0" t="n">
        <v>3</v>
      </c>
      <c r="Z589" s="0" t="s">
        <v>5389</v>
      </c>
      <c r="AA589" s="0" t="n">
        <v>0</v>
      </c>
      <c r="AB589" s="0" t="s">
        <v>273</v>
      </c>
      <c r="AC589" s="0" t="s">
        <v>274</v>
      </c>
      <c r="AD589" s="0" t="s">
        <v>221</v>
      </c>
      <c r="AE589" s="0" t="n">
        <v>0</v>
      </c>
      <c r="AF589" s="0" t="s">
        <v>5390</v>
      </c>
      <c r="AG589" s="0" t="n">
        <v>0</v>
      </c>
      <c r="AH589" s="0" t="s">
        <v>5391</v>
      </c>
      <c r="AI589" s="0" t="s">
        <v>206</v>
      </c>
      <c r="AJ589" s="0" t="s">
        <v>207</v>
      </c>
      <c r="AL589" s="0" t="s">
        <v>5392</v>
      </c>
      <c r="AM589" s="0" t="n">
        <v>1</v>
      </c>
      <c r="AN589" s="0" t="s">
        <v>5391</v>
      </c>
      <c r="AO589" s="0" t="s">
        <v>206</v>
      </c>
      <c r="AP589" s="0" t="s">
        <v>207</v>
      </c>
      <c r="AR589" s="0" t="s">
        <v>5393</v>
      </c>
      <c r="AS589" s="0" t="n">
        <v>1</v>
      </c>
      <c r="AT589" s="0" t="s">
        <v>5391</v>
      </c>
      <c r="AU589" s="0" t="s">
        <v>206</v>
      </c>
      <c r="AV589" s="0" t="s">
        <v>207</v>
      </c>
      <c r="BR589" s="0" t="n">
        <v>1</v>
      </c>
      <c r="BS589" s="0" t="s">
        <v>279</v>
      </c>
      <c r="BT589" s="0" t="s">
        <v>280</v>
      </c>
      <c r="BU589" s="0" t="s">
        <v>281</v>
      </c>
      <c r="BV589" s="123"/>
      <c r="BW589" s="123"/>
      <c r="BX589" s="123"/>
      <c r="BY589" s="123"/>
      <c r="CA589" s="0" t="s">
        <v>282</v>
      </c>
      <c r="CD589" s="0" t="s">
        <v>1308</v>
      </c>
      <c r="CE589" s="0" t="n">
        <v>0</v>
      </c>
      <c r="CF589" s="0" t="s">
        <v>611</v>
      </c>
      <c r="CG589" s="0" t="s">
        <v>218</v>
      </c>
      <c r="CI589" s="1" t="n">
        <v>40190</v>
      </c>
      <c r="CJ589" s="1" t="n">
        <v>40563</v>
      </c>
      <c r="CK589" s="124" t="n">
        <v>0.416666666666667</v>
      </c>
      <c r="CL589" s="0" t="s">
        <v>5392</v>
      </c>
      <c r="CM589" s="0" t="n">
        <f aca="false">IF(OR(CI589="",CJ589=""),"",DAYS360(CI589,CJ589)/360)</f>
        <v>1.02222222222222</v>
      </c>
      <c r="CN589" s="0" t="n">
        <f aca="false">IF(OR(CI589="",CJ589=""),"",DAYS360(CI589,CJ589)/30)</f>
        <v>12.2666666666667</v>
      </c>
      <c r="CO589" s="0" t="n">
        <f aca="false">IF(OR(CI589="",CJ589=""),"",DAYS360(CI589,CJ589)/7)</f>
        <v>52.5714285714286</v>
      </c>
      <c r="CP589" s="0" t="n">
        <f aca="false">IF(OR(CI589="",CJ589=""),"",DAYS360(CI589,CJ589))</f>
        <v>368</v>
      </c>
      <c r="CQ589" s="0" t="s">
        <v>240</v>
      </c>
      <c r="CR589" s="0" t="n">
        <v>1</v>
      </c>
      <c r="CT589" s="0" t="s">
        <v>221</v>
      </c>
      <c r="CU589" s="0" t="s">
        <v>221</v>
      </c>
      <c r="CV589" s="0" t="str">
        <f aca="false">IF(OR(CT589="",CT589="NO ESPECIFICA",CT589="NO MENCIONA"),"",IF(CU589=0,CT589,IF(CU589=1,CT589/30,IF(CU589=2,CT589/15,IF(CU589=3,CT589/7,"")))))</f>
        <v/>
      </c>
      <c r="CW589" s="125" t="n">
        <v>1300</v>
      </c>
      <c r="CX589" s="0" t="n">
        <v>3</v>
      </c>
      <c r="CY589" s="0" t="n">
        <f aca="false">IF(CW589="","",IF(CX589=0,CW589,IF(CX589=1,CW589/30,IF(CX589=2,CW589/15,IF(CX589=3,CW589/7,CW589)))))</f>
        <v>185.714285714286</v>
      </c>
      <c r="CZ589" s="0" t="n">
        <f aca="false">IF(DI589&gt;0,DI589,IF(CY589&gt;0,CY589,IF(CV589&gt;0,CV589,"")))</f>
        <v>185.71</v>
      </c>
      <c r="DA589" s="0" t="n">
        <f aca="false">IF(DM589=1,CZ589/8,IF(OR(DM589=2,DM589=4),CZ589/7,IF(DM589=3,CZ589/7.5,"")))</f>
        <v>23.21375</v>
      </c>
      <c r="DB589" s="0" t="s">
        <v>216</v>
      </c>
      <c r="DC589" s="0" t="s">
        <v>216</v>
      </c>
      <c r="DD589" s="0" t="s">
        <v>216</v>
      </c>
      <c r="DE589" s="0" t="s">
        <v>216</v>
      </c>
      <c r="DF589" s="0" t="s">
        <v>216</v>
      </c>
      <c r="DG589" s="0" t="s">
        <v>216</v>
      </c>
      <c r="DH589" s="0" t="n">
        <v>0</v>
      </c>
      <c r="DI589" s="126" t="n">
        <v>185.71</v>
      </c>
      <c r="DK589" s="0" t="n">
        <v>0</v>
      </c>
      <c r="DM589" s="0" t="n">
        <v>1</v>
      </c>
      <c r="DN589" s="0" t="n">
        <v>72</v>
      </c>
      <c r="DO589" s="0" t="n">
        <v>3</v>
      </c>
      <c r="DP589" s="0" t="n">
        <v>0</v>
      </c>
      <c r="DQ589" s="0" t="n">
        <v>1</v>
      </c>
      <c r="DR589" s="0"/>
      <c r="DS589" s="0" t="n">
        <v>1</v>
      </c>
      <c r="DU589" s="0" t="n">
        <v>1</v>
      </c>
      <c r="DW589" s="1" t="n">
        <v>40190</v>
      </c>
      <c r="DX589" s="1" t="n">
        <v>40563</v>
      </c>
      <c r="DZ589" s="0"/>
      <c r="EA589" s="0" t="n">
        <v>1</v>
      </c>
      <c r="EC589" s="1" t="n">
        <v>40190</v>
      </c>
      <c r="ED589" s="1" t="n">
        <v>40563</v>
      </c>
      <c r="EF589" s="0"/>
      <c r="EG589" s="0" t="n">
        <v>1</v>
      </c>
      <c r="EH589" s="0" t="n">
        <v>24</v>
      </c>
      <c r="EI589" s="0" t="n">
        <f aca="false">IF(AND(DM589=1,DN589&lt;=48),"",IF(AND(DM589=2,DN589&lt;=42),"",IF(AND(DM589=3,DN589&lt;=45),"",EH589)))</f>
        <v>24</v>
      </c>
      <c r="EJ589" s="0" t="n">
        <f aca="false">IF(EI589="","",IF(EI589&lt;9,EI589,9))</f>
        <v>9</v>
      </c>
      <c r="EK589" s="0" t="n">
        <f aca="false">IF(EI589="","",IF(EI589&gt;9,EI589-EJ589,0))</f>
        <v>15</v>
      </c>
      <c r="EL589" s="0" t="n">
        <f aca="false">IF(EI589="","",EJ589*DA589*2+EK589*DA589*3)</f>
        <v>1462.46625</v>
      </c>
      <c r="EP589" s="0" t="n">
        <v>0</v>
      </c>
      <c r="EQ589" s="0"/>
      <c r="ER589" s="0" t="n">
        <v>0</v>
      </c>
      <c r="ET589" s="0" t="n">
        <v>0</v>
      </c>
      <c r="EV589" s="0" t="n">
        <v>0</v>
      </c>
      <c r="EX589" s="0" t="n">
        <v>0</v>
      </c>
      <c r="EY589" s="0" t="n">
        <v>0</v>
      </c>
      <c r="EZ589" s="0"/>
      <c r="FA589" s="4" t="n">
        <v>1671.42</v>
      </c>
      <c r="FB589" s="0" t="n">
        <v>0</v>
      </c>
      <c r="FC589" s="1"/>
      <c r="FF589" s="120" t="n">
        <f aca="false">(CJ589-CI589+1)/365</f>
        <v>1.02465753424658</v>
      </c>
      <c r="FG589" s="0" t="str">
        <f aca="false">CONCATENATE(F589,"/",G589)</f>
        <v>159/2011</v>
      </c>
      <c r="FH589" s="0" t="n">
        <v>1</v>
      </c>
      <c r="FI589" s="0" t="n">
        <f aca="false">IFERROR(IF((FC589-J589+1)/365&gt;3,0,1),"")</f>
        <v>1</v>
      </c>
    </row>
    <row r="590" customFormat="false" ht="15" hidden="false" customHeight="false" outlineLevel="0" collapsed="false">
      <c r="A590" s="5" t="str">
        <f aca="false">E590&amp;G590&amp;F590</f>
        <v>72011159</v>
      </c>
      <c r="B590" s="0" t="s">
        <v>203</v>
      </c>
      <c r="C590" s="1" t="n">
        <v>42357</v>
      </c>
      <c r="D590" s="0" t="s">
        <v>1856</v>
      </c>
      <c r="E590" s="0" t="n">
        <v>7</v>
      </c>
      <c r="F590" s="0" t="n">
        <v>159</v>
      </c>
      <c r="G590" s="0" t="n">
        <v>2011</v>
      </c>
      <c r="H590" s="0" t="str">
        <f aca="false">"J"&amp;E590&amp;"\"&amp;F590&amp;"\"&amp;G590&amp;"\"&amp;W590</f>
        <v>J7\159\2011\2</v>
      </c>
      <c r="I590" s="0"/>
      <c r="J590" s="1" t="n">
        <v>40568</v>
      </c>
      <c r="K590" s="0" t="n">
        <v>0</v>
      </c>
      <c r="M590" s="1"/>
      <c r="N590" s="1"/>
      <c r="O590" s="1"/>
      <c r="P590" s="1"/>
      <c r="Q590" s="1"/>
      <c r="T590" s="121"/>
      <c r="U590" s="121"/>
      <c r="V590" s="122" t="n">
        <f aca="false">IF(AND(E590&gt;0,F590&gt;0,G590&gt;0),COUNTIFS($E:$E,E590,$F:$F,F590,$G:$G,G590),"")</f>
        <v>2</v>
      </c>
      <c r="W590" s="122" t="n">
        <f aca="false">IF(V590="","",IF(V590=1,1,IF(AND(E589=E590,F589=F590,G589=G590),W589+1,1)))</f>
        <v>2</v>
      </c>
      <c r="X590" s="0" t="n">
        <v>2</v>
      </c>
      <c r="Y590" s="0" t="n">
        <v>3</v>
      </c>
      <c r="Z590" s="0" t="s">
        <v>5394</v>
      </c>
      <c r="AA590" s="0" t="n">
        <v>0</v>
      </c>
      <c r="AB590" s="0" t="s">
        <v>273</v>
      </c>
      <c r="AC590" s="0" t="s">
        <v>274</v>
      </c>
      <c r="AD590" s="0" t="s">
        <v>221</v>
      </c>
      <c r="AE590" s="0" t="n">
        <v>0</v>
      </c>
      <c r="AF590" s="0" t="s">
        <v>5390</v>
      </c>
      <c r="AG590" s="0" t="n">
        <v>0</v>
      </c>
      <c r="AH590" s="0" t="s">
        <v>5391</v>
      </c>
      <c r="AI590" s="0" t="s">
        <v>206</v>
      </c>
      <c r="AJ590" s="0" t="s">
        <v>207</v>
      </c>
      <c r="AL590" s="0" t="s">
        <v>5392</v>
      </c>
      <c r="AM590" s="0" t="n">
        <v>1</v>
      </c>
      <c r="AN590" s="0" t="s">
        <v>5391</v>
      </c>
      <c r="AO590" s="0" t="s">
        <v>206</v>
      </c>
      <c r="AP590" s="0" t="s">
        <v>207</v>
      </c>
      <c r="AR590" s="0" t="s">
        <v>5393</v>
      </c>
      <c r="AS590" s="0" t="n">
        <v>1</v>
      </c>
      <c r="AT590" s="0" t="s">
        <v>5391</v>
      </c>
      <c r="AU590" s="0" t="s">
        <v>206</v>
      </c>
      <c r="AV590" s="0" t="s">
        <v>207</v>
      </c>
      <c r="BR590" s="0" t="n">
        <v>1</v>
      </c>
      <c r="BS590" s="0" t="s">
        <v>279</v>
      </c>
      <c r="BT590" s="0" t="s">
        <v>280</v>
      </c>
      <c r="BU590" s="0" t="s">
        <v>281</v>
      </c>
      <c r="BV590" s="123"/>
      <c r="BW590" s="123"/>
      <c r="BX590" s="123"/>
      <c r="BY590" s="123"/>
      <c r="CA590" s="0" t="s">
        <v>282</v>
      </c>
      <c r="CD590" s="0" t="s">
        <v>1308</v>
      </c>
      <c r="CE590" s="0" t="n">
        <v>0</v>
      </c>
      <c r="CF590" s="0" t="s">
        <v>611</v>
      </c>
      <c r="CG590" s="0" t="s">
        <v>218</v>
      </c>
      <c r="CI590" s="1" t="n">
        <v>40190</v>
      </c>
      <c r="CJ590" s="1" t="n">
        <v>40563</v>
      </c>
      <c r="CK590" s="124" t="n">
        <v>0.416666666666667</v>
      </c>
      <c r="CL590" s="0" t="s">
        <v>5392</v>
      </c>
      <c r="CM590" s="0" t="n">
        <f aca="false">IF(OR(CI590="",CJ590=""),"",DAYS360(CI590,CJ590)/360)</f>
        <v>1.02222222222222</v>
      </c>
      <c r="CN590" s="0" t="n">
        <f aca="false">IF(OR(CI590="",CJ590=""),"",DAYS360(CI590,CJ590)/30)</f>
        <v>12.2666666666667</v>
      </c>
      <c r="CO590" s="0" t="n">
        <f aca="false">IF(OR(CI590="",CJ590=""),"",DAYS360(CI590,CJ590)/7)</f>
        <v>52.5714285714286</v>
      </c>
      <c r="CP590" s="0" t="n">
        <f aca="false">IF(OR(CI590="",CJ590=""),"",DAYS360(CI590,CJ590))</f>
        <v>368</v>
      </c>
      <c r="CQ590" s="0" t="s">
        <v>240</v>
      </c>
      <c r="CR590" s="0" t="n">
        <v>1</v>
      </c>
      <c r="CT590" s="0" t="s">
        <v>221</v>
      </c>
      <c r="CU590" s="0" t="s">
        <v>221</v>
      </c>
      <c r="CV590" s="0" t="str">
        <f aca="false">IF(OR(CT590="",CT590="NO ESPECIFICA",CT590="NO MENCIONA"),"",IF(CU590=0,CT590,IF(CU590=1,CT590/30,IF(CU590=2,CT590/15,IF(CU590=3,CT590/7,"")))))</f>
        <v/>
      </c>
      <c r="CW590" s="125" t="n">
        <v>1300</v>
      </c>
      <c r="CX590" s="0" t="n">
        <v>3</v>
      </c>
      <c r="CY590" s="0" t="n">
        <f aca="false">IF(CW590="","",IF(CX590=0,CW590,IF(CX590=1,CW590/30,IF(CX590=2,CW590/15,IF(CX590=3,CW590/7,CW590)))))</f>
        <v>185.714285714286</v>
      </c>
      <c r="CZ590" s="0" t="n">
        <f aca="false">IF(DI590&gt;0,DI590,IF(CY590&gt;0,CY590,IF(CV590&gt;0,CV590,"")))</f>
        <v>185.71</v>
      </c>
      <c r="DA590" s="0" t="n">
        <f aca="false">IF(DM590=1,CZ590/8,IF(OR(DM590=2,DM590=4),CZ590/7,IF(DM590=3,CZ590/7.5,"")))</f>
        <v>23.21375</v>
      </c>
      <c r="DB590" s="0" t="s">
        <v>216</v>
      </c>
      <c r="DC590" s="0" t="s">
        <v>216</v>
      </c>
      <c r="DD590" s="0" t="s">
        <v>216</v>
      </c>
      <c r="DE590" s="0" t="s">
        <v>216</v>
      </c>
      <c r="DF590" s="0" t="s">
        <v>216</v>
      </c>
      <c r="DG590" s="0" t="s">
        <v>216</v>
      </c>
      <c r="DH590" s="0" t="n">
        <v>0</v>
      </c>
      <c r="DI590" s="126" t="n">
        <v>185.71</v>
      </c>
      <c r="DK590" s="0" t="n">
        <v>0</v>
      </c>
      <c r="DM590" s="0" t="n">
        <v>1</v>
      </c>
      <c r="DN590" s="0" t="n">
        <v>72</v>
      </c>
      <c r="DO590" s="0" t="n">
        <v>3</v>
      </c>
      <c r="DP590" s="0" t="n">
        <v>0</v>
      </c>
      <c r="DQ590" s="0" t="n">
        <v>1</v>
      </c>
      <c r="DR590" s="0"/>
      <c r="DS590" s="0" t="n">
        <v>1</v>
      </c>
      <c r="DU590" s="0" t="n">
        <v>1</v>
      </c>
      <c r="DW590" s="1" t="n">
        <v>40190</v>
      </c>
      <c r="DX590" s="1" t="n">
        <v>40563</v>
      </c>
      <c r="DZ590" s="0"/>
      <c r="EA590" s="0" t="n">
        <v>1</v>
      </c>
      <c r="EC590" s="1" t="n">
        <v>40190</v>
      </c>
      <c r="ED590" s="1" t="n">
        <v>40563</v>
      </c>
      <c r="EF590" s="0"/>
      <c r="EG590" s="0" t="n">
        <v>1</v>
      </c>
      <c r="EH590" s="0" t="n">
        <v>24</v>
      </c>
      <c r="EI590" s="0" t="n">
        <f aca="false">IF(AND(DM590=1,DN590&lt;=48),"",IF(AND(DM590=2,DN590&lt;=42),"",IF(AND(DM590=3,DN590&lt;=45),"",EH590)))</f>
        <v>24</v>
      </c>
      <c r="EJ590" s="0" t="n">
        <f aca="false">IF(EI590="","",IF(EI590&lt;9,EI590,9))</f>
        <v>9</v>
      </c>
      <c r="EK590" s="0" t="n">
        <f aca="false">IF(EI590="","",IF(EI590&gt;9,EI590-EJ590,0))</f>
        <v>15</v>
      </c>
      <c r="EL590" s="0" t="n">
        <f aca="false">IF(EI590="","",EJ590*DA590*2+EK590*DA590*3)</f>
        <v>1462.46625</v>
      </c>
      <c r="EP590" s="0" t="n">
        <v>0</v>
      </c>
      <c r="EQ590" s="0"/>
      <c r="ER590" s="0" t="n">
        <v>0</v>
      </c>
      <c r="ET590" s="0" t="n">
        <v>0</v>
      </c>
      <c r="EV590" s="0" t="n">
        <v>0</v>
      </c>
      <c r="EX590" s="0" t="n">
        <v>0</v>
      </c>
      <c r="EY590" s="0" t="n">
        <v>0</v>
      </c>
      <c r="EZ590" s="0"/>
      <c r="FA590" s="4" t="n">
        <v>1671.42</v>
      </c>
      <c r="FB590" s="0" t="n">
        <v>0</v>
      </c>
      <c r="FC590" s="1"/>
      <c r="FF590" s="120" t="n">
        <f aca="false">(CJ590-CI590+1)/365</f>
        <v>1.02465753424658</v>
      </c>
      <c r="FG590" s="0" t="str">
        <f aca="false">CONCATENATE(F590,"/",G590)</f>
        <v>159/2011</v>
      </c>
      <c r="FH590" s="0" t="n">
        <v>1</v>
      </c>
      <c r="FI590" s="0" t="n">
        <f aca="false">IFERROR(IF((FC590-J590+1)/365&gt;3,0,1),"")</f>
        <v>1</v>
      </c>
    </row>
    <row r="591" customFormat="false" ht="15" hidden="false" customHeight="false" outlineLevel="0" collapsed="false">
      <c r="A591" s="5" t="str">
        <f aca="false">E591&amp;G591&amp;F591</f>
        <v>72011166</v>
      </c>
      <c r="B591" s="0" t="s">
        <v>203</v>
      </c>
      <c r="C591" s="1" t="n">
        <v>42357</v>
      </c>
      <c r="D591" s="0" t="s">
        <v>1856</v>
      </c>
      <c r="E591" s="0" t="n">
        <v>7</v>
      </c>
      <c r="F591" s="0" t="n">
        <v>166</v>
      </c>
      <c r="G591" s="0" t="n">
        <v>2011</v>
      </c>
      <c r="H591" s="0" t="str">
        <f aca="false">"J"&amp;E591&amp;"\"&amp;F591&amp;"\"&amp;G591&amp;"\"&amp;W591</f>
        <v>J7\166\2011\1</v>
      </c>
      <c r="I591" s="0"/>
      <c r="J591" s="1" t="n">
        <v>40569</v>
      </c>
      <c r="K591" s="0" t="n">
        <v>0</v>
      </c>
      <c r="M591" s="1"/>
      <c r="N591" s="1"/>
      <c r="O591" s="1"/>
      <c r="P591" s="1"/>
      <c r="Q591" s="1"/>
      <c r="T591" s="121"/>
      <c r="U591" s="121"/>
      <c r="V591" s="122" t="n">
        <f aca="false">IF(AND(E591&gt;0,F591&gt;0,G591&gt;0),COUNTIFS($E:$E,E591,$F:$F,F591,$G:$G,G591),"")</f>
        <v>1</v>
      </c>
      <c r="W591" s="122" t="n">
        <f aca="false">IF(V591="","",IF(V591=1,1,IF(AND(E590=E591,F590=F591,G590=G591),W590+1,1)))</f>
        <v>1</v>
      </c>
      <c r="X591" s="0" t="n">
        <v>1</v>
      </c>
      <c r="Y591" s="0" t="n">
        <v>4</v>
      </c>
      <c r="Z591" s="0" t="s">
        <v>5395</v>
      </c>
      <c r="AA591" s="0" t="n">
        <v>0</v>
      </c>
      <c r="AB591" s="0" t="s">
        <v>5396</v>
      </c>
      <c r="AC591" s="0" t="s">
        <v>318</v>
      </c>
      <c r="AD591" s="0" t="s">
        <v>221</v>
      </c>
      <c r="AE591" s="0" t="n">
        <v>0</v>
      </c>
      <c r="AF591" s="0" t="s">
        <v>5397</v>
      </c>
      <c r="AG591" s="0" t="n">
        <v>0</v>
      </c>
      <c r="AH591" s="0" t="s">
        <v>5398</v>
      </c>
      <c r="AI591" s="0" t="s">
        <v>697</v>
      </c>
      <c r="AJ591" s="0" t="s">
        <v>207</v>
      </c>
      <c r="AL591" s="0" t="s">
        <v>5399</v>
      </c>
      <c r="AM591" s="0" t="n">
        <v>1</v>
      </c>
      <c r="AN591" s="0" t="s">
        <v>5398</v>
      </c>
      <c r="AO591" s="0" t="s">
        <v>697</v>
      </c>
      <c r="AP591" s="0" t="s">
        <v>207</v>
      </c>
      <c r="AR591" s="0" t="s">
        <v>5400</v>
      </c>
      <c r="AS591" s="0" t="n">
        <v>0</v>
      </c>
      <c r="AT591" s="0" t="s">
        <v>5401</v>
      </c>
      <c r="AU591" s="0" t="s">
        <v>508</v>
      </c>
      <c r="AV591" s="0" t="s">
        <v>322</v>
      </c>
      <c r="AX591" s="0" t="s">
        <v>5402</v>
      </c>
      <c r="AY591" s="0" t="n">
        <v>1</v>
      </c>
      <c r="AZ591" s="0" t="s">
        <v>5401</v>
      </c>
      <c r="BA591" s="0" t="s">
        <v>508</v>
      </c>
      <c r="BB591" s="0" t="s">
        <v>322</v>
      </c>
      <c r="BR591" s="0" t="n">
        <v>1</v>
      </c>
      <c r="BS591" s="0" t="s">
        <v>4537</v>
      </c>
      <c r="BT591" s="0" t="s">
        <v>4538</v>
      </c>
      <c r="BU591" s="0" t="s">
        <v>4539</v>
      </c>
      <c r="BV591" s="123"/>
      <c r="BW591" s="123"/>
      <c r="BX591" s="123"/>
      <c r="BY591" s="123"/>
      <c r="CA591" s="0" t="s">
        <v>4540</v>
      </c>
      <c r="CD591" s="0" t="s">
        <v>296</v>
      </c>
      <c r="CE591" s="0" t="n">
        <v>0</v>
      </c>
      <c r="CF591" s="0" t="s">
        <v>611</v>
      </c>
      <c r="CG591" s="0" t="s">
        <v>218</v>
      </c>
      <c r="CI591" s="1" t="n">
        <v>40458</v>
      </c>
      <c r="CJ591" s="1" t="n">
        <v>40540</v>
      </c>
      <c r="CK591" s="124" t="n">
        <v>0.916666666666667</v>
      </c>
      <c r="CL591" s="0" t="s">
        <v>5402</v>
      </c>
      <c r="CM591" s="0" t="n">
        <f aca="false">IF(OR(CI591="",CJ591=""),"",DAYS360(CI591,CJ591)/360)</f>
        <v>0.225</v>
      </c>
      <c r="CN591" s="0" t="n">
        <f aca="false">IF(OR(CI591="",CJ591=""),"",DAYS360(CI591,CJ591)/30)</f>
        <v>2.7</v>
      </c>
      <c r="CO591" s="0" t="n">
        <f aca="false">IF(OR(CI591="",CJ591=""),"",DAYS360(CI591,CJ591)/7)</f>
        <v>11.5714285714286</v>
      </c>
      <c r="CP591" s="0" t="n">
        <f aca="false">IF(OR(CI591="",CJ591=""),"",DAYS360(CI591,CJ591))</f>
        <v>81</v>
      </c>
      <c r="CQ591" s="0" t="s">
        <v>220</v>
      </c>
      <c r="CR591" s="0" t="n">
        <v>1</v>
      </c>
      <c r="CT591" s="0" t="n">
        <v>2300</v>
      </c>
      <c r="CU591" s="0" t="n">
        <v>2</v>
      </c>
      <c r="CV591" s="0" t="n">
        <f aca="false">IF(OR(CT591="",CT591="NO ESPECIFICA",CT591="NO MENCIONA"),"",IF(CU591=0,CT591,IF(CU591=1,CT591/30,IF(CU591=2,CT591/15,IF(CU591=3,CT591/7,"")))))</f>
        <v>153.333333333333</v>
      </c>
      <c r="CW591" s="125" t="n">
        <v>186.65</v>
      </c>
      <c r="CX591" s="0" t="n">
        <v>0</v>
      </c>
      <c r="CY591" s="0" t="n">
        <f aca="false">IF(CW591="","",IF(CX591=0,CW591,IF(CX591=1,CW591/30,IF(CX591=2,CW591/15,IF(CX591=3,CW591/7,CW591)))))</f>
        <v>186.65</v>
      </c>
      <c r="CZ591" s="0" t="n">
        <f aca="false">IF(DI591&gt;0,DI591,IF(CY591&gt;0,CY591,IF(CV591&gt;0,CV591,"")))</f>
        <v>186.65</v>
      </c>
      <c r="DA591" s="0" t="n">
        <f aca="false">IF(DM591=1,CZ591/8,IF(OR(DM591=2,DM591=4),CZ591/7,IF(DM591=3,CZ591/7.5,"")))</f>
        <v>23.33125</v>
      </c>
      <c r="DB591" s="0" t="s">
        <v>5403</v>
      </c>
      <c r="DC591" s="0" t="s">
        <v>5404</v>
      </c>
      <c r="DD591" s="0" t="s">
        <v>216</v>
      </c>
      <c r="DE591" s="0" t="s">
        <v>216</v>
      </c>
      <c r="DF591" s="0" t="s">
        <v>216</v>
      </c>
      <c r="DG591" s="0" t="s">
        <v>216</v>
      </c>
      <c r="DH591" s="0" t="n">
        <v>0</v>
      </c>
      <c r="DI591" s="126" t="n">
        <v>186.65</v>
      </c>
      <c r="DK591" s="0" t="n">
        <v>0</v>
      </c>
      <c r="DM591" s="0" t="n">
        <v>1</v>
      </c>
      <c r="DN591" s="0" t="n">
        <v>40</v>
      </c>
      <c r="DO591" s="0" t="n">
        <v>3</v>
      </c>
      <c r="DP591" s="0" t="n">
        <v>1</v>
      </c>
      <c r="DQ591" s="0" t="n">
        <v>0</v>
      </c>
      <c r="DR591" s="0"/>
      <c r="DS591" s="0" t="n">
        <v>1</v>
      </c>
      <c r="DU591" s="0" t="n">
        <v>0</v>
      </c>
      <c r="DW591" s="1" t="n">
        <v>40458</v>
      </c>
      <c r="DX591" s="1" t="n">
        <v>40540</v>
      </c>
      <c r="DZ591" s="0"/>
      <c r="EA591" s="0" t="n">
        <v>1</v>
      </c>
      <c r="EC591" s="1" t="n">
        <v>40458</v>
      </c>
      <c r="ED591" s="1" t="n">
        <v>40540</v>
      </c>
      <c r="EF591" s="0"/>
      <c r="EG591" s="0" t="n">
        <v>1</v>
      </c>
      <c r="EH591" s="0" t="n">
        <v>12</v>
      </c>
      <c r="EI591" s="0" t="str">
        <f aca="false">IF(AND(DM591=1,DN591&lt;=48),"",IF(AND(DM591=2,DN591&lt;=42),"",IF(AND(DM591=3,DN591&lt;=45),"",EH591)))</f>
        <v/>
      </c>
      <c r="EJ591" s="0" t="str">
        <f aca="false">IF(EI591="","",IF(EI591&lt;9,EI591,9))</f>
        <v/>
      </c>
      <c r="EK591" s="0" t="str">
        <f aca="false">IF(EI591="","",IF(EI591&gt;9,EI591-EJ591,0))</f>
        <v/>
      </c>
      <c r="EL591" s="0" t="str">
        <f aca="false">IF(EI591="","",EJ591*DA591*2+EK591*DA591*3)</f>
        <v/>
      </c>
      <c r="EP591" s="0" t="n">
        <v>0</v>
      </c>
      <c r="EQ591" s="0"/>
      <c r="ER591" s="0" t="n">
        <v>0</v>
      </c>
      <c r="ET591" s="0" t="n">
        <v>1</v>
      </c>
      <c r="EV591" s="0" t="n">
        <v>1</v>
      </c>
      <c r="EX591" s="0" t="n">
        <v>1</v>
      </c>
      <c r="EY591" s="0" t="n">
        <v>0</v>
      </c>
      <c r="EZ591" s="0"/>
      <c r="FA591" s="4" t="n">
        <v>3733</v>
      </c>
      <c r="FB591" s="0" t="n">
        <v>1</v>
      </c>
      <c r="FC591" s="1" t="n">
        <v>40870</v>
      </c>
      <c r="FD591" s="0" t="n">
        <v>1</v>
      </c>
      <c r="FE591" s="0" t="n">
        <v>7000</v>
      </c>
      <c r="FF591" s="120" t="n">
        <f aca="false">(CJ591-CI591+1)/365</f>
        <v>0.227397260273973</v>
      </c>
      <c r="FG591" s="0" t="str">
        <f aca="false">CONCATENATE(F591,"/",G591)</f>
        <v>166/2011</v>
      </c>
      <c r="FH591" s="0" t="n">
        <v>1</v>
      </c>
      <c r="FI591" s="0" t="n">
        <f aca="false">IFERROR(IF((FC591-J591+1)/365&gt;3,0,1),"")</f>
        <v>1</v>
      </c>
    </row>
    <row r="592" customFormat="false" ht="15" hidden="false" customHeight="false" outlineLevel="0" collapsed="false">
      <c r="A592" s="5" t="str">
        <f aca="false">E592&amp;G592&amp;F592</f>
        <v>720111471</v>
      </c>
      <c r="B592" s="0" t="s">
        <v>5405</v>
      </c>
      <c r="C592" s="1" t="n">
        <v>42361</v>
      </c>
      <c r="D592" s="0" t="s">
        <v>3265</v>
      </c>
      <c r="E592" s="0" t="n">
        <v>7</v>
      </c>
      <c r="F592" s="0" t="n">
        <v>1471</v>
      </c>
      <c r="G592" s="0" t="n">
        <v>2011</v>
      </c>
      <c r="H592" s="0" t="str">
        <f aca="false">"J"&amp;E592&amp;"\"&amp;F592&amp;"\"&amp;G592&amp;"\"&amp;W592</f>
        <v>J7\1471\2011\1</v>
      </c>
      <c r="I592" s="0"/>
      <c r="J592" s="1" t="n">
        <v>40784</v>
      </c>
      <c r="K592" s="0" t="n">
        <v>0</v>
      </c>
      <c r="M592" s="1"/>
      <c r="N592" s="1"/>
      <c r="O592" s="1"/>
      <c r="P592" s="1"/>
      <c r="Q592" s="1"/>
      <c r="T592" s="121"/>
      <c r="U592" s="121"/>
      <c r="V592" s="122" t="n">
        <f aca="false">IF(AND(E592&gt;0,F592&gt;0,G592&gt;0),COUNTIFS($E:$E,E592,$F:$F,F592,$G:$G,G592),"")</f>
        <v>1</v>
      </c>
      <c r="W592" s="122" t="n">
        <f aca="false">IF(V592="","",IF(V592=1,1,IF(AND(E591=E592,F591=F592,G591=G592),W591+1,1)))</f>
        <v>1</v>
      </c>
      <c r="X592" s="0" t="n">
        <v>1</v>
      </c>
      <c r="Y592" s="0" t="n">
        <v>7</v>
      </c>
      <c r="Z592" s="0" t="s">
        <v>5406</v>
      </c>
      <c r="AA592" s="0" t="n">
        <v>0</v>
      </c>
      <c r="AB592" s="0" t="s">
        <v>5407</v>
      </c>
      <c r="AC592" s="0" t="s">
        <v>318</v>
      </c>
      <c r="AE592" s="0" t="n">
        <v>0</v>
      </c>
      <c r="AF592" s="0" t="s">
        <v>5408</v>
      </c>
      <c r="AG592" s="0" t="n">
        <v>0</v>
      </c>
      <c r="AH592" s="0" t="s">
        <v>5409</v>
      </c>
      <c r="AI592" s="0" t="s">
        <v>5410</v>
      </c>
      <c r="AJ592" s="0" t="s">
        <v>485</v>
      </c>
      <c r="AL592" s="0" t="s">
        <v>5411</v>
      </c>
      <c r="AM592" s="0" t="n">
        <v>0</v>
      </c>
      <c r="AN592" s="0" t="s">
        <v>5409</v>
      </c>
      <c r="AO592" s="0" t="s">
        <v>5410</v>
      </c>
      <c r="AP592" s="0" t="s">
        <v>485</v>
      </c>
      <c r="AR592" s="0" t="s">
        <v>5412</v>
      </c>
      <c r="AS592" s="0" t="n">
        <v>1</v>
      </c>
      <c r="AT592" s="0" t="s">
        <v>5409</v>
      </c>
      <c r="AU592" s="0" t="s">
        <v>5410</v>
      </c>
      <c r="AV592" s="0" t="s">
        <v>485</v>
      </c>
      <c r="AX592" s="0" t="s">
        <v>5413</v>
      </c>
      <c r="AY592" s="0" t="n">
        <v>1</v>
      </c>
      <c r="AZ592" s="0" t="s">
        <v>5409</v>
      </c>
      <c r="BA592" s="0" t="s">
        <v>5410</v>
      </c>
      <c r="BB592" s="0" t="s">
        <v>485</v>
      </c>
      <c r="BD592" s="0" t="s">
        <v>5414</v>
      </c>
      <c r="BE592" s="0" t="n">
        <v>1</v>
      </c>
      <c r="BF592" s="0" t="s">
        <v>5409</v>
      </c>
      <c r="BG592" s="0" t="s">
        <v>5410</v>
      </c>
      <c r="BH592" s="0" t="s">
        <v>485</v>
      </c>
      <c r="BJ592" s="0" t="s">
        <v>5415</v>
      </c>
      <c r="BK592" s="0" t="n">
        <v>1</v>
      </c>
      <c r="BL592" s="0" t="s">
        <v>5409</v>
      </c>
      <c r="BM592" s="0" t="s">
        <v>5410</v>
      </c>
      <c r="BN592" s="0" t="s">
        <v>485</v>
      </c>
      <c r="BR592" s="0" t="n">
        <v>1</v>
      </c>
      <c r="BS592" s="0" t="s">
        <v>2058</v>
      </c>
      <c r="BV592" s="123"/>
      <c r="BW592" s="123"/>
      <c r="BX592" s="123"/>
      <c r="BY592" s="123"/>
      <c r="CD592" s="0" t="s">
        <v>256</v>
      </c>
      <c r="CE592" s="0" t="n">
        <v>0</v>
      </c>
      <c r="CF592" s="0" t="s">
        <v>5184</v>
      </c>
      <c r="CG592" s="0" t="s">
        <v>218</v>
      </c>
      <c r="CI592" s="1" t="n">
        <v>39989</v>
      </c>
      <c r="CJ592" s="1" t="n">
        <v>40742</v>
      </c>
      <c r="CK592" s="124" t="n">
        <v>0.375</v>
      </c>
      <c r="CL592" s="0" t="s">
        <v>5412</v>
      </c>
      <c r="CM592" s="0" t="n">
        <f aca="false">IF(OR(CI592="",CJ592=""),"",DAYS360(CI592,CJ592)/360)</f>
        <v>2.06388888888889</v>
      </c>
      <c r="CN592" s="0" t="n">
        <f aca="false">IF(OR(CI592="",CJ592=""),"",DAYS360(CI592,CJ592)/30)</f>
        <v>24.7666666666667</v>
      </c>
      <c r="CO592" s="0" t="n">
        <f aca="false">IF(OR(CI592="",CJ592=""),"",DAYS360(CI592,CJ592)/7)</f>
        <v>106.142857142857</v>
      </c>
      <c r="CP592" s="0" t="n">
        <f aca="false">IF(OR(CI592="",CJ592=""),"",DAYS360(CI592,CJ592))</f>
        <v>743</v>
      </c>
      <c r="CQ592" s="0" t="s">
        <v>240</v>
      </c>
      <c r="CR592" s="0" t="n">
        <v>1</v>
      </c>
      <c r="CT592" s="0" t="n">
        <v>1097.52</v>
      </c>
      <c r="CU592" s="0" t="n">
        <v>0</v>
      </c>
      <c r="CV592" s="0" t="n">
        <f aca="false">IF(OR(CT592="",CT592="NO ESPECIFICA",CT592="NO MENCIONA"),"",IF(CU592=0,CT592,IF(CU592=1,CT592/30,IF(CU592=2,CT592/15,IF(CU592=3,CT592/7,"")))))</f>
        <v>1097.52</v>
      </c>
      <c r="CW592" s="125" t="n">
        <v>1158.22</v>
      </c>
      <c r="CX592" s="0" t="n">
        <v>0</v>
      </c>
      <c r="CY592" s="0" t="n">
        <f aca="false">IF(CW592="","",IF(CX592=0,CW592,IF(CX592=1,CW592/30,IF(CX592=2,CW592/15,IF(CX592=3,CW592/7,CW592)))))</f>
        <v>1158.22</v>
      </c>
      <c r="CZ592" s="0" t="n">
        <f aca="false">IF(DI592&gt;0,DI592,IF(CY592&gt;0,CY592,IF(CV592&gt;0,CV592,"")))</f>
        <v>1158.22</v>
      </c>
      <c r="DA592" s="0" t="n">
        <f aca="false">IF(DM592=1,CZ592/8,IF(OR(DM592=2,DM592=4),CZ592/7,IF(DM592=3,CZ592/7.5,"")))</f>
        <v>144.7775</v>
      </c>
      <c r="DB592" s="0" t="s">
        <v>303</v>
      </c>
      <c r="DC592" s="0" t="s">
        <v>301</v>
      </c>
      <c r="DD592" s="0" t="s">
        <v>4970</v>
      </c>
      <c r="DE592" s="0" t="s">
        <v>216</v>
      </c>
      <c r="DF592" s="0" t="s">
        <v>216</v>
      </c>
      <c r="DG592" s="0" t="s">
        <v>216</v>
      </c>
      <c r="DH592" s="0" t="n">
        <v>0</v>
      </c>
      <c r="DI592" s="126" t="n">
        <v>1158.22</v>
      </c>
      <c r="DK592" s="0" t="n">
        <v>1</v>
      </c>
      <c r="DM592" s="0" t="n">
        <v>1</v>
      </c>
      <c r="DN592" s="0" t="n">
        <v>50</v>
      </c>
      <c r="DO592" s="0" t="n">
        <v>3</v>
      </c>
      <c r="DP592" s="0" t="n">
        <v>0</v>
      </c>
      <c r="DQ592" s="0" t="n">
        <v>1</v>
      </c>
      <c r="DR592" s="0"/>
      <c r="DS592" s="0" t="n">
        <v>1</v>
      </c>
      <c r="DU592" s="0" t="n">
        <v>1</v>
      </c>
      <c r="DW592" s="1" t="n">
        <v>40014</v>
      </c>
      <c r="DX592" s="1" t="n">
        <v>40742</v>
      </c>
      <c r="DZ592" s="0"/>
      <c r="EA592" s="0" t="n">
        <v>1</v>
      </c>
      <c r="EC592" s="1" t="n">
        <v>40014</v>
      </c>
      <c r="ED592" s="1" t="n">
        <v>40742</v>
      </c>
      <c r="EF592" s="0"/>
      <c r="EG592" s="0" t="n">
        <v>1</v>
      </c>
      <c r="EH592" s="0" t="n">
        <v>10</v>
      </c>
      <c r="EI592" s="0" t="n">
        <f aca="false">IF(AND(DM592=1,DN592&lt;=48),"",IF(AND(DM592=2,DN592&lt;=42),"",IF(AND(DM592=3,DN592&lt;=45),"",EH592)))</f>
        <v>10</v>
      </c>
      <c r="EJ592" s="0" t="n">
        <f aca="false">IF(EI592="","",IF(EI592&lt;9,EI592,9))</f>
        <v>9</v>
      </c>
      <c r="EK592" s="0" t="n">
        <f aca="false">IF(EI592="","",IF(EI592&gt;9,EI592-EJ592,0))</f>
        <v>1</v>
      </c>
      <c r="EL592" s="0" t="n">
        <f aca="false">IF(EI592="","",EJ592*DA592*2+EK592*DA592*3)</f>
        <v>3040.3275</v>
      </c>
      <c r="EP592" s="0" t="n">
        <v>0</v>
      </c>
      <c r="EQ592" s="0"/>
      <c r="ER592" s="0" t="n">
        <v>0</v>
      </c>
      <c r="ET592" s="0" t="n">
        <v>1</v>
      </c>
      <c r="EV592" s="0" t="n">
        <v>1</v>
      </c>
      <c r="EX592" s="0" t="n">
        <v>1</v>
      </c>
      <c r="EY592" s="0" t="n">
        <v>1</v>
      </c>
      <c r="EZ592" s="4" t="n">
        <v>20000</v>
      </c>
      <c r="FA592" s="4" t="n">
        <v>17373.3</v>
      </c>
      <c r="FB592" s="0" t="n">
        <v>0</v>
      </c>
      <c r="FC592" s="1" t="n">
        <v>41815</v>
      </c>
      <c r="FD592" s="0" t="n">
        <v>1</v>
      </c>
      <c r="FE592" s="0" t="n">
        <v>19000</v>
      </c>
      <c r="FF592" s="120" t="n">
        <f aca="false">(CJ592-CI592+1)/365</f>
        <v>2.06575342465753</v>
      </c>
      <c r="FG592" s="0" t="str">
        <f aca="false">CONCATENATE(F592,"/",G592)</f>
        <v>1471/2011</v>
      </c>
      <c r="FH592" s="0" t="n">
        <v>1</v>
      </c>
      <c r="FI592" s="0" t="n">
        <f aca="false">IFERROR(IF((FC592-J592+1)/365&gt;3,0,1),"")</f>
        <v>1</v>
      </c>
    </row>
    <row r="593" customFormat="false" ht="15" hidden="false" customHeight="false" outlineLevel="0" collapsed="false">
      <c r="A593" s="5" t="str">
        <f aca="false">E593&amp;G593&amp;F593</f>
        <v>720111472</v>
      </c>
      <c r="B593" s="0" t="s">
        <v>5405</v>
      </c>
      <c r="C593" s="1" t="n">
        <v>42361</v>
      </c>
      <c r="D593" s="0" t="s">
        <v>3265</v>
      </c>
      <c r="E593" s="0" t="n">
        <v>7</v>
      </c>
      <c r="F593" s="0" t="n">
        <v>1472</v>
      </c>
      <c r="G593" s="0" t="n">
        <v>2011</v>
      </c>
      <c r="H593" s="0" t="str">
        <f aca="false">"J"&amp;E593&amp;"\"&amp;F593&amp;"\"&amp;G593&amp;"\"&amp;W593</f>
        <v>J7\1472\2011\1</v>
      </c>
      <c r="I593" s="0"/>
      <c r="J593" s="1" t="n">
        <v>40784</v>
      </c>
      <c r="K593" s="0" t="n">
        <v>0</v>
      </c>
      <c r="M593" s="1"/>
      <c r="N593" s="1"/>
      <c r="O593" s="1"/>
      <c r="P593" s="1"/>
      <c r="Q593" s="1"/>
      <c r="T593" s="121"/>
      <c r="U593" s="121"/>
      <c r="V593" s="122" t="n">
        <f aca="false">IF(AND(E593&gt;0,F593&gt;0,G593&gt;0),COUNTIFS($E:$E,E593,$F:$F,F593,$G:$G,G593),"")</f>
        <v>1</v>
      </c>
      <c r="W593" s="122" t="n">
        <f aca="false">IF(V593="","",IF(V593=1,1,IF(AND(E592=E593,F592=F593,G592=G593),W592+1,1)))</f>
        <v>1</v>
      </c>
      <c r="X593" s="0" t="n">
        <v>1</v>
      </c>
      <c r="Y593" s="0" t="n">
        <v>5</v>
      </c>
      <c r="Z593" s="0" t="s">
        <v>5416</v>
      </c>
      <c r="AA593" s="0" t="n">
        <v>0</v>
      </c>
      <c r="AB593" s="0" t="s">
        <v>5417</v>
      </c>
      <c r="AC593" s="0" t="s">
        <v>1160</v>
      </c>
      <c r="AD593" s="0" t="s">
        <v>229</v>
      </c>
      <c r="AE593" s="0" t="n">
        <v>0</v>
      </c>
      <c r="AF593" s="0" t="s">
        <v>5418</v>
      </c>
      <c r="AG593" s="0" t="n">
        <v>0</v>
      </c>
      <c r="AH593" s="0" t="s">
        <v>4464</v>
      </c>
      <c r="AI593" s="0" t="s">
        <v>5419</v>
      </c>
      <c r="AJ593" s="0" t="s">
        <v>207</v>
      </c>
      <c r="AL593" s="0" t="s">
        <v>5420</v>
      </c>
      <c r="AM593" s="0" t="n">
        <v>1</v>
      </c>
      <c r="AN593" s="0" t="s">
        <v>4464</v>
      </c>
      <c r="AO593" s="0" t="s">
        <v>5419</v>
      </c>
      <c r="AP593" s="0" t="s">
        <v>207</v>
      </c>
      <c r="AR593" s="0" t="s">
        <v>5421</v>
      </c>
      <c r="AS593" s="0" t="n">
        <v>1</v>
      </c>
      <c r="AT593" s="0" t="s">
        <v>4464</v>
      </c>
      <c r="AU593" s="0" t="s">
        <v>5419</v>
      </c>
      <c r="AV593" s="0" t="s">
        <v>207</v>
      </c>
      <c r="AX593" s="0" t="s">
        <v>5422</v>
      </c>
      <c r="AY593" s="0" t="n">
        <v>0</v>
      </c>
      <c r="AZ593" s="0" t="s">
        <v>5423</v>
      </c>
      <c r="BA593" s="0" t="s">
        <v>5424</v>
      </c>
      <c r="BB593" s="0" t="s">
        <v>322</v>
      </c>
      <c r="BD593" s="0" t="s">
        <v>5425</v>
      </c>
      <c r="BE593" s="0" t="n">
        <v>0</v>
      </c>
      <c r="BF593" s="0" t="s">
        <v>5426</v>
      </c>
      <c r="BG593" s="0" t="s">
        <v>3536</v>
      </c>
      <c r="BH593" s="0" t="s">
        <v>485</v>
      </c>
      <c r="BR593" s="0" t="n">
        <v>1</v>
      </c>
      <c r="BS593" s="0" t="s">
        <v>1577</v>
      </c>
      <c r="BV593" s="123"/>
      <c r="BW593" s="123"/>
      <c r="BX593" s="123"/>
      <c r="BY593" s="123"/>
      <c r="CA593" s="0" t="s">
        <v>5427</v>
      </c>
      <c r="CD593" s="0" t="s">
        <v>1465</v>
      </c>
      <c r="CE593" s="0" t="n">
        <v>0</v>
      </c>
      <c r="CF593" s="0" t="s">
        <v>2082</v>
      </c>
      <c r="CG593" s="0" t="s">
        <v>218</v>
      </c>
      <c r="CI593" s="1" t="n">
        <v>40244</v>
      </c>
      <c r="CJ593" s="1" t="n">
        <v>40778</v>
      </c>
      <c r="CK593" s="124" t="n">
        <v>0.375</v>
      </c>
      <c r="CL593" s="0" t="s">
        <v>5420</v>
      </c>
      <c r="CM593" s="0" t="n">
        <f aca="false">IF(OR(CI593="",CJ593=""),"",DAYS360(CI593,CJ593)/360)</f>
        <v>1.46111111111111</v>
      </c>
      <c r="CN593" s="0" t="n">
        <f aca="false">IF(OR(CI593="",CJ593=""),"",DAYS360(CI593,CJ593)/30)</f>
        <v>17.5333333333333</v>
      </c>
      <c r="CO593" s="0" t="n">
        <f aca="false">IF(OR(CI593="",CJ593=""),"",DAYS360(CI593,CJ593)/7)</f>
        <v>75.1428571428571</v>
      </c>
      <c r="CP593" s="0" t="n">
        <f aca="false">IF(OR(CI593="",CJ593=""),"",DAYS360(CI593,CJ593))</f>
        <v>526</v>
      </c>
      <c r="CQ593" s="0" t="s">
        <v>240</v>
      </c>
      <c r="CR593" s="0" t="n">
        <v>1</v>
      </c>
      <c r="CT593" s="0" t="n">
        <v>500</v>
      </c>
      <c r="CU593" s="0" t="n">
        <v>0</v>
      </c>
      <c r="CV593" s="0" t="n">
        <f aca="false">IF(OR(CT593="",CT593="NO ESPECIFICA",CT593="NO MENCIONA"),"",IF(CU593=0,CT593,IF(CU593=1,CT593/30,IF(CU593=2,CT593/15,IF(CU593=3,CT593/7,"")))))</f>
        <v>500</v>
      </c>
      <c r="CW593" s="125" t="n">
        <v>700</v>
      </c>
      <c r="CX593" s="0" t="n">
        <v>0</v>
      </c>
      <c r="CY593" s="0" t="n">
        <f aca="false">IF(CW593="","",IF(CX593=0,CW593,IF(CX593=1,CW593/30,IF(CX593=2,CW593/15,IF(CX593=3,CW593/7,CW593)))))</f>
        <v>700</v>
      </c>
      <c r="CZ593" s="0" t="n">
        <f aca="false">IF(DI593&gt;0,DI593,IF(CY593&gt;0,CY593,IF(CV593&gt;0,CV593,"")))</f>
        <v>700</v>
      </c>
      <c r="DA593" s="0" t="n">
        <f aca="false">IF(DM593=1,CZ593/8,IF(OR(DM593=2,DM593=4),CZ593/7,IF(DM593=3,CZ593/7.5,"")))</f>
        <v>87.5</v>
      </c>
      <c r="DB593" s="0" t="s">
        <v>417</v>
      </c>
      <c r="DC593" s="0" t="s">
        <v>216</v>
      </c>
      <c r="DD593" s="0" t="s">
        <v>216</v>
      </c>
      <c r="DE593" s="0" t="s">
        <v>216</v>
      </c>
      <c r="DF593" s="0" t="s">
        <v>216</v>
      </c>
      <c r="DG593" s="0" t="s">
        <v>216</v>
      </c>
      <c r="DH593" s="0" t="n">
        <v>0</v>
      </c>
      <c r="DI593" s="126" t="n">
        <v>700</v>
      </c>
      <c r="DK593" s="0" t="n">
        <v>1</v>
      </c>
      <c r="DM593" s="0" t="n">
        <v>1</v>
      </c>
      <c r="DN593" s="0" t="n">
        <v>66</v>
      </c>
      <c r="DO593" s="0" t="n">
        <v>3</v>
      </c>
      <c r="DP593" s="0" t="n">
        <v>0</v>
      </c>
      <c r="DQ593" s="0" t="n">
        <v>1</v>
      </c>
      <c r="DR593" s="0" t="n">
        <v>63000</v>
      </c>
      <c r="DS593" s="0" t="n">
        <v>1</v>
      </c>
      <c r="DU593" s="0" t="n">
        <v>1</v>
      </c>
      <c r="DW593" s="1" t="n">
        <v>40244</v>
      </c>
      <c r="DX593" s="1" t="n">
        <v>40778</v>
      </c>
      <c r="DZ593" s="0"/>
      <c r="EA593" s="0" t="n">
        <v>1</v>
      </c>
      <c r="EC593" s="1" t="n">
        <v>40244</v>
      </c>
      <c r="ED593" s="1" t="n">
        <v>40778</v>
      </c>
      <c r="EF593" s="0"/>
      <c r="EG593" s="0" t="n">
        <v>1</v>
      </c>
      <c r="EH593" s="0" t="n">
        <v>12</v>
      </c>
      <c r="EI593" s="0" t="n">
        <f aca="false">IF(AND(DM593=1,DN593&lt;=48),"",IF(AND(DM593=2,DN593&lt;=42),"",IF(AND(DM593=3,DN593&lt;=45),"",EH593)))</f>
        <v>12</v>
      </c>
      <c r="EJ593" s="0" t="n">
        <f aca="false">IF(EI593="","",IF(EI593&lt;9,EI593,9))</f>
        <v>9</v>
      </c>
      <c r="EK593" s="0" t="n">
        <f aca="false">IF(EI593="","",IF(EI593&gt;9,EI593-EJ593,0))</f>
        <v>3</v>
      </c>
      <c r="EL593" s="0" t="n">
        <f aca="false">IF(EI593="","",EJ593*DA593*2+EK593*DA593*3)</f>
        <v>2362.5</v>
      </c>
      <c r="EP593" s="0" t="n">
        <v>0</v>
      </c>
      <c r="EQ593" s="0"/>
      <c r="ER593" s="0" t="n">
        <v>0</v>
      </c>
      <c r="ET593" s="0" t="n">
        <v>0</v>
      </c>
      <c r="EV593" s="0" t="n">
        <v>0</v>
      </c>
      <c r="EX593" s="0" t="n">
        <v>1</v>
      </c>
      <c r="EY593" s="0" t="n">
        <v>1</v>
      </c>
      <c r="EZ593" s="0"/>
      <c r="FA593" s="4" t="n">
        <v>13000</v>
      </c>
      <c r="FB593" s="0" t="n">
        <v>0</v>
      </c>
      <c r="FC593" s="1" t="n">
        <v>41096</v>
      </c>
      <c r="FD593" s="0" t="n">
        <v>1</v>
      </c>
      <c r="FE593" s="0" t="n">
        <v>36000</v>
      </c>
      <c r="FF593" s="120" t="n">
        <f aca="false">(CJ593-CI593+1)/365</f>
        <v>1.46575342465753</v>
      </c>
      <c r="FG593" s="0" t="str">
        <f aca="false">CONCATENATE(F593,"/",G593)</f>
        <v>1472/2011</v>
      </c>
      <c r="FH593" s="0" t="n">
        <v>1</v>
      </c>
      <c r="FI593" s="0" t="n">
        <f aca="false">IFERROR(IF((FC593-J593+1)/365&gt;3,0,1),"")</f>
        <v>1</v>
      </c>
    </row>
    <row r="594" customFormat="false" ht="15" hidden="false" customHeight="false" outlineLevel="0" collapsed="false">
      <c r="A594" s="5" t="str">
        <f aca="false">E594&amp;G594&amp;F594</f>
        <v>720111476</v>
      </c>
      <c r="B594" s="0" t="s">
        <v>5405</v>
      </c>
      <c r="C594" s="1" t="n">
        <v>42361</v>
      </c>
      <c r="D594" s="0" t="s">
        <v>3265</v>
      </c>
      <c r="E594" s="0" t="n">
        <v>7</v>
      </c>
      <c r="F594" s="0" t="n">
        <v>1476</v>
      </c>
      <c r="G594" s="0" t="n">
        <v>2011</v>
      </c>
      <c r="H594" s="0" t="str">
        <f aca="false">"J"&amp;E594&amp;"\"&amp;F594&amp;"\"&amp;G594&amp;"\"&amp;W594</f>
        <v>J7\1476\2011\1</v>
      </c>
      <c r="I594" s="0" t="n">
        <v>40784</v>
      </c>
      <c r="J594" s="1" t="n">
        <v>40638</v>
      </c>
      <c r="K594" s="0" t="n">
        <v>0</v>
      </c>
      <c r="M594" s="1"/>
      <c r="N594" s="1"/>
      <c r="O594" s="1"/>
      <c r="P594" s="1"/>
      <c r="Q594" s="1"/>
      <c r="T594" s="121"/>
      <c r="U594" s="121"/>
      <c r="V594" s="122" t="n">
        <f aca="false">IF(AND(E594&gt;0,F594&gt;0,G594&gt;0),COUNTIFS($E:$E,E594,$F:$F,F594,$G:$G,G594),"")</f>
        <v>1</v>
      </c>
      <c r="W594" s="122" t="n">
        <f aca="false">IF(V594="","",IF(V594=1,1,IF(AND(E593=E594,F593=F594,G593=G594),W593+1,1)))</f>
        <v>1</v>
      </c>
      <c r="X594" s="0" t="n">
        <v>1</v>
      </c>
      <c r="Y594" s="0" t="n">
        <v>6</v>
      </c>
      <c r="Z594" s="0" t="s">
        <v>5428</v>
      </c>
      <c r="AA594" s="0" t="n">
        <v>0</v>
      </c>
      <c r="AB594" s="0" t="s">
        <v>5429</v>
      </c>
      <c r="AC594" s="0" t="s">
        <v>3645</v>
      </c>
      <c r="AD594" s="0" t="s">
        <v>229</v>
      </c>
      <c r="AE594" s="0" t="n">
        <v>0</v>
      </c>
      <c r="AF594" s="0" t="s">
        <v>5430</v>
      </c>
      <c r="AG594" s="0" t="n">
        <v>0</v>
      </c>
      <c r="AH594" s="0" t="s">
        <v>5431</v>
      </c>
      <c r="AI594" s="0" t="s">
        <v>410</v>
      </c>
      <c r="AJ594" s="0" t="s">
        <v>411</v>
      </c>
      <c r="AL594" s="0" t="s">
        <v>5432</v>
      </c>
      <c r="AM594" s="0" t="n">
        <v>1</v>
      </c>
      <c r="AN594" s="0" t="s">
        <v>5431</v>
      </c>
      <c r="AO594" s="0" t="s">
        <v>410</v>
      </c>
      <c r="AP594" s="0" t="s">
        <v>411</v>
      </c>
      <c r="AR594" s="0" t="s">
        <v>5433</v>
      </c>
      <c r="AS594" s="0" t="n">
        <v>1</v>
      </c>
      <c r="AT594" s="0" t="s">
        <v>5431</v>
      </c>
      <c r="AU594" s="0" t="s">
        <v>410</v>
      </c>
      <c r="AV594" s="0" t="s">
        <v>411</v>
      </c>
      <c r="AX594" s="0" t="s">
        <v>5434</v>
      </c>
      <c r="AY594" s="0" t="n">
        <v>1</v>
      </c>
      <c r="AZ594" s="0" t="s">
        <v>5431</v>
      </c>
      <c r="BA594" s="0" t="s">
        <v>410</v>
      </c>
      <c r="BB594" s="0" t="s">
        <v>411</v>
      </c>
      <c r="BD594" s="0" t="s">
        <v>213</v>
      </c>
      <c r="BE594" s="0" t="n">
        <v>1</v>
      </c>
      <c r="BF594" s="0" t="s">
        <v>5431</v>
      </c>
      <c r="BG594" s="0" t="s">
        <v>410</v>
      </c>
      <c r="BH594" s="0" t="s">
        <v>411</v>
      </c>
      <c r="BJ594" s="0" t="s">
        <v>249</v>
      </c>
      <c r="BK594" s="0" t="n">
        <v>0</v>
      </c>
      <c r="BL594" s="0" t="s">
        <v>964</v>
      </c>
      <c r="BM594" s="0" t="s">
        <v>410</v>
      </c>
      <c r="BN594" s="0" t="s">
        <v>411</v>
      </c>
      <c r="BR594" s="0" t="n">
        <v>1</v>
      </c>
      <c r="BS594" s="0" t="s">
        <v>5435</v>
      </c>
      <c r="BV594" s="123"/>
      <c r="BW594" s="123"/>
      <c r="BX594" s="123"/>
      <c r="BY594" s="123"/>
      <c r="CD594" s="0" t="s">
        <v>502</v>
      </c>
      <c r="CE594" s="0" t="n">
        <v>0</v>
      </c>
      <c r="CF594" s="0" t="s">
        <v>5436</v>
      </c>
      <c r="CG594" s="0" t="s">
        <v>218</v>
      </c>
      <c r="CI594" s="1" t="n">
        <v>40010</v>
      </c>
      <c r="CJ594" s="1" t="n">
        <v>40618</v>
      </c>
      <c r="CK594" s="124" t="n">
        <v>0.829861111111111</v>
      </c>
      <c r="CL594" s="0" t="s">
        <v>5437</v>
      </c>
      <c r="CM594" s="0" t="n">
        <f aca="false">IF(OR(CI594="",CJ594=""),"",DAYS360(CI594,CJ594)/360)</f>
        <v>1.66666666666667</v>
      </c>
      <c r="CN594" s="0" t="n">
        <f aca="false">IF(OR(CI594="",CJ594=""),"",DAYS360(CI594,CJ594)/30)</f>
        <v>20</v>
      </c>
      <c r="CO594" s="0" t="n">
        <f aca="false">IF(OR(CI594="",CJ594=""),"",DAYS360(CI594,CJ594)/7)</f>
        <v>85.7142857142857</v>
      </c>
      <c r="CP594" s="0" t="n">
        <f aca="false">IF(OR(CI594="",CJ594=""),"",DAYS360(CI594,CJ594))</f>
        <v>600</v>
      </c>
      <c r="CQ594" s="0" t="s">
        <v>240</v>
      </c>
      <c r="CR594" s="0" t="n">
        <v>1</v>
      </c>
      <c r="CT594" s="0" t="s">
        <v>221</v>
      </c>
      <c r="CU594" s="0" t="s">
        <v>221</v>
      </c>
      <c r="CV594" s="0" t="str">
        <f aca="false">IF(OR(CT594="",CT594="NO ESPECIFICA",CT594="NO MENCIONA"),"",IF(CU594=0,CT594,IF(CU594=1,CT594/30,IF(CU594=2,CT594/15,IF(CU594=3,CT594/7,"")))))</f>
        <v/>
      </c>
      <c r="CW594" s="125" t="n">
        <v>140</v>
      </c>
      <c r="CX594" s="0" t="n">
        <v>0</v>
      </c>
      <c r="CY594" s="0" t="n">
        <f aca="false">IF(CW594="","",IF(CX594=0,CW594,IF(CX594=1,CW594/30,IF(CX594=2,CW594/15,IF(CX594=3,CW594/7,CW594)))))</f>
        <v>140</v>
      </c>
      <c r="CZ594" s="0" t="n">
        <f aca="false">IF(DI594&gt;0,DI594,IF(CY594&gt;0,CY594,IF(CV594&gt;0,CV594,"")))</f>
        <v>140</v>
      </c>
      <c r="DA594" s="0" t="n">
        <f aca="false">IF(DM594=1,CZ594/8,IF(OR(DM594=2,DM594=4),CZ594/7,IF(DM594=3,CZ594/7.5,"")))</f>
        <v>17.5</v>
      </c>
      <c r="DB594" s="0" t="s">
        <v>216</v>
      </c>
      <c r="DC594" s="0" t="s">
        <v>216</v>
      </c>
      <c r="DD594" s="0" t="s">
        <v>216</v>
      </c>
      <c r="DE594" s="0" t="s">
        <v>216</v>
      </c>
      <c r="DF594" s="0" t="s">
        <v>216</v>
      </c>
      <c r="DG594" s="0" t="s">
        <v>216</v>
      </c>
      <c r="DH594" s="0" t="n">
        <v>0</v>
      </c>
      <c r="DI594" s="126" t="n">
        <v>140</v>
      </c>
      <c r="DK594" s="0" t="n">
        <v>1</v>
      </c>
      <c r="DM594" s="0" t="n">
        <v>1</v>
      </c>
      <c r="DN594" s="0" t="n">
        <v>63</v>
      </c>
      <c r="DO594" s="0" t="n">
        <v>3</v>
      </c>
      <c r="DP594" s="0" t="n">
        <v>0</v>
      </c>
      <c r="DQ594" s="0" t="n">
        <v>1</v>
      </c>
      <c r="DR594" s="0"/>
      <c r="DS594" s="0" t="n">
        <v>1</v>
      </c>
      <c r="DU594" s="0" t="n">
        <v>1</v>
      </c>
      <c r="DW594" s="1" t="n">
        <v>40010</v>
      </c>
      <c r="DX594" s="1" t="n">
        <v>40618</v>
      </c>
      <c r="DZ594" s="0"/>
      <c r="EA594" s="0" t="n">
        <v>1</v>
      </c>
      <c r="EC594" s="1" t="n">
        <v>40010</v>
      </c>
      <c r="ED594" s="1" t="n">
        <v>40618</v>
      </c>
      <c r="EF594" s="0"/>
      <c r="EG594" s="0" t="n">
        <v>1</v>
      </c>
      <c r="EH594" s="0" t="n">
        <v>12</v>
      </c>
      <c r="EI594" s="0" t="n">
        <f aca="false">IF(AND(DM594=1,DN594&lt;=48),"",IF(AND(DM594=2,DN594&lt;=42),"",IF(AND(DM594=3,DN594&lt;=45),"",EH594)))</f>
        <v>12</v>
      </c>
      <c r="EJ594" s="0" t="n">
        <f aca="false">IF(EI594="","",IF(EI594&lt;9,EI594,9))</f>
        <v>9</v>
      </c>
      <c r="EK594" s="0" t="n">
        <f aca="false">IF(EI594="","",IF(EI594&gt;9,EI594-EJ594,0))</f>
        <v>3</v>
      </c>
      <c r="EL594" s="0" t="n">
        <f aca="false">IF(EI594="","",EJ594*DA594*2+EK594*DA594*3)</f>
        <v>472.5</v>
      </c>
      <c r="EP594" s="0" t="n">
        <v>0</v>
      </c>
      <c r="EQ594" s="0"/>
      <c r="ER594" s="0" t="n">
        <v>0</v>
      </c>
      <c r="ET594" s="0" t="n">
        <v>0</v>
      </c>
      <c r="EV594" s="0" t="n">
        <v>0</v>
      </c>
      <c r="EX594" s="0" t="n">
        <v>1</v>
      </c>
      <c r="EY594" s="0" t="n">
        <v>0</v>
      </c>
      <c r="EZ594" s="0"/>
      <c r="FA594" s="4" t="n">
        <v>2240</v>
      </c>
      <c r="FB594" s="0" t="n">
        <v>0</v>
      </c>
      <c r="FC594" s="1" t="n">
        <v>41297</v>
      </c>
      <c r="FD594" s="0" t="n">
        <v>3</v>
      </c>
      <c r="FE594" s="0" t="n">
        <v>0</v>
      </c>
      <c r="FF594" s="120" t="n">
        <f aca="false">(CJ594-CI594+1)/365</f>
        <v>1.66849315068493</v>
      </c>
      <c r="FG594" s="0" t="str">
        <f aca="false">CONCATENATE(F594,"/",G594)</f>
        <v>1476/2011</v>
      </c>
      <c r="FH594" s="0" t="n">
        <v>1</v>
      </c>
      <c r="FI594" s="0" t="n">
        <f aca="false">IFERROR(IF((FC594-J594+1)/365&gt;3,0,1),"")</f>
        <v>1</v>
      </c>
    </row>
    <row r="595" customFormat="false" ht="15" hidden="false" customHeight="false" outlineLevel="0" collapsed="false">
      <c r="A595" s="5" t="str">
        <f aca="false">E595&amp;G595&amp;F595</f>
        <v>720111478</v>
      </c>
      <c r="B595" s="0" t="s">
        <v>5405</v>
      </c>
      <c r="C595" s="1" t="n">
        <v>42361</v>
      </c>
      <c r="D595" s="0" t="s">
        <v>3265</v>
      </c>
      <c r="E595" s="0" t="n">
        <v>7</v>
      </c>
      <c r="F595" s="0" t="n">
        <v>1478</v>
      </c>
      <c r="G595" s="0" t="n">
        <v>2011</v>
      </c>
      <c r="H595" s="0" t="str">
        <f aca="false">"J"&amp;E595&amp;"\"&amp;F595&amp;"\"&amp;G595&amp;"\"&amp;W595</f>
        <v>J7\1478\2011\1</v>
      </c>
      <c r="I595" s="0" t="n">
        <v>40784</v>
      </c>
      <c r="J595" s="1" t="n">
        <v>40633</v>
      </c>
      <c r="K595" s="0" t="n">
        <v>0</v>
      </c>
      <c r="M595" s="1"/>
      <c r="N595" s="1"/>
      <c r="O595" s="1"/>
      <c r="P595" s="1"/>
      <c r="Q595" s="1"/>
      <c r="T595" s="121"/>
      <c r="U595" s="121"/>
      <c r="V595" s="122" t="n">
        <f aca="false">IF(AND(E595&gt;0,F595&gt;0,G595&gt;0),COUNTIFS($E:$E,E595,$F:$F,F595,$G:$G,G595),"")</f>
        <v>1</v>
      </c>
      <c r="W595" s="122" t="n">
        <f aca="false">IF(V595="","",IF(V595=1,1,IF(AND(E594=E595,F594=F595,G594=G595),W594+1,1)))</f>
        <v>1</v>
      </c>
      <c r="X595" s="0" t="n">
        <v>1</v>
      </c>
      <c r="Y595" s="0" t="n">
        <v>2</v>
      </c>
      <c r="Z595" s="0" t="s">
        <v>5438</v>
      </c>
      <c r="AA595" s="0" t="n">
        <v>0</v>
      </c>
      <c r="AB595" s="0" t="s">
        <v>4152</v>
      </c>
      <c r="AC595" s="0" t="s">
        <v>4153</v>
      </c>
      <c r="AD595" s="0" t="s">
        <v>229</v>
      </c>
      <c r="AE595" s="0" t="n">
        <v>0</v>
      </c>
      <c r="AF595" s="0" t="s">
        <v>5439</v>
      </c>
      <c r="AG595" s="0" t="n">
        <v>0</v>
      </c>
      <c r="AH595" s="0" t="s">
        <v>5440</v>
      </c>
      <c r="AI595" s="0" t="s">
        <v>410</v>
      </c>
      <c r="AL595" s="0" t="s">
        <v>213</v>
      </c>
      <c r="AM595" s="0" t="n">
        <v>1</v>
      </c>
      <c r="AN595" s="0" t="s">
        <v>5440</v>
      </c>
      <c r="AO595" s="0" t="s">
        <v>410</v>
      </c>
      <c r="BR595" s="0" t="n">
        <v>1</v>
      </c>
      <c r="BS595" s="0" t="s">
        <v>4161</v>
      </c>
      <c r="BV595" s="123"/>
      <c r="BW595" s="123"/>
      <c r="BX595" s="123"/>
      <c r="BY595" s="123"/>
      <c r="CD595" s="0" t="s">
        <v>502</v>
      </c>
      <c r="CE595" s="0" t="n">
        <v>0</v>
      </c>
      <c r="CF595" s="0" t="s">
        <v>1309</v>
      </c>
      <c r="CG595" s="0" t="s">
        <v>218</v>
      </c>
      <c r="CI595" s="1" t="n">
        <v>37230</v>
      </c>
      <c r="CJ595" s="1" t="n">
        <v>40619</v>
      </c>
      <c r="CK595" s="124" t="n">
        <v>0.291666666666667</v>
      </c>
      <c r="CL595" s="0" t="s">
        <v>5441</v>
      </c>
      <c r="CM595" s="0" t="n">
        <f aca="false">IF(OR(CI595="",CJ595=""),"",DAYS360(CI595,CJ595)/360)</f>
        <v>9.28333333333333</v>
      </c>
      <c r="CN595" s="0" t="n">
        <f aca="false">IF(OR(CI595="",CJ595=""),"",DAYS360(CI595,CJ595)/30)</f>
        <v>111.4</v>
      </c>
      <c r="CO595" s="0" t="n">
        <f aca="false">IF(OR(CI595="",CJ595=""),"",DAYS360(CI595,CJ595)/7)</f>
        <v>477.428571428571</v>
      </c>
      <c r="CP595" s="0" t="n">
        <f aca="false">IF(OR(CI595="",CJ595=""),"",DAYS360(CI595,CJ595))</f>
        <v>3342</v>
      </c>
      <c r="CQ595" s="0" t="s">
        <v>220</v>
      </c>
      <c r="CR595" s="0" t="n">
        <v>1</v>
      </c>
      <c r="CT595" s="0" t="n">
        <v>489.99</v>
      </c>
      <c r="CU595" s="0" t="n">
        <v>0</v>
      </c>
      <c r="CV595" s="0" t="n">
        <f aca="false">IF(OR(CT595="",CT595="NO ESPECIFICA",CT595="NO MENCIONA"),"",IF(CU595=0,CT595,IF(CU595=1,CT595/30,IF(CU595=2,CT595/15,IF(CU595=3,CT595/7,"")))))</f>
        <v>489.99</v>
      </c>
      <c r="CW595" s="125" t="s">
        <v>216</v>
      </c>
      <c r="CY595" s="0" t="str">
        <f aca="false">IF(CW595="","",IF(CX595=0,CW595,IF(CX595=1,CW595/30,IF(CX595=2,CW595/15,IF(CX595=3,CW595/7,CW595)))))</f>
        <v>NO MENCIONA</v>
      </c>
      <c r="CZ595" s="0" t="n">
        <f aca="false">IF(DI595&gt;0,DI595,IF(CY595&gt;0,CY595,IF(CV595&gt;0,CV595,"")))</f>
        <v>489.99</v>
      </c>
      <c r="DA595" s="0" t="n">
        <f aca="false">IF(DM595=1,CZ595/8,IF(OR(DM595=2,DM595=4),CZ595/7,IF(DM595=3,CZ595/7.5,"")))</f>
        <v>61.24875</v>
      </c>
      <c r="DH595" s="0" t="n">
        <v>0</v>
      </c>
      <c r="DI595" s="126" t="n">
        <v>489.99</v>
      </c>
      <c r="DK595" s="0" t="n">
        <v>0</v>
      </c>
      <c r="DM595" s="0" t="n">
        <v>1</v>
      </c>
      <c r="DN595" s="0" t="n">
        <v>60</v>
      </c>
      <c r="DO595" s="0" t="n">
        <v>3</v>
      </c>
      <c r="DP595" s="0" t="n">
        <v>1</v>
      </c>
      <c r="DQ595" s="0" t="n">
        <v>0</v>
      </c>
      <c r="DR595" s="0"/>
      <c r="DS595" s="0" t="n">
        <v>1</v>
      </c>
      <c r="DU595" s="0" t="n">
        <v>1</v>
      </c>
      <c r="DW595" s="1" t="n">
        <v>37230</v>
      </c>
      <c r="DX595" s="1" t="n">
        <v>40619</v>
      </c>
      <c r="DZ595" s="0"/>
      <c r="EA595" s="0" t="n">
        <v>1</v>
      </c>
      <c r="EC595" s="1" t="n">
        <v>37230</v>
      </c>
      <c r="ED595" s="1" t="n">
        <v>40619</v>
      </c>
      <c r="EF595" s="0"/>
      <c r="EG595" s="0" t="n">
        <v>1</v>
      </c>
      <c r="EH595" s="0" t="n">
        <v>12</v>
      </c>
      <c r="EI595" s="0" t="n">
        <f aca="false">IF(AND(DM595=1,DN595&lt;=48),"",IF(AND(DM595=2,DN595&lt;=42),"",IF(AND(DM595=3,DN595&lt;=45),"",EH595)))</f>
        <v>12</v>
      </c>
      <c r="EJ595" s="0" t="n">
        <f aca="false">IF(EI595="","",IF(EI595&lt;9,EI595,9))</f>
        <v>9</v>
      </c>
      <c r="EK595" s="0" t="n">
        <f aca="false">IF(EI595="","",IF(EI595&gt;9,EI595-EJ595,0))</f>
        <v>3</v>
      </c>
      <c r="EL595" s="0" t="n">
        <f aca="false">IF(EI595="","",EJ595*DA595*2+EK595*DA595*3)</f>
        <v>1653.71625</v>
      </c>
      <c r="EP595" s="0" t="n">
        <v>0</v>
      </c>
      <c r="EQ595" s="0"/>
      <c r="ER595" s="0" t="n">
        <v>1</v>
      </c>
      <c r="ET595" s="0" t="n">
        <v>1</v>
      </c>
      <c r="EV595" s="0" t="n">
        <v>0</v>
      </c>
      <c r="EX595" s="0" t="n">
        <v>1</v>
      </c>
      <c r="EY595" s="0" t="n">
        <v>1</v>
      </c>
      <c r="EZ595" s="4" t="n">
        <v>15000</v>
      </c>
      <c r="FA595" s="4" t="n">
        <v>7983.84</v>
      </c>
      <c r="FB595" s="0" t="n">
        <v>1</v>
      </c>
      <c r="FC595" s="1" t="n">
        <v>41577</v>
      </c>
      <c r="FD595" s="0" t="n">
        <v>1</v>
      </c>
      <c r="FE595" s="0" t="n">
        <v>50000</v>
      </c>
      <c r="FF595" s="120" t="n">
        <f aca="false">(CJ595-CI595+1)/365</f>
        <v>9.28767123287671</v>
      </c>
      <c r="FG595" s="0" t="str">
        <f aca="false">CONCATENATE(F595,"/",G595)</f>
        <v>1478/2011</v>
      </c>
      <c r="FH595" s="0" t="n">
        <v>1</v>
      </c>
      <c r="FI595" s="0" t="n">
        <f aca="false">IFERROR(IF((FC595-J595+1)/365&gt;3,0,1),"")</f>
        <v>1</v>
      </c>
    </row>
    <row r="596" customFormat="false" ht="15" hidden="false" customHeight="false" outlineLevel="0" collapsed="false">
      <c r="A596" s="5" t="str">
        <f aca="false">E596&amp;G596&amp;F596</f>
        <v>720111479</v>
      </c>
      <c r="B596" s="0" t="s">
        <v>5405</v>
      </c>
      <c r="C596" s="1" t="n">
        <v>42361</v>
      </c>
      <c r="D596" s="0" t="s">
        <v>3265</v>
      </c>
      <c r="E596" s="0" t="n">
        <v>7</v>
      </c>
      <c r="F596" s="0" t="n">
        <v>1479</v>
      </c>
      <c r="G596" s="0" t="n">
        <v>2011</v>
      </c>
      <c r="H596" s="0" t="str">
        <f aca="false">"J"&amp;E596&amp;"\"&amp;F596&amp;"\"&amp;G596&amp;"\"&amp;W596</f>
        <v>J7\1479\2011\1</v>
      </c>
      <c r="I596" s="0"/>
      <c r="J596" s="1" t="n">
        <v>40784</v>
      </c>
      <c r="K596" s="0" t="n">
        <v>0</v>
      </c>
      <c r="M596" s="1"/>
      <c r="N596" s="1"/>
      <c r="O596" s="1"/>
      <c r="P596" s="1"/>
      <c r="Q596" s="1"/>
      <c r="T596" s="121"/>
      <c r="U596" s="121"/>
      <c r="V596" s="122" t="n">
        <f aca="false">IF(AND(E596&gt;0,F596&gt;0,G596&gt;0),COUNTIFS($E:$E,E596,$F:$F,F596,$G:$G,G596),"")</f>
        <v>1</v>
      </c>
      <c r="W596" s="122" t="n">
        <f aca="false">IF(V596="","",IF(V596=1,1,IF(AND(E595=E596,F595=F596,G595=G596),W595+1,1)))</f>
        <v>1</v>
      </c>
      <c r="X596" s="0" t="n">
        <v>1</v>
      </c>
      <c r="Y596" s="0" t="n">
        <v>7</v>
      </c>
      <c r="Z596" s="0" t="s">
        <v>5442</v>
      </c>
      <c r="AA596" s="0" t="n">
        <v>0</v>
      </c>
      <c r="AB596" s="0" t="s">
        <v>5443</v>
      </c>
      <c r="AC596" s="0" t="s">
        <v>2460</v>
      </c>
      <c r="AD596" s="0" t="s">
        <v>229</v>
      </c>
      <c r="AE596" s="0" t="n">
        <v>0</v>
      </c>
      <c r="AF596" s="0" t="s">
        <v>5444</v>
      </c>
      <c r="AG596" s="0" t="n">
        <v>0</v>
      </c>
      <c r="AH596" s="0" t="s">
        <v>5445</v>
      </c>
      <c r="AI596" s="0" t="s">
        <v>5446</v>
      </c>
      <c r="AJ596" s="0" t="s">
        <v>659</v>
      </c>
      <c r="AL596" s="0" t="s">
        <v>5447</v>
      </c>
      <c r="AM596" s="0" t="n">
        <v>0</v>
      </c>
      <c r="AN596" s="0" t="s">
        <v>5445</v>
      </c>
      <c r="AO596" s="0" t="s">
        <v>5446</v>
      </c>
      <c r="AP596" s="0" t="s">
        <v>659</v>
      </c>
      <c r="AR596" s="0" t="s">
        <v>5448</v>
      </c>
      <c r="AS596" s="0" t="n">
        <v>0</v>
      </c>
      <c r="AT596" s="0" t="s">
        <v>5445</v>
      </c>
      <c r="AU596" s="0" t="s">
        <v>5446</v>
      </c>
      <c r="AV596" s="0" t="s">
        <v>659</v>
      </c>
      <c r="AX596" s="0" t="s">
        <v>5449</v>
      </c>
      <c r="AY596" s="0" t="n">
        <v>0</v>
      </c>
      <c r="AZ596" s="0" t="s">
        <v>5445</v>
      </c>
      <c r="BA596" s="0" t="s">
        <v>5446</v>
      </c>
      <c r="BB596" s="0" t="s">
        <v>659</v>
      </c>
      <c r="BD596" s="0" t="s">
        <v>5450</v>
      </c>
      <c r="BE596" s="0" t="n">
        <v>1</v>
      </c>
      <c r="BF596" s="0" t="s">
        <v>5445</v>
      </c>
      <c r="BG596" s="0" t="s">
        <v>5446</v>
      </c>
      <c r="BH596" s="0" t="s">
        <v>659</v>
      </c>
      <c r="BJ596" s="0" t="s">
        <v>5451</v>
      </c>
      <c r="BK596" s="0" t="n">
        <v>1</v>
      </c>
      <c r="BL596" s="0" t="s">
        <v>5445</v>
      </c>
      <c r="BM596" s="0" t="s">
        <v>5446</v>
      </c>
      <c r="BN596" s="0" t="s">
        <v>659</v>
      </c>
      <c r="BR596" s="0" t="n">
        <v>1</v>
      </c>
      <c r="BS596" s="0" t="s">
        <v>3393</v>
      </c>
      <c r="BV596" s="123"/>
      <c r="BW596" s="123"/>
      <c r="BX596" s="123"/>
      <c r="BY596" s="123"/>
      <c r="CA596" s="0" t="s">
        <v>3396</v>
      </c>
      <c r="CD596" s="0" t="s">
        <v>1943</v>
      </c>
      <c r="CE596" s="0" t="n">
        <v>0</v>
      </c>
      <c r="CF596" s="0" t="s">
        <v>1508</v>
      </c>
      <c r="CG596" s="0" t="s">
        <v>218</v>
      </c>
      <c r="CI596" s="1" t="n">
        <v>39620</v>
      </c>
      <c r="CJ596" s="1" t="n">
        <v>40724</v>
      </c>
      <c r="CK596" s="124" t="n">
        <v>0.375</v>
      </c>
      <c r="CL596" s="0" t="s">
        <v>5450</v>
      </c>
      <c r="CM596" s="0" t="n">
        <f aca="false">IF(OR(CI596="",CJ596=""),"",DAYS360(CI596,CJ596)/360)</f>
        <v>3.025</v>
      </c>
      <c r="CN596" s="0" t="n">
        <f aca="false">IF(OR(CI596="",CJ596=""),"",DAYS360(CI596,CJ596)/30)</f>
        <v>36.3</v>
      </c>
      <c r="CO596" s="0" t="n">
        <f aca="false">IF(OR(CI596="",CJ596=""),"",DAYS360(CI596,CJ596)/7)</f>
        <v>155.571428571429</v>
      </c>
      <c r="CP596" s="0" t="n">
        <f aca="false">IF(OR(CI596="",CJ596=""),"",DAYS360(CI596,CJ596))</f>
        <v>1089</v>
      </c>
      <c r="CQ596" s="0" t="s">
        <v>240</v>
      </c>
      <c r="CR596" s="0" t="n">
        <v>1</v>
      </c>
      <c r="CT596" s="0" t="n">
        <v>2500</v>
      </c>
      <c r="CU596" s="0" t="n">
        <v>3</v>
      </c>
      <c r="CV596" s="0" t="n">
        <f aca="false">IF(OR(CT596="",CT596="NO ESPECIFICA",CT596="NO MENCIONA"),"",IF(CU596=0,CT596,IF(CU596=1,CT596/30,IF(CU596=2,CT596/15,IF(CU596=3,CT596/7,"")))))</f>
        <v>357.142857142857</v>
      </c>
      <c r="CW596" s="125" t="s">
        <v>216</v>
      </c>
      <c r="CY596" s="0" t="str">
        <f aca="false">IF(CW596="","",IF(CX596=0,CW596,IF(CX596=1,CW596/30,IF(CX596=2,CW596/15,IF(CX596=3,CW596/7,CW596)))))</f>
        <v>NO MENCIONA</v>
      </c>
      <c r="CZ596" s="0" t="n">
        <f aca="false">IF(DI596&gt;0,DI596,IF(CY596&gt;0,CY596,IF(CV596&gt;0,CV596,"")))</f>
        <v>357.14</v>
      </c>
      <c r="DA596" s="0" t="n">
        <f aca="false">IF(DM596=1,CZ596/8,IF(OR(DM596=2,DM596=4),CZ596/7,IF(DM596=3,CZ596/7.5,"")))</f>
        <v>44.6425</v>
      </c>
      <c r="DH596" s="0" t="n">
        <v>0</v>
      </c>
      <c r="DI596" s="126" t="n">
        <v>357.14</v>
      </c>
      <c r="DK596" s="0" t="n">
        <v>1</v>
      </c>
      <c r="DM596" s="0" t="n">
        <v>1</v>
      </c>
      <c r="DN596" s="0" t="n">
        <v>69</v>
      </c>
      <c r="DO596" s="0" t="n">
        <v>3</v>
      </c>
      <c r="DP596" s="0" t="n">
        <v>0</v>
      </c>
      <c r="DQ596" s="0" t="n">
        <v>1</v>
      </c>
      <c r="DR596" s="0"/>
      <c r="DS596" s="0" t="n">
        <v>1</v>
      </c>
      <c r="DU596" s="0" t="n">
        <v>1</v>
      </c>
      <c r="DW596" s="1" t="n">
        <v>39620</v>
      </c>
      <c r="DX596" s="1" t="n">
        <v>40724</v>
      </c>
      <c r="DZ596" s="0"/>
      <c r="EA596" s="0" t="n">
        <v>1</v>
      </c>
      <c r="EC596" s="1" t="n">
        <v>39620</v>
      </c>
      <c r="ED596" s="1" t="n">
        <v>40724</v>
      </c>
      <c r="EF596" s="0" t="n">
        <v>21428.57</v>
      </c>
      <c r="EG596" s="0" t="n">
        <v>1</v>
      </c>
      <c r="EH596" s="0" t="n">
        <v>24</v>
      </c>
      <c r="EI596" s="0" t="n">
        <f aca="false">IF(AND(DM596=1,DN596&lt;=48),"",IF(AND(DM596=2,DN596&lt;=42),"",IF(AND(DM596=3,DN596&lt;=45),"",EH596)))</f>
        <v>24</v>
      </c>
      <c r="EJ596" s="0" t="n">
        <f aca="false">IF(EI596="","",IF(EI596&lt;9,EI596,9))</f>
        <v>9</v>
      </c>
      <c r="EK596" s="0" t="n">
        <f aca="false">IF(EI596="","",IF(EI596&gt;9,EI596-EJ596,0))</f>
        <v>15</v>
      </c>
      <c r="EL596" s="0" t="n">
        <f aca="false">IF(EI596="","",EJ596*DA596*2+EK596*DA596*3)</f>
        <v>2812.4775</v>
      </c>
      <c r="EP596" s="0" t="n">
        <v>0</v>
      </c>
      <c r="EQ596" s="0"/>
      <c r="ER596" s="0" t="n">
        <v>1</v>
      </c>
      <c r="ET596" s="0" t="n">
        <v>0</v>
      </c>
      <c r="EV596" s="0" t="n">
        <v>0</v>
      </c>
      <c r="EX596" s="0" t="n">
        <v>1</v>
      </c>
      <c r="EY596" s="0" t="n">
        <v>1</v>
      </c>
      <c r="EZ596" s="0"/>
      <c r="FA596" s="4" t="n">
        <v>10000</v>
      </c>
      <c r="FB596" s="0" t="n">
        <v>0</v>
      </c>
      <c r="FC596" s="1" t="n">
        <v>41088</v>
      </c>
      <c r="FD596" s="0" t="n">
        <v>2</v>
      </c>
      <c r="FE596" s="0" t="n">
        <v>0</v>
      </c>
      <c r="FF596" s="120" t="n">
        <f aca="false">(CJ596-CI596+1)/365</f>
        <v>3.02739726027397</v>
      </c>
      <c r="FG596" s="0" t="str">
        <f aca="false">CONCATENATE(F596,"/",G596)</f>
        <v>1479/2011</v>
      </c>
      <c r="FH596" s="0" t="n">
        <v>1</v>
      </c>
      <c r="FI596" s="0" t="n">
        <f aca="false">IFERROR(IF((FC596-J596+1)/365&gt;3,0,1),"")</f>
        <v>1</v>
      </c>
    </row>
    <row r="597" customFormat="false" ht="15" hidden="false" customHeight="false" outlineLevel="0" collapsed="false">
      <c r="A597" s="5" t="str">
        <f aca="false">E597&amp;G597&amp;F597</f>
        <v>720111480</v>
      </c>
      <c r="B597" s="0" t="s">
        <v>5405</v>
      </c>
      <c r="C597" s="1" t="n">
        <v>42361</v>
      </c>
      <c r="D597" s="0" t="s">
        <v>3265</v>
      </c>
      <c r="E597" s="0" t="n">
        <v>7</v>
      </c>
      <c r="F597" s="0" t="n">
        <v>1480</v>
      </c>
      <c r="G597" s="0" t="n">
        <v>2011</v>
      </c>
      <c r="H597" s="0" t="str">
        <f aca="false">"J"&amp;E597&amp;"\"&amp;F597&amp;"\"&amp;G597&amp;"\"&amp;W597</f>
        <v>J7\1480\2011\1</v>
      </c>
      <c r="I597" s="0"/>
      <c r="J597" s="1" t="n">
        <v>40785</v>
      </c>
      <c r="K597" s="0" t="n">
        <v>0</v>
      </c>
      <c r="M597" s="1"/>
      <c r="N597" s="1"/>
      <c r="O597" s="1"/>
      <c r="P597" s="1"/>
      <c r="Q597" s="1"/>
      <c r="T597" s="121"/>
      <c r="U597" s="121"/>
      <c r="V597" s="122" t="n">
        <f aca="false">IF(AND(E597&gt;0,F597&gt;0,G597&gt;0),COUNTIFS($E:$E,E597,$F:$F,F597,$G:$G,G597),"")</f>
        <v>1</v>
      </c>
      <c r="W597" s="122" t="n">
        <f aca="false">IF(V597="","",IF(V597=1,1,IF(AND(E596=E597,F596=F597,G596=G597),W596+1,1)))</f>
        <v>1</v>
      </c>
      <c r="X597" s="0" t="n">
        <v>1</v>
      </c>
      <c r="Y597" s="0" t="n">
        <v>5</v>
      </c>
      <c r="Z597" s="0" t="s">
        <v>5452</v>
      </c>
      <c r="AA597" s="0" t="n">
        <v>0</v>
      </c>
      <c r="AB597" s="0" t="s">
        <v>5453</v>
      </c>
      <c r="AC597" s="0" t="s">
        <v>5410</v>
      </c>
      <c r="AD597" s="0" t="s">
        <v>411</v>
      </c>
      <c r="AE597" s="0" t="n">
        <v>0</v>
      </c>
      <c r="AF597" s="0" t="s">
        <v>5454</v>
      </c>
      <c r="AG597" s="0" t="n">
        <v>0</v>
      </c>
      <c r="AH597" s="0" t="s">
        <v>5455</v>
      </c>
      <c r="AI597" s="0" t="s">
        <v>697</v>
      </c>
      <c r="AJ597" s="0" t="s">
        <v>207</v>
      </c>
      <c r="AL597" s="0" t="s">
        <v>5456</v>
      </c>
      <c r="AM597" s="0" t="n">
        <v>1</v>
      </c>
      <c r="AN597" s="0" t="s">
        <v>5455</v>
      </c>
      <c r="AO597" s="0" t="s">
        <v>697</v>
      </c>
      <c r="AP597" s="0" t="s">
        <v>207</v>
      </c>
      <c r="AR597" s="0" t="s">
        <v>213</v>
      </c>
      <c r="AS597" s="0" t="n">
        <v>1</v>
      </c>
      <c r="AT597" s="0" t="s">
        <v>5455</v>
      </c>
      <c r="AU597" s="0" t="s">
        <v>697</v>
      </c>
      <c r="AV597" s="0" t="s">
        <v>207</v>
      </c>
      <c r="AX597" s="0" t="s">
        <v>249</v>
      </c>
      <c r="AY597" s="0" t="n">
        <v>0</v>
      </c>
      <c r="AZ597" s="0" t="s">
        <v>5457</v>
      </c>
      <c r="BA597" s="0" t="s">
        <v>251</v>
      </c>
      <c r="BB597" s="0" t="s">
        <v>229</v>
      </c>
      <c r="BD597" s="0" t="s">
        <v>412</v>
      </c>
      <c r="BE597" s="0" t="n">
        <v>0</v>
      </c>
      <c r="BF597" s="0" t="s">
        <v>5458</v>
      </c>
      <c r="BG597" s="0" t="s">
        <v>438</v>
      </c>
      <c r="BH597" s="0" t="s">
        <v>352</v>
      </c>
      <c r="BR597" s="0" t="n">
        <v>1</v>
      </c>
      <c r="BS597" s="0" t="s">
        <v>5459</v>
      </c>
      <c r="BT597" s="0" t="s">
        <v>5460</v>
      </c>
      <c r="BU597" s="0" t="s">
        <v>5461</v>
      </c>
      <c r="BV597" s="123"/>
      <c r="BW597" s="123"/>
      <c r="BX597" s="123"/>
      <c r="BY597" s="123"/>
      <c r="CD597" s="0" t="s">
        <v>1465</v>
      </c>
      <c r="CE597" s="0" t="n">
        <v>0</v>
      </c>
      <c r="CF597" s="0" t="s">
        <v>5462</v>
      </c>
      <c r="CG597" s="0" t="s">
        <v>218</v>
      </c>
      <c r="CI597" s="1" t="n">
        <v>38504</v>
      </c>
      <c r="CJ597" s="1" t="n">
        <v>40784</v>
      </c>
      <c r="CK597" s="124" t="n">
        <v>0.291666666666667</v>
      </c>
      <c r="CL597" s="0" t="s">
        <v>5456</v>
      </c>
      <c r="CM597" s="0" t="n">
        <f aca="false">IF(OR(CI597="",CJ597=""),"",DAYS360(CI597,CJ597)/360)</f>
        <v>6.24444444444444</v>
      </c>
      <c r="CN597" s="0" t="n">
        <f aca="false">IF(OR(CI597="",CJ597=""),"",DAYS360(CI597,CJ597)/30)</f>
        <v>74.9333333333333</v>
      </c>
      <c r="CO597" s="0" t="n">
        <f aca="false">IF(OR(CI597="",CJ597=""),"",DAYS360(CI597,CJ597)/7)</f>
        <v>321.142857142857</v>
      </c>
      <c r="CP597" s="0" t="n">
        <f aca="false">IF(OR(CI597="",CJ597=""),"",DAYS360(CI597,CJ597))</f>
        <v>2248</v>
      </c>
      <c r="CQ597" s="0" t="s">
        <v>240</v>
      </c>
      <c r="CR597" s="0" t="n">
        <v>1</v>
      </c>
      <c r="CT597" s="0" t="n">
        <v>10000</v>
      </c>
      <c r="CU597" s="0" t="n">
        <v>1</v>
      </c>
      <c r="CV597" s="0" t="n">
        <f aca="false">IF(OR(CT597="",CT597="NO ESPECIFICA",CT597="NO MENCIONA"),"",IF(CU597=0,CT597,IF(CU597=1,CT597/30,IF(CU597=2,CT597/15,IF(CU597=3,CT597/7,"")))))</f>
        <v>333.333333333333</v>
      </c>
      <c r="CW597" s="125" t="s">
        <v>216</v>
      </c>
      <c r="CY597" s="0" t="str">
        <f aca="false">IF(CW597="","",IF(CX597=0,CW597,IF(CX597=1,CW597/30,IF(CX597=2,CW597/15,IF(CX597=3,CW597/7,CW597)))))</f>
        <v>NO MENCIONA</v>
      </c>
      <c r="CZ597" s="0" t="n">
        <f aca="false">IF(DI597&gt;0,DI597,IF(CY597&gt;0,CY597,IF(CV597&gt;0,CV597,"")))</f>
        <v>333.33</v>
      </c>
      <c r="DA597" s="0" t="n">
        <f aca="false">IF(DM597=1,CZ597/8,IF(OR(DM597=2,DM597=4),CZ597/7,IF(DM597=3,CZ597/7.5,"")))</f>
        <v>41.66625</v>
      </c>
      <c r="DH597" s="0" t="n">
        <v>0</v>
      </c>
      <c r="DI597" s="126" t="n">
        <v>333.33</v>
      </c>
      <c r="DK597" s="0" t="n">
        <v>0</v>
      </c>
      <c r="DM597" s="0" t="n">
        <v>1</v>
      </c>
      <c r="DN597" s="0" t="n">
        <v>77</v>
      </c>
      <c r="DO597" s="0" t="n">
        <v>3</v>
      </c>
      <c r="DP597" s="0" t="n">
        <v>0</v>
      </c>
      <c r="DQ597" s="0" t="n">
        <v>1</v>
      </c>
      <c r="DR597" s="0"/>
      <c r="DS597" s="0" t="n">
        <v>1</v>
      </c>
      <c r="DU597" s="0" t="n">
        <v>1</v>
      </c>
      <c r="DW597" s="1" t="n">
        <v>38504</v>
      </c>
      <c r="DX597" s="1" t="n">
        <v>40784</v>
      </c>
      <c r="DZ597" s="0"/>
      <c r="EA597" s="0" t="n">
        <v>1</v>
      </c>
      <c r="EC597" s="1" t="n">
        <v>38504</v>
      </c>
      <c r="ED597" s="1" t="n">
        <v>40784</v>
      </c>
      <c r="EF597" s="0"/>
      <c r="EG597" s="0" t="n">
        <v>1</v>
      </c>
      <c r="EH597" s="0" t="n">
        <v>21</v>
      </c>
      <c r="EI597" s="0" t="n">
        <f aca="false">IF(AND(DM597=1,DN597&lt;=48),"",IF(AND(DM597=2,DN597&lt;=42),"",IF(AND(DM597=3,DN597&lt;=45),"",EH597)))</f>
        <v>21</v>
      </c>
      <c r="EJ597" s="0" t="n">
        <f aca="false">IF(EI597="","",IF(EI597&lt;9,EI597,9))</f>
        <v>9</v>
      </c>
      <c r="EK597" s="0" t="n">
        <f aca="false">IF(EI597="","",IF(EI597&gt;9,EI597-EJ597,0))</f>
        <v>12</v>
      </c>
      <c r="EL597" s="0" t="n">
        <f aca="false">IF(EI597="","",EJ597*DA597*2+EK597*DA597*3)</f>
        <v>2249.9775</v>
      </c>
      <c r="EP597" s="0" t="n">
        <v>1</v>
      </c>
      <c r="EQ597" s="0"/>
      <c r="ER597" s="0" t="n">
        <v>1</v>
      </c>
      <c r="ET597" s="0" t="n">
        <v>0</v>
      </c>
      <c r="EV597" s="0" t="n">
        <v>1</v>
      </c>
      <c r="EX597" s="0" t="n">
        <v>1</v>
      </c>
      <c r="EY597" s="0" t="n">
        <v>0</v>
      </c>
      <c r="EZ597" s="0"/>
      <c r="FA597" s="4" t="n">
        <v>9333.24</v>
      </c>
      <c r="FB597" s="0" t="n">
        <v>0</v>
      </c>
      <c r="FC597" s="1" t="n">
        <v>41492</v>
      </c>
      <c r="FD597" s="0" t="n">
        <v>4</v>
      </c>
      <c r="FE597" s="0" t="n">
        <v>0</v>
      </c>
      <c r="FF597" s="120" t="n">
        <f aca="false">(CJ597-CI597+1)/365</f>
        <v>6.24931506849315</v>
      </c>
      <c r="FG597" s="0" t="str">
        <f aca="false">CONCATENATE(F597,"/",G597)</f>
        <v>1480/2011</v>
      </c>
      <c r="FH597" s="0" t="n">
        <v>1</v>
      </c>
      <c r="FI597" s="0" t="n">
        <f aca="false">IFERROR(IF((FC597-J597+1)/365&gt;3,0,1),"")</f>
        <v>1</v>
      </c>
    </row>
    <row r="598" customFormat="false" ht="15" hidden="false" customHeight="false" outlineLevel="0" collapsed="false">
      <c r="A598" s="5" t="str">
        <f aca="false">E598&amp;G598&amp;F598</f>
        <v>720111481</v>
      </c>
      <c r="B598" s="0" t="s">
        <v>5405</v>
      </c>
      <c r="C598" s="1" t="n">
        <v>42362</v>
      </c>
      <c r="D598" s="0" t="s">
        <v>3265</v>
      </c>
      <c r="E598" s="0" t="n">
        <v>7</v>
      </c>
      <c r="F598" s="0" t="n">
        <v>1481</v>
      </c>
      <c r="G598" s="0" t="n">
        <v>2011</v>
      </c>
      <c r="H598" s="0" t="str">
        <f aca="false">"J"&amp;E598&amp;"\"&amp;F598&amp;"\"&amp;G598&amp;"\"&amp;W598</f>
        <v>J7\1481\2011\1</v>
      </c>
      <c r="I598" s="0"/>
      <c r="J598" s="1" t="n">
        <v>40785</v>
      </c>
      <c r="K598" s="0" t="n">
        <v>0</v>
      </c>
      <c r="M598" s="1"/>
      <c r="N598" s="1"/>
      <c r="O598" s="1"/>
      <c r="P598" s="1"/>
      <c r="Q598" s="1"/>
      <c r="T598" s="121"/>
      <c r="U598" s="121"/>
      <c r="V598" s="122" t="n">
        <f aca="false">IF(AND(E598&gt;0,F598&gt;0,G598&gt;0),COUNTIFS($E:$E,E598,$F:$F,F598,$G:$G,G598),"")</f>
        <v>1</v>
      </c>
      <c r="W598" s="122" t="n">
        <f aca="false">IF(V598="","",IF(V598=1,1,IF(AND(E597=E598,F597=F598,G597=G598),W597+1,1)))</f>
        <v>1</v>
      </c>
      <c r="X598" s="0" t="n">
        <v>1</v>
      </c>
      <c r="Y598" s="0" t="n">
        <v>5</v>
      </c>
      <c r="Z598" s="0" t="s">
        <v>5463</v>
      </c>
      <c r="AA598" s="0" t="n">
        <v>0</v>
      </c>
      <c r="AB598" s="0" t="s">
        <v>5464</v>
      </c>
      <c r="AC598" s="0" t="s">
        <v>643</v>
      </c>
      <c r="AD598" s="0" t="s">
        <v>207</v>
      </c>
      <c r="AE598" s="0" t="n">
        <v>0</v>
      </c>
      <c r="AF598" s="0" t="s">
        <v>5465</v>
      </c>
      <c r="AG598" s="0" t="n">
        <v>0</v>
      </c>
      <c r="AH598" s="0" t="s">
        <v>5466</v>
      </c>
      <c r="AI598" s="0" t="s">
        <v>287</v>
      </c>
      <c r="AJ598" s="0" t="s">
        <v>207</v>
      </c>
      <c r="AL598" s="0" t="s">
        <v>5467</v>
      </c>
      <c r="AM598" s="0" t="n">
        <v>1</v>
      </c>
      <c r="AN598" s="0" t="s">
        <v>5466</v>
      </c>
      <c r="AO598" s="0" t="s">
        <v>287</v>
      </c>
      <c r="AP598" s="0" t="s">
        <v>207</v>
      </c>
      <c r="AR598" s="0" t="s">
        <v>5468</v>
      </c>
      <c r="AS598" s="0" t="n">
        <v>0</v>
      </c>
      <c r="AT598" s="0" t="s">
        <v>5469</v>
      </c>
      <c r="AU598" s="0" t="s">
        <v>1123</v>
      </c>
      <c r="AV598" s="0" t="s">
        <v>322</v>
      </c>
      <c r="AX598" s="0" t="s">
        <v>5470</v>
      </c>
      <c r="AY598" s="0" t="n">
        <v>1</v>
      </c>
      <c r="AZ598" s="0" t="s">
        <v>5469</v>
      </c>
      <c r="BA598" s="0" t="s">
        <v>1123</v>
      </c>
      <c r="BB598" s="0" t="s">
        <v>322</v>
      </c>
      <c r="BD598" s="0" t="s">
        <v>213</v>
      </c>
      <c r="BE598" s="0" t="n">
        <v>1</v>
      </c>
      <c r="BF598" s="0" t="s">
        <v>5469</v>
      </c>
      <c r="BG598" s="0" t="s">
        <v>1123</v>
      </c>
      <c r="BH598" s="0" t="s">
        <v>322</v>
      </c>
      <c r="BR598" s="0" t="n">
        <v>1</v>
      </c>
      <c r="BS598" s="0" t="s">
        <v>5471</v>
      </c>
      <c r="BT598" s="0" t="s">
        <v>5472</v>
      </c>
      <c r="BU598" s="0" t="s">
        <v>5473</v>
      </c>
      <c r="BV598" s="123"/>
      <c r="BW598" s="123"/>
      <c r="BX598" s="123"/>
      <c r="BY598" s="123"/>
      <c r="CD598" s="0" t="s">
        <v>296</v>
      </c>
      <c r="CE598" s="0" t="n">
        <v>0</v>
      </c>
      <c r="CF598" s="0" t="s">
        <v>527</v>
      </c>
      <c r="CG598" s="0" t="s">
        <v>218</v>
      </c>
      <c r="CI598" s="1" t="n">
        <v>40752</v>
      </c>
      <c r="CJ598" s="1" t="n">
        <v>40763</v>
      </c>
      <c r="CK598" s="124" t="n">
        <v>0.666666666666667</v>
      </c>
      <c r="CL598" s="0" t="s">
        <v>5467</v>
      </c>
      <c r="CM598" s="0" t="n">
        <f aca="false">IF(OR(CI598="",CJ598=""),"",DAYS360(CI598,CJ598)/360)</f>
        <v>0.0277777777777778</v>
      </c>
      <c r="CN598" s="0" t="n">
        <f aca="false">IF(OR(CI598="",CJ598=""),"",DAYS360(CI598,CJ598)/30)</f>
        <v>0.333333333333333</v>
      </c>
      <c r="CO598" s="0" t="n">
        <f aca="false">IF(OR(CI598="",CJ598=""),"",DAYS360(CI598,CJ598)/7)</f>
        <v>1.42857142857143</v>
      </c>
      <c r="CP598" s="0" t="n">
        <f aca="false">IF(OR(CI598="",CJ598=""),"",DAYS360(CI598,CJ598))</f>
        <v>10</v>
      </c>
      <c r="CQ598" s="0" t="s">
        <v>220</v>
      </c>
      <c r="CR598" s="0" t="n">
        <v>1</v>
      </c>
      <c r="CT598" s="0" t="n">
        <v>3750</v>
      </c>
      <c r="CU598" s="0" t="n">
        <v>1</v>
      </c>
      <c r="CV598" s="0" t="n">
        <f aca="false">IF(OR(CT598="",CT598="NO ESPECIFICA",CT598="NO MENCIONA"),"",IF(CU598=0,CT598,IF(CU598=1,CT598/30,IF(CU598=2,CT598/15,IF(CU598=3,CT598/7,"")))))</f>
        <v>125</v>
      </c>
      <c r="CW598" s="125" t="n">
        <v>300</v>
      </c>
      <c r="CX598" s="0" t="n">
        <v>0</v>
      </c>
      <c r="CY598" s="0" t="n">
        <f aca="false">IF(CW598="","",IF(CX598=0,CW598,IF(CX598=1,CW598/30,IF(CX598=2,CW598/15,IF(CX598=3,CW598/7,CW598)))))</f>
        <v>300</v>
      </c>
      <c r="CZ598" s="0" t="n">
        <f aca="false">IF(DI598&gt;0,DI598,IF(CY598&gt;0,CY598,IF(CV598&gt;0,CV598,"")))</f>
        <v>300</v>
      </c>
      <c r="DA598" s="0" t="n">
        <f aca="false">IF(DM598=1,CZ598/8,IF(OR(DM598=2,DM598=4),CZ598/7,IF(DM598=3,CZ598/7.5,"")))</f>
        <v>37.5</v>
      </c>
      <c r="DB598" s="0" t="s">
        <v>2813</v>
      </c>
      <c r="DC598" s="0" t="s">
        <v>2063</v>
      </c>
      <c r="DD598" s="0" t="s">
        <v>1520</v>
      </c>
      <c r="DE598" s="0" t="s">
        <v>5474</v>
      </c>
      <c r="DF598" s="0" t="s">
        <v>5475</v>
      </c>
      <c r="DG598" s="0" t="s">
        <v>5476</v>
      </c>
      <c r="DH598" s="0" t="n">
        <v>0</v>
      </c>
      <c r="DI598" s="126" t="n">
        <v>300</v>
      </c>
      <c r="DK598" s="0" t="n">
        <v>0</v>
      </c>
      <c r="DM598" s="0" t="n">
        <v>1</v>
      </c>
      <c r="DN598" s="0" t="n">
        <v>66</v>
      </c>
      <c r="DO598" s="0" t="n">
        <v>3</v>
      </c>
      <c r="DP598" s="0" t="n">
        <v>1</v>
      </c>
      <c r="DQ598" s="0" t="n">
        <v>0</v>
      </c>
      <c r="DR598" s="0"/>
      <c r="DS598" s="0" t="n">
        <v>1</v>
      </c>
      <c r="DU598" s="0" t="n">
        <v>0</v>
      </c>
      <c r="DW598" s="1" t="s">
        <v>221</v>
      </c>
      <c r="DX598" s="1" t="s">
        <v>221</v>
      </c>
      <c r="DY598" s="0" t="s">
        <v>221</v>
      </c>
      <c r="DZ598" s="0" t="s">
        <v>221</v>
      </c>
      <c r="EA598" s="0" t="n">
        <v>1</v>
      </c>
      <c r="EC598" s="1" t="s">
        <v>221</v>
      </c>
      <c r="ED598" s="1" t="s">
        <v>221</v>
      </c>
      <c r="EE598" s="0" t="s">
        <v>221</v>
      </c>
      <c r="EF598" s="0"/>
      <c r="EG598" s="0" t="n">
        <v>1</v>
      </c>
      <c r="EH598" s="0" t="s">
        <v>216</v>
      </c>
      <c r="EI598" s="0" t="str">
        <f aca="false">IF(AND(DM598=1,DN598&lt;=48),"",IF(AND(DM598=2,DN598&lt;=42),"",IF(AND(DM598=3,DN598&lt;=45),"",EH598)))</f>
        <v>NO MENCIONA</v>
      </c>
      <c r="EJ598" s="0" t="n">
        <f aca="false">IF(EI598="","",IF(EI598&lt;9,EI598,9))</f>
        <v>9</v>
      </c>
      <c r="EK598" s="0" t="e">
        <f aca="false">IF(EI598="","",IF(EI598&gt;9,EI598-EJ598,0))</f>
        <v>#VALUE!</v>
      </c>
      <c r="EL598" s="0" t="e">
        <f aca="false">IF(EI598="","",EJ598*DA598*2+EK598*DA598*3)</f>
        <v>#VALUE!</v>
      </c>
      <c r="EP598" s="0" t="n">
        <v>0</v>
      </c>
      <c r="EQ598" s="0"/>
      <c r="ER598" s="0" t="n">
        <v>0</v>
      </c>
      <c r="ET598" s="0" t="n">
        <v>0</v>
      </c>
      <c r="EV598" s="0" t="n">
        <v>0</v>
      </c>
      <c r="EX598" s="0" t="n">
        <v>1</v>
      </c>
      <c r="EY598" s="0" t="n">
        <v>0</v>
      </c>
      <c r="EZ598" s="0"/>
      <c r="FA598" s="4" t="n">
        <v>3600</v>
      </c>
      <c r="FB598" s="0" t="n">
        <v>0</v>
      </c>
      <c r="FC598" s="1" t="n">
        <v>41572</v>
      </c>
      <c r="FD598" s="0" t="n">
        <v>1</v>
      </c>
      <c r="FE598" s="0" t="n">
        <v>30000</v>
      </c>
      <c r="FF598" s="120" t="n">
        <f aca="false">(CJ598-CI598+1)/365</f>
        <v>0.0328767123287671</v>
      </c>
      <c r="FG598" s="0" t="str">
        <f aca="false">CONCATENATE(F598,"/",G598)</f>
        <v>1481/2011</v>
      </c>
      <c r="FH598" s="0" t="n">
        <v>1</v>
      </c>
      <c r="FI598" s="0" t="n">
        <f aca="false">IFERROR(IF((FC598-J598+1)/365&gt;3,0,1),"")</f>
        <v>1</v>
      </c>
    </row>
    <row r="599" customFormat="false" ht="15" hidden="false" customHeight="false" outlineLevel="0" collapsed="false">
      <c r="A599" s="5" t="str">
        <f aca="false">E599&amp;G599&amp;F599</f>
        <v>720111485</v>
      </c>
      <c r="B599" s="0" t="s">
        <v>5405</v>
      </c>
      <c r="C599" s="1" t="n">
        <v>42362</v>
      </c>
      <c r="D599" s="0" t="s">
        <v>3265</v>
      </c>
      <c r="E599" s="0" t="n">
        <v>7</v>
      </c>
      <c r="F599" s="0" t="n">
        <v>1485</v>
      </c>
      <c r="G599" s="0" t="n">
        <v>2011</v>
      </c>
      <c r="H599" s="0" t="str">
        <f aca="false">"J"&amp;E599&amp;"\"&amp;F599&amp;"\"&amp;G599&amp;"\"&amp;W599</f>
        <v>J7\1485\2011\1</v>
      </c>
      <c r="I599" s="0"/>
      <c r="J599" s="1" t="n">
        <v>40785</v>
      </c>
      <c r="K599" s="0" t="n">
        <v>0</v>
      </c>
      <c r="M599" s="1"/>
      <c r="N599" s="1"/>
      <c r="O599" s="1"/>
      <c r="P599" s="1"/>
      <c r="Q599" s="1"/>
      <c r="T599" s="121"/>
      <c r="U599" s="121"/>
      <c r="V599" s="122" t="n">
        <f aca="false">IF(AND(E599&gt;0,F599&gt;0,G599&gt;0),COUNTIFS($E:$E,E599,$F:$F,F599,$G:$G,G599),"")</f>
        <v>1</v>
      </c>
      <c r="W599" s="122" t="n">
        <f aca="false">IF(V599="","",IF(V599=1,1,IF(AND(E598=E599,F598=F599,G598=G599),W598+1,1)))</f>
        <v>1</v>
      </c>
      <c r="X599" s="0" t="n">
        <v>1</v>
      </c>
      <c r="Y599" s="0" t="n">
        <v>5</v>
      </c>
      <c r="Z599" s="0" t="s">
        <v>5477</v>
      </c>
      <c r="AA599" s="0" t="n">
        <v>0</v>
      </c>
      <c r="AB599" s="0" t="s">
        <v>5478</v>
      </c>
      <c r="AC599" s="0" t="s">
        <v>1661</v>
      </c>
      <c r="AE599" s="0" t="n">
        <v>0</v>
      </c>
      <c r="AF599" s="0" t="s">
        <v>5479</v>
      </c>
      <c r="AG599" s="0" t="n">
        <v>0</v>
      </c>
      <c r="AH599" s="0" t="s">
        <v>5480</v>
      </c>
      <c r="AI599" s="0" t="s">
        <v>5481</v>
      </c>
      <c r="AL599" s="0" t="s">
        <v>5482</v>
      </c>
      <c r="AM599" s="0" t="n">
        <v>1</v>
      </c>
      <c r="AN599" s="0" t="s">
        <v>5480</v>
      </c>
      <c r="AO599" s="0" t="s">
        <v>5481</v>
      </c>
      <c r="AR599" s="0" t="s">
        <v>5483</v>
      </c>
      <c r="AS599" s="0" t="n">
        <v>1</v>
      </c>
      <c r="AT599" s="0" t="s">
        <v>5480</v>
      </c>
      <c r="AU599" s="0" t="s">
        <v>5481</v>
      </c>
      <c r="AX599" s="0" t="s">
        <v>412</v>
      </c>
      <c r="AY599" s="0" t="n">
        <v>0</v>
      </c>
      <c r="AZ599" s="0" t="s">
        <v>5484</v>
      </c>
      <c r="BA599" s="0" t="s">
        <v>438</v>
      </c>
      <c r="BD599" s="0" t="s">
        <v>249</v>
      </c>
      <c r="BE599" s="0" t="n">
        <v>0</v>
      </c>
      <c r="BF599" s="0" t="s">
        <v>5485</v>
      </c>
      <c r="BG599" s="0" t="s">
        <v>410</v>
      </c>
      <c r="BR599" s="0" t="n">
        <v>1</v>
      </c>
      <c r="BS599" s="0" t="s">
        <v>5486</v>
      </c>
      <c r="BT599" s="0" t="s">
        <v>5487</v>
      </c>
      <c r="BU599" s="0" t="s">
        <v>5488</v>
      </c>
      <c r="BV599" s="123"/>
      <c r="BW599" s="123"/>
      <c r="BX599" s="123"/>
      <c r="BY599" s="123"/>
      <c r="CD599" s="0" t="s">
        <v>1465</v>
      </c>
      <c r="CE599" s="0" t="n">
        <v>0</v>
      </c>
      <c r="CF599" s="0" t="s">
        <v>5489</v>
      </c>
      <c r="CG599" s="0" t="s">
        <v>218</v>
      </c>
      <c r="CI599" s="1" t="n">
        <v>40617</v>
      </c>
      <c r="CJ599" s="1" t="n">
        <v>40770</v>
      </c>
      <c r="CK599" s="124" t="n">
        <v>0.583333333333333</v>
      </c>
      <c r="CL599" s="0" t="s">
        <v>5482</v>
      </c>
      <c r="CM599" s="0" t="n">
        <f aca="false">IF(OR(CI599="",CJ599=""),"",DAYS360(CI599,CJ599)/360)</f>
        <v>0.416666666666667</v>
      </c>
      <c r="CN599" s="0" t="n">
        <f aca="false">IF(OR(CI599="",CJ599=""),"",DAYS360(CI599,CJ599)/30)</f>
        <v>5</v>
      </c>
      <c r="CO599" s="0" t="n">
        <f aca="false">IF(OR(CI599="",CJ599=""),"",DAYS360(CI599,CJ599)/7)</f>
        <v>21.4285714285714</v>
      </c>
      <c r="CP599" s="0" t="n">
        <f aca="false">IF(OR(CI599="",CJ599=""),"",DAYS360(CI599,CJ599))</f>
        <v>150</v>
      </c>
      <c r="CQ599" s="0" t="s">
        <v>240</v>
      </c>
      <c r="CR599" s="0" t="n">
        <v>1</v>
      </c>
      <c r="CT599" s="0" t="n">
        <v>500</v>
      </c>
      <c r="CU599" s="0" t="n">
        <v>0</v>
      </c>
      <c r="CV599" s="0" t="n">
        <f aca="false">IF(OR(CT599="",CT599="NO ESPECIFICA",CT599="NO MENCIONA"),"",IF(CU599=0,CT599,IF(CU599=1,CT599/30,IF(CU599=2,CT599/15,IF(CU599=3,CT599/7,"")))))</f>
        <v>500</v>
      </c>
      <c r="CW599" s="125" t="n">
        <v>794.46</v>
      </c>
      <c r="CX599" s="0" t="n">
        <v>0</v>
      </c>
      <c r="CY599" s="0" t="n">
        <f aca="false">IF(CW599="","",IF(CX599=0,CW599,IF(CX599=1,CW599/30,IF(CX599=2,CW599/15,IF(CX599=3,CW599/7,CW599)))))</f>
        <v>794.46</v>
      </c>
      <c r="CZ599" s="0" t="n">
        <f aca="false">IF(DI599&gt;0,DI599,IF(CY599&gt;0,CY599,IF(CV599&gt;0,CV599,"")))</f>
        <v>794.46</v>
      </c>
      <c r="DA599" s="0" t="n">
        <f aca="false">IF(DM599=1,CZ599/8,IF(OR(DM599=2,DM599=4),CZ599/7,IF(DM599=3,CZ599/7.5,"")))</f>
        <v>99.3075</v>
      </c>
      <c r="DB599" s="0" t="s">
        <v>2471</v>
      </c>
      <c r="DC599" s="0" t="s">
        <v>300</v>
      </c>
      <c r="DD599" s="0" t="s">
        <v>5490</v>
      </c>
      <c r="DE599" s="0" t="s">
        <v>299</v>
      </c>
      <c r="DF599" s="0" t="s">
        <v>301</v>
      </c>
      <c r="DG599" s="0" t="s">
        <v>303</v>
      </c>
      <c r="DH599" s="0" t="n">
        <v>0</v>
      </c>
      <c r="DI599" s="126" t="n">
        <v>794.46</v>
      </c>
      <c r="DK599" s="0" t="n">
        <v>1</v>
      </c>
      <c r="DM599" s="0" t="n">
        <v>1</v>
      </c>
      <c r="DN599" s="0" t="n">
        <v>65</v>
      </c>
      <c r="DO599" s="0" t="n">
        <v>3</v>
      </c>
      <c r="DP599" s="0" t="n">
        <v>0</v>
      </c>
      <c r="DQ599" s="0" t="n">
        <v>1</v>
      </c>
      <c r="DR599" s="0"/>
      <c r="DS599" s="0" t="n">
        <v>1</v>
      </c>
      <c r="DU599" s="0" t="n">
        <v>1</v>
      </c>
      <c r="DW599" s="1" t="n">
        <v>40617</v>
      </c>
      <c r="DX599" s="1" t="n">
        <v>40770</v>
      </c>
      <c r="DZ599" s="0"/>
      <c r="EA599" s="0" t="n">
        <v>1</v>
      </c>
      <c r="EC599" s="1" t="s">
        <v>216</v>
      </c>
      <c r="ED599" s="1" t="s">
        <v>216</v>
      </c>
      <c r="EE599" s="0" t="s">
        <v>216</v>
      </c>
      <c r="EF599" s="0"/>
      <c r="EG599" s="0" t="n">
        <v>0</v>
      </c>
      <c r="EI599" s="0" t="n">
        <f aca="false">IF(AND(DM599=1,DN599&lt;=48),"",IF(AND(DM599=2,DN599&lt;=42),"",IF(AND(DM599=3,DN599&lt;=45),"",EH599)))</f>
        <v>0</v>
      </c>
      <c r="EJ599" s="0" t="str">
        <f aca="false">IF(EI599="","",IF(EI599&lt;9,EI599,9))</f>
        <v/>
      </c>
      <c r="EK599" s="0" t="str">
        <f aca="false">IF(EI599="","",IF(EI599&gt;9,EI599-EJ599,0))</f>
        <v/>
      </c>
      <c r="EL599" s="0" t="str">
        <f aca="false">IF(EI599="","",EJ599*DA599*2+EK599*DA599*3)</f>
        <v/>
      </c>
      <c r="EP599" s="0" t="n">
        <v>0</v>
      </c>
      <c r="EQ599" s="0"/>
      <c r="ER599" s="0" t="n">
        <v>0</v>
      </c>
      <c r="ET599" s="0" t="n">
        <v>0</v>
      </c>
      <c r="EV599" s="0" t="n">
        <v>1</v>
      </c>
      <c r="EX599" s="0" t="n">
        <v>1</v>
      </c>
      <c r="EY599" s="0" t="n">
        <v>0</v>
      </c>
      <c r="EZ599" s="0"/>
      <c r="FA599" s="4" t="n">
        <v>11122.44</v>
      </c>
      <c r="FB599" s="0" t="n">
        <v>1</v>
      </c>
      <c r="FC599" s="1" t="n">
        <v>41558</v>
      </c>
      <c r="FD599" s="0" t="n">
        <v>1</v>
      </c>
      <c r="FE599" s="0" t="n">
        <v>70000</v>
      </c>
      <c r="FF599" s="120" t="n">
        <f aca="false">(CJ599-CI599+1)/365</f>
        <v>0.421917808219178</v>
      </c>
      <c r="FG599" s="0" t="str">
        <f aca="false">CONCATENATE(F599,"/",G599)</f>
        <v>1485/2011</v>
      </c>
      <c r="FH599" s="0" t="n">
        <v>1</v>
      </c>
      <c r="FI599" s="0" t="n">
        <f aca="false">IFERROR(IF((FC599-J599+1)/365&gt;3,0,1),"")</f>
        <v>1</v>
      </c>
    </row>
    <row r="600" customFormat="false" ht="15" hidden="false" customHeight="false" outlineLevel="0" collapsed="false">
      <c r="A600" s="5" t="str">
        <f aca="false">E600&amp;G600&amp;F600</f>
        <v>720111493</v>
      </c>
      <c r="B600" s="0" t="s">
        <v>5405</v>
      </c>
      <c r="C600" s="1" t="n">
        <v>42362</v>
      </c>
      <c r="D600" s="0" t="s">
        <v>3265</v>
      </c>
      <c r="E600" s="0" t="n">
        <v>7</v>
      </c>
      <c r="F600" s="0" t="n">
        <v>1493</v>
      </c>
      <c r="G600" s="0" t="n">
        <v>2011</v>
      </c>
      <c r="H600" s="0" t="str">
        <f aca="false">"J"&amp;E600&amp;"\"&amp;F600&amp;"\"&amp;G600&amp;"\"&amp;W600</f>
        <v>J7\1493\2011\1</v>
      </c>
      <c r="I600" s="0"/>
      <c r="J600" s="1" t="n">
        <v>40786</v>
      </c>
      <c r="K600" s="0" t="n">
        <v>0</v>
      </c>
      <c r="M600" s="1"/>
      <c r="N600" s="1"/>
      <c r="O600" s="1"/>
      <c r="P600" s="1"/>
      <c r="Q600" s="1"/>
      <c r="T600" s="121"/>
      <c r="U600" s="121"/>
      <c r="V600" s="122" t="n">
        <f aca="false">IF(AND(E600&gt;0,F600&gt;0,G600&gt;0),COUNTIFS($E:$E,E600,$F:$F,F600,$G:$G,G600),"")</f>
        <v>1</v>
      </c>
      <c r="W600" s="122" t="n">
        <f aca="false">IF(V600="","",IF(V600=1,1,IF(AND(E599=E600,F599=F600,G599=G600),W599+1,1)))</f>
        <v>1</v>
      </c>
      <c r="X600" s="0" t="n">
        <v>1</v>
      </c>
      <c r="Y600" s="0" t="n">
        <v>6</v>
      </c>
      <c r="Z600" s="0" t="s">
        <v>5491</v>
      </c>
      <c r="AA600" s="0" t="n">
        <v>0</v>
      </c>
      <c r="AB600" s="0" t="s">
        <v>348</v>
      </c>
      <c r="AE600" s="0" t="n">
        <v>0</v>
      </c>
      <c r="AF600" s="0" t="s">
        <v>2334</v>
      </c>
      <c r="AG600" s="0" t="n">
        <v>0</v>
      </c>
      <c r="AH600" s="0" t="s">
        <v>5492</v>
      </c>
      <c r="AI600" s="0" t="s">
        <v>287</v>
      </c>
      <c r="AJ600" s="0" t="s">
        <v>207</v>
      </c>
      <c r="AL600" s="0" t="s">
        <v>5493</v>
      </c>
      <c r="AM600" s="0" t="n">
        <v>1</v>
      </c>
      <c r="AN600" s="0" t="s">
        <v>5492</v>
      </c>
      <c r="AO600" s="0" t="s">
        <v>287</v>
      </c>
      <c r="AP600" s="0" t="s">
        <v>207</v>
      </c>
      <c r="AR600" s="0" t="s">
        <v>213</v>
      </c>
      <c r="AS600" s="0" t="n">
        <v>1</v>
      </c>
      <c r="AT600" s="0" t="s">
        <v>5492</v>
      </c>
      <c r="AU600" s="0" t="s">
        <v>287</v>
      </c>
      <c r="AV600" s="0" t="s">
        <v>207</v>
      </c>
      <c r="AX600" s="0" t="s">
        <v>249</v>
      </c>
      <c r="AY600" s="0" t="n">
        <v>0</v>
      </c>
      <c r="AZ600" s="0" t="s">
        <v>964</v>
      </c>
      <c r="BA600" s="0" t="s">
        <v>410</v>
      </c>
      <c r="BB600" s="0" t="s">
        <v>411</v>
      </c>
      <c r="BD600" s="0" t="s">
        <v>3223</v>
      </c>
      <c r="BE600" s="0" t="n">
        <v>0</v>
      </c>
      <c r="BF600" s="0" t="s">
        <v>5494</v>
      </c>
      <c r="BG600" s="0" t="s">
        <v>4367</v>
      </c>
      <c r="BH600" s="0" t="s">
        <v>659</v>
      </c>
      <c r="BJ600" s="0" t="s">
        <v>412</v>
      </c>
      <c r="BK600" s="0" t="n">
        <v>0</v>
      </c>
      <c r="BL600" s="0" t="s">
        <v>437</v>
      </c>
      <c r="BM600" s="0" t="s">
        <v>438</v>
      </c>
      <c r="BN600" s="0" t="s">
        <v>352</v>
      </c>
      <c r="BR600" s="0" t="n">
        <v>3</v>
      </c>
      <c r="BS600" s="0" t="s">
        <v>3226</v>
      </c>
      <c r="BT600" s="0" t="s">
        <v>3227</v>
      </c>
      <c r="BU600" s="0" t="s">
        <v>3228</v>
      </c>
      <c r="BV600" s="123"/>
      <c r="BW600" s="123"/>
      <c r="BX600" s="123"/>
      <c r="BY600" s="123"/>
      <c r="CA600" s="0" t="s">
        <v>348</v>
      </c>
      <c r="CD600" s="0" t="s">
        <v>296</v>
      </c>
      <c r="CE600" s="0" t="n">
        <v>0</v>
      </c>
      <c r="CF600" s="0" t="s">
        <v>5495</v>
      </c>
      <c r="CG600" s="0" t="s">
        <v>218</v>
      </c>
      <c r="CI600" s="1" t="n">
        <v>40456</v>
      </c>
      <c r="CJ600" s="1" t="n">
        <v>40759</v>
      </c>
      <c r="CK600" s="124" t="n">
        <v>0.583333333333333</v>
      </c>
      <c r="CL600" s="0" t="s">
        <v>5493</v>
      </c>
      <c r="CM600" s="0" t="n">
        <f aca="false">IF(OR(CI600="",CJ600=""),"",DAYS360(CI600,CJ600)/360)</f>
        <v>0.830555555555556</v>
      </c>
      <c r="CN600" s="0" t="n">
        <f aca="false">IF(OR(CI600="",CJ600=""),"",DAYS360(CI600,CJ600)/30)</f>
        <v>9.96666666666667</v>
      </c>
      <c r="CO600" s="0" t="n">
        <f aca="false">IF(OR(CI600="",CJ600=""),"",DAYS360(CI600,CJ600)/7)</f>
        <v>42.7142857142857</v>
      </c>
      <c r="CP600" s="0" t="n">
        <f aca="false">IF(OR(CI600="",CJ600=""),"",DAYS360(CI600,CJ600))</f>
        <v>299</v>
      </c>
      <c r="CQ600" s="0" t="s">
        <v>240</v>
      </c>
      <c r="CR600" s="0" t="n">
        <v>1</v>
      </c>
      <c r="CT600" s="0" t="n">
        <v>116.66</v>
      </c>
      <c r="CU600" s="0" t="n">
        <v>0</v>
      </c>
      <c r="CV600" s="0" t="n">
        <f aca="false">IF(OR(CT600="",CT600="NO ESPECIFICA",CT600="NO MENCIONA"),"",IF(CU600=0,CT600,IF(CU600=1,CT600/30,IF(CU600=2,CT600/15,IF(CU600=3,CT600/7,"")))))</f>
        <v>116.66</v>
      </c>
      <c r="CW600" s="125" t="n">
        <v>121.45</v>
      </c>
      <c r="CX600" s="0" t="n">
        <v>0</v>
      </c>
      <c r="CY600" s="0" t="n">
        <f aca="false">IF(CW600="","",IF(CX600=0,CW600,IF(CX600=1,CW600/30,IF(CX600=2,CW600/15,IF(CX600=3,CW600/7,CW600)))))</f>
        <v>121.45</v>
      </c>
      <c r="CZ600" s="0" t="n">
        <f aca="false">IF(DI600&gt;0,DI600,IF(CY600&gt;0,CY600,IF(CV600&gt;0,CV600,"")))</f>
        <v>121.45</v>
      </c>
      <c r="DA600" s="0" t="n">
        <f aca="false">IF(DM600=1,CZ600/8,IF(OR(DM600=2,DM600=4),CZ600/7,IF(DM600=3,CZ600/7.5,"")))</f>
        <v>15.18125</v>
      </c>
      <c r="DB600" s="0" t="s">
        <v>5496</v>
      </c>
      <c r="DC600" s="0" t="s">
        <v>301</v>
      </c>
      <c r="DD600" s="0" t="s">
        <v>216</v>
      </c>
      <c r="DE600" s="0" t="s">
        <v>216</v>
      </c>
      <c r="DF600" s="0" t="s">
        <v>216</v>
      </c>
      <c r="DG600" s="0" t="s">
        <v>216</v>
      </c>
      <c r="DH600" s="0" t="n">
        <v>0</v>
      </c>
      <c r="DI600" s="126" t="n">
        <v>121.45</v>
      </c>
      <c r="DK600" s="0" t="n">
        <v>1</v>
      </c>
      <c r="DM600" s="0" t="n">
        <v>1</v>
      </c>
      <c r="DN600" s="0" t="n">
        <v>42.5</v>
      </c>
      <c r="DO600" s="0" t="n">
        <v>3</v>
      </c>
      <c r="DP600" s="0" t="n">
        <v>0</v>
      </c>
      <c r="DQ600" s="0" t="n">
        <v>1</v>
      </c>
      <c r="DR600" s="0"/>
      <c r="DS600" s="0" t="n">
        <v>1</v>
      </c>
      <c r="DU600" s="0" t="n">
        <v>1</v>
      </c>
      <c r="DW600" s="1" t="n">
        <v>40456</v>
      </c>
      <c r="DX600" s="1" t="n">
        <v>40759</v>
      </c>
      <c r="DZ600" s="0"/>
      <c r="EA600" s="0" t="n">
        <v>1</v>
      </c>
      <c r="EC600" s="1" t="n">
        <v>40544</v>
      </c>
      <c r="ED600" s="1" t="n">
        <v>40759</v>
      </c>
      <c r="EF600" s="0"/>
      <c r="EG600" s="0" t="n">
        <v>0</v>
      </c>
      <c r="EI600" s="0" t="str">
        <f aca="false">IF(AND(DM600=1,DN600&lt;=48),"",IF(AND(DM600=2,DN600&lt;=42),"",IF(AND(DM600=3,DN600&lt;=45),"",EH600)))</f>
        <v/>
      </c>
      <c r="EJ600" s="0" t="str">
        <f aca="false">IF(EI600="","",IF(EI600&lt;9,EI600,9))</f>
        <v/>
      </c>
      <c r="EK600" s="0" t="str">
        <f aca="false">IF(EI600="","",IF(EI600&gt;9,EI600-EJ600,0))</f>
        <v/>
      </c>
      <c r="EL600" s="0" t="str">
        <f aca="false">IF(EI600="","",EJ600*DA600*2+EK600*DA600*3)</f>
        <v/>
      </c>
      <c r="EP600" s="0" t="n">
        <v>0</v>
      </c>
      <c r="EQ600" s="0"/>
      <c r="ER600" s="0" t="n">
        <v>0</v>
      </c>
      <c r="ET600" s="0" t="n">
        <v>0</v>
      </c>
      <c r="EV600" s="0" t="n">
        <v>0</v>
      </c>
      <c r="EX600" s="0" t="n">
        <v>1</v>
      </c>
      <c r="EY600" s="0" t="n">
        <v>0</v>
      </c>
      <c r="EZ600" s="0"/>
      <c r="FA600" s="4" t="n">
        <v>18663.79</v>
      </c>
      <c r="FB600" s="0" t="n">
        <v>1</v>
      </c>
      <c r="FC600" s="1" t="n">
        <v>41129</v>
      </c>
      <c r="FD600" s="0" t="n">
        <v>1</v>
      </c>
      <c r="FE600" s="0" t="n">
        <v>14000</v>
      </c>
      <c r="FF600" s="120" t="n">
        <f aca="false">(CJ600-CI600+1)/365</f>
        <v>0.832876712328767</v>
      </c>
      <c r="FG600" s="0" t="str">
        <f aca="false">CONCATENATE(F600,"/",G600)</f>
        <v>1493/2011</v>
      </c>
      <c r="FH600" s="0" t="n">
        <v>1</v>
      </c>
      <c r="FI600" s="0" t="n">
        <f aca="false">IFERROR(IF((FC600-J600+1)/365&gt;3,0,1),"")</f>
        <v>1</v>
      </c>
    </row>
    <row r="601" customFormat="false" ht="15" hidden="false" customHeight="false" outlineLevel="0" collapsed="false">
      <c r="A601" s="5" t="str">
        <f aca="false">E601&amp;G601&amp;F601</f>
        <v>720111502</v>
      </c>
      <c r="B601" s="0" t="s">
        <v>5405</v>
      </c>
      <c r="C601" s="1" t="n">
        <v>42362</v>
      </c>
      <c r="D601" s="0" t="s">
        <v>3265</v>
      </c>
      <c r="E601" s="0" t="n">
        <v>7</v>
      </c>
      <c r="F601" s="0" t="n">
        <v>1502</v>
      </c>
      <c r="G601" s="0" t="n">
        <v>2011</v>
      </c>
      <c r="H601" s="0" t="str">
        <f aca="false">"J"&amp;E601&amp;"\"&amp;F601&amp;"\"&amp;G601&amp;"\"&amp;W601</f>
        <v>J7\1502\2011\1</v>
      </c>
      <c r="I601" s="0" t="n">
        <v>40786</v>
      </c>
      <c r="J601" s="1" t="n">
        <v>40660</v>
      </c>
      <c r="K601" s="0" t="n">
        <v>0</v>
      </c>
      <c r="M601" s="1"/>
      <c r="N601" s="1"/>
      <c r="O601" s="1"/>
      <c r="P601" s="1"/>
      <c r="Q601" s="1"/>
      <c r="T601" s="121"/>
      <c r="U601" s="121"/>
      <c r="V601" s="122" t="n">
        <f aca="false">IF(AND(E601&gt;0,F601&gt;0,G601&gt;0),COUNTIFS($E:$E,E601,$F:$F,F601,$G:$G,G601),"")</f>
        <v>1</v>
      </c>
      <c r="W601" s="122" t="n">
        <f aca="false">IF(V601="","",IF(V601=1,1,IF(AND(E600=E601,F600=F601,G600=G601),W600+1,1)))</f>
        <v>1</v>
      </c>
      <c r="X601" s="0" t="n">
        <v>1</v>
      </c>
      <c r="Y601" s="0" t="n">
        <v>3</v>
      </c>
      <c r="Z601" s="0" t="s">
        <v>5497</v>
      </c>
      <c r="AA601" s="0" t="n">
        <v>0</v>
      </c>
      <c r="AB601" s="0" t="s">
        <v>5498</v>
      </c>
      <c r="AC601" s="0" t="s">
        <v>244</v>
      </c>
      <c r="AE601" s="0" t="n">
        <v>0</v>
      </c>
      <c r="AF601" s="0" t="s">
        <v>5499</v>
      </c>
      <c r="AG601" s="0" t="n">
        <v>0</v>
      </c>
      <c r="AH601" s="0" t="s">
        <v>3431</v>
      </c>
      <c r="AI601" s="0" t="s">
        <v>3432</v>
      </c>
      <c r="AJ601" s="0" t="s">
        <v>519</v>
      </c>
      <c r="AL601" s="0" t="s">
        <v>5500</v>
      </c>
      <c r="AM601" s="0" t="n">
        <v>0</v>
      </c>
      <c r="AN601" s="0" t="s">
        <v>3431</v>
      </c>
      <c r="AO601" s="0" t="s">
        <v>3432</v>
      </c>
      <c r="AP601" s="0" t="s">
        <v>519</v>
      </c>
      <c r="AR601" s="0" t="s">
        <v>213</v>
      </c>
      <c r="AS601" s="0" t="n">
        <v>1</v>
      </c>
      <c r="AT601" s="0" t="s">
        <v>3431</v>
      </c>
      <c r="AU601" s="0" t="s">
        <v>3432</v>
      </c>
      <c r="AV601" s="0" t="s">
        <v>519</v>
      </c>
      <c r="BR601" s="0" t="n">
        <v>1</v>
      </c>
      <c r="BS601" s="0" t="s">
        <v>5501</v>
      </c>
      <c r="BT601" s="0" t="s">
        <v>5502</v>
      </c>
      <c r="BU601" s="0" t="s">
        <v>5503</v>
      </c>
      <c r="BV601" s="123"/>
      <c r="BW601" s="123"/>
      <c r="BX601" s="123"/>
      <c r="BY601" s="123"/>
      <c r="CA601" s="0" t="s">
        <v>5504</v>
      </c>
      <c r="CD601" s="0" t="s">
        <v>502</v>
      </c>
      <c r="CE601" s="0" t="n">
        <v>0</v>
      </c>
      <c r="CF601" s="0" t="s">
        <v>5505</v>
      </c>
      <c r="CG601" s="0" t="s">
        <v>218</v>
      </c>
      <c r="CI601" s="1" t="n">
        <v>40253</v>
      </c>
      <c r="CJ601" s="1" t="s">
        <v>221</v>
      </c>
      <c r="CK601" s="124" t="n">
        <v>0.625</v>
      </c>
      <c r="CL601" s="0" t="s">
        <v>5506</v>
      </c>
      <c r="CM601" s="0" t="e">
        <f aca="false">IF(OR(CI601="",CJ601=""),"",DAYS360(CI601,CJ601)/360)</f>
        <v>#VALUE!</v>
      </c>
      <c r="CN601" s="0" t="e">
        <f aca="false">IF(OR(CI601="",CJ601=""),"",DAYS360(CI601,CJ601)/30)</f>
        <v>#VALUE!</v>
      </c>
      <c r="CO601" s="0" t="e">
        <f aca="false">IF(OR(CI601="",CJ601=""),"",DAYS360(CI601,CJ601)/7)</f>
        <v>#VALUE!</v>
      </c>
      <c r="CP601" s="0" t="e">
        <f aca="false">IF(OR(CI601="",CJ601=""),"",DAYS360(CI601,CJ601))</f>
        <v>#VALUE!</v>
      </c>
      <c r="CQ601" s="0" t="s">
        <v>220</v>
      </c>
      <c r="CR601" s="0" t="n">
        <v>1</v>
      </c>
      <c r="CT601" s="0" t="n">
        <v>3998.36</v>
      </c>
      <c r="CU601" s="0" t="n">
        <v>2</v>
      </c>
      <c r="CV601" s="0" t="n">
        <f aca="false">IF(OR(CT601="",CT601="NO ESPECIFICA",CT601="NO MENCIONA"),"",IF(CU601=0,CT601,IF(CU601=1,CT601/30,IF(CU601=2,CT601/15,IF(CU601=3,CT601/7,"")))))</f>
        <v>266.557333333333</v>
      </c>
      <c r="CW601" s="125" t="s">
        <v>216</v>
      </c>
      <c r="CY601" s="0" t="str">
        <f aca="false">IF(CW601="","",IF(CX601=0,CW601,IF(CX601=1,CW601/30,IF(CX601=2,CW601/15,IF(CX601=3,CW601/7,CW601)))))</f>
        <v>NO MENCIONA</v>
      </c>
      <c r="CZ601" s="0" t="n">
        <f aca="false">IF(DI601&gt;0,DI601,IF(CY601&gt;0,CY601,IF(CV601&gt;0,CV601,"")))</f>
        <v>266.55</v>
      </c>
      <c r="DA601" s="0" t="n">
        <f aca="false">IF(DM601=1,CZ601/8,IF(OR(DM601=2,DM601=4),CZ601/7,IF(DM601=3,CZ601/7.5,"")))</f>
        <v>33.31875</v>
      </c>
      <c r="DH601" s="0" t="n">
        <v>0</v>
      </c>
      <c r="DI601" s="126" t="n">
        <v>266.55</v>
      </c>
      <c r="DK601" s="0" t="n">
        <v>0</v>
      </c>
      <c r="DM601" s="0" t="n">
        <v>1</v>
      </c>
      <c r="DN601" s="0" t="n">
        <v>72</v>
      </c>
      <c r="DO601" s="0" t="n">
        <v>3</v>
      </c>
      <c r="DP601" s="0" t="n">
        <v>1</v>
      </c>
      <c r="DQ601" s="0" t="n">
        <v>1</v>
      </c>
      <c r="DR601" s="0"/>
      <c r="DS601" s="0" t="n">
        <v>1</v>
      </c>
      <c r="DU601" s="0" t="n">
        <v>1</v>
      </c>
      <c r="DW601" s="1" t="n">
        <v>40253</v>
      </c>
      <c r="DX601" s="1" t="s">
        <v>221</v>
      </c>
      <c r="DY601" s="0" t="s">
        <v>221</v>
      </c>
      <c r="DZ601" s="0" t="s">
        <v>221</v>
      </c>
      <c r="EA601" s="0" t="n">
        <v>1</v>
      </c>
      <c r="EC601" s="1" t="n">
        <v>40253</v>
      </c>
      <c r="ED601" s="1" t="s">
        <v>221</v>
      </c>
      <c r="EF601" s="0"/>
      <c r="EG601" s="0" t="n">
        <v>1</v>
      </c>
      <c r="EH601" s="0" t="n">
        <v>12</v>
      </c>
      <c r="EI601" s="0" t="n">
        <f aca="false">IF(AND(DM601=1,DN601&lt;=48),"",IF(AND(DM601=2,DN601&lt;=42),"",IF(AND(DM601=3,DN601&lt;=45),"",EH601)))</f>
        <v>12</v>
      </c>
      <c r="EJ601" s="0" t="n">
        <f aca="false">IF(EI601="","",IF(EI601&lt;9,EI601,9))</f>
        <v>9</v>
      </c>
      <c r="EK601" s="0" t="n">
        <f aca="false">IF(EI601="","",IF(EI601&gt;9,EI601-EJ601,0))</f>
        <v>3</v>
      </c>
      <c r="EL601" s="0" t="n">
        <f aca="false">IF(EI601="","",EJ601*DA601*2+EK601*DA601*3)</f>
        <v>899.60625</v>
      </c>
      <c r="EP601" s="0" t="n">
        <v>1</v>
      </c>
      <c r="EQ601" s="0"/>
      <c r="ER601" s="0" t="n">
        <v>0</v>
      </c>
      <c r="ET601" s="0" t="n">
        <v>0</v>
      </c>
      <c r="EV601" s="0" t="n">
        <v>0</v>
      </c>
      <c r="EX601" s="0" t="n">
        <v>1</v>
      </c>
      <c r="EY601" s="0" t="n">
        <v>1</v>
      </c>
      <c r="EZ601" s="0"/>
      <c r="FA601" s="4" t="n">
        <v>0</v>
      </c>
      <c r="FB601" s="0" t="n">
        <v>1</v>
      </c>
      <c r="FC601" s="1" t="n">
        <v>41211</v>
      </c>
      <c r="FD601" s="0" t="n">
        <v>1</v>
      </c>
      <c r="FE601" s="0" t="n">
        <v>18655.93</v>
      </c>
      <c r="FF601" s="120" t="e">
        <f aca="false">(CJ601-CI601+1)/365</f>
        <v>#VALUE!</v>
      </c>
      <c r="FG601" s="0" t="str">
        <f aca="false">CONCATENATE(F601,"/",G601)</f>
        <v>1502/2011</v>
      </c>
      <c r="FH601" s="0" t="n">
        <v>1</v>
      </c>
      <c r="FI601" s="0" t="n">
        <f aca="false">IFERROR(IF((FC601-J601+1)/365&gt;3,0,1),"")</f>
        <v>1</v>
      </c>
    </row>
    <row r="602" customFormat="false" ht="15" hidden="false" customHeight="false" outlineLevel="0" collapsed="false">
      <c r="A602" s="5" t="str">
        <f aca="false">E602&amp;G602&amp;F602</f>
        <v>720111503</v>
      </c>
      <c r="B602" s="0" t="s">
        <v>5405</v>
      </c>
      <c r="C602" s="1" t="n">
        <v>42362</v>
      </c>
      <c r="D602" s="0" t="s">
        <v>3265</v>
      </c>
      <c r="E602" s="0" t="n">
        <v>7</v>
      </c>
      <c r="F602" s="0" t="n">
        <v>1503</v>
      </c>
      <c r="G602" s="0" t="n">
        <v>2011</v>
      </c>
      <c r="H602" s="0" t="str">
        <f aca="false">"J"&amp;E602&amp;"\"&amp;F602&amp;"\"&amp;G602&amp;"\"&amp;W602</f>
        <v>J7\1503\2011\1</v>
      </c>
      <c r="I602" s="0"/>
      <c r="J602" s="1" t="n">
        <v>40787</v>
      </c>
      <c r="K602" s="0" t="n">
        <v>0</v>
      </c>
      <c r="M602" s="1"/>
      <c r="N602" s="1"/>
      <c r="O602" s="1"/>
      <c r="P602" s="1"/>
      <c r="Q602" s="1"/>
      <c r="T602" s="121"/>
      <c r="U602" s="121"/>
      <c r="V602" s="122" t="n">
        <f aca="false">IF(AND(E602&gt;0,F602&gt;0,G602&gt;0),COUNTIFS($E:$E,E602,$F:$F,F602,$G:$G,G602),"")</f>
        <v>1</v>
      </c>
      <c r="W602" s="122" t="n">
        <f aca="false">IF(V602="","",IF(V602=1,1,IF(AND(E601=E602,F601=F602,G601=G602),W601+1,1)))</f>
        <v>1</v>
      </c>
      <c r="X602" s="0" t="n">
        <v>1</v>
      </c>
      <c r="Y602" s="0" t="n">
        <v>7</v>
      </c>
      <c r="Z602" s="0" t="s">
        <v>5507</v>
      </c>
      <c r="AA602" s="0" t="n">
        <v>0</v>
      </c>
      <c r="AB602" s="0" t="s">
        <v>5508</v>
      </c>
      <c r="AC602" s="0" t="s">
        <v>287</v>
      </c>
      <c r="AD602" s="0" t="s">
        <v>207</v>
      </c>
      <c r="AE602" s="0" t="n">
        <v>0</v>
      </c>
      <c r="AF602" s="0" t="s">
        <v>5509</v>
      </c>
      <c r="AG602" s="0" t="n">
        <v>0</v>
      </c>
      <c r="AH602" s="0" t="s">
        <v>5510</v>
      </c>
      <c r="AI602" s="0" t="s">
        <v>1123</v>
      </c>
      <c r="AJ602" s="0" t="s">
        <v>322</v>
      </c>
      <c r="AL602" s="0" t="s">
        <v>5511</v>
      </c>
      <c r="AM602" s="0" t="n">
        <v>0</v>
      </c>
      <c r="AN602" s="0" t="s">
        <v>5510</v>
      </c>
      <c r="AO602" s="0" t="s">
        <v>1123</v>
      </c>
      <c r="AP602" s="0" t="s">
        <v>322</v>
      </c>
      <c r="AR602" s="0" t="s">
        <v>5512</v>
      </c>
      <c r="AS602" s="0" t="n">
        <v>0</v>
      </c>
      <c r="AT602" s="0" t="s">
        <v>5510</v>
      </c>
      <c r="AU602" s="0" t="s">
        <v>1123</v>
      </c>
      <c r="AV602" s="0" t="s">
        <v>322</v>
      </c>
      <c r="AX602" s="0" t="s">
        <v>5513</v>
      </c>
      <c r="AY602" s="0" t="n">
        <v>1</v>
      </c>
      <c r="AZ602" s="0" t="s">
        <v>5510</v>
      </c>
      <c r="BA602" s="0" t="s">
        <v>1123</v>
      </c>
      <c r="BB602" s="0" t="s">
        <v>322</v>
      </c>
      <c r="BD602" s="0" t="s">
        <v>5514</v>
      </c>
      <c r="BE602" s="0" t="n">
        <v>1</v>
      </c>
      <c r="BF602" s="0" t="s">
        <v>5510</v>
      </c>
      <c r="BG602" s="0" t="s">
        <v>1123</v>
      </c>
      <c r="BH602" s="0" t="s">
        <v>322</v>
      </c>
      <c r="BJ602" s="0" t="s">
        <v>5515</v>
      </c>
      <c r="BK602" s="0" t="n">
        <v>1</v>
      </c>
      <c r="BL602" s="0" t="s">
        <v>5510</v>
      </c>
      <c r="BM602" s="0" t="s">
        <v>1123</v>
      </c>
      <c r="BN602" s="0" t="s">
        <v>322</v>
      </c>
      <c r="BR602" s="0" t="n">
        <v>1</v>
      </c>
      <c r="BS602" s="0" t="s">
        <v>5516</v>
      </c>
      <c r="BV602" s="123"/>
      <c r="BW602" s="123"/>
      <c r="BX602" s="123"/>
      <c r="BY602" s="123"/>
      <c r="CA602" s="0" t="s">
        <v>5517</v>
      </c>
      <c r="CD602" s="0" t="s">
        <v>1001</v>
      </c>
      <c r="CE602" s="0" t="n">
        <v>0</v>
      </c>
      <c r="CF602" s="0" t="s">
        <v>5518</v>
      </c>
      <c r="CG602" s="0" t="s">
        <v>218</v>
      </c>
      <c r="CI602" s="1" t="n">
        <v>36241</v>
      </c>
      <c r="CJ602" s="1" t="n">
        <v>40771</v>
      </c>
      <c r="CK602" s="124" t="n">
        <v>0.375</v>
      </c>
      <c r="CL602" s="0" t="s">
        <v>5514</v>
      </c>
      <c r="CM602" s="0" t="n">
        <f aca="false">IF(OR(CI602="",CJ602=""),"",DAYS360(CI602,CJ602)/360)</f>
        <v>12.4</v>
      </c>
      <c r="CN602" s="0" t="n">
        <f aca="false">IF(OR(CI602="",CJ602=""),"",DAYS360(CI602,CJ602)/30)</f>
        <v>148.8</v>
      </c>
      <c r="CO602" s="0" t="n">
        <f aca="false">IF(OR(CI602="",CJ602=""),"",DAYS360(CI602,CJ602)/7)</f>
        <v>637.714285714286</v>
      </c>
      <c r="CP602" s="0" t="n">
        <f aca="false">IF(OR(CI602="",CJ602=""),"",DAYS360(CI602,CJ602))</f>
        <v>4464</v>
      </c>
      <c r="CQ602" s="0" t="s">
        <v>220</v>
      </c>
      <c r="CR602" s="0" t="n">
        <v>1</v>
      </c>
      <c r="CT602" s="0" t="n">
        <v>14515.58</v>
      </c>
      <c r="CU602" s="0" t="n">
        <v>2</v>
      </c>
      <c r="CV602" s="0" t="n">
        <f aca="false">IF(OR(CT602="",CT602="NO ESPECIFICA",CT602="NO MENCIONA"),"",IF(CU602=0,CT602,IF(CU602=1,CT602/30,IF(CU602=2,CT602/15,IF(CU602=3,CT602/7,"")))))</f>
        <v>967.705333333333</v>
      </c>
      <c r="CW602" s="125" t="n">
        <v>1842.16</v>
      </c>
      <c r="CX602" s="0" t="n">
        <v>0</v>
      </c>
      <c r="CY602" s="0" t="n">
        <f aca="false">IF(CW602="","",IF(CX602=0,CW602,IF(CX602=1,CW602/30,IF(CX602=2,CW602/15,IF(CX602=3,CW602/7,CW602)))))</f>
        <v>1842.16</v>
      </c>
      <c r="CZ602" s="0" t="n">
        <f aca="false">IF(DI602&gt;0,DI602,IF(CY602&gt;0,CY602,IF(CV602&gt;0,CV602,"")))</f>
        <v>1842.16</v>
      </c>
      <c r="DA602" s="0" t="n">
        <f aca="false">IF(DM602=1,CZ602/8,IF(OR(DM602=2,DM602=4),CZ602/7,IF(DM602=3,CZ602/7.5,"")))</f>
        <v>230.27</v>
      </c>
      <c r="DB602" s="0" t="s">
        <v>299</v>
      </c>
      <c r="DC602" s="0" t="s">
        <v>771</v>
      </c>
      <c r="DD602" s="0" t="s">
        <v>300</v>
      </c>
      <c r="DE602" s="0" t="s">
        <v>303</v>
      </c>
      <c r="DF602" s="0" t="s">
        <v>301</v>
      </c>
      <c r="DG602" s="0" t="s">
        <v>216</v>
      </c>
      <c r="DH602" s="0" t="n">
        <v>0</v>
      </c>
      <c r="DI602" s="126" t="n">
        <v>1842.16</v>
      </c>
      <c r="DK602" s="0" t="n">
        <v>0</v>
      </c>
      <c r="DM602" s="0" t="n">
        <v>1</v>
      </c>
      <c r="DN602" s="0" t="n">
        <v>60</v>
      </c>
      <c r="DO602" s="0" t="n">
        <v>3</v>
      </c>
      <c r="DP602" s="0" t="n">
        <v>1</v>
      </c>
      <c r="DQ602" s="0" t="n">
        <v>1</v>
      </c>
      <c r="DR602" s="0" t="n">
        <v>165794.4</v>
      </c>
      <c r="DS602" s="0" t="n">
        <v>1</v>
      </c>
      <c r="DT602" s="0" t="n">
        <v>1842.16</v>
      </c>
      <c r="DU602" s="0" t="n">
        <v>1</v>
      </c>
      <c r="DV602" s="0" t="n">
        <v>17288.16</v>
      </c>
      <c r="DW602" s="1" t="n">
        <v>40406</v>
      </c>
      <c r="DX602" s="1" t="n">
        <v>40771</v>
      </c>
      <c r="DZ602" s="0"/>
      <c r="EA602" s="0" t="n">
        <v>1</v>
      </c>
      <c r="EC602" s="1" t="n">
        <v>40406</v>
      </c>
      <c r="ED602" s="1" t="n">
        <v>40771</v>
      </c>
      <c r="EF602" s="0" t="n">
        <v>80011.5</v>
      </c>
      <c r="EG602" s="0" t="n">
        <v>1</v>
      </c>
      <c r="EH602" s="0" t="n">
        <v>15</v>
      </c>
      <c r="EI602" s="0" t="n">
        <f aca="false">IF(AND(DM602=1,DN602&lt;=48),"",IF(AND(DM602=2,DN602&lt;=42),"",IF(AND(DM602=3,DN602&lt;=45),"",EH602)))</f>
        <v>15</v>
      </c>
      <c r="EJ602" s="0" t="n">
        <f aca="false">IF(EI602="","",IF(EI602&lt;9,EI602,9))</f>
        <v>9</v>
      </c>
      <c r="EK602" s="0" t="n">
        <f aca="false">IF(EI602="","",IF(EI602&gt;9,EI602-EJ602,0))</f>
        <v>6</v>
      </c>
      <c r="EL602" s="0" t="n">
        <f aca="false">IF(EI602="","",EJ602*DA602*2+EK602*DA602*3)</f>
        <v>8289.72</v>
      </c>
      <c r="EP602" s="0" t="n">
        <v>1</v>
      </c>
      <c r="EQ602" s="0" t="n">
        <v>442118.4</v>
      </c>
      <c r="ER602" s="0" t="n">
        <v>0</v>
      </c>
      <c r="ET602" s="0" t="n">
        <v>0</v>
      </c>
      <c r="EV602" s="0" t="n">
        <v>1</v>
      </c>
      <c r="EW602" s="0" t="n">
        <v>12895.12</v>
      </c>
      <c r="EX602" s="0" t="n">
        <v>0</v>
      </c>
      <c r="EY602" s="0" t="n">
        <v>1</v>
      </c>
      <c r="EZ602" s="4" t="n">
        <v>57928.32</v>
      </c>
      <c r="FA602" s="4" t="n">
        <v>295956.84</v>
      </c>
      <c r="FB602" s="0" t="n">
        <v>0</v>
      </c>
      <c r="FC602" s="1" t="n">
        <v>41257</v>
      </c>
      <c r="FD602" s="0" t="n">
        <v>1</v>
      </c>
      <c r="FE602" s="0" t="n">
        <v>400000</v>
      </c>
      <c r="FF602" s="120" t="n">
        <f aca="false">(CJ602-CI602+1)/365</f>
        <v>12.413698630137</v>
      </c>
      <c r="FG602" s="0" t="str">
        <f aca="false">CONCATENATE(F602,"/",G602)</f>
        <v>1503/2011</v>
      </c>
      <c r="FH602" s="0" t="n">
        <v>1</v>
      </c>
      <c r="FI602" s="0" t="n">
        <f aca="false">IFERROR(IF((FC602-J602+1)/365&gt;3,0,1),"")</f>
        <v>1</v>
      </c>
    </row>
    <row r="603" customFormat="false" ht="15" hidden="false" customHeight="false" outlineLevel="0" collapsed="false">
      <c r="A603" s="5" t="str">
        <f aca="false">E603&amp;G603&amp;F603</f>
        <v>720111505</v>
      </c>
      <c r="B603" s="0" t="s">
        <v>5405</v>
      </c>
      <c r="C603" s="1" t="n">
        <v>42363</v>
      </c>
      <c r="D603" s="0" t="s">
        <v>3265</v>
      </c>
      <c r="E603" s="0" t="n">
        <v>7</v>
      </c>
      <c r="F603" s="0" t="n">
        <v>1505</v>
      </c>
      <c r="G603" s="0" t="n">
        <v>2011</v>
      </c>
      <c r="H603" s="0" t="str">
        <f aca="false">"J"&amp;E603&amp;"\"&amp;F603&amp;"\"&amp;G603&amp;"\"&amp;W603</f>
        <v>J7\1505\2011\1</v>
      </c>
      <c r="I603" s="0"/>
      <c r="J603" s="1" t="n">
        <v>40787</v>
      </c>
      <c r="K603" s="0" t="n">
        <v>0</v>
      </c>
      <c r="M603" s="1"/>
      <c r="N603" s="1"/>
      <c r="O603" s="1"/>
      <c r="P603" s="1"/>
      <c r="Q603" s="1"/>
      <c r="T603" s="121"/>
      <c r="U603" s="121"/>
      <c r="V603" s="122" t="n">
        <f aca="false">IF(AND(E603&gt;0,F603&gt;0,G603&gt;0),COUNTIFS($E:$E,E603,$F:$F,F603,$G:$G,G603),"")</f>
        <v>1</v>
      </c>
      <c r="W603" s="122" t="n">
        <f aca="false">IF(V603="","",IF(V603=1,1,IF(AND(E602=E603,F602=F603,G602=G603),W602+1,1)))</f>
        <v>1</v>
      </c>
      <c r="X603" s="0" t="n">
        <v>1</v>
      </c>
      <c r="Y603" s="0" t="n">
        <v>3</v>
      </c>
      <c r="Z603" s="0" t="s">
        <v>5519</v>
      </c>
      <c r="AA603" s="0" t="n">
        <v>0</v>
      </c>
      <c r="AB603" s="0" t="s">
        <v>5520</v>
      </c>
      <c r="AC603" s="0" t="s">
        <v>2787</v>
      </c>
      <c r="AD603" s="0" t="s">
        <v>207</v>
      </c>
      <c r="AE603" s="0" t="n">
        <v>0</v>
      </c>
      <c r="AF603" s="0" t="s">
        <v>5521</v>
      </c>
      <c r="AG603" s="0" t="n">
        <v>0</v>
      </c>
      <c r="AH603" s="0" t="s">
        <v>5522</v>
      </c>
      <c r="AI603" s="0" t="s">
        <v>5523</v>
      </c>
      <c r="AJ603" s="0" t="s">
        <v>268</v>
      </c>
      <c r="AL603" s="0" t="s">
        <v>5524</v>
      </c>
      <c r="AM603" s="0" t="n">
        <v>1</v>
      </c>
      <c r="AN603" s="0" t="s">
        <v>5522</v>
      </c>
      <c r="AO603" s="0" t="s">
        <v>5523</v>
      </c>
      <c r="AP603" s="0" t="s">
        <v>268</v>
      </c>
      <c r="AR603" s="0" t="s">
        <v>213</v>
      </c>
      <c r="AS603" s="0" t="n">
        <v>1</v>
      </c>
      <c r="AT603" s="0" t="s">
        <v>5522</v>
      </c>
      <c r="AU603" s="0" t="s">
        <v>5523</v>
      </c>
      <c r="AV603" s="0" t="s">
        <v>268</v>
      </c>
      <c r="BR603" s="0" t="n">
        <v>1</v>
      </c>
      <c r="BS603" s="0" t="s">
        <v>5525</v>
      </c>
      <c r="BT603" s="0" t="s">
        <v>5526</v>
      </c>
      <c r="BU603" s="0" t="s">
        <v>5527</v>
      </c>
      <c r="BV603" s="123"/>
      <c r="BW603" s="123"/>
      <c r="BX603" s="123"/>
      <c r="BY603" s="123"/>
      <c r="CD603" s="0" t="s">
        <v>256</v>
      </c>
      <c r="CE603" s="0" t="n">
        <v>0</v>
      </c>
      <c r="CF603" s="0" t="s">
        <v>238</v>
      </c>
      <c r="CG603" s="0" t="s">
        <v>218</v>
      </c>
      <c r="CI603" s="1" t="n">
        <v>40542</v>
      </c>
      <c r="CJ603" s="1" t="n">
        <v>40732</v>
      </c>
      <c r="CK603" s="124" t="n">
        <v>0.395833333333333</v>
      </c>
      <c r="CL603" s="0" t="s">
        <v>5528</v>
      </c>
      <c r="CM603" s="0" t="n">
        <f aca="false">IF(OR(CI603="",CJ603=""),"",DAYS360(CI603,CJ603)/360)</f>
        <v>0.522222222222222</v>
      </c>
      <c r="CN603" s="0" t="n">
        <f aca="false">IF(OR(CI603="",CJ603=""),"",DAYS360(CI603,CJ603)/30)</f>
        <v>6.26666666666667</v>
      </c>
      <c r="CO603" s="0" t="n">
        <f aca="false">IF(OR(CI603="",CJ603=""),"",DAYS360(CI603,CJ603)/7)</f>
        <v>26.8571428571429</v>
      </c>
      <c r="CP603" s="0" t="n">
        <f aca="false">IF(OR(CI603="",CJ603=""),"",DAYS360(CI603,CJ603))</f>
        <v>188</v>
      </c>
      <c r="CQ603" s="0" t="s">
        <v>220</v>
      </c>
      <c r="CR603" s="0" t="n">
        <v>1</v>
      </c>
      <c r="CT603" s="0" t="n">
        <v>3000</v>
      </c>
      <c r="CU603" s="0" t="n">
        <v>1</v>
      </c>
      <c r="CV603" s="0" t="n">
        <f aca="false">IF(OR(CT603="",CT603="NO ESPECIFICA",CT603="NO MENCIONA"),"",IF(CU603=0,CT603,IF(CU603=1,CT603/30,IF(CU603=2,CT603/15,IF(CU603=3,CT603/7,"")))))</f>
        <v>100</v>
      </c>
      <c r="CW603" s="125" t="s">
        <v>221</v>
      </c>
      <c r="CY603" s="0" t="str">
        <f aca="false">IF(CW603="","",IF(CX603=0,CW603,IF(CX603=1,CW603/30,IF(CX603=2,CW603/15,IF(CX603=3,CW603/7,CW603)))))</f>
        <v>NO ESPECIFICA</v>
      </c>
      <c r="CZ603" s="0" t="n">
        <f aca="false">IF(DI603&gt;0,DI603,IF(CY603&gt;0,CY603,IF(CV603&gt;0,CV603,"")))</f>
        <v>100</v>
      </c>
      <c r="DA603" s="0" t="n">
        <f aca="false">IF(DM603=1,CZ603/8,IF(OR(DM603=2,DM603=4),CZ603/7,IF(DM603=3,CZ603/7.5,"")))</f>
        <v>12.5</v>
      </c>
      <c r="DB603" s="0" t="s">
        <v>5529</v>
      </c>
      <c r="DC603" s="0" t="s">
        <v>216</v>
      </c>
      <c r="DD603" s="0" t="s">
        <v>216</v>
      </c>
      <c r="DE603" s="0" t="s">
        <v>216</v>
      </c>
      <c r="DF603" s="0" t="s">
        <v>216</v>
      </c>
      <c r="DG603" s="0" t="s">
        <v>216</v>
      </c>
      <c r="DH603" s="0" t="n">
        <v>0</v>
      </c>
      <c r="DI603" s="126" t="n">
        <v>100</v>
      </c>
      <c r="DK603" s="0" t="n">
        <v>0</v>
      </c>
      <c r="DM603" s="0" t="n">
        <v>1</v>
      </c>
      <c r="DN603" s="0" t="n">
        <v>50</v>
      </c>
      <c r="DO603" s="0" t="n">
        <v>3</v>
      </c>
      <c r="DP603" s="0" t="n">
        <v>1</v>
      </c>
      <c r="DQ603" s="0" t="n">
        <v>0</v>
      </c>
      <c r="DR603" s="0"/>
      <c r="DS603" s="0" t="n">
        <v>1</v>
      </c>
      <c r="DU603" s="0" t="n">
        <v>1</v>
      </c>
      <c r="DW603" s="1" t="n">
        <v>40542</v>
      </c>
      <c r="DX603" s="1" t="n">
        <v>40732</v>
      </c>
      <c r="DZ603" s="0"/>
      <c r="EA603" s="0" t="n">
        <v>1</v>
      </c>
      <c r="EC603" s="1" t="n">
        <v>40542</v>
      </c>
      <c r="ED603" s="1" t="n">
        <v>40732</v>
      </c>
      <c r="EF603" s="0"/>
      <c r="EG603" s="0" t="n">
        <v>0</v>
      </c>
      <c r="EI603" s="0" t="n">
        <f aca="false">IF(AND(DM603=1,DN603&lt;=48),"",IF(AND(DM603=2,DN603&lt;=42),"",IF(AND(DM603=3,DN603&lt;=45),"",EH603)))</f>
        <v>0</v>
      </c>
      <c r="EJ603" s="0" t="str">
        <f aca="false">IF(EI603="","",IF(EI603&lt;9,EI603,9))</f>
        <v/>
      </c>
      <c r="EK603" s="0" t="str">
        <f aca="false">IF(EI603="","",IF(EI603&gt;9,EI603-EJ603,0))</f>
        <v/>
      </c>
      <c r="EL603" s="0" t="str">
        <f aca="false">IF(EI603="","",EJ603*DA603*2+EK603*DA603*3)</f>
        <v/>
      </c>
      <c r="EP603" s="0" t="n">
        <v>0</v>
      </c>
      <c r="EQ603" s="0"/>
      <c r="ER603" s="0" t="n">
        <v>0</v>
      </c>
      <c r="ET603" s="0" t="n">
        <v>0</v>
      </c>
      <c r="EV603" s="0" t="n">
        <v>0</v>
      </c>
      <c r="EX603" s="0" t="n">
        <v>1</v>
      </c>
      <c r="EY603" s="0" t="n">
        <v>0</v>
      </c>
      <c r="EZ603" s="0"/>
      <c r="FA603" s="4" t="n">
        <v>3540</v>
      </c>
      <c r="FB603" s="0" t="n">
        <v>0</v>
      </c>
      <c r="FC603" s="1" t="n">
        <v>41017</v>
      </c>
      <c r="FD603" s="0" t="n">
        <v>1</v>
      </c>
      <c r="FE603" s="0" t="n">
        <v>16000</v>
      </c>
      <c r="FF603" s="120" t="n">
        <f aca="false">(CJ603-CI603+1)/365</f>
        <v>0.523287671232877</v>
      </c>
      <c r="FG603" s="0" t="str">
        <f aca="false">CONCATENATE(F603,"/",G603)</f>
        <v>1505/2011</v>
      </c>
      <c r="FH603" s="0" t="n">
        <v>1</v>
      </c>
      <c r="FI603" s="0" t="n">
        <f aca="false">IFERROR(IF((FC603-J603+1)/365&gt;3,0,1),"")</f>
        <v>1</v>
      </c>
    </row>
    <row r="604" customFormat="false" ht="15" hidden="false" customHeight="false" outlineLevel="0" collapsed="false">
      <c r="A604" s="5" t="str">
        <f aca="false">E604&amp;G604&amp;F604</f>
        <v>720111507</v>
      </c>
      <c r="B604" s="0" t="s">
        <v>5405</v>
      </c>
      <c r="C604" s="1" t="n">
        <v>42363</v>
      </c>
      <c r="D604" s="0" t="s">
        <v>3265</v>
      </c>
      <c r="E604" s="0" t="n">
        <v>7</v>
      </c>
      <c r="F604" s="0" t="n">
        <v>1507</v>
      </c>
      <c r="G604" s="0" t="n">
        <v>2011</v>
      </c>
      <c r="H604" s="0" t="str">
        <f aca="false">"J"&amp;E604&amp;"\"&amp;F604&amp;"\"&amp;G604&amp;"\"&amp;W604</f>
        <v>J7\1507\2011\1</v>
      </c>
      <c r="I604" s="0"/>
      <c r="J604" s="1" t="n">
        <v>40787</v>
      </c>
      <c r="K604" s="0" t="n">
        <v>0</v>
      </c>
      <c r="M604" s="1"/>
      <c r="N604" s="1"/>
      <c r="O604" s="1"/>
      <c r="P604" s="1"/>
      <c r="Q604" s="1"/>
      <c r="T604" s="121"/>
      <c r="U604" s="121"/>
      <c r="V604" s="122" t="n">
        <f aca="false">IF(AND(E604&gt;0,F604&gt;0,G604&gt;0),COUNTIFS($E:$E,E604,$F:$F,F604,$G:$G,G604),"")</f>
        <v>1</v>
      </c>
      <c r="W604" s="122" t="n">
        <f aca="false">IF(V604="","",IF(V604=1,1,IF(AND(E603=E604,F603=F604,G603=G604),W603+1,1)))</f>
        <v>1</v>
      </c>
      <c r="X604" s="0" t="n">
        <v>1</v>
      </c>
      <c r="Y604" s="0" t="n">
        <v>14</v>
      </c>
      <c r="Z604" s="0" t="s">
        <v>5530</v>
      </c>
      <c r="AA604" s="0" t="n">
        <v>0</v>
      </c>
      <c r="AB604" s="0" t="s">
        <v>5531</v>
      </c>
      <c r="AC604" s="0" t="s">
        <v>1611</v>
      </c>
      <c r="AE604" s="0" t="n">
        <v>0</v>
      </c>
      <c r="AF604" s="0" t="s">
        <v>5532</v>
      </c>
      <c r="AG604" s="0" t="n">
        <v>0</v>
      </c>
      <c r="AH604" s="0" t="s">
        <v>5533</v>
      </c>
      <c r="AI604" s="0" t="s">
        <v>380</v>
      </c>
      <c r="AL604" s="0" t="s">
        <v>5534</v>
      </c>
      <c r="AM604" s="0" t="n">
        <v>0</v>
      </c>
      <c r="AN604" s="0" t="s">
        <v>5533</v>
      </c>
      <c r="AO604" s="0" t="s">
        <v>380</v>
      </c>
      <c r="AR604" s="0" t="s">
        <v>2826</v>
      </c>
      <c r="AS604" s="0" t="n">
        <v>0</v>
      </c>
      <c r="AT604" s="0" t="s">
        <v>5533</v>
      </c>
      <c r="AU604" s="0" t="s">
        <v>380</v>
      </c>
      <c r="AX604" s="0" t="s">
        <v>2824</v>
      </c>
      <c r="AY604" s="0" t="n">
        <v>0</v>
      </c>
      <c r="AZ604" s="0" t="s">
        <v>5533</v>
      </c>
      <c r="BA604" s="0" t="s">
        <v>380</v>
      </c>
      <c r="BD604" s="0" t="s">
        <v>5535</v>
      </c>
      <c r="BE604" s="0" t="n">
        <v>0</v>
      </c>
      <c r="BF604" s="0" t="s">
        <v>5533</v>
      </c>
      <c r="BG604" s="0" t="s">
        <v>380</v>
      </c>
      <c r="BJ604" s="0" t="s">
        <v>5536</v>
      </c>
      <c r="BK604" s="0" t="n">
        <v>0</v>
      </c>
      <c r="BL604" s="0" t="s">
        <v>5533</v>
      </c>
      <c r="BM604" s="0" t="s">
        <v>380</v>
      </c>
      <c r="BR604" s="0" t="n">
        <v>1</v>
      </c>
      <c r="BS604" s="0" t="s">
        <v>2954</v>
      </c>
      <c r="BV604" s="123"/>
      <c r="BW604" s="123"/>
      <c r="BX604" s="123"/>
      <c r="BY604" s="123"/>
      <c r="CD604" s="0" t="s">
        <v>370</v>
      </c>
      <c r="CE604" s="0" t="n">
        <v>0</v>
      </c>
      <c r="CF604" s="0" t="s">
        <v>5537</v>
      </c>
      <c r="CG604" s="0" t="s">
        <v>218</v>
      </c>
      <c r="CI604" s="1" t="n">
        <v>39173</v>
      </c>
      <c r="CJ604" s="1" t="n">
        <v>40729</v>
      </c>
      <c r="CK604" s="124" t="n">
        <v>0.75</v>
      </c>
      <c r="CL604" s="0" t="s">
        <v>5538</v>
      </c>
      <c r="CM604" s="0" t="n">
        <f aca="false">IF(OR(CI604="",CJ604=""),"",DAYS360(CI604,CJ604)/360)</f>
        <v>4.26111111111111</v>
      </c>
      <c r="CN604" s="0" t="n">
        <f aca="false">IF(OR(CI604="",CJ604=""),"",DAYS360(CI604,CJ604)/30)</f>
        <v>51.1333333333333</v>
      </c>
      <c r="CO604" s="0" t="n">
        <f aca="false">IF(OR(CI604="",CJ604=""),"",DAYS360(CI604,CJ604)/7)</f>
        <v>219.142857142857</v>
      </c>
      <c r="CP604" s="0" t="n">
        <f aca="false">IF(OR(CI604="",CJ604=""),"",DAYS360(CI604,CJ604))</f>
        <v>1534</v>
      </c>
      <c r="CQ604" s="0" t="s">
        <v>240</v>
      </c>
      <c r="CR604" s="0" t="n">
        <v>1</v>
      </c>
      <c r="CT604" s="0" t="s">
        <v>221</v>
      </c>
      <c r="CU604" s="0" t="s">
        <v>221</v>
      </c>
      <c r="CV604" s="0" t="str">
        <f aca="false">IF(OR(CT604="",CT604="NO ESPECIFICA",CT604="NO MENCIONA"),"",IF(CU604=0,CT604,IF(CU604=1,CT604/30,IF(CU604=2,CT604/15,IF(CU604=3,CT604/7,"")))))</f>
        <v/>
      </c>
      <c r="CW604" s="125" t="n">
        <v>60</v>
      </c>
      <c r="CX604" s="0" t="n">
        <v>0</v>
      </c>
      <c r="CY604" s="0" t="n">
        <f aca="false">IF(CW604="","",IF(CX604=0,CW604,IF(CX604=1,CW604/30,IF(CX604=2,CW604/15,IF(CX604=3,CW604/7,CW604)))))</f>
        <v>60</v>
      </c>
      <c r="CZ604" s="0" t="n">
        <f aca="false">IF(DI604&gt;0,DI604,IF(CY604&gt;0,CY604,IF(CV604&gt;0,CV604,"")))</f>
        <v>60</v>
      </c>
      <c r="DA604" s="0" t="n">
        <f aca="false">IF(DM604=1,CZ604/8,IF(OR(DM604=2,DM604=4),CZ604/7,IF(DM604=3,CZ604/7.5,"")))</f>
        <v>8.57142857142857</v>
      </c>
      <c r="DB604" s="0" t="s">
        <v>1446</v>
      </c>
      <c r="DC604" s="0" t="s">
        <v>627</v>
      </c>
      <c r="DD604" s="0" t="s">
        <v>216</v>
      </c>
      <c r="DE604" s="0" t="s">
        <v>216</v>
      </c>
      <c r="DF604" s="0" t="s">
        <v>216</v>
      </c>
      <c r="DG604" s="0" t="s">
        <v>216</v>
      </c>
      <c r="DH604" s="0" t="n">
        <v>0</v>
      </c>
      <c r="DI604" s="126" t="n">
        <v>60</v>
      </c>
      <c r="DK604" s="0" t="n">
        <v>0</v>
      </c>
      <c r="DM604" s="0" t="n">
        <v>2</v>
      </c>
      <c r="DN604" s="0" t="n">
        <v>84</v>
      </c>
      <c r="DO604" s="0" t="n">
        <v>3</v>
      </c>
      <c r="DP604" s="0" t="n">
        <v>0</v>
      </c>
      <c r="DQ604" s="0" t="n">
        <v>1</v>
      </c>
      <c r="DR604" s="0"/>
      <c r="DS604" s="0" t="n">
        <v>1</v>
      </c>
      <c r="DU604" s="0" t="n">
        <v>1</v>
      </c>
      <c r="DW604" s="1" t="n">
        <v>39904</v>
      </c>
      <c r="DX604" s="1" t="n">
        <v>40729</v>
      </c>
      <c r="DZ604" s="0"/>
      <c r="EA604" s="0" t="n">
        <v>1</v>
      </c>
      <c r="EC604" s="1" t="n">
        <v>39814</v>
      </c>
      <c r="ED604" s="1" t="n">
        <v>40729</v>
      </c>
      <c r="EF604" s="0"/>
      <c r="EG604" s="0" t="n">
        <v>1</v>
      </c>
      <c r="EH604" s="0" t="n">
        <v>35</v>
      </c>
      <c r="EI604" s="0" t="n">
        <f aca="false">IF(AND(DM604=1,DN604&lt;=48),"",IF(AND(DM604=2,DN604&lt;=42),"",IF(AND(DM604=3,DN604&lt;=45),"",EH604)))</f>
        <v>35</v>
      </c>
      <c r="EJ604" s="0" t="n">
        <f aca="false">IF(EI604="","",IF(EI604&lt;9,EI604,9))</f>
        <v>9</v>
      </c>
      <c r="EK604" s="0" t="n">
        <f aca="false">IF(EI604="","",IF(EI604&gt;9,EI604-EJ604,0))</f>
        <v>26</v>
      </c>
      <c r="EL604" s="0" t="n">
        <f aca="false">IF(EI604="","",EJ604*DA604*2+EK604*DA604*3)</f>
        <v>822.857142857143</v>
      </c>
      <c r="EP604" s="0" t="n">
        <v>0</v>
      </c>
      <c r="EQ604" s="0"/>
      <c r="ER604" s="0" t="n">
        <v>1</v>
      </c>
      <c r="ET604" s="0" t="n">
        <v>1</v>
      </c>
      <c r="EV604" s="0" t="n">
        <v>1</v>
      </c>
      <c r="EX604" s="0" t="n">
        <v>1</v>
      </c>
      <c r="EY604" s="0" t="n">
        <v>1</v>
      </c>
      <c r="EZ604" s="4" t="n">
        <v>18000</v>
      </c>
      <c r="FA604" s="4" t="n">
        <v>2220</v>
      </c>
      <c r="FB604" s="0" t="n">
        <v>1</v>
      </c>
      <c r="FC604" s="1" t="n">
        <v>41074</v>
      </c>
      <c r="FD604" s="0" t="n">
        <v>1</v>
      </c>
      <c r="FE604" s="0" t="n">
        <v>20000</v>
      </c>
      <c r="FF604" s="120" t="n">
        <f aca="false">(CJ604-CI604+1)/365</f>
        <v>4.26575342465753</v>
      </c>
      <c r="FG604" s="0" t="str">
        <f aca="false">CONCATENATE(F604,"/",G604)</f>
        <v>1507/2011</v>
      </c>
      <c r="FH604" s="0" t="n">
        <v>1</v>
      </c>
      <c r="FI604" s="0" t="n">
        <f aca="false">IFERROR(IF((FC604-J604+1)/365&gt;3,0,1),"")</f>
        <v>1</v>
      </c>
    </row>
    <row r="605" customFormat="false" ht="15" hidden="false" customHeight="false" outlineLevel="0" collapsed="false">
      <c r="A605" s="5" t="str">
        <f aca="false">E605&amp;G605&amp;F605</f>
        <v>720111509</v>
      </c>
      <c r="B605" s="0" t="s">
        <v>5405</v>
      </c>
      <c r="C605" s="1" t="n">
        <v>42363</v>
      </c>
      <c r="D605" s="0" t="s">
        <v>3265</v>
      </c>
      <c r="E605" s="0" t="n">
        <v>7</v>
      </c>
      <c r="F605" s="0" t="n">
        <v>1509</v>
      </c>
      <c r="G605" s="0" t="n">
        <v>2011</v>
      </c>
      <c r="H605" s="0" t="str">
        <f aca="false">"J"&amp;E605&amp;"\"&amp;F605&amp;"\"&amp;G605&amp;"\"&amp;W605</f>
        <v>J7\1509\2011\1</v>
      </c>
      <c r="I605" s="0"/>
      <c r="J605" s="1" t="n">
        <v>40787</v>
      </c>
      <c r="K605" s="0" t="n">
        <v>0</v>
      </c>
      <c r="M605" s="1"/>
      <c r="N605" s="1"/>
      <c r="O605" s="1"/>
      <c r="P605" s="1"/>
      <c r="Q605" s="1"/>
      <c r="T605" s="121"/>
      <c r="U605" s="121"/>
      <c r="V605" s="122" t="n">
        <f aca="false">IF(AND(E605&gt;0,F605&gt;0,G605&gt;0),COUNTIFS($E:$E,E605,$F:$F,F605,$G:$G,G605),"")</f>
        <v>1</v>
      </c>
      <c r="W605" s="122" t="n">
        <f aca="false">IF(V605="","",IF(V605=1,1,IF(AND(E604=E605,F604=F605,G604=G605),W604+1,1)))</f>
        <v>1</v>
      </c>
      <c r="X605" s="0" t="n">
        <v>1</v>
      </c>
      <c r="Y605" s="0" t="n">
        <v>5</v>
      </c>
      <c r="Z605" s="0" t="s">
        <v>5539</v>
      </c>
      <c r="AA605" s="0" t="n">
        <v>0</v>
      </c>
      <c r="AB605" s="0" t="s">
        <v>5540</v>
      </c>
      <c r="AC605" s="0" t="s">
        <v>5541</v>
      </c>
      <c r="AD605" s="0" t="s">
        <v>590</v>
      </c>
      <c r="AE605" s="0" t="n">
        <v>0</v>
      </c>
      <c r="AF605" s="0" t="s">
        <v>5542</v>
      </c>
      <c r="AG605" s="0" t="n">
        <v>2</v>
      </c>
      <c r="AH605" s="0" t="s">
        <v>5543</v>
      </c>
      <c r="AI605" s="0" t="s">
        <v>5544</v>
      </c>
      <c r="AL605" s="0" t="s">
        <v>5545</v>
      </c>
      <c r="AM605" s="0" t="n">
        <v>2</v>
      </c>
      <c r="AN605" s="0" t="s">
        <v>5543</v>
      </c>
      <c r="AO605" s="0" t="s">
        <v>5544</v>
      </c>
      <c r="AR605" s="0" t="s">
        <v>5546</v>
      </c>
      <c r="AS605" s="0" t="n">
        <v>2</v>
      </c>
      <c r="AT605" s="0" t="s">
        <v>5543</v>
      </c>
      <c r="AU605" s="0" t="s">
        <v>5544</v>
      </c>
      <c r="AX605" s="0" t="s">
        <v>5547</v>
      </c>
      <c r="AY605" s="0" t="n">
        <v>1</v>
      </c>
      <c r="AZ605" s="0" t="s">
        <v>5543</v>
      </c>
      <c r="BA605" s="0" t="s">
        <v>5544</v>
      </c>
      <c r="BD605" s="0" t="s">
        <v>5548</v>
      </c>
      <c r="BE605" s="0" t="n">
        <v>1</v>
      </c>
      <c r="BF605" s="0" t="s">
        <v>5543</v>
      </c>
      <c r="BG605" s="0" t="s">
        <v>5544</v>
      </c>
      <c r="BJ605" s="0" t="s">
        <v>5549</v>
      </c>
      <c r="BK605" s="0" t="n">
        <v>1</v>
      </c>
      <c r="BL605" s="0" t="s">
        <v>5543</v>
      </c>
      <c r="BM605" s="0" t="s">
        <v>5544</v>
      </c>
      <c r="BR605" s="0" t="n">
        <v>1</v>
      </c>
      <c r="BS605" s="0" t="s">
        <v>5550</v>
      </c>
      <c r="BT605" s="0" t="s">
        <v>5551</v>
      </c>
      <c r="BV605" s="123"/>
      <c r="BW605" s="123"/>
      <c r="BX605" s="123"/>
      <c r="BY605" s="123"/>
      <c r="CD605" s="0" t="s">
        <v>296</v>
      </c>
      <c r="CE605" s="0" t="n">
        <v>0</v>
      </c>
      <c r="CF605" s="0" t="s">
        <v>5552</v>
      </c>
      <c r="CG605" s="0" t="s">
        <v>218</v>
      </c>
      <c r="CI605" s="1" t="n">
        <v>39457</v>
      </c>
      <c r="CJ605" s="1" t="n">
        <v>40728</v>
      </c>
      <c r="CK605" s="124" t="s">
        <v>216</v>
      </c>
      <c r="CL605" s="0" t="s">
        <v>5549</v>
      </c>
      <c r="CM605" s="0" t="n">
        <f aca="false">IF(OR(CI605="",CJ605=""),"",DAYS360(CI605,CJ605)/360)</f>
        <v>3.48333333333333</v>
      </c>
      <c r="CN605" s="0" t="n">
        <f aca="false">IF(OR(CI605="",CJ605=""),"",DAYS360(CI605,CJ605)/30)</f>
        <v>41.8</v>
      </c>
      <c r="CO605" s="0" t="n">
        <f aca="false">IF(OR(CI605="",CJ605=""),"",DAYS360(CI605,CJ605)/7)</f>
        <v>179.142857142857</v>
      </c>
      <c r="CP605" s="0" t="n">
        <f aca="false">IF(OR(CI605="",CJ605=""),"",DAYS360(CI605,CJ605))</f>
        <v>1254</v>
      </c>
      <c r="CQ605" s="0" t="s">
        <v>240</v>
      </c>
      <c r="CR605" s="0" t="n">
        <v>1</v>
      </c>
      <c r="CT605" s="0" t="s">
        <v>221</v>
      </c>
      <c r="CU605" s="0" t="s">
        <v>221</v>
      </c>
      <c r="CV605" s="0" t="str">
        <f aca="false">IF(OR(CT605="",CT605="NO ESPECIFICA",CT605="NO MENCIONA"),"",IF(CU605=0,CT605,IF(CU605=1,CT605/30,IF(CU605=2,CT605/15,IF(CU605=3,CT605/7,"")))))</f>
        <v/>
      </c>
      <c r="CW605" s="125" t="n">
        <v>14000</v>
      </c>
      <c r="CX605" s="0" t="n">
        <v>1</v>
      </c>
      <c r="CY605" s="0" t="n">
        <f aca="false">IF(CW605="","",IF(CX605=0,CW605,IF(CX605=1,CW605/30,IF(CX605=2,CW605/15,IF(CX605=3,CW605/7,CW605)))))</f>
        <v>466.666666666667</v>
      </c>
      <c r="CZ605" s="0" t="n">
        <f aca="false">IF(DI605&gt;0,DI605,IF(CY605&gt;0,CY605,IF(CV605&gt;0,CV605,"")))</f>
        <v>466.666666666667</v>
      </c>
      <c r="DA605" s="0" t="n">
        <f aca="false">IF(DM605=1,CZ605/8,IF(OR(DM605=2,DM605=4),CZ605/7,IF(DM605=3,CZ605/7.5,"")))</f>
        <v>58.3333333333333</v>
      </c>
      <c r="DB605" s="0" t="s">
        <v>216</v>
      </c>
      <c r="DC605" s="0" t="s">
        <v>216</v>
      </c>
      <c r="DD605" s="0" t="s">
        <v>216</v>
      </c>
      <c r="DE605" s="0" t="s">
        <v>216</v>
      </c>
      <c r="DF605" s="0" t="s">
        <v>216</v>
      </c>
      <c r="DG605" s="0" t="s">
        <v>216</v>
      </c>
      <c r="DH605" s="0" t="n">
        <v>0</v>
      </c>
      <c r="DI605" s="126" t="n">
        <v>466.666666666667</v>
      </c>
      <c r="DK605" s="0" t="n">
        <v>1</v>
      </c>
      <c r="DM605" s="0" t="n">
        <v>1</v>
      </c>
      <c r="DN605" s="0" t="n">
        <v>50</v>
      </c>
      <c r="DO605" s="0" t="n">
        <v>3</v>
      </c>
      <c r="DP605" s="0" t="n">
        <v>0</v>
      </c>
      <c r="DQ605" s="0" t="n">
        <v>1</v>
      </c>
      <c r="DR605" s="0"/>
      <c r="DS605" s="0" t="n">
        <v>1</v>
      </c>
      <c r="DU605" s="0" t="n">
        <v>1</v>
      </c>
      <c r="DW605" s="1" t="n">
        <v>40188</v>
      </c>
      <c r="DX605" s="1" t="n">
        <v>40728</v>
      </c>
      <c r="DZ605" s="0"/>
      <c r="EA605" s="0" t="n">
        <v>1</v>
      </c>
      <c r="EC605" s="1" t="n">
        <v>40544</v>
      </c>
      <c r="ED605" s="1" t="n">
        <v>40728</v>
      </c>
      <c r="EF605" s="0"/>
      <c r="EG605" s="0" t="n">
        <v>1</v>
      </c>
      <c r="EH605" s="0" t="n">
        <v>5</v>
      </c>
      <c r="EI605" s="0" t="n">
        <f aca="false">IF(AND(DM605=1,DN605&lt;=48),"",IF(AND(DM605=2,DN605&lt;=42),"",IF(AND(DM605=3,DN605&lt;=45),"",EH605)))</f>
        <v>5</v>
      </c>
      <c r="EJ605" s="0" t="n">
        <f aca="false">IF(EI605="","",IF(EI605&lt;9,EI605,9))</f>
        <v>5</v>
      </c>
      <c r="EK605" s="0" t="n">
        <f aca="false">IF(EI605="","",IF(EI605&gt;9,EI605-EJ605,0))</f>
        <v>0</v>
      </c>
      <c r="EL605" s="0" t="n">
        <f aca="false">IF(EI605="","",EJ605*DA605*2+EK605*DA605*3)</f>
        <v>583.333333333333</v>
      </c>
      <c r="EP605" s="0" t="n">
        <v>1</v>
      </c>
      <c r="EQ605" s="0"/>
      <c r="ER605" s="0" t="n">
        <v>0</v>
      </c>
      <c r="ET605" s="0" t="n">
        <v>0</v>
      </c>
      <c r="EV605" s="0" t="n">
        <v>0</v>
      </c>
      <c r="EX605" s="0" t="n">
        <v>1</v>
      </c>
      <c r="EY605" s="0" t="n">
        <v>0</v>
      </c>
      <c r="EZ605" s="0"/>
      <c r="FA605" s="4" t="n">
        <v>0</v>
      </c>
      <c r="FB605" s="0" t="n">
        <v>0</v>
      </c>
      <c r="FC605" s="1" t="n">
        <v>40910</v>
      </c>
      <c r="FD605" s="0" t="n">
        <v>2</v>
      </c>
      <c r="FE605" s="0" t="n">
        <v>0</v>
      </c>
      <c r="FF605" s="120" t="n">
        <f aca="false">(CJ605-CI605+1)/365</f>
        <v>3.48493150684931</v>
      </c>
      <c r="FG605" s="0" t="str">
        <f aca="false">CONCATENATE(F605,"/",G605)</f>
        <v>1509/2011</v>
      </c>
      <c r="FH605" s="0" t="n">
        <v>1</v>
      </c>
      <c r="FI605" s="0" t="n">
        <f aca="false">IFERROR(IF((FC605-J605+1)/365&gt;3,0,1),"")</f>
        <v>1</v>
      </c>
    </row>
    <row r="606" customFormat="false" ht="15" hidden="false" customHeight="false" outlineLevel="0" collapsed="false">
      <c r="A606" s="5" t="str">
        <f aca="false">E606&amp;G606&amp;F606</f>
        <v>720111511</v>
      </c>
      <c r="B606" s="0" t="s">
        <v>5405</v>
      </c>
      <c r="C606" s="1" t="n">
        <v>42363</v>
      </c>
      <c r="D606" s="0" t="s">
        <v>3265</v>
      </c>
      <c r="E606" s="0" t="n">
        <v>7</v>
      </c>
      <c r="F606" s="0" t="n">
        <v>1511</v>
      </c>
      <c r="G606" s="0" t="n">
        <v>2011</v>
      </c>
      <c r="H606" s="0" t="str">
        <f aca="false">"J"&amp;E606&amp;"\"&amp;F606&amp;"\"&amp;G606&amp;"\"&amp;W606</f>
        <v>J7\1511\2011\1</v>
      </c>
      <c r="I606" s="0"/>
      <c r="J606" s="1" t="n">
        <v>40787</v>
      </c>
      <c r="K606" s="0" t="n">
        <v>0</v>
      </c>
      <c r="M606" s="1"/>
      <c r="N606" s="1"/>
      <c r="O606" s="1"/>
      <c r="P606" s="1"/>
      <c r="Q606" s="1"/>
      <c r="T606" s="121"/>
      <c r="U606" s="121"/>
      <c r="V606" s="122" t="n">
        <f aca="false">IF(AND(E606&gt;0,F606&gt;0,G606&gt;0),COUNTIFS($E:$E,E606,$F:$F,F606,$G:$G,G606),"")</f>
        <v>1</v>
      </c>
      <c r="W606" s="122" t="n">
        <f aca="false">IF(V606="","",IF(V606=1,1,IF(AND(E605=E606,F605=F606,G605=G606),W605+1,1)))</f>
        <v>1</v>
      </c>
      <c r="X606" s="0" t="n">
        <v>1</v>
      </c>
      <c r="Y606" s="0" t="n">
        <v>5</v>
      </c>
      <c r="Z606" s="0" t="s">
        <v>5553</v>
      </c>
      <c r="AA606" s="0" t="n">
        <v>0</v>
      </c>
      <c r="AB606" s="0" t="s">
        <v>5554</v>
      </c>
      <c r="AC606" s="0" t="s">
        <v>789</v>
      </c>
      <c r="AE606" s="0" t="n">
        <v>0</v>
      </c>
      <c r="AF606" s="0" t="s">
        <v>1784</v>
      </c>
      <c r="AG606" s="0" t="n">
        <v>0</v>
      </c>
      <c r="AH606" s="0" t="s">
        <v>3305</v>
      </c>
      <c r="AI606" s="0" t="s">
        <v>287</v>
      </c>
      <c r="AJ606" s="0" t="s">
        <v>207</v>
      </c>
      <c r="AL606" s="0" t="s">
        <v>5555</v>
      </c>
      <c r="AM606" s="0" t="n">
        <v>1</v>
      </c>
      <c r="AN606" s="0" t="s">
        <v>3305</v>
      </c>
      <c r="AO606" s="0" t="s">
        <v>287</v>
      </c>
      <c r="AP606" s="0" t="s">
        <v>207</v>
      </c>
      <c r="AR606" s="0" t="s">
        <v>5556</v>
      </c>
      <c r="AS606" s="0" t="n">
        <v>1</v>
      </c>
      <c r="AT606" s="0" t="s">
        <v>3305</v>
      </c>
      <c r="AU606" s="0" t="s">
        <v>287</v>
      </c>
      <c r="AV606" s="0" t="s">
        <v>207</v>
      </c>
      <c r="AX606" s="0" t="s">
        <v>5557</v>
      </c>
      <c r="AY606" s="0" t="n">
        <v>1</v>
      </c>
      <c r="AZ606" s="0" t="s">
        <v>3305</v>
      </c>
      <c r="BA606" s="0" t="s">
        <v>287</v>
      </c>
      <c r="BB606" s="0" t="s">
        <v>207</v>
      </c>
      <c r="BR606" s="0" t="n">
        <v>1</v>
      </c>
      <c r="BS606" s="0" t="s">
        <v>5558</v>
      </c>
      <c r="BV606" s="123"/>
      <c r="BW606" s="123"/>
      <c r="BX606" s="123"/>
      <c r="BY606" s="123"/>
      <c r="CD606" s="0" t="s">
        <v>296</v>
      </c>
      <c r="CE606" s="0" t="n">
        <v>0</v>
      </c>
      <c r="CF606" s="0" t="s">
        <v>968</v>
      </c>
      <c r="CG606" s="0" t="s">
        <v>218</v>
      </c>
      <c r="CI606" s="1" t="n">
        <v>40114</v>
      </c>
      <c r="CJ606" s="1" t="n">
        <v>40739</v>
      </c>
      <c r="CK606" s="124" t="n">
        <v>0.291666666666667</v>
      </c>
      <c r="CL606" s="0" t="s">
        <v>5555</v>
      </c>
      <c r="CM606" s="0" t="n">
        <f aca="false">IF(OR(CI606="",CJ606=""),"",DAYS360(CI606,CJ606)/360)</f>
        <v>1.71388888888889</v>
      </c>
      <c r="CN606" s="0" t="n">
        <f aca="false">IF(OR(CI606="",CJ606=""),"",DAYS360(CI606,CJ606)/30)</f>
        <v>20.5666666666667</v>
      </c>
      <c r="CO606" s="0" t="n">
        <f aca="false">IF(OR(CI606="",CJ606=""),"",DAYS360(CI606,CJ606)/7)</f>
        <v>88.1428571428571</v>
      </c>
      <c r="CP606" s="0" t="n">
        <f aca="false">IF(OR(CI606="",CJ606=""),"",DAYS360(CI606,CJ606))</f>
        <v>617</v>
      </c>
      <c r="CQ606" s="0" t="s">
        <v>240</v>
      </c>
      <c r="CR606" s="0" t="n">
        <v>1</v>
      </c>
      <c r="CT606" s="0" t="n">
        <v>20000</v>
      </c>
      <c r="CU606" s="0" t="n">
        <v>1</v>
      </c>
      <c r="CV606" s="0" t="n">
        <f aca="false">IF(OR(CT606="",CT606="NO ESPECIFICA",CT606="NO MENCIONA"),"",IF(CU606=0,CT606,IF(CU606=1,CT606/30,IF(CU606=2,CT606/15,IF(CU606=3,CT606/7,"")))))</f>
        <v>666.666666666667</v>
      </c>
      <c r="CW606" s="125" t="s">
        <v>216</v>
      </c>
      <c r="CY606" s="0" t="str">
        <f aca="false">IF(CW606="","",IF(CX606=0,CW606,IF(CX606=1,CW606/30,IF(CX606=2,CW606/15,IF(CX606=3,CW606/7,CW606)))))</f>
        <v>NO MENCIONA</v>
      </c>
      <c r="CZ606" s="0" t="n">
        <f aca="false">IF(DI606&gt;0,DI606,IF(CY606&gt;0,CY606,IF(CV606&gt;0,CV606,"")))</f>
        <v>666.66</v>
      </c>
      <c r="DA606" s="0" t="n">
        <f aca="false">IF(DM606=1,CZ606/8,IF(OR(DM606=2,DM606=4),CZ606/7,IF(DM606=3,CZ606/7.5,"")))</f>
        <v>83.3325</v>
      </c>
      <c r="DH606" s="0" t="n">
        <v>0</v>
      </c>
      <c r="DI606" s="126" t="n">
        <v>666.66</v>
      </c>
      <c r="DK606" s="0" t="n">
        <v>1</v>
      </c>
      <c r="DM606" s="0" t="n">
        <v>1</v>
      </c>
      <c r="DN606" s="0" t="n">
        <v>60</v>
      </c>
      <c r="DO606" s="0" t="n">
        <v>3</v>
      </c>
      <c r="DP606" s="0" t="n">
        <v>0</v>
      </c>
      <c r="DQ606" s="0" t="n">
        <v>1</v>
      </c>
      <c r="DR606" s="0"/>
      <c r="DS606" s="0" t="n">
        <v>1</v>
      </c>
      <c r="DU606" s="0" t="n">
        <v>1</v>
      </c>
      <c r="DW606" s="1" t="n">
        <v>40114</v>
      </c>
      <c r="DX606" s="1" t="n">
        <v>40739</v>
      </c>
      <c r="DZ606" s="0"/>
      <c r="EA606" s="0" t="n">
        <v>1</v>
      </c>
      <c r="EC606" s="1" t="n">
        <v>40114</v>
      </c>
      <c r="ED606" s="1" t="n">
        <v>40739</v>
      </c>
      <c r="EF606" s="0"/>
      <c r="EG606" s="0" t="n">
        <v>1</v>
      </c>
      <c r="EH606" s="0" t="n">
        <v>12</v>
      </c>
      <c r="EI606" s="0" t="n">
        <f aca="false">IF(AND(DM606=1,DN606&lt;=48),"",IF(AND(DM606=2,DN606&lt;=42),"",IF(AND(DM606=3,DN606&lt;=45),"",EH606)))</f>
        <v>12</v>
      </c>
      <c r="EJ606" s="0" t="n">
        <f aca="false">IF(EI606="","",IF(EI606&lt;9,EI606,9))</f>
        <v>9</v>
      </c>
      <c r="EK606" s="0" t="n">
        <f aca="false">IF(EI606="","",IF(EI606&gt;9,EI606-EJ606,0))</f>
        <v>3</v>
      </c>
      <c r="EL606" s="0" t="n">
        <f aca="false">IF(EI606="","",EJ606*DA606*2+EK606*DA606*3)</f>
        <v>2249.9775</v>
      </c>
      <c r="EP606" s="0" t="n">
        <v>1</v>
      </c>
      <c r="EQ606" s="0"/>
      <c r="ER606" s="0" t="n">
        <v>1</v>
      </c>
      <c r="ET606" s="0" t="n">
        <v>0</v>
      </c>
      <c r="EV606" s="0" t="n">
        <v>1</v>
      </c>
      <c r="EX606" s="0" t="n">
        <v>1</v>
      </c>
      <c r="EY606" s="0" t="n">
        <v>1</v>
      </c>
      <c r="EZ606" s="0"/>
      <c r="FA606" s="4" t="n">
        <v>179331.54</v>
      </c>
      <c r="FB606" s="0" t="n">
        <v>0</v>
      </c>
      <c r="FC606" s="1" t="n">
        <v>41204</v>
      </c>
      <c r="FD606" s="0" t="n">
        <v>2</v>
      </c>
      <c r="FE606" s="0" t="n">
        <v>0</v>
      </c>
      <c r="FF606" s="120" t="n">
        <f aca="false">(CJ606-CI606+1)/365</f>
        <v>1.71506849315069</v>
      </c>
      <c r="FG606" s="0" t="str">
        <f aca="false">CONCATENATE(F606,"/",G606)</f>
        <v>1511/2011</v>
      </c>
      <c r="FH606" s="0" t="n">
        <v>1</v>
      </c>
      <c r="FI606" s="0" t="n">
        <f aca="false">IFERROR(IF((FC606-J606+1)/365&gt;3,0,1),"")</f>
        <v>1</v>
      </c>
    </row>
    <row r="607" customFormat="false" ht="15" hidden="false" customHeight="false" outlineLevel="0" collapsed="false">
      <c r="A607" s="5" t="str">
        <f aca="false">E607&amp;G607&amp;F607</f>
        <v>720111512</v>
      </c>
      <c r="B607" s="0" t="s">
        <v>5405</v>
      </c>
      <c r="C607" s="1" t="n">
        <v>42363</v>
      </c>
      <c r="E607" s="0" t="n">
        <v>7</v>
      </c>
      <c r="F607" s="0" t="n">
        <v>1512</v>
      </c>
      <c r="G607" s="0" t="n">
        <v>2011</v>
      </c>
      <c r="H607" s="0" t="str">
        <f aca="false">"J"&amp;E607&amp;"\"&amp;F607&amp;"\"&amp;G607&amp;"\"&amp;W607</f>
        <v>J7\1512\2011\1</v>
      </c>
      <c r="I607" s="0"/>
      <c r="J607" s="1" t="n">
        <v>40788</v>
      </c>
      <c r="K607" s="0" t="n">
        <v>0</v>
      </c>
      <c r="M607" s="1" t="n">
        <v>40788</v>
      </c>
      <c r="N607" s="1" t="n">
        <v>41016</v>
      </c>
      <c r="O607" s="1"/>
      <c r="P607" s="1"/>
      <c r="Q607" s="1"/>
      <c r="T607" s="121"/>
      <c r="U607" s="121"/>
      <c r="V607" s="122" t="n">
        <f aca="false">IF(AND(E607&gt;0,F607&gt;0,G607&gt;0),COUNTIFS($E:$E,E607,$F:$F,F607,$G:$G,G607),"")</f>
        <v>1</v>
      </c>
      <c r="W607" s="122" t="n">
        <f aca="false">IF(V607="","",IF(V607=1,1,IF(AND(E606=E607,F606=F607,G606=G607),W606+1,1)))</f>
        <v>1</v>
      </c>
      <c r="X607" s="0" t="n">
        <v>1</v>
      </c>
      <c r="Y607" s="0" t="n">
        <v>3</v>
      </c>
      <c r="Z607" s="0" t="s">
        <v>5559</v>
      </c>
      <c r="AA607" s="0" t="n">
        <v>0</v>
      </c>
      <c r="AB607" s="0" t="s">
        <v>348</v>
      </c>
      <c r="AE607" s="0" t="n">
        <v>0</v>
      </c>
      <c r="AF607" s="0" t="s">
        <v>5560</v>
      </c>
      <c r="AG607" s="0" t="n">
        <v>0</v>
      </c>
      <c r="AH607" s="0" t="s">
        <v>5561</v>
      </c>
      <c r="AI607" s="0" t="s">
        <v>1126</v>
      </c>
      <c r="AJ607" s="0" t="s">
        <v>352</v>
      </c>
      <c r="AL607" s="0" t="s">
        <v>5562</v>
      </c>
      <c r="AM607" s="0" t="n">
        <v>1</v>
      </c>
      <c r="AN607" s="0" t="s">
        <v>5561</v>
      </c>
      <c r="AO607" s="0" t="s">
        <v>1126</v>
      </c>
      <c r="AP607" s="0" t="s">
        <v>352</v>
      </c>
      <c r="AR607" s="0" t="s">
        <v>213</v>
      </c>
      <c r="AS607" s="0" t="n">
        <v>1</v>
      </c>
      <c r="AT607" s="0" t="s">
        <v>5561</v>
      </c>
      <c r="AU607" s="0" t="s">
        <v>1126</v>
      </c>
      <c r="AV607" s="0" t="s">
        <v>352</v>
      </c>
      <c r="BR607" s="0" t="n">
        <v>3</v>
      </c>
      <c r="BS607" s="0" t="s">
        <v>425</v>
      </c>
      <c r="BT607" s="0" t="s">
        <v>356</v>
      </c>
      <c r="BV607" s="123"/>
      <c r="BW607" s="123"/>
      <c r="BX607" s="123"/>
      <c r="BY607" s="123"/>
      <c r="CA607" s="0" t="s">
        <v>348</v>
      </c>
      <c r="CD607" s="0" t="s">
        <v>370</v>
      </c>
      <c r="CE607" s="0" t="n">
        <v>0</v>
      </c>
      <c r="CF607" s="0" t="s">
        <v>1651</v>
      </c>
      <c r="CG607" s="0" t="s">
        <v>218</v>
      </c>
      <c r="CI607" s="1" t="n">
        <v>40162</v>
      </c>
      <c r="CJ607" s="1" t="n">
        <v>40751</v>
      </c>
      <c r="CK607" s="124" t="n">
        <v>0.583333333333333</v>
      </c>
      <c r="CL607" s="0" t="s">
        <v>5562</v>
      </c>
      <c r="CM607" s="0" t="n">
        <f aca="false">IF(OR(CI607="",CJ607=""),"",DAYS360(CI607,CJ607)/360)</f>
        <v>1.61666666666667</v>
      </c>
      <c r="CN607" s="0" t="n">
        <f aca="false">IF(OR(CI607="",CJ607=""),"",DAYS360(CI607,CJ607)/30)</f>
        <v>19.4</v>
      </c>
      <c r="CO607" s="0" t="n">
        <f aca="false">IF(OR(CI607="",CJ607=""),"",DAYS360(CI607,CJ607)/7)</f>
        <v>83.1428571428571</v>
      </c>
      <c r="CP607" s="0" t="n">
        <f aca="false">IF(OR(CI607="",CJ607=""),"",DAYS360(CI607,CJ607))</f>
        <v>582</v>
      </c>
      <c r="CQ607" s="0" t="s">
        <v>240</v>
      </c>
      <c r="CR607" s="0" t="n">
        <v>1</v>
      </c>
      <c r="CT607" s="0" t="n">
        <v>200</v>
      </c>
      <c r="CU607" s="0" t="n">
        <v>0</v>
      </c>
      <c r="CV607" s="0" t="n">
        <f aca="false">IF(OR(CT607="",CT607="NO ESPECIFICA",CT607="NO MENCIONA"),"",IF(CU607=0,CT607,IF(CU607=1,CT607/30,IF(CU607=2,CT607/15,IF(CU607=3,CT607/7,"")))))</f>
        <v>200</v>
      </c>
      <c r="CW607" s="125" t="n">
        <v>209.31</v>
      </c>
      <c r="CX607" s="0" t="n">
        <v>0</v>
      </c>
      <c r="CY607" s="0" t="n">
        <f aca="false">IF(CW607="","",IF(CX607=0,CW607,IF(CX607=1,CW607/30,IF(CX607=2,CW607/15,IF(CX607=3,CW607/7,CW607)))))</f>
        <v>209.31</v>
      </c>
      <c r="CZ607" s="0" t="n">
        <f aca="false">IF(DI607&gt;0,DI607,IF(CY607&gt;0,CY607,IF(CV607&gt;0,CV607,"")))</f>
        <v>309.31</v>
      </c>
      <c r="DA607" s="0" t="n">
        <f aca="false">IF(DM607=1,CZ607/8,IF(OR(DM607=2,DM607=4),CZ607/7,IF(DM607=3,CZ607/7.5,"")))</f>
        <v>38.66375</v>
      </c>
      <c r="DB607" s="0" t="s">
        <v>303</v>
      </c>
      <c r="DC607" s="0" t="s">
        <v>301</v>
      </c>
      <c r="DD607" s="0" t="s">
        <v>216</v>
      </c>
      <c r="DE607" s="0" t="s">
        <v>216</v>
      </c>
      <c r="DF607" s="0" t="s">
        <v>216</v>
      </c>
      <c r="DG607" s="0" t="s">
        <v>216</v>
      </c>
      <c r="DH607" s="0" t="n">
        <v>0</v>
      </c>
      <c r="DI607" s="126" t="n">
        <v>309.31</v>
      </c>
      <c r="DK607" s="0" t="n">
        <v>0</v>
      </c>
      <c r="DM607" s="0" t="n">
        <v>1</v>
      </c>
      <c r="DN607" s="0" t="n">
        <v>48</v>
      </c>
      <c r="DO607" s="0" t="n">
        <v>3</v>
      </c>
      <c r="DP607" s="0" t="n">
        <v>0</v>
      </c>
      <c r="DQ607" s="0" t="n">
        <v>1</v>
      </c>
      <c r="DR607" s="0"/>
      <c r="DS607" s="0" t="n">
        <v>1</v>
      </c>
      <c r="DU607" s="0" t="n">
        <v>1</v>
      </c>
      <c r="DW607" s="1" t="n">
        <v>40527</v>
      </c>
      <c r="DX607" s="1" t="n">
        <v>40751</v>
      </c>
      <c r="DZ607" s="0"/>
      <c r="EA607" s="0" t="n">
        <v>1</v>
      </c>
      <c r="EC607" s="1" t="n">
        <v>40544</v>
      </c>
      <c r="ED607" s="1" t="n">
        <v>40751</v>
      </c>
      <c r="EF607" s="0"/>
      <c r="EG607" s="0" t="n">
        <v>0</v>
      </c>
      <c r="EI607" s="0" t="str">
        <f aca="false">IF(AND(DM607=1,DN607&lt;=48),"",IF(AND(DM607=2,DN607&lt;=42),"",IF(AND(DM607=3,DN607&lt;=45),"",EH607)))</f>
        <v/>
      </c>
      <c r="EJ607" s="0" t="str">
        <f aca="false">IF(EI607="","",IF(EI607&lt;9,EI607,9))</f>
        <v/>
      </c>
      <c r="EK607" s="0" t="str">
        <f aca="false">IF(EI607="","",IF(EI607&gt;9,EI607-EJ607,0))</f>
        <v/>
      </c>
      <c r="EL607" s="0" t="str">
        <f aca="false">IF(EI607="","",EJ607*DA607*2+EK607*DA607*3)</f>
        <v/>
      </c>
      <c r="EP607" s="0" t="n">
        <v>0</v>
      </c>
      <c r="EQ607" s="0"/>
      <c r="ER607" s="0" t="n">
        <v>1</v>
      </c>
      <c r="ET607" s="0" t="n">
        <v>0</v>
      </c>
      <c r="EV607" s="0" t="n">
        <v>0</v>
      </c>
      <c r="EX607" s="0" t="n">
        <v>1</v>
      </c>
      <c r="EY607" s="0" t="n">
        <v>0</v>
      </c>
      <c r="EZ607" s="0"/>
      <c r="FA607" s="4" t="n">
        <v>0</v>
      </c>
      <c r="FB607" s="0" t="n">
        <v>1</v>
      </c>
      <c r="FC607" s="1" t="n">
        <v>42199</v>
      </c>
      <c r="FD607" s="0" t="n">
        <v>2</v>
      </c>
      <c r="FE607" s="0" t="n">
        <v>0</v>
      </c>
      <c r="FF607" s="120" t="n">
        <f aca="false">(CJ607-CI607+1)/365</f>
        <v>1.61643835616438</v>
      </c>
      <c r="FG607" s="0" t="str">
        <f aca="false">CONCATENATE(F607,"/",G607)</f>
        <v>1512/2011</v>
      </c>
      <c r="FH607" s="0" t="n">
        <v>1</v>
      </c>
      <c r="FI607" s="0" t="n">
        <f aca="false">IFERROR(IF((FC607-J607+1)/365&gt;3,0,1),"")</f>
        <v>0</v>
      </c>
    </row>
    <row r="608" customFormat="false" ht="15" hidden="false" customHeight="false" outlineLevel="0" collapsed="false">
      <c r="A608" s="5" t="str">
        <f aca="false">E608&amp;G608&amp;F608</f>
        <v>720111515</v>
      </c>
      <c r="B608" s="0" t="s">
        <v>5405</v>
      </c>
      <c r="C608" s="1" t="n">
        <v>42364</v>
      </c>
      <c r="D608" s="0" t="s">
        <v>3265</v>
      </c>
      <c r="E608" s="0" t="n">
        <v>7</v>
      </c>
      <c r="F608" s="0" t="n">
        <v>1515</v>
      </c>
      <c r="G608" s="0" t="n">
        <v>2011</v>
      </c>
      <c r="H608" s="0" t="str">
        <f aca="false">"J"&amp;E608&amp;"\"&amp;F608&amp;"\"&amp;G608&amp;"\"&amp;W608</f>
        <v>J7\1515\2011\1</v>
      </c>
      <c r="I608" s="0"/>
      <c r="J608" s="1" t="n">
        <v>40788</v>
      </c>
      <c r="K608" s="0" t="n">
        <v>0</v>
      </c>
      <c r="M608" s="1"/>
      <c r="N608" s="1"/>
      <c r="O608" s="1"/>
      <c r="P608" s="1"/>
      <c r="Q608" s="1"/>
      <c r="T608" s="121"/>
      <c r="U608" s="121"/>
      <c r="V608" s="122" t="n">
        <f aca="false">IF(AND(E608&gt;0,F608&gt;0,G608&gt;0),COUNTIFS($E:$E,E608,$F:$F,F608,$G:$G,G608),"")</f>
        <v>1</v>
      </c>
      <c r="W608" s="122" t="n">
        <f aca="false">IF(V608="","",IF(V608=1,1,IF(AND(E607=E608,F607=F608,G607=G608),W607+1,1)))</f>
        <v>1</v>
      </c>
      <c r="X608" s="0" t="n">
        <v>1</v>
      </c>
      <c r="Y608" s="0" t="n">
        <v>4</v>
      </c>
      <c r="Z608" s="0" t="s">
        <v>5563</v>
      </c>
      <c r="AA608" s="0" t="n">
        <v>0</v>
      </c>
      <c r="AB608" s="0" t="s">
        <v>5564</v>
      </c>
      <c r="AC608" s="0" t="s">
        <v>865</v>
      </c>
      <c r="AE608" s="0" t="n">
        <v>0</v>
      </c>
      <c r="AF608" s="0" t="s">
        <v>5565</v>
      </c>
      <c r="AG608" s="0" t="n">
        <v>0</v>
      </c>
      <c r="AH608" s="0" t="s">
        <v>5566</v>
      </c>
      <c r="AI608" s="0" t="s">
        <v>5567</v>
      </c>
      <c r="AJ608" s="0" t="s">
        <v>519</v>
      </c>
      <c r="AL608" s="0" t="s">
        <v>5568</v>
      </c>
      <c r="AM608" s="0" t="n">
        <v>1</v>
      </c>
      <c r="AN608" s="0" t="s">
        <v>5566</v>
      </c>
      <c r="AO608" s="0" t="s">
        <v>5567</v>
      </c>
      <c r="AP608" s="0" t="s">
        <v>519</v>
      </c>
      <c r="AR608" s="0" t="s">
        <v>5569</v>
      </c>
      <c r="AS608" s="0" t="n">
        <v>1</v>
      </c>
      <c r="AT608" s="0" t="s">
        <v>5566</v>
      </c>
      <c r="AU608" s="0" t="s">
        <v>5567</v>
      </c>
      <c r="AV608" s="0" t="s">
        <v>519</v>
      </c>
      <c r="AX608" s="0" t="s">
        <v>213</v>
      </c>
      <c r="AY608" s="0" t="n">
        <v>1</v>
      </c>
      <c r="AZ608" s="0" t="s">
        <v>5566</v>
      </c>
      <c r="BA608" s="0" t="s">
        <v>5567</v>
      </c>
      <c r="BB608" s="0" t="s">
        <v>519</v>
      </c>
      <c r="BR608" s="0" t="n">
        <v>1</v>
      </c>
      <c r="BS608" s="0" t="s">
        <v>5570</v>
      </c>
      <c r="BV608" s="123"/>
      <c r="BW608" s="123"/>
      <c r="BX608" s="123"/>
      <c r="BY608" s="123"/>
      <c r="CD608" s="0" t="s">
        <v>1001</v>
      </c>
      <c r="CE608" s="0" t="n">
        <v>0</v>
      </c>
      <c r="CF608" s="0" t="s">
        <v>5571</v>
      </c>
      <c r="CG608" s="0" t="s">
        <v>218</v>
      </c>
      <c r="CI608" s="1" t="n">
        <v>40165</v>
      </c>
      <c r="CJ608" s="1" t="n">
        <v>40743</v>
      </c>
      <c r="CK608" s="124" t="n">
        <v>0.625</v>
      </c>
      <c r="CL608" s="0" t="s">
        <v>5572</v>
      </c>
      <c r="CM608" s="0" t="n">
        <f aca="false">IF(OR(CI608="",CJ608=""),"",DAYS360(CI608,CJ608)/360)</f>
        <v>1.58611111111111</v>
      </c>
      <c r="CN608" s="0" t="n">
        <f aca="false">IF(OR(CI608="",CJ608=""),"",DAYS360(CI608,CJ608)/30)</f>
        <v>19.0333333333333</v>
      </c>
      <c r="CO608" s="0" t="n">
        <f aca="false">IF(OR(CI608="",CJ608=""),"",DAYS360(CI608,CJ608)/7)</f>
        <v>81.5714285714286</v>
      </c>
      <c r="CP608" s="0" t="n">
        <f aca="false">IF(OR(CI608="",CJ608=""),"",DAYS360(CI608,CJ608))</f>
        <v>571</v>
      </c>
      <c r="CQ608" s="0" t="s">
        <v>240</v>
      </c>
      <c r="CR608" s="0" t="n">
        <v>1</v>
      </c>
      <c r="CT608" s="0" t="n">
        <v>700</v>
      </c>
      <c r="CU608" s="0" t="n">
        <v>3</v>
      </c>
      <c r="CV608" s="0" t="n">
        <f aca="false">IF(OR(CT608="",CT608="NO ESPECIFICA",CT608="NO MENCIONA"),"",IF(CU608=0,CT608,IF(CU608=1,CT608/30,IF(CU608=2,CT608/15,IF(CU608=3,CT608/7,"")))))</f>
        <v>100</v>
      </c>
      <c r="CW608" s="125" t="n">
        <v>400</v>
      </c>
      <c r="CX608" s="0" t="n">
        <v>0</v>
      </c>
      <c r="CY608" s="0" t="n">
        <f aca="false">IF(CW608="","",IF(CX608=0,CW608,IF(CX608=1,CW608/30,IF(CX608=2,CW608/15,IF(CX608=3,CW608/7,CW608)))))</f>
        <v>400</v>
      </c>
      <c r="CZ608" s="0" t="n">
        <f aca="false">IF(DI608&gt;0,DI608,IF(CY608&gt;0,CY608,IF(CV608&gt;0,CV608,"")))</f>
        <v>400</v>
      </c>
      <c r="DA608" s="0" t="n">
        <f aca="false">IF(DM608=1,CZ608/8,IF(OR(DM608=2,DM608=4),CZ608/7,IF(DM608=3,CZ608/7.5,"")))</f>
        <v>50</v>
      </c>
      <c r="DB608" s="0" t="s">
        <v>1446</v>
      </c>
      <c r="DC608" s="0" t="s">
        <v>216</v>
      </c>
      <c r="DD608" s="0" t="s">
        <v>216</v>
      </c>
      <c r="DE608" s="0" t="s">
        <v>216</v>
      </c>
      <c r="DF608" s="0" t="s">
        <v>216</v>
      </c>
      <c r="DG608" s="0" t="s">
        <v>216</v>
      </c>
      <c r="DH608" s="0" t="n">
        <v>0</v>
      </c>
      <c r="DI608" s="126" t="n">
        <v>400</v>
      </c>
      <c r="DK608" s="0" t="n">
        <v>0</v>
      </c>
      <c r="DM608" s="0" t="n">
        <v>1</v>
      </c>
      <c r="DN608" s="0" t="n">
        <v>60</v>
      </c>
      <c r="DO608" s="0" t="n">
        <v>3</v>
      </c>
      <c r="DP608" s="0" t="n">
        <v>0</v>
      </c>
      <c r="DQ608" s="0" t="n">
        <v>1</v>
      </c>
      <c r="DR608" s="0"/>
      <c r="DS608" s="0" t="n">
        <v>1</v>
      </c>
      <c r="DU608" s="0" t="n">
        <v>1</v>
      </c>
      <c r="DW608" s="1" t="s">
        <v>221</v>
      </c>
      <c r="DX608" s="1" t="s">
        <v>221</v>
      </c>
      <c r="DY608" s="0" t="s">
        <v>221</v>
      </c>
      <c r="DZ608" s="0" t="s">
        <v>221</v>
      </c>
      <c r="EA608" s="0" t="n">
        <v>1</v>
      </c>
      <c r="EC608" s="1" t="s">
        <v>221</v>
      </c>
      <c r="ED608" s="1" t="s">
        <v>221</v>
      </c>
      <c r="EE608" s="0" t="s">
        <v>221</v>
      </c>
      <c r="EF608" s="0"/>
      <c r="EG608" s="0" t="n">
        <v>1</v>
      </c>
      <c r="EH608" s="0" t="n">
        <v>18</v>
      </c>
      <c r="EI608" s="0" t="n">
        <f aca="false">IF(AND(DM608=1,DN608&lt;=48),"",IF(AND(DM608=2,DN608&lt;=42),"",IF(AND(DM608=3,DN608&lt;=45),"",EH608)))</f>
        <v>18</v>
      </c>
      <c r="EJ608" s="0" t="n">
        <f aca="false">IF(EI608="","",IF(EI608&lt;9,EI608,9))</f>
        <v>9</v>
      </c>
      <c r="EK608" s="0" t="n">
        <f aca="false">IF(EI608="","",IF(EI608&gt;9,EI608-EJ608,0))</f>
        <v>9</v>
      </c>
      <c r="EL608" s="0" t="n">
        <f aca="false">IF(EI608="","",EJ608*DA608*2+EK608*DA608*3)</f>
        <v>2250</v>
      </c>
      <c r="EP608" s="0" t="n">
        <v>0</v>
      </c>
      <c r="EQ608" s="0"/>
      <c r="ER608" s="0" t="n">
        <v>0</v>
      </c>
      <c r="ET608" s="0" t="n">
        <v>0</v>
      </c>
      <c r="EV608" s="0" t="n">
        <v>0</v>
      </c>
      <c r="EX608" s="0" t="n">
        <v>1</v>
      </c>
      <c r="EY608" s="0" t="n">
        <v>1</v>
      </c>
      <c r="EZ608" s="0"/>
      <c r="FA608" s="4" t="n">
        <v>0</v>
      </c>
      <c r="FB608" s="0" t="n">
        <v>0</v>
      </c>
      <c r="FC608" s="1" t="n">
        <v>41393</v>
      </c>
      <c r="FD608" s="0" t="n">
        <v>1</v>
      </c>
      <c r="FE608" s="0" t="n">
        <v>12000</v>
      </c>
      <c r="FF608" s="120" t="n">
        <f aca="false">(CJ608-CI608+1)/365</f>
        <v>1.58630136986301</v>
      </c>
      <c r="FG608" s="0" t="str">
        <f aca="false">CONCATENATE(F608,"/",G608)</f>
        <v>1515/2011</v>
      </c>
      <c r="FH608" s="0" t="n">
        <v>1</v>
      </c>
      <c r="FI608" s="0" t="n">
        <f aca="false">IFERROR(IF((FC608-J608+1)/365&gt;3,0,1),"")</f>
        <v>1</v>
      </c>
    </row>
    <row r="609" customFormat="false" ht="15" hidden="false" customHeight="false" outlineLevel="0" collapsed="false">
      <c r="A609" s="5" t="str">
        <f aca="false">E609&amp;G609&amp;F609</f>
        <v>72011171</v>
      </c>
      <c r="B609" s="0" t="s">
        <v>5573</v>
      </c>
      <c r="C609" s="1" t="n">
        <v>42362</v>
      </c>
      <c r="E609" s="0" t="n">
        <v>7</v>
      </c>
      <c r="F609" s="0" t="n">
        <v>171</v>
      </c>
      <c r="G609" s="0" t="n">
        <v>2011</v>
      </c>
      <c r="H609" s="0" t="str">
        <f aca="false">"J"&amp;E609&amp;"\"&amp;F609&amp;"\"&amp;G609&amp;"\"&amp;W609</f>
        <v>J7\171\2011\1</v>
      </c>
      <c r="I609" s="0"/>
      <c r="J609" s="1" t="n">
        <v>40569</v>
      </c>
      <c r="K609" s="0" t="n">
        <v>1</v>
      </c>
      <c r="L609" s="0" t="s">
        <v>5574</v>
      </c>
      <c r="M609" s="1" t="n">
        <v>40569</v>
      </c>
      <c r="N609" s="1" t="n">
        <v>40640</v>
      </c>
      <c r="O609" s="1"/>
      <c r="P609" s="1"/>
      <c r="Q609" s="1"/>
      <c r="T609" s="121"/>
      <c r="U609" s="121"/>
      <c r="V609" s="122" t="n">
        <f aca="false">IF(AND(E609&gt;0,F609&gt;0,G609&gt;0),COUNTIFS($E:$E,E609,$F:$F,F609,$G:$G,G609),"")</f>
        <v>1</v>
      </c>
      <c r="W609" s="122" t="n">
        <f aca="false">IF(V609="","",IF(V609=1,1,IF(AND(E608=E609,F608=F609,G608=G609),W608+1,1)))</f>
        <v>1</v>
      </c>
      <c r="X609" s="0" t="n">
        <v>1</v>
      </c>
      <c r="Y609" s="0" t="n">
        <v>3</v>
      </c>
      <c r="Z609" s="0" t="s">
        <v>5575</v>
      </c>
      <c r="AA609" s="0" t="n">
        <v>0</v>
      </c>
      <c r="AB609" s="0" t="s">
        <v>5576</v>
      </c>
      <c r="AC609" s="0" t="s">
        <v>5577</v>
      </c>
      <c r="AD609" s="0" t="s">
        <v>1407</v>
      </c>
      <c r="AE609" s="0" t="n">
        <v>0</v>
      </c>
      <c r="AF609" s="0" t="s">
        <v>5578</v>
      </c>
      <c r="AG609" s="0" t="n">
        <v>0</v>
      </c>
      <c r="AH609" s="0" t="s">
        <v>5579</v>
      </c>
      <c r="AI609" s="0" t="s">
        <v>5580</v>
      </c>
      <c r="AJ609" s="0" t="s">
        <v>221</v>
      </c>
      <c r="AL609" s="0" t="s">
        <v>5581</v>
      </c>
      <c r="AM609" s="0" t="n">
        <v>1</v>
      </c>
      <c r="AN609" s="0" t="s">
        <v>5579</v>
      </c>
      <c r="AO609" s="0" t="s">
        <v>5580</v>
      </c>
      <c r="AP609" s="0" t="s">
        <v>221</v>
      </c>
      <c r="AR609" s="0" t="s">
        <v>5582</v>
      </c>
      <c r="AS609" s="0" t="n">
        <v>1</v>
      </c>
      <c r="AT609" s="0" t="s">
        <v>5579</v>
      </c>
      <c r="AU609" s="0" t="s">
        <v>5580</v>
      </c>
      <c r="AV609" s="0" t="s">
        <v>221</v>
      </c>
      <c r="BR609" s="0" t="n">
        <v>1</v>
      </c>
      <c r="BS609" s="0" t="s">
        <v>5583</v>
      </c>
      <c r="BT609" s="0" t="s">
        <v>5584</v>
      </c>
      <c r="BU609" s="0" t="s">
        <v>5585</v>
      </c>
      <c r="BV609" s="123"/>
      <c r="BW609" s="123"/>
      <c r="BX609" s="123"/>
      <c r="BY609" s="123"/>
      <c r="CA609" s="0" t="s">
        <v>216</v>
      </c>
      <c r="CD609" s="0" t="s">
        <v>370</v>
      </c>
      <c r="CE609" s="0" t="n">
        <v>1</v>
      </c>
      <c r="CF609" s="0" t="s">
        <v>5264</v>
      </c>
      <c r="CI609" s="1" t="n">
        <v>40053</v>
      </c>
      <c r="CJ609" s="1" t="n">
        <v>40101</v>
      </c>
      <c r="CK609" s="124" t="s">
        <v>216</v>
      </c>
      <c r="CL609" s="0" t="s">
        <v>5581</v>
      </c>
      <c r="CM609" s="0" t="n">
        <f aca="false">IF(OR(CI609="",CJ609=""),"",DAYS360(CI609,CJ609)/360)</f>
        <v>0.130555555555556</v>
      </c>
      <c r="CN609" s="0" t="n">
        <f aca="false">IF(OR(CI609="",CJ609=""),"",DAYS360(CI609,CJ609)/30)</f>
        <v>1.56666666666667</v>
      </c>
      <c r="CO609" s="0" t="n">
        <f aca="false">IF(OR(CI609="",CJ609=""),"",DAYS360(CI609,CJ609)/7)</f>
        <v>6.71428571428571</v>
      </c>
      <c r="CP609" s="0" t="n">
        <f aca="false">IF(OR(CI609="",CJ609=""),"",DAYS360(CI609,CJ609))</f>
        <v>47</v>
      </c>
      <c r="CQ609" s="0" t="s">
        <v>240</v>
      </c>
      <c r="CR609" s="0" t="n">
        <v>1</v>
      </c>
      <c r="CT609" s="0" t="n">
        <v>7786</v>
      </c>
      <c r="CU609" s="0" t="n">
        <v>1</v>
      </c>
      <c r="CV609" s="0" t="n">
        <f aca="false">IF(OR(CT609="",CT609="NO ESPECIFICA",CT609="NO MENCIONA"),"",IF(CU609=0,CT609,IF(CU609=1,CT609/30,IF(CU609=2,CT609/15,IF(CU609=3,CT609/7,"")))))</f>
        <v>259.533333333333</v>
      </c>
      <c r="CW609" s="125" t="n">
        <v>18666.2</v>
      </c>
      <c r="CX609" s="0" t="n">
        <v>1</v>
      </c>
      <c r="CY609" s="0" t="n">
        <f aca="false">IF(CW609="","",IF(CX609=0,CW609,IF(CX609=1,CW609/30,IF(CX609=2,CW609/15,IF(CX609=3,CW609/7,CW609)))))</f>
        <v>622.206666666667</v>
      </c>
      <c r="CZ609" s="0" t="n">
        <f aca="false">IF(DI609&gt;0,DI609,IF(CY609&gt;0,CY609,IF(CV609&gt;0,CV609,"")))</f>
        <v>622.21</v>
      </c>
      <c r="DA609" s="0" t="n">
        <f aca="false">IF(DM609=1,CZ609/8,IF(OR(DM609=2,DM609=4),CZ609/7,IF(DM609=3,CZ609/7.5,"")))</f>
        <v>77.77625</v>
      </c>
      <c r="DB609" s="0" t="s">
        <v>1022</v>
      </c>
      <c r="DC609" s="0" t="s">
        <v>2371</v>
      </c>
      <c r="DD609" s="0" t="s">
        <v>299</v>
      </c>
      <c r="DE609" s="0" t="s">
        <v>417</v>
      </c>
      <c r="DF609" s="0" t="s">
        <v>374</v>
      </c>
      <c r="DG609" s="0" t="s">
        <v>5586</v>
      </c>
      <c r="DH609" s="0" t="n">
        <v>0</v>
      </c>
      <c r="DI609" s="126" t="n">
        <v>622.21</v>
      </c>
      <c r="DK609" s="0" t="n">
        <v>0</v>
      </c>
      <c r="DM609" s="0" t="n">
        <v>1</v>
      </c>
      <c r="DN609" s="0" t="n">
        <v>51.25</v>
      </c>
      <c r="DO609" s="0" t="n">
        <v>3</v>
      </c>
      <c r="DP609" s="0" t="n">
        <v>0</v>
      </c>
      <c r="DQ609" s="0" t="n">
        <v>1</v>
      </c>
      <c r="DR609" s="0"/>
      <c r="DS609" s="0" t="n">
        <v>1</v>
      </c>
      <c r="DU609" s="0" t="n">
        <v>1</v>
      </c>
      <c r="DW609" s="1" t="n">
        <v>40053</v>
      </c>
      <c r="DX609" s="1" t="n">
        <v>40101</v>
      </c>
      <c r="DZ609" s="0"/>
      <c r="EA609" s="0" t="n">
        <v>1</v>
      </c>
      <c r="EC609" s="1" t="n">
        <v>40053</v>
      </c>
      <c r="ED609" s="1" t="n">
        <v>40101</v>
      </c>
      <c r="EF609" s="0"/>
      <c r="EG609" s="0" t="n">
        <v>0</v>
      </c>
      <c r="EI609" s="0" t="n">
        <f aca="false">IF(AND(DM609=1,DN609&lt;=48),"",IF(AND(DM609=2,DN609&lt;=42),"",IF(AND(DM609=3,DN609&lt;=45),"",EH609)))</f>
        <v>0</v>
      </c>
      <c r="EJ609" s="0" t="str">
        <f aca="false">IF(EI609="","",IF(EI609&lt;9,EI609,9))</f>
        <v/>
      </c>
      <c r="EK609" s="0" t="str">
        <f aca="false">IF(EI609="","",IF(EI609&gt;9,EI609-EJ609,0))</f>
        <v/>
      </c>
      <c r="EL609" s="0" t="str">
        <f aca="false">IF(EI609="","",EJ609*DA609*2+EK609*DA609*3)</f>
        <v/>
      </c>
      <c r="EP609" s="0" t="n">
        <v>0</v>
      </c>
      <c r="EQ609" s="0"/>
      <c r="ER609" s="0" t="n">
        <v>0</v>
      </c>
      <c r="ET609" s="0" t="n">
        <v>0</v>
      </c>
      <c r="EV609" s="0" t="n">
        <v>0</v>
      </c>
      <c r="EX609" s="0" t="n">
        <v>0</v>
      </c>
      <c r="EY609" s="0" t="n">
        <v>1</v>
      </c>
      <c r="EZ609" s="0"/>
      <c r="FA609" s="4" t="n">
        <v>9333.15</v>
      </c>
      <c r="FB609" s="0" t="n">
        <v>1</v>
      </c>
      <c r="FC609" s="1" t="n">
        <v>40614</v>
      </c>
      <c r="FD609" s="0" t="n">
        <v>1</v>
      </c>
      <c r="FE609" s="0" t="n">
        <v>10000</v>
      </c>
      <c r="FF609" s="120" t="n">
        <f aca="false">(CJ609-CI609+1)/365</f>
        <v>0.134246575342466</v>
      </c>
      <c r="FG609" s="0" t="str">
        <f aca="false">CONCATENATE(F609,"/",G609)</f>
        <v>171/2011</v>
      </c>
      <c r="FH609" s="0" t="n">
        <v>1</v>
      </c>
      <c r="FI609" s="0" t="n">
        <f aca="false">IFERROR(IF((FC609-J609+1)/365&gt;3,0,1),"")</f>
        <v>1</v>
      </c>
    </row>
    <row r="610" customFormat="false" ht="15" hidden="false" customHeight="false" outlineLevel="0" collapsed="false">
      <c r="A610" s="5" t="str">
        <f aca="false">E610&amp;G610&amp;F610</f>
        <v>72011174</v>
      </c>
      <c r="B610" s="0" t="s">
        <v>5573</v>
      </c>
      <c r="C610" s="1" t="n">
        <v>42362</v>
      </c>
      <c r="E610" s="0" t="n">
        <v>7</v>
      </c>
      <c r="F610" s="0" t="n">
        <v>174</v>
      </c>
      <c r="G610" s="0" t="n">
        <v>2011</v>
      </c>
      <c r="H610" s="0" t="str">
        <f aca="false">"J"&amp;E610&amp;"\"&amp;F610&amp;"\"&amp;G610&amp;"\"&amp;W610</f>
        <v>J7\174\2011\1</v>
      </c>
      <c r="I610" s="0"/>
      <c r="J610" s="1" t="n">
        <v>40549</v>
      </c>
      <c r="K610" s="0" t="n">
        <v>0</v>
      </c>
      <c r="M610" s="1" t="n">
        <v>40549</v>
      </c>
      <c r="N610" s="1" t="n">
        <v>40604</v>
      </c>
      <c r="O610" s="1"/>
      <c r="P610" s="1"/>
      <c r="Q610" s="1"/>
      <c r="T610" s="121"/>
      <c r="U610" s="121"/>
      <c r="V610" s="122" t="n">
        <f aca="false">IF(AND(E610&gt;0,F610&gt;0,G610&gt;0),COUNTIFS($E:$E,E610,$F:$F,F610,$G:$G,G610),"")</f>
        <v>1</v>
      </c>
      <c r="W610" s="122" t="n">
        <f aca="false">IF(V610="","",IF(V610=1,1,IF(AND(E609=E610,F609=F610,G609=G610),W609+1,1)))</f>
        <v>1</v>
      </c>
      <c r="X610" s="0" t="n">
        <v>1</v>
      </c>
      <c r="Y610" s="0" t="n">
        <v>4</v>
      </c>
      <c r="Z610" s="0" t="s">
        <v>5587</v>
      </c>
      <c r="AA610" s="0" t="n">
        <v>0</v>
      </c>
      <c r="AB610" s="0" t="s">
        <v>4946</v>
      </c>
      <c r="AC610" s="0" t="s">
        <v>287</v>
      </c>
      <c r="AD610" s="0" t="s">
        <v>2218</v>
      </c>
      <c r="AE610" s="0" t="n">
        <v>0</v>
      </c>
      <c r="AF610" s="0" t="s">
        <v>5588</v>
      </c>
      <c r="AG610" s="0" t="n">
        <v>0</v>
      </c>
      <c r="AH610" s="0" t="s">
        <v>5589</v>
      </c>
      <c r="AI610" s="0" t="s">
        <v>697</v>
      </c>
      <c r="AJ610" s="0" t="s">
        <v>2218</v>
      </c>
      <c r="AL610" s="0" t="s">
        <v>5590</v>
      </c>
      <c r="AM610" s="0" t="n">
        <v>1</v>
      </c>
      <c r="AN610" s="0" t="s">
        <v>5589</v>
      </c>
      <c r="AO610" s="0" t="s">
        <v>697</v>
      </c>
      <c r="AP610" s="0" t="s">
        <v>2218</v>
      </c>
      <c r="AR610" s="0" t="s">
        <v>5591</v>
      </c>
      <c r="AS610" s="0" t="n">
        <v>1</v>
      </c>
      <c r="AT610" s="0" t="s">
        <v>5589</v>
      </c>
      <c r="AU610" s="0" t="s">
        <v>697</v>
      </c>
      <c r="AV610" s="0" t="s">
        <v>2218</v>
      </c>
      <c r="AX610" s="0" t="s">
        <v>5592</v>
      </c>
      <c r="AY610" s="0" t="n">
        <v>1</v>
      </c>
      <c r="AZ610" s="0" t="s">
        <v>5589</v>
      </c>
      <c r="BA610" s="0" t="s">
        <v>697</v>
      </c>
      <c r="BB610" s="0" t="s">
        <v>2218</v>
      </c>
      <c r="BR610" s="0" t="n">
        <v>1</v>
      </c>
      <c r="BS610" s="0" t="s">
        <v>5593</v>
      </c>
      <c r="BT610" s="0" t="s">
        <v>5594</v>
      </c>
      <c r="BU610" s="0" t="s">
        <v>5595</v>
      </c>
      <c r="BV610" s="123"/>
      <c r="BW610" s="123"/>
      <c r="BX610" s="123"/>
      <c r="BY610" s="123"/>
      <c r="CA610" s="0" t="s">
        <v>216</v>
      </c>
      <c r="CD610" s="0" t="s">
        <v>370</v>
      </c>
      <c r="CE610" s="0" t="n">
        <v>0</v>
      </c>
      <c r="CF610" s="0" t="s">
        <v>5596</v>
      </c>
      <c r="CI610" s="1" t="n">
        <v>40441</v>
      </c>
      <c r="CJ610" s="1" t="n">
        <v>40549</v>
      </c>
      <c r="CK610" s="124" t="n">
        <v>0.375</v>
      </c>
      <c r="CL610" s="0" t="s">
        <v>5597</v>
      </c>
      <c r="CM610" s="0" t="n">
        <f aca="false">IF(OR(CI610="",CJ610=""),"",DAYS360(CI610,CJ610)/360)</f>
        <v>0.294444444444444</v>
      </c>
      <c r="CN610" s="0" t="n">
        <f aca="false">IF(OR(CI610="",CJ610=""),"",DAYS360(CI610,CJ610)/30)</f>
        <v>3.53333333333333</v>
      </c>
      <c r="CO610" s="0" t="n">
        <f aca="false">IF(OR(CI610="",CJ610=""),"",DAYS360(CI610,CJ610)/7)</f>
        <v>15.1428571428571</v>
      </c>
      <c r="CP610" s="0" t="n">
        <f aca="false">IF(OR(CI610="",CJ610=""),"",DAYS360(CI610,CJ610))</f>
        <v>106</v>
      </c>
      <c r="CQ610" s="0" t="s">
        <v>240</v>
      </c>
      <c r="CR610" s="0" t="n">
        <v>1</v>
      </c>
      <c r="CT610" s="0" t="s">
        <v>221</v>
      </c>
      <c r="CU610" s="0" t="s">
        <v>221</v>
      </c>
      <c r="CV610" s="0" t="str">
        <f aca="false">IF(OR(CT610="",CT610="NO ESPECIFICA",CT610="NO MENCIONA"),"",IF(CU610=0,CT610,IF(CU610=1,CT610/30,IF(CU610=2,CT610/15,IF(CU610=3,CT610/7,"")))))</f>
        <v/>
      </c>
      <c r="CW610" s="125" t="n">
        <v>200</v>
      </c>
      <c r="CX610" s="0" t="n">
        <v>0</v>
      </c>
      <c r="CY610" s="0" t="n">
        <f aca="false">IF(CW610="","",IF(CX610=0,CW610,IF(CX610=1,CW610/30,IF(CX610=2,CW610/15,IF(CX610=3,CW610/7,CW610)))))</f>
        <v>200</v>
      </c>
      <c r="CZ610" s="0" t="n">
        <f aca="false">IF(DI610&gt;0,DI610,IF(CY610&gt;0,CY610,IF(CV610&gt;0,CV610,"")))</f>
        <v>200</v>
      </c>
      <c r="DA610" s="0" t="n">
        <f aca="false">IF(DM610=1,CZ610/8,IF(OR(DM610=2,DM610=4),CZ610/7,IF(DM610=3,CZ610/7.5,"")))</f>
        <v>25</v>
      </c>
      <c r="DB610" s="0" t="s">
        <v>216</v>
      </c>
      <c r="DC610" s="0" t="s">
        <v>216</v>
      </c>
      <c r="DD610" s="0" t="s">
        <v>216</v>
      </c>
      <c r="DE610" s="0" t="s">
        <v>216</v>
      </c>
      <c r="DF610" s="0" t="s">
        <v>216</v>
      </c>
      <c r="DG610" s="0" t="s">
        <v>216</v>
      </c>
      <c r="DH610" s="0" t="n">
        <v>0</v>
      </c>
      <c r="DI610" s="126" t="n">
        <v>200</v>
      </c>
      <c r="DK610" s="0" t="n">
        <v>0</v>
      </c>
      <c r="DM610" s="0" t="n">
        <v>1</v>
      </c>
      <c r="DN610" s="0" t="n">
        <v>66</v>
      </c>
      <c r="DO610" s="0" t="n">
        <v>3</v>
      </c>
      <c r="DP610" s="0" t="n">
        <v>0</v>
      </c>
      <c r="DQ610" s="0" t="n">
        <v>1</v>
      </c>
      <c r="DR610" s="0"/>
      <c r="DS610" s="0" t="n">
        <v>1</v>
      </c>
      <c r="DU610" s="0" t="n">
        <v>1</v>
      </c>
      <c r="DW610" s="1" t="n">
        <v>40441</v>
      </c>
      <c r="DX610" s="1" t="n">
        <v>40549</v>
      </c>
      <c r="DZ610" s="0"/>
      <c r="EA610" s="0" t="n">
        <v>1</v>
      </c>
      <c r="EC610" s="1" t="n">
        <v>40441</v>
      </c>
      <c r="ED610" s="1" t="n">
        <v>40549</v>
      </c>
      <c r="EF610" s="0"/>
      <c r="EG610" s="0" t="n">
        <v>1</v>
      </c>
      <c r="EH610" s="0" t="n">
        <v>12</v>
      </c>
      <c r="EI610" s="0" t="n">
        <f aca="false">IF(AND(DM610=1,DN610&lt;=48),"",IF(AND(DM610=2,DN610&lt;=42),"",IF(AND(DM610=3,DN610&lt;=45),"",EH610)))</f>
        <v>12</v>
      </c>
      <c r="EJ610" s="0" t="n">
        <f aca="false">IF(EI610="","",IF(EI610&lt;9,EI610,9))</f>
        <v>9</v>
      </c>
      <c r="EK610" s="0" t="n">
        <f aca="false">IF(EI610="","",IF(EI610&gt;9,EI610-EJ610,0))</f>
        <v>3</v>
      </c>
      <c r="EL610" s="0" t="n">
        <f aca="false">IF(EI610="","",EJ610*DA610*2+EK610*DA610*3)</f>
        <v>675</v>
      </c>
      <c r="EP610" s="0" t="n">
        <v>0</v>
      </c>
      <c r="EQ610" s="0"/>
      <c r="ER610" s="0" t="n">
        <v>0</v>
      </c>
      <c r="ET610" s="0" t="n">
        <v>0</v>
      </c>
      <c r="EV610" s="0" t="n">
        <v>0</v>
      </c>
      <c r="EX610" s="0" t="n">
        <v>1</v>
      </c>
      <c r="EY610" s="0" t="n">
        <v>0</v>
      </c>
      <c r="EZ610" s="0"/>
      <c r="FA610" s="4" t="n">
        <v>5000</v>
      </c>
      <c r="FB610" s="0" t="n">
        <v>1</v>
      </c>
      <c r="FC610" s="1" t="n">
        <v>40793</v>
      </c>
      <c r="FD610" s="0" t="n">
        <v>2</v>
      </c>
      <c r="FE610" s="0" t="n">
        <v>0</v>
      </c>
      <c r="FF610" s="120" t="n">
        <f aca="false">(CJ610-CI610+1)/365</f>
        <v>0.298630136986301</v>
      </c>
      <c r="FG610" s="0" t="str">
        <f aca="false">CONCATENATE(F610,"/",G610)</f>
        <v>174/2011</v>
      </c>
      <c r="FH610" s="0" t="n">
        <v>1</v>
      </c>
      <c r="FI610" s="0" t="n">
        <f aca="false">IFERROR(IF((FC610-J610+1)/365&gt;3,0,1),"")</f>
        <v>1</v>
      </c>
    </row>
    <row r="611" customFormat="false" ht="15" hidden="false" customHeight="false" outlineLevel="0" collapsed="false">
      <c r="A611" s="5" t="str">
        <f aca="false">E611&amp;G611&amp;F611</f>
        <v>72011175</v>
      </c>
      <c r="B611" s="0" t="s">
        <v>5573</v>
      </c>
      <c r="C611" s="1" t="n">
        <v>42362</v>
      </c>
      <c r="E611" s="0" t="n">
        <v>7</v>
      </c>
      <c r="F611" s="0" t="n">
        <v>175</v>
      </c>
      <c r="G611" s="0" t="n">
        <v>2011</v>
      </c>
      <c r="H611" s="0" t="str">
        <f aca="false">"J"&amp;E611&amp;"\"&amp;F611&amp;"\"&amp;G611&amp;"\"&amp;W611</f>
        <v>J7\175\2011\1</v>
      </c>
      <c r="I611" s="0"/>
      <c r="J611" s="1" t="n">
        <v>40569</v>
      </c>
      <c r="K611" s="0" t="n">
        <v>0</v>
      </c>
      <c r="M611" s="1" t="n">
        <v>40569</v>
      </c>
      <c r="N611" s="1" t="n">
        <v>40639</v>
      </c>
      <c r="O611" s="1"/>
      <c r="P611" s="1"/>
      <c r="Q611" s="1"/>
      <c r="T611" s="121"/>
      <c r="U611" s="121"/>
      <c r="V611" s="122" t="n">
        <f aca="false">IF(AND(E611&gt;0,F611&gt;0,G611&gt;0),COUNTIFS($E:$E,E611,$F:$F,F611,$G:$G,G611),"")</f>
        <v>1</v>
      </c>
      <c r="W611" s="122" t="n">
        <f aca="false">IF(V611="","",IF(V611=1,1,IF(AND(E610=E611,F610=F611,G610=G611),W610+1,1)))</f>
        <v>1</v>
      </c>
      <c r="X611" s="0" t="n">
        <v>1</v>
      </c>
      <c r="Y611" s="0" t="n">
        <v>2</v>
      </c>
      <c r="Z611" s="0" t="s">
        <v>5598</v>
      </c>
      <c r="AA611" s="0" t="n">
        <v>0</v>
      </c>
      <c r="AB611" s="0" t="s">
        <v>5599</v>
      </c>
      <c r="AC611" s="0" t="s">
        <v>228</v>
      </c>
      <c r="AD611" s="0" t="s">
        <v>1160</v>
      </c>
      <c r="AE611" s="0" t="n">
        <v>0</v>
      </c>
      <c r="AF611" s="0" t="s">
        <v>5600</v>
      </c>
      <c r="AG611" s="0" t="n">
        <v>1</v>
      </c>
      <c r="AH611" s="0" t="s">
        <v>5601</v>
      </c>
      <c r="AI611" s="0" t="s">
        <v>4153</v>
      </c>
      <c r="AJ611" s="0" t="s">
        <v>1160</v>
      </c>
      <c r="AL611" s="0" t="s">
        <v>213</v>
      </c>
      <c r="AM611" s="0" t="n">
        <v>1</v>
      </c>
      <c r="AN611" s="0" t="s">
        <v>5601</v>
      </c>
      <c r="AO611" s="0" t="s">
        <v>4153</v>
      </c>
      <c r="AP611" s="0" t="s">
        <v>1160</v>
      </c>
      <c r="BR611" s="0" t="n">
        <v>3</v>
      </c>
      <c r="BS611" s="0" t="s">
        <v>651</v>
      </c>
      <c r="BT611" s="0" t="s">
        <v>500</v>
      </c>
      <c r="BU611" s="0" t="s">
        <v>501</v>
      </c>
      <c r="BV611" s="123"/>
      <c r="BW611" s="123"/>
      <c r="BX611" s="123"/>
      <c r="BY611" s="123"/>
      <c r="CA611" s="0" t="s">
        <v>348</v>
      </c>
      <c r="CD611" s="0" t="s">
        <v>370</v>
      </c>
      <c r="CE611" s="0" t="n">
        <v>0</v>
      </c>
      <c r="CF611" s="0" t="s">
        <v>5602</v>
      </c>
      <c r="CI611" s="1" t="n">
        <v>39147</v>
      </c>
      <c r="CJ611" s="1" t="n">
        <v>40510</v>
      </c>
      <c r="CK611" s="124" t="n">
        <v>0.541666666666667</v>
      </c>
      <c r="CL611" s="0" t="s">
        <v>5600</v>
      </c>
      <c r="CM611" s="0" t="n">
        <f aca="false">IF(OR(CI611="",CJ611=""),"",DAYS360(CI611,CJ611)/360)</f>
        <v>3.72777777777778</v>
      </c>
      <c r="CN611" s="0" t="n">
        <f aca="false">IF(OR(CI611="",CJ611=""),"",DAYS360(CI611,CJ611)/30)</f>
        <v>44.7333333333333</v>
      </c>
      <c r="CO611" s="0" t="n">
        <f aca="false">IF(OR(CI611="",CJ611=""),"",DAYS360(CI611,CJ611)/7)</f>
        <v>191.714285714286</v>
      </c>
      <c r="CP611" s="0" t="n">
        <f aca="false">IF(OR(CI611="",CJ611=""),"",DAYS360(CI611,CJ611))</f>
        <v>1342</v>
      </c>
      <c r="CQ611" s="0" t="s">
        <v>240</v>
      </c>
      <c r="CR611" s="0" t="n">
        <v>1</v>
      </c>
      <c r="CT611" s="0" t="n">
        <v>157.14</v>
      </c>
      <c r="CU611" s="0" t="n">
        <v>0</v>
      </c>
      <c r="CV611" s="0" t="n">
        <f aca="false">IF(OR(CT611="",CT611="NO ESPECIFICA",CT611="NO MENCIONA"),"",IF(CU611=0,CT611,IF(CU611=1,CT611/30,IF(CU611=2,CT611/15,IF(CU611=3,CT611/7,"")))))</f>
        <v>157.14</v>
      </c>
      <c r="CW611" s="125" t="n">
        <v>167.03</v>
      </c>
      <c r="CX611" s="0" t="n">
        <v>0</v>
      </c>
      <c r="CY611" s="0" t="n">
        <f aca="false">IF(CW611="","",IF(CX611=0,CW611,IF(CX611=1,CW611/30,IF(CX611=2,CW611/15,IF(CX611=3,CW611/7,CW611)))))</f>
        <v>167.03</v>
      </c>
      <c r="CZ611" s="0" t="n">
        <f aca="false">IF(DI611&gt;0,DI611,IF(CY611&gt;0,CY611,IF(CV611&gt;0,CV611,"")))</f>
        <v>167.03</v>
      </c>
      <c r="DA611" s="0" t="n">
        <f aca="false">IF(DM611=1,CZ611/8,IF(OR(DM611=2,DM611=4),CZ611/7,IF(DM611=3,CZ611/7.5,"")))</f>
        <v>20.87875</v>
      </c>
      <c r="DB611" s="0" t="s">
        <v>303</v>
      </c>
      <c r="DC611" s="0" t="s">
        <v>299</v>
      </c>
      <c r="DD611" s="0" t="s">
        <v>258</v>
      </c>
      <c r="DE611" s="0" t="s">
        <v>259</v>
      </c>
      <c r="DF611" s="0" t="s">
        <v>301</v>
      </c>
      <c r="DG611" s="0" t="s">
        <v>216</v>
      </c>
      <c r="DH611" s="0" t="n">
        <v>0</v>
      </c>
      <c r="DI611" s="126" t="n">
        <v>167.03</v>
      </c>
      <c r="DK611" s="0" t="n">
        <v>0</v>
      </c>
      <c r="DM611" s="0" t="n">
        <v>1</v>
      </c>
      <c r="DN611" s="0" t="n">
        <v>66</v>
      </c>
      <c r="DO611" s="0" t="n">
        <v>3</v>
      </c>
      <c r="DP611" s="0" t="n">
        <v>0</v>
      </c>
      <c r="DQ611" s="0" t="n">
        <v>1</v>
      </c>
      <c r="DR611" s="0"/>
      <c r="DS611" s="0" t="n">
        <v>1</v>
      </c>
      <c r="DU611" s="0" t="n">
        <v>1</v>
      </c>
      <c r="DW611" s="1" t="n">
        <v>39878</v>
      </c>
      <c r="DX611" s="1" t="n">
        <v>40510</v>
      </c>
      <c r="DZ611" s="0"/>
      <c r="EA611" s="0" t="n">
        <v>1</v>
      </c>
      <c r="EC611" s="1" t="n">
        <v>39814</v>
      </c>
      <c r="ED611" s="1" t="n">
        <v>40510</v>
      </c>
      <c r="EF611" s="0"/>
      <c r="EG611" s="0" t="n">
        <v>0</v>
      </c>
      <c r="EI611" s="0" t="n">
        <f aca="false">IF(AND(DM611=1,DN611&lt;=48),"",IF(AND(DM611=2,DN611&lt;=42),"",IF(AND(DM611=3,DN611&lt;=45),"",EH611)))</f>
        <v>0</v>
      </c>
      <c r="EJ611" s="0" t="str">
        <f aca="false">IF(EI611="","",IF(EI611&lt;9,EI611,9))</f>
        <v/>
      </c>
      <c r="EK611" s="0" t="str">
        <f aca="false">IF(EI611="","",IF(EI611&gt;9,EI611-EJ611,0))</f>
        <v/>
      </c>
      <c r="EL611" s="0" t="str">
        <f aca="false">IF(EI611="","",EJ611*DA611*2+EK611*DA611*3)</f>
        <v/>
      </c>
      <c r="EP611" s="0" t="n">
        <v>0</v>
      </c>
      <c r="EQ611" s="0"/>
      <c r="ER611" s="0" t="n">
        <v>0</v>
      </c>
      <c r="ET611" s="0" t="n">
        <v>0</v>
      </c>
      <c r="EV611" s="0" t="n">
        <v>0</v>
      </c>
      <c r="EX611" s="0" t="n">
        <v>0</v>
      </c>
      <c r="EY611" s="0" t="n">
        <v>0</v>
      </c>
      <c r="EZ611" s="0"/>
      <c r="FA611" s="4" t="n">
        <v>0</v>
      </c>
      <c r="FB611" s="0" t="n">
        <v>1</v>
      </c>
      <c r="FC611" s="1" t="n">
        <v>41947</v>
      </c>
      <c r="FD611" s="0" t="n">
        <v>4</v>
      </c>
      <c r="FE611" s="0" t="n">
        <v>0</v>
      </c>
      <c r="FF611" s="120" t="n">
        <f aca="false">(CJ611-CI611+1)/365</f>
        <v>3.73698630136986</v>
      </c>
      <c r="FG611" s="0" t="str">
        <f aca="false">CONCATENATE(F611,"/",G611)</f>
        <v>175/2011</v>
      </c>
      <c r="FH611" s="0" t="n">
        <v>1</v>
      </c>
      <c r="FI611" s="0" t="n">
        <f aca="false">IFERROR(IF((FC611-J611+1)/365&gt;3,0,1),"")</f>
        <v>0</v>
      </c>
    </row>
    <row r="612" customFormat="false" ht="15" hidden="false" customHeight="false" outlineLevel="0" collapsed="false">
      <c r="A612" s="5" t="str">
        <f aca="false">E612&amp;G612&amp;F612</f>
        <v>72011178</v>
      </c>
      <c r="B612" s="0" t="s">
        <v>5573</v>
      </c>
      <c r="C612" s="1" t="n">
        <v>42362</v>
      </c>
      <c r="E612" s="0" t="n">
        <v>7</v>
      </c>
      <c r="F612" s="0" t="n">
        <v>178</v>
      </c>
      <c r="G612" s="0" t="n">
        <v>2011</v>
      </c>
      <c r="H612" s="0" t="str">
        <f aca="false">"J"&amp;E612&amp;"\"&amp;F612&amp;"\"&amp;G612&amp;"\"&amp;W612</f>
        <v>J7\178\2011\1</v>
      </c>
      <c r="I612" s="0"/>
      <c r="J612" s="1" t="n">
        <v>40570</v>
      </c>
      <c r="K612" s="0" t="n">
        <v>0</v>
      </c>
      <c r="M612" s="1" t="n">
        <v>40570</v>
      </c>
      <c r="N612" s="1" t="n">
        <v>40640</v>
      </c>
      <c r="O612" s="1"/>
      <c r="P612" s="1"/>
      <c r="Q612" s="1"/>
      <c r="T612" s="121"/>
      <c r="U612" s="121"/>
      <c r="V612" s="122" t="n">
        <f aca="false">IF(AND(E612&gt;0,F612&gt;0,G612&gt;0),COUNTIFS($E:$E,E612,$F:$F,F612,$G:$G,G612),"")</f>
        <v>1</v>
      </c>
      <c r="W612" s="122" t="n">
        <f aca="false">IF(V612="","",IF(V612=1,1,IF(AND(E611=E612,F611=F612,G611=G612),W611+1,1)))</f>
        <v>1</v>
      </c>
      <c r="X612" s="0" t="n">
        <v>1</v>
      </c>
      <c r="Y612" s="0" t="n">
        <v>6</v>
      </c>
      <c r="Z612" s="0" t="s">
        <v>5603</v>
      </c>
      <c r="AA612" s="0" t="n">
        <v>0</v>
      </c>
      <c r="AB612" s="0" t="s">
        <v>5604</v>
      </c>
      <c r="AC612" s="0" t="s">
        <v>318</v>
      </c>
      <c r="AD612" s="0" t="s">
        <v>221</v>
      </c>
      <c r="AE612" s="0" t="n">
        <v>0</v>
      </c>
      <c r="AF612" s="0" t="s">
        <v>5605</v>
      </c>
      <c r="AG612" s="0" t="n">
        <v>1</v>
      </c>
      <c r="AH612" s="0" t="s">
        <v>5606</v>
      </c>
      <c r="AI612" s="0" t="s">
        <v>5607</v>
      </c>
      <c r="AJ612" s="0" t="s">
        <v>5608</v>
      </c>
      <c r="AL612" s="0" t="s">
        <v>5609</v>
      </c>
      <c r="AM612" s="0" t="n">
        <v>1</v>
      </c>
      <c r="AN612" s="0" t="s">
        <v>5606</v>
      </c>
      <c r="AO612" s="0" t="s">
        <v>5607</v>
      </c>
      <c r="AP612" s="0" t="s">
        <v>5608</v>
      </c>
      <c r="AR612" s="0" t="s">
        <v>5610</v>
      </c>
      <c r="AS612" s="0" t="n">
        <v>1</v>
      </c>
      <c r="AT612" s="0" t="s">
        <v>5606</v>
      </c>
      <c r="AU612" s="0" t="s">
        <v>5607</v>
      </c>
      <c r="AV612" s="0" t="s">
        <v>5608</v>
      </c>
      <c r="AX612" s="0" t="s">
        <v>213</v>
      </c>
      <c r="AY612" s="0" t="n">
        <v>1</v>
      </c>
      <c r="AZ612" s="0" t="s">
        <v>5606</v>
      </c>
      <c r="BA612" s="0" t="s">
        <v>5607</v>
      </c>
      <c r="BB612" s="0" t="s">
        <v>5608</v>
      </c>
      <c r="BD612" s="0" t="s">
        <v>5611</v>
      </c>
      <c r="BE612" s="0" t="n">
        <v>0</v>
      </c>
      <c r="BF612" s="0" t="s">
        <v>5606</v>
      </c>
      <c r="BG612" s="0" t="s">
        <v>5607</v>
      </c>
      <c r="BH612" s="0" t="s">
        <v>5608</v>
      </c>
      <c r="BJ612" s="0" t="s">
        <v>5612</v>
      </c>
      <c r="BK612" s="0" t="n">
        <v>0</v>
      </c>
      <c r="BL612" s="0" t="s">
        <v>5606</v>
      </c>
      <c r="BM612" s="0" t="s">
        <v>5607</v>
      </c>
      <c r="BN612" s="0" t="s">
        <v>5608</v>
      </c>
      <c r="BR612" s="0" t="n">
        <v>1</v>
      </c>
      <c r="BS612" s="0" t="s">
        <v>4516</v>
      </c>
      <c r="BT612" s="0" t="s">
        <v>5613</v>
      </c>
      <c r="BU612" s="0" t="s">
        <v>5614</v>
      </c>
      <c r="BV612" s="123"/>
      <c r="BW612" s="123"/>
      <c r="BX612" s="123"/>
      <c r="BY612" s="123"/>
      <c r="CA612" s="0" t="s">
        <v>216</v>
      </c>
      <c r="CD612" s="0" t="s">
        <v>370</v>
      </c>
      <c r="CE612" s="0" t="n">
        <v>0</v>
      </c>
      <c r="CF612" s="0" t="s">
        <v>3139</v>
      </c>
      <c r="CI612" s="1" t="n">
        <v>40072</v>
      </c>
      <c r="CJ612" s="1" t="n">
        <v>40514</v>
      </c>
      <c r="CK612" s="124" t="n">
        <v>0.25</v>
      </c>
      <c r="CL612" s="0" t="s">
        <v>5610</v>
      </c>
      <c r="CM612" s="0" t="n">
        <f aca="false">IF(OR(CI612="",CJ612=""),"",DAYS360(CI612,CJ612)/360)</f>
        <v>1.21111111111111</v>
      </c>
      <c r="CN612" s="0" t="n">
        <f aca="false">IF(OR(CI612="",CJ612=""),"",DAYS360(CI612,CJ612)/30)</f>
        <v>14.5333333333333</v>
      </c>
      <c r="CO612" s="0" t="n">
        <f aca="false">IF(OR(CI612="",CJ612=""),"",DAYS360(CI612,CJ612)/7)</f>
        <v>62.2857142857143</v>
      </c>
      <c r="CP612" s="0" t="n">
        <f aca="false">IF(OR(CI612="",CJ612=""),"",DAYS360(CI612,CJ612))</f>
        <v>436</v>
      </c>
      <c r="CQ612" s="0" t="s">
        <v>240</v>
      </c>
      <c r="CR612" s="0" t="n">
        <v>1</v>
      </c>
      <c r="CT612" s="0" t="n">
        <v>1700</v>
      </c>
      <c r="CU612" s="0" t="n">
        <v>2</v>
      </c>
      <c r="CV612" s="0" t="n">
        <f aca="false">IF(OR(CT612="",CT612="NO ESPECIFICA",CT612="NO MENCIONA"),"",IF(CU612=0,CT612,IF(CU612=1,CT612/30,IF(CU612=2,CT612/15,IF(CU612=3,CT612/7,"")))))</f>
        <v>113.333333333333</v>
      </c>
      <c r="CW612" s="125" t="s">
        <v>216</v>
      </c>
      <c r="CX612" s="0" t="s">
        <v>216</v>
      </c>
      <c r="CY612" s="0" t="str">
        <f aca="false">IF(CW612="","",IF(CX612=0,CW612,IF(CX612=1,CW612/30,IF(CX612=2,CW612/15,IF(CX612=3,CW612/7,CW612)))))</f>
        <v>NO MENCIONA</v>
      </c>
      <c r="CZ612" s="0" t="n">
        <f aca="false">IF(DI612&gt;0,DI612,IF(CY612&gt;0,CY612,IF(CV612&gt;0,CV612,"")))</f>
        <v>113.33</v>
      </c>
      <c r="DA612" s="0" t="n">
        <f aca="false">IF(DM612=1,CZ612/8,IF(OR(DM612=2,DM612=4),CZ612/7,IF(DM612=3,CZ612/7.5,"")))</f>
        <v>14.16625</v>
      </c>
      <c r="DB612" s="0" t="s">
        <v>216</v>
      </c>
      <c r="DC612" s="0" t="s">
        <v>216</v>
      </c>
      <c r="DD612" s="0" t="s">
        <v>216</v>
      </c>
      <c r="DE612" s="0" t="s">
        <v>216</v>
      </c>
      <c r="DF612" s="0" t="s">
        <v>216</v>
      </c>
      <c r="DG612" s="0" t="s">
        <v>216</v>
      </c>
      <c r="DH612" s="0" t="n">
        <v>0</v>
      </c>
      <c r="DI612" s="126" t="n">
        <v>113.33</v>
      </c>
      <c r="DK612" s="0" t="n">
        <v>1</v>
      </c>
      <c r="DM612" s="0" t="n">
        <v>1</v>
      </c>
      <c r="DN612" s="0" t="n">
        <v>96</v>
      </c>
      <c r="DO612" s="0" t="n">
        <v>3</v>
      </c>
      <c r="DP612" s="0" t="n">
        <v>0</v>
      </c>
      <c r="DQ612" s="0" t="n">
        <v>1</v>
      </c>
      <c r="DR612" s="0"/>
      <c r="DS612" s="0" t="n">
        <v>1</v>
      </c>
      <c r="DU612" s="0" t="n">
        <v>1</v>
      </c>
      <c r="DW612" s="1" t="n">
        <v>40072</v>
      </c>
      <c r="DX612" s="1" t="n">
        <v>40514</v>
      </c>
      <c r="DZ612" s="0"/>
      <c r="EA612" s="0" t="n">
        <v>1</v>
      </c>
      <c r="EC612" s="1" t="n">
        <v>40072</v>
      </c>
      <c r="ED612" s="1" t="n">
        <v>40514</v>
      </c>
      <c r="EF612" s="0"/>
      <c r="EG612" s="0" t="n">
        <v>1</v>
      </c>
      <c r="EH612" s="0" t="n">
        <v>48</v>
      </c>
      <c r="EI612" s="0" t="n">
        <f aca="false">IF(AND(DM612=1,DN612&lt;=48),"",IF(AND(DM612=2,DN612&lt;=42),"",IF(AND(DM612=3,DN612&lt;=45),"",EH612)))</f>
        <v>48</v>
      </c>
      <c r="EJ612" s="0" t="n">
        <f aca="false">IF(EI612="","",IF(EI612&lt;9,EI612,9))</f>
        <v>9</v>
      </c>
      <c r="EK612" s="0" t="n">
        <f aca="false">IF(EI612="","",IF(EI612&gt;9,EI612-EJ612,0))</f>
        <v>39</v>
      </c>
      <c r="EL612" s="0" t="n">
        <f aca="false">IF(EI612="","",EJ612*DA612*2+EK612*DA612*3)</f>
        <v>1912.44375</v>
      </c>
      <c r="EP612" s="0" t="n">
        <v>0</v>
      </c>
      <c r="EQ612" s="0"/>
      <c r="ER612" s="0" t="n">
        <v>0</v>
      </c>
      <c r="ET612" s="0" t="n">
        <v>0</v>
      </c>
      <c r="EV612" s="0" t="n">
        <v>1</v>
      </c>
      <c r="EX612" s="0" t="n">
        <v>0</v>
      </c>
      <c r="EY612" s="0" t="n">
        <v>1</v>
      </c>
      <c r="EZ612" s="0"/>
      <c r="FA612" s="4" t="n">
        <v>1700</v>
      </c>
      <c r="FB612" s="0" t="n">
        <v>1</v>
      </c>
      <c r="FC612" s="1" t="n">
        <v>40963</v>
      </c>
      <c r="FD612" s="0" t="n">
        <v>1</v>
      </c>
      <c r="FE612" s="0" t="n">
        <v>6000</v>
      </c>
      <c r="FF612" s="120" t="n">
        <f aca="false">(CJ612-CI612+1)/365</f>
        <v>1.21369863013699</v>
      </c>
      <c r="FG612" s="0" t="str">
        <f aca="false">CONCATENATE(F612,"/",G612)</f>
        <v>178/2011</v>
      </c>
      <c r="FH612" s="0" t="n">
        <v>1</v>
      </c>
      <c r="FI612" s="0" t="n">
        <f aca="false">IFERROR(IF((FC612-J612+1)/365&gt;3,0,1),"")</f>
        <v>1</v>
      </c>
    </row>
    <row r="613" customFormat="false" ht="15" hidden="false" customHeight="false" outlineLevel="0" collapsed="false">
      <c r="A613" s="5" t="str">
        <f aca="false">E613&amp;G613&amp;F613</f>
        <v>72011180</v>
      </c>
      <c r="B613" s="0" t="s">
        <v>5573</v>
      </c>
      <c r="C613" s="1" t="n">
        <v>42362</v>
      </c>
      <c r="D613" s="0" t="s">
        <v>5615</v>
      </c>
      <c r="E613" s="0" t="n">
        <v>7</v>
      </c>
      <c r="F613" s="0" t="n">
        <v>180</v>
      </c>
      <c r="G613" s="0" t="n">
        <v>2011</v>
      </c>
      <c r="H613" s="0" t="str">
        <f aca="false">"J"&amp;E613&amp;"\"&amp;F613&amp;"\"&amp;G613&amp;"\"&amp;W613</f>
        <v>J7\180\2011\1</v>
      </c>
      <c r="I613" s="0"/>
      <c r="J613" s="1" t="n">
        <v>40570</v>
      </c>
      <c r="K613" s="0" t="n">
        <v>0</v>
      </c>
      <c r="M613" s="1"/>
      <c r="N613" s="1"/>
      <c r="O613" s="1"/>
      <c r="P613" s="1"/>
      <c r="Q613" s="1"/>
      <c r="T613" s="121"/>
      <c r="U613" s="121"/>
      <c r="V613" s="122" t="n">
        <f aca="false">IF(AND(E613&gt;0,F613&gt;0,G613&gt;0),COUNTIFS($E:$E,E613,$F:$F,F613,$G:$G,G613),"")</f>
        <v>1</v>
      </c>
      <c r="W613" s="122" t="n">
        <f aca="false">IF(V613="","",IF(V613=1,1,IF(AND(E612=E613,F612=F613,G612=G613),W612+1,1)))</f>
        <v>1</v>
      </c>
      <c r="X613" s="0" t="n">
        <v>1</v>
      </c>
      <c r="Y613" s="0" t="n">
        <v>12</v>
      </c>
      <c r="Z613" s="0" t="s">
        <v>5616</v>
      </c>
      <c r="AA613" s="0" t="n">
        <v>0</v>
      </c>
      <c r="AB613" s="0" t="s">
        <v>5617</v>
      </c>
      <c r="AE613" s="0" t="n">
        <v>0</v>
      </c>
      <c r="AF613" s="0" t="s">
        <v>5618</v>
      </c>
      <c r="AG613" s="0" t="n">
        <v>0</v>
      </c>
      <c r="AH613" s="0" t="s">
        <v>5619</v>
      </c>
      <c r="AI613" s="0" t="s">
        <v>287</v>
      </c>
      <c r="AJ613" s="0" t="s">
        <v>2218</v>
      </c>
      <c r="AL613" s="0" t="s">
        <v>5620</v>
      </c>
      <c r="AM613" s="0" t="n">
        <v>0</v>
      </c>
      <c r="AN613" s="0" t="s">
        <v>5619</v>
      </c>
      <c r="AO613" s="0" t="s">
        <v>287</v>
      </c>
      <c r="AP613" s="0" t="s">
        <v>2218</v>
      </c>
      <c r="AR613" s="0" t="s">
        <v>5621</v>
      </c>
      <c r="AS613" s="0" t="n">
        <v>1</v>
      </c>
      <c r="AT613" s="0" t="s">
        <v>5619</v>
      </c>
      <c r="AU613" s="0" t="s">
        <v>287</v>
      </c>
      <c r="AV613" s="0" t="s">
        <v>2218</v>
      </c>
      <c r="AX613" s="0" t="s">
        <v>5622</v>
      </c>
      <c r="AY613" s="0" t="n">
        <v>1</v>
      </c>
      <c r="AZ613" s="0" t="s">
        <v>5619</v>
      </c>
      <c r="BA613" s="0" t="s">
        <v>287</v>
      </c>
      <c r="BB613" s="0" t="s">
        <v>2218</v>
      </c>
      <c r="BD613" s="0" t="s">
        <v>5623</v>
      </c>
      <c r="BE613" s="0" t="n">
        <v>0</v>
      </c>
      <c r="BF613" s="0" t="s">
        <v>5624</v>
      </c>
      <c r="BG613" s="0" t="s">
        <v>5625</v>
      </c>
      <c r="BH613" s="0" t="s">
        <v>5626</v>
      </c>
      <c r="BJ613" s="0" t="s">
        <v>5627</v>
      </c>
      <c r="BK613" s="0" t="n">
        <v>1</v>
      </c>
      <c r="BL613" s="0" t="s">
        <v>5624</v>
      </c>
      <c r="BM613" s="0" t="s">
        <v>5625</v>
      </c>
      <c r="BN613" s="0" t="s">
        <v>5626</v>
      </c>
      <c r="BR613" s="0" t="n">
        <v>1</v>
      </c>
      <c r="BS613" s="0" t="s">
        <v>4882</v>
      </c>
      <c r="BT613" s="0" t="s">
        <v>5628</v>
      </c>
      <c r="BU613" s="0" t="s">
        <v>5629</v>
      </c>
      <c r="BV613" s="123"/>
      <c r="BW613" s="123"/>
      <c r="BX613" s="123"/>
      <c r="BY613" s="123"/>
      <c r="CA613" s="0" t="s">
        <v>5630</v>
      </c>
      <c r="CD613" s="0" t="s">
        <v>296</v>
      </c>
      <c r="CE613" s="0" t="n">
        <v>1</v>
      </c>
      <c r="CF613" s="0" t="s">
        <v>5631</v>
      </c>
      <c r="CI613" s="1" t="n">
        <v>39846</v>
      </c>
      <c r="CJ613" s="1" t="n">
        <v>40542</v>
      </c>
      <c r="CK613" s="124" t="n">
        <v>0.333333333333333</v>
      </c>
      <c r="CL613" s="0" t="s">
        <v>5632</v>
      </c>
      <c r="CM613" s="0" t="n">
        <f aca="false">IF(OR(CI613="",CJ613=""),"",DAYS360(CI613,CJ613)/360)</f>
        <v>1.91111111111111</v>
      </c>
      <c r="CN613" s="0" t="n">
        <f aca="false">IF(OR(CI613="",CJ613=""),"",DAYS360(CI613,CJ613)/30)</f>
        <v>22.9333333333333</v>
      </c>
      <c r="CO613" s="0" t="n">
        <f aca="false">IF(OR(CI613="",CJ613=""),"",DAYS360(CI613,CJ613)/7)</f>
        <v>98.2857142857143</v>
      </c>
      <c r="CP613" s="0" t="n">
        <f aca="false">IF(OR(CI613="",CJ613=""),"",DAYS360(CI613,CJ613))</f>
        <v>688</v>
      </c>
      <c r="CQ613" s="0" t="s">
        <v>240</v>
      </c>
      <c r="CR613" s="0" t="n">
        <v>1</v>
      </c>
      <c r="CT613" s="0" t="n">
        <v>400</v>
      </c>
      <c r="CU613" s="0" t="n">
        <v>0</v>
      </c>
      <c r="CV613" s="0" t="n">
        <f aca="false">IF(OR(CT613="",CT613="NO ESPECIFICA",CT613="NO MENCIONA"),"",IF(CU613=0,CT613,IF(CU613=1,CT613/30,IF(CU613=2,CT613/15,IF(CU613=3,CT613/7,"")))))</f>
        <v>400</v>
      </c>
      <c r="CW613" s="125" t="n">
        <v>650</v>
      </c>
      <c r="CX613" s="0" t="n">
        <v>0</v>
      </c>
      <c r="CY613" s="0" t="n">
        <f aca="false">IF(CW613="","",IF(CX613=0,CW613,IF(CX613=1,CW613/30,IF(CX613=2,CW613/15,IF(CX613=3,CW613/7,CW613)))))</f>
        <v>650</v>
      </c>
      <c r="CZ613" s="0" t="n">
        <f aca="false">IF(DI613&gt;0,DI613,IF(CY613&gt;0,CY613,IF(CV613&gt;0,CV613,"")))</f>
        <v>650</v>
      </c>
      <c r="DA613" s="0" t="n">
        <f aca="false">IF(DM613=1,CZ613/8,IF(OR(DM613=2,DM613=4),CZ613/7,IF(DM613=3,CZ613/7.5,"")))</f>
        <v>81.25</v>
      </c>
      <c r="DB613" s="0" t="s">
        <v>299</v>
      </c>
      <c r="DC613" s="0" t="s">
        <v>258</v>
      </c>
      <c r="DD613" s="0" t="s">
        <v>5633</v>
      </c>
      <c r="DE613" s="0" t="s">
        <v>627</v>
      </c>
      <c r="DF613" s="0" t="s">
        <v>5634</v>
      </c>
      <c r="DG613" s="0" t="s">
        <v>216</v>
      </c>
      <c r="DH613" s="0" t="n">
        <v>0</v>
      </c>
      <c r="DI613" s="126" t="n">
        <v>650</v>
      </c>
      <c r="DK613" s="0" t="n">
        <v>1</v>
      </c>
      <c r="DM613" s="0" t="n">
        <v>1</v>
      </c>
      <c r="DN613" s="0" t="n">
        <v>60</v>
      </c>
      <c r="DO613" s="0" t="n">
        <v>3</v>
      </c>
      <c r="DP613" s="0" t="n">
        <v>0</v>
      </c>
      <c r="DQ613" s="0" t="n">
        <v>1</v>
      </c>
      <c r="DR613" s="0"/>
      <c r="DS613" s="0" t="n">
        <v>1</v>
      </c>
      <c r="DU613" s="0" t="n">
        <v>1</v>
      </c>
      <c r="DW613" s="1" t="s">
        <v>221</v>
      </c>
      <c r="DX613" s="1" t="s">
        <v>221</v>
      </c>
      <c r="DZ613" s="0"/>
      <c r="EA613" s="0" t="n">
        <v>1</v>
      </c>
      <c r="EC613" s="1" t="s">
        <v>221</v>
      </c>
      <c r="ED613" s="1" t="s">
        <v>221</v>
      </c>
      <c r="EF613" s="0"/>
      <c r="EG613" s="0" t="n">
        <v>1</v>
      </c>
      <c r="EH613" s="0" t="n">
        <v>12</v>
      </c>
      <c r="EI613" s="0" t="n">
        <f aca="false">IF(AND(DM613=1,DN613&lt;=48),"",IF(AND(DM613=2,DN613&lt;=42),"",IF(AND(DM613=3,DN613&lt;=45),"",EH613)))</f>
        <v>12</v>
      </c>
      <c r="EJ613" s="0" t="n">
        <f aca="false">IF(EI613="","",IF(EI613&lt;9,EI613,9))</f>
        <v>9</v>
      </c>
      <c r="EK613" s="0" t="n">
        <f aca="false">IF(EI613="","",IF(EI613&gt;9,EI613-EJ613,0))</f>
        <v>3</v>
      </c>
      <c r="EL613" s="0" t="n">
        <f aca="false">IF(EI613="","",EJ613*DA613*2+EK613*DA613*3)</f>
        <v>2193.75</v>
      </c>
      <c r="EN613" s="0" t="n">
        <v>114075</v>
      </c>
      <c r="EP613" s="0" t="n">
        <v>0</v>
      </c>
      <c r="EQ613" s="0"/>
      <c r="ER613" s="0" t="n">
        <v>0</v>
      </c>
      <c r="ET613" s="0" t="n">
        <v>0</v>
      </c>
      <c r="EV613" s="0" t="n">
        <v>0</v>
      </c>
      <c r="EX613" s="0" t="n">
        <v>1</v>
      </c>
      <c r="EY613" s="0" t="n">
        <v>1</v>
      </c>
      <c r="EZ613" s="0"/>
      <c r="FA613" s="4" t="n">
        <v>9100</v>
      </c>
      <c r="FB613" s="0" t="n">
        <v>0</v>
      </c>
      <c r="FC613" s="1" t="n">
        <v>40648</v>
      </c>
      <c r="FD613" s="0" t="n">
        <v>1</v>
      </c>
      <c r="FE613" s="0" t="n">
        <v>14000</v>
      </c>
      <c r="FF613" s="120" t="n">
        <f aca="false">(CJ613-CI613+1)/365</f>
        <v>1.90958904109589</v>
      </c>
      <c r="FG613" s="0" t="str">
        <f aca="false">CONCATENATE(F613,"/",G613)</f>
        <v>180/2011</v>
      </c>
      <c r="FH613" s="0" t="n">
        <v>1</v>
      </c>
      <c r="FI613" s="0" t="n">
        <f aca="false">IFERROR(IF((FC613-J613+1)/365&gt;3,0,1),"")</f>
        <v>1</v>
      </c>
    </row>
    <row r="614" customFormat="false" ht="15" hidden="false" customHeight="false" outlineLevel="0" collapsed="false">
      <c r="A614" s="5" t="str">
        <f aca="false">E614&amp;G614&amp;F614</f>
        <v>72011183</v>
      </c>
      <c r="B614" s="0" t="s">
        <v>5573</v>
      </c>
      <c r="C614" s="1" t="n">
        <v>42362</v>
      </c>
      <c r="D614" s="0" t="s">
        <v>5635</v>
      </c>
      <c r="E614" s="0" t="n">
        <v>7</v>
      </c>
      <c r="F614" s="0" t="n">
        <v>183</v>
      </c>
      <c r="G614" s="0" t="n">
        <v>2011</v>
      </c>
      <c r="H614" s="0" t="str">
        <f aca="false">"J"&amp;E614&amp;"\"&amp;F614&amp;"\"&amp;G614&amp;"\"&amp;W614</f>
        <v>J7\183\2011\1</v>
      </c>
      <c r="I614" s="0"/>
      <c r="J614" s="1" t="n">
        <v>40570</v>
      </c>
      <c r="K614" s="0" t="n">
        <v>0</v>
      </c>
      <c r="M614" s="1" t="n">
        <v>40570</v>
      </c>
      <c r="N614" s="1" t="n">
        <v>40627</v>
      </c>
      <c r="O614" s="1"/>
      <c r="P614" s="1"/>
      <c r="Q614" s="1"/>
      <c r="T614" s="121"/>
      <c r="U614" s="121"/>
      <c r="V614" s="122" t="n">
        <f aca="false">IF(AND(E614&gt;0,F614&gt;0,G614&gt;0),COUNTIFS($E:$E,E614,$F:$F,F614,$G:$G,G614),"")</f>
        <v>1</v>
      </c>
      <c r="W614" s="122" t="n">
        <f aca="false">IF(V614="","",IF(V614=1,1,IF(AND(E613=E614,F613=F614,G613=G614),W613+1,1)))</f>
        <v>1</v>
      </c>
      <c r="X614" s="0" t="n">
        <v>1</v>
      </c>
      <c r="Y614" s="0" t="n">
        <v>4</v>
      </c>
      <c r="Z614" s="0" t="s">
        <v>5636</v>
      </c>
      <c r="AA614" s="0" t="n">
        <v>0</v>
      </c>
      <c r="AB614" s="0" t="s">
        <v>5637</v>
      </c>
      <c r="AC614" s="0" t="s">
        <v>318</v>
      </c>
      <c r="AD614" s="0" t="s">
        <v>221</v>
      </c>
      <c r="AE614" s="0" t="n">
        <v>0</v>
      </c>
      <c r="AF614" s="0" t="s">
        <v>5638</v>
      </c>
      <c r="AG614" s="0" t="n">
        <v>0</v>
      </c>
      <c r="AH614" s="0" t="s">
        <v>2825</v>
      </c>
      <c r="AI614" s="0" t="s">
        <v>380</v>
      </c>
      <c r="AJ614" s="0" t="s">
        <v>2172</v>
      </c>
      <c r="AL614" s="0" t="s">
        <v>5639</v>
      </c>
      <c r="AM614" s="0" t="n">
        <v>0</v>
      </c>
      <c r="AN614" s="0" t="s">
        <v>2825</v>
      </c>
      <c r="AO614" s="0" t="s">
        <v>380</v>
      </c>
      <c r="AP614" s="0" t="s">
        <v>2172</v>
      </c>
      <c r="AR614" s="0" t="s">
        <v>5640</v>
      </c>
      <c r="AS614" s="0" t="n">
        <v>1</v>
      </c>
      <c r="AT614" s="0" t="s">
        <v>2825</v>
      </c>
      <c r="AU614" s="0" t="s">
        <v>380</v>
      </c>
      <c r="AV614" s="0" t="s">
        <v>2172</v>
      </c>
      <c r="AX614" s="0" t="s">
        <v>5641</v>
      </c>
      <c r="AY614" s="0" t="n">
        <v>1</v>
      </c>
      <c r="AZ614" s="0" t="s">
        <v>2825</v>
      </c>
      <c r="BA614" s="0" t="s">
        <v>380</v>
      </c>
      <c r="BB614" s="0" t="s">
        <v>2172</v>
      </c>
      <c r="BR614" s="0" t="n">
        <v>1</v>
      </c>
      <c r="BS614" s="0" t="s">
        <v>3635</v>
      </c>
      <c r="BT614" s="0" t="s">
        <v>3636</v>
      </c>
      <c r="BU614" s="0" t="s">
        <v>3637</v>
      </c>
      <c r="BV614" s="123"/>
      <c r="BW614" s="123"/>
      <c r="BX614" s="123"/>
      <c r="BY614" s="123"/>
      <c r="CA614" s="0" t="s">
        <v>3638</v>
      </c>
      <c r="CD614" s="0" t="s">
        <v>370</v>
      </c>
      <c r="CE614" s="0" t="n">
        <v>0</v>
      </c>
      <c r="CF614" s="0" t="s">
        <v>5642</v>
      </c>
      <c r="CI614" s="1" t="n">
        <v>38722</v>
      </c>
      <c r="CJ614" s="1" t="n">
        <v>40533</v>
      </c>
      <c r="CK614" s="124" t="n">
        <v>0.666666666666667</v>
      </c>
      <c r="CL614" s="0" t="s">
        <v>5643</v>
      </c>
      <c r="CM614" s="0" t="n">
        <f aca="false">IF(OR(CI614="",CJ614=""),"",DAYS360(CI614,CJ614)/360)</f>
        <v>4.96111111111111</v>
      </c>
      <c r="CN614" s="0" t="n">
        <f aca="false">IF(OR(CI614="",CJ614=""),"",DAYS360(CI614,CJ614)/30)</f>
        <v>59.5333333333333</v>
      </c>
      <c r="CO614" s="0" t="n">
        <f aca="false">IF(OR(CI614="",CJ614=""),"",DAYS360(CI614,CJ614)/7)</f>
        <v>255.142857142857</v>
      </c>
      <c r="CP614" s="0" t="n">
        <f aca="false">IF(OR(CI614="",CJ614=""),"",DAYS360(CI614,CJ614))</f>
        <v>1786</v>
      </c>
      <c r="CQ614" s="0" t="s">
        <v>240</v>
      </c>
      <c r="CR614" s="0" t="n">
        <v>1</v>
      </c>
      <c r="CT614" s="0" t="n">
        <v>70</v>
      </c>
      <c r="CU614" s="0" t="n">
        <v>0</v>
      </c>
      <c r="CV614" s="0" t="n">
        <f aca="false">IF(OR(CT614="",CT614="NO ESPECIFICA",CT614="NO MENCIONA"),"",IF(CU614=0,CT614,IF(CU614=1,CT614/30,IF(CU614=2,CT614/15,IF(CU614=3,CT614/7,"")))))</f>
        <v>70</v>
      </c>
      <c r="CW614" s="125" t="n">
        <v>320</v>
      </c>
      <c r="CX614" s="0" t="n">
        <v>0</v>
      </c>
      <c r="CY614" s="0" t="n">
        <f aca="false">IF(CW614="","",IF(CX614=0,CW614,IF(CX614=1,CW614/30,IF(CX614=2,CW614/15,IF(CX614=3,CW614/7,CW614)))))</f>
        <v>320</v>
      </c>
      <c r="CZ614" s="0" t="n">
        <f aca="false">IF(DI614&gt;0,DI614,IF(CY614&gt;0,CY614,IF(CV614&gt;0,CV614,"")))</f>
        <v>320</v>
      </c>
      <c r="DA614" s="0" t="n">
        <f aca="false">IF(DM614=1,CZ614/8,IF(OR(DM614=2,DM614=4),CZ614/7,IF(DM614=3,CZ614/7.5,"")))</f>
        <v>42.6666666666667</v>
      </c>
      <c r="DB614" s="0" t="s">
        <v>1446</v>
      </c>
      <c r="DC614" s="0" t="s">
        <v>216</v>
      </c>
      <c r="DD614" s="0" t="s">
        <v>216</v>
      </c>
      <c r="DE614" s="0" t="s">
        <v>216</v>
      </c>
      <c r="DF614" s="0" t="s">
        <v>216</v>
      </c>
      <c r="DG614" s="0" t="s">
        <v>216</v>
      </c>
      <c r="DH614" s="0" t="n">
        <v>0</v>
      </c>
      <c r="DI614" s="126" t="n">
        <v>320</v>
      </c>
      <c r="DK614" s="0" t="n">
        <v>0</v>
      </c>
      <c r="DM614" s="0" t="n">
        <v>3</v>
      </c>
      <c r="DN614" s="0" t="n">
        <v>66</v>
      </c>
      <c r="DO614" s="0" t="n">
        <v>3</v>
      </c>
      <c r="DP614" s="0" t="n">
        <v>0</v>
      </c>
      <c r="DQ614" s="0" t="n">
        <v>1</v>
      </c>
      <c r="DR614" s="0"/>
      <c r="DS614" s="0" t="n">
        <v>1</v>
      </c>
      <c r="DU614" s="0" t="n">
        <v>1</v>
      </c>
      <c r="DW614" s="1" t="n">
        <v>39818</v>
      </c>
      <c r="DX614" s="1" t="n">
        <v>40533</v>
      </c>
      <c r="DZ614" s="0"/>
      <c r="EA614" s="0" t="n">
        <v>1</v>
      </c>
      <c r="EC614" s="1" t="n">
        <v>39814</v>
      </c>
      <c r="ED614" s="1" t="n">
        <v>40533</v>
      </c>
      <c r="EF614" s="0"/>
      <c r="EG614" s="0" t="n">
        <v>1</v>
      </c>
      <c r="EH614" s="0" t="n">
        <v>15</v>
      </c>
      <c r="EI614" s="0" t="n">
        <f aca="false">IF(AND(DM614=1,DN614&lt;=48),"",IF(AND(DM614=2,DN614&lt;=42),"",IF(AND(DM614=3,DN614&lt;=45),"",EH614)))</f>
        <v>15</v>
      </c>
      <c r="EJ614" s="0" t="n">
        <f aca="false">IF(EI614="","",IF(EI614&lt;9,EI614,9))</f>
        <v>9</v>
      </c>
      <c r="EK614" s="0" t="n">
        <f aca="false">IF(EI614="","",IF(EI614&gt;9,EI614-EJ614,0))</f>
        <v>6</v>
      </c>
      <c r="EL614" s="0" t="n">
        <f aca="false">IF(EI614="","",EJ614*DA614*2+EK614*DA614*3)</f>
        <v>1536</v>
      </c>
      <c r="EM614" s="0" t="n">
        <v>52</v>
      </c>
      <c r="EO614" s="0" t="n">
        <v>780</v>
      </c>
      <c r="EP614" s="0" t="n">
        <v>0</v>
      </c>
      <c r="EQ614" s="0"/>
      <c r="ER614" s="0" t="n">
        <v>0</v>
      </c>
      <c r="ET614" s="0" t="n">
        <v>0</v>
      </c>
      <c r="EV614" s="0" t="n">
        <v>0</v>
      </c>
      <c r="EX614" s="0" t="n">
        <v>1</v>
      </c>
      <c r="EY614" s="0" t="n">
        <v>1</v>
      </c>
      <c r="EZ614" s="0"/>
      <c r="FA614" s="4" t="n">
        <v>0</v>
      </c>
      <c r="FB614" s="0" t="n">
        <v>0</v>
      </c>
      <c r="FC614" s="1" t="n">
        <v>40814</v>
      </c>
      <c r="FD614" s="0" t="n">
        <v>1</v>
      </c>
      <c r="FE614" s="0" t="n">
        <v>9000</v>
      </c>
      <c r="FF614" s="120" t="n">
        <f aca="false">(CJ614-CI614+1)/365</f>
        <v>4.96438356164384</v>
      </c>
      <c r="FG614" s="0" t="str">
        <f aca="false">CONCATENATE(F614,"/",G614)</f>
        <v>183/2011</v>
      </c>
      <c r="FH614" s="0" t="n">
        <v>1</v>
      </c>
      <c r="FI614" s="0" t="n">
        <f aca="false">IFERROR(IF((FC614-J614+1)/365&gt;3,0,1),"")</f>
        <v>1</v>
      </c>
    </row>
    <row r="615" customFormat="false" ht="15" hidden="false" customHeight="false" outlineLevel="0" collapsed="false">
      <c r="A615" s="5" t="str">
        <f aca="false">E615&amp;G615&amp;F615</f>
        <v>72011185</v>
      </c>
      <c r="B615" s="0" t="s">
        <v>5573</v>
      </c>
      <c r="C615" s="1" t="n">
        <v>42362</v>
      </c>
      <c r="E615" s="0" t="n">
        <v>7</v>
      </c>
      <c r="F615" s="0" t="n">
        <v>185</v>
      </c>
      <c r="G615" s="0" t="n">
        <v>2011</v>
      </c>
      <c r="H615" s="0" t="str">
        <f aca="false">"J"&amp;E615&amp;"\"&amp;F615&amp;"\"&amp;G615&amp;"\"&amp;W615</f>
        <v>J7\185\2011\1</v>
      </c>
      <c r="I615" s="0"/>
      <c r="J615" s="1" t="n">
        <v>40570</v>
      </c>
      <c r="K615" s="0" t="n">
        <v>1</v>
      </c>
      <c r="L615" s="0" t="s">
        <v>5644</v>
      </c>
      <c r="M615" s="1" t="n">
        <v>40570</v>
      </c>
      <c r="N615" s="1" t="n">
        <v>40646</v>
      </c>
      <c r="O615" s="1"/>
      <c r="P615" s="1"/>
      <c r="Q615" s="1"/>
      <c r="T615" s="121"/>
      <c r="U615" s="121"/>
      <c r="V615" s="122" t="n">
        <f aca="false">IF(AND(E615&gt;0,F615&gt;0,G615&gt;0),COUNTIFS($E:$E,E615,$F:$F,F615,$G:$G,G615),"")</f>
        <v>1</v>
      </c>
      <c r="W615" s="122" t="n">
        <f aca="false">IF(V615="","",IF(V615=1,1,IF(AND(E614=E615,F614=F615,G614=G615),W614+1,1)))</f>
        <v>1</v>
      </c>
      <c r="X615" s="0" t="n">
        <v>1</v>
      </c>
      <c r="Y615" s="0" t="n">
        <v>3</v>
      </c>
      <c r="Z615" s="0" t="s">
        <v>5645</v>
      </c>
      <c r="AA615" s="0" t="n">
        <v>0</v>
      </c>
      <c r="AB615" s="0" t="s">
        <v>5646</v>
      </c>
      <c r="AC615" s="0" t="s">
        <v>251</v>
      </c>
      <c r="AD615" s="0" t="s">
        <v>1160</v>
      </c>
      <c r="AE615" s="0" t="n">
        <v>0</v>
      </c>
      <c r="AF615" s="0" t="s">
        <v>5647</v>
      </c>
      <c r="AG615" s="0" t="n">
        <v>0</v>
      </c>
      <c r="AH615" s="0" t="s">
        <v>5648</v>
      </c>
      <c r="AI615" s="0" t="s">
        <v>5649</v>
      </c>
      <c r="AJ615" s="0" t="s">
        <v>720</v>
      </c>
      <c r="AL615" s="0" t="s">
        <v>5650</v>
      </c>
      <c r="AM615" s="0" t="n">
        <v>1</v>
      </c>
      <c r="AN615" s="0" t="s">
        <v>5648</v>
      </c>
      <c r="AO615" s="0" t="s">
        <v>5649</v>
      </c>
      <c r="AP615" s="0" t="s">
        <v>720</v>
      </c>
      <c r="AR615" s="0" t="s">
        <v>5651</v>
      </c>
      <c r="AS615" s="0" t="n">
        <v>0</v>
      </c>
      <c r="AT615" s="0" t="s">
        <v>5648</v>
      </c>
      <c r="AU615" s="0" t="s">
        <v>5649</v>
      </c>
      <c r="AV615" s="0" t="s">
        <v>720</v>
      </c>
      <c r="BR615" s="0" t="n">
        <v>1</v>
      </c>
      <c r="BS615" s="0" t="s">
        <v>5652</v>
      </c>
      <c r="BT615" s="0" t="s">
        <v>5653</v>
      </c>
      <c r="BU615" s="0" t="s">
        <v>5654</v>
      </c>
      <c r="BV615" s="123"/>
      <c r="BW615" s="123"/>
      <c r="BX615" s="123"/>
      <c r="BY615" s="123"/>
      <c r="CA615" s="0" t="s">
        <v>216</v>
      </c>
      <c r="CD615" s="0" t="s">
        <v>256</v>
      </c>
      <c r="CE615" s="0" t="n">
        <v>0</v>
      </c>
      <c r="CF615" s="0" t="s">
        <v>782</v>
      </c>
      <c r="CI615" s="1" t="n">
        <v>39036</v>
      </c>
      <c r="CJ615" s="1" t="n">
        <v>40535</v>
      </c>
      <c r="CK615" s="124" t="n">
        <v>0.791666666666667</v>
      </c>
      <c r="CL615" s="0" t="s">
        <v>5650</v>
      </c>
      <c r="CM615" s="0" t="n">
        <f aca="false">IF(OR(CI615="",CJ615=""),"",DAYS360(CI615,CJ615)/360)</f>
        <v>4.10555555555556</v>
      </c>
      <c r="CN615" s="0" t="n">
        <f aca="false">IF(OR(CI615="",CJ615=""),"",DAYS360(CI615,CJ615)/30)</f>
        <v>49.2666666666667</v>
      </c>
      <c r="CO615" s="0" t="n">
        <f aca="false">IF(OR(CI615="",CJ615=""),"",DAYS360(CI615,CJ615)/7)</f>
        <v>211.142857142857</v>
      </c>
      <c r="CP615" s="0" t="n">
        <f aca="false">IF(OR(CI615="",CJ615=""),"",DAYS360(CI615,CJ615))</f>
        <v>1478</v>
      </c>
      <c r="CQ615" s="0" t="s">
        <v>240</v>
      </c>
      <c r="CR615" s="0" t="n">
        <v>1</v>
      </c>
      <c r="CT615" s="0" t="s">
        <v>221</v>
      </c>
      <c r="CU615" s="0" t="s">
        <v>221</v>
      </c>
      <c r="CV615" s="0" t="str">
        <f aca="false">IF(OR(CT615="",CT615="NO ESPECIFICA",CT615="NO MENCIONA"),"",IF(CU615=0,CT615,IF(CU615=1,CT615/30,IF(CU615=2,CT615/15,IF(CU615=3,CT615/7,"")))))</f>
        <v/>
      </c>
      <c r="CW615" s="125" t="n">
        <v>170.71</v>
      </c>
      <c r="CX615" s="0" t="n">
        <v>1</v>
      </c>
      <c r="CY615" s="0" t="n">
        <f aca="false">IF(CW615="","",IF(CX615=0,CW615,IF(CX615=1,CW615/30,IF(CX615=2,CW615/15,IF(CX615=3,CW615/7,CW615)))))</f>
        <v>5.69033333333333</v>
      </c>
      <c r="CZ615" s="0" t="n">
        <f aca="false">IF(DI615&gt;0,DI615,IF(CY615&gt;0,CY615,IF(CV615&gt;0,CV615,"")))</f>
        <v>170.71</v>
      </c>
      <c r="DA615" s="0" t="n">
        <f aca="false">IF(DM615=1,CZ615/8,IF(OR(DM615=2,DM615=4),CZ615/7,IF(DM615=3,CZ615/7.5,"")))</f>
        <v>21.33875</v>
      </c>
      <c r="DB615" s="0" t="s">
        <v>216</v>
      </c>
      <c r="DC615" s="0" t="s">
        <v>216</v>
      </c>
      <c r="DD615" s="0" t="s">
        <v>216</v>
      </c>
      <c r="DE615" s="0" t="s">
        <v>216</v>
      </c>
      <c r="DF615" s="0" t="s">
        <v>216</v>
      </c>
      <c r="DG615" s="0" t="s">
        <v>216</v>
      </c>
      <c r="DH615" s="0" t="n">
        <v>0</v>
      </c>
      <c r="DI615" s="126" t="n">
        <v>170.71</v>
      </c>
      <c r="DK615" s="0" t="n">
        <v>0</v>
      </c>
      <c r="DM615" s="0" t="n">
        <v>1</v>
      </c>
      <c r="DN615" s="0" t="n">
        <v>52.5</v>
      </c>
      <c r="DO615" s="0" t="n">
        <v>3</v>
      </c>
      <c r="DP615" s="0" t="n">
        <v>0</v>
      </c>
      <c r="DQ615" s="0" t="n">
        <v>1</v>
      </c>
      <c r="DR615" s="0" t="n">
        <v>14463.39</v>
      </c>
      <c r="DS615" s="0" t="n">
        <v>1</v>
      </c>
      <c r="DU615" s="0" t="n">
        <v>0</v>
      </c>
      <c r="DW615" s="1" t="n">
        <v>39036</v>
      </c>
      <c r="DX615" s="1" t="n">
        <v>40535</v>
      </c>
      <c r="DZ615" s="0"/>
      <c r="EA615" s="0" t="n">
        <v>1</v>
      </c>
      <c r="EC615" s="1" t="n">
        <v>39036</v>
      </c>
      <c r="ED615" s="1" t="n">
        <v>40535</v>
      </c>
      <c r="EF615" s="0"/>
      <c r="EG615" s="0" t="n">
        <v>0</v>
      </c>
      <c r="EI615" s="0" t="n">
        <f aca="false">IF(AND(DM615=1,DN615&lt;=48),"",IF(AND(DM615=2,DN615&lt;=42),"",IF(AND(DM615=3,DN615&lt;=45),"",EH615)))</f>
        <v>0</v>
      </c>
      <c r="EJ615" s="0" t="str">
        <f aca="false">IF(EI615="","",IF(EI615&lt;9,EI615,9))</f>
        <v/>
      </c>
      <c r="EK615" s="0" t="str">
        <f aca="false">IF(EI615="","",IF(EI615&gt;9,EI615-EJ615,0))</f>
        <v/>
      </c>
      <c r="EL615" s="0" t="str">
        <f aca="false">IF(EI615="","",EJ615*DA615*2+EK615*DA615*3)</f>
        <v/>
      </c>
      <c r="EP615" s="0" t="n">
        <v>0</v>
      </c>
      <c r="EQ615" s="0"/>
      <c r="ER615" s="0" t="n">
        <v>0</v>
      </c>
      <c r="ET615" s="0" t="n">
        <v>0</v>
      </c>
      <c r="EV615" s="0" t="n">
        <v>0</v>
      </c>
      <c r="EX615" s="0" t="n">
        <v>1</v>
      </c>
      <c r="EY615" s="0" t="n">
        <v>0</v>
      </c>
      <c r="EZ615" s="0"/>
      <c r="FA615" s="4" t="n">
        <v>0</v>
      </c>
      <c r="FB615" s="0" t="n">
        <v>0</v>
      </c>
      <c r="FC615" s="1" t="n">
        <v>41613</v>
      </c>
      <c r="FD615" s="0" t="n">
        <v>1</v>
      </c>
      <c r="FE615" s="0" t="n">
        <v>2000</v>
      </c>
      <c r="FF615" s="120" t="n">
        <f aca="false">(CJ615-CI615+1)/365</f>
        <v>4.10958904109589</v>
      </c>
      <c r="FG615" s="0" t="str">
        <f aca="false">CONCATENATE(F615,"/",G615)</f>
        <v>185/2011</v>
      </c>
      <c r="FH615" s="0" t="n">
        <v>1</v>
      </c>
      <c r="FI615" s="0" t="n">
        <f aca="false">IFERROR(IF((FC615-J615+1)/365&gt;3,0,1),"")</f>
        <v>1</v>
      </c>
    </row>
    <row r="616" customFormat="false" ht="15" hidden="false" customHeight="false" outlineLevel="0" collapsed="false">
      <c r="A616" s="5" t="str">
        <f aca="false">E616&amp;G616&amp;F616</f>
        <v>72011186</v>
      </c>
      <c r="B616" s="0" t="s">
        <v>5573</v>
      </c>
      <c r="C616" s="1" t="n">
        <v>42362</v>
      </c>
      <c r="E616" s="0" t="n">
        <v>7</v>
      </c>
      <c r="F616" s="0" t="n">
        <v>186</v>
      </c>
      <c r="G616" s="0" t="n">
        <v>2011</v>
      </c>
      <c r="H616" s="0" t="str">
        <f aca="false">"J"&amp;E616&amp;"\"&amp;F616&amp;"\"&amp;G616&amp;"\"&amp;W616</f>
        <v>J7\186\2011\1</v>
      </c>
      <c r="I616" s="0"/>
      <c r="J616" s="1" t="n">
        <v>40571</v>
      </c>
      <c r="K616" s="0" t="n">
        <v>0</v>
      </c>
      <c r="M616" s="1" t="n">
        <v>40571</v>
      </c>
      <c r="N616" s="1" t="n">
        <v>40646</v>
      </c>
      <c r="O616" s="1"/>
      <c r="P616" s="1"/>
      <c r="Q616" s="1"/>
      <c r="T616" s="121"/>
      <c r="U616" s="121"/>
      <c r="V616" s="122" t="n">
        <f aca="false">IF(AND(E616&gt;0,F616&gt;0,G616&gt;0),COUNTIFS($E:$E,E616,$F:$F,F616,$G:$G,G616),"")</f>
        <v>1</v>
      </c>
      <c r="W616" s="122" t="n">
        <f aca="false">IF(V616="","",IF(V616=1,1,IF(AND(E615=E616,F615=F616,G615=G616),W615+1,1)))</f>
        <v>1</v>
      </c>
      <c r="X616" s="0" t="n">
        <v>1</v>
      </c>
      <c r="Y616" s="0" t="n">
        <v>4</v>
      </c>
      <c r="Z616" s="0" t="s">
        <v>5655</v>
      </c>
      <c r="AA616" s="0" t="n">
        <v>0</v>
      </c>
      <c r="AB616" s="0" t="s">
        <v>5656</v>
      </c>
      <c r="AC616" s="0" t="s">
        <v>221</v>
      </c>
      <c r="AD616" s="0" t="s">
        <v>2218</v>
      </c>
      <c r="AE616" s="0" t="n">
        <v>0</v>
      </c>
      <c r="AF616" s="0" t="s">
        <v>5657</v>
      </c>
      <c r="AG616" s="0" t="n">
        <v>0</v>
      </c>
      <c r="AH616" s="0" t="s">
        <v>5658</v>
      </c>
      <c r="AI616" s="0" t="s">
        <v>5659</v>
      </c>
      <c r="AJ616" s="0" t="s">
        <v>2218</v>
      </c>
      <c r="AL616" s="0" t="s">
        <v>5660</v>
      </c>
      <c r="AM616" s="0" t="n">
        <v>1</v>
      </c>
      <c r="AN616" s="0" t="s">
        <v>5658</v>
      </c>
      <c r="AO616" s="0" t="s">
        <v>5659</v>
      </c>
      <c r="AP616" s="0" t="s">
        <v>2218</v>
      </c>
      <c r="AR616" s="0" t="s">
        <v>5661</v>
      </c>
      <c r="AS616" s="0" t="n">
        <v>1</v>
      </c>
      <c r="AT616" s="0" t="s">
        <v>5658</v>
      </c>
      <c r="AU616" s="0" t="s">
        <v>5659</v>
      </c>
      <c r="AV616" s="0" t="s">
        <v>2218</v>
      </c>
      <c r="AX616" s="0" t="s">
        <v>5662</v>
      </c>
      <c r="AY616" s="0" t="n">
        <v>1</v>
      </c>
      <c r="AZ616" s="0" t="s">
        <v>5658</v>
      </c>
      <c r="BA616" s="0" t="s">
        <v>5659</v>
      </c>
      <c r="BB616" s="0" t="s">
        <v>2218</v>
      </c>
      <c r="BR616" s="0" t="n">
        <v>1</v>
      </c>
      <c r="BS616" s="0" t="s">
        <v>5663</v>
      </c>
      <c r="BT616" s="0" t="s">
        <v>5664</v>
      </c>
      <c r="BU616" s="0" t="s">
        <v>5665</v>
      </c>
      <c r="BV616" s="123"/>
      <c r="BW616" s="123"/>
      <c r="BX616" s="123"/>
      <c r="BY616" s="123"/>
      <c r="CA616" s="0" t="s">
        <v>216</v>
      </c>
      <c r="CD616" s="0" t="s">
        <v>256</v>
      </c>
      <c r="CE616" s="0" t="n">
        <v>1</v>
      </c>
      <c r="CF616" s="0" t="s">
        <v>968</v>
      </c>
      <c r="CI616" s="1" t="n">
        <v>40436</v>
      </c>
      <c r="CJ616" s="1" t="n">
        <v>40558</v>
      </c>
      <c r="CK616" s="124" t="n">
        <v>0.625</v>
      </c>
      <c r="CL616" s="0" t="s">
        <v>5666</v>
      </c>
      <c r="CM616" s="0" t="n">
        <f aca="false">IF(OR(CI616="",CJ616=""),"",DAYS360(CI616,CJ616)/360)</f>
        <v>0.333333333333333</v>
      </c>
      <c r="CN616" s="0" t="n">
        <f aca="false">IF(OR(CI616="",CJ616=""),"",DAYS360(CI616,CJ616)/30)</f>
        <v>4</v>
      </c>
      <c r="CO616" s="0" t="n">
        <f aca="false">IF(OR(CI616="",CJ616=""),"",DAYS360(CI616,CJ616)/7)</f>
        <v>17.1428571428571</v>
      </c>
      <c r="CP616" s="0" t="n">
        <f aca="false">IF(OR(CI616="",CJ616=""),"",DAYS360(CI616,CJ616))</f>
        <v>120</v>
      </c>
      <c r="CQ616" s="0" t="s">
        <v>240</v>
      </c>
      <c r="CR616" s="0" t="n">
        <v>1</v>
      </c>
      <c r="CT616" s="0" t="n">
        <v>300</v>
      </c>
      <c r="CU616" s="0" t="n">
        <v>0</v>
      </c>
      <c r="CV616" s="0" t="n">
        <f aca="false">IF(OR(CT616="",CT616="NO ESPECIFICA",CT616="NO MENCIONA"),"",IF(CU616=0,CT616,IF(CU616=1,CT616/30,IF(CU616=2,CT616/15,IF(CU616=3,CT616/7,"")))))</f>
        <v>300</v>
      </c>
      <c r="CW616" s="125" t="n">
        <v>791.64</v>
      </c>
      <c r="CX616" s="0" t="n">
        <v>0</v>
      </c>
      <c r="CY616" s="0" t="n">
        <f aca="false">IF(CW616="","",IF(CX616=0,CW616,IF(CX616=1,CW616/30,IF(CX616=2,CW616/15,IF(CX616=3,CW616/7,CW616)))))</f>
        <v>791.64</v>
      </c>
      <c r="CZ616" s="0" t="n">
        <f aca="false">IF(DI616&gt;0,DI616,IF(CY616&gt;0,CY616,IF(CV616&gt;0,CV616,"")))</f>
        <v>791.64</v>
      </c>
      <c r="DA616" s="0" t="n">
        <f aca="false">IF(DM616=1,CZ616/8,IF(OR(DM616=2,DM616=4),CZ616/7,IF(DM616=3,CZ616/7.5,"")))</f>
        <v>98.955</v>
      </c>
      <c r="DB616" s="0" t="s">
        <v>2046</v>
      </c>
      <c r="DC616" s="0" t="s">
        <v>302</v>
      </c>
      <c r="DD616" s="0" t="s">
        <v>301</v>
      </c>
      <c r="DE616" s="0" t="s">
        <v>1119</v>
      </c>
      <c r="DF616" s="0" t="s">
        <v>299</v>
      </c>
      <c r="DG616" s="0" t="s">
        <v>5667</v>
      </c>
      <c r="DH616" s="0" t="n">
        <v>0</v>
      </c>
      <c r="DI616" s="126" t="n">
        <v>791.64</v>
      </c>
      <c r="DK616" s="0" t="n">
        <v>0</v>
      </c>
      <c r="DM616" s="0" t="n">
        <v>1</v>
      </c>
      <c r="DN616" s="0" t="n">
        <v>91</v>
      </c>
      <c r="DO616" s="0" t="n">
        <v>3</v>
      </c>
      <c r="DP616" s="0" t="n">
        <v>0</v>
      </c>
      <c r="DQ616" s="0" t="n">
        <v>1</v>
      </c>
      <c r="DR616" s="0"/>
      <c r="DS616" s="0" t="n">
        <v>1</v>
      </c>
      <c r="DU616" s="0" t="n">
        <v>1</v>
      </c>
      <c r="DW616" s="1" t="n">
        <v>40436</v>
      </c>
      <c r="DX616" s="1" t="n">
        <v>40558</v>
      </c>
      <c r="DZ616" s="0"/>
      <c r="EA616" s="0" t="n">
        <v>1</v>
      </c>
      <c r="EC616" s="1" t="n">
        <v>40436</v>
      </c>
      <c r="ED616" s="1" t="n">
        <v>40558</v>
      </c>
      <c r="EF616" s="0"/>
      <c r="EG616" s="0" t="n">
        <v>1</v>
      </c>
      <c r="EH616" s="0" t="n">
        <v>35</v>
      </c>
      <c r="EI616" s="0" t="n">
        <f aca="false">IF(AND(DM616=1,DN616&lt;=48),"",IF(AND(DM616=2,DN616&lt;=42),"",IF(AND(DM616=3,DN616&lt;=45),"",EH616)))</f>
        <v>35</v>
      </c>
      <c r="EJ616" s="0" t="n">
        <f aca="false">IF(EI616="","",IF(EI616&lt;9,EI616,9))</f>
        <v>9</v>
      </c>
      <c r="EK616" s="0" t="n">
        <f aca="false">IF(EI616="","",IF(EI616&gt;9,EI616-EJ616,0))</f>
        <v>26</v>
      </c>
      <c r="EL616" s="0" t="n">
        <f aca="false">IF(EI616="","",EJ616*DA616*2+EK616*DA616*3)</f>
        <v>9499.68</v>
      </c>
      <c r="EP616" s="0" t="n">
        <v>0</v>
      </c>
      <c r="EQ616" s="0"/>
      <c r="ER616" s="0" t="n">
        <v>1</v>
      </c>
      <c r="ET616" s="0" t="n">
        <v>1</v>
      </c>
      <c r="EV616" s="0" t="n">
        <v>1</v>
      </c>
      <c r="EX616" s="0" t="n">
        <v>1</v>
      </c>
      <c r="EY616" s="0" t="n">
        <v>1</v>
      </c>
      <c r="EZ616" s="0"/>
      <c r="FA616" s="4" t="n">
        <v>106871.4</v>
      </c>
      <c r="FB616" s="0" t="n">
        <v>0</v>
      </c>
      <c r="FC616" s="1" t="n">
        <v>40730</v>
      </c>
      <c r="FD616" s="0" t="n">
        <v>2</v>
      </c>
      <c r="FE616" s="0" t="n">
        <v>0</v>
      </c>
      <c r="FF616" s="120" t="n">
        <f aca="false">(CJ616-CI616+1)/365</f>
        <v>0.336986301369863</v>
      </c>
      <c r="FG616" s="0" t="str">
        <f aca="false">CONCATENATE(F616,"/",G616)</f>
        <v>186/2011</v>
      </c>
      <c r="FH616" s="0" t="n">
        <v>1</v>
      </c>
      <c r="FI616" s="0" t="n">
        <f aca="false">IFERROR(IF((FC616-J616+1)/365&gt;3,0,1),"")</f>
        <v>1</v>
      </c>
    </row>
    <row r="617" customFormat="false" ht="15" hidden="false" customHeight="false" outlineLevel="0" collapsed="false">
      <c r="A617" s="5" t="str">
        <f aca="false">E617&amp;G617&amp;F617</f>
        <v>72011207</v>
      </c>
      <c r="B617" s="0" t="s">
        <v>5573</v>
      </c>
      <c r="C617" s="1" t="n">
        <v>42362</v>
      </c>
      <c r="E617" s="0" t="n">
        <v>7</v>
      </c>
      <c r="F617" s="0" t="n">
        <v>207</v>
      </c>
      <c r="G617" s="0" t="n">
        <v>2011</v>
      </c>
      <c r="H617" s="0" t="str">
        <f aca="false">"J"&amp;E617&amp;"\"&amp;F617&amp;"\"&amp;G617&amp;"\"&amp;W617</f>
        <v>J7\207\2011\1</v>
      </c>
      <c r="I617" s="0"/>
      <c r="J617" s="1" t="n">
        <v>40575</v>
      </c>
      <c r="K617" s="0" t="n">
        <v>0</v>
      </c>
      <c r="M617" s="1" t="n">
        <v>40575</v>
      </c>
      <c r="N617" s="1" t="n">
        <v>40644</v>
      </c>
      <c r="O617" s="1"/>
      <c r="P617" s="1"/>
      <c r="Q617" s="1"/>
      <c r="T617" s="121"/>
      <c r="U617" s="121"/>
      <c r="V617" s="122" t="n">
        <f aca="false">IF(AND(E617&gt;0,F617&gt;0,G617&gt;0),COUNTIFS($E:$E,E617,$F:$F,F617,$G:$G,G617),"")</f>
        <v>1</v>
      </c>
      <c r="W617" s="122" t="n">
        <f aca="false">IF(V617="","",IF(V617=1,1,IF(AND(E616=E617,F616=F617,G616=G617),W616+1,1)))</f>
        <v>1</v>
      </c>
      <c r="X617" s="0" t="n">
        <v>1</v>
      </c>
      <c r="Y617" s="0" t="n">
        <v>15</v>
      </c>
      <c r="Z617" s="0" t="s">
        <v>5668</v>
      </c>
      <c r="AA617" s="0" t="n">
        <v>0</v>
      </c>
      <c r="AB617" s="0" t="s">
        <v>5669</v>
      </c>
      <c r="AC617" s="0" t="s">
        <v>244</v>
      </c>
      <c r="AD617" s="0" t="s">
        <v>221</v>
      </c>
      <c r="AE617" s="0" t="n">
        <v>0</v>
      </c>
      <c r="AF617" s="0" t="s">
        <v>5670</v>
      </c>
      <c r="AG617" s="0" t="n">
        <v>0</v>
      </c>
      <c r="AH617" s="0" t="s">
        <v>5671</v>
      </c>
      <c r="AI617" s="0" t="s">
        <v>5672</v>
      </c>
      <c r="AJ617" s="0" t="s">
        <v>5673</v>
      </c>
      <c r="AL617" s="0" t="s">
        <v>5674</v>
      </c>
      <c r="AM617" s="0" t="n">
        <v>0</v>
      </c>
      <c r="AN617" s="0" t="s">
        <v>5671</v>
      </c>
      <c r="AO617" s="0" t="s">
        <v>5672</v>
      </c>
      <c r="AP617" s="0" t="s">
        <v>5673</v>
      </c>
      <c r="AR617" s="0" t="s">
        <v>5675</v>
      </c>
      <c r="AS617" s="0" t="n">
        <v>0</v>
      </c>
      <c r="AT617" s="0" t="s">
        <v>5671</v>
      </c>
      <c r="AU617" s="0" t="s">
        <v>5672</v>
      </c>
      <c r="AV617" s="0" t="s">
        <v>5673</v>
      </c>
      <c r="AX617" s="0" t="s">
        <v>5676</v>
      </c>
      <c r="AY617" s="0" t="n">
        <v>0</v>
      </c>
      <c r="AZ617" s="0" t="s">
        <v>5671</v>
      </c>
      <c r="BA617" s="0" t="s">
        <v>5672</v>
      </c>
      <c r="BB617" s="0" t="s">
        <v>5673</v>
      </c>
      <c r="BD617" s="0" t="s">
        <v>5677</v>
      </c>
      <c r="BE617" s="0" t="n">
        <v>0</v>
      </c>
      <c r="BF617" s="0" t="s">
        <v>5671</v>
      </c>
      <c r="BG617" s="0" t="s">
        <v>5672</v>
      </c>
      <c r="BH617" s="0" t="s">
        <v>5673</v>
      </c>
      <c r="BJ617" s="0" t="s">
        <v>5678</v>
      </c>
      <c r="BK617" s="0" t="n">
        <v>0</v>
      </c>
      <c r="BL617" s="0" t="s">
        <v>5671</v>
      </c>
      <c r="BM617" s="0" t="s">
        <v>5672</v>
      </c>
      <c r="BN617" s="0" t="s">
        <v>5673</v>
      </c>
      <c r="BR617" s="0" t="n">
        <v>1</v>
      </c>
      <c r="BS617" s="0" t="s">
        <v>1181</v>
      </c>
      <c r="BT617" s="0" t="s">
        <v>1668</v>
      </c>
      <c r="BU617" s="0" t="s">
        <v>5679</v>
      </c>
      <c r="BV617" s="123"/>
      <c r="BW617" s="123"/>
      <c r="BX617" s="123"/>
      <c r="BY617" s="123"/>
      <c r="CA617" s="0" t="s">
        <v>216</v>
      </c>
      <c r="CD617" s="0" t="s">
        <v>5680</v>
      </c>
      <c r="CE617" s="0" t="n">
        <v>0</v>
      </c>
      <c r="CF617" s="0" t="s">
        <v>5681</v>
      </c>
      <c r="CI617" s="1" t="n">
        <v>34673</v>
      </c>
      <c r="CJ617" s="1" t="n">
        <v>40522</v>
      </c>
      <c r="CK617" s="124" t="n">
        <v>0.375</v>
      </c>
      <c r="CL617" s="0" t="s">
        <v>341</v>
      </c>
      <c r="CM617" s="0" t="n">
        <f aca="false">IF(OR(CI617="",CJ617=""),"",DAYS360(CI617,CJ617)/360)</f>
        <v>16.0138888888889</v>
      </c>
      <c r="CN617" s="0" t="n">
        <f aca="false">IF(OR(CI617="",CJ617=""),"",DAYS360(CI617,CJ617)/30)</f>
        <v>192.166666666667</v>
      </c>
      <c r="CO617" s="0" t="n">
        <f aca="false">IF(OR(CI617="",CJ617=""),"",DAYS360(CI617,CJ617)/7)</f>
        <v>823.571428571429</v>
      </c>
      <c r="CP617" s="0" t="n">
        <f aca="false">IF(OR(CI617="",CJ617=""),"",DAYS360(CI617,CJ617))</f>
        <v>5765</v>
      </c>
      <c r="CQ617" s="0" t="s">
        <v>220</v>
      </c>
      <c r="CR617" s="0" t="n">
        <v>1</v>
      </c>
      <c r="CT617" s="0" t="n">
        <v>423</v>
      </c>
      <c r="CU617" s="0" t="n">
        <v>0</v>
      </c>
      <c r="CV617" s="0" t="n">
        <f aca="false">IF(OR(CT617="",CT617="NO ESPECIFICA",CT617="NO MENCIONA"),"",IF(CU617=0,CT617,IF(CU617=1,CT617/30,IF(CU617=2,CT617/15,IF(CU617=3,CT617/7,"")))))</f>
        <v>423</v>
      </c>
      <c r="CW617" s="125" t="n">
        <v>467</v>
      </c>
      <c r="CX617" s="0" t="n">
        <v>0</v>
      </c>
      <c r="CY617" s="0" t="n">
        <f aca="false">IF(CW617="","",IF(CX617=0,CW617,IF(CX617=1,CW617/30,IF(CX617=2,CW617/15,IF(CX617=3,CW617/7,CW617)))))</f>
        <v>467</v>
      </c>
      <c r="CZ617" s="0" t="n">
        <f aca="false">IF(DI617&gt;0,DI617,IF(CY617&gt;0,CY617,IF(CV617&gt;0,CV617,"")))</f>
        <v>467</v>
      </c>
      <c r="DA617" s="0" t="n">
        <f aca="false">IF(DM617=1,CZ617/8,IF(OR(DM617=2,DM617=4),CZ617/7,IF(DM617=3,CZ617/7.5,"")))</f>
        <v>58.375</v>
      </c>
      <c r="DB617" s="0" t="s">
        <v>302</v>
      </c>
      <c r="DC617" s="0" t="s">
        <v>303</v>
      </c>
      <c r="DD617" s="0" t="s">
        <v>301</v>
      </c>
      <c r="DE617" s="0" t="s">
        <v>216</v>
      </c>
      <c r="DF617" s="0" t="s">
        <v>216</v>
      </c>
      <c r="DG617" s="0" t="s">
        <v>216</v>
      </c>
      <c r="DH617" s="0" t="n">
        <v>0</v>
      </c>
      <c r="DI617" s="126" t="n">
        <v>467</v>
      </c>
      <c r="DK617" s="0" t="n">
        <v>0</v>
      </c>
      <c r="DM617" s="0" t="n">
        <v>1</v>
      </c>
      <c r="DN617" s="0" t="n">
        <v>66</v>
      </c>
      <c r="DO617" s="0" t="n">
        <v>3</v>
      </c>
      <c r="DP617" s="0" t="n">
        <v>1</v>
      </c>
      <c r="DQ617" s="0" t="n">
        <v>0</v>
      </c>
      <c r="DR617" s="0"/>
      <c r="DS617" s="0" t="n">
        <v>1</v>
      </c>
      <c r="DU617" s="0" t="n">
        <v>1</v>
      </c>
      <c r="DW617" s="1" t="n">
        <v>34673</v>
      </c>
      <c r="DX617" s="1" t="n">
        <v>40522</v>
      </c>
      <c r="DZ617" s="0"/>
      <c r="EA617" s="0" t="n">
        <v>1</v>
      </c>
      <c r="EC617" s="1" t="n">
        <v>34673</v>
      </c>
      <c r="ED617" s="1" t="n">
        <v>40522</v>
      </c>
      <c r="EF617" s="0"/>
      <c r="EG617" s="0" t="n">
        <v>1</v>
      </c>
      <c r="EH617" s="0" t="n">
        <v>18</v>
      </c>
      <c r="EI617" s="0" t="n">
        <f aca="false">IF(AND(DM617=1,DN617&lt;=48),"",IF(AND(DM617=2,DN617&lt;=42),"",IF(AND(DM617=3,DN617&lt;=45),"",EH617)))</f>
        <v>18</v>
      </c>
      <c r="EJ617" s="0" t="n">
        <f aca="false">IF(EI617="","",IF(EI617&lt;9,EI617,9))</f>
        <v>9</v>
      </c>
      <c r="EK617" s="0" t="n">
        <f aca="false">IF(EI617="","",IF(EI617&gt;9,EI617-EJ617,0))</f>
        <v>9</v>
      </c>
      <c r="EL617" s="0" t="n">
        <f aca="false">IF(EI617="","",EJ617*DA617*2+EK617*DA617*3)</f>
        <v>2626.875</v>
      </c>
      <c r="EP617" s="0" t="n">
        <v>0</v>
      </c>
      <c r="EQ617" s="0"/>
      <c r="ER617" s="0" t="n">
        <v>1</v>
      </c>
      <c r="ET617" s="0" t="n">
        <v>0</v>
      </c>
      <c r="EV617" s="0" t="n">
        <v>1</v>
      </c>
      <c r="EX617" s="0" t="n">
        <v>1</v>
      </c>
      <c r="EY617" s="0" t="n">
        <v>1</v>
      </c>
      <c r="EZ617" s="0"/>
      <c r="FA617" s="4" t="n">
        <v>0</v>
      </c>
      <c r="FB617" s="0" t="n">
        <v>1</v>
      </c>
      <c r="FC617" s="1" t="n">
        <v>41438</v>
      </c>
      <c r="FD617" s="0" t="n">
        <v>1</v>
      </c>
      <c r="FE617" s="0" t="n">
        <v>100000</v>
      </c>
      <c r="FF617" s="120" t="n">
        <f aca="false">(CJ617-CI617+1)/365</f>
        <v>16.027397260274</v>
      </c>
      <c r="FG617" s="0" t="str">
        <f aca="false">CONCATENATE(F617,"/",G617)</f>
        <v>207/2011</v>
      </c>
      <c r="FH617" s="0" t="n">
        <v>1</v>
      </c>
      <c r="FI617" s="0" t="n">
        <f aca="false">IFERROR(IF((FC617-J617+1)/365&gt;3,0,1),"")</f>
        <v>1</v>
      </c>
    </row>
    <row r="618" customFormat="false" ht="15" hidden="false" customHeight="false" outlineLevel="0" collapsed="false">
      <c r="A618" s="5" t="str">
        <f aca="false">E618&amp;G618&amp;F618</f>
        <v>72011212</v>
      </c>
      <c r="B618" s="0" t="s">
        <v>5573</v>
      </c>
      <c r="C618" s="1" t="n">
        <v>42362</v>
      </c>
      <c r="E618" s="0" t="n">
        <v>7</v>
      </c>
      <c r="F618" s="0" t="n">
        <v>212</v>
      </c>
      <c r="G618" s="0" t="n">
        <v>2011</v>
      </c>
      <c r="H618" s="0" t="str">
        <f aca="false">"J"&amp;E618&amp;"\"&amp;F618&amp;"\"&amp;G618&amp;"\"&amp;W618</f>
        <v>J7\212\2011\1</v>
      </c>
      <c r="I618" s="0"/>
      <c r="J618" s="1" t="n">
        <v>40575</v>
      </c>
      <c r="K618" s="0" t="n">
        <v>0</v>
      </c>
      <c r="M618" s="1" t="n">
        <v>40575</v>
      </c>
      <c r="N618" s="1" t="n">
        <v>40652</v>
      </c>
      <c r="O618" s="1"/>
      <c r="P618" s="1"/>
      <c r="Q618" s="1"/>
      <c r="T618" s="121"/>
      <c r="U618" s="121"/>
      <c r="V618" s="122" t="n">
        <f aca="false">IF(AND(E618&gt;0,F618&gt;0,G618&gt;0),COUNTIFS($E:$E,E618,$F:$F,F618,$G:$G,G618),"")</f>
        <v>1</v>
      </c>
      <c r="W618" s="122" t="n">
        <f aca="false">IF(V618="","",IF(V618=1,1,IF(AND(E617=E618,F617=F618,G617=G618),W617+1,1)))</f>
        <v>1</v>
      </c>
      <c r="X618" s="0" t="n">
        <v>1</v>
      </c>
      <c r="Y618" s="0" t="n">
        <v>3</v>
      </c>
      <c r="Z618" s="0" t="s">
        <v>5682</v>
      </c>
      <c r="AA618" s="0" t="n">
        <v>0</v>
      </c>
      <c r="AB618" s="0" t="s">
        <v>5683</v>
      </c>
      <c r="AC618" s="0" t="s">
        <v>287</v>
      </c>
      <c r="AD618" s="0" t="s">
        <v>2218</v>
      </c>
      <c r="AE618" s="0" t="n">
        <v>0</v>
      </c>
      <c r="AF618" s="0" t="s">
        <v>5684</v>
      </c>
      <c r="AG618" s="0" t="n">
        <v>0</v>
      </c>
      <c r="AH618" s="0" t="s">
        <v>5685</v>
      </c>
      <c r="AI618" s="0" t="s">
        <v>5686</v>
      </c>
      <c r="AJ618" s="0" t="s">
        <v>2206</v>
      </c>
      <c r="AL618" s="0" t="s">
        <v>5687</v>
      </c>
      <c r="AM618" s="0" t="n">
        <v>1</v>
      </c>
      <c r="AN618" s="0" t="s">
        <v>5685</v>
      </c>
      <c r="AO618" s="0" t="s">
        <v>5686</v>
      </c>
      <c r="AP618" s="0" t="s">
        <v>2206</v>
      </c>
      <c r="AR618" s="0" t="s">
        <v>5688</v>
      </c>
      <c r="AS618" s="0" t="n">
        <v>1</v>
      </c>
      <c r="AT618" s="0" t="s">
        <v>5685</v>
      </c>
      <c r="AU618" s="0" t="s">
        <v>5686</v>
      </c>
      <c r="AV618" s="0" t="s">
        <v>2206</v>
      </c>
      <c r="BR618" s="0" t="n">
        <v>1</v>
      </c>
      <c r="BS618" s="0" t="s">
        <v>5689</v>
      </c>
      <c r="BT618" s="0" t="s">
        <v>5690</v>
      </c>
      <c r="BU618" s="0" t="s">
        <v>5691</v>
      </c>
      <c r="BV618" s="123"/>
      <c r="BW618" s="123"/>
      <c r="BX618" s="123"/>
      <c r="BY618" s="123"/>
      <c r="CA618" s="0" t="s">
        <v>216</v>
      </c>
      <c r="CD618" s="0" t="s">
        <v>370</v>
      </c>
      <c r="CE618" s="0" t="n">
        <v>0</v>
      </c>
      <c r="CF618" s="0" t="s">
        <v>3907</v>
      </c>
      <c r="CI618" s="1" t="n">
        <v>36564</v>
      </c>
      <c r="CJ618" s="1" t="n">
        <v>40527</v>
      </c>
      <c r="CK618" s="124" t="n">
        <v>0.333333333333333</v>
      </c>
      <c r="CL618" s="0" t="s">
        <v>5692</v>
      </c>
      <c r="CM618" s="0" t="n">
        <f aca="false">IF(OR(CI618="",CJ618=""),"",DAYS360(CI618,CJ618)/360)</f>
        <v>10.8527777777778</v>
      </c>
      <c r="CN618" s="0" t="n">
        <f aca="false">IF(OR(CI618="",CJ618=""),"",DAYS360(CI618,CJ618)/30)</f>
        <v>130.233333333333</v>
      </c>
      <c r="CO618" s="0" t="n">
        <f aca="false">IF(OR(CI618="",CJ618=""),"",DAYS360(CI618,CJ618)/7)</f>
        <v>558.142857142857</v>
      </c>
      <c r="CP618" s="0" t="n">
        <f aca="false">IF(OR(CI618="",CJ618=""),"",DAYS360(CI618,CJ618))</f>
        <v>3907</v>
      </c>
      <c r="CQ618" s="0" t="s">
        <v>240</v>
      </c>
      <c r="CR618" s="0" t="n">
        <v>1</v>
      </c>
      <c r="CT618" s="0" t="n">
        <v>215</v>
      </c>
      <c r="CU618" s="0" t="n">
        <v>0</v>
      </c>
      <c r="CV618" s="0" t="n">
        <f aca="false">IF(OR(CT618="",CT618="NO ESPECIFICA",CT618="NO MENCIONA"),"",IF(CU618=0,CT618,IF(CU618=1,CT618/30,IF(CU618=2,CT618/15,IF(CU618=3,CT618/7,"")))))</f>
        <v>215</v>
      </c>
      <c r="CW618" s="125" t="n">
        <v>298.23</v>
      </c>
      <c r="CX618" s="0" t="n">
        <v>0</v>
      </c>
      <c r="CY618" s="0" t="n">
        <f aca="false">IF(CW618="","",IF(CX618=0,CW618,IF(CX618=1,CW618/30,IF(CX618=2,CW618/15,IF(CX618=3,CW618/7,CW618)))))</f>
        <v>298.23</v>
      </c>
      <c r="CZ618" s="0" t="n">
        <f aca="false">IF(DI618&gt;0,DI618,IF(CY618&gt;0,CY618,IF(CV618&gt;0,CV618,"")))</f>
        <v>298.23</v>
      </c>
      <c r="DA618" s="0" t="n">
        <f aca="false">IF(DM618=1,CZ618/8,IF(OR(DM618=2,DM618=4),CZ618/7,IF(DM618=3,CZ618/7.5,"")))</f>
        <v>37.27875</v>
      </c>
      <c r="DB618" s="0" t="s">
        <v>5693</v>
      </c>
      <c r="DC618" s="0" t="s">
        <v>301</v>
      </c>
      <c r="DD618" s="0" t="s">
        <v>302</v>
      </c>
      <c r="DE618" s="0" t="s">
        <v>303</v>
      </c>
      <c r="DF618" s="0" t="s">
        <v>259</v>
      </c>
      <c r="DG618" s="0" t="s">
        <v>5694</v>
      </c>
      <c r="DH618" s="0" t="n">
        <v>0</v>
      </c>
      <c r="DI618" s="126" t="n">
        <v>298.23</v>
      </c>
      <c r="DK618" s="0" t="n">
        <v>1</v>
      </c>
      <c r="DM618" s="0" t="n">
        <v>1</v>
      </c>
      <c r="DN618" s="0" t="n">
        <v>66</v>
      </c>
      <c r="DO618" s="0" t="n">
        <v>3</v>
      </c>
      <c r="DP618" s="0" t="n">
        <v>0</v>
      </c>
      <c r="DQ618" s="0" t="n">
        <v>1</v>
      </c>
      <c r="DR618" s="0" t="n">
        <v>26840.23</v>
      </c>
      <c r="DS618" s="0" t="n">
        <v>1</v>
      </c>
      <c r="DU618" s="0" t="n">
        <v>1</v>
      </c>
      <c r="DW618" s="1" t="n">
        <v>36564</v>
      </c>
      <c r="DX618" s="1" t="n">
        <v>40527</v>
      </c>
      <c r="DZ618" s="0"/>
      <c r="EA618" s="0" t="n">
        <v>1</v>
      </c>
      <c r="EC618" s="1" t="n">
        <v>36564</v>
      </c>
      <c r="ED618" s="1" t="n">
        <v>40527</v>
      </c>
      <c r="EF618" s="0"/>
      <c r="EG618" s="0" t="n">
        <v>1</v>
      </c>
      <c r="EH618" s="0" t="n">
        <v>18</v>
      </c>
      <c r="EI618" s="0" t="n">
        <f aca="false">IF(AND(DM618=1,DN618&lt;=48),"",IF(AND(DM618=2,DN618&lt;=42),"",IF(AND(DM618=3,DN618&lt;=45),"",EH618)))</f>
        <v>18</v>
      </c>
      <c r="EJ618" s="0" t="n">
        <f aca="false">IF(EI618="","",IF(EI618&lt;9,EI618,9))</f>
        <v>9</v>
      </c>
      <c r="EK618" s="0" t="n">
        <f aca="false">IF(EI618="","",IF(EI618&gt;9,EI618-EJ618,0))</f>
        <v>9</v>
      </c>
      <c r="EL618" s="0" t="n">
        <f aca="false">IF(EI618="","",EJ618*DA618*2+EK618*DA618*3)</f>
        <v>1677.54375</v>
      </c>
      <c r="EP618" s="0" t="n">
        <v>0</v>
      </c>
      <c r="EQ618" s="0"/>
      <c r="ER618" s="0" t="n">
        <v>0</v>
      </c>
      <c r="ET618" s="0" t="n">
        <v>0</v>
      </c>
      <c r="EV618" s="0" t="n">
        <v>0</v>
      </c>
      <c r="EX618" s="0" t="n">
        <v>0</v>
      </c>
      <c r="EY618" s="0" t="n">
        <v>0</v>
      </c>
      <c r="EZ618" s="0"/>
      <c r="FA618" s="4" t="n">
        <v>9460</v>
      </c>
      <c r="FB618" s="0" t="n">
        <v>1</v>
      </c>
      <c r="FC618" s="1" t="n">
        <v>41582</v>
      </c>
      <c r="FD618" s="0" t="n">
        <v>1</v>
      </c>
      <c r="FE618" s="0" t="n">
        <v>10000</v>
      </c>
      <c r="FF618" s="120" t="n">
        <f aca="false">(CJ618-CI618+1)/365</f>
        <v>10.8602739726027</v>
      </c>
      <c r="FG618" s="0" t="str">
        <f aca="false">CONCATENATE(F618,"/",G618)</f>
        <v>212/2011</v>
      </c>
      <c r="FH618" s="0" t="n">
        <v>1</v>
      </c>
      <c r="FI618" s="0" t="n">
        <f aca="false">IFERROR(IF((FC618-J618+1)/365&gt;3,0,1),"")</f>
        <v>1</v>
      </c>
    </row>
    <row r="619" customFormat="false" ht="15" hidden="false" customHeight="false" outlineLevel="0" collapsed="false">
      <c r="A619" s="5" t="str">
        <f aca="false">E619&amp;G619&amp;F619</f>
        <v>72011219</v>
      </c>
      <c r="B619" s="0" t="s">
        <v>5573</v>
      </c>
      <c r="C619" s="1" t="n">
        <v>42362</v>
      </c>
      <c r="E619" s="0" t="n">
        <v>7</v>
      </c>
      <c r="F619" s="0" t="n">
        <v>219</v>
      </c>
      <c r="G619" s="0" t="n">
        <v>2011</v>
      </c>
      <c r="H619" s="0" t="str">
        <f aca="false">"J"&amp;E619&amp;"\"&amp;F619&amp;"\"&amp;G619&amp;"\"&amp;W619</f>
        <v>J7\219\2011\1</v>
      </c>
      <c r="I619" s="0"/>
      <c r="J619" s="1" t="n">
        <v>40576</v>
      </c>
      <c r="K619" s="0" t="n">
        <v>0</v>
      </c>
      <c r="M619" s="1" t="n">
        <v>40576</v>
      </c>
      <c r="N619" s="1" t="n">
        <v>40645</v>
      </c>
      <c r="O619" s="1"/>
      <c r="P619" s="1"/>
      <c r="Q619" s="1"/>
      <c r="T619" s="121"/>
      <c r="U619" s="121"/>
      <c r="V619" s="122" t="n">
        <f aca="false">IF(AND(E619&gt;0,F619&gt;0,G619&gt;0),COUNTIFS($E:$E,E619,$F:$F,F619,$G:$G,G619),"")</f>
        <v>1</v>
      </c>
      <c r="W619" s="122" t="n">
        <f aca="false">IF(V619="","",IF(V619=1,1,IF(AND(E618=E619,F618=F619,G618=G619),W618+1,1)))</f>
        <v>1</v>
      </c>
      <c r="X619" s="0" t="n">
        <v>1</v>
      </c>
      <c r="Y619" s="0" t="n">
        <v>5</v>
      </c>
      <c r="Z619" s="0" t="s">
        <v>5695</v>
      </c>
      <c r="AA619" s="0" t="n">
        <v>0</v>
      </c>
      <c r="AB619" s="0" t="s">
        <v>5696</v>
      </c>
      <c r="AC619" s="0" t="s">
        <v>318</v>
      </c>
      <c r="AD619" s="0" t="s">
        <v>1160</v>
      </c>
      <c r="AE619" s="0" t="n">
        <v>0</v>
      </c>
      <c r="AF619" s="0" t="s">
        <v>5697</v>
      </c>
      <c r="AG619" s="0" t="n">
        <v>0</v>
      </c>
      <c r="AH619" s="0" t="s">
        <v>5698</v>
      </c>
      <c r="AI619" s="0" t="s">
        <v>5699</v>
      </c>
      <c r="AJ619" s="0" t="s">
        <v>2236</v>
      </c>
      <c r="AL619" s="0" t="s">
        <v>5700</v>
      </c>
      <c r="AM619" s="0" t="n">
        <v>1</v>
      </c>
      <c r="AN619" s="0" t="s">
        <v>5698</v>
      </c>
      <c r="AO619" s="0" t="s">
        <v>5699</v>
      </c>
      <c r="AP619" s="0" t="s">
        <v>2236</v>
      </c>
      <c r="AR619" s="0" t="s">
        <v>5701</v>
      </c>
      <c r="AS619" s="0" t="n">
        <v>1</v>
      </c>
      <c r="AT619" s="0" t="s">
        <v>5698</v>
      </c>
      <c r="AU619" s="0" t="s">
        <v>5699</v>
      </c>
      <c r="AV619" s="0" t="s">
        <v>2236</v>
      </c>
      <c r="AX619" s="0" t="s">
        <v>5702</v>
      </c>
      <c r="AY619" s="0" t="n">
        <v>0</v>
      </c>
      <c r="AZ619" s="0" t="s">
        <v>5703</v>
      </c>
      <c r="BA619" s="0" t="s">
        <v>1163</v>
      </c>
      <c r="BB619" s="0" t="s">
        <v>1160</v>
      </c>
      <c r="BD619" s="0" t="s">
        <v>5704</v>
      </c>
      <c r="BE619" s="0" t="n">
        <v>1</v>
      </c>
      <c r="BF619" s="0" t="s">
        <v>5703</v>
      </c>
      <c r="BG619" s="0" t="s">
        <v>1163</v>
      </c>
      <c r="BH619" s="0" t="s">
        <v>1160</v>
      </c>
      <c r="BR619" s="0" t="n">
        <v>1</v>
      </c>
      <c r="BS619" s="0" t="s">
        <v>5705</v>
      </c>
      <c r="BT619" s="0" t="s">
        <v>5706</v>
      </c>
      <c r="BU619" s="0" t="s">
        <v>5707</v>
      </c>
      <c r="BV619" s="123"/>
      <c r="BW619" s="123"/>
      <c r="BX619" s="123"/>
      <c r="BY619" s="123"/>
      <c r="CA619" s="0" t="s">
        <v>5708</v>
      </c>
      <c r="CD619" s="0" t="s">
        <v>296</v>
      </c>
      <c r="CE619" s="0" t="n">
        <v>0</v>
      </c>
      <c r="CF619" s="0" t="s">
        <v>503</v>
      </c>
      <c r="CI619" s="1" t="n">
        <v>38225</v>
      </c>
      <c r="CJ619" s="1" t="n">
        <v>40549</v>
      </c>
      <c r="CK619" s="124" t="n">
        <v>0.25</v>
      </c>
      <c r="CL619" s="0" t="s">
        <v>5704</v>
      </c>
      <c r="CM619" s="0" t="n">
        <f aca="false">IF(OR(CI619="",CJ619=""),"",DAYS360(CI619,CJ619)/360)</f>
        <v>6.36111111111111</v>
      </c>
      <c r="CN619" s="0" t="n">
        <f aca="false">IF(OR(CI619="",CJ619=""),"",DAYS360(CI619,CJ619)/30)</f>
        <v>76.3333333333333</v>
      </c>
      <c r="CO619" s="0" t="n">
        <f aca="false">IF(OR(CI619="",CJ619=""),"",DAYS360(CI619,CJ619)/7)</f>
        <v>327.142857142857</v>
      </c>
      <c r="CP619" s="0" t="n">
        <f aca="false">IF(OR(CI619="",CJ619=""),"",DAYS360(CI619,CJ619))</f>
        <v>2290</v>
      </c>
      <c r="CQ619" s="0" t="s">
        <v>240</v>
      </c>
      <c r="CR619" s="0" t="n">
        <v>1</v>
      </c>
      <c r="CT619" s="0" t="n">
        <v>250</v>
      </c>
      <c r="CU619" s="0" t="n">
        <v>0</v>
      </c>
      <c r="CV619" s="0" t="n">
        <f aca="false">IF(OR(CT619="",CT619="NO ESPECIFICA",CT619="NO MENCIONA"),"",IF(CU619=0,CT619,IF(CU619=1,CT619/30,IF(CU619=2,CT619/15,IF(CU619=3,CT619/7,"")))))</f>
        <v>250</v>
      </c>
      <c r="CW619" s="125" t="n">
        <v>290</v>
      </c>
      <c r="CX619" s="0" t="n">
        <v>0</v>
      </c>
      <c r="CY619" s="0" t="n">
        <f aca="false">IF(CW619="","",IF(CX619=0,CW619,IF(CX619=1,CW619/30,IF(CX619=2,CW619/15,IF(CX619=3,CW619/7,CW619)))))</f>
        <v>290</v>
      </c>
      <c r="CZ619" s="0" t="n">
        <f aca="false">IF(DI619&gt;0,DI619,IF(CY619&gt;0,CY619,IF(CV619&gt;0,CV619,"")))</f>
        <v>290</v>
      </c>
      <c r="DA619" s="0" t="n">
        <f aca="false">IF(DM619=1,CZ619/8,IF(OR(DM619=2,DM619=4),CZ619/7,IF(DM619=3,CZ619/7.5,"")))</f>
        <v>36.25</v>
      </c>
      <c r="DB619" s="0" t="s">
        <v>1582</v>
      </c>
      <c r="DC619" s="0" t="s">
        <v>216</v>
      </c>
      <c r="DD619" s="0" t="s">
        <v>216</v>
      </c>
      <c r="DE619" s="0" t="s">
        <v>216</v>
      </c>
      <c r="DF619" s="0" t="s">
        <v>216</v>
      </c>
      <c r="DG619" s="0" t="s">
        <v>216</v>
      </c>
      <c r="DH619" s="0" t="n">
        <v>0</v>
      </c>
      <c r="DI619" s="126" t="n">
        <v>290</v>
      </c>
      <c r="DK619" s="0" t="n">
        <v>0</v>
      </c>
      <c r="DM619" s="0" t="n">
        <v>1</v>
      </c>
      <c r="DN619" s="0" t="n">
        <v>60</v>
      </c>
      <c r="DO619" s="0" t="n">
        <v>3</v>
      </c>
      <c r="DP619" s="0" t="n">
        <v>0</v>
      </c>
      <c r="DQ619" s="0" t="n">
        <v>1</v>
      </c>
      <c r="DR619" s="0"/>
      <c r="DS619" s="0" t="n">
        <v>1</v>
      </c>
      <c r="DU619" s="0" t="n">
        <v>1</v>
      </c>
      <c r="DW619" s="1" t="s">
        <v>221</v>
      </c>
      <c r="DX619" s="1" t="s">
        <v>221</v>
      </c>
      <c r="DZ619" s="0"/>
      <c r="EA619" s="0" t="n">
        <v>1</v>
      </c>
      <c r="EC619" s="1" t="s">
        <v>221</v>
      </c>
      <c r="ED619" s="1" t="s">
        <v>221</v>
      </c>
      <c r="EF619" s="0"/>
      <c r="EG619" s="0" t="n">
        <v>1</v>
      </c>
      <c r="EH619" s="0" t="n">
        <v>12</v>
      </c>
      <c r="EI619" s="0" t="n">
        <f aca="false">IF(AND(DM619=1,DN619&lt;=48),"",IF(AND(DM619=2,DN619&lt;=42),"",IF(AND(DM619=3,DN619&lt;=45),"",EH619)))</f>
        <v>12</v>
      </c>
      <c r="EJ619" s="0" t="n">
        <f aca="false">IF(EI619="","",IF(EI619&lt;9,EI619,9))</f>
        <v>9</v>
      </c>
      <c r="EK619" s="0" t="n">
        <f aca="false">IF(EI619="","",IF(EI619&gt;9,EI619-EJ619,0))</f>
        <v>3</v>
      </c>
      <c r="EL619" s="0" t="n">
        <f aca="false">IF(EI619="","",EJ619*DA619*2+EK619*DA619*3)</f>
        <v>978.75</v>
      </c>
      <c r="EP619" s="0" t="n">
        <v>0</v>
      </c>
      <c r="EQ619" s="0"/>
      <c r="ER619" s="0" t="n">
        <v>0</v>
      </c>
      <c r="ET619" s="0" t="n">
        <v>1</v>
      </c>
      <c r="EV619" s="0" t="n">
        <v>1</v>
      </c>
      <c r="EX619" s="0" t="n">
        <v>1</v>
      </c>
      <c r="EY619" s="0" t="n">
        <v>1</v>
      </c>
      <c r="EZ619" s="4" t="n">
        <v>8250</v>
      </c>
      <c r="FA619" s="4" t="n">
        <v>2030</v>
      </c>
      <c r="FB619" s="0" t="n">
        <v>0</v>
      </c>
      <c r="FC619" s="1" t="n">
        <v>40737</v>
      </c>
      <c r="FD619" s="0" t="n">
        <v>1</v>
      </c>
      <c r="FE619" s="0" t="n">
        <v>18000.03</v>
      </c>
      <c r="FF619" s="120" t="n">
        <f aca="false">(CJ619-CI619+1)/365</f>
        <v>6.36986301369863</v>
      </c>
      <c r="FG619" s="0" t="str">
        <f aca="false">CONCATENATE(F619,"/",G619)</f>
        <v>219/2011</v>
      </c>
      <c r="FH619" s="0" t="n">
        <v>1</v>
      </c>
      <c r="FI619" s="0" t="n">
        <f aca="false">IFERROR(IF((FC619-J619+1)/365&gt;3,0,1),"")</f>
        <v>1</v>
      </c>
    </row>
    <row r="620" customFormat="false" ht="15" hidden="false" customHeight="false" outlineLevel="0" collapsed="false">
      <c r="A620" s="5" t="str">
        <f aca="false">E620&amp;G620&amp;F620</f>
        <v>72011220</v>
      </c>
      <c r="B620" s="0" t="s">
        <v>5573</v>
      </c>
      <c r="C620" s="1" t="n">
        <v>42362</v>
      </c>
      <c r="E620" s="0" t="n">
        <v>7</v>
      </c>
      <c r="F620" s="0" t="n">
        <v>220</v>
      </c>
      <c r="G620" s="0" t="n">
        <v>2011</v>
      </c>
      <c r="H620" s="0" t="str">
        <f aca="false">"J"&amp;E620&amp;"\"&amp;F620&amp;"\"&amp;G620&amp;"\"&amp;W620</f>
        <v>J7\220\2011\1</v>
      </c>
      <c r="I620" s="0"/>
      <c r="J620" s="1" t="n">
        <v>40576</v>
      </c>
      <c r="K620" s="0" t="n">
        <v>0</v>
      </c>
      <c r="M620" s="1" t="n">
        <v>40576</v>
      </c>
      <c r="N620" s="1" t="n">
        <v>40645</v>
      </c>
      <c r="O620" s="1"/>
      <c r="P620" s="1"/>
      <c r="Q620" s="1"/>
      <c r="T620" s="121"/>
      <c r="U620" s="121"/>
      <c r="V620" s="122" t="n">
        <f aca="false">IF(AND(E620&gt;0,F620&gt;0,G620&gt;0),COUNTIFS($E:$E,E620,$F:$F,F620,$G:$G,G620),"")</f>
        <v>1</v>
      </c>
      <c r="W620" s="122" t="n">
        <f aca="false">IF(V620="","",IF(V620=1,1,IF(AND(E619=E620,F619=F620,G619=G620),W619+1,1)))</f>
        <v>1</v>
      </c>
      <c r="X620" s="0" t="n">
        <v>1</v>
      </c>
      <c r="Y620" s="0" t="n">
        <v>4</v>
      </c>
      <c r="Z620" s="0" t="s">
        <v>5709</v>
      </c>
      <c r="AA620" s="0" t="n">
        <v>0</v>
      </c>
      <c r="AB620" s="0" t="s">
        <v>5710</v>
      </c>
      <c r="AC620" s="0" t="s">
        <v>228</v>
      </c>
      <c r="AD620" s="0" t="s">
        <v>1160</v>
      </c>
      <c r="AE620" s="0" t="n">
        <v>0</v>
      </c>
      <c r="AF620" s="0" t="s">
        <v>5711</v>
      </c>
      <c r="AG620" s="0" t="n">
        <v>0</v>
      </c>
      <c r="AH620" s="0" t="s">
        <v>5712</v>
      </c>
      <c r="AI620" s="0" t="s">
        <v>2791</v>
      </c>
      <c r="AJ620" s="0" t="s">
        <v>2340</v>
      </c>
      <c r="AL620" s="0" t="s">
        <v>5713</v>
      </c>
      <c r="AM620" s="0" t="n">
        <v>1</v>
      </c>
      <c r="AN620" s="0" t="s">
        <v>5712</v>
      </c>
      <c r="AO620" s="0" t="s">
        <v>2791</v>
      </c>
      <c r="AP620" s="0" t="s">
        <v>2340</v>
      </c>
      <c r="AR620" s="0" t="s">
        <v>5714</v>
      </c>
      <c r="AS620" s="0" t="n">
        <v>1</v>
      </c>
      <c r="AT620" s="0" t="s">
        <v>5712</v>
      </c>
      <c r="AU620" s="0" t="s">
        <v>2791</v>
      </c>
      <c r="AV620" s="0" t="s">
        <v>2340</v>
      </c>
      <c r="AX620" s="0" t="s">
        <v>5715</v>
      </c>
      <c r="AY620" s="0" t="n">
        <v>1</v>
      </c>
      <c r="AZ620" s="0" t="s">
        <v>5712</v>
      </c>
      <c r="BA620" s="0" t="s">
        <v>2791</v>
      </c>
      <c r="BB620" s="0" t="s">
        <v>2340</v>
      </c>
      <c r="BR620" s="0" t="n">
        <v>3</v>
      </c>
      <c r="BS620" s="0" t="s">
        <v>5716</v>
      </c>
      <c r="BT620" s="0" t="s">
        <v>500</v>
      </c>
      <c r="BU620" s="0" t="s">
        <v>501</v>
      </c>
      <c r="BV620" s="123"/>
      <c r="BW620" s="123"/>
      <c r="BX620" s="123"/>
      <c r="BY620" s="123"/>
      <c r="CA620" s="0" t="s">
        <v>348</v>
      </c>
      <c r="CD620" s="0" t="s">
        <v>296</v>
      </c>
      <c r="CE620" s="0" t="n">
        <v>0</v>
      </c>
      <c r="CF620" s="0" t="s">
        <v>1348</v>
      </c>
      <c r="CI620" s="1" t="n">
        <v>40360</v>
      </c>
      <c r="CJ620" s="1" t="n">
        <v>40519</v>
      </c>
      <c r="CK620" s="124" t="n">
        <v>0.625</v>
      </c>
      <c r="CL620" s="0" t="s">
        <v>5714</v>
      </c>
      <c r="CM620" s="0" t="n">
        <f aca="false">IF(OR(CI620="",CJ620=""),"",DAYS360(CI620,CJ620)/360)</f>
        <v>0.433333333333333</v>
      </c>
      <c r="CN620" s="0" t="n">
        <f aca="false">IF(OR(CI620="",CJ620=""),"",DAYS360(CI620,CJ620)/30)</f>
        <v>5.2</v>
      </c>
      <c r="CO620" s="0" t="n">
        <f aca="false">IF(OR(CI620="",CJ620=""),"",DAYS360(CI620,CJ620)/7)</f>
        <v>22.2857142857143</v>
      </c>
      <c r="CP620" s="0" t="n">
        <f aca="false">IF(OR(CI620="",CJ620=""),"",DAYS360(CI620,CJ620))</f>
        <v>156</v>
      </c>
      <c r="CQ620" s="0" t="s">
        <v>240</v>
      </c>
      <c r="CR620" s="0" t="n">
        <v>1</v>
      </c>
      <c r="CT620" s="0" t="n">
        <v>173.33</v>
      </c>
      <c r="CU620" s="0" t="n">
        <v>0</v>
      </c>
      <c r="CV620" s="0" t="n">
        <f aca="false">IF(OR(CT620="",CT620="NO ESPECIFICA",CT620="NO MENCIONA"),"",IF(CU620=0,CT620,IF(CU620=1,CT620/30,IF(CU620=2,CT620/15,IF(CU620=3,CT620/7,"")))))</f>
        <v>173.33</v>
      </c>
      <c r="CW620" s="125" t="n">
        <v>180.45</v>
      </c>
      <c r="CX620" s="0" t="n">
        <v>0</v>
      </c>
      <c r="CY620" s="0" t="n">
        <f aca="false">IF(CW620="","",IF(CX620=0,CW620,IF(CX620=1,CW620/30,IF(CX620=2,CW620/15,IF(CX620=3,CW620/7,CW620)))))</f>
        <v>180.45</v>
      </c>
      <c r="CZ620" s="0" t="n">
        <f aca="false">IF(DI620&gt;0,DI620,IF(CY620&gt;0,CY620,IF(CV620&gt;0,CV620,"")))</f>
        <v>180.45</v>
      </c>
      <c r="DA620" s="0" t="n">
        <f aca="false">IF(DM620=1,CZ620/8,IF(OR(DM620=2,DM620=4),CZ620/7,IF(DM620=3,CZ620/7.5,"")))</f>
        <v>22.55625</v>
      </c>
      <c r="DB620" s="0" t="s">
        <v>303</v>
      </c>
      <c r="DC620" s="0" t="s">
        <v>301</v>
      </c>
      <c r="DD620" s="0" t="s">
        <v>216</v>
      </c>
      <c r="DE620" s="0" t="s">
        <v>216</v>
      </c>
      <c r="DF620" s="0" t="s">
        <v>216</v>
      </c>
      <c r="DG620" s="0" t="s">
        <v>216</v>
      </c>
      <c r="DH620" s="0" t="n">
        <v>0</v>
      </c>
      <c r="DI620" s="126" t="n">
        <v>180.45</v>
      </c>
      <c r="DK620" s="0" t="n">
        <v>0</v>
      </c>
      <c r="DM620" s="0" t="n">
        <v>1</v>
      </c>
      <c r="DN620" s="0" t="n">
        <v>47.5</v>
      </c>
      <c r="DO620" s="0" t="n">
        <v>3</v>
      </c>
      <c r="DP620" s="0" t="n">
        <v>0</v>
      </c>
      <c r="DQ620" s="0" t="n">
        <v>1</v>
      </c>
      <c r="DR620" s="0"/>
      <c r="DS620" s="0" t="n">
        <v>1</v>
      </c>
      <c r="DU620" s="0" t="n">
        <v>1</v>
      </c>
      <c r="DW620" s="1" t="n">
        <v>40360</v>
      </c>
      <c r="DX620" s="1" t="n">
        <v>40519</v>
      </c>
      <c r="DZ620" s="0"/>
      <c r="EA620" s="0" t="n">
        <v>1</v>
      </c>
      <c r="EC620" s="1" t="n">
        <v>40360</v>
      </c>
      <c r="ED620" s="1" t="n">
        <v>40519</v>
      </c>
      <c r="EF620" s="0"/>
      <c r="EG620" s="0" t="n">
        <v>0</v>
      </c>
      <c r="EI620" s="0" t="str">
        <f aca="false">IF(AND(DM620=1,DN620&lt;=48),"",IF(AND(DM620=2,DN620&lt;=42),"",IF(AND(DM620=3,DN620&lt;=45),"",EH620)))</f>
        <v/>
      </c>
      <c r="EJ620" s="0" t="str">
        <f aca="false">IF(EI620="","",IF(EI620&lt;9,EI620,9))</f>
        <v/>
      </c>
      <c r="EK620" s="0" t="str">
        <f aca="false">IF(EI620="","",IF(EI620&gt;9,EI620-EJ620,0))</f>
        <v/>
      </c>
      <c r="EL620" s="0" t="str">
        <f aca="false">IF(EI620="","",EJ620*DA620*2+EK620*DA620*3)</f>
        <v/>
      </c>
      <c r="EP620" s="0" t="n">
        <v>0</v>
      </c>
      <c r="EQ620" s="0"/>
      <c r="ER620" s="0" t="n">
        <v>0</v>
      </c>
      <c r="ET620" s="0" t="n">
        <v>0</v>
      </c>
      <c r="EV620" s="0" t="n">
        <v>0</v>
      </c>
      <c r="EX620" s="0" t="n">
        <v>0</v>
      </c>
      <c r="EY620" s="0" t="n">
        <v>0</v>
      </c>
      <c r="EZ620" s="0"/>
      <c r="FA620" s="4" t="n">
        <v>0</v>
      </c>
      <c r="FB620" s="0" t="n">
        <v>1</v>
      </c>
      <c r="FC620" s="1" t="n">
        <v>40892</v>
      </c>
      <c r="FD620" s="0" t="n">
        <v>1</v>
      </c>
      <c r="FE620" s="0" t="n">
        <v>12000</v>
      </c>
      <c r="FF620" s="120" t="n">
        <f aca="false">(CJ620-CI620+1)/365</f>
        <v>0.438356164383562</v>
      </c>
      <c r="FG620" s="0" t="str">
        <f aca="false">CONCATENATE(F620,"/",G620)</f>
        <v>220/2011</v>
      </c>
      <c r="FH620" s="0" t="n">
        <v>1</v>
      </c>
      <c r="FI620" s="0" t="n">
        <f aca="false">IFERROR(IF((FC620-J620+1)/365&gt;3,0,1),"")</f>
        <v>1</v>
      </c>
    </row>
    <row r="621" customFormat="false" ht="15" hidden="false" customHeight="false" outlineLevel="0" collapsed="false">
      <c r="A621" s="5" t="str">
        <f aca="false">E621&amp;G621&amp;F621</f>
        <v>72011221</v>
      </c>
      <c r="B621" s="0" t="s">
        <v>5573</v>
      </c>
      <c r="C621" s="1" t="n">
        <v>42362</v>
      </c>
      <c r="E621" s="0" t="n">
        <v>7</v>
      </c>
      <c r="F621" s="0" t="n">
        <v>221</v>
      </c>
      <c r="G621" s="0" t="n">
        <v>2011</v>
      </c>
      <c r="H621" s="0" t="str">
        <f aca="false">"J"&amp;E621&amp;"\"&amp;F621&amp;"\"&amp;G621&amp;"\"&amp;W621</f>
        <v>J7\221\2011\1</v>
      </c>
      <c r="I621" s="0"/>
      <c r="J621" s="1" t="n">
        <v>40577</v>
      </c>
      <c r="K621" s="0" t="n">
        <v>1</v>
      </c>
      <c r="L621" s="0" t="s">
        <v>528</v>
      </c>
      <c r="M621" s="1" t="n">
        <v>40577</v>
      </c>
      <c r="N621" s="1" t="n">
        <v>40645</v>
      </c>
      <c r="O621" s="1"/>
      <c r="P621" s="1"/>
      <c r="Q621" s="1"/>
      <c r="T621" s="121"/>
      <c r="U621" s="121"/>
      <c r="V621" s="122" t="n">
        <f aca="false">IF(AND(E621&gt;0,F621&gt;0,G621&gt;0),COUNTIFS($E:$E,E621,$F:$F,F621,$G:$G,G621),"")</f>
        <v>1</v>
      </c>
      <c r="W621" s="122" t="n">
        <f aca="false">IF(V621="","",IF(V621=1,1,IF(AND(E620=E621,F620=F621,G620=G621),W620+1,1)))</f>
        <v>1</v>
      </c>
      <c r="X621" s="0" t="n">
        <v>1</v>
      </c>
      <c r="Y621" s="0" t="n">
        <v>7</v>
      </c>
      <c r="Z621" s="0" t="s">
        <v>5717</v>
      </c>
      <c r="AA621" s="0" t="n">
        <v>0</v>
      </c>
      <c r="AB621" s="0" t="s">
        <v>5042</v>
      </c>
      <c r="AC621" s="0" t="s">
        <v>789</v>
      </c>
      <c r="AD621" s="0" t="s">
        <v>221</v>
      </c>
      <c r="AE621" s="0" t="n">
        <v>0</v>
      </c>
      <c r="AF621" s="0" t="s">
        <v>5718</v>
      </c>
      <c r="AG621" s="0" t="n">
        <v>0</v>
      </c>
      <c r="AH621" s="0" t="s">
        <v>5719</v>
      </c>
      <c r="AI621" s="0" t="s">
        <v>5720</v>
      </c>
      <c r="AJ621" s="0" t="s">
        <v>2172</v>
      </c>
      <c r="AL621" s="0" t="s">
        <v>5721</v>
      </c>
      <c r="AM621" s="0" t="n">
        <v>0</v>
      </c>
      <c r="AN621" s="0" t="s">
        <v>5719</v>
      </c>
      <c r="AO621" s="0" t="s">
        <v>5720</v>
      </c>
      <c r="AP621" s="0" t="s">
        <v>2172</v>
      </c>
      <c r="AR621" s="0" t="s">
        <v>5722</v>
      </c>
      <c r="AS621" s="0" t="n">
        <v>0</v>
      </c>
      <c r="AT621" s="0" t="s">
        <v>5719</v>
      </c>
      <c r="AU621" s="0" t="s">
        <v>5720</v>
      </c>
      <c r="AV621" s="0" t="s">
        <v>2172</v>
      </c>
      <c r="AX621" s="0" t="s">
        <v>5723</v>
      </c>
      <c r="AY621" s="0" t="n">
        <v>0</v>
      </c>
      <c r="AZ621" s="0" t="s">
        <v>5719</v>
      </c>
      <c r="BA621" s="0" t="s">
        <v>5720</v>
      </c>
      <c r="BB621" s="0" t="s">
        <v>2172</v>
      </c>
      <c r="BD621" s="0" t="s">
        <v>5724</v>
      </c>
      <c r="BE621" s="0" t="n">
        <v>2</v>
      </c>
      <c r="BF621" s="0" t="s">
        <v>5719</v>
      </c>
      <c r="BG621" s="0" t="s">
        <v>5720</v>
      </c>
      <c r="BH621" s="0" t="s">
        <v>2172</v>
      </c>
      <c r="BJ621" s="0" t="s">
        <v>5725</v>
      </c>
      <c r="BK621" s="0" t="n">
        <v>0</v>
      </c>
      <c r="BL621" s="0" t="s">
        <v>5719</v>
      </c>
      <c r="BM621" s="0" t="s">
        <v>5720</v>
      </c>
      <c r="BN621" s="0" t="s">
        <v>2172</v>
      </c>
      <c r="BR621" s="0" t="n">
        <v>1</v>
      </c>
      <c r="BS621" s="0" t="s">
        <v>4405</v>
      </c>
      <c r="BT621" s="0" t="s">
        <v>5046</v>
      </c>
      <c r="BU621" s="0" t="s">
        <v>5047</v>
      </c>
      <c r="BV621" s="123"/>
      <c r="BW621" s="123"/>
      <c r="BX621" s="123"/>
      <c r="BY621" s="123"/>
      <c r="CA621" s="0" t="s">
        <v>4406</v>
      </c>
      <c r="CD621" s="0" t="s">
        <v>2546</v>
      </c>
      <c r="CE621" s="0" t="n">
        <v>0</v>
      </c>
      <c r="CF621" s="0" t="s">
        <v>5726</v>
      </c>
      <c r="CI621" s="1" t="n">
        <v>39221</v>
      </c>
      <c r="CJ621" s="1" t="n">
        <v>40546</v>
      </c>
      <c r="CK621" s="124" t="n">
        <v>0.666666666666667</v>
      </c>
      <c r="CL621" s="0" t="s">
        <v>5727</v>
      </c>
      <c r="CM621" s="0" t="n">
        <f aca="false">IF(OR(CI621="",CJ621=""),"",DAYS360(CI621,CJ621)/360)</f>
        <v>3.62222222222222</v>
      </c>
      <c r="CN621" s="0" t="n">
        <f aca="false">IF(OR(CI621="",CJ621=""),"",DAYS360(CI621,CJ621)/30)</f>
        <v>43.4666666666667</v>
      </c>
      <c r="CO621" s="0" t="n">
        <f aca="false">IF(OR(CI621="",CJ621=""),"",DAYS360(CI621,CJ621)/7)</f>
        <v>186.285714285714</v>
      </c>
      <c r="CP621" s="0" t="n">
        <f aca="false">IF(OR(CI621="",CJ621=""),"",DAYS360(CI621,CJ621))</f>
        <v>1304</v>
      </c>
      <c r="CQ621" s="0" t="s">
        <v>240</v>
      </c>
      <c r="CR621" s="0" t="n">
        <v>1</v>
      </c>
      <c r="CT621" s="0" t="n">
        <v>250</v>
      </c>
      <c r="CU621" s="0" t="n">
        <v>0</v>
      </c>
      <c r="CV621" s="0" t="n">
        <f aca="false">IF(OR(CT621="",CT621="NO ESPECIFICA",CT621="NO MENCIONA"),"",IF(CU621=0,CT621,IF(CU621=1,CT621/30,IF(CU621=2,CT621/15,IF(CU621=3,CT621/7,"")))))</f>
        <v>250</v>
      </c>
      <c r="CW621" s="125" t="n">
        <v>874.41</v>
      </c>
      <c r="CX621" s="0" t="n">
        <v>0</v>
      </c>
      <c r="CY621" s="0" t="n">
        <f aca="false">IF(CW621="","",IF(CX621=0,CW621,IF(CX621=1,CW621/30,IF(CX621=2,CW621/15,IF(CX621=3,CW621/7,CW621)))))</f>
        <v>874.41</v>
      </c>
      <c r="CZ621" s="0" t="n">
        <f aca="false">IF(DI621&gt;0,DI621,IF(CY621&gt;0,CY621,IF(CV621&gt;0,CV621,"")))</f>
        <v>874.41</v>
      </c>
      <c r="DA621" s="0" t="n">
        <f aca="false">IF(DM621=1,CZ621/8,IF(OR(DM621=2,DM621=4),CZ621/7,IF(DM621=3,CZ621/7.5,"")))</f>
        <v>109.30125</v>
      </c>
      <c r="DB621" s="0" t="s">
        <v>417</v>
      </c>
      <c r="DC621" s="0" t="s">
        <v>5728</v>
      </c>
      <c r="DD621" s="0" t="s">
        <v>299</v>
      </c>
      <c r="DE621" s="0" t="s">
        <v>627</v>
      </c>
      <c r="DF621" s="0" t="s">
        <v>5729</v>
      </c>
      <c r="DG621" s="0" t="s">
        <v>5730</v>
      </c>
      <c r="DH621" s="0" t="n">
        <v>0</v>
      </c>
      <c r="DI621" s="126" t="n">
        <v>874.41</v>
      </c>
      <c r="DK621" s="0" t="n">
        <v>0</v>
      </c>
      <c r="DM621" s="0" t="n">
        <v>1</v>
      </c>
      <c r="DN621" s="0" t="n">
        <v>66</v>
      </c>
      <c r="DO621" s="0" t="n">
        <v>3</v>
      </c>
      <c r="DP621" s="0" t="n">
        <v>0</v>
      </c>
      <c r="DQ621" s="0" t="n">
        <v>1</v>
      </c>
      <c r="DR621" s="0" t="n">
        <v>78697</v>
      </c>
      <c r="DS621" s="0" t="n">
        <v>1</v>
      </c>
      <c r="DT621" s="0" t="n">
        <v>5144</v>
      </c>
      <c r="DU621" s="0" t="n">
        <v>1</v>
      </c>
      <c r="DW621" s="1" t="n">
        <v>40317</v>
      </c>
      <c r="DX621" s="1" t="n">
        <v>40546</v>
      </c>
      <c r="DZ621" s="0" t="n">
        <v>10416</v>
      </c>
      <c r="EA621" s="0" t="n">
        <v>1</v>
      </c>
      <c r="EB621" s="0" t="n">
        <v>10416</v>
      </c>
      <c r="EC621" s="1" t="n">
        <v>40179</v>
      </c>
      <c r="ED621" s="1" t="n">
        <v>40546</v>
      </c>
      <c r="EF621" s="0" t="n">
        <v>12500</v>
      </c>
      <c r="EG621" s="0" t="n">
        <v>1</v>
      </c>
      <c r="EH621" s="0" t="n">
        <v>12</v>
      </c>
      <c r="EI621" s="0" t="n">
        <f aca="false">IF(AND(DM621=1,DN621&lt;=48),"",IF(AND(DM621=2,DN621&lt;=42),"",IF(AND(DM621=3,DN621&lt;=45),"",EH621)))</f>
        <v>12</v>
      </c>
      <c r="EJ621" s="0" t="n">
        <f aca="false">IF(EI621="","",IF(EI621&lt;9,EI621,9))</f>
        <v>9</v>
      </c>
      <c r="EK621" s="0" t="n">
        <f aca="false">IF(EI621="","",IF(EI621&gt;9,EI621-EJ621,0))</f>
        <v>3</v>
      </c>
      <c r="EL621" s="0" t="n">
        <f aca="false">IF(EI621="","",EJ621*DA621*2+EK621*DA621*3)</f>
        <v>2951.13375</v>
      </c>
      <c r="EP621" s="0" t="n">
        <v>0</v>
      </c>
      <c r="EQ621" s="0"/>
      <c r="ER621" s="0" t="n">
        <v>1</v>
      </c>
      <c r="ES621" s="0" t="n">
        <v>10833</v>
      </c>
      <c r="ET621" s="0" t="n">
        <v>0</v>
      </c>
      <c r="EV621" s="0" t="n">
        <v>1</v>
      </c>
      <c r="EX621" s="0" t="n">
        <v>0</v>
      </c>
      <c r="EY621" s="0" t="n">
        <v>1</v>
      </c>
      <c r="EZ621" s="4" t="n">
        <v>18420</v>
      </c>
      <c r="FA621" s="4" t="n">
        <v>49325.43</v>
      </c>
      <c r="FB621" s="0" t="n">
        <v>0</v>
      </c>
      <c r="FC621" s="1" t="n">
        <v>40708</v>
      </c>
      <c r="FD621" s="0" t="n">
        <v>1</v>
      </c>
      <c r="FE621" s="0" t="n">
        <v>48000</v>
      </c>
      <c r="FF621" s="120" t="n">
        <f aca="false">(CJ621-CI621+1)/365</f>
        <v>3.63287671232877</v>
      </c>
      <c r="FG621" s="0" t="str">
        <f aca="false">CONCATENATE(F621,"/",G621)</f>
        <v>221/2011</v>
      </c>
      <c r="FH621" s="0" t="n">
        <v>1</v>
      </c>
      <c r="FI621" s="0" t="n">
        <f aca="false">IFERROR(IF((FC621-J621+1)/365&gt;3,0,1),"")</f>
        <v>1</v>
      </c>
    </row>
    <row r="622" customFormat="false" ht="15" hidden="false" customHeight="false" outlineLevel="0" collapsed="false">
      <c r="A622" s="5" t="str">
        <f aca="false">E622&amp;G622&amp;F622</f>
        <v>72011227</v>
      </c>
      <c r="B622" s="0" t="s">
        <v>5573</v>
      </c>
      <c r="C622" s="1" t="n">
        <v>42363</v>
      </c>
      <c r="D622" s="0" t="s">
        <v>5615</v>
      </c>
      <c r="E622" s="0" t="n">
        <v>7</v>
      </c>
      <c r="F622" s="0" t="n">
        <v>227</v>
      </c>
      <c r="G622" s="0" t="n">
        <v>2011</v>
      </c>
      <c r="H622" s="0" t="str">
        <f aca="false">"J"&amp;E622&amp;"\"&amp;F622&amp;"\"&amp;G622&amp;"\"&amp;W622</f>
        <v>J7\227\2011\1</v>
      </c>
      <c r="I622" s="0"/>
      <c r="J622" s="1" t="n">
        <v>40577</v>
      </c>
      <c r="K622" s="0" t="n">
        <v>0</v>
      </c>
      <c r="M622" s="1"/>
      <c r="N622" s="1"/>
      <c r="O622" s="1"/>
      <c r="P622" s="1"/>
      <c r="Q622" s="1"/>
      <c r="T622" s="121"/>
      <c r="U622" s="121"/>
      <c r="V622" s="122" t="n">
        <f aca="false">IF(AND(E622&gt;0,F622&gt;0,G622&gt;0),COUNTIFS($E:$E,E622,$F:$F,F622,$G:$G,G622),"")</f>
        <v>1</v>
      </c>
      <c r="W622" s="122" t="n">
        <f aca="false">IF(V622="","",IF(V622=1,1,IF(AND(E621=E622,F621=F622,G621=G622),W621+1,1)))</f>
        <v>1</v>
      </c>
      <c r="X622" s="0" t="n">
        <v>1</v>
      </c>
      <c r="Y622" s="0" t="n">
        <v>2</v>
      </c>
      <c r="Z622" s="0" t="s">
        <v>5731</v>
      </c>
      <c r="AA622" s="0" t="n">
        <v>0</v>
      </c>
      <c r="AB622" s="0" t="s">
        <v>5732</v>
      </c>
      <c r="AC622" s="0" t="s">
        <v>392</v>
      </c>
      <c r="AD622" s="0" t="s">
        <v>5733</v>
      </c>
      <c r="AE622" s="0" t="n">
        <v>0</v>
      </c>
      <c r="AF622" s="0" t="s">
        <v>5734</v>
      </c>
      <c r="AG622" s="0" t="n">
        <v>0</v>
      </c>
      <c r="AH622" s="0" t="s">
        <v>5735</v>
      </c>
      <c r="AI622" s="0" t="s">
        <v>5736</v>
      </c>
      <c r="AJ622" s="0" t="s">
        <v>2340</v>
      </c>
      <c r="AL622" s="0" t="s">
        <v>5715</v>
      </c>
      <c r="AM622" s="0" t="n">
        <v>1</v>
      </c>
      <c r="AN622" s="0" t="s">
        <v>5735</v>
      </c>
      <c r="AO622" s="0" t="s">
        <v>5736</v>
      </c>
      <c r="AP622" s="0" t="s">
        <v>2340</v>
      </c>
      <c r="BR622" s="0" t="n">
        <v>1</v>
      </c>
      <c r="BS622" s="0" t="s">
        <v>5737</v>
      </c>
      <c r="BV622" s="123"/>
      <c r="BW622" s="123"/>
      <c r="BX622" s="123"/>
      <c r="BY622" s="123"/>
      <c r="CA622" s="0" t="s">
        <v>216</v>
      </c>
      <c r="CD622" s="0" t="s">
        <v>5680</v>
      </c>
      <c r="CE622" s="0" t="n">
        <v>0</v>
      </c>
      <c r="CF622" s="0" t="s">
        <v>2230</v>
      </c>
      <c r="CI622" s="1" t="n">
        <v>40037</v>
      </c>
      <c r="CJ622" s="1" t="n">
        <v>40518</v>
      </c>
      <c r="CK622" s="124" t="s">
        <v>216</v>
      </c>
      <c r="CL622" s="0" t="s">
        <v>216</v>
      </c>
      <c r="CM622" s="0" t="n">
        <f aca="false">IF(OR(CI622="",CJ622=""),"",DAYS360(CI622,CJ622)/360)</f>
        <v>1.31666666666667</v>
      </c>
      <c r="CN622" s="0" t="n">
        <f aca="false">IF(OR(CI622="",CJ622=""),"",DAYS360(CI622,CJ622)/30)</f>
        <v>15.8</v>
      </c>
      <c r="CO622" s="0" t="n">
        <f aca="false">IF(OR(CI622="",CJ622=""),"",DAYS360(CI622,CJ622)/7)</f>
        <v>67.7142857142857</v>
      </c>
      <c r="CP622" s="0" t="n">
        <f aca="false">IF(OR(CI622="",CJ622=""),"",DAYS360(CI622,CJ622))</f>
        <v>474</v>
      </c>
      <c r="CQ622" s="0" t="s">
        <v>240</v>
      </c>
      <c r="CR622" s="0" t="n">
        <v>1</v>
      </c>
      <c r="CT622" s="0" t="s">
        <v>221</v>
      </c>
      <c r="CU622" s="0" t="s">
        <v>221</v>
      </c>
      <c r="CV622" s="0" t="str">
        <f aca="false">IF(OR(CT622="",CT622="NO ESPECIFICA",CT622="NO MENCIONA"),"",IF(CU622=0,CT622,IF(CU622=1,CT622/30,IF(CU622=2,CT622/15,IF(CU622=3,CT622/7,"")))))</f>
        <v/>
      </c>
      <c r="CW622" s="125" t="n">
        <v>3200</v>
      </c>
      <c r="CX622" s="0" t="n">
        <v>1</v>
      </c>
      <c r="CY622" s="0" t="n">
        <f aca="false">IF(CW622="","",IF(CX622=0,CW622,IF(CX622=1,CW622/30,IF(CX622=2,CW622/15,IF(CX622=3,CW622/7,CW622)))))</f>
        <v>106.666666666667</v>
      </c>
      <c r="CZ622" s="0" t="n">
        <f aca="false">IF(DI622&gt;0,DI622,IF(CY622&gt;0,CY622,IF(CV622&gt;0,CV622,"")))</f>
        <v>115.466666666667</v>
      </c>
      <c r="DA622" s="0" t="n">
        <f aca="false">IF(DM622=1,CZ622/8,IF(OR(DM622=2,DM622=4),CZ622/7,IF(DM622=3,CZ622/7.5,"")))</f>
        <v>14.4333333333333</v>
      </c>
      <c r="DB622" s="0" t="s">
        <v>299</v>
      </c>
      <c r="DC622" s="0" t="s">
        <v>303</v>
      </c>
      <c r="DD622" s="0" t="s">
        <v>301</v>
      </c>
      <c r="DE622" s="0" t="s">
        <v>216</v>
      </c>
      <c r="DF622" s="0" t="s">
        <v>216</v>
      </c>
      <c r="DG622" s="0" t="s">
        <v>216</v>
      </c>
      <c r="DH622" s="0" t="n">
        <v>0</v>
      </c>
      <c r="DI622" s="126" t="n">
        <v>115.466666666667</v>
      </c>
      <c r="DK622" s="0" t="n">
        <v>1</v>
      </c>
      <c r="DM622" s="0" t="n">
        <v>1</v>
      </c>
      <c r="DN622" s="0" t="n">
        <v>36</v>
      </c>
      <c r="DO622" s="0" t="n">
        <v>3</v>
      </c>
      <c r="DP622" s="0" t="n">
        <v>0</v>
      </c>
      <c r="DQ622" s="0" t="n">
        <v>1</v>
      </c>
      <c r="DR622" s="0"/>
      <c r="DS622" s="0" t="n">
        <v>1</v>
      </c>
      <c r="DU622" s="0" t="n">
        <v>1</v>
      </c>
      <c r="DW622" s="1" t="n">
        <v>40402</v>
      </c>
      <c r="DX622" s="1" t="n">
        <v>40518</v>
      </c>
      <c r="DZ622" s="0"/>
      <c r="EA622" s="0" t="n">
        <v>1</v>
      </c>
      <c r="EC622" s="1" t="n">
        <v>40179</v>
      </c>
      <c r="ED622" s="1" t="n">
        <v>40518</v>
      </c>
      <c r="EF622" s="0"/>
      <c r="EG622" s="0" t="n">
        <v>0</v>
      </c>
      <c r="EI622" s="0" t="str">
        <f aca="false">IF(AND(DM622=1,DN622&lt;=48),"",IF(AND(DM622=2,DN622&lt;=42),"",IF(AND(DM622=3,DN622&lt;=45),"",EH622)))</f>
        <v/>
      </c>
      <c r="EJ622" s="0" t="str">
        <f aca="false">IF(EI622="","",IF(EI622&lt;9,EI622,9))</f>
        <v/>
      </c>
      <c r="EK622" s="0" t="str">
        <f aca="false">IF(EI622="","",IF(EI622&gt;9,EI622-EJ622,0))</f>
        <v/>
      </c>
      <c r="EL622" s="0" t="str">
        <f aca="false">IF(EI622="","",EJ622*DA622*2+EK622*DA622*3)</f>
        <v/>
      </c>
      <c r="EP622" s="0" t="n">
        <v>0</v>
      </c>
      <c r="EQ622" s="0"/>
      <c r="ER622" s="0" t="n">
        <v>0</v>
      </c>
      <c r="ET622" s="0" t="n">
        <v>0</v>
      </c>
      <c r="EV622" s="0" t="n">
        <v>0</v>
      </c>
      <c r="EX622" s="0" t="n">
        <v>1</v>
      </c>
      <c r="EY622" s="0" t="n">
        <v>1</v>
      </c>
      <c r="EZ622" s="0"/>
      <c r="FA622" s="4" t="n">
        <v>0</v>
      </c>
      <c r="FB622" s="0" t="n">
        <v>1</v>
      </c>
      <c r="FC622" s="1" t="n">
        <v>42254</v>
      </c>
      <c r="FD622" s="0" t="n">
        <v>4</v>
      </c>
      <c r="FE622" s="0" t="n">
        <v>0</v>
      </c>
      <c r="FF622" s="120" t="n">
        <f aca="false">(CJ622-CI622+1)/365</f>
        <v>1.32054794520548</v>
      </c>
      <c r="FG622" s="0" t="str">
        <f aca="false">CONCATENATE(F622,"/",G622)</f>
        <v>227/2011</v>
      </c>
      <c r="FH622" s="0" t="n">
        <v>1</v>
      </c>
      <c r="FI622" s="0" t="n">
        <f aca="false">IFERROR(IF((FC622-J622+1)/365&gt;3,0,1),"")</f>
        <v>0</v>
      </c>
    </row>
    <row r="623" customFormat="false" ht="15" hidden="false" customHeight="false" outlineLevel="0" collapsed="false">
      <c r="A623" s="5" t="str">
        <f aca="false">E623&amp;G623&amp;F623</f>
        <v>72011233</v>
      </c>
      <c r="B623" s="0" t="s">
        <v>5573</v>
      </c>
      <c r="C623" s="1" t="n">
        <v>42363</v>
      </c>
      <c r="E623" s="0" t="n">
        <v>7</v>
      </c>
      <c r="F623" s="0" t="n">
        <v>233</v>
      </c>
      <c r="G623" s="0" t="n">
        <v>2011</v>
      </c>
      <c r="H623" s="0" t="str">
        <f aca="false">"J"&amp;E623&amp;"\"&amp;F623&amp;"\"&amp;G623&amp;"\"&amp;W623</f>
        <v>J7\233\2011\1</v>
      </c>
      <c r="I623" s="0"/>
      <c r="J623" s="1" t="n">
        <v>40578</v>
      </c>
      <c r="K623" s="0" t="n">
        <v>0</v>
      </c>
      <c r="M623" s="1" t="n">
        <v>40578</v>
      </c>
      <c r="N623" s="1" t="n">
        <v>40647</v>
      </c>
      <c r="O623" s="1"/>
      <c r="P623" s="1"/>
      <c r="Q623" s="1"/>
      <c r="T623" s="121"/>
      <c r="U623" s="121"/>
      <c r="V623" s="122" t="n">
        <f aca="false">IF(AND(E623&gt;0,F623&gt;0,G623&gt;0),COUNTIFS($E:$E,E623,$F:$F,F623,$G:$G,G623),"")</f>
        <v>1</v>
      </c>
      <c r="W623" s="122" t="n">
        <f aca="false">IF(V623="","",IF(V623=1,1,IF(AND(E622=E623,F622=F623,G622=G623),W622+1,1)))</f>
        <v>1</v>
      </c>
      <c r="X623" s="0" t="n">
        <v>1</v>
      </c>
      <c r="Y623" s="0" t="n">
        <v>7</v>
      </c>
      <c r="Z623" s="0" t="s">
        <v>5738</v>
      </c>
      <c r="AA623" s="0" t="n">
        <v>0</v>
      </c>
      <c r="AB623" s="0" t="s">
        <v>5710</v>
      </c>
      <c r="AC623" s="0" t="s">
        <v>228</v>
      </c>
      <c r="AD623" s="0" t="s">
        <v>1160</v>
      </c>
      <c r="AE623" s="0" t="n">
        <v>0</v>
      </c>
      <c r="AF623" s="0" t="s">
        <v>5739</v>
      </c>
      <c r="AG623" s="0" t="n">
        <v>0</v>
      </c>
      <c r="AH623" s="0" t="s">
        <v>5740</v>
      </c>
      <c r="AI623" s="0" t="s">
        <v>868</v>
      </c>
      <c r="AL623" s="0" t="s">
        <v>5741</v>
      </c>
      <c r="AM623" s="0" t="n">
        <v>1</v>
      </c>
      <c r="AN623" s="0" t="s">
        <v>5740</v>
      </c>
      <c r="AO623" s="0" t="s">
        <v>868</v>
      </c>
      <c r="AR623" s="0" t="s">
        <v>5742</v>
      </c>
      <c r="AS623" s="0" t="n">
        <v>1</v>
      </c>
      <c r="AT623" s="0" t="s">
        <v>5740</v>
      </c>
      <c r="AU623" s="0" t="s">
        <v>868</v>
      </c>
      <c r="AV623" s="0" t="s">
        <v>221</v>
      </c>
      <c r="AX623" s="0" t="s">
        <v>5743</v>
      </c>
      <c r="AY623" s="0" t="n">
        <v>1</v>
      </c>
      <c r="AZ623" s="0" t="s">
        <v>5740</v>
      </c>
      <c r="BA623" s="0" t="s">
        <v>868</v>
      </c>
      <c r="BB623" s="0" t="s">
        <v>221</v>
      </c>
      <c r="BD623" s="0" t="s">
        <v>249</v>
      </c>
      <c r="BE623" s="0" t="n">
        <v>0</v>
      </c>
      <c r="BF623" s="0" t="s">
        <v>5744</v>
      </c>
      <c r="BG623" s="0" t="s">
        <v>410</v>
      </c>
      <c r="BH623" s="0" t="s">
        <v>5608</v>
      </c>
      <c r="BJ623" s="0" t="s">
        <v>5745</v>
      </c>
      <c r="BK623" s="0" t="n">
        <v>0</v>
      </c>
      <c r="BL623" s="0" t="s">
        <v>5746</v>
      </c>
      <c r="BM623" s="0" t="s">
        <v>4367</v>
      </c>
      <c r="BN623" s="0" t="s">
        <v>2222</v>
      </c>
      <c r="BR623" s="0" t="n">
        <v>3</v>
      </c>
      <c r="BS623" s="0" t="s">
        <v>3226</v>
      </c>
      <c r="BT623" s="0" t="s">
        <v>3227</v>
      </c>
      <c r="BU623" s="0" t="s">
        <v>3228</v>
      </c>
      <c r="BV623" s="123"/>
      <c r="BW623" s="123"/>
      <c r="BX623" s="123"/>
      <c r="BY623" s="123"/>
      <c r="CA623" s="0" t="s">
        <v>348</v>
      </c>
      <c r="CD623" s="0" t="s">
        <v>256</v>
      </c>
      <c r="CE623" s="0" t="n">
        <v>0</v>
      </c>
      <c r="CF623" s="0" t="s">
        <v>600</v>
      </c>
      <c r="CI623" s="1" t="n">
        <v>40262</v>
      </c>
      <c r="CJ623" s="1" t="n">
        <v>40527</v>
      </c>
      <c r="CK623" s="124" t="n">
        <v>0.479166666666667</v>
      </c>
      <c r="CL623" s="0" t="s">
        <v>5742</v>
      </c>
      <c r="CM623" s="0" t="n">
        <f aca="false">IF(OR(CI623="",CJ623=""),"",DAYS360(CI623,CJ623)/360)</f>
        <v>0.722222222222222</v>
      </c>
      <c r="CN623" s="0" t="n">
        <f aca="false">IF(OR(CI623="",CJ623=""),"",DAYS360(CI623,CJ623)/30)</f>
        <v>8.66666666666667</v>
      </c>
      <c r="CO623" s="0" t="n">
        <f aca="false">IF(OR(CI623="",CJ623=""),"",DAYS360(CI623,CJ623)/7)</f>
        <v>37.1428571428571</v>
      </c>
      <c r="CP623" s="0" t="n">
        <f aca="false">IF(OR(CI623="",CJ623=""),"",DAYS360(CI623,CJ623))</f>
        <v>260</v>
      </c>
      <c r="CQ623" s="0" t="s">
        <v>240</v>
      </c>
      <c r="CR623" s="0" t="n">
        <v>1</v>
      </c>
      <c r="CT623" s="0" t="n">
        <v>220</v>
      </c>
      <c r="CU623" s="0" t="n">
        <v>0</v>
      </c>
      <c r="CV623" s="0" t="n">
        <f aca="false">IF(OR(CT623="",CT623="NO ESPECIFICA",CT623="NO MENCIONA"),"",IF(CU623=0,CT623,IF(CU623=1,CT623/30,IF(CU623=2,CT623/15,IF(CU623=3,CT623/7,"")))))</f>
        <v>220</v>
      </c>
      <c r="CW623" s="125" t="n">
        <v>229.94</v>
      </c>
      <c r="CX623" s="0" t="n">
        <v>0</v>
      </c>
      <c r="CY623" s="0" t="n">
        <f aca="false">IF(CW623="","",IF(CX623=0,CW623,IF(CX623=1,CW623/30,IF(CX623=2,CW623/15,IF(CX623=3,CW623/7,CW623)))))</f>
        <v>229.94</v>
      </c>
      <c r="CZ623" s="0" t="n">
        <f aca="false">IF(DI623&gt;0,DI623,IF(CY623&gt;0,CY623,IF(CV623&gt;0,CV623,"")))</f>
        <v>229.94</v>
      </c>
      <c r="DA623" s="0" t="n">
        <f aca="false">IF(DM623=1,CZ623/8,IF(OR(DM623=2,DM623=4),CZ623/7,IF(DM623=3,CZ623/7.5,"")))</f>
        <v>28.7425</v>
      </c>
      <c r="DB623" s="0" t="s">
        <v>303</v>
      </c>
      <c r="DC623" s="0" t="s">
        <v>301</v>
      </c>
      <c r="DD623" s="0" t="s">
        <v>216</v>
      </c>
      <c r="DE623" s="0" t="s">
        <v>216</v>
      </c>
      <c r="DF623" s="0" t="s">
        <v>216</v>
      </c>
      <c r="DG623" s="0" t="s">
        <v>216</v>
      </c>
      <c r="DH623" s="0" t="n">
        <v>0</v>
      </c>
      <c r="DI623" s="126" t="n">
        <v>229.94</v>
      </c>
      <c r="DK623" s="0" t="n">
        <v>1</v>
      </c>
      <c r="DM623" s="0" t="n">
        <v>1</v>
      </c>
      <c r="DN623" s="0" t="n">
        <v>48</v>
      </c>
      <c r="DO623" s="0" t="n">
        <v>3</v>
      </c>
      <c r="DP623" s="0" t="n">
        <v>0</v>
      </c>
      <c r="DQ623" s="0" t="n">
        <v>1</v>
      </c>
      <c r="DR623" s="0"/>
      <c r="DS623" s="0" t="n">
        <v>1</v>
      </c>
      <c r="DU623" s="0" t="n">
        <v>1</v>
      </c>
      <c r="DW623" s="1" t="n">
        <v>40262</v>
      </c>
      <c r="DX623" s="1" t="n">
        <v>40527</v>
      </c>
      <c r="DZ623" s="0"/>
      <c r="EA623" s="0" t="n">
        <v>1</v>
      </c>
      <c r="EC623" s="1" t="n">
        <v>40262</v>
      </c>
      <c r="ED623" s="1" t="n">
        <v>40527</v>
      </c>
      <c r="EF623" s="0"/>
      <c r="EG623" s="0" t="n">
        <v>0</v>
      </c>
      <c r="EI623" s="0" t="str">
        <f aca="false">IF(AND(DM623=1,DN623&lt;=48),"",IF(AND(DM623=2,DN623&lt;=42),"",IF(AND(DM623=3,DN623&lt;=45),"",EH623)))</f>
        <v/>
      </c>
      <c r="EJ623" s="0" t="str">
        <f aca="false">IF(EI623="","",IF(EI623&lt;9,EI623,9))</f>
        <v/>
      </c>
      <c r="EK623" s="0" t="str">
        <f aca="false">IF(EI623="","",IF(EI623&gt;9,EI623-EJ623,0))</f>
        <v/>
      </c>
      <c r="EL623" s="0" t="str">
        <f aca="false">IF(EI623="","",EJ623*DA623*2+EK623*DA623*3)</f>
        <v/>
      </c>
      <c r="EP623" s="0" t="n">
        <v>0</v>
      </c>
      <c r="EQ623" s="0"/>
      <c r="ER623" s="0" t="n">
        <v>0</v>
      </c>
      <c r="ET623" s="0" t="n">
        <v>0</v>
      </c>
      <c r="EV623" s="0" t="n">
        <v>0</v>
      </c>
      <c r="EX623" s="0" t="n">
        <v>1</v>
      </c>
      <c r="EY623" s="0" t="n">
        <v>0</v>
      </c>
      <c r="EZ623" s="0"/>
      <c r="FA623" s="4" t="n">
        <v>24480</v>
      </c>
      <c r="FB623" s="0" t="n">
        <v>1</v>
      </c>
      <c r="FC623" s="1" t="n">
        <v>40891</v>
      </c>
      <c r="FD623" s="0" t="n">
        <v>2</v>
      </c>
      <c r="FE623" s="0" t="n">
        <v>0</v>
      </c>
      <c r="FF623" s="120" t="n">
        <f aca="false">(CJ623-CI623+1)/365</f>
        <v>0.728767123287671</v>
      </c>
      <c r="FG623" s="0" t="str">
        <f aca="false">CONCATENATE(F623,"/",G623)</f>
        <v>233/2011</v>
      </c>
      <c r="FH623" s="0" t="n">
        <v>1</v>
      </c>
      <c r="FI623" s="0" t="n">
        <f aca="false">IFERROR(IF((FC623-J623+1)/365&gt;3,0,1),"")</f>
        <v>1</v>
      </c>
    </row>
    <row r="624" customFormat="false" ht="15" hidden="false" customHeight="false" outlineLevel="0" collapsed="false">
      <c r="A624" s="5" t="str">
        <f aca="false">E624&amp;G624&amp;F624</f>
        <v>72011234</v>
      </c>
      <c r="B624" s="0" t="s">
        <v>5573</v>
      </c>
      <c r="C624" s="1" t="n">
        <v>42363</v>
      </c>
      <c r="E624" s="0" t="n">
        <v>7</v>
      </c>
      <c r="F624" s="0" t="n">
        <v>234</v>
      </c>
      <c r="G624" s="0" t="n">
        <v>2011</v>
      </c>
      <c r="H624" s="0" t="str">
        <f aca="false">"J"&amp;E624&amp;"\"&amp;F624&amp;"\"&amp;G624&amp;"\"&amp;W624</f>
        <v>J7\234\2011\1</v>
      </c>
      <c r="I624" s="0"/>
      <c r="J624" s="1" t="n">
        <v>40578</v>
      </c>
      <c r="K624" s="0" t="n">
        <v>1</v>
      </c>
      <c r="L624" s="0" t="s">
        <v>5747</v>
      </c>
      <c r="M624" s="1" t="n">
        <v>40578</v>
      </c>
      <c r="N624" s="1" t="n">
        <v>40658</v>
      </c>
      <c r="O624" s="1"/>
      <c r="P624" s="1"/>
      <c r="Q624" s="1"/>
      <c r="T624" s="121"/>
      <c r="U624" s="121"/>
      <c r="V624" s="122" t="n">
        <f aca="false">IF(AND(E624&gt;0,F624&gt;0,G624&gt;0),COUNTIFS($E:$E,E624,$F:$F,F624,$G:$G,G624),"")</f>
        <v>1</v>
      </c>
      <c r="W624" s="122" t="n">
        <f aca="false">IF(V624="","",IF(V624=1,1,IF(AND(E623=E624,F623=F624,G623=G624),W623+1,1)))</f>
        <v>1</v>
      </c>
      <c r="X624" s="0" t="n">
        <v>1</v>
      </c>
      <c r="Y624" s="0" t="n">
        <v>2</v>
      </c>
      <c r="Z624" s="0" t="s">
        <v>5748</v>
      </c>
      <c r="AA624" s="0" t="n">
        <v>0</v>
      </c>
      <c r="AB624" s="0" t="s">
        <v>5749</v>
      </c>
      <c r="AC624" s="0" t="s">
        <v>1313</v>
      </c>
      <c r="AD624" s="0" t="s">
        <v>221</v>
      </c>
      <c r="AE624" s="0" t="n">
        <v>0</v>
      </c>
      <c r="AF624" s="0" t="s">
        <v>5750</v>
      </c>
      <c r="AG624" s="0" t="n">
        <v>1</v>
      </c>
      <c r="AH624" s="0" t="s">
        <v>5751</v>
      </c>
      <c r="AI624" s="0" t="s">
        <v>5752</v>
      </c>
      <c r="AJ624" s="0" t="s">
        <v>2222</v>
      </c>
      <c r="AL624" s="0" t="s">
        <v>5753</v>
      </c>
      <c r="AM624" s="0" t="n">
        <v>1</v>
      </c>
      <c r="AN624" s="0" t="s">
        <v>5751</v>
      </c>
      <c r="AO624" s="0" t="s">
        <v>5752</v>
      </c>
      <c r="AP624" s="0" t="s">
        <v>2222</v>
      </c>
      <c r="BR624" s="0" t="n">
        <v>1</v>
      </c>
      <c r="BS624" s="0" t="s">
        <v>5754</v>
      </c>
      <c r="BT624" s="0" t="s">
        <v>5755</v>
      </c>
      <c r="BU624" s="0" t="s">
        <v>5756</v>
      </c>
      <c r="BV624" s="123"/>
      <c r="BW624" s="123"/>
      <c r="BX624" s="123"/>
      <c r="BY624" s="123"/>
      <c r="CA624" s="0" t="s">
        <v>216</v>
      </c>
      <c r="CD624" s="0" t="s">
        <v>256</v>
      </c>
      <c r="CE624" s="0" t="n">
        <v>0</v>
      </c>
      <c r="CF624" s="0" t="s">
        <v>5757</v>
      </c>
      <c r="CI624" s="1" t="n">
        <v>39685</v>
      </c>
      <c r="CJ624" s="1" t="n">
        <v>40519</v>
      </c>
      <c r="CK624" s="124" t="n">
        <v>0.375</v>
      </c>
      <c r="CL624" s="0" t="s">
        <v>5750</v>
      </c>
      <c r="CM624" s="0" t="n">
        <f aca="false">IF(OR(CI624="",CJ624=""),"",DAYS360(CI624,CJ624)/360)</f>
        <v>2.28333333333333</v>
      </c>
      <c r="CN624" s="0" t="n">
        <f aca="false">IF(OR(CI624="",CJ624=""),"",DAYS360(CI624,CJ624)/30)</f>
        <v>27.4</v>
      </c>
      <c r="CO624" s="0" t="n">
        <f aca="false">IF(OR(CI624="",CJ624=""),"",DAYS360(CI624,CJ624)/7)</f>
        <v>117.428571428571</v>
      </c>
      <c r="CP624" s="0" t="n">
        <f aca="false">IF(OR(CI624="",CJ624=""),"",DAYS360(CI624,CJ624))</f>
        <v>822</v>
      </c>
      <c r="CQ624" s="0" t="s">
        <v>240</v>
      </c>
      <c r="CR624" s="0" t="n">
        <v>1</v>
      </c>
      <c r="CT624" s="0" t="n">
        <v>21500</v>
      </c>
      <c r="CU624" s="0" t="n">
        <v>1</v>
      </c>
      <c r="CV624" s="0" t="n">
        <f aca="false">IF(OR(CT624="",CT624="NO ESPECIFICA",CT624="NO MENCIONA"),"",IF(CU624=0,CT624,IF(CU624=1,CT624/30,IF(CU624=2,CT624/15,IF(CU624=3,CT624/7,"")))))</f>
        <v>716.666666666667</v>
      </c>
      <c r="CW624" s="125" t="s">
        <v>216</v>
      </c>
      <c r="CX624" s="0" t="s">
        <v>216</v>
      </c>
      <c r="CY624" s="0" t="str">
        <f aca="false">IF(CW624="","",IF(CX624=0,CW624,IF(CX624=1,CW624/30,IF(CX624=2,CW624/15,IF(CX624=3,CW624/7,CW624)))))</f>
        <v>NO MENCIONA</v>
      </c>
      <c r="CZ624" s="0" t="n">
        <f aca="false">IF(DI624&gt;0,DI624,IF(CY624&gt;0,CY624,IF(CV624&gt;0,CV624,"")))</f>
        <v>716.67</v>
      </c>
      <c r="DA624" s="0" t="n">
        <f aca="false">IF(DM624=1,CZ624/8,IF(OR(DM624=2,DM624=4),CZ624/7,IF(DM624=3,CZ624/7.5,"")))</f>
        <v>89.58375</v>
      </c>
      <c r="DB624" s="0" t="s">
        <v>216</v>
      </c>
      <c r="DC624" s="0" t="s">
        <v>216</v>
      </c>
      <c r="DD624" s="0" t="s">
        <v>216</v>
      </c>
      <c r="DE624" s="0" t="s">
        <v>216</v>
      </c>
      <c r="DF624" s="0" t="s">
        <v>216</v>
      </c>
      <c r="DG624" s="0" t="s">
        <v>216</v>
      </c>
      <c r="DH624" s="0" t="n">
        <v>0</v>
      </c>
      <c r="DI624" s="126" t="n">
        <v>716.67</v>
      </c>
      <c r="DK624" s="0" t="n">
        <v>0</v>
      </c>
      <c r="DM624" s="0" t="n">
        <v>1</v>
      </c>
      <c r="DN624" s="0" t="n">
        <v>9</v>
      </c>
      <c r="DO624" s="0" t="n">
        <v>0</v>
      </c>
      <c r="DP624" s="0" t="n">
        <v>0</v>
      </c>
      <c r="DQ624" s="0" t="n">
        <v>1</v>
      </c>
      <c r="DR624" s="0"/>
      <c r="DS624" s="0" t="n">
        <v>1</v>
      </c>
      <c r="DU624" s="0" t="n">
        <v>1</v>
      </c>
      <c r="DW624" s="1" t="n">
        <v>40415</v>
      </c>
      <c r="DX624" s="1" t="n">
        <v>40519</v>
      </c>
      <c r="DY624" s="0" t="n">
        <v>12</v>
      </c>
      <c r="DZ624" s="0"/>
      <c r="EA624" s="0" t="n">
        <v>1</v>
      </c>
      <c r="EC624" s="1" t="n">
        <v>40179</v>
      </c>
      <c r="ED624" s="1" t="n">
        <v>40519</v>
      </c>
      <c r="EF624" s="0"/>
      <c r="EG624" s="0" t="n">
        <v>0</v>
      </c>
      <c r="EI624" s="0" t="str">
        <f aca="false">IF(AND(DM624=1,DN624&lt;=48),"",IF(AND(DM624=2,DN624&lt;=42),"",IF(AND(DM624=3,DN624&lt;=45),"",EH624)))</f>
        <v/>
      </c>
      <c r="EJ624" s="0" t="str">
        <f aca="false">IF(EI624="","",IF(EI624&lt;9,EI624,9))</f>
        <v/>
      </c>
      <c r="EK624" s="0" t="str">
        <f aca="false">IF(EI624="","",IF(EI624&gt;9,EI624-EJ624,0))</f>
        <v/>
      </c>
      <c r="EL624" s="0" t="str">
        <f aca="false">IF(EI624="","",EJ624*DA624*2+EK624*DA624*3)</f>
        <v/>
      </c>
      <c r="EP624" s="0" t="n">
        <v>0</v>
      </c>
      <c r="EQ624" s="0"/>
      <c r="ER624" s="0" t="n">
        <v>0</v>
      </c>
      <c r="ET624" s="0" t="n">
        <v>0</v>
      </c>
      <c r="EV624" s="0" t="n">
        <v>0</v>
      </c>
      <c r="EX624" s="0" t="n">
        <v>1</v>
      </c>
      <c r="EY624" s="0" t="n">
        <v>1</v>
      </c>
      <c r="EZ624" s="0"/>
      <c r="FA624" s="4" t="n">
        <v>0</v>
      </c>
      <c r="FB624" s="0" t="n">
        <v>0</v>
      </c>
      <c r="FC624" s="1" t="n">
        <v>42024</v>
      </c>
      <c r="FD624" s="0" t="n">
        <v>2</v>
      </c>
      <c r="FE624" s="0" t="n">
        <v>0</v>
      </c>
      <c r="FF624" s="120" t="n">
        <f aca="false">(CJ624-CI624+1)/365</f>
        <v>2.28767123287671</v>
      </c>
      <c r="FG624" s="0" t="str">
        <f aca="false">CONCATENATE(F624,"/",G624)</f>
        <v>234/2011</v>
      </c>
      <c r="FH624" s="0" t="n">
        <v>1</v>
      </c>
      <c r="FI624" s="0" t="n">
        <f aca="false">IFERROR(IF((FC624-J624+1)/365&gt;3,0,1),"")</f>
        <v>0</v>
      </c>
    </row>
    <row r="625" customFormat="false" ht="15" hidden="false" customHeight="false" outlineLevel="0" collapsed="false">
      <c r="A625" s="5" t="str">
        <f aca="false">E625&amp;G625&amp;F625</f>
        <v>72011236</v>
      </c>
      <c r="B625" s="0" t="s">
        <v>5573</v>
      </c>
      <c r="C625" s="1" t="n">
        <v>42363</v>
      </c>
      <c r="E625" s="0" t="n">
        <v>7</v>
      </c>
      <c r="F625" s="0" t="n">
        <v>236</v>
      </c>
      <c r="G625" s="0" t="n">
        <v>2011</v>
      </c>
      <c r="H625" s="0" t="str">
        <f aca="false">"J"&amp;E625&amp;"\"&amp;F625&amp;"\"&amp;G625&amp;"\"&amp;W625</f>
        <v>J7\236\2011\1</v>
      </c>
      <c r="I625" s="0"/>
      <c r="J625" s="1" t="n">
        <v>40578</v>
      </c>
      <c r="K625" s="0" t="n">
        <v>0</v>
      </c>
      <c r="M625" s="1" t="n">
        <v>40578</v>
      </c>
      <c r="N625" s="1" t="n">
        <v>40658</v>
      </c>
      <c r="O625" s="1"/>
      <c r="P625" s="1"/>
      <c r="Q625" s="1"/>
      <c r="T625" s="121"/>
      <c r="U625" s="121"/>
      <c r="V625" s="122" t="n">
        <f aca="false">IF(AND(E625&gt;0,F625&gt;0,G625&gt;0),COUNTIFS($E:$E,E625,$F:$F,F625,$G:$G,G625),"")</f>
        <v>1</v>
      </c>
      <c r="W625" s="122" t="n">
        <f aca="false">IF(V625="","",IF(V625=1,1,IF(AND(E624=E625,F624=F625,G624=G625),W624+1,1)))</f>
        <v>1</v>
      </c>
      <c r="X625" s="0" t="n">
        <v>1</v>
      </c>
      <c r="Y625" s="0" t="n">
        <v>1</v>
      </c>
      <c r="Z625" s="0" t="s">
        <v>5758</v>
      </c>
      <c r="AA625" s="0" t="n">
        <v>0</v>
      </c>
      <c r="AB625" s="0" t="s">
        <v>4853</v>
      </c>
      <c r="AC625" s="0" t="s">
        <v>318</v>
      </c>
      <c r="AD625" s="0" t="s">
        <v>221</v>
      </c>
      <c r="AE625" s="0" t="n">
        <v>0</v>
      </c>
      <c r="AF625" s="0" t="s">
        <v>5759</v>
      </c>
      <c r="AG625" s="0" t="n">
        <v>0</v>
      </c>
      <c r="AH625" s="0" t="s">
        <v>5760</v>
      </c>
      <c r="AI625" s="0" t="s">
        <v>3064</v>
      </c>
      <c r="AJ625" s="0" t="s">
        <v>2179</v>
      </c>
      <c r="BR625" s="0" t="n">
        <v>1</v>
      </c>
      <c r="BS625" s="0" t="s">
        <v>5761</v>
      </c>
      <c r="BT625" s="0" t="s">
        <v>4856</v>
      </c>
      <c r="BU625" s="0" t="s">
        <v>4857</v>
      </c>
      <c r="BV625" s="123"/>
      <c r="BW625" s="123"/>
      <c r="BX625" s="123"/>
      <c r="BY625" s="123"/>
      <c r="CA625" s="0" t="s">
        <v>216</v>
      </c>
      <c r="CD625" s="0" t="s">
        <v>296</v>
      </c>
      <c r="CE625" s="0" t="n">
        <v>0</v>
      </c>
      <c r="CF625" s="0" t="s">
        <v>5762</v>
      </c>
      <c r="CI625" s="1" t="n">
        <v>39802</v>
      </c>
      <c r="CJ625" s="1" t="n">
        <v>40539</v>
      </c>
      <c r="CK625" s="124" t="n">
        <v>0.458333333333333</v>
      </c>
      <c r="CL625" s="0" t="s">
        <v>5763</v>
      </c>
      <c r="CM625" s="0" t="n">
        <f aca="false">IF(OR(CI625="",CJ625=""),"",DAYS360(CI625,CJ625)/360)</f>
        <v>2.01944444444444</v>
      </c>
      <c r="CN625" s="0" t="n">
        <f aca="false">IF(OR(CI625="",CJ625=""),"",DAYS360(CI625,CJ625)/30)</f>
        <v>24.2333333333333</v>
      </c>
      <c r="CO625" s="0" t="n">
        <f aca="false">IF(OR(CI625="",CJ625=""),"",DAYS360(CI625,CJ625)/7)</f>
        <v>103.857142857143</v>
      </c>
      <c r="CP625" s="0" t="n">
        <f aca="false">IF(OR(CI625="",CJ625=""),"",DAYS360(CI625,CJ625))</f>
        <v>727</v>
      </c>
      <c r="CQ625" s="0" t="s">
        <v>240</v>
      </c>
      <c r="CR625" s="0" t="n">
        <v>1</v>
      </c>
      <c r="CT625" s="0" t="s">
        <v>221</v>
      </c>
      <c r="CU625" s="0" t="s">
        <v>221</v>
      </c>
      <c r="CV625" s="0" t="str">
        <f aca="false">IF(OR(CT625="",CT625="NO ESPECIFICA",CT625="NO MENCIONA"),"",IF(CU625=0,CT625,IF(CU625=1,CT625/30,IF(CU625=2,CT625/15,IF(CU625=3,CT625/7,"")))))</f>
        <v/>
      </c>
      <c r="CW625" s="125" t="n">
        <v>3681.19</v>
      </c>
      <c r="CX625" s="0" t="n">
        <v>3</v>
      </c>
      <c r="CY625" s="0" t="n">
        <f aca="false">IF(CW625="","",IF(CX625=0,CW625,IF(CX625=1,CW625/30,IF(CX625=2,CW625/15,IF(CX625=3,CW625/7,CW625)))))</f>
        <v>525.884285714286</v>
      </c>
      <c r="CZ625" s="0" t="n">
        <f aca="false">IF(DI625&gt;0,DI625,IF(CY625&gt;0,CY625,IF(CV625&gt;0,CV625,"")))</f>
        <v>525.88</v>
      </c>
      <c r="DA625" s="0" t="n">
        <f aca="false">IF(DM625=1,CZ625/8,IF(OR(DM625=2,DM625=4),CZ625/7,IF(DM625=3,CZ625/7.5,"")))</f>
        <v>65.735</v>
      </c>
      <c r="DB625" s="0" t="s">
        <v>216</v>
      </c>
      <c r="DC625" s="0" t="s">
        <v>216</v>
      </c>
      <c r="DD625" s="0" t="s">
        <v>216</v>
      </c>
      <c r="DE625" s="0" t="s">
        <v>216</v>
      </c>
      <c r="DF625" s="0" t="s">
        <v>216</v>
      </c>
      <c r="DG625" s="0" t="s">
        <v>216</v>
      </c>
      <c r="DH625" s="0" t="n">
        <v>0</v>
      </c>
      <c r="DI625" s="126" t="n">
        <v>525.88</v>
      </c>
      <c r="DK625" s="0" t="n">
        <v>1</v>
      </c>
      <c r="DM625" s="0" t="n">
        <v>1</v>
      </c>
      <c r="DN625" s="0" t="n">
        <v>66</v>
      </c>
      <c r="DO625" s="0" t="n">
        <v>3</v>
      </c>
      <c r="DP625" s="0" t="n">
        <v>0</v>
      </c>
      <c r="DQ625" s="0" t="n">
        <v>1</v>
      </c>
      <c r="DR625" s="0"/>
      <c r="DS625" s="0" t="n">
        <v>1</v>
      </c>
      <c r="DU625" s="0" t="n">
        <v>1</v>
      </c>
      <c r="DW625" s="1" t="n">
        <v>39802</v>
      </c>
      <c r="DX625" s="1" t="n">
        <v>40539</v>
      </c>
      <c r="DZ625" s="0"/>
      <c r="EA625" s="0" t="n">
        <v>1</v>
      </c>
      <c r="EC625" s="1" t="n">
        <v>39814</v>
      </c>
      <c r="ED625" s="1" t="n">
        <v>40539</v>
      </c>
      <c r="EF625" s="0"/>
      <c r="EG625" s="0" t="n">
        <v>1</v>
      </c>
      <c r="EH625" s="0" t="n">
        <v>18</v>
      </c>
      <c r="EI625" s="0" t="n">
        <f aca="false">IF(AND(DM625=1,DN625&lt;=48),"",IF(AND(DM625=2,DN625&lt;=42),"",IF(AND(DM625=3,DN625&lt;=45),"",EH625)))</f>
        <v>18</v>
      </c>
      <c r="EJ625" s="0" t="n">
        <f aca="false">IF(EI625="","",IF(EI625&lt;9,EI625,9))</f>
        <v>9</v>
      </c>
      <c r="EK625" s="0" t="n">
        <f aca="false">IF(EI625="","",IF(EI625&gt;9,EI625-EJ625,0))</f>
        <v>9</v>
      </c>
      <c r="EL625" s="0" t="n">
        <f aca="false">IF(EI625="","",EJ625*DA625*2+EK625*DA625*3)</f>
        <v>2958.075</v>
      </c>
      <c r="EP625" s="0" t="n">
        <v>0</v>
      </c>
      <c r="EQ625" s="0"/>
      <c r="ER625" s="0" t="n">
        <v>0</v>
      </c>
      <c r="ET625" s="0" t="n">
        <v>0</v>
      </c>
      <c r="EV625" s="0" t="n">
        <v>1</v>
      </c>
      <c r="EX625" s="0" t="n">
        <v>0</v>
      </c>
      <c r="EY625" s="0" t="n">
        <v>0</v>
      </c>
      <c r="EZ625" s="0"/>
      <c r="FA625" s="4" t="n">
        <v>6310.56</v>
      </c>
      <c r="FB625" s="0" t="n">
        <v>1</v>
      </c>
      <c r="FC625" s="1" t="n">
        <v>40701</v>
      </c>
      <c r="FD625" s="0" t="n">
        <v>4</v>
      </c>
      <c r="FE625" s="0" t="n">
        <v>0</v>
      </c>
      <c r="FF625" s="120" t="n">
        <f aca="false">(CJ625-CI625+1)/365</f>
        <v>2.02191780821918</v>
      </c>
      <c r="FG625" s="0" t="str">
        <f aca="false">CONCATENATE(F625,"/",G625)</f>
        <v>236/2011</v>
      </c>
      <c r="FH625" s="0" t="n">
        <v>1</v>
      </c>
      <c r="FI625" s="0" t="n">
        <f aca="false">IFERROR(IF((FC625-J625+1)/365&gt;3,0,1),"")</f>
        <v>1</v>
      </c>
    </row>
    <row r="626" customFormat="false" ht="15" hidden="false" customHeight="false" outlineLevel="0" collapsed="false">
      <c r="A626" s="5" t="str">
        <f aca="false">E626&amp;G626&amp;F626</f>
        <v>72011242</v>
      </c>
      <c r="B626" s="0" t="s">
        <v>5573</v>
      </c>
      <c r="C626" s="1" t="n">
        <v>42363</v>
      </c>
      <c r="E626" s="0" t="n">
        <v>7</v>
      </c>
      <c r="F626" s="0" t="n">
        <v>242</v>
      </c>
      <c r="G626" s="0" t="n">
        <v>2011</v>
      </c>
      <c r="H626" s="0" t="str">
        <f aca="false">"J"&amp;E626&amp;"\"&amp;F626&amp;"\"&amp;G626&amp;"\"&amp;W626</f>
        <v>J7\242\2011\1</v>
      </c>
      <c r="I626" s="0"/>
      <c r="J626" s="1" t="n">
        <v>40582</v>
      </c>
      <c r="K626" s="0" t="n">
        <v>1</v>
      </c>
      <c r="L626" s="0" t="s">
        <v>838</v>
      </c>
      <c r="M626" s="1" t="n">
        <v>40582</v>
      </c>
      <c r="N626" s="1" t="n">
        <v>40648</v>
      </c>
      <c r="O626" s="1"/>
      <c r="P626" s="1"/>
      <c r="Q626" s="1"/>
      <c r="T626" s="121"/>
      <c r="U626" s="121"/>
      <c r="V626" s="122" t="n">
        <f aca="false">IF(AND(E626&gt;0,F626&gt;0,G626&gt;0),COUNTIFS($E:$E,E626,$F:$F,F626,$G:$G,G626),"")</f>
        <v>1</v>
      </c>
      <c r="W626" s="122" t="n">
        <f aca="false">IF(V626="","",IF(V626=1,1,IF(AND(E625=E626,F625=F626,G625=G626),W625+1,1)))</f>
        <v>1</v>
      </c>
      <c r="X626" s="0" t="n">
        <v>1</v>
      </c>
      <c r="Y626" s="0" t="n">
        <v>2</v>
      </c>
      <c r="Z626" s="0" t="s">
        <v>5764</v>
      </c>
      <c r="AA626" s="0" t="n">
        <v>0</v>
      </c>
      <c r="AB626" s="0" t="s">
        <v>5765</v>
      </c>
      <c r="AC626" s="0" t="s">
        <v>5766</v>
      </c>
      <c r="AD626" s="0" t="s">
        <v>5608</v>
      </c>
      <c r="AE626" s="0" t="n">
        <v>0</v>
      </c>
      <c r="AF626" s="0" t="s">
        <v>5767</v>
      </c>
      <c r="AG626" s="0" t="n">
        <v>0</v>
      </c>
      <c r="AH626" s="0" t="s">
        <v>5768</v>
      </c>
      <c r="AI626" s="0" t="s">
        <v>914</v>
      </c>
      <c r="AJ626" s="0" t="s">
        <v>2253</v>
      </c>
      <c r="AL626" s="0" t="s">
        <v>5769</v>
      </c>
      <c r="AM626" s="0" t="n">
        <v>0</v>
      </c>
      <c r="AN626" s="0" t="s">
        <v>5768</v>
      </c>
      <c r="AO626" s="0" t="s">
        <v>914</v>
      </c>
      <c r="AP626" s="0" t="s">
        <v>2253</v>
      </c>
      <c r="BR626" s="0" t="n">
        <v>1</v>
      </c>
      <c r="BS626" s="0" t="s">
        <v>5770</v>
      </c>
      <c r="BT626" s="0" t="s">
        <v>5771</v>
      </c>
      <c r="BV626" s="123"/>
      <c r="BW626" s="123"/>
      <c r="BX626" s="123"/>
      <c r="BY626" s="123"/>
      <c r="CA626" s="0" t="s">
        <v>216</v>
      </c>
      <c r="CD626" s="0" t="s">
        <v>221</v>
      </c>
      <c r="CE626" s="0" t="n">
        <v>0</v>
      </c>
      <c r="CF626" s="0" t="s">
        <v>5772</v>
      </c>
      <c r="CI626" s="1" t="n">
        <v>40283</v>
      </c>
      <c r="CJ626" s="1" t="n">
        <v>40522</v>
      </c>
      <c r="CK626" s="124" t="n">
        <v>0.59375</v>
      </c>
      <c r="CL626" s="0" t="s">
        <v>5773</v>
      </c>
      <c r="CM626" s="0" t="n">
        <f aca="false">IF(OR(CI626="",CJ626=""),"",DAYS360(CI626,CJ626)/360)</f>
        <v>0.652777777777778</v>
      </c>
      <c r="CN626" s="0" t="n">
        <f aca="false">IF(OR(CI626="",CJ626=""),"",DAYS360(CI626,CJ626)/30)</f>
        <v>7.83333333333333</v>
      </c>
      <c r="CO626" s="0" t="n">
        <f aca="false">IF(OR(CI626="",CJ626=""),"",DAYS360(CI626,CJ626)/7)</f>
        <v>33.5714285714286</v>
      </c>
      <c r="CP626" s="0" t="n">
        <f aca="false">IF(OR(CI626="",CJ626=""),"",DAYS360(CI626,CJ626))</f>
        <v>235</v>
      </c>
      <c r="CQ626" s="0" t="s">
        <v>240</v>
      </c>
      <c r="CR626" s="0" t="n">
        <v>1</v>
      </c>
      <c r="CT626" s="0" t="s">
        <v>221</v>
      </c>
      <c r="CU626" s="0" t="s">
        <v>221</v>
      </c>
      <c r="CV626" s="0" t="str">
        <f aca="false">IF(OR(CT626="",CT626="NO ESPECIFICA",CT626="NO MENCIONA"),"",IF(CU626=0,CT626,IF(CU626=1,CT626/30,IF(CU626=2,CT626/15,IF(CU626=3,CT626/7,"")))))</f>
        <v/>
      </c>
      <c r="CW626" s="125" t="n">
        <v>2000</v>
      </c>
      <c r="CX626" s="0" t="n">
        <v>3</v>
      </c>
      <c r="CY626" s="0" t="n">
        <f aca="false">IF(CW626="","",IF(CX626=0,CW626,IF(CX626=1,CW626/30,IF(CX626=2,CW626/15,IF(CX626=3,CW626/7,CW626)))))</f>
        <v>285.714285714286</v>
      </c>
      <c r="CZ626" s="0" t="n">
        <f aca="false">IF(DI626&gt;0,DI626,IF(CY626&gt;0,CY626,IF(CV626&gt;0,CV626,"")))</f>
        <v>285.71</v>
      </c>
      <c r="DA626" s="0" t="n">
        <f aca="false">IF(DM626=1,CZ626/8,IF(OR(DM626=2,DM626=4),CZ626/7,IF(DM626=3,CZ626/7.5,"")))</f>
        <v>35.71375</v>
      </c>
      <c r="DB626" s="0" t="s">
        <v>216</v>
      </c>
      <c r="DC626" s="0" t="s">
        <v>216</v>
      </c>
      <c r="DD626" s="0" t="s">
        <v>216</v>
      </c>
      <c r="DE626" s="0" t="s">
        <v>216</v>
      </c>
      <c r="DF626" s="0" t="s">
        <v>216</v>
      </c>
      <c r="DG626" s="0" t="s">
        <v>216</v>
      </c>
      <c r="DH626" s="0" t="n">
        <v>0</v>
      </c>
      <c r="DI626" s="126" t="n">
        <v>285.71</v>
      </c>
      <c r="DK626" s="0" t="n">
        <v>1</v>
      </c>
      <c r="DM626" s="0" t="n">
        <v>1</v>
      </c>
      <c r="DN626" s="0" t="n">
        <v>50</v>
      </c>
      <c r="DO626" s="0" t="n">
        <v>3</v>
      </c>
      <c r="DP626" s="0" t="n">
        <v>0</v>
      </c>
      <c r="DQ626" s="0" t="n">
        <v>1</v>
      </c>
      <c r="DR626" s="0"/>
      <c r="DS626" s="0" t="n">
        <v>1</v>
      </c>
      <c r="DU626" s="0" t="n">
        <v>1</v>
      </c>
      <c r="DW626" s="1" t="s">
        <v>221</v>
      </c>
      <c r="DX626" s="1" t="s">
        <v>221</v>
      </c>
      <c r="DZ626" s="0"/>
      <c r="EA626" s="0" t="n">
        <v>1</v>
      </c>
      <c r="EC626" s="1" t="s">
        <v>221</v>
      </c>
      <c r="ED626" s="1" t="s">
        <v>221</v>
      </c>
      <c r="EF626" s="0"/>
      <c r="EG626" s="0" t="n">
        <v>1</v>
      </c>
      <c r="EH626" s="0" t="n">
        <v>6</v>
      </c>
      <c r="EI626" s="0" t="n">
        <f aca="false">IF(AND(DM626=1,DN626&lt;=48),"",IF(AND(DM626=2,DN626&lt;=42),"",IF(AND(DM626=3,DN626&lt;=45),"",EH626)))</f>
        <v>6</v>
      </c>
      <c r="EJ626" s="0" t="n">
        <f aca="false">IF(EI626="","",IF(EI626&lt;9,EI626,9))</f>
        <v>6</v>
      </c>
      <c r="EK626" s="0" t="n">
        <f aca="false">IF(EI626="","",IF(EI626&gt;9,EI626-EJ626,0))</f>
        <v>0</v>
      </c>
      <c r="EL626" s="0" t="n">
        <f aca="false">IF(EI626="","",EJ626*DA626*2+EK626*DA626*3)</f>
        <v>428.565</v>
      </c>
      <c r="EP626" s="0" t="n">
        <v>1</v>
      </c>
      <c r="EQ626" s="0"/>
      <c r="ER626" s="0" t="n">
        <v>0</v>
      </c>
      <c r="ET626" s="0" t="n">
        <v>1</v>
      </c>
      <c r="EV626" s="0" t="n">
        <v>1</v>
      </c>
      <c r="EX626" s="0" t="n">
        <v>0</v>
      </c>
      <c r="EY626" s="0" t="n">
        <v>1</v>
      </c>
      <c r="EZ626" s="0"/>
      <c r="FA626" s="4" t="n">
        <v>0</v>
      </c>
      <c r="FB626" s="0" t="n">
        <v>0</v>
      </c>
      <c r="FC626" s="1" t="n">
        <v>41187</v>
      </c>
      <c r="FD626" s="0" t="n">
        <v>2</v>
      </c>
      <c r="FE626" s="0" t="n">
        <v>0</v>
      </c>
      <c r="FF626" s="120" t="n">
        <f aca="false">(CJ626-CI626+1)/365</f>
        <v>0.657534246575342</v>
      </c>
      <c r="FG626" s="0" t="str">
        <f aca="false">CONCATENATE(F626,"/",G626)</f>
        <v>242/2011</v>
      </c>
      <c r="FH626" s="0" t="n">
        <v>1</v>
      </c>
      <c r="FI626" s="0" t="n">
        <f aca="false">IFERROR(IF((FC626-J626+1)/365&gt;3,0,1),"")</f>
        <v>1</v>
      </c>
    </row>
    <row r="627" customFormat="false" ht="15" hidden="false" customHeight="false" outlineLevel="0" collapsed="false">
      <c r="A627" s="5" t="str">
        <f aca="false">E627&amp;G627&amp;F627</f>
        <v>72011243</v>
      </c>
      <c r="B627" s="0" t="s">
        <v>5573</v>
      </c>
      <c r="C627" s="1" t="n">
        <v>42363</v>
      </c>
      <c r="D627" s="0" t="s">
        <v>5615</v>
      </c>
      <c r="E627" s="0" t="n">
        <v>7</v>
      </c>
      <c r="F627" s="0" t="n">
        <v>243</v>
      </c>
      <c r="G627" s="0" t="n">
        <v>2011</v>
      </c>
      <c r="H627" s="0" t="str">
        <f aca="false">"J"&amp;E627&amp;"\"&amp;F627&amp;"\"&amp;G627&amp;"\"&amp;W627</f>
        <v>J7\243\2011\1</v>
      </c>
      <c r="I627" s="0"/>
      <c r="J627" s="1" t="n">
        <v>40582</v>
      </c>
      <c r="K627" s="0" t="n">
        <v>0</v>
      </c>
      <c r="M627" s="1"/>
      <c r="N627" s="1"/>
      <c r="O627" s="1"/>
      <c r="P627" s="1"/>
      <c r="Q627" s="1"/>
      <c r="T627" s="121"/>
      <c r="U627" s="121"/>
      <c r="V627" s="122" t="n">
        <f aca="false">IF(AND(E627&gt;0,F627&gt;0,G627&gt;0),COUNTIFS($E:$E,E627,$F:$F,F627,$G:$G,G627),"")</f>
        <v>1</v>
      </c>
      <c r="W627" s="122" t="n">
        <f aca="false">IF(V627="","",IF(V627=1,1,IF(AND(E626=E627,F626=F627,G626=G627),W626+1,1)))</f>
        <v>1</v>
      </c>
      <c r="X627" s="0" t="n">
        <v>1</v>
      </c>
      <c r="Y627" s="0" t="n">
        <v>5</v>
      </c>
      <c r="Z627" s="0" t="s">
        <v>5774</v>
      </c>
      <c r="AA627" s="0" t="n">
        <v>0</v>
      </c>
      <c r="AB627" s="0" t="s">
        <v>5775</v>
      </c>
      <c r="AC627" s="0" t="s">
        <v>3618</v>
      </c>
      <c r="AD627" s="0" t="s">
        <v>2253</v>
      </c>
      <c r="AE627" s="0" t="n">
        <v>0</v>
      </c>
      <c r="AF627" s="0" t="s">
        <v>5776</v>
      </c>
      <c r="AG627" s="0" t="n">
        <v>0</v>
      </c>
      <c r="AH627" s="0" t="s">
        <v>5777</v>
      </c>
      <c r="AI627" s="0" t="s">
        <v>206</v>
      </c>
      <c r="AJ627" s="0" t="s">
        <v>2218</v>
      </c>
      <c r="AL627" s="0" t="s">
        <v>5778</v>
      </c>
      <c r="AM627" s="0" t="n">
        <v>0</v>
      </c>
      <c r="AN627" s="0" t="s">
        <v>5777</v>
      </c>
      <c r="AO627" s="0" t="s">
        <v>206</v>
      </c>
      <c r="AP627" s="0" t="s">
        <v>2218</v>
      </c>
      <c r="AR627" s="0" t="s">
        <v>5779</v>
      </c>
      <c r="AS627" s="0" t="n">
        <v>0</v>
      </c>
      <c r="AT627" s="0" t="s">
        <v>5777</v>
      </c>
      <c r="AU627" s="0" t="s">
        <v>206</v>
      </c>
      <c r="AV627" s="0" t="s">
        <v>2218</v>
      </c>
      <c r="AX627" s="0" t="s">
        <v>5780</v>
      </c>
      <c r="AY627" s="0" t="n">
        <v>1</v>
      </c>
      <c r="AZ627" s="0" t="s">
        <v>5777</v>
      </c>
      <c r="BA627" s="0" t="s">
        <v>206</v>
      </c>
      <c r="BB627" s="0" t="s">
        <v>2218</v>
      </c>
      <c r="BD627" s="0" t="s">
        <v>5781</v>
      </c>
      <c r="BE627" s="0" t="n">
        <v>1</v>
      </c>
      <c r="BF627" s="0" t="s">
        <v>5777</v>
      </c>
      <c r="BG627" s="0" t="s">
        <v>206</v>
      </c>
      <c r="BH627" s="0" t="s">
        <v>2218</v>
      </c>
      <c r="BR627" s="0" t="n">
        <v>1</v>
      </c>
      <c r="BS627" s="0" t="s">
        <v>5782</v>
      </c>
      <c r="BT627" s="0" t="s">
        <v>5783</v>
      </c>
      <c r="BU627" s="0" t="s">
        <v>5784</v>
      </c>
      <c r="BV627" s="123"/>
      <c r="BW627" s="123"/>
      <c r="BX627" s="123"/>
      <c r="BY627" s="123"/>
      <c r="CA627" s="0" t="s">
        <v>216</v>
      </c>
      <c r="CD627" s="0" t="s">
        <v>256</v>
      </c>
      <c r="CE627" s="0" t="n">
        <v>0</v>
      </c>
      <c r="CF627" s="0" t="s">
        <v>5785</v>
      </c>
      <c r="CI627" s="1" t="n">
        <v>39966</v>
      </c>
      <c r="CJ627" s="1" t="n">
        <v>40567</v>
      </c>
      <c r="CK627" s="124" t="n">
        <v>0.541666666666667</v>
      </c>
      <c r="CL627" s="0" t="s">
        <v>5786</v>
      </c>
      <c r="CM627" s="0" t="n">
        <f aca="false">IF(OR(CI627="",CJ627=""),"",DAYS360(CI627,CJ627)/360)</f>
        <v>1.64444444444444</v>
      </c>
      <c r="CN627" s="0" t="n">
        <f aca="false">IF(OR(CI627="",CJ627=""),"",DAYS360(CI627,CJ627)/30)</f>
        <v>19.7333333333333</v>
      </c>
      <c r="CO627" s="0" t="n">
        <f aca="false">IF(OR(CI627="",CJ627=""),"",DAYS360(CI627,CJ627)/7)</f>
        <v>84.5714285714286</v>
      </c>
      <c r="CP627" s="0" t="n">
        <f aca="false">IF(OR(CI627="",CJ627=""),"",DAYS360(CI627,CJ627))</f>
        <v>592</v>
      </c>
      <c r="CQ627" s="0" t="s">
        <v>220</v>
      </c>
      <c r="CR627" s="0" t="n">
        <v>1</v>
      </c>
      <c r="CT627" s="0" t="s">
        <v>221</v>
      </c>
      <c r="CU627" s="0" t="s">
        <v>221</v>
      </c>
      <c r="CV627" s="0" t="str">
        <f aca="false">IF(OR(CT627="",CT627="NO ESPECIFICA",CT627="NO MENCIONA"),"",IF(CU627=0,CT627,IF(CU627=1,CT627/30,IF(CU627=2,CT627/15,IF(CU627=3,CT627/7,"")))))</f>
        <v/>
      </c>
      <c r="CW627" s="125" t="n">
        <v>185.16</v>
      </c>
      <c r="CX627" s="0" t="n">
        <v>0</v>
      </c>
      <c r="CY627" s="0" t="n">
        <f aca="false">IF(CW627="","",IF(CX627=0,CW627,IF(CX627=1,CW627/30,IF(CX627=2,CW627/15,IF(CX627=3,CW627/7,CW627)))))</f>
        <v>185.16</v>
      </c>
      <c r="CZ627" s="0" t="n">
        <f aca="false">IF(DI627&gt;0,DI627,IF(CY627&gt;0,CY627,IF(CV627&gt;0,CV627,"")))</f>
        <v>185.16</v>
      </c>
      <c r="DA627" s="0" t="n">
        <f aca="false">IF(DM627=1,CZ627/8,IF(OR(DM627=2,DM627=4),CZ627/7,IF(DM627=3,CZ627/7.5,"")))</f>
        <v>23.145</v>
      </c>
      <c r="DB627" s="0" t="s">
        <v>216</v>
      </c>
      <c r="DC627" s="0" t="s">
        <v>216</v>
      </c>
      <c r="DD627" s="0" t="s">
        <v>216</v>
      </c>
      <c r="DE627" s="0" t="s">
        <v>216</v>
      </c>
      <c r="DF627" s="0" t="s">
        <v>216</v>
      </c>
      <c r="DG627" s="0" t="s">
        <v>216</v>
      </c>
      <c r="DH627" s="0" t="n">
        <v>0</v>
      </c>
      <c r="DI627" s="126" t="n">
        <v>185.16</v>
      </c>
      <c r="DK627" s="0" t="n">
        <v>0</v>
      </c>
      <c r="DM627" s="0" t="n">
        <v>1</v>
      </c>
      <c r="DN627" s="0" t="n">
        <v>50</v>
      </c>
      <c r="DO627" s="0" t="n">
        <v>3</v>
      </c>
      <c r="DP627" s="0" t="n">
        <v>1</v>
      </c>
      <c r="DQ627" s="0" t="n">
        <v>0</v>
      </c>
      <c r="DR627" s="0"/>
      <c r="DS627" s="0" t="n">
        <v>1</v>
      </c>
      <c r="DU627" s="0" t="n">
        <v>1</v>
      </c>
      <c r="DW627" s="1" t="n">
        <v>39966</v>
      </c>
      <c r="DX627" s="1" t="n">
        <v>40567</v>
      </c>
      <c r="DZ627" s="0"/>
      <c r="EA627" s="0" t="n">
        <v>1</v>
      </c>
      <c r="EC627" s="1" t="n">
        <v>39966</v>
      </c>
      <c r="ED627" s="1" t="n">
        <v>40567</v>
      </c>
      <c r="EF627" s="0"/>
      <c r="EG627" s="0" t="n">
        <v>1</v>
      </c>
      <c r="EH627" s="0" t="n">
        <v>10</v>
      </c>
      <c r="EI627" s="0" t="n">
        <f aca="false">IF(AND(DM627=1,DN627&lt;=48),"",IF(AND(DM627=2,DN627&lt;=42),"",IF(AND(DM627=3,DN627&lt;=45),"",EH627)))</f>
        <v>10</v>
      </c>
      <c r="EJ627" s="0" t="n">
        <f aca="false">IF(EI627="","",IF(EI627&lt;9,EI627,9))</f>
        <v>9</v>
      </c>
      <c r="EK627" s="0" t="n">
        <f aca="false">IF(EI627="","",IF(EI627&gt;9,EI627-EJ627,0))</f>
        <v>1</v>
      </c>
      <c r="EL627" s="0" t="n">
        <f aca="false">IF(EI627="","",EJ627*DA627*2+EK627*DA627*3)</f>
        <v>486.045</v>
      </c>
      <c r="EP627" s="0" t="n">
        <v>1</v>
      </c>
      <c r="EQ627" s="0"/>
      <c r="ER627" s="0" t="n">
        <v>1</v>
      </c>
      <c r="ET627" s="0" t="n">
        <v>0</v>
      </c>
      <c r="EV627" s="0" t="n">
        <v>1</v>
      </c>
      <c r="EX627" s="0" t="n">
        <v>1</v>
      </c>
      <c r="EY627" s="0" t="n">
        <v>1</v>
      </c>
      <c r="EZ627" s="0"/>
      <c r="FA627" s="4" t="n">
        <v>1851.6</v>
      </c>
      <c r="FB627" s="0" t="n">
        <v>0</v>
      </c>
      <c r="FC627" s="1" t="n">
        <v>40735</v>
      </c>
      <c r="FD627" s="0" t="n">
        <v>1</v>
      </c>
      <c r="FE627" s="0" t="n">
        <v>13500</v>
      </c>
      <c r="FF627" s="120" t="n">
        <f aca="false">(CJ627-CI627+1)/365</f>
        <v>1.64931506849315</v>
      </c>
      <c r="FG627" s="0" t="str">
        <f aca="false">CONCATENATE(F627,"/",G627)</f>
        <v>243/2011</v>
      </c>
      <c r="FH627" s="0" t="n">
        <v>1</v>
      </c>
      <c r="FI627" s="0" t="n">
        <f aca="false">IFERROR(IF((FC627-J627+1)/365&gt;3,0,1),"")</f>
        <v>1</v>
      </c>
    </row>
    <row r="628" customFormat="false" ht="15" hidden="false" customHeight="false" outlineLevel="0" collapsed="false">
      <c r="A628" s="5" t="str">
        <f aca="false">E628&amp;G628&amp;F628</f>
        <v>72011245</v>
      </c>
      <c r="B628" s="0" t="s">
        <v>5573</v>
      </c>
      <c r="C628" s="1" t="n">
        <v>42363</v>
      </c>
      <c r="D628" s="0" t="s">
        <v>5615</v>
      </c>
      <c r="E628" s="0" t="n">
        <v>7</v>
      </c>
      <c r="F628" s="0" t="n">
        <v>245</v>
      </c>
      <c r="G628" s="0" t="n">
        <v>2011</v>
      </c>
      <c r="H628" s="0" t="str">
        <f aca="false">"J"&amp;E628&amp;"\"&amp;F628&amp;"\"&amp;G628&amp;"\"&amp;W628</f>
        <v>J7\245\2011\1</v>
      </c>
      <c r="I628" s="0"/>
      <c r="J628" s="1" t="n">
        <v>40582</v>
      </c>
      <c r="K628" s="0" t="n">
        <v>0</v>
      </c>
      <c r="M628" s="1"/>
      <c r="N628" s="1"/>
      <c r="O628" s="1"/>
      <c r="P628" s="1"/>
      <c r="Q628" s="1"/>
      <c r="T628" s="121"/>
      <c r="U628" s="121"/>
      <c r="V628" s="122" t="n">
        <f aca="false">IF(AND(E628&gt;0,F628&gt;0,G628&gt;0),COUNTIFS($E:$E,E628,$F:$F,F628,$G:$G,G628),"")</f>
        <v>1</v>
      </c>
      <c r="W628" s="122" t="n">
        <f aca="false">IF(V628="","",IF(V628=1,1,IF(AND(E627=E628,F627=F628,G627=G628),W627+1,1)))</f>
        <v>1</v>
      </c>
      <c r="X628" s="0" t="n">
        <v>1</v>
      </c>
      <c r="Y628" s="0" t="n">
        <v>4</v>
      </c>
      <c r="Z628" s="0" t="s">
        <v>5787</v>
      </c>
      <c r="AA628" s="0" t="n">
        <v>0</v>
      </c>
      <c r="AB628" s="0" t="s">
        <v>5788</v>
      </c>
      <c r="AC628" s="0" t="s">
        <v>318</v>
      </c>
      <c r="AD628" s="0" t="s">
        <v>221</v>
      </c>
      <c r="AE628" s="0" t="n">
        <v>0</v>
      </c>
      <c r="AF628" s="0" t="s">
        <v>5789</v>
      </c>
      <c r="AG628" s="0" t="n">
        <v>0</v>
      </c>
      <c r="AH628" s="0" t="s">
        <v>5790</v>
      </c>
      <c r="AI628" s="0" t="s">
        <v>5791</v>
      </c>
      <c r="AJ628" s="0" t="s">
        <v>2172</v>
      </c>
      <c r="AL628" s="0" t="s">
        <v>5792</v>
      </c>
      <c r="AM628" s="0" t="n">
        <v>2</v>
      </c>
      <c r="AN628" s="0" t="s">
        <v>5790</v>
      </c>
      <c r="AO628" s="0" t="s">
        <v>5791</v>
      </c>
      <c r="AP628" s="0" t="s">
        <v>2172</v>
      </c>
      <c r="AR628" s="0" t="s">
        <v>5793</v>
      </c>
      <c r="AS628" s="0" t="n">
        <v>1</v>
      </c>
      <c r="AT628" s="0" t="s">
        <v>5790</v>
      </c>
      <c r="AU628" s="0" t="s">
        <v>5791</v>
      </c>
      <c r="AV628" s="0" t="s">
        <v>2172</v>
      </c>
      <c r="AX628" s="0" t="s">
        <v>5743</v>
      </c>
      <c r="AY628" s="0" t="n">
        <v>1</v>
      </c>
      <c r="AZ628" s="0" t="s">
        <v>5790</v>
      </c>
      <c r="BA628" s="0" t="s">
        <v>5791</v>
      </c>
      <c r="BB628" s="0" t="s">
        <v>2172</v>
      </c>
      <c r="BR628" s="0" t="n">
        <v>1</v>
      </c>
      <c r="BS628" s="0" t="s">
        <v>2058</v>
      </c>
      <c r="BT628" s="0" t="s">
        <v>5794</v>
      </c>
      <c r="BU628" s="0" t="s">
        <v>5795</v>
      </c>
      <c r="BV628" s="123"/>
      <c r="BW628" s="123"/>
      <c r="BX628" s="123"/>
      <c r="BY628" s="123"/>
      <c r="CA628" s="0" t="s">
        <v>216</v>
      </c>
      <c r="CD628" s="0" t="s">
        <v>502</v>
      </c>
      <c r="CE628" s="0" t="n">
        <v>0</v>
      </c>
      <c r="CF628" s="0" t="s">
        <v>503</v>
      </c>
      <c r="CI628" s="1" t="n">
        <v>37035</v>
      </c>
      <c r="CJ628" s="1" t="n">
        <v>40530</v>
      </c>
      <c r="CK628" s="124" t="n">
        <v>0.5</v>
      </c>
      <c r="CL628" s="0" t="s">
        <v>5793</v>
      </c>
      <c r="CM628" s="0" t="n">
        <f aca="false">IF(OR(CI628="",CJ628=""),"",DAYS360(CI628,CJ628)/360)</f>
        <v>9.56666666666667</v>
      </c>
      <c r="CN628" s="0" t="n">
        <f aca="false">IF(OR(CI628="",CJ628=""),"",DAYS360(CI628,CJ628)/30)</f>
        <v>114.8</v>
      </c>
      <c r="CO628" s="0" t="n">
        <f aca="false">IF(OR(CI628="",CJ628=""),"",DAYS360(CI628,CJ628)/7)</f>
        <v>492</v>
      </c>
      <c r="CP628" s="0" t="n">
        <f aca="false">IF(OR(CI628="",CJ628=""),"",DAYS360(CI628,CJ628))</f>
        <v>3444</v>
      </c>
      <c r="CQ628" s="0" t="s">
        <v>240</v>
      </c>
      <c r="CR628" s="0" t="n">
        <v>1</v>
      </c>
      <c r="CT628" s="0" t="n">
        <v>350</v>
      </c>
      <c r="CU628" s="0" t="n">
        <v>0</v>
      </c>
      <c r="CV628" s="0" t="n">
        <f aca="false">IF(OR(CT628="",CT628="NO ESPECIFICA",CT628="NO MENCIONA"),"",IF(CU628=0,CT628,IF(CU628=1,CT628/30,IF(CU628=2,CT628/15,IF(CU628=3,CT628/7,"")))))</f>
        <v>350</v>
      </c>
      <c r="CW628" s="125" t="n">
        <v>379.23</v>
      </c>
      <c r="CX628" s="0" t="n">
        <v>0</v>
      </c>
      <c r="CY628" s="0" t="n">
        <f aca="false">IF(CW628="","",IF(CX628=0,CW628,IF(CX628=1,CW628/30,IF(CX628=2,CW628/15,IF(CX628=3,CW628/7,CW628)))))</f>
        <v>379.23</v>
      </c>
      <c r="CZ628" s="0" t="n">
        <f aca="false">IF(DI628&gt;0,DI628,IF(CY628&gt;0,CY628,IF(CV628&gt;0,CV628,"")))</f>
        <v>379.23</v>
      </c>
      <c r="DA628" s="0" t="n">
        <f aca="false">IF(DM628=1,CZ628/8,IF(OR(DM628=2,DM628=4),CZ628/7,IF(DM628=3,CZ628/7.5,"")))</f>
        <v>47.40375</v>
      </c>
      <c r="DB628" s="0" t="s">
        <v>303</v>
      </c>
      <c r="DC628" s="0" t="s">
        <v>301</v>
      </c>
      <c r="DD628" s="0" t="s">
        <v>1119</v>
      </c>
      <c r="DE628" s="0" t="s">
        <v>216</v>
      </c>
      <c r="DF628" s="0" t="s">
        <v>216</v>
      </c>
      <c r="DG628" s="0" t="s">
        <v>216</v>
      </c>
      <c r="DH628" s="0" t="n">
        <v>0</v>
      </c>
      <c r="DI628" s="126" t="n">
        <v>379.23</v>
      </c>
      <c r="DK628" s="0" t="n">
        <v>0</v>
      </c>
      <c r="DM628" s="0" t="n">
        <v>1</v>
      </c>
      <c r="DN628" s="0" t="n">
        <v>77</v>
      </c>
      <c r="DO628" s="0" t="n">
        <v>3</v>
      </c>
      <c r="DP628" s="0" t="n">
        <v>0</v>
      </c>
      <c r="DQ628" s="0" t="n">
        <v>1</v>
      </c>
      <c r="DR628" s="0"/>
      <c r="DS628" s="0" t="n">
        <v>1</v>
      </c>
      <c r="DU628" s="0" t="n">
        <v>1</v>
      </c>
      <c r="DW628" s="1" t="n">
        <v>39957</v>
      </c>
      <c r="DX628" s="1" t="n">
        <v>40529</v>
      </c>
      <c r="DZ628" s="0"/>
      <c r="EA628" s="0" t="n">
        <v>1</v>
      </c>
      <c r="EC628" s="1" t="n">
        <v>39814</v>
      </c>
      <c r="ED628" s="1" t="n">
        <v>40529</v>
      </c>
      <c r="EF628" s="0"/>
      <c r="EG628" s="0" t="n">
        <v>1</v>
      </c>
      <c r="EH628" s="0" t="n">
        <v>21</v>
      </c>
      <c r="EI628" s="0" t="n">
        <f aca="false">IF(AND(DM628=1,DN628&lt;=48),"",IF(AND(DM628=2,DN628&lt;=42),"",IF(AND(DM628=3,DN628&lt;=45),"",EH628)))</f>
        <v>21</v>
      </c>
      <c r="EJ628" s="0" t="n">
        <f aca="false">IF(EI628="","",IF(EI628&lt;9,EI628,9))</f>
        <v>9</v>
      </c>
      <c r="EK628" s="0" t="n">
        <f aca="false">IF(EI628="","",IF(EI628&gt;9,EI628-EJ628,0))</f>
        <v>12</v>
      </c>
      <c r="EL628" s="0" t="n">
        <f aca="false">IF(EI628="","",EJ628*DA628*2+EK628*DA628*3)</f>
        <v>2559.8025</v>
      </c>
      <c r="EP628" s="0" t="n">
        <v>0</v>
      </c>
      <c r="EQ628" s="0"/>
      <c r="ER628" s="0" t="n">
        <v>1</v>
      </c>
      <c r="ET628" s="0" t="n">
        <v>1</v>
      </c>
      <c r="EV628" s="0" t="n">
        <v>1</v>
      </c>
      <c r="EX628" s="0" t="n">
        <v>0</v>
      </c>
      <c r="EY628" s="0" t="n">
        <v>1</v>
      </c>
      <c r="EZ628" s="4" t="n">
        <v>20000</v>
      </c>
      <c r="FA628" s="4" t="n">
        <v>0</v>
      </c>
      <c r="FB628" s="0" t="n">
        <v>0</v>
      </c>
      <c r="FC628" s="1" t="n">
        <v>41158</v>
      </c>
      <c r="FD628" s="0" t="n">
        <v>2</v>
      </c>
      <c r="FE628" s="0" t="n">
        <v>0</v>
      </c>
      <c r="FF628" s="120" t="n">
        <f aca="false">(CJ628-CI628+1)/365</f>
        <v>9.57808219178082</v>
      </c>
      <c r="FG628" s="0" t="str">
        <f aca="false">CONCATENATE(F628,"/",G628)</f>
        <v>245/2011</v>
      </c>
      <c r="FH628" s="0" t="n">
        <v>1</v>
      </c>
      <c r="FI628" s="0" t="n">
        <f aca="false">IFERROR(IF((FC628-J628+1)/365&gt;3,0,1),"")</f>
        <v>1</v>
      </c>
    </row>
    <row r="629" customFormat="false" ht="15" hidden="false" customHeight="false" outlineLevel="0" collapsed="false">
      <c r="A629" s="5" t="str">
        <f aca="false">E629&amp;G629&amp;F629</f>
        <v>72011252</v>
      </c>
      <c r="B629" s="0" t="s">
        <v>5573</v>
      </c>
      <c r="C629" s="1" t="n">
        <v>42363</v>
      </c>
      <c r="E629" s="0" t="n">
        <v>7</v>
      </c>
      <c r="F629" s="0" t="n">
        <v>252</v>
      </c>
      <c r="G629" s="0" t="n">
        <v>2011</v>
      </c>
      <c r="H629" s="0" t="str">
        <f aca="false">"J"&amp;E629&amp;"\"&amp;F629&amp;"\"&amp;G629&amp;"\"&amp;W629</f>
        <v>J7\252\2011\1</v>
      </c>
      <c r="I629" s="0"/>
      <c r="J629" s="1" t="n">
        <v>40583</v>
      </c>
      <c r="K629" s="0" t="n">
        <v>0</v>
      </c>
      <c r="M629" s="1" t="n">
        <v>40583</v>
      </c>
      <c r="N629" s="1" t="n">
        <v>40651</v>
      </c>
      <c r="O629" s="1"/>
      <c r="P629" s="1"/>
      <c r="Q629" s="1"/>
      <c r="T629" s="121"/>
      <c r="U629" s="121"/>
      <c r="V629" s="122" t="n">
        <f aca="false">IF(AND(E629&gt;0,F629&gt;0,G629&gt;0),COUNTIFS($E:$E,E629,$F:$F,F629,$G:$G,G629),"")</f>
        <v>1</v>
      </c>
      <c r="W629" s="122" t="n">
        <f aca="false">IF(V629="","",IF(V629=1,1,IF(AND(E628=E629,F628=F629,G628=G629),W628+1,1)))</f>
        <v>1</v>
      </c>
      <c r="X629" s="0" t="n">
        <v>1</v>
      </c>
      <c r="Y629" s="0" t="n">
        <v>4</v>
      </c>
      <c r="Z629" s="0" t="s">
        <v>5796</v>
      </c>
      <c r="AA629" s="0" t="n">
        <v>0</v>
      </c>
      <c r="AB629" s="0" t="s">
        <v>5797</v>
      </c>
      <c r="AC629" s="0" t="s">
        <v>1661</v>
      </c>
      <c r="AD629" s="0" t="s">
        <v>221</v>
      </c>
      <c r="AE629" s="0" t="n">
        <v>0</v>
      </c>
      <c r="AF629" s="0" t="s">
        <v>5798</v>
      </c>
      <c r="AG629" s="0" t="n">
        <v>0</v>
      </c>
      <c r="AH629" s="0" t="s">
        <v>5799</v>
      </c>
      <c r="AI629" s="0" t="s">
        <v>438</v>
      </c>
      <c r="AJ629" s="0" t="s">
        <v>2340</v>
      </c>
      <c r="AL629" s="0" t="s">
        <v>5800</v>
      </c>
      <c r="AM629" s="0" t="n">
        <v>1</v>
      </c>
      <c r="AN629" s="0" t="s">
        <v>5799</v>
      </c>
      <c r="AO629" s="0" t="s">
        <v>438</v>
      </c>
      <c r="AP629" s="0" t="s">
        <v>2340</v>
      </c>
      <c r="AR629" s="0" t="s">
        <v>5801</v>
      </c>
      <c r="AS629" s="0" t="n">
        <v>1</v>
      </c>
      <c r="AT629" s="0" t="s">
        <v>5799</v>
      </c>
      <c r="AU629" s="0" t="s">
        <v>438</v>
      </c>
      <c r="AV629" s="0" t="s">
        <v>2340</v>
      </c>
      <c r="AX629" s="0" t="s">
        <v>5802</v>
      </c>
      <c r="AY629" s="0" t="n">
        <v>1</v>
      </c>
      <c r="AZ629" s="0" t="s">
        <v>5799</v>
      </c>
      <c r="BA629" s="0" t="s">
        <v>438</v>
      </c>
      <c r="BB629" s="0" t="s">
        <v>2340</v>
      </c>
      <c r="BR629" s="0" t="n">
        <v>1</v>
      </c>
      <c r="BS629" s="0" t="s">
        <v>3715</v>
      </c>
      <c r="BT629" s="0" t="s">
        <v>1273</v>
      </c>
      <c r="BU629" s="0" t="s">
        <v>1272</v>
      </c>
      <c r="BV629" s="123"/>
      <c r="BW629" s="123"/>
      <c r="BX629" s="123"/>
      <c r="BY629" s="123"/>
      <c r="CA629" s="0" t="s">
        <v>216</v>
      </c>
      <c r="CD629" s="0" t="s">
        <v>296</v>
      </c>
      <c r="CE629" s="0" t="n">
        <v>0</v>
      </c>
      <c r="CF629" s="0" t="s">
        <v>457</v>
      </c>
      <c r="CI629" s="1" t="n">
        <v>40520</v>
      </c>
      <c r="CJ629" s="1" t="n">
        <v>40582</v>
      </c>
      <c r="CK629" s="124" t="n">
        <v>0.333333333333333</v>
      </c>
      <c r="CL629" s="0" t="s">
        <v>5800</v>
      </c>
      <c r="CM629" s="0" t="n">
        <f aca="false">IF(OR(CI629="",CJ629=""),"",DAYS360(CI629,CJ629)/360)</f>
        <v>0.166666666666667</v>
      </c>
      <c r="CN629" s="0" t="n">
        <f aca="false">IF(OR(CI629="",CJ629=""),"",DAYS360(CI629,CJ629)/30)</f>
        <v>2</v>
      </c>
      <c r="CO629" s="0" t="n">
        <f aca="false">IF(OR(CI629="",CJ629=""),"",DAYS360(CI629,CJ629)/7)</f>
        <v>8.57142857142857</v>
      </c>
      <c r="CP629" s="0" t="n">
        <f aca="false">IF(OR(CI629="",CJ629=""),"",DAYS360(CI629,CJ629))</f>
        <v>60</v>
      </c>
      <c r="CQ629" s="0" t="s">
        <v>240</v>
      </c>
      <c r="CR629" s="0" t="n">
        <v>1</v>
      </c>
      <c r="CT629" s="0" t="s">
        <v>221</v>
      </c>
      <c r="CU629" s="0" t="s">
        <v>221</v>
      </c>
      <c r="CV629" s="0" t="str">
        <f aca="false">IF(OR(CT629="",CT629="NO ESPECIFICA",CT629="NO MENCIONA"),"",IF(CU629=0,CT629,IF(CU629=1,CT629/30,IF(CU629=2,CT629/15,IF(CU629=3,CT629/7,"")))))</f>
        <v/>
      </c>
      <c r="CW629" s="125" t="n">
        <v>12000</v>
      </c>
      <c r="CX629" s="0" t="n">
        <v>1</v>
      </c>
      <c r="CY629" s="0" t="n">
        <f aca="false">IF(CW629="","",IF(CX629=0,CW629,IF(CX629=1,CW629/30,IF(CX629=2,CW629/15,IF(CX629=3,CW629/7,CW629)))))</f>
        <v>400</v>
      </c>
      <c r="CZ629" s="0" t="n">
        <f aca="false">IF(DI629&gt;0,DI629,IF(CY629&gt;0,CY629,IF(CV629&gt;0,CV629,"")))</f>
        <v>400</v>
      </c>
      <c r="DA629" s="0" t="n">
        <f aca="false">IF(DM629=1,CZ629/8,IF(OR(DM629=2,DM629=4),CZ629/7,IF(DM629=3,CZ629/7.5,"")))</f>
        <v>50</v>
      </c>
      <c r="DB629" s="0" t="s">
        <v>216</v>
      </c>
      <c r="DC629" s="0" t="s">
        <v>216</v>
      </c>
      <c r="DD629" s="0" t="s">
        <v>216</v>
      </c>
      <c r="DE629" s="0" t="s">
        <v>216</v>
      </c>
      <c r="DF629" s="0" t="s">
        <v>216</v>
      </c>
      <c r="DG629" s="0" t="s">
        <v>216</v>
      </c>
      <c r="DH629" s="0" t="n">
        <v>0</v>
      </c>
      <c r="DI629" s="126" t="n">
        <v>400</v>
      </c>
      <c r="DK629" s="0" t="n">
        <v>0</v>
      </c>
      <c r="DM629" s="0" t="n">
        <v>1</v>
      </c>
      <c r="DN629" s="0" t="n">
        <v>72</v>
      </c>
      <c r="DO629" s="0" t="n">
        <v>3</v>
      </c>
      <c r="DP629" s="0" t="n">
        <v>0</v>
      </c>
      <c r="DQ629" s="0" t="n">
        <v>1</v>
      </c>
      <c r="DR629" s="0"/>
      <c r="DS629" s="0" t="n">
        <v>1</v>
      </c>
      <c r="DU629" s="0" t="n">
        <v>1</v>
      </c>
      <c r="DW629" s="1" t="n">
        <v>40520</v>
      </c>
      <c r="DX629" s="1" t="n">
        <v>40582</v>
      </c>
      <c r="DZ629" s="0"/>
      <c r="EA629" s="0" t="n">
        <v>1</v>
      </c>
      <c r="EC629" s="1" t="n">
        <v>40520</v>
      </c>
      <c r="ED629" s="1" t="n">
        <v>40582</v>
      </c>
      <c r="EF629" s="0"/>
      <c r="EG629" s="0" t="n">
        <v>1</v>
      </c>
      <c r="EH629" s="0" t="n">
        <v>18</v>
      </c>
      <c r="EI629" s="0" t="n">
        <f aca="false">IF(AND(DM629=1,DN629&lt;=48),"",IF(AND(DM629=2,DN629&lt;=42),"",IF(AND(DM629=3,DN629&lt;=45),"",EH629)))</f>
        <v>18</v>
      </c>
      <c r="EJ629" s="0" t="n">
        <f aca="false">IF(EI629="","",IF(EI629&lt;9,EI629,9))</f>
        <v>9</v>
      </c>
      <c r="EK629" s="0" t="n">
        <f aca="false">IF(EI629="","",IF(EI629&gt;9,EI629-EJ629,0))</f>
        <v>9</v>
      </c>
      <c r="EL629" s="0" t="n">
        <f aca="false">IF(EI629="","",EJ629*DA629*2+EK629*DA629*3)</f>
        <v>2250</v>
      </c>
      <c r="EP629" s="0" t="n">
        <v>0</v>
      </c>
      <c r="EQ629" s="0"/>
      <c r="ER629" s="0" t="n">
        <v>1</v>
      </c>
      <c r="ET629" s="0" t="n">
        <v>1</v>
      </c>
      <c r="EV629" s="0" t="n">
        <v>1</v>
      </c>
      <c r="EX629" s="0" t="n">
        <v>1</v>
      </c>
      <c r="EY629" s="0" t="n">
        <v>0</v>
      </c>
      <c r="EZ629" s="0"/>
      <c r="FA629" s="4" t="n">
        <v>12000</v>
      </c>
      <c r="FB629" s="0" t="n">
        <v>1</v>
      </c>
      <c r="FC629" s="1" t="n">
        <v>40797</v>
      </c>
      <c r="FD629" s="0" t="n">
        <v>1</v>
      </c>
      <c r="FE629" s="0" t="n">
        <v>14000</v>
      </c>
      <c r="FF629" s="120" t="n">
        <f aca="false">(CJ629-CI629+1)/365</f>
        <v>0.172602739726027</v>
      </c>
      <c r="FG629" s="0" t="str">
        <f aca="false">CONCATENATE(F629,"/",G629)</f>
        <v>252/2011</v>
      </c>
      <c r="FH629" s="0" t="n">
        <v>1</v>
      </c>
      <c r="FI629" s="0" t="n">
        <f aca="false">IFERROR(IF((FC629-J629+1)/365&gt;3,0,1),"")</f>
        <v>1</v>
      </c>
    </row>
    <row r="630" customFormat="false" ht="15" hidden="false" customHeight="false" outlineLevel="0" collapsed="false">
      <c r="A630" s="5" t="str">
        <f aca="false">E630&amp;G630&amp;F630</f>
        <v>72011255</v>
      </c>
      <c r="B630" s="0" t="s">
        <v>5573</v>
      </c>
      <c r="C630" s="1" t="n">
        <v>42363</v>
      </c>
      <c r="E630" s="0" t="n">
        <v>7</v>
      </c>
      <c r="F630" s="0" t="n">
        <v>255</v>
      </c>
      <c r="G630" s="0" t="n">
        <v>2011</v>
      </c>
      <c r="H630" s="0" t="str">
        <f aca="false">"J"&amp;E630&amp;"\"&amp;F630&amp;"\"&amp;G630&amp;"\"&amp;W630</f>
        <v>J7\255\2011\1</v>
      </c>
      <c r="I630" s="0"/>
      <c r="J630" s="1" t="n">
        <v>40583</v>
      </c>
      <c r="K630" s="0" t="n">
        <v>0</v>
      </c>
      <c r="M630" s="1" t="n">
        <v>40583</v>
      </c>
      <c r="N630" s="1" t="n">
        <v>40651</v>
      </c>
      <c r="O630" s="1"/>
      <c r="P630" s="1"/>
      <c r="Q630" s="1"/>
      <c r="T630" s="121"/>
      <c r="U630" s="121"/>
      <c r="V630" s="122" t="n">
        <f aca="false">IF(AND(E630&gt;0,F630&gt;0,G630&gt;0),COUNTIFS($E:$E,E630,$F:$F,F630,$G:$G,G630),"")</f>
        <v>1</v>
      </c>
      <c r="W630" s="122" t="n">
        <f aca="false">IF(V630="","",IF(V630=1,1,IF(AND(E629=E630,F629=F630,G629=G630),W629+1,1)))</f>
        <v>1</v>
      </c>
      <c r="X630" s="0" t="n">
        <v>1</v>
      </c>
      <c r="Y630" s="0" t="n">
        <v>2</v>
      </c>
      <c r="Z630" s="0" t="s">
        <v>5803</v>
      </c>
      <c r="AA630" s="0" t="n">
        <v>0</v>
      </c>
      <c r="AB630" s="0" t="s">
        <v>5804</v>
      </c>
      <c r="AC630" s="0" t="s">
        <v>318</v>
      </c>
      <c r="AD630" s="0" t="s">
        <v>1160</v>
      </c>
      <c r="AE630" s="0" t="n">
        <v>0</v>
      </c>
      <c r="AF630" s="0" t="s">
        <v>5805</v>
      </c>
      <c r="AG630" s="0" t="n">
        <v>1</v>
      </c>
      <c r="AH630" s="0" t="s">
        <v>5806</v>
      </c>
      <c r="AI630" s="0" t="s">
        <v>318</v>
      </c>
      <c r="AJ630" s="0" t="s">
        <v>1160</v>
      </c>
      <c r="AL630" s="0" t="s">
        <v>5807</v>
      </c>
      <c r="AM630" s="0" t="n">
        <v>1</v>
      </c>
      <c r="AN630" s="0" t="s">
        <v>5806</v>
      </c>
      <c r="AO630" s="0" t="s">
        <v>318</v>
      </c>
      <c r="AP630" s="0" t="s">
        <v>1160</v>
      </c>
      <c r="BR630" s="0" t="n">
        <v>1</v>
      </c>
      <c r="BS630" s="0" t="s">
        <v>5808</v>
      </c>
      <c r="BT630" s="0" t="s">
        <v>1129</v>
      </c>
      <c r="BU630" s="0" t="s">
        <v>5809</v>
      </c>
      <c r="BV630" s="123"/>
      <c r="BW630" s="123"/>
      <c r="BX630" s="123"/>
      <c r="BY630" s="123"/>
      <c r="CA630" s="0" t="s">
        <v>216</v>
      </c>
      <c r="CD630" s="0" t="s">
        <v>256</v>
      </c>
      <c r="CE630" s="0" t="n">
        <v>0</v>
      </c>
      <c r="CF630" s="0" t="s">
        <v>5810</v>
      </c>
      <c r="CI630" s="1" t="n">
        <v>38002</v>
      </c>
      <c r="CJ630" s="1" t="n">
        <v>40535</v>
      </c>
      <c r="CK630" s="124" t="n">
        <v>0.5</v>
      </c>
      <c r="CL630" s="0" t="s">
        <v>5805</v>
      </c>
      <c r="CM630" s="0" t="n">
        <f aca="false">IF(OR(CI630="",CJ630=""),"",DAYS360(CI630,CJ630)/360)</f>
        <v>6.93611111111111</v>
      </c>
      <c r="CN630" s="0" t="n">
        <f aca="false">IF(OR(CI630="",CJ630=""),"",DAYS360(CI630,CJ630)/30)</f>
        <v>83.2333333333333</v>
      </c>
      <c r="CO630" s="0" t="n">
        <f aca="false">IF(OR(CI630="",CJ630=""),"",DAYS360(CI630,CJ630)/7)</f>
        <v>356.714285714286</v>
      </c>
      <c r="CP630" s="0" t="n">
        <f aca="false">IF(OR(CI630="",CJ630=""),"",DAYS360(CI630,CJ630))</f>
        <v>2497</v>
      </c>
      <c r="CQ630" s="0" t="s">
        <v>220</v>
      </c>
      <c r="CR630" s="0" t="n">
        <v>1</v>
      </c>
      <c r="CT630" s="0" t="s">
        <v>221</v>
      </c>
      <c r="CU630" s="0" t="s">
        <v>221</v>
      </c>
      <c r="CV630" s="0" t="str">
        <f aca="false">IF(OR(CT630="",CT630="NO ESPECIFICA",CT630="NO MENCIONA"),"",IF(CU630=0,CT630,IF(CU630=1,CT630/30,IF(CU630=2,CT630/15,IF(CU630=3,CT630/7,"")))))</f>
        <v/>
      </c>
      <c r="CW630" s="125" t="n">
        <v>171.42</v>
      </c>
      <c r="CX630" s="0" t="n">
        <v>0</v>
      </c>
      <c r="CY630" s="0" t="n">
        <f aca="false">IF(CW630="","",IF(CX630=0,CW630,IF(CX630=1,CW630/30,IF(CX630=2,CW630/15,IF(CX630=3,CW630/7,CW630)))))</f>
        <v>171.42</v>
      </c>
      <c r="CZ630" s="0" t="n">
        <f aca="false">IF(DI630&gt;0,DI630,IF(CY630&gt;0,CY630,IF(CV630&gt;0,CV630,"")))</f>
        <v>171.42</v>
      </c>
      <c r="DA630" s="0" t="n">
        <f aca="false">IF(DM630=1,CZ630/8,IF(OR(DM630=2,DM630=4),CZ630/7,IF(DM630=3,CZ630/7.5,"")))</f>
        <v>21.4275</v>
      </c>
      <c r="DB630" s="0" t="s">
        <v>216</v>
      </c>
      <c r="DC630" s="0" t="s">
        <v>216</v>
      </c>
      <c r="DD630" s="0" t="s">
        <v>216</v>
      </c>
      <c r="DE630" s="0" t="s">
        <v>216</v>
      </c>
      <c r="DF630" s="0" t="s">
        <v>216</v>
      </c>
      <c r="DG630" s="0" t="s">
        <v>216</v>
      </c>
      <c r="DH630" s="0" t="n">
        <v>0</v>
      </c>
      <c r="DI630" s="126" t="n">
        <v>171.42</v>
      </c>
      <c r="DK630" s="0" t="n">
        <v>0</v>
      </c>
      <c r="DM630" s="0" t="n">
        <v>1</v>
      </c>
      <c r="DN630" s="0" t="n">
        <v>72</v>
      </c>
      <c r="DO630" s="0" t="n">
        <v>3</v>
      </c>
      <c r="DP630" s="0" t="n">
        <v>1</v>
      </c>
      <c r="DQ630" s="0" t="n">
        <v>0</v>
      </c>
      <c r="DR630" s="0"/>
      <c r="DS630" s="0" t="n">
        <v>1</v>
      </c>
      <c r="DU630" s="0" t="n">
        <v>1</v>
      </c>
      <c r="DW630" s="1" t="n">
        <v>39829</v>
      </c>
      <c r="DX630" s="1" t="n">
        <v>40535</v>
      </c>
      <c r="DY630" s="0" t="n">
        <v>14</v>
      </c>
      <c r="DZ630" s="0"/>
      <c r="EA630" s="0" t="n">
        <v>0</v>
      </c>
      <c r="EC630" s="1" t="s">
        <v>221</v>
      </c>
      <c r="ED630" s="1" t="s">
        <v>221</v>
      </c>
      <c r="EE630" s="0" t="n">
        <v>15</v>
      </c>
      <c r="EF630" s="0"/>
      <c r="EG630" s="0" t="n">
        <v>1</v>
      </c>
      <c r="EH630" s="0" t="n">
        <v>12</v>
      </c>
      <c r="EI630" s="0" t="n">
        <f aca="false">IF(AND(DM630=1,DN630&lt;=48),"",IF(AND(DM630=2,DN630&lt;=42),"",IF(AND(DM630=3,DN630&lt;=45),"",EH630)))</f>
        <v>12</v>
      </c>
      <c r="EJ630" s="0" t="n">
        <f aca="false">IF(EI630="","",IF(EI630&lt;9,EI630,9))</f>
        <v>9</v>
      </c>
      <c r="EK630" s="0" t="n">
        <f aca="false">IF(EI630="","",IF(EI630&gt;9,EI630-EJ630,0))</f>
        <v>3</v>
      </c>
      <c r="EL630" s="0" t="n">
        <f aca="false">IF(EI630="","",EJ630*DA630*2+EK630*DA630*3)</f>
        <v>578.5425</v>
      </c>
      <c r="EP630" s="0" t="n">
        <v>0</v>
      </c>
      <c r="EQ630" s="0"/>
      <c r="ER630" s="0" t="n">
        <v>0</v>
      </c>
      <c r="ET630" s="0" t="n">
        <v>0</v>
      </c>
      <c r="EV630" s="0" t="n">
        <v>0</v>
      </c>
      <c r="EX630" s="0" t="n">
        <v>1</v>
      </c>
      <c r="EY630" s="0" t="n">
        <v>1</v>
      </c>
      <c r="EZ630" s="0"/>
      <c r="FA630" s="4" t="n">
        <v>0</v>
      </c>
      <c r="FB630" s="0" t="n">
        <v>0</v>
      </c>
      <c r="FC630" s="1" t="n">
        <v>40703</v>
      </c>
      <c r="FD630" s="0" t="n">
        <v>2</v>
      </c>
      <c r="FE630" s="0" t="n">
        <v>0</v>
      </c>
      <c r="FF630" s="120" t="n">
        <f aca="false">(CJ630-CI630+1)/365</f>
        <v>6.94246575342466</v>
      </c>
      <c r="FG630" s="0" t="str">
        <f aca="false">CONCATENATE(F630,"/",G630)</f>
        <v>255/2011</v>
      </c>
      <c r="FH630" s="0" t="n">
        <v>1</v>
      </c>
      <c r="FI630" s="0" t="n">
        <f aca="false">IFERROR(IF((FC630-J630+1)/365&gt;3,0,1),"")</f>
        <v>1</v>
      </c>
    </row>
    <row r="631" customFormat="false" ht="15" hidden="false" customHeight="false" outlineLevel="0" collapsed="false">
      <c r="A631" s="5" t="str">
        <f aca="false">E631&amp;G631&amp;F631</f>
        <v>72011262</v>
      </c>
      <c r="B631" s="0" t="s">
        <v>5573</v>
      </c>
      <c r="C631" s="1" t="n">
        <v>42363</v>
      </c>
      <c r="E631" s="0" t="n">
        <v>7</v>
      </c>
      <c r="F631" s="0" t="n">
        <v>262</v>
      </c>
      <c r="G631" s="0" t="n">
        <v>2011</v>
      </c>
      <c r="H631" s="0" t="str">
        <f aca="false">"J"&amp;E631&amp;"\"&amp;F631&amp;"\"&amp;G631&amp;"\"&amp;W631</f>
        <v>J7\262\2011\1</v>
      </c>
      <c r="I631" s="0"/>
      <c r="J631" s="1" t="n">
        <v>40584</v>
      </c>
      <c r="K631" s="0" t="n">
        <v>0</v>
      </c>
      <c r="M631" s="1" t="n">
        <v>40584</v>
      </c>
      <c r="N631" s="1" t="n">
        <v>40658</v>
      </c>
      <c r="O631" s="1"/>
      <c r="P631" s="1"/>
      <c r="Q631" s="1"/>
      <c r="T631" s="121"/>
      <c r="U631" s="121"/>
      <c r="V631" s="122" t="n">
        <f aca="false">IF(AND(E631&gt;0,F631&gt;0,G631&gt;0),COUNTIFS($E:$E,E631,$F:$F,F631,$G:$G,G631),"")</f>
        <v>1</v>
      </c>
      <c r="W631" s="122" t="n">
        <f aca="false">IF(V631="","",IF(V631=1,1,IF(AND(E630=E631,F630=F631,G630=G631),W630+1,1)))</f>
        <v>1</v>
      </c>
      <c r="X631" s="0" t="n">
        <v>1</v>
      </c>
      <c r="Y631" s="0" t="n">
        <v>4</v>
      </c>
      <c r="Z631" s="0" t="s">
        <v>5811</v>
      </c>
      <c r="AA631" s="0" t="n">
        <v>0</v>
      </c>
      <c r="AB631" s="0" t="s">
        <v>5710</v>
      </c>
      <c r="AC631" s="0" t="s">
        <v>228</v>
      </c>
      <c r="AD631" s="0" t="s">
        <v>1160</v>
      </c>
      <c r="AE631" s="0" t="n">
        <v>0</v>
      </c>
      <c r="AF631" s="0" t="s">
        <v>5812</v>
      </c>
      <c r="AG631" s="0" t="n">
        <v>0</v>
      </c>
      <c r="AH631" s="0" t="s">
        <v>5445</v>
      </c>
      <c r="AI631" s="0" t="s">
        <v>2880</v>
      </c>
      <c r="AJ631" s="0" t="s">
        <v>2222</v>
      </c>
      <c r="AL631" s="0" t="s">
        <v>5813</v>
      </c>
      <c r="AM631" s="0" t="n">
        <v>1</v>
      </c>
      <c r="AN631" s="0" t="s">
        <v>5445</v>
      </c>
      <c r="AO631" s="0" t="s">
        <v>2880</v>
      </c>
      <c r="AP631" s="0" t="s">
        <v>2222</v>
      </c>
      <c r="AR631" s="0" t="s">
        <v>5814</v>
      </c>
      <c r="AS631" s="0" t="n">
        <v>1</v>
      </c>
      <c r="AT631" s="0" t="s">
        <v>5445</v>
      </c>
      <c r="AU631" s="0" t="s">
        <v>2880</v>
      </c>
      <c r="AV631" s="0" t="s">
        <v>2222</v>
      </c>
      <c r="AX631" s="0" t="s">
        <v>213</v>
      </c>
      <c r="AY631" s="0" t="n">
        <v>1</v>
      </c>
      <c r="AZ631" s="0" t="s">
        <v>5445</v>
      </c>
      <c r="BA631" s="0" t="s">
        <v>2880</v>
      </c>
      <c r="BB631" s="0" t="s">
        <v>2222</v>
      </c>
      <c r="BR631" s="0" t="n">
        <v>3</v>
      </c>
      <c r="BS631" s="0" t="s">
        <v>2634</v>
      </c>
      <c r="BT631" s="0" t="s">
        <v>5815</v>
      </c>
      <c r="BU631" s="0" t="s">
        <v>500</v>
      </c>
      <c r="BV631" s="123"/>
      <c r="BW631" s="123"/>
      <c r="BX631" s="123"/>
      <c r="BY631" s="123"/>
      <c r="CA631" s="0" t="s">
        <v>348</v>
      </c>
      <c r="CD631" s="0" t="s">
        <v>256</v>
      </c>
      <c r="CE631" s="0" t="n">
        <v>0</v>
      </c>
      <c r="CF631" s="0" t="s">
        <v>5816</v>
      </c>
      <c r="CI631" s="1" t="n">
        <v>40157</v>
      </c>
      <c r="CJ631" s="1" t="n">
        <v>40546</v>
      </c>
      <c r="CK631" s="124" t="n">
        <v>0.416666666666667</v>
      </c>
      <c r="CL631" s="0" t="s">
        <v>5817</v>
      </c>
      <c r="CM631" s="0" t="n">
        <f aca="false">IF(OR(CI631="",CJ631=""),"",DAYS360(CI631,CJ631)/360)</f>
        <v>1.06388888888889</v>
      </c>
      <c r="CN631" s="0" t="n">
        <f aca="false">IF(OR(CI631="",CJ631=""),"",DAYS360(CI631,CJ631)/30)</f>
        <v>12.7666666666667</v>
      </c>
      <c r="CO631" s="0" t="n">
        <f aca="false">IF(OR(CI631="",CJ631=""),"",DAYS360(CI631,CJ631)/7)</f>
        <v>54.7142857142857</v>
      </c>
      <c r="CP631" s="0" t="n">
        <f aca="false">IF(OR(CI631="",CJ631=""),"",DAYS360(CI631,CJ631))</f>
        <v>383</v>
      </c>
      <c r="CQ631" s="0" t="s">
        <v>240</v>
      </c>
      <c r="CR631" s="0" t="n">
        <v>1</v>
      </c>
      <c r="CT631" s="0" t="n">
        <v>171.42</v>
      </c>
      <c r="CU631" s="0" t="n">
        <v>0</v>
      </c>
      <c r="CV631" s="0" t="n">
        <f aca="false">IF(OR(CT631="",CT631="NO ESPECIFICA",CT631="NO MENCIONA"),"",IF(CU631=0,CT631,IF(CU631=1,CT631/30,IF(CU631=2,CT631/15,IF(CU631=3,CT631/7,"")))))</f>
        <v>171.42</v>
      </c>
      <c r="CW631" s="125" t="n">
        <v>179.16</v>
      </c>
      <c r="CX631" s="0" t="n">
        <v>0</v>
      </c>
      <c r="CY631" s="0" t="n">
        <f aca="false">IF(CW631="","",IF(CX631=0,CW631,IF(CX631=1,CW631/30,IF(CX631=2,CW631/15,IF(CX631=3,CW631/7,CW631)))))</f>
        <v>179.16</v>
      </c>
      <c r="CZ631" s="0" t="n">
        <f aca="false">IF(DI631&gt;0,DI631,IF(CY631&gt;0,CY631,IF(CV631&gt;0,CV631,"")))</f>
        <v>179.16</v>
      </c>
      <c r="DA631" s="0" t="n">
        <f aca="false">IF(DM631=1,CZ631/8,IF(OR(DM631=2,DM631=4),CZ631/7,IF(DM631=3,CZ631/7.5,"")))</f>
        <v>22.395</v>
      </c>
      <c r="DB631" s="0" t="s">
        <v>303</v>
      </c>
      <c r="DC631" s="0" t="s">
        <v>301</v>
      </c>
      <c r="DD631" s="0" t="s">
        <v>216</v>
      </c>
      <c r="DE631" s="0" t="s">
        <v>216</v>
      </c>
      <c r="DF631" s="0" t="s">
        <v>216</v>
      </c>
      <c r="DG631" s="0" t="s">
        <v>216</v>
      </c>
      <c r="DH631" s="0" t="n">
        <v>0</v>
      </c>
      <c r="DI631" s="126" t="n">
        <v>179.16</v>
      </c>
      <c r="DK631" s="0" t="n">
        <v>1</v>
      </c>
      <c r="DM631" s="0" t="n">
        <v>1</v>
      </c>
      <c r="DN631" s="0" t="n">
        <v>70</v>
      </c>
      <c r="DO631" s="0" t="n">
        <v>3</v>
      </c>
      <c r="DP631" s="0" t="n">
        <v>0</v>
      </c>
      <c r="DQ631" s="0" t="n">
        <v>1</v>
      </c>
      <c r="DR631" s="0"/>
      <c r="DS631" s="0" t="n">
        <v>1</v>
      </c>
      <c r="DU631" s="0" t="n">
        <v>1</v>
      </c>
      <c r="DW631" s="1" t="n">
        <v>40522</v>
      </c>
      <c r="DX631" s="1" t="n">
        <v>40546</v>
      </c>
      <c r="DZ631" s="0"/>
      <c r="EA631" s="0" t="n">
        <v>1</v>
      </c>
      <c r="EC631" s="1" t="n">
        <v>40179</v>
      </c>
      <c r="ED631" s="1" t="n">
        <v>40543</v>
      </c>
      <c r="EF631" s="0"/>
      <c r="EG631" s="0" t="n">
        <v>0</v>
      </c>
      <c r="EI631" s="0" t="n">
        <f aca="false">IF(AND(DM631=1,DN631&lt;=48),"",IF(AND(DM631=2,DN631&lt;=42),"",IF(AND(DM631=3,DN631&lt;=45),"",EH631)))</f>
        <v>0</v>
      </c>
      <c r="EJ631" s="0" t="str">
        <f aca="false">IF(EI631="","",IF(EI631&lt;9,EI631,9))</f>
        <v/>
      </c>
      <c r="EK631" s="0" t="str">
        <f aca="false">IF(EI631="","",IF(EI631&gt;9,EI631-EJ631,0))</f>
        <v/>
      </c>
      <c r="EL631" s="0" t="str">
        <f aca="false">IF(EI631="","",EJ631*DA631*2+EK631*DA631*3)</f>
        <v/>
      </c>
      <c r="EP631" s="0" t="n">
        <v>0</v>
      </c>
      <c r="EQ631" s="0"/>
      <c r="ER631" s="0" t="n">
        <v>0</v>
      </c>
      <c r="ET631" s="0" t="n">
        <v>0</v>
      </c>
      <c r="EV631" s="0" t="n">
        <v>0</v>
      </c>
      <c r="EX631" s="0" t="n">
        <v>0</v>
      </c>
      <c r="EY631" s="0" t="n">
        <v>0</v>
      </c>
      <c r="EZ631" s="0"/>
      <c r="FA631" s="4" t="n">
        <v>0</v>
      </c>
      <c r="FB631" s="0" t="n">
        <v>1</v>
      </c>
      <c r="FC631" s="1" t="n">
        <v>40680</v>
      </c>
      <c r="FD631" s="0" t="n">
        <v>1</v>
      </c>
      <c r="FE631" s="0" t="n">
        <v>16000</v>
      </c>
      <c r="FF631" s="120" t="n">
        <f aca="false">(CJ631-CI631+1)/365</f>
        <v>1.06849315068493</v>
      </c>
      <c r="FG631" s="0" t="str">
        <f aca="false">CONCATENATE(F631,"/",G631)</f>
        <v>262/2011</v>
      </c>
      <c r="FH631" s="0" t="n">
        <v>1</v>
      </c>
      <c r="FI631" s="0" t="n">
        <f aca="false">IFERROR(IF((FC631-J631+1)/365&gt;3,0,1),"")</f>
        <v>1</v>
      </c>
    </row>
    <row r="632" customFormat="false" ht="15" hidden="false" customHeight="false" outlineLevel="0" collapsed="false">
      <c r="A632" s="5" t="str">
        <f aca="false">E632&amp;G632&amp;F632</f>
        <v>72011265</v>
      </c>
      <c r="B632" s="0" t="s">
        <v>5573</v>
      </c>
      <c r="C632" s="1" t="n">
        <v>42363</v>
      </c>
      <c r="E632" s="0" t="n">
        <v>7</v>
      </c>
      <c r="F632" s="0" t="n">
        <v>265</v>
      </c>
      <c r="G632" s="0" t="n">
        <v>2011</v>
      </c>
      <c r="H632" s="0" t="str">
        <f aca="false">"J"&amp;E632&amp;"\"&amp;F632&amp;"\"&amp;G632&amp;"\"&amp;W632</f>
        <v>J7\265\2011\1</v>
      </c>
      <c r="I632" s="0"/>
      <c r="J632" s="1" t="n">
        <v>40584</v>
      </c>
      <c r="K632" s="0" t="n">
        <v>0</v>
      </c>
      <c r="M632" s="1" t="n">
        <v>40584</v>
      </c>
      <c r="N632" s="1" t="n">
        <v>40658</v>
      </c>
      <c r="O632" s="1"/>
      <c r="P632" s="1"/>
      <c r="Q632" s="1"/>
      <c r="T632" s="121"/>
      <c r="U632" s="121"/>
      <c r="V632" s="122" t="n">
        <f aca="false">IF(AND(E632&gt;0,F632&gt;0,G632&gt;0),COUNTIFS($E:$E,E632,$F:$F,F632,$G:$G,G632),"")</f>
        <v>1</v>
      </c>
      <c r="W632" s="122" t="n">
        <f aca="false">IF(V632="","",IF(V632=1,1,IF(AND(E631=E632,F631=F632,G631=G632),W631+1,1)))</f>
        <v>1</v>
      </c>
      <c r="X632" s="0" t="n">
        <v>1</v>
      </c>
      <c r="Y632" s="0" t="n">
        <v>6</v>
      </c>
      <c r="Z632" s="0" t="s">
        <v>5818</v>
      </c>
      <c r="AA632" s="0" t="n">
        <v>0</v>
      </c>
      <c r="AB632" s="0" t="s">
        <v>5819</v>
      </c>
      <c r="AC632" s="0" t="s">
        <v>206</v>
      </c>
      <c r="AD632" s="0" t="s">
        <v>2218</v>
      </c>
      <c r="AE632" s="0" t="n">
        <v>0</v>
      </c>
      <c r="AF632" s="0" t="s">
        <v>5820</v>
      </c>
      <c r="AG632" s="0" t="n">
        <v>0</v>
      </c>
      <c r="AH632" s="0" t="s">
        <v>5821</v>
      </c>
      <c r="AI632" s="0" t="s">
        <v>251</v>
      </c>
      <c r="AJ632" s="0" t="s">
        <v>1160</v>
      </c>
      <c r="AL632" s="0" t="s">
        <v>5822</v>
      </c>
      <c r="AM632" s="0" t="n">
        <v>0</v>
      </c>
      <c r="AN632" s="0" t="s">
        <v>5821</v>
      </c>
      <c r="AO632" s="0" t="s">
        <v>251</v>
      </c>
      <c r="AP632" s="0" t="s">
        <v>1160</v>
      </c>
      <c r="AR632" s="0" t="s">
        <v>5823</v>
      </c>
      <c r="AS632" s="0" t="n">
        <v>1</v>
      </c>
      <c r="AT632" s="0" t="s">
        <v>5821</v>
      </c>
      <c r="AU632" s="0" t="s">
        <v>251</v>
      </c>
      <c r="AV632" s="0" t="s">
        <v>1160</v>
      </c>
      <c r="AX632" s="0" t="s">
        <v>5824</v>
      </c>
      <c r="AY632" s="0" t="n">
        <v>1</v>
      </c>
      <c r="AZ632" s="0" t="s">
        <v>5821</v>
      </c>
      <c r="BA632" s="0" t="s">
        <v>251</v>
      </c>
      <c r="BB632" s="0" t="s">
        <v>1160</v>
      </c>
      <c r="BD632" s="0" t="s">
        <v>5825</v>
      </c>
      <c r="BE632" s="0" t="n">
        <v>1</v>
      </c>
      <c r="BF632" s="0" t="s">
        <v>5821</v>
      </c>
      <c r="BG632" s="0" t="s">
        <v>251</v>
      </c>
      <c r="BH632" s="0" t="s">
        <v>1160</v>
      </c>
      <c r="BJ632" s="0" t="s">
        <v>5826</v>
      </c>
      <c r="BK632" s="0" t="n">
        <v>1</v>
      </c>
      <c r="BL632" s="0" t="s">
        <v>5821</v>
      </c>
      <c r="BM632" s="0" t="s">
        <v>251</v>
      </c>
      <c r="BN632" s="0" t="s">
        <v>1160</v>
      </c>
      <c r="BR632" s="0" t="n">
        <v>1</v>
      </c>
      <c r="BS632" s="0" t="s">
        <v>5827</v>
      </c>
      <c r="BT632" s="0" t="s">
        <v>5828</v>
      </c>
      <c r="BU632" s="0" t="s">
        <v>5829</v>
      </c>
      <c r="BV632" s="123"/>
      <c r="BW632" s="123"/>
      <c r="BX632" s="123"/>
      <c r="BY632" s="123"/>
      <c r="CA632" s="0" t="s">
        <v>5830</v>
      </c>
      <c r="CD632" s="0" t="s">
        <v>296</v>
      </c>
      <c r="CE632" s="0" t="n">
        <v>1</v>
      </c>
      <c r="CF632" s="0" t="s">
        <v>5831</v>
      </c>
      <c r="CI632" s="1" t="n">
        <v>39043</v>
      </c>
      <c r="CJ632" s="1" t="n">
        <v>40557</v>
      </c>
      <c r="CK632" s="124" t="n">
        <v>0.375</v>
      </c>
      <c r="CL632" s="0" t="s">
        <v>5832</v>
      </c>
      <c r="CM632" s="0" t="n">
        <f aca="false">IF(OR(CI632="",CJ632=""),"",DAYS360(CI632,CJ632)/360)</f>
        <v>4.14444444444445</v>
      </c>
      <c r="CN632" s="0" t="n">
        <f aca="false">IF(OR(CI632="",CJ632=""),"",DAYS360(CI632,CJ632)/30)</f>
        <v>49.7333333333333</v>
      </c>
      <c r="CO632" s="0" t="n">
        <f aca="false">IF(OR(CI632="",CJ632=""),"",DAYS360(CI632,CJ632)/7)</f>
        <v>213.142857142857</v>
      </c>
      <c r="CP632" s="0" t="n">
        <f aca="false">IF(OR(CI632="",CJ632=""),"",DAYS360(CI632,CJ632))</f>
        <v>1492</v>
      </c>
      <c r="CQ632" s="0" t="s">
        <v>220</v>
      </c>
      <c r="CR632" s="0" t="n">
        <v>1</v>
      </c>
      <c r="CT632" s="0" t="s">
        <v>221</v>
      </c>
      <c r="CU632" s="0" t="s">
        <v>221</v>
      </c>
      <c r="CV632" s="0" t="str">
        <f aca="false">IF(OR(CT632="",CT632="NO ESPECIFICA",CT632="NO MENCIONA"),"",IF(CU632=0,CT632,IF(CU632=1,CT632/30,IF(CU632=2,CT632/15,IF(CU632=3,CT632/7,"")))))</f>
        <v/>
      </c>
      <c r="CW632" s="125" t="n">
        <v>12900</v>
      </c>
      <c r="CX632" s="0" t="n">
        <v>1</v>
      </c>
      <c r="CY632" s="0" t="n">
        <f aca="false">IF(CW632="","",IF(CX632=0,CW632,IF(CX632=1,CW632/30,IF(CX632=2,CW632/15,IF(CX632=3,CW632/7,CW632)))))</f>
        <v>430</v>
      </c>
      <c r="CZ632" s="0" t="n">
        <f aca="false">IF(DI632&gt;0,DI632,IF(CY632&gt;0,CY632,IF(CV632&gt;0,CV632,"")))</f>
        <v>470</v>
      </c>
      <c r="DA632" s="0" t="n">
        <f aca="false">IF(DM632=1,CZ632/8,IF(OR(DM632=2,DM632=4),CZ632/7,IF(DM632=3,CZ632/7.5,"")))</f>
        <v>58.75</v>
      </c>
      <c r="DB632" s="0" t="s">
        <v>299</v>
      </c>
      <c r="DC632" s="0" t="s">
        <v>216</v>
      </c>
      <c r="DD632" s="0" t="s">
        <v>216</v>
      </c>
      <c r="DE632" s="0" t="s">
        <v>216</v>
      </c>
      <c r="DF632" s="0" t="s">
        <v>216</v>
      </c>
      <c r="DG632" s="0" t="s">
        <v>216</v>
      </c>
      <c r="DH632" s="0" t="n">
        <v>0</v>
      </c>
      <c r="DI632" s="126" t="n">
        <v>470</v>
      </c>
      <c r="DK632" s="0" t="n">
        <v>1</v>
      </c>
      <c r="DM632" s="0" t="n">
        <v>1</v>
      </c>
      <c r="DN632" s="0" t="n">
        <v>44.5</v>
      </c>
      <c r="DO632" s="0" t="n">
        <v>3</v>
      </c>
      <c r="DP632" s="0" t="n">
        <v>1</v>
      </c>
      <c r="DQ632" s="0" t="n">
        <v>1</v>
      </c>
      <c r="DR632" s="0"/>
      <c r="DS632" s="0" t="n">
        <v>1</v>
      </c>
      <c r="DU632" s="0" t="n">
        <v>1</v>
      </c>
      <c r="DW632" s="1" t="n">
        <v>39043</v>
      </c>
      <c r="DX632" s="1" t="n">
        <v>40557</v>
      </c>
      <c r="DZ632" s="0"/>
      <c r="EA632" s="0" t="n">
        <v>1</v>
      </c>
      <c r="EC632" s="1" t="n">
        <v>39043</v>
      </c>
      <c r="ED632" s="1" t="n">
        <v>40557</v>
      </c>
      <c r="EF632" s="0"/>
      <c r="EG632" s="0" t="n">
        <v>1</v>
      </c>
      <c r="EH632" s="0" t="s">
        <v>221</v>
      </c>
      <c r="EI632" s="0" t="str">
        <f aca="false">IF(AND(DM632=1,DN632&lt;=48),"",IF(AND(DM632=2,DN632&lt;=42),"",IF(AND(DM632=3,DN632&lt;=45),"",EH632)))</f>
        <v/>
      </c>
      <c r="EJ632" s="0" t="str">
        <f aca="false">IF(EI632="","",IF(EI632&lt;9,EI632,9))</f>
        <v/>
      </c>
      <c r="EK632" s="0" t="str">
        <f aca="false">IF(EI632="","",IF(EI632&gt;9,EI632-EJ632,0))</f>
        <v/>
      </c>
      <c r="EL632" s="0" t="str">
        <f aca="false">IF(EI632="","",EJ632*DA632*2+EK632*DA632*3)</f>
        <v/>
      </c>
      <c r="EP632" s="0" t="n">
        <v>1</v>
      </c>
      <c r="EQ632" s="0"/>
      <c r="ER632" s="0" t="n">
        <v>1</v>
      </c>
      <c r="ET632" s="0" t="n">
        <v>0</v>
      </c>
      <c r="EV632" s="0" t="n">
        <v>0</v>
      </c>
      <c r="EX632" s="0" t="n">
        <v>1</v>
      </c>
      <c r="EY632" s="0" t="n">
        <v>1</v>
      </c>
      <c r="EZ632" s="4" t="n">
        <v>80200</v>
      </c>
      <c r="FA632" s="4" t="n">
        <v>6580</v>
      </c>
      <c r="FB632" s="0" t="n">
        <v>1</v>
      </c>
      <c r="FC632" s="1" t="n">
        <v>40672</v>
      </c>
      <c r="FD632" s="0" t="n">
        <v>1</v>
      </c>
      <c r="FE632" s="0" t="n">
        <v>13000</v>
      </c>
      <c r="FF632" s="120" t="n">
        <f aca="false">(CJ632-CI632+1)/365</f>
        <v>4.15068493150685</v>
      </c>
      <c r="FG632" s="0" t="str">
        <f aca="false">CONCATENATE(F632,"/",G632)</f>
        <v>265/2011</v>
      </c>
      <c r="FH632" s="0" t="n">
        <v>1</v>
      </c>
      <c r="FI632" s="0" t="n">
        <f aca="false">IFERROR(IF((FC632-J632+1)/365&gt;3,0,1),"")</f>
        <v>1</v>
      </c>
    </row>
    <row r="633" customFormat="false" ht="15" hidden="false" customHeight="false" outlineLevel="0" collapsed="false">
      <c r="A633" s="5" t="str">
        <f aca="false">E633&amp;G633&amp;F633</f>
        <v>72011272</v>
      </c>
      <c r="B633" s="0" t="s">
        <v>5573</v>
      </c>
      <c r="C633" s="1" t="n">
        <v>42363</v>
      </c>
      <c r="D633" s="0" t="s">
        <v>5615</v>
      </c>
      <c r="E633" s="0" t="n">
        <v>7</v>
      </c>
      <c r="F633" s="0" t="n">
        <v>272</v>
      </c>
      <c r="G633" s="0" t="n">
        <v>2011</v>
      </c>
      <c r="H633" s="0" t="str">
        <f aca="false">"J"&amp;E633&amp;"\"&amp;F633&amp;"\"&amp;G633&amp;"\"&amp;W633</f>
        <v>J7\272\2011\1</v>
      </c>
      <c r="I633" s="0"/>
      <c r="J633" s="1" t="n">
        <v>40585</v>
      </c>
      <c r="K633" s="0" t="n">
        <v>0</v>
      </c>
      <c r="M633" s="1"/>
      <c r="N633" s="1"/>
      <c r="O633" s="1"/>
      <c r="P633" s="1"/>
      <c r="Q633" s="1"/>
      <c r="T633" s="121"/>
      <c r="U633" s="121"/>
      <c r="V633" s="122" t="n">
        <f aca="false">IF(AND(E633&gt;0,F633&gt;0,G633&gt;0),COUNTIFS($E:$E,E633,$F:$F,F633,$G:$G,G633),"")</f>
        <v>1</v>
      </c>
      <c r="W633" s="122" t="n">
        <f aca="false">IF(V633="","",IF(V633=1,1,IF(AND(E632=E633,F632=F633,G632=G633),W632+1,1)))</f>
        <v>1</v>
      </c>
      <c r="X633" s="0" t="n">
        <v>1</v>
      </c>
      <c r="Y633" s="0" t="n">
        <v>3</v>
      </c>
      <c r="Z633" s="0" t="s">
        <v>5833</v>
      </c>
      <c r="AA633" s="0" t="n">
        <v>0</v>
      </c>
      <c r="AB633" s="0" t="s">
        <v>5710</v>
      </c>
      <c r="AC633" s="0" t="s">
        <v>228</v>
      </c>
      <c r="AD633" s="0" t="s">
        <v>1160</v>
      </c>
      <c r="AE633" s="0" t="n">
        <v>0</v>
      </c>
      <c r="AF633" s="0" t="s">
        <v>5812</v>
      </c>
      <c r="AG633" s="0" t="n">
        <v>0</v>
      </c>
      <c r="AH633" s="0" t="s">
        <v>5834</v>
      </c>
      <c r="AI633" s="0" t="s">
        <v>3064</v>
      </c>
      <c r="AJ633" s="0" t="s">
        <v>2179</v>
      </c>
      <c r="AL633" s="0" t="s">
        <v>5835</v>
      </c>
      <c r="AM633" s="0" t="n">
        <v>1</v>
      </c>
      <c r="AN633" s="0" t="s">
        <v>5834</v>
      </c>
      <c r="AO633" s="0" t="s">
        <v>3064</v>
      </c>
      <c r="AP633" s="0" t="s">
        <v>2179</v>
      </c>
      <c r="AR633" s="0" t="s">
        <v>213</v>
      </c>
      <c r="AS633" s="0" t="n">
        <v>1</v>
      </c>
      <c r="AT633" s="0" t="s">
        <v>5834</v>
      </c>
      <c r="AU633" s="0" t="s">
        <v>3064</v>
      </c>
      <c r="AV633" s="0" t="s">
        <v>2179</v>
      </c>
      <c r="BR633" s="0" t="n">
        <v>3</v>
      </c>
      <c r="BS633" s="0" t="s">
        <v>499</v>
      </c>
      <c r="BT633" s="0" t="s">
        <v>500</v>
      </c>
      <c r="BU633" s="0" t="s">
        <v>501</v>
      </c>
      <c r="BV633" s="123"/>
      <c r="BW633" s="123"/>
      <c r="BX633" s="123"/>
      <c r="BY633" s="123"/>
      <c r="CA633" s="0" t="s">
        <v>348</v>
      </c>
      <c r="CD633" s="0" t="s">
        <v>256</v>
      </c>
      <c r="CE633" s="0" t="n">
        <v>1</v>
      </c>
      <c r="CF633" s="0" t="s">
        <v>5836</v>
      </c>
      <c r="CI633" s="1" t="n">
        <v>39381</v>
      </c>
      <c r="CJ633" s="1" t="n">
        <v>40531</v>
      </c>
      <c r="CK633" s="124" t="n">
        <v>0.375</v>
      </c>
      <c r="CL633" s="0" t="s">
        <v>5835</v>
      </c>
      <c r="CM633" s="0" t="n">
        <f aca="false">IF(OR(CI633="",CJ633=""),"",DAYS360(CI633,CJ633)/360)</f>
        <v>3.14722222222222</v>
      </c>
      <c r="CN633" s="0" t="n">
        <f aca="false">IF(OR(CI633="",CJ633=""),"",DAYS360(CI633,CJ633)/30)</f>
        <v>37.7666666666667</v>
      </c>
      <c r="CO633" s="0" t="n">
        <f aca="false">IF(OR(CI633="",CJ633=""),"",DAYS360(CI633,CJ633)/7)</f>
        <v>161.857142857143</v>
      </c>
      <c r="CP633" s="0" t="n">
        <f aca="false">IF(OR(CI633="",CJ633=""),"",DAYS360(CI633,CJ633))</f>
        <v>1133</v>
      </c>
      <c r="CQ633" s="0" t="s">
        <v>240</v>
      </c>
      <c r="CR633" s="0" t="n">
        <v>1</v>
      </c>
      <c r="CT633" s="0" t="n">
        <v>185.71</v>
      </c>
      <c r="CU633" s="0" t="n">
        <v>0</v>
      </c>
      <c r="CV633" s="0" t="n">
        <f aca="false">IF(OR(CT633="",CT633="NO ESPECIFICA",CT633="NO MENCIONA"),"",IF(CU633=0,CT633,IF(CU633=1,CT633/30,IF(CU633=2,CT633/15,IF(CU633=3,CT633/7,"")))))</f>
        <v>185.71</v>
      </c>
      <c r="CW633" s="125" t="n">
        <v>194.86</v>
      </c>
      <c r="CX633" s="0" t="n">
        <v>0</v>
      </c>
      <c r="CY633" s="0" t="n">
        <f aca="false">IF(CW633="","",IF(CX633=0,CW633,IF(CX633=1,CW633/30,IF(CX633=2,CW633/15,IF(CX633=3,CW633/7,CW633)))))</f>
        <v>194.86</v>
      </c>
      <c r="CZ633" s="0" t="n">
        <f aca="false">IF(DI633&gt;0,DI633,IF(CY633&gt;0,CY633,IF(CV633&gt;0,CV633,"")))</f>
        <v>194.86</v>
      </c>
      <c r="DA633" s="0" t="n">
        <f aca="false">IF(DM633=1,CZ633/8,IF(OR(DM633=2,DM633=4),CZ633/7,IF(DM633=3,CZ633/7.5,"")))</f>
        <v>24.3575</v>
      </c>
      <c r="DB633" s="0" t="s">
        <v>303</v>
      </c>
      <c r="DC633" s="0" t="s">
        <v>301</v>
      </c>
      <c r="DD633" s="0" t="s">
        <v>216</v>
      </c>
      <c r="DE633" s="0" t="s">
        <v>216</v>
      </c>
      <c r="DF633" s="0" t="s">
        <v>216</v>
      </c>
      <c r="DG633" s="0" t="s">
        <v>216</v>
      </c>
      <c r="DH633" s="0" t="n">
        <v>0</v>
      </c>
      <c r="DI633" s="126" t="n">
        <v>194.86</v>
      </c>
      <c r="DK633" s="0" t="n">
        <v>0</v>
      </c>
      <c r="DM633" s="0" t="n">
        <v>1</v>
      </c>
      <c r="DN633" s="0" t="n">
        <v>72</v>
      </c>
      <c r="DO633" s="0" t="n">
        <v>3</v>
      </c>
      <c r="DP633" s="0" t="n">
        <v>0</v>
      </c>
      <c r="DQ633" s="0" t="n">
        <v>1</v>
      </c>
      <c r="DR633" s="0"/>
      <c r="DS633" s="0" t="n">
        <v>1</v>
      </c>
      <c r="DU633" s="0" t="n">
        <v>1</v>
      </c>
      <c r="DW633" s="1" t="n">
        <v>39381</v>
      </c>
      <c r="DX633" s="1" t="n">
        <v>40531</v>
      </c>
      <c r="DZ633" s="0"/>
      <c r="EA633" s="0" t="n">
        <v>1</v>
      </c>
      <c r="EC633" s="1" t="n">
        <v>39381</v>
      </c>
      <c r="ED633" s="1" t="n">
        <v>40531</v>
      </c>
      <c r="EF633" s="0"/>
      <c r="EG633" s="0" t="n">
        <v>0</v>
      </c>
      <c r="EI633" s="0" t="n">
        <f aca="false">IF(AND(DM633=1,DN633&lt;=48),"",IF(AND(DM633=2,DN633&lt;=42),"",IF(AND(DM633=3,DN633&lt;=45),"",EH633)))</f>
        <v>0</v>
      </c>
      <c r="EJ633" s="0" t="str">
        <f aca="false">IF(EI633="","",IF(EI633&lt;9,EI633,9))</f>
        <v/>
      </c>
      <c r="EK633" s="0" t="str">
        <f aca="false">IF(EI633="","",IF(EI633&gt;9,EI633-EJ633,0))</f>
        <v/>
      </c>
      <c r="EL633" s="0" t="str">
        <f aca="false">IF(EI633="","",EJ633*DA633*2+EK633*DA633*3)</f>
        <v/>
      </c>
      <c r="EP633" s="0" t="n">
        <v>0</v>
      </c>
      <c r="EQ633" s="0"/>
      <c r="ER633" s="0" t="n">
        <v>0</v>
      </c>
      <c r="ET633" s="0" t="n">
        <v>0</v>
      </c>
      <c r="EV633" s="0" t="n">
        <v>0</v>
      </c>
      <c r="EX633" s="0" t="n">
        <v>0</v>
      </c>
      <c r="EY633" s="0" t="n">
        <v>0</v>
      </c>
      <c r="EZ633" s="0"/>
      <c r="FA633" s="4" t="n">
        <v>0</v>
      </c>
      <c r="FB633" s="0" t="n">
        <v>0</v>
      </c>
      <c r="FC633" s="1" t="n">
        <v>40648</v>
      </c>
      <c r="FD633" s="0" t="n">
        <v>1</v>
      </c>
      <c r="FE633" s="0" t="n">
        <v>38000</v>
      </c>
      <c r="FF633" s="120" t="n">
        <f aca="false">(CJ633-CI633+1)/365</f>
        <v>3.15342465753425</v>
      </c>
      <c r="FG633" s="0" t="str">
        <f aca="false">CONCATENATE(F633,"/",G633)</f>
        <v>272/2011</v>
      </c>
      <c r="FH633" s="0" t="n">
        <v>1</v>
      </c>
      <c r="FI633" s="0" t="n">
        <f aca="false">IFERROR(IF((FC633-J633+1)/365&gt;3,0,1),"")</f>
        <v>1</v>
      </c>
    </row>
    <row r="634" customFormat="false" ht="15" hidden="false" customHeight="false" outlineLevel="0" collapsed="false">
      <c r="A634" s="5" t="str">
        <f aca="false">E634&amp;G634&amp;F634</f>
        <v>72011286</v>
      </c>
      <c r="B634" s="0" t="s">
        <v>5573</v>
      </c>
      <c r="C634" s="1" t="n">
        <v>42363</v>
      </c>
      <c r="D634" s="0" t="s">
        <v>5837</v>
      </c>
      <c r="E634" s="0" t="n">
        <v>7</v>
      </c>
      <c r="F634" s="0" t="n">
        <v>286</v>
      </c>
      <c r="G634" s="0" t="n">
        <v>2011</v>
      </c>
      <c r="H634" s="0" t="str">
        <f aca="false">"J"&amp;E634&amp;"\"&amp;F634&amp;"\"&amp;G634&amp;"\"&amp;W634</f>
        <v>J7\286\2011\1</v>
      </c>
      <c r="I634" s="0"/>
      <c r="J634" s="1" t="n">
        <v>40589</v>
      </c>
      <c r="K634" s="0" t="n">
        <v>0</v>
      </c>
      <c r="M634" s="1" t="n">
        <v>40589</v>
      </c>
      <c r="N634" s="1" t="n">
        <v>40661</v>
      </c>
      <c r="O634" s="1"/>
      <c r="P634" s="1"/>
      <c r="Q634" s="1"/>
      <c r="T634" s="121"/>
      <c r="U634" s="121"/>
      <c r="V634" s="122" t="n">
        <f aca="false">IF(AND(E634&gt;0,F634&gt;0,G634&gt;0),COUNTIFS($E:$E,E634,$F:$F,F634,$G:$G,G634),"")</f>
        <v>1</v>
      </c>
      <c r="W634" s="122" t="n">
        <f aca="false">IF(V634="","",IF(V634=1,1,IF(AND(E633=E634,F633=F634,G633=G634),W633+1,1)))</f>
        <v>1</v>
      </c>
      <c r="X634" s="0" t="n">
        <v>1</v>
      </c>
      <c r="Y634" s="0" t="n">
        <v>2</v>
      </c>
      <c r="Z634" s="0" t="s">
        <v>5838</v>
      </c>
      <c r="AA634" s="0" t="n">
        <v>0</v>
      </c>
      <c r="AB634" s="0" t="s">
        <v>5710</v>
      </c>
      <c r="AC634" s="0" t="s">
        <v>228</v>
      </c>
      <c r="AD634" s="0" t="s">
        <v>1160</v>
      </c>
      <c r="AE634" s="0" t="n">
        <v>0</v>
      </c>
      <c r="AF634" s="0" t="s">
        <v>5839</v>
      </c>
      <c r="AG634" s="0" t="n">
        <v>0</v>
      </c>
      <c r="AH634" s="0" t="s">
        <v>5840</v>
      </c>
      <c r="AI634" s="0" t="s">
        <v>4386</v>
      </c>
      <c r="AJ634" s="0" t="s">
        <v>2236</v>
      </c>
      <c r="AL634" s="0" t="s">
        <v>2126</v>
      </c>
      <c r="AM634" s="0" t="n">
        <v>1</v>
      </c>
      <c r="AN634" s="0" t="s">
        <v>5840</v>
      </c>
      <c r="AO634" s="0" t="s">
        <v>4386</v>
      </c>
      <c r="AP634" s="0" t="s">
        <v>2236</v>
      </c>
      <c r="BR634" s="0" t="n">
        <v>3</v>
      </c>
      <c r="BS634" s="0" t="s">
        <v>499</v>
      </c>
      <c r="BT634" s="0" t="s">
        <v>500</v>
      </c>
      <c r="BU634" s="0" t="s">
        <v>501</v>
      </c>
      <c r="BV634" s="123"/>
      <c r="BW634" s="123"/>
      <c r="BX634" s="123"/>
      <c r="BY634" s="123"/>
      <c r="CA634" s="0" t="s">
        <v>348</v>
      </c>
      <c r="CD634" s="0" t="s">
        <v>296</v>
      </c>
      <c r="CE634" s="0" t="n">
        <v>0</v>
      </c>
      <c r="CF634" s="0" t="s">
        <v>968</v>
      </c>
      <c r="CI634" s="1" t="n">
        <v>37496</v>
      </c>
      <c r="CJ634" s="1" t="n">
        <v>40333</v>
      </c>
      <c r="CK634" s="124" t="s">
        <v>1775</v>
      </c>
      <c r="CL634" s="0" t="s">
        <v>1775</v>
      </c>
      <c r="CM634" s="0" t="n">
        <f aca="false">IF(OR(CI634="",CJ634=""),"",DAYS360(CI634,CJ634)/360)</f>
        <v>7.76666666666667</v>
      </c>
      <c r="CN634" s="0" t="n">
        <f aca="false">IF(OR(CI634="",CJ634=""),"",DAYS360(CI634,CJ634)/30)</f>
        <v>93.2</v>
      </c>
      <c r="CO634" s="0" t="n">
        <f aca="false">IF(OR(CI634="",CJ634=""),"",DAYS360(CI634,CJ634)/7)</f>
        <v>399.428571428571</v>
      </c>
      <c r="CP634" s="0" t="n">
        <f aca="false">IF(OR(CI634="",CJ634=""),"",DAYS360(CI634,CJ634))</f>
        <v>2796</v>
      </c>
      <c r="CQ634" s="0" t="s">
        <v>1493</v>
      </c>
      <c r="CR634" s="0" t="n">
        <v>5</v>
      </c>
      <c r="CS634" s="0" t="s">
        <v>5841</v>
      </c>
      <c r="CT634" s="0" t="n">
        <v>231.12</v>
      </c>
      <c r="CU634" s="0" t="n">
        <v>0</v>
      </c>
      <c r="CV634" s="0" t="n">
        <f aca="false">IF(OR(CT634="",CT634="NO ESPECIFICA",CT634="NO MENCIONA"),"",IF(CU634=0,CT634,IF(CU634=1,CT634/30,IF(CU634=2,CT634/15,IF(CU634=3,CT634/7,"")))))</f>
        <v>231.12</v>
      </c>
      <c r="CW634" s="125" t="n">
        <v>242.82</v>
      </c>
      <c r="CX634" s="0" t="n">
        <v>0</v>
      </c>
      <c r="CY634" s="0" t="n">
        <f aca="false">IF(CW634="","",IF(CX634=0,CW634,IF(CX634=1,CW634/30,IF(CX634=2,CW634/15,IF(CX634=3,CW634/7,CW634)))))</f>
        <v>242.82</v>
      </c>
      <c r="CZ634" s="0" t="n">
        <f aca="false">IF(DI634&gt;0,DI634,IF(CY634&gt;0,CY634,IF(CV634&gt;0,CV634,"")))</f>
        <v>242.82</v>
      </c>
      <c r="DA634" s="0" t="n">
        <f aca="false">IF(DM634=1,CZ634/8,IF(OR(DM634=2,DM634=4),CZ634/7,IF(DM634=3,CZ634/7.5,"")))</f>
        <v>30.3525</v>
      </c>
      <c r="DB634" s="0" t="s">
        <v>216</v>
      </c>
      <c r="DC634" s="0" t="s">
        <v>216</v>
      </c>
      <c r="DD634" s="0" t="s">
        <v>216</v>
      </c>
      <c r="DE634" s="0" t="s">
        <v>216</v>
      </c>
      <c r="DF634" s="0" t="s">
        <v>216</v>
      </c>
      <c r="DG634" s="0" t="s">
        <v>216</v>
      </c>
      <c r="DH634" s="0" t="n">
        <v>0</v>
      </c>
      <c r="DI634" s="126" t="n">
        <v>242.82</v>
      </c>
      <c r="DK634" s="0" t="n">
        <v>0</v>
      </c>
      <c r="DM634" s="0" t="n">
        <v>1</v>
      </c>
      <c r="DN634" s="0" t="n">
        <v>70</v>
      </c>
      <c r="DO634" s="0" t="n">
        <v>3</v>
      </c>
      <c r="DP634" s="0" t="n">
        <v>0</v>
      </c>
      <c r="DQ634" s="0" t="n">
        <v>0</v>
      </c>
      <c r="DR634" s="0"/>
      <c r="DS634" s="0" t="n">
        <v>0</v>
      </c>
      <c r="DU634" s="0" t="n">
        <v>1</v>
      </c>
      <c r="DW634" s="1" t="n">
        <v>37496</v>
      </c>
      <c r="DX634" s="1" t="n">
        <v>40333</v>
      </c>
      <c r="DZ634" s="0"/>
      <c r="EA634" s="0" t="n">
        <v>1</v>
      </c>
      <c r="EC634" s="1" t="n">
        <v>37496</v>
      </c>
      <c r="ED634" s="1" t="n">
        <v>40333</v>
      </c>
      <c r="EF634" s="0"/>
      <c r="EG634" s="0" t="n">
        <v>0</v>
      </c>
      <c r="EI634" s="0" t="n">
        <f aca="false">IF(AND(DM634=1,DN634&lt;=48),"",IF(AND(DM634=2,DN634&lt;=42),"",IF(AND(DM634=3,DN634&lt;=45),"",EH634)))</f>
        <v>0</v>
      </c>
      <c r="EJ634" s="0" t="str">
        <f aca="false">IF(EI634="","",IF(EI634&lt;9,EI634,9))</f>
        <v/>
      </c>
      <c r="EK634" s="0" t="str">
        <f aca="false">IF(EI634="","",IF(EI634&gt;9,EI634-EJ634,0))</f>
        <v/>
      </c>
      <c r="EL634" s="0" t="str">
        <f aca="false">IF(EI634="","",EJ634*DA634*2+EK634*DA634*3)</f>
        <v/>
      </c>
      <c r="EP634" s="0" t="n">
        <v>0</v>
      </c>
      <c r="EQ634" s="0"/>
      <c r="ER634" s="0" t="n">
        <v>0</v>
      </c>
      <c r="ET634" s="0" t="n">
        <v>0</v>
      </c>
      <c r="EV634" s="0" t="n">
        <v>0</v>
      </c>
      <c r="EX634" s="0" t="n">
        <v>0</v>
      </c>
      <c r="EY634" s="0" t="n">
        <v>0</v>
      </c>
      <c r="EZ634" s="0"/>
      <c r="FA634" s="4" t="n">
        <v>0</v>
      </c>
      <c r="FB634" s="0" t="n">
        <v>0</v>
      </c>
      <c r="FC634" s="1" t="n">
        <v>40710</v>
      </c>
      <c r="FD634" s="0" t="n">
        <v>1</v>
      </c>
      <c r="FE634" s="0" t="n">
        <v>17171</v>
      </c>
      <c r="FF634" s="120" t="n">
        <f aca="false">(CJ634-CI634+1)/365</f>
        <v>7.77534246575342</v>
      </c>
      <c r="FG634" s="0" t="str">
        <f aca="false">CONCATENATE(F634,"/",G634)</f>
        <v>286/2011</v>
      </c>
      <c r="FH634" s="0" t="n">
        <v>1</v>
      </c>
      <c r="FI634" s="0" t="n">
        <f aca="false">IFERROR(IF((FC634-J634+1)/365&gt;3,0,1),"")</f>
        <v>1</v>
      </c>
    </row>
    <row r="635" customFormat="false" ht="15" hidden="false" customHeight="false" outlineLevel="0" collapsed="false">
      <c r="A635" s="5" t="str">
        <f aca="false">E635&amp;G635&amp;F635</f>
        <v>72011288</v>
      </c>
      <c r="B635" s="0" t="s">
        <v>5573</v>
      </c>
      <c r="C635" s="1" t="n">
        <v>42363</v>
      </c>
      <c r="E635" s="0" t="n">
        <v>7</v>
      </c>
      <c r="F635" s="0" t="n">
        <v>288</v>
      </c>
      <c r="G635" s="0" t="n">
        <v>2011</v>
      </c>
      <c r="H635" s="0" t="str">
        <f aca="false">"J"&amp;E635&amp;"\"&amp;F635&amp;"\"&amp;G635&amp;"\"&amp;W635</f>
        <v>J7\288\2011\1</v>
      </c>
      <c r="I635" s="0"/>
      <c r="J635" s="1" t="n">
        <v>40589</v>
      </c>
      <c r="K635" s="0" t="n">
        <v>1</v>
      </c>
      <c r="L635" s="0" t="s">
        <v>838</v>
      </c>
      <c r="M635" s="1" t="n">
        <v>40589</v>
      </c>
      <c r="N635" s="1" t="n">
        <v>40661</v>
      </c>
      <c r="O635" s="1"/>
      <c r="P635" s="1"/>
      <c r="Q635" s="1"/>
      <c r="T635" s="121"/>
      <c r="U635" s="121"/>
      <c r="V635" s="122" t="n">
        <f aca="false">IF(AND(E635&gt;0,F635&gt;0,G635&gt;0),COUNTIFS($E:$E,E635,$F:$F,F635,$G:$G,G635),"")</f>
        <v>1</v>
      </c>
      <c r="W635" s="122" t="n">
        <f aca="false">IF(V635="","",IF(V635=1,1,IF(AND(E634=E635,F634=F635,G634=G635),W634+1,1)))</f>
        <v>1</v>
      </c>
      <c r="X635" s="0" t="n">
        <v>1</v>
      </c>
      <c r="Y635" s="0" t="n">
        <v>6</v>
      </c>
      <c r="Z635" s="0" t="s">
        <v>5842</v>
      </c>
      <c r="AA635" s="0" t="n">
        <v>0</v>
      </c>
      <c r="AB635" s="0" t="s">
        <v>5843</v>
      </c>
      <c r="AC635" s="0" t="s">
        <v>5844</v>
      </c>
      <c r="AD635" s="0" t="s">
        <v>2179</v>
      </c>
      <c r="AE635" s="0" t="n">
        <v>0</v>
      </c>
      <c r="AF635" s="0" t="s">
        <v>5845</v>
      </c>
      <c r="AG635" s="0" t="n">
        <v>0</v>
      </c>
      <c r="AH635" s="0" t="s">
        <v>5846</v>
      </c>
      <c r="AI635" s="0" t="s">
        <v>2567</v>
      </c>
      <c r="AJ635" s="0" t="s">
        <v>2206</v>
      </c>
      <c r="AL635" s="0" t="s">
        <v>5847</v>
      </c>
      <c r="AM635" s="0" t="n">
        <v>1</v>
      </c>
      <c r="AN635" s="0" t="s">
        <v>5846</v>
      </c>
      <c r="AO635" s="0" t="s">
        <v>2567</v>
      </c>
      <c r="AP635" s="0" t="s">
        <v>2206</v>
      </c>
      <c r="AR635" s="0" t="s">
        <v>4242</v>
      </c>
      <c r="AS635" s="0" t="n">
        <v>1</v>
      </c>
      <c r="AT635" s="0" t="s">
        <v>5846</v>
      </c>
      <c r="AU635" s="0" t="s">
        <v>2567</v>
      </c>
      <c r="AV635" s="0" t="s">
        <v>2206</v>
      </c>
      <c r="AX635" s="0" t="s">
        <v>249</v>
      </c>
      <c r="AY635" s="0" t="n">
        <v>0</v>
      </c>
      <c r="AZ635" s="0" t="s">
        <v>3714</v>
      </c>
      <c r="BA635" s="0" t="s">
        <v>410</v>
      </c>
      <c r="BB635" s="0" t="s">
        <v>5607</v>
      </c>
      <c r="BD635" s="0" t="s">
        <v>412</v>
      </c>
      <c r="BE635" s="0" t="n">
        <v>0</v>
      </c>
      <c r="BF635" s="0" t="s">
        <v>5848</v>
      </c>
      <c r="BG635" s="0" t="s">
        <v>438</v>
      </c>
      <c r="BH635" s="0" t="s">
        <v>2340</v>
      </c>
      <c r="BJ635" s="0" t="s">
        <v>4469</v>
      </c>
      <c r="BK635" s="0" t="n">
        <v>0</v>
      </c>
      <c r="BL635" s="0" t="s">
        <v>5849</v>
      </c>
      <c r="BM635" s="0" t="s">
        <v>3645</v>
      </c>
      <c r="BN635" s="0" t="s">
        <v>1160</v>
      </c>
      <c r="BR635" s="0" t="n">
        <v>1</v>
      </c>
      <c r="BS635" s="0" t="s">
        <v>4435</v>
      </c>
      <c r="BT635" s="0" t="s">
        <v>5850</v>
      </c>
      <c r="BU635" s="0" t="s">
        <v>5851</v>
      </c>
      <c r="BV635" s="123"/>
      <c r="BW635" s="123"/>
      <c r="BX635" s="123"/>
      <c r="BY635" s="123"/>
      <c r="CA635" s="0" t="s">
        <v>216</v>
      </c>
      <c r="CD635" s="0" t="s">
        <v>370</v>
      </c>
      <c r="CE635" s="0" t="n">
        <v>0</v>
      </c>
      <c r="CF635" s="0" t="s">
        <v>2213</v>
      </c>
      <c r="CI635" s="1" t="n">
        <v>39706</v>
      </c>
      <c r="CJ635" s="1" t="n">
        <v>40527</v>
      </c>
      <c r="CK635" s="124" t="s">
        <v>216</v>
      </c>
      <c r="CL635" s="0" t="s">
        <v>5847</v>
      </c>
      <c r="CM635" s="0" t="n">
        <f aca="false">IF(OR(CI635="",CJ635=""),"",DAYS360(CI635,CJ635)/360)</f>
        <v>2.25</v>
      </c>
      <c r="CN635" s="0" t="n">
        <f aca="false">IF(OR(CI635="",CJ635=""),"",DAYS360(CI635,CJ635)/30)</f>
        <v>27</v>
      </c>
      <c r="CO635" s="0" t="n">
        <f aca="false">IF(OR(CI635="",CJ635=""),"",DAYS360(CI635,CJ635)/7)</f>
        <v>115.714285714286</v>
      </c>
      <c r="CP635" s="0" t="n">
        <f aca="false">IF(OR(CI635="",CJ635=""),"",DAYS360(CI635,CJ635))</f>
        <v>810</v>
      </c>
      <c r="CQ635" s="0" t="s">
        <v>240</v>
      </c>
      <c r="CR635" s="0" t="n">
        <v>1</v>
      </c>
      <c r="CT635" s="0" t="s">
        <v>221</v>
      </c>
      <c r="CU635" s="0" t="s">
        <v>221</v>
      </c>
      <c r="CV635" s="0" t="str">
        <f aca="false">IF(OR(CT635="",CT635="NO ESPECIFICA",CT635="NO MENCIONA"),"",IF(CU635=0,CT635,IF(CU635=1,CT635/30,IF(CU635=2,CT635/15,IF(CU635=3,CT635/7,"")))))</f>
        <v/>
      </c>
      <c r="CW635" s="125" t="n">
        <v>4000</v>
      </c>
      <c r="CX635" s="0" t="n">
        <v>1</v>
      </c>
      <c r="CY635" s="0" t="n">
        <f aca="false">IF(CW635="","",IF(CX635=0,CW635,IF(CX635=1,CW635/30,IF(CX635=2,CW635/15,IF(CX635=3,CW635/7,CW635)))))</f>
        <v>133.333333333333</v>
      </c>
      <c r="CZ635" s="0" t="n">
        <f aca="false">IF(DI635&gt;0,DI635,IF(CY635&gt;0,CY635,IF(CV635&gt;0,CV635,"")))</f>
        <v>361.904761904762</v>
      </c>
      <c r="DA635" s="0" t="n">
        <f aca="false">IF(DM635=1,CZ635/8,IF(OR(DM635=2,DM635=4),CZ635/7,IF(DM635=3,CZ635/7.5,"")))</f>
        <v>45.2380952380952</v>
      </c>
      <c r="DB635" s="0" t="s">
        <v>1003</v>
      </c>
      <c r="DC635" s="0" t="s">
        <v>216</v>
      </c>
      <c r="DD635" s="0" t="s">
        <v>216</v>
      </c>
      <c r="DE635" s="0" t="s">
        <v>216</v>
      </c>
      <c r="DF635" s="0" t="s">
        <v>216</v>
      </c>
      <c r="DG635" s="0" t="s">
        <v>216</v>
      </c>
      <c r="DH635" s="0" t="n">
        <v>0</v>
      </c>
      <c r="DI635" s="126" t="n">
        <v>361.904761904762</v>
      </c>
      <c r="DK635" s="0" t="n">
        <v>1</v>
      </c>
      <c r="DM635" s="0" t="n">
        <v>1</v>
      </c>
      <c r="DN635" s="0" t="n">
        <v>66</v>
      </c>
      <c r="DO635" s="0" t="n">
        <v>3</v>
      </c>
      <c r="DP635" s="0" t="n">
        <v>0</v>
      </c>
      <c r="DQ635" s="0" t="n">
        <v>1</v>
      </c>
      <c r="DR635" s="0"/>
      <c r="DS635" s="0" t="n">
        <v>1</v>
      </c>
      <c r="DU635" s="0" t="n">
        <v>1</v>
      </c>
      <c r="DW635" s="1" t="n">
        <v>39706</v>
      </c>
      <c r="DX635" s="1" t="n">
        <v>40527</v>
      </c>
      <c r="DZ635" s="0"/>
      <c r="EA635" s="0" t="n">
        <v>1</v>
      </c>
      <c r="EC635" s="1" t="n">
        <v>39706</v>
      </c>
      <c r="ED635" s="1" t="n">
        <v>40527</v>
      </c>
      <c r="EF635" s="0"/>
      <c r="EG635" s="0" t="n">
        <v>1</v>
      </c>
      <c r="EH635" s="0" t="n">
        <v>18</v>
      </c>
      <c r="EI635" s="0" t="n">
        <f aca="false">IF(AND(DM635=1,DN635&lt;=48),"",IF(AND(DM635=2,DN635&lt;=42),"",IF(AND(DM635=3,DN635&lt;=45),"",EH635)))</f>
        <v>18</v>
      </c>
      <c r="EJ635" s="0" t="n">
        <f aca="false">IF(EI635="","",IF(EI635&lt;9,EI635,9))</f>
        <v>9</v>
      </c>
      <c r="EK635" s="0" t="n">
        <f aca="false">IF(EI635="","",IF(EI635&gt;9,EI635-EJ635,0))</f>
        <v>9</v>
      </c>
      <c r="EL635" s="0" t="n">
        <f aca="false">IF(EI635="","",EJ635*DA635*2+EK635*DA635*3)</f>
        <v>2035.71428571429</v>
      </c>
      <c r="EP635" s="0" t="n">
        <v>1</v>
      </c>
      <c r="EQ635" s="0"/>
      <c r="ER635" s="0" t="n">
        <v>0</v>
      </c>
      <c r="ET635" s="0" t="n">
        <v>1</v>
      </c>
      <c r="EV635" s="0" t="n">
        <v>1</v>
      </c>
      <c r="EX635" s="0" t="n">
        <v>1</v>
      </c>
      <c r="EY635" s="0" t="n">
        <v>1</v>
      </c>
      <c r="EZ635" s="0"/>
      <c r="FA635" s="4" t="n">
        <v>48800</v>
      </c>
      <c r="FB635" s="0" t="n">
        <v>0</v>
      </c>
      <c r="FC635" s="1" t="n">
        <v>41459</v>
      </c>
      <c r="FD635" s="0" t="n">
        <v>2</v>
      </c>
      <c r="FE635" s="0" t="n">
        <v>0</v>
      </c>
      <c r="FF635" s="120" t="n">
        <f aca="false">(CJ635-CI635+1)/365</f>
        <v>2.25205479452055</v>
      </c>
      <c r="FG635" s="0" t="str">
        <f aca="false">CONCATENATE(F635,"/",G635)</f>
        <v>288/2011</v>
      </c>
      <c r="FH635" s="0" t="n">
        <v>1</v>
      </c>
      <c r="FI635" s="0" t="n">
        <f aca="false">IFERROR(IF((FC635-J635+1)/365&gt;3,0,1),"")</f>
        <v>1</v>
      </c>
    </row>
    <row r="636" customFormat="false" ht="15" hidden="false" customHeight="false" outlineLevel="0" collapsed="false">
      <c r="A636" s="5" t="str">
        <f aca="false">E636&amp;G636&amp;F636</f>
        <v>72011293</v>
      </c>
      <c r="B636" s="0" t="s">
        <v>5573</v>
      </c>
      <c r="C636" s="1" t="n">
        <v>42363</v>
      </c>
      <c r="D636" s="0" t="s">
        <v>5615</v>
      </c>
      <c r="E636" s="0" t="n">
        <v>7</v>
      </c>
      <c r="F636" s="0" t="n">
        <v>293</v>
      </c>
      <c r="G636" s="0" t="n">
        <v>2011</v>
      </c>
      <c r="H636" s="0" t="str">
        <f aca="false">"J"&amp;E636&amp;"\"&amp;F636&amp;"\"&amp;G636&amp;"\"&amp;W636</f>
        <v>J7\293\2011\1</v>
      </c>
      <c r="I636" s="0"/>
      <c r="J636" s="1" t="n">
        <v>40590</v>
      </c>
      <c r="K636" s="0" t="n">
        <v>0</v>
      </c>
      <c r="M636" s="1"/>
      <c r="N636" s="1"/>
      <c r="O636" s="1"/>
      <c r="P636" s="1"/>
      <c r="Q636" s="1"/>
      <c r="T636" s="121"/>
      <c r="U636" s="121"/>
      <c r="V636" s="122" t="n">
        <f aca="false">IF(AND(E636&gt;0,F636&gt;0,G636&gt;0),COUNTIFS($E:$E,E636,$F:$F,F636,$G:$G,G636),"")</f>
        <v>1</v>
      </c>
      <c r="W636" s="122" t="n">
        <f aca="false">IF(V636="","",IF(V636=1,1,IF(AND(E635=E636,F635=F636,G635=G636),W635+1,1)))</f>
        <v>1</v>
      </c>
      <c r="X636" s="0" t="n">
        <v>1</v>
      </c>
      <c r="Y636" s="0" t="n">
        <v>9</v>
      </c>
      <c r="Z636" s="0" t="s">
        <v>5852</v>
      </c>
      <c r="AA636" s="0" t="n">
        <v>0</v>
      </c>
      <c r="AB636" s="0" t="s">
        <v>5853</v>
      </c>
      <c r="AC636" s="0" t="s">
        <v>1635</v>
      </c>
      <c r="AD636" s="0" t="s">
        <v>1160</v>
      </c>
      <c r="AE636" s="0" t="n">
        <v>0</v>
      </c>
      <c r="AF636" s="0" t="s">
        <v>5854</v>
      </c>
      <c r="AG636" s="0" t="n">
        <v>0</v>
      </c>
      <c r="AH636" s="0" t="s">
        <v>5855</v>
      </c>
      <c r="AI636" s="0" t="s">
        <v>5856</v>
      </c>
      <c r="AJ636" s="0" t="s">
        <v>2236</v>
      </c>
      <c r="AL636" s="0" t="s">
        <v>5857</v>
      </c>
      <c r="AM636" s="0" t="n">
        <v>1</v>
      </c>
      <c r="AN636" s="0" t="s">
        <v>5855</v>
      </c>
      <c r="AO636" s="0" t="s">
        <v>5856</v>
      </c>
      <c r="AP636" s="0" t="s">
        <v>2236</v>
      </c>
      <c r="AR636" s="0" t="s">
        <v>5858</v>
      </c>
      <c r="AS636" s="0" t="n">
        <v>0</v>
      </c>
      <c r="AT636" s="0" t="s">
        <v>5859</v>
      </c>
      <c r="AU636" s="0" t="s">
        <v>5860</v>
      </c>
      <c r="AV636" s="0" t="s">
        <v>2172</v>
      </c>
      <c r="AX636" s="0" t="s">
        <v>5861</v>
      </c>
      <c r="AY636" s="0" t="n">
        <v>1</v>
      </c>
      <c r="AZ636" s="0" t="s">
        <v>5859</v>
      </c>
      <c r="BA636" s="0" t="s">
        <v>5860</v>
      </c>
      <c r="BB636" s="0" t="s">
        <v>2172</v>
      </c>
      <c r="BD636" s="0" t="s">
        <v>5862</v>
      </c>
      <c r="BE636" s="0" t="n">
        <v>1</v>
      </c>
      <c r="BF636" s="0" t="s">
        <v>5859</v>
      </c>
      <c r="BG636" s="0" t="s">
        <v>5860</v>
      </c>
      <c r="BH636" s="0" t="s">
        <v>2172</v>
      </c>
      <c r="BJ636" s="0" t="s">
        <v>5863</v>
      </c>
      <c r="BK636" s="0" t="n">
        <v>1</v>
      </c>
      <c r="BL636" s="0" t="s">
        <v>5859</v>
      </c>
      <c r="BM636" s="0" t="s">
        <v>5860</v>
      </c>
      <c r="BN636" s="0" t="s">
        <v>2172</v>
      </c>
      <c r="BR636" s="0" t="n">
        <v>1</v>
      </c>
      <c r="BS636" s="0" t="s">
        <v>5864</v>
      </c>
      <c r="BT636" s="0" t="s">
        <v>5865</v>
      </c>
      <c r="BU636" s="0" t="s">
        <v>5866</v>
      </c>
      <c r="BV636" s="123"/>
      <c r="BW636" s="123"/>
      <c r="BX636" s="123"/>
      <c r="BY636" s="123"/>
      <c r="CA636" s="0" t="s">
        <v>216</v>
      </c>
      <c r="CD636" s="0" t="s">
        <v>296</v>
      </c>
      <c r="CE636" s="0" t="n">
        <v>0</v>
      </c>
      <c r="CF636" s="0" t="s">
        <v>5867</v>
      </c>
      <c r="CI636" s="1" t="n">
        <v>40078</v>
      </c>
      <c r="CJ636" s="1" t="n">
        <v>40561</v>
      </c>
      <c r="CK636" s="124" t="n">
        <v>0.5</v>
      </c>
      <c r="CL636" s="0" t="s">
        <v>5868</v>
      </c>
      <c r="CM636" s="0" t="n">
        <f aca="false">IF(OR(CI636="",CJ636=""),"",DAYS360(CI636,CJ636)/360)</f>
        <v>1.32222222222222</v>
      </c>
      <c r="CN636" s="0" t="n">
        <f aca="false">IF(OR(CI636="",CJ636=""),"",DAYS360(CI636,CJ636)/30)</f>
        <v>15.8666666666667</v>
      </c>
      <c r="CO636" s="0" t="n">
        <f aca="false">IF(OR(CI636="",CJ636=""),"",DAYS360(CI636,CJ636)/7)</f>
        <v>68</v>
      </c>
      <c r="CP636" s="0" t="n">
        <f aca="false">IF(OR(CI636="",CJ636=""),"",DAYS360(CI636,CJ636))</f>
        <v>476</v>
      </c>
      <c r="CQ636" s="0" t="s">
        <v>240</v>
      </c>
      <c r="CR636" s="0" t="n">
        <v>1</v>
      </c>
      <c r="CT636" s="0" t="s">
        <v>216</v>
      </c>
      <c r="CU636" s="0" t="s">
        <v>216</v>
      </c>
      <c r="CV636" s="0" t="str">
        <f aca="false">IF(OR(CT636="",CT636="NO ESPECIFICA",CT636="NO MENCIONA"),"",IF(CU636=0,CT636,IF(CU636=1,CT636/30,IF(CU636=2,CT636/15,IF(CU636=3,CT636/7,"")))))</f>
        <v/>
      </c>
      <c r="CW636" s="125" t="n">
        <v>284.3</v>
      </c>
      <c r="CX636" s="0" t="n">
        <v>0</v>
      </c>
      <c r="CY636" s="0" t="n">
        <f aca="false">IF(CW636="","",IF(CX636=0,CW636,IF(CX636=1,CW636/30,IF(CX636=2,CW636/15,IF(CX636=3,CW636/7,CW636)))))</f>
        <v>284.3</v>
      </c>
      <c r="CZ636" s="0" t="n">
        <f aca="false">IF(DI636&gt;0,DI636,IF(CY636&gt;0,CY636,IF(CV636&gt;0,CV636,"")))</f>
        <v>284.3</v>
      </c>
      <c r="DA636" s="0" t="n">
        <f aca="false">IF(DM636=1,CZ636/8,IF(OR(DM636=2,DM636=4),CZ636/7,IF(DM636=3,CZ636/7.5,"")))</f>
        <v>35.5375</v>
      </c>
      <c r="DB636" s="0" t="s">
        <v>1022</v>
      </c>
      <c r="DC636" s="0" t="s">
        <v>2371</v>
      </c>
      <c r="DD636" s="0" t="s">
        <v>299</v>
      </c>
      <c r="DE636" s="0" t="s">
        <v>216</v>
      </c>
      <c r="DF636" s="0" t="s">
        <v>216</v>
      </c>
      <c r="DG636" s="0" t="s">
        <v>216</v>
      </c>
      <c r="DH636" s="0" t="n">
        <v>0</v>
      </c>
      <c r="DI636" s="126" t="n">
        <v>284.3</v>
      </c>
      <c r="DK636" s="0" t="n">
        <v>0</v>
      </c>
      <c r="DM636" s="0" t="n">
        <v>1</v>
      </c>
      <c r="DN636" s="0" t="n">
        <v>33.5</v>
      </c>
      <c r="DO636" s="0" t="n">
        <v>3</v>
      </c>
      <c r="DP636" s="0" t="n">
        <v>0</v>
      </c>
      <c r="DQ636" s="0" t="n">
        <v>1</v>
      </c>
      <c r="DR636" s="0"/>
      <c r="DS636" s="0" t="n">
        <v>1</v>
      </c>
      <c r="DU636" s="0" t="n">
        <v>1</v>
      </c>
      <c r="DW636" s="1" t="n">
        <v>40078</v>
      </c>
      <c r="DX636" s="1" t="n">
        <v>40561</v>
      </c>
      <c r="DZ636" s="0"/>
      <c r="EA636" s="0" t="n">
        <v>1</v>
      </c>
      <c r="EC636" s="1" t="n">
        <v>40179</v>
      </c>
      <c r="ED636" s="1" t="n">
        <v>40561</v>
      </c>
      <c r="EF636" s="0"/>
      <c r="EG636" s="0" t="n">
        <v>0</v>
      </c>
      <c r="EI636" s="0" t="str">
        <f aca="false">IF(AND(DM636=1,DN636&lt;=48),"",IF(AND(DM636=2,DN636&lt;=42),"",IF(AND(DM636=3,DN636&lt;=45),"",EH636)))</f>
        <v/>
      </c>
      <c r="EJ636" s="0" t="str">
        <f aca="false">IF(EI636="","",IF(EI636&lt;9,EI636,9))</f>
        <v/>
      </c>
      <c r="EK636" s="0" t="str">
        <f aca="false">IF(EI636="","",IF(EI636&gt;9,EI636-EJ636,0))</f>
        <v/>
      </c>
      <c r="EL636" s="0" t="str">
        <f aca="false">IF(EI636="","",EJ636*DA636*2+EK636*DA636*3)</f>
        <v/>
      </c>
      <c r="EP636" s="0" t="n">
        <v>1</v>
      </c>
      <c r="EQ636" s="0"/>
      <c r="ER636" s="0" t="n">
        <v>0</v>
      </c>
      <c r="ET636" s="0" t="n">
        <v>0</v>
      </c>
      <c r="EV636" s="0" t="n">
        <v>0</v>
      </c>
      <c r="EX636" s="0" t="n">
        <v>0</v>
      </c>
      <c r="EY636" s="0" t="n">
        <v>0</v>
      </c>
      <c r="EZ636" s="0"/>
      <c r="FA636" s="4" t="n">
        <v>6757.8</v>
      </c>
      <c r="FB636" s="0" t="n">
        <v>1</v>
      </c>
      <c r="FC636" s="1" t="n">
        <v>40662</v>
      </c>
      <c r="FD636" s="0" t="n">
        <v>1</v>
      </c>
      <c r="FE636" s="0" t="n">
        <v>21387</v>
      </c>
      <c r="FF636" s="120" t="n">
        <f aca="false">(CJ636-CI636+1)/365</f>
        <v>1.32602739726027</v>
      </c>
      <c r="FG636" s="0" t="str">
        <f aca="false">CONCATENATE(F636,"/",G636)</f>
        <v>293/2011</v>
      </c>
      <c r="FH636" s="0" t="n">
        <v>1</v>
      </c>
      <c r="FI636" s="0" t="n">
        <f aca="false">IFERROR(IF((FC636-J636+1)/365&gt;3,0,1),"")</f>
        <v>1</v>
      </c>
    </row>
    <row r="637" customFormat="false" ht="15" hidden="false" customHeight="false" outlineLevel="0" collapsed="false">
      <c r="A637" s="5" t="str">
        <f aca="false">E637&amp;G637&amp;F637</f>
        <v>72011296</v>
      </c>
      <c r="B637" s="0" t="s">
        <v>5573</v>
      </c>
      <c r="C637" s="1" t="n">
        <v>42364</v>
      </c>
      <c r="E637" s="0" t="n">
        <v>7</v>
      </c>
      <c r="F637" s="0" t="n">
        <v>296</v>
      </c>
      <c r="G637" s="0" t="n">
        <v>2011</v>
      </c>
      <c r="H637" s="0" t="str">
        <f aca="false">"J"&amp;E637&amp;"\"&amp;F637&amp;"\"&amp;G637&amp;"\"&amp;W637</f>
        <v>J7\296\2011\1</v>
      </c>
      <c r="I637" s="0"/>
      <c r="J637" s="1" t="n">
        <v>40590</v>
      </c>
      <c r="K637" s="0" t="n">
        <v>0</v>
      </c>
      <c r="M637" s="1" t="n">
        <v>40590</v>
      </c>
      <c r="N637" s="1" t="n">
        <v>40665</v>
      </c>
      <c r="O637" s="1"/>
      <c r="P637" s="1"/>
      <c r="Q637" s="1"/>
      <c r="T637" s="121"/>
      <c r="U637" s="121"/>
      <c r="V637" s="122" t="n">
        <f aca="false">IF(AND(E637&gt;0,F637&gt;0,G637&gt;0),COUNTIFS($E:$E,E637,$F:$F,F637,$G:$G,G637),"")</f>
        <v>1</v>
      </c>
      <c r="W637" s="122" t="n">
        <f aca="false">IF(V637="","",IF(V637=1,1,IF(AND(E636=E637,F636=F637,G636=G637),W636+1,1)))</f>
        <v>1</v>
      </c>
      <c r="X637" s="0" t="n">
        <v>1</v>
      </c>
      <c r="Y637" s="0" t="n">
        <v>3</v>
      </c>
      <c r="Z637" s="0" t="s">
        <v>5869</v>
      </c>
      <c r="AA637" s="0" t="n">
        <v>0</v>
      </c>
      <c r="AB637" s="0" t="s">
        <v>2451</v>
      </c>
      <c r="AC637" s="0" t="s">
        <v>2452</v>
      </c>
      <c r="AD637" s="0" t="s">
        <v>2340</v>
      </c>
      <c r="AE637" s="0" t="n">
        <v>0</v>
      </c>
      <c r="AF637" s="0" t="s">
        <v>5870</v>
      </c>
      <c r="AG637" s="0" t="n">
        <v>0</v>
      </c>
      <c r="AH637" s="0" t="s">
        <v>5871</v>
      </c>
      <c r="AI637" s="0" t="s">
        <v>5872</v>
      </c>
      <c r="AJ637" s="0" t="s">
        <v>221</v>
      </c>
      <c r="AL637" s="0" t="s">
        <v>5873</v>
      </c>
      <c r="AM637" s="0" t="n">
        <v>1</v>
      </c>
      <c r="AN637" s="0" t="s">
        <v>5871</v>
      </c>
      <c r="AO637" s="0" t="s">
        <v>5872</v>
      </c>
      <c r="AP637" s="0" t="s">
        <v>221</v>
      </c>
      <c r="AR637" s="0" t="s">
        <v>5874</v>
      </c>
      <c r="AS637" s="0" t="n">
        <v>1</v>
      </c>
      <c r="AT637" s="0" t="s">
        <v>5871</v>
      </c>
      <c r="AU637" s="0" t="s">
        <v>5872</v>
      </c>
      <c r="AV637" s="0" t="s">
        <v>221</v>
      </c>
      <c r="BR637" s="0" t="n">
        <v>1</v>
      </c>
      <c r="BS637" s="0" t="s">
        <v>5875</v>
      </c>
      <c r="BT637" s="0" t="s">
        <v>5876</v>
      </c>
      <c r="BU637" s="0" t="s">
        <v>5877</v>
      </c>
      <c r="BV637" s="123"/>
      <c r="BW637" s="123"/>
      <c r="BX637" s="123"/>
      <c r="BY637" s="123"/>
      <c r="CA637" s="0" t="s">
        <v>216</v>
      </c>
      <c r="CD637" s="0" t="s">
        <v>256</v>
      </c>
      <c r="CE637" s="0" t="n">
        <v>0</v>
      </c>
      <c r="CF637" s="0" t="s">
        <v>257</v>
      </c>
      <c r="CI637" s="1" t="n">
        <v>39615</v>
      </c>
      <c r="CJ637" s="1" t="n">
        <v>40568</v>
      </c>
      <c r="CK637" s="124" t="n">
        <v>0.395833333333333</v>
      </c>
      <c r="CL637" s="0" t="s">
        <v>5873</v>
      </c>
      <c r="CM637" s="0" t="n">
        <f aca="false">IF(OR(CI637="",CJ637=""),"",DAYS360(CI637,CJ637)/360)</f>
        <v>2.60833333333333</v>
      </c>
      <c r="CN637" s="0" t="n">
        <f aca="false">IF(OR(CI637="",CJ637=""),"",DAYS360(CI637,CJ637)/30)</f>
        <v>31.3</v>
      </c>
      <c r="CO637" s="0" t="n">
        <f aca="false">IF(OR(CI637="",CJ637=""),"",DAYS360(CI637,CJ637)/7)</f>
        <v>134.142857142857</v>
      </c>
      <c r="CP637" s="0" t="n">
        <f aca="false">IF(OR(CI637="",CJ637=""),"",DAYS360(CI637,CJ637))</f>
        <v>939</v>
      </c>
      <c r="CQ637" s="0" t="s">
        <v>240</v>
      </c>
      <c r="CR637" s="0" t="n">
        <v>1</v>
      </c>
      <c r="CT637" s="0" t="n">
        <v>150</v>
      </c>
      <c r="CU637" s="0" t="n">
        <v>0</v>
      </c>
      <c r="CV637" s="0" t="n">
        <f aca="false">IF(OR(CT637="",CT637="NO ESPECIFICA",CT637="NO MENCIONA"),"",IF(CU637=0,CT637,IF(CU637=1,CT637/30,IF(CU637=2,CT637/15,IF(CU637=3,CT637/7,"")))))</f>
        <v>150</v>
      </c>
      <c r="CW637" s="125" t="n">
        <v>373.21</v>
      </c>
      <c r="CX637" s="0" t="n">
        <v>0</v>
      </c>
      <c r="CY637" s="0" t="n">
        <f aca="false">IF(CW637="","",IF(CX637=0,CW637,IF(CX637=1,CW637/30,IF(CX637=2,CW637/15,IF(CX637=3,CW637/7,CW637)))))</f>
        <v>373.21</v>
      </c>
      <c r="CZ637" s="0" t="n">
        <f aca="false">IF(DI637&gt;0,DI637,IF(CY637&gt;0,CY637,IF(CV637&gt;0,CV637,"")))</f>
        <v>373.21</v>
      </c>
      <c r="DA637" s="0" t="n">
        <f aca="false">IF(DM637=1,CZ637/8,IF(OR(DM637=2,DM637=4),CZ637/7,IF(DM637=3,CZ637/7.5,"")))</f>
        <v>46.65125</v>
      </c>
      <c r="DB637" s="0" t="s">
        <v>2371</v>
      </c>
      <c r="DC637" s="0" t="s">
        <v>1022</v>
      </c>
      <c r="DD637" s="0" t="s">
        <v>2046</v>
      </c>
      <c r="DE637" s="0" t="s">
        <v>216</v>
      </c>
      <c r="DF637" s="0" t="s">
        <v>216</v>
      </c>
      <c r="DG637" s="0" t="s">
        <v>216</v>
      </c>
      <c r="DH637" s="0" t="n">
        <v>0</v>
      </c>
      <c r="DI637" s="126" t="n">
        <v>373.21</v>
      </c>
      <c r="DK637" s="0" t="n">
        <v>0</v>
      </c>
      <c r="DM637" s="0" t="n">
        <v>1</v>
      </c>
      <c r="DN637" s="0" t="n">
        <v>51</v>
      </c>
      <c r="DO637" s="0" t="n">
        <v>3</v>
      </c>
      <c r="DP637" s="0" t="n">
        <v>0</v>
      </c>
      <c r="DQ637" s="0" t="n">
        <v>1</v>
      </c>
      <c r="DR637" s="0"/>
      <c r="DS637" s="0" t="n">
        <v>1</v>
      </c>
      <c r="DU637" s="0" t="n">
        <v>1</v>
      </c>
      <c r="DW637" s="1" t="n">
        <v>40345</v>
      </c>
      <c r="DX637" s="1" t="n">
        <v>40568</v>
      </c>
      <c r="DZ637" s="0"/>
      <c r="EA637" s="0" t="n">
        <v>1</v>
      </c>
      <c r="EC637" s="1" t="n">
        <v>40179</v>
      </c>
      <c r="ED637" s="1" t="n">
        <v>40568</v>
      </c>
      <c r="EF637" s="0"/>
      <c r="EG637" s="0" t="n">
        <v>1</v>
      </c>
      <c r="EH637" s="0" t="n">
        <v>21</v>
      </c>
      <c r="EI637" s="0" t="n">
        <f aca="false">IF(AND(DM637=1,DN637&lt;=48),"",IF(AND(DM637=2,DN637&lt;=42),"",IF(AND(DM637=3,DN637&lt;=45),"",EH637)))</f>
        <v>21</v>
      </c>
      <c r="EJ637" s="0" t="n">
        <f aca="false">IF(EI637="","",IF(EI637&lt;9,EI637,9))</f>
        <v>9</v>
      </c>
      <c r="EK637" s="0" t="n">
        <f aca="false">IF(EI637="","",IF(EI637&gt;9,EI637-EJ637,0))</f>
        <v>12</v>
      </c>
      <c r="EL637" s="0" t="n">
        <f aca="false">IF(EI637="","",EJ637*DA637*2+EK637*DA637*3)</f>
        <v>2519.1675</v>
      </c>
      <c r="EP637" s="0" t="n">
        <v>0</v>
      </c>
      <c r="EQ637" s="0"/>
      <c r="ER637" s="0" t="n">
        <v>0</v>
      </c>
      <c r="ET637" s="0" t="n">
        <v>1</v>
      </c>
      <c r="EV637" s="0" t="n">
        <v>1</v>
      </c>
      <c r="EX637" s="0" t="n">
        <v>1</v>
      </c>
      <c r="EY637" s="0" t="n">
        <v>0</v>
      </c>
      <c r="EZ637" s="0"/>
      <c r="FA637" s="4" t="n">
        <v>0</v>
      </c>
      <c r="FB637" s="0" t="n">
        <v>1</v>
      </c>
      <c r="FC637" s="1" t="n">
        <v>41856</v>
      </c>
      <c r="FD637" s="0" t="n">
        <v>3</v>
      </c>
      <c r="FE637" s="0" t="n">
        <v>0</v>
      </c>
      <c r="FF637" s="120" t="n">
        <f aca="false">(CJ637-CI637+1)/365</f>
        <v>2.61369863013699</v>
      </c>
      <c r="FG637" s="0" t="str">
        <f aca="false">CONCATENATE(F637,"/",G637)</f>
        <v>296/2011</v>
      </c>
      <c r="FH637" s="0" t="n">
        <v>1</v>
      </c>
      <c r="FI637" s="0" t="n">
        <f aca="false">IFERROR(IF((FC637-J637+1)/365&gt;3,0,1),"")</f>
        <v>0</v>
      </c>
    </row>
    <row r="638" customFormat="false" ht="15" hidden="false" customHeight="false" outlineLevel="0" collapsed="false">
      <c r="A638" s="5" t="str">
        <f aca="false">E638&amp;G638&amp;F638</f>
        <v>72011301</v>
      </c>
      <c r="B638" s="0" t="s">
        <v>5573</v>
      </c>
      <c r="C638" s="1" t="n">
        <v>42364</v>
      </c>
      <c r="E638" s="0" t="n">
        <v>7</v>
      </c>
      <c r="F638" s="0" t="n">
        <v>301</v>
      </c>
      <c r="G638" s="0" t="n">
        <v>2011</v>
      </c>
      <c r="H638" s="0" t="str">
        <f aca="false">"J"&amp;E638&amp;"\"&amp;F638&amp;"\"&amp;G638&amp;"\"&amp;W638</f>
        <v>J7\301\2011\1</v>
      </c>
      <c r="I638" s="0"/>
      <c r="J638" s="1" t="n">
        <v>40590</v>
      </c>
      <c r="K638" s="0" t="n">
        <v>1</v>
      </c>
      <c r="L638" s="0" t="s">
        <v>528</v>
      </c>
      <c r="M638" s="1" t="n">
        <v>40590</v>
      </c>
      <c r="N638" s="1" t="n">
        <v>40665</v>
      </c>
      <c r="O638" s="1"/>
      <c r="P638" s="1"/>
      <c r="Q638" s="1"/>
      <c r="T638" s="121"/>
      <c r="U638" s="121"/>
      <c r="V638" s="122" t="n">
        <f aca="false">IF(AND(E638&gt;0,F638&gt;0,G638&gt;0),COUNTIFS($E:$E,E638,$F:$F,F638,$G:$G,G638),"")</f>
        <v>1</v>
      </c>
      <c r="W638" s="122" t="n">
        <f aca="false">IF(V638="","",IF(V638=1,1,IF(AND(E637=E638,F637=F638,G637=G638),W637+1,1)))</f>
        <v>1</v>
      </c>
      <c r="X638" s="0" t="n">
        <v>1</v>
      </c>
      <c r="Y638" s="0" t="n">
        <v>2</v>
      </c>
      <c r="Z638" s="0" t="s">
        <v>5878</v>
      </c>
      <c r="AA638" s="0" t="n">
        <v>0</v>
      </c>
      <c r="AB638" s="0" t="s">
        <v>5879</v>
      </c>
      <c r="AC638" s="0" t="s">
        <v>1160</v>
      </c>
      <c r="AD638" s="0" t="s">
        <v>1160</v>
      </c>
      <c r="AE638" s="0" t="n">
        <v>0</v>
      </c>
      <c r="AF638" s="0" t="s">
        <v>5880</v>
      </c>
      <c r="AG638" s="0" t="n">
        <v>2</v>
      </c>
      <c r="AH638" s="0" t="s">
        <v>5881</v>
      </c>
      <c r="AI638" s="0" t="s">
        <v>697</v>
      </c>
      <c r="AJ638" s="0" t="s">
        <v>2218</v>
      </c>
      <c r="AL638" s="0" t="s">
        <v>5882</v>
      </c>
      <c r="AM638" s="0" t="n">
        <v>1</v>
      </c>
      <c r="AN638" s="0" t="s">
        <v>5881</v>
      </c>
      <c r="AO638" s="0" t="s">
        <v>697</v>
      </c>
      <c r="AP638" s="0" t="s">
        <v>2218</v>
      </c>
      <c r="BR638" s="0" t="n">
        <v>1</v>
      </c>
      <c r="BS638" s="0" t="s">
        <v>5883</v>
      </c>
      <c r="BT638" s="0" t="s">
        <v>5884</v>
      </c>
      <c r="BU638" s="0" t="s">
        <v>5885</v>
      </c>
      <c r="BV638" s="123"/>
      <c r="BW638" s="123"/>
      <c r="BX638" s="123"/>
      <c r="BY638" s="123"/>
      <c r="CA638" s="0" t="s">
        <v>216</v>
      </c>
      <c r="CD638" s="0" t="s">
        <v>502</v>
      </c>
      <c r="CE638" s="0" t="n">
        <v>0</v>
      </c>
      <c r="CF638" s="0" t="s">
        <v>5886</v>
      </c>
      <c r="CI638" s="1" t="n">
        <v>39709</v>
      </c>
      <c r="CJ638" s="1" t="n">
        <v>40234</v>
      </c>
      <c r="CK638" s="124" t="n">
        <v>0.916666666666667</v>
      </c>
      <c r="CL638" s="0" t="s">
        <v>5887</v>
      </c>
      <c r="CM638" s="0" t="n">
        <f aca="false">IF(OR(CI638="",CJ638=""),"",DAYS360(CI638,CJ638)/360)</f>
        <v>1.43611111111111</v>
      </c>
      <c r="CN638" s="0" t="n">
        <f aca="false">IF(OR(CI638="",CJ638=""),"",DAYS360(CI638,CJ638)/30)</f>
        <v>17.2333333333333</v>
      </c>
      <c r="CO638" s="0" t="n">
        <f aca="false">IF(OR(CI638="",CJ638=""),"",DAYS360(CI638,CJ638)/7)</f>
        <v>73.8571428571429</v>
      </c>
      <c r="CP638" s="0" t="n">
        <f aca="false">IF(OR(CI638="",CJ638=""),"",DAYS360(CI638,CJ638))</f>
        <v>517</v>
      </c>
      <c r="CQ638" s="0" t="s">
        <v>240</v>
      </c>
      <c r="CR638" s="0" t="n">
        <v>1</v>
      </c>
      <c r="CT638" s="0" t="s">
        <v>221</v>
      </c>
      <c r="CU638" s="0" t="s">
        <v>221</v>
      </c>
      <c r="CV638" s="0" t="str">
        <f aca="false">IF(OR(CT638="",CT638="NO ESPECIFICA",CT638="NO MENCIONA"),"",IF(CU638=0,CT638,IF(CU638=1,CT638/30,IF(CU638=2,CT638/15,IF(CU638=3,CT638/7,"")))))</f>
        <v/>
      </c>
      <c r="CW638" s="125" t="n">
        <v>250</v>
      </c>
      <c r="CX638" s="0" t="n">
        <v>0</v>
      </c>
      <c r="CY638" s="0" t="n">
        <f aca="false">IF(CW638="","",IF(CX638=0,CW638,IF(CX638=1,CW638/30,IF(CX638=2,CW638/15,IF(CX638=3,CW638/7,CW638)))))</f>
        <v>250</v>
      </c>
      <c r="CZ638" s="0" t="n">
        <f aca="false">IF(DI638&gt;0,DI638,IF(CY638&gt;0,CY638,IF(CV638&gt;0,CV638,"")))</f>
        <v>250</v>
      </c>
      <c r="DA638" s="0" t="str">
        <f aca="false">IF(DM638=1,CZ638/8,IF(OR(DM638=2,DM638=4),CZ638/7,IF(DM638=3,CZ638/7.5,"")))</f>
        <v/>
      </c>
      <c r="DB638" s="0" t="s">
        <v>216</v>
      </c>
      <c r="DC638" s="0" t="s">
        <v>216</v>
      </c>
      <c r="DD638" s="0" t="s">
        <v>216</v>
      </c>
      <c r="DE638" s="0" t="s">
        <v>216</v>
      </c>
      <c r="DF638" s="0" t="s">
        <v>216</v>
      </c>
      <c r="DG638" s="0" t="s">
        <v>216</v>
      </c>
      <c r="DH638" s="0" t="n">
        <v>0</v>
      </c>
      <c r="DI638" s="126" t="n">
        <v>250</v>
      </c>
      <c r="DK638" s="0" t="n">
        <v>0</v>
      </c>
      <c r="DM638" s="0" t="s">
        <v>385</v>
      </c>
      <c r="DN638" s="0" t="n">
        <v>40</v>
      </c>
      <c r="DO638" s="0" t="n">
        <v>3</v>
      </c>
      <c r="DP638" s="0" t="n">
        <v>0</v>
      </c>
      <c r="DQ638" s="0" t="n">
        <v>1</v>
      </c>
      <c r="DR638" s="0"/>
      <c r="DS638" s="0" t="n">
        <v>0</v>
      </c>
      <c r="DU638" s="0" t="n">
        <v>0</v>
      </c>
      <c r="DW638" s="1" t="s">
        <v>221</v>
      </c>
      <c r="DX638" s="1" t="s">
        <v>221</v>
      </c>
      <c r="DZ638" s="0"/>
      <c r="EA638" s="0" t="n">
        <v>1</v>
      </c>
      <c r="EC638" s="1" t="s">
        <v>221</v>
      </c>
      <c r="ED638" s="1" t="s">
        <v>221</v>
      </c>
      <c r="EF638" s="0"/>
      <c r="EG638" s="0" t="n">
        <v>0</v>
      </c>
      <c r="EI638" s="0" t="n">
        <f aca="false">IF(AND(DM638=1,DN638&lt;=48),"",IF(AND(DM638=2,DN638&lt;=42),"",IF(AND(DM638=3,DN638&lt;=45),"",EH638)))</f>
        <v>0</v>
      </c>
      <c r="EJ638" s="0" t="str">
        <f aca="false">IF(EI638="","",IF(EI638&lt;9,EI638,9))</f>
        <v/>
      </c>
      <c r="EK638" s="0" t="str">
        <f aca="false">IF(EI638="","",IF(EI638&gt;9,EI638-EJ638,0))</f>
        <v/>
      </c>
      <c r="EL638" s="0" t="str">
        <f aca="false">IF(EI638="","",EJ638*DA638*2+EK638*DA638*3)</f>
        <v/>
      </c>
      <c r="EP638" s="0" t="n">
        <v>0</v>
      </c>
      <c r="EQ638" s="0"/>
      <c r="ER638" s="0" t="n">
        <v>0</v>
      </c>
      <c r="ET638" s="0" t="n">
        <v>0</v>
      </c>
      <c r="EV638" s="0" t="n">
        <v>0</v>
      </c>
      <c r="EX638" s="0" t="n">
        <v>1</v>
      </c>
      <c r="EY638" s="0" t="n">
        <v>1</v>
      </c>
      <c r="EZ638" s="0"/>
      <c r="FA638" s="4" t="n">
        <v>250</v>
      </c>
      <c r="FB638" s="0" t="n">
        <v>0</v>
      </c>
      <c r="FC638" s="1" t="n">
        <v>41948</v>
      </c>
      <c r="FD638" s="0" t="n">
        <v>4</v>
      </c>
      <c r="FE638" s="0" t="n">
        <v>0</v>
      </c>
      <c r="FF638" s="120" t="n">
        <f aca="false">(CJ638-CI638+1)/365</f>
        <v>1.44109589041096</v>
      </c>
      <c r="FG638" s="0" t="str">
        <f aca="false">CONCATENATE(F638,"/",G638)</f>
        <v>301/2011</v>
      </c>
      <c r="FH638" s="0" t="n">
        <v>1</v>
      </c>
      <c r="FI638" s="0" t="n">
        <f aca="false">IFERROR(IF((FC638-J638+1)/365&gt;3,0,1),"")</f>
        <v>0</v>
      </c>
    </row>
    <row r="639" customFormat="false" ht="15" hidden="false" customHeight="false" outlineLevel="0" collapsed="false">
      <c r="A639" s="5" t="str">
        <f aca="false">E639&amp;G639&amp;F639</f>
        <v>72011304</v>
      </c>
      <c r="B639" s="0" t="s">
        <v>5573</v>
      </c>
      <c r="C639" s="1" t="n">
        <v>42364</v>
      </c>
      <c r="E639" s="0" t="n">
        <v>7</v>
      </c>
      <c r="F639" s="0" t="n">
        <v>304</v>
      </c>
      <c r="G639" s="0" t="n">
        <v>2011</v>
      </c>
      <c r="H639" s="0" t="str">
        <f aca="false">"J"&amp;E639&amp;"\"&amp;F639&amp;"\"&amp;G639&amp;"\"&amp;W639</f>
        <v>J7\304\2011\1</v>
      </c>
      <c r="I639" s="0"/>
      <c r="J639" s="1" t="n">
        <v>40591</v>
      </c>
      <c r="K639" s="0" t="n">
        <v>0</v>
      </c>
      <c r="M639" s="1" t="n">
        <v>40591</v>
      </c>
      <c r="N639" s="1" t="n">
        <v>40666</v>
      </c>
      <c r="O639" s="1"/>
      <c r="P639" s="1"/>
      <c r="Q639" s="1"/>
      <c r="T639" s="121"/>
      <c r="U639" s="121"/>
      <c r="V639" s="122" t="n">
        <f aca="false">IF(AND(E639&gt;0,F639&gt;0,G639&gt;0),COUNTIFS($E:$E,E639,$F:$F,F639,$G:$G,G639),"")</f>
        <v>1</v>
      </c>
      <c r="W639" s="122" t="n">
        <f aca="false">IF(V639="","",IF(V639=1,1,IF(AND(E638=E639,F638=F639,G638=G639),W638+1,1)))</f>
        <v>1</v>
      </c>
      <c r="X639" s="0" t="n">
        <v>1</v>
      </c>
      <c r="Y639" s="0" t="n">
        <v>4</v>
      </c>
      <c r="Z639" s="0" t="s">
        <v>5888</v>
      </c>
      <c r="AA639" s="0" t="n">
        <v>0</v>
      </c>
      <c r="AB639" s="0" t="s">
        <v>5889</v>
      </c>
      <c r="AC639" s="0" t="s">
        <v>1611</v>
      </c>
      <c r="AD639" s="0" t="s">
        <v>1160</v>
      </c>
      <c r="AE639" s="0" t="n">
        <v>0</v>
      </c>
      <c r="AF639" s="0" t="s">
        <v>5890</v>
      </c>
      <c r="AG639" s="0" t="n">
        <v>0</v>
      </c>
      <c r="AH639" s="0" t="s">
        <v>5891</v>
      </c>
      <c r="AI639" s="0" t="s">
        <v>5892</v>
      </c>
      <c r="AJ639" s="0" t="s">
        <v>5893</v>
      </c>
      <c r="AL639" s="0" t="s">
        <v>5894</v>
      </c>
      <c r="AM639" s="0" t="n">
        <v>0</v>
      </c>
      <c r="AN639" s="0" t="s">
        <v>5891</v>
      </c>
      <c r="AO639" s="0" t="s">
        <v>5892</v>
      </c>
      <c r="AP639" s="0" t="s">
        <v>5893</v>
      </c>
      <c r="AR639" s="0" t="s">
        <v>5895</v>
      </c>
      <c r="AS639" s="0" t="n">
        <v>1</v>
      </c>
      <c r="AT639" s="0" t="s">
        <v>5891</v>
      </c>
      <c r="AU639" s="0" t="s">
        <v>5892</v>
      </c>
      <c r="AV639" s="0" t="s">
        <v>5893</v>
      </c>
      <c r="AX639" s="0" t="s">
        <v>5896</v>
      </c>
      <c r="AY639" s="0" t="n">
        <v>1</v>
      </c>
      <c r="AZ639" s="0" t="s">
        <v>5891</v>
      </c>
      <c r="BA639" s="0" t="s">
        <v>5892</v>
      </c>
      <c r="BB639" s="0" t="s">
        <v>5893</v>
      </c>
      <c r="BR639" s="0" t="n">
        <v>1</v>
      </c>
      <c r="BS639" s="0" t="s">
        <v>5897</v>
      </c>
      <c r="BT639" s="0" t="s">
        <v>5898</v>
      </c>
      <c r="BU639" s="0" t="s">
        <v>5899</v>
      </c>
      <c r="BV639" s="123"/>
      <c r="BW639" s="123"/>
      <c r="BX639" s="123"/>
      <c r="BY639" s="123"/>
      <c r="CA639" s="0" t="s">
        <v>5900</v>
      </c>
      <c r="CD639" s="0" t="s">
        <v>256</v>
      </c>
      <c r="CE639" s="0" t="n">
        <v>0</v>
      </c>
      <c r="CF639" s="0" t="s">
        <v>1641</v>
      </c>
      <c r="CI639" s="1" t="n">
        <v>39150</v>
      </c>
      <c r="CJ639" s="1" t="n">
        <v>40574</v>
      </c>
      <c r="CK639" s="124" t="n">
        <v>0.75</v>
      </c>
      <c r="CL639" s="0" t="s">
        <v>5895</v>
      </c>
      <c r="CM639" s="0" t="n">
        <f aca="false">IF(OR(CI639="",CJ639=""),"",DAYS360(CI639,CJ639)/360)</f>
        <v>3.89444444444444</v>
      </c>
      <c r="CN639" s="0" t="n">
        <f aca="false">IF(OR(CI639="",CJ639=""),"",DAYS360(CI639,CJ639)/30)</f>
        <v>46.7333333333333</v>
      </c>
      <c r="CO639" s="0" t="n">
        <f aca="false">IF(OR(CI639="",CJ639=""),"",DAYS360(CI639,CJ639)/7)</f>
        <v>200.285714285714</v>
      </c>
      <c r="CP639" s="0" t="n">
        <f aca="false">IF(OR(CI639="",CJ639=""),"",DAYS360(CI639,CJ639))</f>
        <v>1402</v>
      </c>
      <c r="CQ639" s="0" t="s">
        <v>240</v>
      </c>
      <c r="CR639" s="0" t="n">
        <v>1</v>
      </c>
      <c r="CT639" s="0" t="s">
        <v>221</v>
      </c>
      <c r="CU639" s="0" t="s">
        <v>221</v>
      </c>
      <c r="CV639" s="0" t="str">
        <f aca="false">IF(OR(CT639="",CT639="NO ESPECIFICA",CT639="NO MENCIONA"),"",IF(CU639=0,CT639,IF(CU639=1,CT639/30,IF(CU639=2,CT639/15,IF(CU639=3,CT639/7,"")))))</f>
        <v/>
      </c>
      <c r="CW639" s="125" t="n">
        <v>1700</v>
      </c>
      <c r="CX639" s="0" t="n">
        <v>2</v>
      </c>
      <c r="CY639" s="0" t="n">
        <f aca="false">IF(CW639="","",IF(CX639=0,CW639,IF(CX639=1,CW639/30,IF(CX639=2,CW639/15,IF(CX639=3,CW639/7,CW639)))))</f>
        <v>113.333333333333</v>
      </c>
      <c r="CZ639" s="0" t="n">
        <f aca="false">IF(DI639&gt;0,DI639,IF(CY639&gt;0,CY639,IF(CV639&gt;0,CV639,"")))</f>
        <v>175.5</v>
      </c>
      <c r="DA639" s="0" t="n">
        <f aca="false">IF(DM639=1,CZ639/8,IF(OR(DM639=2,DM639=4),CZ639/7,IF(DM639=3,CZ639/7.5,"")))</f>
        <v>21.9375</v>
      </c>
      <c r="DB639" s="0" t="s">
        <v>259</v>
      </c>
      <c r="DC639" s="0" t="s">
        <v>258</v>
      </c>
      <c r="DE639" s="0" t="s">
        <v>627</v>
      </c>
      <c r="DF639" s="0" t="s">
        <v>216</v>
      </c>
      <c r="DG639" s="0" t="s">
        <v>216</v>
      </c>
      <c r="DH639" s="0" t="n">
        <v>0</v>
      </c>
      <c r="DI639" s="126" t="n">
        <v>175.5</v>
      </c>
      <c r="DK639" s="0" t="n">
        <v>1</v>
      </c>
      <c r="DM639" s="0" t="n">
        <v>1</v>
      </c>
      <c r="DN639" s="0" t="n">
        <v>70</v>
      </c>
      <c r="DO639" s="0" t="n">
        <v>3</v>
      </c>
      <c r="DP639" s="0" t="n">
        <v>0</v>
      </c>
      <c r="DQ639" s="0" t="n">
        <v>1</v>
      </c>
      <c r="DR639" s="0"/>
      <c r="DS639" s="0" t="n">
        <v>1</v>
      </c>
      <c r="DU639" s="0" t="n">
        <v>1</v>
      </c>
      <c r="DW639" s="1" t="n">
        <v>39150</v>
      </c>
      <c r="DX639" s="1" t="n">
        <v>40574</v>
      </c>
      <c r="DZ639" s="0"/>
      <c r="EA639" s="0" t="n">
        <v>1</v>
      </c>
      <c r="EC639" s="1" t="n">
        <v>39150</v>
      </c>
      <c r="ED639" s="1" t="n">
        <v>40574</v>
      </c>
      <c r="EF639" s="0"/>
      <c r="EG639" s="0" t="n">
        <v>1</v>
      </c>
      <c r="EH639" s="0" t="n">
        <v>14</v>
      </c>
      <c r="EI639" s="0" t="n">
        <f aca="false">IF(AND(DM639=1,DN639&lt;=48),"",IF(AND(DM639=2,DN639&lt;=42),"",IF(AND(DM639=3,DN639&lt;=45),"",EH639)))</f>
        <v>14</v>
      </c>
      <c r="EJ639" s="0" t="n">
        <f aca="false">IF(EI639="","",IF(EI639&lt;9,EI639,9))</f>
        <v>9</v>
      </c>
      <c r="EK639" s="0" t="n">
        <f aca="false">IF(EI639="","",IF(EI639&gt;9,EI639-EJ639,0))</f>
        <v>5</v>
      </c>
      <c r="EL639" s="0" t="n">
        <f aca="false">IF(EI639="","",EJ639*DA639*2+EK639*DA639*3)</f>
        <v>723.9375</v>
      </c>
      <c r="EP639" s="0" t="n">
        <v>0</v>
      </c>
      <c r="EQ639" s="0"/>
      <c r="ER639" s="0" t="n">
        <v>1</v>
      </c>
      <c r="ET639" s="0" t="n">
        <v>1</v>
      </c>
      <c r="EV639" s="0" t="n">
        <v>1</v>
      </c>
      <c r="EX639" s="0" t="n">
        <v>1</v>
      </c>
      <c r="EY639" s="0" t="n">
        <v>1</v>
      </c>
      <c r="EZ639" s="4" t="n">
        <v>7853.05</v>
      </c>
      <c r="FA639" s="4" t="n">
        <v>175.5</v>
      </c>
      <c r="FB639" s="0" t="n">
        <v>1</v>
      </c>
      <c r="FC639" s="1" t="n">
        <v>40948</v>
      </c>
      <c r="FD639" s="0" t="n">
        <v>1</v>
      </c>
      <c r="FE639" s="0" t="n">
        <v>3000</v>
      </c>
      <c r="FF639" s="120" t="n">
        <f aca="false">(CJ639-CI639+1)/365</f>
        <v>3.9041095890411</v>
      </c>
      <c r="FG639" s="0" t="str">
        <f aca="false">CONCATENATE(F639,"/",G639)</f>
        <v>304/2011</v>
      </c>
      <c r="FH639" s="0" t="n">
        <v>1</v>
      </c>
      <c r="FI639" s="0" t="n">
        <f aca="false">IFERROR(IF((FC639-J639+1)/365&gt;3,0,1),"")</f>
        <v>1</v>
      </c>
    </row>
    <row r="640" customFormat="false" ht="15" hidden="false" customHeight="false" outlineLevel="0" collapsed="false">
      <c r="A640" s="5" t="str">
        <f aca="false">E640&amp;G640&amp;F640</f>
        <v>72011306</v>
      </c>
      <c r="B640" s="0" t="s">
        <v>5573</v>
      </c>
      <c r="C640" s="1" t="n">
        <v>42364</v>
      </c>
      <c r="D640" s="0" t="s">
        <v>5615</v>
      </c>
      <c r="E640" s="0" t="n">
        <v>7</v>
      </c>
      <c r="F640" s="0" t="n">
        <v>306</v>
      </c>
      <c r="G640" s="0" t="n">
        <v>2011</v>
      </c>
      <c r="H640" s="0" t="str">
        <f aca="false">"J"&amp;E640&amp;"\"&amp;F640&amp;"\"&amp;G640&amp;"\"&amp;W640</f>
        <v>J7\306\2011\1</v>
      </c>
      <c r="I640" s="0"/>
      <c r="J640" s="1" t="n">
        <v>40591</v>
      </c>
      <c r="K640" s="0" t="n">
        <v>0</v>
      </c>
      <c r="M640" s="1"/>
      <c r="N640" s="1"/>
      <c r="O640" s="1"/>
      <c r="P640" s="1"/>
      <c r="Q640" s="1"/>
      <c r="T640" s="121"/>
      <c r="U640" s="121"/>
      <c r="V640" s="122" t="n">
        <f aca="false">IF(AND(E640&gt;0,F640&gt;0,G640&gt;0),COUNTIFS($E:$E,E640,$F:$F,F640,$G:$G,G640),"")</f>
        <v>1</v>
      </c>
      <c r="W640" s="122" t="n">
        <f aca="false">IF(V640="","",IF(V640=1,1,IF(AND(E639=E640,F639=F640,G639=G640),W639+1,1)))</f>
        <v>1</v>
      </c>
      <c r="X640" s="0" t="n">
        <v>1</v>
      </c>
      <c r="Y640" s="0" t="n">
        <v>11</v>
      </c>
      <c r="Z640" s="0" t="s">
        <v>5901</v>
      </c>
      <c r="AA640" s="0" t="n">
        <v>0</v>
      </c>
      <c r="AB640" s="0" t="s">
        <v>5396</v>
      </c>
      <c r="AC640" s="0" t="s">
        <v>318</v>
      </c>
      <c r="AD640" s="0" t="s">
        <v>221</v>
      </c>
      <c r="AE640" s="0" t="n">
        <v>0</v>
      </c>
      <c r="AF640" s="0" t="s">
        <v>5902</v>
      </c>
      <c r="AG640" s="0" t="n">
        <v>0</v>
      </c>
      <c r="AH640" s="0" t="s">
        <v>5903</v>
      </c>
      <c r="AI640" s="0" t="s">
        <v>697</v>
      </c>
      <c r="AJ640" s="0" t="s">
        <v>2218</v>
      </c>
      <c r="AL640" s="0" t="s">
        <v>5904</v>
      </c>
      <c r="AM640" s="0" t="n">
        <v>0</v>
      </c>
      <c r="AN640" s="0" t="s">
        <v>5903</v>
      </c>
      <c r="AO640" s="0" t="s">
        <v>697</v>
      </c>
      <c r="AP640" s="0" t="s">
        <v>2218</v>
      </c>
      <c r="AR640" s="0" t="s">
        <v>5905</v>
      </c>
      <c r="AS640" s="0" t="n">
        <v>0</v>
      </c>
      <c r="AT640" s="0" t="s">
        <v>5903</v>
      </c>
      <c r="AU640" s="0" t="s">
        <v>697</v>
      </c>
      <c r="AV640" s="0" t="s">
        <v>2218</v>
      </c>
      <c r="AX640" s="0" t="s">
        <v>5906</v>
      </c>
      <c r="AY640" s="0" t="n">
        <v>1</v>
      </c>
      <c r="AZ640" s="0" t="s">
        <v>5903</v>
      </c>
      <c r="BA640" s="0" t="s">
        <v>697</v>
      </c>
      <c r="BB640" s="0" t="s">
        <v>2218</v>
      </c>
      <c r="BD640" s="0" t="s">
        <v>5907</v>
      </c>
      <c r="BE640" s="0" t="n">
        <v>1</v>
      </c>
      <c r="BF640" s="0" t="s">
        <v>5903</v>
      </c>
      <c r="BG640" s="0" t="s">
        <v>697</v>
      </c>
      <c r="BH640" s="0" t="s">
        <v>2218</v>
      </c>
      <c r="BJ640" s="0" t="s">
        <v>5908</v>
      </c>
      <c r="BK640" s="0" t="n">
        <v>1</v>
      </c>
      <c r="BL640" s="0" t="s">
        <v>5903</v>
      </c>
      <c r="BM640" s="0" t="s">
        <v>697</v>
      </c>
      <c r="BN640" s="0" t="s">
        <v>2218</v>
      </c>
      <c r="BR640" s="0" t="n">
        <v>1</v>
      </c>
      <c r="BS640" s="0" t="s">
        <v>4537</v>
      </c>
      <c r="BT640" s="0" t="s">
        <v>5909</v>
      </c>
      <c r="BU640" s="0" t="s">
        <v>4539</v>
      </c>
      <c r="BV640" s="123"/>
      <c r="BW640" s="123"/>
      <c r="BX640" s="123"/>
      <c r="BY640" s="123"/>
      <c r="CA640" s="0" t="s">
        <v>4540</v>
      </c>
      <c r="CD640" s="0" t="s">
        <v>5680</v>
      </c>
      <c r="CE640" s="0" t="n">
        <v>0</v>
      </c>
      <c r="CF640" s="0" t="s">
        <v>1249</v>
      </c>
      <c r="CI640" s="1" t="n">
        <v>40397</v>
      </c>
      <c r="CJ640" s="1" t="n">
        <v>40577</v>
      </c>
      <c r="CK640" s="124" t="n">
        <v>0.375</v>
      </c>
      <c r="CL640" s="0" t="s">
        <v>5908</v>
      </c>
      <c r="CM640" s="0" t="n">
        <f aca="false">IF(OR(CI640="",CJ640=""),"",DAYS360(CI640,CJ640)/360)</f>
        <v>0.488888888888889</v>
      </c>
      <c r="CN640" s="0" t="n">
        <f aca="false">IF(OR(CI640="",CJ640=""),"",DAYS360(CI640,CJ640)/30)</f>
        <v>5.86666666666667</v>
      </c>
      <c r="CO640" s="0" t="n">
        <f aca="false">IF(OR(CI640="",CJ640=""),"",DAYS360(CI640,CJ640)/7)</f>
        <v>25.1428571428571</v>
      </c>
      <c r="CP640" s="0" t="n">
        <f aca="false">IF(OR(CI640="",CJ640=""),"",DAYS360(CI640,CJ640))</f>
        <v>176</v>
      </c>
      <c r="CQ640" s="0" t="s">
        <v>240</v>
      </c>
      <c r="CR640" s="0" t="n">
        <v>1</v>
      </c>
      <c r="CT640" s="0" t="n">
        <v>2500</v>
      </c>
      <c r="CU640" s="0" t="n">
        <v>2</v>
      </c>
      <c r="CV640" s="0" t="n">
        <f aca="false">IF(OR(CT640="",CT640="NO ESPECIFICA",CT640="NO MENCIONA"),"",IF(CU640=0,CT640,IF(CU640=1,CT640/30,IF(CU640=2,CT640/15,IF(CU640=3,CT640/7,"")))))</f>
        <v>166.666666666667</v>
      </c>
      <c r="CW640" s="125" t="n">
        <v>260</v>
      </c>
      <c r="CX640" s="0" t="n">
        <v>0</v>
      </c>
      <c r="CY640" s="0" t="n">
        <f aca="false">IF(CW640="","",IF(CX640=0,CW640,IF(CX640=1,CW640/30,IF(CX640=2,CW640/15,IF(CX640=3,CW640/7,CW640)))))</f>
        <v>260</v>
      </c>
      <c r="CZ640" s="0" t="n">
        <f aca="false">IF(DI640&gt;0,DI640,IF(CY640&gt;0,CY640,IF(CV640&gt;0,CV640,"")))</f>
        <v>260</v>
      </c>
      <c r="DA640" s="0" t="n">
        <f aca="false">IF(DM640=1,CZ640/8,IF(OR(DM640=2,DM640=4),CZ640/7,IF(DM640=3,CZ640/7.5,"")))</f>
        <v>32.5</v>
      </c>
      <c r="DB640" s="0" t="s">
        <v>627</v>
      </c>
      <c r="DC640" s="0" t="s">
        <v>1842</v>
      </c>
      <c r="DD640" s="0" t="s">
        <v>2471</v>
      </c>
      <c r="DE640" s="0" t="s">
        <v>216</v>
      </c>
      <c r="DF640" s="0" t="s">
        <v>216</v>
      </c>
      <c r="DG640" s="0" t="s">
        <v>216</v>
      </c>
      <c r="DH640" s="0" t="n">
        <v>0</v>
      </c>
      <c r="DI640" s="126" t="n">
        <v>260</v>
      </c>
      <c r="DK640" s="0" t="n">
        <v>0</v>
      </c>
      <c r="DM640" s="0" t="n">
        <v>1</v>
      </c>
      <c r="DN640" s="0" t="n">
        <v>40</v>
      </c>
      <c r="DO640" s="0" t="n">
        <v>3</v>
      </c>
      <c r="DP640" s="0" t="n">
        <v>0</v>
      </c>
      <c r="DQ640" s="0" t="n">
        <v>1</v>
      </c>
      <c r="DR640" s="0"/>
      <c r="DS640" s="0" t="n">
        <v>1</v>
      </c>
      <c r="DU640" s="0" t="n">
        <v>1</v>
      </c>
      <c r="DW640" s="1" t="n">
        <v>40397</v>
      </c>
      <c r="DX640" s="1" t="n">
        <v>40577</v>
      </c>
      <c r="DZ640" s="0"/>
      <c r="EA640" s="0" t="n">
        <v>1</v>
      </c>
      <c r="EC640" s="1" t="n">
        <v>40397</v>
      </c>
      <c r="ED640" s="1" t="n">
        <v>40577</v>
      </c>
      <c r="EF640" s="0"/>
      <c r="EG640" s="0" t="n">
        <v>0</v>
      </c>
      <c r="EI640" s="0" t="str">
        <f aca="false">IF(AND(DM640=1,DN640&lt;=48),"",IF(AND(DM640=2,DN640&lt;=42),"",IF(AND(DM640=3,DN640&lt;=45),"",EH640)))</f>
        <v/>
      </c>
      <c r="EJ640" s="0" t="str">
        <f aca="false">IF(EI640="","",IF(EI640&lt;9,EI640,9))</f>
        <v/>
      </c>
      <c r="EK640" s="0" t="str">
        <f aca="false">IF(EI640="","",IF(EI640&gt;9,EI640-EJ640,0))</f>
        <v/>
      </c>
      <c r="EL640" s="0" t="str">
        <f aca="false">IF(EI640="","",EJ640*DA640*2+EK640*DA640*3)</f>
        <v/>
      </c>
      <c r="EP640" s="0" t="n">
        <v>0</v>
      </c>
      <c r="EQ640" s="0"/>
      <c r="ER640" s="0" t="n">
        <v>0</v>
      </c>
      <c r="ET640" s="0" t="n">
        <v>0</v>
      </c>
      <c r="EV640" s="0" t="n">
        <v>0</v>
      </c>
      <c r="EX640" s="0" t="n">
        <v>1</v>
      </c>
      <c r="EY640" s="0" t="n">
        <v>0</v>
      </c>
      <c r="EZ640" s="0"/>
      <c r="FA640" s="4" t="n">
        <v>0</v>
      </c>
      <c r="FB640" s="0" t="n">
        <v>1</v>
      </c>
      <c r="FC640" s="1" t="n">
        <v>40711</v>
      </c>
      <c r="FD640" s="0" t="n">
        <v>1</v>
      </c>
      <c r="FE640" s="0" t="n">
        <v>6500</v>
      </c>
      <c r="FF640" s="120" t="n">
        <f aca="false">(CJ640-CI640+1)/365</f>
        <v>0.495890410958904</v>
      </c>
      <c r="FG640" s="0" t="str">
        <f aca="false">CONCATENATE(F640,"/",G640)</f>
        <v>306/2011</v>
      </c>
      <c r="FH640" s="0" t="n">
        <v>1</v>
      </c>
      <c r="FI640" s="0" t="n">
        <f aca="false">IFERROR(IF((FC640-J640+1)/365&gt;3,0,1),"")</f>
        <v>1</v>
      </c>
    </row>
    <row r="641" customFormat="false" ht="15" hidden="false" customHeight="false" outlineLevel="0" collapsed="false">
      <c r="A641" s="5" t="str">
        <f aca="false">E641&amp;G641&amp;F641</f>
        <v>72011309</v>
      </c>
      <c r="B641" s="0" t="s">
        <v>5573</v>
      </c>
      <c r="C641" s="1" t="n">
        <v>42364</v>
      </c>
      <c r="D641" s="0" t="s">
        <v>5910</v>
      </c>
      <c r="E641" s="0" t="n">
        <v>7</v>
      </c>
      <c r="F641" s="0" t="n">
        <v>309</v>
      </c>
      <c r="G641" s="0" t="n">
        <v>2011</v>
      </c>
      <c r="H641" s="0" t="str">
        <f aca="false">"J"&amp;E641&amp;"\"&amp;F641&amp;"\"&amp;G641&amp;"\"&amp;W641</f>
        <v>J7\309\2011\1</v>
      </c>
      <c r="I641" s="0"/>
      <c r="J641" s="1" t="n">
        <v>40591</v>
      </c>
      <c r="K641" s="0" t="n">
        <v>0</v>
      </c>
      <c r="M641" s="1"/>
      <c r="N641" s="1"/>
      <c r="O641" s="1"/>
      <c r="P641" s="1"/>
      <c r="Q641" s="1"/>
      <c r="T641" s="121"/>
      <c r="U641" s="121"/>
      <c r="V641" s="122" t="n">
        <f aca="false">IF(AND(E641&gt;0,F641&gt;0,G641&gt;0),COUNTIFS($E:$E,E641,$F:$F,F641,$G:$G,G641),"")</f>
        <v>1</v>
      </c>
      <c r="W641" s="122" t="n">
        <f aca="false">IF(V641="","",IF(V641=1,1,IF(AND(E640=E641,F640=F641,G640=G641),W640+1,1)))</f>
        <v>1</v>
      </c>
      <c r="X641" s="0" t="n">
        <v>1</v>
      </c>
      <c r="Y641" s="0" t="n">
        <v>3</v>
      </c>
      <c r="Z641" s="0" t="s">
        <v>5911</v>
      </c>
      <c r="AA641" s="0" t="n">
        <v>0</v>
      </c>
      <c r="AB641" s="0" t="s">
        <v>5710</v>
      </c>
      <c r="AC641" s="0" t="s">
        <v>228</v>
      </c>
      <c r="AD641" s="0" t="s">
        <v>1160</v>
      </c>
      <c r="AE641" s="0" t="n">
        <v>0</v>
      </c>
      <c r="AF641" s="0" t="s">
        <v>5912</v>
      </c>
      <c r="AG641" s="0" t="n">
        <v>0</v>
      </c>
      <c r="AH641" s="0" t="s">
        <v>5913</v>
      </c>
      <c r="AI641" s="0" t="s">
        <v>680</v>
      </c>
      <c r="AJ641" s="0" t="s">
        <v>2172</v>
      </c>
      <c r="AL641" s="0" t="s">
        <v>5914</v>
      </c>
      <c r="AM641" s="0" t="n">
        <v>1</v>
      </c>
      <c r="AN641" s="0" t="s">
        <v>5913</v>
      </c>
      <c r="AO641" s="0" t="s">
        <v>680</v>
      </c>
      <c r="AP641" s="0" t="s">
        <v>2172</v>
      </c>
      <c r="AR641" s="0" t="s">
        <v>2126</v>
      </c>
      <c r="AS641" s="0" t="n">
        <v>1</v>
      </c>
      <c r="AT641" s="0" t="s">
        <v>5913</v>
      </c>
      <c r="AU641" s="0" t="s">
        <v>680</v>
      </c>
      <c r="AV641" s="0" t="s">
        <v>2172</v>
      </c>
      <c r="BR641" s="0" t="n">
        <v>3</v>
      </c>
      <c r="BS641" s="0" t="s">
        <v>651</v>
      </c>
      <c r="BT641" s="0" t="s">
        <v>500</v>
      </c>
      <c r="BU641" s="0" t="s">
        <v>501</v>
      </c>
      <c r="BV641" s="123"/>
      <c r="BW641" s="123"/>
      <c r="BX641" s="123"/>
      <c r="BY641" s="123"/>
      <c r="CA641" s="0" t="s">
        <v>348</v>
      </c>
      <c r="CD641" s="0" t="s">
        <v>370</v>
      </c>
      <c r="CE641" s="0" t="n">
        <v>0</v>
      </c>
      <c r="CF641" s="0" t="s">
        <v>269</v>
      </c>
      <c r="CI641" s="1" t="n">
        <v>26589</v>
      </c>
      <c r="CJ641" s="1" t="n">
        <v>40468</v>
      </c>
      <c r="CK641" s="124" t="s">
        <v>1775</v>
      </c>
      <c r="CL641" s="0" t="s">
        <v>1775</v>
      </c>
      <c r="CM641" s="0" t="n">
        <f aca="false">IF(OR(CI641="",CJ641=""),"",DAYS360(CI641,CJ641)/360)</f>
        <v>38</v>
      </c>
      <c r="CN641" s="0" t="n">
        <f aca="false">IF(OR(CI641="",CJ641=""),"",DAYS360(CI641,CJ641)/30)</f>
        <v>456</v>
      </c>
      <c r="CO641" s="0" t="n">
        <f aca="false">IF(OR(CI641="",CJ641=""),"",DAYS360(CI641,CJ641)/7)</f>
        <v>1954.28571428571</v>
      </c>
      <c r="CP641" s="0" t="n">
        <f aca="false">IF(OR(CI641="",CJ641=""),"",DAYS360(CI641,CJ641))</f>
        <v>13680</v>
      </c>
      <c r="CQ641" s="0" t="s">
        <v>1493</v>
      </c>
      <c r="CR641" s="0" t="n">
        <v>5</v>
      </c>
      <c r="CS641" s="0" t="s">
        <v>5841</v>
      </c>
      <c r="CT641" s="0" t="n">
        <v>57.46</v>
      </c>
      <c r="CU641" s="0" t="n">
        <v>0</v>
      </c>
      <c r="CV641" s="0" t="n">
        <f aca="false">IF(OR(CT641="",CT641="NO ESPECIFICA",CT641="NO MENCIONA"),"",IF(CU641=0,CT641,IF(CU641=1,CT641/30,IF(CU641=2,CT641/15,IF(CU641=3,CT641/7,"")))))</f>
        <v>57.46</v>
      </c>
      <c r="CW641" s="125" t="n">
        <v>60.05</v>
      </c>
      <c r="CX641" s="0" t="n">
        <v>0</v>
      </c>
      <c r="CY641" s="0" t="n">
        <f aca="false">IF(CW641="","",IF(CX641=0,CW641,IF(CX641=1,CW641/30,IF(CX641=2,CW641/15,IF(CX641=3,CW641/7,CW641)))))</f>
        <v>60.05</v>
      </c>
      <c r="CZ641" s="0" t="n">
        <f aca="false">IF(DI641&gt;0,DI641,IF(CY641&gt;0,CY641,IF(CV641&gt;0,CV641,"")))</f>
        <v>60.05</v>
      </c>
      <c r="DA641" s="0" t="n">
        <f aca="false">IF(DM641=1,CZ641/8,IF(OR(DM641=2,DM641=4),CZ641/7,IF(DM641=3,CZ641/7.5,"")))</f>
        <v>8.57857142857143</v>
      </c>
      <c r="DB641" s="0" t="s">
        <v>303</v>
      </c>
      <c r="DC641" s="0" t="s">
        <v>301</v>
      </c>
      <c r="DD641" s="0" t="s">
        <v>216</v>
      </c>
      <c r="DE641" s="0" t="s">
        <v>216</v>
      </c>
      <c r="DF641" s="0" t="s">
        <v>216</v>
      </c>
      <c r="DG641" s="0" t="s">
        <v>216</v>
      </c>
      <c r="DH641" s="0" t="n">
        <v>0</v>
      </c>
      <c r="DI641" s="126" t="n">
        <v>60.05</v>
      </c>
      <c r="DK641" s="0" t="n">
        <v>0</v>
      </c>
      <c r="DM641" s="0" t="n">
        <v>2</v>
      </c>
      <c r="DN641" s="0" t="n">
        <v>77</v>
      </c>
      <c r="DO641" s="0" t="n">
        <v>3</v>
      </c>
      <c r="DP641" s="0" t="n">
        <v>0</v>
      </c>
      <c r="DQ641" s="0" t="n">
        <v>0</v>
      </c>
      <c r="DR641" s="0"/>
      <c r="DS641" s="0" t="n">
        <v>0</v>
      </c>
      <c r="DU641" s="0" t="n">
        <v>1</v>
      </c>
      <c r="DW641" s="1" t="n">
        <v>40103</v>
      </c>
      <c r="DX641" s="1" t="n">
        <v>40468</v>
      </c>
      <c r="DZ641" s="0"/>
      <c r="EA641" s="0" t="n">
        <v>1</v>
      </c>
      <c r="EC641" s="1" t="n">
        <v>39814</v>
      </c>
      <c r="ED641" s="1" t="n">
        <v>40468</v>
      </c>
      <c r="EF641" s="0"/>
      <c r="EG641" s="0" t="n">
        <v>0</v>
      </c>
      <c r="EI641" s="0" t="n">
        <f aca="false">IF(AND(DM641=1,DN641&lt;=48),"",IF(AND(DM641=2,DN641&lt;=42),"",IF(AND(DM641=3,DN641&lt;=45),"",EH641)))</f>
        <v>0</v>
      </c>
      <c r="EJ641" s="0" t="str">
        <f aca="false">IF(EI641="","",IF(EI641&lt;9,EI641,9))</f>
        <v/>
      </c>
      <c r="EK641" s="0" t="str">
        <f aca="false">IF(EI641="","",IF(EI641&gt;9,EI641-EJ641,0))</f>
        <v/>
      </c>
      <c r="EL641" s="0" t="str">
        <f aca="false">IF(EI641="","",EJ641*DA641*2+EK641*DA641*3)</f>
        <v/>
      </c>
      <c r="EP641" s="0" t="n">
        <v>0</v>
      </c>
      <c r="EQ641" s="0"/>
      <c r="ER641" s="0" t="n">
        <v>0</v>
      </c>
      <c r="ET641" s="0" t="n">
        <v>0</v>
      </c>
      <c r="EV641" s="0" t="n">
        <v>0</v>
      </c>
      <c r="EX641" s="0" t="n">
        <v>0</v>
      </c>
      <c r="EY641" s="0" t="n">
        <v>0</v>
      </c>
      <c r="EZ641" s="0"/>
      <c r="FA641" s="4" t="n">
        <v>0</v>
      </c>
      <c r="FB641" s="0" t="n">
        <v>0</v>
      </c>
      <c r="FC641" s="1" t="n">
        <v>40885</v>
      </c>
      <c r="FD641" s="0" t="n">
        <v>2</v>
      </c>
      <c r="FE641" s="0" t="n">
        <v>0</v>
      </c>
      <c r="FF641" s="120" t="n">
        <f aca="false">(CJ641-CI641+1)/365</f>
        <v>38.027397260274</v>
      </c>
      <c r="FG641" s="0" t="str">
        <f aca="false">CONCATENATE(F641,"/",G641)</f>
        <v>309/2011</v>
      </c>
      <c r="FH641" s="0" t="n">
        <v>1</v>
      </c>
      <c r="FI641" s="0" t="n">
        <f aca="false">IFERROR(IF((FC641-J641+1)/365&gt;3,0,1),"")</f>
        <v>1</v>
      </c>
    </row>
    <row r="642" customFormat="false" ht="15" hidden="false" customHeight="false" outlineLevel="0" collapsed="false">
      <c r="A642" s="5" t="str">
        <f aca="false">E642&amp;G642&amp;F642</f>
        <v>72011316</v>
      </c>
      <c r="B642" s="0" t="s">
        <v>5573</v>
      </c>
      <c r="C642" s="1" t="n">
        <v>42364</v>
      </c>
      <c r="E642" s="0" t="n">
        <v>7</v>
      </c>
      <c r="F642" s="0" t="n">
        <v>316</v>
      </c>
      <c r="G642" s="0" t="n">
        <v>2011</v>
      </c>
      <c r="H642" s="0" t="str">
        <f aca="false">"J"&amp;E642&amp;"\"&amp;F642&amp;"\"&amp;G642&amp;"\"&amp;W642</f>
        <v>J7\316\2011\1</v>
      </c>
      <c r="I642" s="0"/>
      <c r="J642" s="1" t="n">
        <v>40592</v>
      </c>
      <c r="K642" s="0" t="n">
        <v>0</v>
      </c>
      <c r="M642" s="1" t="n">
        <v>40592</v>
      </c>
      <c r="N642" s="1" t="n">
        <v>40669</v>
      </c>
      <c r="O642" s="1"/>
      <c r="P642" s="1"/>
      <c r="Q642" s="1"/>
      <c r="T642" s="121"/>
      <c r="U642" s="121"/>
      <c r="V642" s="122" t="n">
        <f aca="false">IF(AND(E642&gt;0,F642&gt;0,G642&gt;0),COUNTIFS($E:$E,E642,$F:$F,F642,$G:$G,G642),"")</f>
        <v>2</v>
      </c>
      <c r="W642" s="122" t="n">
        <f aca="false">IF(V642="","",IF(V642=1,1,IF(AND(E641=E642,F641=F642,G641=G642),W641+1,1)))</f>
        <v>1</v>
      </c>
      <c r="X642" s="0" t="n">
        <v>2</v>
      </c>
      <c r="Y642" s="0" t="n">
        <v>1</v>
      </c>
      <c r="Z642" s="0" t="s">
        <v>5915</v>
      </c>
      <c r="AA642" s="0" t="n">
        <v>0</v>
      </c>
      <c r="AB642" s="0" t="s">
        <v>5916</v>
      </c>
      <c r="AC642" s="0" t="s">
        <v>318</v>
      </c>
      <c r="AD642" s="0" t="s">
        <v>1160</v>
      </c>
      <c r="AE642" s="0" t="n">
        <v>0</v>
      </c>
      <c r="AF642" s="0" t="s">
        <v>5917</v>
      </c>
      <c r="AG642" s="0" t="n">
        <v>0</v>
      </c>
      <c r="AH642" s="0" t="s">
        <v>5918</v>
      </c>
      <c r="AI642" s="0" t="s">
        <v>1611</v>
      </c>
      <c r="AJ642" s="0" t="s">
        <v>1160</v>
      </c>
      <c r="BR642" s="0" t="n">
        <v>1</v>
      </c>
      <c r="BS642" s="0" t="s">
        <v>2311</v>
      </c>
      <c r="BT642" s="0" t="s">
        <v>2313</v>
      </c>
      <c r="BU642" s="0" t="s">
        <v>5919</v>
      </c>
      <c r="BV642" s="123"/>
      <c r="BW642" s="123"/>
      <c r="BX642" s="123"/>
      <c r="BY642" s="123"/>
      <c r="CA642" s="0" t="s">
        <v>216</v>
      </c>
      <c r="CD642" s="0" t="s">
        <v>296</v>
      </c>
      <c r="CE642" s="0" t="n">
        <v>0</v>
      </c>
      <c r="CF642" s="0" t="s">
        <v>611</v>
      </c>
      <c r="CI642" s="1" t="n">
        <v>40513</v>
      </c>
      <c r="CJ642" s="1" t="n">
        <v>40542</v>
      </c>
      <c r="CK642" s="124" t="n">
        <v>0.333333333333333</v>
      </c>
      <c r="CL642" s="0" t="s">
        <v>5920</v>
      </c>
      <c r="CM642" s="0" t="n">
        <f aca="false">IF(OR(CI642="",CJ642=""),"",DAYS360(CI642,CJ642)/360)</f>
        <v>0.0805555555555556</v>
      </c>
      <c r="CN642" s="0" t="n">
        <f aca="false">IF(OR(CI642="",CJ642=""),"",DAYS360(CI642,CJ642)/30)</f>
        <v>0.966666666666667</v>
      </c>
      <c r="CO642" s="0" t="n">
        <f aca="false">IF(OR(CI642="",CJ642=""),"",DAYS360(CI642,CJ642)/7)</f>
        <v>4.14285714285714</v>
      </c>
      <c r="CP642" s="0" t="n">
        <f aca="false">IF(OR(CI642="",CJ642=""),"",DAYS360(CI642,CJ642))</f>
        <v>29</v>
      </c>
      <c r="CQ642" s="0" t="s">
        <v>240</v>
      </c>
      <c r="CR642" s="0" t="n">
        <v>1</v>
      </c>
      <c r="CT642" s="0" t="s">
        <v>221</v>
      </c>
      <c r="CU642" s="0" t="s">
        <v>221</v>
      </c>
      <c r="CV642" s="0" t="str">
        <f aca="false">IF(OR(CT642="",CT642="NO ESPECIFICA",CT642="NO MENCIONA"),"",IF(CU642=0,CT642,IF(CU642=1,CT642/30,IF(CU642=2,CT642/15,IF(CU642=3,CT642/7,"")))))</f>
        <v/>
      </c>
      <c r="CW642" s="125" t="n">
        <v>1500</v>
      </c>
      <c r="CX642" s="0" t="n">
        <v>3</v>
      </c>
      <c r="CY642" s="0" t="n">
        <f aca="false">IF(CW642="","",IF(CX642=0,CW642,IF(CX642=1,CW642/30,IF(CX642=2,CW642/15,IF(CX642=3,CW642/7,CW642)))))</f>
        <v>214.285714285714</v>
      </c>
      <c r="CZ642" s="0" t="n">
        <f aca="false">IF(DI642&gt;0,DI642,IF(CY642&gt;0,CY642,IF(CV642&gt;0,CV642,"")))</f>
        <v>214.29</v>
      </c>
      <c r="DA642" s="0" t="n">
        <f aca="false">IF(DM642=1,CZ642/8,IF(OR(DM642=2,DM642=4),CZ642/7,IF(DM642=3,CZ642/7.5,"")))</f>
        <v>26.78625</v>
      </c>
      <c r="DB642" s="0" t="s">
        <v>216</v>
      </c>
      <c r="DC642" s="0" t="s">
        <v>216</v>
      </c>
      <c r="DD642" s="0" t="s">
        <v>216</v>
      </c>
      <c r="DE642" s="0" t="s">
        <v>216</v>
      </c>
      <c r="DF642" s="0" t="s">
        <v>216</v>
      </c>
      <c r="DG642" s="0" t="s">
        <v>216</v>
      </c>
      <c r="DH642" s="0" t="n">
        <v>0</v>
      </c>
      <c r="DI642" s="126" t="n">
        <v>214.29</v>
      </c>
      <c r="DK642" s="0" t="n">
        <v>1</v>
      </c>
      <c r="DM642" s="0" t="n">
        <v>1</v>
      </c>
      <c r="DN642" s="0" t="n">
        <v>50</v>
      </c>
      <c r="DO642" s="0" t="n">
        <v>3</v>
      </c>
      <c r="DP642" s="0" t="n">
        <v>0</v>
      </c>
      <c r="DQ642" s="0" t="n">
        <v>1</v>
      </c>
      <c r="DR642" s="0"/>
      <c r="DS642" s="0" t="n">
        <v>1</v>
      </c>
      <c r="DU642" s="0" t="n">
        <v>1</v>
      </c>
      <c r="DW642" s="1" t="n">
        <v>40513</v>
      </c>
      <c r="DX642" s="1" t="n">
        <v>40542</v>
      </c>
      <c r="DZ642" s="0"/>
      <c r="EA642" s="0" t="n">
        <v>1</v>
      </c>
      <c r="EC642" s="1" t="n">
        <v>40513</v>
      </c>
      <c r="ED642" s="1" t="n">
        <v>40542</v>
      </c>
      <c r="EF642" s="0"/>
      <c r="EG642" s="0" t="n">
        <v>0</v>
      </c>
      <c r="EI642" s="0" t="n">
        <f aca="false">IF(AND(DM642=1,DN642&lt;=48),"",IF(AND(DM642=2,DN642&lt;=42),"",IF(AND(DM642=3,DN642&lt;=45),"",EH642)))</f>
        <v>0</v>
      </c>
      <c r="EJ642" s="0" t="str">
        <f aca="false">IF(EI642="","",IF(EI642&lt;9,EI642,9))</f>
        <v/>
      </c>
      <c r="EK642" s="0" t="str">
        <f aca="false">IF(EI642="","",IF(EI642&gt;9,EI642-EJ642,0))</f>
        <v/>
      </c>
      <c r="EL642" s="0" t="str">
        <f aca="false">IF(EI642="","",EJ642*DA642*2+EK642*DA642*3)</f>
        <v/>
      </c>
      <c r="EP642" s="0" t="n">
        <v>0</v>
      </c>
      <c r="EQ642" s="0"/>
      <c r="ER642" s="0" t="n">
        <v>0</v>
      </c>
      <c r="ET642" s="0" t="n">
        <v>0</v>
      </c>
      <c r="EV642" s="0" t="n">
        <v>0</v>
      </c>
      <c r="EX642" s="0" t="n">
        <v>1</v>
      </c>
      <c r="EY642" s="0" t="n">
        <v>0</v>
      </c>
      <c r="EZ642" s="0"/>
      <c r="FA642" s="4" t="n">
        <v>6214.28571428571</v>
      </c>
      <c r="FB642" s="0" t="n">
        <v>1</v>
      </c>
      <c r="FC642" s="1"/>
      <c r="FF642" s="120" t="n">
        <f aca="false">(CJ642-CI642+1)/365</f>
        <v>0.0821917808219178</v>
      </c>
      <c r="FG642" s="0" t="str">
        <f aca="false">CONCATENATE(F642,"/",G642)</f>
        <v>316/2011</v>
      </c>
      <c r="FH642" s="0" t="n">
        <v>1</v>
      </c>
      <c r="FI642" s="0" t="n">
        <f aca="false">IFERROR(IF((FC642-J642+1)/365&gt;3,0,1),"")</f>
        <v>1</v>
      </c>
    </row>
    <row r="643" customFormat="false" ht="15" hidden="false" customHeight="false" outlineLevel="0" collapsed="false">
      <c r="A643" s="5" t="str">
        <f aca="false">E643&amp;G643&amp;F643</f>
        <v>72011316</v>
      </c>
      <c r="B643" s="0" t="s">
        <v>5573</v>
      </c>
      <c r="C643" s="1" t="n">
        <v>42364</v>
      </c>
      <c r="E643" s="0" t="n">
        <v>7</v>
      </c>
      <c r="F643" s="0" t="n">
        <v>316</v>
      </c>
      <c r="G643" s="0" t="n">
        <v>2011</v>
      </c>
      <c r="H643" s="0" t="str">
        <f aca="false">"J"&amp;E643&amp;"\"&amp;F643&amp;"\"&amp;G643&amp;"\"&amp;W643</f>
        <v>J7\316\2011\2</v>
      </c>
      <c r="I643" s="0"/>
      <c r="J643" s="1" t="n">
        <v>40592</v>
      </c>
      <c r="K643" s="0" t="n">
        <v>0</v>
      </c>
      <c r="M643" s="1" t="n">
        <v>40592</v>
      </c>
      <c r="N643" s="1" t="n">
        <v>40669</v>
      </c>
      <c r="O643" s="1"/>
      <c r="P643" s="1"/>
      <c r="Q643" s="1"/>
      <c r="T643" s="121"/>
      <c r="U643" s="121"/>
      <c r="V643" s="122" t="n">
        <f aca="false">IF(AND(E643&gt;0,F643&gt;0,G643&gt;0),COUNTIFS($E:$E,E643,$F:$F,F643,$G:$G,G643),"")</f>
        <v>2</v>
      </c>
      <c r="W643" s="122" t="n">
        <f aca="false">IF(V643="","",IF(V643=1,1,IF(AND(E642=E643,F642=F643,G642=G643),W642+1,1)))</f>
        <v>2</v>
      </c>
      <c r="X643" s="0" t="n">
        <v>2</v>
      </c>
      <c r="Y643" s="0" t="n">
        <v>1</v>
      </c>
      <c r="Z643" s="0" t="s">
        <v>5921</v>
      </c>
      <c r="AA643" s="0" t="n">
        <v>0</v>
      </c>
      <c r="AB643" s="0" t="s">
        <v>5916</v>
      </c>
      <c r="AC643" s="0" t="s">
        <v>318</v>
      </c>
      <c r="AD643" s="0" t="s">
        <v>1160</v>
      </c>
      <c r="AE643" s="0" t="n">
        <v>0</v>
      </c>
      <c r="AF643" s="0" t="s">
        <v>5917</v>
      </c>
      <c r="AG643" s="0" t="n">
        <v>0</v>
      </c>
      <c r="AH643" s="0" t="s">
        <v>5918</v>
      </c>
      <c r="AI643" s="0" t="s">
        <v>1611</v>
      </c>
      <c r="AJ643" s="0" t="s">
        <v>1160</v>
      </c>
      <c r="BR643" s="0" t="n">
        <v>1</v>
      </c>
      <c r="BS643" s="0" t="s">
        <v>2311</v>
      </c>
      <c r="BT643" s="0" t="s">
        <v>2313</v>
      </c>
      <c r="BU643" s="0" t="s">
        <v>5919</v>
      </c>
      <c r="BV643" s="123"/>
      <c r="BW643" s="123"/>
      <c r="BX643" s="123"/>
      <c r="BY643" s="123"/>
      <c r="CA643" s="0" t="s">
        <v>216</v>
      </c>
      <c r="CD643" s="0" t="s">
        <v>296</v>
      </c>
      <c r="CE643" s="0" t="n">
        <v>0</v>
      </c>
      <c r="CF643" s="0" t="s">
        <v>611</v>
      </c>
      <c r="CI643" s="1" t="n">
        <v>40513</v>
      </c>
      <c r="CJ643" s="1" t="n">
        <v>40542</v>
      </c>
      <c r="CK643" s="124" t="n">
        <v>0.333333333333333</v>
      </c>
      <c r="CL643" s="0" t="s">
        <v>5920</v>
      </c>
      <c r="CM643" s="0" t="n">
        <f aca="false">IF(OR(CI643="",CJ643=""),"",DAYS360(CI643,CJ643)/360)</f>
        <v>0.0805555555555556</v>
      </c>
      <c r="CN643" s="0" t="n">
        <f aca="false">IF(OR(CI643="",CJ643=""),"",DAYS360(CI643,CJ643)/30)</f>
        <v>0.966666666666667</v>
      </c>
      <c r="CO643" s="0" t="n">
        <f aca="false">IF(OR(CI643="",CJ643=""),"",DAYS360(CI643,CJ643)/7)</f>
        <v>4.14285714285714</v>
      </c>
      <c r="CP643" s="0" t="n">
        <f aca="false">IF(OR(CI643="",CJ643=""),"",DAYS360(CI643,CJ643))</f>
        <v>29</v>
      </c>
      <c r="CQ643" s="0" t="s">
        <v>240</v>
      </c>
      <c r="CR643" s="0" t="n">
        <v>1</v>
      </c>
      <c r="CT643" s="0" t="s">
        <v>221</v>
      </c>
      <c r="CU643" s="0" t="s">
        <v>221</v>
      </c>
      <c r="CV643" s="0" t="str">
        <f aca="false">IF(OR(CT643="",CT643="NO ESPECIFICA",CT643="NO MENCIONA"),"",IF(CU643=0,CT643,IF(CU643=1,CT643/30,IF(CU643=2,CT643/15,IF(CU643=3,CT643/7,"")))))</f>
        <v/>
      </c>
      <c r="CW643" s="125" t="n">
        <v>1500</v>
      </c>
      <c r="CX643" s="0" t="n">
        <v>3</v>
      </c>
      <c r="CY643" s="0" t="n">
        <f aca="false">IF(CW643="","",IF(CX643=0,CW643,IF(CX643=1,CW643/30,IF(CX643=2,CW643/15,IF(CX643=3,CW643/7,CW643)))))</f>
        <v>214.285714285714</v>
      </c>
      <c r="CZ643" s="0" t="n">
        <f aca="false">IF(DI643&gt;0,DI643,IF(CY643&gt;0,CY643,IF(CV643&gt;0,CV643,"")))</f>
        <v>214.29</v>
      </c>
      <c r="DA643" s="0" t="n">
        <f aca="false">IF(DM643=1,CZ643/8,IF(OR(DM643=2,DM643=4),CZ643/7,IF(DM643=3,CZ643/7.5,"")))</f>
        <v>26.78625</v>
      </c>
      <c r="DB643" s="0" t="s">
        <v>216</v>
      </c>
      <c r="DC643" s="0" t="s">
        <v>216</v>
      </c>
      <c r="DD643" s="0" t="s">
        <v>216</v>
      </c>
      <c r="DE643" s="0" t="s">
        <v>216</v>
      </c>
      <c r="DF643" s="0" t="s">
        <v>216</v>
      </c>
      <c r="DG643" s="0" t="s">
        <v>216</v>
      </c>
      <c r="DH643" s="0" t="n">
        <v>0</v>
      </c>
      <c r="DI643" s="126" t="n">
        <v>214.29</v>
      </c>
      <c r="DK643" s="0" t="n">
        <v>1</v>
      </c>
      <c r="DM643" s="0" t="n">
        <v>1</v>
      </c>
      <c r="DN643" s="0" t="n">
        <v>50</v>
      </c>
      <c r="DO643" s="0" t="n">
        <v>3</v>
      </c>
      <c r="DP643" s="0" t="n">
        <v>0</v>
      </c>
      <c r="DQ643" s="0" t="n">
        <v>1</v>
      </c>
      <c r="DR643" s="0"/>
      <c r="DS643" s="0" t="n">
        <v>1</v>
      </c>
      <c r="DU643" s="0" t="n">
        <v>1</v>
      </c>
      <c r="DW643" s="1" t="n">
        <v>40513</v>
      </c>
      <c r="DX643" s="1" t="n">
        <v>40542</v>
      </c>
      <c r="DZ643" s="0"/>
      <c r="EA643" s="0" t="n">
        <v>1</v>
      </c>
      <c r="EC643" s="1" t="n">
        <v>40513</v>
      </c>
      <c r="ED643" s="1" t="n">
        <v>40542</v>
      </c>
      <c r="EF643" s="0"/>
      <c r="EG643" s="0" t="n">
        <v>0</v>
      </c>
      <c r="EI643" s="0" t="n">
        <f aca="false">IF(AND(DM643=1,DN643&lt;=48),"",IF(AND(DM643=2,DN643&lt;=42),"",IF(AND(DM643=3,DN643&lt;=45),"",EH643)))</f>
        <v>0</v>
      </c>
      <c r="EJ643" s="0" t="str">
        <f aca="false">IF(EI643="","",IF(EI643&lt;9,EI643,9))</f>
        <v/>
      </c>
      <c r="EK643" s="0" t="str">
        <f aca="false">IF(EI643="","",IF(EI643&gt;9,EI643-EJ643,0))</f>
        <v/>
      </c>
      <c r="EL643" s="0" t="str">
        <f aca="false">IF(EI643="","",EJ643*DA643*2+EK643*DA643*3)</f>
        <v/>
      </c>
      <c r="EP643" s="0" t="n">
        <v>0</v>
      </c>
      <c r="EQ643" s="0"/>
      <c r="ER643" s="0" t="n">
        <v>0</v>
      </c>
      <c r="ET643" s="0" t="n">
        <v>0</v>
      </c>
      <c r="EV643" s="0" t="n">
        <v>0</v>
      </c>
      <c r="EX643" s="0" t="n">
        <v>1</v>
      </c>
      <c r="EY643" s="0" t="n">
        <v>0</v>
      </c>
      <c r="EZ643" s="0"/>
      <c r="FA643" s="4" t="n">
        <v>6214.28571428571</v>
      </c>
      <c r="FB643" s="0" t="n">
        <v>1</v>
      </c>
      <c r="FC643" s="1"/>
      <c r="FF643" s="120" t="n">
        <f aca="false">(CJ643-CI643+1)/365</f>
        <v>0.0821917808219178</v>
      </c>
      <c r="FG643" s="0" t="str">
        <f aca="false">CONCATENATE(F643,"/",G643)</f>
        <v>316/2011</v>
      </c>
      <c r="FH643" s="0" t="n">
        <v>1</v>
      </c>
      <c r="FI643" s="0" t="n">
        <f aca="false">IFERROR(IF((FC643-J643+1)/365&gt;3,0,1),"")</f>
        <v>1</v>
      </c>
    </row>
    <row r="644" customFormat="false" ht="15" hidden="false" customHeight="false" outlineLevel="0" collapsed="false">
      <c r="A644" s="5" t="str">
        <f aca="false">E644&amp;G644&amp;F644</f>
        <v>72011323</v>
      </c>
      <c r="B644" s="0" t="s">
        <v>5573</v>
      </c>
      <c r="C644" s="1" t="n">
        <v>42364</v>
      </c>
      <c r="D644" s="0" t="s">
        <v>5615</v>
      </c>
      <c r="E644" s="0" t="n">
        <v>7</v>
      </c>
      <c r="F644" s="0" t="n">
        <v>323</v>
      </c>
      <c r="G644" s="0" t="n">
        <v>2011</v>
      </c>
      <c r="H644" s="0" t="str">
        <f aca="false">"J"&amp;E644&amp;"\"&amp;F644&amp;"\"&amp;G644&amp;"\"&amp;W644</f>
        <v>J7\323\2011\1</v>
      </c>
      <c r="I644" s="0"/>
      <c r="J644" s="1" t="n">
        <v>40593</v>
      </c>
      <c r="K644" s="0" t="n">
        <v>0</v>
      </c>
      <c r="M644" s="1"/>
      <c r="N644" s="1"/>
      <c r="O644" s="1"/>
      <c r="P644" s="1"/>
      <c r="Q644" s="1"/>
      <c r="T644" s="121"/>
      <c r="U644" s="121"/>
      <c r="V644" s="122" t="n">
        <f aca="false">IF(AND(E644&gt;0,F644&gt;0,G644&gt;0),COUNTIFS($E:$E,E644,$F:$F,F644,$G:$G,G644),"")</f>
        <v>1</v>
      </c>
      <c r="W644" s="122" t="n">
        <f aca="false">IF(V644="","",IF(V644=1,1,IF(AND(E643=E644,F643=F644,G643=G644),W643+1,1)))</f>
        <v>1</v>
      </c>
      <c r="X644" s="0" t="n">
        <v>1</v>
      </c>
      <c r="Y644" s="0" t="n">
        <v>8</v>
      </c>
      <c r="Z644" s="0" t="s">
        <v>5922</v>
      </c>
      <c r="AA644" s="0" t="n">
        <v>0</v>
      </c>
      <c r="AB644" s="0" t="s">
        <v>5923</v>
      </c>
      <c r="AC644" s="0" t="s">
        <v>318</v>
      </c>
      <c r="AD644" s="0" t="s">
        <v>1160</v>
      </c>
      <c r="AE644" s="0" t="n">
        <v>0</v>
      </c>
      <c r="AF644" s="0" t="s">
        <v>5924</v>
      </c>
      <c r="AG644" s="0" t="n">
        <v>0</v>
      </c>
      <c r="AH644" s="0" t="s">
        <v>5925</v>
      </c>
      <c r="AI644" s="0" t="s">
        <v>206</v>
      </c>
      <c r="AJ644" s="0" t="s">
        <v>2218</v>
      </c>
      <c r="AL644" s="0" t="s">
        <v>5926</v>
      </c>
      <c r="AM644" s="0" t="n">
        <v>0</v>
      </c>
      <c r="AN644" s="0" t="s">
        <v>5925</v>
      </c>
      <c r="AO644" s="0" t="s">
        <v>206</v>
      </c>
      <c r="AP644" s="0" t="s">
        <v>2218</v>
      </c>
      <c r="AR644" s="0" t="s">
        <v>5927</v>
      </c>
      <c r="AS644" s="0" t="n">
        <v>1</v>
      </c>
      <c r="AT644" s="0" t="s">
        <v>5925</v>
      </c>
      <c r="AU644" s="0" t="s">
        <v>206</v>
      </c>
      <c r="AV644" s="0" t="s">
        <v>2218</v>
      </c>
      <c r="AX644" s="0" t="s">
        <v>5928</v>
      </c>
      <c r="AY644" s="0" t="n">
        <v>1</v>
      </c>
      <c r="AZ644" s="0" t="s">
        <v>5925</v>
      </c>
      <c r="BA644" s="0" t="s">
        <v>206</v>
      </c>
      <c r="BB644" s="0" t="s">
        <v>2218</v>
      </c>
      <c r="BD644" s="0" t="s">
        <v>5929</v>
      </c>
      <c r="BE644" s="0" t="n">
        <v>1</v>
      </c>
      <c r="BF644" s="0" t="s">
        <v>5925</v>
      </c>
      <c r="BG644" s="0" t="s">
        <v>206</v>
      </c>
      <c r="BH644" s="0" t="s">
        <v>2218</v>
      </c>
      <c r="BJ644" s="0" t="s">
        <v>5930</v>
      </c>
      <c r="BK644" s="0" t="n">
        <v>1</v>
      </c>
      <c r="BL644" s="0" t="s">
        <v>5925</v>
      </c>
      <c r="BM644" s="0" t="s">
        <v>206</v>
      </c>
      <c r="BN644" s="0" t="s">
        <v>2218</v>
      </c>
      <c r="BR644" s="0" t="n">
        <v>1</v>
      </c>
      <c r="BS644" s="0" t="s">
        <v>5931</v>
      </c>
      <c r="BT644" s="0" t="s">
        <v>5932</v>
      </c>
      <c r="BU644" s="0" t="s">
        <v>5933</v>
      </c>
      <c r="BV644" s="123"/>
      <c r="BW644" s="123"/>
      <c r="BX644" s="123"/>
      <c r="BY644" s="123"/>
      <c r="CA644" s="0" t="s">
        <v>216</v>
      </c>
      <c r="CD644" s="0" t="s">
        <v>296</v>
      </c>
      <c r="CE644" s="0" t="n">
        <v>0</v>
      </c>
      <c r="CF644" s="0" t="s">
        <v>5934</v>
      </c>
      <c r="CI644" s="1" t="n">
        <v>40010</v>
      </c>
      <c r="CJ644" s="1" t="n">
        <v>40532</v>
      </c>
      <c r="CK644" s="124" t="n">
        <v>0.583333333333333</v>
      </c>
      <c r="CL644" s="0" t="s">
        <v>5930</v>
      </c>
      <c r="CM644" s="0" t="n">
        <f aca="false">IF(OR(CI644="",CJ644=""),"",DAYS360(CI644,CJ644)/360)</f>
        <v>1.42777777777778</v>
      </c>
      <c r="CN644" s="0" t="n">
        <f aca="false">IF(OR(CI644="",CJ644=""),"",DAYS360(CI644,CJ644)/30)</f>
        <v>17.1333333333333</v>
      </c>
      <c r="CO644" s="0" t="n">
        <f aca="false">IF(OR(CI644="",CJ644=""),"",DAYS360(CI644,CJ644)/7)</f>
        <v>73.4285714285714</v>
      </c>
      <c r="CP644" s="0" t="n">
        <f aca="false">IF(OR(CI644="",CJ644=""),"",DAYS360(CI644,CJ644))</f>
        <v>514</v>
      </c>
      <c r="CQ644" s="0" t="s">
        <v>220</v>
      </c>
      <c r="CR644" s="0" t="n">
        <v>1</v>
      </c>
      <c r="CT644" s="0" t="s">
        <v>221</v>
      </c>
      <c r="CU644" s="0" t="s">
        <v>221</v>
      </c>
      <c r="CV644" s="0" t="str">
        <f aca="false">IF(OR(CT644="",CT644="NO ESPECIFICA",CT644="NO MENCIONA"),"",IF(CU644=0,CT644,IF(CU644=1,CT644/30,IF(CU644=2,CT644/15,IF(CU644=3,CT644/7,"")))))</f>
        <v/>
      </c>
      <c r="CW644" s="125" t="n">
        <v>3250</v>
      </c>
      <c r="CX644" s="0" t="n">
        <v>2</v>
      </c>
      <c r="CY644" s="0" t="n">
        <f aca="false">IF(CW644="","",IF(CX644=0,CW644,IF(CX644=1,CW644/30,IF(CX644=2,CW644/15,IF(CX644=3,CW644/7,CW644)))))</f>
        <v>216.666666666667</v>
      </c>
      <c r="CZ644" s="0" t="n">
        <f aca="false">IF(DI644&gt;0,DI644,IF(CY644&gt;0,CY644,IF(CV644&gt;0,CV644,"")))</f>
        <v>216.67</v>
      </c>
      <c r="DA644" s="0" t="n">
        <f aca="false">IF(DM644=1,CZ644/8,IF(OR(DM644=2,DM644=4),CZ644/7,IF(DM644=3,CZ644/7.5,"")))</f>
        <v>27.08375</v>
      </c>
      <c r="DB644" s="0" t="s">
        <v>216</v>
      </c>
      <c r="DC644" s="0" t="s">
        <v>216</v>
      </c>
      <c r="DD644" s="0" t="s">
        <v>216</v>
      </c>
      <c r="DE644" s="0" t="s">
        <v>216</v>
      </c>
      <c r="DF644" s="0" t="s">
        <v>216</v>
      </c>
      <c r="DG644" s="0" t="s">
        <v>216</v>
      </c>
      <c r="DH644" s="0" t="n">
        <v>0</v>
      </c>
      <c r="DI644" s="126" t="n">
        <v>216.67</v>
      </c>
      <c r="DK644" s="0" t="n">
        <v>0</v>
      </c>
      <c r="DM644" s="0" t="n">
        <v>1</v>
      </c>
      <c r="DN644" s="0" t="n">
        <v>50</v>
      </c>
      <c r="DO644" s="0" t="n">
        <v>3</v>
      </c>
      <c r="DP644" s="0" t="n">
        <v>1</v>
      </c>
      <c r="DQ644" s="0" t="n">
        <v>0</v>
      </c>
      <c r="DR644" s="0"/>
      <c r="DS644" s="0" t="n">
        <v>1</v>
      </c>
      <c r="DU644" s="0" t="n">
        <v>1</v>
      </c>
      <c r="DW644" s="1" t="n">
        <v>40010</v>
      </c>
      <c r="DX644" s="1" t="n">
        <v>40532</v>
      </c>
      <c r="DZ644" s="0"/>
      <c r="EA644" s="0" t="n">
        <v>1</v>
      </c>
      <c r="EC644" s="1" t="s">
        <v>216</v>
      </c>
      <c r="ED644" s="1" t="s">
        <v>216</v>
      </c>
      <c r="EF644" s="0"/>
      <c r="EG644" s="0" t="n">
        <v>0</v>
      </c>
      <c r="EI644" s="0" t="n">
        <f aca="false">IF(AND(DM644=1,DN644&lt;=48),"",IF(AND(DM644=2,DN644&lt;=42),"",IF(AND(DM644=3,DN644&lt;=45),"",EH644)))</f>
        <v>0</v>
      </c>
      <c r="EJ644" s="0" t="str">
        <f aca="false">IF(EI644="","",IF(EI644&lt;9,EI644,9))</f>
        <v/>
      </c>
      <c r="EK644" s="0" t="str">
        <f aca="false">IF(EI644="","",IF(EI644&gt;9,EI644-EJ644,0))</f>
        <v/>
      </c>
      <c r="EL644" s="0" t="str">
        <f aca="false">IF(EI644="","",EJ644*DA644*2+EK644*DA644*3)</f>
        <v/>
      </c>
      <c r="EP644" s="0" t="n">
        <v>0</v>
      </c>
      <c r="EQ644" s="0"/>
      <c r="ER644" s="0" t="n">
        <v>0</v>
      </c>
      <c r="ET644" s="0" t="n">
        <v>0</v>
      </c>
      <c r="EV644" s="0" t="n">
        <v>0</v>
      </c>
      <c r="EX644" s="0" t="n">
        <v>1</v>
      </c>
      <c r="EY644" s="0" t="n">
        <v>1</v>
      </c>
      <c r="EZ644" s="4" t="n">
        <v>6500</v>
      </c>
      <c r="FA644" s="4" t="n">
        <v>866.64</v>
      </c>
      <c r="FB644" s="0" t="n">
        <v>1</v>
      </c>
      <c r="FC644" s="1" t="n">
        <v>41291</v>
      </c>
      <c r="FD644" s="0" t="n">
        <v>1</v>
      </c>
      <c r="FE644" s="0" t="n">
        <v>10000</v>
      </c>
      <c r="FF644" s="120" t="n">
        <f aca="false">(CJ644-CI644+1)/365</f>
        <v>1.43287671232877</v>
      </c>
      <c r="FG644" s="0" t="str">
        <f aca="false">CONCATENATE(F644,"/",G644)</f>
        <v>323/2011</v>
      </c>
      <c r="FH644" s="0" t="n">
        <v>1</v>
      </c>
      <c r="FI644" s="0" t="n">
        <f aca="false">IFERROR(IF((FC644-J644+1)/365&gt;3,0,1),"")</f>
        <v>1</v>
      </c>
    </row>
    <row r="645" customFormat="false" ht="15" hidden="false" customHeight="false" outlineLevel="0" collapsed="false">
      <c r="A645" s="5" t="str">
        <f aca="false">E645&amp;G645&amp;F645</f>
        <v>72011328</v>
      </c>
      <c r="B645" s="0" t="s">
        <v>5573</v>
      </c>
      <c r="C645" s="1" t="n">
        <v>42364</v>
      </c>
      <c r="D645" s="0" t="s">
        <v>5615</v>
      </c>
      <c r="E645" s="0" t="n">
        <v>7</v>
      </c>
      <c r="F645" s="0" t="n">
        <v>328</v>
      </c>
      <c r="G645" s="0" t="n">
        <v>2011</v>
      </c>
      <c r="H645" s="0" t="str">
        <f aca="false">"J"&amp;E645&amp;"\"&amp;F645&amp;"\"&amp;G645&amp;"\"&amp;W645</f>
        <v>J7\328\2011\1</v>
      </c>
      <c r="I645" s="0"/>
      <c r="J645" s="1" t="n">
        <v>40595</v>
      </c>
      <c r="K645" s="0" t="n">
        <v>0</v>
      </c>
      <c r="M645" s="1"/>
      <c r="N645" s="1"/>
      <c r="O645" s="1"/>
      <c r="P645" s="1"/>
      <c r="Q645" s="1"/>
      <c r="T645" s="121"/>
      <c r="U645" s="121"/>
      <c r="V645" s="122" t="n">
        <f aca="false">IF(AND(E645&gt;0,F645&gt;0,G645&gt;0),COUNTIFS($E:$E,E645,$F:$F,F645,$G:$G,G645),"")</f>
        <v>1</v>
      </c>
      <c r="W645" s="122" t="n">
        <f aca="false">IF(V645="","",IF(V645=1,1,IF(AND(E644=E645,F644=F645,G644=G645),W644+1,1)))</f>
        <v>1</v>
      </c>
      <c r="X645" s="0" t="n">
        <v>1</v>
      </c>
      <c r="Y645" s="0" t="n">
        <v>4</v>
      </c>
      <c r="Z645" s="0" t="s">
        <v>5935</v>
      </c>
      <c r="AA645" s="0" t="n">
        <v>0</v>
      </c>
      <c r="AB645" s="0" t="s">
        <v>5936</v>
      </c>
      <c r="AC645" s="0" t="s">
        <v>274</v>
      </c>
      <c r="AD645" s="0" t="s">
        <v>221</v>
      </c>
      <c r="AE645" s="0" t="n">
        <v>0</v>
      </c>
      <c r="AF645" s="0" t="s">
        <v>5937</v>
      </c>
      <c r="AG645" s="0" t="n">
        <v>0</v>
      </c>
      <c r="AH645" s="0" t="s">
        <v>5938</v>
      </c>
      <c r="AI645" s="0" t="s">
        <v>5939</v>
      </c>
      <c r="AJ645" s="0" t="s">
        <v>5608</v>
      </c>
      <c r="AL645" s="0" t="s">
        <v>5940</v>
      </c>
      <c r="AM645" s="0" t="n">
        <v>1</v>
      </c>
      <c r="AN645" s="0" t="s">
        <v>5938</v>
      </c>
      <c r="AO645" s="0" t="s">
        <v>5939</v>
      </c>
      <c r="AP645" s="0" t="s">
        <v>5608</v>
      </c>
      <c r="AR645" s="0" t="s">
        <v>5941</v>
      </c>
      <c r="AS645" s="0" t="n">
        <v>1</v>
      </c>
      <c r="AT645" s="0" t="s">
        <v>5938</v>
      </c>
      <c r="AU645" s="0" t="s">
        <v>5939</v>
      </c>
      <c r="AV645" s="0" t="s">
        <v>5608</v>
      </c>
      <c r="AX645" s="0" t="s">
        <v>2126</v>
      </c>
      <c r="AY645" s="0" t="n">
        <v>1</v>
      </c>
      <c r="AZ645" s="0" t="s">
        <v>5938</v>
      </c>
      <c r="BA645" s="0" t="s">
        <v>5939</v>
      </c>
      <c r="BB645" s="0" t="s">
        <v>5608</v>
      </c>
      <c r="BR645" s="0" t="n">
        <v>1</v>
      </c>
      <c r="BS645" s="0" t="s">
        <v>2256</v>
      </c>
      <c r="BT645" s="0" t="s">
        <v>2257</v>
      </c>
      <c r="BU645" s="0" t="s">
        <v>2258</v>
      </c>
      <c r="BV645" s="123"/>
      <c r="BW645" s="123"/>
      <c r="BX645" s="123"/>
      <c r="BY645" s="123"/>
      <c r="CA645" s="0" t="s">
        <v>2259</v>
      </c>
      <c r="CD645" s="0" t="s">
        <v>370</v>
      </c>
      <c r="CE645" s="0" t="n">
        <v>0</v>
      </c>
      <c r="CF645" s="0" t="s">
        <v>5942</v>
      </c>
      <c r="CI645" s="1" t="n">
        <v>40193</v>
      </c>
      <c r="CJ645" s="1" t="n">
        <v>40563</v>
      </c>
      <c r="CK645" s="124" t="n">
        <v>0.375</v>
      </c>
      <c r="CL645" s="0" t="s">
        <v>5943</v>
      </c>
      <c r="CM645" s="0" t="n">
        <f aca="false">IF(OR(CI645="",CJ645=""),"",DAYS360(CI645,CJ645)/360)</f>
        <v>1.01388888888889</v>
      </c>
      <c r="CN645" s="0" t="n">
        <f aca="false">IF(OR(CI645="",CJ645=""),"",DAYS360(CI645,CJ645)/30)</f>
        <v>12.1666666666667</v>
      </c>
      <c r="CO645" s="0" t="n">
        <f aca="false">IF(OR(CI645="",CJ645=""),"",DAYS360(CI645,CJ645)/7)</f>
        <v>52.1428571428571</v>
      </c>
      <c r="CP645" s="0" t="n">
        <f aca="false">IF(OR(CI645="",CJ645=""),"",DAYS360(CI645,CJ645))</f>
        <v>365</v>
      </c>
      <c r="CQ645" s="0" t="s">
        <v>240</v>
      </c>
      <c r="CR645" s="0" t="n">
        <v>1</v>
      </c>
      <c r="CT645" s="0" t="n">
        <v>4000</v>
      </c>
      <c r="CU645" s="0" t="n">
        <v>1</v>
      </c>
      <c r="CV645" s="0" t="n">
        <f aca="false">IF(OR(CT645="",CT645="NO ESPECIFICA",CT645="NO MENCIONA"),"",IF(CU645=0,CT645,IF(CU645=1,CT645/30,IF(CU645=2,CT645/15,IF(CU645=3,CT645/7,"")))))</f>
        <v>133.333333333333</v>
      </c>
      <c r="CW645" s="125" t="s">
        <v>216</v>
      </c>
      <c r="CX645" s="0" t="s">
        <v>216</v>
      </c>
      <c r="CY645" s="0" t="str">
        <f aca="false">IF(CW645="","",IF(CX645=0,CW645,IF(CX645=1,CW645/30,IF(CX645=2,CW645/15,IF(CX645=3,CW645/7,CW645)))))</f>
        <v>NO MENCIONA</v>
      </c>
      <c r="CZ645" s="0" t="n">
        <f aca="false">IF(DI645&gt;0,DI645,IF(CY645&gt;0,CY645,IF(CV645&gt;0,CV645,"")))</f>
        <v>133.34</v>
      </c>
      <c r="DA645" s="0" t="n">
        <f aca="false">IF(DM645=1,CZ645/8,IF(OR(DM645=2,DM645=4),CZ645/7,IF(DM645=3,CZ645/7.5,"")))</f>
        <v>16.6675</v>
      </c>
      <c r="DB645" s="0" t="s">
        <v>216</v>
      </c>
      <c r="DC645" s="0" t="s">
        <v>216</v>
      </c>
      <c r="DD645" s="0" t="s">
        <v>216</v>
      </c>
      <c r="DE645" s="0" t="s">
        <v>216</v>
      </c>
      <c r="DF645" s="0" t="s">
        <v>216</v>
      </c>
      <c r="DG645" s="0" t="s">
        <v>216</v>
      </c>
      <c r="DH645" s="0" t="n">
        <v>0</v>
      </c>
      <c r="DI645" s="126" t="n">
        <v>133.34</v>
      </c>
      <c r="DK645" s="0" t="n">
        <v>1</v>
      </c>
      <c r="DM645" s="0" t="n">
        <v>1</v>
      </c>
      <c r="DN645" s="0" t="n">
        <v>45</v>
      </c>
      <c r="DO645" s="0" t="n">
        <v>3</v>
      </c>
      <c r="DP645" s="0" t="n">
        <v>0</v>
      </c>
      <c r="DQ645" s="0" t="n">
        <v>1</v>
      </c>
      <c r="DR645" s="0"/>
      <c r="DS645" s="0" t="n">
        <v>1</v>
      </c>
      <c r="DU645" s="0" t="n">
        <v>1</v>
      </c>
      <c r="DW645" s="1" t="n">
        <v>40193</v>
      </c>
      <c r="DX645" s="1" t="n">
        <v>40563</v>
      </c>
      <c r="DZ645" s="0"/>
      <c r="EA645" s="0" t="n">
        <v>1</v>
      </c>
      <c r="EC645" s="1" t="n">
        <v>40193</v>
      </c>
      <c r="ED645" s="1" t="n">
        <v>40563</v>
      </c>
      <c r="EF645" s="0"/>
      <c r="EG645" s="0" t="n">
        <v>1</v>
      </c>
      <c r="EH645" s="0" t="n">
        <v>5</v>
      </c>
      <c r="EI645" s="0" t="str">
        <f aca="false">IF(AND(DM645=1,DN645&lt;=48),"",IF(AND(DM645=2,DN645&lt;=42),"",IF(AND(DM645=3,DN645&lt;=45),"",EH645)))</f>
        <v/>
      </c>
      <c r="EJ645" s="0" t="str">
        <f aca="false">IF(EI645="","",IF(EI645&lt;9,EI645,9))</f>
        <v/>
      </c>
      <c r="EK645" s="0" t="str">
        <f aca="false">IF(EI645="","",IF(EI645&gt;9,EI645-EJ645,0))</f>
        <v/>
      </c>
      <c r="EL645" s="0" t="str">
        <f aca="false">IF(EI645="","",EJ645*DA645*2+EK645*DA645*3)</f>
        <v/>
      </c>
      <c r="EP645" s="0" t="n">
        <v>0</v>
      </c>
      <c r="EQ645" s="0"/>
      <c r="ER645" s="0" t="n">
        <v>0</v>
      </c>
      <c r="ET645" s="0" t="n">
        <v>0</v>
      </c>
      <c r="EV645" s="0" t="n">
        <v>1</v>
      </c>
      <c r="EX645" s="0" t="n">
        <v>1</v>
      </c>
      <c r="EY645" s="0" t="n">
        <v>1</v>
      </c>
      <c r="EZ645" s="0"/>
      <c r="FA645" s="4" t="n">
        <v>0</v>
      </c>
      <c r="FB645" s="0" t="n">
        <v>0</v>
      </c>
      <c r="FC645" s="1" t="n">
        <v>42090</v>
      </c>
      <c r="FD645" s="0" t="n">
        <v>3</v>
      </c>
      <c r="FE645" s="0" t="n">
        <v>20000</v>
      </c>
      <c r="FF645" s="120" t="n">
        <f aca="false">(CJ645-CI645+1)/365</f>
        <v>1.01643835616438</v>
      </c>
      <c r="FG645" s="0" t="str">
        <f aca="false">CONCATENATE(F645,"/",G645)</f>
        <v>328/2011</v>
      </c>
      <c r="FH645" s="0" t="n">
        <v>1</v>
      </c>
      <c r="FI645" s="0" t="n">
        <f aca="false">IFERROR(IF((FC645-J645+1)/365&gt;3,0,1),"")</f>
        <v>0</v>
      </c>
    </row>
    <row r="646" customFormat="false" ht="15" hidden="false" customHeight="false" outlineLevel="0" collapsed="false">
      <c r="A646" s="5" t="str">
        <f aca="false">E646&amp;G646&amp;F646</f>
        <v>72011330</v>
      </c>
      <c r="B646" s="0" t="s">
        <v>5573</v>
      </c>
      <c r="C646" s="1" t="n">
        <v>42364</v>
      </c>
      <c r="E646" s="0" t="n">
        <v>7</v>
      </c>
      <c r="F646" s="0" t="n">
        <v>330</v>
      </c>
      <c r="G646" s="0" t="n">
        <v>2011</v>
      </c>
      <c r="H646" s="0" t="str">
        <f aca="false">"J"&amp;E646&amp;"\"&amp;F646&amp;"\"&amp;G646&amp;"\"&amp;W646</f>
        <v>J7\330\2011\1</v>
      </c>
      <c r="I646" s="0"/>
      <c r="J646" s="1" t="n">
        <v>40595</v>
      </c>
      <c r="K646" s="0" t="n">
        <v>0</v>
      </c>
      <c r="M646" s="1" t="n">
        <v>40595</v>
      </c>
      <c r="N646" s="1" t="n">
        <v>40672</v>
      </c>
      <c r="O646" s="1"/>
      <c r="P646" s="1"/>
      <c r="Q646" s="1"/>
      <c r="T646" s="121"/>
      <c r="U646" s="121"/>
      <c r="V646" s="122" t="n">
        <f aca="false">IF(AND(E646&gt;0,F646&gt;0,G646&gt;0),COUNTIFS($E:$E,E646,$F:$F,F646,$G:$G,G646),"")</f>
        <v>1</v>
      </c>
      <c r="W646" s="122" t="n">
        <f aca="false">IF(V646="","",IF(V646=1,1,IF(AND(E645=E646,F645=F646,G645=G646),W645+1,1)))</f>
        <v>1</v>
      </c>
      <c r="X646" s="0" t="n">
        <v>1</v>
      </c>
      <c r="Y646" s="0" t="n">
        <v>3</v>
      </c>
      <c r="Z646" s="0" t="s">
        <v>5944</v>
      </c>
      <c r="AA646" s="0" t="n">
        <v>0</v>
      </c>
      <c r="AB646" s="0" t="s">
        <v>5797</v>
      </c>
      <c r="AC646" s="0" t="s">
        <v>1661</v>
      </c>
      <c r="AD646" s="0" t="s">
        <v>221</v>
      </c>
      <c r="AE646" s="0" t="n">
        <v>0</v>
      </c>
      <c r="AF646" s="0" t="s">
        <v>5945</v>
      </c>
      <c r="AG646" s="0" t="n">
        <v>0</v>
      </c>
      <c r="AH646" s="0" t="s">
        <v>5946</v>
      </c>
      <c r="AI646" s="0" t="s">
        <v>1160</v>
      </c>
      <c r="AJ646" s="0" t="s">
        <v>1160</v>
      </c>
      <c r="AL646" s="0" t="s">
        <v>5947</v>
      </c>
      <c r="AM646" s="0" t="n">
        <v>1</v>
      </c>
      <c r="AN646" s="0" t="s">
        <v>5946</v>
      </c>
      <c r="AO646" s="0" t="s">
        <v>1160</v>
      </c>
      <c r="AP646" s="0" t="s">
        <v>1160</v>
      </c>
      <c r="AR646" s="0" t="s">
        <v>5948</v>
      </c>
      <c r="AS646" s="0" t="n">
        <v>1</v>
      </c>
      <c r="AT646" s="0" t="s">
        <v>5946</v>
      </c>
      <c r="AU646" s="0" t="s">
        <v>1160</v>
      </c>
      <c r="AV646" s="0" t="s">
        <v>1160</v>
      </c>
      <c r="BR646" s="0" t="n">
        <v>1</v>
      </c>
      <c r="BS646" s="0" t="s">
        <v>3715</v>
      </c>
      <c r="BT646" s="0" t="s">
        <v>1273</v>
      </c>
      <c r="BU646" s="0" t="s">
        <v>1809</v>
      </c>
      <c r="BV646" s="123"/>
      <c r="BW646" s="123"/>
      <c r="BX646" s="123"/>
      <c r="BY646" s="123"/>
      <c r="CA646" s="0" t="s">
        <v>216</v>
      </c>
      <c r="CD646" s="0" t="s">
        <v>357</v>
      </c>
      <c r="CE646" s="0" t="n">
        <v>0</v>
      </c>
      <c r="CF646" s="0" t="s">
        <v>645</v>
      </c>
      <c r="CI646" s="1" t="n">
        <v>40244</v>
      </c>
      <c r="CJ646" s="1" t="n">
        <v>40578</v>
      </c>
      <c r="CK646" s="124" t="n">
        <v>0.291666666666667</v>
      </c>
      <c r="CL646" s="0" t="s">
        <v>5949</v>
      </c>
      <c r="CM646" s="0" t="n">
        <f aca="false">IF(OR(CI646="",CJ646=""),"",DAYS360(CI646,CJ646)/360)</f>
        <v>0.908333333333333</v>
      </c>
      <c r="CN646" s="0" t="n">
        <f aca="false">IF(OR(CI646="",CJ646=""),"",DAYS360(CI646,CJ646)/30)</f>
        <v>10.9</v>
      </c>
      <c r="CO646" s="0" t="n">
        <f aca="false">IF(OR(CI646="",CJ646=""),"",DAYS360(CI646,CJ646)/7)</f>
        <v>46.7142857142857</v>
      </c>
      <c r="CP646" s="0" t="n">
        <f aca="false">IF(OR(CI646="",CJ646=""),"",DAYS360(CI646,CJ646))</f>
        <v>327</v>
      </c>
      <c r="CQ646" s="0" t="s">
        <v>240</v>
      </c>
      <c r="CR646" s="0" t="n">
        <v>1</v>
      </c>
      <c r="CT646" s="0" t="n">
        <v>10000</v>
      </c>
      <c r="CU646" s="0" t="n">
        <v>1</v>
      </c>
      <c r="CV646" s="0" t="n">
        <f aca="false">IF(OR(CT646="",CT646="NO ESPECIFICA",CT646="NO MENCIONA"),"",IF(CU646=0,CT646,IF(CU646=1,CT646/30,IF(CU646=2,CT646/15,IF(CU646=3,CT646/7,"")))))</f>
        <v>333.333333333333</v>
      </c>
      <c r="CW646" s="125" t="n">
        <v>12000</v>
      </c>
      <c r="CX646" s="0" t="n">
        <v>1</v>
      </c>
      <c r="CY646" s="0" t="n">
        <f aca="false">IF(CW646="","",IF(CX646=0,CW646,IF(CX646=1,CW646/30,IF(CX646=2,CW646/15,IF(CX646=3,CW646/7,CW646)))))</f>
        <v>400</v>
      </c>
      <c r="CZ646" s="0" t="n">
        <f aca="false">IF(DI646&gt;0,DI646,IF(CY646&gt;0,CY646,IF(CV646&gt;0,CV646,"")))</f>
        <v>400</v>
      </c>
      <c r="DA646" s="0" t="n">
        <f aca="false">IF(DM646=1,CZ646/8,IF(OR(DM646=2,DM646=4),CZ646/7,IF(DM646=3,CZ646/7.5,"")))</f>
        <v>50</v>
      </c>
      <c r="DB646" s="0" t="s">
        <v>417</v>
      </c>
      <c r="DC646" s="0" t="s">
        <v>216</v>
      </c>
      <c r="DD646" s="0" t="s">
        <v>216</v>
      </c>
      <c r="DE646" s="0" t="s">
        <v>216</v>
      </c>
      <c r="DF646" s="0" t="s">
        <v>216</v>
      </c>
      <c r="DG646" s="0" t="s">
        <v>216</v>
      </c>
      <c r="DH646" s="0" t="n">
        <v>0</v>
      </c>
      <c r="DI646" s="126" t="n">
        <v>400</v>
      </c>
      <c r="DK646" s="0" t="n">
        <v>0</v>
      </c>
      <c r="DM646" s="0" t="n">
        <v>1</v>
      </c>
      <c r="DN646" s="0" t="n">
        <v>72</v>
      </c>
      <c r="DO646" s="0" t="n">
        <v>3</v>
      </c>
      <c r="DP646" s="0" t="n">
        <v>0</v>
      </c>
      <c r="DQ646" s="0" t="n">
        <v>1</v>
      </c>
      <c r="DR646" s="0"/>
      <c r="DS646" s="0" t="n">
        <v>1</v>
      </c>
      <c r="DU646" s="0" t="n">
        <v>1</v>
      </c>
      <c r="DW646" s="1" t="n">
        <v>40244</v>
      </c>
      <c r="DX646" s="1" t="n">
        <v>40578</v>
      </c>
      <c r="DZ646" s="0"/>
      <c r="EA646" s="0" t="n">
        <v>1</v>
      </c>
      <c r="EC646" s="1" t="n">
        <v>40244</v>
      </c>
      <c r="ED646" s="1" t="n">
        <v>40578</v>
      </c>
      <c r="EF646" s="0"/>
      <c r="EG646" s="0" t="n">
        <v>1</v>
      </c>
      <c r="EH646" s="0" t="n">
        <v>18</v>
      </c>
      <c r="EI646" s="0" t="n">
        <f aca="false">IF(AND(DM646=1,DN646&lt;=48),"",IF(AND(DM646=2,DN646&lt;=42),"",IF(AND(DM646=3,DN646&lt;=45),"",EH646)))</f>
        <v>18</v>
      </c>
      <c r="EJ646" s="0" t="n">
        <f aca="false">IF(EI646="","",IF(EI646&lt;9,EI646,9))</f>
        <v>9</v>
      </c>
      <c r="EK646" s="0" t="n">
        <f aca="false">IF(EI646="","",IF(EI646&gt;9,EI646-EJ646,0))</f>
        <v>9</v>
      </c>
      <c r="EL646" s="0" t="n">
        <f aca="false">IF(EI646="","",EJ646*DA646*2+EK646*DA646*3)</f>
        <v>2250</v>
      </c>
      <c r="EP646" s="0" t="n">
        <v>0</v>
      </c>
      <c r="EQ646" s="0"/>
      <c r="ER646" s="0" t="n">
        <v>0</v>
      </c>
      <c r="ET646" s="0" t="n">
        <v>1</v>
      </c>
      <c r="EV646" s="0" t="n">
        <v>1</v>
      </c>
      <c r="EX646" s="0" t="n">
        <v>0</v>
      </c>
      <c r="EY646" s="0" t="n">
        <v>0</v>
      </c>
      <c r="EZ646" s="0"/>
      <c r="FA646" s="4" t="n">
        <v>12000</v>
      </c>
      <c r="FB646" s="0" t="n">
        <v>1</v>
      </c>
      <c r="FC646" s="1" t="n">
        <v>40816</v>
      </c>
      <c r="FD646" s="0" t="n">
        <v>2</v>
      </c>
      <c r="FE646" s="0" t="n">
        <v>0</v>
      </c>
      <c r="FF646" s="120" t="n">
        <f aca="false">(CJ646-CI646+1)/365</f>
        <v>0.917808219178082</v>
      </c>
      <c r="FG646" s="0" t="str">
        <f aca="false">CONCATENATE(F646,"/",G646)</f>
        <v>330/2011</v>
      </c>
      <c r="FH646" s="0" t="n">
        <v>1</v>
      </c>
      <c r="FI646" s="0" t="n">
        <f aca="false">IFERROR(IF((FC646-J646+1)/365&gt;3,0,1),"")</f>
        <v>1</v>
      </c>
    </row>
    <row r="647" customFormat="false" ht="15" hidden="false" customHeight="false" outlineLevel="0" collapsed="false">
      <c r="A647" s="5" t="str">
        <f aca="false">E647&amp;G647&amp;F647</f>
        <v>72011331</v>
      </c>
      <c r="B647" s="0" t="s">
        <v>5573</v>
      </c>
      <c r="C647" s="1" t="n">
        <v>42364</v>
      </c>
      <c r="D647" s="0" t="s">
        <v>5615</v>
      </c>
      <c r="E647" s="0" t="n">
        <v>7</v>
      </c>
      <c r="F647" s="0" t="n">
        <v>331</v>
      </c>
      <c r="G647" s="0" t="n">
        <v>2011</v>
      </c>
      <c r="H647" s="0" t="str">
        <f aca="false">"J"&amp;E647&amp;"\"&amp;F647&amp;"\"&amp;G647&amp;"\"&amp;W647</f>
        <v>J7\331\2011\1</v>
      </c>
      <c r="I647" s="0"/>
      <c r="J647" s="1" t="n">
        <v>40595</v>
      </c>
      <c r="K647" s="0" t="n">
        <v>0</v>
      </c>
      <c r="M647" s="1"/>
      <c r="N647" s="1"/>
      <c r="O647" s="1"/>
      <c r="P647" s="1"/>
      <c r="Q647" s="1"/>
      <c r="T647" s="121"/>
      <c r="U647" s="121"/>
      <c r="V647" s="122" t="n">
        <f aca="false">IF(AND(E647&gt;0,F647&gt;0,G647&gt;0),COUNTIFS($E:$E,E647,$F:$F,F647,$G:$G,G647),"")</f>
        <v>1</v>
      </c>
      <c r="W647" s="122" t="n">
        <f aca="false">IF(V647="","",IF(V647=1,1,IF(AND(E646=E647,F646=F647,G646=G647),W646+1,1)))</f>
        <v>1</v>
      </c>
      <c r="X647" s="0" t="n">
        <v>1</v>
      </c>
      <c r="Y647" s="0" t="n">
        <v>8</v>
      </c>
      <c r="Z647" s="0" t="s">
        <v>5950</v>
      </c>
      <c r="AA647" s="0" t="n">
        <v>0</v>
      </c>
      <c r="AB647" s="0" t="s">
        <v>5617</v>
      </c>
      <c r="AE647" s="0" t="n">
        <v>0</v>
      </c>
      <c r="AF647" s="0" t="s">
        <v>5951</v>
      </c>
      <c r="AG647" s="0" t="n">
        <v>0</v>
      </c>
      <c r="AH647" s="0" t="s">
        <v>5952</v>
      </c>
      <c r="AI647" s="0" t="s">
        <v>251</v>
      </c>
      <c r="AJ647" s="0" t="s">
        <v>1160</v>
      </c>
      <c r="AL647" s="0" t="s">
        <v>5953</v>
      </c>
      <c r="AM647" s="0" t="n">
        <v>1</v>
      </c>
      <c r="AN647" s="0" t="s">
        <v>5952</v>
      </c>
      <c r="AO647" s="0" t="s">
        <v>251</v>
      </c>
      <c r="AP647" s="0" t="s">
        <v>1160</v>
      </c>
      <c r="AR647" s="0" t="s">
        <v>5954</v>
      </c>
      <c r="AS647" s="0" t="n">
        <v>1</v>
      </c>
      <c r="AT647" s="0" t="s">
        <v>5952</v>
      </c>
      <c r="AU647" s="0" t="s">
        <v>251</v>
      </c>
      <c r="AV647" s="0" t="s">
        <v>1160</v>
      </c>
      <c r="AX647" s="0" t="s">
        <v>5955</v>
      </c>
      <c r="AY647" s="0" t="n">
        <v>1</v>
      </c>
      <c r="AZ647" s="0" t="s">
        <v>5952</v>
      </c>
      <c r="BA647" s="0" t="s">
        <v>251</v>
      </c>
      <c r="BB647" s="0" t="s">
        <v>1160</v>
      </c>
      <c r="BD647" s="0" t="s">
        <v>5956</v>
      </c>
      <c r="BE647" s="0" t="n">
        <v>1</v>
      </c>
      <c r="BF647" s="0" t="s">
        <v>5952</v>
      </c>
      <c r="BG647" s="0" t="s">
        <v>251</v>
      </c>
      <c r="BH647" s="0" t="s">
        <v>1160</v>
      </c>
      <c r="BJ647" s="0" t="s">
        <v>249</v>
      </c>
      <c r="BK647" s="0" t="n">
        <v>0</v>
      </c>
      <c r="BL647" s="0" t="s">
        <v>5957</v>
      </c>
      <c r="BM647" s="0" t="s">
        <v>688</v>
      </c>
      <c r="BN647" s="0" t="s">
        <v>2415</v>
      </c>
      <c r="BR647" s="0" t="n">
        <v>1</v>
      </c>
      <c r="BS647" s="0" t="s">
        <v>5958</v>
      </c>
      <c r="BT647" s="0" t="s">
        <v>5959</v>
      </c>
      <c r="BU647" s="0" t="s">
        <v>5960</v>
      </c>
      <c r="BV647" s="123"/>
      <c r="BW647" s="123"/>
      <c r="BX647" s="123"/>
      <c r="BY647" s="123"/>
      <c r="CA647" s="0" t="s">
        <v>216</v>
      </c>
      <c r="CD647" s="0" t="s">
        <v>5680</v>
      </c>
      <c r="CE647" s="0" t="n">
        <v>0</v>
      </c>
      <c r="CF647" s="0" t="s">
        <v>5961</v>
      </c>
      <c r="CI647" s="1" t="n">
        <v>40107</v>
      </c>
      <c r="CJ647" s="1" t="n">
        <v>40533</v>
      </c>
      <c r="CK647" s="124" t="n">
        <v>0.243055555555556</v>
      </c>
      <c r="CL647" s="0" t="s">
        <v>5956</v>
      </c>
      <c r="CM647" s="0" t="n">
        <f aca="false">IF(OR(CI647="",CJ647=""),"",DAYS360(CI647,CJ647)/360)</f>
        <v>1.16666666666667</v>
      </c>
      <c r="CN647" s="0" t="n">
        <f aca="false">IF(OR(CI647="",CJ647=""),"",DAYS360(CI647,CJ647)/30)</f>
        <v>14</v>
      </c>
      <c r="CO647" s="0" t="n">
        <f aca="false">IF(OR(CI647="",CJ647=""),"",DAYS360(CI647,CJ647)/7)</f>
        <v>60</v>
      </c>
      <c r="CP647" s="0" t="n">
        <f aca="false">IF(OR(CI647="",CJ647=""),"",DAYS360(CI647,CJ647))</f>
        <v>420</v>
      </c>
      <c r="CQ647" s="0" t="s">
        <v>240</v>
      </c>
      <c r="CR647" s="0" t="n">
        <v>1</v>
      </c>
      <c r="CT647" s="0" t="n">
        <v>10500</v>
      </c>
      <c r="CU647" s="0" t="n">
        <v>1</v>
      </c>
      <c r="CV647" s="0" t="n">
        <f aca="false">IF(OR(CT647="",CT647="NO ESPECIFICA",CT647="NO MENCIONA"),"",IF(CU647=0,CT647,IF(CU647=1,CT647/30,IF(CU647=2,CT647/15,IF(CU647=3,CT647/7,"")))))</f>
        <v>350</v>
      </c>
      <c r="CW647" s="125" t="n">
        <v>12550</v>
      </c>
      <c r="CX647" s="0" t="n">
        <v>1</v>
      </c>
      <c r="CY647" s="0" t="n">
        <f aca="false">IF(CW647="","",IF(CX647=0,CW647,IF(CX647=1,CW647/30,IF(CX647=2,CW647/15,IF(CX647=3,CW647/7,CW647)))))</f>
        <v>418.333333333333</v>
      </c>
      <c r="CZ647" s="0" t="n">
        <f aca="false">IF(DI647&gt;0,DI647,IF(CY647&gt;0,CY647,IF(CV647&gt;0,CV647,"")))</f>
        <v>418.34</v>
      </c>
      <c r="DA647" s="0" t="n">
        <f aca="false">IF(DM647=1,CZ647/8,IF(OR(DM647=2,DM647=4),CZ647/7,IF(DM647=3,CZ647/7.5,"")))</f>
        <v>52.2925</v>
      </c>
      <c r="DB647" s="0" t="s">
        <v>299</v>
      </c>
      <c r="DC647" s="0" t="s">
        <v>5962</v>
      </c>
      <c r="DD647" s="0" t="s">
        <v>216</v>
      </c>
      <c r="DE647" s="0" t="s">
        <v>216</v>
      </c>
      <c r="DF647" s="0" t="s">
        <v>216</v>
      </c>
      <c r="DG647" s="0" t="s">
        <v>216</v>
      </c>
      <c r="DH647" s="0" t="n">
        <v>0</v>
      </c>
      <c r="DI647" s="126" t="n">
        <v>418.34</v>
      </c>
      <c r="DK647" s="0" t="n">
        <v>1</v>
      </c>
      <c r="DM647" s="0" t="n">
        <v>1</v>
      </c>
      <c r="DN647" s="0" t="n">
        <v>52.5</v>
      </c>
      <c r="DO647" s="0" t="n">
        <v>3</v>
      </c>
      <c r="DP647" s="0" t="n">
        <v>0</v>
      </c>
      <c r="DQ647" s="0" t="n">
        <v>1</v>
      </c>
      <c r="DR647" s="0"/>
      <c r="DS647" s="0" t="n">
        <v>1</v>
      </c>
      <c r="DU647" s="0" t="n">
        <v>1</v>
      </c>
      <c r="DW647" s="1" t="n">
        <v>40472</v>
      </c>
      <c r="DX647" s="1" t="n">
        <v>40533</v>
      </c>
      <c r="DZ647" s="0"/>
      <c r="EA647" s="0" t="n">
        <v>1</v>
      </c>
      <c r="EC647" s="1" t="n">
        <v>40179</v>
      </c>
      <c r="ED647" s="1" t="n">
        <v>40533</v>
      </c>
      <c r="EF647" s="0"/>
      <c r="EG647" s="0" t="n">
        <v>1</v>
      </c>
      <c r="EH647" s="0" t="n">
        <v>4.5</v>
      </c>
      <c r="EI647" s="0" t="n">
        <f aca="false">IF(AND(DM647=1,DN647&lt;=48),"",IF(AND(DM647=2,DN647&lt;=42),"",IF(AND(DM647=3,DN647&lt;=45),"",EH647)))</f>
        <v>4.5</v>
      </c>
      <c r="EJ647" s="0" t="n">
        <f aca="false">IF(EI647="","",IF(EI647&lt;9,EI647,9))</f>
        <v>4.5</v>
      </c>
      <c r="EK647" s="0" t="n">
        <f aca="false">IF(EI647="","",IF(EI647&gt;9,EI647-EJ647,0))</f>
        <v>0</v>
      </c>
      <c r="EL647" s="0" t="n">
        <f aca="false">IF(EI647="","",EJ647*DA647*2+EK647*DA647*3)</f>
        <v>470.6325</v>
      </c>
      <c r="EP647" s="0" t="n">
        <v>1</v>
      </c>
      <c r="EQ647" s="0"/>
      <c r="ER647" s="0" t="n">
        <v>0</v>
      </c>
      <c r="ET647" s="0" t="n">
        <v>0</v>
      </c>
      <c r="EV647" s="0" t="n">
        <v>1</v>
      </c>
      <c r="EX647" s="0" t="n">
        <v>1</v>
      </c>
      <c r="EY647" s="0" t="n">
        <v>0</v>
      </c>
      <c r="EZ647" s="0"/>
      <c r="FA647" s="4" t="n">
        <v>0</v>
      </c>
      <c r="FB647" s="0" t="n">
        <v>1</v>
      </c>
      <c r="FC647" s="1" t="n">
        <v>41066</v>
      </c>
      <c r="FD647" s="0" t="n">
        <v>1</v>
      </c>
      <c r="FE647" s="0" t="n">
        <v>8000</v>
      </c>
      <c r="FF647" s="120" t="n">
        <f aca="false">(CJ647-CI647+1)/365</f>
        <v>1.16986301369863</v>
      </c>
      <c r="FG647" s="0" t="str">
        <f aca="false">CONCATENATE(F647,"/",G647)</f>
        <v>331/2011</v>
      </c>
      <c r="FH647" s="0" t="n">
        <v>1</v>
      </c>
      <c r="FI647" s="0" t="n">
        <f aca="false">IFERROR(IF((FC647-J647+1)/365&gt;3,0,1),"")</f>
        <v>1</v>
      </c>
    </row>
    <row r="648" customFormat="false" ht="15" hidden="false" customHeight="false" outlineLevel="0" collapsed="false">
      <c r="A648" s="5" t="str">
        <f aca="false">E648&amp;G648&amp;F648</f>
        <v>720111374</v>
      </c>
      <c r="B648" s="0" t="s">
        <v>5963</v>
      </c>
      <c r="C648" s="1" t="n">
        <v>42361</v>
      </c>
      <c r="D648" s="0" t="s">
        <v>3265</v>
      </c>
      <c r="E648" s="0" t="n">
        <v>7</v>
      </c>
      <c r="F648" s="0" t="n">
        <v>1374</v>
      </c>
      <c r="G648" s="0" t="n">
        <v>2011</v>
      </c>
      <c r="H648" s="0" t="str">
        <f aca="false">"J"&amp;E648&amp;"\"&amp;F648&amp;"\"&amp;G648&amp;"\"&amp;W648</f>
        <v>J7\1374\2011\1</v>
      </c>
      <c r="I648" s="0"/>
      <c r="J648" s="1" t="n">
        <v>40767</v>
      </c>
      <c r="K648" s="0" t="n">
        <v>0</v>
      </c>
      <c r="M648" s="1" t="s">
        <v>216</v>
      </c>
      <c r="N648" s="1" t="s">
        <v>216</v>
      </c>
      <c r="O648" s="1"/>
      <c r="P648" s="1"/>
      <c r="Q648" s="1"/>
      <c r="T648" s="121"/>
      <c r="U648" s="121"/>
      <c r="V648" s="122" t="n">
        <f aca="false">IF(AND(E648&gt;0,F648&gt;0,G648&gt;0),COUNTIFS($E:$E,E648,$F:$F,F648,$G:$G,G648),"")</f>
        <v>1</v>
      </c>
      <c r="W648" s="122" t="n">
        <f aca="false">IF(V648="","",IF(V648=1,1,IF(AND(E647=E648,F647=F648,G647=G648),W647+1,1)))</f>
        <v>1</v>
      </c>
      <c r="X648" s="0" t="n">
        <v>1</v>
      </c>
      <c r="Y648" s="0" t="n">
        <v>5</v>
      </c>
      <c r="Z648" s="0" t="s">
        <v>5964</v>
      </c>
      <c r="AA648" s="0" t="n">
        <v>0</v>
      </c>
      <c r="AB648" s="0" t="s">
        <v>5965</v>
      </c>
      <c r="AC648" s="0" t="s">
        <v>643</v>
      </c>
      <c r="AD648" s="0" t="s">
        <v>207</v>
      </c>
      <c r="AE648" s="0" t="n">
        <v>0</v>
      </c>
      <c r="AF648" s="0" t="s">
        <v>1758</v>
      </c>
      <c r="AG648" s="0" t="n">
        <v>0</v>
      </c>
      <c r="AH648" s="0" t="s">
        <v>5966</v>
      </c>
      <c r="AI648" s="0" t="s">
        <v>438</v>
      </c>
      <c r="AJ648" s="0" t="s">
        <v>352</v>
      </c>
      <c r="AL648" s="0" t="s">
        <v>5967</v>
      </c>
      <c r="AM648" s="0" t="n">
        <v>0</v>
      </c>
      <c r="AN648" s="0" t="s">
        <v>5968</v>
      </c>
      <c r="AO648" s="0" t="s">
        <v>830</v>
      </c>
      <c r="AP648" s="0" t="s">
        <v>322</v>
      </c>
      <c r="AR648" s="0" t="s">
        <v>5969</v>
      </c>
      <c r="AS648" s="0" t="n">
        <v>0</v>
      </c>
      <c r="AT648" s="0" t="s">
        <v>5968</v>
      </c>
      <c r="AU648" s="0" t="s">
        <v>830</v>
      </c>
      <c r="AV648" s="0" t="s">
        <v>322</v>
      </c>
      <c r="AX648" s="0" t="s">
        <v>5970</v>
      </c>
      <c r="AY648" s="0" t="n">
        <v>1</v>
      </c>
      <c r="AZ648" s="0" t="s">
        <v>5968</v>
      </c>
      <c r="BA648" s="0" t="s">
        <v>830</v>
      </c>
      <c r="BB648" s="0" t="s">
        <v>322</v>
      </c>
      <c r="BD648" s="0" t="s">
        <v>5971</v>
      </c>
      <c r="BE648" s="0" t="n">
        <v>1</v>
      </c>
      <c r="BF648" s="0" t="s">
        <v>5968</v>
      </c>
      <c r="BG648" s="0" t="s">
        <v>830</v>
      </c>
      <c r="BH648" s="0" t="s">
        <v>322</v>
      </c>
      <c r="BR648" s="0" t="n">
        <v>1</v>
      </c>
      <c r="BS648" s="0" t="s">
        <v>5972</v>
      </c>
      <c r="BV648" s="123"/>
      <c r="BW648" s="123"/>
      <c r="BX648" s="123"/>
      <c r="BY648" s="123"/>
      <c r="CA648" s="0" t="s">
        <v>216</v>
      </c>
      <c r="CD648" s="0" t="s">
        <v>357</v>
      </c>
      <c r="CE648" s="0" t="n">
        <v>0</v>
      </c>
      <c r="CF648" s="0" t="s">
        <v>5973</v>
      </c>
      <c r="CG648" s="0" t="s">
        <v>216</v>
      </c>
      <c r="CH648" s="0" t="s">
        <v>216</v>
      </c>
      <c r="CI648" s="1" t="n">
        <v>38917</v>
      </c>
      <c r="CJ648" s="1" t="n">
        <v>40709</v>
      </c>
      <c r="CK648" s="124" t="n">
        <v>0.729166666666667</v>
      </c>
      <c r="CL648" s="0" t="s">
        <v>5970</v>
      </c>
      <c r="CM648" s="0" t="n">
        <f aca="false">IF(OR(CI648="",CJ648=""),"",DAYS360(CI648,CJ648)/360)</f>
        <v>4.90555555555556</v>
      </c>
      <c r="CN648" s="0" t="n">
        <f aca="false">IF(OR(CI648="",CJ648=""),"",DAYS360(CI648,CJ648)/30)</f>
        <v>58.8666666666667</v>
      </c>
      <c r="CO648" s="0" t="n">
        <f aca="false">IF(OR(CI648="",CJ648=""),"",DAYS360(CI648,CJ648)/7)</f>
        <v>252.285714285714</v>
      </c>
      <c r="CP648" s="0" t="n">
        <f aca="false">IF(OR(CI648="",CJ648=""),"",DAYS360(CI648,CJ648))</f>
        <v>1766</v>
      </c>
      <c r="CQ648" s="0" t="s">
        <v>240</v>
      </c>
      <c r="CR648" s="0" t="n">
        <v>1</v>
      </c>
      <c r="CT648" s="0" t="s">
        <v>221</v>
      </c>
      <c r="CU648" s="0" t="s">
        <v>221</v>
      </c>
      <c r="CV648" s="0" t="str">
        <f aca="false">IF(OR(CT648="",CT648="NO ESPECIFICA",CT648="NO MENCIONA"),"",IF(CU648=0,CT648,IF(CU648=1,CT648/30,IF(CU648=2,CT648/15,IF(CU648=3,CT648/7,"")))))</f>
        <v/>
      </c>
      <c r="CW648" s="125" t="n">
        <v>5273</v>
      </c>
      <c r="CX648" s="0" t="n">
        <v>2</v>
      </c>
      <c r="CY648" s="0" t="n">
        <f aca="false">IF(CW648="","",IF(CX648=0,CW648,IF(CX648=1,CW648/30,IF(CX648=2,CW648/15,IF(CX648=3,CW648/7,CW648)))))</f>
        <v>351.533333333333</v>
      </c>
      <c r="CZ648" s="0" t="n">
        <f aca="false">IF(DI648&gt;0,DI648,IF(CY648&gt;0,CY648,IF(CV648&gt;0,CV648,"")))</f>
        <v>1249.16</v>
      </c>
      <c r="DA648" s="0" t="n">
        <f aca="false">IF(DM648=1,CZ648/8,IF(OR(DM648=2,DM648=4),CZ648/7,IF(DM648=3,CZ648/7.5,"")))</f>
        <v>156.145</v>
      </c>
      <c r="DB648" s="0" t="s">
        <v>300</v>
      </c>
      <c r="DC648" s="0" t="s">
        <v>299</v>
      </c>
      <c r="DD648" s="0" t="s">
        <v>216</v>
      </c>
      <c r="DE648" s="0" t="s">
        <v>216</v>
      </c>
      <c r="DF648" s="0" t="s">
        <v>216</v>
      </c>
      <c r="DG648" s="0" t="s">
        <v>216</v>
      </c>
      <c r="DH648" s="0" t="n">
        <v>0</v>
      </c>
      <c r="DI648" s="126" t="n">
        <v>1249.16</v>
      </c>
      <c r="DK648" s="0" t="n">
        <v>0</v>
      </c>
      <c r="DM648" s="0" t="n">
        <v>1</v>
      </c>
      <c r="DN648" s="0" t="n">
        <v>54</v>
      </c>
      <c r="DO648" s="0" t="n">
        <v>3</v>
      </c>
      <c r="DP648" s="0" t="n">
        <v>0</v>
      </c>
      <c r="DQ648" s="0" t="n">
        <v>1</v>
      </c>
      <c r="DR648" s="0"/>
      <c r="DS648" s="0" t="n">
        <v>1</v>
      </c>
      <c r="DU648" s="0" t="n">
        <v>0</v>
      </c>
      <c r="DW648" s="1" t="n">
        <v>38917</v>
      </c>
      <c r="DX648" s="1" t="n">
        <v>40709</v>
      </c>
      <c r="DZ648" s="0"/>
      <c r="EA648" s="0" t="n">
        <v>1</v>
      </c>
      <c r="EC648" s="1" t="n">
        <v>38917</v>
      </c>
      <c r="ED648" s="1" t="n">
        <v>40709</v>
      </c>
      <c r="EF648" s="0"/>
      <c r="EG648" s="0" t="n">
        <v>1</v>
      </c>
      <c r="EH648" s="0" t="n">
        <v>10</v>
      </c>
      <c r="EI648" s="0" t="n">
        <f aca="false">IF(AND(DM648=1,DN648&lt;=48),"",IF(AND(DM648=2,DN648&lt;=42),"",IF(AND(DM648=3,DN648&lt;=45),"",EH648)))</f>
        <v>10</v>
      </c>
      <c r="EJ648" s="0" t="n">
        <f aca="false">IF(EI648="","",IF(EI648&lt;9,EI648,9))</f>
        <v>9</v>
      </c>
      <c r="EK648" s="0" t="n">
        <f aca="false">IF(EI648="","",IF(EI648&gt;9,EI648-EJ648,0))</f>
        <v>1</v>
      </c>
      <c r="EL648" s="0" t="n">
        <f aca="false">IF(EI648="","",EJ648*DA648*2+EK648*DA648*3)</f>
        <v>3279.045</v>
      </c>
      <c r="EP648" s="0" t="n">
        <v>0</v>
      </c>
      <c r="EQ648" s="0"/>
      <c r="ER648" s="0" t="n">
        <v>0</v>
      </c>
      <c r="ET648" s="0" t="n">
        <v>0</v>
      </c>
      <c r="EV648" s="0" t="n">
        <v>0</v>
      </c>
      <c r="EX648" s="0" t="n">
        <v>1</v>
      </c>
      <c r="EY648" s="0" t="n">
        <v>0</v>
      </c>
      <c r="EZ648" s="0"/>
      <c r="FA648" s="4" t="n">
        <v>2907</v>
      </c>
      <c r="FB648" s="0" t="n">
        <v>0</v>
      </c>
      <c r="FC648" s="1" t="n">
        <v>40773</v>
      </c>
      <c r="FD648" s="0" t="n">
        <v>2</v>
      </c>
      <c r="FE648" s="0" t="n">
        <v>0</v>
      </c>
      <c r="FF648" s="120" t="n">
        <f aca="false">(CJ648-CI648+1)/365</f>
        <v>4.91232876712329</v>
      </c>
      <c r="FG648" s="0" t="str">
        <f aca="false">CONCATENATE(F648,"/",G648)</f>
        <v>1374/2011</v>
      </c>
      <c r="FH648" s="0" t="n">
        <v>1</v>
      </c>
      <c r="FI648" s="0" t="n">
        <f aca="false">IFERROR(IF((FC648-J648+1)/365&gt;3,0,1),"")</f>
        <v>1</v>
      </c>
    </row>
    <row r="649" customFormat="false" ht="15" hidden="false" customHeight="false" outlineLevel="0" collapsed="false">
      <c r="A649" s="5" t="str">
        <f aca="false">E649&amp;G649&amp;F649</f>
        <v>720111376</v>
      </c>
      <c r="B649" s="0" t="s">
        <v>5963</v>
      </c>
      <c r="C649" s="1" t="n">
        <v>42361</v>
      </c>
      <c r="D649" s="0" t="s">
        <v>3265</v>
      </c>
      <c r="E649" s="0" t="n">
        <v>7</v>
      </c>
      <c r="F649" s="0" t="n">
        <v>1376</v>
      </c>
      <c r="G649" s="0" t="n">
        <v>2011</v>
      </c>
      <c r="H649" s="0" t="str">
        <f aca="false">"J"&amp;E649&amp;"\"&amp;F649&amp;"\"&amp;G649&amp;"\"&amp;W649</f>
        <v>J7\1376\2011\1</v>
      </c>
      <c r="I649" s="0"/>
      <c r="J649" s="1" t="n">
        <v>40767</v>
      </c>
      <c r="K649" s="0" t="n">
        <v>0</v>
      </c>
      <c r="M649" s="1" t="s">
        <v>216</v>
      </c>
      <c r="N649" s="1" t="s">
        <v>216</v>
      </c>
      <c r="O649" s="1"/>
      <c r="P649" s="1"/>
      <c r="Q649" s="1"/>
      <c r="T649" s="121"/>
      <c r="U649" s="121"/>
      <c r="V649" s="122" t="n">
        <f aca="false">IF(AND(E649&gt;0,F649&gt;0,G649&gt;0),COUNTIFS($E:$E,E649,$F:$F,F649,$G:$G,G649),"")</f>
        <v>1</v>
      </c>
      <c r="W649" s="122" t="n">
        <f aca="false">IF(V649="","",IF(V649=1,1,IF(AND(E648=E649,F648=F649,G648=G649),W648+1,1)))</f>
        <v>1</v>
      </c>
      <c r="X649" s="0" t="n">
        <v>1</v>
      </c>
      <c r="Y649" s="0" t="n">
        <v>3</v>
      </c>
      <c r="Z649" s="0" t="s">
        <v>5974</v>
      </c>
      <c r="AA649" s="0" t="n">
        <v>0</v>
      </c>
      <c r="AB649" s="0" t="s">
        <v>5975</v>
      </c>
      <c r="AC649" s="0" t="s">
        <v>789</v>
      </c>
      <c r="AD649" s="0" t="s">
        <v>229</v>
      </c>
      <c r="AE649" s="0" t="n">
        <v>0</v>
      </c>
      <c r="AF649" s="0" t="s">
        <v>5976</v>
      </c>
      <c r="AG649" s="0" t="n">
        <v>0</v>
      </c>
      <c r="AH649" s="0" t="s">
        <v>5977</v>
      </c>
      <c r="AI649" s="0" t="s">
        <v>5978</v>
      </c>
      <c r="AJ649" s="0" t="s">
        <v>248</v>
      </c>
      <c r="AL649" s="0" t="s">
        <v>5979</v>
      </c>
      <c r="AM649" s="0" t="n">
        <v>1</v>
      </c>
      <c r="AN649" s="0" t="s">
        <v>5977</v>
      </c>
      <c r="AO649" s="0" t="s">
        <v>5978</v>
      </c>
      <c r="AP649" s="0" t="s">
        <v>248</v>
      </c>
      <c r="AR649" s="0" t="s">
        <v>5980</v>
      </c>
      <c r="AS649" s="0" t="n">
        <v>1</v>
      </c>
      <c r="AT649" s="0" t="s">
        <v>5977</v>
      </c>
      <c r="AU649" s="0" t="s">
        <v>5978</v>
      </c>
      <c r="AV649" s="0" t="s">
        <v>248</v>
      </c>
      <c r="BR649" s="0" t="n">
        <v>1</v>
      </c>
      <c r="BS649" s="0" t="s">
        <v>1181</v>
      </c>
      <c r="BV649" s="123"/>
      <c r="BW649" s="123"/>
      <c r="BX649" s="123"/>
      <c r="BY649" s="123"/>
      <c r="CA649" s="0" t="s">
        <v>5981</v>
      </c>
      <c r="CD649" s="0" t="s">
        <v>216</v>
      </c>
      <c r="CE649" s="0" t="n">
        <v>0</v>
      </c>
      <c r="CF649" s="0" t="s">
        <v>1651</v>
      </c>
      <c r="CG649" s="0" t="s">
        <v>216</v>
      </c>
      <c r="CH649" s="0" t="s">
        <v>216</v>
      </c>
      <c r="CI649" s="1" t="n">
        <v>38164</v>
      </c>
      <c r="CJ649" s="1" t="n">
        <v>40735</v>
      </c>
      <c r="CK649" s="124" t="n">
        <v>0.354166666666667</v>
      </c>
      <c r="CL649" s="0" t="s">
        <v>5979</v>
      </c>
      <c r="CM649" s="0" t="n">
        <f aca="false">IF(OR(CI649="",CJ649=""),"",DAYS360(CI649,CJ649)/360)</f>
        <v>7.04166666666667</v>
      </c>
      <c r="CN649" s="0" t="n">
        <f aca="false">IF(OR(CI649="",CJ649=""),"",DAYS360(CI649,CJ649)/30)</f>
        <v>84.5</v>
      </c>
      <c r="CO649" s="0" t="n">
        <f aca="false">IF(OR(CI649="",CJ649=""),"",DAYS360(CI649,CJ649)/7)</f>
        <v>362.142857142857</v>
      </c>
      <c r="CP649" s="0" t="n">
        <f aca="false">IF(OR(CI649="",CJ649=""),"",DAYS360(CI649,CJ649))</f>
        <v>2535</v>
      </c>
      <c r="CQ649" s="0" t="s">
        <v>220</v>
      </c>
      <c r="CR649" s="0" t="n">
        <v>1</v>
      </c>
      <c r="CT649" s="0" t="n">
        <v>150.85</v>
      </c>
      <c r="CU649" s="0" t="n">
        <v>0</v>
      </c>
      <c r="CV649" s="0" t="n">
        <f aca="false">IF(OR(CT649="",CT649="NO ESPECIFICA",CT649="NO MENCIONA"),"",IF(CU649=0,CT649,IF(CU649=1,CT649/30,IF(CU649=2,CT649/15,IF(CU649=3,CT649/7,"")))))</f>
        <v>150.85</v>
      </c>
      <c r="CW649" s="125" t="n">
        <v>159.57</v>
      </c>
      <c r="CX649" s="0" t="n">
        <v>0</v>
      </c>
      <c r="CY649" s="0" t="n">
        <f aca="false">IF(CW649="","",IF(CX649=0,CW649,IF(CX649=1,CW649/30,IF(CX649=2,CW649/15,IF(CX649=3,CW649/7,CW649)))))</f>
        <v>159.57</v>
      </c>
      <c r="CZ649" s="0" t="n">
        <f aca="false">IF(DI649&gt;0,DI649,IF(CY649&gt;0,CY649,IF(CV649&gt;0,CV649,"")))</f>
        <v>159.57</v>
      </c>
      <c r="DA649" s="0" t="n">
        <f aca="false">IF(DM649=1,CZ649/8,IF(OR(DM649=2,DM649=4),CZ649/7,IF(DM649=3,CZ649/7.5,"")))</f>
        <v>19.94625</v>
      </c>
      <c r="DB649" s="0" t="s">
        <v>302</v>
      </c>
      <c r="DC649" s="0" t="s">
        <v>303</v>
      </c>
      <c r="DD649" s="0" t="s">
        <v>301</v>
      </c>
      <c r="DE649" s="0" t="s">
        <v>216</v>
      </c>
      <c r="DF649" s="0" t="s">
        <v>216</v>
      </c>
      <c r="DG649" s="0" t="s">
        <v>216</v>
      </c>
      <c r="DH649" s="0" t="n">
        <v>0</v>
      </c>
      <c r="DI649" s="126" t="n">
        <v>159.57</v>
      </c>
      <c r="DK649" s="0" t="n">
        <v>0</v>
      </c>
      <c r="DM649" s="0" t="n">
        <v>1</v>
      </c>
      <c r="DN649" s="0" t="n">
        <v>10</v>
      </c>
      <c r="DO649" s="0" t="n">
        <v>0</v>
      </c>
      <c r="DP649" s="0" t="n">
        <v>1</v>
      </c>
      <c r="DQ649" s="0" t="n">
        <v>1</v>
      </c>
      <c r="DR649" s="0"/>
      <c r="DS649" s="0" t="n">
        <v>1</v>
      </c>
      <c r="DU649" s="0" t="n">
        <v>1</v>
      </c>
      <c r="DW649" s="1" t="n">
        <v>38164</v>
      </c>
      <c r="DX649" s="1" t="n">
        <v>40735</v>
      </c>
      <c r="DZ649" s="0"/>
      <c r="EA649" s="0" t="n">
        <v>1</v>
      </c>
      <c r="EC649" s="1" t="n">
        <v>38164</v>
      </c>
      <c r="ED649" s="1" t="n">
        <v>40735</v>
      </c>
      <c r="EF649" s="0"/>
      <c r="EG649" s="0" t="n">
        <v>1</v>
      </c>
      <c r="EH649" s="0" t="n">
        <v>12</v>
      </c>
      <c r="EI649" s="0" t="str">
        <f aca="false">IF(AND(DM649=1,DN649&lt;=48),"",IF(AND(DM649=2,DN649&lt;=42),"",IF(AND(DM649=3,DN649&lt;=45),"",EH649)))</f>
        <v/>
      </c>
      <c r="EJ649" s="0" t="str">
        <f aca="false">IF(EI649="","",IF(EI649&lt;9,EI649,9))</f>
        <v/>
      </c>
      <c r="EK649" s="0" t="str">
        <f aca="false">IF(EI649="","",IF(EI649&gt;9,EI649-EJ649,0))</f>
        <v/>
      </c>
      <c r="EL649" s="0" t="str">
        <f aca="false">IF(EI649="","",EJ649*DA649*2+EK649*DA649*3)</f>
        <v/>
      </c>
      <c r="EP649" s="0" t="n">
        <v>1</v>
      </c>
      <c r="EQ649" s="0"/>
      <c r="ER649" s="0" t="n">
        <v>0</v>
      </c>
      <c r="ET649" s="0" t="n">
        <v>0</v>
      </c>
      <c r="EV649" s="0" t="n">
        <v>0</v>
      </c>
      <c r="EX649" s="0" t="n">
        <v>1</v>
      </c>
      <c r="EY649" s="0" t="n">
        <v>0</v>
      </c>
      <c r="EZ649" s="0"/>
      <c r="FA649" s="0"/>
      <c r="FB649" s="0" t="n">
        <v>1</v>
      </c>
      <c r="FC649" s="1" t="n">
        <v>41103</v>
      </c>
      <c r="FD649" s="0" t="n">
        <v>1</v>
      </c>
      <c r="FE649" s="0" t="n">
        <v>15000</v>
      </c>
      <c r="FF649" s="120" t="n">
        <f aca="false">(CJ649-CI649+1)/365</f>
        <v>7.04657534246575</v>
      </c>
      <c r="FG649" s="0" t="str">
        <f aca="false">CONCATENATE(F649,"/",G649)</f>
        <v>1376/2011</v>
      </c>
      <c r="FH649" s="0" t="n">
        <v>1</v>
      </c>
      <c r="FI649" s="0" t="n">
        <f aca="false">IFERROR(IF((FC649-J649+1)/365&gt;3,0,1),"")</f>
        <v>1</v>
      </c>
    </row>
    <row r="650" customFormat="false" ht="15" hidden="false" customHeight="false" outlineLevel="0" collapsed="false">
      <c r="A650" s="5" t="str">
        <f aca="false">E650&amp;G650&amp;F650</f>
        <v>720111377</v>
      </c>
      <c r="B650" s="0" t="s">
        <v>5963</v>
      </c>
      <c r="C650" s="1" t="n">
        <v>42361</v>
      </c>
      <c r="D650" s="0" t="s">
        <v>3265</v>
      </c>
      <c r="E650" s="0" t="n">
        <v>7</v>
      </c>
      <c r="F650" s="0" t="n">
        <v>1377</v>
      </c>
      <c r="G650" s="0" t="n">
        <v>2011</v>
      </c>
      <c r="H650" s="0" t="str">
        <f aca="false">"J"&amp;E650&amp;"\"&amp;F650&amp;"\"&amp;G650&amp;"\"&amp;W650</f>
        <v>J7\1377\2011\1</v>
      </c>
      <c r="I650" s="0"/>
      <c r="J650" s="1" t="n">
        <v>40767</v>
      </c>
      <c r="K650" s="0" t="n">
        <v>0</v>
      </c>
      <c r="M650" s="1" t="s">
        <v>216</v>
      </c>
      <c r="N650" s="1" t="s">
        <v>216</v>
      </c>
      <c r="O650" s="1"/>
      <c r="P650" s="1"/>
      <c r="Q650" s="1"/>
      <c r="T650" s="121"/>
      <c r="U650" s="121"/>
      <c r="V650" s="122" t="n">
        <f aca="false">IF(AND(E650&gt;0,F650&gt;0,G650&gt;0),COUNTIFS($E:$E,E650,$F:$F,F650,$G:$G,G650),"")</f>
        <v>1</v>
      </c>
      <c r="W650" s="122" t="n">
        <f aca="false">IF(V650="","",IF(V650=1,1,IF(AND(E649=E650,F649=F650,G649=G650),W649+1,1)))</f>
        <v>1</v>
      </c>
      <c r="X650" s="0" t="n">
        <v>1</v>
      </c>
      <c r="Y650" s="0" t="n">
        <v>1</v>
      </c>
      <c r="Z650" s="0" t="s">
        <v>5982</v>
      </c>
      <c r="AA650" s="0" t="n">
        <v>0</v>
      </c>
      <c r="AB650" s="0" t="s">
        <v>5983</v>
      </c>
      <c r="AC650" s="0" t="s">
        <v>216</v>
      </c>
      <c r="AD650" s="0" t="s">
        <v>519</v>
      </c>
      <c r="AE650" s="0" t="n">
        <v>0</v>
      </c>
      <c r="AF650" s="0" t="s">
        <v>5984</v>
      </c>
      <c r="AG650" s="0" t="n">
        <v>0</v>
      </c>
      <c r="AH650" s="0" t="s">
        <v>5985</v>
      </c>
      <c r="AI650" s="0" t="s">
        <v>251</v>
      </c>
      <c r="AJ650" s="0" t="s">
        <v>216</v>
      </c>
      <c r="BR650" s="0" t="n">
        <v>1</v>
      </c>
      <c r="BS650" s="0" t="s">
        <v>5986</v>
      </c>
      <c r="BT650" s="0" t="s">
        <v>5987</v>
      </c>
      <c r="BU650" s="0" t="s">
        <v>5988</v>
      </c>
      <c r="BV650" s="123"/>
      <c r="BW650" s="123"/>
      <c r="BX650" s="123"/>
      <c r="BY650" s="123"/>
      <c r="CA650" s="0" t="s">
        <v>5989</v>
      </c>
      <c r="CD650" s="0" t="s">
        <v>216</v>
      </c>
      <c r="CE650" s="0" t="n">
        <v>0</v>
      </c>
      <c r="CF650" s="0" t="s">
        <v>5990</v>
      </c>
      <c r="CG650" s="0" t="s">
        <v>216</v>
      </c>
      <c r="CH650" s="0" t="s">
        <v>216</v>
      </c>
      <c r="CI650" s="1" t="n">
        <v>39625</v>
      </c>
      <c r="CJ650" s="1" t="n">
        <v>40724</v>
      </c>
      <c r="CK650" s="124" t="n">
        <v>0.458333333333333</v>
      </c>
      <c r="CL650" s="0" t="s">
        <v>5991</v>
      </c>
      <c r="CM650" s="0" t="n">
        <f aca="false">IF(OR(CI650="",CJ650=""),"",DAYS360(CI650,CJ650)/360)</f>
        <v>3.01111111111111</v>
      </c>
      <c r="CN650" s="0" t="n">
        <f aca="false">IF(OR(CI650="",CJ650=""),"",DAYS360(CI650,CJ650)/30)</f>
        <v>36.1333333333333</v>
      </c>
      <c r="CO650" s="0" t="n">
        <f aca="false">IF(OR(CI650="",CJ650=""),"",DAYS360(CI650,CJ650)/7)</f>
        <v>154.857142857143</v>
      </c>
      <c r="CP650" s="0" t="n">
        <f aca="false">IF(OR(CI650="",CJ650=""),"",DAYS360(CI650,CJ650))</f>
        <v>1084</v>
      </c>
      <c r="CQ650" s="0" t="s">
        <v>240</v>
      </c>
      <c r="CR650" s="0" t="n">
        <v>1</v>
      </c>
      <c r="CT650" s="0" t="n">
        <v>3375</v>
      </c>
      <c r="CU650" s="0" t="n">
        <v>2</v>
      </c>
      <c r="CV650" s="0" t="n">
        <f aca="false">IF(OR(CT650="",CT650="NO ESPECIFICA",CT650="NO MENCIONA"),"",IF(CU650=0,CT650,IF(CU650=1,CT650/30,IF(CU650=2,CT650/15,IF(CU650=3,CT650/7,"")))))</f>
        <v>225</v>
      </c>
      <c r="CW650" s="125" t="n">
        <v>3375</v>
      </c>
      <c r="CX650" s="0" t="n">
        <v>2</v>
      </c>
      <c r="CY650" s="0" t="n">
        <f aca="false">IF(CW650="","",IF(CX650=0,CW650,IF(CX650=1,CW650/30,IF(CX650=2,CW650/15,IF(CX650=3,CW650/7,CW650)))))</f>
        <v>225</v>
      </c>
      <c r="CZ650" s="0" t="n">
        <f aca="false">IF(DI650&gt;0,DI650,IF(CY650&gt;0,CY650,IF(CV650&gt;0,CV650,"")))</f>
        <v>675</v>
      </c>
      <c r="DA650" s="0" t="n">
        <f aca="false">IF(DM650=1,CZ650/8,IF(OR(DM650=2,DM650=4),CZ650/7,IF(DM650=3,CZ650/7.5,"")))</f>
        <v>84.375</v>
      </c>
      <c r="DB650" s="0" t="s">
        <v>216</v>
      </c>
      <c r="DC650" s="0" t="s">
        <v>216</v>
      </c>
      <c r="DD650" s="0" t="s">
        <v>216</v>
      </c>
      <c r="DE650" s="0" t="s">
        <v>216</v>
      </c>
      <c r="DF650" s="0" t="s">
        <v>216</v>
      </c>
      <c r="DG650" s="0" t="s">
        <v>216</v>
      </c>
      <c r="DH650" s="0" t="n">
        <v>0</v>
      </c>
      <c r="DI650" s="126" t="n">
        <v>675</v>
      </c>
      <c r="DK650" s="0" t="n">
        <v>0</v>
      </c>
      <c r="DM650" s="0" t="n">
        <v>1</v>
      </c>
      <c r="DN650" s="0" t="n">
        <v>9</v>
      </c>
      <c r="DO650" s="0" t="n">
        <v>0</v>
      </c>
      <c r="DP650" s="0" t="n">
        <v>0</v>
      </c>
      <c r="DQ650" s="0" t="n">
        <v>1</v>
      </c>
      <c r="DR650" s="0"/>
      <c r="DS650" s="0" t="n">
        <v>1</v>
      </c>
      <c r="DU650" s="0" t="n">
        <v>1</v>
      </c>
      <c r="DW650" s="1" t="n">
        <v>39625</v>
      </c>
      <c r="DX650" s="1" t="n">
        <v>40724</v>
      </c>
      <c r="DZ650" s="0"/>
      <c r="EA650" s="0" t="n">
        <v>0</v>
      </c>
      <c r="EC650" s="1" t="n">
        <v>39625</v>
      </c>
      <c r="ED650" s="1" t="n">
        <v>40724</v>
      </c>
      <c r="EF650" s="0"/>
      <c r="EG650" s="0" t="n">
        <v>1</v>
      </c>
      <c r="EH650" s="0" t="n">
        <v>5</v>
      </c>
      <c r="EI650" s="0" t="str">
        <f aca="false">IF(AND(DM650=1,DN650&lt;=48),"",IF(AND(DM650=2,DN650&lt;=42),"",IF(AND(DM650=3,DN650&lt;=45),"",EH650)))</f>
        <v/>
      </c>
      <c r="EJ650" s="0" t="str">
        <f aca="false">IF(EI650="","",IF(EI650&lt;9,EI650,9))</f>
        <v/>
      </c>
      <c r="EK650" s="0" t="str">
        <f aca="false">IF(EI650="","",IF(EI650&gt;9,EI650-EJ650,0))</f>
        <v/>
      </c>
      <c r="EL650" s="0" t="str">
        <f aca="false">IF(EI650="","",EJ650*DA650*2+EK650*DA650*3)</f>
        <v/>
      </c>
      <c r="EP650" s="0" t="n">
        <v>1</v>
      </c>
      <c r="EQ650" s="0"/>
      <c r="ER650" s="0" t="n">
        <v>0</v>
      </c>
      <c r="ET650" s="0" t="n">
        <v>0</v>
      </c>
      <c r="EV650" s="0" t="n">
        <v>0</v>
      </c>
      <c r="EX650" s="0" t="n">
        <v>0</v>
      </c>
      <c r="EY650" s="0" t="n">
        <v>1</v>
      </c>
      <c r="EZ650" s="0"/>
      <c r="FA650" s="0"/>
      <c r="FB650" s="0" t="n">
        <v>0</v>
      </c>
      <c r="FC650" s="1" t="n">
        <v>40996</v>
      </c>
      <c r="FD650" s="0" t="n">
        <v>1</v>
      </c>
      <c r="FE650" s="0" t="n">
        <v>5250</v>
      </c>
      <c r="FF650" s="120" t="n">
        <f aca="false">(CJ650-CI650+1)/365</f>
        <v>3.01369863013699</v>
      </c>
      <c r="FG650" s="0" t="str">
        <f aca="false">CONCATENATE(F650,"/",G650)</f>
        <v>1377/2011</v>
      </c>
      <c r="FH650" s="0" t="n">
        <v>1</v>
      </c>
      <c r="FI650" s="0" t="n">
        <f aca="false">IFERROR(IF((FC650-J650+1)/365&gt;3,0,1),"")</f>
        <v>1</v>
      </c>
    </row>
    <row r="651" customFormat="false" ht="15" hidden="false" customHeight="false" outlineLevel="0" collapsed="false">
      <c r="A651" s="5" t="str">
        <f aca="false">E651&amp;G651&amp;F651</f>
        <v>720111380</v>
      </c>
      <c r="B651" s="0" t="s">
        <v>5963</v>
      </c>
      <c r="C651" s="1" t="n">
        <v>42362</v>
      </c>
      <c r="D651" s="0" t="s">
        <v>3265</v>
      </c>
      <c r="E651" s="0" t="n">
        <v>7</v>
      </c>
      <c r="F651" s="0" t="n">
        <v>1380</v>
      </c>
      <c r="G651" s="0" t="n">
        <v>2011</v>
      </c>
      <c r="H651" s="0" t="str">
        <f aca="false">"J"&amp;E651&amp;"\"&amp;F651&amp;"\"&amp;G651&amp;"\"&amp;W651</f>
        <v>J7\1380\2011\1</v>
      </c>
      <c r="I651" s="0"/>
      <c r="J651" s="1" t="n">
        <v>40767</v>
      </c>
      <c r="K651" s="0" t="n">
        <v>0</v>
      </c>
      <c r="M651" s="1" t="s">
        <v>216</v>
      </c>
      <c r="N651" s="1" t="s">
        <v>216</v>
      </c>
      <c r="O651" s="1"/>
      <c r="P651" s="1"/>
      <c r="Q651" s="1"/>
      <c r="T651" s="121"/>
      <c r="U651" s="121"/>
      <c r="V651" s="122" t="n">
        <f aca="false">IF(AND(E651&gt;0,F651&gt;0,G651&gt;0),COUNTIFS($E:$E,E651,$F:$F,F651,$G:$G,G651),"")</f>
        <v>1</v>
      </c>
      <c r="W651" s="122" t="n">
        <f aca="false">IF(V651="","",IF(V651=1,1,IF(AND(E650=E651,F650=F651,G650=G651),W650+1,1)))</f>
        <v>1</v>
      </c>
      <c r="X651" s="0" t="n">
        <v>1</v>
      </c>
      <c r="Y651" s="0" t="n">
        <v>8</v>
      </c>
      <c r="Z651" s="0" t="s">
        <v>5992</v>
      </c>
      <c r="AA651" s="0" t="n">
        <v>0</v>
      </c>
      <c r="AB651" s="0" t="s">
        <v>5993</v>
      </c>
      <c r="AC651" s="0" t="s">
        <v>1661</v>
      </c>
      <c r="AD651" s="0" t="s">
        <v>229</v>
      </c>
      <c r="AE651" s="0" t="n">
        <v>0</v>
      </c>
      <c r="AF651" s="0" t="s">
        <v>5994</v>
      </c>
      <c r="AG651" s="0" t="n">
        <v>0</v>
      </c>
      <c r="AH651" s="0" t="s">
        <v>5995</v>
      </c>
      <c r="AI651" s="0" t="s">
        <v>5523</v>
      </c>
      <c r="AJ651" s="0" t="s">
        <v>352</v>
      </c>
      <c r="AL651" s="0" t="s">
        <v>5996</v>
      </c>
      <c r="AM651" s="0" t="n">
        <v>0</v>
      </c>
      <c r="AN651" s="0" t="s">
        <v>5995</v>
      </c>
      <c r="AO651" s="0" t="s">
        <v>5523</v>
      </c>
      <c r="AP651" s="0" t="s">
        <v>352</v>
      </c>
      <c r="AR651" s="0" t="s">
        <v>5997</v>
      </c>
      <c r="AS651" s="0" t="n">
        <v>0</v>
      </c>
      <c r="AT651" s="0" t="s">
        <v>5995</v>
      </c>
      <c r="AU651" s="0" t="s">
        <v>5523</v>
      </c>
      <c r="AV651" s="0" t="s">
        <v>352</v>
      </c>
      <c r="AX651" s="0" t="s">
        <v>5998</v>
      </c>
      <c r="AY651" s="0" t="n">
        <v>1</v>
      </c>
      <c r="AZ651" s="0" t="s">
        <v>5995</v>
      </c>
      <c r="BA651" s="0" t="s">
        <v>5523</v>
      </c>
      <c r="BB651" s="0" t="s">
        <v>352</v>
      </c>
      <c r="BD651" s="0" t="s">
        <v>5999</v>
      </c>
      <c r="BE651" s="0" t="n">
        <v>1</v>
      </c>
      <c r="BF651" s="0" t="s">
        <v>5995</v>
      </c>
      <c r="BG651" s="0" t="s">
        <v>5523</v>
      </c>
      <c r="BH651" s="0" t="s">
        <v>352</v>
      </c>
      <c r="BJ651" s="0" t="s">
        <v>6000</v>
      </c>
      <c r="BK651" s="0" t="n">
        <v>1</v>
      </c>
      <c r="BL651" s="0" t="s">
        <v>5995</v>
      </c>
      <c r="BM651" s="0" t="s">
        <v>5523</v>
      </c>
      <c r="BN651" s="0" t="s">
        <v>352</v>
      </c>
      <c r="BR651" s="0" t="n">
        <v>1</v>
      </c>
      <c r="BS651" s="0" t="s">
        <v>6001</v>
      </c>
      <c r="BT651" s="0" t="s">
        <v>6002</v>
      </c>
      <c r="BU651" s="0" t="s">
        <v>6003</v>
      </c>
      <c r="BV651" s="123"/>
      <c r="BW651" s="123"/>
      <c r="BX651" s="123"/>
      <c r="BY651" s="123"/>
      <c r="CA651" s="0" t="s">
        <v>6004</v>
      </c>
      <c r="CD651" s="0" t="s">
        <v>256</v>
      </c>
      <c r="CE651" s="0" t="n">
        <v>0</v>
      </c>
      <c r="CF651" s="0" t="s">
        <v>1508</v>
      </c>
      <c r="CG651" s="0" t="s">
        <v>216</v>
      </c>
      <c r="CH651" s="0" t="s">
        <v>216</v>
      </c>
      <c r="CI651" s="1" t="n">
        <v>39198</v>
      </c>
      <c r="CJ651" s="1" t="n">
        <v>40716</v>
      </c>
      <c r="CK651" s="124" t="n">
        <v>0.333333333333333</v>
      </c>
      <c r="CL651" s="0" t="s">
        <v>5998</v>
      </c>
      <c r="CM651" s="0" t="n">
        <f aca="false">IF(OR(CI651="",CJ651=""),"",DAYS360(CI651,CJ651)/360)</f>
        <v>4.15555555555556</v>
      </c>
      <c r="CN651" s="0" t="n">
        <f aca="false">IF(OR(CI651="",CJ651=""),"",DAYS360(CI651,CJ651)/30)</f>
        <v>49.8666666666667</v>
      </c>
      <c r="CO651" s="0" t="n">
        <f aca="false">IF(OR(CI651="",CJ651=""),"",DAYS360(CI651,CJ651)/7)</f>
        <v>213.714285714286</v>
      </c>
      <c r="CP651" s="0" t="n">
        <f aca="false">IF(OR(CI651="",CJ651=""),"",DAYS360(CI651,CJ651))</f>
        <v>1496</v>
      </c>
      <c r="CQ651" s="0" t="s">
        <v>240</v>
      </c>
      <c r="CR651" s="0" t="n">
        <v>1</v>
      </c>
      <c r="CT651" s="0" t="n">
        <v>2307.46</v>
      </c>
      <c r="CU651" s="0" t="n">
        <v>1</v>
      </c>
      <c r="CV651" s="0" t="n">
        <f aca="false">IF(OR(CT651="",CT651="NO ESPECIFICA",CT651="NO MENCIONA"),"",IF(CU651=0,CT651,IF(CU651=1,CT651/30,IF(CU651=2,CT651/15,IF(CU651=3,CT651/7,"")))))</f>
        <v>76.9153333333333</v>
      </c>
      <c r="CW651" s="125" t="n">
        <v>2307.46</v>
      </c>
      <c r="CX651" s="0" t="n">
        <v>1</v>
      </c>
      <c r="CY651" s="0" t="n">
        <f aca="false">IF(CW651="","",IF(CX651=0,CW651,IF(CX651=1,CW651/30,IF(CX651=2,CW651/15,IF(CX651=3,CW651/7,CW651)))))</f>
        <v>76.9153333333333</v>
      </c>
      <c r="CZ651" s="0" t="n">
        <f aca="false">IF(DI651&gt;0,DI651,IF(CY651&gt;0,CY651,IF(CV651&gt;0,CV651,"")))</f>
        <v>461.49</v>
      </c>
      <c r="DA651" s="0" t="n">
        <f aca="false">IF(DM651=1,CZ651/8,IF(OR(DM651=2,DM651=4),CZ651/7,IF(DM651=3,CZ651/7.5,"")))</f>
        <v>61.532</v>
      </c>
      <c r="DB651" s="0" t="s">
        <v>216</v>
      </c>
      <c r="DC651" s="0" t="s">
        <v>216</v>
      </c>
      <c r="DD651" s="0" t="s">
        <v>216</v>
      </c>
      <c r="DE651" s="0" t="s">
        <v>216</v>
      </c>
      <c r="DF651" s="0" t="s">
        <v>216</v>
      </c>
      <c r="DG651" s="0" t="s">
        <v>216</v>
      </c>
      <c r="DH651" s="0" t="n">
        <v>0</v>
      </c>
      <c r="DI651" s="126" t="n">
        <v>461.49</v>
      </c>
      <c r="DK651" s="0" t="n">
        <v>1</v>
      </c>
      <c r="DM651" s="0" t="n">
        <v>3</v>
      </c>
      <c r="DN651" s="0" t="n">
        <v>9</v>
      </c>
      <c r="DO651" s="0" t="n">
        <v>1</v>
      </c>
      <c r="DP651" s="0" t="n">
        <v>0</v>
      </c>
      <c r="DQ651" s="0" t="n">
        <v>1</v>
      </c>
      <c r="DR651" s="0"/>
      <c r="DS651" s="0" t="n">
        <v>0</v>
      </c>
      <c r="DU651" s="0" t="n">
        <v>1</v>
      </c>
      <c r="DW651" s="1" t="n">
        <v>39198</v>
      </c>
      <c r="DX651" s="1" t="n">
        <v>40716</v>
      </c>
      <c r="DZ651" s="0"/>
      <c r="EA651" s="0" t="n">
        <v>1</v>
      </c>
      <c r="EC651" s="1" t="n">
        <v>39083</v>
      </c>
      <c r="ED651" s="1" t="n">
        <v>40716</v>
      </c>
      <c r="EF651" s="0"/>
      <c r="EG651" s="0" t="n">
        <v>1</v>
      </c>
      <c r="EH651" s="0" t="n">
        <v>3</v>
      </c>
      <c r="EI651" s="0" t="str">
        <f aca="false">IF(AND(DM651=1,DN651&lt;=48),"",IF(AND(DM651=2,DN651&lt;=42),"",IF(AND(DM651=3,DN651&lt;=45),"",EH651)))</f>
        <v/>
      </c>
      <c r="EJ651" s="0" t="str">
        <f aca="false">IF(EI651="","",IF(EI651&lt;9,EI651,9))</f>
        <v/>
      </c>
      <c r="EK651" s="0" t="str">
        <f aca="false">IF(EI651="","",IF(EI651&gt;9,EI651-EJ651,0))</f>
        <v/>
      </c>
      <c r="EL651" s="0" t="str">
        <f aca="false">IF(EI651="","",EJ651*DA651*2+EK651*DA651*3)</f>
        <v/>
      </c>
      <c r="EP651" s="0" t="n">
        <v>0</v>
      </c>
      <c r="EQ651" s="0"/>
      <c r="ER651" s="0" t="n">
        <v>0</v>
      </c>
      <c r="ET651" s="0" t="n">
        <v>0</v>
      </c>
      <c r="EV651" s="0" t="n">
        <v>0</v>
      </c>
      <c r="EX651" s="0" t="n">
        <v>0</v>
      </c>
      <c r="EY651" s="0" t="n">
        <v>0</v>
      </c>
      <c r="EZ651" s="0"/>
      <c r="FA651" s="0"/>
      <c r="FB651" s="0" t="n">
        <v>1</v>
      </c>
      <c r="FC651" s="1" t="n">
        <v>41099</v>
      </c>
      <c r="FD651" s="0" t="n">
        <v>1</v>
      </c>
      <c r="FE651" s="0" t="n">
        <v>10000</v>
      </c>
      <c r="FF651" s="120" t="n">
        <f aca="false">(CJ651-CI651+1)/365</f>
        <v>4.16164383561644</v>
      </c>
      <c r="FG651" s="0" t="str">
        <f aca="false">CONCATENATE(F651,"/",G651)</f>
        <v>1380/2011</v>
      </c>
      <c r="FH651" s="0" t="n">
        <v>1</v>
      </c>
      <c r="FI651" s="0" t="n">
        <f aca="false">IFERROR(IF((FC651-J651+1)/365&gt;3,0,1),"")</f>
        <v>1</v>
      </c>
    </row>
    <row r="652" customFormat="false" ht="15" hidden="false" customHeight="false" outlineLevel="0" collapsed="false">
      <c r="A652" s="5" t="str">
        <f aca="false">E652&amp;G652&amp;F652</f>
        <v>720111381</v>
      </c>
      <c r="B652" s="0" t="s">
        <v>5963</v>
      </c>
      <c r="C652" s="1" t="n">
        <v>42362</v>
      </c>
      <c r="E652" s="0" t="n">
        <v>7</v>
      </c>
      <c r="F652" s="0" t="n">
        <v>1381</v>
      </c>
      <c r="G652" s="0" t="n">
        <v>2011</v>
      </c>
      <c r="H652" s="0" t="str">
        <f aca="false">"J"&amp;E652&amp;"\"&amp;F652&amp;"\"&amp;G652&amp;"\"&amp;W652</f>
        <v>J7\1381\2011\1</v>
      </c>
      <c r="I652" s="0"/>
      <c r="J652" s="1" t="n">
        <v>40767</v>
      </c>
      <c r="K652" s="0" t="n">
        <v>0</v>
      </c>
      <c r="M652" s="1" t="n">
        <v>40767</v>
      </c>
      <c r="N652" s="1" t="n">
        <v>40968</v>
      </c>
      <c r="O652" s="1"/>
      <c r="P652" s="1"/>
      <c r="Q652" s="1"/>
      <c r="T652" s="121"/>
      <c r="U652" s="121"/>
      <c r="V652" s="122" t="n">
        <f aca="false">IF(AND(E652&gt;0,F652&gt;0,G652&gt;0),COUNTIFS($E:$E,E652,$F:$F,F652,$G:$G,G652),"")</f>
        <v>2</v>
      </c>
      <c r="W652" s="122" t="n">
        <f aca="false">IF(V652="","",IF(V652=1,1,IF(AND(E651=E652,F651=F652,G651=G652),W651+1,1)))</f>
        <v>1</v>
      </c>
      <c r="X652" s="0" t="n">
        <v>2</v>
      </c>
      <c r="Y652" s="0" t="n">
        <v>4</v>
      </c>
      <c r="Z652" s="0" t="s">
        <v>6005</v>
      </c>
      <c r="AA652" s="0" t="n">
        <v>0</v>
      </c>
      <c r="AB652" s="0" t="s">
        <v>6006</v>
      </c>
      <c r="AC652" s="0" t="s">
        <v>287</v>
      </c>
      <c r="AD652" s="0" t="s">
        <v>207</v>
      </c>
      <c r="AE652" s="0" t="n">
        <v>0</v>
      </c>
      <c r="AF652" s="0" t="s">
        <v>6007</v>
      </c>
      <c r="AG652" s="0" t="n">
        <v>0</v>
      </c>
      <c r="AH652" s="0" t="s">
        <v>6008</v>
      </c>
      <c r="AI652" s="0" t="s">
        <v>6009</v>
      </c>
      <c r="AJ652" s="0" t="s">
        <v>659</v>
      </c>
      <c r="AL652" s="0" t="s">
        <v>6010</v>
      </c>
      <c r="AM652" s="0" t="n">
        <v>0</v>
      </c>
      <c r="AN652" s="0" t="s">
        <v>6008</v>
      </c>
      <c r="AO652" s="0" t="s">
        <v>6009</v>
      </c>
      <c r="AP652" s="0" t="s">
        <v>659</v>
      </c>
      <c r="AR652" s="0" t="s">
        <v>6011</v>
      </c>
      <c r="AS652" s="0" t="n">
        <v>1</v>
      </c>
      <c r="AT652" s="0" t="s">
        <v>6008</v>
      </c>
      <c r="AU652" s="0" t="s">
        <v>6009</v>
      </c>
      <c r="AV652" s="0" t="s">
        <v>659</v>
      </c>
      <c r="AX652" s="0" t="s">
        <v>6012</v>
      </c>
      <c r="AY652" s="0" t="n">
        <v>1</v>
      </c>
      <c r="AZ652" s="0" t="s">
        <v>6008</v>
      </c>
      <c r="BA652" s="0" t="s">
        <v>6009</v>
      </c>
      <c r="BB652" s="0" t="s">
        <v>659</v>
      </c>
      <c r="BR652" s="0" t="n">
        <v>1</v>
      </c>
      <c r="BS652" s="0" t="s">
        <v>5593</v>
      </c>
      <c r="BV652" s="123"/>
      <c r="BW652" s="123"/>
      <c r="BX652" s="123"/>
      <c r="BY652" s="123"/>
      <c r="CD652" s="0" t="s">
        <v>3742</v>
      </c>
      <c r="CE652" s="0" t="n">
        <v>0</v>
      </c>
      <c r="CF652" s="0" t="s">
        <v>1042</v>
      </c>
      <c r="CG652" s="0" t="s">
        <v>216</v>
      </c>
      <c r="CH652" s="0" t="s">
        <v>216</v>
      </c>
      <c r="CI652" s="1" t="n">
        <v>33617</v>
      </c>
      <c r="CJ652" s="1" t="n">
        <v>40729</v>
      </c>
      <c r="CK652" s="124" t="n">
        <v>0.333333333333333</v>
      </c>
      <c r="CL652" s="0" t="s">
        <v>6011</v>
      </c>
      <c r="CM652" s="0" t="n">
        <f aca="false">IF(OR(CI652="",CJ652=""),"",DAYS360(CI652,CJ652)/360)</f>
        <v>19.475</v>
      </c>
      <c r="CN652" s="0" t="n">
        <f aca="false">IF(OR(CI652="",CJ652=""),"",DAYS360(CI652,CJ652)/30)</f>
        <v>233.7</v>
      </c>
      <c r="CO652" s="0" t="n">
        <f aca="false">IF(OR(CI652="",CJ652=""),"",DAYS360(CI652,CJ652)/7)</f>
        <v>1001.57142857143</v>
      </c>
      <c r="CP652" s="0" t="n">
        <f aca="false">IF(OR(CI652="",CJ652=""),"",DAYS360(CI652,CJ652))</f>
        <v>7011</v>
      </c>
      <c r="CQ652" s="0" t="s">
        <v>240</v>
      </c>
      <c r="CR652" s="0" t="n">
        <v>1</v>
      </c>
      <c r="CT652" s="0" t="n">
        <v>8500</v>
      </c>
      <c r="CU652" s="0" t="n">
        <v>1</v>
      </c>
      <c r="CV652" s="0" t="n">
        <f aca="false">IF(OR(CT652="",CT652="NO ESPECIFICA",CT652="NO MENCIONA"),"",IF(CU652=0,CT652,IF(CU652=1,CT652/30,IF(CU652=2,CT652/15,IF(CU652=3,CT652/7,"")))))</f>
        <v>283.333333333333</v>
      </c>
      <c r="CW652" s="125" t="n">
        <v>10500</v>
      </c>
      <c r="CX652" s="0" t="n">
        <v>1</v>
      </c>
      <c r="CY652" s="0" t="n">
        <f aca="false">IF(CW652="","",IF(CX652=0,CW652,IF(CX652=1,CW652/30,IF(CX652=2,CW652/15,IF(CX652=3,CW652/7,CW652)))))</f>
        <v>350</v>
      </c>
      <c r="CZ652" s="0" t="n">
        <f aca="false">IF(DI652&gt;0,DI652,IF(CY652&gt;0,CY652,IF(CV652&gt;0,CV652,"")))</f>
        <v>350</v>
      </c>
      <c r="DA652" s="0" t="n">
        <f aca="false">IF(DM652=1,CZ652/8,IF(OR(DM652=2,DM652=4),CZ652/7,IF(DM652=3,CZ652/7.5,"")))</f>
        <v>43.75</v>
      </c>
      <c r="DB652" s="0" t="s">
        <v>417</v>
      </c>
      <c r="DC652" s="0" t="s">
        <v>216</v>
      </c>
      <c r="DD652" s="0" t="s">
        <v>216</v>
      </c>
      <c r="DE652" s="0" t="s">
        <v>216</v>
      </c>
      <c r="DF652" s="0" t="s">
        <v>216</v>
      </c>
      <c r="DG652" s="0" t="s">
        <v>216</v>
      </c>
      <c r="DH652" s="0" t="n">
        <v>0</v>
      </c>
      <c r="DI652" s="126" t="n">
        <v>350</v>
      </c>
      <c r="DK652" s="0" t="n">
        <v>0</v>
      </c>
      <c r="DM652" s="0" t="n">
        <v>1</v>
      </c>
      <c r="DN652" s="0" t="n">
        <v>9</v>
      </c>
      <c r="DO652" s="0" t="n">
        <v>0</v>
      </c>
      <c r="DP652" s="0" t="n">
        <v>0</v>
      </c>
      <c r="DQ652" s="0" t="n">
        <v>1</v>
      </c>
      <c r="DR652" s="0"/>
      <c r="DS652" s="0" t="n">
        <v>1</v>
      </c>
      <c r="DU652" s="0" t="n">
        <v>1</v>
      </c>
      <c r="DW652" s="1" t="n">
        <v>33617</v>
      </c>
      <c r="DX652" s="1" t="n">
        <v>40729</v>
      </c>
      <c r="DZ652" s="0"/>
      <c r="EA652" s="0" t="n">
        <v>1</v>
      </c>
      <c r="EC652" s="1" t="n">
        <v>40179</v>
      </c>
      <c r="ED652" s="1" t="n">
        <v>40729</v>
      </c>
      <c r="EF652" s="0"/>
      <c r="EG652" s="0" t="n">
        <v>1</v>
      </c>
      <c r="EH652" s="0" t="n">
        <v>12</v>
      </c>
      <c r="EI652" s="0" t="str">
        <f aca="false">IF(AND(DM652=1,DN652&lt;=48),"",IF(AND(DM652=2,DN652&lt;=42),"",IF(AND(DM652=3,DN652&lt;=45),"",EH652)))</f>
        <v/>
      </c>
      <c r="EJ652" s="0" t="str">
        <f aca="false">IF(EI652="","",IF(EI652&lt;9,EI652,9))</f>
        <v/>
      </c>
      <c r="EK652" s="0" t="str">
        <f aca="false">IF(EI652="","",IF(EI652&gt;9,EI652-EJ652,0))</f>
        <v/>
      </c>
      <c r="EL652" s="0" t="str">
        <f aca="false">IF(EI652="","",EJ652*DA652*2+EK652*DA652*3)</f>
        <v/>
      </c>
      <c r="EP652" s="0" t="n">
        <v>0</v>
      </c>
      <c r="EQ652" s="0"/>
      <c r="ER652" s="0" t="n">
        <v>0</v>
      </c>
      <c r="ET652" s="0" t="n">
        <v>0</v>
      </c>
      <c r="EV652" s="0" t="n">
        <v>0</v>
      </c>
      <c r="EX652" s="0" t="n">
        <v>1</v>
      </c>
      <c r="EY652" s="0" t="n">
        <v>0</v>
      </c>
      <c r="EZ652" s="0"/>
      <c r="FA652" s="4" t="n">
        <v>14600</v>
      </c>
      <c r="FB652" s="0" t="n">
        <v>1</v>
      </c>
      <c r="FC652" s="1"/>
      <c r="FF652" s="120" t="n">
        <f aca="false">(CJ652-CI652+1)/365</f>
        <v>19.4876712328767</v>
      </c>
      <c r="FG652" s="0" t="str">
        <f aca="false">CONCATENATE(F652,"/",G652)</f>
        <v>1381/2011</v>
      </c>
      <c r="FH652" s="0" t="n">
        <v>1</v>
      </c>
      <c r="FI652" s="0" t="n">
        <f aca="false">IFERROR(IF((FC652-J652+1)/365&gt;3,0,1),"")</f>
        <v>1</v>
      </c>
    </row>
    <row r="653" customFormat="false" ht="15" hidden="false" customHeight="false" outlineLevel="0" collapsed="false">
      <c r="A653" s="5" t="str">
        <f aca="false">E653&amp;G653&amp;F653</f>
        <v>720111381</v>
      </c>
      <c r="B653" s="0" t="s">
        <v>5963</v>
      </c>
      <c r="C653" s="1" t="n">
        <v>42362</v>
      </c>
      <c r="E653" s="0" t="n">
        <v>7</v>
      </c>
      <c r="F653" s="0" t="n">
        <v>1381</v>
      </c>
      <c r="G653" s="0" t="n">
        <v>2011</v>
      </c>
      <c r="H653" s="0" t="str">
        <f aca="false">"J"&amp;E653&amp;"\"&amp;F653&amp;"\"&amp;G653&amp;"\"&amp;W653</f>
        <v>J7\1381\2011\2</v>
      </c>
      <c r="I653" s="0"/>
      <c r="J653" s="1" t="n">
        <v>40767</v>
      </c>
      <c r="K653" s="0" t="n">
        <v>0</v>
      </c>
      <c r="M653" s="1" t="n">
        <v>40767</v>
      </c>
      <c r="N653" s="1" t="n">
        <v>40968</v>
      </c>
      <c r="O653" s="1"/>
      <c r="P653" s="1"/>
      <c r="Q653" s="1"/>
      <c r="T653" s="121"/>
      <c r="U653" s="121"/>
      <c r="V653" s="122" t="n">
        <f aca="false">IF(AND(E653&gt;0,F653&gt;0,G653&gt;0),COUNTIFS($E:$E,E653,$F:$F,F653,$G:$G,G653),"")</f>
        <v>2</v>
      </c>
      <c r="W653" s="122" t="n">
        <f aca="false">IF(V653="","",IF(V653=1,1,IF(AND(E652=E653,F652=F653,G652=G653),W652+1,1)))</f>
        <v>2</v>
      </c>
      <c r="X653" s="0" t="n">
        <v>2</v>
      </c>
      <c r="Y653" s="0" t="n">
        <v>4</v>
      </c>
      <c r="Z653" s="0" t="s">
        <v>6013</v>
      </c>
      <c r="AA653" s="0" t="n">
        <v>0</v>
      </c>
      <c r="AB653" s="0" t="s">
        <v>6006</v>
      </c>
      <c r="AC653" s="0" t="s">
        <v>287</v>
      </c>
      <c r="AD653" s="0" t="s">
        <v>207</v>
      </c>
      <c r="AE653" s="0" t="n">
        <v>0</v>
      </c>
      <c r="AF653" s="0" t="s">
        <v>6007</v>
      </c>
      <c r="AG653" s="0" t="n">
        <v>0</v>
      </c>
      <c r="AH653" s="0" t="s">
        <v>6008</v>
      </c>
      <c r="AI653" s="0" t="s">
        <v>6009</v>
      </c>
      <c r="AJ653" s="0" t="s">
        <v>659</v>
      </c>
      <c r="AL653" s="0" t="s">
        <v>6010</v>
      </c>
      <c r="AM653" s="0" t="n">
        <v>0</v>
      </c>
      <c r="AN653" s="0" t="s">
        <v>6008</v>
      </c>
      <c r="AO653" s="0" t="s">
        <v>6009</v>
      </c>
      <c r="AP653" s="0" t="s">
        <v>659</v>
      </c>
      <c r="AR653" s="0" t="s">
        <v>6011</v>
      </c>
      <c r="AS653" s="0" t="n">
        <v>1</v>
      </c>
      <c r="AT653" s="0" t="s">
        <v>6008</v>
      </c>
      <c r="AU653" s="0" t="s">
        <v>6009</v>
      </c>
      <c r="AV653" s="0" t="s">
        <v>659</v>
      </c>
      <c r="AX653" s="0" t="s">
        <v>6012</v>
      </c>
      <c r="AY653" s="0" t="n">
        <v>1</v>
      </c>
      <c r="AZ653" s="0" t="s">
        <v>6008</v>
      </c>
      <c r="BA653" s="0" t="s">
        <v>6009</v>
      </c>
      <c r="BB653" s="0" t="s">
        <v>659</v>
      </c>
      <c r="BR653" s="0" t="n">
        <v>1</v>
      </c>
      <c r="BS653" s="0" t="s">
        <v>5593</v>
      </c>
      <c r="BV653" s="123"/>
      <c r="BW653" s="123"/>
      <c r="BX653" s="123"/>
      <c r="BY653" s="123"/>
      <c r="CD653" s="0" t="s">
        <v>3742</v>
      </c>
      <c r="CE653" s="0" t="n">
        <v>0</v>
      </c>
      <c r="CF653" s="0" t="s">
        <v>1042</v>
      </c>
      <c r="CG653" s="0" t="s">
        <v>216</v>
      </c>
      <c r="CH653" s="0" t="s">
        <v>216</v>
      </c>
      <c r="CI653" s="1" t="n">
        <v>26414</v>
      </c>
      <c r="CJ653" s="1" t="n">
        <v>40729</v>
      </c>
      <c r="CK653" s="124" t="n">
        <v>0.333333333333333</v>
      </c>
      <c r="CL653" s="0" t="s">
        <v>6011</v>
      </c>
      <c r="CM653" s="0" t="n">
        <f aca="false">IF(OR(CI653="",CJ653=""),"",DAYS360(CI653,CJ653)/360)</f>
        <v>39.1944444444444</v>
      </c>
      <c r="CN653" s="0" t="n">
        <f aca="false">IF(OR(CI653="",CJ653=""),"",DAYS360(CI653,CJ653)/30)</f>
        <v>470.333333333333</v>
      </c>
      <c r="CO653" s="0" t="n">
        <f aca="false">IF(OR(CI653="",CJ653=""),"",DAYS360(CI653,CJ653)/7)</f>
        <v>2015.71428571429</v>
      </c>
      <c r="CP653" s="0" t="n">
        <f aca="false">IF(OR(CI653="",CJ653=""),"",DAYS360(CI653,CJ653))</f>
        <v>14110</v>
      </c>
      <c r="CQ653" s="0" t="s">
        <v>240</v>
      </c>
      <c r="CR653" s="0" t="n">
        <v>1</v>
      </c>
      <c r="CT653" s="0" t="n">
        <v>9500</v>
      </c>
      <c r="CU653" s="0" t="n">
        <v>1</v>
      </c>
      <c r="CV653" s="0" t="n">
        <f aca="false">IF(OR(CT653="",CT653="NO ESPECIFICA",CT653="NO MENCIONA"),"",IF(CU653=0,CT653,IF(CU653=1,CT653/30,IF(CU653=2,CT653/15,IF(CU653=3,CT653/7,"")))))</f>
        <v>316.666666666667</v>
      </c>
      <c r="CW653" s="125" t="n">
        <v>12000</v>
      </c>
      <c r="CX653" s="0" t="n">
        <v>1</v>
      </c>
      <c r="CY653" s="0" t="n">
        <f aca="false">IF(CW653="","",IF(CX653=0,CW653,IF(CX653=1,CW653/30,IF(CX653=2,CW653/15,IF(CX653=3,CW653/7,CW653)))))</f>
        <v>400</v>
      </c>
      <c r="CZ653" s="0" t="n">
        <f aca="false">IF(DI653&gt;0,DI653,IF(CY653&gt;0,CY653,IF(CV653&gt;0,CV653,"")))</f>
        <v>400</v>
      </c>
      <c r="DA653" s="0" t="n">
        <f aca="false">IF(DM653=1,CZ653/8,IF(OR(DM653=2,DM653=4),CZ653/7,IF(DM653=3,CZ653/7.5,"")))</f>
        <v>50</v>
      </c>
      <c r="DB653" s="0" t="s">
        <v>417</v>
      </c>
      <c r="DC653" s="0" t="s">
        <v>216</v>
      </c>
      <c r="DD653" s="0" t="s">
        <v>216</v>
      </c>
      <c r="DE653" s="0" t="s">
        <v>216</v>
      </c>
      <c r="DF653" s="0" t="s">
        <v>216</v>
      </c>
      <c r="DG653" s="0" t="s">
        <v>216</v>
      </c>
      <c r="DH653" s="0" t="n">
        <v>0</v>
      </c>
      <c r="DI653" s="126" t="n">
        <v>400</v>
      </c>
      <c r="DK653" s="0" t="n">
        <v>0</v>
      </c>
      <c r="DM653" s="0" t="n">
        <v>1</v>
      </c>
      <c r="DN653" s="0" t="n">
        <v>9</v>
      </c>
      <c r="DO653" s="0" t="n">
        <v>0</v>
      </c>
      <c r="DP653" s="0" t="n">
        <v>0</v>
      </c>
      <c r="DQ653" s="0" t="n">
        <v>1</v>
      </c>
      <c r="DR653" s="0"/>
      <c r="DS653" s="0" t="n">
        <v>1</v>
      </c>
      <c r="DU653" s="0" t="n">
        <v>1</v>
      </c>
      <c r="DW653" s="1" t="n">
        <v>26414</v>
      </c>
      <c r="DX653" s="1" t="n">
        <v>40729</v>
      </c>
      <c r="DZ653" s="0"/>
      <c r="EA653" s="0" t="n">
        <v>1</v>
      </c>
      <c r="EC653" s="1" t="n">
        <v>40179</v>
      </c>
      <c r="ED653" s="1" t="n">
        <v>40729</v>
      </c>
      <c r="EF653" s="0"/>
      <c r="EG653" s="0" t="n">
        <v>1</v>
      </c>
      <c r="EH653" s="0" t="n">
        <v>12</v>
      </c>
      <c r="EI653" s="0" t="str">
        <f aca="false">IF(AND(DM653=1,DN653&lt;=48),"",IF(AND(DM653=2,DN653&lt;=42),"",IF(AND(DM653=3,DN653&lt;=45),"",EH653)))</f>
        <v/>
      </c>
      <c r="EJ653" s="0" t="str">
        <f aca="false">IF(EI653="","",IF(EI653&lt;9,EI653,9))</f>
        <v/>
      </c>
      <c r="EK653" s="0" t="str">
        <f aca="false">IF(EI653="","",IF(EI653&gt;9,EI653-EJ653,0))</f>
        <v/>
      </c>
      <c r="EL653" s="0" t="str">
        <f aca="false">IF(EI653="","",EJ653*DA653*2+EK653*DA653*3)</f>
        <v/>
      </c>
      <c r="EP653" s="0" t="n">
        <v>0</v>
      </c>
      <c r="EQ653" s="0"/>
      <c r="ER653" s="0" t="n">
        <v>0</v>
      </c>
      <c r="ET653" s="0" t="n">
        <v>0</v>
      </c>
      <c r="EV653" s="0" t="n">
        <v>0</v>
      </c>
      <c r="EX653" s="0" t="n">
        <v>1</v>
      </c>
      <c r="EY653" s="0" t="n">
        <v>0</v>
      </c>
      <c r="EZ653" s="0"/>
      <c r="FA653" s="4" t="n">
        <v>15600</v>
      </c>
      <c r="FB653" s="0" t="n">
        <v>1</v>
      </c>
      <c r="FC653" s="1"/>
      <c r="FF653" s="120" t="n">
        <f aca="false">(CJ653-CI653+1)/365</f>
        <v>39.2219178082192</v>
      </c>
      <c r="FG653" s="0" t="str">
        <f aca="false">CONCATENATE(F653,"/",G653)</f>
        <v>1381/2011</v>
      </c>
      <c r="FH653" s="0" t="n">
        <v>1</v>
      </c>
      <c r="FI653" s="0" t="n">
        <f aca="false">IFERROR(IF((FC653-J653+1)/365&gt;3,0,1),"")</f>
        <v>1</v>
      </c>
    </row>
    <row r="654" customFormat="false" ht="15" hidden="false" customHeight="false" outlineLevel="0" collapsed="false">
      <c r="A654" s="5" t="str">
        <f aca="false">E654&amp;G654&amp;F654</f>
        <v>720111383</v>
      </c>
      <c r="B654" s="0" t="s">
        <v>5963</v>
      </c>
      <c r="C654" s="1" t="n">
        <v>42362</v>
      </c>
      <c r="D654" s="0" t="s">
        <v>3265</v>
      </c>
      <c r="E654" s="0" t="n">
        <v>7</v>
      </c>
      <c r="F654" s="0" t="n">
        <v>1383</v>
      </c>
      <c r="G654" s="0" t="n">
        <v>2011</v>
      </c>
      <c r="H654" s="0" t="str">
        <f aca="false">"J"&amp;E654&amp;"\"&amp;F654&amp;"\"&amp;G654&amp;"\"&amp;W654</f>
        <v>J7\1383\2011\1</v>
      </c>
      <c r="I654" s="0"/>
      <c r="J654" s="1" t="n">
        <v>40767</v>
      </c>
      <c r="K654" s="0" t="n">
        <v>0</v>
      </c>
      <c r="M654" s="1" t="s">
        <v>216</v>
      </c>
      <c r="N654" s="1" t="s">
        <v>216</v>
      </c>
      <c r="O654" s="1"/>
      <c r="P654" s="1"/>
      <c r="Q654" s="1"/>
      <c r="T654" s="121"/>
      <c r="U654" s="121"/>
      <c r="V654" s="122" t="n">
        <f aca="false">IF(AND(E654&gt;0,F654&gt;0,G654&gt;0),COUNTIFS($E:$E,E654,$F:$F,F654,$G:$G,G654),"")</f>
        <v>1</v>
      </c>
      <c r="W654" s="122" t="n">
        <f aca="false">IF(V654="","",IF(V654=1,1,IF(AND(E653=E654,F653=F654,G653=G654),W653+1,1)))</f>
        <v>1</v>
      </c>
      <c r="X654" s="0" t="n">
        <v>1</v>
      </c>
      <c r="Y654" s="0" t="n">
        <v>2</v>
      </c>
      <c r="Z654" s="0" t="s">
        <v>6014</v>
      </c>
      <c r="AA654" s="0" t="n">
        <v>0</v>
      </c>
      <c r="AB654" s="0" t="s">
        <v>6015</v>
      </c>
      <c r="AC654" s="0" t="s">
        <v>1476</v>
      </c>
      <c r="AD654" s="0" t="s">
        <v>519</v>
      </c>
      <c r="AE654" s="0" t="n">
        <v>0</v>
      </c>
      <c r="AF654" s="0" t="s">
        <v>4640</v>
      </c>
      <c r="AG654" s="0" t="n">
        <v>0</v>
      </c>
      <c r="AH654" s="0" t="s">
        <v>6016</v>
      </c>
      <c r="AI654" s="0" t="s">
        <v>3064</v>
      </c>
      <c r="AJ654" s="0" t="s">
        <v>755</v>
      </c>
      <c r="AL654" s="0" t="s">
        <v>6017</v>
      </c>
      <c r="AM654" s="0" t="n">
        <v>0</v>
      </c>
      <c r="AN654" s="0" t="s">
        <v>6016</v>
      </c>
      <c r="AO654" s="0" t="s">
        <v>3064</v>
      </c>
      <c r="AP654" s="0" t="s">
        <v>755</v>
      </c>
      <c r="BR654" s="0" t="n">
        <v>1</v>
      </c>
      <c r="BS654" s="0" t="s">
        <v>6018</v>
      </c>
      <c r="BV654" s="123"/>
      <c r="BW654" s="123"/>
      <c r="BX654" s="123"/>
      <c r="BY654" s="123"/>
      <c r="CD654" s="0" t="s">
        <v>357</v>
      </c>
      <c r="CE654" s="0" t="n">
        <v>0</v>
      </c>
      <c r="CF654" s="0" t="s">
        <v>6019</v>
      </c>
      <c r="CG654" s="0" t="s">
        <v>216</v>
      </c>
      <c r="CH654" s="0" t="s">
        <v>216</v>
      </c>
      <c r="CI654" s="1" t="n">
        <v>40050</v>
      </c>
      <c r="CJ654" s="1" t="n">
        <v>40711</v>
      </c>
      <c r="CK654" s="124" t="n">
        <v>0.375</v>
      </c>
      <c r="CL654" s="0" t="s">
        <v>6017</v>
      </c>
      <c r="CM654" s="0" t="n">
        <f aca="false">IF(OR(CI654="",CJ654=""),"",DAYS360(CI654,CJ654)/360)</f>
        <v>1.81111111111111</v>
      </c>
      <c r="CN654" s="0" t="n">
        <f aca="false">IF(OR(CI654="",CJ654=""),"",DAYS360(CI654,CJ654)/30)</f>
        <v>21.7333333333333</v>
      </c>
      <c r="CO654" s="0" t="n">
        <f aca="false">IF(OR(CI654="",CJ654=""),"",DAYS360(CI654,CJ654)/7)</f>
        <v>93.1428571428571</v>
      </c>
      <c r="CP654" s="0" t="n">
        <f aca="false">IF(OR(CI654="",CJ654=""),"",DAYS360(CI654,CJ654))</f>
        <v>652</v>
      </c>
      <c r="CQ654" s="0" t="s">
        <v>240</v>
      </c>
      <c r="CR654" s="0" t="n">
        <v>1</v>
      </c>
      <c r="CT654" s="0" t="n">
        <v>228.57</v>
      </c>
      <c r="CU654" s="0" t="n">
        <v>0</v>
      </c>
      <c r="CV654" s="0" t="n">
        <f aca="false">IF(OR(CT654="",CT654="NO ESPECIFICA",CT654="NO MENCIONA"),"",IF(CU654=0,CT654,IF(CU654=1,CT654/30,IF(CU654=2,CT654/15,IF(CU654=3,CT654/7,"")))))</f>
        <v>228.57</v>
      </c>
      <c r="CW654" s="125" t="s">
        <v>216</v>
      </c>
      <c r="CX654" s="0" t="n">
        <v>0</v>
      </c>
      <c r="CY654" s="0" t="str">
        <f aca="false">IF(CW654="","",IF(CX654=0,CW654,IF(CX654=1,CW654/30,IF(CX654=2,CW654/15,IF(CX654=3,CW654/7,CW654)))))</f>
        <v>NO MENCIONA</v>
      </c>
      <c r="CZ654" s="0" t="n">
        <f aca="false">IF(DI654&gt;0,DI654,IF(CY654&gt;0,CY654,IF(CV654&gt;0,CV654,"")))</f>
        <v>228.57</v>
      </c>
      <c r="DA654" s="0" t="n">
        <f aca="false">IF(DM654=1,CZ654/8,IF(OR(DM654=2,DM654=4),CZ654/7,IF(DM654=3,CZ654/7.5,"")))</f>
        <v>28.57125</v>
      </c>
      <c r="DB654" s="0" t="s">
        <v>216</v>
      </c>
      <c r="DC654" s="0" t="s">
        <v>216</v>
      </c>
      <c r="DD654" s="0" t="s">
        <v>216</v>
      </c>
      <c r="DE654" s="0" t="s">
        <v>216</v>
      </c>
      <c r="DF654" s="0" t="s">
        <v>216</v>
      </c>
      <c r="DG654" s="0" t="s">
        <v>216</v>
      </c>
      <c r="DH654" s="0" t="n">
        <v>0</v>
      </c>
      <c r="DI654" s="126" t="n">
        <v>228.57</v>
      </c>
      <c r="DK654" s="0" t="n">
        <v>1</v>
      </c>
      <c r="DM654" s="0" t="n">
        <v>1</v>
      </c>
      <c r="DN654" s="0" t="n">
        <v>9</v>
      </c>
      <c r="DO654" s="0" t="n">
        <v>0</v>
      </c>
      <c r="DP654" s="0" t="n">
        <v>0</v>
      </c>
      <c r="DQ654" s="0" t="n">
        <v>1</v>
      </c>
      <c r="DR654" s="0"/>
      <c r="DS654" s="0" t="n">
        <v>1</v>
      </c>
      <c r="DU654" s="0" t="n">
        <v>0</v>
      </c>
      <c r="DW654" s="1" t="n">
        <v>40544</v>
      </c>
      <c r="DX654" s="1" t="n">
        <v>40711</v>
      </c>
      <c r="DZ654" s="0"/>
      <c r="EA654" s="0" t="n">
        <v>1</v>
      </c>
      <c r="EC654" s="1" t="n">
        <v>39814</v>
      </c>
      <c r="ED654" s="1" t="n">
        <v>40711</v>
      </c>
      <c r="EF654" s="0"/>
      <c r="EG654" s="0" t="n">
        <v>0</v>
      </c>
      <c r="EI654" s="0" t="str">
        <f aca="false">IF(AND(DM654=1,DN654&lt;=48),"",IF(AND(DM654=2,DN654&lt;=42),"",IF(AND(DM654=3,DN654&lt;=45),"",EH654)))</f>
        <v/>
      </c>
      <c r="EJ654" s="0" t="str">
        <f aca="false">IF(EI654="","",IF(EI654&lt;9,EI654,9))</f>
        <v/>
      </c>
      <c r="EK654" s="0" t="str">
        <f aca="false">IF(EI654="","",IF(EI654&gt;9,EI654-EJ654,0))</f>
        <v/>
      </c>
      <c r="EL654" s="0" t="str">
        <f aca="false">IF(EI654="","",EJ654*DA654*2+EK654*DA654*3)</f>
        <v/>
      </c>
      <c r="EP654" s="0" t="n">
        <v>0</v>
      </c>
      <c r="EQ654" s="0"/>
      <c r="ER654" s="0" t="n">
        <v>0</v>
      </c>
      <c r="ET654" s="0" t="n">
        <v>0</v>
      </c>
      <c r="EV654" s="0" t="n">
        <v>0</v>
      </c>
      <c r="EX654" s="0" t="n">
        <v>0</v>
      </c>
      <c r="EY654" s="0" t="n">
        <v>0</v>
      </c>
      <c r="EZ654" s="0"/>
      <c r="FA654" s="0"/>
      <c r="FB654" s="0" t="n">
        <v>1</v>
      </c>
      <c r="FC654" s="1" t="n">
        <v>41059</v>
      </c>
      <c r="FD654" s="0" t="n">
        <v>2</v>
      </c>
      <c r="FE654" s="0" t="n">
        <v>0</v>
      </c>
      <c r="FF654" s="120" t="n">
        <f aca="false">(CJ654-CI654+1)/365</f>
        <v>1.81369863013699</v>
      </c>
      <c r="FG654" s="0" t="str">
        <f aca="false">CONCATENATE(F654,"/",G654)</f>
        <v>1383/2011</v>
      </c>
      <c r="FH654" s="0" t="n">
        <v>1</v>
      </c>
      <c r="FI654" s="0" t="n">
        <f aca="false">IFERROR(IF((FC654-J654+1)/365&gt;3,0,1),"")</f>
        <v>1</v>
      </c>
    </row>
    <row r="655" customFormat="false" ht="15" hidden="false" customHeight="false" outlineLevel="0" collapsed="false">
      <c r="A655" s="5" t="str">
        <f aca="false">E655&amp;G655&amp;F655</f>
        <v>720111387</v>
      </c>
      <c r="B655" s="0" t="s">
        <v>5963</v>
      </c>
      <c r="C655" s="1" t="n">
        <v>42365</v>
      </c>
      <c r="E655" s="0" t="n">
        <v>7</v>
      </c>
      <c r="F655" s="0" t="n">
        <v>1387</v>
      </c>
      <c r="G655" s="0" t="n">
        <v>2011</v>
      </c>
      <c r="H655" s="0" t="str">
        <f aca="false">"J"&amp;E655&amp;"\"&amp;F655&amp;"\"&amp;G655&amp;"\"&amp;W655</f>
        <v>J7\1387\2011\1</v>
      </c>
      <c r="I655" s="0"/>
      <c r="J655" s="1" t="n">
        <v>40770</v>
      </c>
      <c r="K655" s="0" t="n">
        <v>0</v>
      </c>
      <c r="M655" s="1" t="n">
        <v>40770</v>
      </c>
      <c r="N655" s="1" t="n">
        <v>40976</v>
      </c>
      <c r="O655" s="1"/>
      <c r="P655" s="1"/>
      <c r="Q655" s="1"/>
      <c r="T655" s="121"/>
      <c r="U655" s="121"/>
      <c r="V655" s="122" t="n">
        <f aca="false">IF(AND(E655&gt;0,F655&gt;0,G655&gt;0),COUNTIFS($E:$E,E655,$F:$F,F655,$G:$G,G655),"")</f>
        <v>1</v>
      </c>
      <c r="W655" s="122" t="n">
        <f aca="false">IF(V655="","",IF(V655=1,1,IF(AND(E654=E655,F654=F655,G654=G655),W654+1,1)))</f>
        <v>1</v>
      </c>
      <c r="X655" s="0" t="n">
        <v>1</v>
      </c>
      <c r="Y655" s="0" t="n">
        <v>3</v>
      </c>
      <c r="Z655" s="0" t="s">
        <v>6020</v>
      </c>
      <c r="AA655" s="0" t="n">
        <v>0</v>
      </c>
      <c r="AB655" s="0" t="s">
        <v>6021</v>
      </c>
      <c r="AC655" s="0" t="s">
        <v>228</v>
      </c>
      <c r="AD655" s="0" t="s">
        <v>229</v>
      </c>
      <c r="AE655" s="0" t="n">
        <v>0</v>
      </c>
      <c r="AF655" s="0" t="s">
        <v>6022</v>
      </c>
      <c r="AG655" s="0" t="n">
        <v>0</v>
      </c>
      <c r="AH655" s="0" t="s">
        <v>6023</v>
      </c>
      <c r="AI655" s="0" t="s">
        <v>287</v>
      </c>
      <c r="AJ655" s="0" t="s">
        <v>207</v>
      </c>
      <c r="AL655" s="0" t="s">
        <v>6024</v>
      </c>
      <c r="AM655" s="0" t="n">
        <v>1</v>
      </c>
      <c r="AN655" s="0" t="s">
        <v>6023</v>
      </c>
      <c r="AO655" s="0" t="s">
        <v>287</v>
      </c>
      <c r="AP655" s="0" t="s">
        <v>207</v>
      </c>
      <c r="AR655" s="0" t="s">
        <v>6025</v>
      </c>
      <c r="AS655" s="0" t="n">
        <v>1</v>
      </c>
      <c r="AT655" s="0" t="s">
        <v>6023</v>
      </c>
      <c r="AU655" s="0" t="s">
        <v>287</v>
      </c>
      <c r="AV655" s="0" t="s">
        <v>207</v>
      </c>
      <c r="BR655" s="0" t="n">
        <v>3</v>
      </c>
      <c r="BS655" s="0" t="s">
        <v>651</v>
      </c>
      <c r="BV655" s="123"/>
      <c r="BW655" s="123"/>
      <c r="BX655" s="123"/>
      <c r="BY655" s="123"/>
      <c r="CA655" s="0" t="s">
        <v>348</v>
      </c>
      <c r="CD655" s="0" t="s">
        <v>216</v>
      </c>
      <c r="CE655" s="0" t="n">
        <v>0</v>
      </c>
      <c r="CF655" s="0" t="s">
        <v>6026</v>
      </c>
      <c r="CG655" s="0" t="s">
        <v>216</v>
      </c>
      <c r="CH655" s="0" t="s">
        <v>216</v>
      </c>
      <c r="CI655" s="1" t="n">
        <v>39944</v>
      </c>
      <c r="CJ655" s="1" t="n">
        <v>40709</v>
      </c>
      <c r="CK655" s="124" t="n">
        <v>0.5625</v>
      </c>
      <c r="CL655" s="0" t="s">
        <v>6024</v>
      </c>
      <c r="CM655" s="0" t="n">
        <f aca="false">IF(OR(CI655="",CJ655=""),"",DAYS360(CI655,CJ655)/360)</f>
        <v>2.09444444444444</v>
      </c>
      <c r="CN655" s="0" t="n">
        <f aca="false">IF(OR(CI655="",CJ655=""),"",DAYS360(CI655,CJ655)/30)</f>
        <v>25.1333333333333</v>
      </c>
      <c r="CO655" s="0" t="n">
        <f aca="false">IF(OR(CI655="",CJ655=""),"",DAYS360(CI655,CJ655)/7)</f>
        <v>107.714285714286</v>
      </c>
      <c r="CP655" s="0" t="n">
        <f aca="false">IF(OR(CI655="",CJ655=""),"",DAYS360(CI655,CJ655))</f>
        <v>754</v>
      </c>
      <c r="CQ655" s="0" t="s">
        <v>240</v>
      </c>
      <c r="CR655" s="0" t="n">
        <v>1</v>
      </c>
      <c r="CT655" s="0" t="n">
        <v>116.66</v>
      </c>
      <c r="CU655" s="0" t="n">
        <v>0</v>
      </c>
      <c r="CV655" s="0" t="n">
        <f aca="false">IF(OR(CT655="",CT655="NO ESPECIFICA",CT655="NO MENCIONA"),"",IF(CU655=0,CT655,IF(CU655=1,CT655/30,IF(CU655=2,CT655/15,IF(CU655=3,CT655/7,"")))))</f>
        <v>116.66</v>
      </c>
      <c r="CW655" s="125" t="n">
        <v>122.08</v>
      </c>
      <c r="CX655" s="0" t="n">
        <v>0</v>
      </c>
      <c r="CY655" s="0" t="n">
        <f aca="false">IF(CW655="","",IF(CX655=0,CW655,IF(CX655=1,CW655/30,IF(CX655=2,CW655/15,IF(CX655=3,CW655/7,CW655)))))</f>
        <v>122.08</v>
      </c>
      <c r="CZ655" s="0" t="n">
        <f aca="false">IF(DI655&gt;0,DI655,IF(CY655&gt;0,CY655,IF(CV655&gt;0,CV655,"")))</f>
        <v>122.08</v>
      </c>
      <c r="DA655" s="0" t="n">
        <f aca="false">IF(DM655=1,CZ655/8,IF(OR(DM655=2,DM655=4),CZ655/7,IF(DM655=3,CZ655/7.5,"")))</f>
        <v>15.26</v>
      </c>
      <c r="DB655" s="0" t="s">
        <v>303</v>
      </c>
      <c r="DC655" s="0" t="s">
        <v>301</v>
      </c>
      <c r="DD655" s="0" t="s">
        <v>216</v>
      </c>
      <c r="DE655" s="0" t="s">
        <v>216</v>
      </c>
      <c r="DF655" s="0" t="s">
        <v>216</v>
      </c>
      <c r="DG655" s="0" t="s">
        <v>216</v>
      </c>
      <c r="DH655" s="0" t="n">
        <v>0</v>
      </c>
      <c r="DI655" s="126" t="n">
        <v>122.08</v>
      </c>
      <c r="DK655" s="0" t="n">
        <v>1</v>
      </c>
      <c r="DM655" s="0" t="n">
        <v>1</v>
      </c>
      <c r="DN655" s="0" t="n">
        <v>40</v>
      </c>
      <c r="DO655" s="0" t="n">
        <v>3</v>
      </c>
      <c r="DP655" s="0" t="n">
        <v>0</v>
      </c>
      <c r="DQ655" s="0" t="n">
        <v>1</v>
      </c>
      <c r="DR655" s="0"/>
      <c r="DS655" s="0" t="n">
        <v>1</v>
      </c>
      <c r="DU655" s="0" t="n">
        <v>1</v>
      </c>
      <c r="DW655" s="1" t="n">
        <v>40309</v>
      </c>
      <c r="DX655" s="1" t="n">
        <v>40709</v>
      </c>
      <c r="DZ655" s="0"/>
      <c r="EA655" s="0" t="n">
        <v>1</v>
      </c>
      <c r="EC655" s="1" t="n">
        <v>40179</v>
      </c>
      <c r="ED655" s="1" t="n">
        <v>40544</v>
      </c>
      <c r="EF655" s="0"/>
      <c r="EG655" s="0" t="n">
        <v>0</v>
      </c>
      <c r="EI655" s="0" t="str">
        <f aca="false">IF(AND(DM655=1,DN655&lt;=48),"",IF(AND(DM655=2,DN655&lt;=42),"",IF(AND(DM655=3,DN655&lt;=45),"",EH655)))</f>
        <v/>
      </c>
      <c r="EJ655" s="0" t="str">
        <f aca="false">IF(EI655="","",IF(EI655&lt;9,EI655,9))</f>
        <v/>
      </c>
      <c r="EK655" s="0" t="str">
        <f aca="false">IF(EI655="","",IF(EI655&gt;9,EI655-EJ655,0))</f>
        <v/>
      </c>
      <c r="EL655" s="0" t="str">
        <f aca="false">IF(EI655="","",EJ655*DA655*2+EK655*DA655*3)</f>
        <v/>
      </c>
      <c r="EP655" s="0" t="n">
        <v>0</v>
      </c>
      <c r="EQ655" s="0"/>
      <c r="ER655" s="0" t="n">
        <v>0</v>
      </c>
      <c r="ET655" s="0" t="n">
        <v>0</v>
      </c>
      <c r="EV655" s="0" t="n">
        <v>0</v>
      </c>
      <c r="EX655" s="0" t="n">
        <v>0</v>
      </c>
      <c r="EY655" s="0" t="n">
        <v>0</v>
      </c>
      <c r="EZ655" s="0"/>
      <c r="FA655" s="4" t="n">
        <v>1831.2</v>
      </c>
      <c r="FB655" s="0" t="n">
        <v>1</v>
      </c>
      <c r="FC655" s="1" t="n">
        <v>41443</v>
      </c>
      <c r="FD655" s="0" t="n">
        <v>1</v>
      </c>
      <c r="FE655" s="0" t="n">
        <v>5000</v>
      </c>
      <c r="FF655" s="120" t="n">
        <f aca="false">(CJ655-CI655+1)/365</f>
        <v>2.0986301369863</v>
      </c>
      <c r="FG655" s="0" t="str">
        <f aca="false">CONCATENATE(F655,"/",G655)</f>
        <v>1387/2011</v>
      </c>
      <c r="FH655" s="0" t="n">
        <v>1</v>
      </c>
      <c r="FI655" s="0" t="n">
        <f aca="false">IFERROR(IF((FC655-J655+1)/365&gt;3,0,1),"")</f>
        <v>1</v>
      </c>
    </row>
    <row r="656" customFormat="false" ht="15" hidden="false" customHeight="false" outlineLevel="0" collapsed="false">
      <c r="A656" s="5" t="str">
        <f aca="false">E656&amp;G656&amp;F656</f>
        <v>720111391</v>
      </c>
      <c r="B656" s="0" t="s">
        <v>5963</v>
      </c>
      <c r="C656" s="1" t="n">
        <v>42365</v>
      </c>
      <c r="D656" s="0" t="s">
        <v>3265</v>
      </c>
      <c r="E656" s="0" t="n">
        <v>7</v>
      </c>
      <c r="F656" s="0" t="n">
        <v>1391</v>
      </c>
      <c r="G656" s="0" t="n">
        <v>2011</v>
      </c>
      <c r="H656" s="0" t="str">
        <f aca="false">"J"&amp;E656&amp;"\"&amp;F656&amp;"\"&amp;G656&amp;"\"&amp;W656</f>
        <v>J7\1391\2011\1</v>
      </c>
      <c r="I656" s="0"/>
      <c r="J656" s="1" t="n">
        <v>40770</v>
      </c>
      <c r="K656" s="0" t="n">
        <v>0</v>
      </c>
      <c r="M656" s="1" t="s">
        <v>216</v>
      </c>
      <c r="N656" s="1" t="s">
        <v>216</v>
      </c>
      <c r="O656" s="1"/>
      <c r="P656" s="1"/>
      <c r="Q656" s="1"/>
      <c r="T656" s="121"/>
      <c r="U656" s="121"/>
      <c r="V656" s="122" t="n">
        <f aca="false">IF(AND(E656&gt;0,F656&gt;0,G656&gt;0),COUNTIFS($E:$E,E656,$F:$F,F656,$G:$G,G656),"")</f>
        <v>1</v>
      </c>
      <c r="W656" s="122" t="n">
        <f aca="false">IF(V656="","",IF(V656=1,1,IF(AND(E655=E656,F655=F656,G655=G656),W655+1,1)))</f>
        <v>1</v>
      </c>
      <c r="X656" s="0" t="n">
        <v>1</v>
      </c>
      <c r="Y656" s="0" t="n">
        <v>3</v>
      </c>
      <c r="Z656" s="0" t="s">
        <v>6027</v>
      </c>
      <c r="AA656" s="0" t="n">
        <v>0</v>
      </c>
      <c r="AB656" s="0" t="s">
        <v>6021</v>
      </c>
      <c r="AC656" s="0" t="s">
        <v>228</v>
      </c>
      <c r="AD656" s="0" t="s">
        <v>229</v>
      </c>
      <c r="AE656" s="0" t="n">
        <v>0</v>
      </c>
      <c r="AF656" s="0" t="s">
        <v>6028</v>
      </c>
      <c r="AG656" s="0" t="n">
        <v>0</v>
      </c>
      <c r="AH656" s="0" t="s">
        <v>6029</v>
      </c>
      <c r="AI656" s="0" t="s">
        <v>287</v>
      </c>
      <c r="AJ656" s="0" t="s">
        <v>207</v>
      </c>
      <c r="AL656" s="0" t="s">
        <v>6030</v>
      </c>
      <c r="AM656" s="0" t="n">
        <v>1</v>
      </c>
      <c r="AN656" s="0" t="s">
        <v>6029</v>
      </c>
      <c r="AO656" s="0" t="s">
        <v>287</v>
      </c>
      <c r="AP656" s="0" t="s">
        <v>207</v>
      </c>
      <c r="AR656" s="0" t="s">
        <v>6031</v>
      </c>
      <c r="AS656" s="0" t="n">
        <v>1</v>
      </c>
      <c r="AT656" s="0" t="s">
        <v>6029</v>
      </c>
      <c r="AU656" s="0" t="s">
        <v>287</v>
      </c>
      <c r="AV656" s="0" t="s">
        <v>207</v>
      </c>
      <c r="BR656" s="0" t="n">
        <v>3</v>
      </c>
      <c r="BS656" s="0" t="s">
        <v>1816</v>
      </c>
      <c r="BT656" s="0" t="s">
        <v>1817</v>
      </c>
      <c r="BV656" s="123"/>
      <c r="BW656" s="123"/>
      <c r="BX656" s="123"/>
      <c r="BY656" s="123"/>
      <c r="CA656" s="0" t="s">
        <v>348</v>
      </c>
      <c r="CD656" s="0" t="s">
        <v>6032</v>
      </c>
      <c r="CE656" s="0" t="n">
        <v>0</v>
      </c>
      <c r="CF656" s="0" t="s">
        <v>6033</v>
      </c>
      <c r="CG656" s="0" t="s">
        <v>216</v>
      </c>
      <c r="CH656" s="0" t="s">
        <v>216</v>
      </c>
      <c r="CI656" s="1" t="n">
        <v>40597</v>
      </c>
      <c r="CJ656" s="1" t="n">
        <v>40728</v>
      </c>
      <c r="CK656" s="124" t="n">
        <v>0.8125</v>
      </c>
      <c r="CL656" s="0" t="s">
        <v>6030</v>
      </c>
      <c r="CM656" s="0" t="n">
        <f aca="false">IF(OR(CI656="",CJ656=""),"",DAYS360(CI656,CJ656)/360)</f>
        <v>0.363888888888889</v>
      </c>
      <c r="CN656" s="0" t="n">
        <f aca="false">IF(OR(CI656="",CJ656=""),"",DAYS360(CI656,CJ656)/30)</f>
        <v>4.36666666666667</v>
      </c>
      <c r="CO656" s="0" t="n">
        <f aca="false">IF(OR(CI656="",CJ656=""),"",DAYS360(CI656,CJ656)/7)</f>
        <v>18.7142857142857</v>
      </c>
      <c r="CP656" s="0" t="n">
        <f aca="false">IF(OR(CI656="",CJ656=""),"",DAYS360(CI656,CJ656))</f>
        <v>131</v>
      </c>
      <c r="CQ656" s="0" t="s">
        <v>240</v>
      </c>
      <c r="CR656" s="0" t="n">
        <v>1</v>
      </c>
      <c r="CT656" s="0" t="n">
        <v>100</v>
      </c>
      <c r="CU656" s="0" t="n">
        <v>0</v>
      </c>
      <c r="CV656" s="0" t="n">
        <f aca="false">IF(OR(CT656="",CT656="NO ESPECIFICA",CT656="NO MENCIONA"),"",IF(CU656=0,CT656,IF(CU656=1,CT656/30,IF(CU656=2,CT656/15,IF(CU656=3,CT656/7,"")))))</f>
        <v>100</v>
      </c>
      <c r="CW656" s="125" t="n">
        <v>104.52</v>
      </c>
      <c r="CX656" s="0" t="n">
        <v>0</v>
      </c>
      <c r="CY656" s="0" t="n">
        <f aca="false">IF(CW656="","",IF(CX656=0,CW656,IF(CX656=1,CW656/30,IF(CX656=2,CW656/15,IF(CX656=3,CW656/7,CW656)))))</f>
        <v>104.52</v>
      </c>
      <c r="CZ656" s="0" t="n">
        <f aca="false">IF(DI656&gt;0,DI656,IF(CY656&gt;0,CY656,IF(CV656&gt;0,CV656,"")))</f>
        <v>104.52</v>
      </c>
      <c r="DA656" s="0" t="n">
        <f aca="false">IF(DM656=1,CZ656/8,IF(OR(DM656=2,DM656=4),CZ656/7,IF(DM656=3,CZ656/7.5,"")))</f>
        <v>13.065</v>
      </c>
      <c r="DB656" s="0" t="s">
        <v>303</v>
      </c>
      <c r="DC656" s="0" t="s">
        <v>301</v>
      </c>
      <c r="DD656" s="0" t="s">
        <v>216</v>
      </c>
      <c r="DE656" s="0" t="s">
        <v>216</v>
      </c>
      <c r="DF656" s="0" t="s">
        <v>216</v>
      </c>
      <c r="DG656" s="0" t="s">
        <v>216</v>
      </c>
      <c r="DH656" s="0" t="n">
        <v>0</v>
      </c>
      <c r="DI656" s="126" t="n">
        <v>104.52</v>
      </c>
      <c r="DK656" s="0" t="n">
        <v>0</v>
      </c>
      <c r="DM656" s="0" t="n">
        <v>1</v>
      </c>
      <c r="DN656" s="0" t="n">
        <v>10</v>
      </c>
      <c r="DO656" s="0" t="n">
        <v>0</v>
      </c>
      <c r="DP656" s="0" t="n">
        <v>0</v>
      </c>
      <c r="DQ656" s="0" t="n">
        <v>1</v>
      </c>
      <c r="DR656" s="0"/>
      <c r="DS656" s="0" t="n">
        <v>1</v>
      </c>
      <c r="DU656" s="0" t="n">
        <v>1</v>
      </c>
      <c r="DW656" s="1" t="n">
        <v>40179</v>
      </c>
      <c r="DX656" s="1" t="n">
        <v>40513</v>
      </c>
      <c r="DZ656" s="0"/>
      <c r="EA656" s="0" t="n">
        <v>1</v>
      </c>
      <c r="EC656" s="1" t="n">
        <v>40179</v>
      </c>
      <c r="ED656" s="1" t="n">
        <v>40513</v>
      </c>
      <c r="EF656" s="0"/>
      <c r="EG656" s="0" t="n">
        <v>0</v>
      </c>
      <c r="EI656" s="0" t="str">
        <f aca="false">IF(AND(DM656=1,DN656&lt;=48),"",IF(AND(DM656=2,DN656&lt;=42),"",IF(AND(DM656=3,DN656&lt;=45),"",EH656)))</f>
        <v/>
      </c>
      <c r="EJ656" s="0" t="str">
        <f aca="false">IF(EI656="","",IF(EI656&lt;9,EI656,9))</f>
        <v/>
      </c>
      <c r="EK656" s="0" t="str">
        <f aca="false">IF(EI656="","",IF(EI656&gt;9,EI656-EJ656,0))</f>
        <v/>
      </c>
      <c r="EL656" s="0" t="str">
        <f aca="false">IF(EI656="","",EJ656*DA656*2+EK656*DA656*3)</f>
        <v/>
      </c>
      <c r="EP656" s="0" t="n">
        <v>0</v>
      </c>
      <c r="EQ656" s="0"/>
      <c r="ER656" s="0" t="n">
        <v>0</v>
      </c>
      <c r="ET656" s="0" t="n">
        <v>0</v>
      </c>
      <c r="EV656" s="0" t="n">
        <v>0</v>
      </c>
      <c r="EX656" s="0" t="n">
        <v>0</v>
      </c>
      <c r="EY656" s="0" t="n">
        <v>0</v>
      </c>
      <c r="EZ656" s="0"/>
      <c r="FA656" s="0"/>
      <c r="FB656" s="0" t="n">
        <v>1</v>
      </c>
      <c r="FC656" s="1" t="n">
        <v>40981</v>
      </c>
      <c r="FD656" s="0" t="n">
        <v>1</v>
      </c>
      <c r="FE656" s="0" t="n">
        <v>5500</v>
      </c>
      <c r="FF656" s="120" t="n">
        <f aca="false">(CJ656-CI656+1)/365</f>
        <v>0.361643835616438</v>
      </c>
      <c r="FG656" s="0" t="str">
        <f aca="false">CONCATENATE(F656,"/",G656)</f>
        <v>1391/2011</v>
      </c>
      <c r="FH656" s="0" t="n">
        <v>1</v>
      </c>
      <c r="FI656" s="0" t="n">
        <f aca="false">IFERROR(IF((FC656-J656+1)/365&gt;3,0,1),"")</f>
        <v>1</v>
      </c>
    </row>
    <row r="657" customFormat="false" ht="15" hidden="false" customHeight="false" outlineLevel="0" collapsed="false">
      <c r="A657" s="5" t="str">
        <f aca="false">E657&amp;G657&amp;F657</f>
        <v>720111394</v>
      </c>
      <c r="B657" s="0" t="s">
        <v>5963</v>
      </c>
      <c r="C657" s="1" t="n">
        <v>42365</v>
      </c>
      <c r="D657" s="0" t="s">
        <v>3265</v>
      </c>
      <c r="E657" s="0" t="n">
        <v>7</v>
      </c>
      <c r="F657" s="0" t="n">
        <v>1394</v>
      </c>
      <c r="G657" s="0" t="n">
        <v>2011</v>
      </c>
      <c r="H657" s="0" t="str">
        <f aca="false">"J"&amp;E657&amp;"\"&amp;F657&amp;"\"&amp;G657&amp;"\"&amp;W657</f>
        <v>J7\1394\2011\1</v>
      </c>
      <c r="I657" s="0"/>
      <c r="J657" s="1" t="n">
        <v>40771</v>
      </c>
      <c r="K657" s="0" t="n">
        <v>0</v>
      </c>
      <c r="M657" s="1" t="s">
        <v>216</v>
      </c>
      <c r="N657" s="1" t="s">
        <v>216</v>
      </c>
      <c r="O657" s="1"/>
      <c r="P657" s="1"/>
      <c r="Q657" s="1"/>
      <c r="T657" s="121"/>
      <c r="U657" s="121"/>
      <c r="V657" s="122" t="n">
        <f aca="false">IF(AND(E657&gt;0,F657&gt;0,G657&gt;0),COUNTIFS($E:$E,E657,$F:$F,F657,$G:$G,G657),"")</f>
        <v>1</v>
      </c>
      <c r="W657" s="122" t="n">
        <f aca="false">IF(V657="","",IF(V657=1,1,IF(AND(E656=E657,F656=F657,G656=G657),W656+1,1)))</f>
        <v>1</v>
      </c>
      <c r="X657" s="0" t="n">
        <v>1</v>
      </c>
      <c r="Y657" s="0" t="n">
        <v>1</v>
      </c>
      <c r="Z657" s="0" t="s">
        <v>6034</v>
      </c>
      <c r="AA657" s="0" t="n">
        <v>0</v>
      </c>
      <c r="AB657" s="0" t="s">
        <v>6035</v>
      </c>
      <c r="AC657" s="0" t="s">
        <v>1635</v>
      </c>
      <c r="AD657" s="0" t="s">
        <v>229</v>
      </c>
      <c r="AE657" s="0" t="n">
        <v>0</v>
      </c>
      <c r="AF657" s="0" t="s">
        <v>896</v>
      </c>
      <c r="AG657" s="0" t="n">
        <v>0</v>
      </c>
      <c r="AH657" s="0" t="s">
        <v>6036</v>
      </c>
      <c r="AI657" s="0" t="s">
        <v>643</v>
      </c>
      <c r="AJ657" s="0" t="s">
        <v>207</v>
      </c>
      <c r="BR657" s="0" t="n">
        <v>1</v>
      </c>
      <c r="BS657" s="0" t="s">
        <v>6037</v>
      </c>
      <c r="BT657" s="0" t="s">
        <v>6038</v>
      </c>
      <c r="BV657" s="123"/>
      <c r="BW657" s="123"/>
      <c r="BX657" s="123"/>
      <c r="BY657" s="123"/>
      <c r="CD657" s="0" t="s">
        <v>6039</v>
      </c>
      <c r="CE657" s="0" t="n">
        <v>0</v>
      </c>
      <c r="CF657" s="0" t="s">
        <v>6040</v>
      </c>
      <c r="CG657" s="0" t="s">
        <v>216</v>
      </c>
      <c r="CH657" s="0" t="s">
        <v>216</v>
      </c>
      <c r="CI657" s="1" t="n">
        <v>39731</v>
      </c>
      <c r="CJ657" s="1" t="n">
        <v>40730</v>
      </c>
      <c r="CK657" s="124" t="n">
        <v>0.354166666666667</v>
      </c>
      <c r="CL657" s="0" t="s">
        <v>6041</v>
      </c>
      <c r="CM657" s="0" t="n">
        <f aca="false">IF(OR(CI657="",CJ657=""),"",DAYS360(CI657,CJ657)/360)</f>
        <v>2.73888888888889</v>
      </c>
      <c r="CN657" s="0" t="n">
        <f aca="false">IF(OR(CI657="",CJ657=""),"",DAYS360(CI657,CJ657)/30)</f>
        <v>32.8666666666667</v>
      </c>
      <c r="CO657" s="0" t="n">
        <f aca="false">IF(OR(CI657="",CJ657=""),"",DAYS360(CI657,CJ657)/7)</f>
        <v>140.857142857143</v>
      </c>
      <c r="CP657" s="0" t="n">
        <f aca="false">IF(OR(CI657="",CJ657=""),"",DAYS360(CI657,CJ657))</f>
        <v>986</v>
      </c>
      <c r="CQ657" s="0" t="s">
        <v>240</v>
      </c>
      <c r="CR657" s="0" t="n">
        <v>1</v>
      </c>
      <c r="CT657" s="0" t="n">
        <v>6000</v>
      </c>
      <c r="CU657" s="0" t="n">
        <v>1</v>
      </c>
      <c r="CV657" s="0" t="n">
        <f aca="false">IF(OR(CT657="",CT657="NO ESPECIFICA",CT657="NO MENCIONA"),"",IF(CU657=0,CT657,IF(CU657=1,CT657/30,IF(CU657=2,CT657/15,IF(CU657=3,CT657/7,"")))))</f>
        <v>200</v>
      </c>
      <c r="CW657" s="125" t="n">
        <v>6000</v>
      </c>
      <c r="CX657" s="0" t="n">
        <v>1</v>
      </c>
      <c r="CY657" s="0" t="n">
        <f aca="false">IF(CW657="","",IF(CX657=0,CW657,IF(CX657=1,CW657/30,IF(CX657=2,CW657/15,IF(CX657=3,CW657/7,CW657)))))</f>
        <v>200</v>
      </c>
      <c r="CZ657" s="0" t="n">
        <f aca="false">IF(DI657&gt;0,DI657,IF(CY657&gt;0,CY657,IF(CV657&gt;0,CV657,"")))</f>
        <v>200</v>
      </c>
      <c r="DA657" s="0" t="n">
        <f aca="false">IF(DM657=1,CZ657/8,IF(OR(DM657=2,DM657=4),CZ657/7,IF(DM657=3,CZ657/7.5,"")))</f>
        <v>25</v>
      </c>
      <c r="DB657" s="0" t="s">
        <v>216</v>
      </c>
      <c r="DC657" s="0" t="s">
        <v>216</v>
      </c>
      <c r="DD657" s="0" t="s">
        <v>216</v>
      </c>
      <c r="DE657" s="0" t="s">
        <v>216</v>
      </c>
      <c r="DF657" s="0" t="s">
        <v>216</v>
      </c>
      <c r="DG657" s="0" t="s">
        <v>216</v>
      </c>
      <c r="DH657" s="0" t="n">
        <v>0</v>
      </c>
      <c r="DI657" s="126" t="n">
        <v>200</v>
      </c>
      <c r="DK657" s="0" t="n">
        <v>0</v>
      </c>
      <c r="DM657" s="0" t="n">
        <v>1</v>
      </c>
      <c r="DN657" s="0" t="n">
        <v>12</v>
      </c>
      <c r="DO657" s="0" t="n">
        <v>0</v>
      </c>
      <c r="DP657" s="0" t="n">
        <v>0</v>
      </c>
      <c r="DQ657" s="0" t="n">
        <v>1</v>
      </c>
      <c r="DR657" s="0"/>
      <c r="DS657" s="0" t="n">
        <v>1</v>
      </c>
      <c r="DU657" s="0" t="n">
        <v>1</v>
      </c>
      <c r="DW657" s="1" t="n">
        <v>39731</v>
      </c>
      <c r="DX657" s="1" t="n">
        <v>40730</v>
      </c>
      <c r="DZ657" s="0"/>
      <c r="EA657" s="0" t="n">
        <v>1</v>
      </c>
      <c r="EC657" s="1" t="n">
        <v>39814</v>
      </c>
      <c r="ED657" s="1" t="n">
        <v>40730</v>
      </c>
      <c r="EF657" s="0"/>
      <c r="EG657" s="0" t="n">
        <v>1</v>
      </c>
      <c r="EH657" s="0" t="n">
        <v>13</v>
      </c>
      <c r="EI657" s="0" t="str">
        <f aca="false">IF(AND(DM657=1,DN657&lt;=48),"",IF(AND(DM657=2,DN657&lt;=42),"",IF(AND(DM657=3,DN657&lt;=45),"",EH657)))</f>
        <v/>
      </c>
      <c r="EJ657" s="0" t="str">
        <f aca="false">IF(EI657="","",IF(EI657&lt;9,EI657,9))</f>
        <v/>
      </c>
      <c r="EK657" s="0" t="str">
        <f aca="false">IF(EI657="","",IF(EI657&gt;9,EI657-EJ657,0))</f>
        <v/>
      </c>
      <c r="EL657" s="0" t="str">
        <f aca="false">IF(EI657="","",EJ657*DA657*2+EK657*DA657*3)</f>
        <v/>
      </c>
      <c r="EP657" s="0" t="n">
        <v>0</v>
      </c>
      <c r="EQ657" s="0"/>
      <c r="ER657" s="0" t="n">
        <v>0</v>
      </c>
      <c r="ET657" s="0" t="n">
        <v>0</v>
      </c>
      <c r="EV657" s="0" t="n">
        <v>0</v>
      </c>
      <c r="EX657" s="0" t="n">
        <v>1</v>
      </c>
      <c r="EY657" s="0" t="n">
        <v>1</v>
      </c>
      <c r="EZ657" s="4" t="n">
        <v>2435.28</v>
      </c>
      <c r="FA657" s="0"/>
      <c r="FB657" s="0" t="n">
        <v>0</v>
      </c>
      <c r="FC657" s="1" t="n">
        <v>41171</v>
      </c>
      <c r="FD657" s="0" t="n">
        <v>1</v>
      </c>
      <c r="FE657" s="0" t="n">
        <v>8000</v>
      </c>
      <c r="FF657" s="120" t="n">
        <f aca="false">(CJ657-CI657+1)/365</f>
        <v>2.73972602739726</v>
      </c>
      <c r="FG657" s="0" t="str">
        <f aca="false">CONCATENATE(F657,"/",G657)</f>
        <v>1394/2011</v>
      </c>
      <c r="FH657" s="0" t="n">
        <v>1</v>
      </c>
      <c r="FI657" s="0" t="n">
        <f aca="false">IFERROR(IF((FC657-J657+1)/365&gt;3,0,1),"")</f>
        <v>1</v>
      </c>
    </row>
    <row r="658" customFormat="false" ht="15" hidden="false" customHeight="false" outlineLevel="0" collapsed="false">
      <c r="A658" s="5" t="str">
        <f aca="false">E658&amp;G658&amp;F658</f>
        <v>720111398</v>
      </c>
      <c r="B658" s="0" t="s">
        <v>5963</v>
      </c>
      <c r="C658" s="1" t="n">
        <v>42365</v>
      </c>
      <c r="D658" s="0" t="s">
        <v>3265</v>
      </c>
      <c r="E658" s="0" t="n">
        <v>7</v>
      </c>
      <c r="F658" s="0" t="n">
        <v>1398</v>
      </c>
      <c r="G658" s="0" t="n">
        <v>2011</v>
      </c>
      <c r="H658" s="0" t="str">
        <f aca="false">"J"&amp;E658&amp;"\"&amp;F658&amp;"\"&amp;G658&amp;"\"&amp;W658</f>
        <v>J7\1398\2011\1</v>
      </c>
      <c r="I658" s="0"/>
      <c r="J658" s="1" t="n">
        <v>40771</v>
      </c>
      <c r="K658" s="0" t="n">
        <v>0</v>
      </c>
      <c r="M658" s="1" t="s">
        <v>216</v>
      </c>
      <c r="N658" s="1" t="s">
        <v>216</v>
      </c>
      <c r="O658" s="1"/>
      <c r="P658" s="1"/>
      <c r="Q658" s="1"/>
      <c r="T658" s="121"/>
      <c r="U658" s="121"/>
      <c r="V658" s="122" t="n">
        <f aca="false">IF(AND(E658&gt;0,F658&gt;0,G658&gt;0),COUNTIFS($E:$E,E658,$F:$F,F658,$G:$G,G658),"")</f>
        <v>1</v>
      </c>
      <c r="W658" s="122" t="n">
        <f aca="false">IF(V658="","",IF(V658=1,1,IF(AND(E657=E658,F657=F658,G657=G658),W657+1,1)))</f>
        <v>1</v>
      </c>
      <c r="X658" s="0" t="n">
        <v>1</v>
      </c>
      <c r="Y658" s="0" t="n">
        <v>2</v>
      </c>
      <c r="Z658" s="0" t="s">
        <v>6042</v>
      </c>
      <c r="AA658" s="0" t="n">
        <v>0</v>
      </c>
      <c r="AB658" s="0" t="s">
        <v>6043</v>
      </c>
      <c r="AC658" s="0" t="s">
        <v>1203</v>
      </c>
      <c r="AD658" s="0" t="s">
        <v>229</v>
      </c>
      <c r="AE658" s="0" t="n">
        <v>0</v>
      </c>
      <c r="AF658" s="0" t="s">
        <v>3317</v>
      </c>
      <c r="AG658" s="0" t="n">
        <v>0</v>
      </c>
      <c r="AH658" s="0" t="s">
        <v>6044</v>
      </c>
      <c r="AI658" s="0" t="s">
        <v>1635</v>
      </c>
      <c r="AJ658" s="0" t="s">
        <v>229</v>
      </c>
      <c r="AL658" s="0" t="s">
        <v>6025</v>
      </c>
      <c r="AM658" s="0" t="n">
        <v>1</v>
      </c>
      <c r="AN658" s="0" t="s">
        <v>6044</v>
      </c>
      <c r="AO658" s="0" t="s">
        <v>1635</v>
      </c>
      <c r="AP658" s="0" t="s">
        <v>229</v>
      </c>
      <c r="BR658" s="0" t="n">
        <v>1</v>
      </c>
      <c r="BS658" s="0" t="s">
        <v>6045</v>
      </c>
      <c r="BT658" s="0" t="s">
        <v>6046</v>
      </c>
      <c r="BU658" s="0" t="s">
        <v>6047</v>
      </c>
      <c r="BV658" s="123"/>
      <c r="BW658" s="123"/>
      <c r="BX658" s="123"/>
      <c r="BY658" s="123"/>
      <c r="CA658" s="0" t="s">
        <v>6048</v>
      </c>
      <c r="CD658" s="0" t="s">
        <v>216</v>
      </c>
      <c r="CE658" s="0" t="n">
        <v>0</v>
      </c>
      <c r="CF658" s="0" t="s">
        <v>6049</v>
      </c>
      <c r="CG658" s="0" t="s">
        <v>216</v>
      </c>
      <c r="CH658" s="0" t="s">
        <v>216</v>
      </c>
      <c r="CI658" s="1" t="n">
        <v>39097</v>
      </c>
      <c r="CJ658" s="1" t="n">
        <v>40732</v>
      </c>
      <c r="CK658" s="124" t="n">
        <v>0.375</v>
      </c>
      <c r="CL658" s="0" t="s">
        <v>6050</v>
      </c>
      <c r="CM658" s="0" t="n">
        <f aca="false">IF(OR(CI658="",CJ658=""),"",DAYS360(CI658,CJ658)/360)</f>
        <v>4.48055555555556</v>
      </c>
      <c r="CN658" s="0" t="n">
        <f aca="false">IF(OR(CI658="",CJ658=""),"",DAYS360(CI658,CJ658)/30)</f>
        <v>53.7666666666667</v>
      </c>
      <c r="CO658" s="0" t="n">
        <f aca="false">IF(OR(CI658="",CJ658=""),"",DAYS360(CI658,CJ658)/7)</f>
        <v>230.428571428571</v>
      </c>
      <c r="CP658" s="0" t="n">
        <f aca="false">IF(OR(CI658="",CJ658=""),"",DAYS360(CI658,CJ658))</f>
        <v>1613</v>
      </c>
      <c r="CQ658" s="0" t="s">
        <v>220</v>
      </c>
      <c r="CR658" s="0" t="n">
        <v>1</v>
      </c>
      <c r="CT658" s="0" t="n">
        <v>10478.16</v>
      </c>
      <c r="CU658" s="0" t="n">
        <v>1</v>
      </c>
      <c r="CV658" s="0" t="n">
        <f aca="false">IF(OR(CT658="",CT658="NO ESPECIFICA",CT658="NO MENCIONA"),"",IF(CU658=0,CT658,IF(CU658=1,CT658/30,IF(CU658=2,CT658/15,IF(CU658=3,CT658/7,"")))))</f>
        <v>349.272</v>
      </c>
      <c r="CW658" s="125" t="s">
        <v>216</v>
      </c>
      <c r="CX658" s="0" t="n">
        <v>0</v>
      </c>
      <c r="CY658" s="0" t="str">
        <f aca="false">IF(CW658="","",IF(CX658=0,CW658,IF(CX658=1,CW658/30,IF(CX658=2,CW658/15,IF(CX658=3,CW658/7,CW658)))))</f>
        <v>NO MENCIONA</v>
      </c>
      <c r="CZ658" s="0" t="n">
        <f aca="false">IF(DI658&gt;0,DI658,IF(CY658&gt;0,CY658,IF(CV658&gt;0,CV658,"")))</f>
        <v>523.9</v>
      </c>
      <c r="DA658" s="0" t="n">
        <f aca="false">IF(DM658=1,CZ658/8,IF(OR(DM658=2,DM658=4),CZ658/7,IF(DM658=3,CZ658/7.5,"")))</f>
        <v>65.4875</v>
      </c>
      <c r="DB658" s="0" t="s">
        <v>216</v>
      </c>
      <c r="DC658" s="0" t="s">
        <v>216</v>
      </c>
      <c r="DD658" s="0" t="s">
        <v>216</v>
      </c>
      <c r="DE658" s="0" t="s">
        <v>216</v>
      </c>
      <c r="DF658" s="0" t="s">
        <v>216</v>
      </c>
      <c r="DG658" s="0" t="s">
        <v>216</v>
      </c>
      <c r="DH658" s="0" t="n">
        <v>0</v>
      </c>
      <c r="DI658" s="126" t="n">
        <v>523.9</v>
      </c>
      <c r="DK658" s="0" t="n">
        <v>1</v>
      </c>
      <c r="DM658" s="0" t="n">
        <v>1</v>
      </c>
      <c r="DN658" s="0" t="n">
        <v>9</v>
      </c>
      <c r="DO658" s="0" t="n">
        <v>0</v>
      </c>
      <c r="DP658" s="0" t="n">
        <v>1</v>
      </c>
      <c r="DQ658" s="0" t="n">
        <v>0</v>
      </c>
      <c r="DR658" s="0"/>
      <c r="DS658" s="0" t="n">
        <v>1</v>
      </c>
      <c r="DU658" s="0" t="n">
        <v>1</v>
      </c>
      <c r="DW658" s="1" t="n">
        <v>39814</v>
      </c>
      <c r="DX658" s="1" t="n">
        <v>40544</v>
      </c>
      <c r="DZ658" s="0"/>
      <c r="EA658" s="0" t="n">
        <v>1</v>
      </c>
      <c r="EC658" s="1" t="n">
        <v>39814</v>
      </c>
      <c r="ED658" s="1" t="n">
        <v>40544</v>
      </c>
      <c r="EF658" s="0"/>
      <c r="EG658" s="0" t="n">
        <v>1</v>
      </c>
      <c r="EH658" s="0" t="n">
        <v>3</v>
      </c>
      <c r="EI658" s="0" t="str">
        <f aca="false">IF(AND(DM658=1,DN658&lt;=48),"",IF(AND(DM658=2,DN658&lt;=42),"",IF(AND(DM658=3,DN658&lt;=45),"",EH658)))</f>
        <v/>
      </c>
      <c r="EJ658" s="0" t="str">
        <f aca="false">IF(EI658="","",IF(EI658&lt;9,EI658,9))</f>
        <v/>
      </c>
      <c r="EK658" s="0" t="str">
        <f aca="false">IF(EI658="","",IF(EI658&gt;9,EI658-EJ658,0))</f>
        <v/>
      </c>
      <c r="EL658" s="0" t="str">
        <f aca="false">IF(EI658="","",EJ658*DA658*2+EK658*DA658*3)</f>
        <v/>
      </c>
      <c r="EP658" s="0" t="n">
        <v>1</v>
      </c>
      <c r="EQ658" s="0"/>
      <c r="ER658" s="0" t="n">
        <v>0</v>
      </c>
      <c r="ET658" s="0" t="n">
        <v>0</v>
      </c>
      <c r="EV658" s="0" t="n">
        <v>0</v>
      </c>
      <c r="EX658" s="0" t="n">
        <v>1</v>
      </c>
      <c r="EY658" s="0" t="n">
        <v>1</v>
      </c>
      <c r="EZ658" s="0"/>
      <c r="FA658" s="4" t="n">
        <v>12283.97</v>
      </c>
      <c r="FB658" s="0" t="n">
        <v>1</v>
      </c>
      <c r="FC658" s="1" t="n">
        <v>41459</v>
      </c>
      <c r="FD658" s="0" t="n">
        <v>1</v>
      </c>
      <c r="FE658" s="0" t="n">
        <v>32000</v>
      </c>
      <c r="FF658" s="120" t="n">
        <f aca="false">(CJ658-CI658+1)/365</f>
        <v>4.48219178082192</v>
      </c>
      <c r="FG658" s="0" t="str">
        <f aca="false">CONCATENATE(F658,"/",G658)</f>
        <v>1398/2011</v>
      </c>
      <c r="FH658" s="0" t="n">
        <v>1</v>
      </c>
      <c r="FI658" s="0" t="n">
        <f aca="false">IFERROR(IF((FC658-J658+1)/365&gt;3,0,1),"")</f>
        <v>1</v>
      </c>
    </row>
    <row r="659" customFormat="false" ht="15" hidden="false" customHeight="false" outlineLevel="0" collapsed="false">
      <c r="A659" s="5" t="str">
        <f aca="false">E659&amp;G659&amp;F659</f>
        <v>720111403</v>
      </c>
      <c r="B659" s="0" t="s">
        <v>5963</v>
      </c>
      <c r="C659" s="1" t="n">
        <v>42365</v>
      </c>
      <c r="D659" s="0" t="s">
        <v>3265</v>
      </c>
      <c r="E659" s="0" t="n">
        <v>7</v>
      </c>
      <c r="F659" s="0" t="n">
        <v>1403</v>
      </c>
      <c r="G659" s="0" t="n">
        <v>2011</v>
      </c>
      <c r="H659" s="0" t="str">
        <f aca="false">"J"&amp;E659&amp;"\"&amp;F659&amp;"\"&amp;G659&amp;"\"&amp;W659</f>
        <v>J7\1403\2011\1</v>
      </c>
      <c r="I659" s="0"/>
      <c r="J659" s="1" t="n">
        <v>40771</v>
      </c>
      <c r="K659" s="0" t="n">
        <v>0</v>
      </c>
      <c r="M659" s="1" t="s">
        <v>216</v>
      </c>
      <c r="N659" s="1" t="s">
        <v>216</v>
      </c>
      <c r="O659" s="1"/>
      <c r="P659" s="1"/>
      <c r="Q659" s="1"/>
      <c r="T659" s="121"/>
      <c r="U659" s="121"/>
      <c r="V659" s="122" t="n">
        <f aca="false">IF(AND(E659&gt;0,F659&gt;0,G659&gt;0),COUNTIFS($E:$E,E659,$F:$F,F659,$G:$G,G659),"")</f>
        <v>1</v>
      </c>
      <c r="W659" s="122" t="n">
        <f aca="false">IF(V659="","",IF(V659=1,1,IF(AND(E658=E659,F658=F659,G658=G659),W658+1,1)))</f>
        <v>1</v>
      </c>
      <c r="X659" s="0" t="n">
        <v>1</v>
      </c>
      <c r="Y659" s="0" t="n">
        <v>7</v>
      </c>
      <c r="Z659" s="0" t="s">
        <v>6051</v>
      </c>
      <c r="AA659" s="0" t="n">
        <v>0</v>
      </c>
      <c r="AB659" s="0" t="s">
        <v>6052</v>
      </c>
      <c r="AC659" s="0" t="s">
        <v>404</v>
      </c>
      <c r="AD659" s="0" t="s">
        <v>229</v>
      </c>
      <c r="AE659" s="0" t="n">
        <v>0</v>
      </c>
      <c r="AF659" s="0" t="s">
        <v>1481</v>
      </c>
      <c r="AG659" s="0" t="n">
        <v>0</v>
      </c>
      <c r="AH659" s="0" t="s">
        <v>6053</v>
      </c>
      <c r="AI659" s="0" t="s">
        <v>760</v>
      </c>
      <c r="AJ659" s="0" t="s">
        <v>322</v>
      </c>
      <c r="AL659" s="0" t="s">
        <v>6054</v>
      </c>
      <c r="AM659" s="0" t="n">
        <v>0</v>
      </c>
      <c r="AN659" s="0" t="s">
        <v>6055</v>
      </c>
      <c r="AO659" s="0" t="s">
        <v>6056</v>
      </c>
      <c r="AP659" s="0" t="s">
        <v>411</v>
      </c>
      <c r="AR659" s="0" t="s">
        <v>6057</v>
      </c>
      <c r="AS659" s="0" t="n">
        <v>1</v>
      </c>
      <c r="AT659" s="0" t="s">
        <v>6055</v>
      </c>
      <c r="AU659" s="0" t="s">
        <v>6056</v>
      </c>
      <c r="AV659" s="0" t="s">
        <v>411</v>
      </c>
      <c r="AX659" s="0" t="s">
        <v>6058</v>
      </c>
      <c r="AY659" s="0" t="n">
        <v>1</v>
      </c>
      <c r="AZ659" s="0" t="s">
        <v>6055</v>
      </c>
      <c r="BA659" s="0" t="s">
        <v>6056</v>
      </c>
      <c r="BB659" s="0" t="s">
        <v>411</v>
      </c>
      <c r="BD659" s="0" t="s">
        <v>6059</v>
      </c>
      <c r="BE659" s="0" t="n">
        <v>1</v>
      </c>
      <c r="BF659" s="0" t="s">
        <v>6055</v>
      </c>
      <c r="BG659" s="0" t="s">
        <v>6056</v>
      </c>
      <c r="BH659" s="0" t="s">
        <v>411</v>
      </c>
      <c r="BJ659" s="0" t="s">
        <v>6060</v>
      </c>
      <c r="BK659" s="0" t="n">
        <v>1</v>
      </c>
      <c r="BL659" s="0" t="s">
        <v>6055</v>
      </c>
      <c r="BM659" s="0" t="s">
        <v>6056</v>
      </c>
      <c r="BN659" s="0" t="s">
        <v>411</v>
      </c>
      <c r="BR659" s="0" t="n">
        <v>1</v>
      </c>
      <c r="BS659" s="0" t="s">
        <v>6061</v>
      </c>
      <c r="BT659" s="0" t="s">
        <v>5146</v>
      </c>
      <c r="BU659" s="0" t="s">
        <v>6062</v>
      </c>
      <c r="BV659" s="123"/>
      <c r="BW659" s="123"/>
      <c r="BX659" s="123"/>
      <c r="BY659" s="123"/>
      <c r="CA659" s="0" t="s">
        <v>5148</v>
      </c>
      <c r="CD659" s="0" t="s">
        <v>296</v>
      </c>
      <c r="CE659" s="0" t="n">
        <v>0</v>
      </c>
      <c r="CF659" s="0" t="s">
        <v>6063</v>
      </c>
      <c r="CG659" s="0" t="s">
        <v>216</v>
      </c>
      <c r="CH659" s="0" t="s">
        <v>216</v>
      </c>
      <c r="CI659" s="1" t="n">
        <v>39954</v>
      </c>
      <c r="CJ659" s="1" t="n">
        <v>40752</v>
      </c>
      <c r="CK659" s="124" t="n">
        <v>0.334027777777778</v>
      </c>
      <c r="CL659" s="0" t="s">
        <v>6058</v>
      </c>
      <c r="CM659" s="0" t="n">
        <f aca="false">IF(OR(CI659="",CJ659=""),"",DAYS360(CI659,CJ659)/360)</f>
        <v>2.18611111111111</v>
      </c>
      <c r="CN659" s="0" t="n">
        <f aca="false">IF(OR(CI659="",CJ659=""),"",DAYS360(CI659,CJ659)/30)</f>
        <v>26.2333333333333</v>
      </c>
      <c r="CO659" s="0" t="n">
        <f aca="false">IF(OR(CI659="",CJ659=""),"",DAYS360(CI659,CJ659)/7)</f>
        <v>112.428571428571</v>
      </c>
      <c r="CP659" s="0" t="n">
        <f aca="false">IF(OR(CI659="",CJ659=""),"",DAYS360(CI659,CJ659))</f>
        <v>787</v>
      </c>
      <c r="CQ659" s="0" t="s">
        <v>240</v>
      </c>
      <c r="CR659" s="0" t="n">
        <v>1</v>
      </c>
      <c r="CT659" s="0" t="n">
        <v>136.66</v>
      </c>
      <c r="CU659" s="0" t="n">
        <v>0</v>
      </c>
      <c r="CV659" s="0" t="n">
        <f aca="false">IF(OR(CT659="",CT659="NO ESPECIFICA",CT659="NO MENCIONA"),"",IF(CU659=0,CT659,IF(CU659=1,CT659/30,IF(CU659=2,CT659/15,IF(CU659=3,CT659/7,"")))))</f>
        <v>136.66</v>
      </c>
      <c r="CW659" s="125" t="n">
        <v>186.66</v>
      </c>
      <c r="CX659" s="0" t="n">
        <v>0</v>
      </c>
      <c r="CY659" s="0" t="n">
        <f aca="false">IF(CW659="","",IF(CX659=0,CW659,IF(CX659=1,CW659/30,IF(CX659=2,CW659/15,IF(CX659=3,CW659/7,CW659)))))</f>
        <v>186.66</v>
      </c>
      <c r="CZ659" s="0" t="n">
        <f aca="false">IF(DI659&gt;0,DI659,IF(CY659&gt;0,CY659,IF(CV659&gt;0,CV659,"")))</f>
        <v>186.66</v>
      </c>
      <c r="DA659" s="0" t="n">
        <f aca="false">IF(DM659=1,CZ659/8,IF(OR(DM659=2,DM659=4),CZ659/7,IF(DM659=3,CZ659/7.5,"")))</f>
        <v>23.3325</v>
      </c>
      <c r="DB659" s="0" t="s">
        <v>6064</v>
      </c>
      <c r="DC659" s="0" t="s">
        <v>2813</v>
      </c>
      <c r="DD659" s="0" t="s">
        <v>216</v>
      </c>
      <c r="DE659" s="0" t="s">
        <v>216</v>
      </c>
      <c r="DF659" s="0" t="s">
        <v>216</v>
      </c>
      <c r="DG659" s="0" t="s">
        <v>216</v>
      </c>
      <c r="DH659" s="0" t="n">
        <v>0</v>
      </c>
      <c r="DI659" s="126" t="n">
        <v>186.66</v>
      </c>
      <c r="DK659" s="0" t="n">
        <v>0</v>
      </c>
      <c r="DM659" s="0" t="n">
        <v>1</v>
      </c>
      <c r="DN659" s="0" t="n">
        <v>10</v>
      </c>
      <c r="DO659" s="0" t="n">
        <v>0</v>
      </c>
      <c r="DP659" s="0" t="n">
        <v>0</v>
      </c>
      <c r="DQ659" s="0" t="n">
        <v>1</v>
      </c>
      <c r="DR659" s="0"/>
      <c r="DS659" s="0" t="n">
        <v>1</v>
      </c>
      <c r="DU659" s="0" t="n">
        <v>1</v>
      </c>
      <c r="DW659" s="1" t="s">
        <v>216</v>
      </c>
      <c r="DX659" s="1" t="s">
        <v>216</v>
      </c>
      <c r="DZ659" s="0"/>
      <c r="EA659" s="0" t="n">
        <v>1</v>
      </c>
      <c r="EC659" s="1" t="n">
        <v>40179</v>
      </c>
      <c r="ED659" s="1" t="n">
        <v>40513</v>
      </c>
      <c r="EF659" s="0"/>
      <c r="EG659" s="0" t="n">
        <v>1</v>
      </c>
      <c r="EH659" s="0" t="n">
        <v>12</v>
      </c>
      <c r="EI659" s="0" t="str">
        <f aca="false">IF(AND(DM659=1,DN659&lt;=48),"",IF(AND(DM659=2,DN659&lt;=42),"",IF(AND(DM659=3,DN659&lt;=45),"",EH659)))</f>
        <v/>
      </c>
      <c r="EJ659" s="0" t="str">
        <f aca="false">IF(EI659="","",IF(EI659&lt;9,EI659,9))</f>
        <v/>
      </c>
      <c r="EK659" s="0" t="str">
        <f aca="false">IF(EI659="","",IF(EI659&gt;9,EI659-EJ659,0))</f>
        <v/>
      </c>
      <c r="EL659" s="0" t="str">
        <f aca="false">IF(EI659="","",EJ659*DA659*2+EK659*DA659*3)</f>
        <v/>
      </c>
      <c r="EP659" s="0" t="n">
        <v>0</v>
      </c>
      <c r="EQ659" s="0"/>
      <c r="ER659" s="0" t="n">
        <v>0</v>
      </c>
      <c r="ET659" s="0" t="n">
        <v>0</v>
      </c>
      <c r="EV659" s="0" t="n">
        <v>0</v>
      </c>
      <c r="EX659" s="0" t="n">
        <v>1</v>
      </c>
      <c r="EY659" s="0" t="n">
        <v>1</v>
      </c>
      <c r="EZ659" s="0"/>
      <c r="FA659" s="0"/>
      <c r="FB659" s="0" t="n">
        <v>1</v>
      </c>
      <c r="FC659" s="1" t="n">
        <v>41093</v>
      </c>
      <c r="FD659" s="0" t="n">
        <v>1</v>
      </c>
      <c r="FE659" s="0" t="n">
        <v>10000</v>
      </c>
      <c r="FF659" s="120" t="n">
        <f aca="false">(CJ659-CI659+1)/365</f>
        <v>2.18904109589041</v>
      </c>
      <c r="FG659" s="0" t="str">
        <f aca="false">CONCATENATE(F659,"/",G659)</f>
        <v>1403/2011</v>
      </c>
      <c r="FH659" s="0" t="n">
        <v>1</v>
      </c>
      <c r="FI659" s="0" t="n">
        <f aca="false">IFERROR(IF((FC659-J659+1)/365&gt;3,0,1),"")</f>
        <v>1</v>
      </c>
    </row>
    <row r="660" customFormat="false" ht="15" hidden="false" customHeight="false" outlineLevel="0" collapsed="false">
      <c r="A660" s="5" t="str">
        <f aca="false">E660&amp;G660&amp;F660</f>
        <v>720111406</v>
      </c>
      <c r="B660" s="0" t="s">
        <v>5963</v>
      </c>
      <c r="C660" s="1" t="n">
        <v>42365</v>
      </c>
      <c r="D660" s="0" t="s">
        <v>3265</v>
      </c>
      <c r="E660" s="0" t="n">
        <v>7</v>
      </c>
      <c r="F660" s="0" t="n">
        <v>1406</v>
      </c>
      <c r="G660" s="0" t="n">
        <v>2011</v>
      </c>
      <c r="H660" s="0" t="str">
        <f aca="false">"J"&amp;E660&amp;"\"&amp;F660&amp;"\"&amp;G660&amp;"\"&amp;W660</f>
        <v>J7\1406\2011\1</v>
      </c>
      <c r="I660" s="0"/>
      <c r="J660" s="1" t="n">
        <v>40772</v>
      </c>
      <c r="K660" s="0" t="n">
        <v>0</v>
      </c>
      <c r="M660" s="1" t="s">
        <v>216</v>
      </c>
      <c r="N660" s="1" t="s">
        <v>216</v>
      </c>
      <c r="O660" s="1"/>
      <c r="P660" s="1"/>
      <c r="Q660" s="1"/>
      <c r="T660" s="121"/>
      <c r="U660" s="121"/>
      <c r="V660" s="122" t="n">
        <f aca="false">IF(AND(E660&gt;0,F660&gt;0,G660&gt;0),COUNTIFS($E:$E,E660,$F:$F,F660,$G:$G,G660),"")</f>
        <v>2</v>
      </c>
      <c r="W660" s="122" t="n">
        <f aca="false">IF(V660="","",IF(V660=1,1,IF(AND(E659=E660,F659=F660,G659=G660),W659+1,1)))</f>
        <v>1</v>
      </c>
      <c r="X660" s="0" t="n">
        <v>2</v>
      </c>
      <c r="Y660" s="0" t="n">
        <v>3</v>
      </c>
      <c r="Z660" s="0" t="s">
        <v>6065</v>
      </c>
      <c r="AA660" s="0" t="n">
        <v>0</v>
      </c>
      <c r="AB660" s="0" t="s">
        <v>6066</v>
      </c>
      <c r="AC660" s="0" t="s">
        <v>508</v>
      </c>
      <c r="AD660" s="0" t="s">
        <v>322</v>
      </c>
      <c r="AE660" s="0" t="n">
        <v>0</v>
      </c>
      <c r="AF660" s="0" t="s">
        <v>6067</v>
      </c>
      <c r="AG660" s="0" t="n">
        <v>0</v>
      </c>
      <c r="AH660" s="0" t="s">
        <v>6068</v>
      </c>
      <c r="AI660" s="0" t="s">
        <v>1123</v>
      </c>
      <c r="AJ660" s="0" t="s">
        <v>322</v>
      </c>
      <c r="AL660" s="0" t="s">
        <v>6069</v>
      </c>
      <c r="AM660" s="0" t="n">
        <v>1</v>
      </c>
      <c r="AN660" s="0" t="s">
        <v>6068</v>
      </c>
      <c r="AO660" s="0" t="s">
        <v>1123</v>
      </c>
      <c r="AP660" s="0" t="s">
        <v>322</v>
      </c>
      <c r="AR660" s="0" t="s">
        <v>6031</v>
      </c>
      <c r="AS660" s="0" t="n">
        <v>1</v>
      </c>
      <c r="AT660" s="0" t="s">
        <v>6068</v>
      </c>
      <c r="AU660" s="0" t="s">
        <v>1123</v>
      </c>
      <c r="AV660" s="0" t="s">
        <v>322</v>
      </c>
      <c r="BR660" s="0" t="n">
        <v>1</v>
      </c>
      <c r="BS660" s="0" t="s">
        <v>6070</v>
      </c>
      <c r="BV660" s="123"/>
      <c r="BW660" s="123"/>
      <c r="BX660" s="123"/>
      <c r="BY660" s="123"/>
      <c r="CD660" s="0" t="s">
        <v>6039</v>
      </c>
      <c r="CE660" s="0" t="n">
        <v>0</v>
      </c>
      <c r="CF660" s="0" t="s">
        <v>3693</v>
      </c>
      <c r="CG660" s="0" t="s">
        <v>216</v>
      </c>
      <c r="CH660" s="0" t="s">
        <v>216</v>
      </c>
      <c r="CI660" s="1" t="n">
        <v>39083</v>
      </c>
      <c r="CJ660" s="1" t="n">
        <v>40086</v>
      </c>
      <c r="CK660" s="124" t="s">
        <v>216</v>
      </c>
      <c r="CL660" s="0" t="s">
        <v>216</v>
      </c>
      <c r="CM660" s="0" t="n">
        <f aca="false">IF(OR(CI660="",CJ660=""),"",DAYS360(CI660,CJ660)/360)</f>
        <v>2.74722222222222</v>
      </c>
      <c r="CN660" s="0" t="n">
        <f aca="false">IF(OR(CI660="",CJ660=""),"",DAYS360(CI660,CJ660)/30)</f>
        <v>32.9666666666667</v>
      </c>
      <c r="CO660" s="0" t="n">
        <f aca="false">IF(OR(CI660="",CJ660=""),"",DAYS360(CI660,CJ660)/7)</f>
        <v>141.285714285714</v>
      </c>
      <c r="CP660" s="0" t="n">
        <f aca="false">IF(OR(CI660="",CJ660=""),"",DAYS360(CI660,CJ660))</f>
        <v>989</v>
      </c>
      <c r="CQ660" s="0" t="s">
        <v>6071</v>
      </c>
      <c r="CR660" s="0" t="n">
        <v>1</v>
      </c>
      <c r="CT660" s="0" t="s">
        <v>216</v>
      </c>
      <c r="CU660" s="0" t="s">
        <v>216</v>
      </c>
      <c r="CV660" s="0" t="str">
        <f aca="false">IF(OR(CT660="",CT660="NO ESPECIFICA",CT660="NO MENCIONA"),"",IF(CU660=0,CT660,IF(CU660=1,CT660/30,IF(CU660=2,CT660/15,IF(CU660=3,CT660/7,"")))))</f>
        <v/>
      </c>
      <c r="CW660" s="125" t="s">
        <v>216</v>
      </c>
      <c r="CX660" s="0" t="s">
        <v>216</v>
      </c>
      <c r="CY660" s="0" t="str">
        <f aca="false">IF(CW660="","",IF(CX660=0,CW660,IF(CX660=1,CW660/30,IF(CX660=2,CW660/15,IF(CX660=3,CW660/7,CW660)))))</f>
        <v>NO MENCIONA</v>
      </c>
      <c r="CZ660" s="0" t="str">
        <f aca="false">IF(DI660&gt;0,DI660,IF(CY660&gt;0,CY660,IF(CV660&gt;0,CV660,"")))</f>
        <v>NO MENCIONA</v>
      </c>
      <c r="DA660" s="0" t="str">
        <f aca="false">IF(DM660=1,CZ660/8,IF(OR(DM660=2,DM660=4),CZ660/7,IF(DM660=3,CZ660/7.5,"")))</f>
        <v/>
      </c>
      <c r="DB660" s="0" t="s">
        <v>216</v>
      </c>
      <c r="DC660" s="0" t="s">
        <v>216</v>
      </c>
      <c r="DD660" s="0" t="s">
        <v>216</v>
      </c>
      <c r="DE660" s="0" t="s">
        <v>216</v>
      </c>
      <c r="DF660" s="0" t="s">
        <v>216</v>
      </c>
      <c r="DG660" s="0" t="s">
        <v>216</v>
      </c>
      <c r="DH660" s="0" t="n">
        <v>0</v>
      </c>
      <c r="DI660" s="126" t="s">
        <v>216</v>
      </c>
      <c r="DK660" s="0" t="n">
        <v>1</v>
      </c>
      <c r="DM660" s="0" t="s">
        <v>216</v>
      </c>
      <c r="DN660" s="0" t="s">
        <v>216</v>
      </c>
      <c r="DO660" s="0" t="s">
        <v>216</v>
      </c>
      <c r="DP660" s="0" t="n">
        <v>0</v>
      </c>
      <c r="DQ660" s="0" t="n">
        <v>0</v>
      </c>
      <c r="DR660" s="0"/>
      <c r="DS660" s="0" t="n">
        <v>0</v>
      </c>
      <c r="DU660" s="0" t="n">
        <v>0</v>
      </c>
      <c r="DW660" s="1" t="s">
        <v>216</v>
      </c>
      <c r="DX660" s="1" t="s">
        <v>216</v>
      </c>
      <c r="DZ660" s="0"/>
      <c r="EA660" s="0" t="n">
        <v>0</v>
      </c>
      <c r="EC660" s="1" t="s">
        <v>216</v>
      </c>
      <c r="ED660" s="1" t="s">
        <v>216</v>
      </c>
      <c r="EF660" s="0"/>
      <c r="EG660" s="0" t="n">
        <v>0</v>
      </c>
      <c r="EI660" s="0" t="n">
        <f aca="false">IF(AND(DM660=1,DN660&lt;=48),"",IF(AND(DM660=2,DN660&lt;=42),"",IF(AND(DM660=3,DN660&lt;=45),"",EH660)))</f>
        <v>0</v>
      </c>
      <c r="EJ660" s="0" t="str">
        <f aca="false">IF(EI660="","",IF(EI660&lt;9,EI660,9))</f>
        <v/>
      </c>
      <c r="EK660" s="0" t="str">
        <f aca="false">IF(EI660="","",IF(EI660&gt;9,EI660-EJ660,0))</f>
        <v/>
      </c>
      <c r="EL660" s="0" t="str">
        <f aca="false">IF(EI660="","",EJ660*DA660*2+EK660*DA660*3)</f>
        <v/>
      </c>
      <c r="EP660" s="0" t="n">
        <v>0</v>
      </c>
      <c r="EQ660" s="0"/>
      <c r="ER660" s="0" t="n">
        <v>0</v>
      </c>
      <c r="ET660" s="0" t="n">
        <v>0</v>
      </c>
      <c r="EV660" s="0" t="n">
        <v>0</v>
      </c>
      <c r="EX660" s="0" t="n">
        <v>0</v>
      </c>
      <c r="EY660" s="0" t="n">
        <v>1</v>
      </c>
      <c r="EZ660" s="0"/>
      <c r="FA660" s="4" t="n">
        <v>0</v>
      </c>
      <c r="FB660" s="0" t="n">
        <v>0</v>
      </c>
      <c r="FC660" s="1"/>
      <c r="FF660" s="120" t="n">
        <f aca="false">(CJ660-CI660+1)/365</f>
        <v>2.75068493150685</v>
      </c>
      <c r="FG660" s="0" t="str">
        <f aca="false">CONCATENATE(F660,"/",G660)</f>
        <v>1406/2011</v>
      </c>
      <c r="FH660" s="0" t="n">
        <v>1</v>
      </c>
      <c r="FI660" s="0" t="n">
        <f aca="false">IFERROR(IF((FC660-J660+1)/365&gt;3,0,1),"")</f>
        <v>1</v>
      </c>
    </row>
    <row r="661" customFormat="false" ht="15" hidden="false" customHeight="false" outlineLevel="0" collapsed="false">
      <c r="A661" s="5" t="str">
        <f aca="false">E661&amp;G661&amp;F661</f>
        <v>720111406</v>
      </c>
      <c r="B661" s="0" t="s">
        <v>5963</v>
      </c>
      <c r="C661" s="1" t="n">
        <v>42365</v>
      </c>
      <c r="D661" s="0" t="s">
        <v>3265</v>
      </c>
      <c r="E661" s="0" t="n">
        <v>7</v>
      </c>
      <c r="F661" s="0" t="n">
        <v>1406</v>
      </c>
      <c r="G661" s="0" t="n">
        <v>2011</v>
      </c>
      <c r="H661" s="0" t="str">
        <f aca="false">"J"&amp;E661&amp;"\"&amp;F661&amp;"\"&amp;G661&amp;"\"&amp;W661</f>
        <v>J7\1406\2011\2</v>
      </c>
      <c r="I661" s="0"/>
      <c r="J661" s="1" t="n">
        <v>40772</v>
      </c>
      <c r="K661" s="0" t="n">
        <v>0</v>
      </c>
      <c r="M661" s="1" t="s">
        <v>216</v>
      </c>
      <c r="N661" s="1" t="s">
        <v>216</v>
      </c>
      <c r="O661" s="1"/>
      <c r="P661" s="1"/>
      <c r="Q661" s="1"/>
      <c r="T661" s="121"/>
      <c r="U661" s="121"/>
      <c r="V661" s="122" t="n">
        <f aca="false">IF(AND(E661&gt;0,F661&gt;0,G661&gt;0),COUNTIFS($E:$E,E661,$F:$F,F661,$G:$G,G661),"")</f>
        <v>2</v>
      </c>
      <c r="W661" s="122" t="n">
        <f aca="false">IF(V661="","",IF(V661=1,1,IF(AND(E660=E661,F660=F661,G660=G661),W660+1,1)))</f>
        <v>2</v>
      </c>
      <c r="X661" s="0" t="n">
        <v>2</v>
      </c>
      <c r="Y661" s="0" t="n">
        <v>3</v>
      </c>
      <c r="Z661" s="0" t="s">
        <v>6072</v>
      </c>
      <c r="AA661" s="0" t="n">
        <v>0</v>
      </c>
      <c r="AB661" s="0" t="s">
        <v>6066</v>
      </c>
      <c r="AC661" s="0" t="s">
        <v>508</v>
      </c>
      <c r="AD661" s="0" t="s">
        <v>322</v>
      </c>
      <c r="AE661" s="0" t="n">
        <v>0</v>
      </c>
      <c r="AF661" s="0" t="s">
        <v>6067</v>
      </c>
      <c r="AG661" s="0" t="n">
        <v>0</v>
      </c>
      <c r="AH661" s="0" t="s">
        <v>6068</v>
      </c>
      <c r="AI661" s="0" t="s">
        <v>1123</v>
      </c>
      <c r="AJ661" s="0" t="s">
        <v>322</v>
      </c>
      <c r="AL661" s="0" t="s">
        <v>6069</v>
      </c>
      <c r="AM661" s="0" t="n">
        <v>1</v>
      </c>
      <c r="AN661" s="0" t="s">
        <v>6068</v>
      </c>
      <c r="AO661" s="0" t="s">
        <v>1123</v>
      </c>
      <c r="AP661" s="0" t="s">
        <v>322</v>
      </c>
      <c r="AR661" s="0" t="s">
        <v>6031</v>
      </c>
      <c r="AS661" s="0" t="n">
        <v>1</v>
      </c>
      <c r="AT661" s="0" t="s">
        <v>6068</v>
      </c>
      <c r="AU661" s="0" t="s">
        <v>1123</v>
      </c>
      <c r="AV661" s="0" t="s">
        <v>322</v>
      </c>
      <c r="BR661" s="0" t="n">
        <v>1</v>
      </c>
      <c r="BS661" s="0" t="s">
        <v>6070</v>
      </c>
      <c r="BV661" s="123"/>
      <c r="BW661" s="123"/>
      <c r="BX661" s="123"/>
      <c r="BY661" s="123"/>
      <c r="CD661" s="0" t="s">
        <v>256</v>
      </c>
      <c r="CE661" s="0" t="n">
        <v>0</v>
      </c>
      <c r="CF661" s="0" t="s">
        <v>3693</v>
      </c>
      <c r="CG661" s="0" t="s">
        <v>216</v>
      </c>
      <c r="CH661" s="0" t="s">
        <v>216</v>
      </c>
      <c r="CI661" s="1" t="n">
        <v>39083</v>
      </c>
      <c r="CJ661" s="1" t="n">
        <v>40086</v>
      </c>
      <c r="CK661" s="124" t="s">
        <v>216</v>
      </c>
      <c r="CL661" s="0" t="s">
        <v>216</v>
      </c>
      <c r="CM661" s="0" t="n">
        <f aca="false">IF(OR(CI661="",CJ661=""),"",DAYS360(CI661,CJ661)/360)</f>
        <v>2.74722222222222</v>
      </c>
      <c r="CN661" s="0" t="n">
        <f aca="false">IF(OR(CI661="",CJ661=""),"",DAYS360(CI661,CJ661)/30)</f>
        <v>32.9666666666667</v>
      </c>
      <c r="CO661" s="0" t="n">
        <f aca="false">IF(OR(CI661="",CJ661=""),"",DAYS360(CI661,CJ661)/7)</f>
        <v>141.285714285714</v>
      </c>
      <c r="CP661" s="0" t="n">
        <f aca="false">IF(OR(CI661="",CJ661=""),"",DAYS360(CI661,CJ661))</f>
        <v>989</v>
      </c>
      <c r="CQ661" s="0" t="s">
        <v>6071</v>
      </c>
      <c r="CR661" s="0" t="n">
        <v>1</v>
      </c>
      <c r="CT661" s="0" t="s">
        <v>216</v>
      </c>
      <c r="CU661" s="0" t="s">
        <v>216</v>
      </c>
      <c r="CV661" s="0" t="str">
        <f aca="false">IF(OR(CT661="",CT661="NO ESPECIFICA",CT661="NO MENCIONA"),"",IF(CU661=0,CT661,IF(CU661=1,CT661/30,IF(CU661=2,CT661/15,IF(CU661=3,CT661/7,"")))))</f>
        <v/>
      </c>
      <c r="CW661" s="125" t="s">
        <v>216</v>
      </c>
      <c r="CX661" s="0" t="s">
        <v>216</v>
      </c>
      <c r="CY661" s="0" t="str">
        <f aca="false">IF(CW661="","",IF(CX661=0,CW661,IF(CX661=1,CW661/30,IF(CX661=2,CW661/15,IF(CX661=3,CW661/7,CW661)))))</f>
        <v>NO MENCIONA</v>
      </c>
      <c r="CZ661" s="0" t="str">
        <f aca="false">IF(DI661&gt;0,DI661,IF(CY661&gt;0,CY661,IF(CV661&gt;0,CV661,"")))</f>
        <v>NO MENCIONA</v>
      </c>
      <c r="DA661" s="0" t="str">
        <f aca="false">IF(DM661=1,CZ661/8,IF(OR(DM661=2,DM661=4),CZ661/7,IF(DM661=3,CZ661/7.5,"")))</f>
        <v/>
      </c>
      <c r="DB661" s="0" t="s">
        <v>216</v>
      </c>
      <c r="DC661" s="0" t="s">
        <v>216</v>
      </c>
      <c r="DD661" s="0" t="s">
        <v>216</v>
      </c>
      <c r="DE661" s="0" t="s">
        <v>216</v>
      </c>
      <c r="DF661" s="0" t="s">
        <v>216</v>
      </c>
      <c r="DG661" s="0" t="s">
        <v>216</v>
      </c>
      <c r="DH661" s="0" t="n">
        <v>0</v>
      </c>
      <c r="DI661" s="126" t="s">
        <v>216</v>
      </c>
      <c r="DK661" s="0" t="n">
        <v>0</v>
      </c>
      <c r="DM661" s="0" t="s">
        <v>216</v>
      </c>
      <c r="DN661" s="0" t="s">
        <v>216</v>
      </c>
      <c r="DO661" s="0" t="s">
        <v>216</v>
      </c>
      <c r="DP661" s="0" t="n">
        <v>0</v>
      </c>
      <c r="DQ661" s="0" t="n">
        <v>0</v>
      </c>
      <c r="DR661" s="0"/>
      <c r="DS661" s="0" t="n">
        <v>0</v>
      </c>
      <c r="DU661" s="0" t="n">
        <v>0</v>
      </c>
      <c r="DW661" s="1" t="s">
        <v>216</v>
      </c>
      <c r="DX661" s="1" t="s">
        <v>216</v>
      </c>
      <c r="DZ661" s="0"/>
      <c r="EA661" s="0" t="n">
        <v>0</v>
      </c>
      <c r="EC661" s="1" t="s">
        <v>216</v>
      </c>
      <c r="ED661" s="1" t="s">
        <v>216</v>
      </c>
      <c r="EF661" s="0"/>
      <c r="EG661" s="0" t="n">
        <v>0</v>
      </c>
      <c r="EI661" s="0" t="n">
        <f aca="false">IF(AND(DM661=1,DN661&lt;=48),"",IF(AND(DM661=2,DN661&lt;=42),"",IF(AND(DM661=3,DN661&lt;=45),"",EH661)))</f>
        <v>0</v>
      </c>
      <c r="EJ661" s="0" t="str">
        <f aca="false">IF(EI661="","",IF(EI661&lt;9,EI661,9))</f>
        <v/>
      </c>
      <c r="EK661" s="0" t="str">
        <f aca="false">IF(EI661="","",IF(EI661&gt;9,EI661-EJ661,0))</f>
        <v/>
      </c>
      <c r="EL661" s="0" t="str">
        <f aca="false">IF(EI661="","",EJ661*DA661*2+EK661*DA661*3)</f>
        <v/>
      </c>
      <c r="EP661" s="0" t="n">
        <v>0</v>
      </c>
      <c r="EQ661" s="0"/>
      <c r="ER661" s="0" t="n">
        <v>0</v>
      </c>
      <c r="ET661" s="0" t="n">
        <v>0</v>
      </c>
      <c r="EV661" s="0" t="n">
        <v>0</v>
      </c>
      <c r="EX661" s="0" t="n">
        <v>0</v>
      </c>
      <c r="EY661" s="0" t="n">
        <v>1</v>
      </c>
      <c r="EZ661" s="0"/>
      <c r="FA661" s="4" t="n">
        <v>0</v>
      </c>
      <c r="FB661" s="0" t="n">
        <v>0</v>
      </c>
      <c r="FC661" s="1"/>
      <c r="FF661" s="120" t="n">
        <f aca="false">(CJ661-CI661+1)/365</f>
        <v>2.75068493150685</v>
      </c>
      <c r="FG661" s="0" t="str">
        <f aca="false">CONCATENATE(F661,"/",G661)</f>
        <v>1406/2011</v>
      </c>
      <c r="FH661" s="0" t="n">
        <v>1</v>
      </c>
      <c r="FI661" s="0" t="n">
        <f aca="false">IFERROR(IF((FC661-J661+1)/365&gt;3,0,1),"")</f>
        <v>1</v>
      </c>
    </row>
    <row r="662" customFormat="false" ht="15" hidden="false" customHeight="false" outlineLevel="0" collapsed="false">
      <c r="A662" s="5" t="str">
        <f aca="false">E662&amp;G662&amp;F662</f>
        <v>720111408</v>
      </c>
      <c r="B662" s="0" t="s">
        <v>5963</v>
      </c>
      <c r="C662" s="1" t="n">
        <v>42365</v>
      </c>
      <c r="D662" s="0" t="s">
        <v>3265</v>
      </c>
      <c r="E662" s="0" t="n">
        <v>7</v>
      </c>
      <c r="F662" s="0" t="n">
        <v>1408</v>
      </c>
      <c r="G662" s="0" t="n">
        <v>2011</v>
      </c>
      <c r="H662" s="0" t="str">
        <f aca="false">"J"&amp;E662&amp;"\"&amp;F662&amp;"\"&amp;G662&amp;"\"&amp;W662</f>
        <v>J7\1408\2011\1</v>
      </c>
      <c r="I662" s="0"/>
      <c r="J662" s="1" t="n">
        <v>40772</v>
      </c>
      <c r="K662" s="0" t="n">
        <v>0</v>
      </c>
      <c r="M662" s="1" t="s">
        <v>216</v>
      </c>
      <c r="N662" s="1" t="s">
        <v>216</v>
      </c>
      <c r="O662" s="1"/>
      <c r="P662" s="1"/>
      <c r="Q662" s="1"/>
      <c r="T662" s="121"/>
      <c r="U662" s="121"/>
      <c r="V662" s="122" t="n">
        <f aca="false">IF(AND(E662&gt;0,F662&gt;0,G662&gt;0),COUNTIFS($E:$E,E662,$F:$F,F662,$G:$G,G662),"")</f>
        <v>1</v>
      </c>
      <c r="W662" s="122" t="n">
        <f aca="false">IF(V662="","",IF(V662=1,1,IF(AND(E661=E662,F661=F662,G661=G662),W661+1,1)))</f>
        <v>1</v>
      </c>
      <c r="X662" s="0" t="n">
        <v>1</v>
      </c>
      <c r="Y662" s="0" t="n">
        <v>4</v>
      </c>
      <c r="Z662" s="0" t="s">
        <v>6073</v>
      </c>
      <c r="AA662" s="0" t="n">
        <v>0</v>
      </c>
      <c r="AB662" s="0" t="s">
        <v>6074</v>
      </c>
      <c r="AC662" s="0" t="s">
        <v>274</v>
      </c>
      <c r="AD662" s="0" t="s">
        <v>216</v>
      </c>
      <c r="AE662" s="0" t="n">
        <v>0</v>
      </c>
      <c r="AF662" s="0" t="s">
        <v>4342</v>
      </c>
      <c r="AG662" s="0" t="n">
        <v>0</v>
      </c>
      <c r="AH662" s="0" t="s">
        <v>6075</v>
      </c>
      <c r="AI662" s="0" t="s">
        <v>206</v>
      </c>
      <c r="AJ662" s="0" t="s">
        <v>207</v>
      </c>
      <c r="AL662" s="0" t="s">
        <v>6076</v>
      </c>
      <c r="AM662" s="0" t="n">
        <v>1</v>
      </c>
      <c r="AN662" s="0" t="s">
        <v>6075</v>
      </c>
      <c r="AO662" s="0" t="s">
        <v>206</v>
      </c>
      <c r="AP662" s="0" t="s">
        <v>207</v>
      </c>
      <c r="AR662" s="0" t="s">
        <v>6077</v>
      </c>
      <c r="AS662" s="0" t="n">
        <v>1</v>
      </c>
      <c r="AT662" s="0" t="s">
        <v>6075</v>
      </c>
      <c r="AU662" s="0" t="s">
        <v>206</v>
      </c>
      <c r="AV662" s="0" t="s">
        <v>207</v>
      </c>
      <c r="AX662" s="0" t="s">
        <v>6078</v>
      </c>
      <c r="AY662" s="0" t="n">
        <v>1</v>
      </c>
      <c r="AZ662" s="0" t="s">
        <v>6075</v>
      </c>
      <c r="BA662" s="0" t="s">
        <v>206</v>
      </c>
      <c r="BB662" s="0" t="s">
        <v>207</v>
      </c>
      <c r="BR662" s="0" t="n">
        <v>1</v>
      </c>
      <c r="BS662" s="0" t="s">
        <v>1232</v>
      </c>
      <c r="BV662" s="123"/>
      <c r="BW662" s="123"/>
      <c r="BX662" s="123"/>
      <c r="BY662" s="123"/>
      <c r="CD662" s="0" t="s">
        <v>216</v>
      </c>
      <c r="CE662" s="0" t="n">
        <v>0</v>
      </c>
      <c r="CF662" s="0" t="s">
        <v>6079</v>
      </c>
      <c r="CG662" s="0" t="s">
        <v>216</v>
      </c>
      <c r="CH662" s="0" t="s">
        <v>216</v>
      </c>
      <c r="CI662" s="1" t="n">
        <v>40350</v>
      </c>
      <c r="CJ662" s="1" t="n">
        <v>40746</v>
      </c>
      <c r="CK662" s="124" t="n">
        <v>0.541666666666667</v>
      </c>
      <c r="CL662" s="0" t="s">
        <v>6077</v>
      </c>
      <c r="CM662" s="0" t="n">
        <f aca="false">IF(OR(CI662="",CJ662=""),"",DAYS360(CI662,CJ662)/360)</f>
        <v>1.08611111111111</v>
      </c>
      <c r="CN662" s="0" t="n">
        <f aca="false">IF(OR(CI662="",CJ662=""),"",DAYS360(CI662,CJ662)/30)</f>
        <v>13.0333333333333</v>
      </c>
      <c r="CO662" s="0" t="n">
        <f aca="false">IF(OR(CI662="",CJ662=""),"",DAYS360(CI662,CJ662)/7)</f>
        <v>55.8571428571429</v>
      </c>
      <c r="CP662" s="0" t="n">
        <f aca="false">IF(OR(CI662="",CJ662=""),"",DAYS360(CI662,CJ662))</f>
        <v>391</v>
      </c>
      <c r="CQ662" s="0" t="s">
        <v>240</v>
      </c>
      <c r="CR662" s="0" t="n">
        <v>1</v>
      </c>
      <c r="CT662" s="0" t="n">
        <v>400</v>
      </c>
      <c r="CU662" s="0" t="n">
        <v>0</v>
      </c>
      <c r="CV662" s="0" t="n">
        <f aca="false">IF(OR(CT662="",CT662="NO ESPECIFICA",CT662="NO MENCIONA"),"",IF(CU662=0,CT662,IF(CU662=1,CT662/30,IF(CU662=2,CT662/15,IF(CU662=3,CT662/7,"")))))</f>
        <v>400</v>
      </c>
      <c r="CW662" s="125" t="n">
        <v>600</v>
      </c>
      <c r="CX662" s="0" t="n">
        <v>0</v>
      </c>
      <c r="CY662" s="0" t="n">
        <f aca="false">IF(CW662="","",IF(CX662=0,CW662,IF(CX662=1,CW662/30,IF(CX662=2,CW662/15,IF(CX662=3,CW662/7,CW662)))))</f>
        <v>600</v>
      </c>
      <c r="CZ662" s="0" t="n">
        <f aca="false">IF(DI662&gt;0,DI662,IF(CY662&gt;0,CY662,IF(CV662&gt;0,CV662,"")))</f>
        <v>600</v>
      </c>
      <c r="DA662" s="0" t="n">
        <f aca="false">IF(DM662=1,CZ662/8,IF(OR(DM662=2,DM662=4),CZ662/7,IF(DM662=3,CZ662/7.5,"")))</f>
        <v>75</v>
      </c>
      <c r="DB662" s="0" t="s">
        <v>299</v>
      </c>
      <c r="DC662" s="0" t="s">
        <v>2063</v>
      </c>
      <c r="DD662" s="0" t="s">
        <v>216</v>
      </c>
      <c r="DE662" s="0" t="s">
        <v>216</v>
      </c>
      <c r="DF662" s="0" t="s">
        <v>216</v>
      </c>
      <c r="DG662" s="0" t="s">
        <v>216</v>
      </c>
      <c r="DH662" s="0" t="n">
        <v>0</v>
      </c>
      <c r="DI662" s="126" t="n">
        <v>600</v>
      </c>
      <c r="DK662" s="0" t="n">
        <v>1</v>
      </c>
      <c r="DM662" s="0" t="n">
        <v>1</v>
      </c>
      <c r="DN662" s="0" t="n">
        <v>10</v>
      </c>
      <c r="DO662" s="0" t="n">
        <v>0</v>
      </c>
      <c r="DP662" s="0" t="n">
        <v>0</v>
      </c>
      <c r="DQ662" s="0" t="n">
        <v>1</v>
      </c>
      <c r="DR662" s="0"/>
      <c r="DS662" s="0" t="n">
        <v>1</v>
      </c>
      <c r="DU662" s="0" t="n">
        <v>1</v>
      </c>
      <c r="DW662" s="1" t="s">
        <v>216</v>
      </c>
      <c r="DX662" s="1" t="s">
        <v>216</v>
      </c>
      <c r="DZ662" s="0"/>
      <c r="EA662" s="0" t="n">
        <v>1</v>
      </c>
      <c r="EC662" s="1" t="s">
        <v>216</v>
      </c>
      <c r="ED662" s="1" t="s">
        <v>216</v>
      </c>
      <c r="EF662" s="0"/>
      <c r="EG662" s="0" t="n">
        <v>1</v>
      </c>
      <c r="EH662" s="0" t="n">
        <v>12</v>
      </c>
      <c r="EI662" s="0" t="str">
        <f aca="false">IF(AND(DM662=1,DN662&lt;=48),"",IF(AND(DM662=2,DN662&lt;=42),"",IF(AND(DM662=3,DN662&lt;=45),"",EH662)))</f>
        <v/>
      </c>
      <c r="EJ662" s="0" t="str">
        <f aca="false">IF(EI662="","",IF(EI662&lt;9,EI662,9))</f>
        <v/>
      </c>
      <c r="EK662" s="0" t="str">
        <f aca="false">IF(EI662="","",IF(EI662&gt;9,EI662-EJ662,0))</f>
        <v/>
      </c>
      <c r="EL662" s="0" t="str">
        <f aca="false">IF(EI662="","",EJ662*DA662*2+EK662*DA662*3)</f>
        <v/>
      </c>
      <c r="EP662" s="0" t="n">
        <v>0</v>
      </c>
      <c r="EQ662" s="0"/>
      <c r="ER662" s="0" t="n">
        <v>0</v>
      </c>
      <c r="ET662" s="0" t="n">
        <v>0</v>
      </c>
      <c r="EV662" s="0" t="n">
        <v>0</v>
      </c>
      <c r="EX662" s="0" t="n">
        <v>1</v>
      </c>
      <c r="EY662" s="0" t="n">
        <v>0</v>
      </c>
      <c r="EZ662" s="0"/>
      <c r="FA662" s="0"/>
      <c r="FB662" s="0" t="n">
        <v>0</v>
      </c>
      <c r="FC662" s="1" t="n">
        <v>41228</v>
      </c>
      <c r="FD662" s="0" t="n">
        <v>1</v>
      </c>
      <c r="FE662" s="0" t="n">
        <v>30000</v>
      </c>
      <c r="FF662" s="120" t="n">
        <f aca="false">(CJ662-CI662+1)/365</f>
        <v>1.08767123287671</v>
      </c>
      <c r="FG662" s="0" t="str">
        <f aca="false">CONCATENATE(F662,"/",G662)</f>
        <v>1408/2011</v>
      </c>
      <c r="FH662" s="0" t="n">
        <v>1</v>
      </c>
      <c r="FI662" s="0" t="n">
        <f aca="false">IFERROR(IF((FC662-J662+1)/365&gt;3,0,1),"")</f>
        <v>1</v>
      </c>
    </row>
    <row r="663" customFormat="false" ht="15" hidden="false" customHeight="false" outlineLevel="0" collapsed="false">
      <c r="A663" s="5" t="str">
        <f aca="false">E663&amp;G663&amp;F663</f>
        <v>720111409</v>
      </c>
      <c r="B663" s="0" t="s">
        <v>5963</v>
      </c>
      <c r="C663" s="1" t="n">
        <v>42365</v>
      </c>
      <c r="D663" s="0" t="s">
        <v>3265</v>
      </c>
      <c r="E663" s="0" t="n">
        <v>7</v>
      </c>
      <c r="F663" s="0" t="n">
        <v>1409</v>
      </c>
      <c r="G663" s="0" t="n">
        <v>2011</v>
      </c>
      <c r="H663" s="0" t="str">
        <f aca="false">"J"&amp;E663&amp;"\"&amp;F663&amp;"\"&amp;G663&amp;"\"&amp;W663</f>
        <v>J7\1409\2011\1</v>
      </c>
      <c r="I663" s="0"/>
      <c r="J663" s="1" t="n">
        <v>40772</v>
      </c>
      <c r="K663" s="0" t="n">
        <v>0</v>
      </c>
      <c r="M663" s="1" t="s">
        <v>216</v>
      </c>
      <c r="N663" s="1" t="s">
        <v>216</v>
      </c>
      <c r="O663" s="1"/>
      <c r="P663" s="1"/>
      <c r="Q663" s="1"/>
      <c r="T663" s="121"/>
      <c r="U663" s="121"/>
      <c r="V663" s="122" t="n">
        <f aca="false">IF(AND(E663&gt;0,F663&gt;0,G663&gt;0),COUNTIFS($E:$E,E663,$F:$F,F663,$G:$G,G663),"")</f>
        <v>1</v>
      </c>
      <c r="W663" s="122" t="n">
        <f aca="false">IF(V663="","",IF(V663=1,1,IF(AND(E662=E663,F662=F663,G662=G663),W662+1,1)))</f>
        <v>1</v>
      </c>
      <c r="X663" s="0" t="n">
        <v>1</v>
      </c>
      <c r="Y663" s="0" t="n">
        <v>3</v>
      </c>
      <c r="Z663" s="0" t="s">
        <v>6080</v>
      </c>
      <c r="AA663" s="0" t="n">
        <v>0</v>
      </c>
      <c r="AB663" s="0" t="s">
        <v>6081</v>
      </c>
      <c r="AC663" s="0" t="s">
        <v>6082</v>
      </c>
      <c r="AD663" s="0" t="s">
        <v>216</v>
      </c>
      <c r="AE663" s="0" t="n">
        <v>0</v>
      </c>
      <c r="AF663" s="0" t="s">
        <v>6083</v>
      </c>
      <c r="AG663" s="0" t="n">
        <v>0</v>
      </c>
      <c r="AH663" s="0" t="s">
        <v>6084</v>
      </c>
      <c r="AI663" s="0" t="s">
        <v>1611</v>
      </c>
      <c r="AJ663" s="0" t="s">
        <v>229</v>
      </c>
      <c r="AL663" s="0" t="s">
        <v>6085</v>
      </c>
      <c r="AM663" s="0" t="n">
        <v>0</v>
      </c>
      <c r="AN663" s="0" t="s">
        <v>6084</v>
      </c>
      <c r="AO663" s="0" t="s">
        <v>1611</v>
      </c>
      <c r="AP663" s="0" t="s">
        <v>229</v>
      </c>
      <c r="AR663" s="0" t="s">
        <v>6086</v>
      </c>
      <c r="AS663" s="0" t="n">
        <v>0</v>
      </c>
      <c r="AT663" s="0" t="s">
        <v>6084</v>
      </c>
      <c r="AU663" s="0" t="s">
        <v>1611</v>
      </c>
      <c r="AV663" s="0" t="s">
        <v>229</v>
      </c>
      <c r="BR663" s="0" t="n">
        <v>1</v>
      </c>
      <c r="BS663" s="0" t="s">
        <v>6087</v>
      </c>
      <c r="BV663" s="123"/>
      <c r="BW663" s="123"/>
      <c r="BX663" s="123"/>
      <c r="BY663" s="123"/>
      <c r="CD663" s="0" t="s">
        <v>216</v>
      </c>
      <c r="CE663" s="0" t="n">
        <v>0</v>
      </c>
      <c r="CF663" s="0" t="s">
        <v>3951</v>
      </c>
      <c r="CG663" s="0" t="s">
        <v>216</v>
      </c>
      <c r="CH663" s="0" t="s">
        <v>216</v>
      </c>
      <c r="CI663" s="1" t="n">
        <v>36934</v>
      </c>
      <c r="CJ663" s="1" t="n">
        <v>40757</v>
      </c>
      <c r="CK663" s="124" t="n">
        <v>0.385416666666667</v>
      </c>
      <c r="CL663" s="0" t="s">
        <v>6088</v>
      </c>
      <c r="CM663" s="0" t="n">
        <f aca="false">IF(OR(CI663="",CJ663=""),"",DAYS360(CI663,CJ663)/360)</f>
        <v>10.4722222222222</v>
      </c>
      <c r="CN663" s="0" t="n">
        <f aca="false">IF(OR(CI663="",CJ663=""),"",DAYS360(CI663,CJ663)/30)</f>
        <v>125.666666666667</v>
      </c>
      <c r="CO663" s="0" t="n">
        <f aca="false">IF(OR(CI663="",CJ663=""),"",DAYS360(CI663,CJ663)/7)</f>
        <v>538.571428571429</v>
      </c>
      <c r="CP663" s="0" t="n">
        <f aca="false">IF(OR(CI663="",CJ663=""),"",DAYS360(CI663,CJ663))</f>
        <v>3770</v>
      </c>
      <c r="CQ663" s="0" t="s">
        <v>220</v>
      </c>
      <c r="CR663" s="0" t="n">
        <v>1</v>
      </c>
      <c r="CT663" s="0" t="n">
        <v>15200.27</v>
      </c>
      <c r="CU663" s="0" t="n">
        <v>2</v>
      </c>
      <c r="CV663" s="0" t="n">
        <f aca="false">IF(OR(CT663="",CT663="NO ESPECIFICA",CT663="NO MENCIONA"),"",IF(CU663=0,CT663,IF(CU663=1,CT663/30,IF(CU663=2,CT663/15,IF(CU663=3,CT663/7,"")))))</f>
        <v>1013.35133333333</v>
      </c>
      <c r="CW663" s="125" t="n">
        <v>16912.81</v>
      </c>
      <c r="CX663" s="0" t="n">
        <v>2</v>
      </c>
      <c r="CY663" s="0" t="n">
        <f aca="false">IF(CW663="","",IF(CX663=0,CW663,IF(CX663=1,CW663/30,IF(CX663=2,CW663/15,IF(CX663=3,CW663/7,CW663)))))</f>
        <v>1127.52066666667</v>
      </c>
      <c r="CZ663" s="0" t="n">
        <f aca="false">IF(DI663&gt;0,DI663,IF(CY663&gt;0,CY663,IF(CV663&gt;0,CV663,"")))</f>
        <v>1127.52</v>
      </c>
      <c r="DA663" s="0" t="n">
        <f aca="false">IF(DM663=1,CZ663/8,IF(OR(DM663=2,DM663=4),CZ663/7,IF(DM663=3,CZ663/7.5,"")))</f>
        <v>140.94</v>
      </c>
      <c r="DB663" s="0" t="s">
        <v>301</v>
      </c>
      <c r="DC663" s="0" t="s">
        <v>303</v>
      </c>
      <c r="DD663" s="0" t="s">
        <v>6089</v>
      </c>
      <c r="DE663" s="0" t="s">
        <v>6090</v>
      </c>
      <c r="DF663" s="0" t="s">
        <v>216</v>
      </c>
      <c r="DG663" s="0" t="s">
        <v>216</v>
      </c>
      <c r="DH663" s="0" t="n">
        <v>0</v>
      </c>
      <c r="DI663" s="126" t="n">
        <v>1127.52</v>
      </c>
      <c r="DK663" s="0" t="n">
        <v>0</v>
      </c>
      <c r="DM663" s="0" t="n">
        <v>1</v>
      </c>
      <c r="DN663" s="0" t="n">
        <v>10</v>
      </c>
      <c r="DO663" s="0" t="n">
        <v>0</v>
      </c>
      <c r="DP663" s="0" t="n">
        <v>1</v>
      </c>
      <c r="DQ663" s="0" t="n">
        <v>1</v>
      </c>
      <c r="DR663" s="0"/>
      <c r="DS663" s="0" t="n">
        <v>1</v>
      </c>
      <c r="DU663" s="0" t="n">
        <v>1</v>
      </c>
      <c r="DW663" s="1" t="n">
        <v>39814</v>
      </c>
      <c r="DX663" s="1" t="n">
        <v>40544</v>
      </c>
      <c r="DZ663" s="0"/>
      <c r="EA663" s="0" t="n">
        <v>0</v>
      </c>
      <c r="EC663" s="1" t="n">
        <v>40179</v>
      </c>
      <c r="ED663" s="1" t="n">
        <v>40513</v>
      </c>
      <c r="EF663" s="0"/>
      <c r="EG663" s="0" t="n">
        <v>1</v>
      </c>
      <c r="EH663" s="0" t="n">
        <v>7</v>
      </c>
      <c r="EI663" s="0" t="str">
        <f aca="false">IF(AND(DM663=1,DN663&lt;=48),"",IF(AND(DM663=2,DN663&lt;=42),"",IF(AND(DM663=3,DN663&lt;=45),"",EH663)))</f>
        <v/>
      </c>
      <c r="EJ663" s="0" t="str">
        <f aca="false">IF(EI663="","",IF(EI663&lt;9,EI663,9))</f>
        <v/>
      </c>
      <c r="EK663" s="0" t="str">
        <f aca="false">IF(EI663="","",IF(EI663&gt;9,EI663-EJ663,0))</f>
        <v/>
      </c>
      <c r="EL663" s="0" t="str">
        <f aca="false">IF(EI663="","",EJ663*DA663*2+EK663*DA663*3)</f>
        <v/>
      </c>
      <c r="EP663" s="0" t="n">
        <v>1</v>
      </c>
      <c r="EQ663" s="0"/>
      <c r="ER663" s="0" t="n">
        <v>0</v>
      </c>
      <c r="ET663" s="0" t="n">
        <v>0</v>
      </c>
      <c r="EV663" s="0" t="n">
        <v>0</v>
      </c>
      <c r="EX663" s="0" t="n">
        <v>1</v>
      </c>
      <c r="EY663" s="0" t="n">
        <v>0</v>
      </c>
      <c r="EZ663" s="0"/>
      <c r="FA663" s="0"/>
      <c r="FB663" s="0" t="n">
        <v>0</v>
      </c>
      <c r="FC663" s="1" t="n">
        <v>40917</v>
      </c>
      <c r="FD663" s="0" t="n">
        <v>1</v>
      </c>
      <c r="FE663" s="0" t="n">
        <v>330000</v>
      </c>
      <c r="FF663" s="120" t="n">
        <f aca="false">(CJ663-CI663+1)/365</f>
        <v>10.4767123287671</v>
      </c>
      <c r="FG663" s="0" t="str">
        <f aca="false">CONCATENATE(F663,"/",G663)</f>
        <v>1409/2011</v>
      </c>
      <c r="FH663" s="0" t="n">
        <v>1</v>
      </c>
      <c r="FI663" s="0" t="n">
        <f aca="false">IFERROR(IF((FC663-J663+1)/365&gt;3,0,1),"")</f>
        <v>1</v>
      </c>
    </row>
    <row r="664" customFormat="false" ht="15" hidden="false" customHeight="false" outlineLevel="0" collapsed="false">
      <c r="A664" s="5" t="str">
        <f aca="false">E664&amp;G664&amp;F664</f>
        <v>720111864</v>
      </c>
      <c r="B664" s="0" t="s">
        <v>4119</v>
      </c>
      <c r="C664" s="1" t="n">
        <v>42361</v>
      </c>
      <c r="D664" s="0" t="s">
        <v>1856</v>
      </c>
      <c r="E664" s="0" t="n">
        <v>7</v>
      </c>
      <c r="F664" s="0" t="n">
        <v>1864</v>
      </c>
      <c r="G664" s="0" t="n">
        <v>2011</v>
      </c>
      <c r="H664" s="0" t="str">
        <f aca="false">"J"&amp;E664&amp;"\"&amp;F664&amp;"\"&amp;G664&amp;"\"&amp;W664</f>
        <v>J7\1864\2011\1</v>
      </c>
      <c r="I664" s="0"/>
      <c r="J664" s="1" t="n">
        <v>40855</v>
      </c>
      <c r="M664" s="1"/>
      <c r="N664" s="1"/>
      <c r="O664" s="1"/>
      <c r="P664" s="1"/>
      <c r="Q664" s="1"/>
      <c r="T664" s="121"/>
      <c r="U664" s="121"/>
      <c r="V664" s="122" t="n">
        <f aca="false">IF(AND(E664&gt;0,F664&gt;0,G664&gt;0),COUNTIFS($E:$E,E664,$F:$F,F664,$G:$G,G664),"")</f>
        <v>2</v>
      </c>
      <c r="W664" s="122" t="n">
        <f aca="false">IF(V664="","",IF(V664=1,1,IF(AND(E663=E664,F663=F664,G663=G664),W663+1,1)))</f>
        <v>1</v>
      </c>
      <c r="X664" s="0" t="n">
        <v>2</v>
      </c>
      <c r="Y664" s="0" t="n">
        <v>1</v>
      </c>
      <c r="Z664" s="0" t="s">
        <v>6091</v>
      </c>
      <c r="AA664" s="0" t="n">
        <v>0</v>
      </c>
      <c r="AB664" s="0" t="s">
        <v>6092</v>
      </c>
      <c r="AC664" s="0" t="s">
        <v>318</v>
      </c>
      <c r="AE664" s="0" t="n">
        <v>0</v>
      </c>
      <c r="AF664" s="0" t="s">
        <v>6093</v>
      </c>
      <c r="AG664" s="0" t="n">
        <v>0</v>
      </c>
      <c r="AH664" s="0" t="s">
        <v>6094</v>
      </c>
      <c r="AI664" s="0" t="s">
        <v>3319</v>
      </c>
      <c r="AJ664" s="0" t="s">
        <v>229</v>
      </c>
      <c r="BR664" s="0" t="n">
        <v>1</v>
      </c>
      <c r="BS664" s="0" t="s">
        <v>5761</v>
      </c>
      <c r="BT664" s="0" t="s">
        <v>4856</v>
      </c>
      <c r="BU664" s="0" t="s">
        <v>4857</v>
      </c>
      <c r="BV664" s="123"/>
      <c r="BW664" s="123"/>
      <c r="BX664" s="123"/>
      <c r="BY664" s="123"/>
      <c r="CA664" s="0" t="s">
        <v>216</v>
      </c>
      <c r="CD664" s="0" t="s">
        <v>296</v>
      </c>
      <c r="CE664" s="0" t="n">
        <v>0</v>
      </c>
      <c r="CF664" s="0" t="s">
        <v>6095</v>
      </c>
      <c r="CI664" s="1" t="n">
        <v>40259</v>
      </c>
      <c r="CJ664" s="1" t="n">
        <v>40851</v>
      </c>
      <c r="CK664" s="124" t="n">
        <v>0.666666666666667</v>
      </c>
      <c r="CL664" s="0" t="s">
        <v>6096</v>
      </c>
      <c r="CM664" s="0" t="n">
        <f aca="false">IF(OR(CI664="",CJ664=""),"",DAYS360(CI664,CJ664)/360)</f>
        <v>1.61666666666667</v>
      </c>
      <c r="CN664" s="0" t="n">
        <f aca="false">IF(OR(CI664="",CJ664=""),"",DAYS360(CI664,CJ664)/30)</f>
        <v>19.4</v>
      </c>
      <c r="CO664" s="0" t="n">
        <f aca="false">IF(OR(CI664="",CJ664=""),"",DAYS360(CI664,CJ664)/7)</f>
        <v>83.1428571428571</v>
      </c>
      <c r="CP664" s="0" t="n">
        <f aca="false">IF(OR(CI664="",CJ664=""),"",DAYS360(CI664,CJ664))</f>
        <v>582</v>
      </c>
      <c r="CQ664" s="0" t="s">
        <v>240</v>
      </c>
      <c r="CR664" s="0" t="n">
        <v>1</v>
      </c>
      <c r="CT664" s="0" t="n">
        <v>2480</v>
      </c>
      <c r="CU664" s="0" t="n">
        <v>2</v>
      </c>
      <c r="CV664" s="0" t="n">
        <f aca="false">IF(OR(CT664="",CT664="NO ESPECIFICA",CT664="NO MENCIONA"),"",IF(CU664=0,CT664,IF(CU664=1,CT664/30,IF(CU664=2,CT664/15,IF(CU664=3,CT664/7,"")))))</f>
        <v>165.333333333333</v>
      </c>
      <c r="CW664" s="125" t="n">
        <v>3877.56</v>
      </c>
      <c r="CX664" s="0" t="n">
        <v>2</v>
      </c>
      <c r="CY664" s="0" t="n">
        <f aca="false">IF(CW664="","",IF(CX664=0,CW664,IF(CX664=1,CW664/30,IF(CX664=2,CW664/15,IF(CX664=3,CW664/7,CW664)))))</f>
        <v>258.504</v>
      </c>
      <c r="CZ664" s="0" t="n">
        <f aca="false">IF(DI664&gt;0,DI664,IF(CY664&gt;0,CY664,IF(CV664&gt;0,CV664,"")))</f>
        <v>258.504</v>
      </c>
      <c r="DA664" s="0" t="n">
        <f aca="false">IF(DM664=1,CZ664/8,IF(OR(DM664=2,DM664=4),CZ664/7,IF(DM664=3,CZ664/7.5,"")))</f>
        <v>36.9291428571429</v>
      </c>
      <c r="DB664" s="0" t="s">
        <v>1022</v>
      </c>
      <c r="DC664" s="0" t="s">
        <v>6097</v>
      </c>
      <c r="DD664" s="0" t="s">
        <v>216</v>
      </c>
      <c r="DE664" s="0" t="s">
        <v>216</v>
      </c>
      <c r="DF664" s="0" t="s">
        <v>216</v>
      </c>
      <c r="DG664" s="0" t="s">
        <v>216</v>
      </c>
      <c r="DH664" s="0" t="n">
        <v>0</v>
      </c>
      <c r="DI664" s="126" t="n">
        <v>258.504</v>
      </c>
      <c r="DK664" s="0" t="n">
        <v>1</v>
      </c>
      <c r="DM664" s="0" t="n">
        <v>2</v>
      </c>
      <c r="DN664" s="0" t="n">
        <v>60</v>
      </c>
      <c r="DO664" s="0" t="n">
        <v>3</v>
      </c>
      <c r="DP664" s="0" t="n">
        <v>0</v>
      </c>
      <c r="DQ664" s="0" t="n">
        <v>1</v>
      </c>
      <c r="DR664" s="0"/>
      <c r="DS664" s="0" t="n">
        <v>1</v>
      </c>
      <c r="DU664" s="0" t="n">
        <v>1</v>
      </c>
      <c r="DW664" s="1" t="n">
        <v>40259</v>
      </c>
      <c r="DX664" s="1" t="n">
        <v>40851</v>
      </c>
      <c r="DZ664" s="0"/>
      <c r="EA664" s="0" t="n">
        <v>1</v>
      </c>
      <c r="EC664" s="1" t="n">
        <v>40259</v>
      </c>
      <c r="ED664" s="1" t="n">
        <v>40851</v>
      </c>
      <c r="EF664" s="0"/>
      <c r="EG664" s="0" t="n">
        <v>1</v>
      </c>
      <c r="EH664" s="0" t="n">
        <v>12</v>
      </c>
      <c r="EI664" s="0" t="n">
        <f aca="false">IF(AND(DM664=1,DN664&lt;=48),"",IF(AND(DM664=2,DN664&lt;=42),"",IF(AND(DM664=3,DN664&lt;=45),"",EH664)))</f>
        <v>12</v>
      </c>
      <c r="EJ664" s="0" t="n">
        <f aca="false">IF(EI664="","",IF(EI664&lt;9,EI664,9))</f>
        <v>9</v>
      </c>
      <c r="EK664" s="0" t="n">
        <f aca="false">IF(EI664="","",IF(EI664&gt;9,EI664-EJ664,0))</f>
        <v>3</v>
      </c>
      <c r="EL664" s="0" t="n">
        <f aca="false">IF(EI664="","",EJ664*DA664*2+EK664*DA664*3)</f>
        <v>997.086857142857</v>
      </c>
      <c r="EP664" s="0" t="n">
        <v>0</v>
      </c>
      <c r="EQ664" s="0"/>
      <c r="ER664" s="0" t="n">
        <v>0</v>
      </c>
      <c r="ET664" s="0" t="n">
        <v>0</v>
      </c>
      <c r="EV664" s="0" t="n">
        <v>1</v>
      </c>
      <c r="EX664" s="0" t="n">
        <v>0</v>
      </c>
      <c r="EY664" s="0" t="n">
        <v>1</v>
      </c>
      <c r="EZ664" s="0"/>
      <c r="FA664" s="4" t="n">
        <v>4653.072</v>
      </c>
      <c r="FB664" s="0" t="n">
        <v>1</v>
      </c>
      <c r="FC664" s="1"/>
      <c r="FF664" s="120" t="n">
        <f aca="false">(CJ664-CI664+1)/365</f>
        <v>1.62465753424658</v>
      </c>
      <c r="FG664" s="0" t="str">
        <f aca="false">CONCATENATE(F664,"/",G664)</f>
        <v>1864/2011</v>
      </c>
      <c r="FH664" s="0" t="n">
        <v>1</v>
      </c>
      <c r="FI664" s="0" t="n">
        <f aca="false">IFERROR(IF((FC664-J664+1)/365&gt;3,0,1),"")</f>
        <v>1</v>
      </c>
    </row>
    <row r="665" customFormat="false" ht="15" hidden="false" customHeight="false" outlineLevel="0" collapsed="false">
      <c r="A665" s="5" t="str">
        <f aca="false">E665&amp;G665&amp;F665</f>
        <v>720111864</v>
      </c>
      <c r="B665" s="0" t="s">
        <v>4119</v>
      </c>
      <c r="C665" s="1" t="n">
        <v>42361</v>
      </c>
      <c r="D665" s="0" t="s">
        <v>1856</v>
      </c>
      <c r="E665" s="0" t="n">
        <v>7</v>
      </c>
      <c r="F665" s="0" t="n">
        <v>1864</v>
      </c>
      <c r="G665" s="0" t="n">
        <v>2011</v>
      </c>
      <c r="H665" s="0" t="str">
        <f aca="false">"J"&amp;E665&amp;"\"&amp;F665&amp;"\"&amp;G665&amp;"\"&amp;W665</f>
        <v>J7\1864\2011\2</v>
      </c>
      <c r="I665" s="0"/>
      <c r="J665" s="1" t="n">
        <v>40855</v>
      </c>
      <c r="M665" s="1"/>
      <c r="N665" s="1"/>
      <c r="O665" s="1"/>
      <c r="P665" s="1"/>
      <c r="Q665" s="1"/>
      <c r="T665" s="121"/>
      <c r="U665" s="121"/>
      <c r="V665" s="122" t="n">
        <f aca="false">IF(AND(E665&gt;0,F665&gt;0,G665&gt;0),COUNTIFS($E:$E,E665,$F:$F,F665,$G:$G,G665),"")</f>
        <v>2</v>
      </c>
      <c r="W665" s="122" t="n">
        <f aca="false">IF(V665="","",IF(V665=1,1,IF(AND(E664=E665,F664=F665,G664=G665),W664+1,1)))</f>
        <v>2</v>
      </c>
      <c r="X665" s="0" t="n">
        <v>2</v>
      </c>
      <c r="Y665" s="0" t="n">
        <v>1</v>
      </c>
      <c r="Z665" s="0" t="s">
        <v>6098</v>
      </c>
      <c r="AA665" s="0" t="n">
        <v>0</v>
      </c>
      <c r="AB665" s="0" t="s">
        <v>6092</v>
      </c>
      <c r="AC665" s="0" t="s">
        <v>318</v>
      </c>
      <c r="AE665" s="0" t="n">
        <v>0</v>
      </c>
      <c r="AF665" s="0" t="s">
        <v>6093</v>
      </c>
      <c r="AG665" s="0" t="n">
        <v>0</v>
      </c>
      <c r="AH665" s="0" t="s">
        <v>6094</v>
      </c>
      <c r="AI665" s="0" t="s">
        <v>3319</v>
      </c>
      <c r="AJ665" s="0" t="s">
        <v>229</v>
      </c>
      <c r="BR665" s="0" t="n">
        <v>1</v>
      </c>
      <c r="BS665" s="0" t="s">
        <v>5761</v>
      </c>
      <c r="BT665" s="0" t="s">
        <v>4856</v>
      </c>
      <c r="BU665" s="0" t="s">
        <v>4857</v>
      </c>
      <c r="BV665" s="123"/>
      <c r="BW665" s="123"/>
      <c r="BX665" s="123"/>
      <c r="BY665" s="123"/>
      <c r="CA665" s="0" t="s">
        <v>216</v>
      </c>
      <c r="CD665" s="0" t="s">
        <v>296</v>
      </c>
      <c r="CE665" s="0" t="n">
        <v>0</v>
      </c>
      <c r="CF665" s="0" t="s">
        <v>6095</v>
      </c>
      <c r="CI665" s="1" t="n">
        <v>40259</v>
      </c>
      <c r="CJ665" s="1" t="n">
        <v>40851</v>
      </c>
      <c r="CK665" s="124" t="n">
        <v>0.666666666666667</v>
      </c>
      <c r="CL665" s="0" t="s">
        <v>6096</v>
      </c>
      <c r="CM665" s="0" t="n">
        <f aca="false">IF(OR(CI665="",CJ665=""),"",DAYS360(CI665,CJ665)/360)</f>
        <v>1.61666666666667</v>
      </c>
      <c r="CN665" s="0" t="n">
        <f aca="false">IF(OR(CI665="",CJ665=""),"",DAYS360(CI665,CJ665)/30)</f>
        <v>19.4</v>
      </c>
      <c r="CO665" s="0" t="n">
        <f aca="false">IF(OR(CI665="",CJ665=""),"",DAYS360(CI665,CJ665)/7)</f>
        <v>83.1428571428571</v>
      </c>
      <c r="CP665" s="0" t="n">
        <f aca="false">IF(OR(CI665="",CJ665=""),"",DAYS360(CI665,CJ665))</f>
        <v>582</v>
      </c>
      <c r="CQ665" s="0" t="s">
        <v>240</v>
      </c>
      <c r="CR665" s="0" t="n">
        <v>1</v>
      </c>
      <c r="CT665" s="0" t="n">
        <v>2480</v>
      </c>
      <c r="CU665" s="0" t="n">
        <v>2</v>
      </c>
      <c r="CV665" s="0" t="n">
        <f aca="false">IF(OR(CT665="",CT665="NO ESPECIFICA",CT665="NO MENCIONA"),"",IF(CU665=0,CT665,IF(CU665=1,CT665/30,IF(CU665=2,CT665/15,IF(CU665=3,CT665/7,"")))))</f>
        <v>165.333333333333</v>
      </c>
      <c r="CW665" s="125" t="n">
        <v>3877.56</v>
      </c>
      <c r="CX665" s="0" t="n">
        <v>2</v>
      </c>
      <c r="CY665" s="0" t="n">
        <f aca="false">IF(CW665="","",IF(CX665=0,CW665,IF(CX665=1,CW665/30,IF(CX665=2,CW665/15,IF(CX665=3,CW665/7,CW665)))))</f>
        <v>258.504</v>
      </c>
      <c r="CZ665" s="0" t="n">
        <f aca="false">IF(DI665&gt;0,DI665,IF(CY665&gt;0,CY665,IF(CV665&gt;0,CV665,"")))</f>
        <v>258.504</v>
      </c>
      <c r="DA665" s="0" t="n">
        <f aca="false">IF(DM665=1,CZ665/8,IF(OR(DM665=2,DM665=4),CZ665/7,IF(DM665=3,CZ665/7.5,"")))</f>
        <v>36.9291428571429</v>
      </c>
      <c r="DB665" s="0" t="s">
        <v>1022</v>
      </c>
      <c r="DC665" s="0" t="s">
        <v>6097</v>
      </c>
      <c r="DD665" s="0" t="s">
        <v>216</v>
      </c>
      <c r="DE665" s="0" t="s">
        <v>216</v>
      </c>
      <c r="DF665" s="0" t="s">
        <v>216</v>
      </c>
      <c r="DG665" s="0" t="s">
        <v>216</v>
      </c>
      <c r="DH665" s="0" t="n">
        <v>0</v>
      </c>
      <c r="DI665" s="126" t="n">
        <v>258.504</v>
      </c>
      <c r="DK665" s="0" t="n">
        <v>1</v>
      </c>
      <c r="DM665" s="0" t="n">
        <v>2</v>
      </c>
      <c r="DN665" s="0" t="n">
        <v>60</v>
      </c>
      <c r="DO665" s="0" t="n">
        <v>3</v>
      </c>
      <c r="DP665" s="0" t="n">
        <v>0</v>
      </c>
      <c r="DQ665" s="0" t="n">
        <v>1</v>
      </c>
      <c r="DR665" s="0"/>
      <c r="DS665" s="0" t="n">
        <v>1</v>
      </c>
      <c r="DU665" s="0" t="n">
        <v>1</v>
      </c>
      <c r="DW665" s="1" t="n">
        <v>40259</v>
      </c>
      <c r="DX665" s="1" t="n">
        <v>40851</v>
      </c>
      <c r="DZ665" s="0"/>
      <c r="EA665" s="0" t="n">
        <v>1</v>
      </c>
      <c r="EC665" s="1" t="n">
        <v>40259</v>
      </c>
      <c r="ED665" s="1" t="n">
        <v>40851</v>
      </c>
      <c r="EF665" s="0"/>
      <c r="EG665" s="0" t="n">
        <v>1</v>
      </c>
      <c r="EH665" s="0" t="n">
        <v>12</v>
      </c>
      <c r="EI665" s="0" t="n">
        <f aca="false">IF(AND(DM665=1,DN665&lt;=48),"",IF(AND(DM665=2,DN665&lt;=42),"",IF(AND(DM665=3,DN665&lt;=45),"",EH665)))</f>
        <v>12</v>
      </c>
      <c r="EJ665" s="0" t="n">
        <f aca="false">IF(EI665="","",IF(EI665&lt;9,EI665,9))</f>
        <v>9</v>
      </c>
      <c r="EK665" s="0" t="n">
        <f aca="false">IF(EI665="","",IF(EI665&gt;9,EI665-EJ665,0))</f>
        <v>3</v>
      </c>
      <c r="EL665" s="0" t="n">
        <f aca="false">IF(EI665="","",EJ665*DA665*2+EK665*DA665*3)</f>
        <v>997.086857142857</v>
      </c>
      <c r="EP665" s="0" t="n">
        <v>0</v>
      </c>
      <c r="EQ665" s="0"/>
      <c r="ER665" s="0" t="n">
        <v>0</v>
      </c>
      <c r="ET665" s="0" t="n">
        <v>0</v>
      </c>
      <c r="EV665" s="0" t="n">
        <v>1</v>
      </c>
      <c r="EX665" s="0" t="n">
        <v>0</v>
      </c>
      <c r="EY665" s="0" t="n">
        <v>1</v>
      </c>
      <c r="EZ665" s="0"/>
      <c r="FA665" s="4" t="n">
        <v>4653.072</v>
      </c>
      <c r="FB665" s="0" t="n">
        <v>1</v>
      </c>
      <c r="FC665" s="1"/>
      <c r="FF665" s="120" t="n">
        <f aca="false">(CJ665-CI665+1)/365</f>
        <v>1.62465753424658</v>
      </c>
      <c r="FG665" s="0" t="str">
        <f aca="false">CONCATENATE(F665,"/",G665)</f>
        <v>1864/2011</v>
      </c>
      <c r="FH665" s="0" t="n">
        <v>1</v>
      </c>
      <c r="FI665" s="0" t="n">
        <f aca="false">IFERROR(IF((FC665-J665+1)/365&gt;3,0,1),"")</f>
        <v>1</v>
      </c>
    </row>
    <row r="666" customFormat="false" ht="15" hidden="false" customHeight="false" outlineLevel="0" collapsed="false">
      <c r="A666" s="5" t="str">
        <f aca="false">E666&amp;G666&amp;F666</f>
        <v>720111858</v>
      </c>
      <c r="B666" s="0" t="s">
        <v>4119</v>
      </c>
      <c r="C666" s="1" t="n">
        <v>42361</v>
      </c>
      <c r="D666" s="0" t="s">
        <v>1856</v>
      </c>
      <c r="E666" s="0" t="n">
        <v>7</v>
      </c>
      <c r="F666" s="0" t="n">
        <v>1858</v>
      </c>
      <c r="G666" s="0" t="n">
        <v>2011</v>
      </c>
      <c r="H666" s="0" t="str">
        <f aca="false">"J"&amp;E666&amp;"\"&amp;F666&amp;"\"&amp;G666&amp;"\"&amp;W666</f>
        <v>J7\1858\2011\1</v>
      </c>
      <c r="I666" s="0"/>
      <c r="J666" s="1" t="n">
        <v>40855</v>
      </c>
      <c r="M666" s="1"/>
      <c r="N666" s="1"/>
      <c r="O666" s="1"/>
      <c r="P666" s="1"/>
      <c r="Q666" s="1"/>
      <c r="T666" s="121"/>
      <c r="U666" s="121"/>
      <c r="V666" s="122" t="n">
        <f aca="false">IF(AND(E666&gt;0,F666&gt;0,G666&gt;0),COUNTIFS($E:$E,E666,$F:$F,F666,$G:$G,G666),"")</f>
        <v>1</v>
      </c>
      <c r="W666" s="122" t="n">
        <f aca="false">IF(V666="","",IF(V666=1,1,IF(AND(E665=E666,F665=F666,G665=G666),W665+1,1)))</f>
        <v>1</v>
      </c>
      <c r="X666" s="0" t="n">
        <v>1</v>
      </c>
      <c r="Y666" s="0" t="n">
        <v>4</v>
      </c>
      <c r="Z666" s="0" t="s">
        <v>6099</v>
      </c>
      <c r="AA666" s="0" t="n">
        <v>0</v>
      </c>
      <c r="AB666" s="0" t="s">
        <v>6100</v>
      </c>
      <c r="AC666" s="0" t="s">
        <v>274</v>
      </c>
      <c r="AD666" s="0" t="s">
        <v>229</v>
      </c>
      <c r="AE666" s="0" t="n">
        <v>0</v>
      </c>
      <c r="AF666" s="0" t="s">
        <v>6101</v>
      </c>
      <c r="AG666" s="0" t="n">
        <v>0</v>
      </c>
      <c r="AH666" s="0" t="s">
        <v>6102</v>
      </c>
      <c r="AI666" s="0" t="s">
        <v>643</v>
      </c>
      <c r="AJ666" s="0" t="s">
        <v>207</v>
      </c>
      <c r="AL666" s="0" t="s">
        <v>6103</v>
      </c>
      <c r="AM666" s="0" t="n">
        <v>0</v>
      </c>
      <c r="AN666" s="0" t="s">
        <v>6102</v>
      </c>
      <c r="AO666" s="0" t="s">
        <v>643</v>
      </c>
      <c r="AP666" s="0" t="s">
        <v>207</v>
      </c>
      <c r="AR666" s="0" t="s">
        <v>4138</v>
      </c>
      <c r="AS666" s="0" t="n">
        <v>1</v>
      </c>
      <c r="AT666" s="0" t="s">
        <v>6102</v>
      </c>
      <c r="AU666" s="0" t="s">
        <v>643</v>
      </c>
      <c r="AV666" s="0" t="s">
        <v>207</v>
      </c>
      <c r="AX666" s="0" t="s">
        <v>6104</v>
      </c>
      <c r="AY666" s="0" t="n">
        <v>1</v>
      </c>
      <c r="AZ666" s="0" t="s">
        <v>6102</v>
      </c>
      <c r="BA666" s="0" t="s">
        <v>643</v>
      </c>
      <c r="BB666" s="0" t="s">
        <v>207</v>
      </c>
      <c r="BR666" s="0" t="n">
        <v>1</v>
      </c>
      <c r="BS666" s="0" t="s">
        <v>6105</v>
      </c>
      <c r="BT666" s="0" t="s">
        <v>808</v>
      </c>
      <c r="BU666" s="0" t="s">
        <v>2390</v>
      </c>
      <c r="BV666" s="123"/>
      <c r="BW666" s="123"/>
      <c r="BX666" s="123"/>
      <c r="BY666" s="123"/>
      <c r="CA666" s="0" t="s">
        <v>216</v>
      </c>
      <c r="CD666" s="0" t="s">
        <v>357</v>
      </c>
      <c r="CE666" s="0" t="n">
        <v>0</v>
      </c>
      <c r="CF666" s="0" t="s">
        <v>6106</v>
      </c>
      <c r="CI666" s="1" t="n">
        <v>40129</v>
      </c>
      <c r="CJ666" s="1" t="n">
        <v>40843</v>
      </c>
      <c r="CK666" s="124" t="n">
        <v>0.416666666666667</v>
      </c>
      <c r="CL666" s="0" t="s">
        <v>6107</v>
      </c>
      <c r="CM666" s="0" t="n">
        <f aca="false">IF(OR(CI666="",CJ666=""),"",DAYS360(CI666,CJ666)/360)</f>
        <v>1.95833333333333</v>
      </c>
      <c r="CN666" s="0" t="n">
        <f aca="false">IF(OR(CI666="",CJ666=""),"",DAYS360(CI666,CJ666)/30)</f>
        <v>23.5</v>
      </c>
      <c r="CO666" s="0" t="n">
        <f aca="false">IF(OR(CI666="",CJ666=""),"",DAYS360(CI666,CJ666)/7)</f>
        <v>100.714285714286</v>
      </c>
      <c r="CP666" s="0" t="n">
        <f aca="false">IF(OR(CI666="",CJ666=""),"",DAYS360(CI666,CJ666))</f>
        <v>705</v>
      </c>
      <c r="CQ666" s="0" t="s">
        <v>240</v>
      </c>
      <c r="CR666" s="0" t="n">
        <v>1</v>
      </c>
      <c r="CT666" s="0" t="s">
        <v>216</v>
      </c>
      <c r="CU666" s="0" t="s">
        <v>216</v>
      </c>
      <c r="CV666" s="0" t="str">
        <f aca="false">IF(OR(CT666="",CT666="NO ESPECIFICA",CT666="NO MENCIONA"),"",IF(CU666=0,CT666,IF(CU666=1,CT666/30,IF(CU666=2,CT666/15,IF(CU666=3,CT666/7,"")))))</f>
        <v/>
      </c>
      <c r="CW666" s="125" t="n">
        <v>450</v>
      </c>
      <c r="CX666" s="0" t="n">
        <v>0</v>
      </c>
      <c r="CY666" s="0" t="n">
        <f aca="false">IF(CW666="","",IF(CX666=0,CW666,IF(CX666=1,CW666/30,IF(CX666=2,CW666/15,IF(CX666=3,CW666/7,CW666)))))</f>
        <v>450</v>
      </c>
      <c r="CZ666" s="0" t="n">
        <f aca="false">IF(DI666&gt;0,DI666,IF(CY666&gt;0,CY666,IF(CV666&gt;0,CV666,"")))</f>
        <v>450</v>
      </c>
      <c r="DA666" s="0" t="n">
        <f aca="false">IF(DM666=1,CZ666/8,IF(OR(DM666=2,DM666=4),CZ666/7,IF(DM666=3,CZ666/7.5,"")))</f>
        <v>56.25</v>
      </c>
      <c r="DB666" s="0" t="s">
        <v>216</v>
      </c>
      <c r="DC666" s="0" t="s">
        <v>216</v>
      </c>
      <c r="DD666" s="0" t="s">
        <v>216</v>
      </c>
      <c r="DE666" s="0" t="s">
        <v>216</v>
      </c>
      <c r="DF666" s="0" t="s">
        <v>216</v>
      </c>
      <c r="DG666" s="0" t="s">
        <v>216</v>
      </c>
      <c r="DH666" s="0" t="n">
        <v>0</v>
      </c>
      <c r="DI666" s="126" t="n">
        <v>450</v>
      </c>
      <c r="DK666" s="0" t="n">
        <v>1</v>
      </c>
      <c r="DM666" s="0" t="n">
        <v>1</v>
      </c>
      <c r="DN666" s="0" t="n">
        <v>69</v>
      </c>
      <c r="DO666" s="0" t="n">
        <v>3</v>
      </c>
      <c r="DP666" s="0" t="n">
        <v>0</v>
      </c>
      <c r="DQ666" s="0" t="n">
        <v>1</v>
      </c>
      <c r="DR666" s="0"/>
      <c r="DS666" s="0" t="n">
        <v>1</v>
      </c>
      <c r="DU666" s="0" t="n">
        <v>1</v>
      </c>
      <c r="DW666" s="1" t="n">
        <v>40471</v>
      </c>
      <c r="DX666" s="1" t="n">
        <v>40842</v>
      </c>
      <c r="DZ666" s="0"/>
      <c r="EA666" s="0" t="n">
        <v>1</v>
      </c>
      <c r="EC666" s="1" t="n">
        <v>40471</v>
      </c>
      <c r="ED666" s="1" t="n">
        <v>40842</v>
      </c>
      <c r="EF666" s="0"/>
      <c r="EG666" s="0" t="n">
        <v>1</v>
      </c>
      <c r="EH666" s="0" t="n">
        <v>15</v>
      </c>
      <c r="EI666" s="0" t="n">
        <f aca="false">IF(AND(DM666=1,DN666&lt;=48),"",IF(AND(DM666=2,DN666&lt;=42),"",IF(AND(DM666=3,DN666&lt;=45),"",EH666)))</f>
        <v>15</v>
      </c>
      <c r="EJ666" s="0" t="n">
        <f aca="false">IF(EI666="","",IF(EI666&lt;9,EI666,9))</f>
        <v>9</v>
      </c>
      <c r="EK666" s="0" t="n">
        <f aca="false">IF(EI666="","",IF(EI666&gt;9,EI666-EJ666,0))</f>
        <v>6</v>
      </c>
      <c r="EL666" s="0" t="n">
        <f aca="false">IF(EI666="","",EJ666*DA666*2+EK666*DA666*3)</f>
        <v>2025</v>
      </c>
      <c r="EP666" s="0" t="n">
        <v>0</v>
      </c>
      <c r="EQ666" s="0"/>
      <c r="ER666" s="0" t="n">
        <v>0</v>
      </c>
      <c r="ET666" s="0" t="n">
        <v>1</v>
      </c>
      <c r="EV666" s="0" t="n">
        <v>0</v>
      </c>
      <c r="EX666" s="0" t="n">
        <v>1</v>
      </c>
      <c r="EY666" s="0" t="n">
        <v>1</v>
      </c>
      <c r="EZ666" s="0"/>
      <c r="FA666" s="0"/>
      <c r="FB666" s="0" t="n">
        <v>0</v>
      </c>
      <c r="FC666" s="1" t="n">
        <v>41081</v>
      </c>
      <c r="FD666" s="0" t="n">
        <v>2</v>
      </c>
      <c r="FE666" s="0" t="n">
        <v>0</v>
      </c>
      <c r="FF666" s="120" t="n">
        <f aca="false">(CJ666-CI666+1)/365</f>
        <v>1.95890410958904</v>
      </c>
      <c r="FG666" s="0" t="str">
        <f aca="false">CONCATENATE(F666,"/",G666)</f>
        <v>1858/2011</v>
      </c>
      <c r="FH666" s="0" t="n">
        <v>1</v>
      </c>
      <c r="FI666" s="0" t="n">
        <f aca="false">IFERROR(IF((FC666-J666+1)/365&gt;3,0,1),"")</f>
        <v>1</v>
      </c>
    </row>
    <row r="667" customFormat="false" ht="15" hidden="false" customHeight="false" outlineLevel="0" collapsed="false">
      <c r="A667" s="5" t="str">
        <f aca="false">E667&amp;G667&amp;F667</f>
        <v>720111853</v>
      </c>
      <c r="B667" s="0" t="s">
        <v>4119</v>
      </c>
      <c r="C667" s="1" t="n">
        <v>42361</v>
      </c>
      <c r="D667" s="0" t="s">
        <v>1856</v>
      </c>
      <c r="E667" s="0" t="n">
        <v>7</v>
      </c>
      <c r="F667" s="0" t="n">
        <v>1853</v>
      </c>
      <c r="G667" s="0" t="n">
        <v>2011</v>
      </c>
      <c r="H667" s="0" t="str">
        <f aca="false">"J"&amp;E667&amp;"\"&amp;F667&amp;"\"&amp;G667&amp;"\"&amp;W667</f>
        <v>J7\1853\2011\1</v>
      </c>
      <c r="I667" s="0"/>
      <c r="J667" s="1" t="n">
        <v>40854</v>
      </c>
      <c r="M667" s="1"/>
      <c r="N667" s="1"/>
      <c r="O667" s="1"/>
      <c r="P667" s="1"/>
      <c r="Q667" s="1"/>
      <c r="T667" s="121"/>
      <c r="U667" s="121"/>
      <c r="V667" s="122" t="n">
        <f aca="false">IF(AND(E667&gt;0,F667&gt;0,G667&gt;0),COUNTIFS($E:$E,E667,$F:$F,F667,$G:$G,G667),"")</f>
        <v>1</v>
      </c>
      <c r="W667" s="122" t="n">
        <f aca="false">IF(V667="","",IF(V667=1,1,IF(AND(E666=E667,F666=F667,G666=G667),W666+1,1)))</f>
        <v>1</v>
      </c>
      <c r="X667" s="0" t="n">
        <v>1</v>
      </c>
      <c r="Y667" s="0" t="n">
        <v>10</v>
      </c>
      <c r="Z667" s="0" t="s">
        <v>6108</v>
      </c>
      <c r="AA667" s="0" t="n">
        <v>0</v>
      </c>
      <c r="AB667" s="0" t="s">
        <v>6109</v>
      </c>
      <c r="AC667" s="0" t="s">
        <v>1661</v>
      </c>
      <c r="AD667" s="0" t="s">
        <v>229</v>
      </c>
      <c r="AE667" s="0" t="n">
        <v>0</v>
      </c>
      <c r="AF667" s="0" t="s">
        <v>6110</v>
      </c>
      <c r="AG667" s="0" t="n">
        <v>0</v>
      </c>
      <c r="AH667" s="0" t="s">
        <v>6111</v>
      </c>
      <c r="AI667" s="0" t="s">
        <v>1187</v>
      </c>
      <c r="AJ667" s="0" t="s">
        <v>519</v>
      </c>
      <c r="AL667" s="0" t="s">
        <v>6112</v>
      </c>
      <c r="AM667" s="0" t="n">
        <v>0</v>
      </c>
      <c r="AN667" s="0" t="s">
        <v>6113</v>
      </c>
      <c r="AO667" s="0" t="s">
        <v>672</v>
      </c>
      <c r="AP667" s="0" t="s">
        <v>352</v>
      </c>
      <c r="AR667" s="0" t="s">
        <v>6114</v>
      </c>
      <c r="AS667" s="0" t="n">
        <v>2</v>
      </c>
      <c r="AT667" s="0" t="s">
        <v>6113</v>
      </c>
      <c r="AU667" s="0" t="s">
        <v>672</v>
      </c>
      <c r="AV667" s="0" t="s">
        <v>352</v>
      </c>
      <c r="AX667" s="0" t="s">
        <v>6115</v>
      </c>
      <c r="AY667" s="0" t="n">
        <v>1</v>
      </c>
      <c r="AZ667" s="0" t="s">
        <v>6111</v>
      </c>
      <c r="BA667" s="0" t="s">
        <v>1187</v>
      </c>
      <c r="BB667" s="0" t="s">
        <v>519</v>
      </c>
      <c r="BD667" s="0" t="s">
        <v>6116</v>
      </c>
      <c r="BE667" s="0" t="n">
        <v>1</v>
      </c>
      <c r="BF667" s="0" t="s">
        <v>6113</v>
      </c>
      <c r="BG667" s="0" t="s">
        <v>672</v>
      </c>
      <c r="BH667" s="0" t="s">
        <v>352</v>
      </c>
      <c r="BJ667" s="0" t="s">
        <v>6117</v>
      </c>
      <c r="BK667" s="0" t="n">
        <v>1</v>
      </c>
      <c r="BL667" s="0" t="s">
        <v>6111</v>
      </c>
      <c r="BM667" s="0" t="s">
        <v>1187</v>
      </c>
      <c r="BN667" s="0" t="s">
        <v>519</v>
      </c>
      <c r="BR667" s="0" t="n">
        <v>1</v>
      </c>
      <c r="BS667" s="0" t="s">
        <v>6118</v>
      </c>
      <c r="BT667" s="0" t="s">
        <v>6119</v>
      </c>
      <c r="BU667" s="0" t="s">
        <v>6120</v>
      </c>
      <c r="BV667" s="123"/>
      <c r="BW667" s="123"/>
      <c r="BX667" s="123"/>
      <c r="BY667" s="123"/>
      <c r="CA667" s="0" t="s">
        <v>216</v>
      </c>
      <c r="CD667" s="0" t="s">
        <v>296</v>
      </c>
      <c r="CE667" s="0" t="n">
        <v>0</v>
      </c>
      <c r="CF667" s="0" t="s">
        <v>6121</v>
      </c>
      <c r="CI667" s="1" t="n">
        <v>40511</v>
      </c>
      <c r="CJ667" s="1" t="n">
        <v>40795</v>
      </c>
      <c r="CK667" s="124" t="n">
        <v>0.552083333333333</v>
      </c>
      <c r="CL667" s="0" t="s">
        <v>6122</v>
      </c>
      <c r="CM667" s="0" t="n">
        <f aca="false">IF(OR(CI667="",CJ667=""),"",DAYS360(CI667,CJ667)/360)</f>
        <v>0.777777777777778</v>
      </c>
      <c r="CN667" s="0" t="n">
        <f aca="false">IF(OR(CI667="",CJ667=""),"",DAYS360(CI667,CJ667)/30)</f>
        <v>9.33333333333333</v>
      </c>
      <c r="CO667" s="0" t="n">
        <f aca="false">IF(OR(CI667="",CJ667=""),"",DAYS360(CI667,CJ667)/7)</f>
        <v>40</v>
      </c>
      <c r="CP667" s="0" t="n">
        <f aca="false">IF(OR(CI667="",CJ667=""),"",DAYS360(CI667,CJ667))</f>
        <v>280</v>
      </c>
      <c r="CQ667" s="0" t="s">
        <v>240</v>
      </c>
      <c r="CR667" s="0" t="n">
        <v>1</v>
      </c>
      <c r="CT667" s="0" t="s">
        <v>221</v>
      </c>
      <c r="CU667" s="0" t="s">
        <v>221</v>
      </c>
      <c r="CV667" s="0" t="str">
        <f aca="false">IF(OR(CT667="",CT667="NO ESPECIFICA",CT667="NO MENCIONA"),"",IF(CU667=0,CT667,IF(CU667=1,CT667/30,IF(CU667=2,CT667/15,IF(CU667=3,CT667/7,"")))))</f>
        <v/>
      </c>
      <c r="CW667" s="125" t="n">
        <v>4666.76</v>
      </c>
      <c r="CX667" s="0" t="n">
        <v>1</v>
      </c>
      <c r="CY667" s="0" t="n">
        <f aca="false">IF(CW667="","",IF(CX667=0,CW667,IF(CX667=1,CW667/30,IF(CX667=2,CW667/15,IF(CX667=3,CW667/7,CW667)))))</f>
        <v>155.558666666667</v>
      </c>
      <c r="CZ667" s="0" t="n">
        <f aca="false">IF(DI667&gt;0,DI667,IF(CY667&gt;0,CY667,IF(CV667&gt;0,CV667,"")))</f>
        <v>198.892</v>
      </c>
      <c r="DA667" s="0" t="n">
        <f aca="false">IF(DM667=1,CZ667/8,IF(OR(DM667=2,DM667=4),CZ667/7,IF(DM667=3,CZ667/7.5,"")))</f>
        <v>26.5189333333333</v>
      </c>
      <c r="DB667" s="0" t="s">
        <v>1446</v>
      </c>
      <c r="DC667" s="0" t="s">
        <v>216</v>
      </c>
      <c r="DD667" s="0" t="s">
        <v>216</v>
      </c>
      <c r="DE667" s="0" t="s">
        <v>216</v>
      </c>
      <c r="DF667" s="0" t="s">
        <v>216</v>
      </c>
      <c r="DG667" s="0" t="s">
        <v>216</v>
      </c>
      <c r="DH667" s="0" t="n">
        <v>0</v>
      </c>
      <c r="DI667" s="126" t="n">
        <v>198.892</v>
      </c>
      <c r="DK667" s="0" t="n">
        <v>1</v>
      </c>
      <c r="DM667" s="0" t="n">
        <v>3</v>
      </c>
      <c r="DN667" s="0" t="n">
        <v>34.1666666666667</v>
      </c>
      <c r="DO667" s="0" t="n">
        <v>3</v>
      </c>
      <c r="DP667" s="0" t="n">
        <v>0</v>
      </c>
      <c r="DQ667" s="0" t="n">
        <v>1</v>
      </c>
      <c r="DR667" s="0"/>
      <c r="DS667" s="0" t="n">
        <v>1</v>
      </c>
      <c r="DU667" s="0" t="n">
        <v>0</v>
      </c>
      <c r="DW667" s="1" t="n">
        <v>40511</v>
      </c>
      <c r="DX667" s="1" t="n">
        <v>40795</v>
      </c>
      <c r="DZ667" s="0"/>
      <c r="EA667" s="0" t="n">
        <v>1</v>
      </c>
      <c r="EC667" s="1" t="n">
        <v>40544</v>
      </c>
      <c r="ED667" s="1" t="n">
        <v>40795</v>
      </c>
      <c r="EF667" s="0"/>
      <c r="EG667" s="0" t="n">
        <v>1</v>
      </c>
      <c r="EH667" s="0" t="n">
        <v>10</v>
      </c>
      <c r="EI667" s="0" t="str">
        <f aca="false">IF(AND(DM667=1,DN667&lt;=48),"",IF(AND(DM667=2,DN667&lt;=42),"",IF(AND(DM667=3,DN667&lt;=45),"",EH667)))</f>
        <v/>
      </c>
      <c r="EJ667" s="0" t="str">
        <f aca="false">IF(EI667="","",IF(EI667&lt;9,EI667,9))</f>
        <v/>
      </c>
      <c r="EK667" s="0" t="str">
        <f aca="false">IF(EI667="","",IF(EI667&gt;9,EI667-EJ667,0))</f>
        <v/>
      </c>
      <c r="EL667" s="0" t="str">
        <f aca="false">IF(EI667="","",EJ667*DA667*2+EK667*DA667*3)</f>
        <v/>
      </c>
      <c r="EP667" s="0" t="n">
        <v>0</v>
      </c>
      <c r="EQ667" s="0"/>
      <c r="ER667" s="0" t="n">
        <v>1</v>
      </c>
      <c r="ET667" s="0" t="n">
        <v>1</v>
      </c>
      <c r="EV667" s="0" t="n">
        <v>0</v>
      </c>
      <c r="EX667" s="0" t="n">
        <v>1</v>
      </c>
      <c r="EY667" s="0" t="n">
        <v>1</v>
      </c>
      <c r="EZ667" s="0"/>
      <c r="FA667" s="4" t="n">
        <v>11400.028</v>
      </c>
      <c r="FB667" s="0" t="n">
        <v>0</v>
      </c>
      <c r="FC667" s="1" t="n">
        <v>41001</v>
      </c>
      <c r="FD667" s="0" t="n">
        <v>1</v>
      </c>
      <c r="FE667" s="0" t="n">
        <v>17500</v>
      </c>
      <c r="FF667" s="120" t="n">
        <f aca="false">(CJ667-CI667+1)/365</f>
        <v>0.780821917808219</v>
      </c>
      <c r="FG667" s="0" t="str">
        <f aca="false">CONCATENATE(F667,"/",G667)</f>
        <v>1853/2011</v>
      </c>
      <c r="FH667" s="0" t="n">
        <v>1</v>
      </c>
      <c r="FI667" s="0" t="n">
        <f aca="false">IFERROR(IF((FC667-J667+1)/365&gt;3,0,1),"")</f>
        <v>1</v>
      </c>
    </row>
    <row r="668" customFormat="false" ht="15" hidden="false" customHeight="false" outlineLevel="0" collapsed="false">
      <c r="A668" s="5" t="str">
        <f aca="false">E668&amp;G668&amp;F668</f>
        <v>720111846</v>
      </c>
      <c r="B668" s="0" t="s">
        <v>4119</v>
      </c>
      <c r="C668" s="1" t="n">
        <v>42361</v>
      </c>
      <c r="D668" s="0" t="s">
        <v>1856</v>
      </c>
      <c r="E668" s="0" t="n">
        <v>7</v>
      </c>
      <c r="F668" s="0" t="n">
        <v>1846</v>
      </c>
      <c r="G668" s="0" t="n">
        <v>2011</v>
      </c>
      <c r="H668" s="0" t="str">
        <f aca="false">"J"&amp;E668&amp;"\"&amp;F668&amp;"\"&amp;G668&amp;"\"&amp;W668</f>
        <v>J7\1846\2011\1</v>
      </c>
      <c r="I668" s="0"/>
      <c r="J668" s="1" t="n">
        <v>40851</v>
      </c>
      <c r="M668" s="1"/>
      <c r="N668" s="1"/>
      <c r="O668" s="1"/>
      <c r="P668" s="1"/>
      <c r="Q668" s="1"/>
      <c r="T668" s="121"/>
      <c r="U668" s="121"/>
      <c r="V668" s="122" t="n">
        <f aca="false">IF(AND(E668&gt;0,F668&gt;0,G668&gt;0),COUNTIFS($E:$E,E668,$F:$F,F668,$G:$G,G668),"")</f>
        <v>1</v>
      </c>
      <c r="W668" s="122" t="n">
        <f aca="false">IF(V668="","",IF(V668=1,1,IF(AND(E667=E668,F667=F668,G667=G668),W667+1,1)))</f>
        <v>1</v>
      </c>
      <c r="X668" s="0" t="n">
        <v>1</v>
      </c>
      <c r="Y668" s="0" t="n">
        <v>6</v>
      </c>
      <c r="Z668" s="0" t="s">
        <v>6123</v>
      </c>
      <c r="AA668" s="0" t="n">
        <v>0</v>
      </c>
      <c r="AB668" s="0" t="s">
        <v>6124</v>
      </c>
      <c r="AC668" s="0" t="s">
        <v>1160</v>
      </c>
      <c r="AD668" s="0" t="s">
        <v>229</v>
      </c>
      <c r="AE668" s="0" t="n">
        <v>0</v>
      </c>
      <c r="AF668" s="0" t="s">
        <v>6125</v>
      </c>
      <c r="AG668" s="0" t="n">
        <v>0</v>
      </c>
      <c r="AH668" s="0" t="s">
        <v>6126</v>
      </c>
      <c r="AI668" s="0" t="s">
        <v>287</v>
      </c>
      <c r="AJ668" s="0" t="s">
        <v>207</v>
      </c>
      <c r="AL668" s="0" t="s">
        <v>6127</v>
      </c>
      <c r="AM668" s="0" t="n">
        <v>1</v>
      </c>
      <c r="AN668" s="0" t="s">
        <v>6126</v>
      </c>
      <c r="AO668" s="0" t="s">
        <v>287</v>
      </c>
      <c r="AP668" s="0" t="s">
        <v>207</v>
      </c>
      <c r="AR668" s="0" t="s">
        <v>6128</v>
      </c>
      <c r="AS668" s="0" t="n">
        <v>1</v>
      </c>
      <c r="AT668" s="0" t="s">
        <v>6126</v>
      </c>
      <c r="AU668" s="0" t="s">
        <v>287</v>
      </c>
      <c r="AV668" s="0" t="s">
        <v>207</v>
      </c>
      <c r="AX668" s="0" t="s">
        <v>6129</v>
      </c>
      <c r="AY668" s="0" t="n">
        <v>1</v>
      </c>
      <c r="AZ668" s="0" t="s">
        <v>6126</v>
      </c>
      <c r="BA668" s="0" t="s">
        <v>287</v>
      </c>
      <c r="BB668" s="0" t="s">
        <v>207</v>
      </c>
      <c r="BD668" s="0" t="s">
        <v>6130</v>
      </c>
      <c r="BE668" s="0" t="n">
        <v>0</v>
      </c>
      <c r="BF668" s="0" t="s">
        <v>6126</v>
      </c>
      <c r="BG668" s="0" t="s">
        <v>287</v>
      </c>
      <c r="BH668" s="0" t="s">
        <v>207</v>
      </c>
      <c r="BJ668" s="0" t="s">
        <v>2106</v>
      </c>
      <c r="BK668" s="0" t="n">
        <v>1</v>
      </c>
      <c r="BL668" s="0" t="s">
        <v>6126</v>
      </c>
      <c r="BM668" s="0" t="s">
        <v>287</v>
      </c>
      <c r="BN668" s="0" t="s">
        <v>207</v>
      </c>
      <c r="BR668" s="0" t="n">
        <v>1</v>
      </c>
      <c r="BS668" s="0" t="s">
        <v>3504</v>
      </c>
      <c r="BT668" s="0" t="s">
        <v>3503</v>
      </c>
      <c r="BU668" s="0" t="s">
        <v>6131</v>
      </c>
      <c r="BV668" s="123"/>
      <c r="BW668" s="123"/>
      <c r="BX668" s="123"/>
      <c r="BY668" s="123"/>
      <c r="CA668" s="0" t="s">
        <v>216</v>
      </c>
      <c r="CD668" s="0" t="s">
        <v>357</v>
      </c>
      <c r="CE668" s="0" t="n">
        <v>0</v>
      </c>
      <c r="CF668" s="0" t="s">
        <v>6132</v>
      </c>
      <c r="CI668" s="1" t="n">
        <v>40630</v>
      </c>
      <c r="CJ668" s="1" t="n">
        <v>40794</v>
      </c>
      <c r="CK668" s="124" t="n">
        <v>0.388888888888889</v>
      </c>
      <c r="CL668" s="0" t="s">
        <v>6127</v>
      </c>
      <c r="CM668" s="0" t="n">
        <f aca="false">IF(OR(CI668="",CJ668=""),"",DAYS360(CI668,CJ668)/360)</f>
        <v>0.444444444444444</v>
      </c>
      <c r="CN668" s="0" t="n">
        <f aca="false">IF(OR(CI668="",CJ668=""),"",DAYS360(CI668,CJ668)/30)</f>
        <v>5.33333333333333</v>
      </c>
      <c r="CO668" s="0" t="n">
        <f aca="false">IF(OR(CI668="",CJ668=""),"",DAYS360(CI668,CJ668)/7)</f>
        <v>22.8571428571429</v>
      </c>
      <c r="CP668" s="0" t="n">
        <f aca="false">IF(OR(CI668="",CJ668=""),"",DAYS360(CI668,CJ668))</f>
        <v>160</v>
      </c>
      <c r="CQ668" s="0" t="s">
        <v>240</v>
      </c>
      <c r="CR668" s="0" t="n">
        <v>1</v>
      </c>
      <c r="CT668" s="0" t="n">
        <v>1900</v>
      </c>
      <c r="CU668" s="0" t="n">
        <v>2</v>
      </c>
      <c r="CV668" s="0" t="n">
        <f aca="false">IF(OR(CT668="",CT668="NO ESPECIFICA",CT668="NO MENCIONA"),"",IF(CU668=0,CT668,IF(CU668=1,CT668/30,IF(CU668=2,CT668/15,IF(CU668=3,CT668/7,"")))))</f>
        <v>126.666666666667</v>
      </c>
      <c r="CW668" s="125" t="n">
        <v>11793.32</v>
      </c>
      <c r="CX668" s="0" t="n">
        <v>0</v>
      </c>
      <c r="CY668" s="0" t="n">
        <f aca="false">IF(CW668="","",IF(CX668=0,CW668,IF(CX668=1,CW668/30,IF(CX668=2,CW668/15,IF(CX668=3,CW668/7,CW668)))))</f>
        <v>11793.32</v>
      </c>
      <c r="CZ668" s="0" t="n">
        <f aca="false">IF(DI668&gt;0,DI668,IF(CY668&gt;0,CY668,IF(CV668&gt;0,CV668,"")))</f>
        <v>11793.32</v>
      </c>
      <c r="DA668" s="0" t="n">
        <f aca="false">IF(DM668=1,CZ668/8,IF(OR(DM668=2,DM668=4),CZ668/7,IF(DM668=3,CZ668/7.5,"")))</f>
        <v>1474.165</v>
      </c>
      <c r="DB668" s="0" t="s">
        <v>2315</v>
      </c>
      <c r="DC668" s="0" t="s">
        <v>216</v>
      </c>
      <c r="DD668" s="0" t="s">
        <v>216</v>
      </c>
      <c r="DE668" s="0" t="s">
        <v>216</v>
      </c>
      <c r="DF668" s="0" t="s">
        <v>216</v>
      </c>
      <c r="DG668" s="0" t="s">
        <v>216</v>
      </c>
      <c r="DH668" s="0" t="n">
        <v>0</v>
      </c>
      <c r="DI668" s="126" t="n">
        <v>11793.32</v>
      </c>
      <c r="DK668" s="0" t="n">
        <v>0</v>
      </c>
      <c r="DM668" s="0" t="n">
        <v>1</v>
      </c>
      <c r="DN668" s="0" t="n">
        <v>54</v>
      </c>
      <c r="DO668" s="0" t="n">
        <v>3</v>
      </c>
      <c r="DP668" s="0" t="n">
        <v>0</v>
      </c>
      <c r="DQ668" s="0" t="n">
        <v>1</v>
      </c>
      <c r="DR668" s="0" t="n">
        <v>1061398.8</v>
      </c>
      <c r="DS668" s="0" t="n">
        <v>1</v>
      </c>
      <c r="DU668" s="0" t="n">
        <v>1</v>
      </c>
      <c r="DW668" s="1" t="n">
        <v>40630</v>
      </c>
      <c r="DX668" s="1" t="n">
        <v>40794</v>
      </c>
      <c r="DZ668" s="0"/>
      <c r="EA668" s="0" t="n">
        <v>1</v>
      </c>
      <c r="EC668" s="1" t="n">
        <v>40630</v>
      </c>
      <c r="ED668" s="1" t="n">
        <v>40794</v>
      </c>
      <c r="EF668" s="0"/>
      <c r="EG668" s="0" t="n">
        <v>1</v>
      </c>
      <c r="EH668" s="0" t="n">
        <v>12</v>
      </c>
      <c r="EI668" s="0" t="n">
        <f aca="false">IF(AND(DM668=1,DN668&lt;=48),"",IF(AND(DM668=2,DN668&lt;=42),"",IF(AND(DM668=3,DN668&lt;=45),"",EH668)))</f>
        <v>12</v>
      </c>
      <c r="EJ668" s="0" t="n">
        <f aca="false">IF(EI668="","",IF(EI668&lt;9,EI668,9))</f>
        <v>9</v>
      </c>
      <c r="EK668" s="0" t="n">
        <f aca="false">IF(EI668="","",IF(EI668&gt;9,EI668-EJ668,0))</f>
        <v>3</v>
      </c>
      <c r="EL668" s="0" t="n">
        <f aca="false">IF(EI668="","",EJ668*DA668*2+EK668*DA668*3)</f>
        <v>39802.455</v>
      </c>
      <c r="EP668" s="0" t="n">
        <v>0</v>
      </c>
      <c r="EQ668" s="0"/>
      <c r="ER668" s="0" t="n">
        <v>0</v>
      </c>
      <c r="ET668" s="0" t="n">
        <v>0</v>
      </c>
      <c r="EV668" s="0" t="n">
        <v>0</v>
      </c>
      <c r="EX668" s="0" t="n">
        <v>0</v>
      </c>
      <c r="EY668" s="0" t="n">
        <v>0</v>
      </c>
      <c r="EZ668" s="4" t="n">
        <v>0</v>
      </c>
      <c r="FA668" s="0"/>
      <c r="FB668" s="0" t="n">
        <v>0</v>
      </c>
      <c r="FC668" s="1" t="n">
        <v>41099</v>
      </c>
      <c r="FD668" s="0" t="n">
        <v>1</v>
      </c>
      <c r="FE668" s="0" t="n">
        <v>10000</v>
      </c>
      <c r="FF668" s="120" t="n">
        <f aca="false">(CJ668-CI668+1)/365</f>
        <v>0.452054794520548</v>
      </c>
      <c r="FG668" s="0" t="str">
        <f aca="false">CONCATENATE(F668,"/",G668)</f>
        <v>1846/2011</v>
      </c>
      <c r="FH668" s="0" t="n">
        <v>1</v>
      </c>
      <c r="FI668" s="0" t="n">
        <f aca="false">IFERROR(IF((FC668-J668+1)/365&gt;3,0,1),"")</f>
        <v>1</v>
      </c>
    </row>
    <row r="669" customFormat="false" ht="15" hidden="false" customHeight="false" outlineLevel="0" collapsed="false">
      <c r="A669" s="5" t="str">
        <f aca="false">E669&amp;G669&amp;F669</f>
        <v>720111840</v>
      </c>
      <c r="B669" s="0" t="s">
        <v>4119</v>
      </c>
      <c r="C669" s="1" t="n">
        <v>42365</v>
      </c>
      <c r="D669" s="0" t="s">
        <v>1856</v>
      </c>
      <c r="E669" s="0" t="n">
        <v>7</v>
      </c>
      <c r="F669" s="0" t="n">
        <v>1840</v>
      </c>
      <c r="G669" s="0" t="n">
        <v>2011</v>
      </c>
      <c r="H669" s="0" t="str">
        <f aca="false">"J"&amp;E669&amp;"\"&amp;F669&amp;"\"&amp;G669&amp;"\"&amp;W669</f>
        <v>J7\1840\2011\1</v>
      </c>
      <c r="I669" s="0"/>
      <c r="J669" s="1" t="n">
        <v>40850</v>
      </c>
      <c r="M669" s="1"/>
      <c r="N669" s="1"/>
      <c r="O669" s="1"/>
      <c r="P669" s="1"/>
      <c r="Q669" s="1"/>
      <c r="T669" s="121"/>
      <c r="U669" s="121"/>
      <c r="V669" s="122" t="n">
        <f aca="false">IF(AND(E669&gt;0,F669&gt;0,G669&gt;0),COUNTIFS($E:$E,E669,$F:$F,F669,$G:$G,G669),"")</f>
        <v>1</v>
      </c>
      <c r="W669" s="122" t="n">
        <f aca="false">IF(V669="","",IF(V669=1,1,IF(AND(E668=E669,F668=F669,G668=G669),W668+1,1)))</f>
        <v>1</v>
      </c>
      <c r="X669" s="0" t="n">
        <v>1</v>
      </c>
      <c r="Y669" s="0" t="n">
        <v>2</v>
      </c>
      <c r="Z669" s="0" t="s">
        <v>6133</v>
      </c>
      <c r="AA669" s="0" t="n">
        <v>0</v>
      </c>
      <c r="AB669" s="0" t="s">
        <v>6134</v>
      </c>
      <c r="AC669" s="0" t="s">
        <v>1661</v>
      </c>
      <c r="AD669" s="0" t="s">
        <v>229</v>
      </c>
      <c r="AE669" s="0" t="n">
        <v>0</v>
      </c>
      <c r="AF669" s="0" t="s">
        <v>6135</v>
      </c>
      <c r="AG669" s="0" t="n">
        <v>2</v>
      </c>
      <c r="AH669" s="0" t="s">
        <v>6136</v>
      </c>
      <c r="AI669" s="0" t="s">
        <v>2944</v>
      </c>
      <c r="AJ669" s="0" t="s">
        <v>411</v>
      </c>
      <c r="AL669" s="0" t="s">
        <v>6137</v>
      </c>
      <c r="AM669" s="0" t="n">
        <v>1</v>
      </c>
      <c r="AN669" s="0" t="s">
        <v>6136</v>
      </c>
      <c r="AO669" s="0" t="s">
        <v>2944</v>
      </c>
      <c r="AP669" s="0" t="s">
        <v>411</v>
      </c>
      <c r="BR669" s="0" t="n">
        <v>1</v>
      </c>
      <c r="BS669" s="0" t="s">
        <v>6138</v>
      </c>
      <c r="BT669" s="0" t="s">
        <v>6139</v>
      </c>
      <c r="BU669" s="0" t="s">
        <v>6140</v>
      </c>
      <c r="BV669" s="123"/>
      <c r="BW669" s="123"/>
      <c r="BX669" s="123"/>
      <c r="BY669" s="123"/>
      <c r="CA669" s="0" t="s">
        <v>6141</v>
      </c>
      <c r="CD669" s="0" t="s">
        <v>256</v>
      </c>
      <c r="CE669" s="0" t="n">
        <v>0</v>
      </c>
      <c r="CF669" s="0" t="s">
        <v>6142</v>
      </c>
      <c r="CI669" s="1" t="n">
        <v>39951</v>
      </c>
      <c r="CJ669" s="1" t="n">
        <v>40817</v>
      </c>
      <c r="CK669" s="124" t="s">
        <v>221</v>
      </c>
      <c r="CL669" s="0" t="s">
        <v>6143</v>
      </c>
      <c r="CM669" s="0" t="n">
        <f aca="false">IF(OR(CI669="",CJ669=""),"",DAYS360(CI669,CJ669)/360)</f>
        <v>2.36944444444444</v>
      </c>
      <c r="CN669" s="0" t="n">
        <f aca="false">IF(OR(CI669="",CJ669=""),"",DAYS360(CI669,CJ669)/30)</f>
        <v>28.4333333333333</v>
      </c>
      <c r="CO669" s="0" t="n">
        <f aca="false">IF(OR(CI669="",CJ669=""),"",DAYS360(CI669,CJ669)/7)</f>
        <v>121.857142857143</v>
      </c>
      <c r="CP669" s="0" t="n">
        <f aca="false">IF(OR(CI669="",CJ669=""),"",DAYS360(CI669,CJ669))</f>
        <v>853</v>
      </c>
      <c r="CQ669" s="0" t="s">
        <v>6144</v>
      </c>
      <c r="CR669" s="0" t="n">
        <v>5</v>
      </c>
      <c r="CS669" s="0" t="s">
        <v>6145</v>
      </c>
      <c r="CT669" s="0" t="s">
        <v>221</v>
      </c>
      <c r="CU669" s="0" t="s">
        <v>221</v>
      </c>
      <c r="CV669" s="0" t="str">
        <f aca="false">IF(OR(CT669="",CT669="NO ESPECIFICA",CT669="NO MENCIONA"),"",IF(CU669=0,CT669,IF(CU669=1,CT669/30,IF(CU669=2,CT669/15,IF(CU669=3,CT669/7,"")))))</f>
        <v/>
      </c>
      <c r="CW669" s="125" t="n">
        <v>2500</v>
      </c>
      <c r="CX669" s="0" t="n">
        <v>2</v>
      </c>
      <c r="CY669" s="0" t="n">
        <f aca="false">IF(CW669="","",IF(CX669=0,CW669,IF(CX669=1,CW669/30,IF(CX669=2,CW669/15,IF(CX669=3,CW669/7,CW669)))))</f>
        <v>166.666666666667</v>
      </c>
      <c r="CZ669" s="0" t="n">
        <f aca="false">IF(DI669&gt;0,DI669,IF(CY669&gt;0,CY669,IF(CV669&gt;0,CV669,"")))</f>
        <v>166.666666666667</v>
      </c>
      <c r="DA669" s="0" t="n">
        <f aca="false">IF(DM669=1,CZ669/8,IF(OR(DM669=2,DM669=4),CZ669/7,IF(DM669=3,CZ669/7.5,"")))</f>
        <v>20.8333333333333</v>
      </c>
      <c r="DB669" s="0" t="s">
        <v>216</v>
      </c>
      <c r="DC669" s="0" t="s">
        <v>216</v>
      </c>
      <c r="DD669" s="0" t="s">
        <v>216</v>
      </c>
      <c r="DE669" s="0" t="s">
        <v>216</v>
      </c>
      <c r="DF669" s="0" t="s">
        <v>216</v>
      </c>
      <c r="DG669" s="0" t="s">
        <v>216</v>
      </c>
      <c r="DH669" s="0" t="n">
        <v>0</v>
      </c>
      <c r="DI669" s="126" t="n">
        <v>166.666666666667</v>
      </c>
      <c r="DK669" s="0" t="n">
        <v>0</v>
      </c>
      <c r="DM669" s="0" t="n">
        <v>1</v>
      </c>
      <c r="DN669" s="0" t="n">
        <v>60</v>
      </c>
      <c r="DO669" s="0" t="n">
        <v>3</v>
      </c>
      <c r="DP669" s="0" t="n">
        <v>0</v>
      </c>
      <c r="DQ669" s="0" t="n">
        <v>0</v>
      </c>
      <c r="DR669" s="0"/>
      <c r="DS669" s="0" t="n">
        <v>0</v>
      </c>
      <c r="DU669" s="0" t="n">
        <v>1</v>
      </c>
      <c r="DW669" s="1" t="s">
        <v>216</v>
      </c>
      <c r="DX669" s="1" t="s">
        <v>216</v>
      </c>
      <c r="DY669" s="0" t="s">
        <v>216</v>
      </c>
      <c r="DZ669" s="0" t="s">
        <v>216</v>
      </c>
      <c r="EA669" s="0" t="n">
        <v>1</v>
      </c>
      <c r="EC669" s="1" t="n">
        <v>39951</v>
      </c>
      <c r="ED669" s="1" t="n">
        <v>40817</v>
      </c>
      <c r="EF669" s="0"/>
      <c r="EG669" s="0" t="n">
        <v>0</v>
      </c>
      <c r="EI669" s="0" t="n">
        <f aca="false">IF(AND(DM669=1,DN669&lt;=48),"",IF(AND(DM669=2,DN669&lt;=42),"",IF(AND(DM669=3,DN669&lt;=45),"",EH669)))</f>
        <v>0</v>
      </c>
      <c r="EJ669" s="0" t="str">
        <f aca="false">IF(EI669="","",IF(EI669&lt;9,EI669,9))</f>
        <v/>
      </c>
      <c r="EK669" s="0" t="str">
        <f aca="false">IF(EI669="","",IF(EI669&gt;9,EI669-EJ669,0))</f>
        <v/>
      </c>
      <c r="EL669" s="0" t="str">
        <f aca="false">IF(EI669="","",EJ669*DA669*2+EK669*DA669*3)</f>
        <v/>
      </c>
      <c r="EP669" s="0" t="n">
        <v>0</v>
      </c>
      <c r="EQ669" s="0"/>
      <c r="ER669" s="0" t="n">
        <v>0</v>
      </c>
      <c r="ET669" s="0" t="n">
        <v>0</v>
      </c>
      <c r="EV669" s="0" t="n">
        <v>0</v>
      </c>
      <c r="EX669" s="0" t="n">
        <v>0</v>
      </c>
      <c r="EY669" s="0" t="n">
        <v>0</v>
      </c>
      <c r="EZ669" s="0"/>
      <c r="FA669" s="4" t="n">
        <v>1250</v>
      </c>
      <c r="FB669" s="0" t="n">
        <v>0</v>
      </c>
      <c r="FC669" s="1" t="n">
        <v>40889</v>
      </c>
      <c r="FD669" s="0" t="n">
        <v>2</v>
      </c>
      <c r="FE669" s="0" t="n">
        <v>0</v>
      </c>
      <c r="FF669" s="120" t="n">
        <f aca="false">(CJ669-CI669+1)/365</f>
        <v>2.37534246575342</v>
      </c>
      <c r="FG669" s="0" t="str">
        <f aca="false">CONCATENATE(F669,"/",G669)</f>
        <v>1840/2011</v>
      </c>
      <c r="FH669" s="0" t="n">
        <v>1</v>
      </c>
      <c r="FI669" s="0" t="n">
        <f aca="false">IFERROR(IF((FC669-J669+1)/365&gt;3,0,1),"")</f>
        <v>1</v>
      </c>
    </row>
    <row r="670" customFormat="false" ht="15" hidden="false" customHeight="false" outlineLevel="0" collapsed="false">
      <c r="A670" s="5" t="str">
        <f aca="false">E670&amp;G670&amp;F670</f>
        <v>720111832</v>
      </c>
      <c r="B670" s="0" t="s">
        <v>4119</v>
      </c>
      <c r="C670" s="1" t="n">
        <v>42365</v>
      </c>
      <c r="D670" s="0" t="s">
        <v>1856</v>
      </c>
      <c r="E670" s="0" t="n">
        <v>7</v>
      </c>
      <c r="F670" s="0" t="n">
        <v>1832</v>
      </c>
      <c r="G670" s="0" t="n">
        <v>2011</v>
      </c>
      <c r="H670" s="0" t="str">
        <f aca="false">"J"&amp;E670&amp;"\"&amp;F670&amp;"\"&amp;G670&amp;"\"&amp;W670</f>
        <v>J7\1832\2011\1</v>
      </c>
      <c r="I670" s="0"/>
      <c r="J670" s="1" t="n">
        <v>40850</v>
      </c>
      <c r="M670" s="1"/>
      <c r="N670" s="1"/>
      <c r="O670" s="1"/>
      <c r="P670" s="1"/>
      <c r="Q670" s="1"/>
      <c r="T670" s="121"/>
      <c r="U670" s="121"/>
      <c r="V670" s="122" t="n">
        <f aca="false">IF(AND(E670&gt;0,F670&gt;0,G670&gt;0),COUNTIFS($E:$E,E670,$F:$F,F670,$G:$G,G670),"")</f>
        <v>1</v>
      </c>
      <c r="W670" s="122" t="n">
        <f aca="false">IF(V670="","",IF(V670=1,1,IF(AND(E669=E670,F669=F670,G669=G670),W669+1,1)))</f>
        <v>1</v>
      </c>
      <c r="X670" s="0" t="n">
        <v>1</v>
      </c>
      <c r="Y670" s="0" t="n">
        <v>3</v>
      </c>
      <c r="Z670" s="0" t="s">
        <v>6146</v>
      </c>
      <c r="AA670" s="0" t="n">
        <v>0</v>
      </c>
      <c r="AB670" s="0" t="s">
        <v>6021</v>
      </c>
      <c r="AC670" s="0" t="s">
        <v>228</v>
      </c>
      <c r="AD670" s="0" t="s">
        <v>229</v>
      </c>
      <c r="AE670" s="0" t="n">
        <v>0</v>
      </c>
      <c r="AF670" s="0" t="s">
        <v>6147</v>
      </c>
      <c r="AG670" s="0" t="n">
        <v>0</v>
      </c>
      <c r="AH670" s="0" t="s">
        <v>6148</v>
      </c>
      <c r="AI670" s="0" t="s">
        <v>1160</v>
      </c>
      <c r="AJ670" s="0" t="s">
        <v>229</v>
      </c>
      <c r="AL670" s="0" t="s">
        <v>6149</v>
      </c>
      <c r="AM670" s="0" t="n">
        <v>1</v>
      </c>
      <c r="AN670" s="0" t="s">
        <v>6148</v>
      </c>
      <c r="AO670" s="0" t="s">
        <v>1160</v>
      </c>
      <c r="AP670" s="0" t="s">
        <v>229</v>
      </c>
      <c r="AR670" s="0" t="s">
        <v>6150</v>
      </c>
      <c r="AS670" s="0" t="n">
        <v>1</v>
      </c>
      <c r="AT670" s="0" t="s">
        <v>6148</v>
      </c>
      <c r="AU670" s="0" t="s">
        <v>1160</v>
      </c>
      <c r="AV670" s="0" t="s">
        <v>229</v>
      </c>
      <c r="BR670" s="0" t="n">
        <v>3</v>
      </c>
      <c r="BS670" s="0" t="s">
        <v>1840</v>
      </c>
      <c r="BT670" s="0" t="s">
        <v>1818</v>
      </c>
      <c r="BU670" s="0" t="s">
        <v>1841</v>
      </c>
      <c r="BV670" s="123"/>
      <c r="BW670" s="123"/>
      <c r="BX670" s="123"/>
      <c r="BY670" s="123"/>
      <c r="CA670" s="0" t="s">
        <v>348</v>
      </c>
      <c r="CD670" s="0" t="s">
        <v>221</v>
      </c>
      <c r="CE670" s="0" t="n">
        <v>0</v>
      </c>
      <c r="CF670" s="0" t="s">
        <v>6151</v>
      </c>
      <c r="CI670" s="1" t="n">
        <v>40686</v>
      </c>
      <c r="CJ670" s="1" t="n">
        <v>40791</v>
      </c>
      <c r="CK670" s="124" t="n">
        <v>0.583333333333333</v>
      </c>
      <c r="CL670" s="0" t="s">
        <v>6149</v>
      </c>
      <c r="CM670" s="0" t="n">
        <f aca="false">IF(OR(CI670="",CJ670=""),"",DAYS360(CI670,CJ670)/360)</f>
        <v>0.283333333333333</v>
      </c>
      <c r="CN670" s="0" t="n">
        <f aca="false">IF(OR(CI670="",CJ670=""),"",DAYS360(CI670,CJ670)/30)</f>
        <v>3.4</v>
      </c>
      <c r="CO670" s="0" t="n">
        <f aca="false">IF(OR(CI670="",CJ670=""),"",DAYS360(CI670,CJ670)/7)</f>
        <v>14.5714285714286</v>
      </c>
      <c r="CP670" s="0" t="n">
        <f aca="false">IF(OR(CI670="",CJ670=""),"",DAYS360(CI670,CJ670))</f>
        <v>102</v>
      </c>
      <c r="CQ670" s="0" t="s">
        <v>240</v>
      </c>
      <c r="CR670" s="0" t="n">
        <v>1</v>
      </c>
      <c r="CT670" s="0" t="n">
        <v>173.33</v>
      </c>
      <c r="CU670" s="0" t="n">
        <v>0</v>
      </c>
      <c r="CV670" s="0" t="n">
        <f aca="false">IF(OR(CT670="",CT670="NO ESPECIFICA",CT670="NO MENCIONA"),"",IF(CU670=0,CT670,IF(CU670=1,CT670/30,IF(CU670=2,CT670/15,IF(CU670=3,CT670/7,"")))))</f>
        <v>173.33</v>
      </c>
      <c r="CW670" s="125" t="n">
        <v>181.27</v>
      </c>
      <c r="CX670" s="0" t="n">
        <v>0</v>
      </c>
      <c r="CY670" s="0" t="n">
        <f aca="false">IF(CW670="","",IF(CX670=0,CW670,IF(CX670=1,CW670/30,IF(CX670=2,CW670/15,IF(CX670=3,CW670/7,CW670)))))</f>
        <v>181.27</v>
      </c>
      <c r="CZ670" s="0" t="n">
        <f aca="false">IF(DI670&gt;0,DI670,IF(CY670&gt;0,CY670,IF(CV670&gt;0,CV670,"")))</f>
        <v>181.27</v>
      </c>
      <c r="DA670" s="0" t="n">
        <f aca="false">IF(DM670=1,CZ670/8,IF(OR(DM670=2,DM670=4),CZ670/7,IF(DM670=3,CZ670/7.5,"")))</f>
        <v>22.65875</v>
      </c>
      <c r="DB670" s="0" t="s">
        <v>303</v>
      </c>
      <c r="DC670" s="0" t="s">
        <v>301</v>
      </c>
      <c r="DD670" s="0" t="s">
        <v>216</v>
      </c>
      <c r="DE670" s="0" t="s">
        <v>216</v>
      </c>
      <c r="DF670" s="0" t="s">
        <v>216</v>
      </c>
      <c r="DG670" s="0" t="s">
        <v>216</v>
      </c>
      <c r="DH670" s="0" t="n">
        <v>0</v>
      </c>
      <c r="DI670" s="126" t="n">
        <v>181.27</v>
      </c>
      <c r="DK670" s="0" t="n">
        <v>1</v>
      </c>
      <c r="DM670" s="0" t="n">
        <v>1</v>
      </c>
      <c r="DN670" s="0" t="n">
        <v>70</v>
      </c>
      <c r="DO670" s="0" t="n">
        <v>3</v>
      </c>
      <c r="DP670" s="0" t="n">
        <v>0</v>
      </c>
      <c r="DQ670" s="0" t="n">
        <v>1</v>
      </c>
      <c r="DR670" s="0"/>
      <c r="DS670" s="0" t="n">
        <v>1</v>
      </c>
      <c r="DU670" s="0" t="n">
        <v>1</v>
      </c>
      <c r="DW670" s="1" t="n">
        <v>40686</v>
      </c>
      <c r="DX670" s="1" t="n">
        <v>40791</v>
      </c>
      <c r="DZ670" s="0"/>
      <c r="EA670" s="0" t="n">
        <v>1</v>
      </c>
      <c r="EC670" s="1" t="n">
        <v>40686</v>
      </c>
      <c r="ED670" s="1" t="n">
        <v>40791</v>
      </c>
      <c r="EF670" s="0"/>
      <c r="EG670" s="0" t="n">
        <v>0</v>
      </c>
      <c r="EI670" s="0" t="n">
        <f aca="false">IF(AND(DM670=1,DN670&lt;=48),"",IF(AND(DM670=2,DN670&lt;=42),"",IF(AND(DM670=3,DN670&lt;=45),"",EH670)))</f>
        <v>0</v>
      </c>
      <c r="EJ670" s="0" t="str">
        <f aca="false">IF(EI670="","",IF(EI670&lt;9,EI670,9))</f>
        <v/>
      </c>
      <c r="EK670" s="0" t="str">
        <f aca="false">IF(EI670="","",IF(EI670&gt;9,EI670-EJ670,0))</f>
        <v/>
      </c>
      <c r="EL670" s="0" t="str">
        <f aca="false">IF(EI670="","",EJ670*DA670*2+EK670*DA670*3)</f>
        <v/>
      </c>
      <c r="EP670" s="0" t="n">
        <v>0</v>
      </c>
      <c r="EQ670" s="0"/>
      <c r="ER670" s="0" t="n">
        <v>1</v>
      </c>
      <c r="ET670" s="0" t="n">
        <v>1</v>
      </c>
      <c r="EV670" s="0" t="n">
        <v>1</v>
      </c>
      <c r="EX670" s="0" t="n">
        <v>1</v>
      </c>
      <c r="EY670" s="0" t="n">
        <v>0</v>
      </c>
      <c r="EZ670" s="0"/>
      <c r="FA670" s="4" t="n">
        <v>1812.7</v>
      </c>
      <c r="FB670" s="0" t="n">
        <v>1</v>
      </c>
      <c r="FC670" s="1" t="n">
        <v>40985</v>
      </c>
      <c r="FD670" s="0" t="n">
        <v>1</v>
      </c>
      <c r="FE670" s="0" t="n">
        <v>11500</v>
      </c>
      <c r="FF670" s="120" t="n">
        <f aca="false">(CJ670-CI670+1)/365</f>
        <v>0.29041095890411</v>
      </c>
      <c r="FG670" s="0" t="str">
        <f aca="false">CONCATENATE(F670,"/",G670)</f>
        <v>1832/2011</v>
      </c>
      <c r="FH670" s="0" t="n">
        <v>1</v>
      </c>
      <c r="FI670" s="0" t="n">
        <f aca="false">IFERROR(IF((FC670-J670+1)/365&gt;3,0,1),"")</f>
        <v>1</v>
      </c>
    </row>
    <row r="671" customFormat="false" ht="15" hidden="false" customHeight="false" outlineLevel="0" collapsed="false">
      <c r="A671" s="5" t="str">
        <f aca="false">E671&amp;G671&amp;F671</f>
        <v>720111747</v>
      </c>
      <c r="B671" s="0" t="s">
        <v>4119</v>
      </c>
      <c r="C671" s="1" t="n">
        <v>42365</v>
      </c>
      <c r="D671" s="0" t="s">
        <v>1856</v>
      </c>
      <c r="E671" s="0" t="n">
        <v>7</v>
      </c>
      <c r="F671" s="0" t="n">
        <v>1747</v>
      </c>
      <c r="G671" s="0" t="n">
        <v>2011</v>
      </c>
      <c r="H671" s="0" t="str">
        <f aca="false">"J"&amp;E671&amp;"\"&amp;F671&amp;"\"&amp;G671&amp;"\"&amp;W671</f>
        <v>J7\1747\2011\1</v>
      </c>
      <c r="I671" s="0"/>
      <c r="J671" s="1" t="n">
        <v>40827</v>
      </c>
      <c r="M671" s="1"/>
      <c r="N671" s="1"/>
      <c r="O671" s="1"/>
      <c r="P671" s="1"/>
      <c r="Q671" s="1"/>
      <c r="T671" s="121"/>
      <c r="U671" s="121"/>
      <c r="V671" s="122" t="n">
        <f aca="false">IF(AND(E671&gt;0,F671&gt;0,G671&gt;0),COUNTIFS($E:$E,E671,$F:$F,F671,$G:$G,G671),"")</f>
        <v>1</v>
      </c>
      <c r="W671" s="122" t="n">
        <f aca="false">IF(V671="","",IF(V671=1,1,IF(AND(E670=E671,F670=F671,G670=G671),W670+1,1)))</f>
        <v>1</v>
      </c>
      <c r="X671" s="0" t="n">
        <v>1</v>
      </c>
      <c r="Y671" s="0" t="n">
        <v>3</v>
      </c>
      <c r="Z671" s="0" t="s">
        <v>6152</v>
      </c>
      <c r="AA671" s="0" t="n">
        <v>0</v>
      </c>
      <c r="AB671" s="0" t="s">
        <v>6153</v>
      </c>
      <c r="AC671" s="0" t="s">
        <v>6154</v>
      </c>
      <c r="AD671" s="0" t="s">
        <v>411</v>
      </c>
      <c r="AE671" s="0" t="n">
        <v>0</v>
      </c>
      <c r="AF671" s="0" t="s">
        <v>6155</v>
      </c>
      <c r="AG671" s="0" t="n">
        <v>0</v>
      </c>
      <c r="AH671" s="0" t="s">
        <v>6156</v>
      </c>
      <c r="AI671" s="0" t="s">
        <v>4843</v>
      </c>
      <c r="AJ671" s="0" t="s">
        <v>485</v>
      </c>
      <c r="AL671" s="0" t="s">
        <v>6157</v>
      </c>
      <c r="AM671" s="0" t="n">
        <v>0</v>
      </c>
      <c r="AN671" s="0" t="s">
        <v>6156</v>
      </c>
      <c r="AO671" s="0" t="s">
        <v>4843</v>
      </c>
      <c r="AP671" s="0" t="s">
        <v>485</v>
      </c>
      <c r="AR671" s="0" t="s">
        <v>6158</v>
      </c>
      <c r="AS671" s="0" t="n">
        <v>0</v>
      </c>
      <c r="AT671" s="0" t="s">
        <v>6159</v>
      </c>
      <c r="AU671" s="0" t="s">
        <v>6160</v>
      </c>
      <c r="AV671" s="0" t="s">
        <v>944</v>
      </c>
      <c r="BR671" s="0" t="n">
        <v>1</v>
      </c>
      <c r="BS671" s="0" t="s">
        <v>6161</v>
      </c>
      <c r="BT671" s="0" t="s">
        <v>6162</v>
      </c>
      <c r="BU671" s="0" t="s">
        <v>6163</v>
      </c>
      <c r="BV671" s="123"/>
      <c r="BW671" s="123"/>
      <c r="BX671" s="123"/>
      <c r="BY671" s="123"/>
      <c r="CA671" s="0" t="s">
        <v>216</v>
      </c>
      <c r="CD671" s="0" t="s">
        <v>296</v>
      </c>
      <c r="CE671" s="0" t="n">
        <v>0</v>
      </c>
      <c r="CF671" s="0" t="s">
        <v>6164</v>
      </c>
      <c r="CI671" s="1" t="n">
        <v>40478</v>
      </c>
      <c r="CJ671" s="1" t="n">
        <v>40759</v>
      </c>
      <c r="CK671" s="124" t="n">
        <v>0.25</v>
      </c>
      <c r="CL671" s="0" t="s">
        <v>6165</v>
      </c>
      <c r="CM671" s="0" t="n">
        <f aca="false">IF(OR(CI671="",CJ671=""),"",DAYS360(CI671,CJ671)/360)</f>
        <v>0.769444444444444</v>
      </c>
      <c r="CN671" s="0" t="n">
        <f aca="false">IF(OR(CI671="",CJ671=""),"",DAYS360(CI671,CJ671)/30)</f>
        <v>9.23333333333333</v>
      </c>
      <c r="CO671" s="0" t="n">
        <f aca="false">IF(OR(CI671="",CJ671=""),"",DAYS360(CI671,CJ671)/7)</f>
        <v>39.5714285714286</v>
      </c>
      <c r="CP671" s="0" t="n">
        <f aca="false">IF(OR(CI671="",CJ671=""),"",DAYS360(CI671,CJ671))</f>
        <v>277</v>
      </c>
      <c r="CQ671" s="0" t="s">
        <v>220</v>
      </c>
      <c r="CR671" s="0" t="n">
        <v>1</v>
      </c>
      <c r="CT671" s="0" t="n">
        <v>9500</v>
      </c>
      <c r="CU671" s="0" t="n">
        <v>1</v>
      </c>
      <c r="CV671" s="0" t="n">
        <f aca="false">IF(OR(CT671="",CT671="NO ESPECIFICA",CT671="NO MENCIONA"),"",IF(CU671=0,CT671,IF(CU671=1,CT671/30,IF(CU671=2,CT671/15,IF(CU671=3,CT671/7,"")))))</f>
        <v>316.666666666667</v>
      </c>
      <c r="CW671" s="125" t="n">
        <v>499.41</v>
      </c>
      <c r="CX671" s="0" t="n">
        <v>0</v>
      </c>
      <c r="CY671" s="0" t="n">
        <f aca="false">IF(CW671="","",IF(CX671=0,CW671,IF(CX671=1,CW671/30,IF(CX671=2,CW671/15,IF(CX671=3,CW671/7,CW671)))))</f>
        <v>499.41</v>
      </c>
      <c r="CZ671" s="0" t="n">
        <f aca="false">IF(DI671&gt;0,DI671,IF(CY671&gt;0,CY671,IF(CV671&gt;0,CV671,"")))</f>
        <v>499.41</v>
      </c>
      <c r="DA671" s="0" t="n">
        <f aca="false">IF(DM671=1,CZ671/8,IF(OR(DM671=2,DM671=4),CZ671/7,IF(DM671=3,CZ671/7.5,"")))</f>
        <v>66.588</v>
      </c>
      <c r="DB671" s="0" t="s">
        <v>299</v>
      </c>
      <c r="DC671" s="0" t="s">
        <v>259</v>
      </c>
      <c r="DD671" s="0" t="s">
        <v>1582</v>
      </c>
      <c r="DE671" s="0" t="s">
        <v>301</v>
      </c>
      <c r="DF671" s="0" t="s">
        <v>216</v>
      </c>
      <c r="DG671" s="0" t="s">
        <v>216</v>
      </c>
      <c r="DH671" s="0" t="n">
        <v>0</v>
      </c>
      <c r="DI671" s="126" t="n">
        <v>499.41</v>
      </c>
      <c r="DK671" s="0" t="n">
        <v>0</v>
      </c>
      <c r="DM671" s="0" t="n">
        <v>3</v>
      </c>
      <c r="DN671" s="0" t="n">
        <v>48</v>
      </c>
      <c r="DO671" s="0" t="n">
        <v>3</v>
      </c>
      <c r="DP671" s="0" t="n">
        <v>1</v>
      </c>
      <c r="DQ671" s="0" t="n">
        <v>1</v>
      </c>
      <c r="DR671" s="0"/>
      <c r="DS671" s="0" t="n">
        <v>1</v>
      </c>
      <c r="DU671" s="0" t="n">
        <v>1</v>
      </c>
      <c r="DW671" s="1" t="n">
        <v>40478</v>
      </c>
      <c r="DX671" s="1" t="n">
        <v>40759</v>
      </c>
      <c r="DZ671" s="0"/>
      <c r="EA671" s="0" t="n">
        <v>1</v>
      </c>
      <c r="EC671" s="1" t="n">
        <v>40478</v>
      </c>
      <c r="ED671" s="1" t="n">
        <v>40759</v>
      </c>
      <c r="EF671" s="0"/>
      <c r="EG671" s="0" t="n">
        <v>1</v>
      </c>
      <c r="EH671" s="0" t="n">
        <v>12</v>
      </c>
      <c r="EI671" s="0" t="n">
        <f aca="false">IF(AND(DM671=1,DN671&lt;=48),"",IF(AND(DM671=2,DN671&lt;=42),"",IF(AND(DM671=3,DN671&lt;=45),"",EH671)))</f>
        <v>12</v>
      </c>
      <c r="EJ671" s="0" t="n">
        <f aca="false">IF(EI671="","",IF(EI671&lt;9,EI671,9))</f>
        <v>9</v>
      </c>
      <c r="EK671" s="0" t="n">
        <f aca="false">IF(EI671="","",IF(EI671&gt;9,EI671-EJ671,0))</f>
        <v>3</v>
      </c>
      <c r="EL671" s="0" t="n">
        <f aca="false">IF(EI671="","",EJ671*DA671*2+EK671*DA671*3)</f>
        <v>1797.876</v>
      </c>
      <c r="EP671" s="0" t="n">
        <v>0</v>
      </c>
      <c r="EQ671" s="0"/>
      <c r="ER671" s="0" t="n">
        <v>1</v>
      </c>
      <c r="ET671" s="0" t="n">
        <v>1</v>
      </c>
      <c r="EV671" s="0" t="n">
        <v>1</v>
      </c>
      <c r="EX671" s="0" t="n">
        <v>1</v>
      </c>
      <c r="EY671" s="0" t="n">
        <v>1</v>
      </c>
      <c r="EZ671" s="0"/>
      <c r="FA671" s="4" t="n">
        <v>6991.74</v>
      </c>
      <c r="FB671" s="0" t="n">
        <v>1</v>
      </c>
      <c r="FC671" s="1" t="n">
        <v>40976</v>
      </c>
      <c r="FD671" s="0" t="n">
        <v>1</v>
      </c>
      <c r="FE671" s="0" t="n">
        <v>16500</v>
      </c>
      <c r="FF671" s="120" t="n">
        <f aca="false">(CJ671-CI671+1)/365</f>
        <v>0.772602739726027</v>
      </c>
      <c r="FG671" s="0" t="str">
        <f aca="false">CONCATENATE(F671,"/",G671)</f>
        <v>1747/2011</v>
      </c>
      <c r="FH671" s="0" t="n">
        <v>1</v>
      </c>
      <c r="FI671" s="0" t="n">
        <f aca="false">IFERROR(IF((FC671-J671+1)/365&gt;3,0,1),"")</f>
        <v>1</v>
      </c>
    </row>
    <row r="672" customFormat="false" ht="15" hidden="false" customHeight="false" outlineLevel="0" collapsed="false">
      <c r="A672" s="5" t="str">
        <f aca="false">E672&amp;G672&amp;F672</f>
        <v>720111742</v>
      </c>
      <c r="B672" s="0" t="s">
        <v>4119</v>
      </c>
      <c r="C672" s="1" t="n">
        <v>42366</v>
      </c>
      <c r="D672" s="0" t="s">
        <v>1856</v>
      </c>
      <c r="E672" s="0" t="n">
        <v>7</v>
      </c>
      <c r="F672" s="0" t="n">
        <v>1742</v>
      </c>
      <c r="G672" s="0" t="n">
        <v>2011</v>
      </c>
      <c r="H672" s="0" t="str">
        <f aca="false">"J"&amp;E672&amp;"\"&amp;F672&amp;"\"&amp;G672&amp;"\"&amp;W672</f>
        <v>J7\1742\2011\1</v>
      </c>
      <c r="I672" s="0"/>
      <c r="J672" s="1" t="n">
        <v>40827</v>
      </c>
      <c r="M672" s="1"/>
      <c r="N672" s="1"/>
      <c r="O672" s="1"/>
      <c r="P672" s="1"/>
      <c r="Q672" s="1"/>
      <c r="T672" s="121"/>
      <c r="U672" s="121"/>
      <c r="V672" s="122" t="n">
        <f aca="false">IF(AND(E672&gt;0,F672&gt;0,G672&gt;0),COUNTIFS($E:$E,E672,$F:$F,F672,$G:$G,G672),"")</f>
        <v>1</v>
      </c>
      <c r="W672" s="122" t="n">
        <f aca="false">IF(V672="","",IF(V672=1,1,IF(AND(E671=E672,F671=F672,G671=G672),W671+1,1)))</f>
        <v>1</v>
      </c>
      <c r="X672" s="0" t="n">
        <v>1</v>
      </c>
      <c r="Y672" s="0" t="n">
        <v>29</v>
      </c>
      <c r="Z672" s="0" t="s">
        <v>6166</v>
      </c>
      <c r="AA672" s="0" t="n">
        <v>0</v>
      </c>
      <c r="AB672" s="0" t="s">
        <v>6167</v>
      </c>
      <c r="AC672" s="0" t="s">
        <v>1796</v>
      </c>
      <c r="AD672" s="0" t="s">
        <v>322</v>
      </c>
      <c r="AE672" s="0" t="n">
        <v>0</v>
      </c>
      <c r="AF672" s="0" t="s">
        <v>6168</v>
      </c>
      <c r="AG672" s="0" t="n">
        <v>2</v>
      </c>
      <c r="AH672" s="0" t="s">
        <v>6169</v>
      </c>
      <c r="AI672" s="0" t="s">
        <v>1661</v>
      </c>
      <c r="AJ672" s="0" t="s">
        <v>229</v>
      </c>
      <c r="AL672" s="0" t="s">
        <v>6170</v>
      </c>
      <c r="AM672" s="0" t="n">
        <v>1</v>
      </c>
      <c r="AN672" s="0" t="s">
        <v>6169</v>
      </c>
      <c r="AO672" s="0" t="s">
        <v>1661</v>
      </c>
      <c r="AP672" s="0" t="s">
        <v>229</v>
      </c>
      <c r="AR672" s="0" t="s">
        <v>6171</v>
      </c>
      <c r="AS672" s="0" t="n">
        <v>2</v>
      </c>
      <c r="AT672" s="0" t="s">
        <v>6172</v>
      </c>
      <c r="AU672" s="0" t="s">
        <v>1661</v>
      </c>
      <c r="AV672" s="0" t="s">
        <v>229</v>
      </c>
      <c r="AX672" s="0" t="s">
        <v>6173</v>
      </c>
      <c r="AY672" s="0" t="n">
        <v>1</v>
      </c>
      <c r="AZ672" s="0" t="s">
        <v>6172</v>
      </c>
      <c r="BA672" s="0" t="s">
        <v>1661</v>
      </c>
      <c r="BB672" s="0" t="s">
        <v>229</v>
      </c>
      <c r="BD672" s="0" t="s">
        <v>6174</v>
      </c>
      <c r="BE672" s="0" t="n">
        <v>0</v>
      </c>
      <c r="BF672" s="0" t="s">
        <v>6175</v>
      </c>
      <c r="BG672" s="0" t="s">
        <v>1661</v>
      </c>
      <c r="BH672" s="0" t="s">
        <v>221</v>
      </c>
      <c r="BJ672" s="0" t="s">
        <v>6176</v>
      </c>
      <c r="BK672" s="0" t="n">
        <v>0</v>
      </c>
      <c r="BL672" s="0" t="s">
        <v>6175</v>
      </c>
      <c r="BM672" s="0" t="s">
        <v>1661</v>
      </c>
      <c r="BN672" s="0" t="s">
        <v>221</v>
      </c>
      <c r="BR672" s="0" t="n">
        <v>1</v>
      </c>
      <c r="BS672" s="0" t="s">
        <v>6177</v>
      </c>
      <c r="BT672" s="0" t="s">
        <v>6178</v>
      </c>
      <c r="BU672" s="0" t="s">
        <v>6179</v>
      </c>
      <c r="BV672" s="123"/>
      <c r="BW672" s="123"/>
      <c r="BX672" s="123"/>
      <c r="BY672" s="123"/>
      <c r="CA672" s="0" t="s">
        <v>216</v>
      </c>
      <c r="CD672" s="0" t="s">
        <v>221</v>
      </c>
      <c r="CE672" s="0" t="n">
        <v>0</v>
      </c>
      <c r="CF672" s="0" t="s">
        <v>1419</v>
      </c>
      <c r="CI672" s="1" t="n">
        <v>35217</v>
      </c>
      <c r="CJ672" s="1" t="n">
        <v>40812</v>
      </c>
      <c r="CK672" s="124" t="n">
        <v>0.416666666666667</v>
      </c>
      <c r="CL672" s="0" t="s">
        <v>6180</v>
      </c>
      <c r="CM672" s="0" t="n">
        <f aca="false">IF(OR(CI672="",CJ672=""),"",DAYS360(CI672,CJ672)/360)</f>
        <v>15.3194444444444</v>
      </c>
      <c r="CN672" s="0" t="n">
        <f aca="false">IF(OR(CI672="",CJ672=""),"",DAYS360(CI672,CJ672)/30)</f>
        <v>183.833333333333</v>
      </c>
      <c r="CO672" s="0" t="n">
        <f aca="false">IF(OR(CI672="",CJ672=""),"",DAYS360(CI672,CJ672)/7)</f>
        <v>787.857142857143</v>
      </c>
      <c r="CP672" s="0" t="n">
        <f aca="false">IF(OR(CI672="",CJ672=""),"",DAYS360(CI672,CJ672))</f>
        <v>5515</v>
      </c>
      <c r="CQ672" s="0" t="s">
        <v>220</v>
      </c>
      <c r="CR672" s="0" t="n">
        <v>1</v>
      </c>
      <c r="CT672" s="0" t="s">
        <v>221</v>
      </c>
      <c r="CU672" s="0" t="s">
        <v>221</v>
      </c>
      <c r="CV672" s="0" t="str">
        <f aca="false">IF(OR(CT672="",CT672="NO ESPECIFICA",CT672="NO MENCIONA"),"",IF(CU672=0,CT672,IF(CU672=1,CT672/30,IF(CU672=2,CT672/15,IF(CU672=3,CT672/7,"")))))</f>
        <v/>
      </c>
      <c r="CW672" s="125" t="n">
        <v>20000</v>
      </c>
      <c r="CX672" s="0" t="n">
        <v>1</v>
      </c>
      <c r="CY672" s="0" t="n">
        <f aca="false">IF(CW672="","",IF(CX672=0,CW672,IF(CX672=1,CW672/30,IF(CX672=2,CW672/15,IF(CX672=3,CW672/7,CW672)))))</f>
        <v>666.666666666667</v>
      </c>
      <c r="CZ672" s="0" t="n">
        <f aca="false">IF(DI672&gt;0,DI672,IF(CY672&gt;0,CY672,IF(CV672&gt;0,CV672,"")))</f>
        <v>711.666666666667</v>
      </c>
      <c r="DA672" s="0" t="n">
        <f aca="false">IF(DM672=1,CZ672/8,IF(OR(DM672=2,DM672=4),CZ672/7,IF(DM672=3,CZ672/7.5,"")))</f>
        <v>88.9583333333333</v>
      </c>
      <c r="DB672" s="0" t="s">
        <v>6181</v>
      </c>
      <c r="DC672" s="0" t="s">
        <v>6182</v>
      </c>
      <c r="DD672" s="0" t="s">
        <v>1020</v>
      </c>
      <c r="DE672" s="0" t="s">
        <v>2957</v>
      </c>
      <c r="DF672" s="0" t="s">
        <v>216</v>
      </c>
      <c r="DG672" s="0" t="s">
        <v>216</v>
      </c>
      <c r="DH672" s="0" t="n">
        <v>0</v>
      </c>
      <c r="DI672" s="126" t="n">
        <v>711.666666666667</v>
      </c>
      <c r="DK672" s="0" t="n">
        <v>0</v>
      </c>
      <c r="DM672" s="0" t="n">
        <v>1</v>
      </c>
      <c r="DN672" s="0" t="n">
        <v>60</v>
      </c>
      <c r="DO672" s="0" t="n">
        <v>3</v>
      </c>
      <c r="DP672" s="0" t="n">
        <v>1</v>
      </c>
      <c r="DQ672" s="0" t="n">
        <v>0</v>
      </c>
      <c r="DR672" s="0"/>
      <c r="DS672" s="0" t="n">
        <v>1</v>
      </c>
      <c r="DU672" s="0" t="n">
        <v>0</v>
      </c>
      <c r="DW672" s="1" t="n">
        <v>35217</v>
      </c>
      <c r="DX672" s="1" t="n">
        <v>40812</v>
      </c>
      <c r="DZ672" s="0"/>
      <c r="EA672" s="0" t="n">
        <v>1</v>
      </c>
      <c r="EC672" s="1" t="n">
        <v>35217</v>
      </c>
      <c r="ED672" s="1" t="n">
        <v>40812</v>
      </c>
      <c r="EF672" s="0"/>
      <c r="EG672" s="0" t="n">
        <v>1</v>
      </c>
      <c r="EH672" s="0" t="n">
        <v>12</v>
      </c>
      <c r="EI672" s="0" t="n">
        <f aca="false">IF(AND(DM672=1,DN672&lt;=48),"",IF(AND(DM672=2,DN672&lt;=42),"",IF(AND(DM672=3,DN672&lt;=45),"",EH672)))</f>
        <v>12</v>
      </c>
      <c r="EJ672" s="0" t="n">
        <f aca="false">IF(EI672="","",IF(EI672&lt;9,EI672,9))</f>
        <v>9</v>
      </c>
      <c r="EK672" s="0" t="n">
        <f aca="false">IF(EI672="","",IF(EI672&gt;9,EI672-EJ672,0))</f>
        <v>3</v>
      </c>
      <c r="EL672" s="0" t="n">
        <f aca="false">IF(EI672="","",EJ672*DA672*2+EK672*DA672*3)</f>
        <v>2401.875</v>
      </c>
      <c r="EP672" s="0" t="n">
        <v>0</v>
      </c>
      <c r="EQ672" s="0"/>
      <c r="ER672" s="0" t="n">
        <v>0</v>
      </c>
      <c r="ET672" s="0" t="n">
        <v>1</v>
      </c>
      <c r="EV672" s="0" t="n">
        <v>1</v>
      </c>
      <c r="EX672" s="0" t="n">
        <v>1</v>
      </c>
      <c r="EY672" s="0" t="n">
        <v>1</v>
      </c>
      <c r="EZ672" s="0"/>
      <c r="FA672" s="0"/>
      <c r="FB672" s="0" t="n">
        <v>1</v>
      </c>
      <c r="FC672" s="1" t="n">
        <v>40844</v>
      </c>
      <c r="FD672" s="0" t="n">
        <v>1</v>
      </c>
      <c r="FE672" s="0" t="n">
        <v>190000</v>
      </c>
      <c r="FF672" s="120" t="n">
        <f aca="false">(CJ672-CI672+1)/365</f>
        <v>15.3315068493151</v>
      </c>
      <c r="FG672" s="0" t="str">
        <f aca="false">CONCATENATE(F672,"/",G672)</f>
        <v>1742/2011</v>
      </c>
      <c r="FH672" s="0" t="n">
        <v>1</v>
      </c>
      <c r="FI672" s="0" t="n">
        <f aca="false">IFERROR(IF((FC672-J672+1)/365&gt;3,0,1),"")</f>
        <v>1</v>
      </c>
    </row>
    <row r="673" customFormat="false" ht="15" hidden="false" customHeight="false" outlineLevel="0" collapsed="false">
      <c r="A673" s="5" t="str">
        <f aca="false">E673&amp;G673&amp;F673</f>
        <v>720111729</v>
      </c>
      <c r="B673" s="0" t="s">
        <v>4119</v>
      </c>
      <c r="C673" s="1" t="n">
        <v>42368</v>
      </c>
      <c r="D673" s="0" t="s">
        <v>1856</v>
      </c>
      <c r="E673" s="0" t="n">
        <v>7</v>
      </c>
      <c r="F673" s="0" t="n">
        <v>1729</v>
      </c>
      <c r="G673" s="0" t="n">
        <v>2011</v>
      </c>
      <c r="H673" s="0" t="str">
        <f aca="false">"J"&amp;E673&amp;"\"&amp;F673&amp;"\"&amp;G673&amp;"\"&amp;W673</f>
        <v>J7\1729\2011\1</v>
      </c>
      <c r="I673" s="0"/>
      <c r="J673" s="1" t="n">
        <v>40823</v>
      </c>
      <c r="K673" s="0" t="n">
        <v>0</v>
      </c>
      <c r="M673" s="1"/>
      <c r="N673" s="1"/>
      <c r="O673" s="1"/>
      <c r="P673" s="1"/>
      <c r="Q673" s="1"/>
      <c r="T673" s="121"/>
      <c r="U673" s="121"/>
      <c r="V673" s="122" t="n">
        <f aca="false">IF(AND(E673&gt;0,F673&gt;0,G673&gt;0),COUNTIFS($E:$E,E673,$F:$F,F673,$G:$G,G673),"")</f>
        <v>1</v>
      </c>
      <c r="W673" s="122" t="n">
        <f aca="false">IF(V673="","",IF(V673=1,1,IF(AND(E672=E673,F672=F673,G672=G673),W672+1,1)))</f>
        <v>1</v>
      </c>
      <c r="X673" s="0" t="n">
        <v>1</v>
      </c>
      <c r="Y673" s="0" t="n">
        <v>5</v>
      </c>
      <c r="Z673" s="0" t="s">
        <v>6183</v>
      </c>
      <c r="AA673" s="0" t="n">
        <v>0</v>
      </c>
      <c r="AB673" s="0" t="s">
        <v>6021</v>
      </c>
      <c r="AC673" s="0" t="s">
        <v>228</v>
      </c>
      <c r="AD673" s="0" t="s">
        <v>229</v>
      </c>
      <c r="AE673" s="0" t="n">
        <v>0</v>
      </c>
      <c r="AF673" s="0" t="s">
        <v>6184</v>
      </c>
      <c r="AG673" s="0" t="n">
        <v>0</v>
      </c>
      <c r="AH673" s="0" t="s">
        <v>6185</v>
      </c>
      <c r="AI673" s="0" t="s">
        <v>6186</v>
      </c>
      <c r="AJ673" s="0" t="s">
        <v>659</v>
      </c>
      <c r="AL673" s="0" t="s">
        <v>6187</v>
      </c>
      <c r="AM673" s="0" t="n">
        <v>0</v>
      </c>
      <c r="AN673" s="0" t="s">
        <v>6185</v>
      </c>
      <c r="AO673" s="0" t="s">
        <v>6186</v>
      </c>
      <c r="AP673" s="0" t="s">
        <v>659</v>
      </c>
      <c r="AR673" s="0" t="s">
        <v>6188</v>
      </c>
      <c r="AS673" s="0" t="n">
        <v>1</v>
      </c>
      <c r="AT673" s="0" t="s">
        <v>6185</v>
      </c>
      <c r="AU673" s="0" t="s">
        <v>6186</v>
      </c>
      <c r="AV673" s="0" t="s">
        <v>659</v>
      </c>
      <c r="AX673" s="0" t="s">
        <v>6189</v>
      </c>
      <c r="AY673" s="0" t="n">
        <v>1</v>
      </c>
      <c r="AZ673" s="0" t="s">
        <v>6185</v>
      </c>
      <c r="BA673" s="0" t="s">
        <v>6186</v>
      </c>
      <c r="BB673" s="0" t="s">
        <v>659</v>
      </c>
      <c r="BD673" s="0" t="s">
        <v>2126</v>
      </c>
      <c r="BE673" s="0" t="n">
        <v>1</v>
      </c>
      <c r="BF673" s="0" t="s">
        <v>6185</v>
      </c>
      <c r="BG673" s="0" t="s">
        <v>6186</v>
      </c>
      <c r="BH673" s="0" t="s">
        <v>659</v>
      </c>
      <c r="BR673" s="0" t="n">
        <v>3</v>
      </c>
      <c r="BS673" s="0" t="s">
        <v>859</v>
      </c>
      <c r="BT673" s="0" t="s">
        <v>858</v>
      </c>
      <c r="BU673" s="0" t="s">
        <v>500</v>
      </c>
      <c r="BV673" s="123"/>
      <c r="BW673" s="123"/>
      <c r="BX673" s="123"/>
      <c r="BY673" s="123"/>
      <c r="CA673" s="0" t="s">
        <v>348</v>
      </c>
      <c r="CD673" s="0" t="s">
        <v>296</v>
      </c>
      <c r="CE673" s="0" t="n">
        <v>0</v>
      </c>
      <c r="CF673" s="0" t="s">
        <v>6190</v>
      </c>
      <c r="CI673" s="1" t="n">
        <v>37907</v>
      </c>
      <c r="CJ673" s="1" t="n">
        <v>40821</v>
      </c>
      <c r="CK673" s="124" t="n">
        <v>0.375</v>
      </c>
      <c r="CL673" s="0" t="s">
        <v>6191</v>
      </c>
      <c r="CM673" s="0" t="n">
        <f aca="false">IF(OR(CI673="",CJ673=""),"",DAYS360(CI673,CJ673)/360)</f>
        <v>7.97777777777778</v>
      </c>
      <c r="CN673" s="0" t="n">
        <f aca="false">IF(OR(CI673="",CJ673=""),"",DAYS360(CI673,CJ673)/30)</f>
        <v>95.7333333333333</v>
      </c>
      <c r="CO673" s="0" t="n">
        <f aca="false">IF(OR(CI673="",CJ673=""),"",DAYS360(CI673,CJ673)/7)</f>
        <v>410.285714285714</v>
      </c>
      <c r="CP673" s="0" t="n">
        <f aca="false">IF(OR(CI673="",CJ673=""),"",DAYS360(CI673,CJ673))</f>
        <v>2872</v>
      </c>
      <c r="CQ673" s="0" t="s">
        <v>240</v>
      </c>
      <c r="CR673" s="0" t="n">
        <v>1</v>
      </c>
      <c r="CT673" s="0" t="n">
        <v>433.33</v>
      </c>
      <c r="CU673" s="0" t="n">
        <v>0</v>
      </c>
      <c r="CV673" s="0" t="n">
        <f aca="false">IF(OR(CT673="",CT673="NO ESPECIFICA",CT673="NO MENCIONA"),"",IF(CU673=0,CT673,IF(CU673=1,CT673/30,IF(CU673=2,CT673/15,IF(CU673=3,CT673/7,"")))))</f>
        <v>433.33</v>
      </c>
      <c r="CW673" s="125" t="n">
        <v>473.9</v>
      </c>
      <c r="CX673" s="0" t="n">
        <v>0</v>
      </c>
      <c r="CY673" s="0" t="n">
        <f aca="false">IF(CW673="","",IF(CX673=0,CW673,IF(CX673=1,CW673/30,IF(CX673=2,CW673/15,IF(CX673=3,CW673/7,CW673)))))</f>
        <v>473.9</v>
      </c>
      <c r="CZ673" s="0" t="n">
        <f aca="false">IF(DI673&gt;0,DI673,IF(CY673&gt;0,CY673,IF(CV673&gt;0,CV673,"")))</f>
        <v>473.9</v>
      </c>
      <c r="DA673" s="0" t="n">
        <f aca="false">IF(DM673=1,CZ673/8,IF(OR(DM673=2,DM673=4),CZ673/7,IF(DM673=3,CZ673/7.5,"")))</f>
        <v>59.2375</v>
      </c>
      <c r="DB673" s="0" t="s">
        <v>303</v>
      </c>
      <c r="DC673" s="0" t="s">
        <v>301</v>
      </c>
      <c r="DD673" s="0" t="s">
        <v>216</v>
      </c>
      <c r="DE673" s="0" t="s">
        <v>216</v>
      </c>
      <c r="DF673" s="0" t="s">
        <v>216</v>
      </c>
      <c r="DG673" s="0" t="s">
        <v>216</v>
      </c>
      <c r="DH673" s="0" t="n">
        <v>0</v>
      </c>
      <c r="DI673" s="126" t="n">
        <v>473.9</v>
      </c>
      <c r="DK673" s="0" t="n">
        <v>1</v>
      </c>
      <c r="DM673" s="0" t="n">
        <v>1</v>
      </c>
      <c r="DN673" s="0" t="n">
        <v>50</v>
      </c>
      <c r="DO673" s="0" t="n">
        <v>3</v>
      </c>
      <c r="DP673" s="0" t="n">
        <v>0</v>
      </c>
      <c r="DQ673" s="0" t="n">
        <v>1</v>
      </c>
      <c r="DR673" s="0"/>
      <c r="DS673" s="0" t="n">
        <v>1</v>
      </c>
      <c r="DU673" s="0" t="n">
        <v>1</v>
      </c>
      <c r="DW673" s="1" t="n">
        <v>40464</v>
      </c>
      <c r="DX673" s="1" t="n">
        <v>40821</v>
      </c>
      <c r="DZ673" s="0"/>
      <c r="EA673" s="0" t="n">
        <v>1</v>
      </c>
      <c r="EC673" s="1" t="n">
        <v>40179</v>
      </c>
      <c r="ED673" s="1" t="n">
        <v>40821</v>
      </c>
      <c r="EF673" s="0"/>
      <c r="EG673" s="0" t="n">
        <v>1</v>
      </c>
      <c r="EH673" s="0" t="n">
        <v>2</v>
      </c>
      <c r="EI673" s="0" t="n">
        <f aca="false">IF(AND(DM673=1,DN673&lt;=48),"",IF(AND(DM673=2,DN673&lt;=42),"",IF(AND(DM673=3,DN673&lt;=45),"",EH673)))</f>
        <v>2</v>
      </c>
      <c r="EJ673" s="0" t="n">
        <f aca="false">IF(EI673="","",IF(EI673&lt;9,EI673,9))</f>
        <v>2</v>
      </c>
      <c r="EK673" s="0" t="n">
        <f aca="false">IF(EI673="","",IF(EI673&gt;9,EI673-EJ673,0))</f>
        <v>0</v>
      </c>
      <c r="EL673" s="0" t="n">
        <f aca="false">IF(EI673="","",EJ673*DA673*2+EK673*DA673*3)</f>
        <v>236.95</v>
      </c>
      <c r="EP673" s="0" t="n">
        <v>0</v>
      </c>
      <c r="EQ673" s="0"/>
      <c r="ER673" s="0" t="n">
        <v>0</v>
      </c>
      <c r="ET673" s="0" t="n">
        <v>0</v>
      </c>
      <c r="EV673" s="0" t="n">
        <v>0</v>
      </c>
      <c r="EX673" s="0" t="n">
        <v>0</v>
      </c>
      <c r="EY673" s="0" t="n">
        <v>0</v>
      </c>
      <c r="EZ673" s="0"/>
      <c r="FA673" s="0"/>
      <c r="FB673" s="0" t="n">
        <v>0</v>
      </c>
      <c r="FC673" s="1" t="n">
        <v>41144</v>
      </c>
      <c r="FD673" s="0" t="n">
        <v>1</v>
      </c>
      <c r="FE673" s="0" t="n">
        <v>38000</v>
      </c>
      <c r="FF673" s="120" t="n">
        <f aca="false">(CJ673-CI673+1)/365</f>
        <v>7.98630136986301</v>
      </c>
      <c r="FG673" s="0" t="str">
        <f aca="false">CONCATENATE(F673,"/",G673)</f>
        <v>1729/2011</v>
      </c>
      <c r="FH673" s="0" t="n">
        <v>1</v>
      </c>
      <c r="FI673" s="0" t="n">
        <f aca="false">IFERROR(IF((FC673-J673+1)/365&gt;3,0,1),"")</f>
        <v>1</v>
      </c>
    </row>
    <row r="674" customFormat="false" ht="15" hidden="false" customHeight="false" outlineLevel="0" collapsed="false">
      <c r="A674" s="5" t="str">
        <f aca="false">E674&amp;G674&amp;F674</f>
        <v>720111727</v>
      </c>
      <c r="B674" s="0" t="s">
        <v>4119</v>
      </c>
      <c r="C674" s="1" t="n">
        <v>42368</v>
      </c>
      <c r="D674" s="0" t="s">
        <v>6192</v>
      </c>
      <c r="E674" s="0" t="n">
        <v>7</v>
      </c>
      <c r="F674" s="0" t="n">
        <v>1727</v>
      </c>
      <c r="G674" s="0" t="n">
        <v>2011</v>
      </c>
      <c r="H674" s="0" t="str">
        <f aca="false">"J"&amp;E674&amp;"\"&amp;F674&amp;"\"&amp;G674&amp;"\"&amp;W674</f>
        <v>J7\1727\2011\1</v>
      </c>
      <c r="I674" s="0"/>
      <c r="J674" s="1" t="n">
        <v>40823</v>
      </c>
      <c r="K674" s="0" t="n">
        <v>0</v>
      </c>
      <c r="M674" s="1"/>
      <c r="N674" s="1"/>
      <c r="O674" s="1"/>
      <c r="P674" s="1"/>
      <c r="Q674" s="1"/>
      <c r="T674" s="121"/>
      <c r="U674" s="121"/>
      <c r="V674" s="122" t="n">
        <f aca="false">IF(AND(E674&gt;0,F674&gt;0,G674&gt;0),COUNTIFS($E:$E,E674,$F:$F,F674,$G:$G,G674),"")</f>
        <v>1</v>
      </c>
      <c r="W674" s="122" t="n">
        <f aca="false">IF(V674="","",IF(V674=1,1,IF(AND(E673=E674,F673=F674,G673=G674),W673+1,1)))</f>
        <v>1</v>
      </c>
      <c r="X674" s="0" t="n">
        <v>1</v>
      </c>
      <c r="Y674" s="0" t="n">
        <v>12</v>
      </c>
      <c r="Z674" s="0" t="s">
        <v>6193</v>
      </c>
      <c r="AA674" s="0" t="n">
        <v>0</v>
      </c>
      <c r="AB674" s="0" t="s">
        <v>6194</v>
      </c>
      <c r="AC674" s="0" t="s">
        <v>287</v>
      </c>
      <c r="AD674" s="0" t="s">
        <v>207</v>
      </c>
      <c r="AE674" s="0" t="n">
        <v>0</v>
      </c>
      <c r="AF674" s="0" t="s">
        <v>6195</v>
      </c>
      <c r="AG674" s="0" t="n">
        <v>0</v>
      </c>
      <c r="AH674" s="0" t="s">
        <v>6196</v>
      </c>
      <c r="AI674" s="0" t="s">
        <v>6197</v>
      </c>
      <c r="AJ674" s="0" t="s">
        <v>322</v>
      </c>
      <c r="AL674" s="0" t="s">
        <v>6198</v>
      </c>
      <c r="AM674" s="0" t="n">
        <v>0</v>
      </c>
      <c r="AN674" s="0" t="s">
        <v>6199</v>
      </c>
      <c r="AO674" s="0" t="s">
        <v>1123</v>
      </c>
      <c r="AP674" s="0" t="s">
        <v>322</v>
      </c>
      <c r="AR674" s="0" t="s">
        <v>6200</v>
      </c>
      <c r="AS674" s="0" t="n">
        <v>0</v>
      </c>
      <c r="AT674" s="0" t="s">
        <v>6199</v>
      </c>
      <c r="AU674" s="0" t="s">
        <v>1123</v>
      </c>
      <c r="AV674" s="0" t="s">
        <v>322</v>
      </c>
      <c r="AX674" s="0" t="s">
        <v>6201</v>
      </c>
      <c r="AY674" s="0" t="n">
        <v>0</v>
      </c>
      <c r="AZ674" s="0" t="s">
        <v>6199</v>
      </c>
      <c r="BA674" s="0" t="s">
        <v>1123</v>
      </c>
      <c r="BB674" s="0" t="s">
        <v>322</v>
      </c>
      <c r="BD674" s="0" t="s">
        <v>6202</v>
      </c>
      <c r="BE674" s="0" t="n">
        <v>1</v>
      </c>
      <c r="BF674" s="0" t="s">
        <v>6196</v>
      </c>
      <c r="BG674" s="0" t="s">
        <v>6197</v>
      </c>
      <c r="BH674" s="0" t="s">
        <v>322</v>
      </c>
      <c r="BJ674" s="0" t="s">
        <v>6203</v>
      </c>
      <c r="BK674" s="0" t="n">
        <v>1</v>
      </c>
      <c r="BL674" s="0" t="s">
        <v>6196</v>
      </c>
      <c r="BM674" s="0" t="s">
        <v>6197</v>
      </c>
      <c r="BN674" s="0" t="s">
        <v>322</v>
      </c>
      <c r="BR674" s="0" t="n">
        <v>1</v>
      </c>
      <c r="BS674" s="0" t="s">
        <v>6204</v>
      </c>
      <c r="BT674" s="0" t="s">
        <v>6205</v>
      </c>
      <c r="BU674" s="0" t="s">
        <v>6206</v>
      </c>
      <c r="BV674" s="123"/>
      <c r="BW674" s="123"/>
      <c r="BX674" s="123"/>
      <c r="BY674" s="123"/>
      <c r="CA674" s="0" t="s">
        <v>216</v>
      </c>
      <c r="CD674" s="0" t="s">
        <v>370</v>
      </c>
      <c r="CE674" s="0" t="n">
        <v>0</v>
      </c>
      <c r="CF674" s="0" t="s">
        <v>6207</v>
      </c>
      <c r="CI674" s="1" t="n">
        <v>40210</v>
      </c>
      <c r="CJ674" s="1" t="n">
        <v>40763</v>
      </c>
      <c r="CK674" s="124" t="n">
        <v>0.375</v>
      </c>
      <c r="CL674" s="0" t="s">
        <v>221</v>
      </c>
      <c r="CM674" s="0" t="n">
        <f aca="false">IF(OR(CI674="",CJ674=""),"",DAYS360(CI674,CJ674)/360)</f>
        <v>1.51944444444444</v>
      </c>
      <c r="CN674" s="0" t="n">
        <f aca="false">IF(OR(CI674="",CJ674=""),"",DAYS360(CI674,CJ674)/30)</f>
        <v>18.2333333333333</v>
      </c>
      <c r="CO674" s="0" t="n">
        <f aca="false">IF(OR(CI674="",CJ674=""),"",DAYS360(CI674,CJ674)/7)</f>
        <v>78.1428571428571</v>
      </c>
      <c r="CP674" s="0" t="n">
        <f aca="false">IF(OR(CI674="",CJ674=""),"",DAYS360(CI674,CJ674))</f>
        <v>547</v>
      </c>
      <c r="CQ674" s="0" t="s">
        <v>220</v>
      </c>
      <c r="CR674" s="0" t="n">
        <v>1</v>
      </c>
      <c r="CT674" s="0" t="n">
        <v>21000</v>
      </c>
      <c r="CU674" s="0" t="n">
        <v>1</v>
      </c>
      <c r="CV674" s="0" t="n">
        <f aca="false">IF(OR(CT674="",CT674="NO ESPECIFICA",CT674="NO MENCIONA"),"",IF(CU674=0,CT674,IF(CU674=1,CT674/30,IF(CU674=2,CT674/15,IF(CU674=3,CT674/7,"")))))</f>
        <v>700</v>
      </c>
      <c r="CW674" s="125" t="s">
        <v>216</v>
      </c>
      <c r="CX674" s="0" t="s">
        <v>216</v>
      </c>
      <c r="CY674" s="0" t="str">
        <f aca="false">IF(CW674="","",IF(CX674=0,CW674,IF(CX674=1,CW674/30,IF(CX674=2,CW674/15,IF(CX674=3,CW674/7,CW674)))))</f>
        <v>NO MENCIONA</v>
      </c>
      <c r="CZ674" s="0" t="n">
        <f aca="false">IF(DI674&gt;0,DI674,IF(CY674&gt;0,CY674,IF(CV674&gt;0,CV674,"")))</f>
        <v>700</v>
      </c>
      <c r="DA674" s="0" t="n">
        <f aca="false">IF(DM674=1,CZ674/8,IF(OR(DM674=2,DM674=4),CZ674/7,IF(DM674=3,CZ674/7.5,"")))</f>
        <v>87.5</v>
      </c>
      <c r="DB674" s="0" t="s">
        <v>299</v>
      </c>
      <c r="DC674" s="0" t="s">
        <v>6208</v>
      </c>
      <c r="DD674" s="0" t="s">
        <v>6209</v>
      </c>
      <c r="DE674" s="0" t="s">
        <v>216</v>
      </c>
      <c r="DF674" s="0" t="s">
        <v>216</v>
      </c>
      <c r="DG674" s="0" t="s">
        <v>216</v>
      </c>
      <c r="DH674" s="0" t="n">
        <v>0</v>
      </c>
      <c r="DI674" s="126" t="n">
        <v>700</v>
      </c>
      <c r="DK674" s="0" t="n">
        <v>0</v>
      </c>
      <c r="DM674" s="0" t="n">
        <v>1</v>
      </c>
      <c r="DN674" s="0" t="n">
        <v>57</v>
      </c>
      <c r="DO674" s="0" t="n">
        <v>3</v>
      </c>
      <c r="DP674" s="0" t="n">
        <v>1</v>
      </c>
      <c r="DQ674" s="0" t="n">
        <v>1</v>
      </c>
      <c r="DR674" s="0"/>
      <c r="DS674" s="0" t="n">
        <v>1</v>
      </c>
      <c r="DU674" s="0" t="n">
        <v>1</v>
      </c>
      <c r="DW674" s="1" t="n">
        <v>40210</v>
      </c>
      <c r="DX674" s="1" t="n">
        <v>40722</v>
      </c>
      <c r="DZ674" s="0"/>
      <c r="EA674" s="0" t="n">
        <v>1</v>
      </c>
      <c r="EC674" s="1" t="n">
        <v>40544</v>
      </c>
      <c r="ED674" s="1" t="n">
        <v>40722</v>
      </c>
      <c r="EF674" s="0"/>
      <c r="EG674" s="0" t="n">
        <v>1</v>
      </c>
      <c r="EH674" s="0" t="s">
        <v>221</v>
      </c>
      <c r="EI674" s="0" t="str">
        <f aca="false">IF(AND(DM674=1,DN674&lt;=48),"",IF(AND(DM674=2,DN674&lt;=42),"",IF(AND(DM674=3,DN674&lt;=45),"",EH674)))</f>
        <v>NO ESPECIFICA</v>
      </c>
      <c r="EJ674" s="0" t="n">
        <f aca="false">IF(EI674="","",IF(EI674&lt;9,EI674,9))</f>
        <v>9</v>
      </c>
      <c r="EK674" s="0" t="e">
        <f aca="false">IF(EI674="","",IF(EI674&gt;9,EI674-EJ674,0))</f>
        <v>#VALUE!</v>
      </c>
      <c r="EL674" s="0" t="e">
        <f aca="false">IF(EI674="","",EJ674*DA674*2+EK674*DA674*3)</f>
        <v>#VALUE!</v>
      </c>
      <c r="EN674" s="0" t="n">
        <v>16014.8</v>
      </c>
      <c r="EO674" s="0" t="n">
        <v>42</v>
      </c>
      <c r="EP674" s="0" t="n">
        <v>1</v>
      </c>
      <c r="EQ674" s="0"/>
      <c r="ER674" s="0" t="n">
        <v>0</v>
      </c>
      <c r="ET674" s="0" t="n">
        <v>1</v>
      </c>
      <c r="EV674" s="0" t="n">
        <v>1</v>
      </c>
      <c r="EX674" s="0" t="n">
        <v>1</v>
      </c>
      <c r="EY674" s="0" t="n">
        <v>1</v>
      </c>
      <c r="EZ674" s="0"/>
      <c r="FA674" s="0"/>
      <c r="FB674" s="0" t="n">
        <v>0</v>
      </c>
      <c r="FC674" s="1" t="n">
        <v>40977</v>
      </c>
      <c r="FD674" s="0" t="n">
        <v>2</v>
      </c>
      <c r="FE674" s="0" t="n">
        <v>0</v>
      </c>
      <c r="FF674" s="120" t="n">
        <f aca="false">(CJ674-CI674+1)/365</f>
        <v>1.51780821917808</v>
      </c>
      <c r="FG674" s="0" t="str">
        <f aca="false">CONCATENATE(F674,"/",G674)</f>
        <v>1727/2011</v>
      </c>
      <c r="FH674" s="0" t="n">
        <v>1</v>
      </c>
      <c r="FI674" s="0" t="n">
        <f aca="false">IFERROR(IF((FC674-J674+1)/365&gt;3,0,1),"")</f>
        <v>1</v>
      </c>
    </row>
    <row r="675" customFormat="false" ht="15" hidden="false" customHeight="false" outlineLevel="0" collapsed="false">
      <c r="A675" s="5" t="str">
        <f aca="false">E675&amp;G675&amp;F675</f>
        <v>720111717</v>
      </c>
      <c r="B675" s="0" t="s">
        <v>4119</v>
      </c>
      <c r="C675" s="1" t="n">
        <v>42369</v>
      </c>
      <c r="D675" s="0" t="s">
        <v>1856</v>
      </c>
      <c r="E675" s="0" t="n">
        <v>7</v>
      </c>
      <c r="F675" s="0" t="n">
        <v>1717</v>
      </c>
      <c r="G675" s="0" t="n">
        <v>2011</v>
      </c>
      <c r="H675" s="0" t="str">
        <f aca="false">"J"&amp;E675&amp;"\"&amp;F675&amp;"\"&amp;G675&amp;"\"&amp;W675</f>
        <v>J7\1717\2011\1</v>
      </c>
      <c r="I675" s="0"/>
      <c r="J675" s="1" t="n">
        <v>40821</v>
      </c>
      <c r="K675" s="0" t="n">
        <v>0</v>
      </c>
      <c r="M675" s="1"/>
      <c r="N675" s="1"/>
      <c r="O675" s="1"/>
      <c r="P675" s="1"/>
      <c r="Q675" s="1"/>
      <c r="T675" s="121"/>
      <c r="U675" s="121"/>
      <c r="V675" s="122" t="n">
        <f aca="false">IF(AND(E675&gt;0,F675&gt;0,G675&gt;0),COUNTIFS($E:$E,E675,$F:$F,F675,$G:$G,G675),"")</f>
        <v>1</v>
      </c>
      <c r="W675" s="122" t="n">
        <f aca="false">IF(V675="","",IF(V675=1,1,IF(AND(E674=E675,F674=F675,G674=G675),W674+1,1)))</f>
        <v>1</v>
      </c>
      <c r="X675" s="0" t="n">
        <v>1</v>
      </c>
      <c r="Y675" s="0" t="n">
        <v>3</v>
      </c>
      <c r="Z675" s="0" t="s">
        <v>6210</v>
      </c>
      <c r="AA675" s="0" t="n">
        <v>0</v>
      </c>
      <c r="AB675" s="0" t="s">
        <v>6211</v>
      </c>
      <c r="AC675" s="0" t="s">
        <v>251</v>
      </c>
      <c r="AD675" s="0" t="s">
        <v>229</v>
      </c>
      <c r="AE675" s="0" t="n">
        <v>0</v>
      </c>
      <c r="AF675" s="0" t="s">
        <v>1633</v>
      </c>
      <c r="AG675" s="0" t="n">
        <v>0</v>
      </c>
      <c r="AH675" s="0" t="s">
        <v>6212</v>
      </c>
      <c r="AI675" s="0" t="s">
        <v>830</v>
      </c>
      <c r="AJ675" s="0" t="s">
        <v>322</v>
      </c>
      <c r="AL675" s="0" t="s">
        <v>6213</v>
      </c>
      <c r="AM675" s="0" t="n">
        <v>1</v>
      </c>
      <c r="AN675" s="0" t="s">
        <v>6212</v>
      </c>
      <c r="AO675" s="0" t="s">
        <v>830</v>
      </c>
      <c r="AP675" s="0" t="s">
        <v>322</v>
      </c>
      <c r="AR675" s="0" t="s">
        <v>6214</v>
      </c>
      <c r="AS675" s="0" t="n">
        <v>0</v>
      </c>
      <c r="AT675" s="0" t="s">
        <v>6215</v>
      </c>
      <c r="AU675" s="0" t="s">
        <v>4520</v>
      </c>
      <c r="AV675" s="0" t="s">
        <v>352</v>
      </c>
      <c r="BR675" s="0" t="n">
        <v>1</v>
      </c>
      <c r="BS675" s="0" t="s">
        <v>6216</v>
      </c>
      <c r="BT675" s="0" t="s">
        <v>6217</v>
      </c>
      <c r="BU675" s="0" t="s">
        <v>6218</v>
      </c>
      <c r="BV675" s="123"/>
      <c r="BW675" s="123"/>
      <c r="BX675" s="123"/>
      <c r="BY675" s="123"/>
      <c r="CA675" s="0" t="s">
        <v>216</v>
      </c>
      <c r="CD675" s="0" t="s">
        <v>296</v>
      </c>
      <c r="CE675" s="0" t="n">
        <v>0</v>
      </c>
      <c r="CF675" s="0" t="s">
        <v>1641</v>
      </c>
      <c r="CI675" s="1" t="n">
        <v>40686</v>
      </c>
      <c r="CJ675" s="1" t="n">
        <v>40820</v>
      </c>
      <c r="CK675" s="124" t="n">
        <v>0.291666666666667</v>
      </c>
      <c r="CL675" s="0" t="s">
        <v>6213</v>
      </c>
      <c r="CM675" s="0" t="n">
        <f aca="false">IF(OR(CI675="",CJ675=""),"",DAYS360(CI675,CJ675)/360)</f>
        <v>0.363888888888889</v>
      </c>
      <c r="CN675" s="0" t="n">
        <f aca="false">IF(OR(CI675="",CJ675=""),"",DAYS360(CI675,CJ675)/30)</f>
        <v>4.36666666666667</v>
      </c>
      <c r="CO675" s="0" t="n">
        <f aca="false">IF(OR(CI675="",CJ675=""),"",DAYS360(CI675,CJ675)/7)</f>
        <v>18.7142857142857</v>
      </c>
      <c r="CP675" s="0" t="n">
        <f aca="false">IF(OR(CI675="",CJ675=""),"",DAYS360(CI675,CJ675))</f>
        <v>131</v>
      </c>
      <c r="CQ675" s="0" t="s">
        <v>240</v>
      </c>
      <c r="CR675" s="0" t="n">
        <v>1</v>
      </c>
      <c r="CT675" s="0" t="n">
        <v>100</v>
      </c>
      <c r="CU675" s="0" t="n">
        <v>0</v>
      </c>
      <c r="CV675" s="0" t="n">
        <f aca="false">IF(OR(CT675="",CT675="NO ESPECIFICA",CT675="NO MENCIONA"),"",IF(CU675=0,CT675,IF(CU675=1,CT675/30,IF(CU675=2,CT675/15,IF(CU675=3,CT675/7,"")))))</f>
        <v>100</v>
      </c>
      <c r="CW675" s="125" t="n">
        <v>104.75</v>
      </c>
      <c r="CX675" s="0" t="n">
        <v>0</v>
      </c>
      <c r="CY675" s="0" t="n">
        <f aca="false">IF(CW675="","",IF(CX675=0,CW675,IF(CX675=1,CW675/30,IF(CX675=2,CW675/15,IF(CX675=3,CW675/7,CW675)))))</f>
        <v>104.75</v>
      </c>
      <c r="CZ675" s="0" t="n">
        <f aca="false">IF(DI675&gt;0,DI675,IF(CY675&gt;0,CY675,IF(CV675&gt;0,CV675,"")))</f>
        <v>104.75</v>
      </c>
      <c r="DA675" s="0" t="n">
        <f aca="false">IF(DM675=1,CZ675/8,IF(OR(DM675=2,DM675=4),CZ675/7,IF(DM675=3,CZ675/7.5,"")))</f>
        <v>13.09375</v>
      </c>
      <c r="DB675" s="0" t="s">
        <v>303</v>
      </c>
      <c r="DC675" s="0" t="s">
        <v>301</v>
      </c>
      <c r="DD675" s="0" t="s">
        <v>216</v>
      </c>
      <c r="DE675" s="0" t="s">
        <v>216</v>
      </c>
      <c r="DF675" s="0" t="s">
        <v>216</v>
      </c>
      <c r="DG675" s="0" t="s">
        <v>216</v>
      </c>
      <c r="DH675" s="0" t="n">
        <v>0</v>
      </c>
      <c r="DI675" s="126" t="n">
        <v>104.75</v>
      </c>
      <c r="DK675" s="0" t="n">
        <v>1</v>
      </c>
      <c r="DM675" s="0" t="n">
        <v>1</v>
      </c>
      <c r="DN675" s="0" t="n">
        <v>60</v>
      </c>
      <c r="DO675" s="0" t="n">
        <v>3</v>
      </c>
      <c r="DP675" s="0" t="n">
        <v>0</v>
      </c>
      <c r="DQ675" s="0" t="n">
        <v>1</v>
      </c>
      <c r="DR675" s="0" t="n">
        <v>9427.5</v>
      </c>
      <c r="DS675" s="0" t="n">
        <v>1</v>
      </c>
      <c r="DU675" s="0" t="n">
        <v>1</v>
      </c>
      <c r="DW675" s="1" t="n">
        <v>40686</v>
      </c>
      <c r="DX675" s="1" t="n">
        <v>40820</v>
      </c>
      <c r="DZ675" s="0"/>
      <c r="EA675" s="0" t="n">
        <v>1</v>
      </c>
      <c r="EC675" s="1" t="n">
        <v>40686</v>
      </c>
      <c r="ED675" s="1" t="n">
        <v>40820</v>
      </c>
      <c r="EF675" s="0"/>
      <c r="EG675" s="0" t="n">
        <v>1</v>
      </c>
      <c r="EH675" s="0" t="n">
        <v>12</v>
      </c>
      <c r="EI675" s="0" t="n">
        <f aca="false">IF(AND(DM675=1,DN675&lt;=48),"",IF(AND(DM675=2,DN675&lt;=42),"",IF(AND(DM675=3,DN675&lt;=45),"",EH675)))</f>
        <v>12</v>
      </c>
      <c r="EJ675" s="0" t="n">
        <f aca="false">IF(EI675="","",IF(EI675&lt;9,EI675,9))</f>
        <v>9</v>
      </c>
      <c r="EK675" s="0" t="n">
        <f aca="false">IF(EI675="","",IF(EI675&gt;9,EI675-EJ675,0))</f>
        <v>3</v>
      </c>
      <c r="EL675" s="0" t="n">
        <f aca="false">IF(EI675="","",EJ675*DA675*2+EK675*DA675*3)</f>
        <v>353.53125</v>
      </c>
      <c r="EP675" s="0" t="n">
        <v>0</v>
      </c>
      <c r="EQ675" s="0"/>
      <c r="ER675" s="0" t="n">
        <v>0</v>
      </c>
      <c r="ET675" s="0" t="n">
        <v>1</v>
      </c>
      <c r="EV675" s="0" t="n">
        <v>1</v>
      </c>
      <c r="EX675" s="0" t="n">
        <v>1</v>
      </c>
      <c r="EY675" s="0" t="n">
        <v>0</v>
      </c>
      <c r="EZ675" s="0"/>
      <c r="FA675" s="4" t="n">
        <v>1990.25</v>
      </c>
      <c r="FB675" s="0" t="n">
        <v>0</v>
      </c>
      <c r="FC675" s="1" t="n">
        <v>40956</v>
      </c>
      <c r="FD675" s="0" t="n">
        <v>1</v>
      </c>
      <c r="FE675" s="0" t="n">
        <v>5600</v>
      </c>
      <c r="FF675" s="120" t="n">
        <f aca="false">(CJ675-CI675+1)/365</f>
        <v>0.36986301369863</v>
      </c>
      <c r="FG675" s="0" t="str">
        <f aca="false">CONCATENATE(F675,"/",G675)</f>
        <v>1717/2011</v>
      </c>
      <c r="FH675" s="0" t="n">
        <v>1</v>
      </c>
      <c r="FI675" s="0" t="n">
        <f aca="false">IFERROR(IF((FC675-J675+1)/365&gt;3,0,1),"")</f>
        <v>1</v>
      </c>
    </row>
    <row r="676" customFormat="false" ht="15" hidden="false" customHeight="false" outlineLevel="0" collapsed="false">
      <c r="A676" s="5" t="str">
        <f aca="false">E676&amp;G676&amp;F676</f>
        <v>720111708</v>
      </c>
      <c r="B676" s="0" t="s">
        <v>4119</v>
      </c>
      <c r="C676" s="1" t="n">
        <v>42369</v>
      </c>
      <c r="D676" s="0" t="s">
        <v>1856</v>
      </c>
      <c r="E676" s="0" t="n">
        <v>7</v>
      </c>
      <c r="F676" s="0" t="n">
        <v>1708</v>
      </c>
      <c r="G676" s="0" t="n">
        <v>2011</v>
      </c>
      <c r="H676" s="0" t="str">
        <f aca="false">"J"&amp;E676&amp;"\"&amp;F676&amp;"\"&amp;G676&amp;"\"&amp;W676</f>
        <v>J7\1708\2011\1</v>
      </c>
      <c r="I676" s="0"/>
      <c r="J676" s="1" t="n">
        <v>40821</v>
      </c>
      <c r="K676" s="0" t="n">
        <v>0</v>
      </c>
      <c r="M676" s="1"/>
      <c r="N676" s="1"/>
      <c r="O676" s="1"/>
      <c r="P676" s="1"/>
      <c r="Q676" s="1"/>
      <c r="T676" s="121"/>
      <c r="U676" s="121"/>
      <c r="V676" s="122" t="n">
        <f aca="false">IF(AND(E676&gt;0,F676&gt;0,G676&gt;0),COUNTIFS($E:$E,E676,$F:$F,F676,$G:$G,G676),"")</f>
        <v>1</v>
      </c>
      <c r="W676" s="122" t="n">
        <f aca="false">IF(V676="","",IF(V676=1,1,IF(AND(E675=E676,F675=F676,G675=G676),W675+1,1)))</f>
        <v>1</v>
      </c>
      <c r="X676" s="0" t="n">
        <v>1</v>
      </c>
      <c r="Y676" s="0" t="n">
        <v>8</v>
      </c>
      <c r="Z676" s="0" t="s">
        <v>6219</v>
      </c>
      <c r="AA676" s="0" t="n">
        <v>0</v>
      </c>
      <c r="AB676" s="0" t="s">
        <v>6220</v>
      </c>
      <c r="AC676" s="0" t="s">
        <v>1635</v>
      </c>
      <c r="AE676" s="0" t="n">
        <v>0</v>
      </c>
      <c r="AF676" s="0" t="s">
        <v>6221</v>
      </c>
      <c r="AG676" s="0" t="n">
        <v>0</v>
      </c>
      <c r="AH676" s="0" t="s">
        <v>6222</v>
      </c>
      <c r="AI676" s="0" t="s">
        <v>1661</v>
      </c>
      <c r="AJ676" s="0" t="s">
        <v>229</v>
      </c>
      <c r="AL676" s="0" t="s">
        <v>6223</v>
      </c>
      <c r="AM676" s="0" t="n">
        <v>1</v>
      </c>
      <c r="AN676" s="0" t="s">
        <v>6222</v>
      </c>
      <c r="AO676" s="0" t="s">
        <v>1661</v>
      </c>
      <c r="AP676" s="0" t="s">
        <v>229</v>
      </c>
      <c r="AR676" s="0" t="s">
        <v>6224</v>
      </c>
      <c r="AS676" s="0" t="n">
        <v>1</v>
      </c>
      <c r="AT676" s="0" t="s">
        <v>6222</v>
      </c>
      <c r="AU676" s="0" t="s">
        <v>1661</v>
      </c>
      <c r="AV676" s="0" t="s">
        <v>229</v>
      </c>
      <c r="AX676" s="0" t="s">
        <v>6225</v>
      </c>
      <c r="AY676" s="0" t="n">
        <v>1</v>
      </c>
      <c r="AZ676" s="0" t="s">
        <v>6222</v>
      </c>
      <c r="BA676" s="0" t="s">
        <v>1661</v>
      </c>
      <c r="BB676" s="0" t="s">
        <v>229</v>
      </c>
      <c r="BD676" s="0" t="s">
        <v>213</v>
      </c>
      <c r="BE676" s="0" t="n">
        <v>1</v>
      </c>
      <c r="BF676" s="0" t="s">
        <v>6222</v>
      </c>
      <c r="BG676" s="0" t="s">
        <v>1661</v>
      </c>
      <c r="BH676" s="0" t="s">
        <v>229</v>
      </c>
      <c r="BJ676" s="0" t="s">
        <v>6226</v>
      </c>
      <c r="BK676" s="0" t="n">
        <v>0</v>
      </c>
      <c r="BL676" s="0" t="s">
        <v>6227</v>
      </c>
      <c r="BM676" s="0" t="s">
        <v>3769</v>
      </c>
      <c r="BN676" s="0" t="s">
        <v>322</v>
      </c>
      <c r="BR676" s="0" t="n">
        <v>1</v>
      </c>
      <c r="BS676" s="0" t="s">
        <v>6228</v>
      </c>
      <c r="BT676" s="0" t="s">
        <v>6229</v>
      </c>
      <c r="BU676" s="0" t="s">
        <v>6230</v>
      </c>
      <c r="BV676" s="123"/>
      <c r="BW676" s="123"/>
      <c r="BX676" s="123"/>
      <c r="BY676" s="123"/>
      <c r="CA676" s="0" t="s">
        <v>216</v>
      </c>
      <c r="CD676" s="0" t="s">
        <v>221</v>
      </c>
      <c r="CE676" s="0" t="n">
        <v>0</v>
      </c>
      <c r="CF676" s="0" t="s">
        <v>968</v>
      </c>
      <c r="CI676" s="1" t="n">
        <v>40722</v>
      </c>
      <c r="CJ676" s="1" t="n">
        <v>40809</v>
      </c>
      <c r="CK676" s="124" t="n">
        <v>0.833333333333333</v>
      </c>
      <c r="CL676" s="0" t="s">
        <v>6223</v>
      </c>
      <c r="CM676" s="0" t="n">
        <f aca="false">IF(OR(CI676="",CJ676=""),"",DAYS360(CI676,CJ676)/360)</f>
        <v>0.236111111111111</v>
      </c>
      <c r="CN676" s="0" t="n">
        <f aca="false">IF(OR(CI676="",CJ676=""),"",DAYS360(CI676,CJ676)/30)</f>
        <v>2.83333333333333</v>
      </c>
      <c r="CO676" s="0" t="n">
        <f aca="false">IF(OR(CI676="",CJ676=""),"",DAYS360(CI676,CJ676)/7)</f>
        <v>12.1428571428571</v>
      </c>
      <c r="CP676" s="0" t="n">
        <f aca="false">IF(OR(CI676="",CJ676=""),"",DAYS360(CI676,CJ676))</f>
        <v>85</v>
      </c>
      <c r="CQ676" s="0" t="s">
        <v>240</v>
      </c>
      <c r="CR676" s="0" t="n">
        <v>1</v>
      </c>
      <c r="CT676" s="0" t="s">
        <v>221</v>
      </c>
      <c r="CU676" s="0" t="s">
        <v>221</v>
      </c>
      <c r="CV676" s="0" t="str">
        <f aca="false">IF(OR(CT676="",CT676="NO ESPECIFICA",CT676="NO MENCIONA"),"",IF(CU676=0,CT676,IF(CU676=1,CT676/30,IF(CU676=2,CT676/15,IF(CU676=3,CT676/7,"")))))</f>
        <v/>
      </c>
      <c r="CW676" s="125" t="n">
        <v>5800</v>
      </c>
      <c r="CX676" s="0" t="n">
        <v>1</v>
      </c>
      <c r="CY676" s="0" t="n">
        <f aca="false">IF(CW676="","",IF(CX676=0,CW676,IF(CX676=1,CW676/30,IF(CX676=2,CW676/15,IF(CX676=3,CW676/7,CW676)))))</f>
        <v>193.333333333333</v>
      </c>
      <c r="CZ676" s="0" t="n">
        <f aca="false">IF(DI676&gt;0,DI676,IF(CY676&gt;0,CY676,IF(CV676&gt;0,CV676,"")))</f>
        <v>193.333333333333</v>
      </c>
      <c r="DA676" s="0" t="n">
        <f aca="false">IF(DM676=1,CZ676/8,IF(OR(DM676=2,DM676=4),CZ676/7,IF(DM676=3,CZ676/7.5,"")))</f>
        <v>24.1666666666667</v>
      </c>
      <c r="DB676" s="0" t="s">
        <v>216</v>
      </c>
      <c r="DC676" s="0" t="s">
        <v>216</v>
      </c>
      <c r="DD676" s="0" t="s">
        <v>216</v>
      </c>
      <c r="DE676" s="0" t="s">
        <v>216</v>
      </c>
      <c r="DF676" s="0" t="s">
        <v>216</v>
      </c>
      <c r="DG676" s="0" t="s">
        <v>216</v>
      </c>
      <c r="DH676" s="0" t="n">
        <v>0</v>
      </c>
      <c r="DI676" s="126" t="n">
        <v>193.333333333333</v>
      </c>
      <c r="DK676" s="0" t="n">
        <v>0</v>
      </c>
      <c r="DM676" s="0" t="n">
        <v>1</v>
      </c>
      <c r="DN676" s="0" t="n">
        <v>66</v>
      </c>
      <c r="DO676" s="0" t="n">
        <v>3</v>
      </c>
      <c r="DP676" s="0" t="n">
        <v>0</v>
      </c>
      <c r="DQ676" s="0" t="n">
        <v>1</v>
      </c>
      <c r="DR676" s="0"/>
      <c r="DS676" s="0" t="n">
        <v>1</v>
      </c>
      <c r="DU676" s="0" t="n">
        <v>1</v>
      </c>
      <c r="DW676" s="1" t="n">
        <v>40722</v>
      </c>
      <c r="DX676" s="1" t="n">
        <v>40809</v>
      </c>
      <c r="DZ676" s="0"/>
      <c r="EA676" s="0" t="n">
        <v>1</v>
      </c>
      <c r="EC676" s="1" t="n">
        <v>40722</v>
      </c>
      <c r="ED676" s="1" t="n">
        <v>40809</v>
      </c>
      <c r="EF676" s="0"/>
      <c r="EG676" s="0" t="n">
        <v>1</v>
      </c>
      <c r="EH676" s="0" t="n">
        <v>18</v>
      </c>
      <c r="EI676" s="0" t="n">
        <f aca="false">IF(AND(DM676=1,DN676&lt;=48),"",IF(AND(DM676=2,DN676&lt;=42),"",IF(AND(DM676=3,DN676&lt;=45),"",EH676)))</f>
        <v>18</v>
      </c>
      <c r="EJ676" s="0" t="n">
        <f aca="false">IF(EI676="","",IF(EI676&lt;9,EI676,9))</f>
        <v>9</v>
      </c>
      <c r="EK676" s="0" t="n">
        <f aca="false">IF(EI676="","",IF(EI676&gt;9,EI676-EJ676,0))</f>
        <v>9</v>
      </c>
      <c r="EL676" s="0" t="n">
        <f aca="false">IF(EI676="","",EJ676*DA676*2+EK676*DA676*3)</f>
        <v>1087.5</v>
      </c>
      <c r="EP676" s="0" t="n">
        <v>0</v>
      </c>
      <c r="EQ676" s="0"/>
      <c r="ER676" s="0" t="n">
        <v>0</v>
      </c>
      <c r="ET676" s="0" t="n">
        <v>0</v>
      </c>
      <c r="EV676" s="0" t="n">
        <v>1</v>
      </c>
      <c r="EX676" s="0" t="n">
        <v>1</v>
      </c>
      <c r="EY676" s="0" t="n">
        <v>0</v>
      </c>
      <c r="EZ676" s="0"/>
      <c r="FA676" s="0"/>
      <c r="FB676" s="0" t="n">
        <v>1</v>
      </c>
      <c r="FC676" s="1" t="n">
        <v>40833</v>
      </c>
      <c r="FD676" s="0" t="n">
        <v>2</v>
      </c>
      <c r="FE676" s="0" t="n">
        <v>0</v>
      </c>
      <c r="FF676" s="120" t="n">
        <f aca="false">(CJ676-CI676+1)/365</f>
        <v>0.241095890410959</v>
      </c>
      <c r="FG676" s="0" t="str">
        <f aca="false">CONCATENATE(F676,"/",G676)</f>
        <v>1708/2011</v>
      </c>
      <c r="FH676" s="0" t="n">
        <v>1</v>
      </c>
      <c r="FI676" s="0" t="n">
        <f aca="false">IFERROR(IF((FC676-J676+1)/365&gt;3,0,1),"")</f>
        <v>1</v>
      </c>
    </row>
    <row r="677" customFormat="false" ht="15" hidden="false" customHeight="false" outlineLevel="0" collapsed="false">
      <c r="A677" s="5" t="str">
        <f aca="false">E677&amp;G677&amp;F677</f>
        <v>720111154</v>
      </c>
      <c r="B677" s="0" t="s">
        <v>6231</v>
      </c>
      <c r="C677" s="1" t="n">
        <v>42359</v>
      </c>
      <c r="D677" s="0" t="s">
        <v>1630</v>
      </c>
      <c r="E677" s="0" t="n">
        <v>7</v>
      </c>
      <c r="F677" s="0" t="n">
        <v>1154</v>
      </c>
      <c r="G677" s="0" t="n">
        <v>2011</v>
      </c>
      <c r="H677" s="0" t="str">
        <f aca="false">"J"&amp;E677&amp;"\"&amp;F677&amp;"\"&amp;G677&amp;"\"&amp;W677</f>
        <v>J7\1154\2011\1</v>
      </c>
      <c r="I677" s="0"/>
      <c r="J677" s="1" t="n">
        <v>40729</v>
      </c>
      <c r="K677" s="0" t="n">
        <v>0</v>
      </c>
      <c r="M677" s="1"/>
      <c r="N677" s="1"/>
      <c r="O677" s="1"/>
      <c r="P677" s="1"/>
      <c r="Q677" s="1"/>
      <c r="T677" s="121"/>
      <c r="U677" s="121"/>
      <c r="V677" s="122" t="n">
        <f aca="false">IF(AND(E677&gt;0,F677&gt;0,G677&gt;0),COUNTIFS($E:$E,E677,$F:$F,F677,$G:$G,G677),"")</f>
        <v>1</v>
      </c>
      <c r="W677" s="122" t="n">
        <f aca="false">IF(V677="","",IF(V677=1,1,IF(AND(E676=E677,F676=F677,G676=G677),W676+1,1)))</f>
        <v>1</v>
      </c>
      <c r="X677" s="0" t="n">
        <v>1</v>
      </c>
      <c r="Y677" s="0" t="n">
        <v>2</v>
      </c>
      <c r="Z677" s="0" t="s">
        <v>6232</v>
      </c>
      <c r="AA677" s="0" t="n">
        <v>0</v>
      </c>
      <c r="AB677" s="0" t="s">
        <v>3461</v>
      </c>
      <c r="AC677" s="0" t="s">
        <v>1160</v>
      </c>
      <c r="AD677" s="0" t="s">
        <v>229</v>
      </c>
      <c r="AE677" s="0" t="n">
        <v>0</v>
      </c>
      <c r="AF677" s="0" t="s">
        <v>6233</v>
      </c>
      <c r="AG677" s="0" t="n">
        <v>1</v>
      </c>
      <c r="AH677" s="0" t="s">
        <v>6234</v>
      </c>
      <c r="AI677" s="0" t="s">
        <v>6235</v>
      </c>
      <c r="AJ677" s="0" t="s">
        <v>393</v>
      </c>
      <c r="AL677" s="0" t="s">
        <v>1637</v>
      </c>
      <c r="AM677" s="0" t="n">
        <v>1</v>
      </c>
      <c r="AN677" s="0" t="s">
        <v>6234</v>
      </c>
      <c r="AO677" s="0" t="s">
        <v>6235</v>
      </c>
      <c r="AP677" s="0" t="s">
        <v>393</v>
      </c>
      <c r="BR677" s="0" t="n">
        <v>1</v>
      </c>
      <c r="BS677" s="0" t="s">
        <v>3466</v>
      </c>
      <c r="BT677" s="0" t="s">
        <v>4184</v>
      </c>
      <c r="BU677" s="0" t="s">
        <v>2723</v>
      </c>
      <c r="BV677" s="123"/>
      <c r="BW677" s="123"/>
      <c r="BX677" s="123"/>
      <c r="BY677" s="123"/>
      <c r="CA677" s="0" t="s">
        <v>216</v>
      </c>
      <c r="CD677" s="0" t="s">
        <v>256</v>
      </c>
      <c r="CE677" s="0" t="n">
        <v>0</v>
      </c>
      <c r="CF677" s="0" t="s">
        <v>6236</v>
      </c>
      <c r="CI677" s="1" t="n">
        <v>38227</v>
      </c>
      <c r="CJ677" s="1" t="n">
        <v>40696</v>
      </c>
      <c r="CK677" s="124" t="n">
        <v>0.354166666666667</v>
      </c>
      <c r="CL677" s="0" t="s">
        <v>6233</v>
      </c>
      <c r="CM677" s="0" t="n">
        <f aca="false">IF(OR(CI677="",CJ677=""),"",DAYS360(CI677,CJ677)/360)</f>
        <v>6.76111111111111</v>
      </c>
      <c r="CN677" s="0" t="n">
        <f aca="false">IF(OR(CI677="",CJ677=""),"",DAYS360(CI677,CJ677)/30)</f>
        <v>81.1333333333333</v>
      </c>
      <c r="CO677" s="0" t="n">
        <f aca="false">IF(OR(CI677="",CJ677=""),"",DAYS360(CI677,CJ677)/7)</f>
        <v>347.714285714286</v>
      </c>
      <c r="CP677" s="0" t="n">
        <f aca="false">IF(OR(CI677="",CJ677=""),"",DAYS360(CI677,CJ677))</f>
        <v>2434</v>
      </c>
      <c r="CQ677" s="0" t="s">
        <v>240</v>
      </c>
      <c r="CR677" s="0" t="n">
        <v>1</v>
      </c>
      <c r="CT677" s="0" t="n">
        <v>171.42</v>
      </c>
      <c r="CU677" s="0" t="n">
        <v>0</v>
      </c>
      <c r="CV677" s="0" t="n">
        <f aca="false">IF(OR(CT677="",CT677="NO ESPECIFICA",CT677="NO MENCIONA"),"",IF(CU677=0,CT677,IF(CU677=1,CT677/30,IF(CU677=2,CT677/15,IF(CU677=3,CT677/7,"")))))</f>
        <v>171.42</v>
      </c>
      <c r="CW677" s="125" t="s">
        <v>216</v>
      </c>
      <c r="CX677" s="0" t="s">
        <v>216</v>
      </c>
      <c r="CY677" s="0" t="str">
        <f aca="false">IF(CW677="","",IF(CX677=0,CW677,IF(CX677=1,CW677/30,IF(CX677=2,CW677/15,IF(CX677=3,CW677/7,CW677)))))</f>
        <v>NO MENCIONA</v>
      </c>
      <c r="CZ677" s="0" t="n">
        <f aca="false">IF(DI677&gt;0,DI677,IF(CY677&gt;0,CY677,IF(CV677&gt;0,CV677,"")))</f>
        <v>171.42</v>
      </c>
      <c r="DA677" s="0" t="n">
        <f aca="false">IF(DM677=1,CZ677/8,IF(OR(DM677=2,DM677=4),CZ677/7,IF(DM677=3,CZ677/7.5,"")))</f>
        <v>21.4275</v>
      </c>
      <c r="DB677" s="0" t="s">
        <v>216</v>
      </c>
      <c r="DC677" s="0" t="s">
        <v>216</v>
      </c>
      <c r="DD677" s="0" t="s">
        <v>216</v>
      </c>
      <c r="DE677" s="0" t="s">
        <v>216</v>
      </c>
      <c r="DF677" s="0" t="s">
        <v>216</v>
      </c>
      <c r="DG677" s="0" t="s">
        <v>216</v>
      </c>
      <c r="DH677" s="0" t="n">
        <v>0</v>
      </c>
      <c r="DI677" s="126" t="n">
        <v>171.42</v>
      </c>
      <c r="DK677" s="0" t="n">
        <v>0</v>
      </c>
      <c r="DM677" s="0" t="n">
        <v>1</v>
      </c>
      <c r="DN677" s="0" t="n">
        <v>57</v>
      </c>
      <c r="DO677" s="0" t="n">
        <v>3</v>
      </c>
      <c r="DP677" s="0" t="n">
        <v>0</v>
      </c>
      <c r="DQ677" s="0" t="n">
        <v>1</v>
      </c>
      <c r="DR677" s="0"/>
      <c r="DS677" s="0" t="n">
        <v>1</v>
      </c>
      <c r="DU677" s="0" t="n">
        <v>1</v>
      </c>
      <c r="DW677" s="1" t="n">
        <v>38227</v>
      </c>
      <c r="DX677" s="1" t="n">
        <v>40696</v>
      </c>
      <c r="DZ677" s="0"/>
      <c r="EA677" s="0" t="n">
        <v>1</v>
      </c>
      <c r="EC677" s="1" t="n">
        <v>38227</v>
      </c>
      <c r="ED677" s="1" t="n">
        <v>40696</v>
      </c>
      <c r="EF677" s="0"/>
      <c r="EG677" s="0" t="n">
        <v>1</v>
      </c>
      <c r="EH677" s="0" t="n">
        <v>9</v>
      </c>
      <c r="EI677" s="0" t="n">
        <f aca="false">IF(AND(DM677=1,DN677&lt;=48),"",IF(AND(DM677=2,DN677&lt;=42),"",IF(AND(DM677=3,DN677&lt;=45),"",EH677)))</f>
        <v>9</v>
      </c>
      <c r="EJ677" s="0" t="n">
        <f aca="false">IF(EI677="","",IF(EI677&lt;9,EI677,9))</f>
        <v>9</v>
      </c>
      <c r="EK677" s="0" t="n">
        <f aca="false">IF(EI677="","",IF(EI677&gt;9,EI677-EJ677,0))</f>
        <v>0</v>
      </c>
      <c r="EL677" s="0" t="n">
        <f aca="false">IF(EI677="","",EJ677*DA677*2+EK677*DA677*3)</f>
        <v>385.695</v>
      </c>
      <c r="EP677" s="0" t="n">
        <v>0</v>
      </c>
      <c r="EQ677" s="0"/>
      <c r="ER677" s="0" t="n">
        <v>0</v>
      </c>
      <c r="ET677" s="0" t="n">
        <v>0</v>
      </c>
      <c r="EV677" s="0" t="n">
        <v>0</v>
      </c>
      <c r="EX677" s="0" t="n">
        <v>0</v>
      </c>
      <c r="EY677" s="0" t="n">
        <v>0</v>
      </c>
      <c r="EZ677" s="0"/>
      <c r="FA677" s="4" t="n">
        <v>0</v>
      </c>
      <c r="FB677" s="0" t="n">
        <v>1</v>
      </c>
      <c r="FC677" s="1" t="n">
        <v>40858</v>
      </c>
      <c r="FD677" s="0" t="n">
        <v>2</v>
      </c>
      <c r="FE677" s="0" t="n">
        <v>0</v>
      </c>
      <c r="FF677" s="120" t="n">
        <f aca="false">(CJ677-CI677+1)/365</f>
        <v>6.76712328767123</v>
      </c>
      <c r="FG677" s="0" t="str">
        <f aca="false">CONCATENATE(F677,"/",G677)</f>
        <v>1154/2011</v>
      </c>
      <c r="FH677" s="0" t="n">
        <v>1</v>
      </c>
      <c r="FI677" s="0" t="n">
        <f aca="false">IFERROR(IF((FC677-J677+1)/365&gt;3,0,1),"")</f>
        <v>1</v>
      </c>
    </row>
    <row r="678" customFormat="false" ht="15" hidden="false" customHeight="false" outlineLevel="0" collapsed="false">
      <c r="A678" s="5" t="str">
        <f aca="false">E678&amp;G678&amp;F678</f>
        <v>720111158</v>
      </c>
      <c r="B678" s="0" t="s">
        <v>6231</v>
      </c>
      <c r="C678" s="1" t="n">
        <v>42360</v>
      </c>
      <c r="E678" s="0" t="n">
        <v>7</v>
      </c>
      <c r="F678" s="0" t="n">
        <v>1158</v>
      </c>
      <c r="G678" s="0" t="n">
        <v>2011</v>
      </c>
      <c r="H678" s="0" t="str">
        <f aca="false">"J"&amp;E678&amp;"\"&amp;F678&amp;"\"&amp;G678&amp;"\"&amp;W678</f>
        <v>J7\1158\2011\1</v>
      </c>
      <c r="I678" s="0"/>
      <c r="J678" s="1" t="n">
        <v>40729</v>
      </c>
      <c r="K678" s="0" t="n">
        <v>0</v>
      </c>
      <c r="M678" s="1"/>
      <c r="N678" s="1"/>
      <c r="O678" s="1"/>
      <c r="P678" s="1"/>
      <c r="Q678" s="1"/>
      <c r="T678" s="121"/>
      <c r="U678" s="121"/>
      <c r="V678" s="122" t="n">
        <f aca="false">IF(AND(E678&gt;0,F678&gt;0,G678&gt;0),COUNTIFS($E:$E,E678,$F:$F,F678,$G:$G,G678),"")</f>
        <v>1</v>
      </c>
      <c r="W678" s="122" t="n">
        <f aca="false">IF(V678="","",IF(V678=1,1,IF(AND(E677=E678,F677=F678,G677=G678),W677+1,1)))</f>
        <v>1</v>
      </c>
      <c r="X678" s="0" t="n">
        <v>1</v>
      </c>
      <c r="Y678" s="0" t="n">
        <v>3</v>
      </c>
      <c r="Z678" s="0" t="s">
        <v>6237</v>
      </c>
      <c r="AA678" s="0" t="n">
        <v>0</v>
      </c>
      <c r="AB678" s="0" t="s">
        <v>1802</v>
      </c>
      <c r="AC678" s="0" t="s">
        <v>1661</v>
      </c>
      <c r="AD678" s="0" t="s">
        <v>221</v>
      </c>
      <c r="AE678" s="0" t="n">
        <v>0</v>
      </c>
      <c r="AF678" s="0" t="s">
        <v>6238</v>
      </c>
      <c r="AG678" s="0" t="n">
        <v>0</v>
      </c>
      <c r="AH678" s="0" t="s">
        <v>6239</v>
      </c>
      <c r="AI678" s="0" t="s">
        <v>6240</v>
      </c>
      <c r="AJ678" s="0" t="s">
        <v>519</v>
      </c>
      <c r="AL678" s="0" t="s">
        <v>6241</v>
      </c>
      <c r="AM678" s="0" t="n">
        <v>1</v>
      </c>
      <c r="AN678" s="0" t="s">
        <v>6239</v>
      </c>
      <c r="AO678" s="0" t="s">
        <v>6240</v>
      </c>
      <c r="AP678" s="0" t="s">
        <v>519</v>
      </c>
      <c r="AR678" s="0" t="s">
        <v>6242</v>
      </c>
      <c r="AS678" s="0" t="n">
        <v>1</v>
      </c>
      <c r="AT678" s="0" t="s">
        <v>6239</v>
      </c>
      <c r="AU678" s="0" t="s">
        <v>6240</v>
      </c>
      <c r="AV678" s="0" t="s">
        <v>519</v>
      </c>
      <c r="BR678" s="0" t="n">
        <v>1</v>
      </c>
      <c r="BS678" s="0" t="s">
        <v>1273</v>
      </c>
      <c r="BT678" s="0" t="s">
        <v>1809</v>
      </c>
      <c r="BU678" s="0" t="s">
        <v>1209</v>
      </c>
      <c r="BV678" s="123"/>
      <c r="BW678" s="123"/>
      <c r="BX678" s="123"/>
      <c r="BY678" s="123"/>
      <c r="CA678" s="0" t="s">
        <v>216</v>
      </c>
      <c r="CD678" s="0" t="s">
        <v>502</v>
      </c>
      <c r="CE678" s="0" t="n">
        <v>0</v>
      </c>
      <c r="CF678" s="0" t="s">
        <v>6243</v>
      </c>
      <c r="CI678" s="1" t="n">
        <v>39417</v>
      </c>
      <c r="CJ678" s="1" t="n">
        <v>40719</v>
      </c>
      <c r="CK678" s="124" t="n">
        <v>0.291666666666667</v>
      </c>
      <c r="CL678" s="0" t="s">
        <v>6241</v>
      </c>
      <c r="CM678" s="0" t="n">
        <f aca="false">IF(OR(CI678="",CJ678=""),"",DAYS360(CI678,CJ678)/360)</f>
        <v>3.56666666666667</v>
      </c>
      <c r="CN678" s="0" t="n">
        <f aca="false">IF(OR(CI678="",CJ678=""),"",DAYS360(CI678,CJ678)/30)</f>
        <v>42.8</v>
      </c>
      <c r="CO678" s="0" t="n">
        <f aca="false">IF(OR(CI678="",CJ678=""),"",DAYS360(CI678,CJ678)/7)</f>
        <v>183.428571428571</v>
      </c>
      <c r="CP678" s="0" t="n">
        <f aca="false">IF(OR(CI678="",CJ678=""),"",DAYS360(CI678,CJ678))</f>
        <v>1284</v>
      </c>
      <c r="CQ678" s="0" t="s">
        <v>240</v>
      </c>
      <c r="CR678" s="0" t="n">
        <v>1</v>
      </c>
      <c r="CT678" s="0" t="s">
        <v>221</v>
      </c>
      <c r="CU678" s="0" t="s">
        <v>221</v>
      </c>
      <c r="CV678" s="0" t="str">
        <f aca="false">IF(OR(CT678="",CT678="NO ESPECIFICA",CT678="NO MENCIONA"),"",IF(CU678=0,CT678,IF(CU678=1,CT678/30,IF(CU678=2,CT678/15,IF(CU678=3,CT678/7,"")))))</f>
        <v/>
      </c>
      <c r="CW678" s="125" t="n">
        <v>9000</v>
      </c>
      <c r="CX678" s="0" t="n">
        <v>1</v>
      </c>
      <c r="CY678" s="0" t="n">
        <f aca="false">IF(CW678="","",IF(CX678=0,CW678,IF(CX678=1,CW678/30,IF(CX678=2,CW678/15,IF(CX678=3,CW678/7,CW678)))))</f>
        <v>300</v>
      </c>
      <c r="CZ678" s="0" t="n">
        <f aca="false">IF(DI678&gt;0,DI678,IF(CY678&gt;0,CY678,IF(CV678&gt;0,CV678,"")))</f>
        <v>300</v>
      </c>
      <c r="DA678" s="0" t="n">
        <f aca="false">IF(DM678=1,CZ678/8,IF(OR(DM678=2,DM678=4),CZ678/7,IF(DM678=3,CZ678/7.5,"")))</f>
        <v>37.5</v>
      </c>
      <c r="DB678" s="0" t="s">
        <v>216</v>
      </c>
      <c r="DC678" s="0" t="s">
        <v>216</v>
      </c>
      <c r="DD678" s="0" t="s">
        <v>216</v>
      </c>
      <c r="DE678" s="0" t="s">
        <v>216</v>
      </c>
      <c r="DF678" s="0" t="s">
        <v>216</v>
      </c>
      <c r="DG678" s="0" t="s">
        <v>216</v>
      </c>
      <c r="DH678" s="0" t="n">
        <v>0</v>
      </c>
      <c r="DI678" s="126" t="n">
        <v>300</v>
      </c>
      <c r="DK678" s="0" t="n">
        <v>0</v>
      </c>
      <c r="DM678" s="0" t="n">
        <v>1</v>
      </c>
      <c r="DN678" s="0" t="n">
        <v>72</v>
      </c>
      <c r="DO678" s="0" t="n">
        <v>3</v>
      </c>
      <c r="DP678" s="0" t="n">
        <v>0</v>
      </c>
      <c r="DQ678" s="0" t="n">
        <v>1</v>
      </c>
      <c r="DR678" s="0"/>
      <c r="DS678" s="0" t="n">
        <v>1</v>
      </c>
      <c r="DU678" s="0" t="n">
        <v>1</v>
      </c>
      <c r="DW678" s="1" t="n">
        <v>39417</v>
      </c>
      <c r="DX678" s="1" t="n">
        <v>40719</v>
      </c>
      <c r="DZ678" s="0"/>
      <c r="EA678" s="0" t="n">
        <v>1</v>
      </c>
      <c r="EC678" s="1" t="n">
        <v>39417</v>
      </c>
      <c r="ED678" s="1" t="n">
        <v>40719</v>
      </c>
      <c r="EF678" s="0"/>
      <c r="EG678" s="0" t="n">
        <v>1</v>
      </c>
      <c r="EH678" s="0" t="n">
        <v>18</v>
      </c>
      <c r="EI678" s="0" t="n">
        <f aca="false">IF(AND(DM678=1,DN678&lt;=48),"",IF(AND(DM678=2,DN678&lt;=42),"",IF(AND(DM678=3,DN678&lt;=45),"",EH678)))</f>
        <v>18</v>
      </c>
      <c r="EJ678" s="0" t="n">
        <f aca="false">IF(EI678="","",IF(EI678&lt;9,EI678,9))</f>
        <v>9</v>
      </c>
      <c r="EK678" s="0" t="n">
        <f aca="false">IF(EI678="","",IF(EI678&gt;9,EI678-EJ678,0))</f>
        <v>9</v>
      </c>
      <c r="EL678" s="0" t="n">
        <f aca="false">IF(EI678="","",EJ678*DA678*2+EK678*DA678*3)</f>
        <v>1687.5</v>
      </c>
      <c r="EP678" s="0" t="n">
        <v>0</v>
      </c>
      <c r="EQ678" s="0"/>
      <c r="ER678" s="0" t="n">
        <v>1</v>
      </c>
      <c r="ET678" s="0" t="n">
        <v>1</v>
      </c>
      <c r="EV678" s="0" t="n">
        <v>1</v>
      </c>
      <c r="EX678" s="0" t="n">
        <v>1</v>
      </c>
      <c r="EY678" s="0" t="n">
        <v>0</v>
      </c>
      <c r="EZ678" s="0"/>
      <c r="FA678" s="4" t="n">
        <v>18300</v>
      </c>
      <c r="FB678" s="0" t="n">
        <v>1</v>
      </c>
      <c r="FC678" s="1"/>
      <c r="FF678" s="120" t="n">
        <f aca="false">(CJ678-CI678+1)/365</f>
        <v>3.56986301369863</v>
      </c>
      <c r="FG678" s="0" t="str">
        <f aca="false">CONCATENATE(F678,"/",G678)</f>
        <v>1158/2011</v>
      </c>
      <c r="FH678" s="0" t="n">
        <v>1</v>
      </c>
      <c r="FI678" s="0" t="n">
        <f aca="false">IFERROR(IF((FC678-J678+1)/365&gt;3,0,1),"")</f>
        <v>1</v>
      </c>
    </row>
    <row r="679" customFormat="false" ht="15" hidden="false" customHeight="false" outlineLevel="0" collapsed="false">
      <c r="A679" s="5" t="str">
        <f aca="false">E679&amp;G679&amp;F679</f>
        <v>720111159</v>
      </c>
      <c r="B679" s="0" t="s">
        <v>6231</v>
      </c>
      <c r="C679" s="1" t="n">
        <v>42360</v>
      </c>
      <c r="D679" s="0" t="s">
        <v>1630</v>
      </c>
      <c r="E679" s="0" t="n">
        <v>7</v>
      </c>
      <c r="F679" s="0" t="n">
        <v>1159</v>
      </c>
      <c r="G679" s="0" t="n">
        <v>2011</v>
      </c>
      <c r="H679" s="0" t="str">
        <f aca="false">"J"&amp;E679&amp;"\"&amp;F679&amp;"\"&amp;G679&amp;"\"&amp;W679</f>
        <v>J7\1159\2011\1</v>
      </c>
      <c r="I679" s="0"/>
      <c r="J679" s="1" t="n">
        <v>40729</v>
      </c>
      <c r="K679" s="0" t="n">
        <v>0</v>
      </c>
      <c r="M679" s="1"/>
      <c r="N679" s="1"/>
      <c r="O679" s="1"/>
      <c r="P679" s="1"/>
      <c r="Q679" s="1"/>
      <c r="T679" s="121"/>
      <c r="U679" s="121"/>
      <c r="V679" s="122" t="n">
        <f aca="false">IF(AND(E679&gt;0,F679&gt;0,G679&gt;0),COUNTIFS($E:$E,E679,$F:$F,F679,$G:$G,G679),"")</f>
        <v>1</v>
      </c>
      <c r="W679" s="122" t="n">
        <f aca="false">IF(V679="","",IF(V679=1,1,IF(AND(E678=E679,F678=F679,G678=G679),W678+1,1)))</f>
        <v>1</v>
      </c>
      <c r="X679" s="0" t="n">
        <v>1</v>
      </c>
      <c r="Y679" s="0" t="n">
        <v>2</v>
      </c>
      <c r="Z679" s="0" t="s">
        <v>6244</v>
      </c>
      <c r="AA679" s="0" t="n">
        <v>0</v>
      </c>
      <c r="AB679" s="0" t="s">
        <v>1812</v>
      </c>
      <c r="AC679" s="0" t="s">
        <v>228</v>
      </c>
      <c r="AD679" s="0" t="s">
        <v>229</v>
      </c>
      <c r="AE679" s="0" t="n">
        <v>0</v>
      </c>
      <c r="AF679" s="0" t="s">
        <v>3317</v>
      </c>
      <c r="AG679" s="0" t="n">
        <v>0</v>
      </c>
      <c r="AH679" s="0" t="s">
        <v>5128</v>
      </c>
      <c r="AI679" s="0" t="s">
        <v>1635</v>
      </c>
      <c r="AJ679" s="0" t="s">
        <v>229</v>
      </c>
      <c r="AL679" s="0" t="s">
        <v>3539</v>
      </c>
      <c r="AM679" s="0" t="n">
        <v>1</v>
      </c>
      <c r="AN679" s="0" t="s">
        <v>5128</v>
      </c>
      <c r="AO679" s="0" t="s">
        <v>1635</v>
      </c>
      <c r="AP679" s="0" t="s">
        <v>229</v>
      </c>
      <c r="BR679" s="0" t="n">
        <v>3</v>
      </c>
      <c r="BS679" s="0" t="s">
        <v>499</v>
      </c>
      <c r="BT679" s="0" t="s">
        <v>1818</v>
      </c>
      <c r="BU679" s="0" t="s">
        <v>501</v>
      </c>
      <c r="BV679" s="123"/>
      <c r="BW679" s="123"/>
      <c r="BX679" s="123"/>
      <c r="BY679" s="123"/>
      <c r="CA679" s="0" t="s">
        <v>348</v>
      </c>
      <c r="CD679" s="0" t="s">
        <v>256</v>
      </c>
      <c r="CE679" s="0" t="n">
        <v>0</v>
      </c>
      <c r="CF679" s="0" t="s">
        <v>6245</v>
      </c>
      <c r="CI679" s="1" t="n">
        <v>39008</v>
      </c>
      <c r="CJ679" s="1" t="n">
        <v>40668</v>
      </c>
      <c r="CK679" s="124" t="n">
        <v>0.583333333333333</v>
      </c>
      <c r="CL679" s="0" t="s">
        <v>3539</v>
      </c>
      <c r="CM679" s="0" t="n">
        <f aca="false">IF(OR(CI679="",CJ679=""),"",DAYS360(CI679,CJ679)/360)</f>
        <v>4.54722222222222</v>
      </c>
      <c r="CN679" s="0" t="n">
        <f aca="false">IF(OR(CI679="",CJ679=""),"",DAYS360(CI679,CJ679)/30)</f>
        <v>54.5666666666667</v>
      </c>
      <c r="CO679" s="0" t="n">
        <f aca="false">IF(OR(CI679="",CJ679=""),"",DAYS360(CI679,CJ679)/7)</f>
        <v>233.857142857143</v>
      </c>
      <c r="CP679" s="0" t="n">
        <f aca="false">IF(OR(CI679="",CJ679=""),"",DAYS360(CI679,CJ679))</f>
        <v>1637</v>
      </c>
      <c r="CQ679" s="0" t="s">
        <v>240</v>
      </c>
      <c r="CR679" s="0" t="n">
        <v>1</v>
      </c>
      <c r="CT679" s="0" t="n">
        <v>110.24</v>
      </c>
      <c r="CU679" s="0" t="n">
        <v>0</v>
      </c>
      <c r="CV679" s="0" t="n">
        <f aca="false">IF(OR(CT679="",CT679="NO ESPECIFICA",CT679="NO MENCIONA"),"",IF(CU679=0,CT679,IF(CU679=1,CT679/30,IF(CU679=2,CT679/15,IF(CU679=3,CT679/7,"")))))</f>
        <v>110.24</v>
      </c>
      <c r="CW679" s="125" t="n">
        <v>115.22</v>
      </c>
      <c r="CX679" s="0" t="n">
        <v>0</v>
      </c>
      <c r="CY679" s="0" t="n">
        <f aca="false">IF(CW679="","",IF(CX679=0,CW679,IF(CX679=1,CW679/30,IF(CX679=2,CW679/15,IF(CX679=3,CW679/7,CW679)))))</f>
        <v>115.22</v>
      </c>
      <c r="CZ679" s="0" t="n">
        <f aca="false">IF(DI679&gt;0,DI679,IF(CY679&gt;0,CY679,IF(CV679&gt;0,CV679,"")))</f>
        <v>115.22</v>
      </c>
      <c r="DA679" s="0" t="n">
        <f aca="false">IF(DM679=1,CZ679/8,IF(OR(DM679=2,DM679=4),CZ679/7,IF(DM679=3,CZ679/7.5,"")))</f>
        <v>14.4025</v>
      </c>
      <c r="DB679" s="0" t="s">
        <v>303</v>
      </c>
      <c r="DC679" s="0" t="s">
        <v>301</v>
      </c>
      <c r="DD679" s="0" t="s">
        <v>216</v>
      </c>
      <c r="DE679" s="0" t="s">
        <v>216</v>
      </c>
      <c r="DF679" s="0" t="s">
        <v>216</v>
      </c>
      <c r="DG679" s="0" t="s">
        <v>216</v>
      </c>
      <c r="DH679" s="0" t="n">
        <v>0</v>
      </c>
      <c r="DI679" s="126" t="n">
        <v>115.22</v>
      </c>
      <c r="DK679" s="0" t="n">
        <v>0</v>
      </c>
      <c r="DM679" s="0" t="n">
        <v>1</v>
      </c>
      <c r="DN679" s="0" t="n">
        <v>40</v>
      </c>
      <c r="DO679" s="0" t="n">
        <v>3</v>
      </c>
      <c r="DP679" s="0" t="n">
        <v>0</v>
      </c>
      <c r="DQ679" s="0" t="n">
        <v>1</v>
      </c>
      <c r="DR679" s="0"/>
      <c r="DS679" s="0" t="n">
        <v>1</v>
      </c>
      <c r="DU679" s="0" t="n">
        <v>1</v>
      </c>
      <c r="DW679" s="1" t="s">
        <v>1775</v>
      </c>
      <c r="DX679" s="1" t="s">
        <v>1775</v>
      </c>
      <c r="DZ679" s="0"/>
      <c r="EA679" s="0" t="n">
        <v>1</v>
      </c>
      <c r="EC679" s="1" t="n">
        <v>40544</v>
      </c>
      <c r="ED679" s="1" t="n">
        <v>40668</v>
      </c>
      <c r="EF679" s="0"/>
      <c r="EG679" s="0" t="n">
        <v>0</v>
      </c>
      <c r="EI679" s="0" t="str">
        <f aca="false">IF(AND(DM679=1,DN679&lt;=48),"",IF(AND(DM679=2,DN679&lt;=42),"",IF(AND(DM679=3,DN679&lt;=45),"",EH679)))</f>
        <v/>
      </c>
      <c r="EJ679" s="0" t="str">
        <f aca="false">IF(EI679="","",IF(EI679&lt;9,EI679,9))</f>
        <v/>
      </c>
      <c r="EK679" s="0" t="str">
        <f aca="false">IF(EI679="","",IF(EI679&gt;9,EI679-EJ679,0))</f>
        <v/>
      </c>
      <c r="EL679" s="0" t="str">
        <f aca="false">IF(EI679="","",EJ679*DA679*2+EK679*DA679*3)</f>
        <v/>
      </c>
      <c r="EP679" s="0" t="n">
        <v>0</v>
      </c>
      <c r="EQ679" s="0"/>
      <c r="ER679" s="0" t="n">
        <v>0</v>
      </c>
      <c r="ET679" s="0" t="n">
        <v>0</v>
      </c>
      <c r="EV679" s="0" t="n">
        <v>0</v>
      </c>
      <c r="EX679" s="0" t="n">
        <v>0</v>
      </c>
      <c r="EY679" s="0" t="n">
        <v>0</v>
      </c>
      <c r="EZ679" s="0"/>
      <c r="FA679" s="4" t="n">
        <v>115.22</v>
      </c>
      <c r="FB679" s="0" t="n">
        <v>1</v>
      </c>
      <c r="FC679" s="1" t="n">
        <v>40934</v>
      </c>
      <c r="FD679" s="0" t="n">
        <v>1</v>
      </c>
      <c r="FE679" s="0" t="n">
        <v>12343</v>
      </c>
      <c r="FF679" s="120" t="n">
        <f aca="false">(CJ679-CI679+1)/365</f>
        <v>4.55068493150685</v>
      </c>
      <c r="FG679" s="0" t="str">
        <f aca="false">CONCATENATE(F679,"/",G679)</f>
        <v>1159/2011</v>
      </c>
      <c r="FH679" s="0" t="n">
        <v>1</v>
      </c>
      <c r="FI679" s="0" t="n">
        <f aca="false">IFERROR(IF((FC679-J679+1)/365&gt;3,0,1),"")</f>
        <v>1</v>
      </c>
    </row>
    <row r="680" customFormat="false" ht="15" hidden="false" customHeight="false" outlineLevel="0" collapsed="false">
      <c r="A680" s="5" t="str">
        <f aca="false">E680&amp;G680&amp;F680</f>
        <v>720111162</v>
      </c>
      <c r="B680" s="0" t="s">
        <v>6231</v>
      </c>
      <c r="C680" s="1" t="n">
        <v>42360</v>
      </c>
      <c r="E680" s="0" t="n">
        <v>7</v>
      </c>
      <c r="F680" s="0" t="n">
        <v>1162</v>
      </c>
      <c r="G680" s="0" t="n">
        <v>2011</v>
      </c>
      <c r="H680" s="0" t="str">
        <f aca="false">"J"&amp;E680&amp;"\"&amp;F680&amp;"\"&amp;G680&amp;"\"&amp;W680</f>
        <v>J7\1162\2011\1</v>
      </c>
      <c r="I680" s="0"/>
      <c r="J680" s="1" t="n">
        <v>40730</v>
      </c>
      <c r="K680" s="0" t="n">
        <v>0</v>
      </c>
      <c r="M680" s="1" t="n">
        <v>40730</v>
      </c>
      <c r="N680" s="1" t="n">
        <v>40919</v>
      </c>
      <c r="O680" s="1"/>
      <c r="P680" s="1"/>
      <c r="Q680" s="1"/>
      <c r="T680" s="121"/>
      <c r="U680" s="121"/>
      <c r="V680" s="122" t="n">
        <f aca="false">IF(AND(E680&gt;0,F680&gt;0,G680&gt;0),COUNTIFS($E:$E,E680,$F:$F,F680,$G:$G,G680),"")</f>
        <v>1</v>
      </c>
      <c r="W680" s="122" t="n">
        <f aca="false">IF(V680="","",IF(V680=1,1,IF(AND(E679=E680,F679=F680,G679=G680),W679+1,1)))</f>
        <v>1</v>
      </c>
      <c r="X680" s="0" t="n">
        <v>1</v>
      </c>
      <c r="Y680" s="0" t="n">
        <v>2</v>
      </c>
      <c r="Z680" s="0" t="s">
        <v>6246</v>
      </c>
      <c r="AA680" s="0" t="n">
        <v>0</v>
      </c>
      <c r="AB680" s="0" t="s">
        <v>1024</v>
      </c>
      <c r="AC680" s="0" t="s">
        <v>251</v>
      </c>
      <c r="AD680" s="0" t="s">
        <v>229</v>
      </c>
      <c r="AE680" s="0" t="n">
        <v>0</v>
      </c>
      <c r="AF680" s="0" t="s">
        <v>6247</v>
      </c>
      <c r="AG680" s="0" t="n">
        <v>0</v>
      </c>
      <c r="AH680" s="0" t="s">
        <v>6248</v>
      </c>
      <c r="AI680" s="0" t="s">
        <v>5649</v>
      </c>
      <c r="AJ680" s="0" t="s">
        <v>3511</v>
      </c>
      <c r="AL680" s="0" t="s">
        <v>4242</v>
      </c>
      <c r="AM680" s="0" t="n">
        <v>1</v>
      </c>
      <c r="AN680" s="0" t="s">
        <v>6248</v>
      </c>
      <c r="AO680" s="0" t="s">
        <v>5649</v>
      </c>
      <c r="AP680" s="0" t="s">
        <v>3511</v>
      </c>
      <c r="BR680" s="0" t="n">
        <v>1</v>
      </c>
      <c r="BS680" s="0" t="s">
        <v>2351</v>
      </c>
      <c r="BT680" s="0" t="s">
        <v>808</v>
      </c>
      <c r="BU680" s="0" t="s">
        <v>809</v>
      </c>
      <c r="BV680" s="123"/>
      <c r="BW680" s="123"/>
      <c r="BX680" s="123"/>
      <c r="BY680" s="123"/>
      <c r="CA680" s="0" t="s">
        <v>216</v>
      </c>
      <c r="CD680" s="0" t="s">
        <v>370</v>
      </c>
      <c r="CE680" s="0" t="n">
        <v>0</v>
      </c>
      <c r="CF680" s="0" t="s">
        <v>6249</v>
      </c>
      <c r="CI680" s="1" t="n">
        <v>38383</v>
      </c>
      <c r="CJ680" s="1" t="n">
        <v>40718</v>
      </c>
      <c r="CK680" s="124" t="n">
        <v>0.375</v>
      </c>
      <c r="CL680" s="0" t="s">
        <v>6250</v>
      </c>
      <c r="CM680" s="0" t="n">
        <f aca="false">IF(OR(CI680="",CJ680=""),"",DAYS360(CI680,CJ680)/360)</f>
        <v>6.4</v>
      </c>
      <c r="CN680" s="0" t="n">
        <f aca="false">IF(OR(CI680="",CJ680=""),"",DAYS360(CI680,CJ680)/30)</f>
        <v>76.8</v>
      </c>
      <c r="CO680" s="0" t="n">
        <f aca="false">IF(OR(CI680="",CJ680=""),"",DAYS360(CI680,CJ680)/7)</f>
        <v>329.142857142857</v>
      </c>
      <c r="CP680" s="0" t="n">
        <f aca="false">IF(OR(CI680="",CJ680=""),"",DAYS360(CI680,CJ680))</f>
        <v>2304</v>
      </c>
      <c r="CQ680" s="0" t="s">
        <v>220</v>
      </c>
      <c r="CR680" s="0" t="n">
        <v>1</v>
      </c>
      <c r="CT680" s="0" t="n">
        <v>250</v>
      </c>
      <c r="CU680" s="0" t="n">
        <v>0</v>
      </c>
      <c r="CV680" s="0" t="n">
        <f aca="false">IF(OR(CT680="",CT680="NO ESPECIFICA",CT680="NO MENCIONA"),"",IF(CU680=0,CT680,IF(CU680=1,CT680/30,IF(CU680=2,CT680/15,IF(CU680=3,CT680/7,"")))))</f>
        <v>250</v>
      </c>
      <c r="CW680" s="125" t="n">
        <v>643.42</v>
      </c>
      <c r="CX680" s="0" t="n">
        <v>0</v>
      </c>
      <c r="CY680" s="0" t="n">
        <f aca="false">IF(CW680="","",IF(CX680=0,CW680,IF(CX680=1,CW680/30,IF(CX680=2,CW680/15,IF(CX680=3,CW680/7,CW680)))))</f>
        <v>643.42</v>
      </c>
      <c r="CZ680" s="0" t="n">
        <f aca="false">IF(DI680&gt;0,DI680,IF(CY680&gt;0,CY680,IF(CV680&gt;0,CV680,"")))</f>
        <v>643.42</v>
      </c>
      <c r="DA680" s="0" t="n">
        <f aca="false">IF(DM680=1,CZ680/8,IF(OR(DM680=2,DM680=4),CZ680/7,IF(DM680=3,CZ680/7.5,"")))</f>
        <v>80.4275</v>
      </c>
      <c r="DB680" s="0" t="s">
        <v>301</v>
      </c>
      <c r="DC680" s="0" t="s">
        <v>303</v>
      </c>
      <c r="DD680" s="0" t="s">
        <v>300</v>
      </c>
      <c r="DE680" s="0" t="s">
        <v>299</v>
      </c>
      <c r="DF680" s="0" t="s">
        <v>1582</v>
      </c>
      <c r="DG680" s="0" t="s">
        <v>1022</v>
      </c>
      <c r="DH680" s="0" t="n">
        <v>0</v>
      </c>
      <c r="DI680" s="126" t="n">
        <v>643.42</v>
      </c>
      <c r="DK680" s="0" t="n">
        <v>0</v>
      </c>
      <c r="DM680" s="0" t="n">
        <v>1</v>
      </c>
      <c r="DN680" s="0" t="n">
        <v>66</v>
      </c>
      <c r="DO680" s="0" t="n">
        <v>3</v>
      </c>
      <c r="DP680" s="0" t="n">
        <v>1</v>
      </c>
      <c r="DQ680" s="0" t="n">
        <v>1</v>
      </c>
      <c r="DR680" s="0"/>
      <c r="DS680" s="0" t="n">
        <v>1</v>
      </c>
      <c r="DU680" s="0" t="n">
        <v>1</v>
      </c>
      <c r="DW680" s="1" t="n">
        <v>40354</v>
      </c>
      <c r="DX680" s="1" t="n">
        <v>40717</v>
      </c>
      <c r="DZ680" s="0"/>
      <c r="EA680" s="0" t="n">
        <v>1</v>
      </c>
      <c r="EC680" s="1" t="n">
        <v>40354</v>
      </c>
      <c r="ED680" s="1" t="n">
        <v>40717</v>
      </c>
      <c r="EF680" s="0"/>
      <c r="EG680" s="0" t="n">
        <v>1</v>
      </c>
      <c r="EH680" s="0" t="n">
        <v>18</v>
      </c>
      <c r="EI680" s="0" t="n">
        <f aca="false">IF(AND(DM680=1,DN680&lt;=48),"",IF(AND(DM680=2,DN680&lt;=42),"",IF(AND(DM680=3,DN680&lt;=45),"",EH680)))</f>
        <v>18</v>
      </c>
      <c r="EJ680" s="0" t="n">
        <f aca="false">IF(EI680="","",IF(EI680&lt;9,EI680,9))</f>
        <v>9</v>
      </c>
      <c r="EK680" s="0" t="n">
        <f aca="false">IF(EI680="","",IF(EI680&gt;9,EI680-EJ680,0))</f>
        <v>9</v>
      </c>
      <c r="EL680" s="0" t="n">
        <f aca="false">IF(EI680="","",EJ680*DA680*2+EK680*DA680*3)</f>
        <v>3619.2375</v>
      </c>
      <c r="EM680" s="0" t="n">
        <v>48.57</v>
      </c>
      <c r="EP680" s="0" t="n">
        <v>1</v>
      </c>
      <c r="EQ680" s="0"/>
      <c r="ER680" s="0" t="n">
        <v>0</v>
      </c>
      <c r="ET680" s="0" t="n">
        <v>1</v>
      </c>
      <c r="EV680" s="0" t="n">
        <v>0</v>
      </c>
      <c r="EX680" s="0" t="n">
        <v>1</v>
      </c>
      <c r="EY680" s="0" t="n">
        <v>1</v>
      </c>
      <c r="EZ680" s="4" t="n">
        <v>734</v>
      </c>
      <c r="FA680" s="4" t="n">
        <v>0</v>
      </c>
      <c r="FB680" s="0" t="n">
        <v>0</v>
      </c>
      <c r="FC680" s="1"/>
      <c r="FF680" s="120" t="n">
        <f aca="false">(CJ680-CI680+1)/365</f>
        <v>6.4</v>
      </c>
      <c r="FG680" s="0" t="str">
        <f aca="false">CONCATENATE(F680,"/",G680)</f>
        <v>1162/2011</v>
      </c>
      <c r="FH680" s="0" t="n">
        <v>1</v>
      </c>
      <c r="FI680" s="0" t="n">
        <f aca="false">IFERROR(IF((FC680-J680+1)/365&gt;3,0,1),"")</f>
        <v>1</v>
      </c>
    </row>
    <row r="681" customFormat="false" ht="15" hidden="false" customHeight="false" outlineLevel="0" collapsed="false">
      <c r="A681" s="5" t="str">
        <f aca="false">E681&amp;G681&amp;F681</f>
        <v>720111164</v>
      </c>
      <c r="B681" s="0" t="s">
        <v>6231</v>
      </c>
      <c r="C681" s="1" t="n">
        <v>42361</v>
      </c>
      <c r="E681" s="0" t="n">
        <v>7</v>
      </c>
      <c r="F681" s="0" t="n">
        <v>1164</v>
      </c>
      <c r="G681" s="0" t="n">
        <v>2011</v>
      </c>
      <c r="H681" s="0" t="str">
        <f aca="false">"J"&amp;E681&amp;"\"&amp;F681&amp;"\"&amp;G681&amp;"\"&amp;W681</f>
        <v>J7\1164\2011\1</v>
      </c>
      <c r="I681" s="0"/>
      <c r="J681" s="1" t="n">
        <v>40730</v>
      </c>
      <c r="K681" s="0" t="n">
        <v>1</v>
      </c>
      <c r="L681" s="0" t="s">
        <v>1754</v>
      </c>
      <c r="M681" s="1" t="n">
        <v>40730</v>
      </c>
      <c r="N681" s="1" t="n">
        <v>40920</v>
      </c>
      <c r="O681" s="1"/>
      <c r="P681" s="1"/>
      <c r="Q681" s="1"/>
      <c r="T681" s="121"/>
      <c r="U681" s="121"/>
      <c r="V681" s="122" t="n">
        <f aca="false">IF(AND(E681&gt;0,F681&gt;0,G681&gt;0),COUNTIFS($E:$E,E681,$F:$F,F681,$G:$G,G681),"")</f>
        <v>1</v>
      </c>
      <c r="W681" s="122" t="n">
        <f aca="false">IF(V681="","",IF(V681=1,1,IF(AND(E680=E681,F680=F681,G680=G681),W680+1,1)))</f>
        <v>1</v>
      </c>
      <c r="X681" s="0" t="n">
        <v>1</v>
      </c>
      <c r="Y681" s="0" t="n">
        <v>2</v>
      </c>
      <c r="Z681" s="0" t="s">
        <v>6251</v>
      </c>
      <c r="AA681" s="0" t="n">
        <v>0</v>
      </c>
      <c r="AB681" s="0" t="s">
        <v>2121</v>
      </c>
      <c r="AE681" s="0" t="n">
        <v>0</v>
      </c>
      <c r="AF681" s="0" t="s">
        <v>6252</v>
      </c>
      <c r="AG681" s="0" t="n">
        <v>0</v>
      </c>
      <c r="AH681" s="0" t="s">
        <v>6253</v>
      </c>
      <c r="AI681" s="0" t="s">
        <v>3030</v>
      </c>
      <c r="AJ681" s="0" t="s">
        <v>755</v>
      </c>
      <c r="AL681" s="0" t="s">
        <v>6254</v>
      </c>
      <c r="AM681" s="0" t="n">
        <v>1</v>
      </c>
      <c r="AN681" s="0" t="s">
        <v>6253</v>
      </c>
      <c r="AO681" s="0" t="s">
        <v>3030</v>
      </c>
      <c r="AP681" s="0" t="s">
        <v>755</v>
      </c>
      <c r="BR681" s="0" t="n">
        <v>1</v>
      </c>
      <c r="BS681" s="0" t="s">
        <v>6255</v>
      </c>
      <c r="BT681" s="0" t="s">
        <v>6256</v>
      </c>
      <c r="BU681" s="0" t="s">
        <v>6257</v>
      </c>
      <c r="BV681" s="123"/>
      <c r="BW681" s="123"/>
      <c r="BX681" s="123"/>
      <c r="BY681" s="123"/>
      <c r="CA681" s="0" t="s">
        <v>216</v>
      </c>
      <c r="CD681" s="0" t="s">
        <v>370</v>
      </c>
      <c r="CE681" s="0" t="n">
        <v>0</v>
      </c>
      <c r="CF681" s="0" t="s">
        <v>6258</v>
      </c>
      <c r="CI681" s="1" t="n">
        <v>39295</v>
      </c>
      <c r="CJ681" s="1" t="n">
        <v>40718</v>
      </c>
      <c r="CK681" s="124" t="n">
        <v>0.375</v>
      </c>
      <c r="CL681" s="0" t="s">
        <v>6259</v>
      </c>
      <c r="CM681" s="0" t="n">
        <f aca="false">IF(OR(CI681="",CJ681=""),"",DAYS360(CI681,CJ681)/360)</f>
        <v>3.89722222222222</v>
      </c>
      <c r="CN681" s="0" t="n">
        <f aca="false">IF(OR(CI681="",CJ681=""),"",DAYS360(CI681,CJ681)/30)</f>
        <v>46.7666666666667</v>
      </c>
      <c r="CO681" s="0" t="n">
        <f aca="false">IF(OR(CI681="",CJ681=""),"",DAYS360(CI681,CJ681)/7)</f>
        <v>200.428571428571</v>
      </c>
      <c r="CP681" s="0" t="n">
        <f aca="false">IF(OR(CI681="",CJ681=""),"",DAYS360(CI681,CJ681))</f>
        <v>1403</v>
      </c>
      <c r="CQ681" s="0" t="s">
        <v>240</v>
      </c>
      <c r="CR681" s="0" t="n">
        <v>1</v>
      </c>
      <c r="CT681" s="0" t="s">
        <v>221</v>
      </c>
      <c r="CU681" s="0" t="s">
        <v>221</v>
      </c>
      <c r="CV681" s="0" t="str">
        <f aca="false">IF(OR(CT681="",CT681="NO ESPECIFICA",CT681="NO MENCIONA"),"",IF(CU681=0,CT681,IF(CU681=1,CT681/30,IF(CU681=2,CT681/15,IF(CU681=3,CT681/7,"")))))</f>
        <v/>
      </c>
      <c r="CW681" s="125" t="n">
        <v>2000</v>
      </c>
      <c r="CX681" s="0" t="n">
        <v>3</v>
      </c>
      <c r="CY681" s="0" t="n">
        <f aca="false">IF(CW681="","",IF(CX681=0,CW681,IF(CX681=1,CW681/30,IF(CX681=2,CW681/15,IF(CX681=3,CW681/7,CW681)))))</f>
        <v>285.714285714286</v>
      </c>
      <c r="CZ681" s="0" t="n">
        <f aca="false">IF(DI681&gt;0,DI681,IF(CY681&gt;0,CY681,IF(CV681&gt;0,CV681,"")))</f>
        <v>285.714285714286</v>
      </c>
      <c r="DA681" s="0" t="n">
        <f aca="false">IF(DM681=1,CZ681/8,IF(OR(DM681=2,DM681=4),CZ681/7,IF(DM681=3,CZ681/7.5,"")))</f>
        <v>35.7142857142857</v>
      </c>
      <c r="DB681" s="0" t="s">
        <v>216</v>
      </c>
      <c r="DC681" s="0" t="s">
        <v>216</v>
      </c>
      <c r="DD681" s="0" t="s">
        <v>216</v>
      </c>
      <c r="DE681" s="0" t="s">
        <v>216</v>
      </c>
      <c r="DF681" s="0" t="s">
        <v>216</v>
      </c>
      <c r="DG681" s="0" t="s">
        <v>216</v>
      </c>
      <c r="DH681" s="0" t="n">
        <v>0</v>
      </c>
      <c r="DI681" s="126" t="n">
        <v>285.714285714286</v>
      </c>
      <c r="DK681" s="0" t="n">
        <v>0</v>
      </c>
      <c r="DM681" s="0" t="n">
        <v>1</v>
      </c>
      <c r="DN681" s="0" t="n">
        <v>51</v>
      </c>
      <c r="DO681" s="0" t="n">
        <v>3</v>
      </c>
      <c r="DP681" s="0" t="n">
        <v>0</v>
      </c>
      <c r="DQ681" s="0" t="n">
        <v>1</v>
      </c>
      <c r="DR681" s="0"/>
      <c r="DS681" s="0" t="n">
        <v>1</v>
      </c>
      <c r="DU681" s="0" t="n">
        <v>1</v>
      </c>
      <c r="DW681" s="1" t="n">
        <v>39295</v>
      </c>
      <c r="DX681" s="1" t="n">
        <v>40718</v>
      </c>
      <c r="DZ681" s="0"/>
      <c r="EA681" s="0" t="n">
        <v>1</v>
      </c>
      <c r="EC681" s="1" t="n">
        <v>39295</v>
      </c>
      <c r="ED681" s="1" t="n">
        <v>40718</v>
      </c>
      <c r="EF681" s="0"/>
      <c r="EG681" s="0" t="n">
        <v>0</v>
      </c>
      <c r="EI681" s="0" t="n">
        <f aca="false">IF(AND(DM681=1,DN681&lt;=48),"",IF(AND(DM681=2,DN681&lt;=42),"",IF(AND(DM681=3,DN681&lt;=45),"",EH681)))</f>
        <v>0</v>
      </c>
      <c r="EJ681" s="0" t="str">
        <f aca="false">IF(EI681="","",IF(EI681&lt;9,EI681,9))</f>
        <v/>
      </c>
      <c r="EK681" s="0" t="str">
        <f aca="false">IF(EI681="","",IF(EI681&gt;9,EI681-EJ681,0))</f>
        <v/>
      </c>
      <c r="EL681" s="0" t="str">
        <f aca="false">IF(EI681="","",EJ681*DA681*2+EK681*DA681*3)</f>
        <v/>
      </c>
      <c r="EP681" s="0" t="n">
        <v>1</v>
      </c>
      <c r="EQ681" s="0"/>
      <c r="ER681" s="0" t="n">
        <v>0</v>
      </c>
      <c r="ET681" s="0" t="n">
        <v>0</v>
      </c>
      <c r="EV681" s="0" t="n">
        <v>0</v>
      </c>
      <c r="EX681" s="0" t="n">
        <v>1</v>
      </c>
      <c r="EY681" s="0" t="n">
        <v>0</v>
      </c>
      <c r="EZ681" s="0"/>
      <c r="FA681" s="4" t="n">
        <v>0</v>
      </c>
      <c r="FB681" s="0" t="n">
        <v>1</v>
      </c>
      <c r="FC681" s="1" t="n">
        <v>41242</v>
      </c>
      <c r="FD681" s="0" t="n">
        <v>2</v>
      </c>
      <c r="FE681" s="0" t="n">
        <v>0</v>
      </c>
      <c r="FF681" s="120" t="n">
        <f aca="false">(CJ681-CI681+1)/365</f>
        <v>3.9013698630137</v>
      </c>
      <c r="FG681" s="0" t="str">
        <f aca="false">CONCATENATE(F681,"/",G681)</f>
        <v>1164/2011</v>
      </c>
      <c r="FH681" s="0" t="n">
        <v>1</v>
      </c>
      <c r="FI681" s="0" t="n">
        <f aca="false">IFERROR(IF((FC681-J681+1)/365&gt;3,0,1),"")</f>
        <v>1</v>
      </c>
    </row>
    <row r="682" customFormat="false" ht="15" hidden="false" customHeight="false" outlineLevel="0" collapsed="false">
      <c r="A682" s="5" t="str">
        <f aca="false">E682&amp;G682&amp;F682</f>
        <v>720111180</v>
      </c>
      <c r="B682" s="0" t="s">
        <v>6231</v>
      </c>
      <c r="C682" s="1" t="n">
        <v>42364</v>
      </c>
      <c r="E682" s="0" t="n">
        <v>7</v>
      </c>
      <c r="F682" s="0" t="n">
        <v>1180</v>
      </c>
      <c r="G682" s="0" t="n">
        <v>2011</v>
      </c>
      <c r="H682" s="0" t="str">
        <f aca="false">"J"&amp;E682&amp;"\"&amp;F682&amp;"\"&amp;G682&amp;"\"&amp;W682</f>
        <v>J7\1180\2011\1</v>
      </c>
      <c r="I682" s="0"/>
      <c r="J682" s="1" t="n">
        <v>40732</v>
      </c>
      <c r="K682" s="0" t="n">
        <v>0</v>
      </c>
      <c r="M682" s="1" t="n">
        <v>40732</v>
      </c>
      <c r="N682" s="1" t="n">
        <v>40924</v>
      </c>
      <c r="O682" s="1"/>
      <c r="P682" s="1"/>
      <c r="Q682" s="1"/>
      <c r="T682" s="121"/>
      <c r="U682" s="121"/>
      <c r="V682" s="122" t="n">
        <f aca="false">IF(AND(E682&gt;0,F682&gt;0,G682&gt;0),COUNTIFS($E:$E,E682,$F:$F,F682,$G:$G,G682),"")</f>
        <v>1</v>
      </c>
      <c r="W682" s="122" t="n">
        <f aca="false">IF(V682="","",IF(V682=1,1,IF(AND(E681=E682,F681=F682,G681=G682),W681+1,1)))</f>
        <v>1</v>
      </c>
      <c r="X682" s="0" t="n">
        <v>1</v>
      </c>
      <c r="Y682" s="0" t="n">
        <v>2</v>
      </c>
      <c r="Z682" s="0" t="s">
        <v>6260</v>
      </c>
      <c r="AA682" s="0" t="n">
        <v>0</v>
      </c>
      <c r="AB682" s="0" t="s">
        <v>2272</v>
      </c>
      <c r="AC682" s="0" t="s">
        <v>318</v>
      </c>
      <c r="AD682" s="0" t="s">
        <v>221</v>
      </c>
      <c r="AE682" s="0" t="n">
        <v>0</v>
      </c>
      <c r="AF682" s="0" t="s">
        <v>6261</v>
      </c>
      <c r="AG682" s="0" t="n">
        <v>1</v>
      </c>
      <c r="AH682" s="0" t="s">
        <v>6262</v>
      </c>
      <c r="AI682" s="0" t="s">
        <v>6263</v>
      </c>
      <c r="AJ682" s="0" t="s">
        <v>352</v>
      </c>
      <c r="AL682" s="0" t="s">
        <v>4183</v>
      </c>
      <c r="AM682" s="0" t="n">
        <v>1</v>
      </c>
      <c r="AN682" s="0" t="s">
        <v>6262</v>
      </c>
      <c r="AO682" s="0" t="s">
        <v>6263</v>
      </c>
      <c r="AP682" s="0" t="s">
        <v>352</v>
      </c>
      <c r="BR682" s="0" t="n">
        <v>1</v>
      </c>
      <c r="BS682" s="0" t="s">
        <v>1515</v>
      </c>
      <c r="BT682" s="0" t="s">
        <v>6264</v>
      </c>
      <c r="BU682" s="0" t="s">
        <v>6265</v>
      </c>
      <c r="BV682" s="123"/>
      <c r="BW682" s="123"/>
      <c r="BX682" s="123"/>
      <c r="BY682" s="123"/>
      <c r="CA682" s="0" t="s">
        <v>216</v>
      </c>
      <c r="CD682" s="0" t="s">
        <v>216</v>
      </c>
      <c r="CE682" s="0" t="n">
        <v>0</v>
      </c>
      <c r="CF682" s="0" t="s">
        <v>6266</v>
      </c>
      <c r="CI682" s="1" t="n">
        <v>38887</v>
      </c>
      <c r="CJ682" s="1" t="n">
        <v>40722</v>
      </c>
      <c r="CK682" s="124" t="n">
        <v>0.333333333333333</v>
      </c>
      <c r="CL682" s="0" t="s">
        <v>6261</v>
      </c>
      <c r="CM682" s="0" t="n">
        <f aca="false">IF(OR(CI682="",CJ682=""),"",DAYS360(CI682,CJ682)/360)</f>
        <v>5.025</v>
      </c>
      <c r="CN682" s="0" t="n">
        <f aca="false">IF(OR(CI682="",CJ682=""),"",DAYS360(CI682,CJ682)/30)</f>
        <v>60.3</v>
      </c>
      <c r="CO682" s="0" t="n">
        <f aca="false">IF(OR(CI682="",CJ682=""),"",DAYS360(CI682,CJ682)/7)</f>
        <v>258.428571428571</v>
      </c>
      <c r="CP682" s="0" t="n">
        <f aca="false">IF(OR(CI682="",CJ682=""),"",DAYS360(CI682,CJ682))</f>
        <v>1809</v>
      </c>
      <c r="CQ682" s="0" t="s">
        <v>220</v>
      </c>
      <c r="CR682" s="0" t="n">
        <v>1</v>
      </c>
      <c r="CT682" s="0" t="n">
        <v>250</v>
      </c>
      <c r="CU682" s="0" t="n">
        <v>0</v>
      </c>
      <c r="CV682" s="0" t="n">
        <f aca="false">IF(OR(CT682="",CT682="NO ESPECIFICA",CT682="NO MENCIONA"),"",IF(CU682=0,CT682,IF(CU682=1,CT682/30,IF(CU682=2,CT682/15,IF(CU682=3,CT682/7,"")))))</f>
        <v>250</v>
      </c>
      <c r="CW682" s="125" t="n">
        <v>573.32</v>
      </c>
      <c r="CX682" s="0" t="n">
        <v>0</v>
      </c>
      <c r="CY682" s="0" t="n">
        <f aca="false">IF(CW682="","",IF(CX682=0,CW682,IF(CX682=1,CW682/30,IF(CX682=2,CW682/15,IF(CX682=3,CW682/7,CW682)))))</f>
        <v>573.32</v>
      </c>
      <c r="CZ682" s="0" t="n">
        <f aca="false">IF(DI682&gt;0,DI682,IF(CY682&gt;0,CY682,IF(CV682&gt;0,CV682,"")))</f>
        <v>573.32</v>
      </c>
      <c r="DA682" s="0" t="n">
        <f aca="false">IF(DM682=1,CZ682/8,IF(OR(DM682=2,DM682=4),CZ682/7,IF(DM682=3,CZ682/7.5,"")))</f>
        <v>71.665</v>
      </c>
      <c r="DB682" s="0" t="s">
        <v>6267</v>
      </c>
      <c r="DC682" s="0" t="s">
        <v>6268</v>
      </c>
      <c r="DD682" s="0" t="s">
        <v>6269</v>
      </c>
      <c r="DE682" s="0" t="s">
        <v>6270</v>
      </c>
      <c r="DF682" s="0" t="s">
        <v>6271</v>
      </c>
      <c r="DG682" s="0" t="s">
        <v>6272</v>
      </c>
      <c r="DH682" s="0" t="n">
        <v>0</v>
      </c>
      <c r="DI682" s="126" t="n">
        <v>573.32</v>
      </c>
      <c r="DK682" s="0" t="n">
        <v>0</v>
      </c>
      <c r="DM682" s="0" t="n">
        <v>1</v>
      </c>
      <c r="DN682" s="0" t="n">
        <v>58</v>
      </c>
      <c r="DO682" s="0" t="n">
        <v>3</v>
      </c>
      <c r="DP682" s="0" t="n">
        <v>1</v>
      </c>
      <c r="DQ682" s="0" t="n">
        <v>1</v>
      </c>
      <c r="DR682" s="0"/>
      <c r="DS682" s="0" t="n">
        <v>1</v>
      </c>
      <c r="DU682" s="0" t="n">
        <v>1</v>
      </c>
      <c r="DW682" s="1" t="n">
        <v>38887</v>
      </c>
      <c r="DX682" s="1" t="n">
        <v>40722</v>
      </c>
      <c r="DZ682" s="0"/>
      <c r="EA682" s="0" t="n">
        <v>1</v>
      </c>
      <c r="EC682" s="1" t="n">
        <v>38887</v>
      </c>
      <c r="ED682" s="1" t="n">
        <v>40722</v>
      </c>
      <c r="EF682" s="0"/>
      <c r="EG682" s="0" t="n">
        <v>1</v>
      </c>
      <c r="EH682" s="0" t="n">
        <v>15</v>
      </c>
      <c r="EI682" s="0" t="n">
        <f aca="false">IF(AND(DM682=1,DN682&lt;=48),"",IF(AND(DM682=2,DN682&lt;=42),"",IF(AND(DM682=3,DN682&lt;=45),"",EH682)))</f>
        <v>15</v>
      </c>
      <c r="EJ682" s="0" t="n">
        <f aca="false">IF(EI682="","",IF(EI682&lt;9,EI682,9))</f>
        <v>9</v>
      </c>
      <c r="EK682" s="0" t="n">
        <f aca="false">IF(EI682="","",IF(EI682&gt;9,EI682-EJ682,0))</f>
        <v>6</v>
      </c>
      <c r="EL682" s="0" t="n">
        <f aca="false">IF(EI682="","",EJ682*DA682*2+EK682*DA682*3)</f>
        <v>2579.94</v>
      </c>
      <c r="EP682" s="0" t="n">
        <v>1</v>
      </c>
      <c r="EQ682" s="0"/>
      <c r="ER682" s="0" t="n">
        <v>0</v>
      </c>
      <c r="ET682" s="0" t="n">
        <v>0</v>
      </c>
      <c r="EV682" s="0" t="n">
        <v>1</v>
      </c>
      <c r="EX682" s="0" t="n">
        <v>0</v>
      </c>
      <c r="EY682" s="0" t="n">
        <v>0</v>
      </c>
      <c r="EZ682" s="0"/>
      <c r="FA682" s="4" t="n">
        <v>573.32</v>
      </c>
      <c r="FB682" s="0" t="n">
        <v>1</v>
      </c>
      <c r="FC682" s="1" t="n">
        <v>41246</v>
      </c>
      <c r="FD682" s="0" t="n">
        <v>2</v>
      </c>
      <c r="FE682" s="0" t="n">
        <v>0</v>
      </c>
      <c r="FF682" s="120" t="n">
        <f aca="false">(CJ682-CI682+1)/365</f>
        <v>5.03013698630137</v>
      </c>
      <c r="FG682" s="0" t="str">
        <f aca="false">CONCATENATE(F682,"/",G682)</f>
        <v>1180/2011</v>
      </c>
      <c r="FH682" s="0" t="n">
        <v>1</v>
      </c>
      <c r="FI682" s="0" t="n">
        <f aca="false">IFERROR(IF((FC682-J682+1)/365&gt;3,0,1),"")</f>
        <v>1</v>
      </c>
    </row>
    <row r="683" customFormat="false" ht="15" hidden="false" customHeight="false" outlineLevel="0" collapsed="false">
      <c r="A683" s="5" t="str">
        <f aca="false">E683&amp;G683&amp;F683</f>
        <v>720111188</v>
      </c>
      <c r="B683" s="0" t="s">
        <v>6231</v>
      </c>
      <c r="C683" s="1" t="n">
        <v>42364</v>
      </c>
      <c r="D683" s="0" t="s">
        <v>1630</v>
      </c>
      <c r="E683" s="0" t="n">
        <v>7</v>
      </c>
      <c r="F683" s="0" t="n">
        <v>1188</v>
      </c>
      <c r="G683" s="0" t="n">
        <v>2011</v>
      </c>
      <c r="H683" s="0" t="str">
        <f aca="false">"J"&amp;E683&amp;"\"&amp;F683&amp;"\"&amp;G683&amp;"\"&amp;W683</f>
        <v>J7\1188\2011\1</v>
      </c>
      <c r="I683" s="0"/>
      <c r="J683" s="1" t="n">
        <v>40735</v>
      </c>
      <c r="K683" s="0" t="n">
        <v>0</v>
      </c>
      <c r="M683" s="1"/>
      <c r="N683" s="1"/>
      <c r="O683" s="1"/>
      <c r="P683" s="1"/>
      <c r="Q683" s="1"/>
      <c r="T683" s="121"/>
      <c r="U683" s="121"/>
      <c r="V683" s="122" t="n">
        <f aca="false">IF(AND(E683&gt;0,F683&gt;0,G683&gt;0),COUNTIFS($E:$E,E683,$F:$F,F683,$G:$G,G683),"")</f>
        <v>1</v>
      </c>
      <c r="W683" s="122" t="n">
        <f aca="false">IF(V683="","",IF(V683=1,1,IF(AND(E682=E683,F682=F683,G682=G683),W682+1,1)))</f>
        <v>1</v>
      </c>
      <c r="X683" s="0" t="n">
        <v>1</v>
      </c>
      <c r="Y683" s="0" t="n">
        <v>3</v>
      </c>
      <c r="Z683" s="0" t="s">
        <v>6273</v>
      </c>
      <c r="AA683" s="0" t="n">
        <v>0</v>
      </c>
      <c r="AB683" s="0" t="s">
        <v>1812</v>
      </c>
      <c r="AC683" s="0" t="s">
        <v>228</v>
      </c>
      <c r="AD683" s="0" t="s">
        <v>229</v>
      </c>
      <c r="AE683" s="0" t="n">
        <v>0</v>
      </c>
      <c r="AF683" s="0" t="s">
        <v>6274</v>
      </c>
      <c r="AG683" s="0" t="n">
        <v>0</v>
      </c>
      <c r="AH683" s="0" t="s">
        <v>6275</v>
      </c>
      <c r="AI683" s="0" t="s">
        <v>728</v>
      </c>
      <c r="AJ683" s="0" t="s">
        <v>352</v>
      </c>
      <c r="AL683" s="0" t="s">
        <v>6276</v>
      </c>
      <c r="AM683" s="0" t="n">
        <v>1</v>
      </c>
      <c r="AN683" s="0" t="s">
        <v>6275</v>
      </c>
      <c r="AO683" s="0" t="s">
        <v>728</v>
      </c>
      <c r="AP683" s="0" t="s">
        <v>352</v>
      </c>
      <c r="AR683" s="0" t="s">
        <v>213</v>
      </c>
      <c r="AS683" s="0" t="n">
        <v>1</v>
      </c>
      <c r="AT683" s="0" t="s">
        <v>6275</v>
      </c>
      <c r="AU683" s="0" t="s">
        <v>728</v>
      </c>
      <c r="AV683" s="0" t="s">
        <v>352</v>
      </c>
      <c r="BR683" s="0" t="n">
        <v>3</v>
      </c>
      <c r="BS683" s="0" t="s">
        <v>499</v>
      </c>
      <c r="BT683" s="0" t="s">
        <v>1818</v>
      </c>
      <c r="BU683" s="0" t="s">
        <v>501</v>
      </c>
      <c r="BV683" s="123"/>
      <c r="BW683" s="123"/>
      <c r="BX683" s="123"/>
      <c r="BY683" s="123"/>
      <c r="CA683" s="0" t="s">
        <v>348</v>
      </c>
      <c r="CD683" s="0" t="s">
        <v>357</v>
      </c>
      <c r="CE683" s="0" t="n">
        <v>0</v>
      </c>
      <c r="CF683" s="0" t="s">
        <v>2230</v>
      </c>
      <c r="CI683" s="1" t="n">
        <v>40333</v>
      </c>
      <c r="CJ683" s="1" t="n">
        <v>40673</v>
      </c>
      <c r="CK683" s="124" t="n">
        <v>0.645833333333333</v>
      </c>
      <c r="CL683" s="0" t="s">
        <v>6276</v>
      </c>
      <c r="CM683" s="0" t="n">
        <f aca="false">IF(OR(CI683="",CJ683=""),"",DAYS360(CI683,CJ683)/360)</f>
        <v>0.933333333333333</v>
      </c>
      <c r="CN683" s="0" t="n">
        <f aca="false">IF(OR(CI683="",CJ683=""),"",DAYS360(CI683,CJ683)/30)</f>
        <v>11.2</v>
      </c>
      <c r="CO683" s="0" t="n">
        <f aca="false">IF(OR(CI683="",CJ683=""),"",DAYS360(CI683,CJ683)/7)</f>
        <v>48</v>
      </c>
      <c r="CP683" s="0" t="n">
        <f aca="false">IF(OR(CI683="",CJ683=""),"",DAYS360(CI683,CJ683))</f>
        <v>336</v>
      </c>
      <c r="CQ683" s="0" t="s">
        <v>240</v>
      </c>
      <c r="CR683" s="0" t="n">
        <v>1</v>
      </c>
      <c r="CT683" s="0" t="n">
        <v>116.67</v>
      </c>
      <c r="CU683" s="0" t="n">
        <v>0</v>
      </c>
      <c r="CV683" s="0" t="n">
        <f aca="false">IF(OR(CT683="",CT683="NO ESPECIFICA",CT683="NO MENCIONA"),"",IF(CU683=0,CT683,IF(CU683=1,CT683/30,IF(CU683=2,CT683/15,IF(CU683=3,CT683/7,"")))))</f>
        <v>116.67</v>
      </c>
      <c r="CW683" s="125" t="n">
        <v>121.94</v>
      </c>
      <c r="CX683" s="0" t="n">
        <v>0</v>
      </c>
      <c r="CY683" s="0" t="n">
        <f aca="false">IF(CW683="","",IF(CX683=0,CW683,IF(CX683=1,CW683/30,IF(CX683=2,CW683/15,IF(CX683=3,CW683/7,CW683)))))</f>
        <v>121.94</v>
      </c>
      <c r="CZ683" s="0" t="n">
        <f aca="false">IF(DI683&gt;0,DI683,IF(CY683&gt;0,CY683,IF(CV683&gt;0,CV683,"")))</f>
        <v>121.94</v>
      </c>
      <c r="DA683" s="0" t="n">
        <f aca="false">IF(DM683=1,CZ683/8,IF(OR(DM683=2,DM683=4),CZ683/7,IF(DM683=3,CZ683/7.5,"")))</f>
        <v>15.2425</v>
      </c>
      <c r="DB683" s="0" t="s">
        <v>303</v>
      </c>
      <c r="DC683" s="0" t="s">
        <v>301</v>
      </c>
      <c r="DD683" s="0" t="s">
        <v>216</v>
      </c>
      <c r="DE683" s="0" t="s">
        <v>216</v>
      </c>
      <c r="DF683" s="0" t="s">
        <v>216</v>
      </c>
      <c r="DG683" s="0" t="s">
        <v>216</v>
      </c>
      <c r="DH683" s="0" t="n">
        <v>0</v>
      </c>
      <c r="DI683" s="126" t="n">
        <v>121.94</v>
      </c>
      <c r="DK683" s="0" t="n">
        <v>1</v>
      </c>
      <c r="DM683" s="0" t="n">
        <v>1</v>
      </c>
      <c r="DN683" s="0" t="n">
        <v>45</v>
      </c>
      <c r="DO683" s="0" t="n">
        <v>3</v>
      </c>
      <c r="DP683" s="0" t="n">
        <v>0</v>
      </c>
      <c r="DQ683" s="0" t="n">
        <v>1</v>
      </c>
      <c r="DR683" s="0"/>
      <c r="DS683" s="0" t="n">
        <v>1</v>
      </c>
      <c r="DU683" s="0" t="n">
        <v>1</v>
      </c>
      <c r="DW683" s="1" t="n">
        <v>40333</v>
      </c>
      <c r="DX683" s="1" t="n">
        <v>40673</v>
      </c>
      <c r="DZ683" s="0"/>
      <c r="EA683" s="0" t="n">
        <v>1</v>
      </c>
      <c r="EC683" s="1" t="n">
        <v>40333</v>
      </c>
      <c r="ED683" s="1" t="n">
        <v>40673</v>
      </c>
      <c r="EF683" s="0"/>
      <c r="EG683" s="0" t="n">
        <v>0</v>
      </c>
      <c r="EI683" s="0" t="str">
        <f aca="false">IF(AND(DM683=1,DN683&lt;=48),"",IF(AND(DM683=2,DN683&lt;=42),"",IF(AND(DM683=3,DN683&lt;=45),"",EH683)))</f>
        <v/>
      </c>
      <c r="EJ683" s="0" t="str">
        <f aca="false">IF(EI683="","",IF(EI683&lt;9,EI683,9))</f>
        <v/>
      </c>
      <c r="EK683" s="0" t="str">
        <f aca="false">IF(EI683="","",IF(EI683&gt;9,EI683-EJ683,0))</f>
        <v/>
      </c>
      <c r="EL683" s="0" t="str">
        <f aca="false">IF(EI683="","",EJ683*DA683*2+EK683*DA683*3)</f>
        <v/>
      </c>
      <c r="EP683" s="0" t="n">
        <v>0</v>
      </c>
      <c r="EQ683" s="0"/>
      <c r="ER683" s="0" t="n">
        <v>0</v>
      </c>
      <c r="ET683" s="0" t="n">
        <v>0</v>
      </c>
      <c r="EV683" s="0" t="n">
        <v>0</v>
      </c>
      <c r="EX683" s="0" t="n">
        <v>0</v>
      </c>
      <c r="EY683" s="0" t="n">
        <v>0</v>
      </c>
      <c r="EZ683" s="0"/>
      <c r="FA683" s="4" t="n">
        <v>0</v>
      </c>
      <c r="FB683" s="0" t="n">
        <v>0</v>
      </c>
      <c r="FC683" s="1" t="n">
        <v>40955</v>
      </c>
      <c r="FD683" s="0" t="n">
        <v>1</v>
      </c>
      <c r="FE683" s="0" t="n">
        <v>8000</v>
      </c>
      <c r="FF683" s="120" t="n">
        <f aca="false">(CJ683-CI683+1)/365</f>
        <v>0.934246575342466</v>
      </c>
      <c r="FG683" s="0" t="str">
        <f aca="false">CONCATENATE(F683,"/",G683)</f>
        <v>1188/2011</v>
      </c>
      <c r="FH683" s="0" t="n">
        <v>1</v>
      </c>
      <c r="FI683" s="0" t="n">
        <f aca="false">IFERROR(IF((FC683-J683+1)/365&gt;3,0,1),"")</f>
        <v>1</v>
      </c>
    </row>
    <row r="684" customFormat="false" ht="15" hidden="false" customHeight="false" outlineLevel="0" collapsed="false">
      <c r="A684" s="5" t="str">
        <f aca="false">E684&amp;G684&amp;F684</f>
        <v>720111189</v>
      </c>
      <c r="B684" s="0" t="s">
        <v>6231</v>
      </c>
      <c r="C684" s="1" t="n">
        <v>42364</v>
      </c>
      <c r="D684" s="0" t="s">
        <v>1630</v>
      </c>
      <c r="E684" s="0" t="n">
        <v>7</v>
      </c>
      <c r="F684" s="0" t="n">
        <v>1189</v>
      </c>
      <c r="G684" s="0" t="n">
        <v>2011</v>
      </c>
      <c r="H684" s="0" t="str">
        <f aca="false">"J"&amp;E684&amp;"\"&amp;F684&amp;"\"&amp;G684&amp;"\"&amp;W684</f>
        <v>J7\1189\2011\1</v>
      </c>
      <c r="I684" s="0"/>
      <c r="J684" s="1" t="n">
        <v>40735</v>
      </c>
      <c r="K684" s="0" t="n">
        <v>0</v>
      </c>
      <c r="M684" s="1"/>
      <c r="N684" s="1"/>
      <c r="O684" s="1"/>
      <c r="P684" s="1"/>
      <c r="Q684" s="1"/>
      <c r="T684" s="121"/>
      <c r="U684" s="121"/>
      <c r="V684" s="122" t="n">
        <f aca="false">IF(AND(E684&gt;0,F684&gt;0,G684&gt;0),COUNTIFS($E:$E,E684,$F:$F,F684,$G:$G,G684),"")</f>
        <v>1</v>
      </c>
      <c r="W684" s="122" t="n">
        <f aca="false">IF(V684="","",IF(V684=1,1,IF(AND(E683=E684,F683=F684,G683=G684),W683+1,1)))</f>
        <v>1</v>
      </c>
      <c r="X684" s="0" t="n">
        <v>1</v>
      </c>
      <c r="Y684" s="0" t="n">
        <v>1</v>
      </c>
      <c r="Z684" s="0" t="s">
        <v>6277</v>
      </c>
      <c r="AA684" s="0" t="n">
        <v>0</v>
      </c>
      <c r="AB684" s="0" t="s">
        <v>6278</v>
      </c>
      <c r="AC684" s="0" t="s">
        <v>598</v>
      </c>
      <c r="AD684" s="0" t="s">
        <v>411</v>
      </c>
      <c r="AE684" s="0" t="n">
        <v>0</v>
      </c>
      <c r="AF684" s="0" t="s">
        <v>2447</v>
      </c>
      <c r="AG684" s="0" t="n">
        <v>0</v>
      </c>
      <c r="AH684" s="0" t="s">
        <v>6279</v>
      </c>
      <c r="AI684" s="0" t="s">
        <v>6280</v>
      </c>
      <c r="AJ684" s="0" t="s">
        <v>659</v>
      </c>
      <c r="BR684" s="0" t="n">
        <v>1</v>
      </c>
      <c r="BS684" s="0" t="s">
        <v>6281</v>
      </c>
      <c r="BT684" s="0" t="s">
        <v>6282</v>
      </c>
      <c r="BU684" s="0" t="s">
        <v>6283</v>
      </c>
      <c r="BV684" s="123"/>
      <c r="BW684" s="123"/>
      <c r="BX684" s="123"/>
      <c r="BY684" s="123"/>
      <c r="CA684" s="0" t="s">
        <v>216</v>
      </c>
      <c r="CD684" s="0" t="s">
        <v>256</v>
      </c>
      <c r="CE684" s="0" t="n">
        <v>0</v>
      </c>
      <c r="CF684" s="0" t="s">
        <v>6284</v>
      </c>
      <c r="CI684" s="1" t="n">
        <v>31728</v>
      </c>
      <c r="CJ684" s="1" t="n">
        <v>40700</v>
      </c>
      <c r="CK684" s="124" t="n">
        <v>0.416666666666667</v>
      </c>
      <c r="CL684" s="0" t="s">
        <v>6285</v>
      </c>
      <c r="CM684" s="0" t="n">
        <f aca="false">IF(OR(CI684="",CJ684=""),"",DAYS360(CI684,CJ684)/360)</f>
        <v>24.5666666666667</v>
      </c>
      <c r="CN684" s="0" t="n">
        <f aca="false">IF(OR(CI684="",CJ684=""),"",DAYS360(CI684,CJ684)/30)</f>
        <v>294.8</v>
      </c>
      <c r="CO684" s="0" t="n">
        <f aca="false">IF(OR(CI684="",CJ684=""),"",DAYS360(CI684,CJ684)/7)</f>
        <v>1263.42857142857</v>
      </c>
      <c r="CP684" s="0" t="n">
        <f aca="false">IF(OR(CI684="",CJ684=""),"",DAYS360(CI684,CJ684))</f>
        <v>8844</v>
      </c>
      <c r="CQ684" s="0" t="s">
        <v>220</v>
      </c>
      <c r="CR684" s="0" t="n">
        <v>1</v>
      </c>
      <c r="CT684" s="0" t="n">
        <v>1502.94</v>
      </c>
      <c r="CU684" s="0" t="n">
        <v>0</v>
      </c>
      <c r="CV684" s="0" t="n">
        <f aca="false">IF(OR(CT684="",CT684="NO ESPECIFICA",CT684="NO MENCIONA"),"",IF(CU684=0,CT684,IF(CU684=1,CT684/30,IF(CU684=2,CT684/15,IF(CU684=3,CT684/7,"")))))</f>
        <v>1502.94</v>
      </c>
      <c r="CW684" s="125" t="n">
        <v>1568.61</v>
      </c>
      <c r="CX684" s="0" t="n">
        <v>0</v>
      </c>
      <c r="CY684" s="0" t="n">
        <f aca="false">IF(CW684="","",IF(CX684=0,CW684,IF(CX684=1,CW684/30,IF(CX684=2,CW684/15,IF(CX684=3,CW684/7,CW684)))))</f>
        <v>1568.61</v>
      </c>
      <c r="CZ684" s="0" t="n">
        <f aca="false">IF(DI684&gt;0,DI684,IF(CY684&gt;0,CY684,IF(CV684&gt;0,CV684,"")))</f>
        <v>1568.61</v>
      </c>
      <c r="DA684" s="0" t="n">
        <f aca="false">IF(DM684=1,CZ684/8,IF(OR(DM684=2,DM684=4),CZ684/7,IF(DM684=3,CZ684/7.5,"")))</f>
        <v>196.07625</v>
      </c>
      <c r="DB684" s="0" t="s">
        <v>3117</v>
      </c>
      <c r="DC684" s="0" t="s">
        <v>6286</v>
      </c>
      <c r="DD684" s="0" t="s">
        <v>6287</v>
      </c>
      <c r="DE684" s="0" t="s">
        <v>216</v>
      </c>
      <c r="DF684" s="0" t="s">
        <v>216</v>
      </c>
      <c r="DG684" s="0" t="s">
        <v>216</v>
      </c>
      <c r="DH684" s="0" t="n">
        <v>0</v>
      </c>
      <c r="DI684" s="126" t="n">
        <v>1568.61</v>
      </c>
      <c r="DK684" s="0" t="n">
        <v>0</v>
      </c>
      <c r="DM684" s="0" t="n">
        <v>1</v>
      </c>
      <c r="DN684" s="0" t="n">
        <v>50</v>
      </c>
      <c r="DO684" s="0" t="n">
        <v>3</v>
      </c>
      <c r="DP684" s="0" t="n">
        <v>1</v>
      </c>
      <c r="DQ684" s="0" t="n">
        <v>0</v>
      </c>
      <c r="DR684" s="0"/>
      <c r="DS684" s="0" t="n">
        <v>1</v>
      </c>
      <c r="DU684" s="0" t="n">
        <v>0</v>
      </c>
      <c r="DW684" s="1" t="n">
        <v>40129</v>
      </c>
      <c r="DX684" s="1" t="n">
        <v>40858</v>
      </c>
      <c r="DZ684" s="0"/>
      <c r="EA684" s="0" t="n">
        <v>1</v>
      </c>
      <c r="EC684" s="1" t="n">
        <v>40544</v>
      </c>
      <c r="ED684" s="1" t="n">
        <v>40700</v>
      </c>
      <c r="EF684" s="0"/>
      <c r="EG684" s="0" t="n">
        <v>1</v>
      </c>
      <c r="EH684" s="0" t="n">
        <v>10</v>
      </c>
      <c r="EI684" s="0" t="n">
        <f aca="false">IF(AND(DM684=1,DN684&lt;=48),"",IF(AND(DM684=2,DN684&lt;=42),"",IF(AND(DM684=3,DN684&lt;=45),"",EH684)))</f>
        <v>10</v>
      </c>
      <c r="EJ684" s="0" t="n">
        <f aca="false">IF(EI684="","",IF(EI684&lt;9,EI684,9))</f>
        <v>9</v>
      </c>
      <c r="EK684" s="0" t="n">
        <f aca="false">IF(EI684="","",IF(EI684&gt;9,EI684-EJ684,0))</f>
        <v>1</v>
      </c>
      <c r="EL684" s="0" t="n">
        <f aca="false">IF(EI684="","",EJ684*DA684*2+EK684*DA684*3)</f>
        <v>4117.60125</v>
      </c>
      <c r="EN684" s="0" t="n">
        <v>197648.64</v>
      </c>
      <c r="EP684" s="0" t="n">
        <v>0</v>
      </c>
      <c r="EQ684" s="0"/>
      <c r="ER684" s="0" t="n">
        <v>0</v>
      </c>
      <c r="ET684" s="0" t="n">
        <v>0</v>
      </c>
      <c r="EV684" s="0" t="n">
        <v>0</v>
      </c>
      <c r="EX684" s="0" t="n">
        <v>0</v>
      </c>
      <c r="EY684" s="0" t="n">
        <v>1</v>
      </c>
      <c r="EZ684" s="0"/>
      <c r="FA684" s="4" t="n">
        <v>143634.54</v>
      </c>
      <c r="FB684" s="0" t="n">
        <v>1</v>
      </c>
      <c r="FC684" s="1" t="n">
        <v>41453</v>
      </c>
      <c r="FD684" s="0" t="n">
        <v>1</v>
      </c>
      <c r="FE684" s="0" t="n">
        <v>222056.5</v>
      </c>
      <c r="FF684" s="120" t="n">
        <f aca="false">(CJ684-CI684+1)/365</f>
        <v>24.5835616438356</v>
      </c>
      <c r="FG684" s="0" t="str">
        <f aca="false">CONCATENATE(F684,"/",G684)</f>
        <v>1189/2011</v>
      </c>
      <c r="FH684" s="0" t="n">
        <v>1</v>
      </c>
      <c r="FI684" s="0" t="n">
        <f aca="false">IFERROR(IF((FC684-J684+1)/365&gt;3,0,1),"")</f>
        <v>1</v>
      </c>
    </row>
    <row r="685" customFormat="false" ht="15" hidden="false" customHeight="false" outlineLevel="0" collapsed="false">
      <c r="A685" s="5" t="str">
        <f aca="false">E685&amp;G685&amp;F685</f>
        <v>720111207</v>
      </c>
      <c r="B685" s="0" t="s">
        <v>6231</v>
      </c>
      <c r="C685" s="1" t="n">
        <v>42365</v>
      </c>
      <c r="D685" s="0" t="s">
        <v>1630</v>
      </c>
      <c r="E685" s="0" t="n">
        <v>7</v>
      </c>
      <c r="F685" s="0" t="n">
        <v>1207</v>
      </c>
      <c r="G685" s="0" t="n">
        <v>2011</v>
      </c>
      <c r="H685" s="0" t="str">
        <f aca="false">"J"&amp;E685&amp;"\"&amp;F685&amp;"\"&amp;G685&amp;"\"&amp;W685</f>
        <v>J7\1207\2011\1</v>
      </c>
      <c r="I685" s="0"/>
      <c r="J685" s="1" t="n">
        <v>40738</v>
      </c>
      <c r="K685" s="0" t="n">
        <v>0</v>
      </c>
      <c r="M685" s="1"/>
      <c r="N685" s="1"/>
      <c r="O685" s="1"/>
      <c r="P685" s="1"/>
      <c r="Q685" s="1"/>
      <c r="T685" s="121"/>
      <c r="U685" s="121"/>
      <c r="V685" s="122" t="n">
        <f aca="false">IF(AND(E685&gt;0,F685&gt;0,G685&gt;0),COUNTIFS($E:$E,E685,$F:$F,F685,$G:$G,G685),"")</f>
        <v>1</v>
      </c>
      <c r="W685" s="122" t="n">
        <f aca="false">IF(V685="","",IF(V685=1,1,IF(AND(E684=E685,F684=F685,G684=G685),W684+1,1)))</f>
        <v>1</v>
      </c>
      <c r="X685" s="0" t="n">
        <v>1</v>
      </c>
      <c r="Y685" s="0" t="n">
        <v>3</v>
      </c>
      <c r="Z685" s="0" t="s">
        <v>6288</v>
      </c>
      <c r="AA685" s="0" t="n">
        <v>0</v>
      </c>
      <c r="AB685" s="0" t="s">
        <v>3179</v>
      </c>
      <c r="AC685" s="0" t="s">
        <v>244</v>
      </c>
      <c r="AD685" s="0" t="s">
        <v>229</v>
      </c>
      <c r="AE685" s="0" t="n">
        <v>0</v>
      </c>
      <c r="AF685" s="0" t="s">
        <v>6289</v>
      </c>
      <c r="AG685" s="0" t="n">
        <v>0</v>
      </c>
      <c r="AH685" s="0" t="s">
        <v>6290</v>
      </c>
      <c r="AI685" s="0" t="s">
        <v>6291</v>
      </c>
      <c r="AJ685" s="0" t="s">
        <v>590</v>
      </c>
      <c r="AL685" s="0" t="s">
        <v>6292</v>
      </c>
      <c r="AM685" s="0" t="n">
        <v>1</v>
      </c>
      <c r="AN685" s="0" t="s">
        <v>6290</v>
      </c>
      <c r="AO685" s="0" t="s">
        <v>6291</v>
      </c>
      <c r="AP685" s="0" t="s">
        <v>590</v>
      </c>
      <c r="AR685" s="0" t="s">
        <v>6293</v>
      </c>
      <c r="AS685" s="0" t="n">
        <v>1</v>
      </c>
      <c r="AT685" s="0" t="s">
        <v>6290</v>
      </c>
      <c r="AU685" s="0" t="s">
        <v>6291</v>
      </c>
      <c r="AV685" s="0" t="s">
        <v>590</v>
      </c>
      <c r="BR685" s="0" t="n">
        <v>1</v>
      </c>
      <c r="BS685" s="0" t="s">
        <v>1116</v>
      </c>
      <c r="BT685" s="0" t="s">
        <v>3184</v>
      </c>
      <c r="BU685" s="0" t="s">
        <v>1117</v>
      </c>
      <c r="BV685" s="123"/>
      <c r="BW685" s="123"/>
      <c r="BX685" s="123"/>
      <c r="BY685" s="123"/>
      <c r="CA685" s="0" t="s">
        <v>6294</v>
      </c>
      <c r="CD685" s="0" t="s">
        <v>370</v>
      </c>
      <c r="CE685" s="0" t="n">
        <v>0</v>
      </c>
      <c r="CF685" s="0" t="s">
        <v>1789</v>
      </c>
      <c r="CI685" s="1" t="n">
        <v>37818</v>
      </c>
      <c r="CJ685" s="1" t="n">
        <v>40727</v>
      </c>
      <c r="CK685" s="124" t="n">
        <v>0.333333333333333</v>
      </c>
      <c r="CL685" s="0" t="s">
        <v>6292</v>
      </c>
      <c r="CM685" s="0" t="n">
        <f aca="false">IF(OR(CI685="",CJ685=""),"",DAYS360(CI685,CJ685)/360)</f>
        <v>7.96388888888889</v>
      </c>
      <c r="CN685" s="0" t="n">
        <f aca="false">IF(OR(CI685="",CJ685=""),"",DAYS360(CI685,CJ685)/30)</f>
        <v>95.5666666666667</v>
      </c>
      <c r="CO685" s="0" t="n">
        <f aca="false">IF(OR(CI685="",CJ685=""),"",DAYS360(CI685,CJ685)/7)</f>
        <v>409.571428571429</v>
      </c>
      <c r="CP685" s="0" t="n">
        <f aca="false">IF(OR(CI685="",CJ685=""),"",DAYS360(CI685,CJ685))</f>
        <v>2867</v>
      </c>
      <c r="CQ685" s="0" t="s">
        <v>220</v>
      </c>
      <c r="CR685" s="0" t="n">
        <v>1</v>
      </c>
      <c r="CT685" s="0" t="n">
        <v>300</v>
      </c>
      <c r="CU685" s="0" t="n">
        <v>0</v>
      </c>
      <c r="CV685" s="0" t="n">
        <f aca="false">IF(OR(CT685="",CT685="NO ESPECIFICA",CT685="NO MENCIONA"),"",IF(CU685=0,CT685,IF(CU685=1,CT685/30,IF(CU685=2,CT685/15,IF(CU685=3,CT685/7,"")))))</f>
        <v>300</v>
      </c>
      <c r="CW685" s="125" t="n">
        <v>735.56</v>
      </c>
      <c r="CX685" s="0" t="n">
        <v>0</v>
      </c>
      <c r="CY685" s="0" t="n">
        <f aca="false">IF(CW685="","",IF(CX685=0,CW685,IF(CX685=1,CW685/30,IF(CX685=2,CW685/15,IF(CX685=3,CW685/7,CW685)))))</f>
        <v>735.56</v>
      </c>
      <c r="CZ685" s="0" t="n">
        <f aca="false">IF(DI685&gt;0,DI685,IF(CY685&gt;0,CY685,IF(CV685&gt;0,CV685,"")))</f>
        <v>735.56</v>
      </c>
      <c r="DA685" s="0" t="n">
        <f aca="false">IF(DM685=1,CZ685/8,IF(OR(DM685=2,DM685=4),CZ685/7,IF(DM685=3,CZ685/7.5,"")))</f>
        <v>91.945</v>
      </c>
      <c r="DB685" s="0" t="s">
        <v>303</v>
      </c>
      <c r="DC685" s="0" t="s">
        <v>301</v>
      </c>
      <c r="DD685" s="0" t="s">
        <v>3979</v>
      </c>
      <c r="DE685" s="0" t="s">
        <v>258</v>
      </c>
      <c r="DF685" s="0" t="s">
        <v>259</v>
      </c>
      <c r="DG685" s="0" t="s">
        <v>6295</v>
      </c>
      <c r="DH685" s="0" t="n">
        <v>0</v>
      </c>
      <c r="DI685" s="126" t="n">
        <v>735.56</v>
      </c>
      <c r="DK685" s="0" t="n">
        <v>0</v>
      </c>
      <c r="DM685" s="0" t="n">
        <v>1</v>
      </c>
      <c r="DN685" s="0" t="n">
        <v>66</v>
      </c>
      <c r="DO685" s="0" t="n">
        <v>3</v>
      </c>
      <c r="DP685" s="0" t="n">
        <v>1</v>
      </c>
      <c r="DQ685" s="0" t="n">
        <v>1</v>
      </c>
      <c r="DR685" s="0"/>
      <c r="DS685" s="0" t="n">
        <v>1</v>
      </c>
      <c r="DU685" s="0" t="n">
        <v>1</v>
      </c>
      <c r="DW685" s="1" t="s">
        <v>1775</v>
      </c>
      <c r="DX685" s="1" t="s">
        <v>1775</v>
      </c>
      <c r="DZ685" s="0"/>
      <c r="EA685" s="0" t="n">
        <v>1</v>
      </c>
      <c r="EC685" s="1" t="n">
        <v>40544</v>
      </c>
      <c r="ED685" s="1" t="n">
        <v>40727</v>
      </c>
      <c r="EF685" s="0"/>
      <c r="EG685" s="0" t="n">
        <v>1</v>
      </c>
      <c r="EH685" s="0" t="n">
        <v>18</v>
      </c>
      <c r="EI685" s="0" t="n">
        <f aca="false">IF(AND(DM685=1,DN685&lt;=48),"",IF(AND(DM685=2,DN685&lt;=42),"",IF(AND(DM685=3,DN685&lt;=45),"",EH685)))</f>
        <v>18</v>
      </c>
      <c r="EJ685" s="0" t="n">
        <f aca="false">IF(EI685="","",IF(EI685&lt;9,EI685,9))</f>
        <v>9</v>
      </c>
      <c r="EK685" s="0" t="n">
        <f aca="false">IF(EI685="","",IF(EI685&gt;9,EI685-EJ685,0))</f>
        <v>9</v>
      </c>
      <c r="EL685" s="0" t="n">
        <f aca="false">IF(EI685="","",EJ685*DA685*2+EK685*DA685*3)</f>
        <v>4137.525</v>
      </c>
      <c r="EP685" s="0" t="n">
        <v>1</v>
      </c>
      <c r="EQ685" s="0"/>
      <c r="ER685" s="0" t="n">
        <v>1</v>
      </c>
      <c r="ET685" s="0" t="n">
        <v>0</v>
      </c>
      <c r="EV685" s="0" t="n">
        <v>1</v>
      </c>
      <c r="EX685" s="0" t="n">
        <v>1</v>
      </c>
      <c r="EY685" s="0" t="n">
        <v>0</v>
      </c>
      <c r="EZ685" s="0"/>
      <c r="FA685" s="4" t="n">
        <v>49142.24</v>
      </c>
      <c r="FB685" s="0" t="n">
        <v>1</v>
      </c>
      <c r="FC685" s="1" t="n">
        <v>41372</v>
      </c>
      <c r="FD685" s="0" t="n">
        <v>2</v>
      </c>
      <c r="FE685" s="0" t="n">
        <v>0</v>
      </c>
      <c r="FF685" s="120" t="n">
        <f aca="false">(CJ685-CI685+1)/365</f>
        <v>7.97260273972603</v>
      </c>
      <c r="FG685" s="0" t="str">
        <f aca="false">CONCATENATE(F685,"/",G685)</f>
        <v>1207/2011</v>
      </c>
      <c r="FH685" s="0" t="n">
        <v>1</v>
      </c>
      <c r="FI685" s="0" t="n">
        <f aca="false">IFERROR(IF((FC685-J685+1)/365&gt;3,0,1),"")</f>
        <v>1</v>
      </c>
    </row>
    <row r="686" customFormat="false" ht="15" hidden="false" customHeight="false" outlineLevel="0" collapsed="false">
      <c r="A686" s="5" t="str">
        <f aca="false">E686&amp;G686&amp;F686</f>
        <v>720111208</v>
      </c>
      <c r="B686" s="0" t="s">
        <v>6231</v>
      </c>
      <c r="C686" s="1" t="n">
        <v>42365</v>
      </c>
      <c r="D686" s="0" t="s">
        <v>1630</v>
      </c>
      <c r="E686" s="0" t="n">
        <v>7</v>
      </c>
      <c r="F686" s="0" t="n">
        <v>1208</v>
      </c>
      <c r="G686" s="0" t="n">
        <v>2011</v>
      </c>
      <c r="H686" s="0" t="str">
        <f aca="false">"J"&amp;E686&amp;"\"&amp;F686&amp;"\"&amp;G686&amp;"\"&amp;W686</f>
        <v>J7\1208\2011\1</v>
      </c>
      <c r="I686" s="0"/>
      <c r="J686" s="1" t="n">
        <v>40738</v>
      </c>
      <c r="K686" s="0" t="n">
        <v>0</v>
      </c>
      <c r="M686" s="1"/>
      <c r="N686" s="1"/>
      <c r="O686" s="1"/>
      <c r="P686" s="1"/>
      <c r="Q686" s="1"/>
      <c r="T686" s="121"/>
      <c r="U686" s="121"/>
      <c r="V686" s="122" t="n">
        <f aca="false">IF(AND(E686&gt;0,F686&gt;0,G686&gt;0),COUNTIFS($E:$E,E686,$F:$F,F686,$G:$G,G686),"")</f>
        <v>1</v>
      </c>
      <c r="W686" s="122" t="n">
        <f aca="false">IF(V686="","",IF(V686=1,1,IF(AND(E685=E686,F685=F686,G685=G686),W685+1,1)))</f>
        <v>1</v>
      </c>
      <c r="X686" s="0" t="n">
        <v>1</v>
      </c>
      <c r="Y686" s="0" t="n">
        <v>3</v>
      </c>
      <c r="Z686" s="0" t="s">
        <v>6296</v>
      </c>
      <c r="AA686" s="0" t="n">
        <v>0</v>
      </c>
      <c r="AB686" s="0" t="s">
        <v>1812</v>
      </c>
      <c r="AC686" s="0" t="s">
        <v>228</v>
      </c>
      <c r="AD686" s="0" t="s">
        <v>229</v>
      </c>
      <c r="AE686" s="0" t="n">
        <v>0</v>
      </c>
      <c r="AF686" s="0" t="s">
        <v>6297</v>
      </c>
      <c r="AG686" s="0" t="n">
        <v>0</v>
      </c>
      <c r="AH686" s="0" t="s">
        <v>6298</v>
      </c>
      <c r="AI686" s="0" t="s">
        <v>1635</v>
      </c>
      <c r="AJ686" s="0" t="s">
        <v>229</v>
      </c>
      <c r="AL686" s="0" t="s">
        <v>6299</v>
      </c>
      <c r="AM686" s="0" t="n">
        <v>1</v>
      </c>
      <c r="AN686" s="0" t="s">
        <v>6298</v>
      </c>
      <c r="AO686" s="0" t="s">
        <v>1635</v>
      </c>
      <c r="AP686" s="0" t="s">
        <v>229</v>
      </c>
      <c r="AR686" s="0" t="s">
        <v>2126</v>
      </c>
      <c r="AS686" s="0" t="n">
        <v>1</v>
      </c>
      <c r="AT686" s="0" t="s">
        <v>6298</v>
      </c>
      <c r="AU686" s="0" t="s">
        <v>1635</v>
      </c>
      <c r="AV686" s="0" t="s">
        <v>229</v>
      </c>
      <c r="BR686" s="0" t="n">
        <v>3</v>
      </c>
      <c r="BS686" s="0" t="s">
        <v>3856</v>
      </c>
      <c r="BT686" s="0" t="s">
        <v>1818</v>
      </c>
      <c r="BU686" s="0" t="s">
        <v>1841</v>
      </c>
      <c r="BV686" s="123"/>
      <c r="BW686" s="123"/>
      <c r="BX686" s="123"/>
      <c r="BY686" s="123"/>
      <c r="CA686" s="0" t="s">
        <v>348</v>
      </c>
      <c r="CD686" s="0" t="s">
        <v>256</v>
      </c>
      <c r="CE686" s="0" t="n">
        <v>0</v>
      </c>
      <c r="CF686" s="0" t="s">
        <v>6300</v>
      </c>
      <c r="CI686" s="1" t="n">
        <v>40322</v>
      </c>
      <c r="CJ686" s="1" t="n">
        <v>40690</v>
      </c>
      <c r="CK686" s="124" t="n">
        <v>0.583333333333333</v>
      </c>
      <c r="CL686" s="0" t="s">
        <v>6299</v>
      </c>
      <c r="CM686" s="0" t="n">
        <f aca="false">IF(OR(CI686="",CJ686=""),"",DAYS360(CI686,CJ686)/360)</f>
        <v>1.00833333333333</v>
      </c>
      <c r="CN686" s="0" t="n">
        <f aca="false">IF(OR(CI686="",CJ686=""),"",DAYS360(CI686,CJ686)/30)</f>
        <v>12.1</v>
      </c>
      <c r="CO686" s="0" t="n">
        <f aca="false">IF(OR(CI686="",CJ686=""),"",DAYS360(CI686,CJ686)/7)</f>
        <v>51.8571428571429</v>
      </c>
      <c r="CP686" s="0" t="n">
        <f aca="false">IF(OR(CI686="",CJ686=""),"",DAYS360(CI686,CJ686))</f>
        <v>363</v>
      </c>
      <c r="CQ686" s="0" t="s">
        <v>240</v>
      </c>
      <c r="CR686" s="0" t="n">
        <v>1</v>
      </c>
      <c r="CT686" s="0" t="n">
        <v>233.33</v>
      </c>
      <c r="CU686" s="0" t="n">
        <v>0</v>
      </c>
      <c r="CV686" s="0" t="n">
        <f aca="false">IF(OR(CT686="",CT686="NO ESPECIFICA",CT686="NO MENCIONA"),"",IF(CU686=0,CT686,IF(CU686=1,CT686/30,IF(CU686=2,CT686/15,IF(CU686=3,CT686/7,"")))))</f>
        <v>233.33</v>
      </c>
      <c r="CW686" s="125" t="n">
        <v>244.82</v>
      </c>
      <c r="CX686" s="0" t="n">
        <v>0</v>
      </c>
      <c r="CY686" s="0" t="n">
        <f aca="false">IF(CW686="","",IF(CX686=0,CW686,IF(CX686=1,CW686/30,IF(CX686=2,CW686/15,IF(CX686=3,CW686/7,CW686)))))</f>
        <v>244.82</v>
      </c>
      <c r="CZ686" s="0" t="n">
        <f aca="false">IF(DI686&gt;0,DI686,IF(CY686&gt;0,CY686,IF(CV686&gt;0,CV686,"")))</f>
        <v>244.82</v>
      </c>
      <c r="DA686" s="0" t="n">
        <f aca="false">IF(DM686=1,CZ686/8,IF(OR(DM686=2,DM686=4),CZ686/7,IF(DM686=3,CZ686/7.5,"")))</f>
        <v>30.6025</v>
      </c>
      <c r="DB686" s="0" t="s">
        <v>303</v>
      </c>
      <c r="DC686" s="0" t="s">
        <v>301</v>
      </c>
      <c r="DD686" s="0" t="s">
        <v>216</v>
      </c>
      <c r="DE686" s="0" t="s">
        <v>216</v>
      </c>
      <c r="DF686" s="0" t="s">
        <v>216</v>
      </c>
      <c r="DG686" s="0" t="s">
        <v>216</v>
      </c>
      <c r="DH686" s="0" t="n">
        <v>0</v>
      </c>
      <c r="DI686" s="126" t="n">
        <v>244.82</v>
      </c>
      <c r="DK686" s="0" t="n">
        <v>1</v>
      </c>
      <c r="DM686" s="0" t="n">
        <v>1</v>
      </c>
      <c r="DN686" s="0" t="n">
        <v>57.5</v>
      </c>
      <c r="DO686" s="0" t="n">
        <v>3</v>
      </c>
      <c r="DP686" s="0" t="n">
        <v>0</v>
      </c>
      <c r="DQ686" s="0" t="n">
        <v>1</v>
      </c>
      <c r="DR686" s="0"/>
      <c r="DS686" s="0" t="n">
        <v>1</v>
      </c>
      <c r="DU686" s="0" t="n">
        <v>1</v>
      </c>
      <c r="DW686" s="1" t="n">
        <v>40322</v>
      </c>
      <c r="DX686" s="1" t="n">
        <v>40690</v>
      </c>
      <c r="DZ686" s="0"/>
      <c r="EA686" s="0" t="n">
        <v>1</v>
      </c>
      <c r="EC686" s="1" t="n">
        <v>40322</v>
      </c>
      <c r="ED686" s="1" t="n">
        <v>40690</v>
      </c>
      <c r="EF686" s="0"/>
      <c r="EG686" s="0" t="n">
        <v>0</v>
      </c>
      <c r="EI686" s="0" t="n">
        <f aca="false">IF(AND(DM686=1,DN686&lt;=48),"",IF(AND(DM686=2,DN686&lt;=42),"",IF(AND(DM686=3,DN686&lt;=45),"",EH686)))</f>
        <v>0</v>
      </c>
      <c r="EJ686" s="0" t="str">
        <f aca="false">IF(EI686="","",IF(EI686&lt;9,EI686,9))</f>
        <v/>
      </c>
      <c r="EK686" s="0" t="str">
        <f aca="false">IF(EI686="","",IF(EI686&gt;9,EI686-EJ686,0))</f>
        <v/>
      </c>
      <c r="EL686" s="0" t="str">
        <f aca="false">IF(EI686="","",EJ686*DA686*2+EK686*DA686*3)</f>
        <v/>
      </c>
      <c r="EP686" s="0" t="n">
        <v>0</v>
      </c>
      <c r="EQ686" s="0"/>
      <c r="ER686" s="0" t="n">
        <v>0</v>
      </c>
      <c r="ET686" s="0" t="n">
        <v>0</v>
      </c>
      <c r="EV686" s="0" t="n">
        <v>0</v>
      </c>
      <c r="EX686" s="0" t="n">
        <v>1</v>
      </c>
      <c r="EY686" s="0" t="n">
        <v>0</v>
      </c>
      <c r="EZ686" s="0"/>
      <c r="FA686" s="4" t="n">
        <v>9547.98</v>
      </c>
      <c r="FB686" s="0" t="n">
        <v>1</v>
      </c>
      <c r="FC686" s="1" t="n">
        <v>41901</v>
      </c>
      <c r="FD686" s="0" t="n">
        <v>2</v>
      </c>
      <c r="FE686" s="0" t="n">
        <v>0</v>
      </c>
      <c r="FF686" s="120" t="n">
        <f aca="false">(CJ686-CI686+1)/365</f>
        <v>1.01095890410959</v>
      </c>
      <c r="FG686" s="0" t="str">
        <f aca="false">CONCATENATE(F686,"/",G686)</f>
        <v>1208/2011</v>
      </c>
      <c r="FH686" s="0" t="n">
        <v>1</v>
      </c>
      <c r="FI686" s="0" t="n">
        <f aca="false">IFERROR(IF((FC686-J686+1)/365&gt;3,0,1),"")</f>
        <v>0</v>
      </c>
    </row>
    <row r="687" customFormat="false" ht="15" hidden="false" customHeight="false" outlineLevel="0" collapsed="false">
      <c r="A687" s="5" t="str">
        <f aca="false">E687&amp;G687&amp;F687</f>
        <v>720111209</v>
      </c>
      <c r="B687" s="0" t="s">
        <v>6231</v>
      </c>
      <c r="C687" s="1" t="n">
        <v>42365</v>
      </c>
      <c r="D687" s="0" t="s">
        <v>1630</v>
      </c>
      <c r="E687" s="0" t="n">
        <v>7</v>
      </c>
      <c r="F687" s="0" t="n">
        <v>1209</v>
      </c>
      <c r="G687" s="0" t="n">
        <v>2011</v>
      </c>
      <c r="H687" s="0" t="str">
        <f aca="false">"J"&amp;E687&amp;"\"&amp;F687&amp;"\"&amp;G687&amp;"\"&amp;W687</f>
        <v>J7\1209\2011\1</v>
      </c>
      <c r="I687" s="0"/>
      <c r="J687" s="1" t="n">
        <v>40738</v>
      </c>
      <c r="K687" s="0" t="n">
        <v>0</v>
      </c>
      <c r="M687" s="1"/>
      <c r="N687" s="1"/>
      <c r="O687" s="1"/>
      <c r="P687" s="1"/>
      <c r="Q687" s="1"/>
      <c r="T687" s="121"/>
      <c r="U687" s="121"/>
      <c r="V687" s="122" t="n">
        <f aca="false">IF(AND(E687&gt;0,F687&gt;0,G687&gt;0),COUNTIFS($E:$E,E687,$F:$F,F687,$G:$G,G687),"")</f>
        <v>1</v>
      </c>
      <c r="W687" s="122" t="n">
        <f aca="false">IF(V687="","",IF(V687=1,1,IF(AND(E686=E687,F686=F687,G686=G687),W686+1,1)))</f>
        <v>1</v>
      </c>
      <c r="X687" s="0" t="n">
        <v>1</v>
      </c>
      <c r="Y687" s="0" t="n">
        <v>5</v>
      </c>
      <c r="Z687" s="0" t="s">
        <v>6301</v>
      </c>
      <c r="AA687" s="0" t="n">
        <v>0</v>
      </c>
      <c r="AB687" s="0" t="s">
        <v>2121</v>
      </c>
      <c r="AE687" s="0" t="n">
        <v>0</v>
      </c>
      <c r="AF687" s="0" t="s">
        <v>6302</v>
      </c>
      <c r="AG687" s="0" t="n">
        <v>0</v>
      </c>
      <c r="AH687" s="0" t="s">
        <v>6303</v>
      </c>
      <c r="AI687" s="0" t="s">
        <v>1123</v>
      </c>
      <c r="AJ687" s="0" t="s">
        <v>322</v>
      </c>
      <c r="AL687" s="0" t="s">
        <v>6304</v>
      </c>
      <c r="AM687" s="0" t="n">
        <v>1</v>
      </c>
      <c r="AN687" s="0" t="s">
        <v>6303</v>
      </c>
      <c r="AO687" s="0" t="s">
        <v>1123</v>
      </c>
      <c r="AP687" s="0" t="s">
        <v>322</v>
      </c>
      <c r="AR687" s="0" t="s">
        <v>6305</v>
      </c>
      <c r="AS687" s="0" t="n">
        <v>1</v>
      </c>
      <c r="AT687" s="0" t="s">
        <v>6303</v>
      </c>
      <c r="AU687" s="0" t="s">
        <v>1123</v>
      </c>
      <c r="AV687" s="0" t="s">
        <v>322</v>
      </c>
      <c r="AX687" s="0" t="s">
        <v>249</v>
      </c>
      <c r="AY687" s="0" t="n">
        <v>0</v>
      </c>
      <c r="AZ687" s="0" t="s">
        <v>4642</v>
      </c>
      <c r="BA687" s="0" t="s">
        <v>6306</v>
      </c>
      <c r="BB687" s="0" t="s">
        <v>411</v>
      </c>
      <c r="BD687" s="0" t="s">
        <v>412</v>
      </c>
      <c r="BE687" s="0" t="n">
        <v>0</v>
      </c>
      <c r="BF687" s="0" t="s">
        <v>6307</v>
      </c>
      <c r="BG687" s="0" t="s">
        <v>438</v>
      </c>
      <c r="BH687" s="0" t="s">
        <v>352</v>
      </c>
      <c r="BR687" s="0" t="n">
        <v>1</v>
      </c>
      <c r="BS687" s="0" t="s">
        <v>6308</v>
      </c>
      <c r="BT687" s="0" t="s">
        <v>6309</v>
      </c>
      <c r="BU687" s="0" t="s">
        <v>6310</v>
      </c>
      <c r="BV687" s="123"/>
      <c r="BW687" s="123"/>
      <c r="BX687" s="123"/>
      <c r="BY687" s="123"/>
      <c r="CA687" s="0" t="s">
        <v>216</v>
      </c>
      <c r="CD687" s="0" t="s">
        <v>370</v>
      </c>
      <c r="CE687" s="0" t="n">
        <v>0</v>
      </c>
      <c r="CF687" s="0" t="s">
        <v>6311</v>
      </c>
      <c r="CI687" s="1" t="n">
        <v>39890</v>
      </c>
      <c r="CJ687" s="1" t="n">
        <v>40729</v>
      </c>
      <c r="CK687" s="124" t="n">
        <v>0.371527777777778</v>
      </c>
      <c r="CL687" s="0" t="s">
        <v>6312</v>
      </c>
      <c r="CM687" s="0" t="n">
        <f aca="false">IF(OR(CI687="",CJ687=""),"",DAYS360(CI687,CJ687)/360)</f>
        <v>2.29722222222222</v>
      </c>
      <c r="CN687" s="0" t="n">
        <f aca="false">IF(OR(CI687="",CJ687=""),"",DAYS360(CI687,CJ687)/30)</f>
        <v>27.5666666666667</v>
      </c>
      <c r="CO687" s="0" t="n">
        <f aca="false">IF(OR(CI687="",CJ687=""),"",DAYS360(CI687,CJ687)/7)</f>
        <v>118.142857142857</v>
      </c>
      <c r="CP687" s="0" t="n">
        <f aca="false">IF(OR(CI687="",CJ687=""),"",DAYS360(CI687,CJ687))</f>
        <v>827</v>
      </c>
      <c r="CQ687" s="0" t="s">
        <v>220</v>
      </c>
      <c r="CR687" s="0" t="n">
        <v>1</v>
      </c>
      <c r="CT687" s="0" t="s">
        <v>216</v>
      </c>
      <c r="CU687" s="0" t="s">
        <v>216</v>
      </c>
      <c r="CV687" s="0" t="str">
        <f aca="false">IF(OR(CT687="",CT687="NO ESPECIFICA",CT687="NO MENCIONA"),"",IF(CU687=0,CT687,IF(CU687=1,CT687/30,IF(CU687=2,CT687/15,IF(CU687=3,CT687/7,"")))))</f>
        <v/>
      </c>
      <c r="CW687" s="125" t="n">
        <v>397.26</v>
      </c>
      <c r="CX687" s="0" t="n">
        <v>0</v>
      </c>
      <c r="CY687" s="0" t="n">
        <f aca="false">IF(CW687="","",IF(CX687=0,CW687,IF(CX687=1,CW687/30,IF(CX687=2,CW687/15,IF(CX687=3,CW687/7,CW687)))))</f>
        <v>397.26</v>
      </c>
      <c r="CZ687" s="0" t="n">
        <f aca="false">IF(DI687&gt;0,DI687,IF(CY687&gt;0,CY687,IF(CV687&gt;0,CV687,"")))</f>
        <v>397.26</v>
      </c>
      <c r="DA687" s="0" t="n">
        <f aca="false">IF(DM687=1,CZ687/8,IF(OR(DM687=2,DM687=4),CZ687/7,IF(DM687=3,CZ687/7.5,"")))</f>
        <v>49.6575</v>
      </c>
      <c r="DB687" s="0" t="s">
        <v>216</v>
      </c>
      <c r="DC687" s="0" t="s">
        <v>216</v>
      </c>
      <c r="DD687" s="0" t="s">
        <v>216</v>
      </c>
      <c r="DE687" s="0" t="s">
        <v>216</v>
      </c>
      <c r="DF687" s="0" t="s">
        <v>216</v>
      </c>
      <c r="DG687" s="0" t="s">
        <v>216</v>
      </c>
      <c r="DH687" s="0" t="n">
        <v>0</v>
      </c>
      <c r="DI687" s="126" t="n">
        <v>397.26</v>
      </c>
      <c r="DK687" s="0" t="n">
        <v>1</v>
      </c>
      <c r="DM687" s="0" t="n">
        <v>1</v>
      </c>
      <c r="DN687" s="0" t="n">
        <v>50</v>
      </c>
      <c r="DO687" s="0" t="n">
        <v>3</v>
      </c>
      <c r="DP687" s="0" t="n">
        <v>1</v>
      </c>
      <c r="DQ687" s="0" t="n">
        <v>1</v>
      </c>
      <c r="DR687" s="0" t="n">
        <v>30000</v>
      </c>
      <c r="DS687" s="0" t="n">
        <v>1</v>
      </c>
      <c r="DU687" s="0" t="n">
        <v>1</v>
      </c>
      <c r="DW687" s="1" t="n">
        <v>39890</v>
      </c>
      <c r="DX687" s="1" t="n">
        <v>40729</v>
      </c>
      <c r="DZ687" s="0"/>
      <c r="EA687" s="0" t="n">
        <v>1</v>
      </c>
      <c r="EC687" s="1" t="n">
        <v>39890</v>
      </c>
      <c r="ED687" s="1" t="n">
        <v>40729</v>
      </c>
      <c r="EF687" s="0"/>
      <c r="EG687" s="0" t="n">
        <v>1</v>
      </c>
      <c r="EH687" s="0" t="n">
        <v>10</v>
      </c>
      <c r="EI687" s="0" t="n">
        <f aca="false">IF(AND(DM687=1,DN687&lt;=48),"",IF(AND(DM687=2,DN687&lt;=42),"",IF(AND(DM687=3,DN687&lt;=45),"",EH687)))</f>
        <v>10</v>
      </c>
      <c r="EJ687" s="0" t="n">
        <f aca="false">IF(EI687="","",IF(EI687&lt;9,EI687,9))</f>
        <v>9</v>
      </c>
      <c r="EK687" s="0" t="n">
        <f aca="false">IF(EI687="","",IF(EI687&gt;9,EI687-EJ687,0))</f>
        <v>1</v>
      </c>
      <c r="EL687" s="0" t="n">
        <f aca="false">IF(EI687="","",EJ687*DA687*2+EK687*DA687*3)</f>
        <v>1042.8075</v>
      </c>
      <c r="EN687" s="0" t="n">
        <v>45498.44</v>
      </c>
      <c r="EP687" s="0" t="n">
        <v>1</v>
      </c>
      <c r="EQ687" s="0" t="n">
        <v>13397.26</v>
      </c>
      <c r="ER687" s="0" t="n">
        <v>0</v>
      </c>
      <c r="ET687" s="0" t="n">
        <v>0</v>
      </c>
      <c r="EV687" s="0" t="n">
        <v>0</v>
      </c>
      <c r="EX687" s="0" t="n">
        <v>1</v>
      </c>
      <c r="EY687" s="0" t="n">
        <v>1</v>
      </c>
      <c r="EZ687" s="4" t="n">
        <v>20000</v>
      </c>
      <c r="FA687" s="4" t="n">
        <v>25666.49</v>
      </c>
      <c r="FB687" s="0" t="n">
        <v>1</v>
      </c>
      <c r="FC687" s="1" t="n">
        <v>40794</v>
      </c>
      <c r="FD687" s="0" t="n">
        <v>2</v>
      </c>
      <c r="FE687" s="0" t="n">
        <v>0</v>
      </c>
      <c r="FF687" s="120" t="n">
        <f aca="false">(CJ687-CI687+1)/365</f>
        <v>2.3013698630137</v>
      </c>
      <c r="FG687" s="0" t="str">
        <f aca="false">CONCATENATE(F687,"/",G687)</f>
        <v>1209/2011</v>
      </c>
      <c r="FH687" s="0" t="n">
        <v>1</v>
      </c>
      <c r="FI687" s="0" t="n">
        <f aca="false">IFERROR(IF((FC687-J687+1)/365&gt;3,0,1),"")</f>
        <v>1</v>
      </c>
    </row>
    <row r="688" customFormat="false" ht="15" hidden="false" customHeight="false" outlineLevel="0" collapsed="false">
      <c r="A688" s="5" t="str">
        <f aca="false">E688&amp;G688&amp;F688</f>
        <v>720111211</v>
      </c>
      <c r="B688" s="0" t="s">
        <v>6231</v>
      </c>
      <c r="C688" s="1" t="n">
        <v>42365</v>
      </c>
      <c r="D688" s="0" t="s">
        <v>1630</v>
      </c>
      <c r="E688" s="0" t="n">
        <v>7</v>
      </c>
      <c r="F688" s="0" t="n">
        <v>1211</v>
      </c>
      <c r="G688" s="0" t="n">
        <v>2011</v>
      </c>
      <c r="H688" s="0" t="str">
        <f aca="false">"J"&amp;E688&amp;"\"&amp;F688&amp;"\"&amp;G688&amp;"\"&amp;W688</f>
        <v>J7\1211\2011\1</v>
      </c>
      <c r="I688" s="0"/>
      <c r="J688" s="1" t="n">
        <v>40738</v>
      </c>
      <c r="K688" s="0" t="n">
        <v>0</v>
      </c>
      <c r="M688" s="1"/>
      <c r="N688" s="1"/>
      <c r="O688" s="1"/>
      <c r="P688" s="1"/>
      <c r="Q688" s="1"/>
      <c r="T688" s="121"/>
      <c r="U688" s="121"/>
      <c r="V688" s="122" t="n">
        <f aca="false">IF(AND(E688&gt;0,F688&gt;0,G688&gt;0),COUNTIFS($E:$E,E688,$F:$F,F688,$G:$G,G688),"")</f>
        <v>1</v>
      </c>
      <c r="W688" s="122" t="n">
        <f aca="false">IF(V688="","",IF(V688=1,1,IF(AND(E687=E688,F687=F688,G687=G688),W687+1,1)))</f>
        <v>1</v>
      </c>
      <c r="X688" s="0" t="n">
        <v>1</v>
      </c>
      <c r="Y688" s="0" t="n">
        <v>1</v>
      </c>
      <c r="Z688" s="0" t="s">
        <v>6313</v>
      </c>
      <c r="AA688" s="0" t="n">
        <v>0</v>
      </c>
      <c r="AB688" s="0" t="s">
        <v>6314</v>
      </c>
      <c r="AC688" s="0" t="s">
        <v>1160</v>
      </c>
      <c r="AD688" s="0" t="s">
        <v>229</v>
      </c>
      <c r="AE688" s="0" t="n">
        <v>0</v>
      </c>
      <c r="AF688" s="0" t="s">
        <v>6315</v>
      </c>
      <c r="AG688" s="0" t="n">
        <v>0</v>
      </c>
      <c r="AH688" s="0" t="s">
        <v>6316</v>
      </c>
      <c r="AI688" s="0" t="s">
        <v>6197</v>
      </c>
      <c r="AJ688" s="0" t="s">
        <v>322</v>
      </c>
      <c r="BR688" s="0" t="n">
        <v>1</v>
      </c>
      <c r="BS688" s="0" t="s">
        <v>6317</v>
      </c>
      <c r="BT688" s="0" t="s">
        <v>6318</v>
      </c>
      <c r="BU688" s="0" t="s">
        <v>6319</v>
      </c>
      <c r="BV688" s="123"/>
      <c r="BW688" s="123"/>
      <c r="BX688" s="123"/>
      <c r="BY688" s="123"/>
      <c r="CA688" s="0" t="s">
        <v>216</v>
      </c>
      <c r="CD688" s="0" t="s">
        <v>370</v>
      </c>
      <c r="CE688" s="0" t="n">
        <v>0</v>
      </c>
      <c r="CF688" s="0" t="s">
        <v>6320</v>
      </c>
      <c r="CI688" s="1" t="n">
        <v>40239</v>
      </c>
      <c r="CJ688" s="1" t="n">
        <v>40721</v>
      </c>
      <c r="CK688" s="124" t="n">
        <v>0.416666666666667</v>
      </c>
      <c r="CL688" s="0" t="s">
        <v>6321</v>
      </c>
      <c r="CM688" s="0" t="n">
        <f aca="false">IF(OR(CI688="",CJ688=""),"",DAYS360(CI688,CJ688)/360)</f>
        <v>1.31944444444444</v>
      </c>
      <c r="CN688" s="0" t="n">
        <f aca="false">IF(OR(CI688="",CJ688=""),"",DAYS360(CI688,CJ688)/30)</f>
        <v>15.8333333333333</v>
      </c>
      <c r="CO688" s="0" t="n">
        <f aca="false">IF(OR(CI688="",CJ688=""),"",DAYS360(CI688,CJ688)/7)</f>
        <v>67.8571428571429</v>
      </c>
      <c r="CP688" s="0" t="n">
        <f aca="false">IF(OR(CI688="",CJ688=""),"",DAYS360(CI688,CJ688))</f>
        <v>475</v>
      </c>
      <c r="CQ688" s="0" t="s">
        <v>240</v>
      </c>
      <c r="CR688" s="0" t="n">
        <v>1</v>
      </c>
      <c r="CT688" s="0" t="s">
        <v>221</v>
      </c>
      <c r="CU688" s="0" t="s">
        <v>221</v>
      </c>
      <c r="CV688" s="0" t="str">
        <f aca="false">IF(OR(CT688="",CT688="NO ESPECIFICA",CT688="NO MENCIONA"),"",IF(CU688=0,CT688,IF(CU688=1,CT688/30,IF(CU688=2,CT688/15,IF(CU688=3,CT688/7,"")))))</f>
        <v/>
      </c>
      <c r="CW688" s="125" t="n">
        <v>830</v>
      </c>
      <c r="CX688" s="0" t="n">
        <v>3</v>
      </c>
      <c r="CY688" s="0" t="n">
        <f aca="false">IF(CW688="","",IF(CX688=0,CW688,IF(CX688=1,CW688/30,IF(CX688=2,CW688/15,IF(CX688=3,CW688/7,CW688)))))</f>
        <v>118.571428571429</v>
      </c>
      <c r="CZ688" s="0" t="n">
        <f aca="false">IF(DI688&gt;0,DI688,IF(CY688&gt;0,CY688,IF(CV688&gt;0,CV688,"")))</f>
        <v>118.571428571429</v>
      </c>
      <c r="DA688" s="0" t="n">
        <f aca="false">IF(DM688=1,CZ688/8,IF(OR(DM688=2,DM688=4),CZ688/7,IF(DM688=3,CZ688/7.5,"")))</f>
        <v>14.8214285714286</v>
      </c>
      <c r="DB688" s="0" t="s">
        <v>216</v>
      </c>
      <c r="DC688" s="0" t="s">
        <v>216</v>
      </c>
      <c r="DD688" s="0" t="s">
        <v>216</v>
      </c>
      <c r="DE688" s="0" t="s">
        <v>216</v>
      </c>
      <c r="DF688" s="0" t="s">
        <v>216</v>
      </c>
      <c r="DG688" s="0" t="s">
        <v>216</v>
      </c>
      <c r="DH688" s="0" t="n">
        <v>0</v>
      </c>
      <c r="DI688" s="126" t="n">
        <v>118.571428571429</v>
      </c>
      <c r="DK688" s="0" t="n">
        <v>0</v>
      </c>
      <c r="DM688" s="0" t="n">
        <v>1</v>
      </c>
      <c r="DN688" s="0" t="n">
        <v>72</v>
      </c>
      <c r="DO688" s="0" t="n">
        <v>3</v>
      </c>
      <c r="DP688" s="0" t="n">
        <v>0</v>
      </c>
      <c r="DQ688" s="0" t="n">
        <v>1</v>
      </c>
      <c r="DR688" s="0"/>
      <c r="DS688" s="0" t="n">
        <v>1</v>
      </c>
      <c r="DU688" s="0" t="n">
        <v>1</v>
      </c>
      <c r="DW688" s="1" t="n">
        <v>40239</v>
      </c>
      <c r="DX688" s="1" t="n">
        <v>40721</v>
      </c>
      <c r="DZ688" s="0"/>
      <c r="EA688" s="0" t="n">
        <v>1</v>
      </c>
      <c r="EC688" s="1" t="n">
        <v>40239</v>
      </c>
      <c r="ED688" s="1" t="n">
        <v>40721</v>
      </c>
      <c r="EF688" s="0"/>
      <c r="EG688" s="0" t="n">
        <v>1</v>
      </c>
      <c r="EH688" s="0" t="n">
        <v>18</v>
      </c>
      <c r="EI688" s="0" t="n">
        <f aca="false">IF(AND(DM688=1,DN688&lt;=48),"",IF(AND(DM688=2,DN688&lt;=42),"",IF(AND(DM688=3,DN688&lt;=45),"",EH688)))</f>
        <v>18</v>
      </c>
      <c r="EJ688" s="0" t="n">
        <f aca="false">IF(EI688="","",IF(EI688&lt;9,EI688,9))</f>
        <v>9</v>
      </c>
      <c r="EK688" s="0" t="n">
        <f aca="false">IF(EI688="","",IF(EI688&gt;9,EI688-EJ688,0))</f>
        <v>9</v>
      </c>
      <c r="EL688" s="0" t="n">
        <f aca="false">IF(EI688="","",EJ688*DA688*2+EK688*DA688*3)</f>
        <v>666.964285714286</v>
      </c>
      <c r="EP688" s="0" t="n">
        <v>0</v>
      </c>
      <c r="EQ688" s="0"/>
      <c r="ER688" s="0" t="n">
        <v>0</v>
      </c>
      <c r="ET688" s="0" t="n">
        <v>0</v>
      </c>
      <c r="EV688" s="0" t="n">
        <v>0</v>
      </c>
      <c r="EX688" s="0" t="n">
        <v>0</v>
      </c>
      <c r="EY688" s="0" t="n">
        <v>1</v>
      </c>
      <c r="EZ688" s="0"/>
      <c r="FA688" s="4" t="n">
        <v>711.428571428572</v>
      </c>
      <c r="FB688" s="0" t="n">
        <v>0</v>
      </c>
      <c r="FC688" s="1" t="n">
        <v>41008</v>
      </c>
      <c r="FD688" s="0" t="n">
        <v>4</v>
      </c>
      <c r="FE688" s="0" t="n">
        <v>0</v>
      </c>
      <c r="FF688" s="120" t="n">
        <f aca="false">(CJ688-CI688+1)/365</f>
        <v>1.32328767123288</v>
      </c>
      <c r="FG688" s="0" t="str">
        <f aca="false">CONCATENATE(F688,"/",G688)</f>
        <v>1211/2011</v>
      </c>
      <c r="FH688" s="0" t="n">
        <v>1</v>
      </c>
      <c r="FI688" s="0" t="n">
        <f aca="false">IFERROR(IF((FC688-J688+1)/365&gt;3,0,1),"")</f>
        <v>1</v>
      </c>
    </row>
    <row r="689" customFormat="false" ht="15" hidden="false" customHeight="false" outlineLevel="0" collapsed="false">
      <c r="A689" s="5" t="str">
        <f aca="false">E689&amp;G689&amp;F689</f>
        <v>720111210</v>
      </c>
      <c r="B689" s="0" t="s">
        <v>6231</v>
      </c>
      <c r="C689" s="1" t="n">
        <v>42366</v>
      </c>
      <c r="E689" s="0" t="n">
        <v>7</v>
      </c>
      <c r="F689" s="0" t="n">
        <v>1210</v>
      </c>
      <c r="G689" s="0" t="n">
        <v>2011</v>
      </c>
      <c r="H689" s="0" t="str">
        <f aca="false">"J"&amp;E689&amp;"\"&amp;F689&amp;"\"&amp;G689&amp;"\"&amp;W689</f>
        <v>J7\1210\2011\1</v>
      </c>
      <c r="I689" s="0"/>
      <c r="J689" s="1" t="n">
        <v>40738</v>
      </c>
      <c r="K689" s="0" t="n">
        <v>0</v>
      </c>
      <c r="M689" s="1" t="n">
        <v>40738</v>
      </c>
      <c r="N689" s="1" t="n">
        <v>40932</v>
      </c>
      <c r="O689" s="1"/>
      <c r="P689" s="1"/>
      <c r="Q689" s="1"/>
      <c r="T689" s="121"/>
      <c r="U689" s="121"/>
      <c r="V689" s="122" t="n">
        <f aca="false">IF(AND(E689&gt;0,F689&gt;0,G689&gt;0),COUNTIFS($E:$E,E689,$F:$F,F689,$G:$G,G689),"")</f>
        <v>1</v>
      </c>
      <c r="W689" s="122" t="n">
        <f aca="false">IF(V689="","",IF(V689=1,1,IF(AND(E688=E689,F688=F689,G688=G689),W688+1,1)))</f>
        <v>1</v>
      </c>
      <c r="X689" s="0" t="n">
        <v>1</v>
      </c>
      <c r="Y689" s="0" t="n">
        <v>6</v>
      </c>
      <c r="Z689" s="0" t="s">
        <v>6322</v>
      </c>
      <c r="AA689" s="0" t="n">
        <v>0</v>
      </c>
      <c r="AB689" s="0" t="s">
        <v>5290</v>
      </c>
      <c r="AC689" s="0" t="s">
        <v>1757</v>
      </c>
      <c r="AD689" s="0" t="s">
        <v>411</v>
      </c>
      <c r="AE689" s="0" t="n">
        <v>0</v>
      </c>
      <c r="AF689" s="0" t="s">
        <v>6323</v>
      </c>
      <c r="AG689" s="0" t="n">
        <v>0</v>
      </c>
      <c r="AH689" s="0" t="s">
        <v>6324</v>
      </c>
      <c r="AI689" s="0" t="s">
        <v>6325</v>
      </c>
      <c r="AJ689" s="0" t="s">
        <v>659</v>
      </c>
      <c r="AL689" s="0" t="s">
        <v>6326</v>
      </c>
      <c r="AM689" s="0" t="n">
        <v>0</v>
      </c>
      <c r="AN689" s="0" t="s">
        <v>6324</v>
      </c>
      <c r="AO689" s="0" t="s">
        <v>6325</v>
      </c>
      <c r="AP689" s="0" t="s">
        <v>659</v>
      </c>
      <c r="AR689" s="0" t="s">
        <v>6327</v>
      </c>
      <c r="AS689" s="0" t="n">
        <v>1</v>
      </c>
      <c r="AT689" s="0" t="s">
        <v>6324</v>
      </c>
      <c r="AU689" s="0" t="s">
        <v>6325</v>
      </c>
      <c r="AV689" s="0" t="s">
        <v>659</v>
      </c>
      <c r="AX689" s="0" t="s">
        <v>6328</v>
      </c>
      <c r="AY689" s="0" t="n">
        <v>1</v>
      </c>
      <c r="AZ689" s="0" t="s">
        <v>6324</v>
      </c>
      <c r="BA689" s="0" t="s">
        <v>6325</v>
      </c>
      <c r="BB689" s="0" t="s">
        <v>659</v>
      </c>
      <c r="BD689" s="0" t="s">
        <v>213</v>
      </c>
      <c r="BE689" s="0" t="n">
        <v>1</v>
      </c>
      <c r="BF689" s="0" t="s">
        <v>6324</v>
      </c>
      <c r="BG689" s="0" t="s">
        <v>6325</v>
      </c>
      <c r="BH689" s="0" t="s">
        <v>659</v>
      </c>
      <c r="BJ689" s="0" t="s">
        <v>249</v>
      </c>
      <c r="BK689" s="0" t="n">
        <v>0</v>
      </c>
      <c r="BL689" s="0" t="s">
        <v>964</v>
      </c>
      <c r="BM689" s="0" t="s">
        <v>410</v>
      </c>
      <c r="BN689" s="0" t="s">
        <v>411</v>
      </c>
      <c r="BR689" s="0" t="n">
        <v>1</v>
      </c>
      <c r="BS689" s="0" t="s">
        <v>6329</v>
      </c>
      <c r="BT689" s="0" t="s">
        <v>6330</v>
      </c>
      <c r="BU689" s="0" t="s">
        <v>6331</v>
      </c>
      <c r="BV689" s="123"/>
      <c r="BW689" s="123"/>
      <c r="BX689" s="123"/>
      <c r="BY689" s="123"/>
      <c r="CA689" s="0" t="s">
        <v>216</v>
      </c>
      <c r="CD689" s="0" t="s">
        <v>296</v>
      </c>
      <c r="CE689" s="0" t="n">
        <v>0</v>
      </c>
      <c r="CF689" s="0" t="s">
        <v>6332</v>
      </c>
      <c r="CI689" s="1" t="n">
        <v>39524</v>
      </c>
      <c r="CJ689" s="1" t="n">
        <v>40729</v>
      </c>
      <c r="CK689" s="124" t="n">
        <v>0.625</v>
      </c>
      <c r="CL689" s="0" t="s">
        <v>6333</v>
      </c>
      <c r="CM689" s="0" t="n">
        <f aca="false">IF(OR(CI689="",CJ689=""),"",DAYS360(CI689,CJ689)/360)</f>
        <v>3.3</v>
      </c>
      <c r="CN689" s="0" t="n">
        <f aca="false">IF(OR(CI689="",CJ689=""),"",DAYS360(CI689,CJ689)/30)</f>
        <v>39.6</v>
      </c>
      <c r="CO689" s="0" t="n">
        <f aca="false">IF(OR(CI689="",CJ689=""),"",DAYS360(CI689,CJ689)/7)</f>
        <v>169.714285714286</v>
      </c>
      <c r="CP689" s="0" t="n">
        <f aca="false">IF(OR(CI689="",CJ689=""),"",DAYS360(CI689,CJ689))</f>
        <v>1188</v>
      </c>
      <c r="CQ689" s="0" t="s">
        <v>220</v>
      </c>
      <c r="CR689" s="0" t="n">
        <v>1</v>
      </c>
      <c r="CT689" s="0" t="n">
        <v>106.66</v>
      </c>
      <c r="CU689" s="0" t="n">
        <v>0</v>
      </c>
      <c r="CV689" s="0" t="n">
        <f aca="false">IF(OR(CT689="",CT689="NO ESPECIFICA",CT689="NO MENCIONA"),"",IF(CU689=0,CT689,IF(CU689=1,CT689/30,IF(CU689=2,CT689/15,IF(CU689=3,CT689/7,"")))))</f>
        <v>106.66</v>
      </c>
      <c r="CW689" s="125" t="n">
        <v>620.73</v>
      </c>
      <c r="CX689" s="0" t="n">
        <v>0</v>
      </c>
      <c r="CY689" s="0" t="n">
        <f aca="false">IF(CW689="","",IF(CX689=0,CW689,IF(CX689=1,CW689/30,IF(CX689=2,CW689/15,IF(CX689=3,CW689/7,CW689)))))</f>
        <v>620.73</v>
      </c>
      <c r="CZ689" s="0" t="n">
        <f aca="false">IF(DI689&gt;0,DI689,IF(CY689&gt;0,CY689,IF(CV689&gt;0,CV689,"")))</f>
        <v>620.73</v>
      </c>
      <c r="DA689" s="0" t="n">
        <f aca="false">IF(DM689=1,CZ689/8,IF(OR(DM689=2,DM689=4),CZ689/7,IF(DM689=3,CZ689/7.5,"")))</f>
        <v>82.764</v>
      </c>
      <c r="DB689" s="0" t="s">
        <v>302</v>
      </c>
      <c r="DC689" s="0" t="s">
        <v>303</v>
      </c>
      <c r="DD689" s="0" t="s">
        <v>301</v>
      </c>
      <c r="DE689" s="0" t="s">
        <v>5051</v>
      </c>
      <c r="DF689" s="0" t="s">
        <v>300</v>
      </c>
      <c r="DG689" s="0" t="s">
        <v>6334</v>
      </c>
      <c r="DH689" s="0" t="n">
        <v>0</v>
      </c>
      <c r="DI689" s="126" t="n">
        <v>620.73</v>
      </c>
      <c r="DK689" s="0" t="n">
        <v>1</v>
      </c>
      <c r="DM689" s="0" t="n">
        <v>3</v>
      </c>
      <c r="DN689" s="0" t="n">
        <v>51</v>
      </c>
      <c r="DO689" s="0" t="n">
        <v>3</v>
      </c>
      <c r="DP689" s="0" t="n">
        <v>1</v>
      </c>
      <c r="DQ689" s="0" t="n">
        <v>1</v>
      </c>
      <c r="DR689" s="0"/>
      <c r="DS689" s="0" t="n">
        <v>1</v>
      </c>
      <c r="DU689" s="0" t="n">
        <v>1</v>
      </c>
      <c r="DW689" s="1" t="n">
        <v>39524</v>
      </c>
      <c r="DX689" s="1" t="n">
        <v>40729</v>
      </c>
      <c r="DZ689" s="0"/>
      <c r="EA689" s="0" t="n">
        <v>1</v>
      </c>
      <c r="EC689" s="1" t="n">
        <v>39524</v>
      </c>
      <c r="ED689" s="1" t="n">
        <v>40729</v>
      </c>
      <c r="EF689" s="0"/>
      <c r="EG689" s="0" t="n">
        <v>1</v>
      </c>
      <c r="EH689" s="0" t="n">
        <v>12</v>
      </c>
      <c r="EI689" s="0" t="n">
        <f aca="false">IF(AND(DM689=1,DN689&lt;=48),"",IF(AND(DM689=2,DN689&lt;=42),"",IF(AND(DM689=3,DN689&lt;=45),"",EH689)))</f>
        <v>12</v>
      </c>
      <c r="EJ689" s="0" t="n">
        <f aca="false">IF(EI689="","",IF(EI689&lt;9,EI689,9))</f>
        <v>9</v>
      </c>
      <c r="EK689" s="0" t="n">
        <f aca="false">IF(EI689="","",IF(EI689&gt;9,EI689-EJ689,0))</f>
        <v>3</v>
      </c>
      <c r="EL689" s="0" t="n">
        <f aca="false">IF(EI689="","",EJ689*DA689*2+EK689*DA689*3)</f>
        <v>2234.628</v>
      </c>
      <c r="EP689" s="0" t="n">
        <v>1</v>
      </c>
      <c r="EQ689" s="0"/>
      <c r="ER689" s="0" t="n">
        <v>1</v>
      </c>
      <c r="ET689" s="0" t="n">
        <v>1</v>
      </c>
      <c r="EV689" s="0" t="n">
        <v>1</v>
      </c>
      <c r="EX689" s="0" t="n">
        <v>1</v>
      </c>
      <c r="EY689" s="0" t="n">
        <v>1</v>
      </c>
      <c r="EZ689" s="4" t="n">
        <v>28013.13</v>
      </c>
      <c r="FA689" s="4" t="n">
        <v>21725.55</v>
      </c>
      <c r="FB689" s="0" t="n">
        <v>1</v>
      </c>
      <c r="FC689" s="1" t="n">
        <v>40876</v>
      </c>
      <c r="FD689" s="0" t="n">
        <v>1</v>
      </c>
      <c r="FE689" s="0" t="n">
        <v>35000</v>
      </c>
      <c r="FF689" s="120" t="n">
        <f aca="false">(CJ689-CI689+1)/365</f>
        <v>3.3041095890411</v>
      </c>
      <c r="FG689" s="0" t="str">
        <f aca="false">CONCATENATE(F689,"/",G689)</f>
        <v>1210/2011</v>
      </c>
      <c r="FH689" s="0" t="n">
        <v>1</v>
      </c>
      <c r="FI689" s="0" t="n">
        <f aca="false">IFERROR(IF((FC689-J689+1)/365&gt;3,0,1),"")</f>
        <v>1</v>
      </c>
    </row>
    <row r="690" customFormat="false" ht="15" hidden="false" customHeight="false" outlineLevel="0" collapsed="false">
      <c r="A690" s="5" t="str">
        <f aca="false">E690&amp;G690&amp;F690</f>
        <v>720111212</v>
      </c>
      <c r="B690" s="0" t="s">
        <v>6231</v>
      </c>
      <c r="C690" s="1" t="n">
        <v>42366</v>
      </c>
      <c r="D690" s="0" t="s">
        <v>1630</v>
      </c>
      <c r="E690" s="0" t="n">
        <v>7</v>
      </c>
      <c r="F690" s="0" t="n">
        <v>1212</v>
      </c>
      <c r="G690" s="0" t="n">
        <v>2011</v>
      </c>
      <c r="H690" s="0" t="str">
        <f aca="false">"J"&amp;E690&amp;"\"&amp;F690&amp;"\"&amp;G690&amp;"\"&amp;W690</f>
        <v>J7\1212\2011\1</v>
      </c>
      <c r="I690" s="0"/>
      <c r="J690" s="1" t="n">
        <v>40738</v>
      </c>
      <c r="K690" s="0" t="n">
        <v>0</v>
      </c>
      <c r="M690" s="1"/>
      <c r="N690" s="1"/>
      <c r="O690" s="1"/>
      <c r="P690" s="1"/>
      <c r="Q690" s="1"/>
      <c r="T690" s="121"/>
      <c r="U690" s="121"/>
      <c r="V690" s="122" t="n">
        <f aca="false">IF(AND(E690&gt;0,F690&gt;0,G690&gt;0),COUNTIFS($E:$E,E690,$F:$F,F690,$G:$G,G690),"")</f>
        <v>1</v>
      </c>
      <c r="W690" s="122" t="n">
        <f aca="false">IF(V690="","",IF(V690=1,1,IF(AND(E689=E690,F689=F690,G689=G690),W689+1,1)))</f>
        <v>1</v>
      </c>
      <c r="X690" s="0" t="n">
        <v>1</v>
      </c>
      <c r="Y690" s="0" t="n">
        <v>5</v>
      </c>
      <c r="Z690" s="0" t="s">
        <v>6335</v>
      </c>
      <c r="AA690" s="0" t="n">
        <v>0</v>
      </c>
      <c r="AB690" s="0" t="s">
        <v>6336</v>
      </c>
      <c r="AC690" s="0" t="s">
        <v>274</v>
      </c>
      <c r="AD690" s="0" t="s">
        <v>229</v>
      </c>
      <c r="AE690" s="0" t="n">
        <v>0</v>
      </c>
      <c r="AF690" s="0" t="s">
        <v>6337</v>
      </c>
      <c r="AG690" s="0" t="n">
        <v>0</v>
      </c>
      <c r="AH690" s="0" t="s">
        <v>6338</v>
      </c>
      <c r="AI690" s="0" t="s">
        <v>1123</v>
      </c>
      <c r="AJ690" s="0" t="s">
        <v>322</v>
      </c>
      <c r="AL690" s="0" t="s">
        <v>6339</v>
      </c>
      <c r="AM690" s="0" t="n">
        <v>1</v>
      </c>
      <c r="AN690" s="0" t="s">
        <v>6338</v>
      </c>
      <c r="AO690" s="0" t="s">
        <v>1123</v>
      </c>
      <c r="AP690" s="0" t="s">
        <v>322</v>
      </c>
      <c r="AR690" s="0" t="s">
        <v>6340</v>
      </c>
      <c r="AS690" s="0" t="n">
        <v>1</v>
      </c>
      <c r="AT690" s="0" t="s">
        <v>6338</v>
      </c>
      <c r="AU690" s="0" t="s">
        <v>1123</v>
      </c>
      <c r="AV690" s="0" t="s">
        <v>322</v>
      </c>
      <c r="AX690" s="0" t="s">
        <v>6341</v>
      </c>
      <c r="AY690" s="0" t="n">
        <v>0</v>
      </c>
      <c r="AZ690" s="0" t="s">
        <v>6342</v>
      </c>
      <c r="BA690" s="0" t="s">
        <v>728</v>
      </c>
      <c r="BB690" s="0" t="s">
        <v>659</v>
      </c>
      <c r="BD690" s="0" t="s">
        <v>213</v>
      </c>
      <c r="BE690" s="0" t="n">
        <v>1</v>
      </c>
      <c r="BF690" s="0" t="s">
        <v>6338</v>
      </c>
      <c r="BG690" s="0" t="s">
        <v>1123</v>
      </c>
      <c r="BH690" s="0" t="s">
        <v>322</v>
      </c>
      <c r="BR690" s="0" t="n">
        <v>1</v>
      </c>
      <c r="BS690" s="0" t="s">
        <v>6343</v>
      </c>
      <c r="BT690" s="0" t="s">
        <v>5147</v>
      </c>
      <c r="BU690" s="0" t="s">
        <v>6344</v>
      </c>
      <c r="BV690" s="123"/>
      <c r="BW690" s="123"/>
      <c r="BX690" s="123"/>
      <c r="BY690" s="123"/>
      <c r="CA690" s="0" t="s">
        <v>6345</v>
      </c>
      <c r="CD690" s="0" t="s">
        <v>357</v>
      </c>
      <c r="CE690" s="0" t="n">
        <v>0</v>
      </c>
      <c r="CF690" s="0" t="s">
        <v>6346</v>
      </c>
      <c r="CI690" s="1" t="n">
        <v>39736</v>
      </c>
      <c r="CJ690" s="1" t="n">
        <v>40676</v>
      </c>
      <c r="CK690" s="124" t="n">
        <v>0.416666666666667</v>
      </c>
      <c r="CL690" s="0" t="s">
        <v>6340</v>
      </c>
      <c r="CM690" s="0" t="n">
        <f aca="false">IF(OR(CI690="",CJ690=""),"",DAYS360(CI690,CJ690)/360)</f>
        <v>2.57777777777778</v>
      </c>
      <c r="CN690" s="0" t="n">
        <f aca="false">IF(OR(CI690="",CJ690=""),"",DAYS360(CI690,CJ690)/30)</f>
        <v>30.9333333333333</v>
      </c>
      <c r="CO690" s="0" t="n">
        <f aca="false">IF(OR(CI690="",CJ690=""),"",DAYS360(CI690,CJ690)/7)</f>
        <v>132.571428571429</v>
      </c>
      <c r="CP690" s="0" t="n">
        <f aca="false">IF(OR(CI690="",CJ690=""),"",DAYS360(CI690,CJ690))</f>
        <v>928</v>
      </c>
      <c r="CQ690" s="0" t="s">
        <v>240</v>
      </c>
      <c r="CR690" s="0" t="n">
        <v>1</v>
      </c>
      <c r="CT690" s="0" t="n">
        <v>5000</v>
      </c>
      <c r="CU690" s="0" t="n">
        <v>2</v>
      </c>
      <c r="CV690" s="0" t="n">
        <f aca="false">IF(OR(CT690="",CT690="NO ESPECIFICA",CT690="NO MENCIONA"),"",IF(CU690=0,CT690,IF(CU690=1,CT690/30,IF(CU690=2,CT690/15,IF(CU690=3,CT690/7,"")))))</f>
        <v>333.333333333333</v>
      </c>
      <c r="CW690" s="125" t="s">
        <v>216</v>
      </c>
      <c r="CX690" s="0" t="s">
        <v>216</v>
      </c>
      <c r="CY690" s="0" t="str">
        <f aca="false">IF(CW690="","",IF(CX690=0,CW690,IF(CX690=1,CW690/30,IF(CX690=2,CW690/15,IF(CX690=3,CW690/7,CW690)))))</f>
        <v>NO MENCIONA</v>
      </c>
      <c r="CZ690" s="0" t="n">
        <f aca="false">IF(DI690&gt;0,DI690,IF(CY690&gt;0,CY690,IF(CV690&gt;0,CV690,"")))</f>
        <v>1070.66333333333</v>
      </c>
      <c r="DA690" s="0" t="n">
        <f aca="false">IF(DM690=1,CZ690/8,IF(OR(DM690=2,DM690=4),CZ690/7,IF(DM690=3,CZ690/7.5,"")))</f>
        <v>133.832916666667</v>
      </c>
      <c r="DB690" s="0" t="s">
        <v>6347</v>
      </c>
      <c r="DC690" s="0" t="s">
        <v>3099</v>
      </c>
      <c r="DD690" s="0" t="s">
        <v>6348</v>
      </c>
      <c r="DE690" s="0" t="s">
        <v>258</v>
      </c>
      <c r="DF690" s="0" t="s">
        <v>1020</v>
      </c>
      <c r="DG690" s="0" t="s">
        <v>299</v>
      </c>
      <c r="DH690" s="0" t="n">
        <v>0</v>
      </c>
      <c r="DI690" s="126" t="n">
        <v>1070.66333333333</v>
      </c>
      <c r="DK690" s="0" t="n">
        <v>1</v>
      </c>
      <c r="DM690" s="0" t="n">
        <v>1</v>
      </c>
      <c r="DN690" s="0" t="n">
        <v>70</v>
      </c>
      <c r="DO690" s="0" t="n">
        <v>3</v>
      </c>
      <c r="DP690" s="0" t="n">
        <v>0</v>
      </c>
      <c r="DQ690" s="0" t="n">
        <v>1</v>
      </c>
      <c r="DR690" s="0"/>
      <c r="DS690" s="0" t="n">
        <v>0</v>
      </c>
      <c r="DU690" s="0" t="n">
        <v>1</v>
      </c>
      <c r="DW690" s="1" t="n">
        <v>39736</v>
      </c>
      <c r="DX690" s="1" t="n">
        <v>40676</v>
      </c>
      <c r="DZ690" s="0"/>
      <c r="EA690" s="0" t="n">
        <v>1</v>
      </c>
      <c r="EC690" s="1" t="n">
        <v>39736</v>
      </c>
      <c r="ED690" s="1" t="n">
        <v>40676</v>
      </c>
      <c r="EF690" s="0"/>
      <c r="EG690" s="0" t="n">
        <v>1</v>
      </c>
      <c r="EH690" s="0" t="n">
        <v>14</v>
      </c>
      <c r="EI690" s="0" t="n">
        <f aca="false">IF(AND(DM690=1,DN690&lt;=48),"",IF(AND(DM690=2,DN690&lt;=42),"",IF(AND(DM690=3,DN690&lt;=45),"",EH690)))</f>
        <v>14</v>
      </c>
      <c r="EJ690" s="0" t="n">
        <f aca="false">IF(EI690="","",IF(EI690&lt;9,EI690,9))</f>
        <v>9</v>
      </c>
      <c r="EK690" s="0" t="n">
        <f aca="false">IF(EI690="","",IF(EI690&gt;9,EI690-EJ690,0))</f>
        <v>5</v>
      </c>
      <c r="EL690" s="0" t="n">
        <f aca="false">IF(EI690="","",EJ690*DA690*2+EK690*DA690*3)</f>
        <v>4416.48625</v>
      </c>
      <c r="EP690" s="0" t="n">
        <v>0</v>
      </c>
      <c r="EQ690" s="0"/>
      <c r="ER690" s="0" t="n">
        <v>1</v>
      </c>
      <c r="ET690" s="0" t="n">
        <v>0</v>
      </c>
      <c r="EV690" s="0" t="n">
        <v>0</v>
      </c>
      <c r="EX690" s="0" t="n">
        <v>0</v>
      </c>
      <c r="EY690" s="0" t="n">
        <v>0</v>
      </c>
      <c r="EZ690" s="0"/>
      <c r="FA690" s="4" t="n">
        <v>145728</v>
      </c>
      <c r="FB690" s="0" t="n">
        <v>0</v>
      </c>
      <c r="FC690" s="1" t="n">
        <v>41099</v>
      </c>
      <c r="FD690" s="0" t="n">
        <v>1</v>
      </c>
      <c r="FE690" s="0" t="n">
        <v>33000</v>
      </c>
      <c r="FF690" s="120" t="n">
        <f aca="false">(CJ690-CI690+1)/365</f>
        <v>2.57808219178082</v>
      </c>
      <c r="FG690" s="0" t="str">
        <f aca="false">CONCATENATE(F690,"/",G690)</f>
        <v>1212/2011</v>
      </c>
      <c r="FH690" s="0" t="n">
        <v>1</v>
      </c>
      <c r="FI690" s="0" t="n">
        <f aca="false">IFERROR(IF((FC690-J690+1)/365&gt;3,0,1),"")</f>
        <v>1</v>
      </c>
    </row>
    <row r="691" customFormat="false" ht="15" hidden="false" customHeight="false" outlineLevel="0" collapsed="false">
      <c r="A691" s="5" t="str">
        <f aca="false">E691&amp;G691&amp;F691</f>
        <v>720111219</v>
      </c>
      <c r="B691" s="0" t="s">
        <v>6231</v>
      </c>
      <c r="C691" s="1" t="n">
        <v>42366</v>
      </c>
      <c r="D691" s="0" t="s">
        <v>1630</v>
      </c>
      <c r="E691" s="0" t="n">
        <v>7</v>
      </c>
      <c r="F691" s="0" t="n">
        <v>1219</v>
      </c>
      <c r="G691" s="0" t="n">
        <v>2011</v>
      </c>
      <c r="H691" s="0" t="str">
        <f aca="false">"J"&amp;E691&amp;"\"&amp;F691&amp;"\"&amp;G691&amp;"\"&amp;W691</f>
        <v>J7\1219\2011\1</v>
      </c>
      <c r="I691" s="0"/>
      <c r="J691" s="1" t="n">
        <v>40738</v>
      </c>
      <c r="K691" s="0" t="n">
        <v>0</v>
      </c>
      <c r="M691" s="1"/>
      <c r="N691" s="1"/>
      <c r="O691" s="1"/>
      <c r="P691" s="1"/>
      <c r="Q691" s="1"/>
      <c r="T691" s="121"/>
      <c r="U691" s="121"/>
      <c r="V691" s="122" t="n">
        <f aca="false">IF(AND(E691&gt;0,F691&gt;0,G691&gt;0),COUNTIFS($E:$E,E691,$F:$F,F691,$G:$G,G691),"")</f>
        <v>1</v>
      </c>
      <c r="W691" s="122" t="n">
        <f aca="false">IF(V691="","",IF(V691=1,1,IF(AND(E690=E691,F690=F691,G690=G691),W690+1,1)))</f>
        <v>1</v>
      </c>
      <c r="X691" s="0" t="n">
        <v>1</v>
      </c>
      <c r="Y691" s="0" t="n">
        <v>5</v>
      </c>
      <c r="Z691" s="0" t="s">
        <v>6349</v>
      </c>
      <c r="AA691" s="0" t="n">
        <v>0</v>
      </c>
      <c r="AB691" s="0" t="s">
        <v>1802</v>
      </c>
      <c r="AC691" s="0" t="s">
        <v>1661</v>
      </c>
      <c r="AD691" s="0" t="s">
        <v>221</v>
      </c>
      <c r="AE691" s="0" t="n">
        <v>0</v>
      </c>
      <c r="AF691" s="0" t="s">
        <v>6350</v>
      </c>
      <c r="AG691" s="0" t="n">
        <v>0</v>
      </c>
      <c r="AH691" s="0" t="s">
        <v>6351</v>
      </c>
      <c r="AI691" s="0" t="s">
        <v>1123</v>
      </c>
      <c r="AJ691" s="0" t="s">
        <v>322</v>
      </c>
      <c r="AL691" s="0" t="s">
        <v>6352</v>
      </c>
      <c r="AM691" s="0" t="n">
        <v>0</v>
      </c>
      <c r="AN691" s="0" t="s">
        <v>6351</v>
      </c>
      <c r="AO691" s="0" t="s">
        <v>1123</v>
      </c>
      <c r="AP691" s="0" t="s">
        <v>322</v>
      </c>
      <c r="AR691" s="0" t="s">
        <v>6353</v>
      </c>
      <c r="AS691" s="0" t="n">
        <v>0</v>
      </c>
      <c r="AT691" s="0" t="s">
        <v>6351</v>
      </c>
      <c r="AU691" s="0" t="s">
        <v>1123</v>
      </c>
      <c r="AV691" s="0" t="s">
        <v>322</v>
      </c>
      <c r="AX691" s="0" t="s">
        <v>6354</v>
      </c>
      <c r="AY691" s="0" t="n">
        <v>1</v>
      </c>
      <c r="AZ691" s="0" t="s">
        <v>6351</v>
      </c>
      <c r="BA691" s="0" t="s">
        <v>1123</v>
      </c>
      <c r="BB691" s="0" t="s">
        <v>322</v>
      </c>
      <c r="BD691" s="0" t="s">
        <v>6355</v>
      </c>
      <c r="BE691" s="0" t="n">
        <v>1</v>
      </c>
      <c r="BF691" s="0" t="s">
        <v>6351</v>
      </c>
      <c r="BG691" s="0" t="s">
        <v>1123</v>
      </c>
      <c r="BH691" s="0" t="s">
        <v>322</v>
      </c>
      <c r="BR691" s="0" t="n">
        <v>1</v>
      </c>
      <c r="BS691" s="0" t="s">
        <v>1273</v>
      </c>
      <c r="BT691" s="0" t="s">
        <v>1272</v>
      </c>
      <c r="BU691" s="0" t="s">
        <v>1809</v>
      </c>
      <c r="BV691" s="123"/>
      <c r="BW691" s="123"/>
      <c r="BX691" s="123"/>
      <c r="BY691" s="123"/>
      <c r="CA691" s="0" t="s">
        <v>216</v>
      </c>
      <c r="CD691" s="0" t="s">
        <v>296</v>
      </c>
      <c r="CE691" s="0" t="n">
        <v>0</v>
      </c>
      <c r="CF691" s="0" t="s">
        <v>6356</v>
      </c>
      <c r="CI691" s="1" t="n">
        <v>38631</v>
      </c>
      <c r="CJ691" s="1" t="n">
        <v>40719</v>
      </c>
      <c r="CK691" s="124" t="n">
        <v>0.375</v>
      </c>
      <c r="CL691" s="0" t="s">
        <v>6357</v>
      </c>
      <c r="CM691" s="0" t="n">
        <f aca="false">IF(OR(CI691="",CJ691=""),"",DAYS360(CI691,CJ691)/360)</f>
        <v>5.71944444444444</v>
      </c>
      <c r="CN691" s="0" t="n">
        <f aca="false">IF(OR(CI691="",CJ691=""),"",DAYS360(CI691,CJ691)/30)</f>
        <v>68.6333333333333</v>
      </c>
      <c r="CO691" s="0" t="n">
        <f aca="false">IF(OR(CI691="",CJ691=""),"",DAYS360(CI691,CJ691)/7)</f>
        <v>294.142857142857</v>
      </c>
      <c r="CP691" s="0" t="n">
        <f aca="false">IF(OR(CI691="",CJ691=""),"",DAYS360(CI691,CJ691))</f>
        <v>2059</v>
      </c>
      <c r="CQ691" s="0" t="s">
        <v>240</v>
      </c>
      <c r="CR691" s="0" t="n">
        <v>1</v>
      </c>
      <c r="CT691" s="0" t="s">
        <v>221</v>
      </c>
      <c r="CU691" s="0" t="s">
        <v>221</v>
      </c>
      <c r="CV691" s="0" t="str">
        <f aca="false">IF(OR(CT691="",CT691="NO ESPECIFICA",CT691="NO MENCIONA"),"",IF(CU691=0,CT691,IF(CU691=1,CT691/30,IF(CU691=2,CT691/15,IF(CU691=3,CT691/7,"")))))</f>
        <v/>
      </c>
      <c r="CW691" s="125" t="n">
        <v>11000</v>
      </c>
      <c r="CX691" s="0" t="n">
        <v>1</v>
      </c>
      <c r="CY691" s="0" t="n">
        <f aca="false">IF(CW691="","",IF(CX691=0,CW691,IF(CX691=1,CW691/30,IF(CX691=2,CW691/15,IF(CX691=3,CW691/7,CW691)))))</f>
        <v>366.666666666667</v>
      </c>
      <c r="CZ691" s="0" t="n">
        <f aca="false">IF(DI691&gt;0,DI691,IF(CY691&gt;0,CY691,IF(CV691&gt;0,CV691,"")))</f>
        <v>366.666666666667</v>
      </c>
      <c r="DA691" s="0" t="n">
        <f aca="false">IF(DM691=1,CZ691/8,IF(OR(DM691=2,DM691=4),CZ691/7,IF(DM691=3,CZ691/7.5,"")))</f>
        <v>45.8333333333333</v>
      </c>
      <c r="DB691" s="0" t="s">
        <v>216</v>
      </c>
      <c r="DC691" s="0" t="s">
        <v>216</v>
      </c>
      <c r="DD691" s="0" t="s">
        <v>216</v>
      </c>
      <c r="DE691" s="0" t="s">
        <v>216</v>
      </c>
      <c r="DF691" s="0" t="s">
        <v>216</v>
      </c>
      <c r="DG691" s="0" t="s">
        <v>216</v>
      </c>
      <c r="DH691" s="0" t="n">
        <v>0</v>
      </c>
      <c r="DI691" s="126" t="n">
        <v>366.666666666667</v>
      </c>
      <c r="DK691" s="0" t="n">
        <v>0</v>
      </c>
      <c r="DM691" s="0" t="n">
        <v>1</v>
      </c>
      <c r="DN691" s="0" t="n">
        <v>72</v>
      </c>
      <c r="DO691" s="0" t="n">
        <v>3</v>
      </c>
      <c r="DP691" s="0" t="n">
        <v>0</v>
      </c>
      <c r="DQ691" s="0" t="n">
        <v>1</v>
      </c>
      <c r="DR691" s="0"/>
      <c r="DS691" s="0" t="n">
        <v>1</v>
      </c>
      <c r="DU691" s="0" t="n">
        <v>1</v>
      </c>
      <c r="DW691" s="1" t="n">
        <v>38631</v>
      </c>
      <c r="DX691" s="1" t="n">
        <v>40719</v>
      </c>
      <c r="DZ691" s="0"/>
      <c r="EA691" s="0" t="n">
        <v>1</v>
      </c>
      <c r="EC691" s="1" t="n">
        <v>38631</v>
      </c>
      <c r="ED691" s="1" t="n">
        <v>40719</v>
      </c>
      <c r="EF691" s="0"/>
      <c r="EG691" s="0" t="n">
        <v>1</v>
      </c>
      <c r="EH691" s="0" t="n">
        <v>18</v>
      </c>
      <c r="EI691" s="0" t="n">
        <f aca="false">IF(AND(DM691=1,DN691&lt;=48),"",IF(AND(DM691=2,DN691&lt;=42),"",IF(AND(DM691=3,DN691&lt;=45),"",EH691)))</f>
        <v>18</v>
      </c>
      <c r="EJ691" s="0" t="n">
        <f aca="false">IF(EI691="","",IF(EI691&lt;9,EI691,9))</f>
        <v>9</v>
      </c>
      <c r="EK691" s="0" t="n">
        <f aca="false">IF(EI691="","",IF(EI691&gt;9,EI691-EJ691,0))</f>
        <v>9</v>
      </c>
      <c r="EL691" s="0" t="n">
        <f aca="false">IF(EI691="","",EJ691*DA691*2+EK691*DA691*3)</f>
        <v>2062.5</v>
      </c>
      <c r="EP691" s="0" t="n">
        <v>0</v>
      </c>
      <c r="EQ691" s="0"/>
      <c r="ER691" s="0" t="n">
        <v>1</v>
      </c>
      <c r="ET691" s="0" t="n">
        <v>1</v>
      </c>
      <c r="EV691" s="0" t="n">
        <v>1</v>
      </c>
      <c r="EX691" s="0" t="n">
        <v>0</v>
      </c>
      <c r="EY691" s="0" t="n">
        <v>0</v>
      </c>
      <c r="EZ691" s="0"/>
      <c r="FA691" s="4" t="n">
        <v>22366.6666666667</v>
      </c>
      <c r="FB691" s="0" t="n">
        <v>1</v>
      </c>
      <c r="FC691" s="1" t="n">
        <v>41067</v>
      </c>
      <c r="FD691" s="0" t="n">
        <v>1</v>
      </c>
      <c r="FE691" s="0" t="n">
        <v>28000</v>
      </c>
      <c r="FF691" s="120" t="n">
        <f aca="false">(CJ691-CI691+1)/365</f>
        <v>5.72328767123288</v>
      </c>
      <c r="FG691" s="0" t="str">
        <f aca="false">CONCATENATE(F691,"/",G691)</f>
        <v>1219/2011</v>
      </c>
      <c r="FH691" s="0" t="n">
        <v>1</v>
      </c>
      <c r="FI691" s="0" t="n">
        <f aca="false">IFERROR(IF((FC691-J691+1)/365&gt;3,0,1),"")</f>
        <v>1</v>
      </c>
    </row>
    <row r="692" customFormat="false" ht="15" hidden="false" customHeight="false" outlineLevel="0" collapsed="false">
      <c r="A692" s="5" t="str">
        <f aca="false">E692&amp;G692&amp;F692</f>
        <v>720111225</v>
      </c>
      <c r="B692" s="0" t="s">
        <v>6231</v>
      </c>
      <c r="C692" s="1" t="n">
        <v>42367</v>
      </c>
      <c r="D692" s="0" t="s">
        <v>6358</v>
      </c>
      <c r="E692" s="0" t="n">
        <v>7</v>
      </c>
      <c r="F692" s="0" t="n">
        <v>1225</v>
      </c>
      <c r="G692" s="0" t="n">
        <v>2011</v>
      </c>
      <c r="H692" s="0" t="str">
        <f aca="false">"J"&amp;E692&amp;"\"&amp;F692&amp;"\"&amp;G692&amp;"\"&amp;W692</f>
        <v>J7\1225\2011\1</v>
      </c>
      <c r="I692" s="0"/>
      <c r="J692" s="1" t="n">
        <v>40739</v>
      </c>
      <c r="K692" s="0" t="n">
        <v>0</v>
      </c>
      <c r="M692" s="1"/>
      <c r="N692" s="1"/>
      <c r="O692" s="1"/>
      <c r="P692" s="1"/>
      <c r="Q692" s="1"/>
      <c r="T692" s="121"/>
      <c r="U692" s="121"/>
      <c r="V692" s="122" t="n">
        <f aca="false">IF(AND(E692&gt;0,F692&gt;0,G692&gt;0),COUNTIFS($E:$E,E692,$F:$F,F692,$G:$G,G692),"")</f>
        <v>1</v>
      </c>
      <c r="W692" s="122" t="n">
        <f aca="false">IF(V692="","",IF(V692=1,1,IF(AND(E691=E692,F691=F692,G691=G692),W691+1,1)))</f>
        <v>1</v>
      </c>
      <c r="X692" s="0" t="n">
        <v>1</v>
      </c>
      <c r="Y692" s="0" t="n">
        <v>2</v>
      </c>
      <c r="Z692" s="0" t="s">
        <v>6359</v>
      </c>
      <c r="AA692" s="0" t="n">
        <v>0</v>
      </c>
      <c r="AB692" s="0" t="s">
        <v>6360</v>
      </c>
      <c r="AC692" s="0" t="s">
        <v>287</v>
      </c>
      <c r="AD692" s="0" t="s">
        <v>221</v>
      </c>
      <c r="AE692" s="0" t="n">
        <v>0</v>
      </c>
      <c r="AF692" s="0" t="s">
        <v>2334</v>
      </c>
      <c r="AG692" s="0" t="n">
        <v>0</v>
      </c>
      <c r="AH692" s="0" t="s">
        <v>2335</v>
      </c>
      <c r="AI692" s="0" t="s">
        <v>287</v>
      </c>
      <c r="AJ692" s="0" t="s">
        <v>221</v>
      </c>
      <c r="AL692" s="0" t="s">
        <v>1637</v>
      </c>
      <c r="AM692" s="0" t="n">
        <v>1</v>
      </c>
      <c r="AN692" s="0" t="s">
        <v>2335</v>
      </c>
      <c r="AO692" s="0" t="s">
        <v>287</v>
      </c>
      <c r="AP692" s="0" t="s">
        <v>221</v>
      </c>
      <c r="BR692" s="0" t="n">
        <v>1</v>
      </c>
      <c r="BS692" s="0" t="s">
        <v>6361</v>
      </c>
      <c r="BT692" s="0" t="s">
        <v>6362</v>
      </c>
      <c r="BU692" s="0" t="s">
        <v>6363</v>
      </c>
      <c r="BV692" s="123"/>
      <c r="BW692" s="123"/>
      <c r="BX692" s="123"/>
      <c r="BY692" s="123"/>
      <c r="CA692" s="0" t="s">
        <v>216</v>
      </c>
      <c r="CD692" s="0" t="s">
        <v>296</v>
      </c>
      <c r="CE692" s="0" t="n">
        <v>0</v>
      </c>
      <c r="CF692" s="0" t="s">
        <v>4234</v>
      </c>
      <c r="CI692" s="1" t="n">
        <v>40575</v>
      </c>
      <c r="CJ692" s="1" t="n">
        <v>40711</v>
      </c>
      <c r="CK692" s="124" t="n">
        <v>0.791666666666667</v>
      </c>
      <c r="CL692" s="0" t="s">
        <v>6364</v>
      </c>
      <c r="CM692" s="0" t="n">
        <f aca="false">IF(OR(CI692="",CJ692=""),"",DAYS360(CI692,CJ692)/360)</f>
        <v>0.377777777777778</v>
      </c>
      <c r="CN692" s="0" t="n">
        <f aca="false">IF(OR(CI692="",CJ692=""),"",DAYS360(CI692,CJ692)/30)</f>
        <v>4.53333333333333</v>
      </c>
      <c r="CO692" s="0" t="n">
        <f aca="false">IF(OR(CI692="",CJ692=""),"",DAYS360(CI692,CJ692)/7)</f>
        <v>19.4285714285714</v>
      </c>
      <c r="CP692" s="0" t="n">
        <f aca="false">IF(OR(CI692="",CJ692=""),"",DAYS360(CI692,CJ692))</f>
        <v>136</v>
      </c>
      <c r="CQ692" s="0" t="s">
        <v>240</v>
      </c>
      <c r="CR692" s="0" t="n">
        <v>1</v>
      </c>
      <c r="CT692" s="0" t="s">
        <v>221</v>
      </c>
      <c r="CU692" s="0" t="s">
        <v>221</v>
      </c>
      <c r="CV692" s="0" t="str">
        <f aca="false">IF(OR(CT692="",CT692="NO ESPECIFICA",CT692="NO MENCIONA"),"",IF(CU692=0,CT692,IF(CU692=1,CT692/30,IF(CU692=2,CT692/15,IF(CU692=3,CT692/7,"")))))</f>
        <v/>
      </c>
      <c r="CW692" s="125" t="n">
        <v>5334.98</v>
      </c>
      <c r="CX692" s="0" t="n">
        <v>1</v>
      </c>
      <c r="CY692" s="0" t="n">
        <f aca="false">IF(CW692="","",IF(CX692=0,CW692,IF(CX692=1,CW692/30,IF(CX692=2,CW692/15,IF(CX692=3,CW692/7,CW692)))))</f>
        <v>177.832666666667</v>
      </c>
      <c r="CZ692" s="0" t="n">
        <f aca="false">IF(DI692&gt;0,DI692,IF(CY692&gt;0,CY692,IF(CV692&gt;0,CV692,"")))</f>
        <v>177.832666666667</v>
      </c>
      <c r="DA692" s="0" t="n">
        <f aca="false">IF(DM692=1,CZ692/8,IF(OR(DM692=2,DM692=4),CZ692/7,IF(DM692=3,CZ692/7.5,"")))</f>
        <v>22.2290833333333</v>
      </c>
      <c r="DB692" s="0" t="s">
        <v>216</v>
      </c>
      <c r="DC692" s="0" t="s">
        <v>216</v>
      </c>
      <c r="DD692" s="0" t="s">
        <v>216</v>
      </c>
      <c r="DE692" s="0" t="s">
        <v>216</v>
      </c>
      <c r="DF692" s="0" t="s">
        <v>216</v>
      </c>
      <c r="DG692" s="0" t="s">
        <v>216</v>
      </c>
      <c r="DH692" s="0" t="n">
        <v>0</v>
      </c>
      <c r="DI692" s="126" t="n">
        <v>177.832666666667</v>
      </c>
      <c r="DK692" s="0" t="n">
        <v>1</v>
      </c>
      <c r="DM692" s="0" t="n">
        <v>1</v>
      </c>
      <c r="DN692" s="0" t="n">
        <v>8</v>
      </c>
      <c r="DO692" s="0" t="n">
        <v>0</v>
      </c>
      <c r="DP692" s="0" t="n">
        <v>0</v>
      </c>
      <c r="DQ692" s="0" t="n">
        <v>1</v>
      </c>
      <c r="DR692" s="0"/>
      <c r="DS692" s="0" t="n">
        <v>0</v>
      </c>
      <c r="DU692" s="0" t="n">
        <v>1</v>
      </c>
      <c r="DW692" s="1" t="s">
        <v>221</v>
      </c>
      <c r="DX692" s="1" t="s">
        <v>221</v>
      </c>
      <c r="DY692" s="0" t="s">
        <v>221</v>
      </c>
      <c r="DZ692" s="0" t="s">
        <v>221</v>
      </c>
      <c r="EA692" s="0" t="n">
        <v>1</v>
      </c>
      <c r="EC692" s="1" t="s">
        <v>221</v>
      </c>
      <c r="ED692" s="1" t="s">
        <v>221</v>
      </c>
      <c r="EE692" s="0" t="s">
        <v>221</v>
      </c>
      <c r="EF692" s="0" t="s">
        <v>221</v>
      </c>
      <c r="EG692" s="0" t="n">
        <v>0</v>
      </c>
      <c r="EI692" s="0" t="str">
        <f aca="false">IF(AND(DM692=1,DN692&lt;=48),"",IF(AND(DM692=2,DN692&lt;=42),"",IF(AND(DM692=3,DN692&lt;=45),"",EH692)))</f>
        <v/>
      </c>
      <c r="EJ692" s="0" t="str">
        <f aca="false">IF(EI692="","",IF(EI692&lt;9,EI692,9))</f>
        <v/>
      </c>
      <c r="EK692" s="0" t="str">
        <f aca="false">IF(EI692="","",IF(EI692&gt;9,EI692-EJ692,0))</f>
        <v/>
      </c>
      <c r="EL692" s="0" t="str">
        <f aca="false">IF(EI692="","",EJ692*DA692*2+EK692*DA692*3)</f>
        <v/>
      </c>
      <c r="EP692" s="0" t="n">
        <v>0</v>
      </c>
      <c r="EQ692" s="0"/>
      <c r="ER692" s="0" t="n">
        <v>0</v>
      </c>
      <c r="ET692" s="0" t="n">
        <v>0</v>
      </c>
      <c r="EV692" s="0" t="n">
        <v>0</v>
      </c>
      <c r="EX692" s="0" t="n">
        <v>0</v>
      </c>
      <c r="EY692" s="0" t="n">
        <v>0</v>
      </c>
      <c r="EZ692" s="0"/>
      <c r="FA692" s="4" t="n">
        <v>0</v>
      </c>
      <c r="FB692" s="0" t="n">
        <v>0</v>
      </c>
      <c r="FC692" s="1" t="n">
        <v>41236</v>
      </c>
      <c r="FD692" s="0" t="n">
        <v>1</v>
      </c>
      <c r="FE692" s="0" t="n">
        <v>15000</v>
      </c>
      <c r="FF692" s="120" t="n">
        <f aca="false">(CJ692-CI692+1)/365</f>
        <v>0.375342465753425</v>
      </c>
      <c r="FG692" s="0" t="str">
        <f aca="false">CONCATENATE(F692,"/",G692)</f>
        <v>1225/2011</v>
      </c>
      <c r="FH692" s="0" t="n">
        <v>1</v>
      </c>
      <c r="FI692" s="0" t="n">
        <f aca="false">IFERROR(IF((FC692-J692+1)/365&gt;3,0,1),"")</f>
        <v>1</v>
      </c>
    </row>
    <row r="693" customFormat="false" ht="15" hidden="false" customHeight="false" outlineLevel="0" collapsed="false">
      <c r="A693" s="5" t="str">
        <f aca="false">E693&amp;G693&amp;F693</f>
        <v>720111228</v>
      </c>
      <c r="B693" s="0" t="s">
        <v>6231</v>
      </c>
      <c r="C693" s="1" t="n">
        <v>42367</v>
      </c>
      <c r="D693" s="0" t="s">
        <v>6365</v>
      </c>
      <c r="E693" s="0" t="n">
        <v>7</v>
      </c>
      <c r="F693" s="0" t="n">
        <v>1228</v>
      </c>
      <c r="G693" s="0" t="n">
        <v>2011</v>
      </c>
      <c r="H693" s="0" t="str">
        <f aca="false">"J"&amp;E693&amp;"\"&amp;F693&amp;"\"&amp;G693&amp;"\"&amp;W693</f>
        <v>J7\1228\2011\1</v>
      </c>
      <c r="I693" s="0"/>
      <c r="J693" s="1" t="n">
        <v>40739</v>
      </c>
      <c r="K693" s="0" t="n">
        <v>0</v>
      </c>
      <c r="M693" s="1"/>
      <c r="N693" s="1"/>
      <c r="O693" s="1"/>
      <c r="P693" s="1"/>
      <c r="Q693" s="1"/>
      <c r="T693" s="121"/>
      <c r="U693" s="121"/>
      <c r="V693" s="122" t="n">
        <f aca="false">IF(AND(E693&gt;0,F693&gt;0,G693&gt;0),COUNTIFS($E:$E,E693,$F:$F,F693,$G:$G,G693),"")</f>
        <v>1</v>
      </c>
      <c r="W693" s="122" t="n">
        <f aca="false">IF(V693="","",IF(V693=1,1,IF(AND(E692=E693,F692=F693,G692=G693),W692+1,1)))</f>
        <v>1</v>
      </c>
      <c r="X693" s="0" t="n">
        <v>1</v>
      </c>
      <c r="Y693" s="0" t="n">
        <v>1</v>
      </c>
      <c r="Z693" s="0" t="s">
        <v>6366</v>
      </c>
      <c r="AA693" s="0" t="n">
        <v>0</v>
      </c>
      <c r="AB693" s="0" t="s">
        <v>6367</v>
      </c>
      <c r="AC693" s="0" t="s">
        <v>318</v>
      </c>
      <c r="AD693" s="0" t="s">
        <v>221</v>
      </c>
      <c r="AE693" s="0" t="n">
        <v>0</v>
      </c>
      <c r="AF693" s="0" t="s">
        <v>6368</v>
      </c>
      <c r="AG693" s="0" t="n">
        <v>0</v>
      </c>
      <c r="AH693" s="0" t="s">
        <v>6369</v>
      </c>
      <c r="AI693" s="0" t="s">
        <v>728</v>
      </c>
      <c r="AJ693" s="0" t="s">
        <v>352</v>
      </c>
      <c r="BR693" s="0" t="n">
        <v>1</v>
      </c>
      <c r="BS693" s="0" t="s">
        <v>823</v>
      </c>
      <c r="BT693" s="0" t="s">
        <v>1427</v>
      </c>
      <c r="BU693" s="0" t="s">
        <v>6370</v>
      </c>
      <c r="BV693" s="123"/>
      <c r="BW693" s="123"/>
      <c r="BX693" s="123"/>
      <c r="BY693" s="123"/>
      <c r="CA693" s="0" t="s">
        <v>1430</v>
      </c>
      <c r="CD693" s="0" t="s">
        <v>216</v>
      </c>
      <c r="CE693" s="0" t="n">
        <v>0</v>
      </c>
      <c r="CF693" s="0" t="s">
        <v>6371</v>
      </c>
      <c r="CI693" s="1" t="n">
        <v>40581</v>
      </c>
      <c r="CJ693" s="1" t="n">
        <v>40723</v>
      </c>
      <c r="CK693" s="124" t="n">
        <v>0.416666666666667</v>
      </c>
      <c r="CL693" s="0" t="s">
        <v>6372</v>
      </c>
      <c r="CM693" s="0" t="n">
        <f aca="false">IF(OR(CI693="",CJ693=""),"",DAYS360(CI693,CJ693)/360)</f>
        <v>0.394444444444444</v>
      </c>
      <c r="CN693" s="0" t="n">
        <f aca="false">IF(OR(CI693="",CJ693=""),"",DAYS360(CI693,CJ693)/30)</f>
        <v>4.73333333333333</v>
      </c>
      <c r="CO693" s="0" t="n">
        <f aca="false">IF(OR(CI693="",CJ693=""),"",DAYS360(CI693,CJ693)/7)</f>
        <v>20.2857142857143</v>
      </c>
      <c r="CP693" s="0" t="n">
        <f aca="false">IF(OR(CI693="",CJ693=""),"",DAYS360(CI693,CJ693))</f>
        <v>142</v>
      </c>
      <c r="CQ693" s="0" t="s">
        <v>240</v>
      </c>
      <c r="CR693" s="0" t="n">
        <v>1</v>
      </c>
      <c r="CT693" s="0" t="s">
        <v>221</v>
      </c>
      <c r="CU693" s="0" t="s">
        <v>221</v>
      </c>
      <c r="CV693" s="0" t="str">
        <f aca="false">IF(OR(CT693="",CT693="NO ESPECIFICA",CT693="NO MENCIONA"),"",IF(CU693=0,CT693,IF(CU693=1,CT693/30,IF(CU693=2,CT693/15,IF(CU693=3,CT693/7,"")))))</f>
        <v/>
      </c>
      <c r="CW693" s="125" t="n">
        <v>200</v>
      </c>
      <c r="CX693" s="0" t="n">
        <v>0</v>
      </c>
      <c r="CY693" s="0" t="n">
        <f aca="false">IF(CW693="","",IF(CX693=0,CW693,IF(CX693=1,CW693/30,IF(CX693=2,CW693/15,IF(CX693=3,CW693/7,CW693)))))</f>
        <v>200</v>
      </c>
      <c r="CZ693" s="0" t="n">
        <f aca="false">IF(DI693&gt;0,DI693,IF(CY693&gt;0,CY693,IF(CV693&gt;0,CV693,"")))</f>
        <v>200</v>
      </c>
      <c r="DA693" s="0" t="n">
        <f aca="false">IF(DM693=1,CZ693/8,IF(OR(DM693=2,DM693=4),CZ693/7,IF(DM693=3,CZ693/7.5,"")))</f>
        <v>25</v>
      </c>
      <c r="DB693" s="0" t="s">
        <v>216</v>
      </c>
      <c r="DC693" s="0" t="s">
        <v>216</v>
      </c>
      <c r="DD693" s="0" t="s">
        <v>216</v>
      </c>
      <c r="DE693" s="0" t="s">
        <v>216</v>
      </c>
      <c r="DF693" s="0" t="s">
        <v>216</v>
      </c>
      <c r="DG693" s="0" t="s">
        <v>216</v>
      </c>
      <c r="DH693" s="0" t="n">
        <v>0</v>
      </c>
      <c r="DI693" s="126" t="n">
        <v>200</v>
      </c>
      <c r="DK693" s="0" t="n">
        <v>1</v>
      </c>
      <c r="DM693" s="0" t="n">
        <v>1</v>
      </c>
      <c r="DN693" s="0" t="n">
        <v>54</v>
      </c>
      <c r="DO693" s="0" t="n">
        <v>3</v>
      </c>
      <c r="DP693" s="0" t="n">
        <v>0</v>
      </c>
      <c r="DQ693" s="0" t="n">
        <v>1</v>
      </c>
      <c r="DR693" s="0"/>
      <c r="DS693" s="0" t="n">
        <v>1</v>
      </c>
      <c r="DU693" s="0" t="n">
        <v>1</v>
      </c>
      <c r="DW693" s="1" t="n">
        <v>40581</v>
      </c>
      <c r="DX693" s="1" t="n">
        <v>40723</v>
      </c>
      <c r="DZ693" s="0"/>
      <c r="EA693" s="0" t="n">
        <v>1</v>
      </c>
      <c r="EC693" s="1" t="n">
        <v>40581</v>
      </c>
      <c r="ED693" s="1" t="n">
        <v>40723</v>
      </c>
      <c r="EF693" s="0"/>
      <c r="EG693" s="0" t="n">
        <v>1</v>
      </c>
      <c r="EH693" s="0" t="n">
        <v>6</v>
      </c>
      <c r="EI693" s="0" t="n">
        <f aca="false">IF(AND(DM693=1,DN693&lt;=48),"",IF(AND(DM693=2,DN693&lt;=42),"",IF(AND(DM693=3,DN693&lt;=45),"",EH693)))</f>
        <v>6</v>
      </c>
      <c r="EJ693" s="0" t="n">
        <f aca="false">IF(EI693="","",IF(EI693&lt;9,EI693,9))</f>
        <v>6</v>
      </c>
      <c r="EK693" s="0" t="n">
        <f aca="false">IF(EI693="","",IF(EI693&gt;9,EI693-EJ693,0))</f>
        <v>0</v>
      </c>
      <c r="EL693" s="0" t="n">
        <f aca="false">IF(EI693="","",EJ693*DA693*2+EK693*DA693*3)</f>
        <v>300</v>
      </c>
      <c r="EP693" s="0" t="n">
        <v>0</v>
      </c>
      <c r="EQ693" s="0"/>
      <c r="ER693" s="0" t="n">
        <v>0</v>
      </c>
      <c r="ET693" s="0" t="n">
        <v>0</v>
      </c>
      <c r="EV693" s="0" t="n">
        <v>0</v>
      </c>
      <c r="EX693" s="0" t="n">
        <v>0</v>
      </c>
      <c r="EY693" s="0" t="n">
        <v>0</v>
      </c>
      <c r="EZ693" s="0"/>
      <c r="FA693" s="4" t="n">
        <v>5400</v>
      </c>
      <c r="FB693" s="0" t="n">
        <v>0</v>
      </c>
      <c r="FC693" s="1" t="n">
        <v>41163</v>
      </c>
      <c r="FD693" s="0" t="n">
        <v>1</v>
      </c>
      <c r="FE693" s="0" t="n">
        <v>9000</v>
      </c>
      <c r="FF693" s="120" t="n">
        <f aca="false">(CJ693-CI693+1)/365</f>
        <v>0.391780821917808</v>
      </c>
      <c r="FG693" s="0" t="str">
        <f aca="false">CONCATENATE(F693,"/",G693)</f>
        <v>1228/2011</v>
      </c>
      <c r="FH693" s="0" t="n">
        <v>1</v>
      </c>
      <c r="FI693" s="0" t="n">
        <f aca="false">IFERROR(IF((FC693-J693+1)/365&gt;3,0,1),"")</f>
        <v>1</v>
      </c>
    </row>
    <row r="694" customFormat="false" ht="15" hidden="false" customHeight="false" outlineLevel="0" collapsed="false">
      <c r="A694" s="5" t="str">
        <f aca="false">E694&amp;G694&amp;F694</f>
        <v>720111229</v>
      </c>
      <c r="B694" s="0" t="s">
        <v>6231</v>
      </c>
      <c r="C694" s="1" t="n">
        <v>42367</v>
      </c>
      <c r="D694" s="0" t="s">
        <v>1630</v>
      </c>
      <c r="E694" s="0" t="n">
        <v>7</v>
      </c>
      <c r="F694" s="0" t="n">
        <v>1229</v>
      </c>
      <c r="G694" s="0" t="n">
        <v>2011</v>
      </c>
      <c r="H694" s="0" t="str">
        <f aca="false">"J"&amp;E694&amp;"\"&amp;F694&amp;"\"&amp;G694&amp;"\"&amp;W694</f>
        <v>J7\1229\2011\1</v>
      </c>
      <c r="I694" s="0"/>
      <c r="J694" s="1" t="n">
        <v>40739</v>
      </c>
      <c r="K694" s="0" t="n">
        <v>0</v>
      </c>
      <c r="M694" s="1"/>
      <c r="N694" s="1"/>
      <c r="O694" s="1"/>
      <c r="P694" s="1"/>
      <c r="Q694" s="1"/>
      <c r="T694" s="121"/>
      <c r="U694" s="121"/>
      <c r="V694" s="122" t="n">
        <f aca="false">IF(AND(E694&gt;0,F694&gt;0,G694&gt;0),COUNTIFS($E:$E,E694,$F:$F,F694,$G:$G,G694),"")</f>
        <v>1</v>
      </c>
      <c r="W694" s="122" t="n">
        <f aca="false">IF(V694="","",IF(V694=1,1,IF(AND(E693=E694,F693=F694,G693=G694),W693+1,1)))</f>
        <v>1</v>
      </c>
      <c r="X694" s="0" t="n">
        <v>1</v>
      </c>
      <c r="Y694" s="0" t="n">
        <v>4</v>
      </c>
      <c r="Z694" s="0" t="s">
        <v>6373</v>
      </c>
      <c r="AA694" s="0" t="n">
        <v>0</v>
      </c>
      <c r="AB694" s="0" t="s">
        <v>6374</v>
      </c>
      <c r="AC694" s="0" t="s">
        <v>1661</v>
      </c>
      <c r="AD694" s="0" t="s">
        <v>221</v>
      </c>
      <c r="AE694" s="0" t="n">
        <v>0</v>
      </c>
      <c r="AF694" s="0" t="s">
        <v>6375</v>
      </c>
      <c r="AG694" s="0" t="n">
        <v>0</v>
      </c>
      <c r="AH694" s="0" t="s">
        <v>6376</v>
      </c>
      <c r="AI694" s="0" t="s">
        <v>363</v>
      </c>
      <c r="AJ694" s="0" t="s">
        <v>352</v>
      </c>
      <c r="AL694" s="0" t="s">
        <v>6377</v>
      </c>
      <c r="AM694" s="0" t="n">
        <v>0</v>
      </c>
      <c r="AN694" s="0" t="s">
        <v>6376</v>
      </c>
      <c r="AO694" s="0" t="s">
        <v>363</v>
      </c>
      <c r="AP694" s="0" t="s">
        <v>352</v>
      </c>
      <c r="AR694" s="0" t="s">
        <v>6378</v>
      </c>
      <c r="AS694" s="0" t="n">
        <v>1</v>
      </c>
      <c r="AT694" s="0" t="s">
        <v>6376</v>
      </c>
      <c r="AU694" s="0" t="s">
        <v>363</v>
      </c>
      <c r="AV694" s="0" t="s">
        <v>352</v>
      </c>
      <c r="AX694" s="0" t="s">
        <v>6379</v>
      </c>
      <c r="AY694" s="0" t="n">
        <v>1</v>
      </c>
      <c r="AZ694" s="0" t="s">
        <v>6376</v>
      </c>
      <c r="BA694" s="0" t="s">
        <v>363</v>
      </c>
      <c r="BB694" s="0" t="s">
        <v>352</v>
      </c>
      <c r="BR694" s="0" t="n">
        <v>1</v>
      </c>
      <c r="BS694" s="0" t="s">
        <v>5038</v>
      </c>
      <c r="BT694" s="0" t="s">
        <v>1809</v>
      </c>
      <c r="BU694" s="0" t="s">
        <v>6380</v>
      </c>
      <c r="BV694" s="123"/>
      <c r="BW694" s="123"/>
      <c r="BX694" s="123"/>
      <c r="BY694" s="123"/>
      <c r="CA694" s="0" t="s">
        <v>216</v>
      </c>
      <c r="CD694" s="0" t="s">
        <v>216</v>
      </c>
      <c r="CE694" s="0" t="n">
        <v>0</v>
      </c>
      <c r="CF694" s="0" t="s">
        <v>6381</v>
      </c>
      <c r="CI694" s="1" t="n">
        <v>40309</v>
      </c>
      <c r="CJ694" s="1" t="n">
        <v>40738</v>
      </c>
      <c r="CK694" s="124" t="n">
        <v>0.375</v>
      </c>
      <c r="CL694" s="0" t="s">
        <v>6379</v>
      </c>
      <c r="CM694" s="0" t="n">
        <f aca="false">IF(OR(CI694="",CJ694=""),"",DAYS360(CI694,CJ694)/360)</f>
        <v>1.175</v>
      </c>
      <c r="CN694" s="0" t="n">
        <f aca="false">IF(OR(CI694="",CJ694=""),"",DAYS360(CI694,CJ694)/30)</f>
        <v>14.1</v>
      </c>
      <c r="CO694" s="0" t="n">
        <f aca="false">IF(OR(CI694="",CJ694=""),"",DAYS360(CI694,CJ694)/7)</f>
        <v>60.4285714285714</v>
      </c>
      <c r="CP694" s="0" t="n">
        <f aca="false">IF(OR(CI694="",CJ694=""),"",DAYS360(CI694,CJ694))</f>
        <v>423</v>
      </c>
      <c r="CQ694" s="0" t="s">
        <v>240</v>
      </c>
      <c r="CR694" s="0" t="n">
        <v>1</v>
      </c>
      <c r="CT694" s="0" t="s">
        <v>221</v>
      </c>
      <c r="CU694" s="0" t="s">
        <v>221</v>
      </c>
      <c r="CV694" s="0" t="str">
        <f aca="false">IF(OR(CT694="",CT694="NO ESPECIFICA",CT694="NO MENCIONA"),"",IF(CU694=0,CT694,IF(CU694=1,CT694/30,IF(CU694=2,CT694/15,IF(CU694=3,CT694/7,"")))))</f>
        <v/>
      </c>
      <c r="CW694" s="125" t="n">
        <v>190</v>
      </c>
      <c r="CX694" s="0" t="n">
        <v>0</v>
      </c>
      <c r="CY694" s="0" t="n">
        <f aca="false">IF(CW694="","",IF(CX694=0,CW694,IF(CX694=1,CW694/30,IF(CX694=2,CW694/15,IF(CX694=3,CW694/7,CW694)))))</f>
        <v>190</v>
      </c>
      <c r="CZ694" s="0" t="n">
        <f aca="false">IF(DI694&gt;0,DI694,IF(CY694&gt;0,CY694,IF(CV694&gt;0,CV694,"")))</f>
        <v>190</v>
      </c>
      <c r="DA694" s="0" t="n">
        <f aca="false">IF(DM694=1,CZ694/8,IF(OR(DM694=2,DM694=4),CZ694/7,IF(DM694=3,CZ694/7.5,"")))</f>
        <v>23.75</v>
      </c>
      <c r="DB694" s="0" t="s">
        <v>216</v>
      </c>
      <c r="DC694" s="0" t="s">
        <v>216</v>
      </c>
      <c r="DD694" s="0" t="s">
        <v>216</v>
      </c>
      <c r="DE694" s="0" t="s">
        <v>216</v>
      </c>
      <c r="DF694" s="0" t="s">
        <v>216</v>
      </c>
      <c r="DG694" s="0" t="s">
        <v>216</v>
      </c>
      <c r="DH694" s="0" t="n">
        <v>0</v>
      </c>
      <c r="DI694" s="126" t="n">
        <v>190</v>
      </c>
      <c r="DK694" s="0" t="n">
        <v>0</v>
      </c>
      <c r="DM694" s="0" t="n">
        <v>1</v>
      </c>
      <c r="DN694" s="0" t="n">
        <v>69</v>
      </c>
      <c r="DO694" s="0" t="n">
        <v>3</v>
      </c>
      <c r="DP694" s="0" t="n">
        <v>0</v>
      </c>
      <c r="DQ694" s="0" t="n">
        <v>1</v>
      </c>
      <c r="DR694" s="0"/>
      <c r="DS694" s="0" t="n">
        <v>1</v>
      </c>
      <c r="DU694" s="0" t="n">
        <v>1</v>
      </c>
      <c r="DW694" s="1" t="n">
        <v>40309</v>
      </c>
      <c r="DX694" s="1" t="n">
        <v>40738</v>
      </c>
      <c r="DZ694" s="0"/>
      <c r="EA694" s="0" t="n">
        <v>1</v>
      </c>
      <c r="EC694" s="1" t="n">
        <v>40309</v>
      </c>
      <c r="ED694" s="1" t="n">
        <v>40738</v>
      </c>
      <c r="EF694" s="0"/>
      <c r="EG694" s="0" t="n">
        <v>1</v>
      </c>
      <c r="EH694" s="0" t="n">
        <v>21</v>
      </c>
      <c r="EI694" s="0" t="n">
        <f aca="false">IF(AND(DM694=1,DN694&lt;=48),"",IF(AND(DM694=2,DN694&lt;=42),"",IF(AND(DM694=3,DN694&lt;=45),"",EH694)))</f>
        <v>21</v>
      </c>
      <c r="EJ694" s="0" t="n">
        <f aca="false">IF(EI694="","",IF(EI694&lt;9,EI694,9))</f>
        <v>9</v>
      </c>
      <c r="EK694" s="0" t="n">
        <f aca="false">IF(EI694="","",IF(EI694&gt;9,EI694-EJ694,0))</f>
        <v>12</v>
      </c>
      <c r="EL694" s="0" t="n">
        <f aca="false">IF(EI694="","",EJ694*DA694*2+EK694*DA694*3)</f>
        <v>1282.5</v>
      </c>
      <c r="EP694" s="0" t="n">
        <v>0</v>
      </c>
      <c r="EQ694" s="0"/>
      <c r="ER694" s="0" t="n">
        <v>1</v>
      </c>
      <c r="ET694" s="0" t="n">
        <v>0</v>
      </c>
      <c r="EV694" s="0" t="n">
        <v>1</v>
      </c>
      <c r="EX694" s="0" t="n">
        <v>0</v>
      </c>
      <c r="EY694" s="0" t="n">
        <v>0</v>
      </c>
      <c r="EZ694" s="0"/>
      <c r="FA694" s="4" t="n">
        <v>2850</v>
      </c>
      <c r="FB694" s="0" t="n">
        <v>1</v>
      </c>
      <c r="FC694" s="1" t="n">
        <v>41152</v>
      </c>
      <c r="FD694" s="0" t="n">
        <v>2</v>
      </c>
      <c r="FE694" s="0" t="n">
        <v>0</v>
      </c>
      <c r="FF694" s="120" t="n">
        <f aca="false">(CJ694-CI694+1)/365</f>
        <v>1.17808219178082</v>
      </c>
      <c r="FG694" s="0" t="str">
        <f aca="false">CONCATENATE(F694,"/",G694)</f>
        <v>1229/2011</v>
      </c>
      <c r="FH694" s="0" t="n">
        <v>1</v>
      </c>
      <c r="FI694" s="0" t="n">
        <f aca="false">IFERROR(IF((FC694-J694+1)/365&gt;3,0,1),"")</f>
        <v>1</v>
      </c>
    </row>
    <row r="695" customFormat="false" ht="15" hidden="false" customHeight="false" outlineLevel="0" collapsed="false">
      <c r="A695" s="5" t="str">
        <f aca="false">E695&amp;G695&amp;F695</f>
        <v>720111232</v>
      </c>
      <c r="B695" s="0" t="s">
        <v>6231</v>
      </c>
      <c r="C695" s="1" t="n">
        <v>42374</v>
      </c>
      <c r="D695" s="0" t="s">
        <v>6382</v>
      </c>
      <c r="E695" s="0" t="n">
        <v>7</v>
      </c>
      <c r="F695" s="0" t="n">
        <v>1232</v>
      </c>
      <c r="G695" s="0" t="n">
        <v>2011</v>
      </c>
      <c r="H695" s="0" t="str">
        <f aca="false">"J"&amp;E695&amp;"\"&amp;F695&amp;"\"&amp;G695&amp;"\"&amp;W695</f>
        <v>J7\1232\2011\1</v>
      </c>
      <c r="I695" s="0"/>
      <c r="J695" s="1" t="n">
        <v>40739</v>
      </c>
      <c r="K695" s="0" t="n">
        <v>0</v>
      </c>
      <c r="M695" s="1"/>
      <c r="N695" s="1"/>
      <c r="O695" s="1"/>
      <c r="P695" s="1"/>
      <c r="Q695" s="1"/>
      <c r="T695" s="121"/>
      <c r="U695" s="121"/>
      <c r="V695" s="122" t="n">
        <f aca="false">IF(AND(E695&gt;0,F695&gt;0,G695&gt;0),COUNTIFS($E:$E,E695,$F:$F,F695,$G:$G,G695),"")</f>
        <v>1</v>
      </c>
      <c r="W695" s="122" t="n">
        <f aca="false">IF(V695="","",IF(V695=1,1,IF(AND(E694=E695,F694=F695,G694=G695),W694+1,1)))</f>
        <v>1</v>
      </c>
      <c r="X695" s="0" t="n">
        <v>1</v>
      </c>
      <c r="Y695" s="0" t="n">
        <v>2</v>
      </c>
      <c r="Z695" s="0" t="s">
        <v>6383</v>
      </c>
      <c r="AA695" s="0" t="n">
        <v>0</v>
      </c>
      <c r="AB695" s="0" t="s">
        <v>6384</v>
      </c>
      <c r="AC695" s="0" t="s">
        <v>3485</v>
      </c>
      <c r="AD695" s="0" t="s">
        <v>352</v>
      </c>
      <c r="AE695" s="0" t="n">
        <v>0</v>
      </c>
      <c r="AF695" s="0" t="s">
        <v>6385</v>
      </c>
      <c r="AG695" s="0" t="n">
        <v>0</v>
      </c>
      <c r="AH695" s="0" t="s">
        <v>6386</v>
      </c>
      <c r="AI695" s="0" t="s">
        <v>287</v>
      </c>
      <c r="AJ695" s="0" t="s">
        <v>221</v>
      </c>
      <c r="AL695" s="0" t="s">
        <v>1637</v>
      </c>
      <c r="AM695" s="0" t="n">
        <v>1</v>
      </c>
      <c r="AN695" s="0" t="s">
        <v>6386</v>
      </c>
      <c r="AO695" s="0" t="s">
        <v>287</v>
      </c>
      <c r="AP695" s="0" t="s">
        <v>221</v>
      </c>
      <c r="BR695" s="0" t="n">
        <v>1</v>
      </c>
      <c r="BS695" s="0" t="s">
        <v>6387</v>
      </c>
      <c r="BV695" s="123"/>
      <c r="BW695" s="123"/>
      <c r="BX695" s="123"/>
      <c r="BY695" s="123"/>
      <c r="CA695" s="0" t="s">
        <v>216</v>
      </c>
      <c r="CD695" s="0" t="s">
        <v>216</v>
      </c>
      <c r="CE695" s="0" t="n">
        <v>0</v>
      </c>
      <c r="CF695" s="0" t="s">
        <v>6106</v>
      </c>
      <c r="CI695" s="1" t="n">
        <v>40232</v>
      </c>
      <c r="CJ695" s="1" t="n">
        <v>40679</v>
      </c>
      <c r="CK695" s="124" t="s">
        <v>216</v>
      </c>
      <c r="CL695" s="0" t="s">
        <v>6388</v>
      </c>
      <c r="CM695" s="0" t="n">
        <f aca="false">IF(OR(CI695="",CJ695=""),"",DAYS360(CI695,CJ695)/360)</f>
        <v>1.23055555555556</v>
      </c>
      <c r="CN695" s="0" t="n">
        <f aca="false">IF(OR(CI695="",CJ695=""),"",DAYS360(CI695,CJ695)/30)</f>
        <v>14.7666666666667</v>
      </c>
      <c r="CO695" s="0" t="n">
        <f aca="false">IF(OR(CI695="",CJ695=""),"",DAYS360(CI695,CJ695)/7)</f>
        <v>63.2857142857143</v>
      </c>
      <c r="CP695" s="0" t="n">
        <f aca="false">IF(OR(CI695="",CJ695=""),"",DAYS360(CI695,CJ695))</f>
        <v>443</v>
      </c>
      <c r="CQ695" s="0" t="s">
        <v>240</v>
      </c>
      <c r="CR695" s="0" t="n">
        <v>1</v>
      </c>
      <c r="CT695" s="0" t="s">
        <v>221</v>
      </c>
      <c r="CU695" s="0" t="s">
        <v>221</v>
      </c>
      <c r="CV695" s="0" t="str">
        <f aca="false">IF(OR(CT695="",CT695="NO ESPECIFICA",CT695="NO MENCIONA"),"",IF(CU695=0,CT695,IF(CU695=1,CT695/30,IF(CU695=2,CT695/15,IF(CU695=3,CT695/7,"")))))</f>
        <v/>
      </c>
      <c r="CW695" s="125" t="n">
        <v>5000</v>
      </c>
      <c r="CX695" s="0" t="n">
        <v>1</v>
      </c>
      <c r="CY695" s="0" t="n">
        <f aca="false">IF(CW695="","",IF(CX695=0,CW695,IF(CX695=1,CW695/30,IF(CX695=2,CW695/15,IF(CX695=3,CW695/7,CW695)))))</f>
        <v>166.666666666667</v>
      </c>
      <c r="CZ695" s="0" t="n">
        <f aca="false">IF(DI695&gt;0,DI695,IF(CY695&gt;0,CY695,IF(CV695&gt;0,CV695,"")))</f>
        <v>166.666666666667</v>
      </c>
      <c r="DA695" s="0" t="n">
        <f aca="false">IF(DM695=1,CZ695/8,IF(OR(DM695=2,DM695=4),CZ695/7,IF(DM695=3,CZ695/7.5,"")))</f>
        <v>20.8333333333333</v>
      </c>
      <c r="DB695" s="0" t="s">
        <v>216</v>
      </c>
      <c r="DC695" s="0" t="s">
        <v>216</v>
      </c>
      <c r="DD695" s="0" t="s">
        <v>216</v>
      </c>
      <c r="DE695" s="0" t="s">
        <v>216</v>
      </c>
      <c r="DF695" s="0" t="s">
        <v>216</v>
      </c>
      <c r="DG695" s="0" t="s">
        <v>216</v>
      </c>
      <c r="DH695" s="0" t="n">
        <v>0</v>
      </c>
      <c r="DI695" s="126" t="n">
        <v>166.666666666667</v>
      </c>
      <c r="DK695" s="0" t="n">
        <v>0</v>
      </c>
      <c r="DL695" s="0" t="n">
        <v>1985</v>
      </c>
      <c r="DM695" s="0" t="n">
        <v>1</v>
      </c>
      <c r="DN695" s="0" t="n">
        <v>45</v>
      </c>
      <c r="DO695" s="0" t="n">
        <v>3</v>
      </c>
      <c r="DP695" s="0" t="n">
        <v>0</v>
      </c>
      <c r="DQ695" s="0" t="n">
        <v>1</v>
      </c>
      <c r="DR695" s="0" t="n">
        <v>14999.92</v>
      </c>
      <c r="DS695" s="0" t="n">
        <v>1</v>
      </c>
      <c r="DU695" s="0" t="n">
        <v>1</v>
      </c>
      <c r="DV695" s="0" t="n">
        <v>1999.92</v>
      </c>
      <c r="DW695" s="1" t="n">
        <v>40232</v>
      </c>
      <c r="DX695" s="1" t="n">
        <v>40679</v>
      </c>
      <c r="DY695" s="0" t="n">
        <v>6</v>
      </c>
      <c r="DZ695" s="0" t="n">
        <v>1749.93</v>
      </c>
      <c r="EA695" s="0" t="n">
        <v>0</v>
      </c>
      <c r="EC695" s="1" t="n">
        <v>40544</v>
      </c>
      <c r="ED695" s="1" t="n">
        <v>40679</v>
      </c>
      <c r="EF695" s="0" t="n">
        <v>402.85</v>
      </c>
      <c r="EG695" s="0" t="n">
        <v>1</v>
      </c>
      <c r="EH695" s="0" t="s">
        <v>221</v>
      </c>
      <c r="EI695" s="0" t="str">
        <f aca="false">IF(AND(DM695=1,DN695&lt;=48),"",IF(AND(DM695=2,DN695&lt;=42),"",IF(AND(DM695=3,DN695&lt;=45),"",EH695)))</f>
        <v/>
      </c>
      <c r="EJ695" s="0" t="str">
        <f aca="false">IF(EI695="","",IF(EI695&lt;9,EI695,9))</f>
        <v/>
      </c>
      <c r="EK695" s="0" t="str">
        <f aca="false">IF(EI695="","",IF(EI695&gt;9,EI695-EJ695,0))</f>
        <v/>
      </c>
      <c r="EL695" s="0" t="str">
        <f aca="false">IF(EI695="","",EJ695*DA695*2+EK695*DA695*3)</f>
        <v/>
      </c>
      <c r="EN695" s="0" t="n">
        <v>1666.6</v>
      </c>
      <c r="EO695" s="0" t="n">
        <v>40</v>
      </c>
      <c r="EP695" s="0" t="n">
        <v>0</v>
      </c>
      <c r="EQ695" s="0"/>
      <c r="ER695" s="0" t="n">
        <v>0</v>
      </c>
      <c r="ET695" s="0" t="n">
        <v>0</v>
      </c>
      <c r="EV695" s="0" t="n">
        <v>0</v>
      </c>
      <c r="EX695" s="0" t="n">
        <v>0</v>
      </c>
      <c r="EY695" s="0" t="n">
        <v>0</v>
      </c>
      <c r="EZ695" s="0"/>
      <c r="FA695" s="4" t="n">
        <v>0</v>
      </c>
      <c r="FB695" s="0" t="n">
        <v>0</v>
      </c>
      <c r="FC695" s="1" t="n">
        <v>41326</v>
      </c>
      <c r="FD695" s="0" t="n">
        <v>1</v>
      </c>
      <c r="FE695" s="0" t="n">
        <v>5000</v>
      </c>
      <c r="FF695" s="120" t="n">
        <f aca="false">(CJ695-CI695+1)/365</f>
        <v>1.22739726027397</v>
      </c>
      <c r="FG695" s="0" t="str">
        <f aca="false">CONCATENATE(F695,"/",G695)</f>
        <v>1232/2011</v>
      </c>
      <c r="FH695" s="0" t="n">
        <v>1</v>
      </c>
      <c r="FI695" s="0" t="n">
        <f aca="false">IFERROR(IF((FC695-J695+1)/365&gt;3,0,1),"")</f>
        <v>1</v>
      </c>
    </row>
    <row r="696" customFormat="false" ht="15" hidden="false" customHeight="false" outlineLevel="0" collapsed="false">
      <c r="A696" s="5" t="str">
        <f aca="false">E696&amp;G696&amp;F696</f>
        <v>720111235</v>
      </c>
      <c r="B696" s="0" t="s">
        <v>6231</v>
      </c>
      <c r="C696" s="1" t="n">
        <v>42374</v>
      </c>
      <c r="E696" s="0" t="n">
        <v>7</v>
      </c>
      <c r="F696" s="0" t="n">
        <v>1235</v>
      </c>
      <c r="G696" s="0" t="n">
        <v>2011</v>
      </c>
      <c r="H696" s="0" t="str">
        <f aca="false">"J"&amp;E696&amp;"\"&amp;F696&amp;"\"&amp;G696&amp;"\"&amp;W696</f>
        <v>J7\1235\2011\1</v>
      </c>
      <c r="I696" s="0"/>
      <c r="J696" s="1" t="n">
        <v>40739</v>
      </c>
      <c r="K696" s="0" t="n">
        <v>0</v>
      </c>
      <c r="M696" s="1" t="n">
        <v>40739</v>
      </c>
      <c r="N696" s="1" t="n">
        <v>40938</v>
      </c>
      <c r="O696" s="1"/>
      <c r="P696" s="1"/>
      <c r="Q696" s="1"/>
      <c r="T696" s="121"/>
      <c r="U696" s="121"/>
      <c r="V696" s="122" t="n">
        <f aca="false">IF(AND(E696&gt;0,F696&gt;0,G696&gt;0),COUNTIFS($E:$E,E696,$F:$F,F696,$G:$G,G696),"")</f>
        <v>1</v>
      </c>
      <c r="W696" s="122" t="n">
        <f aca="false">IF(V696="","",IF(V696=1,1,IF(AND(E695=E696,F695=F696,G695=G696),W695+1,1)))</f>
        <v>1</v>
      </c>
      <c r="X696" s="0" t="n">
        <v>1</v>
      </c>
      <c r="Y696" s="0" t="n">
        <v>6</v>
      </c>
      <c r="Z696" s="0" t="s">
        <v>6389</v>
      </c>
      <c r="AA696" s="0" t="n">
        <v>0</v>
      </c>
      <c r="AB696" s="0" t="s">
        <v>6390</v>
      </c>
      <c r="AC696" s="0" t="s">
        <v>4843</v>
      </c>
      <c r="AD696" s="0" t="s">
        <v>485</v>
      </c>
      <c r="AE696" s="0" t="n">
        <v>0</v>
      </c>
      <c r="AF696" s="0" t="s">
        <v>6391</v>
      </c>
      <c r="AG696" s="0" t="n">
        <v>0</v>
      </c>
      <c r="AH696" s="0" t="s">
        <v>6392</v>
      </c>
      <c r="AI696" s="0" t="s">
        <v>1123</v>
      </c>
      <c r="AJ696" s="0" t="s">
        <v>322</v>
      </c>
      <c r="AL696" s="0" t="s">
        <v>6393</v>
      </c>
      <c r="AM696" s="0" t="n">
        <v>1</v>
      </c>
      <c r="AN696" s="0" t="s">
        <v>6392</v>
      </c>
      <c r="AO696" s="0" t="s">
        <v>1123</v>
      </c>
      <c r="AP696" s="0" t="s">
        <v>322</v>
      </c>
      <c r="AR696" s="0" t="s">
        <v>6394</v>
      </c>
      <c r="AS696" s="0" t="n">
        <v>1</v>
      </c>
      <c r="AT696" s="0" t="s">
        <v>6392</v>
      </c>
      <c r="AU696" s="0" t="s">
        <v>1123</v>
      </c>
      <c r="AV696" s="0" t="s">
        <v>322</v>
      </c>
      <c r="AX696" s="0" t="s">
        <v>6395</v>
      </c>
      <c r="AY696" s="0" t="n">
        <v>1</v>
      </c>
      <c r="AZ696" s="0" t="s">
        <v>6392</v>
      </c>
      <c r="BA696" s="0" t="s">
        <v>1123</v>
      </c>
      <c r="BB696" s="0" t="s">
        <v>322</v>
      </c>
      <c r="BD696" s="0" t="s">
        <v>6396</v>
      </c>
      <c r="BE696" s="0" t="n">
        <v>1</v>
      </c>
      <c r="BF696" s="0" t="s">
        <v>6392</v>
      </c>
      <c r="BG696" s="0" t="s">
        <v>1123</v>
      </c>
      <c r="BH696" s="0" t="s">
        <v>322</v>
      </c>
      <c r="BJ696" s="0" t="s">
        <v>1637</v>
      </c>
      <c r="BK696" s="0" t="n">
        <v>1</v>
      </c>
      <c r="BL696" s="0" t="s">
        <v>6392</v>
      </c>
      <c r="BM696" s="0" t="s">
        <v>1123</v>
      </c>
      <c r="BN696" s="0" t="s">
        <v>322</v>
      </c>
      <c r="BR696" s="0" t="n">
        <v>1</v>
      </c>
      <c r="BS696" s="0" t="s">
        <v>6397</v>
      </c>
      <c r="BT696" s="0" t="s">
        <v>6398</v>
      </c>
      <c r="BU696" s="0" t="s">
        <v>6399</v>
      </c>
      <c r="BV696" s="123"/>
      <c r="BW696" s="123"/>
      <c r="BX696" s="123"/>
      <c r="BY696" s="123"/>
      <c r="CA696" s="0" t="s">
        <v>216</v>
      </c>
      <c r="CD696" s="0" t="s">
        <v>216</v>
      </c>
      <c r="CE696" s="0" t="n">
        <v>1</v>
      </c>
      <c r="CF696" s="0" t="s">
        <v>503</v>
      </c>
      <c r="CI696" s="1" t="n">
        <v>39314</v>
      </c>
      <c r="CJ696" s="1" t="n">
        <v>40681</v>
      </c>
      <c r="CK696" s="124" t="n">
        <v>0.479166666666667</v>
      </c>
      <c r="CL696" s="0" t="s">
        <v>6393</v>
      </c>
      <c r="CM696" s="0" t="n">
        <f aca="false">IF(OR(CI696="",CJ696=""),"",DAYS360(CI696,CJ696)/360)</f>
        <v>3.74444444444444</v>
      </c>
      <c r="CN696" s="0" t="n">
        <f aca="false">IF(OR(CI696="",CJ696=""),"",DAYS360(CI696,CJ696)/30)</f>
        <v>44.9333333333333</v>
      </c>
      <c r="CO696" s="0" t="n">
        <f aca="false">IF(OR(CI696="",CJ696=""),"",DAYS360(CI696,CJ696)/7)</f>
        <v>192.571428571429</v>
      </c>
      <c r="CP696" s="0" t="n">
        <f aca="false">IF(OR(CI696="",CJ696=""),"",DAYS360(CI696,CJ696))</f>
        <v>1348</v>
      </c>
      <c r="CQ696" s="0" t="s">
        <v>240</v>
      </c>
      <c r="CR696" s="0" t="n">
        <v>1</v>
      </c>
      <c r="CT696" s="0" t="s">
        <v>221</v>
      </c>
      <c r="CU696" s="0" t="s">
        <v>221</v>
      </c>
      <c r="CV696" s="0" t="str">
        <f aca="false">IF(OR(CT696="",CT696="NO ESPECIFICA",CT696="NO MENCIONA"),"",IF(CU696=0,CT696,IF(CU696=1,CT696/30,IF(CU696=2,CT696/15,IF(CU696=3,CT696/7,"")))))</f>
        <v/>
      </c>
      <c r="CW696" s="125" t="n">
        <v>2589.18</v>
      </c>
      <c r="CX696" s="0" t="n">
        <v>2</v>
      </c>
      <c r="CY696" s="0" t="n">
        <f aca="false">IF(CW696="","",IF(CX696=0,CW696,IF(CX696=1,CW696/30,IF(CX696=2,CW696/15,IF(CX696=3,CW696/7,CW696)))))</f>
        <v>172.612</v>
      </c>
      <c r="CZ696" s="0" t="n">
        <f aca="false">IF(DI696&gt;0,DI696,IF(CY696&gt;0,CY696,IF(CV696&gt;0,CV696,"")))</f>
        <v>172.612</v>
      </c>
      <c r="DA696" s="0" t="n">
        <f aca="false">IF(DM696=1,CZ696/8,IF(OR(DM696=2,DM696=4),CZ696/7,IF(DM696=3,CZ696/7.5,"")))</f>
        <v>21.5765</v>
      </c>
      <c r="DB696" s="0" t="s">
        <v>3097</v>
      </c>
      <c r="DC696" s="0" t="s">
        <v>6400</v>
      </c>
      <c r="DD696" s="0" t="s">
        <v>299</v>
      </c>
      <c r="DE696" s="0" t="s">
        <v>216</v>
      </c>
      <c r="DF696" s="0" t="s">
        <v>216</v>
      </c>
      <c r="DG696" s="0" t="s">
        <v>216</v>
      </c>
      <c r="DH696" s="0" t="n">
        <v>0</v>
      </c>
      <c r="DI696" s="126" t="n">
        <v>172.612</v>
      </c>
      <c r="DK696" s="0" t="n">
        <v>0</v>
      </c>
      <c r="DM696" s="0" t="n">
        <v>1</v>
      </c>
      <c r="DN696" s="0" t="n">
        <v>57</v>
      </c>
      <c r="DO696" s="0" t="n">
        <v>3</v>
      </c>
      <c r="DP696" s="0" t="n">
        <v>0</v>
      </c>
      <c r="DQ696" s="0" t="n">
        <v>1</v>
      </c>
      <c r="DR696" s="0"/>
      <c r="DS696" s="0" t="n">
        <v>1</v>
      </c>
      <c r="DU696" s="0" t="n">
        <v>1</v>
      </c>
      <c r="DW696" s="1" t="n">
        <v>39314</v>
      </c>
      <c r="DX696" s="1" t="n">
        <v>40681</v>
      </c>
      <c r="DZ696" s="0"/>
      <c r="EA696" s="0" t="n">
        <v>1</v>
      </c>
      <c r="EC696" s="1" t="n">
        <v>40045</v>
      </c>
      <c r="ED696" s="1" t="n">
        <v>40681</v>
      </c>
      <c r="EF696" s="0"/>
      <c r="EG696" s="0" t="n">
        <v>1</v>
      </c>
      <c r="EH696" s="0" t="n">
        <v>9</v>
      </c>
      <c r="EI696" s="0" t="n">
        <f aca="false">IF(AND(DM696=1,DN696&lt;=48),"",IF(AND(DM696=2,DN696&lt;=42),"",IF(AND(DM696=3,DN696&lt;=45),"",EH696)))</f>
        <v>9</v>
      </c>
      <c r="EJ696" s="0" t="n">
        <f aca="false">IF(EI696="","",IF(EI696&lt;9,EI696,9))</f>
        <v>9</v>
      </c>
      <c r="EK696" s="0" t="n">
        <f aca="false">IF(EI696="","",IF(EI696&gt;9,EI696-EJ696,0))</f>
        <v>0</v>
      </c>
      <c r="EL696" s="0" t="n">
        <f aca="false">IF(EI696="","",EJ696*DA696*2+EK696*DA696*3)</f>
        <v>388.377</v>
      </c>
      <c r="EP696" s="0" t="n">
        <v>0</v>
      </c>
      <c r="EQ696" s="0"/>
      <c r="ER696" s="0" t="n">
        <v>0</v>
      </c>
      <c r="ET696" s="0" t="n">
        <v>0</v>
      </c>
      <c r="EV696" s="0" t="n">
        <v>0</v>
      </c>
      <c r="EX696" s="0" t="n">
        <v>0</v>
      </c>
      <c r="EY696" s="0" t="n">
        <v>1</v>
      </c>
      <c r="EZ696" s="0"/>
      <c r="FA696" s="4" t="n">
        <v>688</v>
      </c>
      <c r="FB696" s="0" t="n">
        <v>1</v>
      </c>
      <c r="FC696" s="1"/>
      <c r="FF696" s="120" t="n">
        <f aca="false">(CJ696-CI696+1)/365</f>
        <v>3.74794520547945</v>
      </c>
      <c r="FG696" s="0" t="str">
        <f aca="false">CONCATENATE(F696,"/",G696)</f>
        <v>1235/2011</v>
      </c>
      <c r="FH696" s="0" t="n">
        <v>1</v>
      </c>
      <c r="FI696" s="0" t="n">
        <f aca="false">IFERROR(IF((FC696-J696+1)/365&gt;3,0,1),"")</f>
        <v>1</v>
      </c>
    </row>
    <row r="697" customFormat="false" ht="15" hidden="false" customHeight="false" outlineLevel="0" collapsed="false">
      <c r="A697" s="5" t="str">
        <f aca="false">E697&amp;G697&amp;F697</f>
        <v>720111243</v>
      </c>
      <c r="B697" s="0" t="s">
        <v>6231</v>
      </c>
      <c r="C697" s="1" t="n">
        <v>42374</v>
      </c>
      <c r="D697" s="0" t="s">
        <v>1630</v>
      </c>
      <c r="E697" s="0" t="n">
        <v>7</v>
      </c>
      <c r="F697" s="0" t="n">
        <v>1243</v>
      </c>
      <c r="G697" s="0" t="n">
        <v>2011</v>
      </c>
      <c r="H697" s="0" t="str">
        <f aca="false">"J"&amp;E697&amp;"\"&amp;F697&amp;"\"&amp;G697&amp;"\"&amp;W697</f>
        <v>J7\1243\2011\1</v>
      </c>
      <c r="I697" s="0"/>
      <c r="J697" s="1" t="n">
        <v>40746</v>
      </c>
      <c r="K697" s="0" t="n">
        <v>0</v>
      </c>
      <c r="M697" s="1"/>
      <c r="N697" s="1"/>
      <c r="O697" s="1"/>
      <c r="P697" s="1"/>
      <c r="Q697" s="1"/>
      <c r="T697" s="121"/>
      <c r="U697" s="121"/>
      <c r="V697" s="122" t="n">
        <f aca="false">IF(AND(E697&gt;0,F697&gt;0,G697&gt;0),COUNTIFS($E:$E,E697,$F:$F,F697,$G:$G,G697),"")</f>
        <v>1</v>
      </c>
      <c r="W697" s="122" t="n">
        <f aca="false">IF(V697="","",IF(V697=1,1,IF(AND(E696=E697,F696=F697,G696=G697),W696+1,1)))</f>
        <v>1</v>
      </c>
      <c r="X697" s="0" t="n">
        <v>1</v>
      </c>
      <c r="Y697" s="0" t="n">
        <v>3</v>
      </c>
      <c r="Z697" s="0" t="s">
        <v>6401</v>
      </c>
      <c r="AA697" s="0" t="n">
        <v>0</v>
      </c>
      <c r="AB697" s="0" t="s">
        <v>6402</v>
      </c>
      <c r="AC697" s="0" t="s">
        <v>804</v>
      </c>
      <c r="AD697" s="0" t="s">
        <v>352</v>
      </c>
      <c r="AE697" s="0" t="n">
        <v>0</v>
      </c>
      <c r="AF697" s="0" t="s">
        <v>2334</v>
      </c>
      <c r="AG697" s="0" t="n">
        <v>0</v>
      </c>
      <c r="AH697" s="0" t="s">
        <v>2335</v>
      </c>
      <c r="AI697" s="0" t="s">
        <v>287</v>
      </c>
      <c r="AJ697" s="0" t="s">
        <v>221</v>
      </c>
      <c r="AL697" s="0" t="s">
        <v>6403</v>
      </c>
      <c r="AM697" s="0" t="n">
        <v>0</v>
      </c>
      <c r="AN697" s="0" t="s">
        <v>6404</v>
      </c>
      <c r="AO697" s="0" t="s">
        <v>1661</v>
      </c>
      <c r="AP697" s="0" t="s">
        <v>229</v>
      </c>
      <c r="AR697" s="0" t="s">
        <v>6293</v>
      </c>
      <c r="AS697" s="0" t="n">
        <v>1</v>
      </c>
      <c r="AT697" s="0" t="s">
        <v>6404</v>
      </c>
      <c r="AU697" s="0" t="s">
        <v>1661</v>
      </c>
      <c r="AV697" s="0" t="s">
        <v>229</v>
      </c>
      <c r="BR697" s="0" t="n">
        <v>1</v>
      </c>
      <c r="BS697" s="0" t="s">
        <v>6405</v>
      </c>
      <c r="BT697" s="0" t="s">
        <v>6406</v>
      </c>
      <c r="BU697" s="0" t="s">
        <v>6407</v>
      </c>
      <c r="BV697" s="123"/>
      <c r="BW697" s="123"/>
      <c r="BX697" s="123"/>
      <c r="BY697" s="123"/>
      <c r="CA697" s="0" t="s">
        <v>216</v>
      </c>
      <c r="CD697" s="0" t="s">
        <v>296</v>
      </c>
      <c r="CE697" s="0" t="n">
        <v>0</v>
      </c>
      <c r="CF697" s="0" t="s">
        <v>645</v>
      </c>
      <c r="CI697" s="1" t="n">
        <v>40148</v>
      </c>
      <c r="CJ697" s="1" t="n">
        <v>40686</v>
      </c>
      <c r="CK697" s="124" t="n">
        <v>0.354166666666667</v>
      </c>
      <c r="CL697" s="0" t="s">
        <v>6408</v>
      </c>
      <c r="CM697" s="0" t="n">
        <f aca="false">IF(OR(CI697="",CJ697=""),"",DAYS360(CI697,CJ697)/360)</f>
        <v>1.47777777777778</v>
      </c>
      <c r="CN697" s="0" t="n">
        <f aca="false">IF(OR(CI697="",CJ697=""),"",DAYS360(CI697,CJ697)/30)</f>
        <v>17.7333333333333</v>
      </c>
      <c r="CO697" s="0" t="n">
        <f aca="false">IF(OR(CI697="",CJ697=""),"",DAYS360(CI697,CJ697)/7)</f>
        <v>76</v>
      </c>
      <c r="CP697" s="0" t="n">
        <f aca="false">IF(OR(CI697="",CJ697=""),"",DAYS360(CI697,CJ697))</f>
        <v>532</v>
      </c>
      <c r="CQ697" s="0" t="s">
        <v>240</v>
      </c>
      <c r="CR697" s="0" t="n">
        <v>1</v>
      </c>
      <c r="CT697" s="0" t="n">
        <v>183.34</v>
      </c>
      <c r="CU697" s="0" t="n">
        <v>0</v>
      </c>
      <c r="CV697" s="0" t="n">
        <f aca="false">IF(OR(CT697="",CT697="NO ESPECIFICA",CT697="NO MENCIONA"),"",IF(CU697=0,CT697,IF(CU697=1,CT697/30,IF(CU697=2,CT697/15,IF(CU697=3,CT697/7,"")))))</f>
        <v>183.34</v>
      </c>
      <c r="CW697" s="125" t="s">
        <v>216</v>
      </c>
      <c r="CX697" s="0" t="s">
        <v>216</v>
      </c>
      <c r="CY697" s="0" t="str">
        <f aca="false">IF(CW697="","",IF(CX697=0,CW697,IF(CX697=1,CW697/30,IF(CX697=2,CW697/15,IF(CX697=3,CW697/7,CW697)))))</f>
        <v>NO MENCIONA</v>
      </c>
      <c r="CZ697" s="0" t="n">
        <f aca="false">IF(DI697&gt;0,DI697,IF(CY697&gt;0,CY697,IF(CV697&gt;0,CV697,"")))</f>
        <v>183.34</v>
      </c>
      <c r="DA697" s="0" t="n">
        <f aca="false">IF(DM697=1,CZ697/8,IF(OR(DM697=2,DM697=4),CZ697/7,IF(DM697=3,CZ697/7.5,"")))</f>
        <v>22.9175</v>
      </c>
      <c r="DB697" s="0" t="s">
        <v>216</v>
      </c>
      <c r="DC697" s="0" t="s">
        <v>216</v>
      </c>
      <c r="DD697" s="0" t="s">
        <v>216</v>
      </c>
      <c r="DE697" s="0" t="s">
        <v>216</v>
      </c>
      <c r="DF697" s="0" t="s">
        <v>216</v>
      </c>
      <c r="DG697" s="0" t="s">
        <v>216</v>
      </c>
      <c r="DH697" s="0" t="n">
        <v>0</v>
      </c>
      <c r="DI697" s="126" t="n">
        <v>183.34</v>
      </c>
      <c r="DK697" s="0" t="n">
        <v>0</v>
      </c>
      <c r="DM697" s="0" t="n">
        <v>1</v>
      </c>
      <c r="DN697" s="0" t="n">
        <v>55.5</v>
      </c>
      <c r="DO697" s="0" t="n">
        <v>3</v>
      </c>
      <c r="DP697" s="0" t="n">
        <v>0</v>
      </c>
      <c r="DQ697" s="0" t="n">
        <v>1</v>
      </c>
      <c r="DR697" s="0"/>
      <c r="DS697" s="0" t="n">
        <v>1</v>
      </c>
      <c r="DU697" s="0" t="n">
        <v>0</v>
      </c>
      <c r="DW697" s="1" t="n">
        <v>40148</v>
      </c>
      <c r="DX697" s="1" t="n">
        <v>40686</v>
      </c>
      <c r="DZ697" s="0"/>
      <c r="EA697" s="0" t="n">
        <v>1</v>
      </c>
      <c r="EC697" s="1" t="n">
        <v>40513</v>
      </c>
      <c r="ED697" s="1" t="n">
        <v>40686</v>
      </c>
      <c r="EF697" s="0"/>
      <c r="EG697" s="0" t="n">
        <v>1</v>
      </c>
      <c r="EH697" s="0" t="s">
        <v>221</v>
      </c>
      <c r="EI697" s="0" t="str">
        <f aca="false">IF(AND(DM697=1,DN697&lt;=48),"",IF(AND(DM697=2,DN697&lt;=42),"",IF(AND(DM697=3,DN697&lt;=45),"",EH697)))</f>
        <v>NO ESPECIFICA</v>
      </c>
      <c r="EJ697" s="0" t="n">
        <f aca="false">IF(EI697="","",IF(EI697&lt;9,EI697,9))</f>
        <v>9</v>
      </c>
      <c r="EK697" s="0" t="e">
        <f aca="false">IF(EI697="","",IF(EI697&gt;9,EI697-EJ697,0))</f>
        <v>#VALUE!</v>
      </c>
      <c r="EL697" s="0" t="e">
        <f aca="false">IF(EI697="","",EJ697*DA697*2+EK697*DA697*3)</f>
        <v>#VALUE!</v>
      </c>
      <c r="EP697" s="0" t="n">
        <v>0</v>
      </c>
      <c r="EQ697" s="0"/>
      <c r="ER697" s="0" t="n">
        <v>0</v>
      </c>
      <c r="ET697" s="0" t="n">
        <v>1</v>
      </c>
      <c r="EV697" s="0" t="n">
        <v>1</v>
      </c>
      <c r="EX697" s="0" t="n">
        <v>1</v>
      </c>
      <c r="EY697" s="0" t="n">
        <v>1</v>
      </c>
      <c r="EZ697" s="0"/>
      <c r="FA697" s="4" t="n">
        <v>1466.72</v>
      </c>
      <c r="FB697" s="0" t="n">
        <v>1</v>
      </c>
      <c r="FC697" s="1" t="n">
        <v>41169</v>
      </c>
      <c r="FD697" s="0" t="n">
        <v>1</v>
      </c>
      <c r="FE697" s="0" t="n">
        <v>20000</v>
      </c>
      <c r="FF697" s="120" t="n">
        <f aca="false">(CJ697-CI697+1)/365</f>
        <v>1.47671232876712</v>
      </c>
      <c r="FG697" s="0" t="str">
        <f aca="false">CONCATENATE(F697,"/",G697)</f>
        <v>1243/2011</v>
      </c>
      <c r="FH697" s="0" t="n">
        <v>1</v>
      </c>
      <c r="FI697" s="0" t="n">
        <f aca="false">IFERROR(IF((FC697-J697+1)/365&gt;3,0,1),"")</f>
        <v>1</v>
      </c>
    </row>
    <row r="698" customFormat="false" ht="15" hidden="false" customHeight="false" outlineLevel="0" collapsed="false">
      <c r="A698" s="5" t="str">
        <f aca="false">E698&amp;G698&amp;F698</f>
        <v>720111245</v>
      </c>
      <c r="B698" s="0" t="s">
        <v>6231</v>
      </c>
      <c r="C698" s="1" t="n">
        <v>42375</v>
      </c>
      <c r="D698" s="0" t="s">
        <v>1630</v>
      </c>
      <c r="E698" s="0" t="n">
        <v>7</v>
      </c>
      <c r="F698" s="0" t="n">
        <v>1245</v>
      </c>
      <c r="G698" s="0" t="n">
        <v>2011</v>
      </c>
      <c r="H698" s="0" t="str">
        <f aca="false">"J"&amp;E698&amp;"\"&amp;F698&amp;"\"&amp;G698&amp;"\"&amp;W698</f>
        <v>J7\1245\2011\1</v>
      </c>
      <c r="I698" s="0"/>
      <c r="J698" s="1" t="n">
        <v>40749</v>
      </c>
      <c r="K698" s="0" t="n">
        <v>0</v>
      </c>
      <c r="M698" s="1"/>
      <c r="N698" s="1"/>
      <c r="O698" s="1"/>
      <c r="P698" s="1"/>
      <c r="Q698" s="1"/>
      <c r="T698" s="121"/>
      <c r="U698" s="121"/>
      <c r="V698" s="122" t="n">
        <f aca="false">IF(AND(E698&gt;0,F698&gt;0,G698&gt;0),COUNTIFS($E:$E,E698,$F:$F,F698,$G:$G,G698),"")</f>
        <v>1</v>
      </c>
      <c r="W698" s="122" t="n">
        <f aca="false">IF(V698="","",IF(V698=1,1,IF(AND(E697=E698,F697=F698,G697=G698),W697+1,1)))</f>
        <v>1</v>
      </c>
      <c r="X698" s="0" t="n">
        <v>1</v>
      </c>
      <c r="Y698" s="0" t="n">
        <v>3</v>
      </c>
      <c r="Z698" s="0" t="s">
        <v>6409</v>
      </c>
      <c r="AA698" s="0" t="n">
        <v>0</v>
      </c>
      <c r="AB698" s="0" t="s">
        <v>1812</v>
      </c>
      <c r="AC698" s="0" t="s">
        <v>228</v>
      </c>
      <c r="AD698" s="0" t="s">
        <v>229</v>
      </c>
      <c r="AE698" s="0" t="n">
        <v>0</v>
      </c>
      <c r="AF698" s="0" t="s">
        <v>6410</v>
      </c>
      <c r="AG698" s="0" t="n">
        <v>0</v>
      </c>
      <c r="AH698" s="0" t="s">
        <v>6411</v>
      </c>
      <c r="AI698" s="0" t="s">
        <v>228</v>
      </c>
      <c r="AJ698" s="0" t="s">
        <v>229</v>
      </c>
      <c r="AL698" s="0" t="s">
        <v>6412</v>
      </c>
      <c r="AM698" s="0" t="n">
        <v>1</v>
      </c>
      <c r="AN698" s="0" t="s">
        <v>6411</v>
      </c>
      <c r="AO698" s="0" t="s">
        <v>228</v>
      </c>
      <c r="AP698" s="0" t="s">
        <v>229</v>
      </c>
      <c r="AR698" s="0" t="s">
        <v>2126</v>
      </c>
      <c r="AS698" s="0" t="n">
        <v>1</v>
      </c>
      <c r="AT698" s="0" t="s">
        <v>6411</v>
      </c>
      <c r="AU698" s="0" t="s">
        <v>228</v>
      </c>
      <c r="AV698" s="0" t="s">
        <v>229</v>
      </c>
      <c r="BR698" s="0" t="n">
        <v>3</v>
      </c>
      <c r="BS698" s="0" t="s">
        <v>499</v>
      </c>
      <c r="BT698" s="0" t="s">
        <v>1818</v>
      </c>
      <c r="BU698" s="0" t="s">
        <v>501</v>
      </c>
      <c r="BV698" s="123"/>
      <c r="BW698" s="123"/>
      <c r="BX698" s="123"/>
      <c r="BY698" s="123"/>
      <c r="CA698" s="0" t="s">
        <v>348</v>
      </c>
      <c r="CD698" s="0" t="s">
        <v>370</v>
      </c>
      <c r="CE698" s="0" t="n">
        <v>1</v>
      </c>
      <c r="CF698" s="0" t="s">
        <v>1086</v>
      </c>
      <c r="CI698" s="1" t="n">
        <v>40273</v>
      </c>
      <c r="CJ698" s="1" t="n">
        <v>40679</v>
      </c>
      <c r="CK698" s="124" t="n">
        <v>0.729166666666667</v>
      </c>
      <c r="CL698" s="0" t="s">
        <v>6412</v>
      </c>
      <c r="CM698" s="0" t="n">
        <f aca="false">IF(OR(CI698="",CJ698=""),"",DAYS360(CI698,CJ698)/360)</f>
        <v>1.11388888888889</v>
      </c>
      <c r="CN698" s="0" t="n">
        <f aca="false">IF(OR(CI698="",CJ698=""),"",DAYS360(CI698,CJ698)/30)</f>
        <v>13.3666666666667</v>
      </c>
      <c r="CO698" s="0" t="n">
        <f aca="false">IF(OR(CI698="",CJ698=""),"",DAYS360(CI698,CJ698)/7)</f>
        <v>57.2857142857143</v>
      </c>
      <c r="CP698" s="0" t="n">
        <f aca="false">IF(OR(CI698="",CJ698=""),"",DAYS360(CI698,CJ698))</f>
        <v>401</v>
      </c>
      <c r="CQ698" s="0" t="s">
        <v>240</v>
      </c>
      <c r="CR698" s="0" t="n">
        <v>1</v>
      </c>
      <c r="CT698" s="0" t="n">
        <v>257.15</v>
      </c>
      <c r="CU698" s="0" t="n">
        <v>0</v>
      </c>
      <c r="CV698" s="0" t="n">
        <f aca="false">IF(OR(CT698="",CT698="NO ESPECIFICA",CT698="NO MENCIONA"),"",IF(CU698=0,CT698,IF(CU698=1,CT698/30,IF(CU698=2,CT698/15,IF(CU698=3,CT698/7,"")))))</f>
        <v>257.15</v>
      </c>
      <c r="CW698" s="125" t="n">
        <v>268.76</v>
      </c>
      <c r="CX698" s="0" t="n">
        <v>0</v>
      </c>
      <c r="CY698" s="0" t="n">
        <f aca="false">IF(CW698="","",IF(CX698=0,CW698,IF(CX698=1,CW698/30,IF(CX698=2,CW698/15,IF(CX698=3,CW698/7,CW698)))))</f>
        <v>268.76</v>
      </c>
      <c r="CZ698" s="0" t="n">
        <f aca="false">IF(DI698&gt;0,DI698,IF(CY698&gt;0,CY698,IF(CV698&gt;0,CV698,"")))</f>
        <v>268.76</v>
      </c>
      <c r="DA698" s="0" t="n">
        <f aca="false">IF(DM698=1,CZ698/8,IF(OR(DM698=2,DM698=4),CZ698/7,IF(DM698=3,CZ698/7.5,"")))</f>
        <v>33.595</v>
      </c>
      <c r="DB698" s="0" t="s">
        <v>303</v>
      </c>
      <c r="DC698" s="0" t="s">
        <v>301</v>
      </c>
      <c r="DD698" s="0" t="s">
        <v>216</v>
      </c>
      <c r="DE698" s="0" t="s">
        <v>216</v>
      </c>
      <c r="DF698" s="0" t="s">
        <v>216</v>
      </c>
      <c r="DG698" s="0" t="s">
        <v>216</v>
      </c>
      <c r="DH698" s="0" t="n">
        <v>0</v>
      </c>
      <c r="DI698" s="126" t="n">
        <v>268.76</v>
      </c>
      <c r="DK698" s="0" t="n">
        <v>1</v>
      </c>
      <c r="DM698" s="0" t="n">
        <v>1</v>
      </c>
      <c r="DN698" s="0" t="n">
        <v>52.5</v>
      </c>
      <c r="DO698" s="0" t="n">
        <v>3</v>
      </c>
      <c r="DP698" s="0" t="n">
        <v>0</v>
      </c>
      <c r="DQ698" s="0" t="n">
        <v>1</v>
      </c>
      <c r="DR698" s="0"/>
      <c r="DS698" s="0" t="n">
        <v>1</v>
      </c>
      <c r="DU698" s="0" t="n">
        <v>1</v>
      </c>
      <c r="DW698" s="1" t="n">
        <v>40638</v>
      </c>
      <c r="DX698" s="1" t="n">
        <v>40679</v>
      </c>
      <c r="DZ698" s="0"/>
      <c r="EA698" s="0" t="n">
        <v>1</v>
      </c>
      <c r="EC698" s="1" t="n">
        <v>40544</v>
      </c>
      <c r="ED698" s="1" t="n">
        <v>40679</v>
      </c>
      <c r="EF698" s="0"/>
      <c r="EG698" s="0" t="n">
        <v>0</v>
      </c>
      <c r="EI698" s="0" t="n">
        <f aca="false">IF(AND(DM698=1,DN698&lt;=48),"",IF(AND(DM698=2,DN698&lt;=42),"",IF(AND(DM698=3,DN698&lt;=45),"",EH698)))</f>
        <v>0</v>
      </c>
      <c r="EJ698" s="0" t="str">
        <f aca="false">IF(EI698="","",IF(EI698&lt;9,EI698,9))</f>
        <v/>
      </c>
      <c r="EK698" s="0" t="str">
        <f aca="false">IF(EI698="","",IF(EI698&gt;9,EI698-EJ698,0))</f>
        <v/>
      </c>
      <c r="EL698" s="0" t="str">
        <f aca="false">IF(EI698="","",EJ698*DA698*2+EK698*DA698*3)</f>
        <v/>
      </c>
      <c r="EP698" s="0" t="n">
        <v>0</v>
      </c>
      <c r="EQ698" s="0"/>
      <c r="ER698" s="0" t="n">
        <v>0</v>
      </c>
      <c r="ET698" s="0" t="n">
        <v>0</v>
      </c>
      <c r="EV698" s="0" t="n">
        <v>0</v>
      </c>
      <c r="EX698" s="0" t="n">
        <v>0</v>
      </c>
      <c r="EY698" s="0" t="n">
        <v>0</v>
      </c>
      <c r="EZ698" s="0"/>
      <c r="FA698" s="4" t="n">
        <v>0</v>
      </c>
      <c r="FB698" s="0" t="n">
        <v>1</v>
      </c>
      <c r="FC698" s="1" t="n">
        <v>41655</v>
      </c>
      <c r="FD698" s="0" t="n">
        <v>2</v>
      </c>
      <c r="FE698" s="0" t="n">
        <v>0</v>
      </c>
      <c r="FF698" s="120" t="n">
        <f aca="false">(CJ698-CI698+1)/365</f>
        <v>1.11506849315069</v>
      </c>
      <c r="FG698" s="0" t="str">
        <f aca="false">CONCATENATE(F698,"/",G698)</f>
        <v>1245/2011</v>
      </c>
      <c r="FH698" s="0" t="n">
        <v>1</v>
      </c>
      <c r="FI698" s="0" t="n">
        <f aca="false">IFERROR(IF((FC698-J698+1)/365&gt;3,0,1),"")</f>
        <v>1</v>
      </c>
    </row>
    <row r="699" customFormat="false" ht="15" hidden="false" customHeight="false" outlineLevel="0" collapsed="false">
      <c r="A699" s="5" t="str">
        <f aca="false">E699&amp;G699&amp;F699</f>
        <v>720111249</v>
      </c>
      <c r="B699" s="0" t="s">
        <v>6231</v>
      </c>
      <c r="C699" s="1" t="n">
        <v>42375</v>
      </c>
      <c r="D699" s="0" t="s">
        <v>1630</v>
      </c>
      <c r="E699" s="0" t="n">
        <v>7</v>
      </c>
      <c r="F699" s="0" t="n">
        <v>1249</v>
      </c>
      <c r="G699" s="0" t="n">
        <v>2011</v>
      </c>
      <c r="H699" s="0" t="str">
        <f aca="false">"J"&amp;E699&amp;"\"&amp;F699&amp;"\"&amp;G699&amp;"\"&amp;W699</f>
        <v>J7\1249\2011\1</v>
      </c>
      <c r="I699" s="0"/>
      <c r="J699" s="1" t="n">
        <v>40753</v>
      </c>
      <c r="K699" s="0" t="n">
        <v>0</v>
      </c>
      <c r="M699" s="1"/>
      <c r="N699" s="1"/>
      <c r="O699" s="1"/>
      <c r="P699" s="1"/>
      <c r="Q699" s="1"/>
      <c r="T699" s="121"/>
      <c r="U699" s="121"/>
      <c r="V699" s="122" t="n">
        <f aca="false">IF(AND(E699&gt;0,F699&gt;0,G699&gt;0),COUNTIFS($E:$E,E699,$F:$F,F699,$G:$G,G699),"")</f>
        <v>1</v>
      </c>
      <c r="W699" s="122" t="n">
        <f aca="false">IF(V699="","",IF(V699=1,1,IF(AND(E698=E699,F698=F699,G698=G699),W698+1,1)))</f>
        <v>1</v>
      </c>
      <c r="X699" s="0" t="n">
        <v>1</v>
      </c>
      <c r="Y699" s="0" t="n">
        <v>3</v>
      </c>
      <c r="Z699" s="0" t="s">
        <v>6413</v>
      </c>
      <c r="AA699" s="0" t="n">
        <v>0</v>
      </c>
      <c r="AB699" s="0" t="s">
        <v>1812</v>
      </c>
      <c r="AC699" s="0" t="s">
        <v>228</v>
      </c>
      <c r="AD699" s="0" t="s">
        <v>229</v>
      </c>
      <c r="AE699" s="0" t="n">
        <v>0</v>
      </c>
      <c r="AF699" s="0" t="s">
        <v>6414</v>
      </c>
      <c r="AG699" s="0" t="n">
        <v>0</v>
      </c>
      <c r="AH699" s="0" t="s">
        <v>6415</v>
      </c>
      <c r="AI699" s="0" t="s">
        <v>287</v>
      </c>
      <c r="AJ699" s="0" t="s">
        <v>207</v>
      </c>
      <c r="AL699" s="0" t="s">
        <v>6416</v>
      </c>
      <c r="AM699" s="0" t="n">
        <v>1</v>
      </c>
      <c r="AN699" s="0" t="s">
        <v>6415</v>
      </c>
      <c r="AO699" s="0" t="s">
        <v>287</v>
      </c>
      <c r="AP699" s="0" t="s">
        <v>207</v>
      </c>
      <c r="AR699" s="0" t="s">
        <v>213</v>
      </c>
      <c r="AS699" s="0" t="n">
        <v>1</v>
      </c>
      <c r="AT699" s="0" t="s">
        <v>6415</v>
      </c>
      <c r="AU699" s="0" t="s">
        <v>287</v>
      </c>
      <c r="AV699" s="0" t="s">
        <v>207</v>
      </c>
      <c r="BR699" s="0" t="n">
        <v>3</v>
      </c>
      <c r="BS699" s="0" t="s">
        <v>499</v>
      </c>
      <c r="BT699" s="0" t="s">
        <v>1818</v>
      </c>
      <c r="BU699" s="0" t="s">
        <v>501</v>
      </c>
      <c r="BV699" s="123"/>
      <c r="BW699" s="123"/>
      <c r="BX699" s="123"/>
      <c r="BY699" s="123"/>
      <c r="CA699" s="0" t="s">
        <v>348</v>
      </c>
      <c r="CD699" s="0" t="s">
        <v>357</v>
      </c>
      <c r="CE699" s="0" t="n">
        <v>0</v>
      </c>
      <c r="CF699" s="0" t="s">
        <v>527</v>
      </c>
      <c r="CI699" s="1" t="n">
        <v>40451</v>
      </c>
      <c r="CJ699" s="1" t="n">
        <v>40679</v>
      </c>
      <c r="CK699" s="124" t="n">
        <v>0.333333333333333</v>
      </c>
      <c r="CL699" s="0" t="s">
        <v>6416</v>
      </c>
      <c r="CM699" s="0" t="n">
        <f aca="false">IF(OR(CI699="",CJ699=""),"",DAYS360(CI699,CJ699)/360)</f>
        <v>0.627777777777778</v>
      </c>
      <c r="CN699" s="0" t="n">
        <f aca="false">IF(OR(CI699="",CJ699=""),"",DAYS360(CI699,CJ699)/30)</f>
        <v>7.53333333333333</v>
      </c>
      <c r="CO699" s="0" t="n">
        <f aca="false">IF(OR(CI699="",CJ699=""),"",DAYS360(CI699,CJ699)/7)</f>
        <v>32.2857142857143</v>
      </c>
      <c r="CP699" s="0" t="n">
        <f aca="false">IF(OR(CI699="",CJ699=""),"",DAYS360(CI699,CJ699))</f>
        <v>226</v>
      </c>
      <c r="CQ699" s="0" t="s">
        <v>240</v>
      </c>
      <c r="CR699" s="0" t="n">
        <v>1</v>
      </c>
      <c r="CT699" s="0" t="n">
        <v>183</v>
      </c>
      <c r="CU699" s="0" t="n">
        <v>0</v>
      </c>
      <c r="CV699" s="0" t="n">
        <f aca="false">IF(OR(CT699="",CT699="NO ESPECIFICA",CT699="NO MENCIONA"),"",IF(CU699=0,CT699,IF(CU699=1,CT699/30,IF(CU699=2,CT699/15,IF(CU699=3,CT699/7,"")))))</f>
        <v>183</v>
      </c>
      <c r="CW699" s="125" t="n">
        <v>194.32</v>
      </c>
      <c r="CX699" s="0" t="n">
        <v>0</v>
      </c>
      <c r="CY699" s="0" t="n">
        <f aca="false">IF(CW699="","",IF(CX699=0,CW699,IF(CX699=1,CW699/30,IF(CX699=2,CW699/15,IF(CX699=3,CW699/7,CW699)))))</f>
        <v>194.32</v>
      </c>
      <c r="CZ699" s="0" t="n">
        <f aca="false">IF(DI699&gt;0,DI699,IF(CY699&gt;0,CY699,IF(CV699&gt;0,CV699,"")))</f>
        <v>194.32</v>
      </c>
      <c r="DA699" s="0" t="n">
        <f aca="false">IF(DM699=1,CZ699/8,IF(OR(DM699=2,DM699=4),CZ699/7,IF(DM699=3,CZ699/7.5,"")))</f>
        <v>24.29</v>
      </c>
      <c r="DB699" s="0" t="s">
        <v>3909</v>
      </c>
      <c r="DC699" s="0" t="s">
        <v>303</v>
      </c>
      <c r="DD699" s="0" t="s">
        <v>301</v>
      </c>
      <c r="DE699" s="0" t="s">
        <v>216</v>
      </c>
      <c r="DF699" s="0" t="s">
        <v>216</v>
      </c>
      <c r="DG699" s="0" t="s">
        <v>216</v>
      </c>
      <c r="DH699" s="0" t="n">
        <v>0</v>
      </c>
      <c r="DI699" s="126" t="n">
        <v>194.32</v>
      </c>
      <c r="DK699" s="0" t="n">
        <v>0</v>
      </c>
      <c r="DM699" s="0" t="n">
        <v>1</v>
      </c>
      <c r="DN699" s="0" t="n">
        <v>48</v>
      </c>
      <c r="DO699" s="0" t="n">
        <v>3</v>
      </c>
      <c r="DP699" s="0" t="n">
        <v>0</v>
      </c>
      <c r="DQ699" s="0" t="n">
        <v>1</v>
      </c>
      <c r="DR699" s="0"/>
      <c r="DS699" s="0" t="n">
        <v>1</v>
      </c>
      <c r="DU699" s="0" t="n">
        <v>1</v>
      </c>
      <c r="DW699" s="1" t="n">
        <v>40451</v>
      </c>
      <c r="DX699" s="1" t="n">
        <v>40679</v>
      </c>
      <c r="DZ699" s="0"/>
      <c r="EA699" s="0" t="n">
        <v>1</v>
      </c>
      <c r="EC699" s="1" t="n">
        <v>40451</v>
      </c>
      <c r="ED699" s="1" t="n">
        <v>40679</v>
      </c>
      <c r="EF699" s="0"/>
      <c r="EG699" s="0" t="n">
        <v>0</v>
      </c>
      <c r="EI699" s="0" t="str">
        <f aca="false">IF(AND(DM699=1,DN699&lt;=48),"",IF(AND(DM699=2,DN699&lt;=42),"",IF(AND(DM699=3,DN699&lt;=45),"",EH699)))</f>
        <v/>
      </c>
      <c r="EJ699" s="0" t="str">
        <f aca="false">IF(EI699="","",IF(EI699&lt;9,EI699,9))</f>
        <v/>
      </c>
      <c r="EK699" s="0" t="str">
        <f aca="false">IF(EI699="","",IF(EI699&gt;9,EI699-EJ699,0))</f>
        <v/>
      </c>
      <c r="EL699" s="0" t="str">
        <f aca="false">IF(EI699="","",EJ699*DA699*2+EK699*DA699*3)</f>
        <v/>
      </c>
      <c r="EP699" s="0" t="n">
        <v>0</v>
      </c>
      <c r="EQ699" s="0"/>
      <c r="ER699" s="0" t="n">
        <v>0</v>
      </c>
      <c r="ET699" s="0" t="n">
        <v>0</v>
      </c>
      <c r="EV699" s="0" t="n">
        <v>0</v>
      </c>
      <c r="EX699" s="0" t="n">
        <v>0</v>
      </c>
      <c r="EY699" s="0" t="n">
        <v>0</v>
      </c>
      <c r="EZ699" s="0"/>
      <c r="FA699" s="4" t="n">
        <v>0</v>
      </c>
      <c r="FB699" s="0" t="n">
        <v>0</v>
      </c>
      <c r="FC699" s="1" t="n">
        <v>41324</v>
      </c>
      <c r="FD699" s="0" t="n">
        <v>2</v>
      </c>
      <c r="FE699" s="0" t="n">
        <v>0</v>
      </c>
      <c r="FF699" s="120" t="n">
        <f aca="false">(CJ699-CI699+1)/365</f>
        <v>0.627397260273973</v>
      </c>
      <c r="FG699" s="0" t="str">
        <f aca="false">CONCATENATE(F699,"/",G699)</f>
        <v>1249/2011</v>
      </c>
      <c r="FH699" s="0" t="n">
        <v>1</v>
      </c>
      <c r="FI699" s="0" t="n">
        <f aca="false">IFERROR(IF((FC699-J699+1)/365&gt;3,0,1),"")</f>
        <v>1</v>
      </c>
    </row>
    <row r="700" customFormat="false" ht="15" hidden="false" customHeight="false" outlineLevel="0" collapsed="false">
      <c r="A700" s="5" t="str">
        <f aca="false">E700&amp;G700&amp;F700</f>
        <v>720111250</v>
      </c>
      <c r="B700" s="0" t="s">
        <v>6231</v>
      </c>
      <c r="C700" s="1" t="n">
        <v>42375</v>
      </c>
      <c r="D700" s="0" t="s">
        <v>1630</v>
      </c>
      <c r="E700" s="0" t="n">
        <v>7</v>
      </c>
      <c r="F700" s="0" t="n">
        <v>1250</v>
      </c>
      <c r="G700" s="0" t="n">
        <v>2011</v>
      </c>
      <c r="H700" s="0" t="str">
        <f aca="false">"J"&amp;E700&amp;"\"&amp;F700&amp;"\"&amp;G700&amp;"\"&amp;W700</f>
        <v>J7\1250\2011\1</v>
      </c>
      <c r="I700" s="0"/>
      <c r="J700" s="1" t="n">
        <v>40754</v>
      </c>
      <c r="K700" s="0" t="n">
        <v>0</v>
      </c>
      <c r="M700" s="1"/>
      <c r="N700" s="1"/>
      <c r="O700" s="1"/>
      <c r="P700" s="1"/>
      <c r="Q700" s="1"/>
      <c r="T700" s="121"/>
      <c r="U700" s="121"/>
      <c r="V700" s="122" t="n">
        <f aca="false">IF(AND(E700&gt;0,F700&gt;0,G700&gt;0),COUNTIFS($E:$E,E700,$F:$F,F700,$G:$G,G700),"")</f>
        <v>1</v>
      </c>
      <c r="W700" s="122" t="n">
        <f aca="false">IF(V700="","",IF(V700=1,1,IF(AND(E699=E700,F699=F700,G699=G700),W699+1,1)))</f>
        <v>1</v>
      </c>
      <c r="X700" s="0" t="n">
        <v>1</v>
      </c>
      <c r="Y700" s="0" t="n">
        <v>5</v>
      </c>
      <c r="Z700" s="0" t="s">
        <v>6417</v>
      </c>
      <c r="AA700" s="0" t="n">
        <v>0</v>
      </c>
      <c r="AB700" s="0" t="s">
        <v>6418</v>
      </c>
      <c r="AC700" s="0" t="s">
        <v>830</v>
      </c>
      <c r="AD700" s="0" t="s">
        <v>322</v>
      </c>
      <c r="AE700" s="0" t="n">
        <v>0</v>
      </c>
      <c r="AF700" s="0" t="s">
        <v>6419</v>
      </c>
      <c r="AG700" s="0" t="n">
        <v>0</v>
      </c>
      <c r="AH700" s="0" t="s">
        <v>6420</v>
      </c>
      <c r="AI700" s="0" t="s">
        <v>1123</v>
      </c>
      <c r="AJ700" s="0" t="s">
        <v>221</v>
      </c>
      <c r="AL700" s="0" t="s">
        <v>6337</v>
      </c>
      <c r="AM700" s="0" t="n">
        <v>0</v>
      </c>
      <c r="AN700" s="0" t="s">
        <v>6421</v>
      </c>
      <c r="AO700" s="0" t="s">
        <v>1476</v>
      </c>
      <c r="AP700" s="0" t="s">
        <v>221</v>
      </c>
      <c r="AR700" s="0" t="s">
        <v>6422</v>
      </c>
      <c r="AS700" s="0" t="n">
        <v>1</v>
      </c>
      <c r="AT700" s="0" t="s">
        <v>6421</v>
      </c>
      <c r="AU700" s="0" t="s">
        <v>1476</v>
      </c>
      <c r="AV700" s="0" t="s">
        <v>221</v>
      </c>
      <c r="AX700" s="0" t="s">
        <v>249</v>
      </c>
      <c r="AY700" s="0" t="n">
        <v>0</v>
      </c>
      <c r="AZ700" s="0" t="s">
        <v>964</v>
      </c>
      <c r="BA700" s="0" t="s">
        <v>410</v>
      </c>
      <c r="BB700" s="0" t="s">
        <v>411</v>
      </c>
      <c r="BD700" s="0" t="s">
        <v>412</v>
      </c>
      <c r="BE700" s="0" t="n">
        <v>0</v>
      </c>
      <c r="BF700" s="0" t="s">
        <v>437</v>
      </c>
      <c r="BG700" s="0" t="s">
        <v>438</v>
      </c>
      <c r="BH700" s="0" t="s">
        <v>221</v>
      </c>
      <c r="BR700" s="0" t="n">
        <v>1</v>
      </c>
      <c r="BS700" s="0" t="s">
        <v>6423</v>
      </c>
      <c r="BT700" s="0" t="s">
        <v>6424</v>
      </c>
      <c r="BU700" s="0" t="s">
        <v>6425</v>
      </c>
      <c r="BV700" s="123"/>
      <c r="BW700" s="123"/>
      <c r="BX700" s="123"/>
      <c r="BY700" s="123"/>
      <c r="CA700" s="0" t="s">
        <v>6426</v>
      </c>
      <c r="CD700" s="0" t="s">
        <v>216</v>
      </c>
      <c r="CE700" s="0" t="n">
        <v>0</v>
      </c>
      <c r="CF700" s="0" t="s">
        <v>6427</v>
      </c>
      <c r="CI700" s="1" t="n">
        <v>39650</v>
      </c>
      <c r="CJ700" s="1" t="n">
        <v>40694</v>
      </c>
      <c r="CK700" s="124" t="n">
        <v>0.708333333333333</v>
      </c>
      <c r="CL700" s="0" t="s">
        <v>6428</v>
      </c>
      <c r="CM700" s="0" t="n">
        <f aca="false">IF(OR(CI700="",CJ700=""),"",DAYS360(CI700,CJ700)/360)</f>
        <v>2.86111111111111</v>
      </c>
      <c r="CN700" s="0" t="n">
        <f aca="false">IF(OR(CI700="",CJ700=""),"",DAYS360(CI700,CJ700)/30)</f>
        <v>34.3333333333333</v>
      </c>
      <c r="CO700" s="0" t="n">
        <f aca="false">IF(OR(CI700="",CJ700=""),"",DAYS360(CI700,CJ700)/7)</f>
        <v>147.142857142857</v>
      </c>
      <c r="CP700" s="0" t="n">
        <f aca="false">IF(OR(CI700="",CJ700=""),"",DAYS360(CI700,CJ700))</f>
        <v>1030</v>
      </c>
      <c r="CQ700" s="0" t="s">
        <v>240</v>
      </c>
      <c r="CR700" s="0" t="n">
        <v>1</v>
      </c>
      <c r="CT700" s="0" t="n">
        <v>15000</v>
      </c>
      <c r="CU700" s="0" t="n">
        <v>1</v>
      </c>
      <c r="CV700" s="0" t="n">
        <f aca="false">IF(OR(CT700="",CT700="NO ESPECIFICA",CT700="NO MENCIONA"),"",IF(CU700=0,CT700,IF(CU700=1,CT700/30,IF(CU700=2,CT700/15,IF(CU700=3,CT700/7,"")))))</f>
        <v>500</v>
      </c>
      <c r="CW700" s="125" t="n">
        <v>561.62</v>
      </c>
      <c r="CX700" s="0" t="n">
        <v>0</v>
      </c>
      <c r="CY700" s="0" t="n">
        <f aca="false">IF(CW700="","",IF(CX700=0,CW700,IF(CX700=1,CW700/30,IF(CX700=2,CW700/15,IF(CX700=3,CW700/7,CW700)))))</f>
        <v>561.62</v>
      </c>
      <c r="CZ700" s="0" t="n">
        <f aca="false">IF(DI700&gt;0,DI700,IF(CY700&gt;0,CY700,IF(CV700&gt;0,CV700,"")))</f>
        <v>561.62</v>
      </c>
      <c r="DA700" s="0" t="n">
        <f aca="false">IF(DM700=1,CZ700/8,IF(OR(DM700=2,DM700=4),CZ700/7,IF(DM700=3,CZ700/7.5,"")))</f>
        <v>70.2025</v>
      </c>
      <c r="DB700" s="0" t="s">
        <v>301</v>
      </c>
      <c r="DC700" s="0" t="s">
        <v>302</v>
      </c>
      <c r="DD700" s="0" t="s">
        <v>303</v>
      </c>
      <c r="DE700" s="0" t="s">
        <v>216</v>
      </c>
      <c r="DF700" s="0" t="s">
        <v>216</v>
      </c>
      <c r="DG700" s="0" t="s">
        <v>216</v>
      </c>
      <c r="DH700" s="0" t="n">
        <v>0</v>
      </c>
      <c r="DI700" s="126" t="n">
        <v>561.62</v>
      </c>
      <c r="DK700" s="0" t="n">
        <v>1</v>
      </c>
      <c r="DM700" s="0" t="n">
        <v>1</v>
      </c>
      <c r="DN700" s="0" t="n">
        <v>55</v>
      </c>
      <c r="DO700" s="0" t="n">
        <v>3</v>
      </c>
      <c r="DP700" s="0" t="n">
        <v>0</v>
      </c>
      <c r="DQ700" s="0" t="n">
        <v>1</v>
      </c>
      <c r="DR700" s="0"/>
      <c r="DS700" s="0" t="n">
        <v>1</v>
      </c>
      <c r="DU700" s="0" t="n">
        <v>1</v>
      </c>
      <c r="DW700" s="1" t="n">
        <v>40380</v>
      </c>
      <c r="DX700" s="1" t="n">
        <v>40694</v>
      </c>
      <c r="DZ700" s="0"/>
      <c r="EA700" s="0" t="n">
        <v>1</v>
      </c>
      <c r="EC700" s="1" t="n">
        <v>40544</v>
      </c>
      <c r="ED700" s="1" t="n">
        <v>40694</v>
      </c>
      <c r="EF700" s="0"/>
      <c r="EG700" s="0" t="n">
        <v>1</v>
      </c>
      <c r="EH700" s="0" t="n">
        <v>10</v>
      </c>
      <c r="EI700" s="0" t="n">
        <f aca="false">IF(AND(DM700=1,DN700&lt;=48),"",IF(AND(DM700=2,DN700&lt;=42),"",IF(AND(DM700=3,DN700&lt;=45),"",EH700)))</f>
        <v>10</v>
      </c>
      <c r="EJ700" s="0" t="n">
        <f aca="false">IF(EI700="","",IF(EI700&lt;9,EI700,9))</f>
        <v>9</v>
      </c>
      <c r="EK700" s="0" t="n">
        <f aca="false">IF(EI700="","",IF(EI700&gt;9,EI700-EJ700,0))</f>
        <v>1</v>
      </c>
      <c r="EL700" s="0" t="n">
        <f aca="false">IF(EI700="","",EJ700*DA700*2+EK700*DA700*3)</f>
        <v>1474.2525</v>
      </c>
      <c r="EP700" s="0" t="n">
        <v>1</v>
      </c>
      <c r="EQ700" s="0"/>
      <c r="ER700" s="0" t="n">
        <v>0</v>
      </c>
      <c r="ET700" s="0" t="n">
        <v>0</v>
      </c>
      <c r="EV700" s="0" t="n">
        <v>0</v>
      </c>
      <c r="EX700" s="0" t="n">
        <v>1</v>
      </c>
      <c r="EY700" s="0" t="n">
        <v>0</v>
      </c>
      <c r="EZ700" s="0"/>
      <c r="FA700" s="4" t="n">
        <v>0</v>
      </c>
      <c r="FB700" s="0" t="n">
        <v>0</v>
      </c>
      <c r="FC700" s="1" t="n">
        <v>41187</v>
      </c>
      <c r="FD700" s="0" t="n">
        <v>1</v>
      </c>
      <c r="FE700" s="0" t="n">
        <v>33000</v>
      </c>
      <c r="FF700" s="120" t="n">
        <f aca="false">(CJ700-CI700+1)/365</f>
        <v>2.86301369863014</v>
      </c>
      <c r="FG700" s="0" t="str">
        <f aca="false">CONCATENATE(F700,"/",G700)</f>
        <v>1250/2011</v>
      </c>
      <c r="FH700" s="0" t="n">
        <v>1</v>
      </c>
      <c r="FI700" s="0" t="n">
        <f aca="false">IFERROR(IF((FC700-J700+1)/365&gt;3,0,1),"")</f>
        <v>1</v>
      </c>
    </row>
    <row r="701" customFormat="false" ht="15" hidden="false" customHeight="false" outlineLevel="0" collapsed="false">
      <c r="A701" s="5" t="str">
        <f aca="false">E701&amp;G701&amp;F701</f>
        <v>720111262</v>
      </c>
      <c r="B701" s="0" t="s">
        <v>6231</v>
      </c>
      <c r="C701" s="1" t="n">
        <v>42376</v>
      </c>
      <c r="D701" s="0" t="s">
        <v>6429</v>
      </c>
      <c r="E701" s="0" t="n">
        <v>7</v>
      </c>
      <c r="F701" s="0" t="n">
        <v>1262</v>
      </c>
      <c r="G701" s="0" t="n">
        <v>2011</v>
      </c>
      <c r="H701" s="0" t="str">
        <f aca="false">"J"&amp;E701&amp;"\"&amp;F701&amp;"\"&amp;G701&amp;"\"&amp;W701</f>
        <v>J7\1262\2011\1</v>
      </c>
      <c r="I701" s="0"/>
      <c r="J701" s="1" t="n">
        <v>40756</v>
      </c>
      <c r="K701" s="0" t="n">
        <v>0</v>
      </c>
      <c r="M701" s="1"/>
      <c r="N701" s="1"/>
      <c r="O701" s="1"/>
      <c r="P701" s="1"/>
      <c r="Q701" s="1"/>
      <c r="T701" s="121"/>
      <c r="U701" s="121"/>
      <c r="V701" s="122" t="n">
        <f aca="false">IF(AND(E701&gt;0,F701&gt;0,G701&gt;0),COUNTIFS($E:$E,E701,$F:$F,F701,$G:$G,G701),"")</f>
        <v>1</v>
      </c>
      <c r="W701" s="122" t="n">
        <f aca="false">IF(V701="","",IF(V701=1,1,IF(AND(E700=E701,F700=F701,G700=G701),W700+1,1)))</f>
        <v>1</v>
      </c>
      <c r="X701" s="0" t="n">
        <v>1</v>
      </c>
      <c r="Y701" s="0" t="n">
        <v>7</v>
      </c>
      <c r="Z701" s="0" t="s">
        <v>6430</v>
      </c>
      <c r="AA701" s="0" t="n">
        <v>0</v>
      </c>
      <c r="AB701" s="0" t="s">
        <v>6431</v>
      </c>
      <c r="AC701" s="0" t="s">
        <v>1661</v>
      </c>
      <c r="AD701" s="0" t="s">
        <v>221</v>
      </c>
      <c r="AE701" s="0" t="n">
        <v>0</v>
      </c>
      <c r="AF701" s="0" t="s">
        <v>6432</v>
      </c>
      <c r="AG701" s="0" t="n">
        <v>0</v>
      </c>
      <c r="AH701" s="0" t="s">
        <v>6433</v>
      </c>
      <c r="AI701" s="0" t="s">
        <v>1126</v>
      </c>
      <c r="AJ701" s="0" t="s">
        <v>352</v>
      </c>
      <c r="AL701" s="0" t="s">
        <v>6434</v>
      </c>
      <c r="AM701" s="0" t="n">
        <v>1</v>
      </c>
      <c r="AN701" s="0" t="s">
        <v>6433</v>
      </c>
      <c r="AO701" s="0" t="s">
        <v>1126</v>
      </c>
      <c r="AP701" s="0" t="s">
        <v>352</v>
      </c>
      <c r="AR701" s="0" t="s">
        <v>6435</v>
      </c>
      <c r="AS701" s="0" t="n">
        <v>1</v>
      </c>
      <c r="AT701" s="0" t="s">
        <v>6433</v>
      </c>
      <c r="AU701" s="0" t="s">
        <v>1126</v>
      </c>
      <c r="AV701" s="0" t="s">
        <v>352</v>
      </c>
      <c r="AX701" s="0" t="s">
        <v>6436</v>
      </c>
      <c r="AY701" s="0" t="n">
        <v>1</v>
      </c>
      <c r="AZ701" s="0" t="s">
        <v>6433</v>
      </c>
      <c r="BA701" s="0" t="s">
        <v>1126</v>
      </c>
      <c r="BB701" s="0" t="s">
        <v>352</v>
      </c>
      <c r="BD701" s="0" t="s">
        <v>6437</v>
      </c>
      <c r="BE701" s="0" t="n">
        <v>1</v>
      </c>
      <c r="BF701" s="0" t="s">
        <v>6433</v>
      </c>
      <c r="BG701" s="0" t="s">
        <v>1126</v>
      </c>
      <c r="BH701" s="0" t="s">
        <v>352</v>
      </c>
      <c r="BJ701" s="0" t="s">
        <v>6438</v>
      </c>
      <c r="BK701" s="0" t="n">
        <v>1</v>
      </c>
      <c r="BL701" s="0" t="s">
        <v>6433</v>
      </c>
      <c r="BM701" s="0" t="s">
        <v>1126</v>
      </c>
      <c r="BN701" s="0" t="s">
        <v>352</v>
      </c>
      <c r="BR701" s="0" t="n">
        <v>1</v>
      </c>
      <c r="BS701" s="0" t="s">
        <v>6439</v>
      </c>
      <c r="BT701" s="0" t="s">
        <v>6440</v>
      </c>
      <c r="BU701" s="0" t="s">
        <v>6441</v>
      </c>
      <c r="BV701" s="123"/>
      <c r="BW701" s="123"/>
      <c r="BX701" s="123"/>
      <c r="BY701" s="123"/>
      <c r="CA701" s="0" t="s">
        <v>216</v>
      </c>
      <c r="CD701" s="0" t="s">
        <v>502</v>
      </c>
      <c r="CE701" s="0" t="n">
        <v>0</v>
      </c>
      <c r="CF701" s="0" t="s">
        <v>6442</v>
      </c>
      <c r="CI701" s="1" t="n">
        <v>40637</v>
      </c>
      <c r="CJ701" s="1" t="n">
        <v>40747</v>
      </c>
      <c r="CK701" s="124" t="n">
        <v>0.416666666666667</v>
      </c>
      <c r="CL701" s="0" t="s">
        <v>6438</v>
      </c>
      <c r="CM701" s="0" t="n">
        <f aca="false">IF(OR(CI701="",CJ701=""),"",DAYS360(CI701,CJ701)/360)</f>
        <v>0.302777777777778</v>
      </c>
      <c r="CN701" s="0" t="n">
        <f aca="false">IF(OR(CI701="",CJ701=""),"",DAYS360(CI701,CJ701)/30)</f>
        <v>3.63333333333333</v>
      </c>
      <c r="CO701" s="0" t="n">
        <f aca="false">IF(OR(CI701="",CJ701=""),"",DAYS360(CI701,CJ701)/7)</f>
        <v>15.5714285714286</v>
      </c>
      <c r="CP701" s="0" t="n">
        <f aca="false">IF(OR(CI701="",CJ701=""),"",DAYS360(CI701,CJ701))</f>
        <v>109</v>
      </c>
      <c r="CQ701" s="0" t="s">
        <v>240</v>
      </c>
      <c r="CR701" s="0" t="n">
        <v>1</v>
      </c>
      <c r="CT701" s="0" t="s">
        <v>221</v>
      </c>
      <c r="CU701" s="0" t="s">
        <v>221</v>
      </c>
      <c r="CV701" s="0" t="str">
        <f aca="false">IF(OR(CT701="",CT701="NO ESPECIFICA",CT701="NO MENCIONA"),"",IF(CU701=0,CT701,IF(CU701=1,CT701/30,IF(CU701=2,CT701/15,IF(CU701=3,CT701/7,"")))))</f>
        <v/>
      </c>
      <c r="CW701" s="125" t="n">
        <v>350</v>
      </c>
      <c r="CX701" s="0" t="n">
        <v>0</v>
      </c>
      <c r="CY701" s="0" t="n">
        <f aca="false">IF(CW701="","",IF(CX701=0,CW701,IF(CX701=1,CW701/30,IF(CX701=2,CW701/15,IF(CX701=3,CW701/7,CW701)))))</f>
        <v>350</v>
      </c>
      <c r="CZ701" s="0" t="n">
        <f aca="false">IF(DI701&gt;0,DI701,IF(CY701&gt;0,CY701,IF(CV701&gt;0,CV701,"")))</f>
        <v>350</v>
      </c>
      <c r="DA701" s="0" t="n">
        <f aca="false">IF(DM701=1,CZ701/8,IF(OR(DM701=2,DM701=4),CZ701/7,IF(DM701=3,CZ701/7.5,"")))</f>
        <v>43.75</v>
      </c>
      <c r="DB701" s="0" t="s">
        <v>216</v>
      </c>
      <c r="DC701" s="0" t="s">
        <v>216</v>
      </c>
      <c r="DD701" s="0" t="s">
        <v>216</v>
      </c>
      <c r="DE701" s="0" t="s">
        <v>216</v>
      </c>
      <c r="DF701" s="0" t="s">
        <v>216</v>
      </c>
      <c r="DG701" s="0" t="s">
        <v>216</v>
      </c>
      <c r="DH701" s="0" t="n">
        <v>0</v>
      </c>
      <c r="DI701" s="126" t="n">
        <v>350</v>
      </c>
      <c r="DK701" s="0" t="n">
        <v>1</v>
      </c>
      <c r="DM701" s="0" t="n">
        <v>1</v>
      </c>
      <c r="DN701" s="0" t="n">
        <v>66</v>
      </c>
      <c r="DO701" s="0" t="n">
        <v>3</v>
      </c>
      <c r="DP701" s="0" t="n">
        <v>0</v>
      </c>
      <c r="DQ701" s="0" t="n">
        <v>1</v>
      </c>
      <c r="DR701" s="0"/>
      <c r="DS701" s="0" t="n">
        <v>1</v>
      </c>
      <c r="DU701" s="0" t="n">
        <v>1</v>
      </c>
      <c r="DW701" s="1" t="n">
        <v>40637</v>
      </c>
      <c r="DX701" s="1" t="n">
        <v>40747</v>
      </c>
      <c r="DZ701" s="0"/>
      <c r="EA701" s="0" t="n">
        <v>1</v>
      </c>
      <c r="EC701" s="1" t="n">
        <v>40637</v>
      </c>
      <c r="ED701" s="1" t="n">
        <v>40747</v>
      </c>
      <c r="EF701" s="0"/>
      <c r="EG701" s="0" t="n">
        <v>1</v>
      </c>
      <c r="EH701" s="0" t="n">
        <v>12</v>
      </c>
      <c r="EI701" s="0" t="n">
        <f aca="false">IF(AND(DM701=1,DN701&lt;=48),"",IF(AND(DM701=2,DN701&lt;=42),"",IF(AND(DM701=3,DN701&lt;=45),"",EH701)))</f>
        <v>12</v>
      </c>
      <c r="EJ701" s="0" t="n">
        <f aca="false">IF(EI701="","",IF(EI701&lt;9,EI701,9))</f>
        <v>9</v>
      </c>
      <c r="EK701" s="0" t="n">
        <f aca="false">IF(EI701="","",IF(EI701&gt;9,EI701-EJ701,0))</f>
        <v>3</v>
      </c>
      <c r="EL701" s="0" t="n">
        <f aca="false">IF(EI701="","",EJ701*DA701*2+EK701*DA701*3)</f>
        <v>1181.25</v>
      </c>
      <c r="EP701" s="0" t="n">
        <v>0</v>
      </c>
      <c r="EQ701" s="0"/>
      <c r="ER701" s="0" t="n">
        <v>0</v>
      </c>
      <c r="ET701" s="0" t="n">
        <v>0</v>
      </c>
      <c r="EV701" s="0" t="n">
        <v>1</v>
      </c>
      <c r="EX701" s="0" t="n">
        <v>0</v>
      </c>
      <c r="EY701" s="0" t="n">
        <v>0</v>
      </c>
      <c r="EZ701" s="0"/>
      <c r="FA701" s="4" t="n">
        <v>2450</v>
      </c>
      <c r="FB701" s="0" t="n">
        <v>1</v>
      </c>
      <c r="FC701" s="1" t="n">
        <v>41060</v>
      </c>
      <c r="FD701" s="0" t="n">
        <v>1</v>
      </c>
      <c r="FE701" s="0" t="n">
        <v>7000</v>
      </c>
      <c r="FF701" s="120" t="n">
        <f aca="false">(CJ701-CI701+1)/365</f>
        <v>0.304109589041096</v>
      </c>
      <c r="FG701" s="0" t="str">
        <f aca="false">CONCATENATE(F701,"/",G701)</f>
        <v>1262/2011</v>
      </c>
      <c r="FH701" s="0" t="n">
        <v>1</v>
      </c>
      <c r="FI701" s="0" t="n">
        <f aca="false">IFERROR(IF((FC701-J701+1)/365&gt;3,0,1),"")</f>
        <v>1</v>
      </c>
    </row>
    <row r="702" customFormat="false" ht="15" hidden="false" customHeight="false" outlineLevel="0" collapsed="false">
      <c r="A702" s="5" t="str">
        <f aca="false">E702&amp;G702&amp;F702</f>
        <v>72011652</v>
      </c>
      <c r="B702" s="0" t="s">
        <v>1855</v>
      </c>
      <c r="C702" s="1" t="n">
        <v>42364</v>
      </c>
      <c r="D702" s="0" t="s">
        <v>1856</v>
      </c>
      <c r="E702" s="0" t="n">
        <v>7</v>
      </c>
      <c r="F702" s="0" t="n">
        <v>652</v>
      </c>
      <c r="G702" s="0" t="n">
        <v>2011</v>
      </c>
      <c r="H702" s="0" t="str">
        <f aca="false">"J"&amp;E702&amp;"\"&amp;F702&amp;"\"&amp;G702&amp;"\"&amp;W702</f>
        <v>J7\652\2011\1</v>
      </c>
      <c r="I702" s="0"/>
      <c r="J702" s="1" t="n">
        <v>40644</v>
      </c>
      <c r="M702" s="1"/>
      <c r="N702" s="1"/>
      <c r="O702" s="1"/>
      <c r="P702" s="1"/>
      <c r="Q702" s="1"/>
      <c r="T702" s="121"/>
      <c r="U702" s="121"/>
      <c r="V702" s="122" t="n">
        <f aca="false">IF(AND(E702&gt;0,F702&gt;0,G702&gt;0),COUNTIFS($E:$E,E702,$F:$F,F702,$G:$G,G702),"")</f>
        <v>1</v>
      </c>
      <c r="W702" s="122" t="n">
        <f aca="false">IF(V702="","",IF(V702=1,1,IF(AND(E701=E702,F701=F702,G701=G702),W701+1,1)))</f>
        <v>1</v>
      </c>
      <c r="X702" s="0" t="n">
        <v>1</v>
      </c>
      <c r="Y702" s="0" t="n">
        <v>3</v>
      </c>
      <c r="Z702" s="0" t="s">
        <v>6443</v>
      </c>
      <c r="AA702" s="0" t="n">
        <v>0</v>
      </c>
      <c r="AB702" s="0" t="s">
        <v>6444</v>
      </c>
      <c r="AC702" s="0" t="s">
        <v>206</v>
      </c>
      <c r="AD702" s="0" t="s">
        <v>207</v>
      </c>
      <c r="AE702" s="0" t="n">
        <v>0</v>
      </c>
      <c r="AF702" s="0" t="s">
        <v>6445</v>
      </c>
      <c r="AG702" s="0" t="n">
        <v>0</v>
      </c>
      <c r="AH702" s="0" t="s">
        <v>6446</v>
      </c>
      <c r="AI702" s="0" t="s">
        <v>1313</v>
      </c>
      <c r="AJ702" s="0" t="s">
        <v>229</v>
      </c>
      <c r="AL702" s="0" t="s">
        <v>6447</v>
      </c>
      <c r="AM702" s="0" t="n">
        <v>1</v>
      </c>
      <c r="AN702" s="0" t="s">
        <v>6446</v>
      </c>
      <c r="AO702" s="0" t="s">
        <v>1313</v>
      </c>
      <c r="AP702" s="0" t="s">
        <v>229</v>
      </c>
      <c r="AR702" s="0" t="s">
        <v>1880</v>
      </c>
      <c r="AS702" s="0" t="n">
        <v>1</v>
      </c>
      <c r="AT702" s="0" t="s">
        <v>6446</v>
      </c>
      <c r="AU702" s="0" t="s">
        <v>1313</v>
      </c>
      <c r="AV702" s="0" t="s">
        <v>229</v>
      </c>
      <c r="BR702" s="0" t="n">
        <v>1</v>
      </c>
      <c r="BS702" s="0" t="s">
        <v>6448</v>
      </c>
      <c r="BT702" s="0" t="s">
        <v>6449</v>
      </c>
      <c r="BU702" s="0" t="s">
        <v>6450</v>
      </c>
      <c r="BV702" s="123"/>
      <c r="BW702" s="123"/>
      <c r="BX702" s="123"/>
      <c r="BY702" s="123"/>
      <c r="CA702" s="0" t="s">
        <v>6451</v>
      </c>
      <c r="CD702" s="0" t="s">
        <v>256</v>
      </c>
      <c r="CE702" s="0" t="n">
        <v>0</v>
      </c>
      <c r="CF702" s="0" t="s">
        <v>782</v>
      </c>
      <c r="CI702" s="1" t="n">
        <v>36210</v>
      </c>
      <c r="CJ702" s="1" t="n">
        <v>40634</v>
      </c>
      <c r="CK702" s="124" t="n">
        <v>0.333333333333333</v>
      </c>
      <c r="CL702" s="0" t="s">
        <v>6447</v>
      </c>
      <c r="CM702" s="0" t="n">
        <f aca="false">IF(OR(CI702="",CJ702=""),"",DAYS360(CI702,CJ702)/360)</f>
        <v>12.1166666666667</v>
      </c>
      <c r="CN702" s="0" t="n">
        <f aca="false">IF(OR(CI702="",CJ702=""),"",DAYS360(CI702,CJ702)/30)</f>
        <v>145.4</v>
      </c>
      <c r="CO702" s="0" t="n">
        <f aca="false">IF(OR(CI702="",CJ702=""),"",DAYS360(CI702,CJ702)/7)</f>
        <v>623.142857142857</v>
      </c>
      <c r="CP702" s="0" t="n">
        <f aca="false">IF(OR(CI702="",CJ702=""),"",DAYS360(CI702,CJ702))</f>
        <v>4362</v>
      </c>
      <c r="CQ702" s="0" t="s">
        <v>240</v>
      </c>
      <c r="CR702" s="0" t="n">
        <v>1</v>
      </c>
      <c r="CT702" s="0" t="s">
        <v>221</v>
      </c>
      <c r="CU702" s="0" t="s">
        <v>221</v>
      </c>
      <c r="CV702" s="0" t="str">
        <f aca="false">IF(OR(CT702="",CT702="NO ESPECIFICA",CT702="NO MENCIONA"),"",IF(CU702=0,CT702,IF(CU702=1,CT702/30,IF(CU702=2,CT702/15,IF(CU702=3,CT702/7,"")))))</f>
        <v/>
      </c>
      <c r="CW702" s="125" t="n">
        <v>1450</v>
      </c>
      <c r="CX702" s="0" t="n">
        <v>2</v>
      </c>
      <c r="CY702" s="0" t="n">
        <f aca="false">IF(CW702="","",IF(CX702=0,CW702,IF(CX702=1,CW702/30,IF(CX702=2,CW702/15,IF(CX702=3,CW702/7,CW702)))))</f>
        <v>96.6666666666667</v>
      </c>
      <c r="CZ702" s="0" t="n">
        <f aca="false">IF(DI702&gt;0,DI702,IF(CY702&gt;0,CY702,IF(CV702&gt;0,CV702,"")))</f>
        <v>96.67</v>
      </c>
      <c r="DA702" s="0" t="n">
        <f aca="false">IF(DM702=1,CZ702/8,IF(OR(DM702=2,DM702=4),CZ702/7,IF(DM702=3,CZ702/7.5,"")))</f>
        <v>12.08375</v>
      </c>
      <c r="DB702" s="0" t="s">
        <v>216</v>
      </c>
      <c r="DC702" s="0" t="s">
        <v>216</v>
      </c>
      <c r="DD702" s="0" t="s">
        <v>216</v>
      </c>
      <c r="DE702" s="0" t="s">
        <v>216</v>
      </c>
      <c r="DF702" s="0" t="s">
        <v>216</v>
      </c>
      <c r="DG702" s="0" t="s">
        <v>216</v>
      </c>
      <c r="DH702" s="0" t="n">
        <v>0</v>
      </c>
      <c r="DI702" s="126" t="n">
        <v>96.67</v>
      </c>
      <c r="DK702" s="0" t="n">
        <v>0</v>
      </c>
      <c r="DM702" s="0" t="n">
        <v>1</v>
      </c>
      <c r="DN702" s="0" t="n">
        <v>50</v>
      </c>
      <c r="DO702" s="0" t="n">
        <v>3</v>
      </c>
      <c r="DP702" s="0" t="n">
        <v>0</v>
      </c>
      <c r="DQ702" s="0" t="n">
        <v>1</v>
      </c>
      <c r="DR702" s="0"/>
      <c r="DS702" s="0" t="n">
        <v>1</v>
      </c>
      <c r="DU702" s="0" t="n">
        <v>1</v>
      </c>
      <c r="DW702" s="1" t="n">
        <v>36210</v>
      </c>
      <c r="DX702" s="1" t="n">
        <v>40634</v>
      </c>
      <c r="DZ702" s="0"/>
      <c r="EA702" s="0" t="n">
        <v>1</v>
      </c>
      <c r="EC702" s="1" t="n">
        <v>36210</v>
      </c>
      <c r="ED702" s="1" t="n">
        <v>40634</v>
      </c>
      <c r="EF702" s="0"/>
      <c r="EG702" s="0" t="n">
        <v>1</v>
      </c>
      <c r="EH702" s="0" t="n">
        <v>28</v>
      </c>
      <c r="EI702" s="0" t="n">
        <f aca="false">IF(AND(DM702=1,DN702&lt;=48),"",IF(AND(DM702=2,DN702&lt;=42),"",IF(AND(DM702=3,DN702&lt;=45),"",EH702)))</f>
        <v>28</v>
      </c>
      <c r="EJ702" s="0" t="n">
        <f aca="false">IF(EI702="","",IF(EI702&lt;9,EI702,9))</f>
        <v>9</v>
      </c>
      <c r="EK702" s="0" t="n">
        <f aca="false">IF(EI702="","",IF(EI702&gt;9,EI702-EJ702,0))</f>
        <v>19</v>
      </c>
      <c r="EL702" s="0" t="n">
        <f aca="false">IF(EI702="","",EJ702*DA702*2+EK702*DA702*3)</f>
        <v>906.28125</v>
      </c>
      <c r="EP702" s="0" t="n">
        <v>1</v>
      </c>
      <c r="EQ702" s="0"/>
      <c r="ER702" s="0" t="n">
        <v>0</v>
      </c>
      <c r="ET702" s="0" t="n">
        <v>1</v>
      </c>
      <c r="EV702" s="0" t="n">
        <v>1</v>
      </c>
      <c r="EX702" s="0" t="n">
        <v>1</v>
      </c>
      <c r="EY702" s="0" t="n">
        <v>1</v>
      </c>
      <c r="EZ702" s="4" t="n">
        <v>5000</v>
      </c>
      <c r="FA702" s="4" t="n">
        <v>5000</v>
      </c>
      <c r="FB702" s="0" t="n">
        <v>1</v>
      </c>
      <c r="FC702" s="1" t="n">
        <v>40702</v>
      </c>
      <c r="FD702" s="0" t="n">
        <v>2</v>
      </c>
      <c r="FE702" s="0" t="n">
        <v>0</v>
      </c>
      <c r="FF702" s="120" t="n">
        <f aca="false">(CJ702-CI702+1)/365</f>
        <v>12.1232876712329</v>
      </c>
      <c r="FG702" s="0" t="str">
        <f aca="false">CONCATENATE(F702,"/",G702)</f>
        <v>652/2011</v>
      </c>
      <c r="FH702" s="0" t="n">
        <v>1</v>
      </c>
      <c r="FI702" s="0" t="n">
        <f aca="false">IFERROR(IF((FC702-J702+1)/365&gt;3,0,1),"")</f>
        <v>1</v>
      </c>
    </row>
    <row r="703" customFormat="false" ht="15" hidden="false" customHeight="false" outlineLevel="0" collapsed="false">
      <c r="A703" s="5" t="str">
        <f aca="false">E703&amp;G703&amp;F703</f>
        <v>72011658</v>
      </c>
      <c r="B703" s="0" t="s">
        <v>1855</v>
      </c>
      <c r="C703" s="1" t="n">
        <v>42364</v>
      </c>
      <c r="D703" s="0" t="s">
        <v>1856</v>
      </c>
      <c r="E703" s="0" t="n">
        <v>7</v>
      </c>
      <c r="F703" s="0" t="n">
        <v>658</v>
      </c>
      <c r="G703" s="0" t="n">
        <v>2011</v>
      </c>
      <c r="H703" s="0" t="str">
        <f aca="false">"J"&amp;E703&amp;"\"&amp;F703&amp;"\"&amp;G703&amp;"\"&amp;W703</f>
        <v>J7\658\2011\1</v>
      </c>
      <c r="I703" s="0"/>
      <c r="J703" s="1" t="n">
        <v>40644</v>
      </c>
      <c r="M703" s="1"/>
      <c r="N703" s="1"/>
      <c r="O703" s="1"/>
      <c r="P703" s="1"/>
      <c r="Q703" s="1"/>
      <c r="T703" s="121"/>
      <c r="U703" s="121"/>
      <c r="V703" s="122" t="n">
        <f aca="false">IF(AND(E703&gt;0,F703&gt;0,G703&gt;0),COUNTIFS($E:$E,E703,$F:$F,F703,$G:$G,G703),"")</f>
        <v>1</v>
      </c>
      <c r="W703" s="122" t="n">
        <f aca="false">IF(V703="","",IF(V703=1,1,IF(AND(E702=E703,F702=F703,G702=G703),W702+1,1)))</f>
        <v>1</v>
      </c>
      <c r="X703" s="0" t="n">
        <v>1</v>
      </c>
      <c r="Y703" s="0" t="n">
        <v>3</v>
      </c>
      <c r="Z703" s="0" t="s">
        <v>6452</v>
      </c>
      <c r="AA703" s="0" t="n">
        <v>0</v>
      </c>
      <c r="AB703" s="0" t="s">
        <v>1812</v>
      </c>
      <c r="AC703" s="0" t="s">
        <v>228</v>
      </c>
      <c r="AD703" s="0" t="s">
        <v>229</v>
      </c>
      <c r="AE703" s="0" t="n">
        <v>0</v>
      </c>
      <c r="AF703" s="0" t="s">
        <v>6453</v>
      </c>
      <c r="AG703" s="0" t="n">
        <v>0</v>
      </c>
      <c r="AH703" s="0" t="s">
        <v>6454</v>
      </c>
      <c r="AI703" s="0" t="s">
        <v>697</v>
      </c>
      <c r="AJ703" s="0" t="s">
        <v>207</v>
      </c>
      <c r="AL703" s="0" t="s">
        <v>6455</v>
      </c>
      <c r="AM703" s="0" t="n">
        <v>1</v>
      </c>
      <c r="AN703" s="0" t="s">
        <v>6454</v>
      </c>
      <c r="AO703" s="0" t="s">
        <v>697</v>
      </c>
      <c r="AP703" s="0" t="s">
        <v>207</v>
      </c>
      <c r="AR703" s="0" t="s">
        <v>1880</v>
      </c>
      <c r="AS703" s="0" t="n">
        <v>1</v>
      </c>
      <c r="AT703" s="0" t="s">
        <v>6454</v>
      </c>
      <c r="AU703" s="0" t="s">
        <v>697</v>
      </c>
      <c r="AV703" s="0" t="s">
        <v>207</v>
      </c>
      <c r="BR703" s="0" t="n">
        <v>3</v>
      </c>
      <c r="BS703" s="0" t="s">
        <v>1625</v>
      </c>
      <c r="BT703" s="0" t="s">
        <v>1626</v>
      </c>
      <c r="BU703" s="0" t="s">
        <v>1818</v>
      </c>
      <c r="BV703" s="123"/>
      <c r="BW703" s="123"/>
      <c r="BX703" s="123"/>
      <c r="BY703" s="123"/>
      <c r="CA703" s="0" t="s">
        <v>348</v>
      </c>
      <c r="CD703" s="0" t="s">
        <v>296</v>
      </c>
      <c r="CE703" s="0" t="n">
        <v>0</v>
      </c>
      <c r="CF703" s="0" t="s">
        <v>6456</v>
      </c>
      <c r="CI703" s="1" t="n">
        <v>40361</v>
      </c>
      <c r="CJ703" s="1" t="n">
        <v>40602</v>
      </c>
      <c r="CK703" s="124" t="n">
        <v>0.75</v>
      </c>
      <c r="CL703" s="0" t="s">
        <v>6455</v>
      </c>
      <c r="CM703" s="0" t="n">
        <f aca="false">IF(OR(CI703="",CJ703=""),"",DAYS360(CI703,CJ703)/360)</f>
        <v>0.655555555555556</v>
      </c>
      <c r="CN703" s="0" t="n">
        <f aca="false">IF(OR(CI703="",CJ703=""),"",DAYS360(CI703,CJ703)/30)</f>
        <v>7.86666666666667</v>
      </c>
      <c r="CO703" s="0" t="n">
        <f aca="false">IF(OR(CI703="",CJ703=""),"",DAYS360(CI703,CJ703)/7)</f>
        <v>33.7142857142857</v>
      </c>
      <c r="CP703" s="0" t="n">
        <f aca="false">IF(OR(CI703="",CJ703=""),"",DAYS360(CI703,CJ703))</f>
        <v>236</v>
      </c>
      <c r="CQ703" s="0" t="s">
        <v>240</v>
      </c>
      <c r="CR703" s="0" t="n">
        <v>1</v>
      </c>
      <c r="CT703" s="0" t="n">
        <v>333.33</v>
      </c>
      <c r="CU703" s="0" t="n">
        <v>0</v>
      </c>
      <c r="CV703" s="0" t="n">
        <f aca="false">IF(OR(CT703="",CT703="NO ESPECIFICA",CT703="NO MENCIONA"),"",IF(CU703=0,CT703,IF(CU703=1,CT703/30,IF(CU703=2,CT703/15,IF(CU703=3,CT703/7,"")))))</f>
        <v>333.33</v>
      </c>
      <c r="CW703" s="125" t="n">
        <v>348.38</v>
      </c>
      <c r="CX703" s="0" t="n">
        <v>0</v>
      </c>
      <c r="CY703" s="0" t="n">
        <f aca="false">IF(CW703="","",IF(CX703=0,CW703,IF(CX703=1,CW703/30,IF(CX703=2,CW703/15,IF(CX703=3,CW703/7,CW703)))))</f>
        <v>348.38</v>
      </c>
      <c r="CZ703" s="0" t="n">
        <f aca="false">IF(DI703&gt;0,DI703,IF(CY703&gt;0,CY703,IF(CV703&gt;0,CV703,"")))</f>
        <v>348.38</v>
      </c>
      <c r="DA703" s="0" t="n">
        <f aca="false">IF(DM703=1,CZ703/8,IF(OR(DM703=2,DM703=4),CZ703/7,IF(DM703=3,CZ703/7.5,"")))</f>
        <v>43.5475</v>
      </c>
      <c r="DB703" s="0" t="s">
        <v>303</v>
      </c>
      <c r="DC703" s="0" t="s">
        <v>301</v>
      </c>
      <c r="DD703" s="0" t="s">
        <v>216</v>
      </c>
      <c r="DE703" s="0" t="s">
        <v>216</v>
      </c>
      <c r="DF703" s="0" t="s">
        <v>216</v>
      </c>
      <c r="DG703" s="0" t="s">
        <v>216</v>
      </c>
      <c r="DH703" s="0" t="n">
        <v>0</v>
      </c>
      <c r="DI703" s="126" t="n">
        <v>348.38</v>
      </c>
      <c r="DK703" s="0" t="n">
        <v>1</v>
      </c>
      <c r="DM703" s="0" t="n">
        <v>1</v>
      </c>
      <c r="DN703" s="0" t="n">
        <v>45</v>
      </c>
      <c r="DO703" s="0" t="n">
        <v>3</v>
      </c>
      <c r="DP703" s="0" t="n">
        <v>0</v>
      </c>
      <c r="DQ703" s="0" t="n">
        <v>1</v>
      </c>
      <c r="DR703" s="0"/>
      <c r="DS703" s="0" t="n">
        <v>1</v>
      </c>
      <c r="DU703" s="0" t="n">
        <v>1</v>
      </c>
      <c r="DW703" s="1" t="n">
        <v>40361</v>
      </c>
      <c r="DX703" s="1" t="n">
        <v>40602</v>
      </c>
      <c r="DZ703" s="0"/>
      <c r="EA703" s="0" t="n">
        <v>1</v>
      </c>
      <c r="EC703" s="1" t="n">
        <v>40361</v>
      </c>
      <c r="ED703" s="1" t="n">
        <v>40602</v>
      </c>
      <c r="EF703" s="0"/>
      <c r="EG703" s="0" t="n">
        <v>0</v>
      </c>
      <c r="EI703" s="0" t="str">
        <f aca="false">IF(AND(DM703=1,DN703&lt;=48),"",IF(AND(DM703=2,DN703&lt;=42),"",IF(AND(DM703=3,DN703&lt;=45),"",EH703)))</f>
        <v/>
      </c>
      <c r="EJ703" s="0" t="str">
        <f aca="false">IF(EI703="","",IF(EI703&lt;9,EI703,9))</f>
        <v/>
      </c>
      <c r="EK703" s="0" t="str">
        <f aca="false">IF(EI703="","",IF(EI703&gt;9,EI703-EJ703,0))</f>
        <v/>
      </c>
      <c r="EL703" s="0" t="str">
        <f aca="false">IF(EI703="","",EJ703*DA703*2+EK703*DA703*3)</f>
        <v/>
      </c>
      <c r="EP703" s="0" t="n">
        <v>0</v>
      </c>
      <c r="EQ703" s="0"/>
      <c r="ER703" s="0" t="n">
        <v>0</v>
      </c>
      <c r="ET703" s="0" t="n">
        <v>0</v>
      </c>
      <c r="EV703" s="0" t="n">
        <v>0</v>
      </c>
      <c r="EX703" s="0" t="n">
        <v>0</v>
      </c>
      <c r="EY703" s="0" t="n">
        <v>0</v>
      </c>
      <c r="EZ703" s="0"/>
      <c r="FA703" s="4" t="n">
        <v>0</v>
      </c>
      <c r="FB703" s="0" t="n">
        <v>1</v>
      </c>
      <c r="FC703" s="1" t="n">
        <v>41354</v>
      </c>
      <c r="FD703" s="0" t="n">
        <v>1</v>
      </c>
      <c r="FE703" s="0" t="n">
        <v>4000</v>
      </c>
      <c r="FF703" s="120" t="n">
        <f aca="false">(CJ703-CI703+1)/365</f>
        <v>0.663013698630137</v>
      </c>
      <c r="FG703" s="0" t="str">
        <f aca="false">CONCATENATE(F703,"/",G703)</f>
        <v>658/2011</v>
      </c>
      <c r="FH703" s="0" t="n">
        <v>1</v>
      </c>
      <c r="FI703" s="0" t="n">
        <f aca="false">IFERROR(IF((FC703-J703+1)/365&gt;3,0,1),"")</f>
        <v>1</v>
      </c>
    </row>
    <row r="704" customFormat="false" ht="15" hidden="false" customHeight="false" outlineLevel="0" collapsed="false">
      <c r="A704" s="5" t="str">
        <f aca="false">E704&amp;G704&amp;F704</f>
        <v>72011679</v>
      </c>
      <c r="B704" s="0" t="s">
        <v>1855</v>
      </c>
      <c r="C704" s="1" t="n">
        <v>42365</v>
      </c>
      <c r="D704" s="0" t="s">
        <v>1856</v>
      </c>
      <c r="E704" s="0" t="n">
        <v>7</v>
      </c>
      <c r="F704" s="0" t="n">
        <v>679</v>
      </c>
      <c r="G704" s="0" t="n">
        <v>2011</v>
      </c>
      <c r="H704" s="0" t="str">
        <f aca="false">"J"&amp;E704&amp;"\"&amp;F704&amp;"\"&amp;G704&amp;"\"&amp;W704</f>
        <v>J7\679\2011\1</v>
      </c>
      <c r="I704" s="0"/>
      <c r="J704" s="1" t="n">
        <v>40646</v>
      </c>
      <c r="M704" s="1"/>
      <c r="N704" s="1"/>
      <c r="O704" s="1"/>
      <c r="P704" s="1"/>
      <c r="Q704" s="1"/>
      <c r="T704" s="121"/>
      <c r="U704" s="121"/>
      <c r="V704" s="122" t="n">
        <f aca="false">IF(AND(E704&gt;0,F704&gt;0,G704&gt;0),COUNTIFS($E:$E,E704,$F:$F,F704,$G:$G,G704),"")</f>
        <v>2</v>
      </c>
      <c r="W704" s="122" t="n">
        <f aca="false">IF(V704="","",IF(V704=1,1,IF(AND(E703=E704,F703=F704,G703=G704),W703+1,1)))</f>
        <v>1</v>
      </c>
      <c r="X704" s="0" t="n">
        <v>2</v>
      </c>
      <c r="Y704" s="0" t="n">
        <v>4</v>
      </c>
      <c r="Z704" s="0" t="s">
        <v>6457</v>
      </c>
      <c r="AA704" s="0" t="n">
        <v>0</v>
      </c>
      <c r="AB704" s="0" t="s">
        <v>2982</v>
      </c>
      <c r="AC704" s="0" t="s">
        <v>1661</v>
      </c>
      <c r="AD704" s="0" t="s">
        <v>229</v>
      </c>
      <c r="AE704" s="0" t="n">
        <v>0</v>
      </c>
      <c r="AF704" s="0" t="s">
        <v>4813</v>
      </c>
      <c r="AG704" s="0" t="n">
        <v>0</v>
      </c>
      <c r="AH704" s="0" t="s">
        <v>3305</v>
      </c>
      <c r="AI704" s="0" t="s">
        <v>287</v>
      </c>
      <c r="AJ704" s="0" t="s">
        <v>207</v>
      </c>
      <c r="AL704" s="0" t="s">
        <v>6458</v>
      </c>
      <c r="AM704" s="0" t="n">
        <v>0</v>
      </c>
      <c r="AN704" s="0" t="s">
        <v>3305</v>
      </c>
      <c r="AO704" s="0" t="s">
        <v>287</v>
      </c>
      <c r="AP704" s="0" t="s">
        <v>207</v>
      </c>
      <c r="AR704" s="0" t="s">
        <v>6459</v>
      </c>
      <c r="AS704" s="0" t="n">
        <v>1</v>
      </c>
      <c r="AT704" s="0" t="s">
        <v>3305</v>
      </c>
      <c r="AU704" s="0" t="s">
        <v>287</v>
      </c>
      <c r="AV704" s="0" t="s">
        <v>207</v>
      </c>
      <c r="AX704" s="0" t="s">
        <v>1880</v>
      </c>
      <c r="AY704" s="0" t="n">
        <v>1</v>
      </c>
      <c r="AZ704" s="0" t="s">
        <v>3305</v>
      </c>
      <c r="BA704" s="0" t="s">
        <v>287</v>
      </c>
      <c r="BB704" s="0" t="s">
        <v>207</v>
      </c>
      <c r="BR704" s="0" t="n">
        <v>1</v>
      </c>
      <c r="BS704" s="0" t="s">
        <v>2986</v>
      </c>
      <c r="BT704" s="0" t="s">
        <v>2987</v>
      </c>
      <c r="BU704" s="0" t="s">
        <v>2988</v>
      </c>
      <c r="BV704" s="123"/>
      <c r="BW704" s="123"/>
      <c r="BX704" s="123"/>
      <c r="BY704" s="123"/>
      <c r="CA704" s="0" t="s">
        <v>2989</v>
      </c>
      <c r="CD704" s="0" t="s">
        <v>296</v>
      </c>
      <c r="CE704" s="0" t="n">
        <v>0</v>
      </c>
      <c r="CF704" s="0" t="s">
        <v>6460</v>
      </c>
      <c r="CI704" s="1" t="n">
        <v>40298</v>
      </c>
      <c r="CJ704" s="1" t="n">
        <v>40645</v>
      </c>
      <c r="CK704" s="124" t="n">
        <v>0.583333333333333</v>
      </c>
      <c r="CL704" s="0" t="s">
        <v>6459</v>
      </c>
      <c r="CM704" s="0" t="n">
        <f aca="false">IF(OR(CI704="",CJ704=""),"",DAYS360(CI704,CJ704)/360)</f>
        <v>0.95</v>
      </c>
      <c r="CN704" s="0" t="n">
        <f aca="false">IF(OR(CI704="",CJ704=""),"",DAYS360(CI704,CJ704)/30)</f>
        <v>11.4</v>
      </c>
      <c r="CO704" s="0" t="n">
        <f aca="false">IF(OR(CI704="",CJ704=""),"",DAYS360(CI704,CJ704)/7)</f>
        <v>48.8571428571429</v>
      </c>
      <c r="CP704" s="0" t="n">
        <f aca="false">IF(OR(CI704="",CJ704=""),"",DAYS360(CI704,CJ704))</f>
        <v>342</v>
      </c>
      <c r="CQ704" s="0" t="s">
        <v>240</v>
      </c>
      <c r="CR704" s="0" t="n">
        <v>1</v>
      </c>
      <c r="CT704" s="0" t="n">
        <v>2100</v>
      </c>
      <c r="CU704" s="0" t="n">
        <v>2</v>
      </c>
      <c r="CV704" s="0" t="n">
        <f aca="false">IF(OR(CT704="",CT704="NO ESPECIFICA",CT704="NO MENCIONA"),"",IF(CU704=0,CT704,IF(CU704=1,CT704/30,IF(CU704=2,CT704/15,IF(CU704=3,CT704/7,"")))))</f>
        <v>140</v>
      </c>
      <c r="CW704" s="125" t="n">
        <v>153.33</v>
      </c>
      <c r="CX704" s="0" t="n">
        <v>0</v>
      </c>
      <c r="CY704" s="0" t="n">
        <f aca="false">IF(CW704="","",IF(CX704=0,CW704,IF(CX704=1,CW704/30,IF(CX704=2,CW704/15,IF(CX704=3,CW704/7,CW704)))))</f>
        <v>153.33</v>
      </c>
      <c r="CZ704" s="0" t="n">
        <f aca="false">IF(DI704&gt;0,DI704,IF(CY704&gt;0,CY704,IF(CV704&gt;0,CV704,"")))</f>
        <v>153.33</v>
      </c>
      <c r="DA704" s="0" t="n">
        <f aca="false">IF(DM704=1,CZ704/8,IF(OR(DM704=2,DM704=4),CZ704/7,IF(DM704=3,CZ704/7.5,"")))</f>
        <v>20.444</v>
      </c>
      <c r="DB704" s="0" t="s">
        <v>2990</v>
      </c>
      <c r="DC704" s="0" t="s">
        <v>299</v>
      </c>
      <c r="DD704" s="0" t="s">
        <v>216</v>
      </c>
      <c r="DE704" s="0" t="s">
        <v>216</v>
      </c>
      <c r="DF704" s="0" t="s">
        <v>216</v>
      </c>
      <c r="DG704" s="0" t="s">
        <v>216</v>
      </c>
      <c r="DH704" s="0" t="n">
        <v>0</v>
      </c>
      <c r="DI704" s="126" t="n">
        <v>153.33</v>
      </c>
      <c r="DK704" s="0" t="n">
        <v>1</v>
      </c>
      <c r="DM704" s="0" t="n">
        <v>3</v>
      </c>
      <c r="DN704" s="0" t="n">
        <v>60</v>
      </c>
      <c r="DO704" s="0" t="n">
        <v>3</v>
      </c>
      <c r="DP704" s="0" t="n">
        <v>0</v>
      </c>
      <c r="DQ704" s="0" t="n">
        <v>1</v>
      </c>
      <c r="DR704" s="0"/>
      <c r="DS704" s="0" t="n">
        <v>1</v>
      </c>
      <c r="DU704" s="0" t="n">
        <v>1</v>
      </c>
      <c r="DW704" s="1" t="n">
        <v>40298</v>
      </c>
      <c r="DX704" s="1" t="n">
        <v>40645</v>
      </c>
      <c r="DZ704" s="0"/>
      <c r="EA704" s="0" t="n">
        <v>1</v>
      </c>
      <c r="EC704" s="1" t="n">
        <v>40298</v>
      </c>
      <c r="ED704" s="1" t="n">
        <v>40645</v>
      </c>
      <c r="EF704" s="0"/>
      <c r="EG704" s="0" t="n">
        <v>1</v>
      </c>
      <c r="EH704" s="0" t="n">
        <v>12</v>
      </c>
      <c r="EI704" s="0" t="n">
        <f aca="false">IF(AND(DM704=1,DN704&lt;=48),"",IF(AND(DM704=2,DN704&lt;=42),"",IF(AND(DM704=3,DN704&lt;=45),"",EH704)))</f>
        <v>12</v>
      </c>
      <c r="EJ704" s="0" t="n">
        <f aca="false">IF(EI704="","",IF(EI704&lt;9,EI704,9))</f>
        <v>9</v>
      </c>
      <c r="EK704" s="0" t="n">
        <f aca="false">IF(EI704="","",IF(EI704&gt;9,EI704-EJ704,0))</f>
        <v>3</v>
      </c>
      <c r="EL704" s="0" t="n">
        <f aca="false">IF(EI704="","",EJ704*DA704*2+EK704*DA704*3)</f>
        <v>551.988</v>
      </c>
      <c r="EP704" s="0" t="n">
        <v>0</v>
      </c>
      <c r="EQ704" s="0"/>
      <c r="ER704" s="0" t="n">
        <v>0</v>
      </c>
      <c r="ET704" s="0" t="n">
        <v>0</v>
      </c>
      <c r="EV704" s="0" t="n">
        <v>1</v>
      </c>
      <c r="EX704" s="0" t="n">
        <v>1</v>
      </c>
      <c r="EY704" s="0" t="n">
        <v>0</v>
      </c>
      <c r="EZ704" s="0"/>
      <c r="FA704" s="4" t="n">
        <v>4293.24</v>
      </c>
      <c r="FB704" s="0" t="n">
        <v>1</v>
      </c>
      <c r="FC704" s="1"/>
      <c r="FF704" s="120" t="n">
        <f aca="false">(CJ704-CI704+1)/365</f>
        <v>0.953424657534247</v>
      </c>
      <c r="FG704" s="0" t="str">
        <f aca="false">CONCATENATE(F704,"/",G704)</f>
        <v>679/2011</v>
      </c>
      <c r="FH704" s="0" t="n">
        <v>1</v>
      </c>
      <c r="FI704" s="0" t="n">
        <f aca="false">IFERROR(IF((FC704-J704+1)/365&gt;3,0,1),"")</f>
        <v>1</v>
      </c>
    </row>
    <row r="705" customFormat="false" ht="15" hidden="false" customHeight="false" outlineLevel="0" collapsed="false">
      <c r="A705" s="5" t="str">
        <f aca="false">E705&amp;G705&amp;F705</f>
        <v>72011679</v>
      </c>
      <c r="B705" s="0" t="s">
        <v>1855</v>
      </c>
      <c r="C705" s="1" t="n">
        <v>42365</v>
      </c>
      <c r="D705" s="0" t="s">
        <v>1856</v>
      </c>
      <c r="E705" s="0" t="n">
        <v>7</v>
      </c>
      <c r="F705" s="0" t="n">
        <v>679</v>
      </c>
      <c r="G705" s="0" t="n">
        <v>2011</v>
      </c>
      <c r="H705" s="0" t="str">
        <f aca="false">"J"&amp;E705&amp;"\"&amp;F705&amp;"\"&amp;G705&amp;"\"&amp;W705</f>
        <v>J7\679\2011\2</v>
      </c>
      <c r="I705" s="0"/>
      <c r="J705" s="1" t="n">
        <v>40646</v>
      </c>
      <c r="M705" s="1"/>
      <c r="N705" s="1"/>
      <c r="O705" s="1"/>
      <c r="P705" s="1"/>
      <c r="Q705" s="1"/>
      <c r="T705" s="121"/>
      <c r="U705" s="121"/>
      <c r="V705" s="122" t="n">
        <f aca="false">IF(AND(E705&gt;0,F705&gt;0,G705&gt;0),COUNTIFS($E:$E,E705,$F:$F,F705,$G:$G,G705),"")</f>
        <v>2</v>
      </c>
      <c r="W705" s="122" t="n">
        <f aca="false">IF(V705="","",IF(V705=1,1,IF(AND(E704=E705,F704=F705,G704=G705),W704+1,1)))</f>
        <v>2</v>
      </c>
      <c r="X705" s="0" t="n">
        <v>2</v>
      </c>
      <c r="Y705" s="0" t="n">
        <v>4</v>
      </c>
      <c r="Z705" s="0" t="s">
        <v>6461</v>
      </c>
      <c r="AA705" s="0" t="n">
        <v>0</v>
      </c>
      <c r="AB705" s="0" t="s">
        <v>2982</v>
      </c>
      <c r="AC705" s="0" t="s">
        <v>1661</v>
      </c>
      <c r="AD705" s="0" t="s">
        <v>229</v>
      </c>
      <c r="AE705" s="0" t="n">
        <v>0</v>
      </c>
      <c r="AF705" s="0" t="s">
        <v>4813</v>
      </c>
      <c r="AG705" s="0" t="n">
        <v>0</v>
      </c>
      <c r="AH705" s="0" t="s">
        <v>3305</v>
      </c>
      <c r="AI705" s="0" t="s">
        <v>287</v>
      </c>
      <c r="AJ705" s="0" t="s">
        <v>207</v>
      </c>
      <c r="AL705" s="0" t="s">
        <v>6458</v>
      </c>
      <c r="AM705" s="0" t="n">
        <v>0</v>
      </c>
      <c r="AN705" s="0" t="s">
        <v>3305</v>
      </c>
      <c r="AO705" s="0" t="s">
        <v>287</v>
      </c>
      <c r="AP705" s="0" t="s">
        <v>207</v>
      </c>
      <c r="AR705" s="0" t="s">
        <v>6459</v>
      </c>
      <c r="AS705" s="0" t="n">
        <v>1</v>
      </c>
      <c r="AT705" s="0" t="s">
        <v>3305</v>
      </c>
      <c r="AU705" s="0" t="s">
        <v>287</v>
      </c>
      <c r="AV705" s="0" t="s">
        <v>207</v>
      </c>
      <c r="AX705" s="0" t="s">
        <v>1880</v>
      </c>
      <c r="AY705" s="0" t="n">
        <v>1</v>
      </c>
      <c r="AZ705" s="0" t="s">
        <v>3305</v>
      </c>
      <c r="BA705" s="0" t="s">
        <v>287</v>
      </c>
      <c r="BB705" s="0" t="s">
        <v>207</v>
      </c>
      <c r="BR705" s="0" t="n">
        <v>1</v>
      </c>
      <c r="BS705" s="0" t="s">
        <v>2986</v>
      </c>
      <c r="BT705" s="0" t="s">
        <v>2987</v>
      </c>
      <c r="BU705" s="0" t="s">
        <v>2988</v>
      </c>
      <c r="BV705" s="123"/>
      <c r="BW705" s="123"/>
      <c r="BX705" s="123"/>
      <c r="BY705" s="123"/>
      <c r="CA705" s="0" t="s">
        <v>2989</v>
      </c>
      <c r="CD705" s="0" t="s">
        <v>296</v>
      </c>
      <c r="CE705" s="0" t="n">
        <v>0</v>
      </c>
      <c r="CF705" s="0" t="s">
        <v>6460</v>
      </c>
      <c r="CI705" s="1" t="n">
        <v>40298</v>
      </c>
      <c r="CJ705" s="1" t="n">
        <v>40645</v>
      </c>
      <c r="CK705" s="124" t="n">
        <v>0.583333333333333</v>
      </c>
      <c r="CL705" s="0" t="s">
        <v>6459</v>
      </c>
      <c r="CM705" s="0" t="n">
        <f aca="false">IF(OR(CI705="",CJ705=""),"",DAYS360(CI705,CJ705)/360)</f>
        <v>0.95</v>
      </c>
      <c r="CN705" s="0" t="n">
        <f aca="false">IF(OR(CI705="",CJ705=""),"",DAYS360(CI705,CJ705)/30)</f>
        <v>11.4</v>
      </c>
      <c r="CO705" s="0" t="n">
        <f aca="false">IF(OR(CI705="",CJ705=""),"",DAYS360(CI705,CJ705)/7)</f>
        <v>48.8571428571429</v>
      </c>
      <c r="CP705" s="0" t="n">
        <f aca="false">IF(OR(CI705="",CJ705=""),"",DAYS360(CI705,CJ705))</f>
        <v>342</v>
      </c>
      <c r="CQ705" s="0" t="s">
        <v>240</v>
      </c>
      <c r="CR705" s="0" t="n">
        <v>1</v>
      </c>
      <c r="CT705" s="0" t="n">
        <v>2100</v>
      </c>
      <c r="CU705" s="0" t="n">
        <v>2</v>
      </c>
      <c r="CV705" s="0" t="n">
        <f aca="false">IF(OR(CT705="",CT705="NO ESPECIFICA",CT705="NO MENCIONA"),"",IF(CU705=0,CT705,IF(CU705=1,CT705/30,IF(CU705=2,CT705/15,IF(CU705=3,CT705/7,"")))))</f>
        <v>140</v>
      </c>
      <c r="CW705" s="125" t="n">
        <v>153.33</v>
      </c>
      <c r="CX705" s="0" t="n">
        <v>0</v>
      </c>
      <c r="CY705" s="0" t="n">
        <f aca="false">IF(CW705="","",IF(CX705=0,CW705,IF(CX705=1,CW705/30,IF(CX705=2,CW705/15,IF(CX705=3,CW705/7,CW705)))))</f>
        <v>153.33</v>
      </c>
      <c r="CZ705" s="0" t="n">
        <f aca="false">IF(DI705&gt;0,DI705,IF(CY705&gt;0,CY705,IF(CV705&gt;0,CV705,"")))</f>
        <v>153.33</v>
      </c>
      <c r="DA705" s="0" t="n">
        <f aca="false">IF(DM705=1,CZ705/8,IF(OR(DM705=2,DM705=4),CZ705/7,IF(DM705=3,CZ705/7.5,"")))</f>
        <v>20.444</v>
      </c>
      <c r="DB705" s="0" t="s">
        <v>2990</v>
      </c>
      <c r="DC705" s="0" t="s">
        <v>299</v>
      </c>
      <c r="DD705" s="0" t="s">
        <v>216</v>
      </c>
      <c r="DE705" s="0" t="s">
        <v>216</v>
      </c>
      <c r="DF705" s="0" t="s">
        <v>216</v>
      </c>
      <c r="DG705" s="0" t="s">
        <v>216</v>
      </c>
      <c r="DH705" s="0" t="n">
        <v>0</v>
      </c>
      <c r="DI705" s="126" t="n">
        <v>153.33</v>
      </c>
      <c r="DK705" s="0" t="n">
        <v>1</v>
      </c>
      <c r="DM705" s="0" t="n">
        <v>3</v>
      </c>
      <c r="DN705" s="0" t="n">
        <v>60</v>
      </c>
      <c r="DO705" s="0" t="n">
        <v>3</v>
      </c>
      <c r="DP705" s="0" t="n">
        <v>0</v>
      </c>
      <c r="DQ705" s="0" t="n">
        <v>1</v>
      </c>
      <c r="DR705" s="0"/>
      <c r="DS705" s="0" t="n">
        <v>1</v>
      </c>
      <c r="DU705" s="0" t="n">
        <v>1</v>
      </c>
      <c r="DW705" s="1" t="n">
        <v>40298</v>
      </c>
      <c r="DX705" s="1" t="n">
        <v>40645</v>
      </c>
      <c r="DZ705" s="0"/>
      <c r="EA705" s="0" t="n">
        <v>1</v>
      </c>
      <c r="EC705" s="1" t="n">
        <v>40298</v>
      </c>
      <c r="ED705" s="1" t="n">
        <v>40645</v>
      </c>
      <c r="EF705" s="0"/>
      <c r="EG705" s="0" t="n">
        <v>1</v>
      </c>
      <c r="EH705" s="0" t="n">
        <v>12</v>
      </c>
      <c r="EI705" s="0" t="n">
        <f aca="false">IF(AND(DM705=1,DN705&lt;=48),"",IF(AND(DM705=2,DN705&lt;=42),"",IF(AND(DM705=3,DN705&lt;=45),"",EH705)))</f>
        <v>12</v>
      </c>
      <c r="EJ705" s="0" t="n">
        <f aca="false">IF(EI705="","",IF(EI705&lt;9,EI705,9))</f>
        <v>9</v>
      </c>
      <c r="EK705" s="0" t="n">
        <f aca="false">IF(EI705="","",IF(EI705&gt;9,EI705-EJ705,0))</f>
        <v>3</v>
      </c>
      <c r="EL705" s="0" t="n">
        <f aca="false">IF(EI705="","",EJ705*DA705*2+EK705*DA705*3)</f>
        <v>551.988</v>
      </c>
      <c r="EP705" s="0" t="n">
        <v>0</v>
      </c>
      <c r="EQ705" s="0"/>
      <c r="ER705" s="0" t="n">
        <v>0</v>
      </c>
      <c r="ET705" s="0" t="n">
        <v>0</v>
      </c>
      <c r="EV705" s="0" t="n">
        <v>1</v>
      </c>
      <c r="EX705" s="0" t="n">
        <v>1</v>
      </c>
      <c r="EY705" s="0" t="n">
        <v>0</v>
      </c>
      <c r="EZ705" s="0"/>
      <c r="FA705" s="4" t="n">
        <v>4293.24</v>
      </c>
      <c r="FB705" s="0" t="n">
        <v>1</v>
      </c>
      <c r="FC705" s="1"/>
      <c r="FF705" s="120" t="n">
        <f aca="false">(CJ705-CI705+1)/365</f>
        <v>0.953424657534247</v>
      </c>
      <c r="FG705" s="0" t="str">
        <f aca="false">CONCATENATE(F705,"/",G705)</f>
        <v>679/2011</v>
      </c>
      <c r="FH705" s="0" t="n">
        <v>1</v>
      </c>
      <c r="FI705" s="0" t="n">
        <f aca="false">IFERROR(IF((FC705-J705+1)/365&gt;3,0,1),"")</f>
        <v>1</v>
      </c>
    </row>
    <row r="706" customFormat="false" ht="15" hidden="false" customHeight="false" outlineLevel="0" collapsed="false">
      <c r="A706" s="5" t="str">
        <f aca="false">E706&amp;G706&amp;F706</f>
        <v>72011682</v>
      </c>
      <c r="B706" s="0" t="s">
        <v>1855</v>
      </c>
      <c r="C706" s="1" t="n">
        <v>42365</v>
      </c>
      <c r="D706" s="0" t="s">
        <v>1856</v>
      </c>
      <c r="E706" s="0" t="n">
        <v>7</v>
      </c>
      <c r="F706" s="0" t="n">
        <v>682</v>
      </c>
      <c r="G706" s="0" t="n">
        <v>2011</v>
      </c>
      <c r="H706" s="0" t="str">
        <f aca="false">"J"&amp;E706&amp;"\"&amp;F706&amp;"\"&amp;G706&amp;"\"&amp;W706</f>
        <v>J7\682\2011\1</v>
      </c>
      <c r="I706" s="0"/>
      <c r="J706" s="1" t="n">
        <v>40646</v>
      </c>
      <c r="M706" s="1"/>
      <c r="N706" s="1"/>
      <c r="O706" s="1"/>
      <c r="P706" s="1"/>
      <c r="Q706" s="1"/>
      <c r="T706" s="121"/>
      <c r="U706" s="121"/>
      <c r="V706" s="122" t="n">
        <f aca="false">IF(AND(E706&gt;0,F706&gt;0,G706&gt;0),COUNTIFS($E:$E,E706,$F:$F,F706,$G:$G,G706),"")</f>
        <v>1</v>
      </c>
      <c r="W706" s="122" t="n">
        <f aca="false">IF(V706="","",IF(V706=1,1,IF(AND(E705=E706,F705=F706,G705=G706),W705+1,1)))</f>
        <v>1</v>
      </c>
      <c r="X706" s="0" t="n">
        <v>1</v>
      </c>
      <c r="Y706" s="0" t="n">
        <v>3</v>
      </c>
      <c r="Z706" s="0" t="s">
        <v>6462</v>
      </c>
      <c r="AA706" s="0" t="n">
        <v>0</v>
      </c>
      <c r="AB706" s="0" t="s">
        <v>6463</v>
      </c>
      <c r="AC706" s="0" t="s">
        <v>760</v>
      </c>
      <c r="AE706" s="0" t="n">
        <v>0</v>
      </c>
      <c r="AF706" s="0" t="s">
        <v>6464</v>
      </c>
      <c r="AG706" s="0" t="n">
        <v>0</v>
      </c>
      <c r="AH706" s="0" t="s">
        <v>6465</v>
      </c>
      <c r="AI706" s="0" t="s">
        <v>6466</v>
      </c>
      <c r="AJ706" s="0" t="s">
        <v>211</v>
      </c>
      <c r="AL706" s="0" t="s">
        <v>6467</v>
      </c>
      <c r="AM706" s="0" t="n">
        <v>0</v>
      </c>
      <c r="AN706" s="0" t="s">
        <v>6468</v>
      </c>
      <c r="AO706" s="0" t="s">
        <v>6469</v>
      </c>
      <c r="AP706" s="0" t="s">
        <v>6470</v>
      </c>
      <c r="AR706" s="0" t="s">
        <v>1880</v>
      </c>
      <c r="AS706" s="0" t="n">
        <v>1</v>
      </c>
      <c r="AT706" s="0" t="s">
        <v>6465</v>
      </c>
      <c r="AU706" s="0" t="s">
        <v>6466</v>
      </c>
      <c r="AV706" s="0" t="s">
        <v>211</v>
      </c>
      <c r="BR706" s="0" t="n">
        <v>1</v>
      </c>
      <c r="BS706" s="0" t="s">
        <v>6471</v>
      </c>
      <c r="BT706" s="0" t="s">
        <v>6472</v>
      </c>
      <c r="BU706" s="0" t="s">
        <v>6473</v>
      </c>
      <c r="BV706" s="123"/>
      <c r="BW706" s="123"/>
      <c r="BX706" s="123"/>
      <c r="BY706" s="123"/>
      <c r="CD706" s="0" t="s">
        <v>256</v>
      </c>
      <c r="CE706" s="0" t="n">
        <v>1</v>
      </c>
      <c r="CF706" s="0" t="s">
        <v>2314</v>
      </c>
      <c r="CI706" s="1" t="n">
        <v>37452</v>
      </c>
      <c r="CJ706" s="1" t="n">
        <v>40588</v>
      </c>
      <c r="CK706" s="124" t="n">
        <v>0.375</v>
      </c>
      <c r="CL706" s="0" t="s">
        <v>6474</v>
      </c>
      <c r="CM706" s="0" t="n">
        <f aca="false">IF(OR(CI706="",CJ706=""),"",DAYS360(CI706,CJ706)/360)</f>
        <v>8.58055555555556</v>
      </c>
      <c r="CN706" s="0" t="n">
        <f aca="false">IF(OR(CI706="",CJ706=""),"",DAYS360(CI706,CJ706)/30)</f>
        <v>102.966666666667</v>
      </c>
      <c r="CO706" s="0" t="n">
        <f aca="false">IF(OR(CI706="",CJ706=""),"",DAYS360(CI706,CJ706)/7)</f>
        <v>441.285714285714</v>
      </c>
      <c r="CP706" s="0" t="n">
        <f aca="false">IF(OR(CI706="",CJ706=""),"",DAYS360(CI706,CJ706))</f>
        <v>3089</v>
      </c>
      <c r="CQ706" s="0" t="s">
        <v>220</v>
      </c>
      <c r="CR706" s="0" t="n">
        <v>1</v>
      </c>
      <c r="CT706" s="0" t="n">
        <v>400</v>
      </c>
      <c r="CU706" s="0" t="n">
        <v>0</v>
      </c>
      <c r="CV706" s="0" t="n">
        <f aca="false">IF(OR(CT706="",CT706="NO ESPECIFICA",CT706="NO MENCIONA"),"",IF(CU706=0,CT706,IF(CU706=1,CT706/30,IF(CU706=2,CT706/15,IF(CU706=3,CT706/7,"")))))</f>
        <v>400</v>
      </c>
      <c r="CW706" s="125" t="n">
        <v>983.74</v>
      </c>
      <c r="CX706" s="0" t="n">
        <v>0</v>
      </c>
      <c r="CY706" s="0" t="n">
        <f aca="false">IF(CW706="","",IF(CX706=0,CW706,IF(CX706=1,CW706/30,IF(CX706=2,CW706/15,IF(CX706=3,CW706/7,CW706)))))</f>
        <v>983.74</v>
      </c>
      <c r="CZ706" s="0" t="n">
        <f aca="false">IF(DI706&gt;0,DI706,IF(CY706&gt;0,CY706,IF(CV706&gt;0,CV706,"")))</f>
        <v>983.74</v>
      </c>
      <c r="DA706" s="0" t="n">
        <f aca="false">IF(DM706=1,CZ706/8,IF(OR(DM706=2,DM706=4),CZ706/7,IF(DM706=3,CZ706/7.5,"")))</f>
        <v>122.9675</v>
      </c>
      <c r="DB706" s="0" t="s">
        <v>6475</v>
      </c>
      <c r="DC706" s="0" t="s">
        <v>299</v>
      </c>
      <c r="DD706" s="0" t="s">
        <v>6476</v>
      </c>
      <c r="DE706" s="0" t="s">
        <v>301</v>
      </c>
      <c r="DF706" s="0" t="s">
        <v>303</v>
      </c>
      <c r="DG706" s="0" t="s">
        <v>216</v>
      </c>
      <c r="DH706" s="0" t="n">
        <v>0</v>
      </c>
      <c r="DI706" s="126" t="n">
        <v>983.74</v>
      </c>
      <c r="DK706" s="0" t="n">
        <v>1</v>
      </c>
      <c r="DM706" s="0" t="n">
        <v>1</v>
      </c>
      <c r="DN706" s="0" t="n">
        <v>60</v>
      </c>
      <c r="DO706" s="0" t="n">
        <v>3</v>
      </c>
      <c r="DP706" s="0" t="n">
        <v>1</v>
      </c>
      <c r="DQ706" s="0" t="n">
        <v>1</v>
      </c>
      <c r="DR706" s="0"/>
      <c r="DS706" s="0" t="n">
        <v>1</v>
      </c>
      <c r="DU706" s="0" t="n">
        <v>1</v>
      </c>
      <c r="DW706" s="1" t="n">
        <v>39995</v>
      </c>
      <c r="DX706" s="1" t="n">
        <v>40587</v>
      </c>
      <c r="DZ706" s="0"/>
      <c r="EA706" s="0" t="n">
        <v>1</v>
      </c>
      <c r="EC706" s="1" t="n">
        <v>40179</v>
      </c>
      <c r="ED706" s="1" t="n">
        <v>40588</v>
      </c>
      <c r="EF706" s="0"/>
      <c r="EG706" s="0" t="n">
        <v>1</v>
      </c>
      <c r="EH706" s="0" t="n">
        <v>12</v>
      </c>
      <c r="EI706" s="0" t="n">
        <f aca="false">IF(AND(DM706=1,DN706&lt;=48),"",IF(AND(DM706=2,DN706&lt;=42),"",IF(AND(DM706=3,DN706&lt;=45),"",EH706)))</f>
        <v>12</v>
      </c>
      <c r="EJ706" s="0" t="n">
        <f aca="false">IF(EI706="","",IF(EI706&lt;9,EI706,9))</f>
        <v>9</v>
      </c>
      <c r="EK706" s="0" t="n">
        <f aca="false">IF(EI706="","",IF(EI706&gt;9,EI706-EJ706,0))</f>
        <v>3</v>
      </c>
      <c r="EL706" s="0" t="n">
        <f aca="false">IF(EI706="","",EJ706*DA706*2+EK706*DA706*3)</f>
        <v>3320.1225</v>
      </c>
      <c r="EP706" s="0" t="n">
        <v>1</v>
      </c>
      <c r="EQ706" s="0"/>
      <c r="ER706" s="0" t="n">
        <v>0</v>
      </c>
      <c r="ET706" s="0" t="n">
        <v>0</v>
      </c>
      <c r="EV706" s="0" t="n">
        <v>0</v>
      </c>
      <c r="EX706" s="0" t="n">
        <v>0</v>
      </c>
      <c r="EY706" s="0" t="n">
        <v>0</v>
      </c>
      <c r="EZ706" s="0"/>
      <c r="FA706" s="4" t="n">
        <v>16000</v>
      </c>
      <c r="FB706" s="0" t="n">
        <v>0</v>
      </c>
      <c r="FC706" s="1" t="n">
        <v>40675</v>
      </c>
      <c r="FD706" s="0" t="n">
        <v>1</v>
      </c>
      <c r="FE706" s="0" t="n">
        <v>198281.35</v>
      </c>
      <c r="FF706" s="120" t="n">
        <f aca="false">(CJ706-CI706+1)/365</f>
        <v>8.59452054794521</v>
      </c>
      <c r="FG706" s="0" t="str">
        <f aca="false">CONCATENATE(F706,"/",G706)</f>
        <v>682/2011</v>
      </c>
      <c r="FH706" s="0" t="n">
        <v>1</v>
      </c>
      <c r="FI706" s="0" t="n">
        <f aca="false">IFERROR(IF((FC706-J706+1)/365&gt;3,0,1),"")</f>
        <v>1</v>
      </c>
    </row>
    <row r="707" customFormat="false" ht="15" hidden="false" customHeight="false" outlineLevel="0" collapsed="false">
      <c r="A707" s="5" t="str">
        <f aca="false">E707&amp;G707&amp;F707</f>
        <v>72011683</v>
      </c>
      <c r="B707" s="0" t="s">
        <v>1855</v>
      </c>
      <c r="C707" s="1" t="n">
        <v>42365</v>
      </c>
      <c r="D707" s="0" t="s">
        <v>1856</v>
      </c>
      <c r="E707" s="0" t="n">
        <v>7</v>
      </c>
      <c r="F707" s="0" t="n">
        <v>683</v>
      </c>
      <c r="G707" s="0" t="n">
        <v>2011</v>
      </c>
      <c r="H707" s="0" t="str">
        <f aca="false">"J"&amp;E707&amp;"\"&amp;F707&amp;"\"&amp;G707&amp;"\"&amp;W707</f>
        <v>J7\683\2011\1</v>
      </c>
      <c r="I707" s="0"/>
      <c r="J707" s="1" t="n">
        <v>40647</v>
      </c>
      <c r="K707" s="0" t="n">
        <v>0</v>
      </c>
      <c r="M707" s="1"/>
      <c r="N707" s="1"/>
      <c r="O707" s="1"/>
      <c r="P707" s="1"/>
      <c r="Q707" s="1"/>
      <c r="T707" s="121"/>
      <c r="U707" s="121"/>
      <c r="V707" s="122" t="n">
        <f aca="false">IF(AND(E707&gt;0,F707&gt;0,G707&gt;0),COUNTIFS($E:$E,E707,$F:$F,F707,$G:$G,G707),"")</f>
        <v>1</v>
      </c>
      <c r="W707" s="122" t="n">
        <f aca="false">IF(V707="","",IF(V707=1,1,IF(AND(E706=E707,F706=F707,G706=G707),W706+1,1)))</f>
        <v>1</v>
      </c>
      <c r="X707" s="0" t="n">
        <v>1</v>
      </c>
      <c r="Y707" s="0" t="n">
        <v>6</v>
      </c>
      <c r="Z707" s="0" t="s">
        <v>6477</v>
      </c>
      <c r="AA707" s="0" t="n">
        <v>0</v>
      </c>
      <c r="AB707" s="0" t="s">
        <v>6478</v>
      </c>
      <c r="AC707" s="0" t="s">
        <v>337</v>
      </c>
      <c r="AE707" s="0" t="n">
        <v>0</v>
      </c>
      <c r="AF707" s="0" t="s">
        <v>6479</v>
      </c>
      <c r="AG707" s="0" t="n">
        <v>0</v>
      </c>
      <c r="AH707" s="0" t="s">
        <v>6480</v>
      </c>
      <c r="AI707" s="0" t="s">
        <v>1375</v>
      </c>
      <c r="AJ707" s="0" t="s">
        <v>393</v>
      </c>
      <c r="AL707" s="0" t="s">
        <v>6481</v>
      </c>
      <c r="AM707" s="0" t="n">
        <v>1</v>
      </c>
      <c r="AN707" s="0" t="s">
        <v>6480</v>
      </c>
      <c r="AO707" s="0" t="s">
        <v>1375</v>
      </c>
      <c r="AP707" s="0" t="s">
        <v>393</v>
      </c>
      <c r="AR707" s="0" t="s">
        <v>6482</v>
      </c>
      <c r="AS707" s="0" t="n">
        <v>1</v>
      </c>
      <c r="AT707" s="0" t="s">
        <v>6480</v>
      </c>
      <c r="AU707" s="0" t="s">
        <v>1375</v>
      </c>
      <c r="AV707" s="0" t="s">
        <v>393</v>
      </c>
      <c r="AX707" s="0" t="s">
        <v>1880</v>
      </c>
      <c r="AY707" s="0" t="n">
        <v>1</v>
      </c>
      <c r="AZ707" s="0" t="s">
        <v>6480</v>
      </c>
      <c r="BA707" s="0" t="s">
        <v>1375</v>
      </c>
      <c r="BB707" s="0" t="s">
        <v>393</v>
      </c>
      <c r="BD707" s="0" t="s">
        <v>249</v>
      </c>
      <c r="BE707" s="0" t="n">
        <v>0</v>
      </c>
      <c r="BF707" s="0" t="s">
        <v>964</v>
      </c>
      <c r="BG707" s="0" t="s">
        <v>410</v>
      </c>
      <c r="BH707" s="0" t="s">
        <v>411</v>
      </c>
      <c r="BJ707" s="0" t="s">
        <v>412</v>
      </c>
      <c r="BK707" s="0" t="n">
        <v>0</v>
      </c>
      <c r="BL707" s="0" t="s">
        <v>5458</v>
      </c>
      <c r="BM707" s="0" t="s">
        <v>438</v>
      </c>
      <c r="BN707" s="0" t="s">
        <v>352</v>
      </c>
      <c r="BR707" s="0" t="n">
        <v>1</v>
      </c>
      <c r="BS707" s="0" t="s">
        <v>6483</v>
      </c>
      <c r="BT707" s="0" t="s">
        <v>6484</v>
      </c>
      <c r="BU707" s="0" t="s">
        <v>6485</v>
      </c>
      <c r="BV707" s="123"/>
      <c r="BW707" s="123"/>
      <c r="BX707" s="123"/>
      <c r="BY707" s="123"/>
      <c r="CA707" s="0" t="s">
        <v>6486</v>
      </c>
      <c r="CD707" s="0" t="s">
        <v>256</v>
      </c>
      <c r="CE707" s="0" t="n">
        <v>0</v>
      </c>
      <c r="CF707" s="0" t="s">
        <v>6487</v>
      </c>
      <c r="CI707" s="1" t="n">
        <v>37277</v>
      </c>
      <c r="CJ707" s="1" t="n">
        <v>40618</v>
      </c>
      <c r="CK707" s="124" t="n">
        <v>0.416666666666667</v>
      </c>
      <c r="CL707" s="0" t="s">
        <v>6482</v>
      </c>
      <c r="CM707" s="0" t="n">
        <f aca="false">IF(OR(CI707="",CJ707=""),"",DAYS360(CI707,CJ707)/360)</f>
        <v>9.15277777777778</v>
      </c>
      <c r="CN707" s="0" t="n">
        <f aca="false">IF(OR(CI707="",CJ707=""),"",DAYS360(CI707,CJ707)/30)</f>
        <v>109.833333333333</v>
      </c>
      <c r="CO707" s="0" t="n">
        <f aca="false">IF(OR(CI707="",CJ707=""),"",DAYS360(CI707,CJ707)/7)</f>
        <v>470.714285714286</v>
      </c>
      <c r="CP707" s="0" t="n">
        <f aca="false">IF(OR(CI707="",CJ707=""),"",DAYS360(CI707,CJ707))</f>
        <v>3295</v>
      </c>
      <c r="CQ707" s="0" t="s">
        <v>220</v>
      </c>
      <c r="CR707" s="0" t="n">
        <v>1</v>
      </c>
      <c r="CT707" s="0" t="n">
        <v>9854.4</v>
      </c>
      <c r="CU707" s="0" t="n">
        <v>2</v>
      </c>
      <c r="CV707" s="0" t="n">
        <f aca="false">IF(OR(CT707="",CT707="NO ESPECIFICA",CT707="NO MENCIONA"),"",IF(CU707=0,CT707,IF(CU707=1,CT707/30,IF(CU707=2,CT707/15,IF(CU707=3,CT707/7,"")))))</f>
        <v>656.96</v>
      </c>
      <c r="CW707" s="125" t="s">
        <v>216</v>
      </c>
      <c r="CX707" s="0" t="s">
        <v>216</v>
      </c>
      <c r="CY707" s="0" t="str">
        <f aca="false">IF(CW707="","",IF(CX707=0,CW707,IF(CX707=1,CW707/30,IF(CX707=2,CW707/15,IF(CX707=3,CW707/7,CW707)))))</f>
        <v>NO MENCIONA</v>
      </c>
      <c r="CZ707" s="0" t="n">
        <f aca="false">IF(DI707&gt;0,DI707,IF(CY707&gt;0,CY707,IF(CV707&gt;0,CV707,"")))</f>
        <v>1045.15</v>
      </c>
      <c r="DA707" s="0" t="n">
        <f aca="false">IF(DM707=1,CZ707/8,IF(OR(DM707=2,DM707=4),CZ707/7,IF(DM707=3,CZ707/7.5,"")))</f>
        <v>130.64375</v>
      </c>
      <c r="DB707" s="0" t="s">
        <v>417</v>
      </c>
      <c r="DC707" s="0" t="s">
        <v>216</v>
      </c>
      <c r="DD707" s="0" t="s">
        <v>216</v>
      </c>
      <c r="DE707" s="0" t="s">
        <v>216</v>
      </c>
      <c r="DF707" s="0" t="s">
        <v>216</v>
      </c>
      <c r="DG707" s="0" t="s">
        <v>216</v>
      </c>
      <c r="DH707" s="0" t="n">
        <v>0</v>
      </c>
      <c r="DI707" s="126" t="n">
        <v>1045.15</v>
      </c>
      <c r="DK707" s="0" t="n">
        <v>0</v>
      </c>
      <c r="DM707" s="0" t="n">
        <v>1</v>
      </c>
      <c r="DN707" s="0" t="n">
        <v>63</v>
      </c>
      <c r="DO707" s="0" t="n">
        <v>3</v>
      </c>
      <c r="DP707" s="0" t="n">
        <v>1</v>
      </c>
      <c r="DQ707" s="0" t="n">
        <v>1</v>
      </c>
      <c r="DR707" s="0"/>
      <c r="DS707" s="0" t="n">
        <v>1</v>
      </c>
      <c r="DU707" s="0" t="n">
        <v>1</v>
      </c>
      <c r="DW707" s="1" t="n">
        <v>37277</v>
      </c>
      <c r="DX707" s="1" t="n">
        <v>40618</v>
      </c>
      <c r="DZ707" s="0"/>
      <c r="EA707" s="0" t="n">
        <v>1</v>
      </c>
      <c r="EC707" s="1" t="n">
        <v>37277</v>
      </c>
      <c r="ED707" s="1" t="n">
        <v>40618</v>
      </c>
      <c r="EF707" s="0"/>
      <c r="EG707" s="0" t="n">
        <v>1</v>
      </c>
      <c r="EH707" s="0" t="n">
        <v>15</v>
      </c>
      <c r="EI707" s="0" t="n">
        <f aca="false">IF(AND(DM707=1,DN707&lt;=48),"",IF(AND(DM707=2,DN707&lt;=42),"",IF(AND(DM707=3,DN707&lt;=45),"",EH707)))</f>
        <v>15</v>
      </c>
      <c r="EJ707" s="0" t="n">
        <f aca="false">IF(EI707="","",IF(EI707&lt;9,EI707,9))</f>
        <v>9</v>
      </c>
      <c r="EK707" s="0" t="n">
        <f aca="false">IF(EI707="","",IF(EI707&gt;9,EI707-EJ707,0))</f>
        <v>6</v>
      </c>
      <c r="EL707" s="0" t="n">
        <f aca="false">IF(EI707="","",EJ707*DA707*2+EK707*DA707*3)</f>
        <v>4703.175</v>
      </c>
      <c r="EP707" s="0" t="n">
        <v>1</v>
      </c>
      <c r="EQ707" s="0"/>
      <c r="ER707" s="0" t="n">
        <v>0</v>
      </c>
      <c r="ET707" s="0" t="n">
        <v>0</v>
      </c>
      <c r="EV707" s="0" t="n">
        <v>1</v>
      </c>
      <c r="EX707" s="0" t="n">
        <v>1</v>
      </c>
      <c r="EY707" s="0" t="n">
        <v>1</v>
      </c>
      <c r="EZ707" s="4" t="n">
        <v>8151.69</v>
      </c>
      <c r="FA707" s="4" t="n">
        <v>67889.37</v>
      </c>
      <c r="FB707" s="0" t="n">
        <v>0</v>
      </c>
      <c r="FC707" s="1" t="n">
        <v>40822</v>
      </c>
      <c r="FD707" s="0" t="n">
        <v>2</v>
      </c>
      <c r="FE707" s="0" t="n">
        <v>0</v>
      </c>
      <c r="FF707" s="120" t="n">
        <f aca="false">(CJ707-CI707+1)/365</f>
        <v>9.15616438356164</v>
      </c>
      <c r="FG707" s="0" t="str">
        <f aca="false">CONCATENATE(F707,"/",G707)</f>
        <v>683/2011</v>
      </c>
      <c r="FH707" s="0" t="n">
        <v>1</v>
      </c>
      <c r="FI707" s="0" t="n">
        <f aca="false">IFERROR(IF((FC707-J707+1)/365&gt;3,0,1),"")</f>
        <v>1</v>
      </c>
    </row>
    <row r="708" customFormat="false" ht="15" hidden="false" customHeight="false" outlineLevel="0" collapsed="false">
      <c r="A708" s="5" t="str">
        <f aca="false">E708&amp;G708&amp;F708</f>
        <v>72011684</v>
      </c>
      <c r="B708" s="0" t="s">
        <v>1855</v>
      </c>
      <c r="C708" s="1" t="n">
        <v>42365</v>
      </c>
      <c r="D708" s="0" t="s">
        <v>1856</v>
      </c>
      <c r="E708" s="0" t="n">
        <v>7</v>
      </c>
      <c r="F708" s="0" t="n">
        <v>684</v>
      </c>
      <c r="G708" s="0" t="n">
        <v>2011</v>
      </c>
      <c r="H708" s="0" t="str">
        <f aca="false">"J"&amp;E708&amp;"\"&amp;F708&amp;"\"&amp;G708&amp;"\"&amp;W708</f>
        <v>J7\684\2011\1</v>
      </c>
      <c r="I708" s="0"/>
      <c r="J708" s="1" t="n">
        <v>40647</v>
      </c>
      <c r="M708" s="1"/>
      <c r="N708" s="1"/>
      <c r="O708" s="1"/>
      <c r="P708" s="1"/>
      <c r="Q708" s="1"/>
      <c r="T708" s="121"/>
      <c r="U708" s="121"/>
      <c r="V708" s="122" t="n">
        <f aca="false">IF(AND(E708&gt;0,F708&gt;0,G708&gt;0),COUNTIFS($E:$E,E708,$F:$F,F708,$G:$G,G708),"")</f>
        <v>2</v>
      </c>
      <c r="W708" s="122" t="n">
        <f aca="false">IF(V708="","",IF(V708=1,1,IF(AND(E707=E708,F707=F708,G707=G708),W707+1,1)))</f>
        <v>1</v>
      </c>
      <c r="X708" s="0" t="n">
        <v>2</v>
      </c>
      <c r="Y708" s="0" t="n">
        <v>5</v>
      </c>
      <c r="Z708" s="0" t="s">
        <v>6488</v>
      </c>
      <c r="AA708" s="0" t="n">
        <v>0</v>
      </c>
      <c r="AB708" s="0" t="s">
        <v>1227</v>
      </c>
      <c r="AC708" s="0" t="s">
        <v>274</v>
      </c>
      <c r="AE708" s="0" t="n">
        <v>0</v>
      </c>
      <c r="AF708" s="0" t="s">
        <v>6489</v>
      </c>
      <c r="AG708" s="0" t="n">
        <v>0</v>
      </c>
      <c r="AH708" s="0" t="s">
        <v>6490</v>
      </c>
      <c r="AI708" s="0" t="s">
        <v>6186</v>
      </c>
      <c r="AJ708" s="0" t="s">
        <v>211</v>
      </c>
      <c r="AL708" s="0" t="s">
        <v>6491</v>
      </c>
      <c r="AM708" s="0" t="n">
        <v>1</v>
      </c>
      <c r="AN708" s="0" t="s">
        <v>6490</v>
      </c>
      <c r="AO708" s="0" t="s">
        <v>6186</v>
      </c>
      <c r="AP708" s="0" t="s">
        <v>211</v>
      </c>
      <c r="AR708" s="0" t="s">
        <v>6492</v>
      </c>
      <c r="AS708" s="0" t="n">
        <v>1</v>
      </c>
      <c r="AT708" s="0" t="s">
        <v>6490</v>
      </c>
      <c r="AU708" s="0" t="s">
        <v>6186</v>
      </c>
      <c r="AV708" s="0" t="s">
        <v>211</v>
      </c>
      <c r="AX708" s="0" t="s">
        <v>6493</v>
      </c>
      <c r="AY708" s="0" t="n">
        <v>1</v>
      </c>
      <c r="AZ708" s="0" t="s">
        <v>6490</v>
      </c>
      <c r="BA708" s="0" t="s">
        <v>6186</v>
      </c>
      <c r="BB708" s="0" t="s">
        <v>211</v>
      </c>
      <c r="BD708" s="0" t="s">
        <v>1880</v>
      </c>
      <c r="BE708" s="0" t="n">
        <v>1</v>
      </c>
      <c r="BF708" s="0" t="s">
        <v>6490</v>
      </c>
      <c r="BG708" s="0" t="s">
        <v>6186</v>
      </c>
      <c r="BH708" s="0" t="s">
        <v>211</v>
      </c>
      <c r="BR708" s="0" t="n">
        <v>1</v>
      </c>
      <c r="BS708" s="0" t="s">
        <v>1231</v>
      </c>
      <c r="BT708" s="0" t="s">
        <v>1232</v>
      </c>
      <c r="BU708" s="0" t="s">
        <v>1233</v>
      </c>
      <c r="BV708" s="123"/>
      <c r="BW708" s="123"/>
      <c r="BX708" s="123"/>
      <c r="BY708" s="123"/>
      <c r="CA708" s="0" t="s">
        <v>1749</v>
      </c>
      <c r="CD708" s="0" t="s">
        <v>370</v>
      </c>
      <c r="CE708" s="0" t="n">
        <v>0</v>
      </c>
      <c r="CF708" s="0" t="s">
        <v>6494</v>
      </c>
      <c r="CI708" s="1" t="n">
        <v>40273</v>
      </c>
      <c r="CJ708" s="1" t="n">
        <v>40644</v>
      </c>
      <c r="CK708" s="124" t="n">
        <v>0.375</v>
      </c>
      <c r="CL708" s="0" t="s">
        <v>6491</v>
      </c>
      <c r="CM708" s="0" t="n">
        <f aca="false">IF(OR(CI708="",CJ708=""),"",DAYS360(CI708,CJ708)/360)</f>
        <v>1.01666666666667</v>
      </c>
      <c r="CN708" s="0" t="n">
        <f aca="false">IF(OR(CI708="",CJ708=""),"",DAYS360(CI708,CJ708)/30)</f>
        <v>12.2</v>
      </c>
      <c r="CO708" s="0" t="n">
        <f aca="false">IF(OR(CI708="",CJ708=""),"",DAYS360(CI708,CJ708)/7)</f>
        <v>52.2857142857143</v>
      </c>
      <c r="CP708" s="0" t="n">
        <f aca="false">IF(OR(CI708="",CJ708=""),"",DAYS360(CI708,CJ708))</f>
        <v>366</v>
      </c>
      <c r="CQ708" s="0" t="s">
        <v>240</v>
      </c>
      <c r="CR708" s="0" t="n">
        <v>1</v>
      </c>
      <c r="CT708" s="0" t="n">
        <v>500</v>
      </c>
      <c r="CU708" s="0" t="n">
        <v>0</v>
      </c>
      <c r="CV708" s="0" t="n">
        <f aca="false">IF(OR(CT708="",CT708="NO ESPECIFICA",CT708="NO MENCIONA"),"",IF(CU708=0,CT708,IF(CU708=1,CT708/30,IF(CU708=2,CT708/15,IF(CU708=3,CT708/7,"")))))</f>
        <v>500</v>
      </c>
      <c r="CW708" s="125" t="n">
        <v>1166.66</v>
      </c>
      <c r="CX708" s="0" t="n">
        <v>0</v>
      </c>
      <c r="CY708" s="0" t="n">
        <f aca="false">IF(CW708="","",IF(CX708=0,CW708,IF(CX708=1,CW708/30,IF(CX708=2,CW708/15,IF(CX708=3,CW708/7,CW708)))))</f>
        <v>1166.66</v>
      </c>
      <c r="CZ708" s="0" t="n">
        <f aca="false">IF(DI708&gt;0,DI708,IF(CY708&gt;0,CY708,IF(CV708&gt;0,CV708,"")))</f>
        <v>1166.66</v>
      </c>
      <c r="DA708" s="0" t="n">
        <f aca="false">IF(DM708=1,CZ708/8,IF(OR(DM708=2,DM708=4),CZ708/7,IF(DM708=3,CZ708/7.5,"")))</f>
        <v>145.8325</v>
      </c>
      <c r="DB708" s="0" t="s">
        <v>417</v>
      </c>
      <c r="DC708" s="0" t="s">
        <v>216</v>
      </c>
      <c r="DD708" s="0" t="s">
        <v>216</v>
      </c>
      <c r="DE708" s="0" t="s">
        <v>216</v>
      </c>
      <c r="DF708" s="0" t="s">
        <v>216</v>
      </c>
      <c r="DG708" s="0" t="s">
        <v>216</v>
      </c>
      <c r="DH708" s="0" t="n">
        <v>0</v>
      </c>
      <c r="DI708" s="126" t="n">
        <v>1166.66</v>
      </c>
      <c r="DK708" s="0" t="n">
        <v>0</v>
      </c>
      <c r="DM708" s="0" t="n">
        <v>1</v>
      </c>
      <c r="DN708" s="0" t="n">
        <v>60</v>
      </c>
      <c r="DO708" s="0" t="n">
        <v>3</v>
      </c>
      <c r="DP708" s="0" t="n">
        <v>0</v>
      </c>
      <c r="DQ708" s="0" t="n">
        <v>1</v>
      </c>
      <c r="DR708" s="0" t="n">
        <v>104999.4</v>
      </c>
      <c r="DS708" s="0" t="n">
        <v>1</v>
      </c>
      <c r="DU708" s="0" t="n">
        <v>1</v>
      </c>
      <c r="DW708" s="1" t="n">
        <v>40273</v>
      </c>
      <c r="DX708" s="1" t="n">
        <v>40644</v>
      </c>
      <c r="DZ708" s="0"/>
      <c r="EA708" s="0" t="n">
        <v>1</v>
      </c>
      <c r="EC708" s="1" t="n">
        <v>40273</v>
      </c>
      <c r="ED708" s="1" t="n">
        <v>40644</v>
      </c>
      <c r="EF708" s="0"/>
      <c r="EG708" s="0" t="n">
        <v>1</v>
      </c>
      <c r="EH708" s="0" t="n">
        <v>12</v>
      </c>
      <c r="EI708" s="0" t="n">
        <f aca="false">IF(AND(DM708=1,DN708&lt;=48),"",IF(AND(DM708=2,DN708&lt;=42),"",IF(AND(DM708=3,DN708&lt;=45),"",EH708)))</f>
        <v>12</v>
      </c>
      <c r="EJ708" s="0" t="n">
        <f aca="false">IF(EI708="","",IF(EI708&lt;9,EI708,9))</f>
        <v>9</v>
      </c>
      <c r="EK708" s="0" t="n">
        <f aca="false">IF(EI708="","",IF(EI708&gt;9,EI708-EJ708,0))</f>
        <v>3</v>
      </c>
      <c r="EL708" s="0" t="n">
        <f aca="false">IF(EI708="","",EJ708*DA708*2+EK708*DA708*3)</f>
        <v>3937.4775</v>
      </c>
      <c r="EN708" s="0" t="n">
        <v>204748.83</v>
      </c>
      <c r="EP708" s="0" t="n">
        <v>0</v>
      </c>
      <c r="EQ708" s="0"/>
      <c r="ER708" s="0" t="n">
        <v>0</v>
      </c>
      <c r="ET708" s="0" t="n">
        <v>0</v>
      </c>
      <c r="EV708" s="0" t="n">
        <v>0</v>
      </c>
      <c r="EX708" s="0" t="n">
        <v>1</v>
      </c>
      <c r="EY708" s="0" t="n">
        <v>0</v>
      </c>
      <c r="EZ708" s="0"/>
      <c r="FA708" s="4" t="n">
        <v>129500</v>
      </c>
      <c r="FB708" s="0" t="n">
        <v>0</v>
      </c>
      <c r="FC708" s="1"/>
      <c r="FF708" s="120" t="n">
        <f aca="false">(CJ708-CI708+1)/365</f>
        <v>1.01917808219178</v>
      </c>
      <c r="FG708" s="0" t="str">
        <f aca="false">CONCATENATE(F708,"/",G708)</f>
        <v>684/2011</v>
      </c>
      <c r="FH708" s="0" t="n">
        <v>1</v>
      </c>
      <c r="FI708" s="0" t="n">
        <f aca="false">IFERROR(IF((FC708-J708+1)/365&gt;3,0,1),"")</f>
        <v>1</v>
      </c>
    </row>
    <row r="709" customFormat="false" ht="15" hidden="false" customHeight="false" outlineLevel="0" collapsed="false">
      <c r="A709" s="5" t="str">
        <f aca="false">E709&amp;G709&amp;F709</f>
        <v>72011684</v>
      </c>
      <c r="B709" s="0" t="s">
        <v>1855</v>
      </c>
      <c r="C709" s="1" t="n">
        <v>42365</v>
      </c>
      <c r="D709" s="0" t="s">
        <v>1856</v>
      </c>
      <c r="E709" s="0" t="n">
        <v>7</v>
      </c>
      <c r="F709" s="0" t="n">
        <v>684</v>
      </c>
      <c r="G709" s="0" t="n">
        <v>2011</v>
      </c>
      <c r="H709" s="0" t="str">
        <f aca="false">"J"&amp;E709&amp;"\"&amp;F709&amp;"\"&amp;G709&amp;"\"&amp;W709</f>
        <v>J7\684\2011\2</v>
      </c>
      <c r="I709" s="0"/>
      <c r="J709" s="1" t="n">
        <v>40647</v>
      </c>
      <c r="M709" s="1"/>
      <c r="N709" s="1"/>
      <c r="O709" s="1"/>
      <c r="P709" s="1"/>
      <c r="Q709" s="1"/>
      <c r="T709" s="121"/>
      <c r="U709" s="121"/>
      <c r="V709" s="122" t="n">
        <f aca="false">IF(AND(E709&gt;0,F709&gt;0,G709&gt;0),COUNTIFS($E:$E,E709,$F:$F,F709,$G:$G,G709),"")</f>
        <v>2</v>
      </c>
      <c r="W709" s="122" t="n">
        <f aca="false">IF(V709="","",IF(V709=1,1,IF(AND(E708=E709,F708=F709,G708=G709),W708+1,1)))</f>
        <v>2</v>
      </c>
      <c r="X709" s="0" t="n">
        <v>2</v>
      </c>
      <c r="Y709" s="0" t="n">
        <v>5</v>
      </c>
      <c r="Z709" s="0" t="s">
        <v>6495</v>
      </c>
      <c r="AA709" s="0" t="n">
        <v>0</v>
      </c>
      <c r="AB709" s="0" t="s">
        <v>1227</v>
      </c>
      <c r="AC709" s="0" t="s">
        <v>274</v>
      </c>
      <c r="AE709" s="0" t="n">
        <v>0</v>
      </c>
      <c r="AF709" s="0" t="s">
        <v>6489</v>
      </c>
      <c r="AG709" s="0" t="n">
        <v>0</v>
      </c>
      <c r="AH709" s="0" t="s">
        <v>6490</v>
      </c>
      <c r="AI709" s="0" t="s">
        <v>6186</v>
      </c>
      <c r="AJ709" s="0" t="s">
        <v>211</v>
      </c>
      <c r="AL709" s="0" t="s">
        <v>6491</v>
      </c>
      <c r="AM709" s="0" t="n">
        <v>1</v>
      </c>
      <c r="AN709" s="0" t="s">
        <v>6490</v>
      </c>
      <c r="AO709" s="0" t="s">
        <v>6186</v>
      </c>
      <c r="AP709" s="0" t="s">
        <v>211</v>
      </c>
      <c r="AR709" s="0" t="s">
        <v>6492</v>
      </c>
      <c r="AS709" s="0" t="n">
        <v>1</v>
      </c>
      <c r="AT709" s="0" t="s">
        <v>6490</v>
      </c>
      <c r="AU709" s="0" t="s">
        <v>6186</v>
      </c>
      <c r="AV709" s="0" t="s">
        <v>211</v>
      </c>
      <c r="AX709" s="0" t="s">
        <v>6493</v>
      </c>
      <c r="AY709" s="0" t="n">
        <v>1</v>
      </c>
      <c r="AZ709" s="0" t="s">
        <v>6490</v>
      </c>
      <c r="BA709" s="0" t="s">
        <v>6186</v>
      </c>
      <c r="BB709" s="0" t="s">
        <v>211</v>
      </c>
      <c r="BD709" s="0" t="s">
        <v>1880</v>
      </c>
      <c r="BE709" s="0" t="n">
        <v>1</v>
      </c>
      <c r="BF709" s="0" t="s">
        <v>6490</v>
      </c>
      <c r="BG709" s="0" t="s">
        <v>6186</v>
      </c>
      <c r="BH709" s="0" t="s">
        <v>211</v>
      </c>
      <c r="BR709" s="0" t="n">
        <v>1</v>
      </c>
      <c r="BS709" s="0" t="s">
        <v>1231</v>
      </c>
      <c r="BT709" s="0" t="s">
        <v>1232</v>
      </c>
      <c r="BU709" s="0" t="s">
        <v>1233</v>
      </c>
      <c r="BV709" s="123"/>
      <c r="BW709" s="123"/>
      <c r="BX709" s="123"/>
      <c r="BY709" s="123"/>
      <c r="CA709" s="0" t="s">
        <v>1749</v>
      </c>
      <c r="CD709" s="0" t="s">
        <v>370</v>
      </c>
      <c r="CE709" s="0" t="n">
        <v>0</v>
      </c>
      <c r="CF709" s="0" t="s">
        <v>6494</v>
      </c>
      <c r="CI709" s="1" t="n">
        <v>40273</v>
      </c>
      <c r="CJ709" s="1" t="n">
        <v>40644</v>
      </c>
      <c r="CK709" s="124" t="n">
        <v>0.375</v>
      </c>
      <c r="CL709" s="0" t="s">
        <v>6491</v>
      </c>
      <c r="CM709" s="0" t="n">
        <f aca="false">IF(OR(CI709="",CJ709=""),"",DAYS360(CI709,CJ709)/360)</f>
        <v>1.01666666666667</v>
      </c>
      <c r="CN709" s="0" t="n">
        <f aca="false">IF(OR(CI709="",CJ709=""),"",DAYS360(CI709,CJ709)/30)</f>
        <v>12.2</v>
      </c>
      <c r="CO709" s="0" t="n">
        <f aca="false">IF(OR(CI709="",CJ709=""),"",DAYS360(CI709,CJ709)/7)</f>
        <v>52.2857142857143</v>
      </c>
      <c r="CP709" s="0" t="n">
        <f aca="false">IF(OR(CI709="",CJ709=""),"",DAYS360(CI709,CJ709))</f>
        <v>366</v>
      </c>
      <c r="CQ709" s="0" t="s">
        <v>240</v>
      </c>
      <c r="CR709" s="0" t="n">
        <v>1</v>
      </c>
      <c r="CT709" s="0" t="n">
        <v>500</v>
      </c>
      <c r="CU709" s="0" t="n">
        <v>0</v>
      </c>
      <c r="CV709" s="0" t="n">
        <f aca="false">IF(OR(CT709="",CT709="NO ESPECIFICA",CT709="NO MENCIONA"),"",IF(CU709=0,CT709,IF(CU709=1,CT709/30,IF(CU709=2,CT709/15,IF(CU709=3,CT709/7,"")))))</f>
        <v>500</v>
      </c>
      <c r="CW709" s="125" t="n">
        <v>1166.66</v>
      </c>
      <c r="CX709" s="0" t="n">
        <v>0</v>
      </c>
      <c r="CY709" s="0" t="n">
        <f aca="false">IF(CW709="","",IF(CX709=0,CW709,IF(CX709=1,CW709/30,IF(CX709=2,CW709/15,IF(CX709=3,CW709/7,CW709)))))</f>
        <v>1166.66</v>
      </c>
      <c r="CZ709" s="0" t="n">
        <f aca="false">IF(DI709&gt;0,DI709,IF(CY709&gt;0,CY709,IF(CV709&gt;0,CV709,"")))</f>
        <v>1166.66</v>
      </c>
      <c r="DA709" s="0" t="n">
        <f aca="false">IF(DM709=1,CZ709/8,IF(OR(DM709=2,DM709=4),CZ709/7,IF(DM709=3,CZ709/7.5,"")))</f>
        <v>145.8325</v>
      </c>
      <c r="DB709" s="0" t="s">
        <v>417</v>
      </c>
      <c r="DC709" s="0" t="s">
        <v>216</v>
      </c>
      <c r="DD709" s="0" t="s">
        <v>216</v>
      </c>
      <c r="DE709" s="0" t="s">
        <v>216</v>
      </c>
      <c r="DF709" s="0" t="s">
        <v>216</v>
      </c>
      <c r="DG709" s="0" t="s">
        <v>216</v>
      </c>
      <c r="DH709" s="0" t="n">
        <v>0</v>
      </c>
      <c r="DI709" s="126" t="n">
        <v>1166.66</v>
      </c>
      <c r="DK709" s="0" t="n">
        <v>0</v>
      </c>
      <c r="DM709" s="0" t="n">
        <v>1</v>
      </c>
      <c r="DN709" s="0" t="n">
        <v>60</v>
      </c>
      <c r="DO709" s="0" t="n">
        <v>3</v>
      </c>
      <c r="DP709" s="0" t="n">
        <v>0</v>
      </c>
      <c r="DQ709" s="0" t="n">
        <v>1</v>
      </c>
      <c r="DR709" s="0" t="n">
        <v>104999.4</v>
      </c>
      <c r="DS709" s="0" t="n">
        <v>1</v>
      </c>
      <c r="DU709" s="0" t="n">
        <v>1</v>
      </c>
      <c r="DW709" s="1" t="n">
        <v>40273</v>
      </c>
      <c r="DX709" s="1" t="n">
        <v>40644</v>
      </c>
      <c r="DZ709" s="0"/>
      <c r="EA709" s="0" t="n">
        <v>1</v>
      </c>
      <c r="EC709" s="1" t="n">
        <v>40273</v>
      </c>
      <c r="ED709" s="1" t="n">
        <v>40644</v>
      </c>
      <c r="EF709" s="0"/>
      <c r="EG709" s="0" t="n">
        <v>1</v>
      </c>
      <c r="EH709" s="0" t="n">
        <v>12</v>
      </c>
      <c r="EI709" s="0" t="n">
        <f aca="false">IF(AND(DM709=1,DN709&lt;=48),"",IF(AND(DM709=2,DN709&lt;=42),"",IF(AND(DM709=3,DN709&lt;=45),"",EH709)))</f>
        <v>12</v>
      </c>
      <c r="EJ709" s="0" t="n">
        <f aca="false">IF(EI709="","",IF(EI709&lt;9,EI709,9))</f>
        <v>9</v>
      </c>
      <c r="EK709" s="0" t="n">
        <f aca="false">IF(EI709="","",IF(EI709&gt;9,EI709-EJ709,0))</f>
        <v>3</v>
      </c>
      <c r="EL709" s="0" t="n">
        <f aca="false">IF(EI709="","",EJ709*DA709*2+EK709*DA709*3)</f>
        <v>3937.4775</v>
      </c>
      <c r="EN709" s="0" t="n">
        <v>204748.83</v>
      </c>
      <c r="EP709" s="0" t="n">
        <v>0</v>
      </c>
      <c r="EQ709" s="0"/>
      <c r="ER709" s="0" t="n">
        <v>0</v>
      </c>
      <c r="ET709" s="0" t="n">
        <v>0</v>
      </c>
      <c r="EV709" s="0" t="n">
        <v>0</v>
      </c>
      <c r="EX709" s="0" t="n">
        <v>1</v>
      </c>
      <c r="EY709" s="0" t="n">
        <v>0</v>
      </c>
      <c r="EZ709" s="0"/>
      <c r="FA709" s="4" t="n">
        <v>129500</v>
      </c>
      <c r="FB709" s="0" t="n">
        <v>0</v>
      </c>
      <c r="FC709" s="1"/>
      <c r="FF709" s="120" t="n">
        <f aca="false">(CJ709-CI709+1)/365</f>
        <v>1.01917808219178</v>
      </c>
      <c r="FG709" s="0" t="str">
        <f aca="false">CONCATENATE(F709,"/",G709)</f>
        <v>684/2011</v>
      </c>
      <c r="FH709" s="0" t="n">
        <v>1</v>
      </c>
      <c r="FI709" s="0" t="n">
        <f aca="false">IFERROR(IF((FC709-J709+1)/365&gt;3,0,1),"")</f>
        <v>1</v>
      </c>
    </row>
    <row r="710" customFormat="false" ht="15" hidden="false" customHeight="false" outlineLevel="0" collapsed="false">
      <c r="A710" s="5" t="str">
        <f aca="false">E710&amp;G710&amp;F710</f>
        <v>72011685</v>
      </c>
      <c r="B710" s="0" t="s">
        <v>1855</v>
      </c>
      <c r="C710" s="1" t="n">
        <v>42365</v>
      </c>
      <c r="D710" s="0" t="s">
        <v>1856</v>
      </c>
      <c r="E710" s="0" t="n">
        <v>7</v>
      </c>
      <c r="F710" s="0" t="n">
        <v>685</v>
      </c>
      <c r="G710" s="0" t="n">
        <v>2011</v>
      </c>
      <c r="H710" s="0" t="str">
        <f aca="false">"J"&amp;E710&amp;"\"&amp;F710&amp;"\"&amp;G710&amp;"\"&amp;W710</f>
        <v>J7\685\2011\1</v>
      </c>
      <c r="I710" s="0"/>
      <c r="J710" s="1" t="n">
        <v>40647</v>
      </c>
      <c r="M710" s="1"/>
      <c r="N710" s="1"/>
      <c r="O710" s="1"/>
      <c r="P710" s="1"/>
      <c r="Q710" s="1"/>
      <c r="T710" s="121"/>
      <c r="U710" s="121"/>
      <c r="V710" s="122" t="n">
        <f aca="false">IF(AND(E710&gt;0,F710&gt;0,G710&gt;0),COUNTIFS($E:$E,E710,$F:$F,F710,$G:$G,G710),"")</f>
        <v>1</v>
      </c>
      <c r="W710" s="122" t="n">
        <f aca="false">IF(V710="","",IF(V710=1,1,IF(AND(E709=E710,F709=F710,G709=G710),W709+1,1)))</f>
        <v>1</v>
      </c>
      <c r="X710" s="0" t="n">
        <v>1</v>
      </c>
      <c r="Y710" s="0" t="n">
        <v>7</v>
      </c>
      <c r="Z710" s="0" t="s">
        <v>6496</v>
      </c>
      <c r="AA710" s="0" t="n">
        <v>0</v>
      </c>
      <c r="AB710" s="0" t="s">
        <v>878</v>
      </c>
      <c r="AC710" s="0" t="s">
        <v>318</v>
      </c>
      <c r="AD710" s="0" t="s">
        <v>229</v>
      </c>
      <c r="AE710" s="0" t="n">
        <v>0</v>
      </c>
      <c r="AF710" s="0" t="s">
        <v>6497</v>
      </c>
      <c r="AG710" s="0" t="n">
        <v>0</v>
      </c>
      <c r="AH710" s="0" t="s">
        <v>6498</v>
      </c>
      <c r="AI710" s="0" t="s">
        <v>2760</v>
      </c>
      <c r="AJ710" s="0" t="s">
        <v>322</v>
      </c>
      <c r="AL710" s="0" t="s">
        <v>6499</v>
      </c>
      <c r="AM710" s="0" t="n">
        <v>0</v>
      </c>
      <c r="AN710" s="0" t="s">
        <v>6498</v>
      </c>
      <c r="AO710" s="0" t="s">
        <v>2760</v>
      </c>
      <c r="AP710" s="0" t="s">
        <v>322</v>
      </c>
      <c r="AR710" s="0" t="s">
        <v>6500</v>
      </c>
      <c r="AS710" s="0" t="n">
        <v>1</v>
      </c>
      <c r="AT710" s="0" t="s">
        <v>6498</v>
      </c>
      <c r="AU710" s="0" t="s">
        <v>2760</v>
      </c>
      <c r="AV710" s="0" t="s">
        <v>322</v>
      </c>
      <c r="AX710" s="0" t="s">
        <v>6501</v>
      </c>
      <c r="AY710" s="0" t="n">
        <v>1</v>
      </c>
      <c r="AZ710" s="0" t="s">
        <v>6498</v>
      </c>
      <c r="BA710" s="0" t="s">
        <v>2760</v>
      </c>
      <c r="BB710" s="0" t="s">
        <v>322</v>
      </c>
      <c r="BD710" s="0" t="s">
        <v>6502</v>
      </c>
      <c r="BE710" s="0" t="n">
        <v>1</v>
      </c>
      <c r="BF710" s="0" t="s">
        <v>6498</v>
      </c>
      <c r="BG710" s="0" t="s">
        <v>2760</v>
      </c>
      <c r="BH710" s="0" t="s">
        <v>322</v>
      </c>
      <c r="BJ710" s="0" t="s">
        <v>6503</v>
      </c>
      <c r="BK710" s="0" t="n">
        <v>1</v>
      </c>
      <c r="BL710" s="0" t="s">
        <v>6498</v>
      </c>
      <c r="BM710" s="0" t="s">
        <v>2760</v>
      </c>
      <c r="BN710" s="0" t="s">
        <v>322</v>
      </c>
      <c r="BR710" s="0" t="n">
        <v>1</v>
      </c>
      <c r="BS710" s="0" t="s">
        <v>882</v>
      </c>
      <c r="BT710" s="0" t="s">
        <v>883</v>
      </c>
      <c r="BU710" s="0" t="s">
        <v>6504</v>
      </c>
      <c r="BV710" s="123"/>
      <c r="BW710" s="123"/>
      <c r="BX710" s="123"/>
      <c r="BY710" s="123"/>
      <c r="CD710" s="0" t="s">
        <v>256</v>
      </c>
      <c r="CE710" s="0" t="n">
        <v>0</v>
      </c>
      <c r="CF710" s="0" t="s">
        <v>600</v>
      </c>
      <c r="CI710" s="1" t="n">
        <v>38723</v>
      </c>
      <c r="CJ710" s="1" t="n">
        <v>40644</v>
      </c>
      <c r="CK710" s="124" t="n">
        <v>0.333333333333333</v>
      </c>
      <c r="CL710" s="0" t="s">
        <v>6505</v>
      </c>
      <c r="CM710" s="0" t="n">
        <f aca="false">IF(OR(CI710="",CJ710=""),"",DAYS360(CI710,CJ710)/360)</f>
        <v>5.26388888888889</v>
      </c>
      <c r="CN710" s="0" t="n">
        <f aca="false">IF(OR(CI710="",CJ710=""),"",DAYS360(CI710,CJ710)/30)</f>
        <v>63.1666666666667</v>
      </c>
      <c r="CO710" s="0" t="n">
        <f aca="false">IF(OR(CI710="",CJ710=""),"",DAYS360(CI710,CJ710)/7)</f>
        <v>270.714285714286</v>
      </c>
      <c r="CP710" s="0" t="n">
        <f aca="false">IF(OR(CI710="",CJ710=""),"",DAYS360(CI710,CJ710))</f>
        <v>1895</v>
      </c>
      <c r="CQ710" s="0" t="s">
        <v>240</v>
      </c>
      <c r="CR710" s="0" t="n">
        <v>1</v>
      </c>
      <c r="CT710" s="0" t="s">
        <v>221</v>
      </c>
      <c r="CU710" s="0" t="s">
        <v>221</v>
      </c>
      <c r="CV710" s="0" t="str">
        <f aca="false">IF(OR(CT710="",CT710="NO ESPECIFICA",CT710="NO MENCIONA"),"",IF(CU710=0,CT710,IF(CU710=1,CT710/30,IF(CU710=2,CT710/15,IF(CU710=3,CT710/7,"")))))</f>
        <v/>
      </c>
      <c r="CW710" s="125" t="n">
        <v>205</v>
      </c>
      <c r="CX710" s="0" t="n">
        <v>0</v>
      </c>
      <c r="CY710" s="0" t="n">
        <f aca="false">IF(CW710="","",IF(CX710=0,CW710,IF(CX710=1,CW710/30,IF(CX710=2,CW710/15,IF(CX710=3,CW710/7,CW710)))))</f>
        <v>205</v>
      </c>
      <c r="CZ710" s="0" t="n">
        <f aca="false">IF(DI710&gt;0,DI710,IF(CY710&gt;0,CY710,IF(CV710&gt;0,CV710,"")))</f>
        <v>205</v>
      </c>
      <c r="DA710" s="0" t="n">
        <f aca="false">IF(DM710=1,CZ710/8,IF(OR(DM710=2,DM710=4),CZ710/7,IF(DM710=3,CZ710/7.5,"")))</f>
        <v>25.625</v>
      </c>
      <c r="DB710" s="0" t="s">
        <v>216</v>
      </c>
      <c r="DC710" s="0" t="s">
        <v>216</v>
      </c>
      <c r="DD710" s="0" t="s">
        <v>216</v>
      </c>
      <c r="DE710" s="0" t="s">
        <v>216</v>
      </c>
      <c r="DF710" s="0" t="s">
        <v>216</v>
      </c>
      <c r="DG710" s="0" t="s">
        <v>216</v>
      </c>
      <c r="DH710" s="0" t="n">
        <v>0</v>
      </c>
      <c r="DI710" s="126" t="n">
        <v>205</v>
      </c>
      <c r="DK710" s="0" t="n">
        <v>1</v>
      </c>
      <c r="DM710" s="0" t="n">
        <v>1</v>
      </c>
      <c r="DN710" s="0" t="n">
        <v>54</v>
      </c>
      <c r="DO710" s="0" t="n">
        <v>3</v>
      </c>
      <c r="DP710" s="0" t="n">
        <v>0</v>
      </c>
      <c r="DQ710" s="0" t="n">
        <v>1</v>
      </c>
      <c r="DR710" s="0"/>
      <c r="DS710" s="0" t="n">
        <v>1</v>
      </c>
      <c r="DU710" s="0" t="n">
        <v>1</v>
      </c>
      <c r="DW710" s="1" t="n">
        <v>39819</v>
      </c>
      <c r="DX710" s="1" t="n">
        <v>40644</v>
      </c>
      <c r="DZ710" s="0"/>
      <c r="EA710" s="0" t="n">
        <v>1</v>
      </c>
      <c r="EC710" s="1" t="n">
        <v>39814</v>
      </c>
      <c r="ED710" s="1" t="n">
        <v>40644</v>
      </c>
      <c r="EF710" s="0"/>
      <c r="EG710" s="0" t="n">
        <v>1</v>
      </c>
      <c r="EH710" s="0" t="n">
        <v>6</v>
      </c>
      <c r="EI710" s="0" t="n">
        <f aca="false">IF(AND(DM710=1,DN710&lt;=48),"",IF(AND(DM710=2,DN710&lt;=42),"",IF(AND(DM710=3,DN710&lt;=45),"",EH710)))</f>
        <v>6</v>
      </c>
      <c r="EJ710" s="0" t="n">
        <f aca="false">IF(EI710="","",IF(EI710&lt;9,EI710,9))</f>
        <v>6</v>
      </c>
      <c r="EK710" s="0" t="n">
        <f aca="false">IF(EI710="","",IF(EI710&gt;9,EI710-EJ710,0))</f>
        <v>0</v>
      </c>
      <c r="EL710" s="0" t="n">
        <f aca="false">IF(EI710="","",EJ710*DA710*2+EK710*DA710*3)</f>
        <v>307.5</v>
      </c>
      <c r="EP710" s="0" t="n">
        <v>0</v>
      </c>
      <c r="EQ710" s="0"/>
      <c r="ER710" s="0" t="n">
        <v>0</v>
      </c>
      <c r="ET710" s="0" t="n">
        <v>0</v>
      </c>
      <c r="EV710" s="0" t="n">
        <v>0</v>
      </c>
      <c r="EX710" s="0" t="n">
        <v>0</v>
      </c>
      <c r="EY710" s="0" t="n">
        <v>0</v>
      </c>
      <c r="EZ710" s="0"/>
      <c r="FA710" s="4" t="n">
        <v>2050</v>
      </c>
      <c r="FB710" s="0" t="n">
        <v>1</v>
      </c>
      <c r="FC710" s="1" t="n">
        <v>40686</v>
      </c>
      <c r="FD710" s="0" t="n">
        <v>2</v>
      </c>
      <c r="FE710" s="0" t="n">
        <v>0</v>
      </c>
      <c r="FF710" s="120" t="n">
        <f aca="false">(CJ710-CI710+1)/365</f>
        <v>5.26575342465753</v>
      </c>
      <c r="FG710" s="0" t="str">
        <f aca="false">CONCATENATE(F710,"/",G710)</f>
        <v>685/2011</v>
      </c>
      <c r="FH710" s="0" t="n">
        <v>1</v>
      </c>
      <c r="FI710" s="0" t="n">
        <f aca="false">IFERROR(IF((FC710-J710+1)/365&gt;3,0,1),"")</f>
        <v>1</v>
      </c>
    </row>
    <row r="711" customFormat="false" ht="15" hidden="false" customHeight="false" outlineLevel="0" collapsed="false">
      <c r="A711" s="5" t="str">
        <f aca="false">E711&amp;G711&amp;F711</f>
        <v>72011686</v>
      </c>
      <c r="B711" s="0" t="s">
        <v>1855</v>
      </c>
      <c r="C711" s="1" t="n">
        <v>42365</v>
      </c>
      <c r="D711" s="0" t="s">
        <v>1856</v>
      </c>
      <c r="E711" s="0" t="n">
        <v>7</v>
      </c>
      <c r="F711" s="0" t="n">
        <v>686</v>
      </c>
      <c r="G711" s="0" t="n">
        <v>2011</v>
      </c>
      <c r="H711" s="0" t="str">
        <f aca="false">"J"&amp;E711&amp;"\"&amp;F711&amp;"\"&amp;G711&amp;"\"&amp;W711</f>
        <v>J7\686\2011\1</v>
      </c>
      <c r="I711" s="0"/>
      <c r="J711" s="1" t="n">
        <v>40647</v>
      </c>
      <c r="K711" s="0" t="n">
        <v>0</v>
      </c>
      <c r="M711" s="1"/>
      <c r="N711" s="1"/>
      <c r="O711" s="1"/>
      <c r="P711" s="1"/>
      <c r="Q711" s="1"/>
      <c r="T711" s="121"/>
      <c r="U711" s="121"/>
      <c r="V711" s="122" t="n">
        <f aca="false">IF(AND(E711&gt;0,F711&gt;0,G711&gt;0),COUNTIFS($E:$E,E711,$F:$F,F711,$G:$G,G711),"")</f>
        <v>1</v>
      </c>
      <c r="W711" s="122" t="n">
        <f aca="false">IF(V711="","",IF(V711=1,1,IF(AND(E710=E711,F710=F711,G710=G711),W710+1,1)))</f>
        <v>1</v>
      </c>
      <c r="X711" s="0" t="n">
        <v>1</v>
      </c>
      <c r="Y711" s="0" t="n">
        <v>4</v>
      </c>
      <c r="Z711" s="0" t="s">
        <v>6506</v>
      </c>
      <c r="AA711" s="0" t="n">
        <v>0</v>
      </c>
      <c r="AB711" s="0" t="s">
        <v>1812</v>
      </c>
      <c r="AC711" s="0" t="s">
        <v>228</v>
      </c>
      <c r="AD711" s="0" t="s">
        <v>229</v>
      </c>
      <c r="AE711" s="0" t="n">
        <v>0</v>
      </c>
      <c r="AF711" s="0" t="s">
        <v>6507</v>
      </c>
      <c r="AG711" s="0" t="n">
        <v>0</v>
      </c>
      <c r="AH711" s="0" t="s">
        <v>2288</v>
      </c>
      <c r="AI711" s="0" t="s">
        <v>6508</v>
      </c>
      <c r="AJ711" s="0" t="s">
        <v>590</v>
      </c>
      <c r="AL711" s="0" t="s">
        <v>2291</v>
      </c>
      <c r="AM711" s="0" t="n">
        <v>1</v>
      </c>
      <c r="AN711" s="0" t="s">
        <v>2288</v>
      </c>
      <c r="AO711" s="0" t="s">
        <v>6508</v>
      </c>
      <c r="AP711" s="0" t="s">
        <v>590</v>
      </c>
      <c r="AR711" s="0" t="s">
        <v>6509</v>
      </c>
      <c r="AS711" s="0" t="n">
        <v>1</v>
      </c>
      <c r="AT711" s="0" t="s">
        <v>2288</v>
      </c>
      <c r="AU711" s="0" t="s">
        <v>6508</v>
      </c>
      <c r="AV711" s="0" t="s">
        <v>590</v>
      </c>
      <c r="AX711" s="0" t="s">
        <v>1880</v>
      </c>
      <c r="AY711" s="0" t="n">
        <v>1</v>
      </c>
      <c r="AZ711" s="0" t="s">
        <v>2288</v>
      </c>
      <c r="BA711" s="0" t="s">
        <v>6508</v>
      </c>
      <c r="BB711" s="0" t="s">
        <v>590</v>
      </c>
      <c r="BR711" s="0" t="n">
        <v>3</v>
      </c>
      <c r="BS711" s="0" t="s">
        <v>499</v>
      </c>
      <c r="BT711" s="0" t="s">
        <v>858</v>
      </c>
      <c r="BU711" s="0" t="s">
        <v>4597</v>
      </c>
      <c r="BV711" s="123"/>
      <c r="BW711" s="123"/>
      <c r="BX711" s="123"/>
      <c r="BY711" s="123"/>
      <c r="CA711" s="0" t="s">
        <v>348</v>
      </c>
      <c r="CD711" s="0" t="s">
        <v>256</v>
      </c>
      <c r="CE711" s="0" t="n">
        <v>0</v>
      </c>
      <c r="CF711" s="0" t="s">
        <v>782</v>
      </c>
      <c r="CI711" s="1" t="n">
        <v>38132</v>
      </c>
      <c r="CJ711" s="1" t="n">
        <v>40609</v>
      </c>
      <c r="CK711" s="124" t="n">
        <v>0.770833333333333</v>
      </c>
      <c r="CL711" s="0" t="s">
        <v>6509</v>
      </c>
      <c r="CM711" s="0" t="n">
        <f aca="false">IF(OR(CI711="",CJ711=""),"",DAYS360(CI711,CJ711)/360)</f>
        <v>6.78333333333333</v>
      </c>
      <c r="CN711" s="0" t="n">
        <f aca="false">IF(OR(CI711="",CJ711=""),"",DAYS360(CI711,CJ711)/30)</f>
        <v>81.4</v>
      </c>
      <c r="CO711" s="0" t="n">
        <f aca="false">IF(OR(CI711="",CJ711=""),"",DAYS360(CI711,CJ711)/7)</f>
        <v>348.857142857143</v>
      </c>
      <c r="CP711" s="0" t="n">
        <f aca="false">IF(OR(CI711="",CJ711=""),"",DAYS360(CI711,CJ711))</f>
        <v>2442</v>
      </c>
      <c r="CQ711" s="0" t="s">
        <v>240</v>
      </c>
      <c r="CR711" s="0" t="n">
        <v>1</v>
      </c>
      <c r="CT711" s="0" t="n">
        <v>186.66</v>
      </c>
      <c r="CU711" s="0" t="n">
        <v>0</v>
      </c>
      <c r="CV711" s="0" t="n">
        <f aca="false">IF(OR(CT711="",CT711="NO ESPECIFICA",CT711="NO MENCIONA"),"",IF(CU711=0,CT711,IF(CU711=1,CT711/30,IF(CU711=2,CT711/15,IF(CU711=3,CT711/7,"")))))</f>
        <v>186.66</v>
      </c>
      <c r="CW711" s="125" t="n">
        <v>213</v>
      </c>
      <c r="CX711" s="0" t="n">
        <v>0</v>
      </c>
      <c r="CY711" s="0" t="n">
        <f aca="false">IF(CW711="","",IF(CX711=0,CW711,IF(CX711=1,CW711/30,IF(CX711=2,CW711/15,IF(CX711=3,CW711/7,CW711)))))</f>
        <v>213</v>
      </c>
      <c r="CZ711" s="0" t="n">
        <f aca="false">IF(DI711&gt;0,DI711,IF(CY711&gt;0,CY711,IF(CV711&gt;0,CV711,"")))</f>
        <v>213</v>
      </c>
      <c r="DA711" s="0" t="n">
        <f aca="false">IF(DM711=1,CZ711/8,IF(OR(DM711=2,DM711=4),CZ711/7,IF(DM711=3,CZ711/7.5,"")))</f>
        <v>26.625</v>
      </c>
      <c r="DB711" s="0" t="s">
        <v>303</v>
      </c>
      <c r="DC711" s="0" t="s">
        <v>301</v>
      </c>
      <c r="DD711" s="0" t="s">
        <v>216</v>
      </c>
      <c r="DE711" s="0" t="s">
        <v>216</v>
      </c>
      <c r="DF711" s="0" t="s">
        <v>216</v>
      </c>
      <c r="DG711" s="0" t="s">
        <v>216</v>
      </c>
      <c r="DH711" s="0" t="n">
        <v>0</v>
      </c>
      <c r="DI711" s="126" t="n">
        <v>213</v>
      </c>
      <c r="DK711" s="0" t="n">
        <v>0</v>
      </c>
      <c r="DM711" s="0" t="n">
        <v>1</v>
      </c>
      <c r="DN711" s="0" t="n">
        <v>50</v>
      </c>
      <c r="DO711" s="0" t="n">
        <v>3</v>
      </c>
      <c r="DP711" s="0" t="n">
        <v>0</v>
      </c>
      <c r="DQ711" s="0" t="n">
        <v>1</v>
      </c>
      <c r="DR711" s="0"/>
      <c r="DS711" s="0" t="n">
        <v>1</v>
      </c>
      <c r="DU711" s="0" t="n">
        <v>1</v>
      </c>
      <c r="DW711" s="1" t="s">
        <v>1775</v>
      </c>
      <c r="DX711" s="1" t="s">
        <v>1775</v>
      </c>
      <c r="DZ711" s="0"/>
      <c r="EA711" s="0" t="n">
        <v>1</v>
      </c>
      <c r="EC711" s="1" t="n">
        <v>40544</v>
      </c>
      <c r="ED711" s="1" t="n">
        <v>40609</v>
      </c>
      <c r="EF711" s="0"/>
      <c r="EG711" s="0" t="n">
        <v>0</v>
      </c>
      <c r="EI711" s="0" t="n">
        <f aca="false">IF(AND(DM711=1,DN711&lt;=48),"",IF(AND(DM711=2,DN711&lt;=42),"",IF(AND(DM711=3,DN711&lt;=45),"",EH711)))</f>
        <v>0</v>
      </c>
      <c r="EJ711" s="0" t="str">
        <f aca="false">IF(EI711="","",IF(EI711&lt;9,EI711,9))</f>
        <v/>
      </c>
      <c r="EK711" s="0" t="str">
        <f aca="false">IF(EI711="","",IF(EI711&gt;9,EI711-EJ711,0))</f>
        <v/>
      </c>
      <c r="EL711" s="0" t="str">
        <f aca="false">IF(EI711="","",EJ711*DA711*2+EK711*DA711*3)</f>
        <v/>
      </c>
      <c r="EP711" s="0" t="n">
        <v>0</v>
      </c>
      <c r="EQ711" s="0"/>
      <c r="ER711" s="0" t="n">
        <v>0</v>
      </c>
      <c r="ET711" s="0" t="n">
        <v>0</v>
      </c>
      <c r="EV711" s="0" t="n">
        <v>0</v>
      </c>
      <c r="EX711" s="0" t="n">
        <v>0</v>
      </c>
      <c r="EY711" s="0" t="n">
        <v>0</v>
      </c>
      <c r="EZ711" s="0"/>
      <c r="FA711" s="4" t="n">
        <v>0</v>
      </c>
      <c r="FB711" s="0" t="n">
        <v>1</v>
      </c>
      <c r="FC711" s="1" t="n">
        <v>41936</v>
      </c>
      <c r="FD711" s="0" t="n">
        <v>3</v>
      </c>
      <c r="FE711" s="0" t="n">
        <v>238000</v>
      </c>
      <c r="FF711" s="120" t="n">
        <f aca="false">(CJ711-CI711+1)/365</f>
        <v>6.78904109589041</v>
      </c>
      <c r="FG711" s="0" t="str">
        <f aca="false">CONCATENATE(F711,"/",G711)</f>
        <v>686/2011</v>
      </c>
      <c r="FH711" s="0" t="n">
        <v>1</v>
      </c>
      <c r="FI711" s="0" t="n">
        <f aca="false">IFERROR(IF((FC711-J711+1)/365&gt;3,0,1),"")</f>
        <v>0</v>
      </c>
    </row>
    <row r="712" customFormat="false" ht="15" hidden="false" customHeight="false" outlineLevel="0" collapsed="false">
      <c r="A712" s="5" t="str">
        <f aca="false">E712&amp;G712&amp;F712</f>
        <v>72011687</v>
      </c>
      <c r="B712" s="0" t="s">
        <v>1855</v>
      </c>
      <c r="C712" s="1" t="n">
        <v>42007</v>
      </c>
      <c r="D712" s="0" t="s">
        <v>1856</v>
      </c>
      <c r="E712" s="0" t="n">
        <v>7</v>
      </c>
      <c r="F712" s="0" t="n">
        <v>687</v>
      </c>
      <c r="G712" s="0" t="n">
        <v>2011</v>
      </c>
      <c r="H712" s="0" t="str">
        <f aca="false">"J"&amp;E712&amp;"\"&amp;F712&amp;"\"&amp;G712&amp;"\"&amp;W712</f>
        <v>J7\687\2011\1</v>
      </c>
      <c r="I712" s="0"/>
      <c r="J712" s="1" t="n">
        <v>40647</v>
      </c>
      <c r="K712" s="0" t="n">
        <v>0</v>
      </c>
      <c r="M712" s="1"/>
      <c r="N712" s="1"/>
      <c r="O712" s="1"/>
      <c r="P712" s="1"/>
      <c r="Q712" s="1"/>
      <c r="T712" s="121"/>
      <c r="U712" s="121"/>
      <c r="V712" s="122" t="n">
        <f aca="false">IF(AND(E712&gt;0,F712&gt;0,G712&gt;0),COUNTIFS($E:$E,E712,$F:$F,F712,$G:$G,G712),"")</f>
        <v>1</v>
      </c>
      <c r="W712" s="122" t="n">
        <f aca="false">IF(V712="","",IF(V712=1,1,IF(AND(E711=E712,F711=F712,G711=G712),W711+1,1)))</f>
        <v>1</v>
      </c>
      <c r="X712" s="0" t="n">
        <v>1</v>
      </c>
      <c r="Y712" s="0" t="n">
        <v>5</v>
      </c>
      <c r="Z712" s="0" t="s">
        <v>6510</v>
      </c>
      <c r="AA712" s="0" t="n">
        <v>0</v>
      </c>
      <c r="AB712" s="0" t="s">
        <v>6511</v>
      </c>
      <c r="AC712" s="0" t="s">
        <v>6512</v>
      </c>
      <c r="AD712" s="0" t="s">
        <v>755</v>
      </c>
      <c r="AE712" s="0" t="n">
        <v>0</v>
      </c>
      <c r="AF712" s="0" t="s">
        <v>4438</v>
      </c>
      <c r="AG712" s="0" t="n">
        <v>0</v>
      </c>
      <c r="AH712" s="0" t="s">
        <v>6513</v>
      </c>
      <c r="AI712" s="0" t="s">
        <v>1163</v>
      </c>
      <c r="AJ712" s="0" t="s">
        <v>229</v>
      </c>
      <c r="AL712" s="0" t="s">
        <v>249</v>
      </c>
      <c r="AM712" s="0" t="n">
        <v>0</v>
      </c>
      <c r="AN712" s="0" t="s">
        <v>6514</v>
      </c>
      <c r="AO712" s="0" t="s">
        <v>410</v>
      </c>
      <c r="AP712" s="0" t="s">
        <v>411</v>
      </c>
      <c r="AR712" s="0" t="s">
        <v>412</v>
      </c>
      <c r="AS712" s="0" t="n">
        <v>0</v>
      </c>
      <c r="AT712" s="0" t="s">
        <v>5458</v>
      </c>
      <c r="AU712" s="0" t="s">
        <v>438</v>
      </c>
      <c r="AV712" s="0" t="s">
        <v>352</v>
      </c>
      <c r="AX712" s="0" t="s">
        <v>4643</v>
      </c>
      <c r="AY712" s="0" t="n">
        <v>0</v>
      </c>
      <c r="AZ712" s="0" t="s">
        <v>4644</v>
      </c>
      <c r="BA712" s="0" t="s">
        <v>404</v>
      </c>
      <c r="BB712" s="0" t="s">
        <v>229</v>
      </c>
      <c r="BD712" s="0" t="s">
        <v>3223</v>
      </c>
      <c r="BE712" s="0" t="n">
        <v>0</v>
      </c>
      <c r="BF712" s="0" t="s">
        <v>5275</v>
      </c>
      <c r="BG712" s="0" t="s">
        <v>4367</v>
      </c>
      <c r="BH712" s="0" t="s">
        <v>659</v>
      </c>
      <c r="BR712" s="0" t="n">
        <v>1</v>
      </c>
      <c r="BS712" s="0" t="s">
        <v>6515</v>
      </c>
      <c r="BT712" s="0" t="s">
        <v>6516</v>
      </c>
      <c r="BU712" s="0" t="s">
        <v>6517</v>
      </c>
      <c r="BV712" s="123"/>
      <c r="BW712" s="123"/>
      <c r="BX712" s="123"/>
      <c r="BY712" s="123"/>
      <c r="CA712" s="0" t="s">
        <v>216</v>
      </c>
      <c r="CD712" s="0" t="s">
        <v>502</v>
      </c>
      <c r="CE712" s="0" t="n">
        <v>0</v>
      </c>
      <c r="CF712" s="0" t="s">
        <v>371</v>
      </c>
      <c r="CI712" s="1" t="n">
        <v>40470</v>
      </c>
      <c r="CJ712" s="1" t="n">
        <v>40595</v>
      </c>
      <c r="CK712" s="124" t="n">
        <v>0.458333333333333</v>
      </c>
      <c r="CL712" s="0" t="s">
        <v>6518</v>
      </c>
      <c r="CM712" s="0" t="n">
        <f aca="false">IF(OR(CI712="",CJ712=""),"",DAYS360(CI712,CJ712)/360)</f>
        <v>0.338888888888889</v>
      </c>
      <c r="CN712" s="0" t="n">
        <f aca="false">IF(OR(CI712="",CJ712=""),"",DAYS360(CI712,CJ712)/30)</f>
        <v>4.06666666666667</v>
      </c>
      <c r="CO712" s="0" t="n">
        <f aca="false">IF(OR(CI712="",CJ712=""),"",DAYS360(CI712,CJ712)/7)</f>
        <v>17.4285714285714</v>
      </c>
      <c r="CP712" s="0" t="n">
        <f aca="false">IF(OR(CI712="",CJ712=""),"",DAYS360(CI712,CJ712))</f>
        <v>122</v>
      </c>
      <c r="CQ712" s="0" t="s">
        <v>240</v>
      </c>
      <c r="CR712" s="0" t="n">
        <v>1</v>
      </c>
      <c r="CT712" s="0" t="s">
        <v>221</v>
      </c>
      <c r="CU712" s="0" t="s">
        <v>221</v>
      </c>
      <c r="CV712" s="0" t="str">
        <f aca="false">IF(OR(CT712="",CT712="NO ESPECIFICA",CT712="NO MENCIONA"),"",IF(CU712=0,CT712,IF(CU712=1,CT712/30,IF(CU712=2,CT712/15,IF(CU712=3,CT712/7,"")))))</f>
        <v/>
      </c>
      <c r="CW712" s="125" t="n">
        <v>144.87</v>
      </c>
      <c r="CX712" s="0" t="n">
        <v>0</v>
      </c>
      <c r="CY712" s="0" t="n">
        <f aca="false">IF(CW712="","",IF(CX712=0,CW712,IF(CX712=1,CW712/30,IF(CX712=2,CW712/15,IF(CX712=3,CW712/7,CW712)))))</f>
        <v>144.87</v>
      </c>
      <c r="CZ712" s="0" t="n">
        <f aca="false">IF(DI712&gt;0,DI712,IF(CY712&gt;0,CY712,IF(CV712&gt;0,CV712,"")))</f>
        <v>144.866</v>
      </c>
      <c r="DA712" s="0" t="n">
        <f aca="false">IF(DM712=1,CZ712/8,IF(OR(DM712=2,DM712=4),CZ712/7,IF(DM712=3,CZ712/7.5,"")))</f>
        <v>18.10825</v>
      </c>
      <c r="DB712" s="0" t="s">
        <v>216</v>
      </c>
      <c r="DC712" s="0" t="s">
        <v>216</v>
      </c>
      <c r="DD712" s="0" t="s">
        <v>216</v>
      </c>
      <c r="DE712" s="0" t="s">
        <v>216</v>
      </c>
      <c r="DF712" s="0" t="s">
        <v>216</v>
      </c>
      <c r="DG712" s="0" t="s">
        <v>216</v>
      </c>
      <c r="DH712" s="0" t="n">
        <v>0</v>
      </c>
      <c r="DI712" s="126" t="n">
        <v>144.866</v>
      </c>
      <c r="DK712" s="0" t="n">
        <v>0</v>
      </c>
      <c r="DM712" s="0" t="n">
        <v>1</v>
      </c>
      <c r="DN712" s="0" t="n">
        <v>50</v>
      </c>
      <c r="DO712" s="0" t="n">
        <v>3</v>
      </c>
      <c r="DP712" s="0" t="n">
        <v>0</v>
      </c>
      <c r="DQ712" s="0" t="n">
        <v>1</v>
      </c>
      <c r="DR712" s="0"/>
      <c r="DS712" s="0" t="n">
        <v>1</v>
      </c>
      <c r="DU712" s="0" t="n">
        <v>0</v>
      </c>
      <c r="DW712" s="1" t="s">
        <v>1775</v>
      </c>
      <c r="DX712" s="1" t="s">
        <v>1775</v>
      </c>
      <c r="DZ712" s="0"/>
      <c r="EA712" s="0" t="n">
        <v>1</v>
      </c>
      <c r="EC712" s="1" t="n">
        <v>40544</v>
      </c>
      <c r="ED712" s="1" t="n">
        <v>40595</v>
      </c>
      <c r="EF712" s="0"/>
      <c r="EG712" s="0" t="n">
        <v>1</v>
      </c>
      <c r="EH712" s="0" t="n">
        <v>12</v>
      </c>
      <c r="EI712" s="0" t="n">
        <f aca="false">IF(AND(DM712=1,DN712&lt;=48),"",IF(AND(DM712=2,DN712&lt;=42),"",IF(AND(DM712=3,DN712&lt;=45),"",EH712)))</f>
        <v>12</v>
      </c>
      <c r="EJ712" s="0" t="n">
        <f aca="false">IF(EI712="","",IF(EI712&lt;9,EI712,9))</f>
        <v>9</v>
      </c>
      <c r="EK712" s="0" t="n">
        <f aca="false">IF(EI712="","",IF(EI712&gt;9,EI712-EJ712,0))</f>
        <v>3</v>
      </c>
      <c r="EL712" s="0" t="n">
        <f aca="false">IF(EI712="","",EJ712*DA712*2+EK712*DA712*3)</f>
        <v>488.92275</v>
      </c>
      <c r="EP712" s="0" t="n">
        <v>0</v>
      </c>
      <c r="EQ712" s="0"/>
      <c r="ER712" s="0" t="n">
        <v>0</v>
      </c>
      <c r="ET712" s="0" t="n">
        <v>0</v>
      </c>
      <c r="EV712" s="0" t="n">
        <v>0</v>
      </c>
      <c r="EX712" s="0" t="n">
        <v>1</v>
      </c>
      <c r="EY712" s="0" t="n">
        <v>0</v>
      </c>
      <c r="EZ712" s="0"/>
      <c r="FA712" s="4" t="n">
        <v>0</v>
      </c>
      <c r="FB712" s="0" t="n">
        <v>1</v>
      </c>
      <c r="FC712" s="1" t="n">
        <v>40795</v>
      </c>
      <c r="FD712" s="0" t="n">
        <v>1</v>
      </c>
      <c r="FE712" s="0" t="n">
        <v>6500</v>
      </c>
      <c r="FF712" s="120" t="n">
        <f aca="false">(CJ712-CI712+1)/365</f>
        <v>0.345205479452055</v>
      </c>
      <c r="FG712" s="0" t="str">
        <f aca="false">CONCATENATE(F712,"/",G712)</f>
        <v>687/2011</v>
      </c>
      <c r="FH712" s="0" t="n">
        <v>1</v>
      </c>
      <c r="FI712" s="0" t="n">
        <f aca="false">IFERROR(IF((FC712-J712+1)/365&gt;3,0,1),"")</f>
        <v>1</v>
      </c>
    </row>
    <row r="713" customFormat="false" ht="15" hidden="false" customHeight="false" outlineLevel="0" collapsed="false">
      <c r="A713" s="5" t="str">
        <f aca="false">E713&amp;G713&amp;F713</f>
        <v>72011694</v>
      </c>
      <c r="B713" s="0" t="s">
        <v>1855</v>
      </c>
      <c r="C713" s="1" t="n">
        <v>42007</v>
      </c>
      <c r="D713" s="0" t="s">
        <v>6519</v>
      </c>
      <c r="E713" s="0" t="n">
        <v>7</v>
      </c>
      <c r="F713" s="0" t="n">
        <v>694</v>
      </c>
      <c r="G713" s="0" t="n">
        <v>2011</v>
      </c>
      <c r="H713" s="0" t="str">
        <f aca="false">"J"&amp;E713&amp;"\"&amp;F713&amp;"\"&amp;G713&amp;"\"&amp;W713</f>
        <v>J7\694\2011\1</v>
      </c>
      <c r="I713" s="0"/>
      <c r="J713" s="1" t="n">
        <v>40648</v>
      </c>
      <c r="K713" s="0" t="n">
        <v>0</v>
      </c>
      <c r="M713" s="1"/>
      <c r="N713" s="1"/>
      <c r="O713" s="1"/>
      <c r="P713" s="1"/>
      <c r="Q713" s="1"/>
      <c r="T713" s="121"/>
      <c r="U713" s="121"/>
      <c r="V713" s="122" t="n">
        <f aca="false">IF(AND(E713&gt;0,F713&gt;0,G713&gt;0),COUNTIFS($E:$E,E713,$F:$F,F713,$G:$G,G713),"")</f>
        <v>1</v>
      </c>
      <c r="W713" s="122" t="n">
        <f aca="false">IF(V713="","",IF(V713=1,1,IF(AND(E712=E713,F712=F713,G712=G713),W712+1,1)))</f>
        <v>1</v>
      </c>
      <c r="X713" s="0" t="n">
        <v>1</v>
      </c>
      <c r="Y713" s="0" t="n">
        <v>4</v>
      </c>
      <c r="Z713" s="0" t="s">
        <v>6520</v>
      </c>
      <c r="AA713" s="0" t="n">
        <v>0</v>
      </c>
      <c r="AB713" s="0" t="s">
        <v>6521</v>
      </c>
      <c r="AC713" s="0" t="s">
        <v>6522</v>
      </c>
      <c r="AD713" s="0" t="s">
        <v>485</v>
      </c>
      <c r="AE713" s="0" t="n">
        <v>0</v>
      </c>
      <c r="AF713" s="0" t="s">
        <v>6523</v>
      </c>
      <c r="AG713" s="0" t="n">
        <v>0</v>
      </c>
      <c r="AH713" s="0" t="s">
        <v>6524</v>
      </c>
      <c r="AI713" s="0" t="s">
        <v>4681</v>
      </c>
      <c r="AJ713" s="0" t="s">
        <v>519</v>
      </c>
      <c r="AL713" s="0" t="s">
        <v>6525</v>
      </c>
      <c r="AM713" s="0" t="n">
        <v>0</v>
      </c>
      <c r="AN713" s="0" t="s">
        <v>6524</v>
      </c>
      <c r="AO713" s="0" t="s">
        <v>4681</v>
      </c>
      <c r="AP713" s="0" t="s">
        <v>519</v>
      </c>
      <c r="AR713" s="0" t="s">
        <v>1745</v>
      </c>
      <c r="AS713" s="0" t="n">
        <v>1</v>
      </c>
      <c r="AT713" s="0" t="s">
        <v>6524</v>
      </c>
      <c r="AU713" s="0" t="s">
        <v>4681</v>
      </c>
      <c r="AV713" s="0" t="s">
        <v>519</v>
      </c>
      <c r="AX713" s="0" t="s">
        <v>1880</v>
      </c>
      <c r="AY713" s="0" t="n">
        <v>1</v>
      </c>
      <c r="AZ713" s="0" t="s">
        <v>6524</v>
      </c>
      <c r="BA713" s="0" t="s">
        <v>4681</v>
      </c>
      <c r="BB713" s="0" t="s">
        <v>519</v>
      </c>
      <c r="BR713" s="0" t="n">
        <v>1</v>
      </c>
      <c r="BS713" s="0" t="s">
        <v>6526</v>
      </c>
      <c r="BV713" s="123"/>
      <c r="BW713" s="123"/>
      <c r="BX713" s="123"/>
      <c r="BY713" s="123"/>
      <c r="CA713" s="0" t="s">
        <v>216</v>
      </c>
      <c r="CD713" s="0" t="s">
        <v>296</v>
      </c>
      <c r="CE713" s="0" t="n">
        <v>0</v>
      </c>
      <c r="CF713" s="0" t="s">
        <v>6527</v>
      </c>
      <c r="CI713" s="1" t="n">
        <v>33848</v>
      </c>
      <c r="CJ713" s="1" t="n">
        <v>40612</v>
      </c>
      <c r="CK713" s="124" t="n">
        <v>0.416666666666667</v>
      </c>
      <c r="CL713" s="0" t="s">
        <v>6528</v>
      </c>
      <c r="CM713" s="0" t="n">
        <f aca="false">IF(OR(CI713="",CJ713=""),"",DAYS360(CI713,CJ713)/360)</f>
        <v>18.525</v>
      </c>
      <c r="CN713" s="0" t="n">
        <f aca="false">IF(OR(CI713="",CJ713=""),"",DAYS360(CI713,CJ713)/30)</f>
        <v>222.3</v>
      </c>
      <c r="CO713" s="0" t="n">
        <f aca="false">IF(OR(CI713="",CJ713=""),"",DAYS360(CI713,CJ713)/7)</f>
        <v>952.714285714286</v>
      </c>
      <c r="CP713" s="0" t="n">
        <f aca="false">IF(OR(CI713="",CJ713=""),"",DAYS360(CI713,CJ713))</f>
        <v>6669</v>
      </c>
      <c r="CQ713" s="0" t="s">
        <v>220</v>
      </c>
      <c r="CR713" s="0" t="n">
        <v>1</v>
      </c>
      <c r="CT713" s="0" t="n">
        <v>347.455</v>
      </c>
      <c r="CU713" s="0" t="n">
        <v>0</v>
      </c>
      <c r="CV713" s="0" t="n">
        <f aca="false">IF(OR(CT713="",CT713="NO ESPECIFICA",CT713="NO MENCIONA"),"",IF(CU713=0,CT713,IF(CU713=1,CT713/30,IF(CU713=2,CT713/15,IF(CU713=3,CT713/7,"")))))</f>
        <v>347.455</v>
      </c>
      <c r="CW713" s="125" t="n">
        <v>410.802142857143</v>
      </c>
      <c r="CX713" s="0" t="n">
        <v>0</v>
      </c>
      <c r="CY713" s="0" t="n">
        <f aca="false">IF(CW713="","",IF(CX713=0,CW713,IF(CX713=1,CW713/30,IF(CX713=2,CW713/15,IF(CX713=3,CW713/7,CW713)))))</f>
        <v>410.802142857143</v>
      </c>
      <c r="CZ713" s="0" t="n">
        <f aca="false">IF(DI713&gt;0,DI713,IF(CY713&gt;0,CY713,IF(CV713&gt;0,CV713,"")))</f>
        <v>410.802142857143</v>
      </c>
      <c r="DA713" s="0" t="n">
        <f aca="false">IF(DM713=1,CZ713/8,IF(OR(DM713=2,DM713=4),CZ713/7,IF(DM713=3,CZ713/7.5,"")))</f>
        <v>54.773619047619</v>
      </c>
      <c r="DB713" s="0" t="s">
        <v>1119</v>
      </c>
      <c r="DC713" s="0" t="s">
        <v>299</v>
      </c>
      <c r="DD713" s="0" t="s">
        <v>216</v>
      </c>
      <c r="DE713" s="0" t="s">
        <v>216</v>
      </c>
      <c r="DF713" s="0" t="s">
        <v>216</v>
      </c>
      <c r="DG713" s="0" t="s">
        <v>216</v>
      </c>
      <c r="DH713" s="0" t="n">
        <v>0</v>
      </c>
      <c r="DI713" s="126" t="n">
        <v>410.802142857143</v>
      </c>
      <c r="DK713" s="0" t="n">
        <v>0</v>
      </c>
      <c r="DM713" s="0" t="n">
        <v>3</v>
      </c>
      <c r="DN713" s="0" t="n">
        <v>75</v>
      </c>
      <c r="DO713" s="0" t="n">
        <v>3</v>
      </c>
      <c r="DP713" s="0" t="n">
        <v>1</v>
      </c>
      <c r="DQ713" s="0" t="n">
        <v>1</v>
      </c>
      <c r="DR713" s="0" t="n">
        <v>36972</v>
      </c>
      <c r="DS713" s="0" t="n">
        <v>1</v>
      </c>
      <c r="DU713" s="0" t="n">
        <v>1</v>
      </c>
      <c r="DV713" s="0" t="n">
        <v>91197.6</v>
      </c>
      <c r="DW713" s="1" t="n">
        <v>33848</v>
      </c>
      <c r="DX713" s="1" t="n">
        <v>40612</v>
      </c>
      <c r="DZ713" s="0"/>
      <c r="EA713" s="0" t="n">
        <v>1</v>
      </c>
      <c r="EC713" s="1" t="n">
        <v>33848</v>
      </c>
      <c r="ED713" s="1" t="n">
        <v>40612</v>
      </c>
      <c r="EF713" s="0"/>
      <c r="EG713" s="0" t="n">
        <v>1</v>
      </c>
      <c r="EH713" s="0" t="s">
        <v>221</v>
      </c>
      <c r="EI713" s="0" t="str">
        <f aca="false">IF(AND(DM713=1,DN713&lt;=48),"",IF(AND(DM713=2,DN713&lt;=42),"",IF(AND(DM713=3,DN713&lt;=45),"",EH713)))</f>
        <v>NO ESPECIFICA</v>
      </c>
      <c r="EJ713" s="0" t="n">
        <f aca="false">IF(EI713="","",IF(EI713&lt;9,EI713,9))</f>
        <v>9</v>
      </c>
      <c r="EK713" s="0" t="e">
        <f aca="false">IF(EI713="","",IF(EI713&gt;9,EI713-EJ713,0))</f>
        <v>#VALUE!</v>
      </c>
      <c r="EL713" s="0" t="e">
        <f aca="false">IF(EI713="","",EJ713*DA713*2+EK713*DA713*3)</f>
        <v>#VALUE!</v>
      </c>
      <c r="EP713" s="0" t="n">
        <v>1</v>
      </c>
      <c r="EQ713" s="0" t="n">
        <v>151996</v>
      </c>
      <c r="ER713" s="0" t="n">
        <v>0</v>
      </c>
      <c r="ET713" s="0" t="n">
        <v>0</v>
      </c>
      <c r="EV713" s="0" t="n">
        <v>1</v>
      </c>
      <c r="EX713" s="0" t="n">
        <v>0</v>
      </c>
      <c r="EY713" s="0" t="n">
        <v>0</v>
      </c>
      <c r="EZ713" s="0"/>
      <c r="FA713" s="4" t="n">
        <v>19342.4</v>
      </c>
      <c r="FB713" s="0" t="n">
        <v>1</v>
      </c>
      <c r="FC713" s="1" t="n">
        <v>41612</v>
      </c>
      <c r="FD713" s="0" t="n">
        <v>4</v>
      </c>
      <c r="FE713" s="0" t="n">
        <v>0</v>
      </c>
      <c r="FF713" s="120" t="n">
        <f aca="false">(CJ713-CI713+1)/365</f>
        <v>18.5342465753425</v>
      </c>
      <c r="FG713" s="0" t="str">
        <f aca="false">CONCATENATE(F713,"/",G713)</f>
        <v>694/2011</v>
      </c>
      <c r="FH713" s="0" t="n">
        <v>1</v>
      </c>
      <c r="FI713" s="0" t="n">
        <f aca="false">IFERROR(IF((FC713-J713+1)/365&gt;3,0,1),"")</f>
        <v>1</v>
      </c>
    </row>
    <row r="714" customFormat="false" ht="15" hidden="false" customHeight="false" outlineLevel="0" collapsed="false">
      <c r="A714" s="5" t="str">
        <f aca="false">E714&amp;G714&amp;F714</f>
        <v>72011697</v>
      </c>
      <c r="B714" s="0" t="s">
        <v>1855</v>
      </c>
      <c r="C714" s="1" t="n">
        <v>42007</v>
      </c>
      <c r="D714" s="0" t="s">
        <v>6529</v>
      </c>
      <c r="E714" s="0" t="n">
        <v>7</v>
      </c>
      <c r="F714" s="0" t="n">
        <v>697</v>
      </c>
      <c r="G714" s="0" t="n">
        <v>2011</v>
      </c>
      <c r="H714" s="0" t="str">
        <f aca="false">"J"&amp;E714&amp;"\"&amp;F714&amp;"\"&amp;G714&amp;"\"&amp;W714</f>
        <v>J7\697\2011\1</v>
      </c>
      <c r="I714" s="0"/>
      <c r="J714" s="1" t="n">
        <v>40648</v>
      </c>
      <c r="K714" s="0" t="n">
        <v>0</v>
      </c>
      <c r="M714" s="1"/>
      <c r="N714" s="1"/>
      <c r="O714" s="1"/>
      <c r="P714" s="1"/>
      <c r="Q714" s="1"/>
      <c r="T714" s="121"/>
      <c r="U714" s="121"/>
      <c r="V714" s="122" t="n">
        <f aca="false">IF(AND(E714&gt;0,F714&gt;0,G714&gt;0),COUNTIFS($E:$E,E714,$F:$F,F714,$G:$G,G714),"")</f>
        <v>1</v>
      </c>
      <c r="W714" s="122" t="n">
        <f aca="false">IF(V714="","",IF(V714=1,1,IF(AND(E713=E714,F713=F714,G713=G714),W713+1,1)))</f>
        <v>1</v>
      </c>
      <c r="X714" s="0" t="n">
        <v>1</v>
      </c>
      <c r="Y714" s="0" t="n">
        <v>2</v>
      </c>
      <c r="Z714" s="0" t="s">
        <v>6530</v>
      </c>
      <c r="AA714" s="0" t="n">
        <v>0</v>
      </c>
      <c r="AB714" s="0" t="s">
        <v>6531</v>
      </c>
      <c r="AC714" s="0" t="s">
        <v>6532</v>
      </c>
      <c r="AD714" s="0" t="s">
        <v>411</v>
      </c>
      <c r="AE714" s="0" t="n">
        <v>0</v>
      </c>
      <c r="AF714" s="0" t="s">
        <v>6533</v>
      </c>
      <c r="AG714" s="0" t="n">
        <v>0</v>
      </c>
      <c r="AH714" s="0" t="s">
        <v>6534</v>
      </c>
      <c r="AI714" s="0" t="s">
        <v>2266</v>
      </c>
      <c r="AJ714" s="0" t="s">
        <v>485</v>
      </c>
      <c r="AL714" s="0" t="s">
        <v>1880</v>
      </c>
      <c r="AM714" s="0" t="n">
        <v>1</v>
      </c>
      <c r="AN714" s="0" t="s">
        <v>6534</v>
      </c>
      <c r="AO714" s="0" t="s">
        <v>2266</v>
      </c>
      <c r="AP714" s="0" t="s">
        <v>485</v>
      </c>
      <c r="BR714" s="0" t="n">
        <v>1</v>
      </c>
      <c r="BS714" s="0" t="s">
        <v>6535</v>
      </c>
      <c r="BV714" s="123"/>
      <c r="BW714" s="123"/>
      <c r="BX714" s="123"/>
      <c r="BY714" s="123"/>
      <c r="CA714" s="0" t="s">
        <v>216</v>
      </c>
      <c r="CD714" s="0" t="s">
        <v>216</v>
      </c>
      <c r="CE714" s="0" t="n">
        <v>0</v>
      </c>
      <c r="CF714" s="0" t="s">
        <v>6536</v>
      </c>
      <c r="CI714" s="1" t="n">
        <v>37739</v>
      </c>
      <c r="CJ714" s="1" t="n">
        <v>40466</v>
      </c>
      <c r="CK714" s="124" t="s">
        <v>1775</v>
      </c>
      <c r="CL714" s="0" t="s">
        <v>1775</v>
      </c>
      <c r="CM714" s="0" t="n">
        <f aca="false">IF(OR(CI714="",CJ714=""),"",DAYS360(CI714,CJ714)/360)</f>
        <v>7.46388888888889</v>
      </c>
      <c r="CN714" s="0" t="n">
        <f aca="false">IF(OR(CI714="",CJ714=""),"",DAYS360(CI714,CJ714)/30)</f>
        <v>89.5666666666667</v>
      </c>
      <c r="CO714" s="0" t="n">
        <f aca="false">IF(OR(CI714="",CJ714=""),"",DAYS360(CI714,CJ714)/7)</f>
        <v>383.857142857143</v>
      </c>
      <c r="CP714" s="0" t="n">
        <f aca="false">IF(OR(CI714="",CJ714=""),"",DAYS360(CI714,CJ714))</f>
        <v>2687</v>
      </c>
      <c r="CQ714" s="0" t="s">
        <v>1493</v>
      </c>
      <c r="CR714" s="0" t="n">
        <v>6</v>
      </c>
      <c r="CS714" s="0" t="s">
        <v>2457</v>
      </c>
      <c r="CT714" s="0" t="s">
        <v>221</v>
      </c>
      <c r="CU714" s="0" t="s">
        <v>221</v>
      </c>
      <c r="CV714" s="0" t="str">
        <f aca="false">IF(OR(CT714="",CT714="NO ESPECIFICA",CT714="NO MENCIONA"),"",IF(CU714=0,CT714,IF(CU714=1,CT714/30,IF(CU714=2,CT714/15,IF(CU714=3,CT714/7,"")))))</f>
        <v/>
      </c>
      <c r="CW714" s="125" t="n">
        <v>673</v>
      </c>
      <c r="CX714" s="0" t="n">
        <v>0</v>
      </c>
      <c r="CY714" s="0" t="n">
        <f aca="false">IF(CW714="","",IF(CX714=0,CW714,IF(CX714=1,CW714/30,IF(CX714=2,CW714/15,IF(CX714=3,CW714/7,CW714)))))</f>
        <v>673</v>
      </c>
      <c r="CZ714" s="0" t="n">
        <f aca="false">IF(DI714&gt;0,DI714,IF(CY714&gt;0,CY714,IF(CV714&gt;0,CV714,"")))</f>
        <v>673</v>
      </c>
      <c r="DA714" s="0" t="n">
        <f aca="false">IF(DM714=1,CZ714/8,IF(OR(DM714=2,DM714=4),CZ714/7,IF(DM714=3,CZ714/7.5,"")))</f>
        <v>84.125</v>
      </c>
      <c r="DB714" s="0" t="s">
        <v>216</v>
      </c>
      <c r="DC714" s="0" t="s">
        <v>216</v>
      </c>
      <c r="DD714" s="0" t="s">
        <v>216</v>
      </c>
      <c r="DE714" s="0" t="s">
        <v>216</v>
      </c>
      <c r="DF714" s="0" t="s">
        <v>216</v>
      </c>
      <c r="DG714" s="0" t="s">
        <v>216</v>
      </c>
      <c r="DH714" s="0" t="n">
        <v>0</v>
      </c>
      <c r="DI714" s="126" t="n">
        <v>673</v>
      </c>
      <c r="DK714" s="0" t="n">
        <v>1</v>
      </c>
      <c r="DM714" s="0" t="n">
        <v>1</v>
      </c>
      <c r="DN714" s="0" t="n">
        <v>58</v>
      </c>
      <c r="DO714" s="0" t="n">
        <v>3</v>
      </c>
      <c r="DP714" s="0" t="n">
        <v>0</v>
      </c>
      <c r="DQ714" s="0" t="n">
        <v>0</v>
      </c>
      <c r="DR714" s="0"/>
      <c r="DS714" s="0" t="n">
        <v>0</v>
      </c>
      <c r="DU714" s="0" t="n">
        <v>0</v>
      </c>
      <c r="DW714" s="1" t="n">
        <v>37739</v>
      </c>
      <c r="DX714" s="1" t="n">
        <v>40466</v>
      </c>
      <c r="DZ714" s="0"/>
      <c r="EA714" s="0" t="n">
        <v>0</v>
      </c>
      <c r="EC714" s="1" t="n">
        <v>39814</v>
      </c>
      <c r="ED714" s="1" t="n">
        <v>40466</v>
      </c>
      <c r="EF714" s="0"/>
      <c r="EG714" s="0" t="n">
        <v>0</v>
      </c>
      <c r="EI714" s="0" t="n">
        <f aca="false">IF(AND(DM714=1,DN714&lt;=48),"",IF(AND(DM714=2,DN714&lt;=42),"",IF(AND(DM714=3,DN714&lt;=45),"",EH714)))</f>
        <v>0</v>
      </c>
      <c r="EJ714" s="0" t="str">
        <f aca="false">IF(EI714="","",IF(EI714&lt;9,EI714,9))</f>
        <v/>
      </c>
      <c r="EK714" s="0" t="str">
        <f aca="false">IF(EI714="","",IF(EI714&gt;9,EI714-EJ714,0))</f>
        <v/>
      </c>
      <c r="EL714" s="0" t="str">
        <f aca="false">IF(EI714="","",EJ714*DA714*2+EK714*DA714*3)</f>
        <v/>
      </c>
      <c r="EP714" s="0" t="n">
        <v>0</v>
      </c>
      <c r="EQ714" s="0"/>
      <c r="ER714" s="0" t="n">
        <v>0</v>
      </c>
      <c r="ET714" s="0" t="n">
        <v>0</v>
      </c>
      <c r="EV714" s="0" t="n">
        <v>0</v>
      </c>
      <c r="EX714" s="0" t="n">
        <v>0</v>
      </c>
      <c r="EY714" s="0" t="n">
        <v>0</v>
      </c>
      <c r="EZ714" s="0"/>
      <c r="FA714" s="4" t="n">
        <v>0</v>
      </c>
      <c r="FB714" s="0" t="n">
        <v>0</v>
      </c>
      <c r="FC714" s="1" t="n">
        <v>40710</v>
      </c>
      <c r="FD714" s="0" t="n">
        <v>2</v>
      </c>
      <c r="FE714" s="0" t="n">
        <v>0</v>
      </c>
      <c r="FF714" s="120" t="n">
        <f aca="false">(CJ714-CI714+1)/365</f>
        <v>7.47397260273973</v>
      </c>
      <c r="FG714" s="0" t="str">
        <f aca="false">CONCATENATE(F714,"/",G714)</f>
        <v>697/2011</v>
      </c>
      <c r="FH714" s="0" t="n">
        <v>1</v>
      </c>
      <c r="FI714" s="0" t="n">
        <f aca="false">IFERROR(IF((FC714-J714+1)/365&gt;3,0,1),"")</f>
        <v>1</v>
      </c>
    </row>
    <row r="715" customFormat="false" ht="15" hidden="false" customHeight="false" outlineLevel="0" collapsed="false">
      <c r="A715" s="5" t="str">
        <f aca="false">E715&amp;G715&amp;F715</f>
        <v>72011700</v>
      </c>
      <c r="B715" s="0" t="s">
        <v>1855</v>
      </c>
      <c r="C715" s="1" t="n">
        <v>42007</v>
      </c>
      <c r="E715" s="0" t="n">
        <v>7</v>
      </c>
      <c r="F715" s="0" t="n">
        <v>700</v>
      </c>
      <c r="G715" s="0" t="n">
        <v>2011</v>
      </c>
      <c r="H715" s="0" t="str">
        <f aca="false">"J"&amp;E715&amp;"\"&amp;F715&amp;"\"&amp;G715&amp;"\"&amp;W715</f>
        <v>J7\700\2011\1</v>
      </c>
      <c r="I715" s="0"/>
      <c r="J715" s="1" t="n">
        <v>40648</v>
      </c>
      <c r="K715" s="0" t="n">
        <v>0</v>
      </c>
      <c r="M715" s="1" t="n">
        <v>40648</v>
      </c>
      <c r="N715" s="1" t="n">
        <v>40771</v>
      </c>
      <c r="O715" s="1"/>
      <c r="P715" s="1"/>
      <c r="Q715" s="1"/>
      <c r="T715" s="121"/>
      <c r="U715" s="121"/>
      <c r="V715" s="122" t="n">
        <f aca="false">IF(AND(E715&gt;0,F715&gt;0,G715&gt;0),COUNTIFS($E:$E,E715,$F:$F,F715,$G:$G,G715),"")</f>
        <v>1</v>
      </c>
      <c r="W715" s="122" t="n">
        <f aca="false">IF(V715="","",IF(V715=1,1,IF(AND(E714=E715,F714=F715,G714=G715),W714+1,1)))</f>
        <v>1</v>
      </c>
      <c r="X715" s="0" t="n">
        <v>1</v>
      </c>
      <c r="Y715" s="0" t="n">
        <v>2</v>
      </c>
      <c r="Z715" s="0" t="s">
        <v>6537</v>
      </c>
      <c r="AA715" s="0" t="n">
        <v>0</v>
      </c>
      <c r="AB715" s="0" t="s">
        <v>6538</v>
      </c>
      <c r="AC715" s="0" t="s">
        <v>318</v>
      </c>
      <c r="AD715" s="0" t="s">
        <v>229</v>
      </c>
      <c r="AE715" s="0" t="n">
        <v>0</v>
      </c>
      <c r="AF715" s="0" t="s">
        <v>6539</v>
      </c>
      <c r="AG715" s="0" t="n">
        <v>0</v>
      </c>
      <c r="AH715" s="0" t="s">
        <v>6540</v>
      </c>
      <c r="AI715" s="0" t="s">
        <v>6541</v>
      </c>
      <c r="AJ715" s="0" t="s">
        <v>322</v>
      </c>
      <c r="AL715" s="0" t="s">
        <v>1880</v>
      </c>
      <c r="AM715" s="0" t="n">
        <v>1</v>
      </c>
      <c r="AN715" s="0" t="s">
        <v>6540</v>
      </c>
      <c r="AO715" s="0" t="s">
        <v>6541</v>
      </c>
      <c r="AP715" s="0" t="s">
        <v>322</v>
      </c>
      <c r="BR715" s="0" t="n">
        <v>1</v>
      </c>
      <c r="BS715" s="0" t="s">
        <v>6542</v>
      </c>
      <c r="BT715" s="0" t="s">
        <v>6543</v>
      </c>
      <c r="BU715" s="0" t="s">
        <v>6544</v>
      </c>
      <c r="BV715" s="123"/>
      <c r="BW715" s="123"/>
      <c r="BX715" s="123"/>
      <c r="BY715" s="123"/>
      <c r="CA715" s="0" t="s">
        <v>216</v>
      </c>
      <c r="CD715" s="0" t="s">
        <v>296</v>
      </c>
      <c r="CE715" s="0" t="n">
        <v>0</v>
      </c>
      <c r="CF715" s="0" t="s">
        <v>1027</v>
      </c>
      <c r="CI715" s="1" t="n">
        <v>39965</v>
      </c>
      <c r="CJ715" s="1" t="n">
        <v>40599</v>
      </c>
      <c r="CK715" s="124" t="n">
        <v>0.229166666666667</v>
      </c>
      <c r="CL715" s="0" t="s">
        <v>6545</v>
      </c>
      <c r="CM715" s="0" t="n">
        <f aca="false">IF(OR(CI715="",CJ715=""),"",DAYS360(CI715,CJ715)/360)</f>
        <v>1.73333333333333</v>
      </c>
      <c r="CN715" s="0" t="n">
        <f aca="false">IF(OR(CI715="",CJ715=""),"",DAYS360(CI715,CJ715)/30)</f>
        <v>20.8</v>
      </c>
      <c r="CO715" s="0" t="n">
        <f aca="false">IF(OR(CI715="",CJ715=""),"",DAYS360(CI715,CJ715)/7)</f>
        <v>89.1428571428571</v>
      </c>
      <c r="CP715" s="0" t="n">
        <f aca="false">IF(OR(CI715="",CJ715=""),"",DAYS360(CI715,CJ715))</f>
        <v>624</v>
      </c>
      <c r="CQ715" s="0" t="s">
        <v>240</v>
      </c>
      <c r="CR715" s="0" t="n">
        <v>1</v>
      </c>
      <c r="CT715" s="0" t="n">
        <v>7500</v>
      </c>
      <c r="CU715" s="0" t="n">
        <v>1</v>
      </c>
      <c r="CV715" s="0" t="n">
        <f aca="false">IF(OR(CT715="",CT715="NO ESPECIFICA",CT715="NO MENCIONA"),"",IF(CU715=0,CT715,IF(CU715=1,CT715/30,IF(CU715=2,CT715/15,IF(CU715=3,CT715/7,"")))))</f>
        <v>250</v>
      </c>
      <c r="CW715" s="125" t="n">
        <v>286.23</v>
      </c>
      <c r="CX715" s="0" t="n">
        <v>0</v>
      </c>
      <c r="CY715" s="0" t="n">
        <f aca="false">IF(CW715="","",IF(CX715=0,CW715,IF(CX715=1,CW715/30,IF(CX715=2,CW715/15,IF(CX715=3,CW715/7,CW715)))))</f>
        <v>286.23</v>
      </c>
      <c r="CZ715" s="0" t="n">
        <f aca="false">IF(DI715&gt;0,DI715,IF(CY715&gt;0,CY715,IF(CV715&gt;0,CV715,"")))</f>
        <v>286.23</v>
      </c>
      <c r="DA715" s="0" t="n">
        <f aca="false">IF(DM715=1,CZ715/8,IF(OR(DM715=2,DM715=4),CZ715/7,IF(DM715=3,CZ715/7.5,"")))</f>
        <v>38.164</v>
      </c>
      <c r="DB715" s="0" t="s">
        <v>216</v>
      </c>
      <c r="DC715" s="0" t="s">
        <v>216</v>
      </c>
      <c r="DD715" s="0" t="s">
        <v>216</v>
      </c>
      <c r="DE715" s="0" t="s">
        <v>216</v>
      </c>
      <c r="DF715" s="0" t="s">
        <v>216</v>
      </c>
      <c r="DG715" s="0" t="s">
        <v>216</v>
      </c>
      <c r="DH715" s="0" t="n">
        <v>0</v>
      </c>
      <c r="DI715" s="126" t="n">
        <v>286.23</v>
      </c>
      <c r="DK715" s="0" t="n">
        <v>0</v>
      </c>
      <c r="DM715" s="0" t="n">
        <v>3</v>
      </c>
      <c r="DN715" s="0" t="n">
        <v>54</v>
      </c>
      <c r="DO715" s="0" t="n">
        <v>3</v>
      </c>
      <c r="DP715" s="0" t="n">
        <v>0</v>
      </c>
      <c r="DQ715" s="0" t="n">
        <v>1</v>
      </c>
      <c r="DR715" s="0"/>
      <c r="DS715" s="0" t="n">
        <v>1</v>
      </c>
      <c r="DU715" s="0" t="n">
        <v>1</v>
      </c>
      <c r="DW715" s="1" t="n">
        <v>39965</v>
      </c>
      <c r="DX715" s="1" t="n">
        <v>40599</v>
      </c>
      <c r="DZ715" s="0"/>
      <c r="EA715" s="0" t="n">
        <v>1</v>
      </c>
      <c r="EC715" s="1" t="n">
        <v>39965</v>
      </c>
      <c r="ED715" s="1" t="n">
        <v>40599</v>
      </c>
      <c r="EF715" s="0"/>
      <c r="EG715" s="0" t="n">
        <v>1</v>
      </c>
      <c r="EH715" s="0" t="n">
        <v>6</v>
      </c>
      <c r="EI715" s="0" t="n">
        <f aca="false">IF(AND(DM715=1,DN715&lt;=48),"",IF(AND(DM715=2,DN715&lt;=42),"",IF(AND(DM715=3,DN715&lt;=45),"",EH715)))</f>
        <v>6</v>
      </c>
      <c r="EJ715" s="0" t="n">
        <f aca="false">IF(EI715="","",IF(EI715&lt;9,EI715,9))</f>
        <v>6</v>
      </c>
      <c r="EK715" s="0" t="n">
        <f aca="false">IF(EI715="","",IF(EI715&gt;9,EI715-EJ715,0))</f>
        <v>0</v>
      </c>
      <c r="EL715" s="0" t="n">
        <f aca="false">IF(EI715="","",EJ715*DA715*2+EK715*DA715*3)</f>
        <v>457.968</v>
      </c>
      <c r="EP715" s="0" t="n">
        <v>1</v>
      </c>
      <c r="EQ715" s="0"/>
      <c r="ER715" s="0" t="n">
        <v>0</v>
      </c>
      <c r="ET715" s="0" t="n">
        <v>0</v>
      </c>
      <c r="EV715" s="0" t="n">
        <v>0</v>
      </c>
      <c r="EX715" s="0" t="n">
        <v>1</v>
      </c>
      <c r="EY715" s="0" t="n">
        <v>1</v>
      </c>
      <c r="EZ715" s="0"/>
      <c r="FA715" s="4" t="n">
        <v>0</v>
      </c>
      <c r="FB715" s="0" t="n">
        <v>1</v>
      </c>
      <c r="FC715" s="1" t="n">
        <v>40891</v>
      </c>
      <c r="FD715" s="0" t="n">
        <v>1</v>
      </c>
      <c r="FE715" s="0" t="n">
        <v>32501.93</v>
      </c>
      <c r="FF715" s="120" t="n">
        <f aca="false">(CJ715-CI715+1)/365</f>
        <v>1.73972602739726</v>
      </c>
      <c r="FG715" s="0" t="str">
        <f aca="false">CONCATENATE(F715,"/",G715)</f>
        <v>700/2011</v>
      </c>
      <c r="FH715" s="0" t="n">
        <v>1</v>
      </c>
      <c r="FI715" s="0" t="n">
        <f aca="false">IFERROR(IF((FC715-J715+1)/365&gt;3,0,1),"")</f>
        <v>1</v>
      </c>
    </row>
    <row r="716" customFormat="false" ht="15" hidden="false" customHeight="false" outlineLevel="0" collapsed="false">
      <c r="A716" s="5" t="str">
        <f aca="false">E716&amp;G716&amp;F716</f>
        <v>72011703</v>
      </c>
      <c r="B716" s="0" t="s">
        <v>1855</v>
      </c>
      <c r="C716" s="1" t="n">
        <v>42007</v>
      </c>
      <c r="D716" s="0" t="s">
        <v>6546</v>
      </c>
      <c r="E716" s="0" t="n">
        <v>7</v>
      </c>
      <c r="F716" s="0" t="n">
        <v>703</v>
      </c>
      <c r="G716" s="0" t="n">
        <v>2011</v>
      </c>
      <c r="H716" s="0" t="str">
        <f aca="false">"J"&amp;E716&amp;"\"&amp;F716&amp;"\"&amp;G716&amp;"\"&amp;W716</f>
        <v>J7\703\2011\1</v>
      </c>
      <c r="I716" s="0"/>
      <c r="J716" s="1" t="n">
        <v>40648</v>
      </c>
      <c r="K716" s="0" t="n">
        <v>0</v>
      </c>
      <c r="M716" s="1"/>
      <c r="N716" s="1"/>
      <c r="O716" s="1"/>
      <c r="P716" s="1"/>
      <c r="Q716" s="1"/>
      <c r="T716" s="121"/>
      <c r="U716" s="121"/>
      <c r="V716" s="122" t="n">
        <f aca="false">IF(AND(E716&gt;0,F716&gt;0,G716&gt;0),COUNTIFS($E:$E,E716,$F:$F,F716,$G:$G,G716),"")</f>
        <v>1</v>
      </c>
      <c r="W716" s="122" t="n">
        <f aca="false">IF(V716="","",IF(V716=1,1,IF(AND(E715=E716,F715=F716,G715=G716),W715+1,1)))</f>
        <v>1</v>
      </c>
      <c r="X716" s="0" t="n">
        <v>1</v>
      </c>
      <c r="Y716" s="0" t="n">
        <v>5</v>
      </c>
      <c r="Z716" s="0" t="s">
        <v>6547</v>
      </c>
      <c r="AA716" s="0" t="n">
        <v>0</v>
      </c>
      <c r="AB716" s="0" t="s">
        <v>2121</v>
      </c>
      <c r="AE716" s="0" t="n">
        <v>0</v>
      </c>
      <c r="AF716" s="0" t="s">
        <v>6548</v>
      </c>
      <c r="AG716" s="0" t="n">
        <v>0</v>
      </c>
      <c r="AH716" s="0" t="s">
        <v>5034</v>
      </c>
      <c r="AI716" s="0" t="s">
        <v>1871</v>
      </c>
      <c r="AJ716" s="0" t="s">
        <v>207</v>
      </c>
      <c r="AL716" s="0" t="s">
        <v>6549</v>
      </c>
      <c r="AM716" s="0" t="n">
        <v>0</v>
      </c>
      <c r="AN716" s="0" t="s">
        <v>5034</v>
      </c>
      <c r="AO716" s="0" t="s">
        <v>1871</v>
      </c>
      <c r="AP716" s="0" t="s">
        <v>207</v>
      </c>
      <c r="AR716" s="0" t="s">
        <v>6550</v>
      </c>
      <c r="AS716" s="0" t="n">
        <v>2</v>
      </c>
      <c r="AT716" s="0" t="s">
        <v>5034</v>
      </c>
      <c r="AU716" s="0" t="s">
        <v>1871</v>
      </c>
      <c r="AV716" s="0" t="s">
        <v>207</v>
      </c>
      <c r="AX716" s="0" t="s">
        <v>6551</v>
      </c>
      <c r="AY716" s="0" t="n">
        <v>0</v>
      </c>
      <c r="AZ716" s="0" t="s">
        <v>5034</v>
      </c>
      <c r="BA716" s="0" t="s">
        <v>1871</v>
      </c>
      <c r="BB716" s="0" t="s">
        <v>207</v>
      </c>
      <c r="BD716" s="0" t="s">
        <v>1880</v>
      </c>
      <c r="BE716" s="0" t="n">
        <v>1</v>
      </c>
      <c r="BF716" s="0" t="s">
        <v>5034</v>
      </c>
      <c r="BG716" s="0" t="s">
        <v>1871</v>
      </c>
      <c r="BH716" s="0" t="s">
        <v>207</v>
      </c>
      <c r="BR716" s="0" t="n">
        <v>1</v>
      </c>
      <c r="BS716" s="0" t="s">
        <v>6552</v>
      </c>
      <c r="BT716" s="0" t="s">
        <v>6553</v>
      </c>
      <c r="BU716" s="0" t="s">
        <v>6554</v>
      </c>
      <c r="BV716" s="123"/>
      <c r="BW716" s="123"/>
      <c r="BX716" s="123"/>
      <c r="BY716" s="123"/>
      <c r="CA716" s="0" t="s">
        <v>6555</v>
      </c>
      <c r="CD716" s="0" t="s">
        <v>256</v>
      </c>
      <c r="CE716" s="0" t="n">
        <v>0</v>
      </c>
      <c r="CF716" s="0" t="s">
        <v>968</v>
      </c>
      <c r="CI716" s="1" t="n">
        <v>38541</v>
      </c>
      <c r="CJ716" s="1" t="n">
        <v>40590</v>
      </c>
      <c r="CK716" s="124" t="n">
        <v>0.729166666666667</v>
      </c>
      <c r="CL716" s="0" t="s">
        <v>6556</v>
      </c>
      <c r="CM716" s="0" t="n">
        <f aca="false">IF(OR(CI716="",CJ716=""),"",DAYS360(CI716,CJ716)/360)</f>
        <v>5.60555555555556</v>
      </c>
      <c r="CN716" s="0" t="n">
        <f aca="false">IF(OR(CI716="",CJ716=""),"",DAYS360(CI716,CJ716)/30)</f>
        <v>67.2666666666667</v>
      </c>
      <c r="CO716" s="0" t="n">
        <f aca="false">IF(OR(CI716="",CJ716=""),"",DAYS360(CI716,CJ716)/7)</f>
        <v>288.285714285714</v>
      </c>
      <c r="CP716" s="0" t="n">
        <f aca="false">IF(OR(CI716="",CJ716=""),"",DAYS360(CI716,CJ716))</f>
        <v>2018</v>
      </c>
      <c r="CQ716" s="0" t="s">
        <v>240</v>
      </c>
      <c r="CR716" s="0" t="n">
        <v>1</v>
      </c>
      <c r="CT716" s="0" t="s">
        <v>221</v>
      </c>
      <c r="CU716" s="0" t="s">
        <v>221</v>
      </c>
      <c r="CV716" s="0" t="str">
        <f aca="false">IF(OR(CT716="",CT716="NO ESPECIFICA",CT716="NO MENCIONA"),"",IF(CU716=0,CT716,IF(CU716=1,CT716/30,IF(CU716=2,CT716/15,IF(CU716=3,CT716/7,"")))))</f>
        <v/>
      </c>
      <c r="CW716" s="125" t="n">
        <v>7300</v>
      </c>
      <c r="CX716" s="0" t="n">
        <v>1</v>
      </c>
      <c r="CY716" s="0" t="n">
        <f aca="false">IF(CW716="","",IF(CX716=0,CW716,IF(CX716=1,CW716/30,IF(CX716=2,CW716/15,IF(CX716=3,CW716/7,CW716)))))</f>
        <v>243.333333333333</v>
      </c>
      <c r="CZ716" s="0" t="n">
        <f aca="false">IF(DI716&gt;0,DI716,IF(CY716&gt;0,CY716,IF(CV716&gt;0,CV716,"")))</f>
        <v>243.333333333333</v>
      </c>
      <c r="DA716" s="0" t="n">
        <f aca="false">IF(DM716=1,CZ716/8,IF(OR(DM716=2,DM716=4),CZ716/7,IF(DM716=3,CZ716/7.5,"")))</f>
        <v>34.7619047619048</v>
      </c>
      <c r="DB716" s="0" t="s">
        <v>216</v>
      </c>
      <c r="DC716" s="0" t="s">
        <v>216</v>
      </c>
      <c r="DD716" s="0" t="s">
        <v>216</v>
      </c>
      <c r="DE716" s="0" t="s">
        <v>216</v>
      </c>
      <c r="DF716" s="0" t="s">
        <v>216</v>
      </c>
      <c r="DG716" s="0" t="s">
        <v>216</v>
      </c>
      <c r="DH716" s="0" t="n">
        <v>0</v>
      </c>
      <c r="DI716" s="126" t="n">
        <v>243.333333333333</v>
      </c>
      <c r="DK716" s="0" t="n">
        <v>1</v>
      </c>
      <c r="DM716" s="0" t="n">
        <v>2</v>
      </c>
      <c r="DN716" s="0" t="n">
        <v>48</v>
      </c>
      <c r="DO716" s="0" t="n">
        <v>3</v>
      </c>
      <c r="DP716" s="0" t="n">
        <v>0</v>
      </c>
      <c r="DQ716" s="0" t="n">
        <v>1</v>
      </c>
      <c r="DR716" s="0"/>
      <c r="DS716" s="0" t="n">
        <v>1</v>
      </c>
      <c r="DU716" s="0" t="n">
        <v>1</v>
      </c>
      <c r="DW716" s="1" t="s">
        <v>221</v>
      </c>
      <c r="DX716" s="1" t="s">
        <v>221</v>
      </c>
      <c r="DZ716" s="0"/>
      <c r="EA716" s="0" t="n">
        <v>1</v>
      </c>
      <c r="EC716" s="1" t="s">
        <v>221</v>
      </c>
      <c r="ED716" s="1" t="s">
        <v>221</v>
      </c>
      <c r="EF716" s="0"/>
      <c r="EG716" s="0" t="n">
        <v>1</v>
      </c>
      <c r="EH716" s="0" t="s">
        <v>221</v>
      </c>
      <c r="EI716" s="0" t="str">
        <f aca="false">IF(AND(DM716=1,DN716&lt;=48),"",IF(AND(DM716=2,DN716&lt;=42),"",IF(AND(DM716=3,DN716&lt;=45),"",EH716)))</f>
        <v>NO ESPECIFICA</v>
      </c>
      <c r="EJ716" s="0" t="n">
        <f aca="false">IF(EI716="","",IF(EI716&lt;9,EI716,9))</f>
        <v>9</v>
      </c>
      <c r="EK716" s="0" t="e">
        <f aca="false">IF(EI716="","",IF(EI716&gt;9,EI716-EJ716,0))</f>
        <v>#VALUE!</v>
      </c>
      <c r="EL716" s="0" t="e">
        <f aca="false">IF(EI716="","",EJ716*DA716*2+EK716*DA716*3)</f>
        <v>#VALUE!</v>
      </c>
      <c r="EP716" s="0" t="n">
        <v>0</v>
      </c>
      <c r="EQ716" s="0"/>
      <c r="ER716" s="0" t="n">
        <v>1</v>
      </c>
      <c r="ET716" s="0" t="n">
        <v>1</v>
      </c>
      <c r="EV716" s="0" t="n">
        <v>1</v>
      </c>
      <c r="EX716" s="0" t="n">
        <v>0</v>
      </c>
      <c r="EY716" s="0" t="n">
        <v>0</v>
      </c>
      <c r="EZ716" s="0"/>
      <c r="FA716" s="4" t="n">
        <v>0</v>
      </c>
      <c r="FB716" s="0" t="n">
        <v>0</v>
      </c>
      <c r="FC716" s="1" t="n">
        <v>40989</v>
      </c>
      <c r="FD716" s="0" t="n">
        <v>1</v>
      </c>
      <c r="FE716" s="0" t="n">
        <v>37500</v>
      </c>
      <c r="FF716" s="120" t="n">
        <f aca="false">(CJ716-CI716+1)/365</f>
        <v>5.61643835616438</v>
      </c>
      <c r="FG716" s="0" t="str">
        <f aca="false">CONCATENATE(F716,"/",G716)</f>
        <v>703/2011</v>
      </c>
      <c r="FH716" s="0" t="n">
        <v>1</v>
      </c>
      <c r="FI716" s="0" t="n">
        <f aca="false">IFERROR(IF((FC716-J716+1)/365&gt;3,0,1),"")</f>
        <v>1</v>
      </c>
    </row>
    <row r="717" customFormat="false" ht="15" hidden="false" customHeight="false" outlineLevel="0" collapsed="false">
      <c r="A717" s="5" t="str">
        <f aca="false">E717&amp;G717&amp;F717</f>
        <v>72011713</v>
      </c>
      <c r="B717" s="0" t="s">
        <v>1855</v>
      </c>
      <c r="C717" s="1" t="n">
        <v>42007</v>
      </c>
      <c r="E717" s="0" t="n">
        <v>7</v>
      </c>
      <c r="F717" s="0" t="n">
        <v>713</v>
      </c>
      <c r="G717" s="0" t="n">
        <v>2011</v>
      </c>
      <c r="H717" s="0" t="str">
        <f aca="false">"J"&amp;E717&amp;"\"&amp;F717&amp;"\"&amp;G717&amp;"\"&amp;W717</f>
        <v>J7\713\2011\1</v>
      </c>
      <c r="I717" s="0"/>
      <c r="J717" s="1" t="n">
        <v>40651</v>
      </c>
      <c r="K717" s="0" t="n">
        <v>1</v>
      </c>
      <c r="L717" s="0" t="s">
        <v>6557</v>
      </c>
      <c r="M717" s="1" t="n">
        <v>40651</v>
      </c>
      <c r="N717" s="1" t="n">
        <v>40774</v>
      </c>
      <c r="O717" s="1"/>
      <c r="P717" s="1"/>
      <c r="Q717" s="1"/>
      <c r="T717" s="121"/>
      <c r="U717" s="121"/>
      <c r="V717" s="122" t="n">
        <f aca="false">IF(AND(E717&gt;0,F717&gt;0,G717&gt;0),COUNTIFS($E:$E,E717,$F:$F,F717,$G:$G,G717),"")</f>
        <v>1</v>
      </c>
      <c r="W717" s="122" t="n">
        <f aca="false">IF(V717="","",IF(V717=1,1,IF(AND(E716=E717,F716=F717,G716=G717),W716+1,1)))</f>
        <v>1</v>
      </c>
      <c r="X717" s="0" t="n">
        <v>1</v>
      </c>
      <c r="Y717" s="0" t="n">
        <v>5</v>
      </c>
      <c r="Z717" s="0" t="s">
        <v>6558</v>
      </c>
      <c r="AA717" s="0" t="n">
        <v>0</v>
      </c>
      <c r="AB717" s="0" t="s">
        <v>6559</v>
      </c>
      <c r="AC717" s="0" t="s">
        <v>318</v>
      </c>
      <c r="AD717" s="0" t="s">
        <v>229</v>
      </c>
      <c r="AE717" s="0" t="n">
        <v>0</v>
      </c>
      <c r="AF717" s="0" t="s">
        <v>6560</v>
      </c>
      <c r="AG717" s="0" t="n">
        <v>1</v>
      </c>
      <c r="AH717" s="0" t="s">
        <v>6561</v>
      </c>
      <c r="AI717" s="0" t="s">
        <v>6562</v>
      </c>
      <c r="AJ717" s="0" t="s">
        <v>519</v>
      </c>
      <c r="AL717" s="0" t="s">
        <v>6563</v>
      </c>
      <c r="AM717" s="0" t="n">
        <v>1</v>
      </c>
      <c r="AN717" s="0" t="s">
        <v>6561</v>
      </c>
      <c r="AO717" s="0" t="s">
        <v>6562</v>
      </c>
      <c r="AP717" s="0" t="s">
        <v>519</v>
      </c>
      <c r="AR717" s="0" t="s">
        <v>6564</v>
      </c>
      <c r="AS717" s="0" t="n">
        <v>2</v>
      </c>
      <c r="AT717" s="0" t="s">
        <v>6561</v>
      </c>
      <c r="AU717" s="0" t="s">
        <v>6562</v>
      </c>
      <c r="AV717" s="0" t="s">
        <v>519</v>
      </c>
      <c r="AX717" s="0" t="s">
        <v>1880</v>
      </c>
      <c r="AY717" s="0" t="n">
        <v>1</v>
      </c>
      <c r="AZ717" s="0" t="s">
        <v>6561</v>
      </c>
      <c r="BA717" s="0" t="s">
        <v>6562</v>
      </c>
      <c r="BB717" s="0" t="s">
        <v>519</v>
      </c>
      <c r="BR717" s="0" t="n">
        <v>1</v>
      </c>
      <c r="BS717" s="0" t="s">
        <v>6565</v>
      </c>
      <c r="BT717" s="0" t="s">
        <v>6566</v>
      </c>
      <c r="BU717" s="0" t="s">
        <v>6567</v>
      </c>
      <c r="BV717" s="123"/>
      <c r="BW717" s="123"/>
      <c r="BX717" s="123"/>
      <c r="BY717" s="123"/>
      <c r="CA717" s="0" t="s">
        <v>216</v>
      </c>
      <c r="CD717" s="0" t="s">
        <v>256</v>
      </c>
      <c r="CE717" s="0" t="n">
        <v>0</v>
      </c>
      <c r="CF717" s="0" t="s">
        <v>269</v>
      </c>
      <c r="CI717" s="1" t="n">
        <v>32174</v>
      </c>
      <c r="CJ717" s="1" t="n">
        <v>40633</v>
      </c>
      <c r="CK717" s="124" t="n">
        <v>0.833333333333333</v>
      </c>
      <c r="CL717" s="0" t="s">
        <v>6560</v>
      </c>
      <c r="CM717" s="0" t="n">
        <f aca="false">IF(OR(CI717="",CJ717=""),"",DAYS360(CI717,CJ717)/360)</f>
        <v>23.1666666666667</v>
      </c>
      <c r="CN717" s="0" t="n">
        <f aca="false">IF(OR(CI717="",CJ717=""),"",DAYS360(CI717,CJ717)/30)</f>
        <v>278</v>
      </c>
      <c r="CO717" s="0" t="n">
        <f aca="false">IF(OR(CI717="",CJ717=""),"",DAYS360(CI717,CJ717)/7)</f>
        <v>1191.42857142857</v>
      </c>
      <c r="CP717" s="0" t="n">
        <f aca="false">IF(OR(CI717="",CJ717=""),"",DAYS360(CI717,CJ717))</f>
        <v>8340</v>
      </c>
      <c r="CQ717" s="0" t="s">
        <v>240</v>
      </c>
      <c r="CR717" s="0" t="n">
        <v>1</v>
      </c>
      <c r="CT717" s="0" t="s">
        <v>221</v>
      </c>
      <c r="CU717" s="0" t="s">
        <v>221</v>
      </c>
      <c r="CV717" s="0" t="str">
        <f aca="false">IF(OR(CT717="",CT717="NO ESPECIFICA",CT717="NO MENCIONA"),"",IF(CU717=0,CT717,IF(CU717=1,CT717/30,IF(CU717=2,CT717/15,IF(CU717=3,CT717/7,"")))))</f>
        <v/>
      </c>
      <c r="CW717" s="125" t="n">
        <v>900</v>
      </c>
      <c r="CX717" s="0" t="n">
        <v>3</v>
      </c>
      <c r="CY717" s="0" t="n">
        <f aca="false">IF(CW717="","",IF(CX717=0,CW717,IF(CX717=1,CW717/30,IF(CX717=2,CW717/15,IF(CX717=3,CW717/7,CW717)))))</f>
        <v>128.571428571429</v>
      </c>
      <c r="CZ717" s="0" t="n">
        <f aca="false">IF(DI717&gt;0,DI717,IF(CY717&gt;0,CY717,IF(CV717&gt;0,CV717,"")))</f>
        <v>128.571428571429</v>
      </c>
      <c r="DA717" s="0" t="n">
        <f aca="false">IF(DM717=1,CZ717/8,IF(OR(DM717=2,DM717=4),CZ717/7,IF(DM717=3,CZ717/7.5,"")))</f>
        <v>18.3673469387755</v>
      </c>
      <c r="DB717" s="0" t="s">
        <v>216</v>
      </c>
      <c r="DC717" s="0" t="s">
        <v>216</v>
      </c>
      <c r="DD717" s="0" t="s">
        <v>216</v>
      </c>
      <c r="DE717" s="0" t="s">
        <v>216</v>
      </c>
      <c r="DF717" s="0" t="s">
        <v>216</v>
      </c>
      <c r="DG717" s="0" t="s">
        <v>216</v>
      </c>
      <c r="DH717" s="0" t="n">
        <v>0</v>
      </c>
      <c r="DI717" s="126" t="n">
        <v>128.571428571429</v>
      </c>
      <c r="DK717" s="0" t="n">
        <v>0</v>
      </c>
      <c r="DM717" s="0" t="n">
        <v>2</v>
      </c>
      <c r="DN717" s="0" t="n">
        <v>91</v>
      </c>
      <c r="DO717" s="0" t="n">
        <v>3</v>
      </c>
      <c r="DP717" s="0" t="n">
        <v>0</v>
      </c>
      <c r="DQ717" s="0" t="n">
        <v>1</v>
      </c>
      <c r="DR717" s="0"/>
      <c r="DS717" s="0" t="n">
        <v>1</v>
      </c>
      <c r="DU717" s="0" t="n">
        <v>1</v>
      </c>
      <c r="DW717" s="1" t="n">
        <v>32174</v>
      </c>
      <c r="DX717" s="1" t="n">
        <v>40633</v>
      </c>
      <c r="DZ717" s="0"/>
      <c r="EA717" s="0" t="n">
        <v>1</v>
      </c>
      <c r="EC717" s="1" t="n">
        <v>32174</v>
      </c>
      <c r="ED717" s="1" t="n">
        <v>40633</v>
      </c>
      <c r="EF717" s="0"/>
      <c r="EG717" s="0" t="n">
        <v>1</v>
      </c>
      <c r="EH717" s="0" t="n">
        <v>35</v>
      </c>
      <c r="EI717" s="0" t="n">
        <f aca="false">IF(AND(DM717=1,DN717&lt;=48),"",IF(AND(DM717=2,DN717&lt;=42),"",IF(AND(DM717=3,DN717&lt;=45),"",EH717)))</f>
        <v>35</v>
      </c>
      <c r="EJ717" s="0" t="n">
        <f aca="false">IF(EI717="","",IF(EI717&lt;9,EI717,9))</f>
        <v>9</v>
      </c>
      <c r="EK717" s="0" t="n">
        <f aca="false">IF(EI717="","",IF(EI717&gt;9,EI717-EJ717,0))</f>
        <v>26</v>
      </c>
      <c r="EL717" s="0" t="n">
        <f aca="false">IF(EI717="","",EJ717*DA717*2+EK717*DA717*3)</f>
        <v>1763.26530612245</v>
      </c>
      <c r="EP717" s="0" t="n">
        <v>0</v>
      </c>
      <c r="EQ717" s="0"/>
      <c r="ER717" s="0" t="n">
        <v>0</v>
      </c>
      <c r="ET717" s="0" t="n">
        <v>0</v>
      </c>
      <c r="EV717" s="0" t="n">
        <v>0</v>
      </c>
      <c r="EX717" s="0" t="n">
        <v>0</v>
      </c>
      <c r="EY717" s="0" t="n">
        <v>0</v>
      </c>
      <c r="EZ717" s="0"/>
      <c r="FA717" s="4" t="n">
        <v>15557.1428571429</v>
      </c>
      <c r="FB717" s="0" t="n">
        <v>1</v>
      </c>
      <c r="FC717" s="1"/>
      <c r="FF717" s="120" t="n">
        <f aca="false">(CJ717-CI717+1)/365</f>
        <v>23.1780821917808</v>
      </c>
      <c r="FG717" s="0" t="str">
        <f aca="false">CONCATENATE(F717,"/",G717)</f>
        <v>713/2011</v>
      </c>
      <c r="FH717" s="0" t="n">
        <v>1</v>
      </c>
      <c r="FI717" s="0" t="n">
        <f aca="false">IFERROR(IF((FC717-J717+1)/365&gt;3,0,1),"")</f>
        <v>1</v>
      </c>
    </row>
    <row r="718" customFormat="false" ht="15" hidden="false" customHeight="false" outlineLevel="0" collapsed="false">
      <c r="A718" s="5" t="str">
        <f aca="false">E718&amp;G718&amp;F718</f>
        <v>72011715</v>
      </c>
      <c r="B718" s="0" t="s">
        <v>1855</v>
      </c>
      <c r="C718" s="1" t="n">
        <v>42007</v>
      </c>
      <c r="D718" s="0" t="s">
        <v>1856</v>
      </c>
      <c r="E718" s="0" t="n">
        <v>7</v>
      </c>
      <c r="F718" s="0" t="n">
        <v>715</v>
      </c>
      <c r="G718" s="0" t="n">
        <v>2011</v>
      </c>
      <c r="H718" s="0" t="str">
        <f aca="false">"J"&amp;E718&amp;"\"&amp;F718&amp;"\"&amp;G718&amp;"\"&amp;W718</f>
        <v>J7\715\2011\1</v>
      </c>
      <c r="I718" s="0"/>
      <c r="J718" s="1" t="n">
        <v>40651</v>
      </c>
      <c r="K718" s="0" t="n">
        <v>0</v>
      </c>
      <c r="M718" s="1"/>
      <c r="N718" s="1"/>
      <c r="O718" s="1"/>
      <c r="P718" s="1"/>
      <c r="Q718" s="1"/>
      <c r="T718" s="121"/>
      <c r="U718" s="121"/>
      <c r="V718" s="122" t="n">
        <f aca="false">IF(AND(E718&gt;0,F718&gt;0,G718&gt;0),COUNTIFS($E:$E,E718,$F:$F,F718,$G:$G,G718),"")</f>
        <v>1</v>
      </c>
      <c r="W718" s="122" t="n">
        <f aca="false">IF(V718="","",IF(V718=1,1,IF(AND(E717=E718,F717=F718,G717=G718),W717+1,1)))</f>
        <v>1</v>
      </c>
      <c r="X718" s="0" t="n">
        <v>1</v>
      </c>
      <c r="Y718" s="0" t="n">
        <v>3</v>
      </c>
      <c r="Z718" s="0" t="s">
        <v>6568</v>
      </c>
      <c r="AA718" s="0" t="n">
        <v>0</v>
      </c>
      <c r="AB718" s="0" t="s">
        <v>1802</v>
      </c>
      <c r="AC718" s="0" t="s">
        <v>1661</v>
      </c>
      <c r="AD718" s="0" t="s">
        <v>221</v>
      </c>
      <c r="AE718" s="0" t="n">
        <v>0</v>
      </c>
      <c r="AF718" s="0" t="s">
        <v>6569</v>
      </c>
      <c r="AG718" s="0" t="n">
        <v>0</v>
      </c>
      <c r="AH718" s="0" t="s">
        <v>6570</v>
      </c>
      <c r="AI718" s="0" t="s">
        <v>3052</v>
      </c>
      <c r="AJ718" s="0" t="s">
        <v>322</v>
      </c>
      <c r="AL718" s="0" t="s">
        <v>6571</v>
      </c>
      <c r="AM718" s="0" t="n">
        <v>1</v>
      </c>
      <c r="AN718" s="0" t="s">
        <v>6570</v>
      </c>
      <c r="AO718" s="0" t="s">
        <v>3052</v>
      </c>
      <c r="AP718" s="0" t="s">
        <v>322</v>
      </c>
      <c r="AR718" s="0" t="s">
        <v>1880</v>
      </c>
      <c r="AS718" s="0" t="n">
        <v>1</v>
      </c>
      <c r="AT718" s="0" t="s">
        <v>6570</v>
      </c>
      <c r="AU718" s="0" t="s">
        <v>3052</v>
      </c>
      <c r="AV718" s="0" t="s">
        <v>322</v>
      </c>
      <c r="BR718" s="0" t="n">
        <v>1</v>
      </c>
      <c r="BS718" s="0" t="s">
        <v>1273</v>
      </c>
      <c r="BT718" s="0" t="s">
        <v>3715</v>
      </c>
      <c r="BU718" s="0" t="s">
        <v>1272</v>
      </c>
      <c r="BV718" s="123"/>
      <c r="BW718" s="123"/>
      <c r="BX718" s="123"/>
      <c r="BY718" s="123"/>
      <c r="CA718" s="0" t="s">
        <v>216</v>
      </c>
      <c r="CD718" s="0" t="s">
        <v>296</v>
      </c>
      <c r="CE718" s="0" t="n">
        <v>0</v>
      </c>
      <c r="CF718" s="0" t="s">
        <v>6572</v>
      </c>
      <c r="CI718" s="1" t="n">
        <v>40551</v>
      </c>
      <c r="CJ718" s="1" t="n">
        <v>40644</v>
      </c>
      <c r="CK718" s="124" t="n">
        <v>0.333333333333333</v>
      </c>
      <c r="CL718" s="0" t="s">
        <v>6571</v>
      </c>
      <c r="CM718" s="0" t="n">
        <f aca="false">IF(OR(CI718="",CJ718=""),"",DAYS360(CI718,CJ718)/360)</f>
        <v>0.258333333333333</v>
      </c>
      <c r="CN718" s="0" t="n">
        <f aca="false">IF(OR(CI718="",CJ718=""),"",DAYS360(CI718,CJ718)/30)</f>
        <v>3.1</v>
      </c>
      <c r="CO718" s="0" t="n">
        <f aca="false">IF(OR(CI718="",CJ718=""),"",DAYS360(CI718,CJ718)/7)</f>
        <v>13.2857142857143</v>
      </c>
      <c r="CP718" s="0" t="n">
        <f aca="false">IF(OR(CI718="",CJ718=""),"",DAYS360(CI718,CJ718))</f>
        <v>93</v>
      </c>
      <c r="CQ718" s="0" t="s">
        <v>240</v>
      </c>
      <c r="CR718" s="0" t="n">
        <v>1</v>
      </c>
      <c r="CT718" s="0" t="s">
        <v>221</v>
      </c>
      <c r="CU718" s="0" t="s">
        <v>221</v>
      </c>
      <c r="CV718" s="0" t="str">
        <f aca="false">IF(OR(CT718="",CT718="NO ESPECIFICA",CT718="NO MENCIONA"),"",IF(CU718=0,CT718,IF(CU718=1,CT718/30,IF(CU718=2,CT718/15,IF(CU718=3,CT718/7,"")))))</f>
        <v/>
      </c>
      <c r="CW718" s="125" t="n">
        <v>9000</v>
      </c>
      <c r="CX718" s="0" t="n">
        <v>1</v>
      </c>
      <c r="CY718" s="0" t="n">
        <f aca="false">IF(CW718="","",IF(CX718=0,CW718,IF(CX718=1,CW718/30,IF(CX718=2,CW718/15,IF(CX718=3,CW718/7,CW718)))))</f>
        <v>300</v>
      </c>
      <c r="CZ718" s="0" t="n">
        <f aca="false">IF(DI718&gt;0,DI718,IF(CY718&gt;0,CY718,IF(CV718&gt;0,CV718,"")))</f>
        <v>300</v>
      </c>
      <c r="DA718" s="0" t="n">
        <f aca="false">IF(DM718=1,CZ718/8,IF(OR(DM718=2,DM718=4),CZ718/7,IF(DM718=3,CZ718/7.5,"")))</f>
        <v>37.5</v>
      </c>
      <c r="DB718" s="0" t="s">
        <v>216</v>
      </c>
      <c r="DC718" s="0" t="s">
        <v>216</v>
      </c>
      <c r="DD718" s="0" t="s">
        <v>216</v>
      </c>
      <c r="DE718" s="0" t="s">
        <v>216</v>
      </c>
      <c r="DF718" s="0" t="s">
        <v>216</v>
      </c>
      <c r="DG718" s="0" t="s">
        <v>216</v>
      </c>
      <c r="DH718" s="0" t="n">
        <v>0</v>
      </c>
      <c r="DI718" s="126" t="n">
        <v>300</v>
      </c>
      <c r="DK718" s="0" t="n">
        <v>0</v>
      </c>
      <c r="DM718" s="0" t="n">
        <v>1</v>
      </c>
      <c r="DN718" s="0" t="n">
        <v>72</v>
      </c>
      <c r="DO718" s="0" t="n">
        <v>3</v>
      </c>
      <c r="DP718" s="0" t="n">
        <v>0</v>
      </c>
      <c r="DQ718" s="0" t="n">
        <v>1</v>
      </c>
      <c r="DR718" s="0"/>
      <c r="DS718" s="0" t="n">
        <v>1</v>
      </c>
      <c r="DU718" s="0" t="n">
        <v>1</v>
      </c>
      <c r="DW718" s="1" t="n">
        <v>40551</v>
      </c>
      <c r="DX718" s="1" t="n">
        <v>40644</v>
      </c>
      <c r="DZ718" s="0"/>
      <c r="EA718" s="0" t="n">
        <v>1</v>
      </c>
      <c r="EC718" s="1" t="n">
        <v>40551</v>
      </c>
      <c r="ED718" s="1" t="n">
        <v>40644</v>
      </c>
      <c r="EF718" s="0"/>
      <c r="EG718" s="0" t="n">
        <v>1</v>
      </c>
      <c r="EH718" s="0" t="n">
        <v>18</v>
      </c>
      <c r="EI718" s="0" t="n">
        <f aca="false">IF(AND(DM718=1,DN718&lt;=48),"",IF(AND(DM718=2,DN718&lt;=42),"",IF(AND(DM718=3,DN718&lt;=45),"",EH718)))</f>
        <v>18</v>
      </c>
      <c r="EJ718" s="0" t="n">
        <f aca="false">IF(EI718="","",IF(EI718&lt;9,EI718,9))</f>
        <v>9</v>
      </c>
      <c r="EK718" s="0" t="n">
        <f aca="false">IF(EI718="","",IF(EI718&gt;9,EI718-EJ718,0))</f>
        <v>9</v>
      </c>
      <c r="EL718" s="0" t="n">
        <f aca="false">IF(EI718="","",EJ718*DA718*2+EK718*DA718*3)</f>
        <v>1687.5</v>
      </c>
      <c r="EP718" s="0" t="n">
        <v>0</v>
      </c>
      <c r="EQ718" s="0"/>
      <c r="ER718" s="0" t="n">
        <v>1</v>
      </c>
      <c r="ET718" s="0" t="n">
        <v>1</v>
      </c>
      <c r="EV718" s="0" t="n">
        <v>1</v>
      </c>
      <c r="EX718" s="0" t="n">
        <v>0</v>
      </c>
      <c r="EY718" s="0" t="n">
        <v>0</v>
      </c>
      <c r="EZ718" s="0"/>
      <c r="FA718" s="4" t="n">
        <v>17700</v>
      </c>
      <c r="FB718" s="0" t="n">
        <v>1</v>
      </c>
      <c r="FC718" s="1" t="n">
        <v>40780</v>
      </c>
      <c r="FD718" s="0" t="n">
        <v>1</v>
      </c>
      <c r="FE718" s="0" t="n">
        <v>11000</v>
      </c>
      <c r="FF718" s="120" t="n">
        <f aca="false">(CJ718-CI718+1)/365</f>
        <v>0.257534246575342</v>
      </c>
      <c r="FG718" s="0" t="str">
        <f aca="false">CONCATENATE(F718,"/",G718)</f>
        <v>715/2011</v>
      </c>
      <c r="FH718" s="0" t="n">
        <v>1</v>
      </c>
      <c r="FI718" s="0" t="n">
        <f aca="false">IFERROR(IF((FC718-J718+1)/365&gt;3,0,1),"")</f>
        <v>1</v>
      </c>
    </row>
    <row r="719" customFormat="false" ht="15" hidden="false" customHeight="false" outlineLevel="0" collapsed="false">
      <c r="A719" s="5" t="str">
        <f aca="false">E719&amp;G719&amp;F719</f>
        <v>72011724</v>
      </c>
      <c r="B719" s="0" t="s">
        <v>1855</v>
      </c>
      <c r="C719" s="1" t="n">
        <v>42007</v>
      </c>
      <c r="D719" s="0" t="s">
        <v>6573</v>
      </c>
      <c r="E719" s="0" t="n">
        <v>7</v>
      </c>
      <c r="F719" s="0" t="n">
        <v>724</v>
      </c>
      <c r="G719" s="0" t="n">
        <v>2011</v>
      </c>
      <c r="H719" s="0" t="str">
        <f aca="false">"J"&amp;E719&amp;"\"&amp;F719&amp;"\"&amp;G719&amp;"\"&amp;W719</f>
        <v>J7\724\2011\1</v>
      </c>
      <c r="I719" s="0"/>
      <c r="J719" s="1" t="n">
        <v>40652</v>
      </c>
      <c r="K719" s="0" t="n">
        <v>0</v>
      </c>
      <c r="M719" s="1"/>
      <c r="N719" s="1"/>
      <c r="O719" s="1"/>
      <c r="P719" s="1"/>
      <c r="Q719" s="1"/>
      <c r="T719" s="121"/>
      <c r="U719" s="121"/>
      <c r="V719" s="122" t="n">
        <f aca="false">IF(AND(E719&gt;0,F719&gt;0,G719&gt;0),COUNTIFS($E:$E,E719,$F:$F,F719,$G:$G,G719),"")</f>
        <v>1</v>
      </c>
      <c r="W719" s="122" t="n">
        <f aca="false">IF(V719="","",IF(V719=1,1,IF(AND(E718=E719,F718=F719,G718=G719),W718+1,1)))</f>
        <v>1</v>
      </c>
      <c r="X719" s="0" t="n">
        <v>1</v>
      </c>
      <c r="Y719" s="0" t="n">
        <v>3</v>
      </c>
      <c r="Z719" s="0" t="s">
        <v>6574</v>
      </c>
      <c r="AA719" s="0" t="n">
        <v>0</v>
      </c>
      <c r="AB719" s="0" t="s">
        <v>1812</v>
      </c>
      <c r="AC719" s="0" t="s">
        <v>228</v>
      </c>
      <c r="AD719" s="0" t="s">
        <v>229</v>
      </c>
      <c r="AE719" s="0" t="n">
        <v>0</v>
      </c>
      <c r="AF719" s="0" t="s">
        <v>3317</v>
      </c>
      <c r="AG719" s="0" t="n">
        <v>0</v>
      </c>
      <c r="AH719" s="0" t="s">
        <v>5128</v>
      </c>
      <c r="AI719" s="0" t="s">
        <v>1635</v>
      </c>
      <c r="AJ719" s="0" t="s">
        <v>229</v>
      </c>
      <c r="AL719" s="0" t="s">
        <v>6575</v>
      </c>
      <c r="AM719" s="0" t="n">
        <v>1</v>
      </c>
      <c r="AN719" s="0" t="s">
        <v>5128</v>
      </c>
      <c r="AO719" s="0" t="s">
        <v>1635</v>
      </c>
      <c r="AP719" s="0" t="s">
        <v>229</v>
      </c>
      <c r="AR719" s="0" t="s">
        <v>1880</v>
      </c>
      <c r="AS719" s="0" t="n">
        <v>1</v>
      </c>
      <c r="AT719" s="0" t="s">
        <v>5128</v>
      </c>
      <c r="AU719" s="0" t="s">
        <v>1635</v>
      </c>
      <c r="AV719" s="0" t="s">
        <v>229</v>
      </c>
      <c r="BR719" s="0" t="n">
        <v>3</v>
      </c>
      <c r="BS719" s="0" t="s">
        <v>651</v>
      </c>
      <c r="BT719" s="0" t="s">
        <v>1818</v>
      </c>
      <c r="BU719" s="0" t="s">
        <v>501</v>
      </c>
      <c r="BV719" s="123"/>
      <c r="BW719" s="123"/>
      <c r="BX719" s="123"/>
      <c r="BY719" s="123"/>
      <c r="CA719" s="0" t="s">
        <v>348</v>
      </c>
      <c r="CD719" s="0" t="s">
        <v>296</v>
      </c>
      <c r="CE719" s="0" t="n">
        <v>0</v>
      </c>
      <c r="CF719" s="0" t="s">
        <v>6576</v>
      </c>
      <c r="CI719" s="1" t="n">
        <v>38488</v>
      </c>
      <c r="CJ719" s="1" t="n">
        <v>40597</v>
      </c>
      <c r="CK719" s="124" t="n">
        <v>0.4375</v>
      </c>
      <c r="CL719" s="0" t="s">
        <v>6575</v>
      </c>
      <c r="CM719" s="0" t="n">
        <f aca="false">IF(OR(CI719="",CJ719=""),"",DAYS360(CI719,CJ719)/360)</f>
        <v>5.76944444444445</v>
      </c>
      <c r="CN719" s="0" t="n">
        <f aca="false">IF(OR(CI719="",CJ719=""),"",DAYS360(CI719,CJ719)/30)</f>
        <v>69.2333333333333</v>
      </c>
      <c r="CO719" s="0" t="n">
        <f aca="false">IF(OR(CI719="",CJ719=""),"",DAYS360(CI719,CJ719)/7)</f>
        <v>296.714285714286</v>
      </c>
      <c r="CP719" s="0" t="n">
        <f aca="false">IF(OR(CI719="",CJ719=""),"",DAYS360(CI719,CJ719))</f>
        <v>2077</v>
      </c>
      <c r="CQ719" s="0" t="s">
        <v>240</v>
      </c>
      <c r="CR719" s="0" t="n">
        <v>1</v>
      </c>
      <c r="CT719" s="0" t="n">
        <v>187.76</v>
      </c>
      <c r="CU719" s="0" t="n">
        <v>0</v>
      </c>
      <c r="CV719" s="0" t="n">
        <f aca="false">IF(OR(CT719="",CT719="NO ESPECIFICA",CT719="NO MENCIONA"),"",IF(CU719=0,CT719,IF(CU719=1,CT719/30,IF(CU719=2,CT719/15,IF(CU719=3,CT719/7,"")))))</f>
        <v>187.76</v>
      </c>
      <c r="CW719" s="125" t="n">
        <v>197.27</v>
      </c>
      <c r="CX719" s="0" t="n">
        <v>0</v>
      </c>
      <c r="CY719" s="0" t="n">
        <f aca="false">IF(CW719="","",IF(CX719=0,CW719,IF(CX719=1,CW719/30,IF(CX719=2,CW719/15,IF(CX719=3,CW719/7,CW719)))))</f>
        <v>197.27</v>
      </c>
      <c r="CZ719" s="0" t="n">
        <f aca="false">IF(DI719&gt;0,DI719,IF(CY719&gt;0,CY719,IF(CV719&gt;0,CV719,"")))</f>
        <v>197.27</v>
      </c>
      <c r="DA719" s="0" t="n">
        <f aca="false">IF(DM719=1,CZ719/8,IF(OR(DM719=2,DM719=4),CZ719/7,IF(DM719=3,CZ719/7.5,"")))</f>
        <v>24.65875</v>
      </c>
      <c r="DB719" s="0" t="s">
        <v>303</v>
      </c>
      <c r="DC719" s="0" t="s">
        <v>301</v>
      </c>
      <c r="DD719" s="0" t="s">
        <v>216</v>
      </c>
      <c r="DE719" s="0" t="s">
        <v>216</v>
      </c>
      <c r="DF719" s="0" t="s">
        <v>216</v>
      </c>
      <c r="DG719" s="0" t="s">
        <v>216</v>
      </c>
      <c r="DH719" s="0" t="n">
        <v>0</v>
      </c>
      <c r="DI719" s="126" t="n">
        <v>197.27</v>
      </c>
      <c r="DK719" s="0" t="n">
        <v>0</v>
      </c>
      <c r="DM719" s="0" t="n">
        <v>1</v>
      </c>
      <c r="DN719" s="0" t="n">
        <v>40</v>
      </c>
      <c r="DO719" s="0" t="n">
        <v>3</v>
      </c>
      <c r="DP719" s="0" t="n">
        <v>0</v>
      </c>
      <c r="DQ719" s="0" t="n">
        <v>1</v>
      </c>
      <c r="DR719" s="0"/>
      <c r="DS719" s="0" t="n">
        <v>1</v>
      </c>
      <c r="DU719" s="0" t="n">
        <v>1</v>
      </c>
      <c r="DW719" s="1" t="n">
        <v>40314</v>
      </c>
      <c r="DX719" s="1" t="n">
        <v>40597</v>
      </c>
      <c r="DZ719" s="0"/>
      <c r="EA719" s="0" t="n">
        <v>1</v>
      </c>
      <c r="EC719" s="1" t="n">
        <v>40179</v>
      </c>
      <c r="ED719" s="1" t="n">
        <v>40597</v>
      </c>
      <c r="EF719" s="0"/>
      <c r="EG719" s="0" t="n">
        <v>0</v>
      </c>
      <c r="EI719" s="0" t="str">
        <f aca="false">IF(AND(DM719=1,DN719&lt;=48),"",IF(AND(DM719=2,DN719&lt;=42),"",IF(AND(DM719=3,DN719&lt;=45),"",EH719)))</f>
        <v/>
      </c>
      <c r="EJ719" s="0" t="str">
        <f aca="false">IF(EI719="","",IF(EI719&lt;9,EI719,9))</f>
        <v/>
      </c>
      <c r="EK719" s="0" t="str">
        <f aca="false">IF(EI719="","",IF(EI719&gt;9,EI719-EJ719,0))</f>
        <v/>
      </c>
      <c r="EL719" s="0" t="str">
        <f aca="false">IF(EI719="","",EJ719*DA719*2+EK719*DA719*3)</f>
        <v/>
      </c>
      <c r="EP719" s="0" t="n">
        <v>0</v>
      </c>
      <c r="EQ719" s="0"/>
      <c r="ER719" s="0" t="n">
        <v>0</v>
      </c>
      <c r="ET719" s="0" t="n">
        <v>0</v>
      </c>
      <c r="EV719" s="0" t="n">
        <v>0</v>
      </c>
      <c r="EX719" s="0" t="n">
        <v>0</v>
      </c>
      <c r="EY719" s="0" t="n">
        <v>0</v>
      </c>
      <c r="EZ719" s="0"/>
      <c r="FA719" s="4" t="n">
        <v>2367.24</v>
      </c>
      <c r="FB719" s="0" t="n">
        <v>0</v>
      </c>
      <c r="FC719" s="1" t="n">
        <v>41164</v>
      </c>
      <c r="FD719" s="0" t="n">
        <v>1</v>
      </c>
      <c r="FE719" s="0" t="n">
        <v>22000</v>
      </c>
      <c r="FF719" s="120" t="n">
        <f aca="false">(CJ719-CI719+1)/365</f>
        <v>5.78082191780822</v>
      </c>
      <c r="FG719" s="0" t="str">
        <f aca="false">CONCATENATE(F719,"/",G719)</f>
        <v>724/2011</v>
      </c>
      <c r="FH719" s="0" t="n">
        <v>1</v>
      </c>
      <c r="FI719" s="0" t="n">
        <f aca="false">IFERROR(IF((FC719-J719+1)/365&gt;3,0,1),"")</f>
        <v>1</v>
      </c>
    </row>
    <row r="720" customFormat="false" ht="15" hidden="false" customHeight="false" outlineLevel="0" collapsed="false">
      <c r="A720" s="5" t="str">
        <f aca="false">E720&amp;G720&amp;F720</f>
        <v>72011729</v>
      </c>
      <c r="B720" s="0" t="s">
        <v>1855</v>
      </c>
      <c r="C720" s="1" t="n">
        <v>42007</v>
      </c>
      <c r="D720" s="0" t="s">
        <v>6577</v>
      </c>
      <c r="E720" s="0" t="n">
        <v>7</v>
      </c>
      <c r="F720" s="0" t="n">
        <v>729</v>
      </c>
      <c r="G720" s="0" t="n">
        <v>2011</v>
      </c>
      <c r="H720" s="0" t="str">
        <f aca="false">"J"&amp;E720&amp;"\"&amp;F720&amp;"\"&amp;G720&amp;"\"&amp;W720</f>
        <v>J7\729\2011\1</v>
      </c>
      <c r="I720" s="0"/>
      <c r="J720" s="1" t="n">
        <v>40658</v>
      </c>
      <c r="K720" s="0" t="n">
        <v>0</v>
      </c>
      <c r="M720" s="1" t="n">
        <v>40659</v>
      </c>
      <c r="N720" s="1" t="n">
        <v>40785</v>
      </c>
      <c r="O720" s="1"/>
      <c r="P720" s="1"/>
      <c r="Q720" s="1"/>
      <c r="T720" s="121"/>
      <c r="U720" s="121"/>
      <c r="V720" s="122" t="n">
        <f aca="false">IF(AND(E720&gt;0,F720&gt;0,G720&gt;0),COUNTIFS($E:$E,E720,$F:$F,F720,$G:$G,G720),"")</f>
        <v>1</v>
      </c>
      <c r="W720" s="122" t="n">
        <f aca="false">IF(V720="","",IF(V720=1,1,IF(AND(E719=E720,F719=F720,G719=G720),W719+1,1)))</f>
        <v>1</v>
      </c>
      <c r="X720" s="0" t="n">
        <v>1</v>
      </c>
      <c r="Y720" s="0" t="n">
        <v>5</v>
      </c>
      <c r="Z720" s="0" t="s">
        <v>6578</v>
      </c>
      <c r="AA720" s="0" t="n">
        <v>0</v>
      </c>
      <c r="AB720" s="0" t="s">
        <v>6579</v>
      </c>
      <c r="AC720" s="0" t="s">
        <v>287</v>
      </c>
      <c r="AD720" s="0" t="s">
        <v>207</v>
      </c>
      <c r="AE720" s="0" t="n">
        <v>0</v>
      </c>
      <c r="AF720" s="0" t="s">
        <v>6580</v>
      </c>
      <c r="AG720" s="0" t="n">
        <v>0</v>
      </c>
      <c r="AH720" s="0" t="s">
        <v>6581</v>
      </c>
      <c r="AI720" s="0" t="s">
        <v>4559</v>
      </c>
      <c r="AJ720" s="0" t="s">
        <v>322</v>
      </c>
      <c r="AL720" s="0" t="s">
        <v>6582</v>
      </c>
      <c r="AM720" s="0" t="n">
        <v>0</v>
      </c>
      <c r="AN720" s="0" t="s">
        <v>6581</v>
      </c>
      <c r="AO720" s="0" t="s">
        <v>4559</v>
      </c>
      <c r="AP720" s="0" t="s">
        <v>322</v>
      </c>
      <c r="AR720" s="0" t="s">
        <v>6583</v>
      </c>
      <c r="AS720" s="0" t="n">
        <v>1</v>
      </c>
      <c r="AT720" s="0" t="s">
        <v>6581</v>
      </c>
      <c r="AU720" s="0" t="s">
        <v>4559</v>
      </c>
      <c r="AV720" s="0" t="s">
        <v>322</v>
      </c>
      <c r="AX720" s="0" t="s">
        <v>6584</v>
      </c>
      <c r="AY720" s="0" t="n">
        <v>1</v>
      </c>
      <c r="AZ720" s="0" t="s">
        <v>6581</v>
      </c>
      <c r="BA720" s="0" t="s">
        <v>4559</v>
      </c>
      <c r="BB720" s="0" t="s">
        <v>322</v>
      </c>
      <c r="BD720" s="0" t="s">
        <v>1880</v>
      </c>
      <c r="BE720" s="0" t="n">
        <v>1</v>
      </c>
      <c r="BF720" s="0" t="s">
        <v>6581</v>
      </c>
      <c r="BG720" s="0" t="s">
        <v>4559</v>
      </c>
      <c r="BH720" s="0" t="s">
        <v>322</v>
      </c>
      <c r="BR720" s="0" t="n">
        <v>1</v>
      </c>
      <c r="BS720" s="0" t="s">
        <v>6585</v>
      </c>
      <c r="BT720" s="0" t="s">
        <v>6586</v>
      </c>
      <c r="BU720" s="0" t="s">
        <v>6587</v>
      </c>
      <c r="BV720" s="123"/>
      <c r="BW720" s="123"/>
      <c r="BX720" s="123"/>
      <c r="BY720" s="123"/>
      <c r="CA720" s="0" t="s">
        <v>6588</v>
      </c>
      <c r="CD720" s="0" t="s">
        <v>256</v>
      </c>
      <c r="CE720" s="0" t="n">
        <v>0</v>
      </c>
      <c r="CF720" s="0" t="s">
        <v>6589</v>
      </c>
      <c r="CI720" s="1" t="n">
        <v>39104</v>
      </c>
      <c r="CJ720" s="1" t="n">
        <v>40618</v>
      </c>
      <c r="CK720" s="124" t="n">
        <v>0.885416666666667</v>
      </c>
      <c r="CL720" s="0" t="s">
        <v>6583</v>
      </c>
      <c r="CM720" s="0" t="n">
        <f aca="false">IF(OR(CI720="",CJ720=""),"",DAYS360(CI720,CJ720)/360)</f>
        <v>4.15</v>
      </c>
      <c r="CN720" s="0" t="n">
        <f aca="false">IF(OR(CI720="",CJ720=""),"",DAYS360(CI720,CJ720)/30)</f>
        <v>49.8</v>
      </c>
      <c r="CO720" s="0" t="n">
        <f aca="false">IF(OR(CI720="",CJ720=""),"",DAYS360(CI720,CJ720)/7)</f>
        <v>213.428571428571</v>
      </c>
      <c r="CP720" s="0" t="n">
        <f aca="false">IF(OR(CI720="",CJ720=""),"",DAYS360(CI720,CJ720))</f>
        <v>1494</v>
      </c>
      <c r="CQ720" s="0" t="s">
        <v>240</v>
      </c>
      <c r="CR720" s="0" t="n">
        <v>1</v>
      </c>
      <c r="CT720" s="0" t="n">
        <v>2556.5</v>
      </c>
      <c r="CU720" s="0" t="n">
        <v>2</v>
      </c>
      <c r="CV720" s="0" t="n">
        <f aca="false">IF(OR(CT720="",CT720="NO ESPECIFICA",CT720="NO MENCIONA"),"",IF(CU720=0,CT720,IF(CU720=1,CT720/30,IF(CU720=2,CT720/15,IF(CU720=3,CT720/7,"")))))</f>
        <v>170.433333333333</v>
      </c>
      <c r="CW720" s="125" t="n">
        <v>1798.55</v>
      </c>
      <c r="CX720" s="0" t="n">
        <v>0</v>
      </c>
      <c r="CY720" s="0" t="n">
        <f aca="false">IF(CW720="","",IF(CX720=0,CW720,IF(CX720=1,CW720/30,IF(CX720=2,CW720/15,IF(CX720=3,CW720/7,CW720)))))</f>
        <v>1798.55</v>
      </c>
      <c r="CZ720" s="0" t="n">
        <f aca="false">IF(DI720&gt;0,DI720,IF(CY720&gt;0,CY720,IF(CV720&gt;0,CV720,"")))</f>
        <v>1798.55</v>
      </c>
      <c r="DA720" s="0" t="n">
        <f aca="false">IF(DM720=1,CZ720/8,IF(OR(DM720=2,DM720=4),CZ720/7,IF(DM720=3,CZ720/7.5,"")))</f>
        <v>239.806666666667</v>
      </c>
      <c r="DB720" s="0" t="s">
        <v>216</v>
      </c>
      <c r="DC720" s="0" t="s">
        <v>216</v>
      </c>
      <c r="DD720" s="0" t="s">
        <v>216</v>
      </c>
      <c r="DE720" s="0" t="s">
        <v>216</v>
      </c>
      <c r="DF720" s="0" t="s">
        <v>216</v>
      </c>
      <c r="DG720" s="0" t="s">
        <v>216</v>
      </c>
      <c r="DH720" s="0" t="n">
        <v>0</v>
      </c>
      <c r="DI720" s="126" t="n">
        <v>1798.55</v>
      </c>
      <c r="DK720" s="0" t="n">
        <v>0</v>
      </c>
      <c r="DM720" s="0" t="n">
        <v>3</v>
      </c>
      <c r="DN720" s="0" t="n">
        <v>7</v>
      </c>
      <c r="DO720" s="0" t="n">
        <v>0</v>
      </c>
      <c r="DP720" s="0" t="n">
        <v>0</v>
      </c>
      <c r="DQ720" s="0" t="n">
        <v>1</v>
      </c>
      <c r="DR720" s="0"/>
      <c r="DS720" s="0" t="n">
        <v>1</v>
      </c>
      <c r="DU720" s="0" t="n">
        <v>1</v>
      </c>
      <c r="DW720" s="1" t="n">
        <v>39104</v>
      </c>
      <c r="DX720" s="1" t="n">
        <v>40618</v>
      </c>
      <c r="DZ720" s="0"/>
      <c r="EA720" s="0" t="n">
        <v>1</v>
      </c>
      <c r="EC720" s="1" t="n">
        <v>40544</v>
      </c>
      <c r="ED720" s="1" t="n">
        <v>40618</v>
      </c>
      <c r="EF720" s="0" t="n">
        <v>6744.56</v>
      </c>
      <c r="EG720" s="0" t="n">
        <v>0</v>
      </c>
      <c r="EI720" s="0" t="str">
        <f aca="false">IF(AND(DM720=1,DN720&lt;=48),"",IF(AND(DM720=2,DN720&lt;=42),"",IF(AND(DM720=3,DN720&lt;=45),"",EH720)))</f>
        <v/>
      </c>
      <c r="EJ720" s="0" t="str">
        <f aca="false">IF(EI720="","",IF(EI720&lt;9,EI720,9))</f>
        <v/>
      </c>
      <c r="EK720" s="0" t="str">
        <f aca="false">IF(EI720="","",IF(EI720&gt;9,EI720-EJ720,0))</f>
        <v/>
      </c>
      <c r="EL720" s="0" t="str">
        <f aca="false">IF(EI720="","",EJ720*DA720*2+EK720*DA720*3)</f>
        <v/>
      </c>
      <c r="EP720" s="0" t="n">
        <v>0</v>
      </c>
      <c r="EQ720" s="0"/>
      <c r="ER720" s="0" t="n">
        <v>0</v>
      </c>
      <c r="ET720" s="0" t="n">
        <v>0</v>
      </c>
      <c r="EV720" s="0" t="n">
        <v>0</v>
      </c>
      <c r="EX720" s="0" t="n">
        <v>0</v>
      </c>
      <c r="EY720" s="0" t="n">
        <v>1</v>
      </c>
      <c r="EZ720" s="4" t="n">
        <v>30000</v>
      </c>
      <c r="FA720" s="4" t="n">
        <v>31656.5</v>
      </c>
      <c r="FB720" s="0" t="n">
        <v>0</v>
      </c>
      <c r="FC720" s="1" t="n">
        <v>41044</v>
      </c>
      <c r="FD720" s="0" t="n">
        <v>1</v>
      </c>
      <c r="FE720" s="0" t="n">
        <v>180000</v>
      </c>
      <c r="FF720" s="120" t="n">
        <f aca="false">(CJ720-CI720+1)/365</f>
        <v>4.15068493150685</v>
      </c>
      <c r="FG720" s="0" t="str">
        <f aca="false">CONCATENATE(F720,"/",G720)</f>
        <v>729/2011</v>
      </c>
      <c r="FH720" s="0" t="n">
        <v>1</v>
      </c>
      <c r="FI720" s="0" t="n">
        <f aca="false">IFERROR(IF((FC720-J720+1)/365&gt;3,0,1),"")</f>
        <v>1</v>
      </c>
    </row>
    <row r="721" customFormat="false" ht="15" hidden="false" customHeight="false" outlineLevel="0" collapsed="false">
      <c r="A721" s="5" t="str">
        <f aca="false">E721&amp;G721&amp;F721</f>
        <v>72011758</v>
      </c>
      <c r="B721" s="0" t="s">
        <v>203</v>
      </c>
      <c r="C721" s="1" t="n">
        <v>42389</v>
      </c>
      <c r="E721" s="0" t="n">
        <v>7</v>
      </c>
      <c r="F721" s="0" t="n">
        <v>758</v>
      </c>
      <c r="G721" s="0" t="n">
        <v>2011</v>
      </c>
      <c r="H721" s="0" t="str">
        <f aca="false">"J"&amp;E721&amp;"\"&amp;F721&amp;"\"&amp;G721&amp;"\"&amp;W721</f>
        <v>J7\758\2011\1</v>
      </c>
      <c r="I721" s="0"/>
      <c r="J721" s="1" t="n">
        <v>40660</v>
      </c>
      <c r="K721" s="0" t="n">
        <v>0</v>
      </c>
      <c r="M721" s="1" t="n">
        <v>40660</v>
      </c>
      <c r="N721" s="1" t="n">
        <v>40787</v>
      </c>
      <c r="O721" s="1"/>
      <c r="P721" s="1"/>
      <c r="Q721" s="1"/>
      <c r="T721" s="121"/>
      <c r="U721" s="121"/>
      <c r="V721" s="122" t="n">
        <f aca="false">IF(AND(E721&gt;0,F721&gt;0,G721&gt;0),COUNTIFS($E:$E,E721,$F:$F,F721,$G:$G,G721),"")</f>
        <v>1</v>
      </c>
      <c r="W721" s="122" t="n">
        <f aca="false">IF(V721="","",IF(V721=1,1,IF(AND(E720=E721,F720=F721,G720=G721),W720+1,1)))</f>
        <v>1</v>
      </c>
      <c r="X721" s="0" t="n">
        <v>1</v>
      </c>
      <c r="Y721" s="0" t="n">
        <v>4</v>
      </c>
      <c r="Z721" s="0" t="s">
        <v>6590</v>
      </c>
      <c r="AA721" s="0" t="n">
        <v>0</v>
      </c>
      <c r="AB721" s="0" t="s">
        <v>348</v>
      </c>
      <c r="AC721" s="0" t="s">
        <v>221</v>
      </c>
      <c r="AD721" s="0" t="s">
        <v>221</v>
      </c>
      <c r="AE721" s="0" t="n">
        <v>0</v>
      </c>
      <c r="AF721" s="0" t="s">
        <v>6591</v>
      </c>
      <c r="AG721" s="0" t="n">
        <v>0</v>
      </c>
      <c r="AH721" s="0" t="s">
        <v>6592</v>
      </c>
      <c r="AI721" s="0" t="s">
        <v>287</v>
      </c>
      <c r="AJ721" s="0" t="s">
        <v>207</v>
      </c>
      <c r="AL721" s="0" t="s">
        <v>6593</v>
      </c>
      <c r="AM721" s="0" t="n">
        <v>1</v>
      </c>
      <c r="AN721" s="0" t="s">
        <v>6592</v>
      </c>
      <c r="AO721" s="0" t="s">
        <v>287</v>
      </c>
      <c r="AP721" s="0" t="s">
        <v>207</v>
      </c>
      <c r="AR721" s="0" t="s">
        <v>6594</v>
      </c>
      <c r="AS721" s="0" t="n">
        <v>1</v>
      </c>
      <c r="AT721" s="0" t="s">
        <v>6592</v>
      </c>
      <c r="AU721" s="0" t="s">
        <v>287</v>
      </c>
      <c r="AV721" s="0" t="s">
        <v>207</v>
      </c>
      <c r="AX721" s="0" t="s">
        <v>213</v>
      </c>
      <c r="AY721" s="0" t="n">
        <v>1</v>
      </c>
      <c r="AZ721" s="0" t="s">
        <v>6592</v>
      </c>
      <c r="BA721" s="0" t="s">
        <v>287</v>
      </c>
      <c r="BB721" s="0" t="s">
        <v>207</v>
      </c>
      <c r="BR721" s="0" t="n">
        <v>3</v>
      </c>
      <c r="BS721" s="0" t="s">
        <v>499</v>
      </c>
      <c r="BT721" s="0" t="s">
        <v>6595</v>
      </c>
      <c r="BU721" s="0" t="s">
        <v>1332</v>
      </c>
      <c r="BV721" s="123"/>
      <c r="BW721" s="123"/>
      <c r="BX721" s="123"/>
      <c r="BY721" s="123"/>
      <c r="CA721" s="0" t="s">
        <v>348</v>
      </c>
      <c r="CD721" s="0" t="s">
        <v>296</v>
      </c>
      <c r="CE721" s="0" t="n">
        <v>0</v>
      </c>
      <c r="CF721" s="0" t="s">
        <v>6596</v>
      </c>
      <c r="CG721" s="0" t="s">
        <v>218</v>
      </c>
      <c r="CI721" s="1" t="n">
        <v>39897</v>
      </c>
      <c r="CJ721" s="1" t="n">
        <v>40612</v>
      </c>
      <c r="CK721" s="124" t="n">
        <v>0.454861111111111</v>
      </c>
      <c r="CL721" s="0" t="s">
        <v>6594</v>
      </c>
      <c r="CM721" s="0" t="n">
        <f aca="false">IF(OR(CI721="",CJ721=""),"",DAYS360(CI721,CJ721)/360)</f>
        <v>1.95833333333333</v>
      </c>
      <c r="CN721" s="0" t="n">
        <f aca="false">IF(OR(CI721="",CJ721=""),"",DAYS360(CI721,CJ721)/30)</f>
        <v>23.5</v>
      </c>
      <c r="CO721" s="0" t="n">
        <f aca="false">IF(OR(CI721="",CJ721=""),"",DAYS360(CI721,CJ721)/7)</f>
        <v>100.714285714286</v>
      </c>
      <c r="CP721" s="0" t="n">
        <f aca="false">IF(OR(CI721="",CJ721=""),"",DAYS360(CI721,CJ721))</f>
        <v>705</v>
      </c>
      <c r="CQ721" s="0" t="s">
        <v>240</v>
      </c>
      <c r="CR721" s="0" t="n">
        <v>1</v>
      </c>
      <c r="CT721" s="0" t="n">
        <v>600</v>
      </c>
      <c r="CU721" s="0" t="n">
        <v>0</v>
      </c>
      <c r="CV721" s="0" t="n">
        <f aca="false">IF(OR(CT721="",CT721="NO ESPECIFICA",CT721="NO MENCIONA"),"",IF(CU721=0,CT721,IF(CU721=1,CT721/30,IF(CU721=2,CT721/15,IF(CU721=3,CT721/7,"")))))</f>
        <v>600</v>
      </c>
      <c r="CW721" s="125" t="n">
        <v>628.33</v>
      </c>
      <c r="CX721" s="0" t="n">
        <v>0</v>
      </c>
      <c r="CY721" s="0" t="n">
        <f aca="false">IF(CW721="","",IF(CX721=0,CW721,IF(CX721=1,CW721/30,IF(CX721=2,CW721/15,IF(CX721=3,CW721/7,CW721)))))</f>
        <v>628.33</v>
      </c>
      <c r="CZ721" s="0" t="n">
        <f aca="false">IF(DI721&gt;0,DI721,IF(CY721&gt;0,CY721,IF(CV721&gt;0,CV721,"")))</f>
        <v>628.33</v>
      </c>
      <c r="DA721" s="0" t="n">
        <f aca="false">IF(DM721=1,CZ721/8,IF(OR(DM721=2,DM721=4),CZ721/7,IF(DM721=3,CZ721/7.5,"")))</f>
        <v>83.7773333333334</v>
      </c>
      <c r="DB721" s="0" t="s">
        <v>303</v>
      </c>
      <c r="DC721" s="0" t="s">
        <v>301</v>
      </c>
      <c r="DD721" s="0" t="s">
        <v>216</v>
      </c>
      <c r="DE721" s="0" t="s">
        <v>216</v>
      </c>
      <c r="DF721" s="0" t="s">
        <v>216</v>
      </c>
      <c r="DG721" s="0" t="s">
        <v>216</v>
      </c>
      <c r="DH721" s="0" t="n">
        <v>0</v>
      </c>
      <c r="DI721" s="126" t="n">
        <v>628.33</v>
      </c>
      <c r="DK721" s="0" t="n">
        <v>0</v>
      </c>
      <c r="DM721" s="0" t="n">
        <v>3</v>
      </c>
      <c r="DN721" s="0" t="n">
        <v>47.5</v>
      </c>
      <c r="DO721" s="0" t="n">
        <v>3</v>
      </c>
      <c r="DP721" s="0" t="n">
        <v>0</v>
      </c>
      <c r="DQ721" s="0" t="n">
        <v>1</v>
      </c>
      <c r="DR721" s="0"/>
      <c r="DS721" s="0" t="n">
        <v>1</v>
      </c>
      <c r="DU721" s="0" t="n">
        <v>1</v>
      </c>
      <c r="DW721" s="1" t="n">
        <v>40262</v>
      </c>
      <c r="DX721" s="1" t="n">
        <v>40612</v>
      </c>
      <c r="DZ721" s="0"/>
      <c r="EA721" s="0" t="n">
        <v>1</v>
      </c>
      <c r="EC721" s="1" t="n">
        <v>40544</v>
      </c>
      <c r="ED721" s="1" t="n">
        <v>40612</v>
      </c>
      <c r="EF721" s="0"/>
      <c r="EG721" s="0" t="n">
        <v>0</v>
      </c>
      <c r="EI721" s="0" t="n">
        <f aca="false">IF(AND(DM721=1,DN721&lt;=48),"",IF(AND(DM721=2,DN721&lt;=42),"",IF(AND(DM721=3,DN721&lt;=45),"",EH721)))</f>
        <v>0</v>
      </c>
      <c r="EJ721" s="0" t="str">
        <f aca="false">IF(EI721="","",IF(EI721&lt;9,EI721,9))</f>
        <v/>
      </c>
      <c r="EK721" s="0" t="str">
        <f aca="false">IF(EI721="","",IF(EI721&gt;9,EI721-EJ721,0))</f>
        <v/>
      </c>
      <c r="EL721" s="0" t="str">
        <f aca="false">IF(EI721="","",EJ721*DA721*2+EK721*DA721*3)</f>
        <v/>
      </c>
      <c r="EP721" s="0" t="n">
        <v>0</v>
      </c>
      <c r="EQ721" s="0"/>
      <c r="ER721" s="0" t="n">
        <v>0</v>
      </c>
      <c r="ET721" s="0" t="n">
        <v>0</v>
      </c>
      <c r="EV721" s="0" t="n">
        <v>0</v>
      </c>
      <c r="EX721" s="0" t="n">
        <v>0</v>
      </c>
      <c r="EY721" s="0" t="n">
        <v>0</v>
      </c>
      <c r="EZ721" s="0"/>
      <c r="FA721" s="4" t="n">
        <v>5654.97</v>
      </c>
      <c r="FB721" s="0" t="n">
        <v>1</v>
      </c>
      <c r="FC721" s="1" t="n">
        <v>42114</v>
      </c>
      <c r="FD721" s="0" t="n">
        <v>2</v>
      </c>
      <c r="FE721" s="0" t="n">
        <v>0</v>
      </c>
      <c r="FF721" s="120" t="n">
        <f aca="false">(CJ721-CI721+1)/365</f>
        <v>1.96164383561644</v>
      </c>
      <c r="FG721" s="0" t="str">
        <f aca="false">CONCATENATE(F721,"/",G721)</f>
        <v>758/2011</v>
      </c>
      <c r="FH721" s="0" t="n">
        <v>1</v>
      </c>
      <c r="FI721" s="0" t="n">
        <f aca="false">IFERROR(IF((FC721-J721+1)/365&gt;3,0,1),"")</f>
        <v>0</v>
      </c>
    </row>
    <row r="722" customFormat="false" ht="15" hidden="false" customHeight="false" outlineLevel="0" collapsed="false">
      <c r="A722" s="5" t="str">
        <f aca="false">E722&amp;G722&amp;F722</f>
        <v>72011759</v>
      </c>
      <c r="B722" s="0" t="s">
        <v>203</v>
      </c>
      <c r="C722" s="1" t="n">
        <v>42389</v>
      </c>
      <c r="E722" s="0" t="n">
        <v>7</v>
      </c>
      <c r="F722" s="0" t="n">
        <v>759</v>
      </c>
      <c r="G722" s="0" t="n">
        <v>2011</v>
      </c>
      <c r="H722" s="0" t="str">
        <f aca="false">"J"&amp;E722&amp;"\"&amp;F722&amp;"\"&amp;G722&amp;"\"&amp;W722</f>
        <v>J7\759\2011\1</v>
      </c>
      <c r="I722" s="0"/>
      <c r="J722" s="1" t="n">
        <v>40660</v>
      </c>
      <c r="K722" s="0" t="n">
        <v>0</v>
      </c>
      <c r="M722" s="1"/>
      <c r="N722" s="1"/>
      <c r="O722" s="1"/>
      <c r="P722" s="1"/>
      <c r="Q722" s="1"/>
      <c r="T722" s="121"/>
      <c r="U722" s="121"/>
      <c r="V722" s="122" t="n">
        <f aca="false">IF(AND(E722&gt;0,F722&gt;0,G722&gt;0),COUNTIFS($E:$E,E722,$F:$F,F722,$G:$G,G722),"")</f>
        <v>1</v>
      </c>
      <c r="W722" s="122" t="n">
        <f aca="false">IF(V722="","",IF(V722=1,1,IF(AND(E721=E722,F721=F722,G721=G722),W721+1,1)))</f>
        <v>1</v>
      </c>
      <c r="X722" s="0" t="n">
        <v>1</v>
      </c>
      <c r="Y722" s="0" t="n">
        <v>3</v>
      </c>
      <c r="Z722" s="0" t="s">
        <v>6597</v>
      </c>
      <c r="AA722" s="0" t="n">
        <v>0</v>
      </c>
      <c r="AB722" s="0" t="s">
        <v>348</v>
      </c>
      <c r="AC722" s="0" t="s">
        <v>221</v>
      </c>
      <c r="AD722" s="0" t="s">
        <v>221</v>
      </c>
      <c r="AE722" s="0" t="n">
        <v>0</v>
      </c>
      <c r="AF722" s="0" t="s">
        <v>6598</v>
      </c>
      <c r="AG722" s="0" t="n">
        <v>0</v>
      </c>
      <c r="AH722" s="0" t="s">
        <v>6599</v>
      </c>
      <c r="AI722" s="0" t="s">
        <v>6600</v>
      </c>
      <c r="AJ722" s="0" t="s">
        <v>755</v>
      </c>
      <c r="AL722" s="0" t="s">
        <v>6601</v>
      </c>
      <c r="AM722" s="0" t="n">
        <v>1</v>
      </c>
      <c r="AN722" s="0" t="s">
        <v>6599</v>
      </c>
      <c r="AO722" s="0" t="s">
        <v>6600</v>
      </c>
      <c r="AP722" s="0" t="s">
        <v>755</v>
      </c>
      <c r="AR722" s="0" t="s">
        <v>213</v>
      </c>
      <c r="AS722" s="0" t="n">
        <v>1</v>
      </c>
      <c r="AT722" s="0" t="s">
        <v>6599</v>
      </c>
      <c r="AU722" s="0" t="s">
        <v>6600</v>
      </c>
      <c r="AV722" s="0" t="s">
        <v>755</v>
      </c>
      <c r="BR722" s="0" t="n">
        <v>3</v>
      </c>
      <c r="BS722" s="0" t="s">
        <v>499</v>
      </c>
      <c r="BT722" s="0" t="s">
        <v>6595</v>
      </c>
      <c r="BU722" s="0" t="s">
        <v>1332</v>
      </c>
      <c r="BV722" s="123"/>
      <c r="BW722" s="123"/>
      <c r="BX722" s="123"/>
      <c r="BY722" s="123"/>
      <c r="CA722" s="0" t="s">
        <v>348</v>
      </c>
      <c r="CD722" s="0" t="s">
        <v>556</v>
      </c>
      <c r="CE722" s="0" t="n">
        <v>0</v>
      </c>
      <c r="CF722" s="0" t="s">
        <v>5388</v>
      </c>
      <c r="CG722" s="0" t="s">
        <v>6602</v>
      </c>
      <c r="CH722" s="0" t="n">
        <v>1</v>
      </c>
      <c r="CI722" s="1" t="n">
        <v>40534</v>
      </c>
      <c r="CJ722" s="1" t="n">
        <v>40624</v>
      </c>
      <c r="CK722" s="124" t="n">
        <v>0.375</v>
      </c>
      <c r="CL722" s="0" t="s">
        <v>6601</v>
      </c>
      <c r="CM722" s="0" t="n">
        <f aca="false">IF(OR(CI722="",CJ722=""),"",DAYS360(CI722,CJ722)/360)</f>
        <v>0.25</v>
      </c>
      <c r="CN722" s="0" t="n">
        <f aca="false">IF(OR(CI722="",CJ722=""),"",DAYS360(CI722,CJ722)/30)</f>
        <v>3</v>
      </c>
      <c r="CO722" s="0" t="n">
        <f aca="false">IF(OR(CI722="",CJ722=""),"",DAYS360(CI722,CJ722)/7)</f>
        <v>12.8571428571429</v>
      </c>
      <c r="CP722" s="0" t="n">
        <f aca="false">IF(OR(CI722="",CJ722=""),"",DAYS360(CI722,CJ722))</f>
        <v>90</v>
      </c>
      <c r="CQ722" s="0" t="s">
        <v>240</v>
      </c>
      <c r="CR722" s="0" t="n">
        <v>1</v>
      </c>
      <c r="CT722" s="0" t="n">
        <v>285.71</v>
      </c>
      <c r="CU722" s="0" t="n">
        <v>0</v>
      </c>
      <c r="CV722" s="0" t="n">
        <f aca="false">IF(OR(CT722="",CT722="NO ESPECIFICA",CT722="NO MENCIONA"),"",IF(CU722=0,CT722,IF(CU722=1,CT722/30,IF(CU722=2,CT722/15,IF(CU722=3,CT722/7,"")))))</f>
        <v>285.71</v>
      </c>
      <c r="CW722" s="125" t="n">
        <v>298.62</v>
      </c>
      <c r="CX722" s="0" t="n">
        <v>0</v>
      </c>
      <c r="CY722" s="0" t="n">
        <f aca="false">IF(CW722="","",IF(CX722=0,CW722,IF(CX722=1,CW722/30,IF(CX722=2,CW722/15,IF(CX722=3,CW722/7,CW722)))))</f>
        <v>298.62</v>
      </c>
      <c r="CZ722" s="0" t="n">
        <f aca="false">IF(DI722&gt;0,DI722,IF(CY722&gt;0,CY722,IF(CV722&gt;0,CV722,"")))</f>
        <v>298.62</v>
      </c>
      <c r="DA722" s="0" t="n">
        <f aca="false">IF(DM722=1,CZ722/8,IF(OR(DM722=2,DM722=4),CZ722/7,IF(DM722=3,CZ722/7.5,"")))</f>
        <v>37.3275</v>
      </c>
      <c r="DB722" s="0" t="s">
        <v>303</v>
      </c>
      <c r="DC722" s="0" t="s">
        <v>301</v>
      </c>
      <c r="DD722" s="0" t="s">
        <v>216</v>
      </c>
      <c r="DE722" s="0" t="s">
        <v>216</v>
      </c>
      <c r="DF722" s="0" t="s">
        <v>216</v>
      </c>
      <c r="DG722" s="0" t="s">
        <v>216</v>
      </c>
      <c r="DH722" s="0" t="n">
        <v>0</v>
      </c>
      <c r="DI722" s="126" t="n">
        <v>298.62</v>
      </c>
      <c r="DK722" s="0" t="n">
        <v>0</v>
      </c>
      <c r="DM722" s="0" t="n">
        <v>1</v>
      </c>
      <c r="DN722" s="0" t="n">
        <v>60</v>
      </c>
      <c r="DO722" s="0" t="n">
        <v>3</v>
      </c>
      <c r="DP722" s="0" t="n">
        <v>0</v>
      </c>
      <c r="DQ722" s="0" t="n">
        <v>1</v>
      </c>
      <c r="DR722" s="0"/>
      <c r="DS722" s="0" t="n">
        <v>1</v>
      </c>
      <c r="DU722" s="0" t="n">
        <v>1</v>
      </c>
      <c r="DW722" s="1" t="n">
        <v>40534</v>
      </c>
      <c r="DX722" s="1" t="n">
        <v>40624</v>
      </c>
      <c r="DZ722" s="0"/>
      <c r="EA722" s="0" t="n">
        <v>1</v>
      </c>
      <c r="EC722" s="1" t="n">
        <v>40534</v>
      </c>
      <c r="ED722" s="1" t="n">
        <v>40624</v>
      </c>
      <c r="EF722" s="0"/>
      <c r="EG722" s="0" t="n">
        <v>0</v>
      </c>
      <c r="EI722" s="0" t="n">
        <f aca="false">IF(AND(DM722=1,DN722&lt;=48),"",IF(AND(DM722=2,DN722&lt;=42),"",IF(AND(DM722=3,DN722&lt;=45),"",EH722)))</f>
        <v>0</v>
      </c>
      <c r="EJ722" s="0" t="str">
        <f aca="false">IF(EI722="","",IF(EI722&lt;9,EI722,9))</f>
        <v/>
      </c>
      <c r="EK722" s="0" t="str">
        <f aca="false">IF(EI722="","",IF(EI722&gt;9,EI722-EJ722,0))</f>
        <v/>
      </c>
      <c r="EL722" s="0" t="str">
        <f aca="false">IF(EI722="","",EJ722*DA722*2+EK722*DA722*3)</f>
        <v/>
      </c>
      <c r="EP722" s="0" t="n">
        <v>0</v>
      </c>
      <c r="EQ722" s="0"/>
      <c r="ER722" s="0" t="n">
        <v>0</v>
      </c>
      <c r="ET722" s="0" t="n">
        <v>0</v>
      </c>
      <c r="EV722" s="0" t="n">
        <v>0</v>
      </c>
      <c r="EX722" s="0" t="n">
        <v>0</v>
      </c>
      <c r="EY722" s="0" t="n">
        <v>0</v>
      </c>
      <c r="EZ722" s="0"/>
      <c r="FA722" s="4" t="n">
        <v>805.86</v>
      </c>
      <c r="FB722" s="0" t="n">
        <v>1</v>
      </c>
      <c r="FC722" s="1" t="n">
        <v>41729</v>
      </c>
      <c r="FD722" s="0" t="n">
        <v>2</v>
      </c>
      <c r="FE722" s="0" t="n">
        <v>0</v>
      </c>
      <c r="FF722" s="120" t="n">
        <f aca="false">(CJ722-CI722+1)/365</f>
        <v>0.249315068493151</v>
      </c>
      <c r="FG722" s="0" t="str">
        <f aca="false">CONCATENATE(F722,"/",G722)</f>
        <v>759/2011</v>
      </c>
      <c r="FH722" s="0" t="n">
        <v>1</v>
      </c>
      <c r="FI722" s="0" t="n">
        <f aca="false">IFERROR(IF((FC722-J722+1)/365&gt;3,0,1),"")</f>
        <v>1</v>
      </c>
    </row>
    <row r="723" customFormat="false" ht="15" hidden="false" customHeight="false" outlineLevel="0" collapsed="false">
      <c r="A723" s="5" t="str">
        <f aca="false">E723&amp;G723&amp;F723</f>
        <v>72011765</v>
      </c>
      <c r="B723" s="0" t="s">
        <v>203</v>
      </c>
      <c r="C723" s="1" t="n">
        <v>42389</v>
      </c>
      <c r="E723" s="0" t="n">
        <v>7</v>
      </c>
      <c r="F723" s="0" t="n">
        <v>765</v>
      </c>
      <c r="G723" s="0" t="n">
        <v>2011</v>
      </c>
      <c r="H723" s="0" t="str">
        <f aca="false">"J"&amp;E723&amp;"\"&amp;F723&amp;"\"&amp;G723&amp;"\"&amp;W723</f>
        <v>J7\765\2011\1</v>
      </c>
      <c r="I723" s="0"/>
      <c r="J723" s="1" t="n">
        <v>40661</v>
      </c>
      <c r="K723" s="0" t="n">
        <v>0</v>
      </c>
      <c r="M723" s="1"/>
      <c r="N723" s="1"/>
      <c r="O723" s="1"/>
      <c r="P723" s="1"/>
      <c r="Q723" s="1"/>
      <c r="T723" s="121"/>
      <c r="U723" s="121"/>
      <c r="V723" s="122" t="n">
        <f aca="false">IF(AND(E723&gt;0,F723&gt;0,G723&gt;0),COUNTIFS($E:$E,E723,$F:$F,F723,$G:$G,G723),"")</f>
        <v>1</v>
      </c>
      <c r="W723" s="122" t="n">
        <f aca="false">IF(V723="","",IF(V723=1,1,IF(AND(E722=E723,F722=F723,G722=G723),W722+1,1)))</f>
        <v>1</v>
      </c>
      <c r="X723" s="0" t="n">
        <v>1</v>
      </c>
      <c r="Y723" s="0" t="n">
        <v>7</v>
      </c>
      <c r="Z723" s="0" t="s">
        <v>6603</v>
      </c>
      <c r="AA723" s="0" t="n">
        <v>0</v>
      </c>
      <c r="AB723" s="0" t="s">
        <v>6604</v>
      </c>
      <c r="AC723" s="0" t="s">
        <v>6605</v>
      </c>
      <c r="AD723" s="0" t="s">
        <v>485</v>
      </c>
      <c r="AE723" s="0" t="n">
        <v>0</v>
      </c>
      <c r="AF723" s="0" t="s">
        <v>6606</v>
      </c>
      <c r="AG723" s="0" t="n">
        <v>0</v>
      </c>
      <c r="AH723" s="0" t="s">
        <v>6607</v>
      </c>
      <c r="AI723" s="0" t="s">
        <v>251</v>
      </c>
      <c r="AJ723" s="0" t="s">
        <v>229</v>
      </c>
      <c r="AL723" s="0" t="s">
        <v>6608</v>
      </c>
      <c r="AM723" s="0" t="n">
        <v>0</v>
      </c>
      <c r="AN723" s="0" t="s">
        <v>6607</v>
      </c>
      <c r="AO723" s="0" t="s">
        <v>251</v>
      </c>
      <c r="AP723" s="0" t="s">
        <v>229</v>
      </c>
      <c r="AR723" s="0" t="s">
        <v>6609</v>
      </c>
      <c r="AS723" s="0" t="n">
        <v>0</v>
      </c>
      <c r="AT723" s="0" t="s">
        <v>6607</v>
      </c>
      <c r="AU723" s="0" t="s">
        <v>251</v>
      </c>
      <c r="AV723" s="0" t="s">
        <v>229</v>
      </c>
      <c r="AX723" s="0" t="s">
        <v>6610</v>
      </c>
      <c r="AY723" s="0" t="n">
        <v>1</v>
      </c>
      <c r="AZ723" s="0" t="s">
        <v>6607</v>
      </c>
      <c r="BA723" s="0" t="s">
        <v>251</v>
      </c>
      <c r="BB723" s="0" t="s">
        <v>229</v>
      </c>
      <c r="BD723" s="0" t="s">
        <v>6611</v>
      </c>
      <c r="BE723" s="0" t="n">
        <v>1</v>
      </c>
      <c r="BF723" s="0" t="s">
        <v>6607</v>
      </c>
      <c r="BG723" s="0" t="s">
        <v>251</v>
      </c>
      <c r="BH723" s="0" t="s">
        <v>229</v>
      </c>
      <c r="BJ723" s="0" t="s">
        <v>6612</v>
      </c>
      <c r="BK723" s="0" t="n">
        <v>1</v>
      </c>
      <c r="BL723" s="0" t="s">
        <v>6607</v>
      </c>
      <c r="BM723" s="0" t="s">
        <v>251</v>
      </c>
      <c r="BN723" s="0" t="s">
        <v>229</v>
      </c>
      <c r="BR723" s="0" t="n">
        <v>1</v>
      </c>
      <c r="BS723" s="0" t="s">
        <v>6613</v>
      </c>
      <c r="BT723" s="0" t="s">
        <v>6614</v>
      </c>
      <c r="BU723" s="0" t="s">
        <v>6615</v>
      </c>
      <c r="BV723" s="123"/>
      <c r="BW723" s="123"/>
      <c r="BX723" s="123"/>
      <c r="BY723" s="123"/>
      <c r="CA723" s="0" t="s">
        <v>216</v>
      </c>
      <c r="CD723" s="0" t="s">
        <v>296</v>
      </c>
      <c r="CE723" s="0" t="n">
        <v>0</v>
      </c>
      <c r="CF723" s="0" t="s">
        <v>6616</v>
      </c>
      <c r="CG723" s="0" t="s">
        <v>218</v>
      </c>
      <c r="CI723" s="1" t="n">
        <v>39738</v>
      </c>
      <c r="CJ723" s="1" t="n">
        <v>40613</v>
      </c>
      <c r="CK723" s="124" t="n">
        <v>0.541666666666667</v>
      </c>
      <c r="CL723" s="0" t="s">
        <v>6611</v>
      </c>
      <c r="CM723" s="0" t="n">
        <f aca="false">IF(OR(CI723="",CJ723=""),"",DAYS360(CI723,CJ723)/360)</f>
        <v>2.4</v>
      </c>
      <c r="CN723" s="0" t="n">
        <f aca="false">IF(OR(CI723="",CJ723=""),"",DAYS360(CI723,CJ723)/30)</f>
        <v>28.8</v>
      </c>
      <c r="CO723" s="0" t="n">
        <f aca="false">IF(OR(CI723="",CJ723=""),"",DAYS360(CI723,CJ723)/7)</f>
        <v>123.428571428571</v>
      </c>
      <c r="CP723" s="0" t="n">
        <f aca="false">IF(OR(CI723="",CJ723=""),"",DAYS360(CI723,CJ723))</f>
        <v>864</v>
      </c>
      <c r="CQ723" s="0" t="s">
        <v>220</v>
      </c>
      <c r="CR723" s="0" t="n">
        <v>1</v>
      </c>
      <c r="CT723" s="0" t="s">
        <v>221</v>
      </c>
      <c r="CU723" s="0" t="s">
        <v>221</v>
      </c>
      <c r="CV723" s="0" t="str">
        <f aca="false">IF(OR(CT723="",CT723="NO ESPECIFICA",CT723="NO MENCIONA"),"",IF(CU723=0,CT723,IF(CU723=1,CT723/30,IF(CU723=2,CT723/15,IF(CU723=3,CT723/7,"")))))</f>
        <v/>
      </c>
      <c r="CW723" s="125" t="n">
        <v>5200</v>
      </c>
      <c r="CX723" s="0" t="n">
        <v>1</v>
      </c>
      <c r="CY723" s="0" t="n">
        <f aca="false">IF(CW723="","",IF(CX723=0,CW723,IF(CX723=1,CW723/30,IF(CX723=2,CW723/15,IF(CX723=3,CW723/7,CW723)))))</f>
        <v>173.333333333333</v>
      </c>
      <c r="CZ723" s="0" t="n">
        <f aca="false">IF(DI723&gt;0,DI723,IF(CY723&gt;0,CY723,IF(CV723&gt;0,CV723,"")))</f>
        <v>173.33</v>
      </c>
      <c r="DA723" s="0" t="n">
        <f aca="false">IF(DM723=1,CZ723/8,IF(OR(DM723=2,DM723=4),CZ723/7,IF(DM723=3,CZ723/7.5,"")))</f>
        <v>21.66625</v>
      </c>
      <c r="DB723" s="0" t="s">
        <v>216</v>
      </c>
      <c r="DC723" s="0" t="s">
        <v>216</v>
      </c>
      <c r="DD723" s="0" t="s">
        <v>216</v>
      </c>
      <c r="DE723" s="0" t="s">
        <v>216</v>
      </c>
      <c r="DF723" s="0" t="s">
        <v>216</v>
      </c>
      <c r="DG723" s="0" t="s">
        <v>216</v>
      </c>
      <c r="DH723" s="0" t="n">
        <v>0</v>
      </c>
      <c r="DI723" s="126" t="n">
        <v>173.33</v>
      </c>
      <c r="DK723" s="0" t="n">
        <v>1</v>
      </c>
      <c r="DM723" s="0" t="n">
        <v>1</v>
      </c>
      <c r="DN723" s="0" t="n">
        <v>40</v>
      </c>
      <c r="DO723" s="0" t="n">
        <v>3</v>
      </c>
      <c r="DP723" s="0" t="n">
        <v>1</v>
      </c>
      <c r="DQ723" s="0" t="n">
        <v>0</v>
      </c>
      <c r="DR723" s="0"/>
      <c r="DS723" s="0" t="n">
        <v>1</v>
      </c>
      <c r="DU723" s="0" t="n">
        <v>1</v>
      </c>
      <c r="DW723" s="1" t="s">
        <v>216</v>
      </c>
      <c r="DX723" s="1" t="s">
        <v>216</v>
      </c>
      <c r="DY723" s="0" t="s">
        <v>216</v>
      </c>
      <c r="DZ723" s="0" t="s">
        <v>216</v>
      </c>
      <c r="EA723" s="0" t="n">
        <v>1</v>
      </c>
      <c r="EC723" s="1" t="n">
        <v>40179</v>
      </c>
      <c r="ED723" s="1" t="n">
        <v>40543</v>
      </c>
      <c r="EF723" s="0"/>
      <c r="EG723" s="0" t="n">
        <v>0</v>
      </c>
      <c r="EI723" s="0" t="str">
        <f aca="false">IF(AND(DM723=1,DN723&lt;=48),"",IF(AND(DM723=2,DN723&lt;=42),"",IF(AND(DM723=3,DN723&lt;=45),"",EH723)))</f>
        <v/>
      </c>
      <c r="EJ723" s="0" t="str">
        <f aca="false">IF(EI723="","",IF(EI723&lt;9,EI723,9))</f>
        <v/>
      </c>
      <c r="EK723" s="0" t="str">
        <f aca="false">IF(EI723="","",IF(EI723&gt;9,EI723-EJ723,0))</f>
        <v/>
      </c>
      <c r="EL723" s="0" t="str">
        <f aca="false">IF(EI723="","",EJ723*DA723*2+EK723*DA723*3)</f>
        <v/>
      </c>
      <c r="EP723" s="0" t="n">
        <v>1</v>
      </c>
      <c r="EQ723" s="0"/>
      <c r="ER723" s="0" t="n">
        <v>0</v>
      </c>
      <c r="ET723" s="0" t="n">
        <v>0</v>
      </c>
      <c r="EV723" s="0" t="n">
        <v>0</v>
      </c>
      <c r="EX723" s="0" t="n">
        <v>0</v>
      </c>
      <c r="EY723" s="0" t="n">
        <v>0</v>
      </c>
      <c r="EZ723" s="0"/>
      <c r="FA723" s="4" t="n">
        <v>0</v>
      </c>
      <c r="FB723" s="0" t="n">
        <v>1</v>
      </c>
      <c r="FC723" s="1" t="n">
        <v>41082</v>
      </c>
      <c r="FD723" s="0" t="n">
        <v>1</v>
      </c>
      <c r="FE723" s="0" t="n">
        <v>17000</v>
      </c>
      <c r="FF723" s="120" t="n">
        <f aca="false">(CJ723-CI723+1)/365</f>
        <v>2.4</v>
      </c>
      <c r="FG723" s="0" t="str">
        <f aca="false">CONCATENATE(F723,"/",G723)</f>
        <v>765/2011</v>
      </c>
      <c r="FH723" s="0" t="n">
        <v>1</v>
      </c>
      <c r="FI723" s="0" t="n">
        <f aca="false">IFERROR(IF((FC723-J723+1)/365&gt;3,0,1),"")</f>
        <v>1</v>
      </c>
    </row>
    <row r="724" customFormat="false" ht="15" hidden="false" customHeight="false" outlineLevel="0" collapsed="false">
      <c r="A724" s="5" t="str">
        <f aca="false">E724&amp;G724&amp;F724</f>
        <v>72011767</v>
      </c>
      <c r="B724" s="0" t="s">
        <v>203</v>
      </c>
      <c r="C724" s="1" t="n">
        <v>42389</v>
      </c>
      <c r="E724" s="0" t="n">
        <v>7</v>
      </c>
      <c r="F724" s="0" t="n">
        <v>767</v>
      </c>
      <c r="G724" s="0" t="n">
        <v>2011</v>
      </c>
      <c r="H724" s="0" t="str">
        <f aca="false">"J"&amp;E724&amp;"\"&amp;F724&amp;"\"&amp;G724&amp;"\"&amp;W724</f>
        <v>J7\767\2011\1</v>
      </c>
      <c r="I724" s="0"/>
      <c r="J724" s="1" t="n">
        <v>40661</v>
      </c>
      <c r="K724" s="0" t="n">
        <v>0</v>
      </c>
      <c r="M724" s="1"/>
      <c r="N724" s="1"/>
      <c r="O724" s="1"/>
      <c r="P724" s="1"/>
      <c r="Q724" s="1"/>
      <c r="T724" s="121"/>
      <c r="U724" s="121"/>
      <c r="V724" s="122" t="n">
        <f aca="false">IF(AND(E724&gt;0,F724&gt;0,G724&gt;0),COUNTIFS($E:$E,E724,$F:$F,F724,$G:$G,G724),"")</f>
        <v>1</v>
      </c>
      <c r="W724" s="122" t="n">
        <f aca="false">IF(V724="","",IF(V724=1,1,IF(AND(E723=E724,F723=F724,G723=G724),W723+1,1)))</f>
        <v>1</v>
      </c>
      <c r="X724" s="0" t="n">
        <v>1</v>
      </c>
      <c r="Y724" s="0" t="n">
        <v>4</v>
      </c>
      <c r="Z724" s="0" t="s">
        <v>6617</v>
      </c>
      <c r="AA724" s="0" t="n">
        <v>0</v>
      </c>
      <c r="AB724" s="0" t="s">
        <v>348</v>
      </c>
      <c r="AC724" s="0" t="s">
        <v>221</v>
      </c>
      <c r="AD724" s="0" t="s">
        <v>221</v>
      </c>
      <c r="AE724" s="0" t="n">
        <v>0</v>
      </c>
      <c r="AF724" s="0" t="s">
        <v>6618</v>
      </c>
      <c r="AG724" s="0" t="n">
        <v>0</v>
      </c>
      <c r="AH724" s="0" t="s">
        <v>6619</v>
      </c>
      <c r="AI724" s="0" t="s">
        <v>287</v>
      </c>
      <c r="AJ724" s="0" t="s">
        <v>207</v>
      </c>
      <c r="AL724" s="0" t="s">
        <v>6620</v>
      </c>
      <c r="AM724" s="0" t="n">
        <v>0</v>
      </c>
      <c r="AN724" s="0" t="s">
        <v>6619</v>
      </c>
      <c r="AO724" s="0" t="s">
        <v>287</v>
      </c>
      <c r="AP724" s="0" t="s">
        <v>207</v>
      </c>
      <c r="AR724" s="0" t="s">
        <v>6621</v>
      </c>
      <c r="AS724" s="0" t="n">
        <v>1</v>
      </c>
      <c r="AT724" s="0" t="s">
        <v>6619</v>
      </c>
      <c r="AU724" s="0" t="s">
        <v>287</v>
      </c>
      <c r="AV724" s="0" t="s">
        <v>207</v>
      </c>
      <c r="AX724" s="0" t="s">
        <v>213</v>
      </c>
      <c r="AY724" s="0" t="n">
        <v>1</v>
      </c>
      <c r="AZ724" s="0" t="s">
        <v>6619</v>
      </c>
      <c r="BA724" s="0" t="s">
        <v>287</v>
      </c>
      <c r="BB724" s="0" t="s">
        <v>207</v>
      </c>
      <c r="BR724" s="0" t="n">
        <v>3</v>
      </c>
      <c r="BS724" s="0" t="s">
        <v>499</v>
      </c>
      <c r="BT724" s="0" t="s">
        <v>6595</v>
      </c>
      <c r="BU724" s="0" t="s">
        <v>1332</v>
      </c>
      <c r="BV724" s="123"/>
      <c r="BW724" s="123"/>
      <c r="BX724" s="123"/>
      <c r="BY724" s="123"/>
      <c r="CA724" s="0" t="s">
        <v>348</v>
      </c>
      <c r="CD724" s="0" t="s">
        <v>296</v>
      </c>
      <c r="CE724" s="0" t="n">
        <v>0</v>
      </c>
      <c r="CF724" s="0" t="s">
        <v>6622</v>
      </c>
      <c r="CG724" s="0" t="s">
        <v>218</v>
      </c>
      <c r="CI724" s="1" t="n">
        <v>39016</v>
      </c>
      <c r="CJ724" s="1" t="n">
        <v>40602</v>
      </c>
      <c r="CK724" s="124" t="n">
        <v>0.5</v>
      </c>
      <c r="CL724" s="0" t="s">
        <v>6621</v>
      </c>
      <c r="CM724" s="0" t="n">
        <f aca="false">IF(OR(CI724="",CJ724=""),"",DAYS360(CI724,CJ724)/360)</f>
        <v>4.33888888888889</v>
      </c>
      <c r="CN724" s="0" t="n">
        <f aca="false">IF(OR(CI724="",CJ724=""),"",DAYS360(CI724,CJ724)/30)</f>
        <v>52.0666666666667</v>
      </c>
      <c r="CO724" s="0" t="n">
        <f aca="false">IF(OR(CI724="",CJ724=""),"",DAYS360(CI724,CJ724)/7)</f>
        <v>223.142857142857</v>
      </c>
      <c r="CP724" s="0" t="n">
        <f aca="false">IF(OR(CI724="",CJ724=""),"",DAYS360(CI724,CJ724))</f>
        <v>1562</v>
      </c>
      <c r="CQ724" s="0" t="s">
        <v>240</v>
      </c>
      <c r="CR724" s="0" t="n">
        <v>1</v>
      </c>
      <c r="CT724" s="0" t="n">
        <v>346.66</v>
      </c>
      <c r="CU724" s="0" t="n">
        <v>0</v>
      </c>
      <c r="CV724" s="0" t="n">
        <f aca="false">IF(OR(CT724="",CT724="NO ESPECIFICA",CT724="NO MENCIONA"),"",IF(CU724=0,CT724,IF(CU724=1,CT724/30,IF(CU724=2,CT724/15,IF(CU724=3,CT724/7,"")))))</f>
        <v>346.66</v>
      </c>
      <c r="CW724" s="125" t="n">
        <v>363.74</v>
      </c>
      <c r="CX724" s="0" t="n">
        <v>0</v>
      </c>
      <c r="CY724" s="0" t="n">
        <f aca="false">IF(CW724="","",IF(CX724=0,CW724,IF(CX724=1,CW724/30,IF(CX724=2,CW724/15,IF(CX724=3,CW724/7,CW724)))))</f>
        <v>363.74</v>
      </c>
      <c r="CZ724" s="0" t="n">
        <f aca="false">IF(DI724&gt;0,DI724,IF(CY724&gt;0,CY724,IF(CV724&gt;0,CV724,"")))</f>
        <v>363.74</v>
      </c>
      <c r="DA724" s="0" t="n">
        <f aca="false">IF(DM724=1,CZ724/8,IF(OR(DM724=2,DM724=4),CZ724/7,IF(DM724=3,CZ724/7.5,"")))</f>
        <v>45.4675</v>
      </c>
      <c r="DB724" s="0" t="s">
        <v>303</v>
      </c>
      <c r="DC724" s="0" t="s">
        <v>301</v>
      </c>
      <c r="DD724" s="0" t="s">
        <v>216</v>
      </c>
      <c r="DE724" s="0" t="s">
        <v>216</v>
      </c>
      <c r="DF724" s="0" t="s">
        <v>216</v>
      </c>
      <c r="DG724" s="0" t="s">
        <v>216</v>
      </c>
      <c r="DH724" s="0" t="n">
        <v>0</v>
      </c>
      <c r="DI724" s="126" t="n">
        <v>363.74</v>
      </c>
      <c r="DK724" s="0" t="n">
        <v>0</v>
      </c>
      <c r="DM724" s="0" t="n">
        <v>1</v>
      </c>
      <c r="DN724" s="0" t="n">
        <v>45</v>
      </c>
      <c r="DO724" s="0" t="n">
        <v>3</v>
      </c>
      <c r="DP724" s="0" t="n">
        <v>0</v>
      </c>
      <c r="DQ724" s="0" t="n">
        <v>1</v>
      </c>
      <c r="DR724" s="0"/>
      <c r="DS724" s="0" t="n">
        <v>1</v>
      </c>
      <c r="DU724" s="0" t="n">
        <v>1</v>
      </c>
      <c r="DW724" s="1" t="n">
        <v>39016</v>
      </c>
      <c r="DX724" s="1" t="n">
        <v>40602</v>
      </c>
      <c r="DZ724" s="0"/>
      <c r="EA724" s="0" t="n">
        <v>1</v>
      </c>
      <c r="EC724" s="1" t="n">
        <v>39016</v>
      </c>
      <c r="ED724" s="1" t="n">
        <v>40602</v>
      </c>
      <c r="EF724" s="0"/>
      <c r="EG724" s="0" t="n">
        <v>0</v>
      </c>
      <c r="EI724" s="0" t="str">
        <f aca="false">IF(AND(DM724=1,DN724&lt;=48),"",IF(AND(DM724=2,DN724&lt;=42),"",IF(AND(DM724=3,DN724&lt;=45),"",EH724)))</f>
        <v/>
      </c>
      <c r="EJ724" s="0" t="str">
        <f aca="false">IF(EI724="","",IF(EI724&lt;9,EI724,9))</f>
        <v/>
      </c>
      <c r="EK724" s="0" t="str">
        <f aca="false">IF(EI724="","",IF(EI724&gt;9,EI724-EJ724,0))</f>
        <v/>
      </c>
      <c r="EL724" s="0" t="str">
        <f aca="false">IF(EI724="","",EJ724*DA724*2+EK724*DA724*3)</f>
        <v/>
      </c>
      <c r="EP724" s="0" t="n">
        <v>0</v>
      </c>
      <c r="EQ724" s="0"/>
      <c r="ER724" s="0" t="n">
        <v>0</v>
      </c>
      <c r="ET724" s="0" t="n">
        <v>0</v>
      </c>
      <c r="EV724" s="0" t="n">
        <v>0</v>
      </c>
      <c r="EX724" s="0" t="n">
        <v>0</v>
      </c>
      <c r="EY724" s="0" t="n">
        <v>0</v>
      </c>
      <c r="EZ724" s="0"/>
      <c r="FA724" s="4" t="n">
        <v>0</v>
      </c>
      <c r="FB724" s="0" t="n">
        <v>0</v>
      </c>
      <c r="FC724" s="1" t="n">
        <v>40662</v>
      </c>
      <c r="FD724" s="0" t="n">
        <v>2</v>
      </c>
      <c r="FE724" s="0" t="n">
        <v>0</v>
      </c>
      <c r="FF724" s="120" t="n">
        <f aca="false">(CJ724-CI724+1)/365</f>
        <v>4.34794520547945</v>
      </c>
      <c r="FG724" s="0" t="str">
        <f aca="false">CONCATENATE(F724,"/",G724)</f>
        <v>767/2011</v>
      </c>
      <c r="FH724" s="0" t="n">
        <v>1</v>
      </c>
      <c r="FI724" s="0" t="n">
        <f aca="false">IFERROR(IF((FC724-J724+1)/365&gt;3,0,1),"")</f>
        <v>1</v>
      </c>
    </row>
    <row r="725" customFormat="false" ht="15" hidden="false" customHeight="false" outlineLevel="0" collapsed="false">
      <c r="A725" s="5" t="str">
        <f aca="false">E725&amp;G725&amp;F725</f>
        <v>72011776</v>
      </c>
      <c r="B725" s="0" t="s">
        <v>203</v>
      </c>
      <c r="C725" s="1" t="n">
        <v>42389</v>
      </c>
      <c r="E725" s="0" t="n">
        <v>7</v>
      </c>
      <c r="F725" s="0" t="n">
        <v>776</v>
      </c>
      <c r="G725" s="0" t="n">
        <v>2011</v>
      </c>
      <c r="H725" s="0" t="str">
        <f aca="false">"J"&amp;E725&amp;"\"&amp;F725&amp;"\"&amp;G725&amp;"\"&amp;W725</f>
        <v>J7\776\2011\1</v>
      </c>
      <c r="I725" s="0"/>
      <c r="J725" s="1" t="n">
        <v>40665</v>
      </c>
      <c r="K725" s="0" t="n">
        <v>0</v>
      </c>
      <c r="M725" s="1"/>
      <c r="N725" s="1"/>
      <c r="O725" s="1"/>
      <c r="P725" s="1"/>
      <c r="Q725" s="1"/>
      <c r="T725" s="121"/>
      <c r="U725" s="121"/>
      <c r="V725" s="122" t="n">
        <f aca="false">IF(AND(E725&gt;0,F725&gt;0,G725&gt;0),COUNTIFS($E:$E,E725,$F:$F,F725,$G:$G,G725),"")</f>
        <v>1</v>
      </c>
      <c r="W725" s="122" t="n">
        <f aca="false">IF(V725="","",IF(V725=1,1,IF(AND(E724=E725,F724=F725,G724=G725),W724+1,1)))</f>
        <v>1</v>
      </c>
      <c r="X725" s="0" t="n">
        <v>1</v>
      </c>
      <c r="Y725" s="0" t="n">
        <v>7</v>
      </c>
      <c r="Z725" s="0" t="s">
        <v>4835</v>
      </c>
      <c r="AA725" s="0" t="n">
        <v>0</v>
      </c>
      <c r="AB725" s="0" t="s">
        <v>6623</v>
      </c>
      <c r="AC725" s="0" t="s">
        <v>318</v>
      </c>
      <c r="AD725" s="0" t="s">
        <v>229</v>
      </c>
      <c r="AE725" s="0" t="n">
        <v>0</v>
      </c>
      <c r="AF725" s="0" t="s">
        <v>896</v>
      </c>
      <c r="AG725" s="0" t="n">
        <v>0</v>
      </c>
      <c r="AH725" s="0" t="s">
        <v>6624</v>
      </c>
      <c r="AI725" s="0" t="s">
        <v>1160</v>
      </c>
      <c r="AJ725" s="0" t="s">
        <v>229</v>
      </c>
      <c r="AL725" s="0" t="s">
        <v>6625</v>
      </c>
      <c r="AM725" s="0" t="n">
        <v>1</v>
      </c>
      <c r="AN725" s="0" t="s">
        <v>6624</v>
      </c>
      <c r="AO725" s="0" t="s">
        <v>1160</v>
      </c>
      <c r="AP725" s="0" t="s">
        <v>229</v>
      </c>
      <c r="AR725" s="0" t="s">
        <v>6626</v>
      </c>
      <c r="AS725" s="0" t="n">
        <v>1</v>
      </c>
      <c r="AT725" s="0" t="s">
        <v>6624</v>
      </c>
      <c r="AU725" s="0" t="s">
        <v>1160</v>
      </c>
      <c r="AV725" s="0" t="s">
        <v>229</v>
      </c>
      <c r="AX725" s="0" t="s">
        <v>6627</v>
      </c>
      <c r="AY725" s="0" t="n">
        <v>1</v>
      </c>
      <c r="AZ725" s="0" t="s">
        <v>6624</v>
      </c>
      <c r="BA725" s="0" t="s">
        <v>1160</v>
      </c>
      <c r="BB725" s="0" t="s">
        <v>229</v>
      </c>
      <c r="BD725" s="0" t="s">
        <v>6628</v>
      </c>
      <c r="BE725" s="0" t="n">
        <v>1</v>
      </c>
      <c r="BF725" s="0" t="s">
        <v>6624</v>
      </c>
      <c r="BG725" s="0" t="s">
        <v>1160</v>
      </c>
      <c r="BH725" s="0" t="s">
        <v>229</v>
      </c>
      <c r="BJ725" s="0" t="s">
        <v>6629</v>
      </c>
      <c r="BK725" s="0" t="n">
        <v>1</v>
      </c>
      <c r="BL725" s="0" t="s">
        <v>6624</v>
      </c>
      <c r="BM725" s="0" t="s">
        <v>1160</v>
      </c>
      <c r="BN725" s="0" t="s">
        <v>229</v>
      </c>
      <c r="BR725" s="0" t="n">
        <v>1</v>
      </c>
      <c r="BS725" s="0" t="s">
        <v>1096</v>
      </c>
      <c r="BT725" s="0" t="s">
        <v>216</v>
      </c>
      <c r="BU725" s="0" t="s">
        <v>216</v>
      </c>
      <c r="BV725" s="123"/>
      <c r="BW725" s="123"/>
      <c r="BX725" s="123"/>
      <c r="BY725" s="123"/>
      <c r="CA725" s="0" t="s">
        <v>3850</v>
      </c>
      <c r="CD725" s="0" t="s">
        <v>357</v>
      </c>
      <c r="CE725" s="0" t="n">
        <v>0</v>
      </c>
      <c r="CF725" s="0" t="s">
        <v>6151</v>
      </c>
      <c r="CG725" s="0" t="s">
        <v>218</v>
      </c>
      <c r="CI725" s="1" t="n">
        <v>39028</v>
      </c>
      <c r="CJ725" s="1" t="n">
        <v>40630</v>
      </c>
      <c r="CK725" s="124" t="n">
        <v>0.333333333333333</v>
      </c>
      <c r="CL725" s="0" t="s">
        <v>6628</v>
      </c>
      <c r="CM725" s="0" t="n">
        <f aca="false">IF(OR(CI725="",CJ725=""),"",DAYS360(CI725,CJ725)/360)</f>
        <v>4.39166666666667</v>
      </c>
      <c r="CN725" s="0" t="n">
        <f aca="false">IF(OR(CI725="",CJ725=""),"",DAYS360(CI725,CJ725)/30)</f>
        <v>52.7</v>
      </c>
      <c r="CO725" s="0" t="n">
        <f aca="false">IF(OR(CI725="",CJ725=""),"",DAYS360(CI725,CJ725)/7)</f>
        <v>225.857142857143</v>
      </c>
      <c r="CP725" s="0" t="n">
        <f aca="false">IF(OR(CI725="",CJ725=""),"",DAYS360(CI725,CJ725))</f>
        <v>1581</v>
      </c>
      <c r="CQ725" s="0" t="s">
        <v>240</v>
      </c>
      <c r="CR725" s="0" t="n">
        <v>1</v>
      </c>
      <c r="CT725" s="0" t="n">
        <v>4500</v>
      </c>
      <c r="CU725" s="0" t="n">
        <v>2</v>
      </c>
      <c r="CV725" s="0" t="n">
        <f aca="false">IF(OR(CT725="",CT725="NO ESPECIFICA",CT725="NO MENCIONA"),"",IF(CU725=0,CT725,IF(CU725=1,CT725/30,IF(CU725=2,CT725/15,IF(CU725=3,CT725/7,"")))))</f>
        <v>300</v>
      </c>
      <c r="CW725" s="125" t="s">
        <v>216</v>
      </c>
      <c r="CX725" s="0" t="s">
        <v>216</v>
      </c>
      <c r="CY725" s="0" t="str">
        <f aca="false">IF(CW725="","",IF(CX725=0,CW725,IF(CX725=1,CW725/30,IF(CX725=2,CW725/15,IF(CX725=3,CW725/7,CW725)))))</f>
        <v>NO MENCIONA</v>
      </c>
      <c r="CZ725" s="0" t="n">
        <f aca="false">IF(DI725&gt;0,DI725,IF(CY725&gt;0,CY725,IF(CV725&gt;0,CV725,"")))</f>
        <v>383.33</v>
      </c>
      <c r="DA725" s="0" t="n">
        <f aca="false">IF(DM725=1,CZ725/8,IF(OR(DM725=2,DM725=4),CZ725/7,IF(DM725=3,CZ725/7.5,"")))</f>
        <v>47.91625</v>
      </c>
      <c r="DB725" s="0" t="s">
        <v>2315</v>
      </c>
      <c r="DC725" s="0" t="s">
        <v>216</v>
      </c>
      <c r="DD725" s="0" t="s">
        <v>216</v>
      </c>
      <c r="DE725" s="0" t="s">
        <v>216</v>
      </c>
      <c r="DF725" s="0" t="s">
        <v>216</v>
      </c>
      <c r="DG725" s="0" t="s">
        <v>216</v>
      </c>
      <c r="DH725" s="0" t="n">
        <v>0</v>
      </c>
      <c r="DI725" s="126" t="n">
        <v>383.33</v>
      </c>
      <c r="DK725" s="0" t="n">
        <v>0</v>
      </c>
      <c r="DM725" s="0" t="n">
        <v>1</v>
      </c>
      <c r="DN725" s="0" t="n">
        <v>77</v>
      </c>
      <c r="DO725" s="0" t="n">
        <v>3</v>
      </c>
      <c r="DP725" s="0" t="n">
        <v>0</v>
      </c>
      <c r="DQ725" s="0" t="n">
        <v>1</v>
      </c>
      <c r="DR725" s="0"/>
      <c r="DS725" s="0" t="n">
        <v>1</v>
      </c>
      <c r="DU725" s="0" t="n">
        <v>1</v>
      </c>
      <c r="DW725" s="1" t="n">
        <v>39028</v>
      </c>
      <c r="DX725" s="1" t="n">
        <v>40630</v>
      </c>
      <c r="DZ725" s="0"/>
      <c r="EA725" s="0" t="n">
        <v>1</v>
      </c>
      <c r="EC725" s="1" t="n">
        <v>39028</v>
      </c>
      <c r="ED725" s="1" t="n">
        <v>40630</v>
      </c>
      <c r="EF725" s="0"/>
      <c r="EG725" s="0" t="n">
        <v>1</v>
      </c>
      <c r="EH725" s="0" t="n">
        <v>7</v>
      </c>
      <c r="EI725" s="0" t="n">
        <f aca="false">IF(AND(DM725=1,DN725&lt;=48),"",IF(AND(DM725=2,DN725&lt;=42),"",IF(AND(DM725=3,DN725&lt;=45),"",EH725)))</f>
        <v>7</v>
      </c>
      <c r="EJ725" s="0" t="n">
        <f aca="false">IF(EI725="","",IF(EI725&lt;9,EI725,9))</f>
        <v>7</v>
      </c>
      <c r="EK725" s="0" t="n">
        <f aca="false">IF(EI725="","",IF(EI725&gt;9,EI725-EJ725,0))</f>
        <v>0</v>
      </c>
      <c r="EL725" s="0" t="n">
        <f aca="false">IF(EI725="","",EJ725*DA725*2+EK725*DA725*3)</f>
        <v>670.8275</v>
      </c>
      <c r="EP725" s="0" t="n">
        <v>0</v>
      </c>
      <c r="EQ725" s="0"/>
      <c r="ER725" s="0" t="n">
        <v>0</v>
      </c>
      <c r="ET725" s="0" t="n">
        <v>0</v>
      </c>
      <c r="EV725" s="0" t="n">
        <v>1</v>
      </c>
      <c r="EX725" s="0" t="n">
        <v>0</v>
      </c>
      <c r="EY725" s="0" t="n">
        <v>1</v>
      </c>
      <c r="EZ725" s="4" t="n">
        <v>5000</v>
      </c>
      <c r="FA725" s="4" t="n">
        <v>10619.91</v>
      </c>
      <c r="FB725" s="0" t="n">
        <v>1</v>
      </c>
      <c r="FC725" s="1" t="n">
        <v>41101</v>
      </c>
      <c r="FD725" s="0" t="n">
        <v>2</v>
      </c>
      <c r="FE725" s="0" t="n">
        <v>0</v>
      </c>
      <c r="FF725" s="120" t="n">
        <f aca="false">(CJ725-CI725+1)/365</f>
        <v>4.39178082191781</v>
      </c>
      <c r="FG725" s="0" t="str">
        <f aca="false">CONCATENATE(F725,"/",G725)</f>
        <v>776/2011</v>
      </c>
      <c r="FH725" s="0" t="n">
        <v>1</v>
      </c>
      <c r="FI725" s="0" t="n">
        <f aca="false">IFERROR(IF((FC725-J725+1)/365&gt;3,0,1),"")</f>
        <v>1</v>
      </c>
    </row>
    <row r="726" customFormat="false" ht="15" hidden="false" customHeight="false" outlineLevel="0" collapsed="false">
      <c r="A726" s="5" t="str">
        <f aca="false">E726&amp;G726&amp;F726</f>
        <v>72011778</v>
      </c>
      <c r="B726" s="0" t="s">
        <v>203</v>
      </c>
      <c r="C726" s="1" t="n">
        <v>42389</v>
      </c>
      <c r="E726" s="0" t="n">
        <v>7</v>
      </c>
      <c r="F726" s="0" t="n">
        <v>778</v>
      </c>
      <c r="G726" s="0" t="n">
        <v>2011</v>
      </c>
      <c r="H726" s="0" t="str">
        <f aca="false">"J"&amp;E726&amp;"\"&amp;F726&amp;"\"&amp;G726&amp;"\"&amp;W726</f>
        <v>J7\778\2011\1</v>
      </c>
      <c r="I726" s="0"/>
      <c r="J726" s="1" t="n">
        <v>40665</v>
      </c>
      <c r="K726" s="0" t="n">
        <v>0</v>
      </c>
      <c r="M726" s="1"/>
      <c r="N726" s="1"/>
      <c r="O726" s="1"/>
      <c r="P726" s="1"/>
      <c r="Q726" s="1"/>
      <c r="T726" s="121"/>
      <c r="U726" s="121"/>
      <c r="V726" s="122" t="n">
        <f aca="false">IF(AND(E726&gt;0,F726&gt;0,G726&gt;0),COUNTIFS($E:$E,E726,$F:$F,F726,$G:$G,G726),"")</f>
        <v>1</v>
      </c>
      <c r="W726" s="122" t="n">
        <f aca="false">IF(V726="","",IF(V726=1,1,IF(AND(E725=E726,F725=F726,G725=G726),W725+1,1)))</f>
        <v>1</v>
      </c>
      <c r="X726" s="0" t="n">
        <v>1</v>
      </c>
      <c r="Y726" s="0" t="n">
        <v>3</v>
      </c>
      <c r="Z726" s="0" t="s">
        <v>6630</v>
      </c>
      <c r="AA726" s="0" t="n">
        <v>0</v>
      </c>
      <c r="AB726" s="0" t="s">
        <v>3461</v>
      </c>
      <c r="AC726" s="0" t="s">
        <v>1160</v>
      </c>
      <c r="AD726" s="0" t="s">
        <v>229</v>
      </c>
      <c r="AE726" s="0" t="n">
        <v>0</v>
      </c>
      <c r="AF726" s="0" t="s">
        <v>6631</v>
      </c>
      <c r="AG726" s="0" t="n">
        <v>0</v>
      </c>
      <c r="AH726" s="0" t="s">
        <v>6632</v>
      </c>
      <c r="AI726" s="0" t="s">
        <v>287</v>
      </c>
      <c r="AJ726" s="0" t="s">
        <v>207</v>
      </c>
      <c r="AL726" s="0" t="s">
        <v>6633</v>
      </c>
      <c r="AM726" s="0" t="n">
        <v>1</v>
      </c>
      <c r="AN726" s="0" t="s">
        <v>6632</v>
      </c>
      <c r="AO726" s="0" t="s">
        <v>287</v>
      </c>
      <c r="AP726" s="0" t="s">
        <v>207</v>
      </c>
      <c r="AR726" s="0" t="s">
        <v>213</v>
      </c>
      <c r="AS726" s="0" t="n">
        <v>1</v>
      </c>
      <c r="AT726" s="0" t="s">
        <v>6632</v>
      </c>
      <c r="AU726" s="0" t="s">
        <v>287</v>
      </c>
      <c r="AV726" s="0" t="s">
        <v>207</v>
      </c>
      <c r="BR726" s="0" t="n">
        <v>1</v>
      </c>
      <c r="BS726" s="0" t="s">
        <v>3466</v>
      </c>
      <c r="BT726" s="0" t="s">
        <v>4184</v>
      </c>
      <c r="BU726" s="0" t="s">
        <v>2723</v>
      </c>
      <c r="BV726" s="123"/>
      <c r="BW726" s="123"/>
      <c r="BX726" s="123"/>
      <c r="BY726" s="123"/>
      <c r="CA726" s="0" t="s">
        <v>216</v>
      </c>
      <c r="CD726" s="0" t="s">
        <v>556</v>
      </c>
      <c r="CE726" s="0" t="n">
        <v>0</v>
      </c>
      <c r="CF726" s="0" t="s">
        <v>750</v>
      </c>
      <c r="CG726" s="0" t="s">
        <v>6602</v>
      </c>
      <c r="CH726" s="0" t="n">
        <v>1</v>
      </c>
      <c r="CI726" s="1" t="n">
        <v>40278</v>
      </c>
      <c r="CJ726" s="1" t="n">
        <v>40645</v>
      </c>
      <c r="CK726" s="124" t="n">
        <v>0.75</v>
      </c>
      <c r="CL726" s="0" t="s">
        <v>6633</v>
      </c>
      <c r="CM726" s="0" t="n">
        <f aca="false">IF(OR(CI726="",CJ726=""),"",DAYS360(CI726,CJ726)/360)</f>
        <v>1.00555555555556</v>
      </c>
      <c r="CN726" s="0" t="n">
        <f aca="false">IF(OR(CI726="",CJ726=""),"",DAYS360(CI726,CJ726)/30)</f>
        <v>12.0666666666667</v>
      </c>
      <c r="CO726" s="0" t="n">
        <f aca="false">IF(OR(CI726="",CJ726=""),"",DAYS360(CI726,CJ726)/7)</f>
        <v>51.7142857142857</v>
      </c>
      <c r="CP726" s="0" t="n">
        <f aca="false">IF(OR(CI726="",CJ726=""),"",DAYS360(CI726,CJ726))</f>
        <v>362</v>
      </c>
      <c r="CQ726" s="0" t="s">
        <v>240</v>
      </c>
      <c r="CR726" s="0" t="n">
        <v>1</v>
      </c>
      <c r="CT726" s="0" t="s">
        <v>221</v>
      </c>
      <c r="CU726" s="0" t="s">
        <v>221</v>
      </c>
      <c r="CV726" s="0" t="str">
        <f aca="false">IF(OR(CT726="",CT726="NO ESPECIFICA",CT726="NO MENCIONA"),"",IF(CU726=0,CT726,IF(CU726=1,CT726/30,IF(CU726=2,CT726/15,IF(CU726=3,CT726/7,"")))))</f>
        <v/>
      </c>
      <c r="CW726" s="125" t="n">
        <v>285.71</v>
      </c>
      <c r="CX726" s="0" t="n">
        <v>0</v>
      </c>
      <c r="CY726" s="0" t="n">
        <f aca="false">IF(CW726="","",IF(CX726=0,CW726,IF(CX726=1,CW726/30,IF(CX726=2,CW726/15,IF(CX726=3,CW726/7,CW726)))))</f>
        <v>285.71</v>
      </c>
      <c r="CZ726" s="0" t="n">
        <f aca="false">IF(DI726&gt;0,DI726,IF(CY726&gt;0,CY726,IF(CV726&gt;0,CV726,"")))</f>
        <v>285.71</v>
      </c>
      <c r="DA726" s="0" t="n">
        <f aca="false">IF(DM726=1,CZ726/8,IF(OR(DM726=2,DM726=4),CZ726/7,IF(DM726=3,CZ726/7.5,"")))</f>
        <v>35.71375</v>
      </c>
      <c r="DB726" s="0" t="s">
        <v>216</v>
      </c>
      <c r="DC726" s="0" t="s">
        <v>216</v>
      </c>
      <c r="DD726" s="0" t="s">
        <v>216</v>
      </c>
      <c r="DE726" s="0" t="s">
        <v>216</v>
      </c>
      <c r="DF726" s="0" t="s">
        <v>216</v>
      </c>
      <c r="DG726" s="0" t="s">
        <v>216</v>
      </c>
      <c r="DH726" s="0" t="n">
        <v>0</v>
      </c>
      <c r="DI726" s="126" t="n">
        <v>285.71</v>
      </c>
      <c r="DK726" s="0" t="n">
        <v>0</v>
      </c>
      <c r="DM726" s="0" t="n">
        <v>1</v>
      </c>
      <c r="DN726" s="0" t="n">
        <v>60</v>
      </c>
      <c r="DO726" s="0" t="n">
        <v>3</v>
      </c>
      <c r="DP726" s="0" t="n">
        <v>0</v>
      </c>
      <c r="DQ726" s="0" t="n">
        <v>1</v>
      </c>
      <c r="DR726" s="0"/>
      <c r="DS726" s="0" t="n">
        <v>1</v>
      </c>
      <c r="DU726" s="0" t="n">
        <v>1</v>
      </c>
      <c r="DW726" s="1" t="n">
        <v>40278</v>
      </c>
      <c r="DX726" s="1" t="n">
        <v>40645</v>
      </c>
      <c r="DZ726" s="0"/>
      <c r="EA726" s="0" t="n">
        <v>1</v>
      </c>
      <c r="EC726" s="1" t="n">
        <v>40278</v>
      </c>
      <c r="ED726" s="1" t="n">
        <v>40645</v>
      </c>
      <c r="EF726" s="0"/>
      <c r="EG726" s="0" t="n">
        <v>1</v>
      </c>
      <c r="EH726" s="0" t="n">
        <v>14</v>
      </c>
      <c r="EI726" s="0" t="n">
        <f aca="false">IF(AND(DM726=1,DN726&lt;=48),"",IF(AND(DM726=2,DN726&lt;=42),"",IF(AND(DM726=3,DN726&lt;=45),"",EH726)))</f>
        <v>14</v>
      </c>
      <c r="EJ726" s="0" t="n">
        <f aca="false">IF(EI726="","",IF(EI726&lt;9,EI726,9))</f>
        <v>9</v>
      </c>
      <c r="EK726" s="0" t="n">
        <f aca="false">IF(EI726="","",IF(EI726&gt;9,EI726-EJ726,0))</f>
        <v>5</v>
      </c>
      <c r="EL726" s="0" t="n">
        <f aca="false">IF(EI726="","",EJ726*DA726*2+EK726*DA726*3)</f>
        <v>1178.55375</v>
      </c>
      <c r="EP726" s="0" t="n">
        <v>0</v>
      </c>
      <c r="EQ726" s="0"/>
      <c r="ER726" s="0" t="n">
        <v>0</v>
      </c>
      <c r="ET726" s="0" t="n">
        <v>0</v>
      </c>
      <c r="EV726" s="0" t="n">
        <v>0</v>
      </c>
      <c r="EX726" s="0" t="n">
        <v>0</v>
      </c>
      <c r="EY726" s="0" t="n">
        <v>0</v>
      </c>
      <c r="EZ726" s="0"/>
      <c r="FA726" s="4" t="n">
        <v>0</v>
      </c>
      <c r="FB726" s="0" t="n">
        <v>1</v>
      </c>
      <c r="FC726" s="1" t="n">
        <v>42031</v>
      </c>
      <c r="FD726" s="0" t="n">
        <v>4</v>
      </c>
      <c r="FE726" s="0" t="n">
        <v>0</v>
      </c>
      <c r="FF726" s="120" t="n">
        <f aca="false">(CJ726-CI726+1)/365</f>
        <v>1.00821917808219</v>
      </c>
      <c r="FG726" s="0" t="str">
        <f aca="false">CONCATENATE(F726,"/",G726)</f>
        <v>778/2011</v>
      </c>
      <c r="FH726" s="0" t="n">
        <v>1</v>
      </c>
      <c r="FI726" s="0" t="n">
        <f aca="false">IFERROR(IF((FC726-J726+1)/365&gt;3,0,1),"")</f>
        <v>0</v>
      </c>
    </row>
    <row r="727" customFormat="false" ht="15" hidden="false" customHeight="false" outlineLevel="0" collapsed="false">
      <c r="A727" s="5" t="str">
        <f aca="false">E727&amp;G727&amp;F727</f>
        <v>72011781</v>
      </c>
      <c r="B727" s="0" t="s">
        <v>203</v>
      </c>
      <c r="C727" s="1" t="n">
        <v>42389</v>
      </c>
      <c r="E727" s="0" t="n">
        <v>7</v>
      </c>
      <c r="F727" s="0" t="n">
        <v>781</v>
      </c>
      <c r="G727" s="0" t="n">
        <v>2011</v>
      </c>
      <c r="H727" s="0" t="str">
        <f aca="false">"J"&amp;E727&amp;"\"&amp;F727&amp;"\"&amp;G727&amp;"\"&amp;W727</f>
        <v>J7\781\2011\1</v>
      </c>
      <c r="I727" s="0"/>
      <c r="J727" s="1" t="n">
        <v>40666</v>
      </c>
      <c r="K727" s="0" t="n">
        <v>0</v>
      </c>
      <c r="M727" s="1"/>
      <c r="N727" s="1"/>
      <c r="O727" s="1"/>
      <c r="P727" s="1"/>
      <c r="Q727" s="1"/>
      <c r="T727" s="121"/>
      <c r="U727" s="121"/>
      <c r="V727" s="122" t="n">
        <f aca="false">IF(AND(E727&gt;0,F727&gt;0,G727&gt;0),COUNTIFS($E:$E,E727,$F:$F,F727,$G:$G,G727),"")</f>
        <v>1</v>
      </c>
      <c r="W727" s="122" t="n">
        <f aca="false">IF(V727="","",IF(V727=1,1,IF(AND(E726=E727,F726=F727,G726=G727),W726+1,1)))</f>
        <v>1</v>
      </c>
      <c r="X727" s="0" t="n">
        <v>1</v>
      </c>
      <c r="Y727" s="0" t="n">
        <v>3</v>
      </c>
      <c r="Z727" s="0" t="s">
        <v>6634</v>
      </c>
      <c r="AA727" s="0" t="n">
        <v>0</v>
      </c>
      <c r="AB727" s="0" t="s">
        <v>6635</v>
      </c>
      <c r="AC727" s="0" t="s">
        <v>287</v>
      </c>
      <c r="AD727" s="0" t="s">
        <v>207</v>
      </c>
      <c r="AE727" s="0" t="n">
        <v>0</v>
      </c>
      <c r="AF727" s="0" t="s">
        <v>6636</v>
      </c>
      <c r="AG727" s="0" t="n">
        <v>0</v>
      </c>
      <c r="AH727" s="0" t="s">
        <v>6637</v>
      </c>
      <c r="AI727" s="0" t="s">
        <v>287</v>
      </c>
      <c r="AJ727" s="0" t="s">
        <v>207</v>
      </c>
      <c r="AL727" s="0" t="s">
        <v>6638</v>
      </c>
      <c r="AM727" s="0" t="n">
        <v>1</v>
      </c>
      <c r="AN727" s="0" t="s">
        <v>6637</v>
      </c>
      <c r="AO727" s="0" t="s">
        <v>287</v>
      </c>
      <c r="AP727" s="0" t="s">
        <v>207</v>
      </c>
      <c r="AR727" s="0" t="s">
        <v>6639</v>
      </c>
      <c r="AS727" s="0" t="n">
        <v>1</v>
      </c>
      <c r="AT727" s="0" t="s">
        <v>6637</v>
      </c>
      <c r="AU727" s="0" t="s">
        <v>287</v>
      </c>
      <c r="AV727" s="0" t="s">
        <v>207</v>
      </c>
      <c r="BR727" s="0" t="n">
        <v>1</v>
      </c>
      <c r="BS727" s="0" t="s">
        <v>6640</v>
      </c>
      <c r="BT727" s="0" t="s">
        <v>6641</v>
      </c>
      <c r="BU727" s="0" t="s">
        <v>6642</v>
      </c>
      <c r="BV727" s="123"/>
      <c r="BW727" s="123"/>
      <c r="BX727" s="123"/>
      <c r="BY727" s="123"/>
      <c r="CA727" s="0" t="s">
        <v>216</v>
      </c>
      <c r="CD727" s="0" t="s">
        <v>556</v>
      </c>
      <c r="CE727" s="0" t="n">
        <v>0</v>
      </c>
      <c r="CF727" s="0" t="s">
        <v>6643</v>
      </c>
      <c r="CG727" s="0" t="s">
        <v>218</v>
      </c>
      <c r="CI727" s="1" t="n">
        <v>36326</v>
      </c>
      <c r="CJ727" s="1" t="n">
        <v>40653</v>
      </c>
      <c r="CK727" s="124" t="n">
        <v>0.395833333333333</v>
      </c>
      <c r="CL727" s="0" t="s">
        <v>6639</v>
      </c>
      <c r="CM727" s="0" t="n">
        <f aca="false">IF(OR(CI727="",CJ727=""),"",DAYS360(CI727,CJ727)/360)</f>
        <v>11.8472222222222</v>
      </c>
      <c r="CN727" s="0" t="n">
        <f aca="false">IF(OR(CI727="",CJ727=""),"",DAYS360(CI727,CJ727)/30)</f>
        <v>142.166666666667</v>
      </c>
      <c r="CO727" s="0" t="n">
        <f aca="false">IF(OR(CI727="",CJ727=""),"",DAYS360(CI727,CJ727)/7)</f>
        <v>609.285714285714</v>
      </c>
      <c r="CP727" s="0" t="n">
        <f aca="false">IF(OR(CI727="",CJ727=""),"",DAYS360(CI727,CJ727))</f>
        <v>4265</v>
      </c>
      <c r="CQ727" s="0" t="s">
        <v>240</v>
      </c>
      <c r="CR727" s="0" t="n">
        <v>1</v>
      </c>
      <c r="CT727" s="0" t="n">
        <v>333.33</v>
      </c>
      <c r="CU727" s="0" t="n">
        <v>0</v>
      </c>
      <c r="CV727" s="0" t="n">
        <f aca="false">IF(OR(CT727="",CT727="NO ESPECIFICA",CT727="NO MENCIONA"),"",IF(CU727=0,CT727,IF(CU727=1,CT727/30,IF(CU727=2,CT727/15,IF(CU727=3,CT727/7,"")))))</f>
        <v>333.33</v>
      </c>
      <c r="CW727" s="125" t="n">
        <v>366.66</v>
      </c>
      <c r="CX727" s="0" t="n">
        <v>0</v>
      </c>
      <c r="CY727" s="0" t="n">
        <f aca="false">IF(CW727="","",IF(CX727=0,CW727,IF(CX727=1,CW727/30,IF(CX727=2,CW727/15,IF(CX727=3,CW727/7,CW727)))))</f>
        <v>366.66</v>
      </c>
      <c r="CZ727" s="0" t="n">
        <f aca="false">IF(DI727&gt;0,DI727,IF(CY727&gt;0,CY727,IF(CV727&gt;0,CV727,"")))</f>
        <v>366.66</v>
      </c>
      <c r="DA727" s="0" t="n">
        <f aca="false">IF(DM727=1,CZ727/8,IF(OR(DM727=2,DM727=4),CZ727/7,IF(DM727=3,CZ727/7.5,"")))</f>
        <v>45.8325</v>
      </c>
      <c r="DB727" s="0" t="s">
        <v>258</v>
      </c>
      <c r="DC727" s="0" t="s">
        <v>216</v>
      </c>
      <c r="DD727" s="0" t="s">
        <v>216</v>
      </c>
      <c r="DE727" s="0" t="s">
        <v>216</v>
      </c>
      <c r="DF727" s="0" t="s">
        <v>216</v>
      </c>
      <c r="DG727" s="0" t="s">
        <v>216</v>
      </c>
      <c r="DH727" s="0" t="n">
        <v>0</v>
      </c>
      <c r="DI727" s="126" t="n">
        <v>366.66</v>
      </c>
      <c r="DK727" s="0" t="n">
        <v>0</v>
      </c>
      <c r="DM727" s="0" t="n">
        <v>1</v>
      </c>
      <c r="DN727" s="0" t="n">
        <v>61</v>
      </c>
      <c r="DO727" s="0" t="n">
        <v>3</v>
      </c>
      <c r="DP727" s="0" t="n">
        <v>0</v>
      </c>
      <c r="DQ727" s="0" t="n">
        <v>1</v>
      </c>
      <c r="DR727" s="0"/>
      <c r="DS727" s="0" t="n">
        <v>1</v>
      </c>
      <c r="DU727" s="0" t="n">
        <v>1</v>
      </c>
      <c r="DW727" s="1" t="n">
        <v>36326</v>
      </c>
      <c r="DX727" s="1" t="n">
        <v>40653</v>
      </c>
      <c r="DZ727" s="0"/>
      <c r="EA727" s="0" t="n">
        <v>1</v>
      </c>
      <c r="EC727" s="1" t="n">
        <v>36326</v>
      </c>
      <c r="ED727" s="1" t="n">
        <v>40653</v>
      </c>
      <c r="EF727" s="0"/>
      <c r="EG727" s="0" t="n">
        <v>1</v>
      </c>
      <c r="EH727" s="0" t="n">
        <v>18</v>
      </c>
      <c r="EI727" s="0" t="n">
        <f aca="false">IF(AND(DM727=1,DN727&lt;=48),"",IF(AND(DM727=2,DN727&lt;=42),"",IF(AND(DM727=3,DN727&lt;=45),"",EH727)))</f>
        <v>18</v>
      </c>
      <c r="EJ727" s="0" t="n">
        <f aca="false">IF(EI727="","",IF(EI727&lt;9,EI727,9))</f>
        <v>9</v>
      </c>
      <c r="EK727" s="0" t="n">
        <f aca="false">IF(EI727="","",IF(EI727&gt;9,EI727-EJ727,0))</f>
        <v>9</v>
      </c>
      <c r="EL727" s="0" t="n">
        <f aca="false">IF(EI727="","",EJ727*DA727*2+EK727*DA727*3)</f>
        <v>2062.4625</v>
      </c>
      <c r="EP727" s="0" t="n">
        <v>0</v>
      </c>
      <c r="EQ727" s="0"/>
      <c r="ER727" s="0" t="n">
        <v>0</v>
      </c>
      <c r="ET727" s="0" t="n">
        <v>1</v>
      </c>
      <c r="EV727" s="0" t="n">
        <v>1</v>
      </c>
      <c r="EX727" s="0" t="n">
        <v>0</v>
      </c>
      <c r="EY727" s="0" t="n">
        <v>0</v>
      </c>
      <c r="EZ727" s="0"/>
      <c r="FA727" s="4" t="n">
        <v>0</v>
      </c>
      <c r="FB727" s="0" t="n">
        <v>1</v>
      </c>
      <c r="FC727" s="1" t="n">
        <v>40885</v>
      </c>
      <c r="FD727" s="0" t="n">
        <v>1</v>
      </c>
      <c r="FE727" s="0" t="n">
        <v>20560.56</v>
      </c>
      <c r="FF727" s="120" t="n">
        <f aca="false">(CJ727-CI727+1)/365</f>
        <v>11.8575342465753</v>
      </c>
      <c r="FG727" s="0" t="str">
        <f aca="false">CONCATENATE(F727,"/",G727)</f>
        <v>781/2011</v>
      </c>
      <c r="FH727" s="0" t="n">
        <v>1</v>
      </c>
      <c r="FI727" s="0" t="n">
        <f aca="false">IFERROR(IF((FC727-J727+1)/365&gt;3,0,1),"")</f>
        <v>1</v>
      </c>
    </row>
    <row r="728" customFormat="false" ht="15" hidden="false" customHeight="false" outlineLevel="0" collapsed="false">
      <c r="A728" s="5" t="str">
        <f aca="false">E728&amp;G728&amp;F728</f>
        <v>72011785</v>
      </c>
      <c r="B728" s="0" t="s">
        <v>203</v>
      </c>
      <c r="C728" s="1" t="n">
        <v>42389</v>
      </c>
      <c r="E728" s="0" t="n">
        <v>7</v>
      </c>
      <c r="F728" s="0" t="n">
        <v>785</v>
      </c>
      <c r="G728" s="0" t="n">
        <v>2011</v>
      </c>
      <c r="H728" s="0" t="str">
        <f aca="false">"J"&amp;E728&amp;"\"&amp;F728&amp;"\"&amp;G728&amp;"\"&amp;W728</f>
        <v>J7\785\2011\1</v>
      </c>
      <c r="I728" s="0"/>
      <c r="J728" s="1" t="n">
        <v>40666</v>
      </c>
      <c r="K728" s="0" t="n">
        <v>0</v>
      </c>
      <c r="M728" s="1"/>
      <c r="N728" s="1"/>
      <c r="O728" s="1"/>
      <c r="P728" s="1"/>
      <c r="Q728" s="1"/>
      <c r="T728" s="121"/>
      <c r="U728" s="121"/>
      <c r="V728" s="122" t="n">
        <f aca="false">IF(AND(E728&gt;0,F728&gt;0,G728&gt;0),COUNTIFS($E:$E,E728,$F:$F,F728,$G:$G,G728),"")</f>
        <v>1</v>
      </c>
      <c r="W728" s="122" t="n">
        <f aca="false">IF(V728="","",IF(V728=1,1,IF(AND(E727=E728,F727=F728,G727=G728),W727+1,1)))</f>
        <v>1</v>
      </c>
      <c r="X728" s="0" t="n">
        <v>1</v>
      </c>
      <c r="Y728" s="0" t="n">
        <v>2</v>
      </c>
      <c r="Z728" s="0" t="s">
        <v>6644</v>
      </c>
      <c r="AA728" s="0" t="n">
        <v>0</v>
      </c>
      <c r="AB728" s="0" t="s">
        <v>6645</v>
      </c>
      <c r="AC728" s="0" t="s">
        <v>318</v>
      </c>
      <c r="AD728" s="0" t="s">
        <v>221</v>
      </c>
      <c r="AE728" s="0" t="n">
        <v>0</v>
      </c>
      <c r="AF728" s="0" t="s">
        <v>6646</v>
      </c>
      <c r="AG728" s="0" t="n">
        <v>0</v>
      </c>
      <c r="AH728" s="0" t="s">
        <v>6647</v>
      </c>
      <c r="AI728" s="0" t="s">
        <v>287</v>
      </c>
      <c r="AJ728" s="0" t="s">
        <v>207</v>
      </c>
      <c r="AL728" s="0" t="s">
        <v>213</v>
      </c>
      <c r="AM728" s="0" t="n">
        <v>1</v>
      </c>
      <c r="AN728" s="0" t="s">
        <v>6647</v>
      </c>
      <c r="AO728" s="0" t="s">
        <v>287</v>
      </c>
      <c r="AP728" s="0" t="s">
        <v>207</v>
      </c>
      <c r="BR728" s="0" t="n">
        <v>1</v>
      </c>
      <c r="BS728" s="0" t="s">
        <v>6648</v>
      </c>
      <c r="BT728" s="0" t="s">
        <v>6649</v>
      </c>
      <c r="BU728" s="0" t="s">
        <v>6650</v>
      </c>
      <c r="BV728" s="123"/>
      <c r="BW728" s="123"/>
      <c r="BX728" s="123"/>
      <c r="BY728" s="123"/>
      <c r="CA728" s="0" t="s">
        <v>6651</v>
      </c>
      <c r="CD728" s="0" t="s">
        <v>357</v>
      </c>
      <c r="CE728" s="0" t="n">
        <v>0</v>
      </c>
      <c r="CF728" s="0" t="s">
        <v>6652</v>
      </c>
      <c r="CG728" s="0" t="s">
        <v>218</v>
      </c>
      <c r="CI728" s="1" t="n">
        <v>37228</v>
      </c>
      <c r="CJ728" s="1" t="n">
        <v>40617</v>
      </c>
      <c r="CK728" s="124" t="n">
        <v>0.583333333333333</v>
      </c>
      <c r="CL728" s="0" t="s">
        <v>6653</v>
      </c>
      <c r="CM728" s="0" t="n">
        <f aca="false">IF(OR(CI728="",CJ728=""),"",DAYS360(CI728,CJ728)/360)</f>
        <v>9.28333333333333</v>
      </c>
      <c r="CN728" s="0" t="n">
        <f aca="false">IF(OR(CI728="",CJ728=""),"",DAYS360(CI728,CJ728)/30)</f>
        <v>111.4</v>
      </c>
      <c r="CO728" s="0" t="n">
        <f aca="false">IF(OR(CI728="",CJ728=""),"",DAYS360(CI728,CJ728)/7)</f>
        <v>477.428571428571</v>
      </c>
      <c r="CP728" s="0" t="n">
        <f aca="false">IF(OR(CI728="",CJ728=""),"",DAYS360(CI728,CJ728))</f>
        <v>3342</v>
      </c>
      <c r="CQ728" s="0" t="s">
        <v>220</v>
      </c>
      <c r="CR728" s="0" t="n">
        <v>1</v>
      </c>
      <c r="CT728" s="0" t="s">
        <v>221</v>
      </c>
      <c r="CU728" s="0" t="s">
        <v>221</v>
      </c>
      <c r="CV728" s="0" t="str">
        <f aca="false">IF(OR(CT728="",CT728="NO ESPECIFICA",CT728="NO MENCIONA"),"",IF(CU728=0,CT728,IF(CU728=1,CT728/30,IF(CU728=2,CT728/15,IF(CU728=3,CT728/7,"")))))</f>
        <v/>
      </c>
      <c r="CW728" s="125" t="n">
        <v>598.07</v>
      </c>
      <c r="CX728" s="0" t="n">
        <v>0</v>
      </c>
      <c r="CY728" s="0" t="n">
        <f aca="false">IF(CW728="","",IF(CX728=0,CW728,IF(CX728=1,CW728/30,IF(CX728=2,CW728/15,IF(CX728=3,CW728/7,CW728)))))</f>
        <v>598.07</v>
      </c>
      <c r="CZ728" s="0" t="n">
        <f aca="false">IF(DI728&gt;0,DI728,IF(CY728&gt;0,CY728,IF(CV728&gt;0,CV728,"")))</f>
        <v>598.07</v>
      </c>
      <c r="DA728" s="0" t="n">
        <f aca="false">IF(DM728=1,CZ728/8,IF(OR(DM728=2,DM728=4),CZ728/7,IF(DM728=3,CZ728/7.5,"")))</f>
        <v>74.75875</v>
      </c>
      <c r="DB728" s="0" t="s">
        <v>216</v>
      </c>
      <c r="DC728" s="0" t="s">
        <v>216</v>
      </c>
      <c r="DD728" s="0" t="s">
        <v>216</v>
      </c>
      <c r="DE728" s="0" t="s">
        <v>216</v>
      </c>
      <c r="DF728" s="0" t="s">
        <v>216</v>
      </c>
      <c r="DG728" s="0" t="s">
        <v>216</v>
      </c>
      <c r="DH728" s="0" t="n">
        <v>0</v>
      </c>
      <c r="DI728" s="126" t="n">
        <v>598.07</v>
      </c>
      <c r="DK728" s="0" t="n">
        <v>0</v>
      </c>
      <c r="DM728" s="0" t="n">
        <v>1</v>
      </c>
      <c r="DN728" s="0" t="n">
        <v>147</v>
      </c>
      <c r="DO728" s="0" t="n">
        <v>3</v>
      </c>
      <c r="DP728" s="0" t="n">
        <v>1</v>
      </c>
      <c r="DQ728" s="0" t="n">
        <v>1</v>
      </c>
      <c r="DR728" s="0"/>
      <c r="DS728" s="0" t="n">
        <v>1</v>
      </c>
      <c r="DU728" s="0" t="n">
        <v>1</v>
      </c>
      <c r="DW728" s="1" t="s">
        <v>221</v>
      </c>
      <c r="DX728" s="1" t="s">
        <v>221</v>
      </c>
      <c r="DY728" s="0" t="s">
        <v>221</v>
      </c>
      <c r="DZ728" s="0" t="s">
        <v>221</v>
      </c>
      <c r="EA728" s="0" t="n">
        <v>1</v>
      </c>
      <c r="EC728" s="1" t="s">
        <v>221</v>
      </c>
      <c r="ED728" s="1" t="s">
        <v>221</v>
      </c>
      <c r="EE728" s="0" t="s">
        <v>221</v>
      </c>
      <c r="EF728" s="0" t="s">
        <v>221</v>
      </c>
      <c r="EG728" s="0" t="n">
        <v>0</v>
      </c>
      <c r="EI728" s="0" t="n">
        <f aca="false">IF(AND(DM728=1,DN728&lt;=48),"",IF(AND(DM728=2,DN728&lt;=42),"",IF(AND(DM728=3,DN728&lt;=45),"",EH728)))</f>
        <v>0</v>
      </c>
      <c r="EJ728" s="0" t="str">
        <f aca="false">IF(EI728="","",IF(EI728&lt;9,EI728,9))</f>
        <v/>
      </c>
      <c r="EK728" s="0" t="str">
        <f aca="false">IF(EI728="","",IF(EI728&gt;9,EI728-EJ728,0))</f>
        <v/>
      </c>
      <c r="EL728" s="0" t="str">
        <f aca="false">IF(EI728="","",EJ728*DA728*2+EK728*DA728*3)</f>
        <v/>
      </c>
      <c r="EP728" s="0" t="n">
        <v>1</v>
      </c>
      <c r="EQ728" s="0"/>
      <c r="ER728" s="0" t="n">
        <v>0</v>
      </c>
      <c r="ET728" s="0" t="n">
        <v>0</v>
      </c>
      <c r="EV728" s="0" t="n">
        <v>0</v>
      </c>
      <c r="EX728" s="0" t="n">
        <v>1</v>
      </c>
      <c r="EY728" s="0" t="n">
        <v>0</v>
      </c>
      <c r="EZ728" s="0"/>
      <c r="FA728" s="4" t="n">
        <v>0</v>
      </c>
      <c r="FB728" s="0" t="n">
        <v>0</v>
      </c>
      <c r="FC728" s="1" t="n">
        <v>40980</v>
      </c>
      <c r="FD728" s="0" t="n">
        <v>2</v>
      </c>
      <c r="FE728" s="0" t="n">
        <v>0</v>
      </c>
      <c r="FF728" s="120" t="n">
        <f aca="false">(CJ728-CI728+1)/365</f>
        <v>9.28767123287671</v>
      </c>
      <c r="FG728" s="0" t="str">
        <f aca="false">CONCATENATE(F728,"/",G728)</f>
        <v>785/2011</v>
      </c>
      <c r="FH728" s="0" t="n">
        <v>1</v>
      </c>
      <c r="FI728" s="0" t="n">
        <f aca="false">IFERROR(IF((FC728-J728+1)/365&gt;3,0,1),"")</f>
        <v>1</v>
      </c>
    </row>
    <row r="729" customFormat="false" ht="15" hidden="false" customHeight="false" outlineLevel="0" collapsed="false">
      <c r="A729" s="5" t="str">
        <f aca="false">E729&amp;G729&amp;F729</f>
        <v>72011789</v>
      </c>
      <c r="B729" s="0" t="s">
        <v>203</v>
      </c>
      <c r="C729" s="1" t="n">
        <v>42389</v>
      </c>
      <c r="E729" s="0" t="n">
        <v>7</v>
      </c>
      <c r="F729" s="0" t="n">
        <v>789</v>
      </c>
      <c r="G729" s="0" t="n">
        <v>2011</v>
      </c>
      <c r="H729" s="0" t="str">
        <f aca="false">"J"&amp;E729&amp;"\"&amp;F729&amp;"\"&amp;G729&amp;"\"&amp;W729</f>
        <v>J7\789\2011\1</v>
      </c>
      <c r="I729" s="0"/>
      <c r="J729" s="1" t="n">
        <v>40667</v>
      </c>
      <c r="K729" s="0" t="n">
        <v>0</v>
      </c>
      <c r="M729" s="1" t="n">
        <v>40667</v>
      </c>
      <c r="N729" s="1" t="n">
        <v>40651</v>
      </c>
      <c r="O729" s="1"/>
      <c r="P729" s="1"/>
      <c r="Q729" s="1"/>
      <c r="T729" s="121"/>
      <c r="U729" s="121"/>
      <c r="V729" s="122" t="n">
        <f aca="false">IF(AND(E729&gt;0,F729&gt;0,G729&gt;0),COUNTIFS($E:$E,E729,$F:$F,F729,$G:$G,G729),"")</f>
        <v>1</v>
      </c>
      <c r="W729" s="122" t="n">
        <f aca="false">IF(V729="","",IF(V729=1,1,IF(AND(E728=E729,F728=F729,G728=G729),W728+1,1)))</f>
        <v>1</v>
      </c>
      <c r="X729" s="0" t="n">
        <v>1</v>
      </c>
      <c r="Y729" s="0" t="n">
        <v>3</v>
      </c>
      <c r="Z729" s="0" t="s">
        <v>6654</v>
      </c>
      <c r="AA729" s="0" t="n">
        <v>0</v>
      </c>
      <c r="AB729" s="0" t="s">
        <v>348</v>
      </c>
      <c r="AC729" s="0" t="s">
        <v>221</v>
      </c>
      <c r="AD729" s="0" t="s">
        <v>221</v>
      </c>
      <c r="AE729" s="0" t="n">
        <v>0</v>
      </c>
      <c r="AF729" s="0" t="s">
        <v>6655</v>
      </c>
      <c r="AG729" s="0" t="n">
        <v>0</v>
      </c>
      <c r="AH729" s="0" t="s">
        <v>6656</v>
      </c>
      <c r="AI729" s="0" t="s">
        <v>1561</v>
      </c>
      <c r="AJ729" s="0" t="s">
        <v>207</v>
      </c>
      <c r="AL729" s="0" t="s">
        <v>6657</v>
      </c>
      <c r="AM729" s="0" t="n">
        <v>1</v>
      </c>
      <c r="AN729" s="0" t="s">
        <v>6656</v>
      </c>
      <c r="AO729" s="0" t="s">
        <v>1561</v>
      </c>
      <c r="AP729" s="0" t="s">
        <v>207</v>
      </c>
      <c r="AR729" s="0" t="s">
        <v>213</v>
      </c>
      <c r="AS729" s="0" t="n">
        <v>1</v>
      </c>
      <c r="AT729" s="0" t="s">
        <v>6656</v>
      </c>
      <c r="AU729" s="0" t="s">
        <v>1561</v>
      </c>
      <c r="AV729" s="0" t="s">
        <v>207</v>
      </c>
      <c r="BR729" s="0" t="n">
        <v>3</v>
      </c>
      <c r="BS729" s="0" t="s">
        <v>3272</v>
      </c>
      <c r="BT729" s="0" t="s">
        <v>1818</v>
      </c>
      <c r="BU729" s="0" t="s">
        <v>501</v>
      </c>
      <c r="BV729" s="123"/>
      <c r="BW729" s="123"/>
      <c r="BX729" s="123"/>
      <c r="BY729" s="123"/>
      <c r="CA729" s="0" t="s">
        <v>348</v>
      </c>
      <c r="CD729" s="0" t="s">
        <v>296</v>
      </c>
      <c r="CE729" s="0" t="n">
        <v>0</v>
      </c>
      <c r="CF729" s="0" t="s">
        <v>6658</v>
      </c>
      <c r="CG729" s="0" t="s">
        <v>218</v>
      </c>
      <c r="CI729" s="1" t="n">
        <v>40471</v>
      </c>
      <c r="CJ729" s="1" t="n">
        <v>40618</v>
      </c>
      <c r="CK729" s="124" t="n">
        <v>0.354166666666667</v>
      </c>
      <c r="CL729" s="0" t="s">
        <v>6657</v>
      </c>
      <c r="CM729" s="0" t="n">
        <f aca="false">IF(OR(CI729="",CJ729=""),"",DAYS360(CI729,CJ729)/360)</f>
        <v>0.405555555555556</v>
      </c>
      <c r="CN729" s="0" t="n">
        <f aca="false">IF(OR(CI729="",CJ729=""),"",DAYS360(CI729,CJ729)/30)</f>
        <v>4.86666666666667</v>
      </c>
      <c r="CO729" s="0" t="n">
        <f aca="false">IF(OR(CI729="",CJ729=""),"",DAYS360(CI729,CJ729)/7)</f>
        <v>20.8571428571429</v>
      </c>
      <c r="CP729" s="0" t="n">
        <f aca="false">IF(OR(CI729="",CJ729=""),"",DAYS360(CI729,CJ729))</f>
        <v>146</v>
      </c>
      <c r="CQ729" s="0" t="s">
        <v>240</v>
      </c>
      <c r="CR729" s="0" t="n">
        <v>1</v>
      </c>
      <c r="CT729" s="0" t="n">
        <v>266.67</v>
      </c>
      <c r="CU729" s="0" t="n">
        <v>0</v>
      </c>
      <c r="CV729" s="0" t="n">
        <f aca="false">IF(OR(CT729="",CT729="NO ESPECIFICA",CT729="NO MENCIONA"),"",IF(CU729=0,CT729,IF(CU729=1,CT729/30,IF(CU729=2,CT729/15,IF(CU729=3,CT729/7,"")))))</f>
        <v>266.67</v>
      </c>
      <c r="CW729" s="125" t="n">
        <v>430.05</v>
      </c>
      <c r="CX729" s="0" t="n">
        <v>0</v>
      </c>
      <c r="CY729" s="0" t="n">
        <f aca="false">IF(CW729="","",IF(CX729=0,CW729,IF(CX729=1,CW729/30,IF(CX729=2,CW729/15,IF(CX729=3,CW729/7,CW729)))))</f>
        <v>430.05</v>
      </c>
      <c r="CZ729" s="0" t="n">
        <f aca="false">IF(DI729&gt;0,DI729,IF(CY729&gt;0,CY729,IF(CV729&gt;0,CV729,"")))</f>
        <v>430.05</v>
      </c>
      <c r="DA729" s="0" t="n">
        <f aca="false">IF(DM729=1,CZ729/8,IF(OR(DM729=2,DM729=4),CZ729/7,IF(DM729=3,CZ729/7.5,"")))</f>
        <v>53.75625</v>
      </c>
      <c r="DB729" s="0" t="s">
        <v>303</v>
      </c>
      <c r="DC729" s="0" t="s">
        <v>301</v>
      </c>
      <c r="DD729" s="0" t="s">
        <v>216</v>
      </c>
      <c r="DE729" s="0" t="s">
        <v>216</v>
      </c>
      <c r="DF729" s="0" t="s">
        <v>216</v>
      </c>
      <c r="DG729" s="0" t="s">
        <v>216</v>
      </c>
      <c r="DH729" s="0" t="n">
        <v>0</v>
      </c>
      <c r="DI729" s="126" t="n">
        <v>430.05</v>
      </c>
      <c r="DK729" s="0" t="n">
        <v>0</v>
      </c>
      <c r="DM729" s="0" t="n">
        <v>1</v>
      </c>
      <c r="DN729" s="0" t="n">
        <v>72</v>
      </c>
      <c r="DO729" s="0" t="n">
        <v>3</v>
      </c>
      <c r="DP729" s="0" t="n">
        <v>0</v>
      </c>
      <c r="DQ729" s="0" t="n">
        <v>1</v>
      </c>
      <c r="DR729" s="0"/>
      <c r="DS729" s="0" t="n">
        <v>1</v>
      </c>
      <c r="DU729" s="0" t="n">
        <v>1</v>
      </c>
      <c r="DW729" s="1" t="n">
        <v>40471</v>
      </c>
      <c r="DX729" s="1" t="n">
        <v>40618</v>
      </c>
      <c r="DZ729" s="0"/>
      <c r="EA729" s="0" t="n">
        <v>1</v>
      </c>
      <c r="EC729" s="1" t="n">
        <v>40471</v>
      </c>
      <c r="ED729" s="1" t="n">
        <v>40618</v>
      </c>
      <c r="EF729" s="0"/>
      <c r="EG729" s="0" t="n">
        <v>1</v>
      </c>
      <c r="EH729" s="0" t="n">
        <v>12</v>
      </c>
      <c r="EI729" s="0" t="n">
        <f aca="false">IF(AND(DM729=1,DN729&lt;=48),"",IF(AND(DM729=2,DN729&lt;=42),"",IF(AND(DM729=3,DN729&lt;=45),"",EH729)))</f>
        <v>12</v>
      </c>
      <c r="EJ729" s="0" t="n">
        <f aca="false">IF(EI729="","",IF(EI729&lt;9,EI729,9))</f>
        <v>9</v>
      </c>
      <c r="EK729" s="0" t="n">
        <f aca="false">IF(EI729="","",IF(EI729&gt;9,EI729-EJ729,0))</f>
        <v>3</v>
      </c>
      <c r="EL729" s="0" t="n">
        <f aca="false">IF(EI729="","",EJ729*DA729*2+EK729*DA729*3)</f>
        <v>1451.41875</v>
      </c>
      <c r="EP729" s="0" t="n">
        <v>0</v>
      </c>
      <c r="EQ729" s="0"/>
      <c r="ER729" s="0" t="n">
        <v>0</v>
      </c>
      <c r="ET729" s="0" t="n">
        <v>0</v>
      </c>
      <c r="EV729" s="0" t="n">
        <v>0</v>
      </c>
      <c r="EX729" s="0" t="n">
        <v>0</v>
      </c>
      <c r="EY729" s="0" t="n">
        <v>0</v>
      </c>
      <c r="EZ729" s="0"/>
      <c r="FA729" s="4" t="n">
        <v>0</v>
      </c>
      <c r="FB729" s="0" t="n">
        <v>1</v>
      </c>
      <c r="FC729" s="1" t="n">
        <v>40932</v>
      </c>
      <c r="FD729" s="0" t="n">
        <v>1</v>
      </c>
      <c r="FE729" s="0" t="n">
        <v>20000</v>
      </c>
      <c r="FF729" s="120" t="n">
        <f aca="false">(CJ729-CI729+1)/365</f>
        <v>0.405479452054794</v>
      </c>
      <c r="FG729" s="0" t="str">
        <f aca="false">CONCATENATE(F729,"/",G729)</f>
        <v>789/2011</v>
      </c>
      <c r="FH729" s="0" t="n">
        <v>1</v>
      </c>
      <c r="FI729" s="0" t="n">
        <f aca="false">IFERROR(IF((FC729-J729+1)/365&gt;3,0,1),"")</f>
        <v>1</v>
      </c>
    </row>
    <row r="730" customFormat="false" ht="15" hidden="false" customHeight="false" outlineLevel="0" collapsed="false">
      <c r="A730" s="5" t="str">
        <f aca="false">E730&amp;G730&amp;F730</f>
        <v>720111047</v>
      </c>
      <c r="B730" s="0" t="s">
        <v>6659</v>
      </c>
      <c r="C730" s="1" t="n">
        <v>42360</v>
      </c>
      <c r="E730" s="0" t="n">
        <v>7</v>
      </c>
      <c r="F730" s="0" t="n">
        <v>1047</v>
      </c>
      <c r="G730" s="0" t="n">
        <v>2011</v>
      </c>
      <c r="H730" s="0" t="str">
        <f aca="false">"J"&amp;E730&amp;"\"&amp;F730&amp;"\"&amp;G730&amp;"\"&amp;W730</f>
        <v>J7\1047\2011\1</v>
      </c>
      <c r="I730" s="0"/>
      <c r="J730" s="1" t="n">
        <v>40710</v>
      </c>
      <c r="K730" s="0" t="n">
        <v>0</v>
      </c>
      <c r="M730" s="1"/>
      <c r="N730" s="1"/>
      <c r="O730" s="1"/>
      <c r="P730" s="1"/>
      <c r="Q730" s="1"/>
      <c r="T730" s="121"/>
      <c r="U730" s="121"/>
      <c r="V730" s="122" t="n">
        <f aca="false">IF(AND(E730&gt;0,F730&gt;0,G730&gt;0),COUNTIFS($E:$E,E730,$F:$F,F730,$G:$G,G730),"")</f>
        <v>1</v>
      </c>
      <c r="W730" s="122" t="n">
        <f aca="false">IF(V730="","",IF(V730=1,1,IF(AND(E729=E730,F729=F730,G729=G730),W729+1,1)))</f>
        <v>1</v>
      </c>
      <c r="X730" s="0" t="n">
        <v>1</v>
      </c>
      <c r="Y730" s="0" t="n">
        <v>2</v>
      </c>
      <c r="Z730" s="0" t="s">
        <v>6660</v>
      </c>
      <c r="AA730" s="0" t="n">
        <v>0</v>
      </c>
      <c r="AB730" s="0" t="s">
        <v>6661</v>
      </c>
      <c r="AC730" s="0" t="s">
        <v>2049</v>
      </c>
      <c r="AE730" s="0" t="n">
        <v>0</v>
      </c>
      <c r="AF730" s="0" t="s">
        <v>6662</v>
      </c>
      <c r="AG730" s="0" t="n">
        <v>0</v>
      </c>
      <c r="AH730" s="0" t="s">
        <v>6663</v>
      </c>
      <c r="AI730" s="0" t="s">
        <v>6664</v>
      </c>
      <c r="AJ730" s="0" t="s">
        <v>6665</v>
      </c>
      <c r="AL730" s="0" t="s">
        <v>6666</v>
      </c>
      <c r="AM730" s="0" t="n">
        <v>0</v>
      </c>
      <c r="AN730" s="0" t="s">
        <v>6663</v>
      </c>
      <c r="AO730" s="0" t="s">
        <v>6664</v>
      </c>
      <c r="AP730" s="0" t="s">
        <v>6665</v>
      </c>
      <c r="BR730" s="0" t="n">
        <v>1</v>
      </c>
      <c r="BS730" s="0" t="s">
        <v>6667</v>
      </c>
      <c r="BT730" s="0" t="s">
        <v>6668</v>
      </c>
      <c r="BU730" s="0" t="s">
        <v>6669</v>
      </c>
      <c r="BV730" s="123"/>
      <c r="BW730" s="123"/>
      <c r="BX730" s="123"/>
      <c r="BY730" s="123"/>
      <c r="CD730" s="0" t="s">
        <v>1943</v>
      </c>
      <c r="CE730" s="0" t="n">
        <v>0</v>
      </c>
      <c r="CF730" s="0" t="s">
        <v>1581</v>
      </c>
      <c r="CI730" s="1" t="n">
        <v>40255</v>
      </c>
      <c r="CJ730" s="1" t="n">
        <v>40709</v>
      </c>
      <c r="CK730" s="124" t="n">
        <v>0.333333333333333</v>
      </c>
      <c r="CL730" s="0" t="s">
        <v>6670</v>
      </c>
      <c r="CM730" s="0" t="n">
        <f aca="false">IF(OR(CI730="",CJ730=""),"",DAYS360(CI730,CJ730)/360)</f>
        <v>1.24166666666667</v>
      </c>
      <c r="CN730" s="0" t="n">
        <f aca="false">IF(OR(CI730="",CJ730=""),"",DAYS360(CI730,CJ730)/30)</f>
        <v>14.9</v>
      </c>
      <c r="CO730" s="0" t="n">
        <f aca="false">IF(OR(CI730="",CJ730=""),"",DAYS360(CI730,CJ730)/7)</f>
        <v>63.8571428571429</v>
      </c>
      <c r="CP730" s="0" t="n">
        <f aca="false">IF(OR(CI730="",CJ730=""),"",DAYS360(CI730,CJ730))</f>
        <v>447</v>
      </c>
      <c r="CQ730" s="0" t="s">
        <v>240</v>
      </c>
      <c r="CR730" s="0" t="n">
        <v>1</v>
      </c>
      <c r="CT730" s="0" t="n">
        <v>4000</v>
      </c>
      <c r="CU730" s="0" t="n">
        <v>2</v>
      </c>
      <c r="CV730" s="0" t="n">
        <f aca="false">IF(OR(CT730="",CT730="NO ESPECIFICA",CT730="NO MENCIONA"),"",IF(CU730=0,CT730,IF(CU730=1,CT730/30,IF(CU730=2,CT730/15,IF(CU730=3,CT730/7,"")))))</f>
        <v>266.666666666667</v>
      </c>
      <c r="CW730" s="125" t="s">
        <v>1899</v>
      </c>
      <c r="CX730" s="0" t="s">
        <v>1899</v>
      </c>
      <c r="CY730" s="0" t="str">
        <f aca="false">IF(CW730="","",IF(CX730=0,CW730,IF(CX730=1,CW730/30,IF(CX730=2,CW730/15,IF(CX730=3,CW730/7,CW730)))))</f>
        <v>NO ESPECIFICA </v>
      </c>
      <c r="CZ730" s="0" t="n">
        <f aca="false">IF(DI730&gt;0,DI730,IF(CY730&gt;0,CY730,IF(CV730&gt;0,CV730,"")))</f>
        <v>266.66</v>
      </c>
      <c r="DA730" s="0" t="n">
        <f aca="false">IF(DM730=1,CZ730/8,IF(OR(DM730=2,DM730=4),CZ730/7,IF(DM730=3,CZ730/7.5,"")))</f>
        <v>33.3325</v>
      </c>
      <c r="DB730" s="0" t="s">
        <v>216</v>
      </c>
      <c r="DC730" s="0" t="s">
        <v>216</v>
      </c>
      <c r="DD730" s="0" t="s">
        <v>216</v>
      </c>
      <c r="DE730" s="0" t="s">
        <v>216</v>
      </c>
      <c r="DF730" s="0" t="s">
        <v>216</v>
      </c>
      <c r="DG730" s="0" t="s">
        <v>216</v>
      </c>
      <c r="DH730" s="0" t="n">
        <v>0</v>
      </c>
      <c r="DI730" s="126" t="n">
        <v>266.66</v>
      </c>
      <c r="DK730" s="0" t="n">
        <v>0</v>
      </c>
      <c r="DM730" s="0" t="n">
        <v>1</v>
      </c>
      <c r="DN730" s="0" t="n">
        <v>66</v>
      </c>
      <c r="DO730" s="0" t="n">
        <v>3</v>
      </c>
      <c r="DP730" s="0" t="n">
        <v>0</v>
      </c>
      <c r="DQ730" s="0" t="n">
        <v>1</v>
      </c>
      <c r="DR730" s="0"/>
      <c r="DS730" s="0" t="n">
        <v>1</v>
      </c>
      <c r="DU730" s="0" t="n">
        <v>1</v>
      </c>
      <c r="DW730" s="1" t="n">
        <v>40255</v>
      </c>
      <c r="DX730" s="1" t="n">
        <v>40709</v>
      </c>
      <c r="DZ730" s="0"/>
      <c r="EA730" s="0" t="n">
        <v>1</v>
      </c>
      <c r="EC730" s="1" t="n">
        <v>40255</v>
      </c>
      <c r="ED730" s="1" t="n">
        <v>40709</v>
      </c>
      <c r="EF730" s="0"/>
      <c r="EG730" s="0" t="n">
        <v>1</v>
      </c>
      <c r="EH730" s="0" t="n">
        <v>18</v>
      </c>
      <c r="EI730" s="0" t="n">
        <f aca="false">IF(AND(DM730=1,DN730&lt;=48),"",IF(AND(DM730=2,DN730&lt;=42),"",IF(AND(DM730=3,DN730&lt;=45),"",EH730)))</f>
        <v>18</v>
      </c>
      <c r="EJ730" s="0" t="n">
        <f aca="false">IF(EI730="","",IF(EI730&lt;9,EI730,9))</f>
        <v>9</v>
      </c>
      <c r="EK730" s="0" t="n">
        <f aca="false">IF(EI730="","",IF(EI730&gt;9,EI730-EJ730,0))</f>
        <v>9</v>
      </c>
      <c r="EL730" s="0" t="n">
        <f aca="false">IF(EI730="","",EJ730*DA730*2+EK730*DA730*3)</f>
        <v>1499.9625</v>
      </c>
      <c r="EP730" s="0" t="n">
        <v>0</v>
      </c>
      <c r="EQ730" s="0"/>
      <c r="ER730" s="0" t="n">
        <v>0</v>
      </c>
      <c r="ET730" s="0" t="n">
        <v>0</v>
      </c>
      <c r="EV730" s="0" t="n">
        <v>1</v>
      </c>
      <c r="EX730" s="0" t="n">
        <v>0</v>
      </c>
      <c r="EY730" s="0" t="n">
        <v>1</v>
      </c>
      <c r="EZ730" s="0"/>
      <c r="FA730" s="0"/>
      <c r="FB730" s="0" t="n">
        <v>1</v>
      </c>
      <c r="FC730" s="1" t="n">
        <v>41256</v>
      </c>
      <c r="FD730" s="0" t="n">
        <v>1</v>
      </c>
      <c r="FE730" s="0" t="n">
        <v>15600</v>
      </c>
      <c r="FF730" s="120" t="n">
        <f aca="false">(CJ730-CI730+1)/365</f>
        <v>1.24657534246575</v>
      </c>
      <c r="FG730" s="0" t="str">
        <f aca="false">CONCATENATE(F730,"/",G730)</f>
        <v>1047/2011</v>
      </c>
      <c r="FH730" s="0" t="n">
        <v>1</v>
      </c>
      <c r="FI730" s="0" t="n">
        <f aca="false">IFERROR(IF((FC730-J730+1)/365&gt;3,0,1),"")</f>
        <v>1</v>
      </c>
    </row>
    <row r="731" customFormat="false" ht="15" hidden="false" customHeight="false" outlineLevel="0" collapsed="false">
      <c r="A731" s="5" t="str">
        <f aca="false">E731&amp;G731&amp;F731</f>
        <v>720111088</v>
      </c>
      <c r="B731" s="0" t="s">
        <v>6659</v>
      </c>
      <c r="C731" s="1" t="n">
        <v>42363</v>
      </c>
      <c r="E731" s="0" t="n">
        <v>7</v>
      </c>
      <c r="F731" s="0" t="n">
        <v>1088</v>
      </c>
      <c r="G731" s="0" t="n">
        <v>2011</v>
      </c>
      <c r="H731" s="0" t="str">
        <f aca="false">"J"&amp;E731&amp;"\"&amp;F731&amp;"\"&amp;G731&amp;"\"&amp;W731</f>
        <v>J7\1088\2011\1</v>
      </c>
      <c r="I731" s="0"/>
      <c r="J731" s="1" t="n">
        <v>40718</v>
      </c>
      <c r="K731" s="0" t="n">
        <v>0</v>
      </c>
      <c r="M731" s="1"/>
      <c r="N731" s="1"/>
      <c r="O731" s="1"/>
      <c r="P731" s="1"/>
      <c r="Q731" s="1"/>
      <c r="T731" s="121"/>
      <c r="U731" s="121"/>
      <c r="V731" s="122" t="n">
        <f aca="false">IF(AND(E731&gt;0,F731&gt;0,G731&gt;0),COUNTIFS($E:$E,E731,$F:$F,F731,$G:$G,G731),"")</f>
        <v>1</v>
      </c>
      <c r="W731" s="122" t="n">
        <f aca="false">IF(V731="","",IF(V731=1,1,IF(AND(E730=E731,F730=F731,G730=G731),W730+1,1)))</f>
        <v>1</v>
      </c>
      <c r="X731" s="0" t="n">
        <v>1</v>
      </c>
      <c r="Y731" s="0" t="n">
        <v>4</v>
      </c>
      <c r="Z731" s="0" t="s">
        <v>6671</v>
      </c>
      <c r="AA731" s="0" t="n">
        <v>0</v>
      </c>
      <c r="AB731" s="0" t="s">
        <v>3589</v>
      </c>
      <c r="AC731" s="0" t="s">
        <v>1924</v>
      </c>
      <c r="AD731" s="0" t="s">
        <v>1927</v>
      </c>
      <c r="AE731" s="0" t="n">
        <v>0</v>
      </c>
      <c r="AF731" s="0" t="s">
        <v>6672</v>
      </c>
      <c r="AG731" s="0" t="n">
        <v>0</v>
      </c>
      <c r="AH731" s="0" t="s">
        <v>6673</v>
      </c>
      <c r="AI731" s="0" t="s">
        <v>6674</v>
      </c>
      <c r="AJ731" s="0" t="s">
        <v>6665</v>
      </c>
      <c r="AL731" s="0" t="s">
        <v>6675</v>
      </c>
      <c r="AM731" s="0" t="n">
        <v>0</v>
      </c>
      <c r="AN731" s="0" t="s">
        <v>6673</v>
      </c>
      <c r="AO731" s="0" t="s">
        <v>6674</v>
      </c>
      <c r="AP731" s="0" t="s">
        <v>6665</v>
      </c>
      <c r="AR731" s="0" t="s">
        <v>6676</v>
      </c>
      <c r="AS731" s="0" t="n">
        <v>0</v>
      </c>
      <c r="AT731" s="0" t="s">
        <v>6673</v>
      </c>
      <c r="AU731" s="0" t="s">
        <v>6674</v>
      </c>
      <c r="AV731" s="0" t="s">
        <v>6665</v>
      </c>
      <c r="AX731" s="0" t="s">
        <v>6677</v>
      </c>
      <c r="AY731" s="0" t="n">
        <v>1</v>
      </c>
      <c r="AZ731" s="0" t="s">
        <v>6673</v>
      </c>
      <c r="BA731" s="0" t="s">
        <v>6674</v>
      </c>
      <c r="BB731" s="0" t="s">
        <v>6665</v>
      </c>
      <c r="BR731" s="0" t="n">
        <v>3</v>
      </c>
      <c r="BS731" s="0" t="s">
        <v>1933</v>
      </c>
      <c r="BT731" s="0" t="s">
        <v>6678</v>
      </c>
      <c r="BU731" s="0" t="s">
        <v>6679</v>
      </c>
      <c r="BV731" s="123"/>
      <c r="BW731" s="123"/>
      <c r="BX731" s="123"/>
      <c r="BY731" s="123"/>
      <c r="CA731" s="0" t="s">
        <v>348</v>
      </c>
      <c r="CD731" s="0" t="s">
        <v>3716</v>
      </c>
      <c r="CE731" s="0" t="n">
        <v>0</v>
      </c>
      <c r="CF731" s="0" t="s">
        <v>1309</v>
      </c>
      <c r="CI731" s="1" t="n">
        <v>40471</v>
      </c>
      <c r="CJ731" s="1" t="n">
        <v>40651</v>
      </c>
      <c r="CK731" s="124" t="n">
        <v>0.416666666666667</v>
      </c>
      <c r="CL731" s="0" t="s">
        <v>6677</v>
      </c>
      <c r="CM731" s="0" t="n">
        <f aca="false">IF(OR(CI731="",CJ731=""),"",DAYS360(CI731,CJ731)/360)</f>
        <v>0.494444444444444</v>
      </c>
      <c r="CN731" s="0" t="n">
        <f aca="false">IF(OR(CI731="",CJ731=""),"",DAYS360(CI731,CJ731)/30)</f>
        <v>5.93333333333333</v>
      </c>
      <c r="CO731" s="0" t="n">
        <f aca="false">IF(OR(CI731="",CJ731=""),"",DAYS360(CI731,CJ731)/7)</f>
        <v>25.4285714285714</v>
      </c>
      <c r="CP731" s="0" t="n">
        <f aca="false">IF(OR(CI731="",CJ731=""),"",DAYS360(CI731,CJ731))</f>
        <v>178</v>
      </c>
      <c r="CQ731" s="0" t="s">
        <v>240</v>
      </c>
      <c r="CR731" s="0" t="n">
        <v>1</v>
      </c>
      <c r="CT731" s="0" t="n">
        <v>82.2</v>
      </c>
      <c r="CU731" s="0" t="n">
        <v>0</v>
      </c>
      <c r="CV731" s="0" t="n">
        <f aca="false">IF(OR(CT731="",CT731="NO ESPECIFICA",CT731="NO MENCIONA"),"",IF(CU731=0,CT731,IF(CU731=1,CT731/30,IF(CU731=2,CT731/15,IF(CU731=3,CT731/7,"")))))</f>
        <v>82.2</v>
      </c>
      <c r="CW731" s="125" t="n">
        <v>163.55</v>
      </c>
      <c r="CX731" s="0" t="n">
        <v>0</v>
      </c>
      <c r="CY731" s="0" t="n">
        <f aca="false">IF(CW731="","",IF(CX731=0,CW731,IF(CX731=1,CW731/30,IF(CX731=2,CW731/15,IF(CX731=3,CW731/7,CW731)))))</f>
        <v>163.55</v>
      </c>
      <c r="CZ731" s="0" t="n">
        <f aca="false">IF(DI731&gt;0,DI731,IF(CY731&gt;0,CY731,IF(CV731&gt;0,CV731,"")))</f>
        <v>163.55</v>
      </c>
      <c r="DA731" s="0" t="n">
        <f aca="false">IF(DM731=1,CZ731/8,IF(OR(DM731=2,DM731=4),CZ731/7,IF(DM731=3,CZ731/7.5,"")))</f>
        <v>20.44375</v>
      </c>
      <c r="DB731" s="0" t="s">
        <v>216</v>
      </c>
      <c r="DC731" s="0" t="s">
        <v>216</v>
      </c>
      <c r="DD731" s="0" t="s">
        <v>216</v>
      </c>
      <c r="DE731" s="0" t="s">
        <v>216</v>
      </c>
      <c r="DF731" s="0" t="s">
        <v>216</v>
      </c>
      <c r="DG731" s="0" t="s">
        <v>216</v>
      </c>
      <c r="DH731" s="0" t="n">
        <v>0</v>
      </c>
      <c r="DI731" s="126" t="n">
        <v>163.55</v>
      </c>
      <c r="DK731" s="0" t="n">
        <v>0</v>
      </c>
      <c r="DM731" s="0" t="n">
        <v>1</v>
      </c>
      <c r="DN731" s="0" t="n">
        <v>90</v>
      </c>
      <c r="DO731" s="0" t="n">
        <v>3</v>
      </c>
      <c r="DP731" s="0" t="n">
        <v>0</v>
      </c>
      <c r="DQ731" s="0" t="n">
        <v>1</v>
      </c>
      <c r="DR731" s="0"/>
      <c r="DS731" s="0" t="n">
        <v>1</v>
      </c>
      <c r="DU731" s="0" t="n">
        <v>1</v>
      </c>
      <c r="DW731" s="1" t="n">
        <v>40471</v>
      </c>
      <c r="DX731" s="1" t="n">
        <v>40651</v>
      </c>
      <c r="DZ731" s="0"/>
      <c r="EA731" s="0" t="n">
        <v>1</v>
      </c>
      <c r="EC731" s="1" t="n">
        <v>40471</v>
      </c>
      <c r="ED731" s="1" t="n">
        <v>40651</v>
      </c>
      <c r="EF731" s="0"/>
      <c r="EG731" s="0" t="n">
        <v>0</v>
      </c>
      <c r="EI731" s="0" t="n">
        <f aca="false">IF(AND(DM731=1,DN731&lt;=48),"",IF(AND(DM731=2,DN731&lt;=42),"",IF(AND(DM731=3,DN731&lt;=45),"",EH731)))</f>
        <v>0</v>
      </c>
      <c r="EJ731" s="0" t="str">
        <f aca="false">IF(EI731="","",IF(EI731&lt;9,EI731,9))</f>
        <v/>
      </c>
      <c r="EK731" s="0" t="str">
        <f aca="false">IF(EI731="","",IF(EI731&gt;9,EI731-EJ731,0))</f>
        <v/>
      </c>
      <c r="EL731" s="0" t="str">
        <f aca="false">IF(EI731="","",EJ731*DA731*2+EK731*DA731*3)</f>
        <v/>
      </c>
      <c r="EP731" s="0" t="n">
        <v>0</v>
      </c>
      <c r="EQ731" s="0"/>
      <c r="ER731" s="0" t="n">
        <v>0</v>
      </c>
      <c r="ET731" s="0" t="n">
        <v>0</v>
      </c>
      <c r="EV731" s="0" t="n">
        <v>0</v>
      </c>
      <c r="EX731" s="0" t="n">
        <v>0</v>
      </c>
      <c r="EY731" s="0" t="n">
        <v>0</v>
      </c>
      <c r="EZ731" s="0"/>
      <c r="FA731" s="0"/>
      <c r="FB731" s="0" t="n">
        <v>0</v>
      </c>
      <c r="FC731" s="1" t="n">
        <v>42101</v>
      </c>
      <c r="FD731" s="0" t="n">
        <v>1</v>
      </c>
      <c r="FE731" s="0" t="n">
        <v>35000</v>
      </c>
      <c r="FF731" s="120" t="n">
        <f aca="false">(CJ731-CI731+1)/365</f>
        <v>0.495890410958904</v>
      </c>
      <c r="FG731" s="0" t="str">
        <f aca="false">CONCATENATE(F731,"/",G731)</f>
        <v>1088/2011</v>
      </c>
      <c r="FH731" s="0" t="n">
        <v>1</v>
      </c>
      <c r="FI731" s="0" t="n">
        <f aca="false">IFERROR(IF((FC731-J731+1)/365&gt;3,0,1),"")</f>
        <v>0</v>
      </c>
    </row>
    <row r="732" customFormat="false" ht="15" hidden="false" customHeight="false" outlineLevel="0" collapsed="false">
      <c r="A732" s="5" t="str">
        <f aca="false">E732&amp;G732&amp;F732</f>
        <v>720111069</v>
      </c>
      <c r="B732" s="0" t="s">
        <v>6659</v>
      </c>
      <c r="C732" s="1" t="n">
        <v>42364</v>
      </c>
      <c r="E732" s="0" t="n">
        <v>7</v>
      </c>
      <c r="F732" s="0" t="n">
        <v>1069</v>
      </c>
      <c r="G732" s="0" t="n">
        <v>2011</v>
      </c>
      <c r="H732" s="0" t="str">
        <f aca="false">"J"&amp;E732&amp;"\"&amp;F732&amp;"\"&amp;G732&amp;"\"&amp;W732</f>
        <v>J7\1069\2011\1</v>
      </c>
      <c r="I732" s="0"/>
      <c r="J732" s="1" t="n">
        <v>40715</v>
      </c>
      <c r="K732" s="0" t="n">
        <v>0</v>
      </c>
      <c r="M732" s="1"/>
      <c r="N732" s="1"/>
      <c r="O732" s="1"/>
      <c r="P732" s="1"/>
      <c r="Q732" s="1"/>
      <c r="T732" s="121"/>
      <c r="U732" s="121"/>
      <c r="V732" s="122" t="n">
        <f aca="false">IF(AND(E732&gt;0,F732&gt;0,G732&gt;0),COUNTIFS($E:$E,E732,$F:$F,F732,$G:$G,G732),"")</f>
        <v>1</v>
      </c>
      <c r="W732" s="122" t="n">
        <f aca="false">IF(V732="","",IF(V732=1,1,IF(AND(E731=E732,F731=F732,G731=G732),W731+1,1)))</f>
        <v>1</v>
      </c>
      <c r="X732" s="0" t="n">
        <v>1</v>
      </c>
      <c r="Y732" s="0" t="n">
        <v>3</v>
      </c>
      <c r="Z732" s="0" t="s">
        <v>6680</v>
      </c>
      <c r="AA732" s="0" t="n">
        <v>0</v>
      </c>
      <c r="AB732" s="0" t="s">
        <v>6681</v>
      </c>
      <c r="AC732" s="0" t="s">
        <v>1963</v>
      </c>
      <c r="AD732" s="0" t="s">
        <v>1927</v>
      </c>
      <c r="AE732" s="0" t="n">
        <v>0</v>
      </c>
      <c r="AF732" s="0" t="s">
        <v>6682</v>
      </c>
      <c r="AG732" s="0" t="n">
        <v>0</v>
      </c>
      <c r="AH732" s="0" t="s">
        <v>6683</v>
      </c>
      <c r="AI732" s="0" t="s">
        <v>6684</v>
      </c>
      <c r="AJ732" s="0" t="s">
        <v>1372</v>
      </c>
      <c r="AL732" s="0" t="s">
        <v>6685</v>
      </c>
      <c r="AM732" s="0" t="n">
        <v>1</v>
      </c>
      <c r="AN732" s="0" t="s">
        <v>6683</v>
      </c>
      <c r="AO732" s="0" t="s">
        <v>6684</v>
      </c>
      <c r="AP732" s="0" t="s">
        <v>1372</v>
      </c>
      <c r="AR732" s="0" t="s">
        <v>6686</v>
      </c>
      <c r="AS732" s="0" t="n">
        <v>1</v>
      </c>
      <c r="AT732" s="0" t="s">
        <v>6683</v>
      </c>
      <c r="AU732" s="0" t="s">
        <v>6684</v>
      </c>
      <c r="AV732" s="0" t="s">
        <v>1372</v>
      </c>
      <c r="BR732" s="0" t="n">
        <v>1</v>
      </c>
      <c r="BS732" s="0" t="s">
        <v>6687</v>
      </c>
      <c r="BT732" s="0" t="s">
        <v>6688</v>
      </c>
      <c r="BU732" s="0" t="s">
        <v>6689</v>
      </c>
      <c r="BV732" s="123"/>
      <c r="BW732" s="123"/>
      <c r="BX732" s="123"/>
      <c r="BY732" s="123"/>
      <c r="CD732" s="0" t="s">
        <v>256</v>
      </c>
      <c r="CE732" s="0" t="n">
        <v>0</v>
      </c>
      <c r="CF732" s="0" t="s">
        <v>6690</v>
      </c>
      <c r="CI732" s="1" t="n">
        <v>40417</v>
      </c>
      <c r="CJ732" s="1" t="n">
        <v>40680</v>
      </c>
      <c r="CK732" s="124" t="n">
        <v>0.333333333333333</v>
      </c>
      <c r="CL732" s="0" t="s">
        <v>6691</v>
      </c>
      <c r="CM732" s="0" t="n">
        <f aca="false">IF(OR(CI732="",CJ732=""),"",DAYS360(CI732,CJ732)/360)</f>
        <v>0.722222222222222</v>
      </c>
      <c r="CN732" s="0" t="n">
        <f aca="false">IF(OR(CI732="",CJ732=""),"",DAYS360(CI732,CJ732)/30)</f>
        <v>8.66666666666667</v>
      </c>
      <c r="CO732" s="0" t="n">
        <f aca="false">IF(OR(CI732="",CJ732=""),"",DAYS360(CI732,CJ732)/7)</f>
        <v>37.1428571428571</v>
      </c>
      <c r="CP732" s="0" t="n">
        <f aca="false">IF(OR(CI732="",CJ732=""),"",DAYS360(CI732,CJ732))</f>
        <v>260</v>
      </c>
      <c r="CQ732" s="0" t="s">
        <v>2021</v>
      </c>
      <c r="CR732" s="0" t="n">
        <v>1</v>
      </c>
      <c r="CT732" s="0" t="n">
        <v>450</v>
      </c>
      <c r="CU732" s="0" t="n">
        <v>0</v>
      </c>
      <c r="CV732" s="0" t="n">
        <f aca="false">IF(OR(CT732="",CT732="NO ESPECIFICA",CT732="NO MENCIONA"),"",IF(CU732=0,CT732,IF(CU732=1,CT732/30,IF(CU732=2,CT732/15,IF(CU732=3,CT732/7,"")))))</f>
        <v>450</v>
      </c>
      <c r="CW732" s="125" t="n">
        <v>1067.36</v>
      </c>
      <c r="CX732" s="0" t="n">
        <v>0</v>
      </c>
      <c r="CY732" s="0" t="n">
        <f aca="false">IF(CW732="","",IF(CX732=0,CW732,IF(CX732=1,CW732/30,IF(CX732=2,CW732/15,IF(CX732=3,CW732/7,CW732)))))</f>
        <v>1067.36</v>
      </c>
      <c r="CZ732" s="0" t="n">
        <f aca="false">IF(DI732&gt;0,DI732,IF(CY732&gt;0,CY732,IF(CV732&gt;0,CV732,"")))</f>
        <v>1067.36</v>
      </c>
      <c r="DA732" s="0" t="n">
        <f aca="false">IF(DM732=1,CZ732/8,IF(OR(DM732=2,DM732=4),CZ732/7,IF(DM732=3,CZ732/7.5,"")))</f>
        <v>133.42</v>
      </c>
      <c r="DB732" s="0" t="s">
        <v>1935</v>
      </c>
      <c r="DC732" s="0" t="s">
        <v>1945</v>
      </c>
      <c r="DD732" s="0" t="s">
        <v>2436</v>
      </c>
      <c r="DE732" s="0" t="s">
        <v>6692</v>
      </c>
      <c r="DF732" s="0" t="s">
        <v>6693</v>
      </c>
      <c r="DG732" s="0" t="s">
        <v>6694</v>
      </c>
      <c r="DH732" s="0" t="n">
        <v>0</v>
      </c>
      <c r="DI732" s="126" t="n">
        <v>1067.36</v>
      </c>
      <c r="DK732" s="0" t="n">
        <v>0</v>
      </c>
      <c r="DM732" s="0" t="n">
        <v>1</v>
      </c>
      <c r="DN732" s="0" t="n">
        <v>66</v>
      </c>
      <c r="DO732" s="0" t="n">
        <v>3</v>
      </c>
      <c r="DP732" s="0" t="n">
        <v>1</v>
      </c>
      <c r="DQ732" s="0" t="n">
        <v>1</v>
      </c>
      <c r="DR732" s="0"/>
      <c r="DS732" s="0" t="n">
        <v>1</v>
      </c>
      <c r="DU732" s="0" t="n">
        <v>1</v>
      </c>
      <c r="DW732" s="1" t="s">
        <v>1775</v>
      </c>
      <c r="DX732" s="1" t="s">
        <v>1775</v>
      </c>
      <c r="DZ732" s="0"/>
      <c r="EA732" s="0" t="n">
        <v>1</v>
      </c>
      <c r="EC732" s="1" t="n">
        <v>40544</v>
      </c>
      <c r="ED732" s="1" t="n">
        <v>40680</v>
      </c>
      <c r="EF732" s="0"/>
      <c r="EG732" s="0" t="n">
        <v>1</v>
      </c>
      <c r="EH732" s="0" t="n">
        <v>18</v>
      </c>
      <c r="EI732" s="0" t="n">
        <f aca="false">IF(AND(DM732=1,DN732&lt;=48),"",IF(AND(DM732=2,DN732&lt;=42),"",IF(AND(DM732=3,DN732&lt;=45),"",EH732)))</f>
        <v>18</v>
      </c>
      <c r="EJ732" s="0" t="n">
        <f aca="false">IF(EI732="","",IF(EI732&lt;9,EI732,9))</f>
        <v>9</v>
      </c>
      <c r="EK732" s="0" t="n">
        <f aca="false">IF(EI732="","",IF(EI732&gt;9,EI732-EJ732,0))</f>
        <v>9</v>
      </c>
      <c r="EL732" s="0" t="n">
        <f aca="false">IF(EI732="","",EJ732*DA732*2+EK732*DA732*3)</f>
        <v>6003.9</v>
      </c>
      <c r="EP732" s="0" t="n">
        <v>1</v>
      </c>
      <c r="EQ732" s="0"/>
      <c r="ER732" s="0" t="n">
        <v>0</v>
      </c>
      <c r="ET732" s="0" t="n">
        <v>0</v>
      </c>
      <c r="EV732" s="0" t="n">
        <v>1</v>
      </c>
      <c r="EX732" s="0" t="n">
        <v>1</v>
      </c>
      <c r="EY732" s="0" t="n">
        <v>0</v>
      </c>
      <c r="EZ732" s="0"/>
      <c r="FA732" s="4" t="n">
        <v>28945.24</v>
      </c>
      <c r="FB732" s="0" t="n">
        <v>1</v>
      </c>
      <c r="FC732" s="1" t="n">
        <v>40780</v>
      </c>
      <c r="FD732" s="0" t="n">
        <v>2</v>
      </c>
      <c r="FE732" s="0" t="n">
        <v>0</v>
      </c>
      <c r="FF732" s="120" t="n">
        <f aca="false">(CJ732-CI732+1)/365</f>
        <v>0.723287671232877</v>
      </c>
      <c r="FG732" s="0" t="str">
        <f aca="false">CONCATENATE(F732,"/",G732)</f>
        <v>1069/2011</v>
      </c>
      <c r="FH732" s="0" t="n">
        <v>1</v>
      </c>
      <c r="FI732" s="0" t="n">
        <f aca="false">IFERROR(IF((FC732-J732+1)/365&gt;3,0,1),"")</f>
        <v>1</v>
      </c>
    </row>
    <row r="733" customFormat="false" ht="15" hidden="false" customHeight="false" outlineLevel="0" collapsed="false">
      <c r="A733" s="5" t="str">
        <f aca="false">E733&amp;G733&amp;F733</f>
        <v>720111071</v>
      </c>
      <c r="B733" s="0" t="s">
        <v>6659</v>
      </c>
      <c r="C733" s="1" t="n">
        <v>42364</v>
      </c>
      <c r="E733" s="0" t="n">
        <v>7</v>
      </c>
      <c r="F733" s="0" t="n">
        <v>1071</v>
      </c>
      <c r="G733" s="0" t="n">
        <v>2011</v>
      </c>
      <c r="H733" s="0" t="str">
        <f aca="false">"J"&amp;E733&amp;"\"&amp;F733&amp;"\"&amp;G733&amp;"\"&amp;W733</f>
        <v>J7\1071\2011\1</v>
      </c>
      <c r="I733" s="0"/>
      <c r="J733" s="1" t="n">
        <v>40715</v>
      </c>
      <c r="K733" s="0" t="n">
        <v>0</v>
      </c>
      <c r="M733" s="1"/>
      <c r="N733" s="1"/>
      <c r="O733" s="1"/>
      <c r="P733" s="1"/>
      <c r="Q733" s="1"/>
      <c r="T733" s="121"/>
      <c r="U733" s="121"/>
      <c r="V733" s="122" t="n">
        <f aca="false">IF(AND(E733&gt;0,F733&gt;0,G733&gt;0),COUNTIFS($E:$E,E733,$F:$F,F733,$G:$G,G733),"")</f>
        <v>1</v>
      </c>
      <c r="W733" s="122" t="n">
        <f aca="false">IF(V733="","",IF(V733=1,1,IF(AND(E732=E733,F732=F733,G732=G733),W732+1,1)))</f>
        <v>1</v>
      </c>
      <c r="X733" s="0" t="n">
        <v>1</v>
      </c>
      <c r="Y733" s="0" t="n">
        <v>2</v>
      </c>
      <c r="Z733" s="0" t="s">
        <v>6695</v>
      </c>
      <c r="AA733" s="0" t="n">
        <v>0</v>
      </c>
      <c r="AB733" s="0" t="s">
        <v>6696</v>
      </c>
      <c r="AC733" s="0" t="s">
        <v>2460</v>
      </c>
      <c r="AD733" s="0" t="s">
        <v>1927</v>
      </c>
      <c r="AE733" s="0" t="n">
        <v>0</v>
      </c>
      <c r="AF733" s="0" t="s">
        <v>6697</v>
      </c>
      <c r="AG733" s="0" t="n">
        <v>0</v>
      </c>
      <c r="AH733" s="0" t="s">
        <v>6698</v>
      </c>
      <c r="AI733" s="0" t="s">
        <v>6699</v>
      </c>
      <c r="AJ733" s="0" t="s">
        <v>1941</v>
      </c>
      <c r="AL733" s="0" t="s">
        <v>6700</v>
      </c>
      <c r="AM733" s="0" t="n">
        <v>1</v>
      </c>
      <c r="AN733" s="0" t="s">
        <v>6698</v>
      </c>
      <c r="AO733" s="0" t="s">
        <v>6699</v>
      </c>
      <c r="AP733" s="0" t="s">
        <v>1941</v>
      </c>
      <c r="BR733" s="0" t="n">
        <v>1</v>
      </c>
      <c r="BS733" s="0" t="s">
        <v>6701</v>
      </c>
      <c r="BT733" s="0" t="s">
        <v>6702</v>
      </c>
      <c r="BU733" s="0" t="s">
        <v>6703</v>
      </c>
      <c r="BV733" s="123"/>
      <c r="BW733" s="123"/>
      <c r="BX733" s="123"/>
      <c r="BY733" s="123"/>
      <c r="CD733" s="0" t="s">
        <v>2572</v>
      </c>
      <c r="CE733" s="0" t="n">
        <v>0</v>
      </c>
      <c r="CF733" s="0" t="s">
        <v>6704</v>
      </c>
      <c r="CI733" s="1" t="n">
        <v>40513</v>
      </c>
      <c r="CJ733" s="1" t="n">
        <v>40675</v>
      </c>
      <c r="CK733" s="124" t="n">
        <v>0.416666666666667</v>
      </c>
      <c r="CL733" s="0" t="s">
        <v>6705</v>
      </c>
      <c r="CM733" s="0" t="n">
        <f aca="false">IF(OR(CI733="",CJ733=""),"",DAYS360(CI733,CJ733)/360)</f>
        <v>0.447222222222222</v>
      </c>
      <c r="CN733" s="0" t="n">
        <f aca="false">IF(OR(CI733="",CJ733=""),"",DAYS360(CI733,CJ733)/30)</f>
        <v>5.36666666666667</v>
      </c>
      <c r="CO733" s="0" t="n">
        <f aca="false">IF(OR(CI733="",CJ733=""),"",DAYS360(CI733,CJ733)/7)</f>
        <v>23</v>
      </c>
      <c r="CP733" s="0" t="n">
        <f aca="false">IF(OR(CI733="",CJ733=""),"",DAYS360(CI733,CJ733))</f>
        <v>161</v>
      </c>
      <c r="CQ733" s="0" t="s">
        <v>240</v>
      </c>
      <c r="CR733" s="0" t="n">
        <v>1</v>
      </c>
      <c r="CT733" s="0" t="n">
        <v>2000</v>
      </c>
      <c r="CU733" s="0" t="n">
        <v>2</v>
      </c>
      <c r="CV733" s="0" t="n">
        <f aca="false">IF(OR(CT733="",CT733="NO ESPECIFICA",CT733="NO MENCIONA"),"",IF(CU733=0,CT733,IF(CU733=1,CT733/30,IF(CU733=2,CT733/15,IF(CU733=3,CT733/7,"")))))</f>
        <v>133.333333333333</v>
      </c>
      <c r="CW733" s="125" t="n">
        <v>5081.47</v>
      </c>
      <c r="CX733" s="0" t="n">
        <v>2</v>
      </c>
      <c r="CY733" s="0" t="n">
        <f aca="false">IF(CW733="","",IF(CX733=0,CW733,IF(CX733=1,CW733/30,IF(CX733=2,CW733/15,IF(CX733=3,CW733/7,CW733)))))</f>
        <v>338.764666666667</v>
      </c>
      <c r="CZ733" s="0" t="n">
        <f aca="false">IF(DI733&gt;0,DI733,IF(CY733&gt;0,CY733,IF(CV733&gt;0,CV733,"")))</f>
        <v>338.76</v>
      </c>
      <c r="DA733" s="0" t="n">
        <f aca="false">IF(DM733=1,CZ733/8,IF(OR(DM733=2,DM733=4),CZ733/7,IF(DM733=3,CZ733/7.5,"")))</f>
        <v>42.345</v>
      </c>
      <c r="DB733" s="0" t="s">
        <v>216</v>
      </c>
      <c r="DC733" s="0" t="s">
        <v>216</v>
      </c>
      <c r="DD733" s="0" t="s">
        <v>216</v>
      </c>
      <c r="DE733" s="0" t="s">
        <v>216</v>
      </c>
      <c r="DF733" s="0" t="s">
        <v>216</v>
      </c>
      <c r="DG733" s="0" t="s">
        <v>216</v>
      </c>
      <c r="DH733" s="0" t="n">
        <v>0</v>
      </c>
      <c r="DI733" s="126" t="n">
        <v>338.76</v>
      </c>
      <c r="DK733" s="0" t="n">
        <v>0</v>
      </c>
      <c r="DM733" s="0" t="n">
        <v>1</v>
      </c>
      <c r="DN733" s="0" t="n">
        <v>60</v>
      </c>
      <c r="DO733" s="0" t="n">
        <v>3</v>
      </c>
      <c r="DP733" s="0" t="n">
        <v>0</v>
      </c>
      <c r="DQ733" s="0" t="n">
        <v>1</v>
      </c>
      <c r="DR733" s="0"/>
      <c r="DS733" s="0" t="n">
        <v>1</v>
      </c>
      <c r="DU733" s="0" t="n">
        <v>1</v>
      </c>
      <c r="DW733" s="1" t="n">
        <v>40513</v>
      </c>
      <c r="DX733" s="1" t="n">
        <v>40675</v>
      </c>
      <c r="DZ733" s="0"/>
      <c r="EA733" s="0" t="n">
        <v>1</v>
      </c>
      <c r="EC733" s="1" t="n">
        <v>40513</v>
      </c>
      <c r="ED733" s="1" t="n">
        <v>40675</v>
      </c>
      <c r="EF733" s="0"/>
      <c r="EG733" s="0" t="n">
        <v>1</v>
      </c>
      <c r="EH733" s="0" t="n">
        <v>12</v>
      </c>
      <c r="EI733" s="0" t="n">
        <f aca="false">IF(AND(DM733=1,DN733&lt;=48),"",IF(AND(DM733=2,DN733&lt;=42),"",IF(AND(DM733=3,DN733&lt;=45),"",EH733)))</f>
        <v>12</v>
      </c>
      <c r="EJ733" s="0" t="n">
        <f aca="false">IF(EI733="","",IF(EI733&lt;9,EI733,9))</f>
        <v>9</v>
      </c>
      <c r="EK733" s="0" t="n">
        <f aca="false">IF(EI733="","",IF(EI733&gt;9,EI733-EJ733,0))</f>
        <v>3</v>
      </c>
      <c r="EL733" s="0" t="n">
        <f aca="false">IF(EI733="","",EJ733*DA733*2+EK733*DA733*3)</f>
        <v>1143.315</v>
      </c>
      <c r="EP733" s="0" t="n">
        <v>0</v>
      </c>
      <c r="EQ733" s="0"/>
      <c r="ER733" s="0" t="n">
        <v>0</v>
      </c>
      <c r="ET733" s="0" t="n">
        <v>0</v>
      </c>
      <c r="EV733" s="0" t="n">
        <v>0</v>
      </c>
      <c r="EX733" s="0" t="n">
        <v>1</v>
      </c>
      <c r="EY733" s="0" t="n">
        <v>0</v>
      </c>
      <c r="EZ733" s="0"/>
      <c r="FA733" s="4" t="n">
        <v>8526.36</v>
      </c>
      <c r="FB733" s="0" t="n">
        <v>0</v>
      </c>
      <c r="FC733" s="1" t="n">
        <v>40991</v>
      </c>
      <c r="FD733" s="0" t="n">
        <v>1</v>
      </c>
      <c r="FE733" s="0" t="n">
        <v>4000</v>
      </c>
      <c r="FF733" s="120" t="n">
        <f aca="false">(CJ733-CI733+1)/365</f>
        <v>0.446575342465753</v>
      </c>
      <c r="FG733" s="0" t="str">
        <f aca="false">CONCATENATE(F733,"/",G733)</f>
        <v>1071/2011</v>
      </c>
      <c r="FH733" s="0" t="n">
        <v>1</v>
      </c>
      <c r="FI733" s="0" t="n">
        <f aca="false">IFERROR(IF((FC733-J733+1)/365&gt;3,0,1),"")</f>
        <v>1</v>
      </c>
    </row>
    <row r="734" customFormat="false" ht="15" hidden="false" customHeight="false" outlineLevel="0" collapsed="false">
      <c r="A734" s="5" t="str">
        <f aca="false">E734&amp;G734&amp;F734</f>
        <v>720111075</v>
      </c>
      <c r="B734" s="0" t="s">
        <v>6659</v>
      </c>
      <c r="C734" s="1" t="n">
        <v>42364</v>
      </c>
      <c r="D734" s="0" t="s">
        <v>6706</v>
      </c>
      <c r="E734" s="0" t="n">
        <v>7</v>
      </c>
      <c r="F734" s="0" t="n">
        <v>1075</v>
      </c>
      <c r="G734" s="0" t="n">
        <v>2011</v>
      </c>
      <c r="H734" s="0" t="str">
        <f aca="false">"J"&amp;E734&amp;"\"&amp;F734&amp;"\"&amp;G734&amp;"\"&amp;W734</f>
        <v>J7\1075\2011\1</v>
      </c>
      <c r="I734" s="0"/>
      <c r="J734" s="1" t="n">
        <v>40716</v>
      </c>
      <c r="K734" s="0" t="n">
        <v>0</v>
      </c>
      <c r="M734" s="1"/>
      <c r="N734" s="1"/>
      <c r="O734" s="1"/>
      <c r="P734" s="1"/>
      <c r="Q734" s="1"/>
      <c r="T734" s="121"/>
      <c r="U734" s="121"/>
      <c r="V734" s="122" t="n">
        <f aca="false">IF(AND(E734&gt;0,F734&gt;0,G734&gt;0),COUNTIFS($E:$E,E734,$F:$F,F734,$G:$G,G734),"")</f>
        <v>1</v>
      </c>
      <c r="W734" s="122" t="n">
        <f aca="false">IF(V734="","",IF(V734=1,1,IF(AND(E733=E734,F733=F734,G733=G734),W733+1,1)))</f>
        <v>1</v>
      </c>
      <c r="X734" s="0" t="n">
        <v>1</v>
      </c>
      <c r="Y734" s="0" t="n">
        <v>2</v>
      </c>
      <c r="Z734" s="0" t="s">
        <v>6707</v>
      </c>
      <c r="AA734" s="0" t="n">
        <v>0</v>
      </c>
      <c r="AB734" s="0" t="s">
        <v>6708</v>
      </c>
      <c r="AC734" s="0" t="s">
        <v>225</v>
      </c>
      <c r="AD734" s="0" t="s">
        <v>1941</v>
      </c>
      <c r="AE734" s="0" t="n">
        <v>0</v>
      </c>
      <c r="AF734" s="0" t="s">
        <v>6709</v>
      </c>
      <c r="AG734" s="0" t="n">
        <v>0</v>
      </c>
      <c r="AH734" s="0" t="s">
        <v>6710</v>
      </c>
      <c r="AI734" s="0" t="s">
        <v>1963</v>
      </c>
      <c r="AL734" s="0" t="s">
        <v>6711</v>
      </c>
      <c r="AM734" s="0" t="n">
        <v>1</v>
      </c>
      <c r="AN734" s="0" t="s">
        <v>6710</v>
      </c>
      <c r="AO734" s="0" t="s">
        <v>1963</v>
      </c>
      <c r="BR734" s="0" t="n">
        <v>1</v>
      </c>
      <c r="BS734" s="0" t="s">
        <v>6712</v>
      </c>
      <c r="BT734" s="0" t="s">
        <v>6713</v>
      </c>
      <c r="BV734" s="123"/>
      <c r="BW734" s="123"/>
      <c r="BX734" s="123"/>
      <c r="BY734" s="123"/>
      <c r="CD734" s="0" t="s">
        <v>1919</v>
      </c>
      <c r="CE734" s="0" t="n">
        <v>0</v>
      </c>
      <c r="CF734" s="0" t="s">
        <v>3576</v>
      </c>
      <c r="CI734" s="1" t="n">
        <v>39044</v>
      </c>
      <c r="CJ734" s="1" t="n">
        <v>40694</v>
      </c>
      <c r="CK734" s="124" t="n">
        <v>0.75</v>
      </c>
      <c r="CL734" s="0" t="s">
        <v>6714</v>
      </c>
      <c r="CM734" s="0" t="n">
        <f aca="false">IF(OR(CI734="",CJ734=""),"",DAYS360(CI734,CJ734)/360)</f>
        <v>4.52222222222222</v>
      </c>
      <c r="CN734" s="0" t="n">
        <f aca="false">IF(OR(CI734="",CJ734=""),"",DAYS360(CI734,CJ734)/30)</f>
        <v>54.2666666666667</v>
      </c>
      <c r="CO734" s="0" t="n">
        <f aca="false">IF(OR(CI734="",CJ734=""),"",DAYS360(CI734,CJ734)/7)</f>
        <v>232.571428571429</v>
      </c>
      <c r="CP734" s="0" t="n">
        <f aca="false">IF(OR(CI734="",CJ734=""),"",DAYS360(CI734,CJ734))</f>
        <v>1628</v>
      </c>
      <c r="CQ734" s="0" t="s">
        <v>240</v>
      </c>
      <c r="CR734" s="0" t="n">
        <v>1</v>
      </c>
      <c r="CT734" s="0" t="s">
        <v>221</v>
      </c>
      <c r="CU734" s="0" t="s">
        <v>221</v>
      </c>
      <c r="CV734" s="0" t="str">
        <f aca="false">IF(OR(CT734="",CT734="NO ESPECIFICA",CT734="NO MENCIONA"),"",IF(CU734=0,CT734,IF(CU734=1,CT734/30,IF(CU734=2,CT734/15,IF(CU734=3,CT734/7,"")))))</f>
        <v/>
      </c>
      <c r="CW734" s="125" t="n">
        <v>278.54</v>
      </c>
      <c r="CX734" s="0" t="n">
        <v>0</v>
      </c>
      <c r="CY734" s="0" t="n">
        <f aca="false">IF(CW734="","",IF(CX734=0,CW734,IF(CX734=1,CW734/30,IF(CX734=2,CW734/15,IF(CX734=3,CW734/7,CW734)))))</f>
        <v>278.54</v>
      </c>
      <c r="CZ734" s="0" t="n">
        <f aca="false">IF(DI734&gt;0,DI734,IF(CY734&gt;0,CY734,IF(CV734&gt;0,CV734,"")))</f>
        <v>278.54</v>
      </c>
      <c r="DA734" s="0" t="n">
        <f aca="false">IF(DM734=1,CZ734/8,IF(OR(DM734=2,DM734=4),CZ734/7,IF(DM734=3,CZ734/7.5,"")))</f>
        <v>34.8175</v>
      </c>
      <c r="DB734" s="0" t="s">
        <v>216</v>
      </c>
      <c r="DC734" s="0" t="s">
        <v>216</v>
      </c>
      <c r="DD734" s="0" t="s">
        <v>216</v>
      </c>
      <c r="DE734" s="0" t="s">
        <v>216</v>
      </c>
      <c r="DF734" s="0" t="s">
        <v>216</v>
      </c>
      <c r="DG734" s="0" t="s">
        <v>216</v>
      </c>
      <c r="DH734" s="0" t="n">
        <v>0</v>
      </c>
      <c r="DI734" s="126" t="n">
        <v>278.54</v>
      </c>
      <c r="DK734" s="0" t="n">
        <v>0</v>
      </c>
      <c r="DM734" s="0" t="n">
        <v>1</v>
      </c>
      <c r="DN734" s="0" t="n">
        <v>60</v>
      </c>
      <c r="DO734" s="0" t="n">
        <v>3</v>
      </c>
      <c r="DP734" s="0" t="n">
        <v>0</v>
      </c>
      <c r="DQ734" s="0" t="n">
        <v>1</v>
      </c>
      <c r="DR734" s="0"/>
      <c r="DS734" s="0" t="n">
        <v>1</v>
      </c>
      <c r="DU734" s="0" t="n">
        <v>1</v>
      </c>
      <c r="DW734" s="1" t="n">
        <v>40505</v>
      </c>
      <c r="DX734" s="1" t="n">
        <v>40694</v>
      </c>
      <c r="DZ734" s="0"/>
      <c r="EA734" s="0" t="n">
        <v>1</v>
      </c>
      <c r="EC734" s="1" t="n">
        <v>40544</v>
      </c>
      <c r="ED734" s="1" t="n">
        <v>40694</v>
      </c>
      <c r="EF734" s="0"/>
      <c r="EG734" s="0" t="n">
        <v>1</v>
      </c>
      <c r="EH734" s="0" t="n">
        <v>12</v>
      </c>
      <c r="EI734" s="0" t="n">
        <f aca="false">IF(AND(DM734=1,DN734&lt;=48),"",IF(AND(DM734=2,DN734&lt;=42),"",IF(AND(DM734=3,DN734&lt;=45),"",EH734)))</f>
        <v>12</v>
      </c>
      <c r="EJ734" s="0" t="n">
        <f aca="false">IF(EI734="","",IF(EI734&lt;9,EI734,9))</f>
        <v>9</v>
      </c>
      <c r="EK734" s="0" t="n">
        <f aca="false">IF(EI734="","",IF(EI734&gt;9,EI734-EJ734,0))</f>
        <v>3</v>
      </c>
      <c r="EL734" s="0" t="n">
        <f aca="false">IF(EI734="","",EJ734*DA734*2+EK734*DA734*3)</f>
        <v>940.0725</v>
      </c>
      <c r="EP734" s="0" t="n">
        <v>0</v>
      </c>
      <c r="EQ734" s="0"/>
      <c r="ER734" s="0" t="n">
        <v>0</v>
      </c>
      <c r="ET734" s="0" t="n">
        <v>0</v>
      </c>
      <c r="EV734" s="0" t="n">
        <v>0</v>
      </c>
      <c r="EX734" s="0" t="n">
        <v>0</v>
      </c>
      <c r="EY734" s="0" t="n">
        <v>1</v>
      </c>
      <c r="EZ734" s="0"/>
      <c r="FA734" s="0"/>
      <c r="FB734" s="0" t="n">
        <v>1</v>
      </c>
      <c r="FC734" s="1" t="n">
        <v>40948</v>
      </c>
      <c r="FD734" s="0" t="n">
        <v>1</v>
      </c>
      <c r="FE734" s="0" t="n">
        <v>12000</v>
      </c>
      <c r="FF734" s="120" t="n">
        <f aca="false">(CJ734-CI734+1)/365</f>
        <v>4.52328767123288</v>
      </c>
      <c r="FG734" s="0" t="str">
        <f aca="false">CONCATENATE(F734,"/",G734)</f>
        <v>1075/2011</v>
      </c>
      <c r="FH734" s="0" t="n">
        <v>1</v>
      </c>
      <c r="FI734" s="0" t="n">
        <f aca="false">IFERROR(IF((FC734-J734+1)/365&gt;3,0,1),"")</f>
        <v>1</v>
      </c>
    </row>
    <row r="735" customFormat="false" ht="15" hidden="false" customHeight="false" outlineLevel="0" collapsed="false">
      <c r="A735" s="5" t="str">
        <f aca="false">E735&amp;G735&amp;F735</f>
        <v>720111142</v>
      </c>
      <c r="B735" s="0" t="s">
        <v>6659</v>
      </c>
      <c r="C735" s="1" t="n">
        <v>42365</v>
      </c>
      <c r="E735" s="0" t="n">
        <v>7</v>
      </c>
      <c r="F735" s="0" t="n">
        <v>1142</v>
      </c>
      <c r="G735" s="0" t="n">
        <v>2011</v>
      </c>
      <c r="H735" s="0" t="str">
        <f aca="false">"J"&amp;E735&amp;"\"&amp;F735&amp;"\"&amp;G735&amp;"\"&amp;W735</f>
        <v>J7\1142\2011\1</v>
      </c>
      <c r="I735" s="0"/>
      <c r="J735" s="1" t="n">
        <v>40725</v>
      </c>
      <c r="K735" s="0" t="n">
        <v>0</v>
      </c>
      <c r="M735" s="1"/>
      <c r="N735" s="1"/>
      <c r="O735" s="1"/>
      <c r="P735" s="1"/>
      <c r="Q735" s="1"/>
      <c r="T735" s="121"/>
      <c r="U735" s="121"/>
      <c r="V735" s="122" t="n">
        <f aca="false">IF(AND(E735&gt;0,F735&gt;0,G735&gt;0),COUNTIFS($E:$E,E735,$F:$F,F735,$G:$G,G735),"")</f>
        <v>1</v>
      </c>
      <c r="W735" s="122" t="n">
        <f aca="false">IF(V735="","",IF(V735=1,1,IF(AND(E734=E735,F734=F735,G734=G735),W734+1,1)))</f>
        <v>1</v>
      </c>
      <c r="X735" s="0" t="n">
        <v>1</v>
      </c>
      <c r="Y735" s="0" t="n">
        <v>2</v>
      </c>
      <c r="Z735" s="0" t="s">
        <v>6715</v>
      </c>
      <c r="AA735" s="0" t="n">
        <v>0</v>
      </c>
      <c r="AB735" s="0" t="s">
        <v>3589</v>
      </c>
      <c r="AC735" s="0" t="s">
        <v>1924</v>
      </c>
      <c r="AD735" s="0" t="s">
        <v>1927</v>
      </c>
      <c r="AE735" s="0" t="n">
        <v>0</v>
      </c>
      <c r="AF735" s="0" t="s">
        <v>6716</v>
      </c>
      <c r="AG735" s="0" t="n">
        <v>0</v>
      </c>
      <c r="AH735" s="0" t="s">
        <v>6717</v>
      </c>
      <c r="AI735" s="0" t="s">
        <v>6718</v>
      </c>
      <c r="AJ735" s="0" t="s">
        <v>1927</v>
      </c>
      <c r="AL735" s="0" t="s">
        <v>6719</v>
      </c>
      <c r="AM735" s="0" t="n">
        <v>1</v>
      </c>
      <c r="AN735" s="0" t="s">
        <v>6717</v>
      </c>
      <c r="AO735" s="0" t="s">
        <v>6718</v>
      </c>
      <c r="AP735" s="0" t="s">
        <v>1927</v>
      </c>
      <c r="BR735" s="0" t="n">
        <v>3</v>
      </c>
      <c r="BS735" s="0" t="s">
        <v>1933</v>
      </c>
      <c r="BT735" s="0" t="s">
        <v>6678</v>
      </c>
      <c r="BU735" s="0" t="s">
        <v>6679</v>
      </c>
      <c r="BV735" s="123"/>
      <c r="BW735" s="123"/>
      <c r="BX735" s="123"/>
      <c r="BY735" s="123"/>
      <c r="CA735" s="0" t="s">
        <v>348</v>
      </c>
      <c r="CD735" s="0" t="s">
        <v>1919</v>
      </c>
      <c r="CE735" s="0" t="n">
        <v>0</v>
      </c>
      <c r="CF735" s="0" t="s">
        <v>4710</v>
      </c>
      <c r="CI735" s="1" t="n">
        <v>39891</v>
      </c>
      <c r="CJ735" s="1" t="n">
        <v>40665</v>
      </c>
      <c r="CK735" s="124" t="n">
        <v>0.583333333333333</v>
      </c>
      <c r="CL735" s="0" t="s">
        <v>6719</v>
      </c>
      <c r="CM735" s="0" t="n">
        <f aca="false">IF(OR(CI735="",CJ735=""),"",DAYS360(CI735,CJ735)/360)</f>
        <v>2.11944444444444</v>
      </c>
      <c r="CN735" s="0" t="n">
        <f aca="false">IF(OR(CI735="",CJ735=""),"",DAYS360(CI735,CJ735)/30)</f>
        <v>25.4333333333333</v>
      </c>
      <c r="CO735" s="0" t="n">
        <f aca="false">IF(OR(CI735="",CJ735=""),"",DAYS360(CI735,CJ735)/7)</f>
        <v>109</v>
      </c>
      <c r="CP735" s="0" t="n">
        <f aca="false">IF(OR(CI735="",CJ735=""),"",DAYS360(CI735,CJ735))</f>
        <v>763</v>
      </c>
      <c r="CQ735" s="0" t="s">
        <v>240</v>
      </c>
      <c r="CR735" s="0" t="n">
        <v>1</v>
      </c>
      <c r="CT735" s="0" t="n">
        <v>133.33</v>
      </c>
      <c r="CU735" s="0" t="n">
        <v>0</v>
      </c>
      <c r="CV735" s="0" t="n">
        <f aca="false">IF(OR(CT735="",CT735="NO ESPECIFICA",CT735="NO MENCIONA"),"",IF(CU735=0,CT735,IF(CU735=1,CT735/30,IF(CU735=2,CT735/15,IF(CU735=3,CT735/7,"")))))</f>
        <v>133.33</v>
      </c>
      <c r="CW735" s="125" t="n">
        <v>139.53</v>
      </c>
      <c r="CX735" s="0" t="n">
        <v>0</v>
      </c>
      <c r="CY735" s="0" t="n">
        <f aca="false">IF(CW735="","",IF(CX735=0,CW735,IF(CX735=1,CW735/30,IF(CX735=2,CW735/15,IF(CX735=3,CW735/7,CW735)))))</f>
        <v>139.53</v>
      </c>
      <c r="CZ735" s="0" t="n">
        <f aca="false">IF(DI735&gt;0,DI735,IF(CY735&gt;0,CY735,IF(CV735&gt;0,CV735,"")))</f>
        <v>139.53</v>
      </c>
      <c r="DA735" s="0" t="n">
        <f aca="false">IF(DM735=1,CZ735/8,IF(OR(DM735=2,DM735=4),CZ735/7,IF(DM735=3,CZ735/7.5,"")))</f>
        <v>17.44125</v>
      </c>
      <c r="DB735" s="0" t="s">
        <v>216</v>
      </c>
      <c r="DC735" s="0" t="s">
        <v>216</v>
      </c>
      <c r="DD735" s="0" t="s">
        <v>216</v>
      </c>
      <c r="DE735" s="0" t="s">
        <v>216</v>
      </c>
      <c r="DF735" s="0" t="s">
        <v>216</v>
      </c>
      <c r="DG735" s="0" t="s">
        <v>216</v>
      </c>
      <c r="DH735" s="0" t="n">
        <v>0</v>
      </c>
      <c r="DI735" s="126" t="n">
        <v>139.53</v>
      </c>
      <c r="DK735" s="0" t="n">
        <v>1</v>
      </c>
      <c r="DM735" s="0" t="n">
        <v>1</v>
      </c>
      <c r="DN735" s="0" t="n">
        <v>57</v>
      </c>
      <c r="DO735" s="0" t="n">
        <v>3</v>
      </c>
      <c r="DP735" s="0" t="n">
        <v>0</v>
      </c>
      <c r="DQ735" s="0" t="n">
        <v>1</v>
      </c>
      <c r="DR735" s="0"/>
      <c r="DS735" s="0" t="n">
        <v>1</v>
      </c>
      <c r="DU735" s="0" t="n">
        <v>1</v>
      </c>
      <c r="DW735" s="1" t="n">
        <v>39891</v>
      </c>
      <c r="DX735" s="1" t="n">
        <v>40665</v>
      </c>
      <c r="DZ735" s="0"/>
      <c r="EA735" s="0" t="n">
        <v>1</v>
      </c>
      <c r="EC735" s="1" t="n">
        <v>39891</v>
      </c>
      <c r="ED735" s="1" t="n">
        <v>40665</v>
      </c>
      <c r="EF735" s="0"/>
      <c r="EG735" s="0" t="n">
        <v>0</v>
      </c>
      <c r="EI735" s="0" t="n">
        <f aca="false">IF(AND(DM735=1,DN735&lt;=48),"",IF(AND(DM735=2,DN735&lt;=42),"",IF(AND(DM735=3,DN735&lt;=45),"",EH735)))</f>
        <v>0</v>
      </c>
      <c r="EJ735" s="0" t="str">
        <f aca="false">IF(EI735="","",IF(EI735&lt;9,EI735,9))</f>
        <v/>
      </c>
      <c r="EK735" s="0" t="str">
        <f aca="false">IF(EI735="","",IF(EI735&gt;9,EI735-EJ735,0))</f>
        <v/>
      </c>
      <c r="EL735" s="0" t="str">
        <f aca="false">IF(EI735="","",EJ735*DA735*2+EK735*DA735*3)</f>
        <v/>
      </c>
      <c r="EP735" s="0" t="n">
        <v>0</v>
      </c>
      <c r="EQ735" s="0"/>
      <c r="ER735" s="0" t="n">
        <v>0</v>
      </c>
      <c r="ET735" s="0" t="n">
        <v>0</v>
      </c>
      <c r="EV735" s="0" t="n">
        <v>0</v>
      </c>
      <c r="EX735" s="0" t="n">
        <v>0</v>
      </c>
      <c r="EY735" s="0" t="n">
        <v>0</v>
      </c>
      <c r="EZ735" s="0"/>
      <c r="FA735" s="0"/>
      <c r="FB735" s="0" t="n">
        <v>0</v>
      </c>
      <c r="FC735" s="1" t="n">
        <v>40981</v>
      </c>
      <c r="FD735" s="0" t="n">
        <v>2</v>
      </c>
      <c r="FE735" s="0" t="n">
        <v>0</v>
      </c>
      <c r="FF735" s="120" t="n">
        <f aca="false">(CJ735-CI735+1)/365</f>
        <v>2.12328767123288</v>
      </c>
      <c r="FG735" s="0" t="str">
        <f aca="false">CONCATENATE(F735,"/",G735)</f>
        <v>1142/2011</v>
      </c>
      <c r="FH735" s="0" t="n">
        <v>1</v>
      </c>
      <c r="FI735" s="0" t="n">
        <f aca="false">IFERROR(IF((FC735-J735+1)/365&gt;3,0,1),"")</f>
        <v>1</v>
      </c>
    </row>
    <row r="736" customFormat="false" ht="15" hidden="false" customHeight="false" outlineLevel="0" collapsed="false">
      <c r="A736" s="5" t="str">
        <f aca="false">E736&amp;G736&amp;F736</f>
        <v>720111107</v>
      </c>
      <c r="B736" s="0" t="s">
        <v>6659</v>
      </c>
      <c r="C736" s="1" t="n">
        <v>42365</v>
      </c>
      <c r="E736" s="0" t="n">
        <v>7</v>
      </c>
      <c r="F736" s="0" t="n">
        <v>1107</v>
      </c>
      <c r="G736" s="0" t="n">
        <v>2011</v>
      </c>
      <c r="H736" s="0" t="str">
        <f aca="false">"J"&amp;E736&amp;"\"&amp;F736&amp;"\"&amp;G736&amp;"\"&amp;W736</f>
        <v>J7\1107\2011\1</v>
      </c>
      <c r="I736" s="0"/>
      <c r="J736" s="1" t="n">
        <v>40722</v>
      </c>
      <c r="K736" s="0" t="n">
        <v>0</v>
      </c>
      <c r="M736" s="1"/>
      <c r="N736" s="1"/>
      <c r="O736" s="1"/>
      <c r="P736" s="1"/>
      <c r="Q736" s="1"/>
      <c r="T736" s="121"/>
      <c r="U736" s="121"/>
      <c r="V736" s="122" t="n">
        <f aca="false">IF(AND(E736&gt;0,F736&gt;0,G736&gt;0),COUNTIFS($E:$E,E736,$F:$F,F736,$G:$G,G736),"")</f>
        <v>1</v>
      </c>
      <c r="W736" s="122" t="n">
        <f aca="false">IF(V736="","",IF(V736=1,1,IF(AND(E735=E736,F735=F736,G735=G736),W735+1,1)))</f>
        <v>1</v>
      </c>
      <c r="X736" s="0" t="n">
        <v>1</v>
      </c>
      <c r="Y736" s="0" t="n">
        <v>7</v>
      </c>
      <c r="Z736" s="0" t="s">
        <v>6720</v>
      </c>
      <c r="AA736" s="0" t="n">
        <v>0</v>
      </c>
      <c r="AB736" s="0" t="s">
        <v>6721</v>
      </c>
      <c r="AC736" s="0" t="s">
        <v>5752</v>
      </c>
      <c r="AD736" s="0" t="s">
        <v>2729</v>
      </c>
      <c r="AE736" s="0" t="n">
        <v>0</v>
      </c>
      <c r="AF736" s="0" t="s">
        <v>6709</v>
      </c>
      <c r="AG736" s="0" t="n">
        <v>0</v>
      </c>
      <c r="AH736" s="0" t="s">
        <v>6710</v>
      </c>
      <c r="AI736" s="0" t="s">
        <v>1963</v>
      </c>
      <c r="AJ736" s="0" t="s">
        <v>6722</v>
      </c>
      <c r="AL736" s="0" t="s">
        <v>6723</v>
      </c>
      <c r="AM736" s="0" t="n">
        <v>1</v>
      </c>
      <c r="AN736" s="0" t="s">
        <v>6710</v>
      </c>
      <c r="AO736" s="0" t="s">
        <v>1963</v>
      </c>
      <c r="AP736" s="0" t="s">
        <v>6722</v>
      </c>
      <c r="AR736" s="0" t="s">
        <v>6724</v>
      </c>
      <c r="AS736" s="0" t="n">
        <v>1</v>
      </c>
      <c r="AT736" s="0" t="s">
        <v>6710</v>
      </c>
      <c r="AU736" s="0" t="s">
        <v>1963</v>
      </c>
      <c r="AV736" s="0" t="s">
        <v>6722</v>
      </c>
      <c r="AX736" s="0" t="s">
        <v>6725</v>
      </c>
      <c r="AY736" s="0" t="n">
        <v>1</v>
      </c>
      <c r="AZ736" s="0" t="s">
        <v>6710</v>
      </c>
      <c r="BA736" s="0" t="s">
        <v>1963</v>
      </c>
      <c r="BB736" s="0" t="s">
        <v>6722</v>
      </c>
      <c r="BD736" s="0" t="s">
        <v>6726</v>
      </c>
      <c r="BE736" s="0" t="n">
        <v>1</v>
      </c>
      <c r="BF736" s="0" t="s">
        <v>6710</v>
      </c>
      <c r="BG736" s="0" t="s">
        <v>1963</v>
      </c>
      <c r="BH736" s="0" t="s">
        <v>6722</v>
      </c>
      <c r="BJ736" s="0" t="s">
        <v>6727</v>
      </c>
      <c r="BK736" s="0" t="n">
        <v>1</v>
      </c>
      <c r="BL736" s="0" t="s">
        <v>6710</v>
      </c>
      <c r="BM736" s="0" t="s">
        <v>1963</v>
      </c>
      <c r="BN736" s="0" t="s">
        <v>6722</v>
      </c>
      <c r="BR736" s="0" t="n">
        <v>1</v>
      </c>
      <c r="BS736" s="0" t="s">
        <v>6728</v>
      </c>
      <c r="BT736" s="0" t="s">
        <v>6729</v>
      </c>
      <c r="BU736" s="0" t="s">
        <v>6730</v>
      </c>
      <c r="BV736" s="123"/>
      <c r="BW736" s="123"/>
      <c r="BX736" s="123"/>
      <c r="BY736" s="123"/>
      <c r="CA736" s="0" t="s">
        <v>6731</v>
      </c>
      <c r="CD736" s="0" t="s">
        <v>256</v>
      </c>
      <c r="CE736" s="0" t="n">
        <v>0</v>
      </c>
      <c r="CF736" s="0" t="s">
        <v>6732</v>
      </c>
      <c r="CI736" s="1" t="n">
        <v>40077</v>
      </c>
      <c r="CJ736" s="1" t="n">
        <v>40705</v>
      </c>
      <c r="CK736" s="124" t="n">
        <v>0.291666666666667</v>
      </c>
      <c r="CL736" s="0" t="s">
        <v>6726</v>
      </c>
      <c r="CM736" s="0" t="n">
        <f aca="false">IF(OR(CI736="",CJ736=""),"",DAYS360(CI736,CJ736)/360)</f>
        <v>1.72222222222222</v>
      </c>
      <c r="CN736" s="0" t="n">
        <f aca="false">IF(OR(CI736="",CJ736=""),"",DAYS360(CI736,CJ736)/30)</f>
        <v>20.6666666666667</v>
      </c>
      <c r="CO736" s="0" t="n">
        <f aca="false">IF(OR(CI736="",CJ736=""),"",DAYS360(CI736,CJ736)/7)</f>
        <v>88.5714285714286</v>
      </c>
      <c r="CP736" s="0" t="n">
        <f aca="false">IF(OR(CI736="",CJ736=""),"",DAYS360(CI736,CJ736))</f>
        <v>620</v>
      </c>
      <c r="CQ736" s="0" t="s">
        <v>2021</v>
      </c>
      <c r="CR736" s="0" t="n">
        <v>1</v>
      </c>
      <c r="CT736" s="0" t="n">
        <v>863.6</v>
      </c>
      <c r="CU736" s="0" t="n">
        <v>0</v>
      </c>
      <c r="CV736" s="0" t="n">
        <f aca="false">IF(OR(CT736="",CT736="NO ESPECIFICA",CT736="NO MENCIONA"),"",IF(CU736=0,CT736,IF(CU736=1,CT736/30,IF(CU736=2,CT736/15,IF(CU736=3,CT736/7,"")))))</f>
        <v>863.6</v>
      </c>
      <c r="CW736" s="125" t="n">
        <v>1198.8</v>
      </c>
      <c r="CX736" s="0" t="n">
        <v>0</v>
      </c>
      <c r="CY736" s="0" t="n">
        <f aca="false">IF(CW736="","",IF(CX736=0,CW736,IF(CX736=1,CW736/30,IF(CX736=2,CW736/15,IF(CX736=3,CW736/7,CW736)))))</f>
        <v>1198.8</v>
      </c>
      <c r="CZ736" s="0" t="n">
        <f aca="false">IF(DI736&gt;0,DI736,IF(CY736&gt;0,CY736,IF(CV736&gt;0,CV736,"")))</f>
        <v>1198.8</v>
      </c>
      <c r="DA736" s="0" t="n">
        <f aca="false">IF(DM736=1,CZ736/8,IF(OR(DM736=2,DM736=4),CZ736/7,IF(DM736=3,CZ736/7.5,"")))</f>
        <v>149.85</v>
      </c>
      <c r="DB736" s="0" t="s">
        <v>6733</v>
      </c>
      <c r="DC736" s="0" t="s">
        <v>6734</v>
      </c>
      <c r="DD736" s="0" t="s">
        <v>6735</v>
      </c>
      <c r="DE736" s="0" t="s">
        <v>2436</v>
      </c>
      <c r="DF736" s="0" t="s">
        <v>6736</v>
      </c>
      <c r="DG736" s="0" t="s">
        <v>6737</v>
      </c>
      <c r="DH736" s="0" t="n">
        <v>0</v>
      </c>
      <c r="DI736" s="126" t="n">
        <v>1198.8</v>
      </c>
      <c r="DK736" s="0" t="n">
        <v>1</v>
      </c>
      <c r="DM736" s="0" t="n">
        <v>1</v>
      </c>
      <c r="DN736" s="0" t="n">
        <v>72</v>
      </c>
      <c r="DO736" s="0" t="n">
        <v>3</v>
      </c>
      <c r="DP736" s="0" t="n">
        <v>1</v>
      </c>
      <c r="DQ736" s="0" t="n">
        <v>1</v>
      </c>
      <c r="DR736" s="0"/>
      <c r="DS736" s="0" t="n">
        <v>1</v>
      </c>
      <c r="DU736" s="0" t="n">
        <v>1</v>
      </c>
      <c r="DW736" s="1" t="n">
        <v>40077</v>
      </c>
      <c r="DX736" s="1" t="n">
        <v>40705</v>
      </c>
      <c r="DZ736" s="0"/>
      <c r="EA736" s="0" t="n">
        <v>1</v>
      </c>
      <c r="EC736" s="1" t="n">
        <v>40077</v>
      </c>
      <c r="ED736" s="1" t="n">
        <v>40705</v>
      </c>
      <c r="EF736" s="0"/>
      <c r="EG736" s="0" t="n">
        <v>1</v>
      </c>
      <c r="EH736" s="0" t="n">
        <v>24</v>
      </c>
      <c r="EI736" s="0" t="n">
        <f aca="false">IF(AND(DM736=1,DN736&lt;=48),"",IF(AND(DM736=2,DN736&lt;=42),"",IF(AND(DM736=3,DN736&lt;=45),"",EH736)))</f>
        <v>24</v>
      </c>
      <c r="EJ736" s="0" t="n">
        <f aca="false">IF(EI736="","",IF(EI736&lt;9,EI736,9))</f>
        <v>9</v>
      </c>
      <c r="EK736" s="0" t="n">
        <f aca="false">IF(EI736="","",IF(EI736&gt;9,EI736-EJ736,0))</f>
        <v>15</v>
      </c>
      <c r="EL736" s="0" t="n">
        <f aca="false">IF(EI736="","",EJ736*DA736*2+EK736*DA736*3)</f>
        <v>9440.55</v>
      </c>
      <c r="EP736" s="0" t="n">
        <v>0</v>
      </c>
      <c r="EQ736" s="0"/>
      <c r="ER736" s="0" t="n">
        <v>0</v>
      </c>
      <c r="ET736" s="0" t="n">
        <v>0</v>
      </c>
      <c r="EV736" s="0" t="n">
        <v>0</v>
      </c>
      <c r="EX736" s="0" t="n">
        <v>1</v>
      </c>
      <c r="EY736" s="0" t="n">
        <v>1</v>
      </c>
      <c r="EZ736" s="4" t="n">
        <v>98126.92</v>
      </c>
      <c r="FA736" s="4" t="n">
        <v>203376.96</v>
      </c>
      <c r="FB736" s="0" t="n">
        <v>1</v>
      </c>
      <c r="FC736" s="1" t="n">
        <v>41001</v>
      </c>
      <c r="FD736" s="0" t="n">
        <v>2</v>
      </c>
      <c r="FE736" s="0" t="n">
        <v>0</v>
      </c>
      <c r="FF736" s="120" t="n">
        <f aca="false">(CJ736-CI736+1)/365</f>
        <v>1.72328767123288</v>
      </c>
      <c r="FG736" s="0" t="str">
        <f aca="false">CONCATENATE(F736,"/",G736)</f>
        <v>1107/2011</v>
      </c>
      <c r="FH736" s="0" t="n">
        <v>1</v>
      </c>
      <c r="FI736" s="0" t="n">
        <f aca="false">IFERROR(IF((FC736-J736+1)/365&gt;3,0,1),"")</f>
        <v>1</v>
      </c>
    </row>
    <row r="737" customFormat="false" ht="15" hidden="false" customHeight="false" outlineLevel="0" collapsed="false">
      <c r="A737" s="5" t="str">
        <f aca="false">E737&amp;G737&amp;F737</f>
        <v>720111076</v>
      </c>
      <c r="B737" s="0" t="s">
        <v>6659</v>
      </c>
      <c r="C737" s="1" t="n">
        <v>42365</v>
      </c>
      <c r="E737" s="0" t="n">
        <v>7</v>
      </c>
      <c r="F737" s="0" t="n">
        <v>1076</v>
      </c>
      <c r="G737" s="0" t="n">
        <v>2011</v>
      </c>
      <c r="H737" s="0" t="str">
        <f aca="false">"J"&amp;E737&amp;"\"&amp;F737&amp;"\"&amp;G737&amp;"\"&amp;W737</f>
        <v>J7\1076\2011\1</v>
      </c>
      <c r="I737" s="0"/>
      <c r="J737" s="1" t="n">
        <v>40716</v>
      </c>
      <c r="K737" s="0" t="n">
        <v>0</v>
      </c>
      <c r="M737" s="1"/>
      <c r="N737" s="1"/>
      <c r="O737" s="1"/>
      <c r="P737" s="1"/>
      <c r="Q737" s="1"/>
      <c r="T737" s="121"/>
      <c r="U737" s="121"/>
      <c r="V737" s="122" t="n">
        <f aca="false">IF(AND(E737&gt;0,F737&gt;0,G737&gt;0),COUNTIFS($E:$E,E737,$F:$F,F737,$G:$G,G737),"")</f>
        <v>1</v>
      </c>
      <c r="W737" s="122" t="n">
        <f aca="false">IF(V737="","",IF(V737=1,1,IF(AND(E736=E737,F736=F737,G736=G737),W736+1,1)))</f>
        <v>1</v>
      </c>
      <c r="X737" s="0" t="n">
        <v>1</v>
      </c>
      <c r="Y737" s="0" t="n">
        <v>3</v>
      </c>
      <c r="Z737" s="0" t="s">
        <v>6738</v>
      </c>
      <c r="AA737" s="0" t="n">
        <v>0</v>
      </c>
      <c r="AB737" s="0" t="s">
        <v>6739</v>
      </c>
      <c r="AC737" s="0" t="s">
        <v>6740</v>
      </c>
      <c r="AD737" s="0" t="s">
        <v>1927</v>
      </c>
      <c r="AE737" s="0" t="n">
        <v>0</v>
      </c>
      <c r="AF737" s="0" t="s">
        <v>6741</v>
      </c>
      <c r="AG737" s="0" t="n">
        <v>0</v>
      </c>
      <c r="AH737" s="0" t="s">
        <v>6742</v>
      </c>
      <c r="AI737" s="0" t="s">
        <v>1887</v>
      </c>
      <c r="AJ737" s="0" t="s">
        <v>1927</v>
      </c>
      <c r="AL737" s="0" t="s">
        <v>6743</v>
      </c>
      <c r="AM737" s="0" t="n">
        <v>1</v>
      </c>
      <c r="AN737" s="0" t="s">
        <v>6742</v>
      </c>
      <c r="AO737" s="0" t="s">
        <v>1887</v>
      </c>
      <c r="AP737" s="0" t="s">
        <v>1927</v>
      </c>
      <c r="AR737" s="0" t="s">
        <v>6744</v>
      </c>
      <c r="AS737" s="0" t="n">
        <v>1</v>
      </c>
      <c r="AT737" s="0" t="s">
        <v>6742</v>
      </c>
      <c r="AU737" s="0" t="s">
        <v>1887</v>
      </c>
      <c r="AV737" s="0" t="s">
        <v>1927</v>
      </c>
      <c r="BR737" s="0" t="n">
        <v>1</v>
      </c>
      <c r="BS737" s="0" t="s">
        <v>6745</v>
      </c>
      <c r="BT737" s="0" t="s">
        <v>6746</v>
      </c>
      <c r="BU737" s="0" t="s">
        <v>6747</v>
      </c>
      <c r="BV737" s="123"/>
      <c r="BW737" s="123"/>
      <c r="BX737" s="123"/>
      <c r="BY737" s="123"/>
      <c r="CA737" s="0" t="s">
        <v>6748</v>
      </c>
      <c r="CD737" s="0" t="s">
        <v>256</v>
      </c>
      <c r="CE737" s="0" t="n">
        <v>0</v>
      </c>
      <c r="CF737" s="0" t="s">
        <v>1959</v>
      </c>
      <c r="CI737" s="1" t="n">
        <v>31291</v>
      </c>
      <c r="CJ737" s="1" t="n">
        <v>40709</v>
      </c>
      <c r="CK737" s="124" t="n">
        <v>0.520833333333333</v>
      </c>
      <c r="CL737" s="0" t="s">
        <v>6743</v>
      </c>
      <c r="CM737" s="0" t="n">
        <f aca="false">IF(OR(CI737="",CJ737=""),"",DAYS360(CI737,CJ737)/360)</f>
        <v>25.7888888888889</v>
      </c>
      <c r="CN737" s="0" t="n">
        <f aca="false">IF(OR(CI737="",CJ737=""),"",DAYS360(CI737,CJ737)/30)</f>
        <v>309.466666666667</v>
      </c>
      <c r="CO737" s="0" t="n">
        <f aca="false">IF(OR(CI737="",CJ737=""),"",DAYS360(CI737,CJ737)/7)</f>
        <v>1326.28571428571</v>
      </c>
      <c r="CP737" s="0" t="n">
        <f aca="false">IF(OR(CI737="",CJ737=""),"",DAYS360(CI737,CJ737))</f>
        <v>9284</v>
      </c>
      <c r="CQ737" s="0" t="s">
        <v>240</v>
      </c>
      <c r="CR737" s="0" t="n">
        <v>1</v>
      </c>
      <c r="CT737" s="0" t="n">
        <v>125</v>
      </c>
      <c r="CU737" s="0" t="n">
        <v>0</v>
      </c>
      <c r="CV737" s="0" t="n">
        <f aca="false">IF(OR(CT737="",CT737="NO ESPECIFICA",CT737="NO MENCIONA"),"",IF(CU737=0,CT737,IF(CU737=1,CT737/30,IF(CU737=2,CT737/15,IF(CU737=3,CT737/7,"")))))</f>
        <v>125</v>
      </c>
      <c r="CW737" s="125" t="n">
        <v>435</v>
      </c>
      <c r="CX737" s="0" t="n">
        <v>0</v>
      </c>
      <c r="CY737" s="0" t="n">
        <f aca="false">IF(CW737="","",IF(CX737=0,CW737,IF(CX737=1,CW737/30,IF(CX737=2,CW737/15,IF(CX737=3,CW737/7,CW737)))))</f>
        <v>435</v>
      </c>
      <c r="CZ737" s="0" t="n">
        <f aca="false">IF(DI737&gt;0,DI737,IF(CY737&gt;0,CY737,IF(CV737&gt;0,CV737,"")))</f>
        <v>435</v>
      </c>
      <c r="DA737" s="0" t="n">
        <f aca="false">IF(DM737=1,CZ737/8,IF(OR(DM737=2,DM737=4),CZ737/7,IF(DM737=3,CZ737/7.5,"")))</f>
        <v>54.375</v>
      </c>
      <c r="DB737" s="0" t="s">
        <v>1446</v>
      </c>
      <c r="DC737" s="0" t="s">
        <v>216</v>
      </c>
      <c r="DD737" s="0" t="s">
        <v>216</v>
      </c>
      <c r="DE737" s="0" t="s">
        <v>216</v>
      </c>
      <c r="DF737" s="0" t="s">
        <v>216</v>
      </c>
      <c r="DG737" s="0" t="s">
        <v>216</v>
      </c>
      <c r="DH737" s="0" t="n">
        <v>0</v>
      </c>
      <c r="DI737" s="126" t="n">
        <v>435</v>
      </c>
      <c r="DK737" s="0" t="n">
        <v>0</v>
      </c>
      <c r="DM737" s="0" t="n">
        <v>1</v>
      </c>
      <c r="DN737" s="0" t="n">
        <v>91</v>
      </c>
      <c r="DO737" s="0" t="n">
        <v>3</v>
      </c>
      <c r="DP737" s="0" t="n">
        <v>0</v>
      </c>
      <c r="DQ737" s="0" t="n">
        <v>1</v>
      </c>
      <c r="DR737" s="0"/>
      <c r="DS737" s="0" t="n">
        <v>1</v>
      </c>
      <c r="DU737" s="0" t="n">
        <v>1</v>
      </c>
      <c r="DW737" s="1" t="n">
        <v>31291</v>
      </c>
      <c r="DX737" s="1" t="n">
        <v>40709</v>
      </c>
      <c r="DZ737" s="0"/>
      <c r="EA737" s="0" t="n">
        <v>1</v>
      </c>
      <c r="EC737" s="1" t="n">
        <v>31291</v>
      </c>
      <c r="ED737" s="1" t="n">
        <v>40709</v>
      </c>
      <c r="EF737" s="0"/>
      <c r="EG737" s="0" t="n">
        <v>1</v>
      </c>
      <c r="EH737" s="0" t="n">
        <v>35</v>
      </c>
      <c r="EI737" s="0" t="n">
        <f aca="false">IF(AND(DM737=1,DN737&lt;=48),"",IF(AND(DM737=2,DN737&lt;=42),"",IF(AND(DM737=3,DN737&lt;=45),"",EH737)))</f>
        <v>35</v>
      </c>
      <c r="EJ737" s="0" t="n">
        <f aca="false">IF(EI737="","",IF(EI737&lt;9,EI737,9))</f>
        <v>9</v>
      </c>
      <c r="EK737" s="0" t="n">
        <f aca="false">IF(EI737="","",IF(EI737&gt;9,EI737-EJ737,0))</f>
        <v>26</v>
      </c>
      <c r="EL737" s="0" t="n">
        <f aca="false">IF(EI737="","",EJ737*DA737*2+EK737*DA737*3)</f>
        <v>5220</v>
      </c>
      <c r="EP737" s="0" t="n">
        <v>0</v>
      </c>
      <c r="EQ737" s="0"/>
      <c r="ER737" s="0" t="n">
        <v>1</v>
      </c>
      <c r="ET737" s="0" t="n">
        <v>1</v>
      </c>
      <c r="EV737" s="0" t="n">
        <v>1</v>
      </c>
      <c r="EX737" s="0" t="n">
        <v>0</v>
      </c>
      <c r="EY737" s="0" t="n">
        <v>1</v>
      </c>
      <c r="EZ737" s="0"/>
      <c r="FA737" s="0"/>
      <c r="FB737" s="0" t="n">
        <v>1</v>
      </c>
      <c r="FC737" s="1" t="n">
        <v>41833</v>
      </c>
      <c r="FD737" s="0" t="n">
        <v>2</v>
      </c>
      <c r="FE737" s="0" t="n">
        <v>0</v>
      </c>
      <c r="FF737" s="120" t="n">
        <f aca="false">(CJ737-CI737+1)/365</f>
        <v>25.8054794520548</v>
      </c>
      <c r="FG737" s="0" t="str">
        <f aca="false">CONCATENATE(F737,"/",G737)</f>
        <v>1076/2011</v>
      </c>
      <c r="FH737" s="0" t="n">
        <v>1</v>
      </c>
      <c r="FI737" s="0" t="n">
        <f aca="false">IFERROR(IF((FC737-J737+1)/365&gt;3,0,1),"")</f>
        <v>0</v>
      </c>
    </row>
    <row r="738" customFormat="false" ht="15" hidden="false" customHeight="false" outlineLevel="0" collapsed="false">
      <c r="A738" s="5" t="str">
        <f aca="false">E738&amp;G738&amp;F738</f>
        <v>720111080</v>
      </c>
      <c r="B738" s="0" t="s">
        <v>6659</v>
      </c>
      <c r="C738" s="1" t="n">
        <v>42365</v>
      </c>
      <c r="E738" s="0" t="n">
        <v>7</v>
      </c>
      <c r="F738" s="0" t="n">
        <v>1080</v>
      </c>
      <c r="G738" s="0" t="n">
        <v>2011</v>
      </c>
      <c r="H738" s="0" t="str">
        <f aca="false">"J"&amp;E738&amp;"\"&amp;F738&amp;"\"&amp;G738&amp;"\"&amp;W738</f>
        <v>J7\1080\2011\1</v>
      </c>
      <c r="I738" s="0"/>
      <c r="J738" s="1" t="n">
        <v>40717</v>
      </c>
      <c r="K738" s="0" t="n">
        <v>0</v>
      </c>
      <c r="M738" s="1" t="n">
        <v>40717</v>
      </c>
      <c r="N738" s="1" t="n">
        <v>40884</v>
      </c>
      <c r="O738" s="1"/>
      <c r="P738" s="1"/>
      <c r="Q738" s="1"/>
      <c r="T738" s="121"/>
      <c r="U738" s="121"/>
      <c r="V738" s="122" t="n">
        <f aca="false">IF(AND(E738&gt;0,F738&gt;0,G738&gt;0),COUNTIFS($E:$E,E738,$F:$F,F738,$G:$G,G738),"")</f>
        <v>1</v>
      </c>
      <c r="W738" s="122" t="n">
        <f aca="false">IF(V738="","",IF(V738=1,1,IF(AND(E737=E738,F737=F738,G737=G738),W737+1,1)))</f>
        <v>1</v>
      </c>
      <c r="X738" s="0" t="n">
        <v>1</v>
      </c>
      <c r="Y738" s="0" t="n">
        <v>1</v>
      </c>
      <c r="Z738" s="0" t="s">
        <v>6749</v>
      </c>
      <c r="AA738" s="0" t="n">
        <v>0</v>
      </c>
      <c r="AB738" s="0" t="s">
        <v>2103</v>
      </c>
      <c r="AC738" s="0" t="s">
        <v>1939</v>
      </c>
      <c r="AD738" s="0" t="s">
        <v>1927</v>
      </c>
      <c r="AE738" s="0" t="n">
        <v>0</v>
      </c>
      <c r="AF738" s="0" t="s">
        <v>6750</v>
      </c>
      <c r="AG738" s="0" t="n">
        <v>0</v>
      </c>
      <c r="AH738" s="0" t="s">
        <v>6751</v>
      </c>
      <c r="AI738" s="0" t="s">
        <v>6752</v>
      </c>
      <c r="AJ738" s="0" t="s">
        <v>6753</v>
      </c>
      <c r="BR738" s="0" t="n">
        <v>1</v>
      </c>
      <c r="BS738" s="0" t="s">
        <v>2113</v>
      </c>
      <c r="BT738" s="0" t="s">
        <v>3987</v>
      </c>
      <c r="BU738" s="0" t="s">
        <v>3988</v>
      </c>
      <c r="BV738" s="123"/>
      <c r="BW738" s="123"/>
      <c r="BX738" s="123"/>
      <c r="BY738" s="123"/>
      <c r="CA738" s="0" t="s">
        <v>6754</v>
      </c>
      <c r="CD738" s="0" t="s">
        <v>357</v>
      </c>
      <c r="CE738" s="0" t="n">
        <v>0</v>
      </c>
      <c r="CF738" s="0" t="s">
        <v>6755</v>
      </c>
      <c r="CI738" s="1" t="n">
        <v>36501</v>
      </c>
      <c r="CJ738" s="1" t="n">
        <v>40662</v>
      </c>
      <c r="CK738" s="124" t="n">
        <v>0.416666666666667</v>
      </c>
      <c r="CL738" s="0" t="s">
        <v>6756</v>
      </c>
      <c r="CM738" s="0" t="n">
        <f aca="false">IF(OR(CI738="",CJ738=""),"",DAYS360(CI738,CJ738)/360)</f>
        <v>11.3944444444444</v>
      </c>
      <c r="CN738" s="0" t="n">
        <f aca="false">IF(OR(CI738="",CJ738=""),"",DAYS360(CI738,CJ738)/30)</f>
        <v>136.733333333333</v>
      </c>
      <c r="CO738" s="0" t="n">
        <f aca="false">IF(OR(CI738="",CJ738=""),"",DAYS360(CI738,CJ738)/7)</f>
        <v>586</v>
      </c>
      <c r="CP738" s="0" t="n">
        <f aca="false">IF(OR(CI738="",CJ738=""),"",DAYS360(CI738,CJ738))</f>
        <v>4102</v>
      </c>
      <c r="CQ738" s="0" t="s">
        <v>2021</v>
      </c>
      <c r="CR738" s="0" t="n">
        <v>1</v>
      </c>
      <c r="CT738" s="0" t="s">
        <v>221</v>
      </c>
      <c r="CU738" s="0" t="s">
        <v>221</v>
      </c>
      <c r="CV738" s="0" t="str">
        <f aca="false">IF(OR(CT738="",CT738="NO ESPECIFICA",CT738="NO MENCIONA"),"",IF(CU738=0,CT738,IF(CU738=1,CT738/30,IF(CU738=2,CT738/15,IF(CU738=3,CT738/7,"")))))</f>
        <v/>
      </c>
      <c r="CW738" s="125" t="n">
        <v>800</v>
      </c>
      <c r="CX738" s="0" t="n">
        <v>0</v>
      </c>
      <c r="CY738" s="0" t="n">
        <f aca="false">IF(CW738="","",IF(CX738=0,CW738,IF(CX738=1,CW738/30,IF(CX738=2,CW738/15,IF(CX738=3,CW738/7,CW738)))))</f>
        <v>800</v>
      </c>
      <c r="CZ738" s="0" t="n">
        <f aca="false">IF(DI738&gt;0,DI738,IF(CY738&gt;0,CY738,IF(CV738&gt;0,CV738,"")))</f>
        <v>800</v>
      </c>
      <c r="DA738" s="0" t="n">
        <f aca="false">IF(DM738=1,CZ738/8,IF(OR(DM738=2,DM738=4),CZ738/7,IF(DM738=3,CZ738/7.5,"")))</f>
        <v>100</v>
      </c>
      <c r="DB738" s="0" t="s">
        <v>216</v>
      </c>
      <c r="DC738" s="0" t="s">
        <v>216</v>
      </c>
      <c r="DD738" s="0" t="s">
        <v>216</v>
      </c>
      <c r="DE738" s="0" t="s">
        <v>216</v>
      </c>
      <c r="DF738" s="0" t="s">
        <v>216</v>
      </c>
      <c r="DG738" s="0" t="s">
        <v>216</v>
      </c>
      <c r="DH738" s="0" t="n">
        <v>0</v>
      </c>
      <c r="DI738" s="126" t="n">
        <v>800</v>
      </c>
      <c r="DK738" s="0" t="n">
        <v>1</v>
      </c>
      <c r="DM738" s="0" t="n">
        <v>1</v>
      </c>
      <c r="DN738" s="0" t="n">
        <v>60</v>
      </c>
      <c r="DO738" s="0" t="n">
        <v>3</v>
      </c>
      <c r="DP738" s="0" t="n">
        <v>1</v>
      </c>
      <c r="DQ738" s="0" t="n">
        <v>0</v>
      </c>
      <c r="DR738" s="0"/>
      <c r="DS738" s="0" t="n">
        <v>1</v>
      </c>
      <c r="DW738" s="0"/>
      <c r="DX738" s="0"/>
      <c r="DZ738" s="0"/>
      <c r="EC738" s="0"/>
      <c r="ED738" s="0"/>
      <c r="EF738" s="0"/>
      <c r="EI738" s="0" t="n">
        <f aca="false">IF(AND(DM738=1,DN738&lt;=48),"",IF(AND(DM738=2,DN738&lt;=42),"",IF(AND(DM738=3,DN738&lt;=45),"",EH738)))</f>
        <v>0</v>
      </c>
      <c r="EJ738" s="0" t="str">
        <f aca="false">IF(EI738="","",IF(EI738&lt;9,EI738,9))</f>
        <v/>
      </c>
      <c r="EK738" s="0" t="str">
        <f aca="false">IF(EI738="","",IF(EI738&gt;9,EI738-EJ738,0))</f>
        <v/>
      </c>
      <c r="EL738" s="0" t="str">
        <f aca="false">IF(EI738="","",EJ738*DA738*2+EK738*DA738*3)</f>
        <v/>
      </c>
      <c r="EN738" s="0" t="n">
        <v>132000</v>
      </c>
      <c r="EP738" s="0" t="n">
        <v>0</v>
      </c>
      <c r="EQ738" s="0"/>
      <c r="ER738" s="0" t="n">
        <v>0</v>
      </c>
      <c r="ET738" s="0" t="n">
        <v>1</v>
      </c>
      <c r="EV738" s="0" t="n">
        <v>1</v>
      </c>
      <c r="EX738" s="0" t="n">
        <v>0</v>
      </c>
      <c r="EY738" s="0" t="n">
        <v>0</v>
      </c>
      <c r="EZ738" s="0"/>
      <c r="FA738" s="4" t="n">
        <v>73000</v>
      </c>
      <c r="FB738" s="0" t="n">
        <v>1</v>
      </c>
      <c r="FC738" s="1" t="n">
        <v>41264</v>
      </c>
      <c r="FD738" s="0" t="n">
        <v>3</v>
      </c>
      <c r="FE738" s="0" t="n">
        <v>160000</v>
      </c>
      <c r="FF738" s="120" t="n">
        <f aca="false">(CJ738-CI738+1)/365</f>
        <v>11.4027397260274</v>
      </c>
      <c r="FG738" s="0" t="str">
        <f aca="false">CONCATENATE(F738,"/",G738)</f>
        <v>1080/2011</v>
      </c>
      <c r="FH738" s="0" t="n">
        <v>1</v>
      </c>
      <c r="FI738" s="0" t="n">
        <f aca="false">IFERROR(IF((FC738-J738+1)/365&gt;3,0,1),"")</f>
        <v>1</v>
      </c>
    </row>
    <row r="739" customFormat="false" ht="15" hidden="false" customHeight="false" outlineLevel="0" collapsed="false">
      <c r="A739" s="5" t="str">
        <f aca="false">E739&amp;G739&amp;F739</f>
        <v>720111081</v>
      </c>
      <c r="B739" s="0" t="s">
        <v>1884</v>
      </c>
      <c r="C739" s="1" t="n">
        <v>42368</v>
      </c>
      <c r="E739" s="0" t="n">
        <v>7</v>
      </c>
      <c r="F739" s="0" t="n">
        <v>1081</v>
      </c>
      <c r="G739" s="0" t="n">
        <v>2011</v>
      </c>
      <c r="H739" s="0" t="str">
        <f aca="false">"J"&amp;E739&amp;"\"&amp;F739&amp;"\"&amp;G739&amp;"\"&amp;W739</f>
        <v>J7\1081\2011\1</v>
      </c>
      <c r="I739" s="0"/>
      <c r="J739" s="1" t="n">
        <v>40717</v>
      </c>
      <c r="K739" s="0" t="n">
        <v>0</v>
      </c>
      <c r="M739" s="1"/>
      <c r="N739" s="1"/>
      <c r="O739" s="1"/>
      <c r="P739" s="1"/>
      <c r="Q739" s="1"/>
      <c r="T739" s="121"/>
      <c r="U739" s="121"/>
      <c r="V739" s="122" t="n">
        <f aca="false">IF(AND(E739&gt;0,F739&gt;0,G739&gt;0),COUNTIFS($E:$E,E739,$F:$F,F739,$G:$G,G739),"")</f>
        <v>1</v>
      </c>
      <c r="W739" s="122" t="n">
        <f aca="false">IF(V739="","",IF(V739=1,1,IF(AND(E738=E739,F738=F739,G738=G739),W738+1,1)))</f>
        <v>1</v>
      </c>
      <c r="X739" s="0" t="n">
        <v>1</v>
      </c>
      <c r="Y739" s="0" t="n">
        <v>3</v>
      </c>
      <c r="Z739" s="0" t="s">
        <v>6757</v>
      </c>
      <c r="AA739" s="0" t="n">
        <v>0</v>
      </c>
      <c r="AB739" s="0" t="s">
        <v>6758</v>
      </c>
      <c r="AC739" s="0" t="s">
        <v>2640</v>
      </c>
      <c r="AD739" s="0" t="s">
        <v>1895</v>
      </c>
      <c r="AE739" s="0" t="n">
        <v>0</v>
      </c>
      <c r="AF739" s="0" t="s">
        <v>6759</v>
      </c>
      <c r="AG739" s="0" t="n">
        <v>0</v>
      </c>
      <c r="AH739" s="0" t="s">
        <v>6760</v>
      </c>
      <c r="AI739" s="0" t="s">
        <v>2640</v>
      </c>
      <c r="AJ739" s="0" t="s">
        <v>221</v>
      </c>
      <c r="AL739" s="0" t="s">
        <v>6761</v>
      </c>
      <c r="AM739" s="0" t="n">
        <v>1</v>
      </c>
      <c r="AN739" s="0" t="s">
        <v>6760</v>
      </c>
      <c r="AO739" s="0" t="s">
        <v>2640</v>
      </c>
      <c r="AP739" s="0" t="s">
        <v>1895</v>
      </c>
      <c r="AR739" s="0" t="s">
        <v>6762</v>
      </c>
      <c r="AS739" s="0" t="n">
        <v>1</v>
      </c>
      <c r="AT739" s="0" t="s">
        <v>6760</v>
      </c>
      <c r="AU739" s="0" t="s">
        <v>2640</v>
      </c>
      <c r="BR739" s="0" t="n">
        <v>1</v>
      </c>
      <c r="BS739" s="0" t="s">
        <v>6763</v>
      </c>
      <c r="BT739" s="0" t="s">
        <v>6764</v>
      </c>
      <c r="BU739" s="0" t="s">
        <v>6765</v>
      </c>
      <c r="BV739" s="123"/>
      <c r="BW739" s="123"/>
      <c r="BX739" s="123"/>
      <c r="BY739" s="123"/>
      <c r="CA739" s="0" t="s">
        <v>1895</v>
      </c>
      <c r="CD739" s="0" t="s">
        <v>1943</v>
      </c>
      <c r="CE739" s="0" t="n">
        <v>0</v>
      </c>
      <c r="CF739" s="0" t="s">
        <v>6766</v>
      </c>
      <c r="CI739" s="1" t="n">
        <v>38883</v>
      </c>
      <c r="CJ739" s="1" t="n">
        <v>40710</v>
      </c>
      <c r="CK739" s="124" t="n">
        <v>0.291666666666667</v>
      </c>
      <c r="CL739" s="0" t="s">
        <v>6767</v>
      </c>
      <c r="CM739" s="0" t="n">
        <f aca="false">IF(OR(CI739="",CJ739=""),"",DAYS360(CI739,CJ739)/360)</f>
        <v>5.00277777777778</v>
      </c>
      <c r="CN739" s="0" t="n">
        <f aca="false">IF(OR(CI739="",CJ739=""),"",DAYS360(CI739,CJ739)/30)</f>
        <v>60.0333333333333</v>
      </c>
      <c r="CO739" s="0" t="n">
        <f aca="false">IF(OR(CI739="",CJ739=""),"",DAYS360(CI739,CJ739)/7)</f>
        <v>257.285714285714</v>
      </c>
      <c r="CP739" s="0" t="n">
        <f aca="false">IF(OR(CI739="",CJ739=""),"",DAYS360(CI739,CJ739))</f>
        <v>1801</v>
      </c>
      <c r="CQ739" s="0" t="s">
        <v>240</v>
      </c>
      <c r="CR739" s="0" t="n">
        <v>1</v>
      </c>
      <c r="CT739" s="0" t="n">
        <v>9500</v>
      </c>
      <c r="CU739" s="0" t="n">
        <v>1</v>
      </c>
      <c r="CV739" s="0" t="n">
        <f aca="false">IF(OR(CT739="",CT739="NO ESPECIFICA",CT739="NO MENCIONA"),"",IF(CU739=0,CT739,IF(CU739=1,CT739/30,IF(CU739=2,CT739/15,IF(CU739=3,CT739/7,"")))))</f>
        <v>316.666666666667</v>
      </c>
      <c r="CW739" s="125" t="s">
        <v>1899</v>
      </c>
      <c r="CX739" s="0" t="s">
        <v>1899</v>
      </c>
      <c r="CY739" s="0" t="str">
        <f aca="false">IF(CW739="","",IF(CX739=0,CW739,IF(CX739=1,CW739/30,IF(CX739=2,CW739/15,IF(CX739=3,CW739/7,CW739)))))</f>
        <v>NO ESPECIFICA </v>
      </c>
      <c r="CZ739" s="0" t="n">
        <f aca="false">IF(DI739&gt;0,DI739,IF(CY739&gt;0,CY739,IF(CV739&gt;0,CV739,"")))</f>
        <v>316.66</v>
      </c>
      <c r="DA739" s="0" t="n">
        <f aca="false">IF(DM739=1,CZ739/8,IF(OR(DM739=2,DM739=4),CZ739/7,IF(DM739=3,CZ739/7.5,"")))</f>
        <v>39.5825</v>
      </c>
      <c r="DB739" s="0" t="s">
        <v>216</v>
      </c>
      <c r="DC739" s="0" t="s">
        <v>216</v>
      </c>
      <c r="DD739" s="0" t="s">
        <v>216</v>
      </c>
      <c r="DE739" s="0" t="s">
        <v>216</v>
      </c>
      <c r="DF739" s="0" t="s">
        <v>216</v>
      </c>
      <c r="DG739" s="0" t="s">
        <v>216</v>
      </c>
      <c r="DH739" s="0" t="n">
        <v>0</v>
      </c>
      <c r="DI739" s="126" t="n">
        <v>316.66</v>
      </c>
      <c r="DK739" s="0" t="n">
        <v>0</v>
      </c>
      <c r="DM739" s="0" t="n">
        <v>1</v>
      </c>
      <c r="DN739" s="0" t="n">
        <v>66</v>
      </c>
      <c r="DO739" s="0" t="n">
        <v>3</v>
      </c>
      <c r="DP739" s="0" t="n">
        <v>0</v>
      </c>
      <c r="DQ739" s="0" t="n">
        <v>1</v>
      </c>
      <c r="DR739" s="0"/>
      <c r="DS739" s="0" t="n">
        <v>1</v>
      </c>
      <c r="DU739" s="0" t="n">
        <v>1</v>
      </c>
      <c r="DW739" s="1" t="n">
        <v>38883</v>
      </c>
      <c r="DX739" s="1" t="n">
        <v>40710</v>
      </c>
      <c r="DZ739" s="0"/>
      <c r="EA739" s="0" t="n">
        <v>1</v>
      </c>
      <c r="EC739" s="1" t="n">
        <v>40179</v>
      </c>
      <c r="ED739" s="1" t="n">
        <v>40710</v>
      </c>
      <c r="EF739" s="0"/>
      <c r="EG739" s="0" t="n">
        <v>1</v>
      </c>
      <c r="EH739" s="0" t="n">
        <v>12</v>
      </c>
      <c r="EI739" s="0" t="n">
        <f aca="false">IF(AND(DM739=1,DN739&lt;=48),"",IF(AND(DM739=2,DN739&lt;=42),"",IF(AND(DM739=3,DN739&lt;=45),"",EH739)))</f>
        <v>12</v>
      </c>
      <c r="EJ739" s="0" t="n">
        <f aca="false">IF(EI739="","",IF(EI739&lt;9,EI739,9))</f>
        <v>9</v>
      </c>
      <c r="EK739" s="0" t="n">
        <f aca="false">IF(EI739="","",IF(EI739&gt;9,EI739-EJ739,0))</f>
        <v>3</v>
      </c>
      <c r="EL739" s="0" t="n">
        <f aca="false">IF(EI739="","",EJ739*DA739*2+EK739*DA739*3)</f>
        <v>1068.7275</v>
      </c>
      <c r="EP739" s="0" t="n">
        <v>0</v>
      </c>
      <c r="EQ739" s="0"/>
      <c r="ER739" s="0" t="n">
        <v>0</v>
      </c>
      <c r="ET739" s="0" t="n">
        <v>0</v>
      </c>
      <c r="EV739" s="0" t="n">
        <v>0</v>
      </c>
      <c r="EX739" s="0" t="n">
        <v>1</v>
      </c>
      <c r="EY739" s="0" t="n">
        <v>1</v>
      </c>
      <c r="EZ739" s="0"/>
      <c r="FA739" s="0"/>
      <c r="FB739" s="0" t="n">
        <v>1</v>
      </c>
      <c r="FC739" s="1" t="n">
        <v>41094</v>
      </c>
      <c r="FD739" s="0" t="n">
        <v>1</v>
      </c>
      <c r="FE739" s="0" t="n">
        <v>7000</v>
      </c>
      <c r="FF739" s="120" t="n">
        <f aca="false">(CJ739-CI739+1)/365</f>
        <v>5.00821917808219</v>
      </c>
      <c r="FG739" s="0" t="str">
        <f aca="false">CONCATENATE(F739,"/",G739)</f>
        <v>1081/2011</v>
      </c>
      <c r="FH739" s="0" t="n">
        <v>1</v>
      </c>
      <c r="FI739" s="0" t="n">
        <f aca="false">IFERROR(IF((FC739-J739+1)/365&gt;3,0,1),"")</f>
        <v>1</v>
      </c>
    </row>
    <row r="740" customFormat="false" ht="15" hidden="false" customHeight="false" outlineLevel="0" collapsed="false">
      <c r="A740" s="5" t="str">
        <f aca="false">E740&amp;G740&amp;F740</f>
        <v>720111082</v>
      </c>
      <c r="B740" s="0" t="s">
        <v>1884</v>
      </c>
      <c r="C740" s="1" t="n">
        <v>42368</v>
      </c>
      <c r="E740" s="0" t="n">
        <v>7</v>
      </c>
      <c r="F740" s="0" t="n">
        <v>1082</v>
      </c>
      <c r="G740" s="0" t="n">
        <v>2011</v>
      </c>
      <c r="H740" s="0" t="str">
        <f aca="false">"J"&amp;E740&amp;"\"&amp;F740&amp;"\"&amp;G740&amp;"\"&amp;W740</f>
        <v>J7\1082\2011\1</v>
      </c>
      <c r="I740" s="0"/>
      <c r="J740" s="1" t="n">
        <v>40717</v>
      </c>
      <c r="K740" s="0" t="n">
        <v>1</v>
      </c>
      <c r="L740" s="0" t="s">
        <v>838</v>
      </c>
      <c r="M740" s="1" t="n">
        <v>40717</v>
      </c>
      <c r="N740" s="1" t="n">
        <v>40884</v>
      </c>
      <c r="O740" s="1"/>
      <c r="P740" s="1"/>
      <c r="Q740" s="1"/>
      <c r="T740" s="121"/>
      <c r="U740" s="121"/>
      <c r="V740" s="122" t="n">
        <f aca="false">IF(AND(E740&gt;0,F740&gt;0,G740&gt;0),COUNTIFS($E:$E,E740,$F:$F,F740,$G:$G,G740),"")</f>
        <v>1</v>
      </c>
      <c r="W740" s="122" t="n">
        <f aca="false">IF(V740="","",IF(V740=1,1,IF(AND(E739=E740,F739=F740,G739=G740),W739+1,1)))</f>
        <v>1</v>
      </c>
      <c r="X740" s="0" t="n">
        <v>1</v>
      </c>
      <c r="Y740" s="0" t="n">
        <v>4</v>
      </c>
      <c r="Z740" s="0" t="s">
        <v>6768</v>
      </c>
      <c r="AA740" s="0" t="n">
        <v>0</v>
      </c>
      <c r="AB740" s="0" t="s">
        <v>6769</v>
      </c>
      <c r="AC740" s="0" t="s">
        <v>1476</v>
      </c>
      <c r="AD740" s="0" t="s">
        <v>519</v>
      </c>
      <c r="AE740" s="0" t="n">
        <v>0</v>
      </c>
      <c r="AF740" s="0" t="s">
        <v>6770</v>
      </c>
      <c r="AG740" s="0" t="n">
        <v>0</v>
      </c>
      <c r="AH740" s="0" t="s">
        <v>6771</v>
      </c>
      <c r="AI740" s="0" t="s">
        <v>1387</v>
      </c>
      <c r="AJ740" s="0" t="s">
        <v>221</v>
      </c>
      <c r="AL740" s="0" t="s">
        <v>6772</v>
      </c>
      <c r="AM740" s="0" t="n">
        <v>0</v>
      </c>
      <c r="AN740" s="0" t="s">
        <v>6771</v>
      </c>
      <c r="AO740" s="0" t="s">
        <v>1387</v>
      </c>
      <c r="AP740" s="0" t="s">
        <v>1895</v>
      </c>
      <c r="AR740" s="0" t="s">
        <v>6773</v>
      </c>
      <c r="AS740" s="0" t="n">
        <v>0</v>
      </c>
      <c r="AT740" s="0" t="s">
        <v>6771</v>
      </c>
      <c r="AU740" s="0" t="s">
        <v>1387</v>
      </c>
      <c r="AX740" s="0" t="s">
        <v>6774</v>
      </c>
      <c r="AY740" s="0" t="n">
        <v>1</v>
      </c>
      <c r="AZ740" s="0" t="s">
        <v>6771</v>
      </c>
      <c r="BA740" s="0" t="s">
        <v>1387</v>
      </c>
      <c r="BB740" s="0" t="s">
        <v>1895</v>
      </c>
      <c r="BR740" s="0" t="n">
        <v>1</v>
      </c>
      <c r="BS740" s="0" t="s">
        <v>6775</v>
      </c>
      <c r="BT740" s="0" t="s">
        <v>6776</v>
      </c>
      <c r="BU740" s="0" t="s">
        <v>6777</v>
      </c>
      <c r="BV740" s="123"/>
      <c r="BW740" s="123"/>
      <c r="BX740" s="123"/>
      <c r="BY740" s="123"/>
      <c r="CA740" s="0" t="s">
        <v>1895</v>
      </c>
      <c r="CD740" s="0" t="s">
        <v>370</v>
      </c>
      <c r="CE740" s="0" t="n">
        <v>0</v>
      </c>
      <c r="CF740" s="0" t="s">
        <v>1959</v>
      </c>
      <c r="CI740" s="1" t="n">
        <v>37508</v>
      </c>
      <c r="CJ740" s="1" t="n">
        <v>40703</v>
      </c>
      <c r="CK740" s="124" t="n">
        <v>0.416666666666667</v>
      </c>
      <c r="CL740" s="0" t="s">
        <v>6778</v>
      </c>
      <c r="CM740" s="0" t="n">
        <f aca="false">IF(OR(CI740="",CJ740=""),"",DAYS360(CI740,CJ740)/360)</f>
        <v>8.75</v>
      </c>
      <c r="CN740" s="0" t="n">
        <f aca="false">IF(OR(CI740="",CJ740=""),"",DAYS360(CI740,CJ740)/30)</f>
        <v>105</v>
      </c>
      <c r="CO740" s="0" t="n">
        <f aca="false">IF(OR(CI740="",CJ740=""),"",DAYS360(CI740,CJ740)/7)</f>
        <v>450</v>
      </c>
      <c r="CP740" s="0" t="n">
        <f aca="false">IF(OR(CI740="",CJ740=""),"",DAYS360(CI740,CJ740))</f>
        <v>3150</v>
      </c>
      <c r="CQ740" s="0" t="s">
        <v>240</v>
      </c>
      <c r="CR740" s="0" t="n">
        <v>1</v>
      </c>
      <c r="CT740" s="0" t="s">
        <v>221</v>
      </c>
      <c r="CU740" s="0" t="s">
        <v>221</v>
      </c>
      <c r="CV740" s="0" t="str">
        <f aca="false">IF(OR(CT740="",CT740="NO ESPECIFICA",CT740="NO MENCIONA"),"",IF(CU740=0,CT740,IF(CU740=1,CT740/30,IF(CU740=2,CT740/15,IF(CU740=3,CT740/7,"")))))</f>
        <v/>
      </c>
      <c r="CW740" s="125" t="n">
        <v>186.66</v>
      </c>
      <c r="CX740" s="0" t="n">
        <v>0</v>
      </c>
      <c r="CY740" s="0" t="n">
        <f aca="false">IF(CW740="","",IF(CX740=0,CW740,IF(CX740=1,CW740/30,IF(CX740=2,CW740/15,IF(CX740=3,CW740/7,CW740)))))</f>
        <v>186.66</v>
      </c>
      <c r="CZ740" s="0" t="n">
        <f aca="false">IF(DI740&gt;0,DI740,IF(CY740&gt;0,CY740,IF(CV740&gt;0,CV740,"")))</f>
        <v>186.66</v>
      </c>
      <c r="DA740" s="0" t="n">
        <f aca="false">IF(DM740=1,CZ740/8,IF(OR(DM740=2,DM740=4),CZ740/7,IF(DM740=3,CZ740/7.5,"")))</f>
        <v>23.3325</v>
      </c>
      <c r="DB740" s="0" t="s">
        <v>216</v>
      </c>
      <c r="DC740" s="0" t="s">
        <v>216</v>
      </c>
      <c r="DD740" s="0" t="s">
        <v>216</v>
      </c>
      <c r="DE740" s="0" t="s">
        <v>216</v>
      </c>
      <c r="DF740" s="0" t="s">
        <v>216</v>
      </c>
      <c r="DG740" s="0" t="s">
        <v>216</v>
      </c>
      <c r="DH740" s="0" t="n">
        <v>0</v>
      </c>
      <c r="DI740" s="126" t="n">
        <v>186.66</v>
      </c>
      <c r="DK740" s="0" t="n">
        <v>0</v>
      </c>
      <c r="DM740" s="0" t="n">
        <v>1</v>
      </c>
      <c r="DN740" s="0" t="n">
        <v>84</v>
      </c>
      <c r="DO740" s="0" t="n">
        <v>3</v>
      </c>
      <c r="DP740" s="0" t="n">
        <v>0</v>
      </c>
      <c r="DQ740" s="0" t="n">
        <v>1</v>
      </c>
      <c r="DR740" s="0"/>
      <c r="DS740" s="0" t="n">
        <v>1</v>
      </c>
      <c r="DU740" s="0" t="n">
        <v>1</v>
      </c>
      <c r="DW740" s="1" t="n">
        <v>37508</v>
      </c>
      <c r="DX740" s="1" t="n">
        <v>40703</v>
      </c>
      <c r="DZ740" s="0"/>
      <c r="EA740" s="0" t="n">
        <v>1</v>
      </c>
      <c r="EC740" s="1" t="n">
        <v>37508</v>
      </c>
      <c r="ED740" s="1" t="n">
        <v>40703</v>
      </c>
      <c r="EF740" s="0"/>
      <c r="EG740" s="0" t="n">
        <v>1</v>
      </c>
      <c r="EH740" s="0" t="n">
        <v>36</v>
      </c>
      <c r="EI740" s="0" t="n">
        <f aca="false">IF(AND(DM740=1,DN740&lt;=48),"",IF(AND(DM740=2,DN740&lt;=42),"",IF(AND(DM740=3,DN740&lt;=45),"",EH740)))</f>
        <v>36</v>
      </c>
      <c r="EJ740" s="0" t="n">
        <f aca="false">IF(EI740="","",IF(EI740&lt;9,EI740,9))</f>
        <v>9</v>
      </c>
      <c r="EK740" s="0" t="n">
        <f aca="false">IF(EI740="","",IF(EI740&gt;9,EI740-EJ740,0))</f>
        <v>27</v>
      </c>
      <c r="EL740" s="0" t="n">
        <f aca="false">IF(EI740="","",EJ740*DA740*2+EK740*DA740*3)</f>
        <v>2309.9175</v>
      </c>
      <c r="EP740" s="0" t="n">
        <v>0</v>
      </c>
      <c r="EQ740" s="0"/>
      <c r="ER740" s="0" t="n">
        <v>0</v>
      </c>
      <c r="ET740" s="0" t="n">
        <v>0</v>
      </c>
      <c r="EV740" s="0" t="n">
        <v>0</v>
      </c>
      <c r="EX740" s="0" t="n">
        <v>0</v>
      </c>
      <c r="EY740" s="0" t="n">
        <v>1</v>
      </c>
      <c r="EZ740" s="0"/>
      <c r="FA740" s="0"/>
      <c r="FB740" s="0" t="n">
        <v>0</v>
      </c>
      <c r="FC740" s="1" t="n">
        <v>41087</v>
      </c>
      <c r="FD740" s="0" t="n">
        <v>1</v>
      </c>
      <c r="FE740" s="0" t="n">
        <v>22500</v>
      </c>
      <c r="FF740" s="120" t="n">
        <f aca="false">(CJ740-CI740+1)/365</f>
        <v>8.75616438356164</v>
      </c>
      <c r="FG740" s="0" t="str">
        <f aca="false">CONCATENATE(F740,"/",G740)</f>
        <v>1082/2011</v>
      </c>
      <c r="FH740" s="0" t="n">
        <v>1</v>
      </c>
      <c r="FI740" s="0" t="n">
        <f aca="false">IFERROR(IF((FC740-J740+1)/365&gt;3,0,1),"")</f>
        <v>1</v>
      </c>
    </row>
    <row r="741" customFormat="false" ht="15" hidden="false" customHeight="false" outlineLevel="0" collapsed="false">
      <c r="A741" s="5" t="str">
        <f aca="false">E741&amp;G741&amp;F741</f>
        <v>720111092</v>
      </c>
      <c r="B741" s="0" t="s">
        <v>1884</v>
      </c>
      <c r="C741" s="1" t="n">
        <v>42369</v>
      </c>
      <c r="E741" s="0" t="n">
        <v>7</v>
      </c>
      <c r="F741" s="0" t="n">
        <v>1092</v>
      </c>
      <c r="G741" s="0" t="n">
        <v>2011</v>
      </c>
      <c r="H741" s="0" t="str">
        <f aca="false">"J"&amp;E741&amp;"\"&amp;F741&amp;"\"&amp;G741&amp;"\"&amp;W741</f>
        <v>J7\1092\2011\1</v>
      </c>
      <c r="I741" s="0"/>
      <c r="J741" s="1" t="n">
        <v>40718</v>
      </c>
      <c r="K741" s="0" t="n">
        <v>0</v>
      </c>
      <c r="M741" s="1"/>
      <c r="N741" s="1"/>
      <c r="O741" s="1"/>
      <c r="P741" s="1"/>
      <c r="Q741" s="1"/>
      <c r="T741" s="121"/>
      <c r="U741" s="121"/>
      <c r="V741" s="122" t="n">
        <f aca="false">IF(AND(E741&gt;0,F741&gt;0,G741&gt;0),COUNTIFS($E:$E,E741,$F:$F,F741,$G:$G,G741),"")</f>
        <v>2</v>
      </c>
      <c r="W741" s="122" t="n">
        <f aca="false">IF(V741="","",IF(V741=1,1,IF(AND(E740=E741,F740=F741,G740=G741),W740+1,1)))</f>
        <v>1</v>
      </c>
      <c r="X741" s="0" t="n">
        <v>2</v>
      </c>
      <c r="Y741" s="0" t="n">
        <v>5</v>
      </c>
      <c r="Z741" s="0" t="s">
        <v>6779</v>
      </c>
      <c r="AA741" s="0" t="n">
        <v>0</v>
      </c>
      <c r="AB741" s="0" t="s">
        <v>6780</v>
      </c>
      <c r="AC741" s="0" t="s">
        <v>2460</v>
      </c>
      <c r="AD741" s="0" t="s">
        <v>1895</v>
      </c>
      <c r="AE741" s="0" t="n">
        <v>0</v>
      </c>
      <c r="AF741" s="0" t="s">
        <v>6781</v>
      </c>
      <c r="AG741" s="0" t="n">
        <v>0</v>
      </c>
      <c r="AH741" s="0" t="s">
        <v>6782</v>
      </c>
      <c r="AI741" s="0" t="s">
        <v>1399</v>
      </c>
      <c r="AJ741" s="0" t="s">
        <v>1903</v>
      </c>
      <c r="AL741" s="0" t="s">
        <v>6783</v>
      </c>
      <c r="AM741" s="0" t="n">
        <v>1</v>
      </c>
      <c r="AN741" s="0" t="s">
        <v>6782</v>
      </c>
      <c r="AO741" s="0" t="s">
        <v>1399</v>
      </c>
      <c r="AP741" s="0" t="s">
        <v>1903</v>
      </c>
      <c r="AR741" s="0" t="s">
        <v>6784</v>
      </c>
      <c r="AS741" s="0" t="n">
        <v>1</v>
      </c>
      <c r="AT741" s="0" t="s">
        <v>6782</v>
      </c>
      <c r="AU741" s="0" t="s">
        <v>1399</v>
      </c>
      <c r="AV741" s="0" t="s">
        <v>1903</v>
      </c>
      <c r="AX741" s="0" t="s">
        <v>6785</v>
      </c>
      <c r="AY741" s="0" t="n">
        <v>1</v>
      </c>
      <c r="AZ741" s="0" t="s">
        <v>6782</v>
      </c>
      <c r="BA741" s="0" t="s">
        <v>1399</v>
      </c>
      <c r="BB741" s="0" t="s">
        <v>1903</v>
      </c>
      <c r="BD741" s="0" t="s">
        <v>6786</v>
      </c>
      <c r="BE741" s="0" t="n">
        <v>1</v>
      </c>
      <c r="BF741" s="0" t="s">
        <v>6782</v>
      </c>
      <c r="BG741" s="0" t="s">
        <v>1399</v>
      </c>
      <c r="BH741" s="0" t="s">
        <v>1903</v>
      </c>
      <c r="BR741" s="0" t="n">
        <v>1</v>
      </c>
      <c r="BS741" s="0" t="s">
        <v>6787</v>
      </c>
      <c r="BT741" s="0" t="s">
        <v>1232</v>
      </c>
      <c r="BU741" s="0" t="s">
        <v>6788</v>
      </c>
      <c r="BV741" s="123"/>
      <c r="BW741" s="123"/>
      <c r="BX741" s="123"/>
      <c r="BY741" s="123"/>
      <c r="CA741" s="0" t="s">
        <v>6789</v>
      </c>
      <c r="CD741" s="0" t="s">
        <v>357</v>
      </c>
      <c r="CE741" s="0" t="n">
        <v>0</v>
      </c>
      <c r="CF741" s="0" t="s">
        <v>6790</v>
      </c>
      <c r="CI741" s="1" t="n">
        <v>40137</v>
      </c>
      <c r="CJ741" s="1" t="n">
        <v>40710</v>
      </c>
      <c r="CK741" s="124" t="n">
        <v>0.416666666666667</v>
      </c>
      <c r="CL741" s="0" t="s">
        <v>6783</v>
      </c>
      <c r="CM741" s="0" t="n">
        <f aca="false">IF(OR(CI741="",CJ741=""),"",DAYS360(CI741,CJ741)/360)</f>
        <v>1.57222222222222</v>
      </c>
      <c r="CN741" s="0" t="n">
        <f aca="false">IF(OR(CI741="",CJ741=""),"",DAYS360(CI741,CJ741)/30)</f>
        <v>18.8666666666667</v>
      </c>
      <c r="CO741" s="0" t="n">
        <f aca="false">IF(OR(CI741="",CJ741=""),"",DAYS360(CI741,CJ741)/7)</f>
        <v>80.8571428571429</v>
      </c>
      <c r="CP741" s="0" t="n">
        <f aca="false">IF(OR(CI741="",CJ741=""),"",DAYS360(CI741,CJ741))</f>
        <v>566</v>
      </c>
      <c r="CQ741" s="0" t="s">
        <v>2021</v>
      </c>
      <c r="CR741" s="0" t="n">
        <v>1</v>
      </c>
      <c r="CT741" s="0" t="n">
        <v>300</v>
      </c>
      <c r="CU741" s="0" t="n">
        <v>0</v>
      </c>
      <c r="CV741" s="0" t="n">
        <f aca="false">IF(OR(CT741="",CT741="NO ESPECIFICA",CT741="NO MENCIONA"),"",IF(CU741=0,CT741,IF(CU741=1,CT741/30,IF(CU741=2,CT741/15,IF(CU741=3,CT741/7,"")))))</f>
        <v>300</v>
      </c>
      <c r="CW741" s="125" t="n">
        <v>600</v>
      </c>
      <c r="CY741" s="0" t="n">
        <f aca="false">IF(CW741="","",IF(CX741=0,CW741,IF(CX741=1,CW741/30,IF(CX741=2,CW741/15,IF(CX741=3,CW741/7,CW741)))))</f>
        <v>600</v>
      </c>
      <c r="CZ741" s="0" t="n">
        <f aca="false">IF(DI741&gt;0,DI741,IF(CY741&gt;0,CY741,IF(CV741&gt;0,CV741,"")))</f>
        <v>600</v>
      </c>
      <c r="DA741" s="0" t="n">
        <f aca="false">IF(DM741=1,CZ741/8,IF(OR(DM741=2,DM741=4),CZ741/7,IF(DM741=3,CZ741/7.5,"")))</f>
        <v>75</v>
      </c>
      <c r="DB741" s="0" t="s">
        <v>6791</v>
      </c>
      <c r="DC741" s="0" t="s">
        <v>216</v>
      </c>
      <c r="DD741" s="0" t="s">
        <v>216</v>
      </c>
      <c r="DE741" s="0" t="s">
        <v>216</v>
      </c>
      <c r="DF741" s="0" t="s">
        <v>216</v>
      </c>
      <c r="DG741" s="0" t="s">
        <v>216</v>
      </c>
      <c r="DH741" s="0" t="n">
        <v>0</v>
      </c>
      <c r="DI741" s="126" t="n">
        <v>600</v>
      </c>
      <c r="DK741" s="0" t="n">
        <v>0</v>
      </c>
      <c r="DM741" s="0" t="n">
        <v>1</v>
      </c>
      <c r="DN741" s="0" t="n">
        <v>70</v>
      </c>
      <c r="DO741" s="0" t="n">
        <v>3</v>
      </c>
      <c r="DP741" s="0" t="n">
        <v>1</v>
      </c>
      <c r="DQ741" s="0" t="n">
        <v>0</v>
      </c>
      <c r="DR741" s="0"/>
      <c r="DS741" s="0" t="n">
        <v>1</v>
      </c>
      <c r="DU741" s="0" t="n">
        <v>0</v>
      </c>
      <c r="DW741" s="1" t="n">
        <v>40303</v>
      </c>
      <c r="DX741" s="1" t="n">
        <v>40668</v>
      </c>
      <c r="DZ741" s="0"/>
      <c r="EA741" s="0" t="n">
        <v>1</v>
      </c>
      <c r="EC741" s="1" t="n">
        <v>40179</v>
      </c>
      <c r="ED741" s="1" t="n">
        <v>40543</v>
      </c>
      <c r="EF741" s="0"/>
      <c r="EG741" s="0" t="n">
        <v>1</v>
      </c>
      <c r="EH741" s="0" t="n">
        <v>14</v>
      </c>
      <c r="EI741" s="0" t="n">
        <f aca="false">IF(AND(DM741=1,DN741&lt;=48),"",IF(AND(DM741=2,DN741&lt;=42),"",IF(AND(DM741=3,DN741&lt;=45),"",EH741)))</f>
        <v>14</v>
      </c>
      <c r="EJ741" s="0" t="n">
        <f aca="false">IF(EI741="","",IF(EI741&lt;9,EI741,9))</f>
        <v>9</v>
      </c>
      <c r="EK741" s="0" t="n">
        <f aca="false">IF(EI741="","",IF(EI741&gt;9,EI741-EJ741,0))</f>
        <v>5</v>
      </c>
      <c r="EL741" s="0" t="n">
        <f aca="false">IF(EI741="","",EJ741*DA741*2+EK741*DA741*3)</f>
        <v>2475</v>
      </c>
      <c r="EN741" s="0" t="n">
        <v>105300</v>
      </c>
      <c r="EP741" s="0" t="n">
        <v>0</v>
      </c>
      <c r="EQ741" s="0"/>
      <c r="ER741" s="0" t="n">
        <v>0</v>
      </c>
      <c r="ET741" s="0" t="n">
        <v>0</v>
      </c>
      <c r="EV741" s="0" t="n">
        <v>0</v>
      </c>
      <c r="EX741" s="0" t="n">
        <v>1</v>
      </c>
      <c r="EY741" s="0" t="n">
        <v>0</v>
      </c>
      <c r="EZ741" s="0"/>
      <c r="FA741" s="4" t="n">
        <v>9000</v>
      </c>
      <c r="FB741" s="0" t="n">
        <v>1</v>
      </c>
      <c r="FC741" s="1"/>
      <c r="FF741" s="120" t="n">
        <f aca="false">(CJ741-CI741+1)/365</f>
        <v>1.57260273972603</v>
      </c>
      <c r="FG741" s="0" t="str">
        <f aca="false">CONCATENATE(F741,"/",G741)</f>
        <v>1092/2011</v>
      </c>
      <c r="FH741" s="0" t="n">
        <v>1</v>
      </c>
      <c r="FI741" s="0" t="n">
        <f aca="false">IFERROR(IF((FC741-J741+1)/365&gt;3,0,1),"")</f>
        <v>1</v>
      </c>
    </row>
    <row r="742" customFormat="false" ht="15" hidden="false" customHeight="false" outlineLevel="0" collapsed="false">
      <c r="A742" s="5" t="str">
        <f aca="false">E742&amp;G742&amp;F742</f>
        <v>720111092</v>
      </c>
      <c r="B742" s="0" t="s">
        <v>1884</v>
      </c>
      <c r="C742" s="1" t="n">
        <v>42369</v>
      </c>
      <c r="E742" s="0" t="n">
        <v>7</v>
      </c>
      <c r="F742" s="0" t="n">
        <v>1092</v>
      </c>
      <c r="G742" s="0" t="n">
        <v>2011</v>
      </c>
      <c r="H742" s="0" t="str">
        <f aca="false">"J"&amp;E742&amp;"\"&amp;F742&amp;"\"&amp;G742&amp;"\"&amp;W742</f>
        <v>J7\1092\2011\2</v>
      </c>
      <c r="I742" s="0"/>
      <c r="J742" s="1" t="n">
        <v>40718</v>
      </c>
      <c r="K742" s="0" t="n">
        <v>0</v>
      </c>
      <c r="M742" s="1"/>
      <c r="N742" s="1"/>
      <c r="O742" s="1"/>
      <c r="P742" s="1"/>
      <c r="Q742" s="1"/>
      <c r="T742" s="121"/>
      <c r="U742" s="121"/>
      <c r="V742" s="122" t="n">
        <f aca="false">IF(AND(E742&gt;0,F742&gt;0,G742&gt;0),COUNTIFS($E:$E,E742,$F:$F,F742,$G:$G,G742),"")</f>
        <v>2</v>
      </c>
      <c r="W742" s="122" t="n">
        <f aca="false">IF(V742="","",IF(V742=1,1,IF(AND(E741=E742,F741=F742,G741=G742),W741+1,1)))</f>
        <v>2</v>
      </c>
      <c r="X742" s="0" t="n">
        <v>2</v>
      </c>
      <c r="Y742" s="0" t="n">
        <v>4</v>
      </c>
      <c r="Z742" s="0" t="s">
        <v>6792</v>
      </c>
      <c r="AA742" s="0" t="n">
        <v>0</v>
      </c>
      <c r="AB742" s="0" t="s">
        <v>6780</v>
      </c>
      <c r="AC742" s="0" t="s">
        <v>2460</v>
      </c>
      <c r="AD742" s="0" t="s">
        <v>1895</v>
      </c>
      <c r="AE742" s="0" t="n">
        <v>0</v>
      </c>
      <c r="AF742" s="0" t="s">
        <v>6781</v>
      </c>
      <c r="AG742" s="0" t="n">
        <v>0</v>
      </c>
      <c r="AH742" s="0" t="s">
        <v>6782</v>
      </c>
      <c r="AI742" s="0" t="s">
        <v>1399</v>
      </c>
      <c r="AJ742" s="0" t="s">
        <v>1903</v>
      </c>
      <c r="AL742" s="0" t="s">
        <v>6783</v>
      </c>
      <c r="AM742" s="0" t="n">
        <v>1</v>
      </c>
      <c r="AN742" s="0" t="s">
        <v>6782</v>
      </c>
      <c r="AO742" s="0" t="s">
        <v>1399</v>
      </c>
      <c r="AP742" s="0" t="s">
        <v>1903</v>
      </c>
      <c r="AR742" s="0" t="s">
        <v>6784</v>
      </c>
      <c r="AS742" s="0" t="n">
        <v>1</v>
      </c>
      <c r="AT742" s="0" t="s">
        <v>6782</v>
      </c>
      <c r="AU742" s="0" t="s">
        <v>1399</v>
      </c>
      <c r="AV742" s="0" t="s">
        <v>1903</v>
      </c>
      <c r="AX742" s="0" t="s">
        <v>6785</v>
      </c>
      <c r="AY742" s="0" t="n">
        <v>1</v>
      </c>
      <c r="AZ742" s="0" t="s">
        <v>6782</v>
      </c>
      <c r="BA742" s="0" t="s">
        <v>1399</v>
      </c>
      <c r="BB742" s="0" t="s">
        <v>1903</v>
      </c>
      <c r="BD742" s="0" t="s">
        <v>6786</v>
      </c>
      <c r="BE742" s="0" t="n">
        <v>1</v>
      </c>
      <c r="BF742" s="0" t="s">
        <v>6782</v>
      </c>
      <c r="BG742" s="0" t="s">
        <v>1399</v>
      </c>
      <c r="BH742" s="0" t="s">
        <v>1903</v>
      </c>
      <c r="BR742" s="0" t="n">
        <v>1</v>
      </c>
      <c r="BS742" s="0" t="s">
        <v>6787</v>
      </c>
      <c r="BT742" s="0" t="s">
        <v>1232</v>
      </c>
      <c r="BU742" s="0" t="s">
        <v>6788</v>
      </c>
      <c r="BV742" s="123"/>
      <c r="BW742" s="123"/>
      <c r="BX742" s="123"/>
      <c r="BY742" s="123"/>
      <c r="CA742" s="0" t="s">
        <v>6789</v>
      </c>
      <c r="CD742" s="0" t="s">
        <v>357</v>
      </c>
      <c r="CE742" s="0" t="n">
        <v>0</v>
      </c>
      <c r="CF742" s="0" t="s">
        <v>6790</v>
      </c>
      <c r="CI742" s="1" t="n">
        <v>40303</v>
      </c>
      <c r="CJ742" s="1" t="n">
        <v>40710</v>
      </c>
      <c r="CK742" s="124" t="n">
        <v>0.416666666666667</v>
      </c>
      <c r="CL742" s="0" t="s">
        <v>6783</v>
      </c>
      <c r="CM742" s="0" t="n">
        <f aca="false">IF(OR(CI742="",CJ742=""),"",DAYS360(CI742,CJ742)/360)</f>
        <v>1.11388888888889</v>
      </c>
      <c r="CN742" s="0" t="n">
        <f aca="false">IF(OR(CI742="",CJ742=""),"",DAYS360(CI742,CJ742)/30)</f>
        <v>13.3666666666667</v>
      </c>
      <c r="CO742" s="0" t="n">
        <f aca="false">IF(OR(CI742="",CJ742=""),"",DAYS360(CI742,CJ742)/7)</f>
        <v>57.2857142857143</v>
      </c>
      <c r="CP742" s="0" t="n">
        <f aca="false">IF(OR(CI742="",CJ742=""),"",DAYS360(CI742,CJ742))</f>
        <v>401</v>
      </c>
      <c r="CQ742" s="0" t="s">
        <v>2021</v>
      </c>
      <c r="CR742" s="0" t="n">
        <v>1</v>
      </c>
      <c r="CT742" s="0" t="n">
        <v>300</v>
      </c>
      <c r="CU742" s="0" t="n">
        <v>0</v>
      </c>
      <c r="CV742" s="0" t="n">
        <f aca="false">IF(OR(CT742="",CT742="NO ESPECIFICA",CT742="NO MENCIONA"),"",IF(CU742=0,CT742,IF(CU742=1,CT742/30,IF(CU742=2,CT742/15,IF(CU742=3,CT742/7,"")))))</f>
        <v>300</v>
      </c>
      <c r="CW742" s="125" t="n">
        <v>600</v>
      </c>
      <c r="CX742" s="0" t="n">
        <v>0</v>
      </c>
      <c r="CY742" s="0" t="n">
        <f aca="false">IF(CW742="","",IF(CX742=0,CW742,IF(CX742=1,CW742/30,IF(CX742=2,CW742/15,IF(CX742=3,CW742/7,CW742)))))</f>
        <v>600</v>
      </c>
      <c r="CZ742" s="0" t="n">
        <f aca="false">IF(DI742&gt;0,DI742,IF(CY742&gt;0,CY742,IF(CV742&gt;0,CV742,"")))</f>
        <v>600</v>
      </c>
      <c r="DA742" s="0" t="n">
        <f aca="false">IF(DM742=1,CZ742/8,IF(OR(DM742=2,DM742=4),CZ742/7,IF(DM742=3,CZ742/7.5,"")))</f>
        <v>75</v>
      </c>
      <c r="DB742" s="0" t="s">
        <v>6791</v>
      </c>
      <c r="DC742" s="0" t="s">
        <v>216</v>
      </c>
      <c r="DD742" s="0" t="s">
        <v>216</v>
      </c>
      <c r="DE742" s="0" t="s">
        <v>216</v>
      </c>
      <c r="DF742" s="0" t="s">
        <v>216</v>
      </c>
      <c r="DG742" s="0" t="s">
        <v>216</v>
      </c>
      <c r="DH742" s="0" t="n">
        <v>0</v>
      </c>
      <c r="DI742" s="126" t="n">
        <v>600</v>
      </c>
      <c r="DK742" s="0" t="n">
        <v>0</v>
      </c>
      <c r="DM742" s="0" t="n">
        <v>1</v>
      </c>
      <c r="DN742" s="0" t="n">
        <v>70</v>
      </c>
      <c r="DO742" s="0" t="n">
        <v>3</v>
      </c>
      <c r="DP742" s="0" t="n">
        <v>1</v>
      </c>
      <c r="DQ742" s="0" t="n">
        <v>0</v>
      </c>
      <c r="DR742" s="0"/>
      <c r="DS742" s="0" t="n">
        <v>1</v>
      </c>
      <c r="DU742" s="0" t="n">
        <v>0</v>
      </c>
      <c r="DW742" s="1" t="n">
        <v>40303</v>
      </c>
      <c r="DX742" s="1" t="n">
        <v>40668</v>
      </c>
      <c r="DZ742" s="0"/>
      <c r="EA742" s="0" t="n">
        <v>1</v>
      </c>
      <c r="EC742" s="1" t="n">
        <v>40179</v>
      </c>
      <c r="ED742" s="1" t="n">
        <v>40543</v>
      </c>
      <c r="EF742" s="0"/>
      <c r="EG742" s="0" t="n">
        <v>1</v>
      </c>
      <c r="EH742" s="0" t="n">
        <v>14</v>
      </c>
      <c r="EI742" s="0" t="n">
        <f aca="false">IF(AND(DM742=1,DN742&lt;=48),"",IF(AND(DM742=2,DN742&lt;=42),"",IF(AND(DM742=3,DN742&lt;=45),"",EH742)))</f>
        <v>14</v>
      </c>
      <c r="EJ742" s="0" t="n">
        <f aca="false">IF(EI742="","",IF(EI742&lt;9,EI742,9))</f>
        <v>9</v>
      </c>
      <c r="EK742" s="0" t="n">
        <f aca="false">IF(EI742="","",IF(EI742&gt;9,EI742-EJ742,0))</f>
        <v>5</v>
      </c>
      <c r="EL742" s="0" t="n">
        <f aca="false">IF(EI742="","",EJ742*DA742*2+EK742*DA742*3)</f>
        <v>2475</v>
      </c>
      <c r="EN742" s="0" t="n">
        <v>105300</v>
      </c>
      <c r="EP742" s="0" t="n">
        <v>0</v>
      </c>
      <c r="EQ742" s="0"/>
      <c r="ER742" s="0" t="n">
        <v>0</v>
      </c>
      <c r="ET742" s="0" t="n">
        <v>0</v>
      </c>
      <c r="EV742" s="0" t="n">
        <v>0</v>
      </c>
      <c r="EX742" s="0" t="n">
        <v>1</v>
      </c>
      <c r="EY742" s="0" t="n">
        <v>0</v>
      </c>
      <c r="EZ742" s="0"/>
      <c r="FA742" s="4" t="n">
        <v>9000</v>
      </c>
      <c r="FB742" s="0" t="n">
        <v>1</v>
      </c>
      <c r="FC742" s="1"/>
      <c r="FF742" s="120" t="n">
        <f aca="false">(CJ742-CI742+1)/365</f>
        <v>1.11780821917808</v>
      </c>
      <c r="FG742" s="0" t="str">
        <f aca="false">CONCATENATE(F742,"/",G742)</f>
        <v>1092/2011</v>
      </c>
      <c r="FH742" s="0" t="n">
        <v>1</v>
      </c>
      <c r="FI742" s="0" t="n">
        <f aca="false">IFERROR(IF((FC742-J742+1)/365&gt;3,0,1),"")</f>
        <v>1</v>
      </c>
    </row>
    <row r="743" customFormat="false" ht="15" hidden="false" customHeight="false" outlineLevel="0" collapsed="false">
      <c r="A743" s="5" t="str">
        <f aca="false">E743&amp;G743&amp;F743</f>
        <v>720111126</v>
      </c>
      <c r="B743" s="0" t="s">
        <v>1884</v>
      </c>
      <c r="C743" s="1" t="n">
        <v>42370</v>
      </c>
      <c r="E743" s="0" t="n">
        <v>7</v>
      </c>
      <c r="F743" s="0" t="n">
        <v>1126</v>
      </c>
      <c r="G743" s="0" t="n">
        <v>2011</v>
      </c>
      <c r="H743" s="0" t="str">
        <f aca="false">"J"&amp;E743&amp;"\"&amp;F743&amp;"\"&amp;G743&amp;"\"&amp;W743</f>
        <v>J7\1126\2011\1</v>
      </c>
      <c r="I743" s="0"/>
      <c r="J743" s="1" t="n">
        <v>40724</v>
      </c>
      <c r="K743" s="0" t="n">
        <v>0</v>
      </c>
      <c r="M743" s="1"/>
      <c r="N743" s="1"/>
      <c r="O743" s="1"/>
      <c r="P743" s="1"/>
      <c r="Q743" s="1"/>
      <c r="T743" s="121"/>
      <c r="U743" s="121"/>
      <c r="V743" s="122" t="n">
        <f aca="false">IF(AND(E743&gt;0,F743&gt;0,G743&gt;0),COUNTIFS($E:$E,E743,$F:$F,F743,$G:$G,G743),"")</f>
        <v>1</v>
      </c>
      <c r="W743" s="122" t="n">
        <f aca="false">IF(V743="","",IF(V743=1,1,IF(AND(E742=E743,F742=F743,G742=G743),W742+1,1)))</f>
        <v>1</v>
      </c>
      <c r="X743" s="0" t="n">
        <v>1</v>
      </c>
      <c r="Y743" s="0" t="n">
        <v>5</v>
      </c>
      <c r="Z743" s="0" t="s">
        <v>6793</v>
      </c>
      <c r="AA743" s="0" t="n">
        <v>0</v>
      </c>
      <c r="AB743" s="0" t="s">
        <v>6794</v>
      </c>
      <c r="AC743" s="0" t="s">
        <v>6795</v>
      </c>
      <c r="AD743" s="0" t="s">
        <v>207</v>
      </c>
      <c r="AE743" s="0" t="n">
        <v>0</v>
      </c>
      <c r="AF743" s="0" t="s">
        <v>6796</v>
      </c>
      <c r="AG743" s="0" t="n">
        <v>0</v>
      </c>
      <c r="AH743" s="0" t="s">
        <v>6797</v>
      </c>
      <c r="AI743" s="0" t="s">
        <v>6798</v>
      </c>
      <c r="AJ743" s="0" t="s">
        <v>1903</v>
      </c>
      <c r="AL743" s="0" t="s">
        <v>6799</v>
      </c>
      <c r="AM743" s="0" t="n">
        <v>0</v>
      </c>
      <c r="AN743" s="0" t="s">
        <v>6800</v>
      </c>
      <c r="AO743" s="0" t="s">
        <v>3943</v>
      </c>
      <c r="AP743" s="0" t="s">
        <v>1899</v>
      </c>
      <c r="AR743" s="0" t="s">
        <v>6801</v>
      </c>
      <c r="AS743" s="0" t="n">
        <v>1</v>
      </c>
      <c r="AT743" s="0" t="s">
        <v>6800</v>
      </c>
      <c r="AU743" s="0" t="s">
        <v>3943</v>
      </c>
      <c r="AV743" s="0" t="s">
        <v>1899</v>
      </c>
      <c r="AX743" s="0" t="s">
        <v>6802</v>
      </c>
      <c r="AY743" s="0" t="n">
        <v>1</v>
      </c>
      <c r="AZ743" s="0" t="s">
        <v>6800</v>
      </c>
      <c r="BA743" s="0" t="s">
        <v>3943</v>
      </c>
      <c r="BB743" s="0" t="s">
        <v>1899</v>
      </c>
      <c r="BD743" s="0" t="s">
        <v>2057</v>
      </c>
      <c r="BE743" s="0" t="n">
        <v>1</v>
      </c>
      <c r="BF743" s="0" t="s">
        <v>6800</v>
      </c>
      <c r="BG743" s="0" t="s">
        <v>3943</v>
      </c>
      <c r="BH743" s="0" t="s">
        <v>1899</v>
      </c>
      <c r="BR743" s="0" t="n">
        <v>1</v>
      </c>
      <c r="BS743" s="0" t="s">
        <v>6803</v>
      </c>
      <c r="BT743" s="0" t="s">
        <v>6804</v>
      </c>
      <c r="BU743" s="0" t="s">
        <v>6805</v>
      </c>
      <c r="BV743" s="123"/>
      <c r="BW743" s="123"/>
      <c r="BX743" s="123"/>
      <c r="BY743" s="123"/>
      <c r="CA743" s="0" t="s">
        <v>1895</v>
      </c>
      <c r="CD743" s="0" t="s">
        <v>357</v>
      </c>
      <c r="CE743" s="0" t="n">
        <v>0</v>
      </c>
      <c r="CF743" s="0" t="s">
        <v>6806</v>
      </c>
      <c r="CI743" s="1" t="n">
        <v>40590</v>
      </c>
      <c r="CJ743" s="1" t="n">
        <v>40711</v>
      </c>
      <c r="CK743" s="124" t="s">
        <v>1895</v>
      </c>
      <c r="CL743" s="0" t="s">
        <v>6801</v>
      </c>
      <c r="CM743" s="0" t="n">
        <f aca="false">IF(OR(CI743="",CJ743=""),"",DAYS360(CI743,CJ743)/360)</f>
        <v>0.336111111111111</v>
      </c>
      <c r="CN743" s="0" t="n">
        <f aca="false">IF(OR(CI743="",CJ743=""),"",DAYS360(CI743,CJ743)/30)</f>
        <v>4.03333333333333</v>
      </c>
      <c r="CO743" s="0" t="n">
        <f aca="false">IF(OR(CI743="",CJ743=""),"",DAYS360(CI743,CJ743)/7)</f>
        <v>17.2857142857143</v>
      </c>
      <c r="CP743" s="0" t="n">
        <f aca="false">IF(OR(CI743="",CJ743=""),"",DAYS360(CI743,CJ743))</f>
        <v>121</v>
      </c>
      <c r="CQ743" s="0" t="s">
        <v>240</v>
      </c>
      <c r="CR743" s="0" t="n">
        <v>1</v>
      </c>
      <c r="CT743" s="0" t="n">
        <v>12000</v>
      </c>
      <c r="CU743" s="0" t="n">
        <v>1</v>
      </c>
      <c r="CV743" s="0" t="n">
        <f aca="false">IF(OR(CT743="",CT743="NO ESPECIFICA",CT743="NO MENCIONA"),"",IF(CU743=0,CT743,IF(CU743=1,CT743/30,IF(CU743=2,CT743/15,IF(CU743=3,CT743/7,"")))))</f>
        <v>400</v>
      </c>
      <c r="CW743" s="125" t="n">
        <v>21000</v>
      </c>
      <c r="CX743" s="0" t="n">
        <v>1</v>
      </c>
      <c r="CY743" s="0" t="n">
        <f aca="false">IF(CW743="","",IF(CX743=0,CW743,IF(CX743=1,CW743/30,IF(CX743=2,CW743/15,IF(CX743=3,CW743/7,CW743)))))</f>
        <v>700</v>
      </c>
      <c r="CZ743" s="0" t="n">
        <f aca="false">IF(DI743&gt;0,DI743,IF(CY743&gt;0,CY743,IF(CV743&gt;0,CV743,"")))</f>
        <v>700</v>
      </c>
      <c r="DA743" s="0" t="n">
        <f aca="false">IF(DM743=1,CZ743/8,IF(OR(DM743=2,DM743=4),CZ743/7,IF(DM743=3,CZ743/7.5,"")))</f>
        <v>87.5</v>
      </c>
      <c r="DB743" s="0" t="s">
        <v>6807</v>
      </c>
      <c r="DC743" s="0" t="s">
        <v>1997</v>
      </c>
      <c r="DD743" s="0" t="s">
        <v>216</v>
      </c>
      <c r="DE743" s="0" t="s">
        <v>216</v>
      </c>
      <c r="DF743" s="0" t="s">
        <v>216</v>
      </c>
      <c r="DG743" s="0" t="s">
        <v>216</v>
      </c>
      <c r="DH743" s="0" t="n">
        <v>0</v>
      </c>
      <c r="DI743" s="126" t="n">
        <v>700</v>
      </c>
      <c r="DK743" s="0" t="n">
        <v>1</v>
      </c>
      <c r="DM743" s="0" t="n">
        <v>1</v>
      </c>
      <c r="DN743" s="0" t="n">
        <v>55</v>
      </c>
      <c r="DO743" s="0" t="n">
        <v>3</v>
      </c>
      <c r="DP743" s="0" t="n">
        <v>0</v>
      </c>
      <c r="DQ743" s="0" t="n">
        <v>1</v>
      </c>
      <c r="DR743" s="0"/>
      <c r="DS743" s="0" t="n">
        <v>1</v>
      </c>
      <c r="DU743" s="0" t="n">
        <v>1</v>
      </c>
      <c r="DW743" s="1" t="n">
        <v>40590</v>
      </c>
      <c r="DX743" s="1" t="n">
        <v>40711</v>
      </c>
      <c r="DZ743" s="0"/>
      <c r="EA743" s="0" t="n">
        <v>1</v>
      </c>
      <c r="EC743" s="1" t="n">
        <v>40590</v>
      </c>
      <c r="ED743" s="1" t="n">
        <v>40711</v>
      </c>
      <c r="EF743" s="0"/>
      <c r="EG743" s="0" t="n">
        <v>1</v>
      </c>
      <c r="EH743" s="0" t="n">
        <v>7.5</v>
      </c>
      <c r="EI743" s="0" t="n">
        <f aca="false">IF(AND(DM743=1,DN743&lt;=48),"",IF(AND(DM743=2,DN743&lt;=42),"",IF(AND(DM743=3,DN743&lt;=45),"",EH743)))</f>
        <v>7.5</v>
      </c>
      <c r="EJ743" s="0" t="n">
        <f aca="false">IF(EI743="","",IF(EI743&lt;9,EI743,9))</f>
        <v>7.5</v>
      </c>
      <c r="EK743" s="0" t="n">
        <f aca="false">IF(EI743="","",IF(EI743&gt;9,EI743-EJ743,0))</f>
        <v>0</v>
      </c>
      <c r="EL743" s="0" t="n">
        <f aca="false">IF(EI743="","",EJ743*DA743*2+EK743*DA743*3)</f>
        <v>1312.5</v>
      </c>
      <c r="EP743" s="0" t="n">
        <v>1</v>
      </c>
      <c r="EQ743" s="0"/>
      <c r="ER743" s="0" t="n">
        <v>0</v>
      </c>
      <c r="ET743" s="0" t="n">
        <v>0</v>
      </c>
      <c r="EV743" s="0" t="n">
        <v>0</v>
      </c>
      <c r="EX743" s="0" t="n">
        <v>1</v>
      </c>
      <c r="EY743" s="0" t="n">
        <v>0</v>
      </c>
      <c r="EZ743" s="0"/>
      <c r="FA743" s="0"/>
      <c r="FB743" s="0" t="n">
        <v>1</v>
      </c>
      <c r="FC743" s="1" t="n">
        <v>41240</v>
      </c>
      <c r="FD743" s="0" t="n">
        <v>2</v>
      </c>
      <c r="FE743" s="0" t="n">
        <v>0</v>
      </c>
      <c r="FF743" s="120" t="n">
        <f aca="false">(CJ743-CI743+1)/365</f>
        <v>0.334246575342466</v>
      </c>
      <c r="FG743" s="0" t="str">
        <f aca="false">CONCATENATE(F743,"/",G743)</f>
        <v>1126/2011</v>
      </c>
      <c r="FH743" s="0" t="n">
        <v>1</v>
      </c>
      <c r="FI743" s="0" t="n">
        <f aca="false">IFERROR(IF((FC743-J743+1)/365&gt;3,0,1),"")</f>
        <v>1</v>
      </c>
    </row>
    <row r="744" customFormat="false" ht="15" hidden="false" customHeight="false" outlineLevel="0" collapsed="false">
      <c r="A744" s="5" t="str">
        <f aca="false">E744&amp;G744&amp;F744</f>
        <v>720111127</v>
      </c>
      <c r="B744" s="0" t="s">
        <v>1884</v>
      </c>
      <c r="C744" s="1" t="n">
        <v>42370</v>
      </c>
      <c r="E744" s="0" t="n">
        <v>7</v>
      </c>
      <c r="F744" s="0" t="n">
        <v>1127</v>
      </c>
      <c r="G744" s="0" t="n">
        <v>2011</v>
      </c>
      <c r="H744" s="0" t="str">
        <f aca="false">"J"&amp;E744&amp;"\"&amp;F744&amp;"\"&amp;G744&amp;"\"&amp;W744</f>
        <v>J7\1127\2011\1</v>
      </c>
      <c r="I744" s="0"/>
      <c r="J744" s="1" t="n">
        <v>40724</v>
      </c>
      <c r="K744" s="0" t="n">
        <v>0</v>
      </c>
      <c r="M744" s="1"/>
      <c r="N744" s="1"/>
      <c r="O744" s="1"/>
      <c r="P744" s="1"/>
      <c r="Q744" s="1"/>
      <c r="T744" s="121"/>
      <c r="U744" s="121"/>
      <c r="V744" s="122" t="n">
        <f aca="false">IF(AND(E744&gt;0,F744&gt;0,G744&gt;0),COUNTIFS($E:$E,E744,$F:$F,F744,$G:$G,G744),"")</f>
        <v>1</v>
      </c>
      <c r="W744" s="122" t="n">
        <f aca="false">IF(V744="","",IF(V744=1,1,IF(AND(E743=E744,F743=F744,G743=G744),W743+1,1)))</f>
        <v>1</v>
      </c>
      <c r="X744" s="0" t="n">
        <v>1</v>
      </c>
      <c r="Y744" s="0" t="n">
        <v>6</v>
      </c>
      <c r="Z744" s="0" t="s">
        <v>6808</v>
      </c>
      <c r="AA744" s="0" t="n">
        <v>0</v>
      </c>
      <c r="AB744" s="0" t="s">
        <v>6809</v>
      </c>
      <c r="AC744" s="0" t="s">
        <v>2640</v>
      </c>
      <c r="AD744" s="0" t="s">
        <v>207</v>
      </c>
      <c r="AE744" s="0" t="n">
        <v>0</v>
      </c>
      <c r="AF744" s="0" t="s">
        <v>6810</v>
      </c>
      <c r="AG744" s="0" t="n">
        <v>0</v>
      </c>
      <c r="AH744" s="0" t="s">
        <v>6811</v>
      </c>
      <c r="AI744" s="0" t="s">
        <v>2582</v>
      </c>
      <c r="AJ744" s="0" t="s">
        <v>2112</v>
      </c>
      <c r="AL744" s="0" t="s">
        <v>6812</v>
      </c>
      <c r="AM744" s="0" t="n">
        <v>0</v>
      </c>
      <c r="AN744" s="0" t="s">
        <v>6811</v>
      </c>
      <c r="AO744" s="0" t="s">
        <v>2582</v>
      </c>
      <c r="AP744" s="0" t="s">
        <v>2112</v>
      </c>
      <c r="AR744" s="0" t="s">
        <v>6813</v>
      </c>
      <c r="AS744" s="0" t="n">
        <v>1</v>
      </c>
      <c r="AT744" s="0" t="s">
        <v>6811</v>
      </c>
      <c r="AU744" s="0" t="s">
        <v>2582</v>
      </c>
      <c r="AV744" s="0" t="s">
        <v>2112</v>
      </c>
      <c r="AX744" s="0" t="s">
        <v>6814</v>
      </c>
      <c r="AY744" s="0" t="n">
        <v>1</v>
      </c>
      <c r="AZ744" s="0" t="s">
        <v>6811</v>
      </c>
      <c r="BA744" s="0" t="s">
        <v>2582</v>
      </c>
      <c r="BB744" s="0" t="s">
        <v>2112</v>
      </c>
      <c r="BD744" s="0" t="s">
        <v>3891</v>
      </c>
      <c r="BE744" s="0" t="n">
        <v>0</v>
      </c>
      <c r="BF744" s="0" t="s">
        <v>6815</v>
      </c>
      <c r="BG744" s="0" t="s">
        <v>2108</v>
      </c>
      <c r="BH744" s="0" t="s">
        <v>1972</v>
      </c>
      <c r="BJ744" s="0" t="s">
        <v>2109</v>
      </c>
      <c r="BK744" s="0" t="n">
        <v>0</v>
      </c>
      <c r="BL744" s="0" t="s">
        <v>977</v>
      </c>
      <c r="BM744" s="0" t="s">
        <v>2111</v>
      </c>
      <c r="BN744" s="0" t="s">
        <v>2112</v>
      </c>
      <c r="BR744" s="0" t="n">
        <v>1</v>
      </c>
      <c r="BS744" s="0" t="s">
        <v>6816</v>
      </c>
      <c r="BT744" s="0" t="s">
        <v>6817</v>
      </c>
      <c r="BU744" s="0" t="s">
        <v>6818</v>
      </c>
      <c r="BV744" s="123"/>
      <c r="BW744" s="123"/>
      <c r="BX744" s="123"/>
      <c r="BY744" s="123"/>
      <c r="CA744" s="0" t="s">
        <v>1895</v>
      </c>
      <c r="CD744" s="0" t="s">
        <v>370</v>
      </c>
      <c r="CE744" s="0" t="n">
        <v>0</v>
      </c>
      <c r="CF744" s="0" t="s">
        <v>6819</v>
      </c>
      <c r="CI744" s="1" t="n">
        <v>40382</v>
      </c>
      <c r="CJ744" s="1" t="n">
        <v>40665</v>
      </c>
      <c r="CK744" s="124" t="n">
        <v>0.375</v>
      </c>
      <c r="CL744" s="0" t="s">
        <v>6814</v>
      </c>
      <c r="CM744" s="0" t="n">
        <f aca="false">IF(OR(CI744="",CJ744=""),"",DAYS360(CI744,CJ744)/360)</f>
        <v>0.775</v>
      </c>
      <c r="CN744" s="0" t="n">
        <f aca="false">IF(OR(CI744="",CJ744=""),"",DAYS360(CI744,CJ744)/30)</f>
        <v>9.3</v>
      </c>
      <c r="CO744" s="0" t="n">
        <f aca="false">IF(OR(CI744="",CJ744=""),"",DAYS360(CI744,CJ744)/7)</f>
        <v>39.8571428571429</v>
      </c>
      <c r="CP744" s="0" t="n">
        <f aca="false">IF(OR(CI744="",CJ744=""),"",DAYS360(CI744,CJ744))</f>
        <v>279</v>
      </c>
      <c r="CQ744" s="0" t="s">
        <v>2021</v>
      </c>
      <c r="CR744" s="0" t="n">
        <v>1</v>
      </c>
      <c r="CT744" s="0" t="n">
        <v>5000</v>
      </c>
      <c r="CU744" s="0" t="n">
        <v>1</v>
      </c>
      <c r="CV744" s="0" t="n">
        <f aca="false">IF(OR(CT744="",CT744="NO ESPECIFICA",CT744="NO MENCIONA"),"",IF(CU744=0,CT744,IF(CU744=1,CT744/30,IF(CU744=2,CT744/15,IF(CU744=3,CT744/7,"")))))</f>
        <v>166.666666666667</v>
      </c>
      <c r="CW744" s="125" t="n">
        <v>628.16</v>
      </c>
      <c r="CX744" s="0" t="n">
        <v>0</v>
      </c>
      <c r="CY744" s="0" t="n">
        <f aca="false">IF(CW744="","",IF(CX744=0,CW744,IF(CX744=1,CW744/30,IF(CX744=2,CW744/15,IF(CX744=3,CW744/7,CW744)))))</f>
        <v>628.16</v>
      </c>
      <c r="CZ744" s="0" t="n">
        <f aca="false">IF(DI744&gt;0,DI744,IF(CY744&gt;0,CY744,IF(CV744&gt;0,CV744,"")))</f>
        <v>628.16</v>
      </c>
      <c r="DA744" s="0" t="n">
        <f aca="false">IF(DM744=1,CZ744/8,IF(OR(DM744=2,DM744=4),CZ744/7,IF(DM744=3,CZ744/7.5,"")))</f>
        <v>78.52</v>
      </c>
      <c r="DB744" s="0" t="s">
        <v>1997</v>
      </c>
      <c r="DC744" s="0" t="s">
        <v>1945</v>
      </c>
      <c r="DD744" s="0" t="s">
        <v>1935</v>
      </c>
      <c r="DE744" s="0" t="s">
        <v>216</v>
      </c>
      <c r="DF744" s="0" t="s">
        <v>216</v>
      </c>
      <c r="DG744" s="0" t="s">
        <v>216</v>
      </c>
      <c r="DH744" s="0" t="n">
        <v>0</v>
      </c>
      <c r="DI744" s="126" t="n">
        <v>628.16</v>
      </c>
      <c r="DK744" s="0" t="n">
        <v>1</v>
      </c>
      <c r="DM744" s="0" t="n">
        <v>1</v>
      </c>
      <c r="DN744" s="0" t="n">
        <v>52.5</v>
      </c>
      <c r="DO744" s="0" t="n">
        <v>3</v>
      </c>
      <c r="DP744" s="0" t="n">
        <v>1</v>
      </c>
      <c r="DQ744" s="0" t="n">
        <v>1</v>
      </c>
      <c r="DR744" s="0"/>
      <c r="DS744" s="0" t="n">
        <v>1</v>
      </c>
      <c r="DU744" s="0" t="n">
        <v>1</v>
      </c>
      <c r="DW744" s="1" t="n">
        <v>40382</v>
      </c>
      <c r="DX744" s="1" t="n">
        <v>40665</v>
      </c>
      <c r="DZ744" s="0"/>
      <c r="EA744" s="0" t="n">
        <v>1</v>
      </c>
      <c r="EC744" s="1" t="n">
        <v>40382</v>
      </c>
      <c r="ED744" s="1" t="n">
        <v>40665</v>
      </c>
      <c r="EF744" s="0"/>
      <c r="EG744" s="0" t="n">
        <v>0</v>
      </c>
      <c r="EI744" s="0" t="n">
        <f aca="false">IF(AND(DM744=1,DN744&lt;=48),"",IF(AND(DM744=2,DN744&lt;=42),"",IF(AND(DM744=3,DN744&lt;=45),"",EH744)))</f>
        <v>0</v>
      </c>
      <c r="EJ744" s="0" t="str">
        <f aca="false">IF(EI744="","",IF(EI744&lt;9,EI744,9))</f>
        <v/>
      </c>
      <c r="EK744" s="0" t="str">
        <f aca="false">IF(EI744="","",IF(EI744&gt;9,EI744-EJ744,0))</f>
        <v/>
      </c>
      <c r="EL744" s="0" t="str">
        <f aca="false">IF(EI744="","",EJ744*DA744*2+EK744*DA744*3)</f>
        <v/>
      </c>
      <c r="EP744" s="0" t="n">
        <v>0</v>
      </c>
      <c r="EQ744" s="0"/>
      <c r="ER744" s="0" t="n">
        <v>0</v>
      </c>
      <c r="ET744" s="0" t="n">
        <v>0</v>
      </c>
      <c r="EV744" s="0" t="n">
        <v>0</v>
      </c>
      <c r="EX744" s="0" t="n">
        <v>0</v>
      </c>
      <c r="EY744" s="0" t="n">
        <v>0</v>
      </c>
      <c r="EZ744" s="0"/>
      <c r="FA744" s="4" t="n">
        <v>628.16</v>
      </c>
      <c r="FB744" s="0" t="n">
        <v>1</v>
      </c>
      <c r="FC744" s="1" t="n">
        <v>41759</v>
      </c>
      <c r="FD744" s="0" t="n">
        <v>1</v>
      </c>
      <c r="FE744" s="0" t="n">
        <v>50000</v>
      </c>
      <c r="FF744" s="120" t="n">
        <f aca="false">(CJ744-CI744+1)/365</f>
        <v>0.778082191780822</v>
      </c>
      <c r="FG744" s="0" t="str">
        <f aca="false">CONCATENATE(F744,"/",G744)</f>
        <v>1127/2011</v>
      </c>
      <c r="FH744" s="0" t="n">
        <v>1</v>
      </c>
      <c r="FI744" s="0" t="n">
        <f aca="false">IFERROR(IF((FC744-J744+1)/365&gt;3,0,1),"")</f>
        <v>1</v>
      </c>
    </row>
    <row r="745" customFormat="false" ht="15" hidden="false" customHeight="false" outlineLevel="0" collapsed="false">
      <c r="A745" s="5" t="str">
        <f aca="false">E745&amp;G745&amp;F745</f>
        <v>720111128</v>
      </c>
      <c r="B745" s="0" t="s">
        <v>1884</v>
      </c>
      <c r="C745" s="1" t="n">
        <v>42370</v>
      </c>
      <c r="E745" s="0" t="n">
        <v>7</v>
      </c>
      <c r="F745" s="0" t="n">
        <v>1128</v>
      </c>
      <c r="G745" s="0" t="n">
        <v>2011</v>
      </c>
      <c r="H745" s="0" t="str">
        <f aca="false">"J"&amp;E745&amp;"\"&amp;F745&amp;"\"&amp;G745&amp;"\"&amp;W745</f>
        <v>J7\1128\2011\1</v>
      </c>
      <c r="I745" s="0"/>
      <c r="J745" s="1" t="n">
        <v>40724</v>
      </c>
      <c r="K745" s="0" t="n">
        <v>0</v>
      </c>
      <c r="M745" s="1"/>
      <c r="N745" s="1"/>
      <c r="O745" s="1"/>
      <c r="P745" s="1"/>
      <c r="Q745" s="1"/>
      <c r="T745" s="121"/>
      <c r="U745" s="121"/>
      <c r="V745" s="122" t="n">
        <f aca="false">IF(AND(E745&gt;0,F745&gt;0,G745&gt;0),COUNTIFS($E:$E,E745,$F:$F,F745,$G:$G,G745),"")</f>
        <v>1</v>
      </c>
      <c r="W745" s="122" t="n">
        <f aca="false">IF(V745="","",IF(V745=1,1,IF(AND(E744=E745,F744=F745,G744=G745),W744+1,1)))</f>
        <v>1</v>
      </c>
      <c r="X745" s="0" t="n">
        <v>1</v>
      </c>
      <c r="Y745" s="0" t="n">
        <v>7</v>
      </c>
      <c r="Z745" s="0" t="s">
        <v>6820</v>
      </c>
      <c r="AA745" s="0" t="n">
        <v>0</v>
      </c>
      <c r="AB745" s="0" t="s">
        <v>6821</v>
      </c>
      <c r="AC745" s="0" t="s">
        <v>1939</v>
      </c>
      <c r="AD745" s="0" t="s">
        <v>229</v>
      </c>
      <c r="AE745" s="0" t="n">
        <v>0</v>
      </c>
      <c r="AF745" s="0" t="s">
        <v>6822</v>
      </c>
      <c r="AG745" s="0" t="n">
        <v>0</v>
      </c>
      <c r="AH745" s="0" t="s">
        <v>6823</v>
      </c>
      <c r="AI745" s="0" t="s">
        <v>6824</v>
      </c>
      <c r="AJ745" s="0" t="s">
        <v>2070</v>
      </c>
      <c r="AL745" s="0" t="s">
        <v>6825</v>
      </c>
      <c r="AM745" s="0" t="n">
        <v>0</v>
      </c>
      <c r="AN745" s="0" t="s">
        <v>6823</v>
      </c>
      <c r="AO745" s="0" t="s">
        <v>6824</v>
      </c>
      <c r="AP745" s="0" t="s">
        <v>2070</v>
      </c>
      <c r="AR745" s="0" t="s">
        <v>6826</v>
      </c>
      <c r="AS745" s="0" t="n">
        <v>0</v>
      </c>
      <c r="AT745" s="0" t="s">
        <v>6823</v>
      </c>
      <c r="AU745" s="0" t="s">
        <v>6824</v>
      </c>
      <c r="AV745" s="0" t="s">
        <v>2070</v>
      </c>
      <c r="AX745" s="0" t="s">
        <v>6827</v>
      </c>
      <c r="AY745" s="0" t="n">
        <v>0</v>
      </c>
      <c r="AZ745" s="0" t="s">
        <v>6823</v>
      </c>
      <c r="BA745" s="0" t="s">
        <v>6824</v>
      </c>
      <c r="BB745" s="0" t="s">
        <v>2070</v>
      </c>
      <c r="BD745" s="0" t="s">
        <v>6828</v>
      </c>
      <c r="BE745" s="0" t="n">
        <v>1</v>
      </c>
      <c r="BF745" s="0" t="s">
        <v>6823</v>
      </c>
      <c r="BG745" s="0" t="s">
        <v>6824</v>
      </c>
      <c r="BH745" s="0" t="s">
        <v>2070</v>
      </c>
      <c r="BJ745" s="0" t="s">
        <v>3891</v>
      </c>
      <c r="BK745" s="0" t="n">
        <v>0</v>
      </c>
      <c r="BL745" s="0" t="s">
        <v>6815</v>
      </c>
      <c r="BM745" s="0" t="s">
        <v>2108</v>
      </c>
      <c r="BN745" s="0" t="s">
        <v>1972</v>
      </c>
      <c r="BR745" s="0" t="n">
        <v>1</v>
      </c>
      <c r="BS745" s="0" t="s">
        <v>539</v>
      </c>
      <c r="BT745" s="0" t="s">
        <v>6829</v>
      </c>
      <c r="BU745" s="0" t="s">
        <v>6830</v>
      </c>
      <c r="BV745" s="123"/>
      <c r="BW745" s="123"/>
      <c r="BX745" s="123"/>
      <c r="BY745" s="123"/>
      <c r="CA745" s="0" t="s">
        <v>1895</v>
      </c>
      <c r="CD745" s="0" t="s">
        <v>1895</v>
      </c>
      <c r="CE745" s="0" t="n">
        <v>0</v>
      </c>
      <c r="CF745" s="0" t="s">
        <v>6831</v>
      </c>
      <c r="CI745" s="1" t="n">
        <v>40374</v>
      </c>
      <c r="CJ745" s="1" t="n">
        <v>40665</v>
      </c>
      <c r="CK745" s="124" t="n">
        <v>0.416666666666667</v>
      </c>
      <c r="CL745" s="0" t="s">
        <v>6832</v>
      </c>
      <c r="CM745" s="0" t="n">
        <f aca="false">IF(OR(CI745="",CJ745=""),"",DAYS360(CI745,CJ745)/360)</f>
        <v>0.797222222222222</v>
      </c>
      <c r="CN745" s="0" t="n">
        <f aca="false">IF(OR(CI745="",CJ745=""),"",DAYS360(CI745,CJ745)/30)</f>
        <v>9.56666666666667</v>
      </c>
      <c r="CO745" s="0" t="n">
        <f aca="false">IF(OR(CI745="",CJ745=""),"",DAYS360(CI745,CJ745)/7)</f>
        <v>41</v>
      </c>
      <c r="CP745" s="0" t="n">
        <f aca="false">IF(OR(CI745="",CJ745=""),"",DAYS360(CI745,CJ745))</f>
        <v>287</v>
      </c>
      <c r="CQ745" s="0" t="s">
        <v>2021</v>
      </c>
      <c r="CR745" s="0" t="n">
        <v>1</v>
      </c>
      <c r="CT745" s="0" t="n">
        <v>466</v>
      </c>
      <c r="CU745" s="0" t="n">
        <v>0</v>
      </c>
      <c r="CV745" s="0" t="n">
        <f aca="false">IF(OR(CT745="",CT745="NO ESPECIFICA",CT745="NO MENCIONA"),"",IF(CU745=0,CT745,IF(CU745=1,CT745/30,IF(CU745=2,CT745/15,IF(CU745=3,CT745/7,"")))))</f>
        <v>466</v>
      </c>
      <c r="CW745" s="125" t="n">
        <v>1508.19</v>
      </c>
      <c r="CX745" s="0" t="n">
        <v>0</v>
      </c>
      <c r="CY745" s="0" t="n">
        <f aca="false">IF(CW745="","",IF(CX745=0,CW745,IF(CX745=1,CW745/30,IF(CX745=2,CW745/15,IF(CX745=3,CW745/7,CW745)))))</f>
        <v>1508.19</v>
      </c>
      <c r="CZ745" s="0" t="n">
        <f aca="false">IF(DI745&gt;0,DI745,IF(CY745&gt;0,CY745,IF(CV745&gt;0,CV745,"")))</f>
        <v>1508.19</v>
      </c>
      <c r="DA745" s="0" t="n">
        <f aca="false">IF(DM745=1,CZ745/8,IF(OR(DM745=2,DM745=4),CZ745/7,IF(DM745=3,CZ745/7.5,"")))</f>
        <v>188.52375</v>
      </c>
      <c r="DB745" s="0" t="s">
        <v>1960</v>
      </c>
      <c r="DC745" s="0" t="s">
        <v>5496</v>
      </c>
      <c r="DD745" s="0" t="s">
        <v>1997</v>
      </c>
      <c r="DE745" s="0" t="s">
        <v>216</v>
      </c>
      <c r="DF745" s="0" t="s">
        <v>216</v>
      </c>
      <c r="DG745" s="0" t="s">
        <v>216</v>
      </c>
      <c r="DH745" s="0" t="n">
        <v>0</v>
      </c>
      <c r="DI745" s="126" t="n">
        <v>1508.19</v>
      </c>
      <c r="DK745" s="0" t="n">
        <v>0</v>
      </c>
      <c r="DM745" s="0" t="n">
        <v>1</v>
      </c>
      <c r="DN745" s="0" t="n">
        <v>60</v>
      </c>
      <c r="DO745" s="0" t="n">
        <v>3</v>
      </c>
      <c r="DP745" s="0" t="n">
        <v>1</v>
      </c>
      <c r="DQ745" s="0" t="n">
        <v>0</v>
      </c>
      <c r="DR745" s="0"/>
      <c r="DS745" s="0" t="n">
        <v>1</v>
      </c>
      <c r="DU745" s="0" t="n">
        <v>1</v>
      </c>
      <c r="DW745" s="1" t="n">
        <v>40374</v>
      </c>
      <c r="DX745" s="1" t="n">
        <v>40665</v>
      </c>
      <c r="DZ745" s="0"/>
      <c r="EA745" s="0" t="n">
        <v>1</v>
      </c>
      <c r="EC745" s="1" t="n">
        <v>40374</v>
      </c>
      <c r="ED745" s="1" t="n">
        <v>40665</v>
      </c>
      <c r="EF745" s="0"/>
      <c r="EG745" s="0" t="n">
        <v>1</v>
      </c>
      <c r="EH745" s="0" t="n">
        <v>12</v>
      </c>
      <c r="EI745" s="0" t="n">
        <f aca="false">IF(AND(DM745=1,DN745&lt;=48),"",IF(AND(DM745=2,DN745&lt;=42),"",IF(AND(DM745=3,DN745&lt;=45),"",EH745)))</f>
        <v>12</v>
      </c>
      <c r="EJ745" s="0" t="n">
        <f aca="false">IF(EI745="","",IF(EI745&lt;9,EI745,9))</f>
        <v>9</v>
      </c>
      <c r="EK745" s="0" t="n">
        <f aca="false">IF(EI745="","",IF(EI745&gt;9,EI745-EJ745,0))</f>
        <v>3</v>
      </c>
      <c r="EL745" s="0" t="n">
        <f aca="false">IF(EI745="","",EJ745*DA745*2+EK745*DA745*3)</f>
        <v>5090.14125</v>
      </c>
      <c r="EP745" s="0" t="n">
        <v>0</v>
      </c>
      <c r="EQ745" s="0"/>
      <c r="ER745" s="0" t="n">
        <v>1</v>
      </c>
      <c r="ET745" s="0" t="n">
        <v>0</v>
      </c>
      <c r="EV745" s="0" t="n">
        <v>1</v>
      </c>
      <c r="EX745" s="0" t="n">
        <v>1</v>
      </c>
      <c r="EY745" s="0" t="n">
        <v>1</v>
      </c>
      <c r="EZ745" s="0"/>
      <c r="FA745" s="0"/>
      <c r="FB745" s="0" t="n">
        <v>1</v>
      </c>
      <c r="FC745" s="1" t="n">
        <v>41073</v>
      </c>
      <c r="FD745" s="0" t="n">
        <v>1</v>
      </c>
      <c r="FE745" s="0" t="n">
        <v>25000</v>
      </c>
      <c r="FF745" s="120" t="n">
        <f aca="false">(CJ745-CI745+1)/365</f>
        <v>0.8</v>
      </c>
      <c r="FG745" s="0" t="str">
        <f aca="false">CONCATENATE(F745,"/",G745)</f>
        <v>1128/2011</v>
      </c>
      <c r="FH745" s="0" t="n">
        <v>1</v>
      </c>
      <c r="FI745" s="0" t="n">
        <f aca="false">IFERROR(IF((FC745-J745+1)/365&gt;3,0,1),"")</f>
        <v>1</v>
      </c>
    </row>
    <row r="746" customFormat="false" ht="15" hidden="false" customHeight="false" outlineLevel="0" collapsed="false">
      <c r="A746" s="5" t="str">
        <f aca="false">E746&amp;G746&amp;F746</f>
        <v>720111129</v>
      </c>
      <c r="B746" s="0" t="s">
        <v>1884</v>
      </c>
      <c r="C746" s="1" t="n">
        <v>42370</v>
      </c>
      <c r="E746" s="0" t="n">
        <v>7</v>
      </c>
      <c r="F746" s="0" t="n">
        <v>1129</v>
      </c>
      <c r="G746" s="0" t="n">
        <v>2011</v>
      </c>
      <c r="H746" s="0" t="str">
        <f aca="false">"J"&amp;E746&amp;"\"&amp;F746&amp;"\"&amp;G746&amp;"\"&amp;W746</f>
        <v>J7\1129\2011\1</v>
      </c>
      <c r="I746" s="0"/>
      <c r="J746" s="1" t="n">
        <v>40724</v>
      </c>
      <c r="K746" s="0" t="n">
        <v>0</v>
      </c>
      <c r="M746" s="1"/>
      <c r="N746" s="1"/>
      <c r="O746" s="1"/>
      <c r="P746" s="1"/>
      <c r="Q746" s="1"/>
      <c r="T746" s="121"/>
      <c r="U746" s="121"/>
      <c r="V746" s="122" t="n">
        <f aca="false">IF(AND(E746&gt;0,F746&gt;0,G746&gt;0),COUNTIFS($E:$E,E746,$F:$F,F746,$G:$G,G746),"")</f>
        <v>1</v>
      </c>
      <c r="W746" s="122" t="n">
        <f aca="false">IF(V746="","",IF(V746=1,1,IF(AND(E745=E746,F745=F746,G745=G746),W745+1,1)))</f>
        <v>1</v>
      </c>
      <c r="X746" s="0" t="n">
        <v>1</v>
      </c>
      <c r="Y746" s="0" t="n">
        <v>1</v>
      </c>
      <c r="Z746" s="0" t="s">
        <v>6833</v>
      </c>
      <c r="AA746" s="0" t="n">
        <v>0</v>
      </c>
      <c r="AB746" s="0" t="s">
        <v>1947</v>
      </c>
      <c r="AD746" s="0" t="s">
        <v>1895</v>
      </c>
      <c r="AE746" s="0" t="n">
        <v>0</v>
      </c>
      <c r="AF746" s="0" t="s">
        <v>6834</v>
      </c>
      <c r="AG746" s="0" t="n">
        <v>0</v>
      </c>
      <c r="AH746" s="0" t="s">
        <v>6835</v>
      </c>
      <c r="AI746" s="0" t="s">
        <v>6798</v>
      </c>
      <c r="AJ746" s="0" t="s">
        <v>1903</v>
      </c>
      <c r="AL746" s="0" t="s">
        <v>2057</v>
      </c>
      <c r="AM746" s="0" t="n">
        <v>1</v>
      </c>
      <c r="AN746" s="0" t="s">
        <v>6835</v>
      </c>
      <c r="AO746" s="0" t="s">
        <v>6798</v>
      </c>
      <c r="AP746" s="0" t="s">
        <v>1903</v>
      </c>
      <c r="BR746" s="0" t="n">
        <v>1</v>
      </c>
      <c r="BS746" s="0" t="s">
        <v>6836</v>
      </c>
      <c r="BT746" s="0" t="s">
        <v>6837</v>
      </c>
      <c r="BU746" s="0" t="s">
        <v>6838</v>
      </c>
      <c r="BV746" s="123"/>
      <c r="BW746" s="123"/>
      <c r="BX746" s="123"/>
      <c r="BY746" s="123"/>
      <c r="CA746" s="0" t="s">
        <v>1895</v>
      </c>
      <c r="CD746" s="0" t="s">
        <v>1943</v>
      </c>
      <c r="CE746" s="0" t="n">
        <v>0</v>
      </c>
      <c r="CF746" s="0" t="s">
        <v>6839</v>
      </c>
      <c r="CI746" s="1" t="n">
        <v>39265</v>
      </c>
      <c r="CJ746" s="1" t="n">
        <v>40456</v>
      </c>
      <c r="CK746" s="124" t="s">
        <v>1899</v>
      </c>
      <c r="CL746" s="0" t="s">
        <v>1895</v>
      </c>
      <c r="CM746" s="0" t="n">
        <f aca="false">IF(OR(CI746="",CJ746=""),"",DAYS360(CI746,CJ746)/360)</f>
        <v>3.25833333333333</v>
      </c>
      <c r="CN746" s="0" t="n">
        <f aca="false">IF(OR(CI746="",CJ746=""),"",DAYS360(CI746,CJ746)/30)</f>
        <v>39.1</v>
      </c>
      <c r="CO746" s="0" t="n">
        <f aca="false">IF(OR(CI746="",CJ746=""),"",DAYS360(CI746,CJ746)/7)</f>
        <v>167.571428571429</v>
      </c>
      <c r="CP746" s="0" t="n">
        <f aca="false">IF(OR(CI746="",CJ746=""),"",DAYS360(CI746,CJ746))</f>
        <v>1173</v>
      </c>
      <c r="CQ746" s="0" t="s">
        <v>1761</v>
      </c>
      <c r="CR746" s="0" t="n">
        <v>1</v>
      </c>
      <c r="CT746" s="0" t="s">
        <v>221</v>
      </c>
      <c r="CU746" s="0" t="s">
        <v>221</v>
      </c>
      <c r="CV746" s="0" t="str">
        <f aca="false">IF(OR(CT746="",CT746="NO ESPECIFICA",CT746="NO MENCIONA"),"",IF(CU746=0,CT746,IF(CU746=1,CT746/30,IF(CU746=2,CT746/15,IF(CU746=3,CT746/7,"")))))</f>
        <v/>
      </c>
      <c r="CW746" s="125" t="n">
        <v>307.16</v>
      </c>
      <c r="CX746" s="0" t="n">
        <v>0</v>
      </c>
      <c r="CY746" s="0" t="n">
        <f aca="false">IF(CW746="","",IF(CX746=0,CW746,IF(CX746=1,CW746/30,IF(CX746=2,CW746/15,IF(CX746=3,CW746/7,CW746)))))</f>
        <v>307.16</v>
      </c>
      <c r="CZ746" s="0" t="n">
        <f aca="false">IF(DI746&gt;0,DI746,IF(CY746&gt;0,CY746,IF(CV746&gt;0,CV746,"")))</f>
        <v>307.16</v>
      </c>
      <c r="DA746" s="0" t="n">
        <f aca="false">IF(DM746=1,CZ746/8,IF(OR(DM746=2,DM746=4),CZ746/7,IF(DM746=3,CZ746/7.5,"")))</f>
        <v>38.395</v>
      </c>
      <c r="DB746" s="0" t="s">
        <v>216</v>
      </c>
      <c r="DC746" s="0" t="s">
        <v>216</v>
      </c>
      <c r="DD746" s="0" t="s">
        <v>216</v>
      </c>
      <c r="DE746" s="0" t="s">
        <v>216</v>
      </c>
      <c r="DF746" s="0" t="s">
        <v>216</v>
      </c>
      <c r="DG746" s="0" t="s">
        <v>216</v>
      </c>
      <c r="DH746" s="0" t="n">
        <v>0</v>
      </c>
      <c r="DI746" s="126" t="n">
        <v>307.16</v>
      </c>
      <c r="DK746" s="0" t="n">
        <v>0</v>
      </c>
      <c r="DM746" s="0" t="n">
        <v>1</v>
      </c>
      <c r="DN746" s="0" t="n">
        <v>45</v>
      </c>
      <c r="DO746" s="0" t="n">
        <v>3</v>
      </c>
      <c r="DP746" s="0" t="n">
        <v>0</v>
      </c>
      <c r="DQ746" s="0" t="n">
        <v>0</v>
      </c>
      <c r="DR746" s="0"/>
      <c r="DS746" s="0" t="n">
        <v>0</v>
      </c>
      <c r="DU746" s="0" t="n">
        <v>0</v>
      </c>
      <c r="DW746" s="1" t="n">
        <v>40361</v>
      </c>
      <c r="DX746" s="1" t="n">
        <v>40456</v>
      </c>
      <c r="DZ746" s="0" t="n">
        <v>6803</v>
      </c>
      <c r="EA746" s="0" t="n">
        <v>1</v>
      </c>
      <c r="EB746" s="0" t="n">
        <v>241</v>
      </c>
      <c r="EC746" s="1" t="n">
        <v>40179</v>
      </c>
      <c r="ED746" s="1" t="n">
        <v>40456</v>
      </c>
      <c r="EF746" s="0" t="n">
        <v>3507</v>
      </c>
      <c r="EG746" s="0" t="n">
        <v>0</v>
      </c>
      <c r="EI746" s="0" t="str">
        <f aca="false">IF(AND(DM746=1,DN746&lt;=48),"",IF(AND(DM746=2,DN746&lt;=42),"",IF(AND(DM746=3,DN746&lt;=45),"",EH746)))</f>
        <v/>
      </c>
      <c r="EJ746" s="0" t="str">
        <f aca="false">IF(EI746="","",IF(EI746&lt;9,EI746,9))</f>
        <v/>
      </c>
      <c r="EK746" s="0" t="str">
        <f aca="false">IF(EI746="","",IF(EI746&gt;9,EI746-EJ746,0))</f>
        <v/>
      </c>
      <c r="EL746" s="0" t="str">
        <f aca="false">IF(EI746="","",EJ746*DA746*2+EK746*DA746*3)</f>
        <v/>
      </c>
      <c r="EP746" s="0" t="n">
        <v>0</v>
      </c>
      <c r="EQ746" s="0"/>
      <c r="ER746" s="0" t="n">
        <v>0</v>
      </c>
      <c r="ET746" s="0" t="n">
        <v>0</v>
      </c>
      <c r="EV746" s="0" t="n">
        <v>0</v>
      </c>
      <c r="EX746" s="0" t="n">
        <v>0</v>
      </c>
      <c r="EY746" s="0" t="n">
        <v>0</v>
      </c>
      <c r="EZ746" s="0"/>
      <c r="FA746" s="4" t="n">
        <v>1535</v>
      </c>
      <c r="FB746" s="0" t="n">
        <v>0</v>
      </c>
      <c r="FC746" s="1" t="n">
        <v>41163</v>
      </c>
      <c r="FD746" s="0" t="n">
        <v>3</v>
      </c>
      <c r="FE746" s="0" t="n">
        <v>10978</v>
      </c>
      <c r="FF746" s="120" t="n">
        <f aca="false">(CJ746-CI746+1)/365</f>
        <v>3.26575342465753</v>
      </c>
      <c r="FG746" s="0" t="str">
        <f aca="false">CONCATENATE(F746,"/",G746)</f>
        <v>1129/2011</v>
      </c>
      <c r="FH746" s="0" t="n">
        <v>1</v>
      </c>
      <c r="FI746" s="0" t="n">
        <f aca="false">IFERROR(IF((FC746-J746+1)/365&gt;3,0,1),"")</f>
        <v>1</v>
      </c>
    </row>
    <row r="747" customFormat="false" ht="15" hidden="false" customHeight="false" outlineLevel="0" collapsed="false">
      <c r="A747" s="5" t="str">
        <f aca="false">E747&amp;G747&amp;F747</f>
        <v>720111131</v>
      </c>
      <c r="B747" s="0" t="s">
        <v>1884</v>
      </c>
      <c r="C747" s="1" t="n">
        <v>42370</v>
      </c>
      <c r="E747" s="0" t="n">
        <v>7</v>
      </c>
      <c r="F747" s="0" t="n">
        <v>1131</v>
      </c>
      <c r="G747" s="0" t="n">
        <v>2011</v>
      </c>
      <c r="H747" s="0" t="str">
        <f aca="false">"J"&amp;E747&amp;"\"&amp;F747&amp;"\"&amp;G747&amp;"\"&amp;W747</f>
        <v>J7\1131\2011\1</v>
      </c>
      <c r="I747" s="0"/>
      <c r="J747" s="1" t="n">
        <v>40724</v>
      </c>
      <c r="K747" s="0" t="n">
        <v>0</v>
      </c>
      <c r="M747" s="1"/>
      <c r="N747" s="1"/>
      <c r="O747" s="1"/>
      <c r="P747" s="1"/>
      <c r="Q747" s="1"/>
      <c r="T747" s="121"/>
      <c r="U747" s="121"/>
      <c r="V747" s="122" t="n">
        <f aca="false">IF(AND(E747&gt;0,F747&gt;0,G747&gt;0),COUNTIFS($E:$E,E747,$F:$F,F747,$G:$G,G747),"")</f>
        <v>1</v>
      </c>
      <c r="W747" s="122" t="n">
        <f aca="false">IF(V747="","",IF(V747=1,1,IF(AND(E746=E747,F746=F747,G746=G747),W746+1,1)))</f>
        <v>1</v>
      </c>
      <c r="X747" s="0" t="n">
        <v>1</v>
      </c>
      <c r="Y747" s="0" t="n">
        <v>5</v>
      </c>
      <c r="Z747" s="0" t="s">
        <v>6840</v>
      </c>
      <c r="AA747" s="0" t="n">
        <v>0</v>
      </c>
      <c r="AB747" s="0" t="s">
        <v>6841</v>
      </c>
      <c r="AC747" s="0" t="s">
        <v>6842</v>
      </c>
      <c r="AD747" s="0" t="s">
        <v>229</v>
      </c>
      <c r="AE747" s="0" t="n">
        <v>0</v>
      </c>
      <c r="AF747" s="0" t="s">
        <v>6843</v>
      </c>
      <c r="AG747" s="0" t="n">
        <v>0</v>
      </c>
      <c r="AH747" s="0" t="s">
        <v>6844</v>
      </c>
      <c r="AI747" s="0" t="s">
        <v>6845</v>
      </c>
      <c r="AJ747" s="0" t="s">
        <v>221</v>
      </c>
      <c r="AL747" s="0" t="s">
        <v>6846</v>
      </c>
      <c r="AM747" s="0" t="n">
        <v>1</v>
      </c>
      <c r="AN747" s="0" t="s">
        <v>6844</v>
      </c>
      <c r="AO747" s="0" t="s">
        <v>6845</v>
      </c>
      <c r="AP747" s="0" t="s">
        <v>1895</v>
      </c>
      <c r="AR747" s="0" t="s">
        <v>6847</v>
      </c>
      <c r="AS747" s="0" t="n">
        <v>1</v>
      </c>
      <c r="AT747" s="0" t="s">
        <v>6844</v>
      </c>
      <c r="AU747" s="0" t="s">
        <v>6845</v>
      </c>
      <c r="AV747" s="0" t="s">
        <v>1895</v>
      </c>
      <c r="AX747" s="0" t="s">
        <v>6848</v>
      </c>
      <c r="AY747" s="0" t="n">
        <v>1</v>
      </c>
      <c r="AZ747" s="0" t="s">
        <v>6844</v>
      </c>
      <c r="BA747" s="0" t="s">
        <v>6845</v>
      </c>
      <c r="BB747" s="0" t="s">
        <v>1895</v>
      </c>
      <c r="BD747" s="0" t="s">
        <v>6849</v>
      </c>
      <c r="BE747" s="0" t="n">
        <v>1</v>
      </c>
      <c r="BF747" s="0" t="s">
        <v>6844</v>
      </c>
      <c r="BG747" s="0" t="s">
        <v>6845</v>
      </c>
      <c r="BH747" s="0" t="s">
        <v>1895</v>
      </c>
      <c r="BR747" s="0" t="n">
        <v>1</v>
      </c>
      <c r="BS747" s="0" t="s">
        <v>6850</v>
      </c>
      <c r="BT747" s="0" t="s">
        <v>6851</v>
      </c>
      <c r="BU747" s="0" t="s">
        <v>6852</v>
      </c>
      <c r="BV747" s="123"/>
      <c r="BW747" s="123"/>
      <c r="BX747" s="123"/>
      <c r="BY747" s="123"/>
      <c r="CA747" s="0" t="s">
        <v>6048</v>
      </c>
      <c r="CD747" s="0" t="s">
        <v>1919</v>
      </c>
      <c r="CE747" s="0" t="n">
        <v>0</v>
      </c>
      <c r="CF747" s="0" t="s">
        <v>6853</v>
      </c>
      <c r="CI747" s="1" t="n">
        <v>40011</v>
      </c>
      <c r="CJ747" s="1" t="n">
        <v>40707</v>
      </c>
      <c r="CK747" s="124" t="n">
        <v>0.375</v>
      </c>
      <c r="CL747" s="0" t="s">
        <v>6847</v>
      </c>
      <c r="CM747" s="0" t="n">
        <f aca="false">IF(OR(CI747="",CJ747=""),"",DAYS360(CI747,CJ747)/360)</f>
        <v>1.90555555555556</v>
      </c>
      <c r="CN747" s="0" t="n">
        <f aca="false">IF(OR(CI747="",CJ747=""),"",DAYS360(CI747,CJ747)/30)</f>
        <v>22.8666666666667</v>
      </c>
      <c r="CO747" s="0" t="n">
        <f aca="false">IF(OR(CI747="",CJ747=""),"",DAYS360(CI747,CJ747)/7)</f>
        <v>98</v>
      </c>
      <c r="CP747" s="0" t="n">
        <f aca="false">IF(OR(CI747="",CJ747=""),"",DAYS360(CI747,CJ747))</f>
        <v>686</v>
      </c>
      <c r="CQ747" s="0" t="s">
        <v>2021</v>
      </c>
      <c r="CR747" s="0" t="n">
        <v>1</v>
      </c>
      <c r="CT747" s="0" t="n">
        <v>1000</v>
      </c>
      <c r="CU747" s="0" t="n">
        <v>1</v>
      </c>
      <c r="CV747" s="0" t="n">
        <f aca="false">IF(OR(CT747="",CT747="NO ESPECIFICA",CT747="NO MENCIONA"),"",IF(CU747=0,CT747,IF(CU747=1,CT747/30,IF(CU747=2,CT747/15,IF(CU747=3,CT747/7,"")))))</f>
        <v>33.3333333333333</v>
      </c>
      <c r="CW747" s="125" t="s">
        <v>1895</v>
      </c>
      <c r="CX747" s="0" t="s">
        <v>1895</v>
      </c>
      <c r="CY747" s="0" t="str">
        <f aca="false">IF(CW747="","",IF(CX747=0,CW747,IF(CX747=1,CW747/30,IF(CX747=2,CW747/15,IF(CX747=3,CW747/7,CW747)))))</f>
        <v>NO MENCIONA </v>
      </c>
      <c r="CZ747" s="0" t="n">
        <f aca="false">IF(DI747&gt;0,DI747,IF(CY747&gt;0,CY747,IF(CV747&gt;0,CV747,"")))</f>
        <v>285.714285714286</v>
      </c>
      <c r="DA747" s="0" t="n">
        <f aca="false">IF(DM747=1,CZ747/8,IF(OR(DM747=2,DM747=4),CZ747/7,IF(DM747=3,CZ747/7.5,"")))</f>
        <v>35.7142857142857</v>
      </c>
      <c r="DB747" s="0" t="s">
        <v>6854</v>
      </c>
      <c r="DC747" s="0" t="s">
        <v>216</v>
      </c>
      <c r="DD747" s="0" t="s">
        <v>216</v>
      </c>
      <c r="DE747" s="0" t="s">
        <v>216</v>
      </c>
      <c r="DF747" s="0" t="s">
        <v>216</v>
      </c>
      <c r="DG747" s="0" t="s">
        <v>216</v>
      </c>
      <c r="DH747" s="0" t="n">
        <v>0</v>
      </c>
      <c r="DI747" s="126" t="n">
        <v>285.714285714286</v>
      </c>
      <c r="DK747" s="0" t="n">
        <v>0</v>
      </c>
      <c r="DM747" s="0" t="n">
        <v>1</v>
      </c>
      <c r="DN747" s="0" t="n">
        <v>51</v>
      </c>
      <c r="DO747" s="0" t="n">
        <v>3</v>
      </c>
      <c r="DP747" s="0" t="n">
        <v>1</v>
      </c>
      <c r="DQ747" s="0" t="n">
        <v>1</v>
      </c>
      <c r="DR747" s="0"/>
      <c r="DS747" s="0" t="n">
        <v>1</v>
      </c>
      <c r="DU747" s="0" t="n">
        <v>1</v>
      </c>
      <c r="DW747" s="1" t="n">
        <v>40011</v>
      </c>
      <c r="DX747" s="1" t="n">
        <v>40727</v>
      </c>
      <c r="DZ747" s="0"/>
      <c r="EA747" s="0" t="n">
        <v>1</v>
      </c>
      <c r="EC747" s="1" t="n">
        <v>40011</v>
      </c>
      <c r="ED747" s="1" t="n">
        <v>40727</v>
      </c>
      <c r="EF747" s="0"/>
      <c r="EG747" s="0" t="n">
        <v>1</v>
      </c>
      <c r="EH747" s="0" t="n">
        <v>12</v>
      </c>
      <c r="EI747" s="0" t="n">
        <f aca="false">IF(AND(DM747=1,DN747&lt;=48),"",IF(AND(DM747=2,DN747&lt;=42),"",IF(AND(DM747=3,DN747&lt;=45),"",EH747)))</f>
        <v>12</v>
      </c>
      <c r="EJ747" s="0" t="n">
        <f aca="false">IF(EI747="","",IF(EI747&lt;9,EI747,9))</f>
        <v>9</v>
      </c>
      <c r="EK747" s="0" t="n">
        <f aca="false">IF(EI747="","",IF(EI747&gt;9,EI747-EJ747,0))</f>
        <v>3</v>
      </c>
      <c r="EL747" s="0" t="n">
        <f aca="false">IF(EI747="","",EJ747*DA747*2+EK747*DA747*3)</f>
        <v>964.285714285714</v>
      </c>
      <c r="EP747" s="0" t="n">
        <v>1</v>
      </c>
      <c r="EQ747" s="0"/>
      <c r="ER747" s="0" t="n">
        <v>0</v>
      </c>
      <c r="ET747" s="0" t="n">
        <v>0</v>
      </c>
      <c r="EV747" s="0" t="n">
        <v>0</v>
      </c>
      <c r="EX747" s="0" t="n">
        <v>1</v>
      </c>
      <c r="EY747" s="0" t="n">
        <v>1</v>
      </c>
      <c r="EZ747" s="0"/>
      <c r="FA747" s="4" t="n">
        <v>6000</v>
      </c>
      <c r="FB747" s="0" t="n">
        <v>1</v>
      </c>
      <c r="FC747" s="1" t="n">
        <v>40912</v>
      </c>
      <c r="FD747" s="0" t="n">
        <v>1</v>
      </c>
      <c r="FE747" s="0" t="n">
        <v>12000</v>
      </c>
      <c r="FF747" s="120" t="n">
        <f aca="false">(CJ747-CI747+1)/365</f>
        <v>1.90958904109589</v>
      </c>
      <c r="FG747" s="0" t="str">
        <f aca="false">CONCATENATE(F747,"/",G747)</f>
        <v>1131/2011</v>
      </c>
      <c r="FH747" s="0" t="n">
        <v>1</v>
      </c>
      <c r="FI747" s="0" t="n">
        <f aca="false">IFERROR(IF((FC747-J747+1)/365&gt;3,0,1),"")</f>
        <v>1</v>
      </c>
    </row>
    <row r="748" customFormat="false" ht="15" hidden="false" customHeight="false" outlineLevel="0" collapsed="false">
      <c r="A748" s="5" t="str">
        <f aca="false">E748&amp;G748&amp;F748</f>
        <v>720111134</v>
      </c>
      <c r="B748" s="0" t="s">
        <v>1884</v>
      </c>
      <c r="C748" s="1" t="n">
        <v>42370</v>
      </c>
      <c r="E748" s="0" t="n">
        <v>7</v>
      </c>
      <c r="F748" s="0" t="n">
        <v>1134</v>
      </c>
      <c r="G748" s="0" t="n">
        <v>2011</v>
      </c>
      <c r="H748" s="0" t="str">
        <f aca="false">"J"&amp;E748&amp;"\"&amp;F748&amp;"\"&amp;G748&amp;"\"&amp;W748</f>
        <v>J7\1134\2011\1</v>
      </c>
      <c r="I748" s="0"/>
      <c r="J748" s="1" t="n">
        <v>40695</v>
      </c>
      <c r="K748" s="0" t="n">
        <v>0</v>
      </c>
      <c r="M748" s="1"/>
      <c r="N748" s="1"/>
      <c r="O748" s="1"/>
      <c r="P748" s="1"/>
      <c r="Q748" s="1"/>
      <c r="T748" s="121"/>
      <c r="U748" s="121"/>
      <c r="V748" s="122" t="n">
        <f aca="false">IF(AND(E748&gt;0,F748&gt;0,G748&gt;0),COUNTIFS($E:$E,E748,$F:$F,F748,$G:$G,G748),"")</f>
        <v>1</v>
      </c>
      <c r="W748" s="122" t="n">
        <f aca="false">IF(V748="","",IF(V748=1,1,IF(AND(E747=E748,F747=F748,G747=G748),W747+1,1)))</f>
        <v>1</v>
      </c>
      <c r="X748" s="0" t="n">
        <v>1</v>
      </c>
      <c r="Y748" s="0" t="n">
        <v>2</v>
      </c>
      <c r="Z748" s="0" t="s">
        <v>6855</v>
      </c>
      <c r="AA748" s="0" t="n">
        <v>0</v>
      </c>
      <c r="AB748" s="0" t="s">
        <v>6856</v>
      </c>
      <c r="AC748" s="0" t="s">
        <v>1611</v>
      </c>
      <c r="AD748" s="0" t="s">
        <v>229</v>
      </c>
      <c r="AE748" s="0" t="n">
        <v>0</v>
      </c>
      <c r="AF748" s="0" t="s">
        <v>6857</v>
      </c>
      <c r="AG748" s="0" t="n">
        <v>0</v>
      </c>
      <c r="AH748" s="0" t="s">
        <v>6858</v>
      </c>
      <c r="AI748" s="0" t="s">
        <v>2017</v>
      </c>
      <c r="AJ748" s="0" t="s">
        <v>221</v>
      </c>
      <c r="AL748" s="0" t="s">
        <v>6859</v>
      </c>
      <c r="AM748" s="0" t="n">
        <v>1</v>
      </c>
      <c r="AN748" s="0" t="s">
        <v>6858</v>
      </c>
      <c r="AO748" s="0" t="s">
        <v>2017</v>
      </c>
      <c r="AP748" s="0" t="s">
        <v>1895</v>
      </c>
      <c r="BR748" s="0" t="n">
        <v>1</v>
      </c>
      <c r="BS748" s="0" t="s">
        <v>6860</v>
      </c>
      <c r="BT748" s="0" t="s">
        <v>6861</v>
      </c>
      <c r="BU748" s="0" t="s">
        <v>6862</v>
      </c>
      <c r="BV748" s="123"/>
      <c r="BW748" s="123"/>
      <c r="BX748" s="123"/>
      <c r="BY748" s="123"/>
      <c r="CA748" s="0" t="s">
        <v>6863</v>
      </c>
      <c r="CD748" s="0" t="s">
        <v>6039</v>
      </c>
      <c r="CE748" s="0" t="n">
        <v>0</v>
      </c>
      <c r="CF748" s="0" t="s">
        <v>6864</v>
      </c>
      <c r="CI748" s="1" t="n">
        <v>40336</v>
      </c>
      <c r="CJ748" s="1" t="n">
        <v>40716</v>
      </c>
      <c r="CK748" s="124" t="n">
        <v>0.427083333333333</v>
      </c>
      <c r="CL748" s="0" t="s">
        <v>6865</v>
      </c>
      <c r="CM748" s="0" t="n">
        <f aca="false">IF(OR(CI748="",CJ748=""),"",DAYS360(CI748,CJ748)/360)</f>
        <v>1.04166666666667</v>
      </c>
      <c r="CN748" s="0" t="n">
        <f aca="false">IF(OR(CI748="",CJ748=""),"",DAYS360(CI748,CJ748)/30)</f>
        <v>12.5</v>
      </c>
      <c r="CO748" s="0" t="n">
        <f aca="false">IF(OR(CI748="",CJ748=""),"",DAYS360(CI748,CJ748)/7)</f>
        <v>53.5714285714286</v>
      </c>
      <c r="CP748" s="0" t="n">
        <f aca="false">IF(OR(CI748="",CJ748=""),"",DAYS360(CI748,CJ748))</f>
        <v>375</v>
      </c>
      <c r="CQ748" s="0" t="s">
        <v>240</v>
      </c>
      <c r="CR748" s="0" t="n">
        <v>1</v>
      </c>
      <c r="CT748" s="0" t="s">
        <v>221</v>
      </c>
      <c r="CU748" s="0" t="s">
        <v>221</v>
      </c>
      <c r="CV748" s="0" t="str">
        <f aca="false">IF(OR(CT748="",CT748="NO ESPECIFICA",CT748="NO MENCIONA"),"",IF(CU748=0,CT748,IF(CU748=1,CT748/30,IF(CU748=2,CT748/15,IF(CU748=3,CT748/7,"")))))</f>
        <v/>
      </c>
      <c r="CW748" s="125" t="n">
        <v>1250</v>
      </c>
      <c r="CX748" s="0" t="n">
        <v>2</v>
      </c>
      <c r="CY748" s="0" t="n">
        <f aca="false">IF(CW748="","",IF(CX748=0,CW748,IF(CX748=1,CW748/30,IF(CX748=2,CW748/15,IF(CX748=3,CW748/7,CW748)))))</f>
        <v>83.3333333333333</v>
      </c>
      <c r="CZ748" s="0" t="n">
        <f aca="false">IF(DI748&gt;0,DI748,IF(CY748&gt;0,CY748,IF(CV748&gt;0,CV748,"")))</f>
        <v>83.33</v>
      </c>
      <c r="DA748" s="0" t="n">
        <f aca="false">IF(DM748=1,CZ748/8,IF(OR(DM748=2,DM748=4),CZ748/7,IF(DM748=3,CZ748/7.5,"")))</f>
        <v>11.1106666666667</v>
      </c>
      <c r="DB748" s="0" t="s">
        <v>216</v>
      </c>
      <c r="DC748" s="0" t="s">
        <v>216</v>
      </c>
      <c r="DD748" s="0" t="s">
        <v>216</v>
      </c>
      <c r="DE748" s="0" t="s">
        <v>216</v>
      </c>
      <c r="DF748" s="0" t="s">
        <v>216</v>
      </c>
      <c r="DG748" s="0" t="s">
        <v>216</v>
      </c>
      <c r="DH748" s="0" t="n">
        <v>0</v>
      </c>
      <c r="DI748" s="126" t="n">
        <v>83.33</v>
      </c>
      <c r="DK748" s="0" t="n">
        <v>1</v>
      </c>
      <c r="DM748" s="0" t="n">
        <v>3</v>
      </c>
      <c r="DN748" s="0" t="n">
        <v>24</v>
      </c>
      <c r="DO748" s="0" t="n">
        <v>3</v>
      </c>
      <c r="DP748" s="0" t="n">
        <v>0</v>
      </c>
      <c r="DQ748" s="0" t="n">
        <v>1</v>
      </c>
      <c r="DR748" s="0"/>
      <c r="DS748" s="0" t="n">
        <v>1</v>
      </c>
      <c r="DU748" s="0" t="n">
        <v>1</v>
      </c>
      <c r="DW748" s="1" t="n">
        <v>40701</v>
      </c>
      <c r="DX748" s="1" t="n">
        <v>40716</v>
      </c>
      <c r="DZ748" s="0"/>
      <c r="EA748" s="0" t="n">
        <v>0</v>
      </c>
      <c r="EC748" s="1" t="n">
        <v>40544</v>
      </c>
      <c r="ED748" s="1" t="n">
        <v>40716</v>
      </c>
      <c r="EF748" s="0"/>
      <c r="EG748" s="0" t="n">
        <v>0</v>
      </c>
      <c r="EI748" s="0" t="str">
        <f aca="false">IF(AND(DM748=1,DN748&lt;=48),"",IF(AND(DM748=2,DN748&lt;=42),"",IF(AND(DM748=3,DN748&lt;=45),"",EH748)))</f>
        <v/>
      </c>
      <c r="EJ748" s="0" t="str">
        <f aca="false">IF(EI748="","",IF(EI748&lt;9,EI748,9))</f>
        <v/>
      </c>
      <c r="EK748" s="0" t="str">
        <f aca="false">IF(EI748="","",IF(EI748&gt;9,EI748-EJ748,0))</f>
        <v/>
      </c>
      <c r="EL748" s="0" t="str">
        <f aca="false">IF(EI748="","",EJ748*DA748*2+EK748*DA748*3)</f>
        <v/>
      </c>
      <c r="EP748" s="0" t="n">
        <v>1</v>
      </c>
      <c r="EQ748" s="0"/>
      <c r="ER748" s="0" t="n">
        <v>0</v>
      </c>
      <c r="ET748" s="0" t="n">
        <v>0</v>
      </c>
      <c r="EV748" s="0" t="n">
        <v>0</v>
      </c>
      <c r="EX748" s="0" t="n">
        <v>0</v>
      </c>
      <c r="EY748" s="0" t="n">
        <v>1</v>
      </c>
      <c r="EZ748" s="0"/>
      <c r="FA748" s="0"/>
      <c r="FB748" s="0" t="n">
        <v>1</v>
      </c>
      <c r="FC748" s="1" t="n">
        <v>41148</v>
      </c>
      <c r="FD748" s="0" t="n">
        <v>1</v>
      </c>
      <c r="FE748" s="0" t="n">
        <v>6000</v>
      </c>
      <c r="FF748" s="120" t="n">
        <f aca="false">(CJ748-CI748+1)/365</f>
        <v>1.04383561643836</v>
      </c>
      <c r="FG748" s="0" t="str">
        <f aca="false">CONCATENATE(F748,"/",G748)</f>
        <v>1134/2011</v>
      </c>
      <c r="FH748" s="0" t="n">
        <v>1</v>
      </c>
      <c r="FI748" s="0" t="n">
        <f aca="false">IFERROR(IF((FC748-J748+1)/365&gt;3,0,1),"")</f>
        <v>1</v>
      </c>
    </row>
    <row r="749" customFormat="false" ht="15" hidden="false" customHeight="false" outlineLevel="0" collapsed="false">
      <c r="A749" s="5" t="str">
        <f aca="false">E749&amp;G749&amp;F749</f>
        <v>720111136</v>
      </c>
      <c r="B749" s="0" t="s">
        <v>1884</v>
      </c>
      <c r="C749" s="1" t="n">
        <v>42371</v>
      </c>
      <c r="E749" s="0" t="n">
        <v>7</v>
      </c>
      <c r="F749" s="0" t="n">
        <v>1136</v>
      </c>
      <c r="G749" s="0" t="n">
        <v>2011</v>
      </c>
      <c r="H749" s="0" t="str">
        <f aca="false">"J"&amp;E749&amp;"\"&amp;F749&amp;"\"&amp;G749&amp;"\"&amp;W749</f>
        <v>J7\1136\2011\1</v>
      </c>
      <c r="I749" s="0"/>
      <c r="J749" s="1" t="n">
        <v>40695</v>
      </c>
      <c r="K749" s="0" t="n">
        <v>0</v>
      </c>
      <c r="M749" s="1"/>
      <c r="N749" s="1"/>
      <c r="O749" s="1"/>
      <c r="P749" s="1"/>
      <c r="Q749" s="1"/>
      <c r="T749" s="121"/>
      <c r="U749" s="121"/>
      <c r="V749" s="122" t="n">
        <f aca="false">IF(AND(E749&gt;0,F749&gt;0,G749&gt;0),COUNTIFS($E:$E,E749,$F:$F,F749,$G:$G,G749),"")</f>
        <v>1</v>
      </c>
      <c r="W749" s="122" t="n">
        <f aca="false">IF(V749="","",IF(V749=1,1,IF(AND(E748=E749,F748=F749,G748=G749),W748+1,1)))</f>
        <v>1</v>
      </c>
      <c r="X749" s="0" t="n">
        <v>1</v>
      </c>
      <c r="Y749" s="0" t="n">
        <v>2</v>
      </c>
      <c r="Z749" s="0" t="s">
        <v>6866</v>
      </c>
      <c r="AA749" s="0" t="n">
        <v>0</v>
      </c>
      <c r="AB749" s="0" t="s">
        <v>6867</v>
      </c>
      <c r="AC749" s="0" t="s">
        <v>2460</v>
      </c>
      <c r="AD749" s="0" t="s">
        <v>229</v>
      </c>
      <c r="AE749" s="0" t="n">
        <v>0</v>
      </c>
      <c r="AF749" s="0" t="s">
        <v>6868</v>
      </c>
      <c r="AG749" s="0" t="n">
        <v>0</v>
      </c>
      <c r="AH749" s="0" t="s">
        <v>6869</v>
      </c>
      <c r="AI749" s="0" t="s">
        <v>1939</v>
      </c>
      <c r="AJ749" s="0" t="s">
        <v>1888</v>
      </c>
      <c r="AL749" s="0" t="s">
        <v>6870</v>
      </c>
      <c r="AM749" s="0" t="n">
        <v>1</v>
      </c>
      <c r="AN749" s="0" t="s">
        <v>6869</v>
      </c>
      <c r="AO749" s="0" t="s">
        <v>1939</v>
      </c>
      <c r="AP749" s="0" t="s">
        <v>1888</v>
      </c>
      <c r="BR749" s="0" t="n">
        <v>1</v>
      </c>
      <c r="BS749" s="0" t="s">
        <v>6871</v>
      </c>
      <c r="BT749" s="0" t="s">
        <v>6872</v>
      </c>
      <c r="BU749" s="0" t="s">
        <v>6873</v>
      </c>
      <c r="BV749" s="123"/>
      <c r="BW749" s="123"/>
      <c r="BX749" s="123"/>
      <c r="BY749" s="123"/>
      <c r="CA749" s="0" t="s">
        <v>1895</v>
      </c>
      <c r="CD749" s="0" t="s">
        <v>1943</v>
      </c>
      <c r="CE749" s="0" t="n">
        <v>0</v>
      </c>
      <c r="CF749" s="0" t="s">
        <v>1581</v>
      </c>
      <c r="CI749" s="1" t="n">
        <v>39839</v>
      </c>
      <c r="CJ749" s="1" t="n">
        <v>40666</v>
      </c>
      <c r="CK749" s="124" t="n">
        <v>0.729166666666667</v>
      </c>
      <c r="CL749" s="0" t="s">
        <v>6874</v>
      </c>
      <c r="CM749" s="0" t="n">
        <f aca="false">IF(OR(CI749="",CJ749=""),"",DAYS360(CI749,CJ749)/360)</f>
        <v>2.26944444444444</v>
      </c>
      <c r="CN749" s="0" t="n">
        <f aca="false">IF(OR(CI749="",CJ749=""),"",DAYS360(CI749,CJ749)/30)</f>
        <v>27.2333333333333</v>
      </c>
      <c r="CO749" s="0" t="n">
        <f aca="false">IF(OR(CI749="",CJ749=""),"",DAYS360(CI749,CJ749)/7)</f>
        <v>116.714285714286</v>
      </c>
      <c r="CP749" s="0" t="n">
        <f aca="false">IF(OR(CI749="",CJ749=""),"",DAYS360(CI749,CJ749))</f>
        <v>817</v>
      </c>
      <c r="CQ749" s="0" t="s">
        <v>240</v>
      </c>
      <c r="CR749" s="0" t="n">
        <v>1</v>
      </c>
      <c r="CT749" s="0" t="n">
        <v>245</v>
      </c>
      <c r="CU749" s="0" t="n">
        <v>0</v>
      </c>
      <c r="CV749" s="0" t="n">
        <f aca="false">IF(OR(CT749="",CT749="NO ESPECIFICA",CT749="NO MENCIONA"),"",IF(CU749=0,CT749,IF(CU749=1,CT749/30,IF(CU749=2,CT749/15,IF(CU749=3,CT749/7,"")))))</f>
        <v>245</v>
      </c>
      <c r="CW749" s="125" t="s">
        <v>1895</v>
      </c>
      <c r="CX749" s="0" t="s">
        <v>1895</v>
      </c>
      <c r="CY749" s="0" t="str">
        <f aca="false">IF(CW749="","",IF(CX749=0,CW749,IF(CX749=1,CW749/30,IF(CX749=2,CW749/15,IF(CX749=3,CW749/7,CW749)))))</f>
        <v>NO MENCIONA </v>
      </c>
      <c r="CZ749" s="0" t="n">
        <f aca="false">IF(DI749&gt;0,DI749,IF(CY749&gt;0,CY749,IF(CV749&gt;0,CV749,"")))</f>
        <v>247.45</v>
      </c>
      <c r="DA749" s="0" t="n">
        <f aca="false">IF(DM749=1,CZ749/8,IF(OR(DM749=2,DM749=4),CZ749/7,IF(DM749=3,CZ749/7.5,"")))</f>
        <v>32.9933333333333</v>
      </c>
      <c r="DB749" s="0" t="s">
        <v>6875</v>
      </c>
      <c r="DC749" s="0" t="s">
        <v>216</v>
      </c>
      <c r="DD749" s="0" t="s">
        <v>216</v>
      </c>
      <c r="DE749" s="0" t="s">
        <v>216</v>
      </c>
      <c r="DF749" s="0" t="s">
        <v>216</v>
      </c>
      <c r="DG749" s="0" t="s">
        <v>216</v>
      </c>
      <c r="DH749" s="0" t="n">
        <v>0</v>
      </c>
      <c r="DI749" s="126" t="n">
        <v>247.45</v>
      </c>
      <c r="DK749" s="0" t="n">
        <v>0</v>
      </c>
      <c r="DM749" s="0" t="n">
        <v>3</v>
      </c>
      <c r="DN749" s="0" t="n">
        <v>63</v>
      </c>
      <c r="DO749" s="0" t="n">
        <v>3</v>
      </c>
      <c r="DP749" s="0" t="n">
        <v>0</v>
      </c>
      <c r="DQ749" s="0" t="n">
        <v>1</v>
      </c>
      <c r="DR749" s="0"/>
      <c r="DS749" s="0" t="n">
        <v>1</v>
      </c>
      <c r="DU749" s="0" t="n">
        <v>1</v>
      </c>
      <c r="DW749" s="1" t="n">
        <v>40569</v>
      </c>
      <c r="DX749" s="1" t="n">
        <v>40666</v>
      </c>
      <c r="DZ749" s="0"/>
      <c r="EA749" s="0" t="n">
        <v>1</v>
      </c>
      <c r="EC749" s="1" t="n">
        <v>40544</v>
      </c>
      <c r="ED749" s="1" t="n">
        <v>40666</v>
      </c>
      <c r="EF749" s="0"/>
      <c r="EG749" s="0" t="n">
        <v>1</v>
      </c>
      <c r="EH749" s="0" t="s">
        <v>1899</v>
      </c>
      <c r="EI749" s="0" t="str">
        <f aca="false">IF(AND(DM749=1,DN749&lt;=48),"",IF(AND(DM749=2,DN749&lt;=42),"",IF(AND(DM749=3,DN749&lt;=45),"",EH749)))</f>
        <v>NO ESPECIFICA </v>
      </c>
      <c r="EJ749" s="0" t="n">
        <f aca="false">IF(EI749="","",IF(EI749&lt;9,EI749,9))</f>
        <v>9</v>
      </c>
      <c r="EK749" s="0" t="e">
        <f aca="false">IF(EI749="","",IF(EI749&gt;9,EI749-EJ749,0))</f>
        <v>#VALUE!</v>
      </c>
      <c r="EL749" s="0" t="e">
        <f aca="false">IF(EI749="","",EJ749*DA749*2+EK749*DA749*3)</f>
        <v>#VALUE!</v>
      </c>
      <c r="EP749" s="0" t="n">
        <v>0</v>
      </c>
      <c r="EQ749" s="0"/>
      <c r="ER749" s="0" t="n">
        <v>0</v>
      </c>
      <c r="ET749" s="0" t="n">
        <v>0</v>
      </c>
      <c r="EV749" s="0" t="n">
        <v>1</v>
      </c>
      <c r="EX749" s="0" t="n">
        <v>0</v>
      </c>
      <c r="EY749" s="0" t="n">
        <v>0</v>
      </c>
      <c r="EZ749" s="0"/>
      <c r="FA749" s="0"/>
      <c r="FB749" s="0" t="n">
        <v>1</v>
      </c>
      <c r="FC749" s="1" t="n">
        <v>40974</v>
      </c>
      <c r="FD749" s="0" t="n">
        <v>1</v>
      </c>
      <c r="FE749" s="0" t="n">
        <v>21000</v>
      </c>
      <c r="FF749" s="120" t="n">
        <f aca="false">(CJ749-CI749+1)/365</f>
        <v>2.26849315068493</v>
      </c>
      <c r="FG749" s="0" t="str">
        <f aca="false">CONCATENATE(F749,"/",G749)</f>
        <v>1136/2011</v>
      </c>
      <c r="FH749" s="0" t="n">
        <v>1</v>
      </c>
      <c r="FI749" s="0" t="n">
        <f aca="false">IFERROR(IF((FC749-J749+1)/365&gt;3,0,1),"")</f>
        <v>1</v>
      </c>
    </row>
    <row r="750" customFormat="false" ht="15" hidden="false" customHeight="false" outlineLevel="0" collapsed="false">
      <c r="A750" s="5" t="str">
        <f aca="false">E750&amp;G750&amp;F750</f>
        <v>720111137</v>
      </c>
      <c r="B750" s="0" t="s">
        <v>1884</v>
      </c>
      <c r="C750" s="1" t="n">
        <v>42371</v>
      </c>
      <c r="E750" s="0" t="n">
        <v>7</v>
      </c>
      <c r="F750" s="0" t="n">
        <v>1137</v>
      </c>
      <c r="G750" s="0" t="n">
        <v>2011</v>
      </c>
      <c r="H750" s="0" t="str">
        <f aca="false">"J"&amp;E750&amp;"\"&amp;F750&amp;"\"&amp;G750&amp;"\"&amp;W750</f>
        <v>J7\1137\2011\1</v>
      </c>
      <c r="I750" s="0"/>
      <c r="J750" s="1" t="n">
        <v>40695</v>
      </c>
      <c r="K750" s="0" t="n">
        <v>0</v>
      </c>
      <c r="M750" s="1"/>
      <c r="N750" s="1"/>
      <c r="O750" s="1"/>
      <c r="P750" s="1"/>
      <c r="Q750" s="1"/>
      <c r="T750" s="121"/>
      <c r="U750" s="121"/>
      <c r="V750" s="122" t="n">
        <f aca="false">IF(AND(E750&gt;0,F750&gt;0,G750&gt;0),COUNTIFS($E:$E,E750,$F:$F,F750,$G:$G,G750),"")</f>
        <v>1</v>
      </c>
      <c r="W750" s="122" t="n">
        <f aca="false">IF(V750="","",IF(V750=1,1,IF(AND(E749=E750,F749=F750,G749=G750),W749+1,1)))</f>
        <v>1</v>
      </c>
      <c r="X750" s="0" t="n">
        <v>1</v>
      </c>
      <c r="Y750" s="0" t="n">
        <v>6</v>
      </c>
      <c r="Z750" s="0" t="s">
        <v>6876</v>
      </c>
      <c r="AA750" s="0" t="n">
        <v>0</v>
      </c>
      <c r="AB750" s="0" t="s">
        <v>6877</v>
      </c>
      <c r="AC750" s="0" t="s">
        <v>2460</v>
      </c>
      <c r="AD750" s="0" t="s">
        <v>229</v>
      </c>
      <c r="AE750" s="0" t="n">
        <v>0</v>
      </c>
      <c r="AF750" s="0" t="s">
        <v>6878</v>
      </c>
      <c r="AG750" s="0" t="n">
        <v>0</v>
      </c>
      <c r="AH750" s="0" t="s">
        <v>6879</v>
      </c>
      <c r="AI750" s="0" t="s">
        <v>6880</v>
      </c>
      <c r="AJ750" s="0" t="s">
        <v>1888</v>
      </c>
      <c r="AL750" s="0" t="s">
        <v>6881</v>
      </c>
      <c r="AM750" s="0" t="n">
        <v>1</v>
      </c>
      <c r="AN750" s="0" t="s">
        <v>6879</v>
      </c>
      <c r="AO750" s="0" t="s">
        <v>6880</v>
      </c>
      <c r="AP750" s="0" t="s">
        <v>1888</v>
      </c>
      <c r="AR750" s="0" t="s">
        <v>6882</v>
      </c>
      <c r="AS750" s="0" t="n">
        <v>1</v>
      </c>
      <c r="AT750" s="0" t="s">
        <v>6879</v>
      </c>
      <c r="AU750" s="0" t="s">
        <v>6880</v>
      </c>
      <c r="AV750" s="0" t="s">
        <v>1888</v>
      </c>
      <c r="AX750" s="0" t="s">
        <v>6883</v>
      </c>
      <c r="AY750" s="0" t="n">
        <v>1</v>
      </c>
      <c r="AZ750" s="0" t="s">
        <v>6879</v>
      </c>
      <c r="BA750" s="0" t="s">
        <v>6880</v>
      </c>
      <c r="BB750" s="0" t="s">
        <v>1888</v>
      </c>
      <c r="BD750" s="0" t="s">
        <v>3891</v>
      </c>
      <c r="BE750" s="0" t="n">
        <v>0</v>
      </c>
      <c r="BF750" s="0" t="s">
        <v>6815</v>
      </c>
      <c r="BG750" s="0" t="s">
        <v>2108</v>
      </c>
      <c r="BH750" s="0" t="s">
        <v>1972</v>
      </c>
      <c r="BJ750" s="0" t="s">
        <v>2109</v>
      </c>
      <c r="BK750" s="0" t="n">
        <v>0</v>
      </c>
      <c r="BL750" s="0" t="s">
        <v>977</v>
      </c>
      <c r="BM750" s="0" t="s">
        <v>6884</v>
      </c>
      <c r="BN750" s="0" t="s">
        <v>2112</v>
      </c>
      <c r="BR750" s="0" t="n">
        <v>1</v>
      </c>
      <c r="BS750" s="0" t="s">
        <v>1095</v>
      </c>
      <c r="BT750" s="0" t="s">
        <v>6885</v>
      </c>
      <c r="BU750" s="0" t="s">
        <v>6886</v>
      </c>
      <c r="BV750" s="123"/>
      <c r="BW750" s="123"/>
      <c r="BX750" s="123"/>
      <c r="BY750" s="123"/>
      <c r="CA750" s="0" t="s">
        <v>1895</v>
      </c>
      <c r="CD750" s="0" t="s">
        <v>370</v>
      </c>
      <c r="CE750" s="0" t="n">
        <v>0</v>
      </c>
      <c r="CF750" s="0" t="s">
        <v>968</v>
      </c>
      <c r="CI750" s="1" t="n">
        <v>35436</v>
      </c>
      <c r="CJ750" s="1" t="n">
        <v>40712</v>
      </c>
      <c r="CK750" s="124" t="n">
        <v>0.375</v>
      </c>
      <c r="CL750" s="0" t="s">
        <v>6887</v>
      </c>
      <c r="CM750" s="0" t="n">
        <f aca="false">IF(OR(CI750="",CJ750=""),"",DAYS360(CI750,CJ750)/360)</f>
        <v>14.45</v>
      </c>
      <c r="CN750" s="0" t="n">
        <f aca="false">IF(OR(CI750="",CJ750=""),"",DAYS360(CI750,CJ750)/30)</f>
        <v>173.4</v>
      </c>
      <c r="CO750" s="0" t="n">
        <f aca="false">IF(OR(CI750="",CJ750=""),"",DAYS360(CI750,CJ750)/7)</f>
        <v>743.142857142857</v>
      </c>
      <c r="CP750" s="0" t="n">
        <f aca="false">IF(OR(CI750="",CJ750=""),"",DAYS360(CI750,CJ750))</f>
        <v>5202</v>
      </c>
      <c r="CQ750" s="0" t="s">
        <v>2021</v>
      </c>
      <c r="CR750" s="0" t="n">
        <v>1</v>
      </c>
      <c r="CT750" s="0" t="s">
        <v>221</v>
      </c>
      <c r="CU750" s="0" t="s">
        <v>221</v>
      </c>
      <c r="CV750" s="0" t="str">
        <f aca="false">IF(OR(CT750="",CT750="NO ESPECIFICA",CT750="NO MENCIONA"),"",IF(CU750=0,CT750,IF(CU750=1,CT750/30,IF(CU750=2,CT750/15,IF(CU750=3,CT750/7,"")))))</f>
        <v/>
      </c>
      <c r="CW750" s="125" t="n">
        <v>1000</v>
      </c>
      <c r="CX750" s="0" t="n">
        <v>0</v>
      </c>
      <c r="CY750" s="0" t="n">
        <f aca="false">IF(CW750="","",IF(CX750=0,CW750,IF(CX750=1,CW750/30,IF(CX750=2,CW750/15,IF(CX750=3,CW750/7,CW750)))))</f>
        <v>1000</v>
      </c>
      <c r="CZ750" s="0" t="n">
        <f aca="false">IF(DI750&gt;0,DI750,IF(CY750&gt;0,CY750,IF(CV750&gt;0,CV750,"")))</f>
        <v>1000</v>
      </c>
      <c r="DA750" s="0" t="n">
        <f aca="false">IF(DM750=1,CZ750/8,IF(OR(DM750=2,DM750=4),CZ750/7,IF(DM750=3,CZ750/7.5,"")))</f>
        <v>125</v>
      </c>
      <c r="DB750" s="0" t="s">
        <v>216</v>
      </c>
      <c r="DC750" s="0" t="s">
        <v>216</v>
      </c>
      <c r="DD750" s="0" t="s">
        <v>216</v>
      </c>
      <c r="DE750" s="0" t="s">
        <v>216</v>
      </c>
      <c r="DF750" s="0" t="s">
        <v>216</v>
      </c>
      <c r="DG750" s="0" t="s">
        <v>216</v>
      </c>
      <c r="DH750" s="0" t="n">
        <v>0</v>
      </c>
      <c r="DI750" s="126" t="n">
        <v>1000</v>
      </c>
      <c r="DK750" s="0" t="n">
        <v>0</v>
      </c>
      <c r="DM750" s="0" t="n">
        <v>1</v>
      </c>
      <c r="DN750" s="0" t="n">
        <v>60</v>
      </c>
      <c r="DO750" s="0" t="n">
        <v>3</v>
      </c>
      <c r="DP750" s="0" t="n">
        <v>1</v>
      </c>
      <c r="DQ750" s="0" t="n">
        <v>1</v>
      </c>
      <c r="DR750" s="0"/>
      <c r="DS750" s="0" t="n">
        <v>1</v>
      </c>
      <c r="DU750" s="0" t="n">
        <v>1</v>
      </c>
      <c r="DW750" s="1" t="n">
        <v>32879</v>
      </c>
      <c r="DX750" s="1" t="n">
        <v>40712</v>
      </c>
      <c r="DZ750" s="0"/>
      <c r="EA750" s="0" t="n">
        <v>1</v>
      </c>
      <c r="EC750" s="1" t="n">
        <v>32879</v>
      </c>
      <c r="ED750" s="1" t="n">
        <v>40712</v>
      </c>
      <c r="EF750" s="0"/>
      <c r="EG750" s="0" t="n">
        <v>1</v>
      </c>
      <c r="EH750" s="0" t="n">
        <v>12</v>
      </c>
      <c r="EI750" s="0" t="n">
        <f aca="false">IF(AND(DM750=1,DN750&lt;=48),"",IF(AND(DM750=2,DN750&lt;=42),"",IF(AND(DM750=3,DN750&lt;=45),"",EH750)))</f>
        <v>12</v>
      </c>
      <c r="EJ750" s="0" t="n">
        <f aca="false">IF(EI750="","",IF(EI750&lt;9,EI750,9))</f>
        <v>9</v>
      </c>
      <c r="EK750" s="0" t="n">
        <f aca="false">IF(EI750="","",IF(EI750&gt;9,EI750-EJ750,0))</f>
        <v>3</v>
      </c>
      <c r="EL750" s="0" t="n">
        <f aca="false">IF(EI750="","",EJ750*DA750*2+EK750*DA750*3)</f>
        <v>3375</v>
      </c>
      <c r="EP750" s="0" t="n">
        <v>1</v>
      </c>
      <c r="EQ750" s="0"/>
      <c r="ER750" s="0" t="n">
        <v>0</v>
      </c>
      <c r="ET750" s="0" t="n">
        <v>0</v>
      </c>
      <c r="EV750" s="0" t="n">
        <v>1</v>
      </c>
      <c r="EX750" s="0" t="n">
        <v>1</v>
      </c>
      <c r="EY750" s="0" t="n">
        <v>1</v>
      </c>
      <c r="EZ750" s="0"/>
      <c r="FA750" s="0"/>
      <c r="FB750" s="0" t="n">
        <v>1</v>
      </c>
      <c r="FC750" s="1" t="n">
        <v>41509</v>
      </c>
      <c r="FD750" s="0" t="n">
        <v>1</v>
      </c>
      <c r="FE750" s="0" t="n">
        <v>25000</v>
      </c>
      <c r="FF750" s="120" t="n">
        <f aca="false">(CJ750-CI750+1)/365</f>
        <v>14.4575342465753</v>
      </c>
      <c r="FG750" s="0" t="str">
        <f aca="false">CONCATENATE(F750,"/",G750)</f>
        <v>1137/2011</v>
      </c>
      <c r="FH750" s="0" t="n">
        <v>1</v>
      </c>
      <c r="FI750" s="0" t="n">
        <f aca="false">IFERROR(IF((FC750-J750+1)/365&gt;3,0,1),"")</f>
        <v>1</v>
      </c>
    </row>
    <row r="751" customFormat="false" ht="15" hidden="false" customHeight="false" outlineLevel="0" collapsed="false">
      <c r="A751" s="5" t="str">
        <f aca="false">E751&amp;G751&amp;F751</f>
        <v>720111140</v>
      </c>
      <c r="B751" s="0" t="s">
        <v>1884</v>
      </c>
      <c r="C751" s="1" t="n">
        <v>42372</v>
      </c>
      <c r="E751" s="0" t="n">
        <v>7</v>
      </c>
      <c r="F751" s="0" t="n">
        <v>1140</v>
      </c>
      <c r="G751" s="0" t="n">
        <v>2011</v>
      </c>
      <c r="H751" s="0" t="str">
        <f aca="false">"J"&amp;E751&amp;"\"&amp;F751&amp;"\"&amp;G751&amp;"\"&amp;W751</f>
        <v>J7\1140\2011\1</v>
      </c>
      <c r="I751" s="0"/>
      <c r="J751" s="1" t="n">
        <v>40695</v>
      </c>
      <c r="K751" s="0" t="n">
        <v>0</v>
      </c>
      <c r="M751" s="1"/>
      <c r="N751" s="1"/>
      <c r="O751" s="1"/>
      <c r="P751" s="1"/>
      <c r="Q751" s="1"/>
      <c r="T751" s="121"/>
      <c r="U751" s="121"/>
      <c r="V751" s="122" t="n">
        <f aca="false">IF(AND(E751&gt;0,F751&gt;0,G751&gt;0),COUNTIFS($E:$E,E751,$F:$F,F751,$G:$G,G751),"")</f>
        <v>1</v>
      </c>
      <c r="W751" s="122" t="n">
        <f aca="false">IF(V751="","",IF(V751=1,1,IF(AND(E750=E751,F750=F751,G750=G751),W750+1,1)))</f>
        <v>1</v>
      </c>
      <c r="X751" s="0" t="n">
        <v>1</v>
      </c>
      <c r="Y751" s="0" t="n">
        <v>9</v>
      </c>
      <c r="Z751" s="0" t="s">
        <v>6888</v>
      </c>
      <c r="AA751" s="0" t="n">
        <v>0</v>
      </c>
      <c r="AB751" s="0" t="s">
        <v>6889</v>
      </c>
      <c r="AC751" s="0" t="s">
        <v>6890</v>
      </c>
      <c r="AD751" s="0" t="s">
        <v>207</v>
      </c>
      <c r="AE751" s="0" t="n">
        <v>0</v>
      </c>
      <c r="AF751" s="0" t="s">
        <v>6750</v>
      </c>
      <c r="AG751" s="0" t="n">
        <v>0</v>
      </c>
      <c r="AH751" s="0" t="s">
        <v>6891</v>
      </c>
      <c r="AI751" s="0" t="s">
        <v>6892</v>
      </c>
      <c r="AJ751" s="0" t="s">
        <v>590</v>
      </c>
      <c r="AL751" s="0" t="s">
        <v>6893</v>
      </c>
      <c r="AM751" s="0" t="n">
        <v>0</v>
      </c>
      <c r="AN751" s="0" t="s">
        <v>6891</v>
      </c>
      <c r="AO751" s="0" t="s">
        <v>6892</v>
      </c>
      <c r="AP751" s="0" t="s">
        <v>590</v>
      </c>
      <c r="AR751" s="0" t="s">
        <v>6894</v>
      </c>
      <c r="AS751" s="0" t="n">
        <v>0</v>
      </c>
      <c r="AT751" s="0" t="s">
        <v>2399</v>
      </c>
      <c r="AU751" s="0" t="s">
        <v>6895</v>
      </c>
      <c r="AV751" s="0" t="s">
        <v>1903</v>
      </c>
      <c r="AX751" s="0" t="s">
        <v>6896</v>
      </c>
      <c r="AY751" s="0" t="n">
        <v>0</v>
      </c>
      <c r="AZ751" s="0" t="s">
        <v>2399</v>
      </c>
      <c r="BA751" s="0" t="s">
        <v>6895</v>
      </c>
      <c r="BB751" s="0" t="s">
        <v>1903</v>
      </c>
      <c r="BD751" s="0" t="s">
        <v>6897</v>
      </c>
      <c r="BE751" s="0" t="n">
        <v>0</v>
      </c>
      <c r="BF751" s="0" t="s">
        <v>2399</v>
      </c>
      <c r="BG751" s="0" t="s">
        <v>6895</v>
      </c>
      <c r="BH751" s="0" t="s">
        <v>1903</v>
      </c>
      <c r="BJ751" s="0" t="s">
        <v>6756</v>
      </c>
      <c r="BK751" s="0" t="n">
        <v>1</v>
      </c>
      <c r="BL751" s="0" t="s">
        <v>6891</v>
      </c>
      <c r="BM751" s="0" t="s">
        <v>6892</v>
      </c>
      <c r="BN751" s="0" t="s">
        <v>590</v>
      </c>
      <c r="BR751" s="0" t="n">
        <v>1</v>
      </c>
      <c r="BS751" s="0" t="s">
        <v>6898</v>
      </c>
      <c r="BT751" s="0" t="s">
        <v>6899</v>
      </c>
      <c r="BU751" s="0" t="s">
        <v>6900</v>
      </c>
      <c r="BV751" s="123"/>
      <c r="BW751" s="123"/>
      <c r="BX751" s="123"/>
      <c r="BY751" s="123"/>
      <c r="CA751" s="0" t="s">
        <v>1895</v>
      </c>
      <c r="CD751" s="0" t="s">
        <v>5680</v>
      </c>
      <c r="CE751" s="0" t="n">
        <v>0</v>
      </c>
      <c r="CF751" s="0" t="s">
        <v>1348</v>
      </c>
      <c r="CI751" s="1" t="n">
        <v>39632</v>
      </c>
      <c r="CJ751" s="1" t="n">
        <v>40665</v>
      </c>
      <c r="CK751" s="124" t="n">
        <v>0.583333333333333</v>
      </c>
      <c r="CL751" s="0" t="s">
        <v>6901</v>
      </c>
      <c r="CM751" s="0" t="n">
        <f aca="false">IF(OR(CI751="",CJ751=""),"",DAYS360(CI751,CJ751)/360)</f>
        <v>2.83055555555556</v>
      </c>
      <c r="CN751" s="0" t="n">
        <f aca="false">IF(OR(CI751="",CJ751=""),"",DAYS360(CI751,CJ751)/30)</f>
        <v>33.9666666666667</v>
      </c>
      <c r="CO751" s="0" t="n">
        <f aca="false">IF(OR(CI751="",CJ751=""),"",DAYS360(CI751,CJ751)/7)</f>
        <v>145.571428571429</v>
      </c>
      <c r="CP751" s="0" t="n">
        <f aca="false">IF(OR(CI751="",CJ751=""),"",DAYS360(CI751,CJ751))</f>
        <v>1019</v>
      </c>
      <c r="CQ751" s="0" t="s">
        <v>2021</v>
      </c>
      <c r="CR751" s="0" t="n">
        <v>1</v>
      </c>
      <c r="CT751" s="0" t="n">
        <v>300</v>
      </c>
      <c r="CU751" s="0" t="n">
        <v>0</v>
      </c>
      <c r="CV751" s="0" t="n">
        <f aca="false">IF(OR(CT751="",CT751="NO ESPECIFICA",CT751="NO MENCIONA"),"",IF(CU751=0,CT751,IF(CU751=1,CT751/30,IF(CU751=2,CT751/15,IF(CU751=3,CT751/7,"")))))</f>
        <v>300</v>
      </c>
      <c r="CW751" s="125" t="n">
        <v>669.82</v>
      </c>
      <c r="CY751" s="0" t="n">
        <f aca="false">IF(CW751="","",IF(CX751=0,CW751,IF(CX751=1,CW751/30,IF(CX751=2,CW751/15,IF(CX751=3,CW751/7,CW751)))))</f>
        <v>669.82</v>
      </c>
      <c r="CZ751" s="0" t="n">
        <f aca="false">IF(DI751&gt;0,DI751,IF(CY751&gt;0,CY751,IF(CV751&gt;0,CV751,"")))</f>
        <v>669.82</v>
      </c>
      <c r="DA751" s="0" t="n">
        <f aca="false">IF(DM751=1,CZ751/8,IF(OR(DM751=2,DM751=4),CZ751/7,IF(DM751=3,CZ751/7.5,"")))</f>
        <v>83.7275</v>
      </c>
      <c r="DB751" s="0" t="s">
        <v>2436</v>
      </c>
      <c r="DC751" s="0" t="s">
        <v>6902</v>
      </c>
      <c r="DD751" s="0" t="s">
        <v>1945</v>
      </c>
      <c r="DE751" s="0" t="s">
        <v>1935</v>
      </c>
      <c r="DF751" s="0" t="s">
        <v>6903</v>
      </c>
      <c r="DG751" s="0" t="s">
        <v>216</v>
      </c>
      <c r="DH751" s="0" t="n">
        <v>0</v>
      </c>
      <c r="DI751" s="126" t="n">
        <v>669.82</v>
      </c>
      <c r="DK751" s="0" t="n">
        <v>1</v>
      </c>
      <c r="DM751" s="0" t="n">
        <v>1</v>
      </c>
      <c r="DN751" s="0" t="n">
        <v>72</v>
      </c>
      <c r="DO751" s="0" t="n">
        <v>3</v>
      </c>
      <c r="DP751" s="0" t="n">
        <v>1</v>
      </c>
      <c r="DQ751" s="0" t="n">
        <v>1</v>
      </c>
      <c r="DR751" s="0"/>
      <c r="DS751" s="0" t="n">
        <v>1</v>
      </c>
      <c r="DU751" s="0" t="n">
        <v>1</v>
      </c>
      <c r="DW751" s="1" t="n">
        <v>39632</v>
      </c>
      <c r="DX751" s="1" t="n">
        <v>40665</v>
      </c>
      <c r="DZ751" s="0"/>
      <c r="EA751" s="0" t="n">
        <v>1</v>
      </c>
      <c r="EC751" s="1" t="n">
        <v>39632</v>
      </c>
      <c r="ED751" s="1" t="n">
        <v>40665</v>
      </c>
      <c r="EF751" s="0"/>
      <c r="EG751" s="0" t="n">
        <v>1</v>
      </c>
      <c r="EH751" s="0" t="n">
        <v>24</v>
      </c>
      <c r="EI751" s="0" t="n">
        <f aca="false">IF(AND(DM751=1,DN751&lt;=48),"",IF(AND(DM751=2,DN751&lt;=42),"",IF(AND(DM751=3,DN751&lt;=45),"",EH751)))</f>
        <v>24</v>
      </c>
      <c r="EJ751" s="0" t="n">
        <f aca="false">IF(EI751="","",IF(EI751&lt;9,EI751,9))</f>
        <v>9</v>
      </c>
      <c r="EK751" s="0" t="n">
        <f aca="false">IF(EI751="","",IF(EI751&gt;9,EI751-EJ751,0))</f>
        <v>15</v>
      </c>
      <c r="EL751" s="0" t="n">
        <f aca="false">IF(EI751="","",EJ751*DA751*2+EK751*DA751*3)</f>
        <v>5274.8325</v>
      </c>
      <c r="EP751" s="0" t="n">
        <v>1</v>
      </c>
      <c r="EQ751" s="0"/>
      <c r="ER751" s="0" t="n">
        <v>0</v>
      </c>
      <c r="ET751" s="0" t="n">
        <v>0</v>
      </c>
      <c r="EV751" s="0" t="n">
        <v>0</v>
      </c>
      <c r="EX751" s="0" t="n">
        <v>0</v>
      </c>
      <c r="EY751" s="0" t="n">
        <v>1</v>
      </c>
      <c r="EZ751" s="4" t="n">
        <v>20000</v>
      </c>
      <c r="FA751" s="4" t="n">
        <v>12000</v>
      </c>
      <c r="FB751" s="0" t="n">
        <v>0</v>
      </c>
      <c r="FC751" s="1" t="n">
        <v>40914</v>
      </c>
      <c r="FD751" s="0" t="n">
        <v>1</v>
      </c>
      <c r="FE751" s="0" t="n">
        <v>17500</v>
      </c>
      <c r="FF751" s="120" t="n">
        <f aca="false">(CJ751-CI751+1)/365</f>
        <v>2.83287671232877</v>
      </c>
      <c r="FG751" s="0" t="str">
        <f aca="false">CONCATENATE(F751,"/",G751)</f>
        <v>1140/2011</v>
      </c>
      <c r="FH751" s="0" t="n">
        <v>1</v>
      </c>
      <c r="FI751" s="0" t="n">
        <f aca="false">IFERROR(IF((FC751-J751+1)/365&gt;3,0,1),"")</f>
        <v>1</v>
      </c>
    </row>
    <row r="752" customFormat="false" ht="15" hidden="false" customHeight="false" outlineLevel="0" collapsed="false">
      <c r="A752" s="5" t="str">
        <f aca="false">E752&amp;G752&amp;F752</f>
        <v>7201114</v>
      </c>
      <c r="B752" s="0" t="s">
        <v>203</v>
      </c>
      <c r="C752" s="1" t="n">
        <v>42348</v>
      </c>
      <c r="E752" s="0" t="n">
        <v>7</v>
      </c>
      <c r="F752" s="0" t="n">
        <v>14</v>
      </c>
      <c r="G752" s="0" t="n">
        <v>2011</v>
      </c>
      <c r="H752" s="0" t="str">
        <f aca="false">"J"&amp;E752&amp;"\"&amp;F752&amp;"\"&amp;G752&amp;"\"&amp;W752</f>
        <v>J7\14\2011\1</v>
      </c>
      <c r="I752" s="0"/>
      <c r="J752" s="1" t="n">
        <v>40546</v>
      </c>
      <c r="K752" s="0" t="n">
        <v>0</v>
      </c>
      <c r="M752" s="1" t="n">
        <v>40546</v>
      </c>
      <c r="N752" s="1" t="n">
        <v>40598</v>
      </c>
      <c r="O752" s="1"/>
      <c r="P752" s="1"/>
      <c r="Q752" s="1"/>
      <c r="T752" s="121"/>
      <c r="U752" s="121"/>
      <c r="V752" s="122" t="n">
        <f aca="false">IF(AND(E752&gt;0,F752&gt;0,G752&gt;0),COUNTIFS($E:$E,E752,$F:$F,F752,$G:$G,G752),"")</f>
        <v>1</v>
      </c>
      <c r="W752" s="122" t="n">
        <f aca="false">IF(V752="","",IF(V752=1,1,IF(AND(E751=E752,F751=F752,G751=G752),W751+1,1)))</f>
        <v>1</v>
      </c>
      <c r="X752" s="0" t="n">
        <v>1</v>
      </c>
      <c r="Y752" s="0" t="n">
        <v>2</v>
      </c>
      <c r="Z752" s="0" t="s">
        <v>6904</v>
      </c>
      <c r="AA752" s="0" t="n">
        <v>0</v>
      </c>
      <c r="AB752" s="0" t="s">
        <v>2375</v>
      </c>
      <c r="AC752" s="0" t="s">
        <v>318</v>
      </c>
      <c r="AD752" s="0" t="s">
        <v>229</v>
      </c>
      <c r="AE752" s="0" t="n">
        <v>0</v>
      </c>
      <c r="AF752" s="0" t="s">
        <v>6905</v>
      </c>
      <c r="AG752" s="0" t="n">
        <v>1</v>
      </c>
      <c r="AH752" s="0" t="s">
        <v>6906</v>
      </c>
      <c r="AI752" s="0" t="s">
        <v>6907</v>
      </c>
      <c r="AJ752" s="0" t="s">
        <v>755</v>
      </c>
      <c r="AL752" s="0" t="s">
        <v>213</v>
      </c>
      <c r="AM752" s="0" t="n">
        <v>1</v>
      </c>
      <c r="AN752" s="0" t="s">
        <v>6906</v>
      </c>
      <c r="AO752" s="0" t="s">
        <v>6907</v>
      </c>
      <c r="AP752" s="0" t="s">
        <v>755</v>
      </c>
      <c r="BR752" s="0" t="n">
        <v>1</v>
      </c>
      <c r="BS752" s="0" t="s">
        <v>2381</v>
      </c>
      <c r="BT752" s="0" t="s">
        <v>3802</v>
      </c>
      <c r="BU752" s="0" t="s">
        <v>2383</v>
      </c>
      <c r="BV752" s="123"/>
      <c r="BW752" s="123"/>
      <c r="BX752" s="123"/>
      <c r="BY752" s="123"/>
      <c r="CA752" s="0" t="s">
        <v>6908</v>
      </c>
      <c r="CD752" s="0" t="s">
        <v>502</v>
      </c>
      <c r="CE752" s="0" t="n">
        <v>0</v>
      </c>
      <c r="CF752" s="0" t="s">
        <v>503</v>
      </c>
      <c r="CG752" s="0" t="s">
        <v>218</v>
      </c>
      <c r="CI752" s="1" t="n">
        <v>36770</v>
      </c>
      <c r="CJ752" s="1" t="n">
        <v>40481</v>
      </c>
      <c r="CK752" s="124" t="n">
        <v>0.583333333333333</v>
      </c>
      <c r="CL752" s="0" t="s">
        <v>6909</v>
      </c>
      <c r="CM752" s="0" t="n">
        <f aca="false">IF(OR(CI752="",CJ752=""),"",DAYS360(CI752,CJ752)/360)</f>
        <v>10.1638888888889</v>
      </c>
      <c r="CN752" s="0" t="n">
        <f aca="false">IF(OR(CI752="",CJ752=""),"",DAYS360(CI752,CJ752)/30)</f>
        <v>121.966666666667</v>
      </c>
      <c r="CO752" s="0" t="n">
        <f aca="false">IF(OR(CI752="",CJ752=""),"",DAYS360(CI752,CJ752)/7)</f>
        <v>522.714285714286</v>
      </c>
      <c r="CP752" s="0" t="n">
        <f aca="false">IF(OR(CI752="",CJ752=""),"",DAYS360(CI752,CJ752))</f>
        <v>3659</v>
      </c>
      <c r="CQ752" s="0" t="s">
        <v>240</v>
      </c>
      <c r="CR752" s="0" t="n">
        <v>1</v>
      </c>
      <c r="CT752" s="0" t="n">
        <v>220</v>
      </c>
      <c r="CU752" s="0" t="n">
        <v>0</v>
      </c>
      <c r="CV752" s="0" t="n">
        <f aca="false">IF(OR(CT752="",CT752="NO ESPECIFICA",CT752="NO MENCIONA"),"",IF(CU752=0,CT752,IF(CU752=1,CT752/30,IF(CU752=2,CT752/15,IF(CU752=3,CT752/7,"")))))</f>
        <v>220</v>
      </c>
      <c r="CW752" s="125" t="s">
        <v>216</v>
      </c>
      <c r="CY752" s="0" t="str">
        <f aca="false">IF(CW752="","",IF(CX752=0,CW752,IF(CX752=1,CW752/30,IF(CX752=2,CW752/15,IF(CX752=3,CW752/7,CW752)))))</f>
        <v>NO MENCIONA</v>
      </c>
      <c r="CZ752" s="0" t="n">
        <f aca="false">IF(DI752&gt;0,DI752,IF(CY752&gt;0,CY752,IF(CV752&gt;0,CV752,"")))</f>
        <v>220</v>
      </c>
      <c r="DA752" s="0" t="n">
        <f aca="false">IF(DM752=1,CZ752/8,IF(OR(DM752=2,DM752=4),CZ752/7,IF(DM752=3,CZ752/7.5,"")))</f>
        <v>29.3333333333333</v>
      </c>
      <c r="DB752" s="0" t="s">
        <v>216</v>
      </c>
      <c r="DC752" s="0" t="s">
        <v>216</v>
      </c>
      <c r="DD752" s="0" t="s">
        <v>216</v>
      </c>
      <c r="DE752" s="0" t="s">
        <v>216</v>
      </c>
      <c r="DF752" s="0" t="s">
        <v>216</v>
      </c>
      <c r="DG752" s="0" t="s">
        <v>216</v>
      </c>
      <c r="DH752" s="0" t="n">
        <v>0</v>
      </c>
      <c r="DI752" s="126" t="n">
        <v>220</v>
      </c>
      <c r="DK752" s="0" t="n">
        <v>0</v>
      </c>
      <c r="DM752" s="0" t="n">
        <v>3</v>
      </c>
      <c r="DN752" s="0" t="n">
        <v>54</v>
      </c>
      <c r="DO752" s="0" t="n">
        <v>3</v>
      </c>
      <c r="DP752" s="0" t="n">
        <v>0</v>
      </c>
      <c r="DQ752" s="0" t="n">
        <v>1</v>
      </c>
      <c r="DR752" s="0"/>
      <c r="DS752" s="0" t="n">
        <v>1</v>
      </c>
      <c r="DU752" s="0" t="n">
        <v>1</v>
      </c>
      <c r="DW752" s="1" t="n">
        <v>36770</v>
      </c>
      <c r="DX752" s="1" t="n">
        <v>40481</v>
      </c>
      <c r="DZ752" s="0"/>
      <c r="EA752" s="0" t="n">
        <v>1</v>
      </c>
      <c r="EC752" s="1" t="n">
        <v>36770</v>
      </c>
      <c r="ED752" s="1" t="n">
        <v>40481</v>
      </c>
      <c r="EF752" s="0"/>
      <c r="EG752" s="0" t="n">
        <v>0</v>
      </c>
      <c r="EI752" s="0" t="n">
        <f aca="false">IF(AND(DM752=1,DN752&lt;=48),"",IF(AND(DM752=2,DN752&lt;=42),"",IF(AND(DM752=3,DN752&lt;=45),"",EH752)))</f>
        <v>0</v>
      </c>
      <c r="EJ752" s="0" t="str">
        <f aca="false">IF(EI752="","",IF(EI752&lt;9,EI752,9))</f>
        <v/>
      </c>
      <c r="EK752" s="0" t="str">
        <f aca="false">IF(EI752="","",IF(EI752&gt;9,EI752-EJ752,0))</f>
        <v/>
      </c>
      <c r="EL752" s="0" t="str">
        <f aca="false">IF(EI752="","",EJ752*DA752*2+EK752*DA752*3)</f>
        <v/>
      </c>
      <c r="EP752" s="0" t="n">
        <v>0</v>
      </c>
      <c r="EQ752" s="0"/>
      <c r="ER752" s="0" t="n">
        <v>0</v>
      </c>
      <c r="ET752" s="0" t="n">
        <v>0</v>
      </c>
      <c r="EV752" s="0" t="n">
        <v>0</v>
      </c>
      <c r="EX752" s="0" t="n">
        <v>1</v>
      </c>
      <c r="EY752" s="0" t="n">
        <v>0</v>
      </c>
      <c r="EZ752" s="0"/>
      <c r="FA752" s="4" t="n">
        <v>0</v>
      </c>
      <c r="FB752" s="0" t="n">
        <v>0</v>
      </c>
      <c r="FC752" s="1" t="n">
        <v>40617</v>
      </c>
      <c r="FD752" s="0" t="n">
        <v>1</v>
      </c>
      <c r="FE752" s="0" t="n">
        <v>35000</v>
      </c>
      <c r="FF752" s="120" t="n">
        <f aca="false">(CJ752-CI752+1)/365</f>
        <v>10.1698630136986</v>
      </c>
      <c r="FG752" s="0" t="str">
        <f aca="false">CONCATENATE(F752,"/",G752)</f>
        <v>14/2011</v>
      </c>
      <c r="FH752" s="0" t="n">
        <v>1</v>
      </c>
      <c r="FI752" s="0" t="n">
        <f aca="false">IFERROR(IF((FC752-J752+1)/365&gt;3,0,1),"")</f>
        <v>1</v>
      </c>
    </row>
    <row r="753" customFormat="false" ht="15" hidden="false" customHeight="false" outlineLevel="0" collapsed="false">
      <c r="A753" s="5" t="str">
        <f aca="false">E753&amp;G753&amp;F753</f>
        <v>7201121</v>
      </c>
      <c r="B753" s="0" t="s">
        <v>203</v>
      </c>
      <c r="C753" s="1" t="n">
        <v>42348</v>
      </c>
      <c r="E753" s="0" t="n">
        <v>7</v>
      </c>
      <c r="F753" s="0" t="n">
        <v>21</v>
      </c>
      <c r="G753" s="0" t="n">
        <v>2011</v>
      </c>
      <c r="H753" s="0" t="str">
        <f aca="false">"J"&amp;E753&amp;"\"&amp;F753&amp;"\"&amp;G753&amp;"\"&amp;W753</f>
        <v>J7\21\2011\1</v>
      </c>
      <c r="I753" s="0"/>
      <c r="J753" s="1" t="n">
        <v>40547</v>
      </c>
      <c r="K753" s="0" t="n">
        <v>0</v>
      </c>
      <c r="M753" s="1" t="n">
        <v>40547</v>
      </c>
      <c r="N753" s="1" t="n">
        <v>40599</v>
      </c>
      <c r="O753" s="1"/>
      <c r="P753" s="1"/>
      <c r="Q753" s="1"/>
      <c r="T753" s="121"/>
      <c r="U753" s="121"/>
      <c r="V753" s="122" t="n">
        <f aca="false">IF(AND(E753&gt;0,F753&gt;0,G753&gt;0),COUNTIFS($E:$E,E753,$F:$F,F753,$G:$G,G753),"")</f>
        <v>1</v>
      </c>
      <c r="W753" s="122" t="n">
        <f aca="false">IF(V753="","",IF(V753=1,1,IF(AND(E752=E753,F752=F753,G752=G753),W752+1,1)))</f>
        <v>1</v>
      </c>
      <c r="X753" s="0" t="n">
        <v>1</v>
      </c>
      <c r="Y753" s="0" t="n">
        <v>5</v>
      </c>
      <c r="Z753" s="0" t="s">
        <v>6910</v>
      </c>
      <c r="AA753" s="0" t="n">
        <v>0</v>
      </c>
      <c r="AB753" s="0" t="s">
        <v>6911</v>
      </c>
      <c r="AC753" s="0" t="s">
        <v>318</v>
      </c>
      <c r="AD753" s="0" t="s">
        <v>229</v>
      </c>
      <c r="AE753" s="0" t="n">
        <v>0</v>
      </c>
      <c r="AF753" s="0" t="s">
        <v>6912</v>
      </c>
      <c r="AG753" s="0" t="n">
        <v>0</v>
      </c>
      <c r="AH753" s="0" t="s">
        <v>6913</v>
      </c>
      <c r="AI753" s="0" t="s">
        <v>655</v>
      </c>
      <c r="AJ753" s="0" t="s">
        <v>211</v>
      </c>
      <c r="AL753" s="0" t="s">
        <v>6914</v>
      </c>
      <c r="AM753" s="0" t="n">
        <v>1</v>
      </c>
      <c r="AN753" s="0" t="s">
        <v>6913</v>
      </c>
      <c r="AO753" s="0" t="s">
        <v>655</v>
      </c>
      <c r="AP753" s="0" t="s">
        <v>211</v>
      </c>
      <c r="AR753" s="0" t="s">
        <v>6915</v>
      </c>
      <c r="AS753" s="0" t="n">
        <v>1</v>
      </c>
      <c r="AT753" s="0" t="s">
        <v>6913</v>
      </c>
      <c r="AU753" s="0" t="s">
        <v>655</v>
      </c>
      <c r="AV753" s="0" t="s">
        <v>211</v>
      </c>
      <c r="AX753" s="0" t="s">
        <v>6916</v>
      </c>
      <c r="AY753" s="0" t="n">
        <v>1</v>
      </c>
      <c r="AZ753" s="0" t="s">
        <v>6913</v>
      </c>
      <c r="BA753" s="0" t="s">
        <v>655</v>
      </c>
      <c r="BB753" s="0" t="s">
        <v>211</v>
      </c>
      <c r="BD753" s="0" t="s">
        <v>213</v>
      </c>
      <c r="BE753" s="0" t="n">
        <v>1</v>
      </c>
      <c r="BF753" s="0" t="s">
        <v>6913</v>
      </c>
      <c r="BG753" s="0" t="s">
        <v>655</v>
      </c>
      <c r="BH753" s="0" t="s">
        <v>211</v>
      </c>
      <c r="BR753" s="0" t="n">
        <v>1</v>
      </c>
      <c r="BS753" s="0" t="s">
        <v>6917</v>
      </c>
      <c r="BT753" s="0" t="s">
        <v>6918</v>
      </c>
      <c r="BU753" s="0" t="s">
        <v>6919</v>
      </c>
      <c r="BV753" s="123"/>
      <c r="BW753" s="123"/>
      <c r="BX753" s="123"/>
      <c r="BY753" s="123"/>
      <c r="CA753" s="0" t="s">
        <v>6920</v>
      </c>
      <c r="CD753" s="0" t="s">
        <v>1465</v>
      </c>
      <c r="CE753" s="0" t="n">
        <v>0</v>
      </c>
      <c r="CF753" s="0" t="s">
        <v>3907</v>
      </c>
      <c r="CG753" s="0" t="s">
        <v>218</v>
      </c>
      <c r="CI753" s="1" t="n">
        <v>40185</v>
      </c>
      <c r="CJ753" s="1" t="n">
        <v>40546</v>
      </c>
      <c r="CK753" s="124" t="n">
        <v>0.375</v>
      </c>
      <c r="CL753" s="0" t="s">
        <v>6915</v>
      </c>
      <c r="CM753" s="0" t="n">
        <f aca="false">IF(OR(CI753="",CJ753=""),"",DAYS360(CI753,CJ753)/360)</f>
        <v>0.988888888888889</v>
      </c>
      <c r="CN753" s="0" t="n">
        <f aca="false">IF(OR(CI753="",CJ753=""),"",DAYS360(CI753,CJ753)/30)</f>
        <v>11.8666666666667</v>
      </c>
      <c r="CO753" s="0" t="n">
        <f aca="false">IF(OR(CI753="",CJ753=""),"",DAYS360(CI753,CJ753)/7)</f>
        <v>50.8571428571429</v>
      </c>
      <c r="CP753" s="0" t="n">
        <f aca="false">IF(OR(CI753="",CJ753=""),"",DAYS360(CI753,CJ753))</f>
        <v>356</v>
      </c>
      <c r="CQ753" s="0" t="s">
        <v>240</v>
      </c>
      <c r="CR753" s="0" t="n">
        <v>1</v>
      </c>
      <c r="CT753" s="0" t="s">
        <v>221</v>
      </c>
      <c r="CV753" s="0" t="str">
        <f aca="false">IF(OR(CT753="",CT753="NO ESPECIFICA",CT753="NO MENCIONA"),"",IF(CU753=0,CT753,IF(CU753=1,CT753/30,IF(CU753=2,CT753/15,IF(CU753=3,CT753/7,"")))))</f>
        <v/>
      </c>
      <c r="CW753" s="125" t="n">
        <v>380</v>
      </c>
      <c r="CX753" s="0" t="n">
        <v>0</v>
      </c>
      <c r="CY753" s="0" t="n">
        <f aca="false">IF(CW753="","",IF(CX753=0,CW753,IF(CX753=1,CW753/30,IF(CX753=2,CW753/15,IF(CX753=3,CW753/7,CW753)))))</f>
        <v>380</v>
      </c>
      <c r="CZ753" s="0" t="n">
        <f aca="false">IF(DI753&gt;0,DI753,IF(CY753&gt;0,CY753,IF(CV753&gt;0,CV753,"")))</f>
        <v>413.33</v>
      </c>
      <c r="DA753" s="0" t="n">
        <f aca="false">IF(DM753=1,CZ753/8,IF(OR(DM753=2,DM753=4),CZ753/7,IF(DM753=3,CZ753/7.5,"")))</f>
        <v>51.66625</v>
      </c>
      <c r="DB753" s="0" t="s">
        <v>299</v>
      </c>
      <c r="DC753" s="0" t="s">
        <v>216</v>
      </c>
      <c r="DD753" s="0" t="s">
        <v>216</v>
      </c>
      <c r="DE753" s="0" t="s">
        <v>216</v>
      </c>
      <c r="DF753" s="0" t="s">
        <v>216</v>
      </c>
      <c r="DG753" s="0" t="s">
        <v>216</v>
      </c>
      <c r="DH753" s="0" t="n">
        <v>0</v>
      </c>
      <c r="DI753" s="126" t="n">
        <v>413.33</v>
      </c>
      <c r="DK753" s="0" t="n">
        <v>0</v>
      </c>
      <c r="DM753" s="0" t="n">
        <v>1</v>
      </c>
      <c r="DN753" s="0" t="n">
        <v>60</v>
      </c>
      <c r="DO753" s="0" t="n">
        <v>3</v>
      </c>
      <c r="DP753" s="0" t="n">
        <v>0</v>
      </c>
      <c r="DQ753" s="0" t="n">
        <v>1</v>
      </c>
      <c r="DR753" s="0"/>
      <c r="DS753" s="0" t="n">
        <v>1</v>
      </c>
      <c r="DU753" s="0" t="n">
        <v>1</v>
      </c>
      <c r="DW753" s="1" t="n">
        <v>40185</v>
      </c>
      <c r="DX753" s="1" t="n">
        <v>40546</v>
      </c>
      <c r="DZ753" s="0"/>
      <c r="EA753" s="0" t="n">
        <v>1</v>
      </c>
      <c r="EC753" s="1" t="n">
        <v>40185</v>
      </c>
      <c r="ED753" s="1" t="n">
        <v>40546</v>
      </c>
      <c r="EF753" s="0"/>
      <c r="EG753" s="0" t="n">
        <v>1</v>
      </c>
      <c r="EH753" s="0" t="n">
        <v>12</v>
      </c>
      <c r="EI753" s="0" t="n">
        <f aca="false">IF(AND(DM753=1,DN753&lt;=48),"",IF(AND(DM753=2,DN753&lt;=42),"",IF(AND(DM753=3,DN753&lt;=45),"",EH753)))</f>
        <v>12</v>
      </c>
      <c r="EJ753" s="0" t="n">
        <f aca="false">IF(EI753="","",IF(EI753&lt;9,EI753,9))</f>
        <v>9</v>
      </c>
      <c r="EK753" s="0" t="n">
        <f aca="false">IF(EI753="","",IF(EI753&gt;9,EI753-EJ753,0))</f>
        <v>3</v>
      </c>
      <c r="EL753" s="0" t="n">
        <f aca="false">IF(EI753="","",EJ753*DA753*2+EK753*DA753*3)</f>
        <v>1394.98875</v>
      </c>
      <c r="EP753" s="0" t="n">
        <v>0</v>
      </c>
      <c r="EQ753" s="0"/>
      <c r="ER753" s="0" t="n">
        <v>0</v>
      </c>
      <c r="ET753" s="0" t="n">
        <v>0</v>
      </c>
      <c r="EV753" s="0" t="n">
        <v>0</v>
      </c>
      <c r="EX753" s="0" t="n">
        <v>0</v>
      </c>
      <c r="EY753" s="0" t="n">
        <v>0</v>
      </c>
      <c r="EZ753" s="0"/>
      <c r="FA753" s="4" t="n">
        <v>13639.89</v>
      </c>
      <c r="FB753" s="0" t="n">
        <v>0</v>
      </c>
      <c r="FC753" s="1" t="n">
        <v>40948</v>
      </c>
      <c r="FD753" s="0" t="n">
        <v>1</v>
      </c>
      <c r="FE753" s="0" t="n">
        <v>10000</v>
      </c>
      <c r="FF753" s="120" t="n">
        <f aca="false">(CJ753-CI753+1)/365</f>
        <v>0.991780821917808</v>
      </c>
      <c r="FG753" s="0" t="str">
        <f aca="false">CONCATENATE(F753,"/",G753)</f>
        <v>21/2011</v>
      </c>
      <c r="FH753" s="0" t="n">
        <v>1</v>
      </c>
      <c r="FI753" s="0" t="n">
        <f aca="false">IFERROR(IF((FC753-J753+1)/365&gt;3,0,1),"")</f>
        <v>1</v>
      </c>
    </row>
    <row r="754" customFormat="false" ht="15" hidden="false" customHeight="false" outlineLevel="0" collapsed="false">
      <c r="A754" s="5" t="str">
        <f aca="false">E754&amp;G754&amp;F754</f>
        <v>7201122</v>
      </c>
      <c r="B754" s="0" t="s">
        <v>203</v>
      </c>
      <c r="C754" s="1" t="n">
        <v>42348</v>
      </c>
      <c r="E754" s="0" t="n">
        <v>7</v>
      </c>
      <c r="F754" s="0" t="n">
        <v>22</v>
      </c>
      <c r="G754" s="0" t="n">
        <v>2011</v>
      </c>
      <c r="H754" s="0" t="str">
        <f aca="false">"J"&amp;E754&amp;"\"&amp;F754&amp;"\"&amp;G754&amp;"\"&amp;W754</f>
        <v>J7\22\2011\1</v>
      </c>
      <c r="I754" s="0"/>
      <c r="J754" s="1" t="n">
        <v>40547</v>
      </c>
      <c r="K754" s="0" t="n">
        <v>0</v>
      </c>
      <c r="M754" s="1" t="n">
        <v>40547</v>
      </c>
      <c r="N754" s="1" t="n">
        <v>40610</v>
      </c>
      <c r="O754" s="1"/>
      <c r="P754" s="1"/>
      <c r="Q754" s="1"/>
      <c r="T754" s="121"/>
      <c r="U754" s="121"/>
      <c r="V754" s="122" t="n">
        <f aca="false">IF(AND(E754&gt;0,F754&gt;0,G754&gt;0),COUNTIFS($E:$E,E754,$F:$F,F754,$G:$G,G754),"")</f>
        <v>1</v>
      </c>
      <c r="W754" s="122" t="n">
        <f aca="false">IF(V754="","",IF(V754=1,1,IF(AND(E753=E754,F753=F754,G753=G754),W753+1,1)))</f>
        <v>1</v>
      </c>
      <c r="X754" s="0" t="n">
        <v>1</v>
      </c>
      <c r="Y754" s="0" t="n">
        <v>14</v>
      </c>
      <c r="Z754" s="0" t="s">
        <v>6921</v>
      </c>
      <c r="AA754" s="0" t="n">
        <v>0</v>
      </c>
      <c r="AB754" s="0" t="s">
        <v>702</v>
      </c>
      <c r="AE754" s="0" t="n">
        <v>0</v>
      </c>
      <c r="AF754" s="0" t="s">
        <v>3250</v>
      </c>
      <c r="AG754" s="0" t="n">
        <v>0</v>
      </c>
      <c r="AH754" s="0" t="s">
        <v>6922</v>
      </c>
      <c r="AI754" s="0" t="s">
        <v>287</v>
      </c>
      <c r="AJ754" s="0" t="s">
        <v>207</v>
      </c>
      <c r="AL754" s="0" t="s">
        <v>6923</v>
      </c>
      <c r="AM754" s="0" t="n">
        <v>0</v>
      </c>
      <c r="AN754" s="0" t="s">
        <v>6924</v>
      </c>
      <c r="AO754" s="0" t="s">
        <v>6925</v>
      </c>
      <c r="AP754" s="0" t="s">
        <v>352</v>
      </c>
      <c r="AR754" s="0" t="s">
        <v>6926</v>
      </c>
      <c r="AS754" s="0" t="n">
        <v>0</v>
      </c>
      <c r="AT754" s="0" t="s">
        <v>6927</v>
      </c>
      <c r="AU754" s="0" t="s">
        <v>830</v>
      </c>
      <c r="AX754" s="0" t="s">
        <v>6928</v>
      </c>
      <c r="AY754" s="0" t="n">
        <v>0</v>
      </c>
      <c r="AZ754" s="0" t="s">
        <v>6929</v>
      </c>
      <c r="BA754" s="0" t="s">
        <v>244</v>
      </c>
      <c r="BB754" s="0" t="s">
        <v>229</v>
      </c>
      <c r="BD754" s="0" t="s">
        <v>6930</v>
      </c>
      <c r="BE754" s="0" t="n">
        <v>0</v>
      </c>
      <c r="BF754" s="0" t="s">
        <v>6931</v>
      </c>
      <c r="BG754" s="0" t="s">
        <v>4843</v>
      </c>
      <c r="BH754" s="0" t="s">
        <v>485</v>
      </c>
      <c r="BJ754" s="0" t="s">
        <v>6932</v>
      </c>
      <c r="BK754" s="0" t="n">
        <v>0</v>
      </c>
      <c r="BL754" s="0" t="s">
        <v>6933</v>
      </c>
      <c r="BM754" s="0" t="s">
        <v>6934</v>
      </c>
      <c r="BN754" s="0" t="s">
        <v>6470</v>
      </c>
      <c r="BR754" s="0" t="n">
        <v>1</v>
      </c>
      <c r="BS754" s="0" t="s">
        <v>6935</v>
      </c>
      <c r="BT754" s="0" t="s">
        <v>6936</v>
      </c>
      <c r="BU754" s="0" t="s">
        <v>6937</v>
      </c>
      <c r="BV754" s="123"/>
      <c r="BW754" s="123"/>
      <c r="BX754" s="123"/>
      <c r="BY754" s="123"/>
      <c r="CA754" s="0" t="s">
        <v>216</v>
      </c>
      <c r="CD754" s="0" t="s">
        <v>296</v>
      </c>
      <c r="CE754" s="0" t="n">
        <v>0</v>
      </c>
      <c r="CF754" s="0" t="s">
        <v>6938</v>
      </c>
      <c r="CG754" s="0" t="s">
        <v>218</v>
      </c>
      <c r="CI754" s="1" t="n">
        <v>38651</v>
      </c>
      <c r="CJ754" s="1" t="n">
        <v>40486</v>
      </c>
      <c r="CK754" s="124" t="n">
        <v>0.375</v>
      </c>
      <c r="CL754" s="0" t="s">
        <v>6939</v>
      </c>
      <c r="CM754" s="0" t="n">
        <f aca="false">IF(OR(CI754="",CJ754=""),"",DAYS360(CI754,CJ754)/360)</f>
        <v>5.02222222222222</v>
      </c>
      <c r="CN754" s="0" t="n">
        <f aca="false">IF(OR(CI754="",CJ754=""),"",DAYS360(CI754,CJ754)/30)</f>
        <v>60.2666666666667</v>
      </c>
      <c r="CO754" s="0" t="n">
        <f aca="false">IF(OR(CI754="",CJ754=""),"",DAYS360(CI754,CJ754)/7)</f>
        <v>258.285714285714</v>
      </c>
      <c r="CP754" s="0" t="n">
        <f aca="false">IF(OR(CI754="",CJ754=""),"",DAYS360(CI754,CJ754))</f>
        <v>1808</v>
      </c>
      <c r="CQ754" s="0" t="s">
        <v>240</v>
      </c>
      <c r="CR754" s="0" t="n">
        <v>1</v>
      </c>
      <c r="CT754" s="0" t="s">
        <v>221</v>
      </c>
      <c r="CV754" s="0" t="str">
        <f aca="false">IF(OR(CT754="",CT754="NO ESPECIFICA",CT754="NO MENCIONA"),"",IF(CU754=0,CT754,IF(CU754=1,CT754/30,IF(CU754=2,CT754/15,IF(CU754=3,CT754/7,"")))))</f>
        <v/>
      </c>
      <c r="CW754" s="125" t="n">
        <v>35000</v>
      </c>
      <c r="CX754" s="0" t="n">
        <v>1</v>
      </c>
      <c r="CY754" s="0" t="n">
        <f aca="false">IF(CW754="","",IF(CX754=0,CW754,IF(CX754=1,CW754/30,IF(CX754=2,CW754/15,IF(CX754=3,CW754/7,CW754)))))</f>
        <v>1166.66666666667</v>
      </c>
      <c r="CZ754" s="0" t="n">
        <f aca="false">IF(DI754&gt;0,DI754,IF(CY754&gt;0,CY754,IF(CV754&gt;0,CV754,"")))</f>
        <v>1166.66</v>
      </c>
      <c r="DA754" s="0" t="n">
        <f aca="false">IF(DM754=1,CZ754/8,IF(OR(DM754=2,DM754=4),CZ754/7,IF(DM754=3,CZ754/7.5,"")))</f>
        <v>145.8325</v>
      </c>
      <c r="DB754" s="0" t="s">
        <v>216</v>
      </c>
      <c r="DC754" s="0" t="s">
        <v>216</v>
      </c>
      <c r="DD754" s="0" t="s">
        <v>216</v>
      </c>
      <c r="DE754" s="0" t="s">
        <v>216</v>
      </c>
      <c r="DF754" s="0" t="s">
        <v>216</v>
      </c>
      <c r="DG754" s="0" t="s">
        <v>216</v>
      </c>
      <c r="DH754" s="0" t="n">
        <v>0</v>
      </c>
      <c r="DI754" s="126" t="n">
        <v>1166.66</v>
      </c>
      <c r="DK754" s="0" t="n">
        <v>0</v>
      </c>
      <c r="DM754" s="0" t="n">
        <v>1</v>
      </c>
      <c r="DN754" s="0" t="n">
        <v>54</v>
      </c>
      <c r="DO754" s="0" t="n">
        <v>3</v>
      </c>
      <c r="DP754" s="0" t="n">
        <v>0</v>
      </c>
      <c r="DQ754" s="0" t="n">
        <v>1</v>
      </c>
      <c r="DR754" s="0"/>
      <c r="DS754" s="0" t="n">
        <v>1</v>
      </c>
      <c r="DU754" s="0" t="n">
        <v>1</v>
      </c>
      <c r="DW754" s="1" t="n">
        <v>40112</v>
      </c>
      <c r="DX754" s="1" t="n">
        <v>40486</v>
      </c>
      <c r="DZ754" s="0"/>
      <c r="EA754" s="0" t="n">
        <v>1</v>
      </c>
      <c r="EC754" s="1" t="n">
        <v>39814</v>
      </c>
      <c r="ED754" s="1" t="n">
        <v>40486</v>
      </c>
      <c r="EF754" s="0"/>
      <c r="EG754" s="0" t="n">
        <v>1</v>
      </c>
      <c r="EH754" s="0" t="n">
        <v>6</v>
      </c>
      <c r="EI754" s="0" t="n">
        <f aca="false">IF(AND(DM754=1,DN754&lt;=48),"",IF(AND(DM754=2,DN754&lt;=42),"",IF(AND(DM754=3,DN754&lt;=45),"",EH754)))</f>
        <v>6</v>
      </c>
      <c r="EJ754" s="0" t="n">
        <f aca="false">IF(EI754="","",IF(EI754&lt;9,EI754,9))</f>
        <v>6</v>
      </c>
      <c r="EK754" s="0" t="n">
        <f aca="false">IF(EI754="","",IF(EI754&gt;9,EI754-EJ754,0))</f>
        <v>0</v>
      </c>
      <c r="EL754" s="0" t="n">
        <f aca="false">IF(EI754="","",EJ754*DA754*2+EK754*DA754*3)</f>
        <v>1749.99</v>
      </c>
      <c r="EP754" s="0" t="n">
        <v>0</v>
      </c>
      <c r="EQ754" s="0"/>
      <c r="ER754" s="0" t="n">
        <v>0</v>
      </c>
      <c r="ET754" s="0" t="n">
        <v>0</v>
      </c>
      <c r="EV754" s="0" t="n">
        <v>0</v>
      </c>
      <c r="EX754" s="0" t="n">
        <v>0</v>
      </c>
      <c r="EY754" s="0" t="n">
        <v>0</v>
      </c>
      <c r="EZ754" s="0"/>
      <c r="FA754" s="4" t="n">
        <v>69999.6</v>
      </c>
      <c r="FB754" s="0" t="n">
        <v>1</v>
      </c>
      <c r="FC754" s="1" t="n">
        <v>42074</v>
      </c>
      <c r="FD754" s="0" t="n">
        <v>4</v>
      </c>
      <c r="FE754" s="0" t="n">
        <v>0</v>
      </c>
      <c r="FF754" s="120" t="n">
        <f aca="false">(CJ754-CI754+1)/365</f>
        <v>5.03013698630137</v>
      </c>
      <c r="FG754" s="0" t="str">
        <f aca="false">CONCATENATE(F754,"/",G754)</f>
        <v>22/2011</v>
      </c>
      <c r="FH754" s="0" t="n">
        <v>1</v>
      </c>
      <c r="FI754" s="0" t="n">
        <f aca="false">IFERROR(IF((FC754-J754+1)/365&gt;3,0,1),"")</f>
        <v>0</v>
      </c>
    </row>
    <row r="755" customFormat="false" ht="15" hidden="false" customHeight="false" outlineLevel="0" collapsed="false">
      <c r="A755" s="5" t="str">
        <f aca="false">E755&amp;G755&amp;F755</f>
        <v>7201123</v>
      </c>
      <c r="B755" s="0" t="s">
        <v>203</v>
      </c>
      <c r="C755" s="1" t="n">
        <v>42348</v>
      </c>
      <c r="E755" s="0" t="n">
        <v>7</v>
      </c>
      <c r="F755" s="0" t="n">
        <v>23</v>
      </c>
      <c r="G755" s="0" t="n">
        <v>2011</v>
      </c>
      <c r="H755" s="0" t="str">
        <f aca="false">"J"&amp;E755&amp;"\"&amp;F755&amp;"\"&amp;G755&amp;"\"&amp;W755</f>
        <v>J7\23\2011\1</v>
      </c>
      <c r="I755" s="0"/>
      <c r="J755" s="1" t="n">
        <v>40547</v>
      </c>
      <c r="K755" s="0" t="n">
        <v>1</v>
      </c>
      <c r="L755" s="0" t="s">
        <v>528</v>
      </c>
      <c r="M755" s="1" t="n">
        <v>40547</v>
      </c>
      <c r="N755" s="1" t="n">
        <v>40602</v>
      </c>
      <c r="O755" s="1"/>
      <c r="P755" s="1"/>
      <c r="Q755" s="1"/>
      <c r="T755" s="121"/>
      <c r="U755" s="121"/>
      <c r="V755" s="122" t="n">
        <f aca="false">IF(AND(E755&gt;0,F755&gt;0,G755&gt;0),COUNTIFS($E:$E,E755,$F:$F,F755,$G:$G,G755),"")</f>
        <v>1</v>
      </c>
      <c r="W755" s="122" t="n">
        <f aca="false">IF(V755="","",IF(V755=1,1,IF(AND(E754=E755,F754=F755,G754=G755),W754+1,1)))</f>
        <v>1</v>
      </c>
      <c r="X755" s="0" t="n">
        <v>1</v>
      </c>
      <c r="Y755" s="0" t="n">
        <v>7</v>
      </c>
      <c r="Z755" s="0" t="s">
        <v>6940</v>
      </c>
      <c r="AA755" s="0" t="n">
        <v>0</v>
      </c>
      <c r="AB755" s="0" t="s">
        <v>6941</v>
      </c>
      <c r="AC755" s="0" t="s">
        <v>6942</v>
      </c>
      <c r="AD755" s="0" t="s">
        <v>211</v>
      </c>
      <c r="AE755" s="0" t="n">
        <v>0</v>
      </c>
      <c r="AF755" s="0" t="s">
        <v>6943</v>
      </c>
      <c r="AG755" s="0" t="n">
        <v>2</v>
      </c>
      <c r="AH755" s="0" t="s">
        <v>6944</v>
      </c>
      <c r="AI755" s="0" t="s">
        <v>5860</v>
      </c>
      <c r="AJ755" s="0" t="s">
        <v>322</v>
      </c>
      <c r="AL755" s="0" t="s">
        <v>6945</v>
      </c>
      <c r="AM755" s="0" t="n">
        <v>2</v>
      </c>
      <c r="AN755" s="0" t="s">
        <v>6944</v>
      </c>
      <c r="AO755" s="0" t="s">
        <v>5860</v>
      </c>
      <c r="AP755" s="0" t="s">
        <v>322</v>
      </c>
      <c r="AR755" s="0" t="s">
        <v>6946</v>
      </c>
      <c r="AS755" s="0" t="n">
        <v>1</v>
      </c>
      <c r="AT755" s="0" t="s">
        <v>6944</v>
      </c>
      <c r="AU755" s="0" t="s">
        <v>5860</v>
      </c>
      <c r="AV755" s="0" t="s">
        <v>322</v>
      </c>
      <c r="AX755" s="0" t="s">
        <v>6947</v>
      </c>
      <c r="AY755" s="0" t="n">
        <v>1</v>
      </c>
      <c r="AZ755" s="0" t="s">
        <v>6944</v>
      </c>
      <c r="BA755" s="0" t="s">
        <v>5860</v>
      </c>
      <c r="BB755" s="0" t="s">
        <v>322</v>
      </c>
      <c r="BD755" s="0" t="s">
        <v>213</v>
      </c>
      <c r="BE755" s="0" t="n">
        <v>1</v>
      </c>
      <c r="BF755" s="0" t="s">
        <v>6944</v>
      </c>
      <c r="BG755" s="0" t="s">
        <v>5860</v>
      </c>
      <c r="BH755" s="0" t="s">
        <v>322</v>
      </c>
      <c r="BJ755" s="0" t="s">
        <v>249</v>
      </c>
      <c r="BK755" s="0" t="n">
        <v>0</v>
      </c>
      <c r="BL755" s="0" t="s">
        <v>6948</v>
      </c>
      <c r="BM755" s="0" t="s">
        <v>251</v>
      </c>
      <c r="BN755" s="0" t="s">
        <v>6949</v>
      </c>
      <c r="BR755" s="0" t="n">
        <v>1</v>
      </c>
      <c r="BS755" s="0" t="s">
        <v>6950</v>
      </c>
      <c r="BT755" s="0" t="s">
        <v>6951</v>
      </c>
      <c r="BU755" s="0" t="s">
        <v>6952</v>
      </c>
      <c r="BV755" s="123"/>
      <c r="BW755" s="123"/>
      <c r="BX755" s="123"/>
      <c r="BY755" s="123"/>
      <c r="CA755" s="0" t="s">
        <v>216</v>
      </c>
      <c r="CD755" s="0" t="s">
        <v>6032</v>
      </c>
      <c r="CE755" s="0" t="n">
        <v>0</v>
      </c>
      <c r="CF755" s="0" t="s">
        <v>6953</v>
      </c>
      <c r="CG755" s="0" t="s">
        <v>218</v>
      </c>
      <c r="CI755" s="1" t="n">
        <v>39223</v>
      </c>
      <c r="CJ755" s="1" t="n">
        <v>40479</v>
      </c>
      <c r="CK755" s="124" t="n">
        <v>0.833333333333333</v>
      </c>
      <c r="CL755" s="0" t="s">
        <v>6947</v>
      </c>
      <c r="CM755" s="0" t="n">
        <f aca="false">IF(OR(CI755="",CJ755=""),"",DAYS360(CI755,CJ755)/360)</f>
        <v>3.43611111111111</v>
      </c>
      <c r="CN755" s="0" t="n">
        <f aca="false">IF(OR(CI755="",CJ755=""),"",DAYS360(CI755,CJ755)/30)</f>
        <v>41.2333333333333</v>
      </c>
      <c r="CO755" s="0" t="n">
        <f aca="false">IF(OR(CI755="",CJ755=""),"",DAYS360(CI755,CJ755)/7)</f>
        <v>176.714285714286</v>
      </c>
      <c r="CP755" s="0" t="n">
        <f aca="false">IF(OR(CI755="",CJ755=""),"",DAYS360(CI755,CJ755))</f>
        <v>1237</v>
      </c>
      <c r="CQ755" s="0" t="s">
        <v>220</v>
      </c>
      <c r="CR755" s="0" t="n">
        <v>1</v>
      </c>
      <c r="CT755" s="0" t="s">
        <v>216</v>
      </c>
      <c r="CV755" s="0" t="str">
        <f aca="false">IF(OR(CT755="",CT755="NO ESPECIFICA",CT755="NO MENCIONA"),"",IF(CU755=0,CT755,IF(CU755=1,CT755/30,IF(CU755=2,CT755/15,IF(CU755=3,CT755/7,"")))))</f>
        <v/>
      </c>
      <c r="CW755" s="125" t="n">
        <v>850</v>
      </c>
      <c r="CX755" s="0" t="n">
        <v>0</v>
      </c>
      <c r="CY755" s="0" t="n">
        <f aca="false">IF(CW755="","",IF(CX755=0,CW755,IF(CX755=1,CW755/30,IF(CX755=2,CW755/15,IF(CX755=3,CW755/7,CW755)))))</f>
        <v>850</v>
      </c>
      <c r="CZ755" s="0" t="n">
        <f aca="false">IF(DI755&gt;0,DI755,IF(CY755&gt;0,CY755,IF(CV755&gt;0,CV755,"")))</f>
        <v>850</v>
      </c>
      <c r="DA755" s="0" t="n">
        <f aca="false">IF(DM755=1,CZ755/8,IF(OR(DM755=2,DM755=4),CZ755/7,IF(DM755=3,CZ755/7.5,"")))</f>
        <v>113.333333333333</v>
      </c>
      <c r="DB755" s="0" t="s">
        <v>216</v>
      </c>
      <c r="DC755" s="0" t="s">
        <v>216</v>
      </c>
      <c r="DD755" s="0" t="s">
        <v>216</v>
      </c>
      <c r="DE755" s="0" t="s">
        <v>216</v>
      </c>
      <c r="DF755" s="0" t="s">
        <v>216</v>
      </c>
      <c r="DG755" s="0" t="s">
        <v>216</v>
      </c>
      <c r="DH755" s="0" t="n">
        <v>0</v>
      </c>
      <c r="DI755" s="126" t="n">
        <v>850</v>
      </c>
      <c r="DK755" s="0" t="n">
        <v>0</v>
      </c>
      <c r="DM755" s="0" t="n">
        <v>3</v>
      </c>
      <c r="DN755" s="0" t="n">
        <v>66</v>
      </c>
      <c r="DO755" s="0" t="n">
        <v>3</v>
      </c>
      <c r="DP755" s="0" t="n">
        <v>1</v>
      </c>
      <c r="DQ755" s="0" t="n">
        <v>1</v>
      </c>
      <c r="DR755" s="0"/>
      <c r="DS755" s="0" t="n">
        <v>1</v>
      </c>
      <c r="DU755" s="0" t="n">
        <v>1</v>
      </c>
      <c r="DW755" s="1" t="n">
        <v>39223</v>
      </c>
      <c r="DX755" s="1" t="n">
        <v>40479</v>
      </c>
      <c r="DZ755" s="0"/>
      <c r="EA755" s="0" t="n">
        <v>1</v>
      </c>
      <c r="EC755" s="1" t="n">
        <v>39223</v>
      </c>
      <c r="ED755" s="1" t="n">
        <v>40479</v>
      </c>
      <c r="EF755" s="0"/>
      <c r="EG755" s="0" t="n">
        <v>1</v>
      </c>
      <c r="EH755" s="0" t="n">
        <v>30</v>
      </c>
      <c r="EI755" s="0" t="n">
        <f aca="false">IF(AND(DM755=1,DN755&lt;=48),"",IF(AND(DM755=2,DN755&lt;=42),"",IF(AND(DM755=3,DN755&lt;=45),"",EH755)))</f>
        <v>30</v>
      </c>
      <c r="EJ755" s="0" t="n">
        <f aca="false">IF(EI755="","",IF(EI755&lt;9,EI755,9))</f>
        <v>9</v>
      </c>
      <c r="EK755" s="0" t="n">
        <f aca="false">IF(EI755="","",IF(EI755&gt;9,EI755-EJ755,0))</f>
        <v>21</v>
      </c>
      <c r="EL755" s="0" t="n">
        <f aca="false">IF(EI755="","",EJ755*DA755*2+EK755*DA755*3)</f>
        <v>9180</v>
      </c>
      <c r="EP755" s="0" t="n">
        <v>0</v>
      </c>
      <c r="EQ755" s="0"/>
      <c r="ER755" s="0" t="n">
        <v>0</v>
      </c>
      <c r="ET755" s="0" t="n">
        <v>0</v>
      </c>
      <c r="EV755" s="0" t="n">
        <v>0</v>
      </c>
      <c r="EX755" s="0" t="n">
        <v>1</v>
      </c>
      <c r="EY755" s="0" t="n">
        <v>0</v>
      </c>
      <c r="EZ755" s="0"/>
      <c r="FA755" s="4" t="n">
        <v>14000</v>
      </c>
      <c r="FB755" s="0" t="n">
        <v>0</v>
      </c>
      <c r="FC755" s="1" t="n">
        <v>41137</v>
      </c>
      <c r="FD755" s="0" t="n">
        <v>2</v>
      </c>
      <c r="FE755" s="0" t="n">
        <v>0</v>
      </c>
      <c r="FF755" s="120" t="n">
        <f aca="false">(CJ755-CI755+1)/365</f>
        <v>3.44383561643836</v>
      </c>
      <c r="FG755" s="0" t="str">
        <f aca="false">CONCATENATE(F755,"/",G755)</f>
        <v>23/2011</v>
      </c>
      <c r="FH755" s="0" t="n">
        <v>1</v>
      </c>
      <c r="FI755" s="0" t="n">
        <f aca="false">IFERROR(IF((FC755-J755+1)/365&gt;3,0,1),"")</f>
        <v>1</v>
      </c>
    </row>
    <row r="756" customFormat="false" ht="15" hidden="false" customHeight="false" outlineLevel="0" collapsed="false">
      <c r="A756" s="5" t="str">
        <f aca="false">E756&amp;G756&amp;F756</f>
        <v>7201133</v>
      </c>
      <c r="B756" s="0" t="s">
        <v>203</v>
      </c>
      <c r="C756" s="1" t="n">
        <v>42349</v>
      </c>
      <c r="D756" s="0" t="s">
        <v>1856</v>
      </c>
      <c r="E756" s="0" t="n">
        <v>7</v>
      </c>
      <c r="F756" s="0" t="n">
        <v>33</v>
      </c>
      <c r="G756" s="0" t="n">
        <v>2011</v>
      </c>
      <c r="H756" s="0" t="str">
        <f aca="false">"J"&amp;E756&amp;"\"&amp;F756&amp;"\"&amp;G756&amp;"\"&amp;W756</f>
        <v>J7\33\2011\1</v>
      </c>
      <c r="I756" s="0"/>
      <c r="J756" s="1" t="n">
        <v>40548</v>
      </c>
      <c r="M756" s="1"/>
      <c r="N756" s="1"/>
      <c r="O756" s="1"/>
      <c r="P756" s="1"/>
      <c r="Q756" s="1"/>
      <c r="T756" s="121"/>
      <c r="U756" s="121"/>
      <c r="V756" s="122" t="n">
        <f aca="false">IF(AND(E756&gt;0,F756&gt;0,G756&gt;0),COUNTIFS($E:$E,E756,$F:$F,F756,$G:$G,G756),"")</f>
        <v>1</v>
      </c>
      <c r="W756" s="122" t="n">
        <f aca="false">IF(V756="","",IF(V756=1,1,IF(AND(E755=E756,F755=F756,G755=G756),W755+1,1)))</f>
        <v>1</v>
      </c>
      <c r="X756" s="0" t="n">
        <v>1</v>
      </c>
      <c r="Y756" s="0" t="n">
        <v>4</v>
      </c>
      <c r="Z756" s="0" t="s">
        <v>6954</v>
      </c>
      <c r="AA756" s="0" t="n">
        <v>0</v>
      </c>
      <c r="AB756" s="0" t="s">
        <v>6955</v>
      </c>
      <c r="AC756" s="0" t="s">
        <v>318</v>
      </c>
      <c r="AD756" s="0" t="s">
        <v>229</v>
      </c>
      <c r="AE756" s="0" t="n">
        <v>0</v>
      </c>
      <c r="AF756" s="0" t="s">
        <v>6956</v>
      </c>
      <c r="AG756" s="0" t="n">
        <v>0</v>
      </c>
      <c r="AH756" s="0" t="s">
        <v>6957</v>
      </c>
      <c r="AI756" s="0" t="s">
        <v>6958</v>
      </c>
      <c r="AJ756" s="0" t="s">
        <v>211</v>
      </c>
      <c r="AL756" s="0" t="s">
        <v>6959</v>
      </c>
      <c r="AM756" s="0" t="n">
        <v>1</v>
      </c>
      <c r="AN756" s="0" t="s">
        <v>6957</v>
      </c>
      <c r="AO756" s="0" t="s">
        <v>6958</v>
      </c>
      <c r="AP756" s="0" t="s">
        <v>211</v>
      </c>
      <c r="AR756" s="0" t="s">
        <v>6960</v>
      </c>
      <c r="AS756" s="0" t="n">
        <v>1</v>
      </c>
      <c r="AT756" s="0" t="s">
        <v>6957</v>
      </c>
      <c r="AU756" s="0" t="s">
        <v>6958</v>
      </c>
      <c r="AV756" s="0" t="s">
        <v>211</v>
      </c>
      <c r="AX756" s="0" t="s">
        <v>213</v>
      </c>
      <c r="AY756" s="0" t="n">
        <v>1</v>
      </c>
      <c r="AZ756" s="0" t="s">
        <v>6957</v>
      </c>
      <c r="BA756" s="0" t="s">
        <v>6958</v>
      </c>
      <c r="BB756" s="0" t="s">
        <v>211</v>
      </c>
      <c r="BR756" s="0" t="n">
        <v>1</v>
      </c>
      <c r="BS756" s="0" t="s">
        <v>6961</v>
      </c>
      <c r="BT756" s="0" t="s">
        <v>6962</v>
      </c>
      <c r="BU756" s="0" t="s">
        <v>6963</v>
      </c>
      <c r="BV756" s="123"/>
      <c r="BW756" s="123"/>
      <c r="BX756" s="123"/>
      <c r="BY756" s="123"/>
      <c r="CA756" s="0" t="s">
        <v>216</v>
      </c>
      <c r="CD756" s="0" t="s">
        <v>1308</v>
      </c>
      <c r="CE756" s="0" t="n">
        <v>0</v>
      </c>
      <c r="CF756" s="0" t="s">
        <v>269</v>
      </c>
      <c r="CG756" s="0" t="s">
        <v>218</v>
      </c>
      <c r="CI756" s="1" t="n">
        <v>40149</v>
      </c>
      <c r="CJ756" s="1" t="n">
        <v>40490</v>
      </c>
      <c r="CK756" s="124" t="n">
        <v>0.833333333333333</v>
      </c>
      <c r="CL756" s="0" t="s">
        <v>6959</v>
      </c>
      <c r="CM756" s="0" t="n">
        <f aca="false">IF(OR(CI756="",CJ756=""),"",DAYS360(CI756,CJ756)/360)</f>
        <v>0.933333333333333</v>
      </c>
      <c r="CN756" s="0" t="n">
        <f aca="false">IF(OR(CI756="",CJ756=""),"",DAYS360(CI756,CJ756)/30)</f>
        <v>11.2</v>
      </c>
      <c r="CO756" s="0" t="n">
        <f aca="false">IF(OR(CI756="",CJ756=""),"",DAYS360(CI756,CJ756)/7)</f>
        <v>48</v>
      </c>
      <c r="CP756" s="0" t="n">
        <f aca="false">IF(OR(CI756="",CJ756=""),"",DAYS360(CI756,CJ756))</f>
        <v>336</v>
      </c>
      <c r="CQ756" s="0" t="s">
        <v>220</v>
      </c>
      <c r="CR756" s="0" t="n">
        <v>1</v>
      </c>
      <c r="CT756" s="0" t="s">
        <v>221</v>
      </c>
      <c r="CV756" s="0" t="str">
        <f aca="false">IF(OR(CT756="",CT756="NO ESPECIFICA",CT756="NO MENCIONA"),"",IF(CU756=0,CT756,IF(CU756=1,CT756/30,IF(CU756=2,CT756/15,IF(CU756=3,CT756/7,"")))))</f>
        <v/>
      </c>
      <c r="CW756" s="125" t="n">
        <v>142.85</v>
      </c>
      <c r="CX756" s="0" t="n">
        <v>0</v>
      </c>
      <c r="CY756" s="0" t="n">
        <f aca="false">IF(CW756="","",IF(CX756=0,CW756,IF(CX756=1,CW756/30,IF(CX756=2,CW756/15,IF(CX756=3,CW756/7,CW756)))))</f>
        <v>142.85</v>
      </c>
      <c r="CZ756" s="0" t="n">
        <f aca="false">IF(DI756&gt;0,DI756,IF(CY756&gt;0,CY756,IF(CV756&gt;0,CV756,"")))</f>
        <v>142.85</v>
      </c>
      <c r="DA756" s="0" t="n">
        <f aca="false">IF(DM756=1,CZ756/8,IF(OR(DM756=2,DM756=4),CZ756/7,IF(DM756=3,CZ756/7.5,"")))</f>
        <v>17.85625</v>
      </c>
      <c r="DB756" s="0" t="s">
        <v>216</v>
      </c>
      <c r="DC756" s="0" t="s">
        <v>216</v>
      </c>
      <c r="DD756" s="0" t="s">
        <v>216</v>
      </c>
      <c r="DE756" s="0" t="s">
        <v>216</v>
      </c>
      <c r="DF756" s="0" t="s">
        <v>216</v>
      </c>
      <c r="DG756" s="0" t="s">
        <v>216</v>
      </c>
      <c r="DH756" s="0" t="n">
        <v>0</v>
      </c>
      <c r="DI756" s="126" t="n">
        <v>142.85</v>
      </c>
      <c r="DK756" s="0" t="n">
        <v>0</v>
      </c>
      <c r="DM756" s="0" t="n">
        <v>1</v>
      </c>
      <c r="DN756" s="0" t="n">
        <v>11.5</v>
      </c>
      <c r="DO756" s="0" t="n">
        <v>0</v>
      </c>
      <c r="DP756" s="0" t="n">
        <v>1</v>
      </c>
      <c r="DQ756" s="0" t="n">
        <v>1</v>
      </c>
      <c r="DR756" s="0"/>
      <c r="DS756" s="0" t="n">
        <v>1</v>
      </c>
      <c r="DU756" s="0" t="n">
        <v>1</v>
      </c>
      <c r="DW756" s="1" t="n">
        <v>40149</v>
      </c>
      <c r="DX756" s="1" t="n">
        <v>40490</v>
      </c>
      <c r="DZ756" s="0"/>
      <c r="EA756" s="0" t="n">
        <v>1</v>
      </c>
      <c r="EC756" s="1" t="n">
        <v>40149</v>
      </c>
      <c r="ED756" s="1" t="n">
        <v>40490</v>
      </c>
      <c r="EF756" s="0"/>
      <c r="EG756" s="0" t="n">
        <v>1</v>
      </c>
      <c r="EI756" s="0" t="str">
        <f aca="false">IF(AND(DM756=1,DN756&lt;=48),"",IF(AND(DM756=2,DN756&lt;=42),"",IF(AND(DM756=3,DN756&lt;=45),"",EH756)))</f>
        <v/>
      </c>
      <c r="EJ756" s="0" t="str">
        <f aca="false">IF(EI756="","",IF(EI756&lt;9,EI756,9))</f>
        <v/>
      </c>
      <c r="EK756" s="0" t="str">
        <f aca="false">IF(EI756="","",IF(EI756&gt;9,EI756-EJ756,0))</f>
        <v/>
      </c>
      <c r="EL756" s="0" t="str">
        <f aca="false">IF(EI756="","",EJ756*DA756*2+EK756*DA756*3)</f>
        <v/>
      </c>
      <c r="EP756" s="0" t="n">
        <v>0</v>
      </c>
      <c r="EQ756" s="0"/>
      <c r="ER756" s="0" t="n">
        <v>0</v>
      </c>
      <c r="ET756" s="0" t="n">
        <v>0</v>
      </c>
      <c r="EV756" s="0" t="n">
        <v>0</v>
      </c>
      <c r="EX756" s="0" t="n">
        <v>1</v>
      </c>
      <c r="EY756" s="0" t="n">
        <v>0</v>
      </c>
      <c r="EZ756" s="0"/>
      <c r="FA756" s="4" t="n">
        <v>0</v>
      </c>
      <c r="FB756" s="0" t="n">
        <v>1</v>
      </c>
      <c r="FC756" s="1" t="n">
        <v>40842</v>
      </c>
      <c r="FD756" s="0" t="n">
        <v>2</v>
      </c>
      <c r="FE756" s="0" t="n">
        <v>0</v>
      </c>
      <c r="FF756" s="120" t="n">
        <f aca="false">(CJ756-CI756+1)/365</f>
        <v>0.936986301369863</v>
      </c>
      <c r="FG756" s="0" t="str">
        <f aca="false">CONCATENATE(F756,"/",G756)</f>
        <v>33/2011</v>
      </c>
      <c r="FH756" s="0" t="n">
        <v>1</v>
      </c>
      <c r="FI756" s="0" t="n">
        <f aca="false">IFERROR(IF((FC756-J756+1)/365&gt;3,0,1),"")</f>
        <v>1</v>
      </c>
    </row>
    <row r="757" customFormat="false" ht="15" hidden="false" customHeight="false" outlineLevel="0" collapsed="false">
      <c r="A757" s="5" t="str">
        <f aca="false">E757&amp;G757&amp;F757</f>
        <v>7201162</v>
      </c>
      <c r="B757" s="0" t="s">
        <v>203</v>
      </c>
      <c r="C757" s="1" t="n">
        <v>42349</v>
      </c>
      <c r="E757" s="0" t="n">
        <v>7</v>
      </c>
      <c r="F757" s="0" t="n">
        <v>62</v>
      </c>
      <c r="G757" s="0" t="n">
        <v>2011</v>
      </c>
      <c r="H757" s="0" t="str">
        <f aca="false">"J"&amp;E757&amp;"\"&amp;F757&amp;"\"&amp;G757&amp;"\"&amp;W757</f>
        <v>J7\62\2011\1</v>
      </c>
      <c r="I757" s="0"/>
      <c r="J757" s="1" t="n">
        <v>40554</v>
      </c>
      <c r="K757" s="0" t="n">
        <v>0</v>
      </c>
      <c r="M757" s="1" t="n">
        <v>40554</v>
      </c>
      <c r="N757" s="1" t="n">
        <v>40609</v>
      </c>
      <c r="O757" s="1"/>
      <c r="P757" s="1"/>
      <c r="Q757" s="1"/>
      <c r="T757" s="121"/>
      <c r="U757" s="121"/>
      <c r="V757" s="122" t="n">
        <f aca="false">IF(AND(E757&gt;0,F757&gt;0,G757&gt;0),COUNTIFS($E:$E,E757,$F:$F,F757,$G:$G,G757),"")</f>
        <v>1</v>
      </c>
      <c r="W757" s="122" t="n">
        <f aca="false">IF(V757="","",IF(V757=1,1,IF(AND(E756=E757,F756=F757,G756=G757),W756+1,1)))</f>
        <v>1</v>
      </c>
      <c r="X757" s="0" t="n">
        <v>1</v>
      </c>
      <c r="Y757" s="0" t="n">
        <v>2</v>
      </c>
      <c r="Z757" s="0" t="s">
        <v>6964</v>
      </c>
      <c r="AA757" s="0" t="n">
        <v>0</v>
      </c>
      <c r="AB757" s="0" t="s">
        <v>6965</v>
      </c>
      <c r="AC757" s="0" t="s">
        <v>318</v>
      </c>
      <c r="AE757" s="0" t="n">
        <v>0</v>
      </c>
      <c r="AF757" s="0" t="s">
        <v>6966</v>
      </c>
      <c r="AG757" s="0" t="n">
        <v>0</v>
      </c>
      <c r="AH757" s="0" t="s">
        <v>6967</v>
      </c>
      <c r="AI757" s="0" t="s">
        <v>1123</v>
      </c>
      <c r="AJ757" s="0" t="s">
        <v>322</v>
      </c>
      <c r="AL757" s="0" t="s">
        <v>5319</v>
      </c>
      <c r="AM757" s="0" t="n">
        <v>1</v>
      </c>
      <c r="AN757" s="0" t="s">
        <v>6967</v>
      </c>
      <c r="AO757" s="0" t="s">
        <v>1123</v>
      </c>
      <c r="AP757" s="0" t="s">
        <v>322</v>
      </c>
      <c r="BR757" s="0" t="n">
        <v>1</v>
      </c>
      <c r="BS757" s="0" t="s">
        <v>4749</v>
      </c>
      <c r="BT757" s="0" t="s">
        <v>4748</v>
      </c>
      <c r="BU757" s="0" t="s">
        <v>6968</v>
      </c>
      <c r="BV757" s="123"/>
      <c r="BW757" s="123"/>
      <c r="BX757" s="123"/>
      <c r="BY757" s="123"/>
      <c r="CA757" s="0" t="s">
        <v>4750</v>
      </c>
      <c r="CD757" s="0" t="s">
        <v>216</v>
      </c>
      <c r="CE757" s="0" t="n">
        <v>0</v>
      </c>
      <c r="CF757" s="0" t="s">
        <v>6969</v>
      </c>
      <c r="CG757" s="0" t="s">
        <v>218</v>
      </c>
      <c r="CI757" s="1" t="n">
        <v>38740</v>
      </c>
      <c r="CJ757" s="1" t="n">
        <v>40859</v>
      </c>
      <c r="CK757" s="124" t="n">
        <v>0.958333333333333</v>
      </c>
      <c r="CL757" s="0" t="s">
        <v>5319</v>
      </c>
      <c r="CM757" s="0" t="n">
        <f aca="false">IF(OR(CI757="",CJ757=""),"",DAYS360(CI757,CJ757)/360)</f>
        <v>5.80277777777778</v>
      </c>
      <c r="CN757" s="0" t="n">
        <f aca="false">IF(OR(CI757="",CJ757=""),"",DAYS360(CI757,CJ757)/30)</f>
        <v>69.6333333333333</v>
      </c>
      <c r="CO757" s="0" t="n">
        <f aca="false">IF(OR(CI757="",CJ757=""),"",DAYS360(CI757,CJ757)/7)</f>
        <v>298.428571428571</v>
      </c>
      <c r="CP757" s="0" t="n">
        <f aca="false">IF(OR(CI757="",CJ757=""),"",DAYS360(CI757,CJ757))</f>
        <v>2089</v>
      </c>
      <c r="CQ757" s="0" t="s">
        <v>220</v>
      </c>
      <c r="CR757" s="0" t="n">
        <v>1</v>
      </c>
      <c r="CT757" s="0" t="n">
        <v>235.66</v>
      </c>
      <c r="CU757" s="0" t="n">
        <v>0</v>
      </c>
      <c r="CV757" s="0" t="n">
        <f aca="false">IF(OR(CT757="",CT757="NO ESPECIFICA",CT757="NO MENCIONA"),"",IF(CU757=0,CT757,IF(CU757=1,CT757/30,IF(CU757=2,CT757/15,IF(CU757=3,CT757/7,"")))))</f>
        <v>235.66</v>
      </c>
      <c r="CW757" s="125" t="n">
        <v>366.09</v>
      </c>
      <c r="CX757" s="0" t="n">
        <v>0</v>
      </c>
      <c r="CY757" s="0" t="n">
        <f aca="false">IF(CW757="","",IF(CX757=0,CW757,IF(CX757=1,CW757/30,IF(CX757=2,CW757/15,IF(CX757=3,CW757/7,CW757)))))</f>
        <v>366.09</v>
      </c>
      <c r="CZ757" s="0" t="n">
        <f aca="false">IF(DI757&gt;0,DI757,IF(CY757&gt;0,CY757,IF(CV757&gt;0,CV757,"")))</f>
        <v>366.09</v>
      </c>
      <c r="DA757" s="0" t="n">
        <f aca="false">IF(DM757=1,CZ757/8,IF(OR(DM757=2,DM757=4),CZ757/7,IF(DM757=3,CZ757/7.5,"")))</f>
        <v>52.2985714285714</v>
      </c>
      <c r="DB757" s="0" t="s">
        <v>301</v>
      </c>
      <c r="DC757" s="0" t="s">
        <v>303</v>
      </c>
      <c r="DD757" s="0" t="s">
        <v>373</v>
      </c>
      <c r="DE757" s="0" t="s">
        <v>6694</v>
      </c>
      <c r="DF757" s="0" t="s">
        <v>216</v>
      </c>
      <c r="DG757" s="0" t="s">
        <v>216</v>
      </c>
      <c r="DH757" s="0" t="n">
        <v>0</v>
      </c>
      <c r="DI757" s="126" t="n">
        <v>366.09</v>
      </c>
      <c r="DK757" s="0" t="n">
        <v>1</v>
      </c>
      <c r="DM757" s="0" t="n">
        <v>2</v>
      </c>
      <c r="DN757" s="0" t="n">
        <v>48</v>
      </c>
      <c r="DO757" s="0" t="n">
        <v>3</v>
      </c>
      <c r="DP757" s="0" t="n">
        <v>1</v>
      </c>
      <c r="DQ757" s="0" t="n">
        <v>1</v>
      </c>
      <c r="DR757" s="0"/>
      <c r="DS757" s="0" t="n">
        <v>1</v>
      </c>
      <c r="DU757" s="0" t="n">
        <v>1</v>
      </c>
      <c r="DW757" s="1" t="n">
        <v>38740</v>
      </c>
      <c r="DX757" s="1" t="n">
        <v>40859</v>
      </c>
      <c r="DZ757" s="0"/>
      <c r="EA757" s="0" t="n">
        <v>1</v>
      </c>
      <c r="EC757" s="1" t="n">
        <v>38740</v>
      </c>
      <c r="ED757" s="1" t="n">
        <v>40859</v>
      </c>
      <c r="EF757" s="0"/>
      <c r="EG757" s="0" t="n">
        <v>1</v>
      </c>
      <c r="EH757" s="0" t="n">
        <v>12</v>
      </c>
      <c r="EI757" s="0" t="n">
        <f aca="false">IF(AND(DM757=1,DN757&lt;=48),"",IF(AND(DM757=2,DN757&lt;=42),"",IF(AND(DM757=3,DN757&lt;=45),"",EH757)))</f>
        <v>12</v>
      </c>
      <c r="EJ757" s="0" t="n">
        <f aca="false">IF(EI757="","",IF(EI757&lt;9,EI757,9))</f>
        <v>9</v>
      </c>
      <c r="EK757" s="0" t="n">
        <f aca="false">IF(EI757="","",IF(EI757&gt;9,EI757-EJ757,0))</f>
        <v>3</v>
      </c>
      <c r="EL757" s="0" t="n">
        <f aca="false">IF(EI757="","",EJ757*DA757*2+EK757*DA757*3)</f>
        <v>1412.06142857143</v>
      </c>
      <c r="EP757" s="0" t="n">
        <v>1</v>
      </c>
      <c r="EQ757" s="0"/>
      <c r="ER757" s="0" t="n">
        <v>0</v>
      </c>
      <c r="ET757" s="0" t="n">
        <v>0</v>
      </c>
      <c r="EV757" s="0" t="n">
        <v>0</v>
      </c>
      <c r="EX757" s="0" t="n">
        <v>1</v>
      </c>
      <c r="EY757" s="0" t="n">
        <v>0</v>
      </c>
      <c r="EZ757" s="0"/>
      <c r="FA757" s="4" t="n">
        <v>4393.08</v>
      </c>
      <c r="FB757" s="0" t="n">
        <v>0</v>
      </c>
      <c r="FC757" s="1" t="n">
        <v>40844</v>
      </c>
      <c r="FD757" s="0" t="n">
        <v>1</v>
      </c>
      <c r="FE757" s="0" t="n">
        <v>59991</v>
      </c>
      <c r="FF757" s="120" t="n">
        <f aca="false">(CJ757-CI757+1)/365</f>
        <v>5.80821917808219</v>
      </c>
      <c r="FG757" s="0" t="str">
        <f aca="false">CONCATENATE(F757,"/",G757)</f>
        <v>62/2011</v>
      </c>
      <c r="FH757" s="0" t="n">
        <v>1</v>
      </c>
      <c r="FI757" s="0" t="n">
        <f aca="false">IFERROR(IF((FC757-J757+1)/365&gt;3,0,1),"")</f>
        <v>1</v>
      </c>
    </row>
    <row r="758" customFormat="false" ht="15" hidden="false" customHeight="false" outlineLevel="0" collapsed="false">
      <c r="A758" s="5" t="str">
        <f aca="false">E758&amp;G758&amp;F758</f>
        <v>7201163</v>
      </c>
      <c r="B758" s="0" t="s">
        <v>203</v>
      </c>
      <c r="C758" s="1" t="n">
        <v>42349</v>
      </c>
      <c r="E758" s="0" t="n">
        <v>7</v>
      </c>
      <c r="F758" s="0" t="n">
        <v>63</v>
      </c>
      <c r="G758" s="0" t="n">
        <v>2011</v>
      </c>
      <c r="H758" s="0" t="str">
        <f aca="false">"J"&amp;E758&amp;"\"&amp;F758&amp;"\"&amp;G758&amp;"\"&amp;W758</f>
        <v>J7\63\2011\1</v>
      </c>
      <c r="I758" s="0"/>
      <c r="J758" s="1" t="n">
        <v>40554</v>
      </c>
      <c r="K758" s="0" t="n">
        <v>0</v>
      </c>
      <c r="M758" s="1" t="n">
        <v>40554</v>
      </c>
      <c r="N758" s="1" t="n">
        <v>40637</v>
      </c>
      <c r="O758" s="1"/>
      <c r="P758" s="1"/>
      <c r="Q758" s="1"/>
      <c r="T758" s="121"/>
      <c r="U758" s="121"/>
      <c r="V758" s="122" t="n">
        <f aca="false">IF(AND(E758&gt;0,F758&gt;0,G758&gt;0),COUNTIFS($E:$E,E758,$F:$F,F758,$G:$G,G758),"")</f>
        <v>1</v>
      </c>
      <c r="W758" s="122" t="n">
        <f aca="false">IF(V758="","",IF(V758=1,1,IF(AND(E757=E758,F757=F758,G757=G758),W757+1,1)))</f>
        <v>1</v>
      </c>
      <c r="X758" s="0" t="n">
        <v>1</v>
      </c>
      <c r="Y758" s="0" t="n">
        <v>2</v>
      </c>
      <c r="Z758" s="0" t="s">
        <v>6970</v>
      </c>
      <c r="AA758" s="0" t="n">
        <v>0</v>
      </c>
      <c r="AB758" s="0" t="s">
        <v>6971</v>
      </c>
      <c r="AC758" s="0" t="s">
        <v>6972</v>
      </c>
      <c r="AD758" s="0" t="s">
        <v>411</v>
      </c>
      <c r="AE758" s="0" t="n">
        <v>0</v>
      </c>
      <c r="AF758" s="0" t="s">
        <v>6973</v>
      </c>
      <c r="AG758" s="0" t="n">
        <v>0</v>
      </c>
      <c r="AH758" s="0" t="s">
        <v>6974</v>
      </c>
      <c r="AI758" s="0" t="s">
        <v>5860</v>
      </c>
      <c r="AJ758" s="0" t="s">
        <v>322</v>
      </c>
      <c r="AL758" s="0" t="s">
        <v>213</v>
      </c>
      <c r="AM758" s="0" t="n">
        <v>1</v>
      </c>
      <c r="AN758" s="0" t="s">
        <v>6974</v>
      </c>
      <c r="AO758" s="0" t="s">
        <v>5860</v>
      </c>
      <c r="AP758" s="0" t="s">
        <v>322</v>
      </c>
      <c r="BR758" s="0" t="n">
        <v>1</v>
      </c>
      <c r="BS758" s="0" t="s">
        <v>6975</v>
      </c>
      <c r="BT758" s="0" t="s">
        <v>6976</v>
      </c>
      <c r="BU758" s="0" t="s">
        <v>216</v>
      </c>
      <c r="BV758" s="123"/>
      <c r="BW758" s="123"/>
      <c r="BX758" s="123"/>
      <c r="BY758" s="123"/>
      <c r="CA758" s="0" t="s">
        <v>216</v>
      </c>
      <c r="CD758" s="0" t="s">
        <v>370</v>
      </c>
      <c r="CE758" s="0" t="n">
        <v>0</v>
      </c>
      <c r="CF758" s="0" t="s">
        <v>611</v>
      </c>
      <c r="CG758" s="0" t="s">
        <v>218</v>
      </c>
      <c r="CI758" s="1" t="n">
        <v>37678</v>
      </c>
      <c r="CJ758" s="1" t="n">
        <v>40055</v>
      </c>
      <c r="CK758" s="124"/>
      <c r="CM758" s="0" t="n">
        <f aca="false">IF(OR(CI758="",CJ758=""),"",DAYS360(CI758,CJ758)/360)</f>
        <v>6.51111111111111</v>
      </c>
      <c r="CN758" s="0" t="n">
        <f aca="false">IF(OR(CI758="",CJ758=""),"",DAYS360(CI758,CJ758)/30)</f>
        <v>78.1333333333333</v>
      </c>
      <c r="CO758" s="0" t="n">
        <f aca="false">IF(OR(CI758="",CJ758=""),"",DAYS360(CI758,CJ758)/7)</f>
        <v>334.857142857143</v>
      </c>
      <c r="CP758" s="0" t="n">
        <f aca="false">IF(OR(CI758="",CJ758=""),"",DAYS360(CI758,CJ758))</f>
        <v>2344</v>
      </c>
      <c r="CQ758" s="0" t="s">
        <v>1761</v>
      </c>
      <c r="CR758" s="0" t="n">
        <v>5</v>
      </c>
      <c r="CS758" s="0" t="s">
        <v>1494</v>
      </c>
      <c r="CT758" s="0" t="s">
        <v>221</v>
      </c>
      <c r="CV758" s="0" t="str">
        <f aca="false">IF(OR(CT758="",CT758="NO ESPECIFICA",CT758="NO MENCIONA"),"",IF(CU758=0,CT758,IF(CU758=1,CT758/30,IF(CU758=2,CT758/15,IF(CU758=3,CT758/7,"")))))</f>
        <v/>
      </c>
      <c r="CW758" s="125" t="n">
        <v>822</v>
      </c>
      <c r="CX758" s="0" t="n">
        <v>2</v>
      </c>
      <c r="CY758" s="0" t="n">
        <f aca="false">IF(CW758="","",IF(CX758=0,CW758,IF(CX758=1,CW758/30,IF(CX758=2,CW758/15,IF(CX758=3,CW758/7,CW758)))))</f>
        <v>54.8</v>
      </c>
      <c r="CZ758" s="0" t="n">
        <f aca="false">IF(DI758&gt;0,DI758,IF(CY758&gt;0,CY758,IF(CV758&gt;0,CV758,"")))</f>
        <v>66.92</v>
      </c>
      <c r="DA758" s="0" t="n">
        <f aca="false">IF(DM758=1,CZ758/8,IF(OR(DM758=2,DM758=4),CZ758/7,IF(DM758=3,CZ758/7.5,"")))</f>
        <v>8.365</v>
      </c>
      <c r="DB758" s="0" t="s">
        <v>6977</v>
      </c>
      <c r="DC758" s="0" t="s">
        <v>216</v>
      </c>
      <c r="DD758" s="0" t="s">
        <v>216</v>
      </c>
      <c r="DE758" s="0" t="s">
        <v>216</v>
      </c>
      <c r="DF758" s="0" t="s">
        <v>216</v>
      </c>
      <c r="DG758" s="0" t="s">
        <v>216</v>
      </c>
      <c r="DH758" s="0" t="n">
        <v>0</v>
      </c>
      <c r="DI758" s="126" t="n">
        <v>66.92</v>
      </c>
      <c r="DK758" s="0" t="n">
        <v>0</v>
      </c>
      <c r="DM758" s="0" t="n">
        <v>1</v>
      </c>
      <c r="DN758" s="0" t="n">
        <v>50</v>
      </c>
      <c r="DO758" s="0" t="n">
        <v>3</v>
      </c>
      <c r="DP758" s="0" t="n">
        <v>0</v>
      </c>
      <c r="DQ758" s="0" t="n">
        <v>1</v>
      </c>
      <c r="DR758" s="0"/>
      <c r="DS758" s="0" t="n">
        <v>0</v>
      </c>
      <c r="DU758" s="0" t="n">
        <v>1</v>
      </c>
      <c r="DW758" s="1" t="n">
        <v>39870</v>
      </c>
      <c r="DX758" s="1" t="n">
        <v>40055</v>
      </c>
      <c r="DZ758" s="0"/>
      <c r="EA758" s="0" t="n">
        <v>1</v>
      </c>
      <c r="EC758" s="1" t="n">
        <v>39814</v>
      </c>
      <c r="ED758" s="1" t="n">
        <v>40055</v>
      </c>
      <c r="EF758" s="0"/>
      <c r="EG758" s="0" t="n">
        <v>0</v>
      </c>
      <c r="EI758" s="0" t="n">
        <f aca="false">IF(AND(DM758=1,DN758&lt;=48),"",IF(AND(DM758=2,DN758&lt;=42),"",IF(AND(DM758=3,DN758&lt;=45),"",EH758)))</f>
        <v>0</v>
      </c>
      <c r="EJ758" s="0" t="str">
        <f aca="false">IF(EI758="","",IF(EI758&lt;9,EI758,9))</f>
        <v/>
      </c>
      <c r="EK758" s="0" t="str">
        <f aca="false">IF(EI758="","",IF(EI758&gt;9,EI758-EJ758,0))</f>
        <v/>
      </c>
      <c r="EL758" s="0" t="str">
        <f aca="false">IF(EI758="","",EJ758*DA758*2+EK758*DA758*3)</f>
        <v/>
      </c>
      <c r="EP758" s="0" t="n">
        <v>0</v>
      </c>
      <c r="EQ758" s="0"/>
      <c r="ER758" s="0" t="n">
        <v>0</v>
      </c>
      <c r="ET758" s="0" t="n">
        <v>0</v>
      </c>
      <c r="EV758" s="0" t="n">
        <v>0</v>
      </c>
      <c r="EX758" s="0" t="n">
        <v>0</v>
      </c>
      <c r="EY758" s="0" t="n">
        <v>0</v>
      </c>
      <c r="EZ758" s="0"/>
      <c r="FA758" s="4" t="n">
        <v>267.68</v>
      </c>
      <c r="FB758" s="0" t="n">
        <v>0</v>
      </c>
      <c r="FC758" s="1"/>
      <c r="FF758" s="120" t="n">
        <f aca="false">(CJ758-CI758+1)/365</f>
        <v>6.51506849315069</v>
      </c>
      <c r="FG758" s="0" t="str">
        <f aca="false">CONCATENATE(F758,"/",G758)</f>
        <v>63/2011</v>
      </c>
      <c r="FH758" s="0" t="n">
        <v>1</v>
      </c>
      <c r="FI758" s="0" t="n">
        <f aca="false">IFERROR(IF((FC758-J758+1)/365&gt;3,0,1),"")</f>
        <v>1</v>
      </c>
    </row>
    <row r="759" customFormat="false" ht="15" hidden="false" customHeight="false" outlineLevel="0" collapsed="false">
      <c r="A759" s="5" t="str">
        <f aca="false">E759&amp;G759&amp;F759</f>
        <v>7201164</v>
      </c>
      <c r="B759" s="0" t="s">
        <v>203</v>
      </c>
      <c r="C759" s="1" t="n">
        <v>42353</v>
      </c>
      <c r="E759" s="0" t="n">
        <v>7</v>
      </c>
      <c r="F759" s="0" t="n">
        <v>64</v>
      </c>
      <c r="G759" s="0" t="n">
        <v>2011</v>
      </c>
      <c r="H759" s="0" t="str">
        <f aca="false">"J"&amp;E759&amp;"\"&amp;F759&amp;"\"&amp;G759&amp;"\"&amp;W759</f>
        <v>J7\64\2011\1</v>
      </c>
      <c r="I759" s="0"/>
      <c r="J759" s="1" t="n">
        <v>40554</v>
      </c>
      <c r="K759" s="0" t="n">
        <v>0</v>
      </c>
      <c r="M759" s="1" t="n">
        <v>40554</v>
      </c>
      <c r="N759" s="1" t="n">
        <v>40609</v>
      </c>
      <c r="O759" s="1"/>
      <c r="P759" s="1"/>
      <c r="Q759" s="1"/>
      <c r="T759" s="121"/>
      <c r="U759" s="121"/>
      <c r="V759" s="122" t="n">
        <f aca="false">IF(AND(E759&gt;0,F759&gt;0,G759&gt;0),COUNTIFS($E:$E,E759,$F:$F,F759,$G:$G,G759),"")</f>
        <v>1</v>
      </c>
      <c r="W759" s="122" t="n">
        <f aca="false">IF(V759="","",IF(V759=1,1,IF(AND(E758=E759,F758=F759,G758=G759),W758+1,1)))</f>
        <v>1</v>
      </c>
      <c r="X759" s="0" t="n">
        <v>1</v>
      </c>
      <c r="Y759" s="0" t="n">
        <v>3</v>
      </c>
      <c r="Z759" s="0" t="s">
        <v>6978</v>
      </c>
      <c r="AA759" s="0" t="n">
        <v>0</v>
      </c>
      <c r="AB759" s="0" t="s">
        <v>6979</v>
      </c>
      <c r="AC759" s="0" t="s">
        <v>1661</v>
      </c>
      <c r="AD759" s="0" t="s">
        <v>229</v>
      </c>
      <c r="AE759" s="0" t="n">
        <v>0</v>
      </c>
      <c r="AF759" s="0" t="s">
        <v>6980</v>
      </c>
      <c r="AG759" s="0" t="n">
        <v>0</v>
      </c>
      <c r="AH759" s="0" t="s">
        <v>6981</v>
      </c>
      <c r="AI759" s="0" t="s">
        <v>1561</v>
      </c>
      <c r="AJ759" s="0" t="s">
        <v>207</v>
      </c>
      <c r="AL759" s="0" t="s">
        <v>6982</v>
      </c>
      <c r="AM759" s="0" t="n">
        <v>1</v>
      </c>
      <c r="AN759" s="0" t="s">
        <v>6981</v>
      </c>
      <c r="AO759" s="0" t="s">
        <v>1561</v>
      </c>
      <c r="AP759" s="0" t="s">
        <v>207</v>
      </c>
      <c r="AR759" s="0" t="s">
        <v>213</v>
      </c>
      <c r="AS759" s="0" t="n">
        <v>1</v>
      </c>
      <c r="AT759" s="0" t="s">
        <v>6981</v>
      </c>
      <c r="AU759" s="0" t="s">
        <v>1561</v>
      </c>
      <c r="AV759" s="0" t="s">
        <v>207</v>
      </c>
      <c r="BR759" s="0" t="n">
        <v>1</v>
      </c>
      <c r="BS759" s="0" t="s">
        <v>3184</v>
      </c>
      <c r="BT759" s="0" t="s">
        <v>6983</v>
      </c>
      <c r="BU759" s="0" t="s">
        <v>6984</v>
      </c>
      <c r="BV759" s="123"/>
      <c r="BW759" s="123"/>
      <c r="BX759" s="123"/>
      <c r="BY759" s="123"/>
      <c r="CA759" s="0" t="s">
        <v>6985</v>
      </c>
      <c r="CD759" s="0" t="s">
        <v>296</v>
      </c>
      <c r="CE759" s="0" t="n">
        <v>0</v>
      </c>
      <c r="CF759" s="0" t="s">
        <v>600</v>
      </c>
      <c r="CG759" s="0" t="s">
        <v>218</v>
      </c>
      <c r="CI759" s="1" t="n">
        <v>40339</v>
      </c>
      <c r="CJ759" s="1" t="n">
        <v>40501</v>
      </c>
      <c r="CK759" s="124" t="n">
        <v>0.333333333333333</v>
      </c>
      <c r="CL759" s="0" t="s">
        <v>6986</v>
      </c>
      <c r="CM759" s="0" t="n">
        <f aca="false">IF(OR(CI759="",CJ759=""),"",DAYS360(CI759,CJ759)/360)</f>
        <v>0.441666666666667</v>
      </c>
      <c r="CN759" s="0" t="n">
        <f aca="false">IF(OR(CI759="",CJ759=""),"",DAYS360(CI759,CJ759)/30)</f>
        <v>5.3</v>
      </c>
      <c r="CO759" s="0" t="n">
        <f aca="false">IF(OR(CI759="",CJ759=""),"",DAYS360(CI759,CJ759)/7)</f>
        <v>22.7142857142857</v>
      </c>
      <c r="CP759" s="0" t="n">
        <f aca="false">IF(OR(CI759="",CJ759=""),"",DAYS360(CI759,CJ759))</f>
        <v>159</v>
      </c>
      <c r="CQ759" s="0" t="s">
        <v>220</v>
      </c>
      <c r="CR759" s="0" t="n">
        <v>1</v>
      </c>
      <c r="CT759" s="0" t="s">
        <v>221</v>
      </c>
      <c r="CV759" s="0" t="str">
        <f aca="false">IF(OR(CT759="",CT759="NO ESPECIFICA",CT759="NO MENCIONA"),"",IF(CU759=0,CT759,IF(CU759=1,CT759/30,IF(CU759=2,CT759/15,IF(CU759=3,CT759/7,"")))))</f>
        <v/>
      </c>
      <c r="CW759" s="125" t="n">
        <v>2000</v>
      </c>
      <c r="CX759" s="0" t="n">
        <v>2</v>
      </c>
      <c r="CY759" s="0" t="n">
        <f aca="false">IF(CW759="","",IF(CX759=0,CW759,IF(CX759=1,CW759/30,IF(CX759=2,CW759/15,IF(CX759=3,CW759/7,CW759)))))</f>
        <v>133.333333333333</v>
      </c>
      <c r="CZ759" s="0" t="n">
        <f aca="false">IF(DI759&gt;0,DI759,IF(CY759&gt;0,CY759,IF(CV759&gt;0,CV759,"")))</f>
        <v>220</v>
      </c>
      <c r="DA759" s="0" t="n">
        <f aca="false">IF(DM759=1,CZ759/8,IF(OR(DM759=2,DM759=4),CZ759/7,IF(DM759=3,CZ759/7.5,"")))</f>
        <v>27.5</v>
      </c>
      <c r="DB759" s="0" t="s">
        <v>6987</v>
      </c>
      <c r="DC759" s="0" t="s">
        <v>216</v>
      </c>
      <c r="DD759" s="0" t="s">
        <v>216</v>
      </c>
      <c r="DE759" s="0" t="s">
        <v>216</v>
      </c>
      <c r="DF759" s="0" t="s">
        <v>216</v>
      </c>
      <c r="DG759" s="0" t="s">
        <v>216</v>
      </c>
      <c r="DH759" s="0" t="n">
        <v>0</v>
      </c>
      <c r="DI759" s="126" t="n">
        <v>220</v>
      </c>
      <c r="DK759" s="0" t="n">
        <v>1</v>
      </c>
      <c r="DM759" s="0" t="n">
        <v>1</v>
      </c>
      <c r="DN759" s="0" t="n">
        <v>42</v>
      </c>
      <c r="DO759" s="0" t="n">
        <v>3</v>
      </c>
      <c r="DP759" s="0" t="n">
        <v>1</v>
      </c>
      <c r="DQ759" s="0" t="n">
        <v>0</v>
      </c>
      <c r="DR759" s="0"/>
      <c r="DS759" s="0" t="n">
        <v>1</v>
      </c>
      <c r="DU759" s="0" t="n">
        <v>0</v>
      </c>
      <c r="DW759" s="1" t="n">
        <v>40339</v>
      </c>
      <c r="DX759" s="1" t="n">
        <v>40501</v>
      </c>
      <c r="DZ759" s="0"/>
      <c r="EA759" s="0" t="n">
        <v>1</v>
      </c>
      <c r="EC759" s="1" t="n">
        <v>40339</v>
      </c>
      <c r="ED759" s="1" t="n">
        <v>40501</v>
      </c>
      <c r="EF759" s="0"/>
      <c r="EG759" s="0" t="n">
        <v>0</v>
      </c>
      <c r="EI759" s="0" t="str">
        <f aca="false">IF(AND(DM759=1,DN759&lt;=48),"",IF(AND(DM759=2,DN759&lt;=42),"",IF(AND(DM759=3,DN759&lt;=45),"",EH759)))</f>
        <v/>
      </c>
      <c r="EJ759" s="0" t="str">
        <f aca="false">IF(EI759="","",IF(EI759&lt;9,EI759,9))</f>
        <v/>
      </c>
      <c r="EK759" s="0" t="str">
        <f aca="false">IF(EI759="","",IF(EI759&gt;9,EI759-EJ759,0))</f>
        <v/>
      </c>
      <c r="EL759" s="0" t="str">
        <f aca="false">IF(EI759="","",EJ759*DA759*2+EK759*DA759*3)</f>
        <v/>
      </c>
      <c r="EP759" s="0" t="n">
        <v>1</v>
      </c>
      <c r="EQ759" s="0"/>
      <c r="ER759" s="0" t="n">
        <v>0</v>
      </c>
      <c r="ET759" s="0" t="n">
        <v>0</v>
      </c>
      <c r="EV759" s="0" t="n">
        <v>0</v>
      </c>
      <c r="EX759" s="0" t="n">
        <v>0</v>
      </c>
      <c r="EY759" s="0" t="n">
        <v>0</v>
      </c>
      <c r="EZ759" s="0"/>
      <c r="FA759" s="4" t="n">
        <v>440</v>
      </c>
      <c r="FB759" s="0" t="n">
        <v>1</v>
      </c>
      <c r="FC759" s="1" t="n">
        <v>41416</v>
      </c>
      <c r="FD759" s="0" t="n">
        <v>1</v>
      </c>
      <c r="FE759" s="0" t="n">
        <v>3500</v>
      </c>
      <c r="FF759" s="120" t="n">
        <f aca="false">(CJ759-CI759+1)/365</f>
        <v>0.446575342465753</v>
      </c>
      <c r="FG759" s="0" t="str">
        <f aca="false">CONCATENATE(F759,"/",G759)</f>
        <v>64/2011</v>
      </c>
      <c r="FH759" s="0" t="n">
        <v>1</v>
      </c>
      <c r="FI759" s="0" t="n">
        <f aca="false">IFERROR(IF((FC759-J759+1)/365&gt;3,0,1),"")</f>
        <v>1</v>
      </c>
    </row>
    <row r="760" customFormat="false" ht="15" hidden="false" customHeight="false" outlineLevel="0" collapsed="false">
      <c r="A760" s="5" t="str">
        <f aca="false">E760&amp;G760&amp;F760</f>
        <v>7201165</v>
      </c>
      <c r="B760" s="0" t="s">
        <v>203</v>
      </c>
      <c r="C760" s="1" t="n">
        <v>42353</v>
      </c>
      <c r="E760" s="0" t="n">
        <v>7</v>
      </c>
      <c r="F760" s="0" t="n">
        <v>65</v>
      </c>
      <c r="G760" s="0" t="n">
        <v>2011</v>
      </c>
      <c r="H760" s="0" t="str">
        <f aca="false">"J"&amp;E760&amp;"\"&amp;F760&amp;"\"&amp;G760&amp;"\"&amp;W760</f>
        <v>J7\65\2011\1</v>
      </c>
      <c r="I760" s="0"/>
      <c r="J760" s="1" t="n">
        <v>40554</v>
      </c>
      <c r="K760" s="0" t="n">
        <v>0</v>
      </c>
      <c r="M760" s="1" t="n">
        <v>40554</v>
      </c>
      <c r="N760" s="1" t="n">
        <v>40610</v>
      </c>
      <c r="O760" s="1"/>
      <c r="P760" s="1"/>
      <c r="Q760" s="1"/>
      <c r="T760" s="121"/>
      <c r="U760" s="121"/>
      <c r="V760" s="122" t="n">
        <f aca="false">IF(AND(E760&gt;0,F760&gt;0,G760&gt;0),COUNTIFS($E:$E,E760,$F:$F,F760,$G:$G,G760),"")</f>
        <v>1</v>
      </c>
      <c r="W760" s="122" t="n">
        <f aca="false">IF(V760="","",IF(V760=1,1,IF(AND(E759=E760,F759=F760,G759=G760),W759+1,1)))</f>
        <v>1</v>
      </c>
      <c r="X760" s="0" t="n">
        <v>1</v>
      </c>
      <c r="Y760" s="0" t="n">
        <v>6</v>
      </c>
      <c r="Z760" s="0" t="s">
        <v>6988</v>
      </c>
      <c r="AA760" s="0" t="n">
        <v>0</v>
      </c>
      <c r="AB760" s="0" t="s">
        <v>6989</v>
      </c>
      <c r="AC760" s="0" t="s">
        <v>6990</v>
      </c>
      <c r="AD760" s="0" t="s">
        <v>229</v>
      </c>
      <c r="AE760" s="0" t="n">
        <v>0</v>
      </c>
      <c r="AF760" s="0" t="s">
        <v>6991</v>
      </c>
      <c r="AG760" s="0" t="n">
        <v>0</v>
      </c>
      <c r="AH760" s="0" t="s">
        <v>6992</v>
      </c>
      <c r="AI760" s="0" t="s">
        <v>287</v>
      </c>
      <c r="AJ760" s="0" t="s">
        <v>207</v>
      </c>
      <c r="AL760" s="0" t="s">
        <v>6993</v>
      </c>
      <c r="AM760" s="0" t="n">
        <v>1</v>
      </c>
      <c r="AN760" s="0" t="s">
        <v>6992</v>
      </c>
      <c r="AO760" s="0" t="s">
        <v>287</v>
      </c>
      <c r="AP760" s="0" t="s">
        <v>207</v>
      </c>
      <c r="AR760" s="0" t="s">
        <v>6994</v>
      </c>
      <c r="AS760" s="0" t="n">
        <v>1</v>
      </c>
      <c r="AT760" s="0" t="s">
        <v>6992</v>
      </c>
      <c r="AU760" s="0" t="s">
        <v>287</v>
      </c>
      <c r="AV760" s="0" t="s">
        <v>207</v>
      </c>
      <c r="AX760" s="0" t="s">
        <v>6995</v>
      </c>
      <c r="AY760" s="0" t="n">
        <v>1</v>
      </c>
      <c r="AZ760" s="0" t="s">
        <v>6992</v>
      </c>
      <c r="BA760" s="0" t="s">
        <v>287</v>
      </c>
      <c r="BB760" s="0" t="s">
        <v>207</v>
      </c>
      <c r="BD760" s="0" t="s">
        <v>6996</v>
      </c>
      <c r="BE760" s="0" t="n">
        <v>0</v>
      </c>
      <c r="BF760" s="0" t="s">
        <v>6997</v>
      </c>
      <c r="BG760" s="0" t="s">
        <v>855</v>
      </c>
      <c r="BH760" s="0" t="s">
        <v>207</v>
      </c>
      <c r="BJ760" s="0" t="s">
        <v>6998</v>
      </c>
      <c r="BK760" s="0" t="n">
        <v>1</v>
      </c>
      <c r="BL760" s="0" t="s">
        <v>6997</v>
      </c>
      <c r="BM760" s="0" t="s">
        <v>855</v>
      </c>
      <c r="BN760" s="0" t="s">
        <v>207</v>
      </c>
      <c r="BR760" s="0" t="n">
        <v>1</v>
      </c>
      <c r="BS760" s="0" t="s">
        <v>6999</v>
      </c>
      <c r="BT760" s="0" t="s">
        <v>2542</v>
      </c>
      <c r="BU760" s="0" t="s">
        <v>7000</v>
      </c>
      <c r="BV760" s="123"/>
      <c r="BW760" s="123"/>
      <c r="BX760" s="123"/>
      <c r="BY760" s="123"/>
      <c r="CA760" s="0" t="s">
        <v>216</v>
      </c>
      <c r="CD760" s="0" t="s">
        <v>296</v>
      </c>
      <c r="CE760" s="0" t="n">
        <v>0</v>
      </c>
      <c r="CF760" s="0" t="s">
        <v>1132</v>
      </c>
      <c r="CG760" s="0" t="s">
        <v>218</v>
      </c>
      <c r="CI760" s="1" t="n">
        <v>39353</v>
      </c>
      <c r="CJ760" s="1" t="n">
        <v>40481</v>
      </c>
      <c r="CK760" s="124" t="n">
        <v>0.375</v>
      </c>
      <c r="CL760" s="0" t="s">
        <v>6995</v>
      </c>
      <c r="CM760" s="0" t="n">
        <f aca="false">IF(OR(CI760="",CJ760=""),"",DAYS360(CI760,CJ760)/360)</f>
        <v>3.08888888888889</v>
      </c>
      <c r="CN760" s="0" t="n">
        <f aca="false">IF(OR(CI760="",CJ760=""),"",DAYS360(CI760,CJ760)/30)</f>
        <v>37.0666666666667</v>
      </c>
      <c r="CO760" s="0" t="n">
        <f aca="false">IF(OR(CI760="",CJ760=""),"",DAYS360(CI760,CJ760)/7)</f>
        <v>158.857142857143</v>
      </c>
      <c r="CP760" s="0" t="n">
        <f aca="false">IF(OR(CI760="",CJ760=""),"",DAYS360(CI760,CJ760))</f>
        <v>1112</v>
      </c>
      <c r="CQ760" s="0" t="s">
        <v>220</v>
      </c>
      <c r="CR760" s="0" t="n">
        <v>1</v>
      </c>
      <c r="CT760" s="0" t="n">
        <v>166.66</v>
      </c>
      <c r="CU760" s="0" t="n">
        <v>0</v>
      </c>
      <c r="CV760" s="0" t="n">
        <f aca="false">IF(OR(CT760="",CT760="NO ESPECIFICA",CT760="NO MENCIONA"),"",IF(CU760=0,CT760,IF(CU760=1,CT760/30,IF(CU760=2,CT760/15,IF(CU760=3,CT760/7,"")))))</f>
        <v>166.66</v>
      </c>
      <c r="CW760" s="125" t="n">
        <v>259.94</v>
      </c>
      <c r="CX760" s="0" t="n">
        <v>0</v>
      </c>
      <c r="CY760" s="0" t="n">
        <f aca="false">IF(CW760="","",IF(CX760=0,CW760,IF(CX760=1,CW760/30,IF(CX760=2,CW760/15,IF(CX760=3,CW760/7,CW760)))))</f>
        <v>259.94</v>
      </c>
      <c r="CZ760" s="0" t="n">
        <f aca="false">IF(DI760&gt;0,DI760,IF(CY760&gt;0,CY760,IF(CV760&gt;0,CV760,"")))</f>
        <v>259.94</v>
      </c>
      <c r="DA760" s="0" t="n">
        <f aca="false">IF(DM760=1,CZ760/8,IF(OR(DM760=2,DM760=4),CZ760/7,IF(DM760=3,CZ760/7.5,"")))</f>
        <v>32.4925</v>
      </c>
      <c r="DB760" s="0" t="s">
        <v>1842</v>
      </c>
      <c r="DC760" s="0" t="s">
        <v>259</v>
      </c>
      <c r="DD760" s="0" t="s">
        <v>258</v>
      </c>
      <c r="DE760" s="0" t="s">
        <v>299</v>
      </c>
      <c r="DF760" s="0" t="s">
        <v>216</v>
      </c>
      <c r="DG760" s="0" t="s">
        <v>216</v>
      </c>
      <c r="DH760" s="0" t="n">
        <v>0</v>
      </c>
      <c r="DI760" s="126" t="n">
        <v>259.94</v>
      </c>
      <c r="DK760" s="0" t="n">
        <v>0</v>
      </c>
      <c r="DM760" s="0" t="n">
        <v>1</v>
      </c>
      <c r="DN760" s="0" t="n">
        <v>77</v>
      </c>
      <c r="DO760" s="0" t="n">
        <v>3</v>
      </c>
      <c r="DP760" s="0" t="n">
        <v>1</v>
      </c>
      <c r="DQ760" s="0" t="n">
        <v>0</v>
      </c>
      <c r="DR760" s="0"/>
      <c r="DS760" s="0" t="n">
        <v>1</v>
      </c>
      <c r="DU760" s="0" t="n">
        <v>0</v>
      </c>
      <c r="DW760" s="1" t="n">
        <v>39353</v>
      </c>
      <c r="DX760" s="1" t="n">
        <v>40481</v>
      </c>
      <c r="DZ760" s="0"/>
      <c r="EA760" s="0" t="n">
        <v>1</v>
      </c>
      <c r="EC760" s="1" t="n">
        <v>39353</v>
      </c>
      <c r="ED760" s="1" t="n">
        <v>40481</v>
      </c>
      <c r="EF760" s="0"/>
      <c r="EG760" s="0" t="n">
        <v>1</v>
      </c>
      <c r="EH760" s="0" t="n">
        <v>12</v>
      </c>
      <c r="EI760" s="0" t="n">
        <f aca="false">IF(AND(DM760=1,DN760&lt;=48),"",IF(AND(DM760=2,DN760&lt;=42),"",IF(AND(DM760=3,DN760&lt;=45),"",EH760)))</f>
        <v>12</v>
      </c>
      <c r="EJ760" s="0" t="n">
        <f aca="false">IF(EI760="","",IF(EI760&lt;9,EI760,9))</f>
        <v>9</v>
      </c>
      <c r="EK760" s="0" t="n">
        <f aca="false">IF(EI760="","",IF(EI760&gt;9,EI760-EJ760,0))</f>
        <v>3</v>
      </c>
      <c r="EL760" s="0" t="n">
        <f aca="false">IF(EI760="","",EJ760*DA760*2+EK760*DA760*3)</f>
        <v>877.2975</v>
      </c>
      <c r="EP760" s="0" t="n">
        <v>1</v>
      </c>
      <c r="EQ760" s="0"/>
      <c r="ER760" s="0" t="n">
        <v>0</v>
      </c>
      <c r="ET760" s="0" t="n">
        <v>0</v>
      </c>
      <c r="EV760" s="0" t="n">
        <v>0</v>
      </c>
      <c r="EX760" s="0" t="n">
        <v>0</v>
      </c>
      <c r="EY760" s="0" t="n">
        <v>0</v>
      </c>
      <c r="EZ760" s="0"/>
      <c r="FA760" s="4" t="n">
        <v>3899.1</v>
      </c>
      <c r="FB760" s="0" t="n">
        <v>1</v>
      </c>
      <c r="FC760" s="1" t="n">
        <v>41512</v>
      </c>
      <c r="FD760" s="0" t="n">
        <v>1</v>
      </c>
      <c r="FE760" s="0" t="n">
        <v>10000</v>
      </c>
      <c r="FF760" s="120" t="n">
        <f aca="false">(CJ760-CI760+1)/365</f>
        <v>3.09315068493151</v>
      </c>
      <c r="FG760" s="0" t="str">
        <f aca="false">CONCATENATE(F760,"/",G760)</f>
        <v>65/2011</v>
      </c>
      <c r="FH760" s="0" t="n">
        <v>1</v>
      </c>
      <c r="FI760" s="0" t="n">
        <f aca="false">IFERROR(IF((FC760-J760+1)/365&gt;3,0,1),"")</f>
        <v>1</v>
      </c>
    </row>
    <row r="761" customFormat="false" ht="15" hidden="false" customHeight="false" outlineLevel="0" collapsed="false">
      <c r="A761" s="5" t="str">
        <f aca="false">E761&amp;G761&amp;F761</f>
        <v>7201169</v>
      </c>
      <c r="B761" s="0" t="s">
        <v>203</v>
      </c>
      <c r="C761" s="1" t="n">
        <v>42353</v>
      </c>
      <c r="E761" s="0" t="n">
        <v>7</v>
      </c>
      <c r="F761" s="0" t="n">
        <v>69</v>
      </c>
      <c r="G761" s="0" t="n">
        <v>2011</v>
      </c>
      <c r="H761" s="0" t="str">
        <f aca="false">"J"&amp;E761&amp;"\"&amp;F761&amp;"\"&amp;G761&amp;"\"&amp;W761</f>
        <v>J7\69\2011\1</v>
      </c>
      <c r="I761" s="0"/>
      <c r="J761" s="1" t="n">
        <v>40554</v>
      </c>
      <c r="K761" s="0" t="n">
        <v>0</v>
      </c>
      <c r="M761" s="1" t="n">
        <v>40554</v>
      </c>
      <c r="N761" s="1" t="n">
        <v>40610</v>
      </c>
      <c r="O761" s="1"/>
      <c r="P761" s="1"/>
      <c r="Q761" s="1"/>
      <c r="T761" s="121"/>
      <c r="U761" s="121"/>
      <c r="V761" s="122" t="n">
        <f aca="false">IF(AND(E761&gt;0,F761&gt;0,G761&gt;0),COUNTIFS($E:$E,E761,$F:$F,F761,$G:$G,G761),"")</f>
        <v>1</v>
      </c>
      <c r="W761" s="122" t="n">
        <f aca="false">IF(V761="","",IF(V761=1,1,IF(AND(E760=E761,F760=F761,G760=G761),W760+1,1)))</f>
        <v>1</v>
      </c>
      <c r="X761" s="0" t="n">
        <v>1</v>
      </c>
      <c r="Y761" s="0" t="n">
        <v>4</v>
      </c>
      <c r="Z761" s="0" t="s">
        <v>7001</v>
      </c>
      <c r="AA761" s="0" t="n">
        <v>0</v>
      </c>
      <c r="AB761" s="0" t="s">
        <v>1802</v>
      </c>
      <c r="AC761" s="0" t="s">
        <v>1661</v>
      </c>
      <c r="AE761" s="0" t="n">
        <v>0</v>
      </c>
      <c r="AF761" s="0" t="s">
        <v>7002</v>
      </c>
      <c r="AG761" s="0" t="n">
        <v>0</v>
      </c>
      <c r="AH761" s="0" t="s">
        <v>7003</v>
      </c>
      <c r="AI761" s="0" t="s">
        <v>633</v>
      </c>
      <c r="AJ761" s="0" t="s">
        <v>411</v>
      </c>
      <c r="AL761" s="0" t="s">
        <v>7004</v>
      </c>
      <c r="AM761" s="0" t="n">
        <v>1</v>
      </c>
      <c r="AN761" s="0" t="s">
        <v>7003</v>
      </c>
      <c r="AO761" s="0" t="s">
        <v>633</v>
      </c>
      <c r="AP761" s="0" t="s">
        <v>411</v>
      </c>
      <c r="AR761" s="0" t="s">
        <v>7005</v>
      </c>
      <c r="AS761" s="0" t="n">
        <v>1</v>
      </c>
      <c r="AT761" s="0" t="s">
        <v>7003</v>
      </c>
      <c r="AU761" s="0" t="s">
        <v>633</v>
      </c>
      <c r="AV761" s="0" t="s">
        <v>411</v>
      </c>
      <c r="AX761" s="0" t="s">
        <v>213</v>
      </c>
      <c r="AY761" s="0" t="n">
        <v>1</v>
      </c>
      <c r="AZ761" s="0" t="s">
        <v>7003</v>
      </c>
      <c r="BA761" s="0" t="s">
        <v>633</v>
      </c>
      <c r="BB761" s="0" t="s">
        <v>411</v>
      </c>
      <c r="BR761" s="0" t="n">
        <v>1</v>
      </c>
      <c r="BS761" s="0" t="s">
        <v>3715</v>
      </c>
      <c r="BT761" s="0" t="s">
        <v>1273</v>
      </c>
      <c r="BU761" s="0" t="s">
        <v>1272</v>
      </c>
      <c r="BV761" s="123"/>
      <c r="BW761" s="123"/>
      <c r="BX761" s="123"/>
      <c r="BY761" s="123"/>
      <c r="CA761" s="0" t="s">
        <v>216</v>
      </c>
      <c r="CD761" s="0" t="s">
        <v>1001</v>
      </c>
      <c r="CE761" s="0" t="n">
        <v>0</v>
      </c>
      <c r="CF761" s="0" t="s">
        <v>7006</v>
      </c>
      <c r="CG761" s="0" t="s">
        <v>218</v>
      </c>
      <c r="CI761" s="1" t="n">
        <v>40180</v>
      </c>
      <c r="CJ761" s="1" t="n">
        <v>40549</v>
      </c>
      <c r="CK761" s="124" t="n">
        <v>0.333333333333333</v>
      </c>
      <c r="CL761" s="0" t="s">
        <v>7004</v>
      </c>
      <c r="CM761" s="0" t="n">
        <f aca="false">IF(OR(CI761="",CJ761=""),"",DAYS360(CI761,CJ761)/360)</f>
        <v>1.01111111111111</v>
      </c>
      <c r="CN761" s="0" t="n">
        <f aca="false">IF(OR(CI761="",CJ761=""),"",DAYS360(CI761,CJ761)/30)</f>
        <v>12.1333333333333</v>
      </c>
      <c r="CO761" s="0" t="n">
        <f aca="false">IF(OR(CI761="",CJ761=""),"",DAYS360(CI761,CJ761)/7)</f>
        <v>52</v>
      </c>
      <c r="CP761" s="0" t="n">
        <f aca="false">IF(OR(CI761="",CJ761=""),"",DAYS360(CI761,CJ761))</f>
        <v>364</v>
      </c>
      <c r="CQ761" s="0" t="s">
        <v>240</v>
      </c>
      <c r="CR761" s="0" t="n">
        <v>1</v>
      </c>
      <c r="CT761" s="0" t="n">
        <v>8000</v>
      </c>
      <c r="CU761" s="0" t="n">
        <v>1</v>
      </c>
      <c r="CV761" s="0" t="n">
        <f aca="false">IF(OR(CT761="",CT761="NO ESPECIFICA",CT761="NO MENCIONA"),"",IF(CU761=0,CT761,IF(CU761=1,CT761/30,IF(CU761=2,CT761/15,IF(CU761=3,CT761/7,"")))))</f>
        <v>266.666666666667</v>
      </c>
      <c r="CW761" s="125" t="n">
        <v>11000</v>
      </c>
      <c r="CX761" s="0" t="n">
        <v>1</v>
      </c>
      <c r="CY761" s="0" t="n">
        <f aca="false">IF(CW761="","",IF(CX761=0,CW761,IF(CX761=1,CW761/30,IF(CX761=2,CW761/15,IF(CX761=3,CW761/7,CW761)))))</f>
        <v>366.666666666667</v>
      </c>
      <c r="CZ761" s="0" t="n">
        <f aca="false">IF(DI761&gt;0,DI761,IF(CY761&gt;0,CY761,IF(CV761&gt;0,CV761,"")))</f>
        <v>366.66</v>
      </c>
      <c r="DA761" s="0" t="n">
        <f aca="false">IF(DM761=1,CZ761/8,IF(OR(DM761=2,DM761=4),CZ761/7,IF(DM761=3,CZ761/7.5,"")))</f>
        <v>45.8325</v>
      </c>
      <c r="DB761" s="0" t="s">
        <v>417</v>
      </c>
      <c r="DC761" s="0" t="s">
        <v>216</v>
      </c>
      <c r="DD761" s="0" t="s">
        <v>216</v>
      </c>
      <c r="DE761" s="0" t="s">
        <v>216</v>
      </c>
      <c r="DF761" s="0" t="s">
        <v>216</v>
      </c>
      <c r="DG761" s="0" t="s">
        <v>216</v>
      </c>
      <c r="DH761" s="0" t="n">
        <v>0</v>
      </c>
      <c r="DI761" s="126" t="n">
        <v>366.66</v>
      </c>
      <c r="DK761" s="0" t="n">
        <v>0</v>
      </c>
      <c r="DM761" s="0" t="n">
        <v>1</v>
      </c>
      <c r="DN761" s="0" t="n">
        <v>72</v>
      </c>
      <c r="DO761" s="0" t="n">
        <v>3</v>
      </c>
      <c r="DP761" s="0" t="n">
        <v>0</v>
      </c>
      <c r="DQ761" s="0" t="n">
        <v>1</v>
      </c>
      <c r="DR761" s="0"/>
      <c r="DS761" s="0" t="n">
        <v>1</v>
      </c>
      <c r="DU761" s="0" t="n">
        <v>1</v>
      </c>
      <c r="DW761" s="1" t="n">
        <v>40180</v>
      </c>
      <c r="DX761" s="1" t="n">
        <v>40549</v>
      </c>
      <c r="DZ761" s="0"/>
      <c r="EA761" s="0" t="n">
        <v>1</v>
      </c>
      <c r="EC761" s="1" t="n">
        <v>40180</v>
      </c>
      <c r="ED761" s="1" t="n">
        <v>40549</v>
      </c>
      <c r="EF761" s="0"/>
      <c r="EG761" s="0" t="n">
        <v>1</v>
      </c>
      <c r="EI761" s="0" t="n">
        <f aca="false">IF(AND(DM761=1,DN761&lt;=48),"",IF(AND(DM761=2,DN761&lt;=42),"",IF(AND(DM761=3,DN761&lt;=45),"",EH761)))</f>
        <v>0</v>
      </c>
      <c r="EJ761" s="0" t="str">
        <f aca="false">IF(EI761="","",IF(EI761&lt;9,EI761,9))</f>
        <v/>
      </c>
      <c r="EK761" s="0" t="str">
        <f aca="false">IF(EI761="","",IF(EI761&gt;9,EI761-EJ761,0))</f>
        <v/>
      </c>
      <c r="EL761" s="0" t="str">
        <f aca="false">IF(EI761="","",EJ761*DA761*2+EK761*DA761*3)</f>
        <v/>
      </c>
      <c r="EP761" s="0" t="n">
        <v>0</v>
      </c>
      <c r="EQ761" s="0"/>
      <c r="ER761" s="0" t="n">
        <v>1</v>
      </c>
      <c r="ET761" s="0" t="n">
        <v>1</v>
      </c>
      <c r="EV761" s="0" t="n">
        <v>1</v>
      </c>
      <c r="EX761" s="0" t="n">
        <v>0</v>
      </c>
      <c r="EY761" s="0" t="n">
        <v>0</v>
      </c>
      <c r="EZ761" s="0"/>
      <c r="FA761" s="4" t="n">
        <v>21999.6</v>
      </c>
      <c r="FB761" s="0" t="n">
        <v>1</v>
      </c>
      <c r="FC761" s="1" t="n">
        <v>40816</v>
      </c>
      <c r="FD761" s="0" t="n">
        <v>1</v>
      </c>
      <c r="FE761" s="0" t="n">
        <v>16000</v>
      </c>
      <c r="FF761" s="120" t="n">
        <f aca="false">(CJ761-CI761+1)/365</f>
        <v>1.01369863013699</v>
      </c>
      <c r="FG761" s="0" t="str">
        <f aca="false">CONCATENATE(F761,"/",G761)</f>
        <v>69/2011</v>
      </c>
      <c r="FH761" s="0" t="n">
        <v>1</v>
      </c>
      <c r="FI761" s="0" t="n">
        <f aca="false">IFERROR(IF((FC761-J761+1)/365&gt;3,0,1),"")</f>
        <v>1</v>
      </c>
    </row>
    <row r="762" customFormat="false" ht="15" hidden="false" customHeight="false" outlineLevel="0" collapsed="false">
      <c r="A762" s="5" t="str">
        <f aca="false">E762&amp;G762&amp;F762</f>
        <v>7201172</v>
      </c>
      <c r="B762" s="0" t="s">
        <v>203</v>
      </c>
      <c r="C762" s="1" t="n">
        <v>42353</v>
      </c>
      <c r="E762" s="0" t="n">
        <v>7</v>
      </c>
      <c r="F762" s="0" t="n">
        <v>72</v>
      </c>
      <c r="G762" s="0" t="n">
        <v>2011</v>
      </c>
      <c r="H762" s="0" t="str">
        <f aca="false">"J"&amp;E762&amp;"\"&amp;F762&amp;"\"&amp;G762&amp;"\"&amp;W762</f>
        <v>J7\72\2011\1</v>
      </c>
      <c r="I762" s="0"/>
      <c r="J762" s="1" t="n">
        <v>40554</v>
      </c>
      <c r="K762" s="0" t="n">
        <v>0</v>
      </c>
      <c r="M762" s="1" t="n">
        <v>40554</v>
      </c>
      <c r="N762" s="1" t="n">
        <v>40611</v>
      </c>
      <c r="O762" s="1"/>
      <c r="P762" s="1"/>
      <c r="Q762" s="1"/>
      <c r="T762" s="121"/>
      <c r="U762" s="121"/>
      <c r="V762" s="122" t="n">
        <f aca="false">IF(AND(E762&gt;0,F762&gt;0,G762&gt;0),COUNTIFS($E:$E,E762,$F:$F,F762,$G:$G,G762),"")</f>
        <v>1</v>
      </c>
      <c r="W762" s="122" t="n">
        <f aca="false">IF(V762="","",IF(V762=1,1,IF(AND(E761=E762,F761=F762,G761=G762),W761+1,1)))</f>
        <v>1</v>
      </c>
      <c r="X762" s="0" t="n">
        <v>1</v>
      </c>
      <c r="Y762" s="0" t="n">
        <v>5</v>
      </c>
      <c r="Z762" s="0" t="s">
        <v>7007</v>
      </c>
      <c r="AA762" s="0" t="n">
        <v>0</v>
      </c>
      <c r="AB762" s="0" t="s">
        <v>1793</v>
      </c>
      <c r="AC762" s="0" t="s">
        <v>1160</v>
      </c>
      <c r="AE762" s="0" t="n">
        <v>0</v>
      </c>
      <c r="AF762" s="0" t="s">
        <v>7008</v>
      </c>
      <c r="AG762" s="0" t="n">
        <v>0</v>
      </c>
      <c r="AH762" s="0" t="s">
        <v>7009</v>
      </c>
      <c r="AI762" s="0" t="s">
        <v>7010</v>
      </c>
      <c r="AJ762" s="0" t="s">
        <v>352</v>
      </c>
      <c r="AL762" s="0" t="s">
        <v>7011</v>
      </c>
      <c r="AM762" s="0" t="n">
        <v>0</v>
      </c>
      <c r="AN762" s="0" t="s">
        <v>7009</v>
      </c>
      <c r="AO762" s="0" t="s">
        <v>7010</v>
      </c>
      <c r="AP762" s="0" t="s">
        <v>352</v>
      </c>
      <c r="AR762" s="0" t="s">
        <v>7012</v>
      </c>
      <c r="AS762" s="0" t="n">
        <v>0</v>
      </c>
      <c r="AT762" s="0" t="s">
        <v>7009</v>
      </c>
      <c r="AU762" s="0" t="s">
        <v>7010</v>
      </c>
      <c r="AV762" s="0" t="s">
        <v>352</v>
      </c>
      <c r="AX762" s="0" t="s">
        <v>7013</v>
      </c>
      <c r="AY762" s="0" t="n">
        <v>0</v>
      </c>
      <c r="AZ762" s="0" t="s">
        <v>7009</v>
      </c>
      <c r="BA762" s="0" t="s">
        <v>7010</v>
      </c>
      <c r="BB762" s="0" t="s">
        <v>352</v>
      </c>
      <c r="BD762" s="0" t="s">
        <v>7014</v>
      </c>
      <c r="BE762" s="0" t="n">
        <v>0</v>
      </c>
      <c r="BF762" s="0" t="s">
        <v>7009</v>
      </c>
      <c r="BG762" s="0" t="s">
        <v>7010</v>
      </c>
      <c r="BH762" s="0" t="s">
        <v>352</v>
      </c>
      <c r="BR762" s="0" t="n">
        <v>1</v>
      </c>
      <c r="BS762" s="0" t="s">
        <v>7015</v>
      </c>
      <c r="BT762" s="0" t="s">
        <v>1800</v>
      </c>
      <c r="BU762" s="0" t="s">
        <v>7016</v>
      </c>
      <c r="BV762" s="123"/>
      <c r="BW762" s="123"/>
      <c r="BX762" s="123"/>
      <c r="BY762" s="123"/>
      <c r="CA762" s="0" t="s">
        <v>7017</v>
      </c>
      <c r="CD762" s="0" t="s">
        <v>502</v>
      </c>
      <c r="CE762" s="0" t="n">
        <v>0</v>
      </c>
      <c r="CF762" s="0" t="s">
        <v>7018</v>
      </c>
      <c r="CG762" s="0" t="s">
        <v>218</v>
      </c>
      <c r="CI762" s="1" t="n">
        <v>40120</v>
      </c>
      <c r="CJ762" s="1" t="n">
        <v>40494</v>
      </c>
      <c r="CK762" s="124" t="n">
        <v>0.291666666666667</v>
      </c>
      <c r="CL762" s="0" t="s">
        <v>7019</v>
      </c>
      <c r="CM762" s="0" t="n">
        <f aca="false">IF(OR(CI762="",CJ762=""),"",DAYS360(CI762,CJ762)/360)</f>
        <v>1.025</v>
      </c>
      <c r="CN762" s="0" t="n">
        <f aca="false">IF(OR(CI762="",CJ762=""),"",DAYS360(CI762,CJ762)/30)</f>
        <v>12.3</v>
      </c>
      <c r="CO762" s="0" t="n">
        <f aca="false">IF(OR(CI762="",CJ762=""),"",DAYS360(CI762,CJ762)/7)</f>
        <v>52.7142857142857</v>
      </c>
      <c r="CP762" s="0" t="n">
        <f aca="false">IF(OR(CI762="",CJ762=""),"",DAYS360(CI762,CJ762))</f>
        <v>369</v>
      </c>
      <c r="CQ762" s="0" t="s">
        <v>240</v>
      </c>
      <c r="CR762" s="0" t="n">
        <v>1</v>
      </c>
      <c r="CT762" s="0" t="s">
        <v>221</v>
      </c>
      <c r="CV762" s="0" t="str">
        <f aca="false">IF(OR(CT762="",CT762="NO ESPECIFICA",CT762="NO MENCIONA"),"",IF(CU762=0,CT762,IF(CU762=1,CT762/30,IF(CU762=2,CT762/15,IF(CU762=3,CT762/7,"")))))</f>
        <v/>
      </c>
      <c r="CW762" s="125" t="n">
        <v>80000</v>
      </c>
      <c r="CX762" s="0" t="n">
        <v>1</v>
      </c>
      <c r="CY762" s="0" t="n">
        <f aca="false">IF(CW762="","",IF(CX762=0,CW762,IF(CX762=1,CW762/30,IF(CX762=2,CW762/15,IF(CX762=3,CW762/7,CW762)))))</f>
        <v>2666.66666666667</v>
      </c>
      <c r="CZ762" s="0" t="n">
        <f aca="false">IF(DI762&gt;0,DI762,IF(CY762&gt;0,CY762,IF(CV762&gt;0,CV762,"")))</f>
        <v>2666.66</v>
      </c>
      <c r="DA762" s="0" t="n">
        <f aca="false">IF(DM762=1,CZ762/8,IF(OR(DM762=2,DM762=4),CZ762/7,IF(DM762=3,CZ762/7.5,"")))</f>
        <v>333.3325</v>
      </c>
      <c r="DB762" s="0" t="s">
        <v>216</v>
      </c>
      <c r="DC762" s="0" t="s">
        <v>216</v>
      </c>
      <c r="DD762" s="0" t="s">
        <v>216</v>
      </c>
      <c r="DE762" s="0" t="s">
        <v>216</v>
      </c>
      <c r="DF762" s="0" t="s">
        <v>216</v>
      </c>
      <c r="DG762" s="0" t="s">
        <v>216</v>
      </c>
      <c r="DH762" s="0" t="n">
        <v>0</v>
      </c>
      <c r="DI762" s="126" t="n">
        <v>2666.66</v>
      </c>
      <c r="DK762" s="0" t="n">
        <v>0</v>
      </c>
      <c r="DM762" s="0" t="n">
        <v>1</v>
      </c>
      <c r="DN762" s="0" t="n">
        <v>65</v>
      </c>
      <c r="DO762" s="0" t="n">
        <v>3</v>
      </c>
      <c r="DP762" s="0" t="n">
        <v>0</v>
      </c>
      <c r="DQ762" s="0" t="n">
        <v>1</v>
      </c>
      <c r="DR762" s="0"/>
      <c r="DS762" s="0" t="n">
        <v>1</v>
      </c>
      <c r="DU762" s="0" t="n">
        <v>1</v>
      </c>
      <c r="DW762" s="1" t="n">
        <v>40120</v>
      </c>
      <c r="DX762" s="1" t="n">
        <v>40494</v>
      </c>
      <c r="DZ762" s="0"/>
      <c r="EA762" s="0" t="n">
        <v>1</v>
      </c>
      <c r="EC762" s="1" t="n">
        <v>40120</v>
      </c>
      <c r="ED762" s="1" t="n">
        <v>40494</v>
      </c>
      <c r="EF762" s="0"/>
      <c r="EG762" s="0" t="n">
        <v>0</v>
      </c>
      <c r="EI762" s="0" t="n">
        <f aca="false">IF(AND(DM762=1,DN762&lt;=48),"",IF(AND(DM762=2,DN762&lt;=42),"",IF(AND(DM762=3,DN762&lt;=45),"",EH762)))</f>
        <v>0</v>
      </c>
      <c r="EJ762" s="0" t="str">
        <f aca="false">IF(EI762="","",IF(EI762&lt;9,EI762,9))</f>
        <v/>
      </c>
      <c r="EK762" s="0" t="str">
        <f aca="false">IF(EI762="","",IF(EI762&gt;9,EI762-EJ762,0))</f>
        <v/>
      </c>
      <c r="EL762" s="0" t="str">
        <f aca="false">IF(EI762="","",EJ762*DA762*2+EK762*DA762*3)</f>
        <v/>
      </c>
      <c r="EP762" s="0" t="n">
        <v>0</v>
      </c>
      <c r="EQ762" s="0"/>
      <c r="ER762" s="0" t="n">
        <v>0</v>
      </c>
      <c r="ET762" s="0" t="n">
        <v>0</v>
      </c>
      <c r="EV762" s="0" t="n">
        <v>0</v>
      </c>
      <c r="EX762" s="0" t="n">
        <v>0</v>
      </c>
      <c r="EY762" s="0" t="n">
        <v>0</v>
      </c>
      <c r="EZ762" s="0"/>
      <c r="FA762" s="4" t="n">
        <v>31999.92</v>
      </c>
      <c r="FB762" s="0" t="n">
        <v>0</v>
      </c>
      <c r="FC762" s="1" t="n">
        <v>41682</v>
      </c>
      <c r="FD762" s="0" t="n">
        <v>1</v>
      </c>
      <c r="FE762" s="0" t="n">
        <v>50000</v>
      </c>
      <c r="FF762" s="120" t="n">
        <f aca="false">(CJ762-CI762+1)/365</f>
        <v>1.02739726027397</v>
      </c>
      <c r="FG762" s="0" t="str">
        <f aca="false">CONCATENATE(F762,"/",G762)</f>
        <v>72/2011</v>
      </c>
      <c r="FH762" s="0" t="n">
        <v>1</v>
      </c>
      <c r="FI762" s="0" t="n">
        <f aca="false">IFERROR(IF((FC762-J762+1)/365&gt;3,0,1),"")</f>
        <v>0</v>
      </c>
    </row>
    <row r="763" customFormat="false" ht="15" hidden="false" customHeight="false" outlineLevel="0" collapsed="false">
      <c r="A763" s="5" t="str">
        <f aca="false">E763&amp;G763&amp;F763</f>
        <v>7201173</v>
      </c>
      <c r="B763" s="0" t="s">
        <v>203</v>
      </c>
      <c r="C763" s="1" t="n">
        <v>42353</v>
      </c>
      <c r="E763" s="0" t="n">
        <v>7</v>
      </c>
      <c r="F763" s="0" t="n">
        <v>73</v>
      </c>
      <c r="G763" s="0" t="n">
        <v>2011</v>
      </c>
      <c r="H763" s="0" t="str">
        <f aca="false">"J"&amp;E763&amp;"\"&amp;F763&amp;"\"&amp;G763&amp;"\"&amp;W763</f>
        <v>J7\73\2011\1</v>
      </c>
      <c r="I763" s="0"/>
      <c r="J763" s="1" t="n">
        <v>40555</v>
      </c>
      <c r="K763" s="0" t="n">
        <v>0</v>
      </c>
      <c r="M763" s="1" t="n">
        <v>40555</v>
      </c>
      <c r="N763" s="1" t="n">
        <v>40611</v>
      </c>
      <c r="O763" s="1"/>
      <c r="P763" s="1"/>
      <c r="Q763" s="1"/>
      <c r="T763" s="121"/>
      <c r="U763" s="121"/>
      <c r="V763" s="122" t="n">
        <f aca="false">IF(AND(E763&gt;0,F763&gt;0,G763&gt;0),COUNTIFS($E:$E,E763,$F:$F,F763,$G:$G,G763),"")</f>
        <v>1</v>
      </c>
      <c r="W763" s="122" t="n">
        <f aca="false">IF(V763="","",IF(V763=1,1,IF(AND(E762=E763,F762=F763,G762=G763),W762+1,1)))</f>
        <v>1</v>
      </c>
      <c r="X763" s="0" t="n">
        <v>1</v>
      </c>
      <c r="Y763" s="0" t="n">
        <v>4</v>
      </c>
      <c r="Z763" s="0" t="s">
        <v>7020</v>
      </c>
      <c r="AA763" s="0" t="n">
        <v>0</v>
      </c>
      <c r="AB763" s="0" t="s">
        <v>7021</v>
      </c>
      <c r="AC763" s="0" t="s">
        <v>7022</v>
      </c>
      <c r="AD763" s="0" t="s">
        <v>207</v>
      </c>
      <c r="AE763" s="0" t="n">
        <v>0</v>
      </c>
      <c r="AF763" s="0" t="s">
        <v>7023</v>
      </c>
      <c r="AG763" s="0" t="n">
        <v>0</v>
      </c>
      <c r="AH763" s="0" t="s">
        <v>7024</v>
      </c>
      <c r="AI763" s="0" t="s">
        <v>1151</v>
      </c>
      <c r="AJ763" s="0" t="s">
        <v>590</v>
      </c>
      <c r="AL763" s="0" t="s">
        <v>7025</v>
      </c>
      <c r="AM763" s="0" t="n">
        <v>1</v>
      </c>
      <c r="AN763" s="0" t="s">
        <v>7024</v>
      </c>
      <c r="AO763" s="0" t="s">
        <v>1151</v>
      </c>
      <c r="AP763" s="0" t="s">
        <v>590</v>
      </c>
      <c r="AR763" s="0" t="s">
        <v>7026</v>
      </c>
      <c r="AS763" s="0" t="n">
        <v>0</v>
      </c>
      <c r="AT763" s="0" t="s">
        <v>7027</v>
      </c>
      <c r="AU763" s="0" t="s">
        <v>7028</v>
      </c>
      <c r="AV763" s="0" t="s">
        <v>7029</v>
      </c>
      <c r="AX763" s="0" t="s">
        <v>213</v>
      </c>
      <c r="AY763" s="0" t="n">
        <v>1</v>
      </c>
      <c r="AZ763" s="0" t="s">
        <v>7027</v>
      </c>
      <c r="BA763" s="0" t="s">
        <v>7028</v>
      </c>
      <c r="BB763" s="0" t="s">
        <v>7029</v>
      </c>
      <c r="BR763" s="0" t="n">
        <v>1</v>
      </c>
      <c r="BS763" s="0" t="s">
        <v>7030</v>
      </c>
      <c r="BT763" s="0" t="s">
        <v>7031</v>
      </c>
      <c r="BU763" s="0" t="s">
        <v>7032</v>
      </c>
      <c r="BV763" s="123"/>
      <c r="BW763" s="123"/>
      <c r="BX763" s="123"/>
      <c r="BY763" s="123"/>
      <c r="CA763" s="0" t="s">
        <v>7033</v>
      </c>
      <c r="CD763" s="0" t="s">
        <v>1308</v>
      </c>
      <c r="CE763" s="0" t="n">
        <v>0</v>
      </c>
      <c r="CF763" s="0" t="s">
        <v>283</v>
      </c>
      <c r="CG763" s="0" t="s">
        <v>218</v>
      </c>
      <c r="CI763" s="1" t="n">
        <v>39867</v>
      </c>
      <c r="CJ763" s="1" t="n">
        <v>40533</v>
      </c>
      <c r="CK763" s="124" t="n">
        <v>0.333333333333333</v>
      </c>
      <c r="CL763" s="0" t="s">
        <v>7025</v>
      </c>
      <c r="CM763" s="0" t="n">
        <f aca="false">IF(OR(CI763="",CJ763=""),"",DAYS360(CI763,CJ763)/360)</f>
        <v>1.82777777777778</v>
      </c>
      <c r="CN763" s="0" t="n">
        <f aca="false">IF(OR(CI763="",CJ763=""),"",DAYS360(CI763,CJ763)/30)</f>
        <v>21.9333333333333</v>
      </c>
      <c r="CO763" s="0" t="n">
        <f aca="false">IF(OR(CI763="",CJ763=""),"",DAYS360(CI763,CJ763)/7)</f>
        <v>94</v>
      </c>
      <c r="CP763" s="0" t="n">
        <f aca="false">IF(OR(CI763="",CJ763=""),"",DAYS360(CI763,CJ763))</f>
        <v>658</v>
      </c>
      <c r="CQ763" s="0" t="s">
        <v>240</v>
      </c>
      <c r="CR763" s="0" t="n">
        <v>1</v>
      </c>
      <c r="CT763" s="0" t="s">
        <v>221</v>
      </c>
      <c r="CV763" s="0" t="str">
        <f aca="false">IF(OR(CT763="",CT763="NO ESPECIFICA",CT763="NO MENCIONA"),"",IF(CU763=0,CT763,IF(CU763=1,CT763/30,IF(CU763=2,CT763/15,IF(CU763=3,CT763/7,"")))))</f>
        <v/>
      </c>
      <c r="CW763" s="125" t="n">
        <v>6330</v>
      </c>
      <c r="CX763" s="0" t="n">
        <v>1</v>
      </c>
      <c r="CY763" s="0" t="n">
        <f aca="false">IF(CW763="","",IF(CX763=0,CW763,IF(CX763=1,CW763/30,IF(CX763=2,CW763/15,IF(CX763=3,CW763/7,CW763)))))</f>
        <v>211</v>
      </c>
      <c r="CZ763" s="0" t="n">
        <f aca="false">IF(DI763&gt;0,DI763,IF(CY763&gt;0,CY763,IF(CV763&gt;0,CV763,"")))</f>
        <v>211</v>
      </c>
      <c r="DA763" s="0" t="n">
        <f aca="false">IF(DM763=1,CZ763/8,IF(OR(DM763=2,DM763=4),CZ763/7,IF(DM763=3,CZ763/7.5,"")))</f>
        <v>30.1428571428571</v>
      </c>
      <c r="DB763" s="0" t="s">
        <v>216</v>
      </c>
      <c r="DC763" s="0" t="s">
        <v>216</v>
      </c>
      <c r="DD763" s="0" t="s">
        <v>216</v>
      </c>
      <c r="DE763" s="0" t="s">
        <v>216</v>
      </c>
      <c r="DF763" s="0" t="s">
        <v>216</v>
      </c>
      <c r="DG763" s="0" t="s">
        <v>216</v>
      </c>
      <c r="DH763" s="0" t="n">
        <v>0</v>
      </c>
      <c r="DI763" s="126" t="n">
        <v>211</v>
      </c>
      <c r="DK763" s="0" t="n">
        <v>0</v>
      </c>
      <c r="DM763" s="0" t="n">
        <v>4</v>
      </c>
      <c r="DN763" s="0" t="n">
        <v>96</v>
      </c>
      <c r="DO763" s="0" t="n">
        <v>3</v>
      </c>
      <c r="DP763" s="0" t="n">
        <v>0</v>
      </c>
      <c r="DQ763" s="0" t="n">
        <v>1</v>
      </c>
      <c r="DR763" s="0"/>
      <c r="DS763" s="0" t="n">
        <v>1</v>
      </c>
      <c r="DU763" s="0" t="n">
        <v>1</v>
      </c>
      <c r="DW763" s="1" t="n">
        <v>40232</v>
      </c>
      <c r="DX763" s="1" t="n">
        <v>40533</v>
      </c>
      <c r="DZ763" s="0"/>
      <c r="EA763" s="0" t="n">
        <v>1</v>
      </c>
      <c r="EC763" s="1" t="n">
        <v>40179</v>
      </c>
      <c r="ED763" s="1" t="n">
        <v>40533</v>
      </c>
      <c r="EF763" s="0"/>
      <c r="EG763" s="0" t="n">
        <v>1</v>
      </c>
      <c r="EI763" s="0" t="n">
        <f aca="false">IF(AND(DM763=1,DN763&lt;=48),"",IF(AND(DM763=2,DN763&lt;=42),"",IF(AND(DM763=3,DN763&lt;=45),"",EH763)))</f>
        <v>0</v>
      </c>
      <c r="EJ763" s="0" t="str">
        <f aca="false">IF(EI763="","",IF(EI763&lt;9,EI763,9))</f>
        <v/>
      </c>
      <c r="EK763" s="0" t="str">
        <f aca="false">IF(EI763="","",IF(EI763&gt;9,EI763-EJ763,0))</f>
        <v/>
      </c>
      <c r="EL763" s="0" t="str">
        <f aca="false">IF(EI763="","",EJ763*DA763*2+EK763*DA763*3)</f>
        <v/>
      </c>
      <c r="EP763" s="0" t="n">
        <v>0</v>
      </c>
      <c r="EQ763" s="0"/>
      <c r="ER763" s="0" t="n">
        <v>0</v>
      </c>
      <c r="ET763" s="0" t="n">
        <v>1</v>
      </c>
      <c r="EV763" s="0" t="n">
        <v>1</v>
      </c>
      <c r="EX763" s="0" t="n">
        <v>0</v>
      </c>
      <c r="EY763" s="0" t="n">
        <v>1</v>
      </c>
      <c r="EZ763" s="0"/>
      <c r="FA763" s="4" t="n">
        <v>4220</v>
      </c>
      <c r="FB763" s="0" t="n">
        <v>1</v>
      </c>
      <c r="FC763" s="1" t="n">
        <v>41253</v>
      </c>
      <c r="FD763" s="0" t="n">
        <v>1</v>
      </c>
      <c r="FE763" s="0" t="n">
        <v>12000</v>
      </c>
      <c r="FF763" s="120" t="n">
        <f aca="false">(CJ763-CI763+1)/365</f>
        <v>1.82739726027397</v>
      </c>
      <c r="FG763" s="0" t="str">
        <f aca="false">CONCATENATE(F763,"/",G763)</f>
        <v>73/2011</v>
      </c>
      <c r="FH763" s="0" t="n">
        <v>1</v>
      </c>
      <c r="FI763" s="0" t="n">
        <f aca="false">IFERROR(IF((FC763-J763+1)/365&gt;3,0,1),"")</f>
        <v>1</v>
      </c>
    </row>
    <row r="764" customFormat="false" ht="15" hidden="false" customHeight="false" outlineLevel="0" collapsed="false">
      <c r="A764" s="5" t="str">
        <f aca="false">E764&amp;G764&amp;F764</f>
        <v>7201178</v>
      </c>
      <c r="B764" s="0" t="s">
        <v>203</v>
      </c>
      <c r="C764" s="1" t="n">
        <v>42354</v>
      </c>
      <c r="D764" s="0" t="s">
        <v>7034</v>
      </c>
      <c r="E764" s="0" t="n">
        <v>7</v>
      </c>
      <c r="F764" s="0" t="n">
        <v>78</v>
      </c>
      <c r="G764" s="0" t="n">
        <v>2011</v>
      </c>
      <c r="H764" s="0" t="str">
        <f aca="false">"J"&amp;E764&amp;"\"&amp;F764&amp;"\"&amp;G764&amp;"\"&amp;W764</f>
        <v>J7\78\2011\1</v>
      </c>
      <c r="I764" s="0"/>
      <c r="J764" s="1" t="n">
        <v>40555</v>
      </c>
      <c r="K764" s="0" t="n">
        <v>0</v>
      </c>
      <c r="M764" s="1" t="n">
        <v>40555</v>
      </c>
      <c r="N764" s="1" t="n">
        <v>40612</v>
      </c>
      <c r="O764" s="1"/>
      <c r="P764" s="1"/>
      <c r="Q764" s="1"/>
      <c r="T764" s="121"/>
      <c r="U764" s="121"/>
      <c r="V764" s="122" t="n">
        <f aca="false">IF(AND(E764&gt;0,F764&gt;0,G764&gt;0),COUNTIFS($E:$E,E764,$F:$F,F764,$G:$G,G764),"")</f>
        <v>1</v>
      </c>
      <c r="W764" s="122" t="n">
        <f aca="false">IF(V764="","",IF(V764=1,1,IF(AND(E763=E764,F763=F764,G763=G764),W763+1,1)))</f>
        <v>1</v>
      </c>
      <c r="X764" s="0" t="n">
        <v>1</v>
      </c>
      <c r="Y764" s="0" t="n">
        <v>3</v>
      </c>
      <c r="Z764" s="0" t="s">
        <v>7035</v>
      </c>
      <c r="AA764" s="0" t="n">
        <v>0</v>
      </c>
      <c r="AB764" s="0" t="s">
        <v>7036</v>
      </c>
      <c r="AC764" s="0" t="s">
        <v>318</v>
      </c>
      <c r="AE764" s="0" t="n">
        <v>0</v>
      </c>
      <c r="AF764" s="0" t="s">
        <v>7037</v>
      </c>
      <c r="AG764" s="0" t="n">
        <v>0</v>
      </c>
      <c r="AH764" s="0" t="s">
        <v>7038</v>
      </c>
      <c r="AI764" s="0" t="s">
        <v>2656</v>
      </c>
      <c r="AJ764" s="0" t="s">
        <v>590</v>
      </c>
      <c r="AL764" s="0" t="s">
        <v>7039</v>
      </c>
      <c r="AM764" s="0" t="n">
        <v>1</v>
      </c>
      <c r="AN764" s="0" t="s">
        <v>7038</v>
      </c>
      <c r="AO764" s="0" t="s">
        <v>2656</v>
      </c>
      <c r="AP764" s="0" t="s">
        <v>590</v>
      </c>
      <c r="AR764" s="0" t="s">
        <v>7040</v>
      </c>
      <c r="AS764" s="0" t="n">
        <v>1</v>
      </c>
      <c r="AT764" s="0" t="s">
        <v>7038</v>
      </c>
      <c r="AU764" s="0" t="s">
        <v>2656</v>
      </c>
      <c r="AV764" s="0" t="s">
        <v>590</v>
      </c>
      <c r="BR764" s="0" t="n">
        <v>1</v>
      </c>
      <c r="BS764" s="0" t="s">
        <v>7041</v>
      </c>
      <c r="BT764" s="0" t="s">
        <v>7042</v>
      </c>
      <c r="BU764" s="0" t="s">
        <v>7043</v>
      </c>
      <c r="BV764" s="123"/>
      <c r="BW764" s="123"/>
      <c r="BX764" s="123"/>
      <c r="BY764" s="123"/>
      <c r="CA764" s="0" t="s">
        <v>216</v>
      </c>
      <c r="CD764" s="0" t="s">
        <v>370</v>
      </c>
      <c r="CE764" s="0" t="n">
        <v>0</v>
      </c>
      <c r="CF764" s="0" t="s">
        <v>7044</v>
      </c>
      <c r="CG764" s="0" t="s">
        <v>218</v>
      </c>
      <c r="CI764" s="1" t="n">
        <v>34710</v>
      </c>
      <c r="CJ764" s="1" t="n">
        <v>40496</v>
      </c>
      <c r="CK764" s="124" t="n">
        <v>0.375</v>
      </c>
      <c r="CL764" s="0" t="s">
        <v>7039</v>
      </c>
      <c r="CM764" s="0" t="n">
        <f aca="false">IF(OR(CI764="",CJ764=""),"",DAYS360(CI764,CJ764)/360)</f>
        <v>15.8416666666667</v>
      </c>
      <c r="CN764" s="0" t="n">
        <f aca="false">IF(OR(CI764="",CJ764=""),"",DAYS360(CI764,CJ764)/30)</f>
        <v>190.1</v>
      </c>
      <c r="CO764" s="0" t="n">
        <f aca="false">IF(OR(CI764="",CJ764=""),"",DAYS360(CI764,CJ764)/7)</f>
        <v>814.714285714286</v>
      </c>
      <c r="CP764" s="0" t="n">
        <f aca="false">IF(OR(CI764="",CJ764=""),"",DAYS360(CI764,CJ764))</f>
        <v>5703</v>
      </c>
      <c r="CQ764" s="0" t="s">
        <v>240</v>
      </c>
      <c r="CR764" s="0" t="n">
        <v>1</v>
      </c>
      <c r="CT764" s="0" t="s">
        <v>221</v>
      </c>
      <c r="CV764" s="0" t="str">
        <f aca="false">IF(OR(CT764="",CT764="NO ESPECIFICA",CT764="NO MENCIONA"),"",IF(CU764=0,CT764,IF(CU764=1,CT764/30,IF(CU764=2,CT764/15,IF(CU764=3,CT764/7,"")))))</f>
        <v/>
      </c>
      <c r="CW764" s="125" t="n">
        <v>400</v>
      </c>
      <c r="CX764" s="0" t="n">
        <v>0</v>
      </c>
      <c r="CY764" s="0" t="n">
        <f aca="false">IF(CW764="","",IF(CX764=0,CW764,IF(CX764=1,CW764/30,IF(CX764=2,CW764/15,IF(CX764=3,CW764/7,CW764)))))</f>
        <v>400</v>
      </c>
      <c r="CZ764" s="0" t="n">
        <f aca="false">IF(DI764&gt;0,DI764,IF(CY764&gt;0,CY764,IF(CV764&gt;0,CV764,"")))</f>
        <v>400</v>
      </c>
      <c r="DA764" s="0" t="n">
        <f aca="false">IF(DM764=1,CZ764/8,IF(OR(DM764=2,DM764=4),CZ764/7,IF(DM764=3,CZ764/7.5,"")))</f>
        <v>50</v>
      </c>
      <c r="DB764" s="0" t="s">
        <v>216</v>
      </c>
      <c r="DC764" s="0" t="s">
        <v>216</v>
      </c>
      <c r="DD764" s="0" t="s">
        <v>216</v>
      </c>
      <c r="DE764" s="0" t="s">
        <v>216</v>
      </c>
      <c r="DF764" s="0" t="s">
        <v>216</v>
      </c>
      <c r="DG764" s="0" t="s">
        <v>216</v>
      </c>
      <c r="DH764" s="0" t="n">
        <v>0</v>
      </c>
      <c r="DI764" s="126" t="n">
        <v>400</v>
      </c>
      <c r="DK764" s="0" t="n">
        <v>0</v>
      </c>
      <c r="DM764" s="0" t="n">
        <v>1</v>
      </c>
      <c r="DN764" s="0" t="n">
        <v>50</v>
      </c>
      <c r="DO764" s="0" t="n">
        <v>3</v>
      </c>
      <c r="DP764" s="0" t="n">
        <v>0</v>
      </c>
      <c r="DQ764" s="0" t="n">
        <v>1</v>
      </c>
      <c r="DR764" s="0"/>
      <c r="DS764" s="0" t="n">
        <v>1</v>
      </c>
      <c r="DU764" s="0" t="n">
        <v>1</v>
      </c>
      <c r="DW764" s="1" t="n">
        <v>34710</v>
      </c>
      <c r="DX764" s="1" t="n">
        <v>40496</v>
      </c>
      <c r="DZ764" s="0"/>
      <c r="EA764" s="0" t="n">
        <v>1</v>
      </c>
      <c r="EC764" s="1" t="n">
        <v>34710</v>
      </c>
      <c r="ED764" s="1" t="n">
        <v>40496</v>
      </c>
      <c r="EF764" s="0"/>
      <c r="EG764" s="0" t="n">
        <v>0</v>
      </c>
      <c r="EI764" s="0" t="n">
        <f aca="false">IF(AND(DM764=1,DN764&lt;=48),"",IF(AND(DM764=2,DN764&lt;=42),"",IF(AND(DM764=3,DN764&lt;=45),"",EH764)))</f>
        <v>0</v>
      </c>
      <c r="EJ764" s="0" t="str">
        <f aca="false">IF(EI764="","",IF(EI764&lt;9,EI764,9))</f>
        <v/>
      </c>
      <c r="EK764" s="0" t="str">
        <f aca="false">IF(EI764="","",IF(EI764&gt;9,EI764-EJ764,0))</f>
        <v/>
      </c>
      <c r="EL764" s="0" t="str">
        <f aca="false">IF(EI764="","",EJ764*DA764*2+EK764*DA764*3)</f>
        <v/>
      </c>
      <c r="EP764" s="0" t="n">
        <v>0</v>
      </c>
      <c r="EQ764" s="0"/>
      <c r="ER764" s="0" t="n">
        <v>0</v>
      </c>
      <c r="ET764" s="0" t="n">
        <v>1</v>
      </c>
      <c r="EV764" s="0" t="n">
        <v>1</v>
      </c>
      <c r="EX764" s="0" t="n">
        <v>1</v>
      </c>
      <c r="EY764" s="0" t="n">
        <v>1</v>
      </c>
      <c r="EZ764" s="4" t="n">
        <v>99000</v>
      </c>
      <c r="FA764" s="4" t="n">
        <v>56000</v>
      </c>
      <c r="FB764" s="0" t="n">
        <v>0</v>
      </c>
      <c r="FC764" s="1" t="n">
        <v>41012</v>
      </c>
      <c r="FD764" s="0" t="n">
        <v>1</v>
      </c>
      <c r="FE764" s="0" t="n">
        <v>30000</v>
      </c>
      <c r="FF764" s="120" t="n">
        <f aca="false">(CJ764-CI764+1)/365</f>
        <v>15.8547945205479</v>
      </c>
      <c r="FG764" s="0" t="str">
        <f aca="false">CONCATENATE(F764,"/",G764)</f>
        <v>78/2011</v>
      </c>
      <c r="FH764" s="0" t="n">
        <v>1</v>
      </c>
      <c r="FI764" s="0" t="n">
        <f aca="false">IFERROR(IF((FC764-J764+1)/365&gt;3,0,1),"")</f>
        <v>1</v>
      </c>
    </row>
    <row r="765" customFormat="false" ht="15" hidden="false" customHeight="false" outlineLevel="0" collapsed="false">
      <c r="A765" s="5" t="str">
        <f aca="false">E765&amp;G765&amp;F765</f>
        <v>7201183</v>
      </c>
      <c r="B765" s="0" t="s">
        <v>203</v>
      </c>
      <c r="C765" s="1" t="n">
        <v>42354</v>
      </c>
      <c r="D765" s="0" t="s">
        <v>1856</v>
      </c>
      <c r="E765" s="0" t="n">
        <v>7</v>
      </c>
      <c r="F765" s="0" t="n">
        <v>83</v>
      </c>
      <c r="G765" s="0" t="n">
        <v>2011</v>
      </c>
      <c r="H765" s="0" t="str">
        <f aca="false">"J"&amp;E765&amp;"\"&amp;F765&amp;"\"&amp;G765&amp;"\"&amp;W765</f>
        <v>J7\83\2011\1</v>
      </c>
      <c r="I765" s="0"/>
      <c r="J765" s="1" t="n">
        <v>40556</v>
      </c>
      <c r="M765" s="1"/>
      <c r="N765" s="1"/>
      <c r="O765" s="1"/>
      <c r="P765" s="1"/>
      <c r="Q765" s="1"/>
      <c r="T765" s="121"/>
      <c r="U765" s="121"/>
      <c r="V765" s="122" t="n">
        <f aca="false">IF(AND(E765&gt;0,F765&gt;0,G765&gt;0),COUNTIFS($E:$E,E765,$F:$F,F765,$G:$G,G765),"")</f>
        <v>1</v>
      </c>
      <c r="W765" s="122" t="n">
        <f aca="false">IF(V765="","",IF(V765=1,1,IF(AND(E764=E765,F764=F765,G764=G765),W764+1,1)))</f>
        <v>1</v>
      </c>
      <c r="X765" s="0" t="n">
        <v>1</v>
      </c>
      <c r="Y765" s="0" t="n">
        <v>3</v>
      </c>
      <c r="Z765" s="0" t="s">
        <v>7045</v>
      </c>
      <c r="AA765" s="0" t="n">
        <v>0</v>
      </c>
      <c r="AB765" s="0" t="s">
        <v>7046</v>
      </c>
      <c r="AC765" s="0" t="s">
        <v>274</v>
      </c>
      <c r="AD765" s="0" t="s">
        <v>229</v>
      </c>
      <c r="AE765" s="0" t="n">
        <v>0</v>
      </c>
      <c r="AF765" s="0" t="s">
        <v>7047</v>
      </c>
      <c r="AG765" s="0" t="n">
        <v>0</v>
      </c>
      <c r="AH765" s="0" t="s">
        <v>2397</v>
      </c>
      <c r="AI765" s="0" t="s">
        <v>1661</v>
      </c>
      <c r="AJ765" s="0" t="s">
        <v>229</v>
      </c>
      <c r="AL765" s="0" t="s">
        <v>7048</v>
      </c>
      <c r="AM765" s="0" t="n">
        <v>1</v>
      </c>
      <c r="AN765" s="0" t="s">
        <v>2397</v>
      </c>
      <c r="AO765" s="0" t="s">
        <v>1661</v>
      </c>
      <c r="AP765" s="0" t="s">
        <v>229</v>
      </c>
      <c r="AR765" s="0" t="s">
        <v>3534</v>
      </c>
      <c r="AS765" s="0" t="n">
        <v>0</v>
      </c>
      <c r="AT765" s="0" t="s">
        <v>3535</v>
      </c>
      <c r="AU765" s="0" t="s">
        <v>3536</v>
      </c>
      <c r="AV765" s="0" t="s">
        <v>485</v>
      </c>
      <c r="BR765" s="0" t="n">
        <v>1</v>
      </c>
      <c r="BS765" s="0" t="s">
        <v>7049</v>
      </c>
      <c r="BT765" s="0" t="s">
        <v>7050</v>
      </c>
      <c r="BU765" s="0" t="s">
        <v>216</v>
      </c>
      <c r="BV765" s="123"/>
      <c r="BW765" s="123"/>
      <c r="BX765" s="123"/>
      <c r="BY765" s="123"/>
      <c r="CA765" s="0" t="s">
        <v>216</v>
      </c>
      <c r="CD765" s="0" t="s">
        <v>296</v>
      </c>
      <c r="CE765" s="0" t="n">
        <v>0</v>
      </c>
      <c r="CF765" s="0" t="s">
        <v>7051</v>
      </c>
      <c r="CG765" s="0" t="s">
        <v>218</v>
      </c>
      <c r="CI765" s="1" t="n">
        <v>38930</v>
      </c>
      <c r="CJ765" s="1" t="n">
        <v>40512</v>
      </c>
      <c r="CK765" s="124" t="n">
        <v>0.5</v>
      </c>
      <c r="CL765" s="0" t="s">
        <v>7048</v>
      </c>
      <c r="CM765" s="0" t="n">
        <f aca="false">IF(OR(CI765="",CJ765=""),"",DAYS360(CI765,CJ765)/360)</f>
        <v>4.33055555555556</v>
      </c>
      <c r="CN765" s="0" t="n">
        <f aca="false">IF(OR(CI765="",CJ765=""),"",DAYS360(CI765,CJ765)/30)</f>
        <v>51.9666666666667</v>
      </c>
      <c r="CO765" s="0" t="n">
        <f aca="false">IF(OR(CI765="",CJ765=""),"",DAYS360(CI765,CJ765)/7)</f>
        <v>222.714285714286</v>
      </c>
      <c r="CP765" s="0" t="n">
        <f aca="false">IF(OR(CI765="",CJ765=""),"",DAYS360(CI765,CJ765))</f>
        <v>1559</v>
      </c>
      <c r="CQ765" s="0" t="s">
        <v>220</v>
      </c>
      <c r="CR765" s="0" t="n">
        <v>1</v>
      </c>
      <c r="CT765" s="0" t="s">
        <v>221</v>
      </c>
      <c r="CV765" s="0" t="str">
        <f aca="false">IF(OR(CT765="",CT765="NO ESPECIFICA",CT765="NO MENCIONA"),"",IF(CU765=0,CT765,IF(CU765=1,CT765/30,IF(CU765=2,CT765/15,IF(CU765=3,CT765/7,"")))))</f>
        <v/>
      </c>
      <c r="CW765" s="125" t="n">
        <v>150</v>
      </c>
      <c r="CY765" s="0" t="n">
        <f aca="false">IF(CW765="","",IF(CX765=0,CW765,IF(CX765=1,CW765/30,IF(CX765=2,CW765/15,IF(CX765=3,CW765/7,CW765)))))</f>
        <v>150</v>
      </c>
      <c r="CZ765" s="0" t="n">
        <f aca="false">IF(DI765&gt;0,DI765,IF(CY765&gt;0,CY765,IF(CV765&gt;0,CV765,"")))</f>
        <v>150</v>
      </c>
      <c r="DA765" s="0" t="n">
        <f aca="false">IF(DM765=1,CZ765/8,IF(OR(DM765=2,DM765=4),CZ765/7,IF(DM765=3,CZ765/7.5,"")))</f>
        <v>18.75</v>
      </c>
      <c r="DB765" s="0" t="s">
        <v>216</v>
      </c>
      <c r="DC765" s="0" t="s">
        <v>216</v>
      </c>
      <c r="DD765" s="0" t="s">
        <v>216</v>
      </c>
      <c r="DE765" s="0" t="s">
        <v>216</v>
      </c>
      <c r="DF765" s="0" t="s">
        <v>216</v>
      </c>
      <c r="DG765" s="0" t="s">
        <v>216</v>
      </c>
      <c r="DH765" s="0" t="n">
        <v>0</v>
      </c>
      <c r="DI765" s="126" t="n">
        <v>150</v>
      </c>
      <c r="DK765" s="0" t="n">
        <v>0</v>
      </c>
      <c r="DM765" s="0" t="n">
        <v>1</v>
      </c>
      <c r="DN765" s="0" t="n">
        <v>63</v>
      </c>
      <c r="DO765" s="0" t="n">
        <v>3</v>
      </c>
      <c r="DP765" s="0" t="n">
        <v>1</v>
      </c>
      <c r="DQ765" s="0" t="n">
        <v>1</v>
      </c>
      <c r="DR765" s="0"/>
      <c r="DS765" s="0" t="n">
        <v>1</v>
      </c>
      <c r="DU765" s="0" t="n">
        <v>1</v>
      </c>
      <c r="DW765" s="1" t="n">
        <v>38930</v>
      </c>
      <c r="DX765" s="1" t="n">
        <v>40512</v>
      </c>
      <c r="DZ765" s="0"/>
      <c r="EA765" s="0" t="n">
        <v>1</v>
      </c>
      <c r="EC765" s="1" t="n">
        <v>38930</v>
      </c>
      <c r="ED765" s="1" t="n">
        <v>40512</v>
      </c>
      <c r="EF765" s="0"/>
      <c r="EG765" s="0" t="n">
        <v>1</v>
      </c>
      <c r="EH765" s="0" t="n">
        <v>48</v>
      </c>
      <c r="EI765" s="0" t="n">
        <f aca="false">IF(AND(DM765=1,DN765&lt;=48),"",IF(AND(DM765=2,DN765&lt;=42),"",IF(AND(DM765=3,DN765&lt;=45),"",EH765)))</f>
        <v>48</v>
      </c>
      <c r="EJ765" s="0" t="n">
        <f aca="false">IF(EI765="","",IF(EI765&lt;9,EI765,9))</f>
        <v>9</v>
      </c>
      <c r="EK765" s="0" t="n">
        <f aca="false">IF(EI765="","",IF(EI765&gt;9,EI765-EJ765,0))</f>
        <v>39</v>
      </c>
      <c r="EL765" s="0" t="n">
        <f aca="false">IF(EI765="","",EJ765*DA765*2+EK765*DA765*3)</f>
        <v>2531.25</v>
      </c>
      <c r="EP765" s="0" t="n">
        <v>0</v>
      </c>
      <c r="EQ765" s="0"/>
      <c r="ER765" s="0" t="n">
        <v>1</v>
      </c>
      <c r="ET765" s="0" t="n">
        <v>1</v>
      </c>
      <c r="EV765" s="0" t="n">
        <v>1</v>
      </c>
      <c r="EX765" s="0" t="n">
        <v>0</v>
      </c>
      <c r="EY765" s="0" t="n">
        <v>1</v>
      </c>
      <c r="EZ765" s="0"/>
      <c r="FA765" s="4" t="n">
        <v>4350</v>
      </c>
      <c r="FB765" s="0" t="n">
        <v>1</v>
      </c>
      <c r="FC765" s="1" t="n">
        <v>40624</v>
      </c>
      <c r="FD765" s="0" t="n">
        <v>1</v>
      </c>
      <c r="FE765" s="0" t="n">
        <v>11000</v>
      </c>
      <c r="FF765" s="120" t="n">
        <f aca="false">(CJ765-CI765+1)/365</f>
        <v>4.33698630136986</v>
      </c>
      <c r="FG765" s="0" t="str">
        <f aca="false">CONCATENATE(F765,"/",G765)</f>
        <v>83/2011</v>
      </c>
      <c r="FH765" s="0" t="n">
        <v>1</v>
      </c>
      <c r="FI765" s="0" t="n">
        <f aca="false">IFERROR(IF((FC765-J765+1)/365&gt;3,0,1),"")</f>
        <v>1</v>
      </c>
    </row>
    <row r="766" customFormat="false" ht="15" hidden="false" customHeight="false" outlineLevel="0" collapsed="false">
      <c r="A766" s="5" t="str">
        <f aca="false">E766&amp;G766&amp;F766</f>
        <v>7201187</v>
      </c>
      <c r="B766" s="0" t="s">
        <v>203</v>
      </c>
      <c r="C766" s="1" t="n">
        <v>42354</v>
      </c>
      <c r="D766" s="0" t="s">
        <v>1856</v>
      </c>
      <c r="E766" s="0" t="n">
        <v>7</v>
      </c>
      <c r="F766" s="0" t="n">
        <v>87</v>
      </c>
      <c r="G766" s="0" t="n">
        <v>2011</v>
      </c>
      <c r="H766" s="0" t="str">
        <f aca="false">"J"&amp;E766&amp;"\"&amp;F766&amp;"\"&amp;G766&amp;"\"&amp;W766</f>
        <v>J7\87\2011\1</v>
      </c>
      <c r="I766" s="0" t="n">
        <v>40557</v>
      </c>
      <c r="J766" s="1" t="n">
        <v>40149</v>
      </c>
      <c r="M766" s="1"/>
      <c r="N766" s="1"/>
      <c r="O766" s="1"/>
      <c r="P766" s="1"/>
      <c r="Q766" s="1"/>
      <c r="T766" s="121"/>
      <c r="U766" s="121"/>
      <c r="V766" s="122" t="n">
        <f aca="false">IF(AND(E766&gt;0,F766&gt;0,G766&gt;0),COUNTIFS($E:$E,E766,$F:$F,F766,$G:$G,G766),"")</f>
        <v>2</v>
      </c>
      <c r="W766" s="122" t="n">
        <f aca="false">IF(V766="","",IF(V766=1,1,IF(AND(E765=E766,F765=F766,G765=G766),W765+1,1)))</f>
        <v>1</v>
      </c>
      <c r="X766" s="0" t="n">
        <v>2</v>
      </c>
      <c r="Y766" s="0" t="n">
        <v>3</v>
      </c>
      <c r="Z766" s="0" t="s">
        <v>7052</v>
      </c>
      <c r="AA766" s="0" t="n">
        <v>0</v>
      </c>
      <c r="AB766" s="0" t="s">
        <v>7053</v>
      </c>
      <c r="AC766" s="0" t="s">
        <v>318</v>
      </c>
      <c r="AE766" s="0" t="n">
        <v>0</v>
      </c>
      <c r="AF766" s="0" t="s">
        <v>7054</v>
      </c>
      <c r="AG766" s="0" t="n">
        <v>1</v>
      </c>
      <c r="AH766" s="0" t="s">
        <v>7055</v>
      </c>
      <c r="AI766" s="0" t="s">
        <v>7056</v>
      </c>
      <c r="AJ766" s="0" t="s">
        <v>519</v>
      </c>
      <c r="AL766" s="0" t="s">
        <v>249</v>
      </c>
      <c r="AM766" s="0" t="n">
        <v>0</v>
      </c>
      <c r="AN766" s="0" t="s">
        <v>7057</v>
      </c>
      <c r="AO766" s="0" t="s">
        <v>7058</v>
      </c>
      <c r="AP766" s="0" t="s">
        <v>411</v>
      </c>
      <c r="AR766" s="0" t="s">
        <v>412</v>
      </c>
      <c r="AS766" s="0" t="n">
        <v>0</v>
      </c>
      <c r="AT766" s="0" t="s">
        <v>437</v>
      </c>
      <c r="AU766" s="0" t="s">
        <v>438</v>
      </c>
      <c r="AV766" s="0" t="s">
        <v>352</v>
      </c>
      <c r="BR766" s="0" t="n">
        <v>1</v>
      </c>
      <c r="BS766" s="0" t="s">
        <v>7059</v>
      </c>
      <c r="BT766" s="0" t="s">
        <v>216</v>
      </c>
      <c r="BU766" s="0" t="s">
        <v>216</v>
      </c>
      <c r="BV766" s="123"/>
      <c r="BW766" s="123"/>
      <c r="BX766" s="123"/>
      <c r="BY766" s="123"/>
      <c r="CA766" s="0" t="s">
        <v>216</v>
      </c>
      <c r="CD766" s="0" t="s">
        <v>216</v>
      </c>
      <c r="CE766" s="0" t="n">
        <v>0</v>
      </c>
      <c r="CF766" s="0" t="s">
        <v>7060</v>
      </c>
      <c r="CG766" s="0" t="s">
        <v>218</v>
      </c>
      <c r="CI766" s="1" t="n">
        <v>39587</v>
      </c>
      <c r="CJ766" s="1" t="n">
        <v>40126</v>
      </c>
      <c r="CK766" s="124" t="n">
        <v>0.520833333333333</v>
      </c>
      <c r="CL766" s="0" t="s">
        <v>7061</v>
      </c>
      <c r="CM766" s="0" t="n">
        <f aca="false">IF(OR(CI766="",CJ766=""),"",DAYS360(CI766,CJ766)/360)</f>
        <v>1.47222222222222</v>
      </c>
      <c r="CN766" s="0" t="n">
        <f aca="false">IF(OR(CI766="",CJ766=""),"",DAYS360(CI766,CJ766)/30)</f>
        <v>17.6666666666667</v>
      </c>
      <c r="CO766" s="0" t="n">
        <f aca="false">IF(OR(CI766="",CJ766=""),"",DAYS360(CI766,CJ766)/7)</f>
        <v>75.7142857142857</v>
      </c>
      <c r="CP766" s="0" t="n">
        <f aca="false">IF(OR(CI766="",CJ766=""),"",DAYS360(CI766,CJ766))</f>
        <v>530</v>
      </c>
      <c r="CQ766" s="0" t="s">
        <v>220</v>
      </c>
      <c r="CR766" s="0" t="n">
        <v>1</v>
      </c>
      <c r="CT766" s="0" t="s">
        <v>221</v>
      </c>
      <c r="CV766" s="0" t="str">
        <f aca="false">IF(OR(CT766="",CT766="NO ESPECIFICA",CT766="NO MENCIONA"),"",IF(CU766=0,CT766,IF(CU766=1,CT766/30,IF(CU766=2,CT766/15,IF(CU766=3,CT766/7,"")))))</f>
        <v/>
      </c>
      <c r="CW766" s="125" t="n">
        <v>14120</v>
      </c>
      <c r="CX766" s="0" t="n">
        <v>1</v>
      </c>
      <c r="CY766" s="0" t="n">
        <f aca="false">IF(CW766="","",IF(CX766=0,CW766,IF(CX766=1,CW766/30,IF(CX766=2,CW766/15,IF(CX766=3,CW766/7,CW766)))))</f>
        <v>470.666666666667</v>
      </c>
      <c r="CZ766" s="0" t="n">
        <f aca="false">IF(DI766&gt;0,DI766,IF(CY766&gt;0,CY766,IF(CV766&gt;0,CV766,"")))</f>
        <v>470.66</v>
      </c>
      <c r="DA766" s="0" t="n">
        <f aca="false">IF(DM766=1,CZ766/8,IF(OR(DM766=2,DM766=4),CZ766/7,IF(DM766=3,CZ766/7.5,"")))</f>
        <v>62.7546666666667</v>
      </c>
      <c r="DB766" s="0" t="s">
        <v>216</v>
      </c>
      <c r="DC766" s="0" t="s">
        <v>216</v>
      </c>
      <c r="DD766" s="0" t="s">
        <v>216</v>
      </c>
      <c r="DE766" s="0" t="s">
        <v>216</v>
      </c>
      <c r="DF766" s="0" t="s">
        <v>216</v>
      </c>
      <c r="DG766" s="0" t="s">
        <v>216</v>
      </c>
      <c r="DH766" s="0" t="n">
        <v>0</v>
      </c>
      <c r="DI766" s="126" t="n">
        <v>470.66</v>
      </c>
      <c r="DK766" s="0" t="n">
        <v>0</v>
      </c>
      <c r="DM766" s="0" t="n">
        <v>3</v>
      </c>
      <c r="DN766" s="0" t="n">
        <v>72</v>
      </c>
      <c r="DO766" s="0" t="n">
        <v>3</v>
      </c>
      <c r="DP766" s="0" t="n">
        <v>1</v>
      </c>
      <c r="DQ766" s="0" t="n">
        <v>1</v>
      </c>
      <c r="DR766" s="0"/>
      <c r="DS766" s="0" t="n">
        <v>1</v>
      </c>
      <c r="DU766" s="0" t="n">
        <v>0</v>
      </c>
      <c r="DW766" s="1" t="n">
        <v>39952</v>
      </c>
      <c r="DX766" s="1" t="n">
        <v>40126</v>
      </c>
      <c r="DZ766" s="0"/>
      <c r="EA766" s="0" t="n">
        <v>1</v>
      </c>
      <c r="EC766" s="1" t="n">
        <v>39814</v>
      </c>
      <c r="ED766" s="1" t="n">
        <v>40126</v>
      </c>
      <c r="EF766" s="0"/>
      <c r="EG766" s="0" t="n">
        <v>0</v>
      </c>
      <c r="EI766" s="0" t="n">
        <f aca="false">IF(AND(DM766=1,DN766&lt;=48),"",IF(AND(DM766=2,DN766&lt;=42),"",IF(AND(DM766=3,DN766&lt;=45),"",EH766)))</f>
        <v>0</v>
      </c>
      <c r="EJ766" s="0" t="str">
        <f aca="false">IF(EI766="","",IF(EI766&lt;9,EI766,9))</f>
        <v/>
      </c>
      <c r="EK766" s="0" t="str">
        <f aca="false">IF(EI766="","",IF(EI766&gt;9,EI766-EJ766,0))</f>
        <v/>
      </c>
      <c r="EL766" s="0" t="str">
        <f aca="false">IF(EI766="","",EJ766*DA766*2+EK766*DA766*3)</f>
        <v/>
      </c>
      <c r="EP766" s="0" t="n">
        <v>1</v>
      </c>
      <c r="EQ766" s="0"/>
      <c r="ER766" s="0" t="n">
        <v>0</v>
      </c>
      <c r="ET766" s="0" t="n">
        <v>0</v>
      </c>
      <c r="EV766" s="0" t="n">
        <v>0</v>
      </c>
      <c r="EX766" s="0" t="n">
        <v>1</v>
      </c>
      <c r="EY766" s="0" t="n">
        <v>0</v>
      </c>
      <c r="EZ766" s="0"/>
      <c r="FA766" s="4" t="n">
        <v>0</v>
      </c>
      <c r="FB766" s="0" t="n">
        <v>0</v>
      </c>
      <c r="FC766" s="1"/>
      <c r="FF766" s="120" t="n">
        <f aca="false">(CJ766-CI766+1)/365</f>
        <v>1.47945205479452</v>
      </c>
      <c r="FG766" s="0" t="str">
        <f aca="false">CONCATENATE(F766,"/",G766)</f>
        <v>87/2011</v>
      </c>
      <c r="FH766" s="0" t="n">
        <v>1</v>
      </c>
      <c r="FI766" s="0" t="n">
        <f aca="false">IFERROR(IF((FC766-J766+1)/365&gt;3,0,1),"")</f>
        <v>1</v>
      </c>
    </row>
    <row r="767" customFormat="false" ht="15" hidden="false" customHeight="false" outlineLevel="0" collapsed="false">
      <c r="A767" s="5" t="str">
        <f aca="false">E767&amp;G767&amp;F767</f>
        <v>7201187</v>
      </c>
      <c r="B767" s="0" t="s">
        <v>203</v>
      </c>
      <c r="C767" s="1" t="n">
        <v>42354</v>
      </c>
      <c r="D767" s="0" t="s">
        <v>1856</v>
      </c>
      <c r="E767" s="0" t="n">
        <v>7</v>
      </c>
      <c r="F767" s="0" t="n">
        <v>87</v>
      </c>
      <c r="G767" s="0" t="n">
        <v>2011</v>
      </c>
      <c r="H767" s="0" t="str">
        <f aca="false">"J"&amp;E767&amp;"\"&amp;F767&amp;"\"&amp;G767&amp;"\"&amp;W767</f>
        <v>J7\87\2011\2</v>
      </c>
      <c r="I767" s="0" t="n">
        <v>40557</v>
      </c>
      <c r="J767" s="1" t="n">
        <v>40149</v>
      </c>
      <c r="M767" s="1"/>
      <c r="N767" s="1"/>
      <c r="O767" s="1"/>
      <c r="P767" s="1"/>
      <c r="Q767" s="1"/>
      <c r="T767" s="121"/>
      <c r="U767" s="121"/>
      <c r="V767" s="122" t="n">
        <f aca="false">IF(AND(E767&gt;0,F767&gt;0,G767&gt;0),COUNTIFS($E:$E,E767,$F:$F,F767,$G:$G,G767),"")</f>
        <v>2</v>
      </c>
      <c r="W767" s="122" t="n">
        <f aca="false">IF(V767="","",IF(V767=1,1,IF(AND(E766=E767,F766=F767,G766=G767),W766+1,1)))</f>
        <v>2</v>
      </c>
      <c r="X767" s="0" t="n">
        <v>2</v>
      </c>
      <c r="Y767" s="0" t="n">
        <v>3</v>
      </c>
      <c r="Z767" s="0" t="s">
        <v>7062</v>
      </c>
      <c r="AA767" s="0" t="n">
        <v>0</v>
      </c>
      <c r="AB767" s="0" t="s">
        <v>7053</v>
      </c>
      <c r="AC767" s="0" t="s">
        <v>318</v>
      </c>
      <c r="AE767" s="0" t="n">
        <v>0</v>
      </c>
      <c r="AF767" s="0" t="s">
        <v>7054</v>
      </c>
      <c r="AG767" s="0" t="n">
        <v>1</v>
      </c>
      <c r="AH767" s="0" t="s">
        <v>7055</v>
      </c>
      <c r="AI767" s="0" t="s">
        <v>7056</v>
      </c>
      <c r="AJ767" s="0" t="s">
        <v>519</v>
      </c>
      <c r="AL767" s="0" t="s">
        <v>249</v>
      </c>
      <c r="AM767" s="0" t="n">
        <v>0</v>
      </c>
      <c r="AN767" s="0" t="s">
        <v>7057</v>
      </c>
      <c r="AO767" s="0" t="s">
        <v>7058</v>
      </c>
      <c r="AP767" s="0" t="s">
        <v>411</v>
      </c>
      <c r="AR767" s="0" t="s">
        <v>412</v>
      </c>
      <c r="AS767" s="0" t="n">
        <v>0</v>
      </c>
      <c r="AT767" s="0" t="s">
        <v>437</v>
      </c>
      <c r="AU767" s="0" t="s">
        <v>438</v>
      </c>
      <c r="AV767" s="0" t="s">
        <v>352</v>
      </c>
      <c r="BR767" s="0" t="n">
        <v>1</v>
      </c>
      <c r="BS767" s="0" t="s">
        <v>7059</v>
      </c>
      <c r="BT767" s="0" t="s">
        <v>216</v>
      </c>
      <c r="BU767" s="0" t="s">
        <v>216</v>
      </c>
      <c r="BV767" s="123"/>
      <c r="BW767" s="123"/>
      <c r="BX767" s="123"/>
      <c r="BY767" s="123"/>
      <c r="CA767" s="0" t="s">
        <v>216</v>
      </c>
      <c r="CD767" s="0" t="s">
        <v>1155</v>
      </c>
      <c r="CE767" s="0" t="n">
        <v>0</v>
      </c>
      <c r="CF767" s="0" t="s">
        <v>7060</v>
      </c>
      <c r="CG767" s="0" t="s">
        <v>218</v>
      </c>
      <c r="CI767" s="1" t="n">
        <v>39640</v>
      </c>
      <c r="CJ767" s="1" t="n">
        <v>40126</v>
      </c>
      <c r="CK767" s="124" t="n">
        <v>0.520833333333333</v>
      </c>
      <c r="CL767" s="0" t="s">
        <v>7061</v>
      </c>
      <c r="CM767" s="0" t="n">
        <f aca="false">IF(OR(CI767="",CJ767=""),"",DAYS360(CI767,CJ767)/360)</f>
        <v>1.32777777777778</v>
      </c>
      <c r="CN767" s="0" t="n">
        <f aca="false">IF(OR(CI767="",CJ767=""),"",DAYS360(CI767,CJ767)/30)</f>
        <v>15.9333333333333</v>
      </c>
      <c r="CO767" s="0" t="n">
        <f aca="false">IF(OR(CI767="",CJ767=""),"",DAYS360(CI767,CJ767)/7)</f>
        <v>68.2857142857143</v>
      </c>
      <c r="CP767" s="0" t="n">
        <f aca="false">IF(OR(CI767="",CJ767=""),"",DAYS360(CI767,CJ767))</f>
        <v>478</v>
      </c>
      <c r="CQ767" s="0" t="s">
        <v>220</v>
      </c>
      <c r="CR767" s="0" t="n">
        <v>1</v>
      </c>
      <c r="CT767" s="0" t="s">
        <v>221</v>
      </c>
      <c r="CV767" s="0" t="str">
        <f aca="false">IF(OR(CT767="",CT767="NO ESPECIFICA",CT767="NO MENCIONA"),"",IF(CU767=0,CT767,IF(CU767=1,CT767/30,IF(CU767=2,CT767/15,IF(CU767=3,CT767/7,"")))))</f>
        <v/>
      </c>
      <c r="CW767" s="125" t="n">
        <v>14000</v>
      </c>
      <c r="CX767" s="0" t="n">
        <v>1</v>
      </c>
      <c r="CY767" s="0" t="n">
        <f aca="false">IF(CW767="","",IF(CX767=0,CW767,IF(CX767=1,CW767/30,IF(CX767=2,CW767/15,IF(CX767=3,CW767/7,CW767)))))</f>
        <v>466.666666666667</v>
      </c>
      <c r="CZ767" s="0" t="n">
        <f aca="false">IF(DI767&gt;0,DI767,IF(CY767&gt;0,CY767,IF(CV767&gt;0,CV767,"")))</f>
        <v>466.66</v>
      </c>
      <c r="DA767" s="0" t="n">
        <f aca="false">IF(DM767=1,CZ767/8,IF(OR(DM767=2,DM767=4),CZ767/7,IF(DM767=3,CZ767/7.5,"")))</f>
        <v>62.2213333333333</v>
      </c>
      <c r="DB767" s="0" t="s">
        <v>216</v>
      </c>
      <c r="DC767" s="0" t="s">
        <v>216</v>
      </c>
      <c r="DD767" s="0" t="s">
        <v>216</v>
      </c>
      <c r="DE767" s="0" t="s">
        <v>216</v>
      </c>
      <c r="DF767" s="0" t="s">
        <v>216</v>
      </c>
      <c r="DG767" s="0" t="s">
        <v>216</v>
      </c>
      <c r="DH767" s="0" t="n">
        <v>0</v>
      </c>
      <c r="DI767" s="126" t="n">
        <v>466.66</v>
      </c>
      <c r="DK767" s="0" t="n">
        <v>0</v>
      </c>
      <c r="DM767" s="0" t="n">
        <v>3</v>
      </c>
      <c r="DN767" s="0" t="n">
        <v>72</v>
      </c>
      <c r="DO767" s="0" t="n">
        <v>3</v>
      </c>
      <c r="DP767" s="0" t="n">
        <v>1</v>
      </c>
      <c r="DQ767" s="0" t="n">
        <v>1</v>
      </c>
      <c r="DR767" s="0"/>
      <c r="DS767" s="0" t="n">
        <v>1</v>
      </c>
      <c r="DU767" s="0" t="n">
        <v>0</v>
      </c>
      <c r="DW767" s="1" t="n">
        <v>40005</v>
      </c>
      <c r="DX767" s="1" t="n">
        <v>40126</v>
      </c>
      <c r="DZ767" s="0"/>
      <c r="EA767" s="0" t="n">
        <v>1</v>
      </c>
      <c r="EC767" s="1" t="n">
        <v>39814</v>
      </c>
      <c r="ED767" s="1" t="n">
        <v>40126</v>
      </c>
      <c r="EF767" s="0"/>
      <c r="EG767" s="0" t="n">
        <v>0</v>
      </c>
      <c r="EI767" s="0" t="n">
        <f aca="false">IF(AND(DM767=1,DN767&lt;=48),"",IF(AND(DM767=2,DN767&lt;=42),"",IF(AND(DM767=3,DN767&lt;=45),"",EH767)))</f>
        <v>0</v>
      </c>
      <c r="EJ767" s="0" t="str">
        <f aca="false">IF(EI767="","",IF(EI767&lt;9,EI767,9))</f>
        <v/>
      </c>
      <c r="EK767" s="0" t="str">
        <f aca="false">IF(EI767="","",IF(EI767&gt;9,EI767-EJ767,0))</f>
        <v/>
      </c>
      <c r="EL767" s="0" t="str">
        <f aca="false">IF(EI767="","",EJ767*DA767*2+EK767*DA767*3)</f>
        <v/>
      </c>
      <c r="EP767" s="0" t="n">
        <v>1</v>
      </c>
      <c r="EQ767" s="0"/>
      <c r="ER767" s="0" t="n">
        <v>0</v>
      </c>
      <c r="ET767" s="0" t="n">
        <v>0</v>
      </c>
      <c r="EV767" s="0" t="n">
        <v>0</v>
      </c>
      <c r="EX767" s="0" t="n">
        <v>1</v>
      </c>
      <c r="EY767" s="0" t="n">
        <v>0</v>
      </c>
      <c r="EZ767" s="0"/>
      <c r="FA767" s="4" t="n">
        <v>0</v>
      </c>
      <c r="FB767" s="0" t="n">
        <v>0</v>
      </c>
      <c r="FC767" s="1"/>
      <c r="FF767" s="120" t="n">
        <f aca="false">(CJ767-CI767+1)/365</f>
        <v>1.33424657534247</v>
      </c>
      <c r="FG767" s="0" t="str">
        <f aca="false">CONCATENATE(F767,"/",G767)</f>
        <v>87/2011</v>
      </c>
      <c r="FH767" s="0" t="n">
        <v>1</v>
      </c>
      <c r="FI767" s="0" t="n">
        <f aca="false">IFERROR(IF((FC767-J767+1)/365&gt;3,0,1),"")</f>
        <v>1</v>
      </c>
    </row>
    <row r="768" customFormat="false" ht="15" hidden="false" customHeight="false" outlineLevel="0" collapsed="false">
      <c r="A768" s="5" t="str">
        <f aca="false">E768&amp;G768&amp;F768</f>
        <v>7201190</v>
      </c>
      <c r="B768" s="0" t="s">
        <v>203</v>
      </c>
      <c r="C768" s="1" t="n">
        <v>42354</v>
      </c>
      <c r="E768" s="0" t="n">
        <v>7</v>
      </c>
      <c r="F768" s="0" t="n">
        <v>90</v>
      </c>
      <c r="G768" s="0" t="n">
        <v>2011</v>
      </c>
      <c r="H768" s="0" t="str">
        <f aca="false">"J"&amp;E768&amp;"\"&amp;F768&amp;"\"&amp;G768&amp;"\"&amp;W768</f>
        <v>J7\90\2011\1</v>
      </c>
      <c r="I768" s="0"/>
      <c r="J768" s="1" t="n">
        <v>40557</v>
      </c>
      <c r="K768" s="0" t="n">
        <v>1</v>
      </c>
      <c r="L768" s="0" t="s">
        <v>528</v>
      </c>
      <c r="M768" s="1" t="n">
        <v>40557</v>
      </c>
      <c r="N768" s="1" t="n">
        <v>40617</v>
      </c>
      <c r="O768" s="1"/>
      <c r="P768" s="1"/>
      <c r="Q768" s="1"/>
      <c r="T768" s="121"/>
      <c r="U768" s="121"/>
      <c r="V768" s="122" t="n">
        <f aca="false">IF(AND(E768&gt;0,F768&gt;0,G768&gt;0),COUNTIFS($E:$E,E768,$F:$F,F768,$G:$G,G768),"")</f>
        <v>1</v>
      </c>
      <c r="W768" s="122" t="n">
        <f aca="false">IF(V768="","",IF(V768=1,1,IF(AND(E767=E768,F767=F768,G767=G768),W767+1,1)))</f>
        <v>1</v>
      </c>
      <c r="X768" s="0" t="n">
        <v>1</v>
      </c>
      <c r="Y768" s="0" t="n">
        <v>4</v>
      </c>
      <c r="Z768" s="0" t="s">
        <v>7063</v>
      </c>
      <c r="AA768" s="0" t="n">
        <v>0</v>
      </c>
      <c r="AB768" s="0" t="s">
        <v>7064</v>
      </c>
      <c r="AC768" s="0" t="s">
        <v>1160</v>
      </c>
      <c r="AD768" s="0" t="s">
        <v>229</v>
      </c>
      <c r="AE768" s="0" t="n">
        <v>0</v>
      </c>
      <c r="AF768" s="0" t="s">
        <v>7065</v>
      </c>
      <c r="AG768" s="0" t="n">
        <v>0</v>
      </c>
      <c r="AH768" s="0" t="s">
        <v>7066</v>
      </c>
      <c r="AI768" s="0" t="s">
        <v>287</v>
      </c>
      <c r="AJ768" s="0" t="s">
        <v>207</v>
      </c>
      <c r="AL768" s="0" t="s">
        <v>7067</v>
      </c>
      <c r="AM768" s="0" t="n">
        <v>1</v>
      </c>
      <c r="AN768" s="0" t="s">
        <v>7066</v>
      </c>
      <c r="AO768" s="0" t="s">
        <v>287</v>
      </c>
      <c r="AP768" s="0" t="s">
        <v>207</v>
      </c>
      <c r="AR768" s="0" t="s">
        <v>7068</v>
      </c>
      <c r="AS768" s="0" t="n">
        <v>1</v>
      </c>
      <c r="AT768" s="0" t="s">
        <v>7066</v>
      </c>
      <c r="AU768" s="0" t="s">
        <v>287</v>
      </c>
      <c r="AV768" s="0" t="s">
        <v>207</v>
      </c>
      <c r="AX768" s="0" t="s">
        <v>213</v>
      </c>
      <c r="AY768" s="0" t="n">
        <v>1</v>
      </c>
      <c r="AZ768" s="0" t="s">
        <v>7066</v>
      </c>
      <c r="BA768" s="0" t="s">
        <v>287</v>
      </c>
      <c r="BB768" s="0" t="s">
        <v>207</v>
      </c>
      <c r="BR768" s="0" t="n">
        <v>1</v>
      </c>
      <c r="BS768" s="0" t="s">
        <v>7069</v>
      </c>
      <c r="BT768" s="0" t="s">
        <v>7070</v>
      </c>
      <c r="BU768" s="0" t="s">
        <v>7071</v>
      </c>
      <c r="BV768" s="123"/>
      <c r="BW768" s="123"/>
      <c r="BX768" s="123"/>
      <c r="BY768" s="123"/>
      <c r="CA768" s="0" t="s">
        <v>216</v>
      </c>
      <c r="CD768" s="0" t="s">
        <v>216</v>
      </c>
      <c r="CE768" s="0" t="n">
        <v>0</v>
      </c>
      <c r="CF768" s="0" t="s">
        <v>7072</v>
      </c>
      <c r="CG768" s="0" t="s">
        <v>218</v>
      </c>
      <c r="CI768" s="1" t="n">
        <v>39646</v>
      </c>
      <c r="CJ768" s="1" t="n">
        <v>40497</v>
      </c>
      <c r="CK768" s="124" t="n">
        <v>0.333333333333333</v>
      </c>
      <c r="CL768" s="0" t="s">
        <v>7068</v>
      </c>
      <c r="CM768" s="0" t="n">
        <f aca="false">IF(OR(CI768="",CJ768=""),"",DAYS360(CI768,CJ768)/360)</f>
        <v>2.32777777777778</v>
      </c>
      <c r="CN768" s="0" t="n">
        <f aca="false">IF(OR(CI768="",CJ768=""),"",DAYS360(CI768,CJ768)/30)</f>
        <v>27.9333333333333</v>
      </c>
      <c r="CO768" s="0" t="n">
        <f aca="false">IF(OR(CI768="",CJ768=""),"",DAYS360(CI768,CJ768)/7)</f>
        <v>119.714285714286</v>
      </c>
      <c r="CP768" s="0" t="n">
        <f aca="false">IF(OR(CI768="",CJ768=""),"",DAYS360(CI768,CJ768))</f>
        <v>838</v>
      </c>
      <c r="CQ768" s="0" t="s">
        <v>220</v>
      </c>
      <c r="CR768" s="0" t="n">
        <v>1</v>
      </c>
      <c r="CT768" s="0" t="s">
        <v>221</v>
      </c>
      <c r="CV768" s="0" t="str">
        <f aca="false">IF(OR(CT768="",CT768="NO ESPECIFICA",CT768="NO MENCIONA"),"",IF(CU768=0,CT768,IF(CU768=1,CT768/30,IF(CU768=2,CT768/15,IF(CU768=3,CT768/7,"")))))</f>
        <v/>
      </c>
      <c r="CW768" s="125" t="n">
        <v>50000</v>
      </c>
      <c r="CX768" s="0" t="n">
        <v>1</v>
      </c>
      <c r="CY768" s="0" t="n">
        <f aca="false">IF(CW768="","",IF(CX768=0,CW768,IF(CX768=1,CW768/30,IF(CX768=2,CW768/15,IF(CX768=3,CW768/7,CW768)))))</f>
        <v>1666.66666666667</v>
      </c>
      <c r="CZ768" s="0" t="n">
        <f aca="false">IF(DI768&gt;0,DI768,IF(CY768&gt;0,CY768,IF(CV768&gt;0,CV768,"")))</f>
        <v>3333.33</v>
      </c>
      <c r="DA768" s="0" t="n">
        <f aca="false">IF(DM768=1,CZ768/8,IF(OR(DM768=2,DM768=4),CZ768/7,IF(DM768=3,CZ768/7.5,"")))</f>
        <v>416.66625</v>
      </c>
      <c r="DB768" s="0" t="s">
        <v>7073</v>
      </c>
      <c r="DD768" s="0" t="s">
        <v>216</v>
      </c>
      <c r="DE768" s="0" t="s">
        <v>216</v>
      </c>
      <c r="DF768" s="0" t="s">
        <v>216</v>
      </c>
      <c r="DG768" s="0" t="s">
        <v>216</v>
      </c>
      <c r="DH768" s="0" t="n">
        <v>0</v>
      </c>
      <c r="DI768" s="126" t="n">
        <v>3333.33</v>
      </c>
      <c r="DK768" s="0" t="n">
        <v>0</v>
      </c>
      <c r="DM768" s="0" t="n">
        <v>1</v>
      </c>
      <c r="DN768" s="0" t="n">
        <v>50</v>
      </c>
      <c r="DO768" s="0" t="n">
        <v>3</v>
      </c>
      <c r="DP768" s="0" t="n">
        <v>1</v>
      </c>
      <c r="DQ768" s="0" t="n">
        <v>1</v>
      </c>
      <c r="DR768" s="0"/>
      <c r="DS768" s="0" t="n">
        <v>1</v>
      </c>
      <c r="DU768" s="0" t="n">
        <v>1</v>
      </c>
      <c r="DW768" s="1" t="n">
        <v>39646</v>
      </c>
      <c r="DX768" s="1" t="n">
        <v>40497</v>
      </c>
      <c r="DZ768" s="0"/>
      <c r="EA768" s="0" t="n">
        <v>1</v>
      </c>
      <c r="EC768" s="1" t="n">
        <v>39646</v>
      </c>
      <c r="ED768" s="1" t="n">
        <v>40497</v>
      </c>
      <c r="EF768" s="0"/>
      <c r="EG768" s="0" t="n">
        <v>1</v>
      </c>
      <c r="EI768" s="0" t="n">
        <f aca="false">IF(AND(DM768=1,DN768&lt;=48),"",IF(AND(DM768=2,DN768&lt;=42),"",IF(AND(DM768=3,DN768&lt;=45),"",EH768)))</f>
        <v>0</v>
      </c>
      <c r="EJ768" s="0" t="str">
        <f aca="false">IF(EI768="","",IF(EI768&lt;9,EI768,9))</f>
        <v/>
      </c>
      <c r="EK768" s="0" t="str">
        <f aca="false">IF(EI768="","",IF(EI768&gt;9,EI768-EJ768,0))</f>
        <v/>
      </c>
      <c r="EL768" s="0" t="str">
        <f aca="false">IF(EI768="","",EJ768*DA768*2+EK768*DA768*3)</f>
        <v/>
      </c>
      <c r="EP768" s="0" t="n">
        <v>1</v>
      </c>
      <c r="EQ768" s="0"/>
      <c r="ER768" s="0" t="n">
        <v>0</v>
      </c>
      <c r="ET768" s="0" t="n">
        <v>0</v>
      </c>
      <c r="EV768" s="0" t="n">
        <v>0</v>
      </c>
      <c r="EX768" s="0" t="n">
        <v>0</v>
      </c>
      <c r="EY768" s="0" t="n">
        <v>1</v>
      </c>
      <c r="EZ768" s="0"/>
      <c r="FA768" s="4" t="n">
        <v>149999.9</v>
      </c>
      <c r="FB768" s="0" t="n">
        <v>0</v>
      </c>
      <c r="FC768" s="1" t="n">
        <v>41439</v>
      </c>
      <c r="FD768" s="0" t="n">
        <v>1</v>
      </c>
      <c r="FE768" s="0" t="n">
        <v>115000</v>
      </c>
      <c r="FF768" s="120" t="n">
        <f aca="false">(CJ768-CI768+1)/365</f>
        <v>2.33424657534247</v>
      </c>
      <c r="FG768" s="0" t="str">
        <f aca="false">CONCATENATE(F768,"/",G768)</f>
        <v>90/2011</v>
      </c>
      <c r="FH768" s="0" t="n">
        <v>1</v>
      </c>
      <c r="FI768" s="0" t="n">
        <f aca="false">IFERROR(IF((FC768-J768+1)/365&gt;3,0,1),"")</f>
        <v>1</v>
      </c>
    </row>
    <row r="769" customFormat="false" ht="15" hidden="false" customHeight="false" outlineLevel="0" collapsed="false">
      <c r="A769" s="5" t="str">
        <f aca="false">E769&amp;G769&amp;F769</f>
        <v>7201195</v>
      </c>
      <c r="B769" s="0" t="s">
        <v>203</v>
      </c>
      <c r="C769" s="1" t="n">
        <v>42354</v>
      </c>
      <c r="E769" s="0" t="n">
        <v>7</v>
      </c>
      <c r="F769" s="0" t="n">
        <v>95</v>
      </c>
      <c r="G769" s="0" t="n">
        <v>2011</v>
      </c>
      <c r="H769" s="0" t="str">
        <f aca="false">"J"&amp;E769&amp;"\"&amp;F769&amp;"\"&amp;G769&amp;"\"&amp;W769</f>
        <v>J7\95\2011\1</v>
      </c>
      <c r="I769" s="0"/>
      <c r="J769" s="1" t="n">
        <v>40557</v>
      </c>
      <c r="K769" s="0" t="n">
        <v>0</v>
      </c>
      <c r="M769" s="1" t="n">
        <v>40557</v>
      </c>
      <c r="N769" s="1" t="n">
        <v>40617</v>
      </c>
      <c r="O769" s="1"/>
      <c r="P769" s="1"/>
      <c r="Q769" s="1"/>
      <c r="T769" s="121"/>
      <c r="U769" s="121"/>
      <c r="V769" s="122" t="n">
        <f aca="false">IF(AND(E769&gt;0,F769&gt;0,G769&gt;0),COUNTIFS($E:$E,E769,$F:$F,F769,$G:$G,G769),"")</f>
        <v>1</v>
      </c>
      <c r="W769" s="122" t="n">
        <f aca="false">IF(V769="","",IF(V769=1,1,IF(AND(E768=E769,F768=F769,G768=G769),W768+1,1)))</f>
        <v>1</v>
      </c>
      <c r="X769" s="0" t="n">
        <v>1</v>
      </c>
      <c r="Y769" s="0" t="n">
        <v>4</v>
      </c>
      <c r="Z769" s="0" t="s">
        <v>7074</v>
      </c>
      <c r="AA769" s="0" t="n">
        <v>0</v>
      </c>
      <c r="AB769" s="0" t="s">
        <v>348</v>
      </c>
      <c r="AE769" s="0" t="n">
        <v>0</v>
      </c>
      <c r="AF769" s="0" t="s">
        <v>7075</v>
      </c>
      <c r="AG769" s="0" t="n">
        <v>0</v>
      </c>
      <c r="AH769" s="0" t="s">
        <v>7076</v>
      </c>
      <c r="AI769" s="0" t="s">
        <v>2193</v>
      </c>
      <c r="AJ769" s="0" t="s">
        <v>352</v>
      </c>
      <c r="AL769" s="0" t="s">
        <v>7077</v>
      </c>
      <c r="AM769" s="0" t="n">
        <v>1</v>
      </c>
      <c r="AN769" s="0" t="s">
        <v>7076</v>
      </c>
      <c r="AO769" s="0" t="s">
        <v>2193</v>
      </c>
      <c r="AP769" s="0" t="s">
        <v>352</v>
      </c>
      <c r="AR769" s="0" t="s">
        <v>7078</v>
      </c>
      <c r="AS769" s="0" t="n">
        <v>1</v>
      </c>
      <c r="AT769" s="0" t="s">
        <v>7076</v>
      </c>
      <c r="AU769" s="0" t="s">
        <v>2193</v>
      </c>
      <c r="AV769" s="0" t="s">
        <v>352</v>
      </c>
      <c r="AX769" s="0" t="s">
        <v>213</v>
      </c>
      <c r="AY769" s="0" t="n">
        <v>1</v>
      </c>
      <c r="AZ769" s="0" t="s">
        <v>7076</v>
      </c>
      <c r="BA769" s="0" t="s">
        <v>2193</v>
      </c>
      <c r="BB769" s="0" t="s">
        <v>352</v>
      </c>
      <c r="BR769" s="0" t="n">
        <v>3</v>
      </c>
      <c r="BS769" s="0" t="s">
        <v>3213</v>
      </c>
      <c r="BT769" s="0" t="s">
        <v>426</v>
      </c>
      <c r="BU769" s="0" t="s">
        <v>501</v>
      </c>
      <c r="BV769" s="123"/>
      <c r="BW769" s="123"/>
      <c r="BX769" s="123"/>
      <c r="BY769" s="123"/>
      <c r="CA769" s="0" t="s">
        <v>348</v>
      </c>
      <c r="CD769" s="0" t="s">
        <v>256</v>
      </c>
      <c r="CE769" s="0" t="n">
        <v>0</v>
      </c>
      <c r="CF769" s="0" t="s">
        <v>7079</v>
      </c>
      <c r="CG769" s="0" t="s">
        <v>218</v>
      </c>
      <c r="CI769" s="1" t="n">
        <v>40265</v>
      </c>
      <c r="CJ769" s="1" t="n">
        <v>40506</v>
      </c>
      <c r="CK769" s="124" t="n">
        <v>0.520833333333333</v>
      </c>
      <c r="CL769" s="0" t="s">
        <v>7077</v>
      </c>
      <c r="CM769" s="0" t="n">
        <f aca="false">IF(OR(CI769="",CJ769=""),"",DAYS360(CI769,CJ769)/360)</f>
        <v>0.655555555555556</v>
      </c>
      <c r="CN769" s="0" t="n">
        <f aca="false">IF(OR(CI769="",CJ769=""),"",DAYS360(CI769,CJ769)/30)</f>
        <v>7.86666666666667</v>
      </c>
      <c r="CO769" s="0" t="n">
        <f aca="false">IF(OR(CI769="",CJ769=""),"",DAYS360(CI769,CJ769)/7)</f>
        <v>33.7142857142857</v>
      </c>
      <c r="CP769" s="0" t="n">
        <f aca="false">IF(OR(CI769="",CJ769=""),"",DAYS360(CI769,CJ769))</f>
        <v>236</v>
      </c>
      <c r="CQ769" s="0" t="s">
        <v>240</v>
      </c>
      <c r="CR769" s="0" t="n">
        <v>1</v>
      </c>
      <c r="CT769" s="0" t="n">
        <v>267.55</v>
      </c>
      <c r="CU769" s="0" t="n">
        <v>0</v>
      </c>
      <c r="CV769" s="0" t="n">
        <f aca="false">IF(OR(CT769="",CT769="NO ESPECIFICA",CT769="NO MENCIONA"),"",IF(CU769=0,CT769,IF(CU769=1,CT769/30,IF(CU769=2,CT769/15,IF(CU769=3,CT769/7,"")))))</f>
        <v>267.55</v>
      </c>
      <c r="CW769" s="125" t="n">
        <v>279.63</v>
      </c>
      <c r="CX769" s="0" t="n">
        <v>0</v>
      </c>
      <c r="CY769" s="0" t="n">
        <f aca="false">IF(CW769="","",IF(CX769=0,CW769,IF(CX769=1,CW769/30,IF(CX769=2,CW769/15,IF(CX769=3,CW769/7,CW769)))))</f>
        <v>279.63</v>
      </c>
      <c r="CZ769" s="0" t="n">
        <f aca="false">IF(DI769&gt;0,DI769,IF(CY769&gt;0,CY769,IF(CV769&gt;0,CV769,"")))</f>
        <v>279.63</v>
      </c>
      <c r="DA769" s="0" t="n">
        <f aca="false">IF(DM769=1,CZ769/8,IF(OR(DM769=2,DM769=4),CZ769/7,IF(DM769=3,CZ769/7.5,"")))</f>
        <v>39.9471428571429</v>
      </c>
      <c r="DB769" s="0" t="s">
        <v>216</v>
      </c>
      <c r="DC769" s="0" t="s">
        <v>216</v>
      </c>
      <c r="DD769" s="0" t="s">
        <v>216</v>
      </c>
      <c r="DE769" s="0" t="s">
        <v>216</v>
      </c>
      <c r="DF769" s="0" t="s">
        <v>216</v>
      </c>
      <c r="DG769" s="0" t="s">
        <v>216</v>
      </c>
      <c r="DH769" s="0" t="n">
        <v>0</v>
      </c>
      <c r="DI769" s="126" t="n">
        <v>279.63</v>
      </c>
      <c r="DK769" s="0" t="n">
        <v>0</v>
      </c>
      <c r="DM769" s="0" t="n">
        <v>2</v>
      </c>
      <c r="DN769" s="0" t="n">
        <v>140</v>
      </c>
      <c r="DO769" s="0" t="n">
        <v>3</v>
      </c>
      <c r="DP769" s="0" t="n">
        <v>0</v>
      </c>
      <c r="DQ769" s="0" t="n">
        <v>1</v>
      </c>
      <c r="DR769" s="0"/>
      <c r="DS769" s="0" t="n">
        <v>1</v>
      </c>
      <c r="DU769" s="0" t="n">
        <v>1</v>
      </c>
      <c r="DW769" s="1" t="n">
        <v>40265</v>
      </c>
      <c r="DX769" s="1" t="n">
        <v>40506</v>
      </c>
      <c r="DZ769" s="0"/>
      <c r="EA769" s="0" t="n">
        <v>1</v>
      </c>
      <c r="EC769" s="1" t="n">
        <v>40265</v>
      </c>
      <c r="ED769" s="1" t="n">
        <v>40506</v>
      </c>
      <c r="EF769" s="0"/>
      <c r="EG769" s="0" t="n">
        <v>0</v>
      </c>
      <c r="EI769" s="0" t="n">
        <f aca="false">IF(AND(DM769=1,DN769&lt;=48),"",IF(AND(DM769=2,DN769&lt;=42),"",IF(AND(DM769=3,DN769&lt;=45),"",EH769)))</f>
        <v>0</v>
      </c>
      <c r="EJ769" s="0" t="str">
        <f aca="false">IF(EI769="","",IF(EI769&lt;9,EI769,9))</f>
        <v/>
      </c>
      <c r="EK769" s="0" t="str">
        <f aca="false">IF(EI769="","",IF(EI769&gt;9,EI769-EJ769,0))</f>
        <v/>
      </c>
      <c r="EL769" s="0" t="str">
        <f aca="false">IF(EI769="","",EJ769*DA769*2+EK769*DA769*3)</f>
        <v/>
      </c>
      <c r="EP769" s="0" t="n">
        <v>0</v>
      </c>
      <c r="EQ769" s="0"/>
      <c r="ER769" s="0" t="n">
        <v>0</v>
      </c>
      <c r="ET769" s="0" t="n">
        <v>0</v>
      </c>
      <c r="EV769" s="0" t="n">
        <v>0</v>
      </c>
      <c r="EX769" s="0" t="n">
        <v>0</v>
      </c>
      <c r="EY769" s="0" t="n">
        <v>0</v>
      </c>
      <c r="EZ769" s="0"/>
      <c r="FA769" s="4" t="n">
        <v>0</v>
      </c>
      <c r="FB769" s="0" t="n">
        <v>0</v>
      </c>
      <c r="FC769" s="1" t="n">
        <v>41281</v>
      </c>
      <c r="FD769" s="0" t="n">
        <v>4</v>
      </c>
      <c r="FE769" s="0" t="n">
        <v>0</v>
      </c>
      <c r="FF769" s="120" t="n">
        <f aca="false">(CJ769-CI769+1)/365</f>
        <v>0.663013698630137</v>
      </c>
      <c r="FG769" s="0" t="str">
        <f aca="false">CONCATENATE(F769,"/",G769)</f>
        <v>95/2011</v>
      </c>
      <c r="FH769" s="0" t="n">
        <v>1</v>
      </c>
      <c r="FI769" s="0" t="n">
        <f aca="false">IFERROR(IF((FC769-J769+1)/365&gt;3,0,1),"")</f>
        <v>1</v>
      </c>
    </row>
    <row r="770" customFormat="false" ht="15" hidden="false" customHeight="false" outlineLevel="0" collapsed="false">
      <c r="A770" s="5" t="str">
        <f aca="false">E770&amp;G770&amp;F770</f>
        <v>7201196</v>
      </c>
      <c r="B770" s="0" t="s">
        <v>203</v>
      </c>
      <c r="C770" s="1" t="n">
        <v>42354</v>
      </c>
      <c r="E770" s="0" t="n">
        <v>7</v>
      </c>
      <c r="F770" s="0" t="n">
        <v>96</v>
      </c>
      <c r="G770" s="0" t="n">
        <v>2011</v>
      </c>
      <c r="H770" s="0" t="str">
        <f aca="false">"J"&amp;E770&amp;"\"&amp;F770&amp;"\"&amp;G770&amp;"\"&amp;W770</f>
        <v>J7\96\2011\1</v>
      </c>
      <c r="I770" s="0"/>
      <c r="J770" s="1" t="n">
        <v>40557</v>
      </c>
      <c r="K770" s="0" t="n">
        <v>0</v>
      </c>
      <c r="M770" s="1" t="n">
        <v>40557</v>
      </c>
      <c r="N770" s="1" t="n">
        <v>40618</v>
      </c>
      <c r="O770" s="1"/>
      <c r="P770" s="1"/>
      <c r="Q770" s="1"/>
      <c r="T770" s="121"/>
      <c r="U770" s="121"/>
      <c r="V770" s="122" t="n">
        <f aca="false">IF(AND(E770&gt;0,F770&gt;0,G770&gt;0),COUNTIFS($E:$E,E770,$F:$F,F770,$G:$G,G770),"")</f>
        <v>1</v>
      </c>
      <c r="W770" s="122" t="n">
        <f aca="false">IF(V770="","",IF(V770=1,1,IF(AND(E769=E770,F769=F770,G769=G770),W769+1,1)))</f>
        <v>1</v>
      </c>
      <c r="X770" s="0" t="n">
        <v>1</v>
      </c>
      <c r="Y770" s="0" t="n">
        <v>3</v>
      </c>
      <c r="Z770" s="0" t="s">
        <v>7080</v>
      </c>
      <c r="AA770" s="0" t="n">
        <v>0</v>
      </c>
      <c r="AB770" s="0" t="s">
        <v>7081</v>
      </c>
      <c r="AC770" s="0" t="s">
        <v>1387</v>
      </c>
      <c r="AD770" s="0" t="s">
        <v>229</v>
      </c>
      <c r="AE770" s="0" t="n">
        <v>0</v>
      </c>
      <c r="AF770" s="0" t="s">
        <v>7082</v>
      </c>
      <c r="AG770" s="0" t="n">
        <v>0</v>
      </c>
      <c r="AH770" s="0" t="s">
        <v>7083</v>
      </c>
      <c r="AI770" s="0" t="s">
        <v>7084</v>
      </c>
      <c r="AJ770" s="0" t="s">
        <v>207</v>
      </c>
      <c r="AL770" s="0" t="s">
        <v>7085</v>
      </c>
      <c r="AM770" s="0" t="n">
        <v>1</v>
      </c>
      <c r="AN770" s="0" t="s">
        <v>7083</v>
      </c>
      <c r="AO770" s="0" t="s">
        <v>7084</v>
      </c>
      <c r="AP770" s="0" t="s">
        <v>207</v>
      </c>
      <c r="AR770" s="0" t="s">
        <v>213</v>
      </c>
      <c r="AS770" s="0" t="n">
        <v>1</v>
      </c>
      <c r="AT770" s="0" t="s">
        <v>7083</v>
      </c>
      <c r="AU770" s="0" t="s">
        <v>7084</v>
      </c>
      <c r="AV770" s="0" t="s">
        <v>207</v>
      </c>
      <c r="BR770" s="0" t="n">
        <v>1</v>
      </c>
      <c r="BS770" s="0" t="s">
        <v>7086</v>
      </c>
      <c r="BT770" s="0" t="s">
        <v>7087</v>
      </c>
      <c r="BU770" s="0" t="s">
        <v>7088</v>
      </c>
      <c r="BV770" s="123"/>
      <c r="BW770" s="123"/>
      <c r="BX770" s="123"/>
      <c r="BY770" s="123"/>
      <c r="CA770" s="0" t="s">
        <v>216</v>
      </c>
      <c r="CD770" s="0" t="s">
        <v>357</v>
      </c>
      <c r="CE770" s="0" t="n">
        <v>0</v>
      </c>
      <c r="CF770" s="0" t="s">
        <v>645</v>
      </c>
      <c r="CG770" s="0" t="s">
        <v>218</v>
      </c>
      <c r="CI770" s="1" t="n">
        <v>39926</v>
      </c>
      <c r="CJ770" s="1" t="n">
        <v>40345</v>
      </c>
      <c r="CK770" s="124" t="n">
        <v>0.5</v>
      </c>
      <c r="CL770" s="0" t="s">
        <v>7089</v>
      </c>
      <c r="CM770" s="0" t="n">
        <f aca="false">IF(OR(CI770="",CJ770=""),"",DAYS360(CI770,CJ770)/360)</f>
        <v>1.14722222222222</v>
      </c>
      <c r="CN770" s="0" t="n">
        <f aca="false">IF(OR(CI770="",CJ770=""),"",DAYS360(CI770,CJ770)/30)</f>
        <v>13.7666666666667</v>
      </c>
      <c r="CO770" s="0" t="n">
        <f aca="false">IF(OR(CI770="",CJ770=""),"",DAYS360(CI770,CJ770)/7)</f>
        <v>59</v>
      </c>
      <c r="CP770" s="0" t="n">
        <f aca="false">IF(OR(CI770="",CJ770=""),"",DAYS360(CI770,CJ770))</f>
        <v>413</v>
      </c>
      <c r="CQ770" s="0" t="s">
        <v>240</v>
      </c>
      <c r="CR770" s="0" t="n">
        <v>1</v>
      </c>
      <c r="CT770" s="0" t="n">
        <v>183.33</v>
      </c>
      <c r="CU770" s="0" t="n">
        <v>0</v>
      </c>
      <c r="CV770" s="0" t="n">
        <f aca="false">IF(OR(CT770="",CT770="NO ESPECIFICA",CT770="NO MENCIONA"),"",IF(CU770=0,CT770,IF(CU770=1,CT770/30,IF(CU770=2,CT770/15,IF(CU770=3,CT770/7,"")))))</f>
        <v>183.33</v>
      </c>
      <c r="CW770" s="125" t="n">
        <v>191.86</v>
      </c>
      <c r="CX770" s="0" t="n">
        <v>0</v>
      </c>
      <c r="CY770" s="0" t="n">
        <f aca="false">IF(CW770="","",IF(CX770=0,CW770,IF(CX770=1,CW770/30,IF(CX770=2,CW770/15,IF(CX770=3,CW770/7,CW770)))))</f>
        <v>191.86</v>
      </c>
      <c r="CZ770" s="0" t="n">
        <f aca="false">IF(DI770&gt;0,DI770,IF(CY770&gt;0,CY770,IF(CV770&gt;0,CV770,"")))</f>
        <v>191.86</v>
      </c>
      <c r="DA770" s="0" t="n">
        <f aca="false">IF(DM770=1,CZ770/8,IF(OR(DM770=2,DM770=4),CZ770/7,IF(DM770=3,CZ770/7.5,"")))</f>
        <v>23.9825</v>
      </c>
      <c r="DB770" s="0" t="s">
        <v>301</v>
      </c>
      <c r="DC770" s="0" t="s">
        <v>303</v>
      </c>
      <c r="DD770" s="0" t="s">
        <v>216</v>
      </c>
      <c r="DE770" s="0" t="s">
        <v>216</v>
      </c>
      <c r="DF770" s="0" t="s">
        <v>216</v>
      </c>
      <c r="DG770" s="0" t="s">
        <v>216</v>
      </c>
      <c r="DH770" s="0" t="n">
        <v>0</v>
      </c>
      <c r="DI770" s="126" t="n">
        <v>191.86</v>
      </c>
      <c r="DK770" s="0" t="n">
        <v>1</v>
      </c>
      <c r="DM770" s="0" t="n">
        <v>1</v>
      </c>
      <c r="DN770" s="0" t="n">
        <v>60</v>
      </c>
      <c r="DO770" s="0" t="n">
        <v>3</v>
      </c>
      <c r="DP770" s="0" t="n">
        <v>0</v>
      </c>
      <c r="DQ770" s="0" t="n">
        <v>1</v>
      </c>
      <c r="DR770" s="0"/>
      <c r="DS770" s="0" t="n">
        <v>1</v>
      </c>
      <c r="DU770" s="0" t="n">
        <v>1</v>
      </c>
      <c r="DW770" s="1" t="n">
        <v>39926</v>
      </c>
      <c r="DX770" s="1" t="n">
        <v>40345</v>
      </c>
      <c r="DZ770" s="0"/>
      <c r="EA770" s="0" t="n">
        <v>1</v>
      </c>
      <c r="EC770" s="1" t="n">
        <v>39926</v>
      </c>
      <c r="ED770" s="1" t="n">
        <v>40345</v>
      </c>
      <c r="EF770" s="0"/>
      <c r="EG770" s="0" t="n">
        <v>1</v>
      </c>
      <c r="EH770" s="0" t="n">
        <v>12</v>
      </c>
      <c r="EI770" s="0" t="n">
        <f aca="false">IF(AND(DM770=1,DN770&lt;=48),"",IF(AND(DM770=2,DN770&lt;=42),"",IF(AND(DM770=3,DN770&lt;=45),"",EH770)))</f>
        <v>12</v>
      </c>
      <c r="EJ770" s="0" t="n">
        <f aca="false">IF(EI770="","",IF(EI770&lt;9,EI770,9))</f>
        <v>9</v>
      </c>
      <c r="EK770" s="0" t="n">
        <f aca="false">IF(EI770="","",IF(EI770&gt;9,EI770-EJ770,0))</f>
        <v>3</v>
      </c>
      <c r="EL770" s="0" t="n">
        <f aca="false">IF(EI770="","",EJ770*DA770*2+EK770*DA770*3)</f>
        <v>647.5275</v>
      </c>
      <c r="EP770" s="0" t="n">
        <v>0</v>
      </c>
      <c r="EQ770" s="0"/>
      <c r="ER770" s="0" t="n">
        <v>0</v>
      </c>
      <c r="ET770" s="0" t="n">
        <v>1</v>
      </c>
      <c r="EV770" s="0" t="n">
        <v>0</v>
      </c>
      <c r="EX770" s="0" t="n">
        <v>0</v>
      </c>
      <c r="EY770" s="0" t="n">
        <v>0</v>
      </c>
      <c r="EZ770" s="0"/>
      <c r="FA770" s="4" t="n">
        <v>2302.32</v>
      </c>
      <c r="FB770" s="0" t="n">
        <v>1</v>
      </c>
      <c r="FC770" s="1" t="n">
        <v>40652</v>
      </c>
      <c r="FD770" s="0" t="n">
        <v>2</v>
      </c>
      <c r="FE770" s="0" t="n">
        <v>0</v>
      </c>
      <c r="FF770" s="120" t="n">
        <f aca="false">(CJ770-CI770+1)/365</f>
        <v>1.15068493150685</v>
      </c>
      <c r="FG770" s="0" t="str">
        <f aca="false">CONCATENATE(F770,"/",G770)</f>
        <v>96/2011</v>
      </c>
      <c r="FH770" s="0" t="n">
        <v>1</v>
      </c>
      <c r="FI770" s="0" t="n">
        <f aca="false">IFERROR(IF((FC770-J770+1)/365&gt;3,0,1),"")</f>
        <v>1</v>
      </c>
    </row>
    <row r="771" customFormat="false" ht="15" hidden="false" customHeight="false" outlineLevel="0" collapsed="false">
      <c r="A771" s="5" t="str">
        <f aca="false">E771&amp;G771&amp;F771</f>
        <v>7201197</v>
      </c>
      <c r="B771" s="0" t="s">
        <v>203</v>
      </c>
      <c r="C771" s="1" t="n">
        <v>42354</v>
      </c>
      <c r="E771" s="0" t="n">
        <v>7</v>
      </c>
      <c r="F771" s="0" t="n">
        <v>97</v>
      </c>
      <c r="G771" s="0" t="n">
        <v>2011</v>
      </c>
      <c r="H771" s="0" t="str">
        <f aca="false">"J"&amp;E771&amp;"\"&amp;F771&amp;"\"&amp;G771&amp;"\"&amp;W771</f>
        <v>J7\97\2011\1</v>
      </c>
      <c r="I771" s="0"/>
      <c r="J771" s="1" t="n">
        <v>40557</v>
      </c>
      <c r="K771" s="0" t="n">
        <v>1</v>
      </c>
      <c r="L771" s="0" t="s">
        <v>838</v>
      </c>
      <c r="M771" s="1" t="n">
        <v>40557</v>
      </c>
      <c r="N771" s="1" t="n">
        <v>40617</v>
      </c>
      <c r="O771" s="1"/>
      <c r="P771" s="1"/>
      <c r="Q771" s="1"/>
      <c r="T771" s="121"/>
      <c r="U771" s="121"/>
      <c r="V771" s="122" t="n">
        <f aca="false">IF(AND(E771&gt;0,F771&gt;0,G771&gt;0),COUNTIFS($E:$E,E771,$F:$F,F771,$G:$G,G771),"")</f>
        <v>1</v>
      </c>
      <c r="W771" s="122" t="n">
        <f aca="false">IF(V771="","",IF(V771=1,1,IF(AND(E770=E771,F770=F771,G770=G771),W770+1,1)))</f>
        <v>1</v>
      </c>
      <c r="X771" s="0" t="n">
        <v>1</v>
      </c>
      <c r="Y771" s="0" t="n">
        <v>4</v>
      </c>
      <c r="Z771" s="0" t="s">
        <v>7090</v>
      </c>
      <c r="AA771" s="0" t="n">
        <v>0</v>
      </c>
      <c r="AB771" s="0" t="s">
        <v>348</v>
      </c>
      <c r="AE771" s="0" t="n">
        <v>0</v>
      </c>
      <c r="AF771" s="0" t="s">
        <v>7091</v>
      </c>
      <c r="AG771" s="0" t="n">
        <v>0</v>
      </c>
      <c r="AH771" s="0" t="s">
        <v>7092</v>
      </c>
      <c r="AI771" s="0" t="s">
        <v>244</v>
      </c>
      <c r="AJ771" s="0" t="s">
        <v>229</v>
      </c>
      <c r="AL771" s="0" t="s">
        <v>7093</v>
      </c>
      <c r="AM771" s="0" t="n">
        <v>0</v>
      </c>
      <c r="AN771" s="0" t="s">
        <v>7092</v>
      </c>
      <c r="AO771" s="0" t="s">
        <v>244</v>
      </c>
      <c r="AP771" s="0" t="s">
        <v>229</v>
      </c>
      <c r="AR771" s="0" t="s">
        <v>7094</v>
      </c>
      <c r="AS771" s="0" t="n">
        <v>1</v>
      </c>
      <c r="AT771" s="0" t="s">
        <v>7092</v>
      </c>
      <c r="AU771" s="0" t="s">
        <v>244</v>
      </c>
      <c r="AV771" s="0" t="s">
        <v>229</v>
      </c>
      <c r="AX771" s="0" t="s">
        <v>213</v>
      </c>
      <c r="AY771" s="0" t="n">
        <v>1</v>
      </c>
      <c r="AZ771" s="0" t="s">
        <v>7092</v>
      </c>
      <c r="BA771" s="0" t="s">
        <v>244</v>
      </c>
      <c r="BB771" s="0" t="s">
        <v>229</v>
      </c>
      <c r="BR771" s="0" t="n">
        <v>3</v>
      </c>
      <c r="BS771" s="0" t="s">
        <v>3272</v>
      </c>
      <c r="BT771" s="0" t="s">
        <v>426</v>
      </c>
      <c r="BU771" s="0" t="s">
        <v>501</v>
      </c>
      <c r="BV771" s="123"/>
      <c r="BW771" s="123"/>
      <c r="BX771" s="123"/>
      <c r="BY771" s="123"/>
      <c r="CA771" s="0" t="s">
        <v>348</v>
      </c>
      <c r="CD771" s="0" t="s">
        <v>296</v>
      </c>
      <c r="CE771" s="0" t="n">
        <v>0</v>
      </c>
      <c r="CF771" s="0" t="s">
        <v>7095</v>
      </c>
      <c r="CG771" s="0" t="s">
        <v>218</v>
      </c>
      <c r="CI771" s="1" t="n">
        <v>40469</v>
      </c>
      <c r="CJ771" s="1" t="n">
        <v>40513</v>
      </c>
      <c r="CK771" s="124" t="n">
        <v>0.625</v>
      </c>
      <c r="CL771" s="0" t="s">
        <v>7094</v>
      </c>
      <c r="CM771" s="0" t="n">
        <f aca="false">IF(OR(CI771="",CJ771=""),"",DAYS360(CI771,CJ771)/360)</f>
        <v>0.119444444444444</v>
      </c>
      <c r="CN771" s="0" t="n">
        <f aca="false">IF(OR(CI771="",CJ771=""),"",DAYS360(CI771,CJ771)/30)</f>
        <v>1.43333333333333</v>
      </c>
      <c r="CO771" s="0" t="n">
        <f aca="false">IF(OR(CI771="",CJ771=""),"",DAYS360(CI771,CJ771)/7)</f>
        <v>6.14285714285714</v>
      </c>
      <c r="CP771" s="0" t="n">
        <f aca="false">IF(OR(CI771="",CJ771=""),"",DAYS360(CI771,CJ771))</f>
        <v>43</v>
      </c>
      <c r="CQ771" s="0" t="s">
        <v>240</v>
      </c>
      <c r="CR771" s="0" t="n">
        <v>1</v>
      </c>
      <c r="CT771" s="0" t="n">
        <v>433.34</v>
      </c>
      <c r="CU771" s="0" t="n">
        <v>0</v>
      </c>
      <c r="CV771" s="0" t="n">
        <f aca="false">IF(OR(CT771="",CT771="NO ESPECIFICA",CT771="NO MENCIONA"),"",IF(CU771=0,CT771,IF(CU771=1,CT771/30,IF(CU771=2,CT771/15,IF(CU771=3,CT771/7,"")))))</f>
        <v>433.34</v>
      </c>
      <c r="CW771" s="125" t="n">
        <v>458.23</v>
      </c>
      <c r="CX771" s="0" t="n">
        <v>0</v>
      </c>
      <c r="CY771" s="0" t="n">
        <f aca="false">IF(CW771="","",IF(CX771=0,CW771,IF(CX771=1,CW771/30,IF(CX771=2,CW771/15,IF(CX771=3,CW771/7,CW771)))))</f>
        <v>458.23</v>
      </c>
      <c r="CZ771" s="0" t="n">
        <f aca="false">IF(DI771&gt;0,DI771,IF(CY771&gt;0,CY771,IF(CV771&gt;0,CV771,"")))</f>
        <v>458.23</v>
      </c>
      <c r="DA771" s="0" t="n">
        <f aca="false">IF(DM771=1,CZ771/8,IF(OR(DM771=2,DM771=4),CZ771/7,IF(DM771=3,CZ771/7.5,"")))</f>
        <v>57.27875</v>
      </c>
      <c r="DB771" s="0" t="s">
        <v>216</v>
      </c>
      <c r="DC771" s="0" t="s">
        <v>216</v>
      </c>
      <c r="DD771" s="0" t="s">
        <v>216</v>
      </c>
      <c r="DE771" s="0" t="s">
        <v>216</v>
      </c>
      <c r="DF771" s="0" t="s">
        <v>216</v>
      </c>
      <c r="DG771" s="0" t="s">
        <v>216</v>
      </c>
      <c r="DH771" s="0" t="n">
        <v>0</v>
      </c>
      <c r="DI771" s="126" t="n">
        <v>458.23</v>
      </c>
      <c r="DK771" s="0" t="n">
        <v>0</v>
      </c>
      <c r="DM771" s="0" t="n">
        <v>1</v>
      </c>
      <c r="DN771" s="0" t="n">
        <v>47.5</v>
      </c>
      <c r="DO771" s="0" t="n">
        <v>3</v>
      </c>
      <c r="DP771" s="0" t="n">
        <v>0</v>
      </c>
      <c r="DQ771" s="0" t="n">
        <v>1</v>
      </c>
      <c r="DR771" s="0"/>
      <c r="DS771" s="0" t="n">
        <v>1</v>
      </c>
      <c r="DU771" s="0" t="n">
        <v>1</v>
      </c>
      <c r="DW771" s="1" t="n">
        <v>40469</v>
      </c>
      <c r="DX771" s="1" t="n">
        <v>40513</v>
      </c>
      <c r="DZ771" s="0"/>
      <c r="EA771" s="0" t="n">
        <v>1</v>
      </c>
      <c r="EC771" s="1" t="n">
        <v>40469</v>
      </c>
      <c r="ED771" s="1" t="n">
        <v>40513</v>
      </c>
      <c r="EF771" s="0"/>
      <c r="EG771" s="0" t="n">
        <v>0</v>
      </c>
      <c r="EI771" s="0" t="str">
        <f aca="false">IF(AND(DM771=1,DN771&lt;=48),"",IF(AND(DM771=2,DN771&lt;=42),"",IF(AND(DM771=3,DN771&lt;=45),"",EH771)))</f>
        <v/>
      </c>
      <c r="EJ771" s="0" t="str">
        <f aca="false">IF(EI771="","",IF(EI771&lt;9,EI771,9))</f>
        <v/>
      </c>
      <c r="EK771" s="0" t="str">
        <f aca="false">IF(EI771="","",IF(EI771&gt;9,EI771-EJ771,0))</f>
        <v/>
      </c>
      <c r="EL771" s="0" t="str">
        <f aca="false">IF(EI771="","",EJ771*DA771*2+EK771*DA771*3)</f>
        <v/>
      </c>
      <c r="EP771" s="0" t="n">
        <v>0</v>
      </c>
      <c r="EQ771" s="0"/>
      <c r="ER771" s="0" t="n">
        <v>0</v>
      </c>
      <c r="ET771" s="0" t="n">
        <v>0</v>
      </c>
      <c r="EV771" s="0" t="n">
        <v>0</v>
      </c>
      <c r="EX771" s="0" t="n">
        <v>0</v>
      </c>
      <c r="EY771" s="0" t="n">
        <v>0</v>
      </c>
      <c r="EZ771" s="0"/>
      <c r="FA771" s="4" t="n">
        <v>0</v>
      </c>
      <c r="FB771" s="0" t="n">
        <v>0</v>
      </c>
      <c r="FC771" s="1" t="n">
        <v>40721</v>
      </c>
      <c r="FD771" s="0" t="n">
        <v>1</v>
      </c>
      <c r="FE771" s="0" t="n">
        <v>10000</v>
      </c>
      <c r="FF771" s="120" t="n">
        <f aca="false">(CJ771-CI771+1)/365</f>
        <v>0.123287671232877</v>
      </c>
      <c r="FG771" s="0" t="str">
        <f aca="false">CONCATENATE(F771,"/",G771)</f>
        <v>97/2011</v>
      </c>
      <c r="FH771" s="0" t="n">
        <v>1</v>
      </c>
      <c r="FI771" s="0" t="n">
        <f aca="false">IFERROR(IF((FC771-J771+1)/365&gt;3,0,1),"")</f>
        <v>1</v>
      </c>
    </row>
    <row r="772" customFormat="false" ht="15" hidden="false" customHeight="false" outlineLevel="0" collapsed="false">
      <c r="A772" s="5" t="str">
        <f aca="false">E772&amp;G772&amp;F772</f>
        <v>72011104</v>
      </c>
      <c r="B772" s="0" t="s">
        <v>203</v>
      </c>
      <c r="C772" s="1" t="n">
        <v>42354</v>
      </c>
      <c r="E772" s="0" t="n">
        <v>7</v>
      </c>
      <c r="F772" s="0" t="n">
        <v>104</v>
      </c>
      <c r="G772" s="0" t="n">
        <v>2011</v>
      </c>
      <c r="H772" s="0" t="str">
        <f aca="false">"J"&amp;E772&amp;"\"&amp;F772&amp;"\"&amp;G772&amp;"\"&amp;W772</f>
        <v>J7\104\2011\1</v>
      </c>
      <c r="I772" s="0"/>
      <c r="J772" s="1" t="n">
        <v>40560</v>
      </c>
      <c r="K772" s="0" t="n">
        <v>0</v>
      </c>
      <c r="M772" s="1" t="n">
        <v>40560</v>
      </c>
      <c r="N772" s="1" t="n">
        <v>40619</v>
      </c>
      <c r="O772" s="1"/>
      <c r="P772" s="1"/>
      <c r="Q772" s="1"/>
      <c r="T772" s="121"/>
      <c r="U772" s="121"/>
      <c r="V772" s="122" t="n">
        <f aca="false">IF(AND(E772&gt;0,F772&gt;0,G772&gt;0),COUNTIFS($E:$E,E772,$F:$F,F772,$G:$G,G772),"")</f>
        <v>1</v>
      </c>
      <c r="W772" s="122" t="n">
        <f aca="false">IF(V772="","",IF(V772=1,1,IF(AND(E771=E772,F771=F772,G771=G772),W771+1,1)))</f>
        <v>1</v>
      </c>
      <c r="X772" s="0" t="n">
        <v>1</v>
      </c>
      <c r="Y772" s="0" t="n">
        <v>2</v>
      </c>
      <c r="Z772" s="0" t="s">
        <v>7096</v>
      </c>
      <c r="AA772" s="0" t="n">
        <v>0</v>
      </c>
      <c r="AB772" s="0" t="s">
        <v>7097</v>
      </c>
      <c r="AC772" s="0" t="s">
        <v>1661</v>
      </c>
      <c r="AE772" s="0" t="n">
        <v>0</v>
      </c>
      <c r="AF772" s="0" t="s">
        <v>7098</v>
      </c>
      <c r="AG772" s="0" t="n">
        <v>0</v>
      </c>
      <c r="AH772" s="0" t="s">
        <v>7099</v>
      </c>
      <c r="AI772" s="0" t="s">
        <v>598</v>
      </c>
      <c r="AJ772" s="0" t="s">
        <v>411</v>
      </c>
      <c r="AL772" s="0" t="s">
        <v>7100</v>
      </c>
      <c r="AM772" s="0" t="n">
        <v>1</v>
      </c>
      <c r="AN772" s="0" t="s">
        <v>7099</v>
      </c>
      <c r="AO772" s="0" t="s">
        <v>598</v>
      </c>
      <c r="AP772" s="0" t="s">
        <v>411</v>
      </c>
      <c r="BR772" s="0" t="n">
        <v>1</v>
      </c>
      <c r="BS772" s="0" t="s">
        <v>1392</v>
      </c>
      <c r="BT772" s="0" t="s">
        <v>4482</v>
      </c>
      <c r="BU772" s="0" t="s">
        <v>7101</v>
      </c>
      <c r="BV772" s="123"/>
      <c r="BW772" s="123"/>
      <c r="BX772" s="123"/>
      <c r="BY772" s="123"/>
      <c r="CA772" s="0" t="s">
        <v>216</v>
      </c>
      <c r="CD772" s="0" t="s">
        <v>357</v>
      </c>
      <c r="CE772" s="0" t="n">
        <v>0</v>
      </c>
      <c r="CF772" s="0" t="s">
        <v>1518</v>
      </c>
      <c r="CG772" s="0" t="s">
        <v>218</v>
      </c>
      <c r="CI772" s="1" t="n">
        <v>36794</v>
      </c>
      <c r="CJ772" s="1" t="n">
        <v>40498</v>
      </c>
      <c r="CK772" s="124" t="n">
        <v>0.583333333333333</v>
      </c>
      <c r="CL772" s="0" t="s">
        <v>7102</v>
      </c>
      <c r="CM772" s="0" t="n">
        <f aca="false">IF(OR(CI772="",CJ772=""),"",DAYS360(CI772,CJ772)/360)</f>
        <v>10.1416666666667</v>
      </c>
      <c r="CN772" s="0" t="n">
        <f aca="false">IF(OR(CI772="",CJ772=""),"",DAYS360(CI772,CJ772)/30)</f>
        <v>121.7</v>
      </c>
      <c r="CO772" s="0" t="n">
        <f aca="false">IF(OR(CI772="",CJ772=""),"",DAYS360(CI772,CJ772)/7)</f>
        <v>521.571428571429</v>
      </c>
      <c r="CP772" s="0" t="n">
        <f aca="false">IF(OR(CI772="",CJ772=""),"",DAYS360(CI772,CJ772))</f>
        <v>3651</v>
      </c>
      <c r="CQ772" s="0" t="s">
        <v>220</v>
      </c>
      <c r="CR772" s="0" t="n">
        <v>1</v>
      </c>
      <c r="CT772" s="0" t="s">
        <v>221</v>
      </c>
      <c r="CV772" s="0" t="str">
        <f aca="false">IF(OR(CT772="",CT772="NO ESPECIFICA",CT772="NO MENCIONA"),"",IF(CU772=0,CT772,IF(CU772=1,CT772/30,IF(CU772=2,CT772/15,IF(CU772=3,CT772/7,"")))))</f>
        <v/>
      </c>
      <c r="CW772" s="125" t="n">
        <v>24000</v>
      </c>
      <c r="CX772" s="0" t="n">
        <v>2</v>
      </c>
      <c r="CY772" s="0" t="n">
        <f aca="false">IF(CW772="","",IF(CX772=0,CW772,IF(CX772=1,CW772/30,IF(CX772=2,CW772/15,IF(CX772=3,CW772/7,CW772)))))</f>
        <v>1600</v>
      </c>
      <c r="CZ772" s="0" t="n">
        <f aca="false">IF(DI772&gt;0,DI772,IF(CY772&gt;0,CY772,IF(CV772&gt;0,CV772,"")))</f>
        <v>1866.66</v>
      </c>
      <c r="DA772" s="0" t="n">
        <f aca="false">IF(DM772=1,CZ772/8,IF(OR(DM772=2,DM772=4),CZ772/7,IF(DM772=3,CZ772/7.5,"")))</f>
        <v>233.3325</v>
      </c>
      <c r="DB772" s="0" t="s">
        <v>7103</v>
      </c>
      <c r="DC772" s="0" t="s">
        <v>3117</v>
      </c>
      <c r="DD772" s="0" t="s">
        <v>216</v>
      </c>
      <c r="DE772" s="0" t="s">
        <v>216</v>
      </c>
      <c r="DF772" s="0" t="s">
        <v>216</v>
      </c>
      <c r="DG772" s="0" t="s">
        <v>216</v>
      </c>
      <c r="DH772" s="0" t="n">
        <v>0</v>
      </c>
      <c r="DI772" s="126" t="n">
        <v>1866.66</v>
      </c>
      <c r="DK772" s="0" t="n">
        <v>0</v>
      </c>
      <c r="DM772" s="0" t="n">
        <v>1</v>
      </c>
      <c r="DN772" s="0" t="n">
        <v>60</v>
      </c>
      <c r="DO772" s="0" t="n">
        <v>3</v>
      </c>
      <c r="DP772" s="0" t="n">
        <v>1</v>
      </c>
      <c r="DQ772" s="0" t="n">
        <v>1</v>
      </c>
      <c r="DR772" s="0"/>
      <c r="DS772" s="0" t="n">
        <v>1</v>
      </c>
      <c r="DU772" s="0" t="n">
        <v>1</v>
      </c>
      <c r="DW772" s="1" t="n">
        <v>36794</v>
      </c>
      <c r="DX772" s="1" t="n">
        <v>40498</v>
      </c>
      <c r="DZ772" s="0"/>
      <c r="EA772" s="0" t="n">
        <v>1</v>
      </c>
      <c r="EC772" s="1" t="n">
        <v>36794</v>
      </c>
      <c r="ED772" s="1" t="n">
        <v>40498</v>
      </c>
      <c r="EF772" s="0"/>
      <c r="EG772" s="0" t="n">
        <v>1</v>
      </c>
      <c r="EI772" s="0" t="n">
        <f aca="false">IF(AND(DM772=1,DN772&lt;=48),"",IF(AND(DM772=2,DN772&lt;=42),"",IF(AND(DM772=3,DN772&lt;=45),"",EH772)))</f>
        <v>0</v>
      </c>
      <c r="EJ772" s="0" t="str">
        <f aca="false">IF(EI772="","",IF(EI772&lt;9,EI772,9))</f>
        <v/>
      </c>
      <c r="EK772" s="0" t="str">
        <f aca="false">IF(EI772="","",IF(EI772&gt;9,EI772-EJ772,0))</f>
        <v/>
      </c>
      <c r="EL772" s="0" t="str">
        <f aca="false">IF(EI772="","",EJ772*DA772*2+EK772*DA772*3)</f>
        <v/>
      </c>
      <c r="EP772" s="0" t="n">
        <v>1</v>
      </c>
      <c r="EQ772" s="0"/>
      <c r="ER772" s="0" t="n">
        <v>1</v>
      </c>
      <c r="ET772" s="0" t="n">
        <v>0</v>
      </c>
      <c r="EV772" s="0" t="n">
        <v>0</v>
      </c>
      <c r="EX772" s="0" t="n">
        <v>1</v>
      </c>
      <c r="EY772" s="0" t="n">
        <v>0</v>
      </c>
      <c r="EZ772" s="0"/>
      <c r="FA772" s="4" t="n">
        <v>0</v>
      </c>
      <c r="FB772" s="0" t="n">
        <v>1</v>
      </c>
      <c r="FC772" s="1" t="n">
        <v>40890</v>
      </c>
      <c r="FD772" s="0" t="n">
        <v>2</v>
      </c>
      <c r="FE772" s="0" t="n">
        <v>0</v>
      </c>
      <c r="FF772" s="120" t="n">
        <f aca="false">(CJ772-CI772+1)/365</f>
        <v>10.1506849315068</v>
      </c>
      <c r="FG772" s="0" t="str">
        <f aca="false">CONCATENATE(F772,"/",G772)</f>
        <v>104/2011</v>
      </c>
      <c r="FH772" s="0" t="n">
        <v>1</v>
      </c>
      <c r="FI772" s="0" t="n">
        <f aca="false">IFERROR(IF((FC772-J772+1)/365&gt;3,0,1),"")</f>
        <v>1</v>
      </c>
    </row>
    <row r="773" customFormat="false" ht="15" hidden="false" customHeight="false" outlineLevel="0" collapsed="false">
      <c r="A773" s="5" t="str">
        <f aca="false">E773&amp;G773&amp;F773</f>
        <v>72011105</v>
      </c>
      <c r="B773" s="0" t="s">
        <v>203</v>
      </c>
      <c r="C773" s="1" t="n">
        <v>42354</v>
      </c>
      <c r="E773" s="0" t="n">
        <v>7</v>
      </c>
      <c r="F773" s="0" t="n">
        <v>105</v>
      </c>
      <c r="G773" s="0" t="n">
        <v>2011</v>
      </c>
      <c r="H773" s="0" t="str">
        <f aca="false">"J"&amp;E773&amp;"\"&amp;F773&amp;"\"&amp;G773&amp;"\"&amp;W773</f>
        <v>J7\105\2011\1</v>
      </c>
      <c r="I773" s="0"/>
      <c r="J773" s="1" t="n">
        <v>40560</v>
      </c>
      <c r="K773" s="0" t="n">
        <v>0</v>
      </c>
      <c r="M773" s="1" t="n">
        <v>40560</v>
      </c>
      <c r="N773" s="1" t="n">
        <v>40619</v>
      </c>
      <c r="O773" s="1"/>
      <c r="P773" s="1"/>
      <c r="Q773" s="1"/>
      <c r="T773" s="121"/>
      <c r="U773" s="121"/>
      <c r="V773" s="122" t="n">
        <f aca="false">IF(AND(E773&gt;0,F773&gt;0,G773&gt;0),COUNTIFS($E:$E,E773,$F:$F,F773,$G:$G,G773),"")</f>
        <v>1</v>
      </c>
      <c r="W773" s="122" t="n">
        <f aca="false">IF(V773="","",IF(V773=1,1,IF(AND(E772=E773,F772=F773,G772=G773),W772+1,1)))</f>
        <v>1</v>
      </c>
      <c r="X773" s="0" t="n">
        <v>1</v>
      </c>
      <c r="Y773" s="0" t="n">
        <v>5</v>
      </c>
      <c r="Z773" s="0" t="s">
        <v>7104</v>
      </c>
      <c r="AA773" s="0" t="n">
        <v>0</v>
      </c>
      <c r="AB773" s="0" t="s">
        <v>7105</v>
      </c>
      <c r="AC773" s="0" t="s">
        <v>318</v>
      </c>
      <c r="AD773" s="0" t="s">
        <v>229</v>
      </c>
      <c r="AE773" s="0" t="n">
        <v>0</v>
      </c>
      <c r="AF773" s="0" t="s">
        <v>5214</v>
      </c>
      <c r="AG773" s="0" t="n">
        <v>0</v>
      </c>
      <c r="AH773" s="0" t="s">
        <v>7106</v>
      </c>
      <c r="AI773" s="0" t="s">
        <v>287</v>
      </c>
      <c r="AJ773" s="0" t="s">
        <v>207</v>
      </c>
      <c r="AL773" s="0" t="s">
        <v>7107</v>
      </c>
      <c r="AM773" s="0" t="n">
        <v>1</v>
      </c>
      <c r="AN773" s="0" t="s">
        <v>7106</v>
      </c>
      <c r="AO773" s="0" t="s">
        <v>287</v>
      </c>
      <c r="AP773" s="0" t="s">
        <v>207</v>
      </c>
      <c r="AR773" s="0" t="s">
        <v>213</v>
      </c>
      <c r="AS773" s="0" t="n">
        <v>1</v>
      </c>
      <c r="AT773" s="0" t="s">
        <v>7106</v>
      </c>
      <c r="AU773" s="0" t="s">
        <v>287</v>
      </c>
      <c r="AV773" s="0" t="s">
        <v>207</v>
      </c>
      <c r="AX773" s="0" t="s">
        <v>249</v>
      </c>
      <c r="AY773" s="0" t="n">
        <v>0</v>
      </c>
      <c r="AZ773" s="0" t="s">
        <v>964</v>
      </c>
      <c r="BA773" s="0" t="s">
        <v>410</v>
      </c>
      <c r="BB773" s="0" t="s">
        <v>411</v>
      </c>
      <c r="BD773" s="0" t="s">
        <v>412</v>
      </c>
      <c r="BE773" s="0" t="n">
        <v>0</v>
      </c>
      <c r="BF773" s="0" t="s">
        <v>437</v>
      </c>
      <c r="BG773" s="0" t="s">
        <v>438</v>
      </c>
      <c r="BH773" s="0" t="s">
        <v>352</v>
      </c>
      <c r="BR773" s="0" t="n">
        <v>1</v>
      </c>
      <c r="BS773" s="0" t="s">
        <v>7108</v>
      </c>
      <c r="BT773" s="0" t="s">
        <v>6179</v>
      </c>
      <c r="BU773" s="0" t="s">
        <v>7109</v>
      </c>
      <c r="BV773" s="123"/>
      <c r="BW773" s="123"/>
      <c r="BX773" s="123"/>
      <c r="BY773" s="123"/>
      <c r="CA773" s="0" t="s">
        <v>216</v>
      </c>
      <c r="CD773" s="0" t="s">
        <v>216</v>
      </c>
      <c r="CE773" s="0" t="n">
        <v>0</v>
      </c>
      <c r="CF773" s="0" t="s">
        <v>600</v>
      </c>
      <c r="CG773" s="0" t="s">
        <v>218</v>
      </c>
      <c r="CI773" s="1" t="n">
        <v>40326</v>
      </c>
      <c r="CJ773" s="1" t="n">
        <v>40478</v>
      </c>
      <c r="CK773" s="124" t="n">
        <v>0.548611111111111</v>
      </c>
      <c r="CL773" s="0" t="s">
        <v>7110</v>
      </c>
      <c r="CM773" s="0" t="n">
        <f aca="false">IF(OR(CI773="",CJ773=""),"",DAYS360(CI773,CJ773)/360)</f>
        <v>0.413888888888889</v>
      </c>
      <c r="CN773" s="0" t="n">
        <f aca="false">IF(OR(CI773="",CJ773=""),"",DAYS360(CI773,CJ773)/30)</f>
        <v>4.96666666666667</v>
      </c>
      <c r="CO773" s="0" t="n">
        <f aca="false">IF(OR(CI773="",CJ773=""),"",DAYS360(CI773,CJ773)/7)</f>
        <v>21.2857142857143</v>
      </c>
      <c r="CP773" s="0" t="n">
        <f aca="false">IF(OR(CI773="",CJ773=""),"",DAYS360(CI773,CJ773))</f>
        <v>149</v>
      </c>
      <c r="CQ773" s="0" t="s">
        <v>220</v>
      </c>
      <c r="CR773" s="0" t="n">
        <v>1</v>
      </c>
      <c r="CT773" s="0" t="s">
        <v>221</v>
      </c>
      <c r="CV773" s="0" t="str">
        <f aca="false">IF(OR(CT773="",CT773="NO ESPECIFICA",CT773="NO MENCIONA"),"",IF(CU773=0,CT773,IF(CU773=1,CT773/30,IF(CU773=2,CT773/15,IF(CU773=3,CT773/7,"")))))</f>
        <v/>
      </c>
      <c r="CW773" s="125" t="n">
        <v>3750</v>
      </c>
      <c r="CX773" s="0" t="n">
        <v>2</v>
      </c>
      <c r="CY773" s="0" t="n">
        <f aca="false">IF(CW773="","",IF(CX773=0,CW773,IF(CX773=1,CW773/30,IF(CX773=2,CW773/15,IF(CX773=3,CW773/7,CW773)))))</f>
        <v>250</v>
      </c>
      <c r="CZ773" s="0" t="n">
        <f aca="false">IF(DI773&gt;0,DI773,IF(CY773&gt;0,CY773,IF(CV773&gt;0,CV773,"")))</f>
        <v>250</v>
      </c>
      <c r="DA773" s="0" t="n">
        <f aca="false">IF(DM773=1,CZ773/8,IF(OR(DM773=2,DM773=4),CZ773/7,IF(DM773=3,CZ773/7.5,"")))</f>
        <v>31.25</v>
      </c>
      <c r="DB773" s="0" t="s">
        <v>216</v>
      </c>
      <c r="DC773" s="0" t="s">
        <v>216</v>
      </c>
      <c r="DD773" s="0" t="s">
        <v>216</v>
      </c>
      <c r="DE773" s="0" t="s">
        <v>216</v>
      </c>
      <c r="DF773" s="0" t="s">
        <v>216</v>
      </c>
      <c r="DG773" s="0" t="s">
        <v>216</v>
      </c>
      <c r="DH773" s="0" t="n">
        <v>0</v>
      </c>
      <c r="DI773" s="126" t="n">
        <v>250</v>
      </c>
      <c r="DK773" s="0" t="n">
        <v>1</v>
      </c>
      <c r="DM773" s="0" t="n">
        <v>1</v>
      </c>
      <c r="DN773" s="0" t="n">
        <v>57</v>
      </c>
      <c r="DO773" s="0" t="n">
        <v>3</v>
      </c>
      <c r="DP773" s="0" t="n">
        <v>1</v>
      </c>
      <c r="DQ773" s="0" t="n">
        <v>1</v>
      </c>
      <c r="DR773" s="0"/>
      <c r="DS773" s="0" t="n">
        <v>1</v>
      </c>
      <c r="DU773" s="0" t="n">
        <v>1</v>
      </c>
      <c r="DW773" s="1" t="n">
        <v>40326</v>
      </c>
      <c r="DX773" s="1" t="n">
        <v>40478</v>
      </c>
      <c r="DZ773" s="0"/>
      <c r="EA773" s="0" t="n">
        <v>1</v>
      </c>
      <c r="EC773" s="1" t="n">
        <v>40326</v>
      </c>
      <c r="ED773" s="1" t="n">
        <v>40478</v>
      </c>
      <c r="EF773" s="0"/>
      <c r="EG773" s="0" t="n">
        <v>1</v>
      </c>
      <c r="EI773" s="0" t="n">
        <f aca="false">IF(AND(DM773=1,DN773&lt;=48),"",IF(AND(DM773=2,DN773&lt;=42),"",IF(AND(DM773=3,DN773&lt;=45),"",EH773)))</f>
        <v>0</v>
      </c>
      <c r="EJ773" s="0" t="str">
        <f aca="false">IF(EI773="","",IF(EI773&lt;9,EI773,9))</f>
        <v/>
      </c>
      <c r="EK773" s="0" t="str">
        <f aca="false">IF(EI773="","",IF(EI773&gt;9,EI773-EJ773,0))</f>
        <v/>
      </c>
      <c r="EL773" s="0" t="str">
        <f aca="false">IF(EI773="","",EJ773*DA773*2+EK773*DA773*3)</f>
        <v/>
      </c>
      <c r="EP773" s="0" t="n">
        <v>0</v>
      </c>
      <c r="EQ773" s="0"/>
      <c r="ER773" s="0" t="n">
        <v>1</v>
      </c>
      <c r="ET773" s="0" t="n">
        <v>0</v>
      </c>
      <c r="EV773" s="0" t="n">
        <v>1</v>
      </c>
      <c r="EX773" s="0" t="n">
        <v>1</v>
      </c>
      <c r="EY773" s="0" t="n">
        <v>1</v>
      </c>
      <c r="EZ773" s="0"/>
      <c r="FA773" s="4" t="n">
        <v>0</v>
      </c>
      <c r="FB773" s="0" t="n">
        <v>1</v>
      </c>
      <c r="FC773" s="1" t="n">
        <v>41206</v>
      </c>
      <c r="FD773" s="0" t="n">
        <v>2</v>
      </c>
      <c r="FE773" s="0" t="n">
        <v>0</v>
      </c>
      <c r="FF773" s="120" t="n">
        <f aca="false">(CJ773-CI773+1)/365</f>
        <v>0.419178082191781</v>
      </c>
      <c r="FG773" s="0" t="str">
        <f aca="false">CONCATENATE(F773,"/",G773)</f>
        <v>105/2011</v>
      </c>
      <c r="FH773" s="0" t="n">
        <v>1</v>
      </c>
      <c r="FI773" s="0" t="n">
        <f aca="false">IFERROR(IF((FC773-J773+1)/365&gt;3,0,1),"")</f>
        <v>1</v>
      </c>
    </row>
    <row r="774" customFormat="false" ht="15" hidden="false" customHeight="false" outlineLevel="0" collapsed="false">
      <c r="A774" s="5" t="str">
        <f aca="false">E774&amp;G774&amp;F774</f>
        <v>72011109</v>
      </c>
      <c r="B774" s="0" t="s">
        <v>203</v>
      </c>
      <c r="C774" s="1" t="n">
        <v>42354</v>
      </c>
      <c r="D774" s="0" t="s">
        <v>1856</v>
      </c>
      <c r="E774" s="0" t="n">
        <v>7</v>
      </c>
      <c r="F774" s="0" t="n">
        <v>109</v>
      </c>
      <c r="G774" s="0" t="n">
        <v>2011</v>
      </c>
      <c r="H774" s="0" t="str">
        <f aca="false">"J"&amp;E774&amp;"\"&amp;F774&amp;"\"&amp;G774&amp;"\"&amp;W774</f>
        <v>J7\109\2011\1</v>
      </c>
      <c r="I774" s="0"/>
      <c r="J774" s="1" t="n">
        <v>40561</v>
      </c>
      <c r="K774" s="0" t="n">
        <v>0</v>
      </c>
      <c r="M774" s="1"/>
      <c r="N774" s="1"/>
      <c r="O774" s="1"/>
      <c r="P774" s="1"/>
      <c r="Q774" s="1"/>
      <c r="T774" s="121"/>
      <c r="U774" s="121"/>
      <c r="V774" s="122" t="n">
        <f aca="false">IF(AND(E774&gt;0,F774&gt;0,G774&gt;0),COUNTIFS($E:$E,E774,$F:$F,F774,$G:$G,G774),"")</f>
        <v>1</v>
      </c>
      <c r="W774" s="122" t="n">
        <f aca="false">IF(V774="","",IF(V774=1,1,IF(AND(E773=E774,F773=F774,G773=G774),W773+1,1)))</f>
        <v>1</v>
      </c>
      <c r="X774" s="0" t="n">
        <v>1</v>
      </c>
      <c r="Y774" s="0" t="n">
        <v>3</v>
      </c>
      <c r="Z774" s="0" t="s">
        <v>7111</v>
      </c>
      <c r="AA774" s="0" t="n">
        <v>0</v>
      </c>
      <c r="AB774" s="0" t="s">
        <v>273</v>
      </c>
      <c r="AC774" s="0" t="s">
        <v>274</v>
      </c>
      <c r="AE774" s="0" t="n">
        <v>0</v>
      </c>
      <c r="AF774" s="0" t="s">
        <v>7112</v>
      </c>
      <c r="AG774" s="0" t="n">
        <v>1</v>
      </c>
      <c r="AH774" s="0" t="s">
        <v>7113</v>
      </c>
      <c r="AI774" s="0" t="s">
        <v>7114</v>
      </c>
      <c r="AJ774" s="0" t="s">
        <v>211</v>
      </c>
      <c r="AL774" s="0" t="s">
        <v>7115</v>
      </c>
      <c r="AM774" s="0" t="n">
        <v>1</v>
      </c>
      <c r="AN774" s="0" t="s">
        <v>7113</v>
      </c>
      <c r="AO774" s="0" t="s">
        <v>7114</v>
      </c>
      <c r="AP774" s="0" t="s">
        <v>211</v>
      </c>
      <c r="AR774" s="0" t="s">
        <v>213</v>
      </c>
      <c r="AS774" s="0" t="n">
        <v>1</v>
      </c>
      <c r="AT774" s="0" t="s">
        <v>7113</v>
      </c>
      <c r="AU774" s="0" t="s">
        <v>7114</v>
      </c>
      <c r="AV774" s="0" t="s">
        <v>211</v>
      </c>
      <c r="BR774" s="0" t="n">
        <v>1</v>
      </c>
      <c r="BS774" s="0" t="s">
        <v>279</v>
      </c>
      <c r="BT774" s="0" t="s">
        <v>280</v>
      </c>
      <c r="BU774" s="0" t="s">
        <v>281</v>
      </c>
      <c r="BV774" s="123"/>
      <c r="BW774" s="123"/>
      <c r="BX774" s="123"/>
      <c r="BY774" s="123"/>
      <c r="CA774" s="0" t="s">
        <v>282</v>
      </c>
      <c r="CD774" s="0" t="s">
        <v>556</v>
      </c>
      <c r="CE774" s="0" t="n">
        <v>0</v>
      </c>
      <c r="CF774" s="0" t="s">
        <v>257</v>
      </c>
      <c r="CG774" s="0" t="s">
        <v>218</v>
      </c>
      <c r="CI774" s="1" t="n">
        <v>27889</v>
      </c>
      <c r="CJ774" s="1" t="n">
        <v>40546</v>
      </c>
      <c r="CK774" s="124" t="n">
        <v>0.416666666666667</v>
      </c>
      <c r="CL774" s="0" t="s">
        <v>216</v>
      </c>
      <c r="CM774" s="0" t="n">
        <f aca="false">IF(OR(CI774="",CJ774=""),"",DAYS360(CI774,CJ774)/360)</f>
        <v>34.65</v>
      </c>
      <c r="CN774" s="0" t="n">
        <f aca="false">IF(OR(CI774="",CJ774=""),"",DAYS360(CI774,CJ774)/30)</f>
        <v>415.8</v>
      </c>
      <c r="CO774" s="0" t="n">
        <f aca="false">IF(OR(CI774="",CJ774=""),"",DAYS360(CI774,CJ774)/7)</f>
        <v>1782</v>
      </c>
      <c r="CP774" s="0" t="n">
        <f aca="false">IF(OR(CI774="",CJ774=""),"",DAYS360(CI774,CJ774))</f>
        <v>12474</v>
      </c>
      <c r="CQ774" s="0" t="s">
        <v>240</v>
      </c>
      <c r="CR774" s="0" t="n">
        <v>1</v>
      </c>
      <c r="CT774" s="0" t="s">
        <v>221</v>
      </c>
      <c r="CV774" s="0" t="str">
        <f aca="false">IF(OR(CT774="",CT774="NO ESPECIFICA",CT774="NO MENCIONA"),"",IF(CU774=0,CT774,IF(CU774=1,CT774/30,IF(CU774=2,CT774/15,IF(CU774=3,CT774/7,"")))))</f>
        <v/>
      </c>
      <c r="CW774" s="125" t="n">
        <v>1000</v>
      </c>
      <c r="CX774" s="0" t="n">
        <v>3</v>
      </c>
      <c r="CY774" s="0" t="n">
        <f aca="false">IF(CW774="","",IF(CX774=0,CW774,IF(CX774=1,CW774/30,IF(CX774=2,CW774/15,IF(CX774=3,CW774/7,CW774)))))</f>
        <v>142.857142857143</v>
      </c>
      <c r="CZ774" s="0" t="n">
        <f aca="false">IF(DI774&gt;0,DI774,IF(CY774&gt;0,CY774,IF(CV774&gt;0,CV774,"")))</f>
        <v>142.85</v>
      </c>
      <c r="DA774" s="0" t="n">
        <f aca="false">IF(DM774=1,CZ774/8,IF(OR(DM774=2,DM774=4),CZ774/7,IF(DM774=3,CZ774/7.5,"")))</f>
        <v>17.85625</v>
      </c>
      <c r="DB774" s="0" t="s">
        <v>216</v>
      </c>
      <c r="DC774" s="0" t="s">
        <v>216</v>
      </c>
      <c r="DD774" s="0" t="s">
        <v>216</v>
      </c>
      <c r="DE774" s="0" t="s">
        <v>216</v>
      </c>
      <c r="DF774" s="0" t="s">
        <v>216</v>
      </c>
      <c r="DG774" s="0" t="s">
        <v>216</v>
      </c>
      <c r="DH774" s="0" t="n">
        <v>0</v>
      </c>
      <c r="DI774" s="126" t="n">
        <v>142.85</v>
      </c>
      <c r="DK774" s="0" t="n">
        <v>0</v>
      </c>
      <c r="DM774" s="0" t="n">
        <v>1</v>
      </c>
      <c r="DN774" s="0" t="n">
        <v>60</v>
      </c>
      <c r="DO774" s="0" t="n">
        <v>3</v>
      </c>
      <c r="DP774" s="0" t="n">
        <v>0</v>
      </c>
      <c r="DQ774" s="0" t="n">
        <v>1</v>
      </c>
      <c r="DR774" s="0"/>
      <c r="DS774" s="0" t="n">
        <v>1</v>
      </c>
      <c r="DU774" s="0" t="n">
        <v>1</v>
      </c>
      <c r="DW774" s="1" t="n">
        <v>39577</v>
      </c>
      <c r="DX774" s="1" t="n">
        <v>40546</v>
      </c>
      <c r="DZ774" s="0"/>
      <c r="EA774" s="0" t="n">
        <v>1</v>
      </c>
      <c r="EC774" s="1" t="n">
        <v>40179</v>
      </c>
      <c r="ED774" s="1" t="n">
        <v>40546</v>
      </c>
      <c r="EF774" s="0"/>
      <c r="EG774" s="0" t="n">
        <v>1</v>
      </c>
      <c r="EH774" s="0" t="n">
        <v>12</v>
      </c>
      <c r="EI774" s="0" t="n">
        <f aca="false">IF(AND(DM774=1,DN774&lt;=48),"",IF(AND(DM774=2,DN774&lt;=42),"",IF(AND(DM774=3,DN774&lt;=45),"",EH774)))</f>
        <v>12</v>
      </c>
      <c r="EJ774" s="0" t="n">
        <f aca="false">IF(EI774="","",IF(EI774&lt;9,EI774,9))</f>
        <v>9</v>
      </c>
      <c r="EK774" s="0" t="n">
        <f aca="false">IF(EI774="","",IF(EI774&gt;9,EI774-EJ774,0))</f>
        <v>3</v>
      </c>
      <c r="EL774" s="0" t="n">
        <f aca="false">IF(EI774="","",EJ774*DA774*2+EK774*DA774*3)</f>
        <v>482.11875</v>
      </c>
      <c r="EP774" s="0" t="n">
        <v>0</v>
      </c>
      <c r="EQ774" s="0"/>
      <c r="ER774" s="0" t="n">
        <v>0</v>
      </c>
      <c r="ET774" s="0" t="n">
        <v>0</v>
      </c>
      <c r="EV774" s="0" t="n">
        <v>0</v>
      </c>
      <c r="EX774" s="0" t="n">
        <v>0</v>
      </c>
      <c r="EY774" s="0" t="n">
        <v>0</v>
      </c>
      <c r="EZ774" s="0"/>
      <c r="FA774" s="4" t="n">
        <v>16856.3</v>
      </c>
      <c r="FB774" s="0" t="n">
        <v>0</v>
      </c>
      <c r="FC774" s="1" t="n">
        <v>41292</v>
      </c>
      <c r="FD774" s="0" t="n">
        <v>3</v>
      </c>
      <c r="FE774" s="0" t="n">
        <v>0</v>
      </c>
      <c r="FF774" s="120" t="n">
        <f aca="false">(CJ774-CI774+1)/365</f>
        <v>34.6794520547945</v>
      </c>
      <c r="FG774" s="0" t="str">
        <f aca="false">CONCATENATE(F774,"/",G774)</f>
        <v>109/2011</v>
      </c>
      <c r="FH774" s="0" t="n">
        <v>1</v>
      </c>
      <c r="FI774" s="0" t="n">
        <f aca="false">IFERROR(IF((FC774-J774+1)/365&gt;3,0,1),"")</f>
        <v>1</v>
      </c>
    </row>
    <row r="775" customFormat="false" ht="15" hidden="false" customHeight="false" outlineLevel="0" collapsed="false">
      <c r="A775" s="5" t="str">
        <f aca="false">E775&amp;G775&amp;F775</f>
        <v>72011115</v>
      </c>
      <c r="B775" s="0" t="s">
        <v>203</v>
      </c>
      <c r="C775" s="1" t="n">
        <v>42354</v>
      </c>
      <c r="E775" s="0" t="n">
        <v>7</v>
      </c>
      <c r="F775" s="0" t="n">
        <v>115</v>
      </c>
      <c r="G775" s="0" t="n">
        <v>2011</v>
      </c>
      <c r="H775" s="0" t="str">
        <f aca="false">"J"&amp;E775&amp;"\"&amp;F775&amp;"\"&amp;G775&amp;"\"&amp;W775</f>
        <v>J7\115\2011\1</v>
      </c>
      <c r="I775" s="0"/>
      <c r="J775" s="1" t="n">
        <v>40562</v>
      </c>
      <c r="K775" s="0" t="n">
        <v>1</v>
      </c>
      <c r="L775" s="0" t="s">
        <v>7116</v>
      </c>
      <c r="M775" s="1" t="n">
        <v>40562</v>
      </c>
      <c r="N775" s="1" t="n">
        <v>40624</v>
      </c>
      <c r="O775" s="1"/>
      <c r="P775" s="1"/>
      <c r="Q775" s="1"/>
      <c r="T775" s="121"/>
      <c r="U775" s="121"/>
      <c r="V775" s="122" t="n">
        <f aca="false">IF(AND(E775&gt;0,F775&gt;0,G775&gt;0),COUNTIFS($E:$E,E775,$F:$F,F775,$G:$G,G775),"")</f>
        <v>1</v>
      </c>
      <c r="W775" s="122" t="n">
        <f aca="false">IF(V775="","",IF(V775=1,1,IF(AND(E774=E775,F774=F775,G774=G775),W774+1,1)))</f>
        <v>1</v>
      </c>
      <c r="X775" s="0" t="n">
        <v>1</v>
      </c>
      <c r="Y775" s="0" t="n">
        <v>7</v>
      </c>
      <c r="Z775" s="0" t="s">
        <v>7117</v>
      </c>
      <c r="AA775" s="0" t="n">
        <v>0</v>
      </c>
      <c r="AB775" s="0" t="s">
        <v>1057</v>
      </c>
      <c r="AC775" s="0" t="s">
        <v>1058</v>
      </c>
      <c r="AD775" s="0" t="s">
        <v>2218</v>
      </c>
      <c r="AE775" s="0" t="n">
        <v>0</v>
      </c>
      <c r="AF775" s="0" t="s">
        <v>7118</v>
      </c>
      <c r="AG775" s="0" t="n">
        <v>0</v>
      </c>
      <c r="AH775" s="0" t="s">
        <v>1060</v>
      </c>
      <c r="AI775" s="0" t="s">
        <v>7119</v>
      </c>
      <c r="AJ775" s="0" t="s">
        <v>211</v>
      </c>
      <c r="AL775" s="0" t="s">
        <v>4621</v>
      </c>
      <c r="AM775" s="0" t="n">
        <v>0</v>
      </c>
      <c r="AN775" s="0" t="s">
        <v>1060</v>
      </c>
      <c r="AO775" s="0" t="s">
        <v>7119</v>
      </c>
      <c r="AP775" s="0" t="s">
        <v>211</v>
      </c>
      <c r="AR775" s="0" t="s">
        <v>4622</v>
      </c>
      <c r="AS775" s="0" t="n">
        <v>0</v>
      </c>
      <c r="AT775" s="0" t="s">
        <v>7120</v>
      </c>
      <c r="AU775" s="0" t="s">
        <v>7121</v>
      </c>
      <c r="AV775" s="0" t="s">
        <v>207</v>
      </c>
      <c r="AX775" s="0" t="s">
        <v>7122</v>
      </c>
      <c r="AY775" s="0" t="n">
        <v>0</v>
      </c>
      <c r="AZ775" s="0" t="s">
        <v>7120</v>
      </c>
      <c r="BA775" s="0" t="s">
        <v>7121</v>
      </c>
      <c r="BB775" s="0" t="s">
        <v>207</v>
      </c>
      <c r="BD775" s="0" t="s">
        <v>7123</v>
      </c>
      <c r="BE775" s="0" t="n">
        <v>0</v>
      </c>
      <c r="BF775" s="0" t="s">
        <v>7124</v>
      </c>
      <c r="BG775" s="0" t="s">
        <v>1065</v>
      </c>
      <c r="BH775" s="0" t="s">
        <v>7125</v>
      </c>
      <c r="BJ775" s="0" t="s">
        <v>7126</v>
      </c>
      <c r="BK775" s="0" t="n">
        <v>0</v>
      </c>
      <c r="BL775" s="0" t="s">
        <v>7124</v>
      </c>
      <c r="BM775" s="0" t="s">
        <v>1065</v>
      </c>
      <c r="BN775" s="0" t="s">
        <v>7125</v>
      </c>
      <c r="BR775" s="0" t="n">
        <v>1</v>
      </c>
      <c r="BS775" s="0" t="s">
        <v>1069</v>
      </c>
      <c r="BT775" s="0" t="s">
        <v>7127</v>
      </c>
      <c r="BU775" s="0" t="s">
        <v>7128</v>
      </c>
      <c r="BV775" s="123"/>
      <c r="BW775" s="123"/>
      <c r="BX775" s="123"/>
      <c r="BY775" s="123"/>
      <c r="CA775" s="0" t="s">
        <v>216</v>
      </c>
      <c r="CD775" s="0" t="s">
        <v>370</v>
      </c>
      <c r="CE775" s="0" t="n">
        <v>0</v>
      </c>
      <c r="CF775" s="0" t="s">
        <v>7129</v>
      </c>
      <c r="CG775" s="0" t="s">
        <v>218</v>
      </c>
      <c r="CI775" s="1" t="n">
        <v>38369</v>
      </c>
      <c r="CJ775" s="1" t="n">
        <v>40501</v>
      </c>
      <c r="CK775" s="124" t="n">
        <v>0.375</v>
      </c>
      <c r="CL775" s="0" t="s">
        <v>1068</v>
      </c>
      <c r="CM775" s="0" t="n">
        <f aca="false">IF(OR(CI775="",CJ775=""),"",DAYS360(CI775,CJ775)/360)</f>
        <v>5.83888888888889</v>
      </c>
      <c r="CN775" s="0" t="n">
        <f aca="false">IF(OR(CI775="",CJ775=""),"",DAYS360(CI775,CJ775)/30)</f>
        <v>70.0666666666667</v>
      </c>
      <c r="CO775" s="0" t="n">
        <f aca="false">IF(OR(CI775="",CJ775=""),"",DAYS360(CI775,CJ775)/7)</f>
        <v>300.285714285714</v>
      </c>
      <c r="CP775" s="0" t="n">
        <f aca="false">IF(OR(CI775="",CJ775=""),"",DAYS360(CI775,CJ775))</f>
        <v>2102</v>
      </c>
      <c r="CQ775" s="0" t="s">
        <v>220</v>
      </c>
      <c r="CR775" s="0" t="n">
        <v>1</v>
      </c>
      <c r="CT775" s="0" t="n">
        <v>333.33</v>
      </c>
      <c r="CU775" s="0" t="n">
        <v>0</v>
      </c>
      <c r="CV775" s="0" t="n">
        <f aca="false">IF(OR(CT775="",CT775="NO ESPECIFICA",CT775="NO MENCIONA"),"",IF(CU775=0,CT775,IF(CU775=1,CT775/30,IF(CU775=2,CT775/15,IF(CU775=3,CT775/7,"")))))</f>
        <v>333.33</v>
      </c>
      <c r="CW775" s="125" t="n">
        <v>881.84</v>
      </c>
      <c r="CX775" s="0" t="n">
        <v>0</v>
      </c>
      <c r="CY775" s="0" t="n">
        <f aca="false">IF(CW775="","",IF(CX775=0,CW775,IF(CX775=1,CW775/30,IF(CX775=2,CW775/15,IF(CX775=3,CW775/7,CW775)))))</f>
        <v>881.84</v>
      </c>
      <c r="CZ775" s="0" t="n">
        <f aca="false">IF(DI775&gt;0,DI775,IF(CY775&gt;0,CY775,IF(CV775&gt;0,CV775,"")))</f>
        <v>881.84</v>
      </c>
      <c r="DA775" s="0" t="n">
        <f aca="false">IF(DM775=1,CZ775/8,IF(OR(DM775=2,DM775=4),CZ775/7,IF(DM775=3,CZ775/7.5,"")))</f>
        <v>110.23</v>
      </c>
      <c r="DB775" s="0" t="s">
        <v>301</v>
      </c>
      <c r="DC775" s="0" t="s">
        <v>303</v>
      </c>
      <c r="DD775" s="0" t="s">
        <v>1073</v>
      </c>
      <c r="DE775" s="0" t="s">
        <v>299</v>
      </c>
      <c r="DF775" s="0" t="s">
        <v>1074</v>
      </c>
      <c r="DG775" s="0" t="s">
        <v>1075</v>
      </c>
      <c r="DH775" s="0" t="n">
        <v>0</v>
      </c>
      <c r="DI775" s="126" t="n">
        <v>881.84</v>
      </c>
      <c r="DK775" s="0" t="n">
        <v>0</v>
      </c>
      <c r="DM775" s="0" t="n">
        <v>1</v>
      </c>
      <c r="DN775" s="0" t="n">
        <v>48</v>
      </c>
      <c r="DO775" s="0" t="n">
        <v>3</v>
      </c>
      <c r="DP775" s="0" t="n">
        <v>1</v>
      </c>
      <c r="DQ775" s="0" t="n">
        <v>1</v>
      </c>
      <c r="DR775" s="0"/>
      <c r="DS775" s="0" t="n">
        <v>1</v>
      </c>
      <c r="DU775" s="0" t="n">
        <v>1</v>
      </c>
      <c r="DW775" s="1" t="n">
        <v>38369</v>
      </c>
      <c r="DX775" s="1" t="n">
        <v>40501</v>
      </c>
      <c r="DZ775" s="0"/>
      <c r="EA775" s="0" t="n">
        <v>1</v>
      </c>
      <c r="EC775" s="1" t="n">
        <v>38369</v>
      </c>
      <c r="ED775" s="1" t="n">
        <v>40501</v>
      </c>
      <c r="EF775" s="0"/>
      <c r="EG775" s="0" t="n">
        <v>0</v>
      </c>
      <c r="EI775" s="0" t="str">
        <f aca="false">IF(AND(DM775=1,DN775&lt;=48),"",IF(AND(DM775=2,DN775&lt;=42),"",IF(AND(DM775=3,DN775&lt;=45),"",EH775)))</f>
        <v/>
      </c>
      <c r="EJ775" s="0" t="str">
        <f aca="false">IF(EI775="","",IF(EI775&lt;9,EI775,9))</f>
        <v/>
      </c>
      <c r="EK775" s="0" t="str">
        <f aca="false">IF(EI775="","",IF(EI775&gt;9,EI775-EJ775,0))</f>
        <v/>
      </c>
      <c r="EL775" s="0" t="str">
        <f aca="false">IF(EI775="","",EJ775*DA775*2+EK775*DA775*3)</f>
        <v/>
      </c>
      <c r="EP775" s="0" t="n">
        <v>0</v>
      </c>
      <c r="EQ775" s="0"/>
      <c r="ER775" s="0" t="n">
        <v>0</v>
      </c>
      <c r="ET775" s="0" t="n">
        <v>1</v>
      </c>
      <c r="EV775" s="0" t="n">
        <v>0</v>
      </c>
      <c r="EX775" s="0" t="n">
        <v>1</v>
      </c>
      <c r="EY775" s="0" t="n">
        <v>1</v>
      </c>
      <c r="EZ775" s="0"/>
      <c r="FA775" s="4" t="n">
        <v>157492.12</v>
      </c>
      <c r="FB775" s="0" t="n">
        <v>1</v>
      </c>
      <c r="FC775" s="1" t="n">
        <v>42069</v>
      </c>
      <c r="FD775" s="0" t="n">
        <v>1</v>
      </c>
      <c r="FE775" s="0" t="n">
        <v>50000</v>
      </c>
      <c r="FF775" s="120" t="n">
        <f aca="false">(CJ775-CI775+1)/365</f>
        <v>5.84383561643836</v>
      </c>
      <c r="FG775" s="0" t="str">
        <f aca="false">CONCATENATE(F775,"/",G775)</f>
        <v>115/2011</v>
      </c>
      <c r="FH775" s="0" t="n">
        <v>1</v>
      </c>
      <c r="FI775" s="0" t="n">
        <f aca="false">IFERROR(IF((FC775-J775+1)/365&gt;3,0,1),"")</f>
        <v>0</v>
      </c>
    </row>
    <row r="776" customFormat="false" ht="15" hidden="false" customHeight="false" outlineLevel="0" collapsed="false">
      <c r="A776" s="5" t="str">
        <f aca="false">E776&amp;G776&amp;F776</f>
        <v>72011751</v>
      </c>
      <c r="B776" s="0" t="s">
        <v>7130</v>
      </c>
      <c r="C776" s="1" t="n">
        <v>42394</v>
      </c>
      <c r="E776" s="0" t="n">
        <v>7</v>
      </c>
      <c r="F776" s="0" t="n">
        <v>751</v>
      </c>
      <c r="G776" s="0" t="n">
        <v>2011</v>
      </c>
      <c r="H776" s="0" t="str">
        <f aca="false">"J"&amp;E776&amp;"\"&amp;F776&amp;"\"&amp;G776&amp;"\"&amp;W776</f>
        <v>J7\751\2011\1</v>
      </c>
      <c r="I776" s="0"/>
      <c r="J776" s="1" t="n">
        <v>40659</v>
      </c>
      <c r="K776" s="0" t="n">
        <v>0</v>
      </c>
      <c r="M776" s="1" t="n">
        <v>40659</v>
      </c>
      <c r="N776" s="1" t="n">
        <v>40785</v>
      </c>
      <c r="O776" s="1"/>
      <c r="P776" s="1"/>
      <c r="Q776" s="1"/>
      <c r="T776" s="121"/>
      <c r="U776" s="121"/>
      <c r="V776" s="122" t="n">
        <f aca="false">IF(AND(E776&gt;0,F776&gt;0,G776&gt;0),COUNTIFS($E:$E,E776,$F:$F,F776,$G:$G,G776),"")</f>
        <v>1</v>
      </c>
      <c r="W776" s="122" t="n">
        <f aca="false">IF(V776="","",IF(V776=1,1,IF(AND(E775=E776,F775=F776,G775=G776),W775+1,1)))</f>
        <v>1</v>
      </c>
      <c r="X776" s="0" t="n">
        <v>1</v>
      </c>
      <c r="Y776" s="0" t="n">
        <v>1</v>
      </c>
      <c r="Z776" s="0" t="s">
        <v>7131</v>
      </c>
      <c r="AA776" s="0" t="n">
        <v>0</v>
      </c>
      <c r="AB776" s="0" t="s">
        <v>4853</v>
      </c>
      <c r="AC776" s="0" t="s">
        <v>318</v>
      </c>
      <c r="AD776" s="0" t="s">
        <v>229</v>
      </c>
      <c r="AE776" s="0" t="n">
        <v>0</v>
      </c>
      <c r="AF776" s="0" t="s">
        <v>7132</v>
      </c>
      <c r="AG776" s="0" t="n">
        <v>0</v>
      </c>
      <c r="AH776" s="0" t="s">
        <v>7133</v>
      </c>
      <c r="AI776" s="0" t="s">
        <v>7134</v>
      </c>
      <c r="AJ776" s="0" t="s">
        <v>352</v>
      </c>
      <c r="BR776" s="0" t="n">
        <v>1</v>
      </c>
      <c r="BS776" s="0" t="s">
        <v>5761</v>
      </c>
      <c r="BT776" s="0" t="s">
        <v>4856</v>
      </c>
      <c r="BU776" s="0" t="s">
        <v>4857</v>
      </c>
      <c r="BV776" s="123"/>
      <c r="BW776" s="123"/>
      <c r="BX776" s="123"/>
      <c r="BY776" s="123"/>
      <c r="CA776" s="0" t="s">
        <v>216</v>
      </c>
      <c r="CD776" s="0" t="s">
        <v>296</v>
      </c>
      <c r="CE776" s="0" t="n">
        <v>0</v>
      </c>
      <c r="CF776" s="0" t="s">
        <v>7135</v>
      </c>
      <c r="CI776" s="1" t="n">
        <v>40282</v>
      </c>
      <c r="CJ776" s="1" t="n">
        <v>40652</v>
      </c>
      <c r="CK776" s="124" t="n">
        <v>0.291666666666667</v>
      </c>
      <c r="CL776" s="0" t="s">
        <v>7136</v>
      </c>
      <c r="CM776" s="0" t="n">
        <f aca="false">IF(OR(CI776="",CJ776=""),"",DAYS360(CI776,CJ776)/360)</f>
        <v>1.01388888888889</v>
      </c>
      <c r="CN776" s="0" t="n">
        <f aca="false">IF(OR(CI776="",CJ776=""),"",DAYS360(CI776,CJ776)/30)</f>
        <v>12.1666666666667</v>
      </c>
      <c r="CO776" s="0" t="n">
        <f aca="false">IF(OR(CI776="",CJ776=""),"",DAYS360(CI776,CJ776)/7)</f>
        <v>52.1428571428571</v>
      </c>
      <c r="CP776" s="0" t="n">
        <f aca="false">IF(OR(CI776="",CJ776=""),"",DAYS360(CI776,CJ776))</f>
        <v>365</v>
      </c>
      <c r="CQ776" s="0" t="s">
        <v>240</v>
      </c>
      <c r="CR776" s="0" t="n">
        <v>1</v>
      </c>
      <c r="CT776" s="0" t="n">
        <v>890</v>
      </c>
      <c r="CU776" s="0" t="n">
        <v>3</v>
      </c>
      <c r="CV776" s="0" t="n">
        <f aca="false">IF(OR(CT776="",CT776="NO ESPECIFICA",CT776="NO MENCIONA"),"",IF(CU776=0,CT776,IF(CU776=1,CT776/30,IF(CU776=2,CT776/15,IF(CU776=3,CT776/7,"")))))</f>
        <v>127.142857142857</v>
      </c>
      <c r="CW776" s="125" t="n">
        <v>1191.68</v>
      </c>
      <c r="CX776" s="0" t="n">
        <v>3</v>
      </c>
      <c r="CY776" s="0" t="n">
        <f aca="false">IF(CW776="","",IF(CX776=0,CW776,IF(CX776=1,CW776/30,IF(CX776=2,CW776/15,IF(CX776=3,CW776/7,CW776)))))</f>
        <v>170.24</v>
      </c>
      <c r="CZ776" s="0" t="n">
        <f aca="false">IF(DI776&gt;0,DI776,IF(CY776&gt;0,CY776,IF(CV776&gt;0,CV776,"")))</f>
        <v>170.24</v>
      </c>
      <c r="DA776" s="0" t="n">
        <f aca="false">IF(DM776=1,CZ776/8,IF(OR(DM776=2,DM776=4),CZ776/7,IF(DM776=3,CZ776/7.5,"")))</f>
        <v>21.28</v>
      </c>
      <c r="DB776" s="0" t="s">
        <v>259</v>
      </c>
      <c r="DC776" s="0" t="s">
        <v>299</v>
      </c>
      <c r="DD776" s="0" t="s">
        <v>7137</v>
      </c>
      <c r="DE776" s="0" t="s">
        <v>216</v>
      </c>
      <c r="DF776" s="0" t="s">
        <v>216</v>
      </c>
      <c r="DG776" s="0" t="s">
        <v>216</v>
      </c>
      <c r="DH776" s="0" t="n">
        <v>0</v>
      </c>
      <c r="DI776" s="126" t="n">
        <v>170.24</v>
      </c>
      <c r="DK776" s="0" t="n">
        <v>1</v>
      </c>
      <c r="DM776" s="0" t="n">
        <v>1</v>
      </c>
      <c r="DN776" s="0" t="n">
        <v>60</v>
      </c>
      <c r="DO776" s="0" t="n">
        <v>3</v>
      </c>
      <c r="DP776" s="0" t="n">
        <v>0</v>
      </c>
      <c r="DQ776" s="0" t="n">
        <v>1</v>
      </c>
      <c r="DR776" s="0"/>
      <c r="DS776" s="0" t="n">
        <v>1</v>
      </c>
      <c r="DU776" s="0" t="n">
        <v>1</v>
      </c>
      <c r="DW776" s="1" t="n">
        <v>40282</v>
      </c>
      <c r="DX776" s="1" t="n">
        <v>40652</v>
      </c>
      <c r="DZ776" s="0"/>
      <c r="EA776" s="0" t="n">
        <v>1</v>
      </c>
      <c r="EC776" s="1" t="n">
        <v>40282</v>
      </c>
      <c r="ED776" s="1" t="n">
        <v>40652</v>
      </c>
      <c r="EF776" s="0"/>
      <c r="EG776" s="0" t="n">
        <v>1</v>
      </c>
      <c r="EH776" s="0" t="n">
        <v>12</v>
      </c>
      <c r="EI776" s="0" t="n">
        <f aca="false">IF(AND(DM776=1,DN776&lt;=48),"",IF(AND(DM776=2,DN776&lt;=42),"",IF(AND(DM776=3,DN776&lt;=45),"",EH776)))</f>
        <v>12</v>
      </c>
      <c r="EJ776" s="0" t="n">
        <f aca="false">IF(EI776="","",IF(EI776&lt;9,EI776,9))</f>
        <v>9</v>
      </c>
      <c r="EK776" s="0" t="n">
        <f aca="false">IF(EI776="","",IF(EI776&gt;9,EI776-EJ776,0))</f>
        <v>3</v>
      </c>
      <c r="EL776" s="0" t="n">
        <f aca="false">IF(EI776="","",EJ776*DA776*2+EK776*DA776*3)</f>
        <v>574.56</v>
      </c>
      <c r="EP776" s="0" t="n">
        <v>0</v>
      </c>
      <c r="EQ776" s="0"/>
      <c r="ER776" s="0" t="n">
        <v>0</v>
      </c>
      <c r="ET776" s="0" t="n">
        <v>0</v>
      </c>
      <c r="EV776" s="0" t="n">
        <v>1</v>
      </c>
      <c r="EX776" s="0" t="n">
        <v>0</v>
      </c>
      <c r="EY776" s="0" t="n">
        <v>0</v>
      </c>
      <c r="EZ776" s="0"/>
      <c r="FA776" s="4" t="n">
        <v>1532.16</v>
      </c>
      <c r="FB776" s="0" t="n">
        <v>1</v>
      </c>
      <c r="FC776" s="1" t="n">
        <v>40837</v>
      </c>
      <c r="FD776" s="0" t="n">
        <v>1</v>
      </c>
      <c r="FE776" s="0" t="n">
        <v>7000</v>
      </c>
      <c r="FF776" s="120" t="n">
        <f aca="false">(CJ776-CI776+1)/365</f>
        <v>1.01643835616438</v>
      </c>
      <c r="FG776" s="0" t="str">
        <f aca="false">CONCATENATE(F776,"/",G776)</f>
        <v>751/2011</v>
      </c>
      <c r="FH776" s="0" t="n">
        <v>1</v>
      </c>
      <c r="FI776" s="0" t="n">
        <f aca="false">IFERROR(IF((FC776-J776+1)/365&gt;3,0,1),"")</f>
        <v>1</v>
      </c>
    </row>
    <row r="777" customFormat="false" ht="15" hidden="false" customHeight="false" outlineLevel="0" collapsed="false">
      <c r="A777" s="5" t="str">
        <f aca="false">E777&amp;G777&amp;F777</f>
        <v>72011748</v>
      </c>
      <c r="B777" s="0" t="s">
        <v>7130</v>
      </c>
      <c r="C777" s="1" t="n">
        <v>42394</v>
      </c>
      <c r="D777" s="0" t="s">
        <v>3265</v>
      </c>
      <c r="E777" s="0" t="n">
        <v>7</v>
      </c>
      <c r="F777" s="0" t="n">
        <v>748</v>
      </c>
      <c r="G777" s="0" t="n">
        <v>2011</v>
      </c>
      <c r="H777" s="0" t="str">
        <f aca="false">"J"&amp;E777&amp;"\"&amp;F777&amp;"\"&amp;G777&amp;"\"&amp;W777</f>
        <v>J7\748\2011\1</v>
      </c>
      <c r="I777" s="0" t="n">
        <v>40659</v>
      </c>
      <c r="J777" s="1" t="n">
        <v>40514</v>
      </c>
      <c r="M777" s="1"/>
      <c r="N777" s="1"/>
      <c r="O777" s="1"/>
      <c r="P777" s="1"/>
      <c r="Q777" s="1"/>
      <c r="T777" s="121"/>
      <c r="U777" s="121"/>
      <c r="V777" s="122" t="n">
        <f aca="false">IF(AND(E777&gt;0,F777&gt;0,G777&gt;0),COUNTIFS($E:$E,E777,$F:$F,F777,$G:$G,G777),"")</f>
        <v>1</v>
      </c>
      <c r="W777" s="122" t="n">
        <f aca="false">IF(V777="","",IF(V777=1,1,IF(AND(E776=E777,F776=F777,G776=G777),W776+1,1)))</f>
        <v>1</v>
      </c>
      <c r="X777" s="0" t="n">
        <v>1</v>
      </c>
      <c r="Y777" s="0" t="n">
        <v>2</v>
      </c>
      <c r="Z777" s="0" t="s">
        <v>7138</v>
      </c>
      <c r="AA777" s="0" t="n">
        <v>0</v>
      </c>
      <c r="AB777" s="0" t="s">
        <v>7046</v>
      </c>
      <c r="AC777" s="0" t="s">
        <v>274</v>
      </c>
      <c r="AD777" s="0" t="s">
        <v>229</v>
      </c>
      <c r="AE777" s="0" t="n">
        <v>0</v>
      </c>
      <c r="AF777" s="0" t="s">
        <v>7139</v>
      </c>
      <c r="AG777" s="0" t="n">
        <v>0</v>
      </c>
      <c r="AH777" s="0" t="s">
        <v>7140</v>
      </c>
      <c r="AI777" s="0" t="s">
        <v>1451</v>
      </c>
      <c r="AJ777" s="0" t="s">
        <v>352</v>
      </c>
      <c r="AL777" s="0" t="s">
        <v>7141</v>
      </c>
      <c r="AM777" s="0" t="n">
        <v>1</v>
      </c>
      <c r="AN777" s="0" t="s">
        <v>7140</v>
      </c>
      <c r="AO777" s="0" t="s">
        <v>1451</v>
      </c>
      <c r="AP777" s="0" t="s">
        <v>352</v>
      </c>
      <c r="BR777" s="0" t="n">
        <v>1</v>
      </c>
      <c r="BS777" s="0" t="s">
        <v>7049</v>
      </c>
      <c r="BT777" s="0" t="s">
        <v>7050</v>
      </c>
      <c r="BU777" s="0" t="s">
        <v>216</v>
      </c>
      <c r="BV777" s="123"/>
      <c r="BW777" s="123"/>
      <c r="BX777" s="123"/>
      <c r="BY777" s="123"/>
      <c r="CA777" s="0" t="s">
        <v>216</v>
      </c>
      <c r="CD777" s="0" t="s">
        <v>502</v>
      </c>
      <c r="CE777" s="0" t="n">
        <v>0</v>
      </c>
      <c r="CF777" s="0" t="s">
        <v>7142</v>
      </c>
      <c r="CI777" s="1" t="n">
        <v>40303</v>
      </c>
      <c r="CJ777" s="1" t="n">
        <v>40498</v>
      </c>
      <c r="CK777" s="124" t="n">
        <v>0.416666666666667</v>
      </c>
      <c r="CL777" s="0" t="s">
        <v>7143</v>
      </c>
      <c r="CM777" s="0" t="n">
        <f aca="false">IF(OR(CI777="",CJ777=""),"",DAYS360(CI777,CJ777)/360)</f>
        <v>0.530555555555556</v>
      </c>
      <c r="CN777" s="0" t="n">
        <f aca="false">IF(OR(CI777="",CJ777=""),"",DAYS360(CI777,CJ777)/30)</f>
        <v>6.36666666666667</v>
      </c>
      <c r="CO777" s="0" t="n">
        <f aca="false">IF(OR(CI777="",CJ777=""),"",DAYS360(CI777,CJ777)/7)</f>
        <v>27.2857142857143</v>
      </c>
      <c r="CP777" s="0" t="n">
        <f aca="false">IF(OR(CI777="",CJ777=""),"",DAYS360(CI777,CJ777))</f>
        <v>191</v>
      </c>
      <c r="CQ777" s="0" t="s">
        <v>220</v>
      </c>
      <c r="CR777" s="0" t="n">
        <v>1</v>
      </c>
      <c r="CT777" s="0" t="s">
        <v>221</v>
      </c>
      <c r="CU777" s="0" t="s">
        <v>221</v>
      </c>
      <c r="CV777" s="0" t="str">
        <f aca="false">IF(OR(CT777="",CT777="NO ESPECIFICA",CT777="NO MENCIONA"),"",IF(CU777=0,CT777,IF(CU777=1,CT777/30,IF(CU777=2,CT777/15,IF(CU777=3,CT777/7,"")))))</f>
        <v/>
      </c>
      <c r="CW777" s="125" t="n">
        <v>571.42</v>
      </c>
      <c r="CX777" s="0" t="n">
        <v>0</v>
      </c>
      <c r="CY777" s="0" t="n">
        <f aca="false">IF(CW777="","",IF(CX777=0,CW777,IF(CX777=1,CW777/30,IF(CX777=2,CW777/15,IF(CX777=3,CW777/7,CW777)))))</f>
        <v>571.42</v>
      </c>
      <c r="CZ777" s="0" t="n">
        <f aca="false">IF(DI777&gt;0,DI777,IF(CY777&gt;0,CY777,IF(CV777&gt;0,CV777,"")))</f>
        <v>571.42</v>
      </c>
      <c r="DA777" s="0" t="n">
        <f aca="false">IF(DM777=1,CZ777/8,IF(OR(DM777=2,DM777=4),CZ777/7,IF(DM777=3,CZ777/7.5,"")))</f>
        <v>76.1893333333333</v>
      </c>
      <c r="DB777" s="0" t="s">
        <v>216</v>
      </c>
      <c r="DC777" s="0" t="s">
        <v>216</v>
      </c>
      <c r="DD777" s="0" t="s">
        <v>216</v>
      </c>
      <c r="DE777" s="0" t="s">
        <v>216</v>
      </c>
      <c r="DF777" s="0" t="s">
        <v>216</v>
      </c>
      <c r="DG777" s="0" t="s">
        <v>216</v>
      </c>
      <c r="DH777" s="0" t="n">
        <v>0</v>
      </c>
      <c r="DI777" s="126" t="n">
        <v>571.42</v>
      </c>
      <c r="DK777" s="0" t="n">
        <v>0</v>
      </c>
      <c r="DM777" s="0" t="n">
        <v>3</v>
      </c>
      <c r="DN777" s="0" t="n">
        <v>39</v>
      </c>
      <c r="DO777" s="0" t="n">
        <v>3</v>
      </c>
      <c r="DP777" s="0" t="n">
        <v>1</v>
      </c>
      <c r="DQ777" s="0" t="n">
        <v>0</v>
      </c>
      <c r="DR777" s="0"/>
      <c r="DS777" s="0" t="n">
        <v>1</v>
      </c>
      <c r="DU777" s="0" t="n">
        <v>0</v>
      </c>
      <c r="DW777" s="1" t="n">
        <v>40303</v>
      </c>
      <c r="DX777" s="1" t="n">
        <v>40498</v>
      </c>
      <c r="DZ777" s="0"/>
      <c r="EA777" s="0" t="n">
        <v>1</v>
      </c>
      <c r="EC777" s="1" t="n">
        <v>40303</v>
      </c>
      <c r="ED777" s="1" t="n">
        <v>40498</v>
      </c>
      <c r="EF777" s="0"/>
      <c r="EG777" s="0" t="n">
        <v>0</v>
      </c>
      <c r="EI777" s="0" t="str">
        <f aca="false">IF(AND(DM777=1,DN777&lt;=48),"",IF(AND(DM777=2,DN777&lt;=42),"",IF(AND(DM777=3,DN777&lt;=45),"",EH777)))</f>
        <v/>
      </c>
      <c r="EJ777" s="0" t="str">
        <f aca="false">IF(EI777="","",IF(EI777&lt;9,EI777,9))</f>
        <v/>
      </c>
      <c r="EK777" s="0" t="str">
        <f aca="false">IF(EI777="","",IF(EI777&gt;9,EI777-EJ777,0))</f>
        <v/>
      </c>
      <c r="EL777" s="0" t="str">
        <f aca="false">IF(EI777="","",EJ777*DA777*2+EK777*DA777*3)</f>
        <v/>
      </c>
      <c r="EP777" s="0" t="n">
        <v>0</v>
      </c>
      <c r="EQ777" s="0"/>
      <c r="ER777" s="0" t="n">
        <v>0</v>
      </c>
      <c r="ET777" s="0" t="n">
        <v>1</v>
      </c>
      <c r="EV777" s="0" t="n">
        <v>1</v>
      </c>
      <c r="EX777" s="0" t="n">
        <v>1</v>
      </c>
      <c r="EY777" s="0" t="n">
        <v>1</v>
      </c>
      <c r="EZ777" s="0"/>
      <c r="FA777" s="4" t="n">
        <v>571.42</v>
      </c>
      <c r="FB777" s="0" t="n">
        <v>1</v>
      </c>
      <c r="FC777" s="1" t="n">
        <v>40708</v>
      </c>
      <c r="FD777" s="0" t="n">
        <v>2</v>
      </c>
      <c r="FE777" s="0" t="n">
        <v>0</v>
      </c>
      <c r="FF777" s="120" t="n">
        <f aca="false">(CJ777-CI777+1)/365</f>
        <v>0.536986301369863</v>
      </c>
      <c r="FG777" s="0" t="str">
        <f aca="false">CONCATENATE(F777,"/",G777)</f>
        <v>748/2011</v>
      </c>
      <c r="FH777" s="0" t="n">
        <v>1</v>
      </c>
      <c r="FI777" s="0" t="n">
        <f aca="false">IFERROR(IF((FC777-J777+1)/365&gt;3,0,1),"")</f>
        <v>1</v>
      </c>
    </row>
    <row r="778" customFormat="false" ht="15" hidden="false" customHeight="false" outlineLevel="0" collapsed="false">
      <c r="A778" s="5" t="str">
        <f aca="false">E778&amp;G778&amp;F778</f>
        <v>72011746</v>
      </c>
      <c r="B778" s="0" t="s">
        <v>7130</v>
      </c>
      <c r="C778" s="1" t="n">
        <v>42395</v>
      </c>
      <c r="E778" s="0" t="n">
        <v>7</v>
      </c>
      <c r="F778" s="0" t="n">
        <v>746</v>
      </c>
      <c r="G778" s="0" t="n">
        <v>2011</v>
      </c>
      <c r="H778" s="0" t="str">
        <f aca="false">"J"&amp;E778&amp;"\"&amp;F778&amp;"\"&amp;G778&amp;"\"&amp;W778</f>
        <v>J7\746\2011\1</v>
      </c>
      <c r="I778" s="0"/>
      <c r="J778" s="1" t="n">
        <v>40659</v>
      </c>
      <c r="K778" s="0" t="n">
        <v>1</v>
      </c>
      <c r="L778" s="0" t="s">
        <v>7144</v>
      </c>
      <c r="M778" s="1" t="n">
        <v>40659</v>
      </c>
      <c r="N778" s="1" t="n">
        <v>40785</v>
      </c>
      <c r="O778" s="1"/>
      <c r="P778" s="1"/>
      <c r="Q778" s="1"/>
      <c r="T778" s="121"/>
      <c r="U778" s="121"/>
      <c r="V778" s="122" t="n">
        <f aca="false">IF(AND(E778&gt;0,F778&gt;0,G778&gt;0),COUNTIFS($E:$E,E778,$F:$F,F778,$G:$G,G778),"")</f>
        <v>1</v>
      </c>
      <c r="W778" s="122" t="n">
        <f aca="false">IF(V778="","",IF(V778=1,1,IF(AND(E777=E778,F777=F778,G777=G778),W777+1,1)))</f>
        <v>1</v>
      </c>
      <c r="X778" s="0" t="n">
        <v>1</v>
      </c>
      <c r="Y778" s="0" t="n">
        <v>4</v>
      </c>
      <c r="Z778" s="0" t="s">
        <v>7145</v>
      </c>
      <c r="AA778" s="0" t="n">
        <v>0</v>
      </c>
      <c r="AB778" s="0" t="s">
        <v>7146</v>
      </c>
      <c r="AC778" s="0" t="s">
        <v>318</v>
      </c>
      <c r="AD778" s="0" t="s">
        <v>229</v>
      </c>
      <c r="AE778" s="0" t="n">
        <v>0</v>
      </c>
      <c r="AF778" s="0" t="s">
        <v>7147</v>
      </c>
      <c r="AG778" s="0" t="n">
        <v>0</v>
      </c>
      <c r="AH778" s="0" t="s">
        <v>7148</v>
      </c>
      <c r="AI778" s="0" t="s">
        <v>1611</v>
      </c>
      <c r="AJ778" s="0" t="s">
        <v>229</v>
      </c>
      <c r="AL778" s="0" t="s">
        <v>7149</v>
      </c>
      <c r="AM778" s="0" t="n">
        <v>1</v>
      </c>
      <c r="AN778" s="0" t="s">
        <v>7148</v>
      </c>
      <c r="AO778" s="0" t="s">
        <v>1611</v>
      </c>
      <c r="AP778" s="0" t="s">
        <v>229</v>
      </c>
      <c r="AR778" s="0" t="s">
        <v>7150</v>
      </c>
      <c r="AS778" s="0" t="n">
        <v>1</v>
      </c>
      <c r="AT778" s="0" t="s">
        <v>7148</v>
      </c>
      <c r="AU778" s="0" t="s">
        <v>1611</v>
      </c>
      <c r="AV778" s="0" t="s">
        <v>229</v>
      </c>
      <c r="AX778" s="0" t="s">
        <v>7151</v>
      </c>
      <c r="AY778" s="0" t="n">
        <v>1</v>
      </c>
      <c r="AZ778" s="0" t="s">
        <v>7148</v>
      </c>
      <c r="BA778" s="0" t="s">
        <v>1611</v>
      </c>
      <c r="BB778" s="0" t="s">
        <v>229</v>
      </c>
      <c r="BR778" s="0" t="n">
        <v>1</v>
      </c>
      <c r="BS778" s="0" t="s">
        <v>7152</v>
      </c>
      <c r="BT778" s="0" t="s">
        <v>7153</v>
      </c>
      <c r="BU778" s="0" t="s">
        <v>7154</v>
      </c>
      <c r="BV778" s="123"/>
      <c r="BW778" s="123"/>
      <c r="BX778" s="123"/>
      <c r="BY778" s="123"/>
      <c r="CA778" s="0" t="s">
        <v>216</v>
      </c>
      <c r="CD778" s="0" t="s">
        <v>256</v>
      </c>
      <c r="CE778" s="0" t="n">
        <v>0</v>
      </c>
      <c r="CF778" s="0" t="s">
        <v>7155</v>
      </c>
      <c r="CI778" s="1" t="n">
        <v>39839</v>
      </c>
      <c r="CJ778" s="1" t="n">
        <v>40648</v>
      </c>
      <c r="CK778" s="124" t="n">
        <v>0.375</v>
      </c>
      <c r="CL778" s="0" t="s">
        <v>7149</v>
      </c>
      <c r="CM778" s="0" t="n">
        <f aca="false">IF(OR(CI778="",CJ778=""),"",DAYS360(CI778,CJ778)/360)</f>
        <v>2.21944444444444</v>
      </c>
      <c r="CN778" s="0" t="n">
        <f aca="false">IF(OR(CI778="",CJ778=""),"",DAYS360(CI778,CJ778)/30)</f>
        <v>26.6333333333333</v>
      </c>
      <c r="CO778" s="0" t="n">
        <f aca="false">IF(OR(CI778="",CJ778=""),"",DAYS360(CI778,CJ778)/7)</f>
        <v>114.142857142857</v>
      </c>
      <c r="CP778" s="0" t="n">
        <f aca="false">IF(OR(CI778="",CJ778=""),"",DAYS360(CI778,CJ778))</f>
        <v>799</v>
      </c>
      <c r="CQ778" s="0" t="s">
        <v>240</v>
      </c>
      <c r="CR778" s="0" t="n">
        <v>1</v>
      </c>
      <c r="CT778" s="0" t="s">
        <v>221</v>
      </c>
      <c r="CU778" s="0" t="s">
        <v>221</v>
      </c>
      <c r="CV778" s="0" t="str">
        <f aca="false">IF(OR(CT778="",CT778="NO ESPECIFICA",CT778="NO MENCIONA"),"",IF(CU778=0,CT778,IF(CU778=1,CT778/30,IF(CU778=2,CT778/15,IF(CU778=3,CT778/7,"")))))</f>
        <v/>
      </c>
      <c r="CW778" s="125" t="n">
        <v>6488</v>
      </c>
      <c r="CX778" s="0" t="n">
        <v>1</v>
      </c>
      <c r="CY778" s="0" t="n">
        <f aca="false">IF(CW778="","",IF(CX778=0,CW778,IF(CX778=1,CW778/30,IF(CX778=2,CW778/15,IF(CX778=3,CW778/7,CW778)))))</f>
        <v>216.266666666667</v>
      </c>
      <c r="CZ778" s="0" t="n">
        <f aca="false">IF(DI778&gt;0,DI778,IF(CY778&gt;0,CY778,IF(CV778&gt;0,CV778,"")))</f>
        <v>216.27</v>
      </c>
      <c r="DA778" s="0" t="str">
        <f aca="false">IF(DM778=1,CZ778/8,IF(OR(DM778=2,DM778=4),CZ778/7,IF(DM778=3,CZ778/7.5,"")))</f>
        <v/>
      </c>
      <c r="DB778" s="0" t="s">
        <v>216</v>
      </c>
      <c r="DC778" s="0" t="s">
        <v>216</v>
      </c>
      <c r="DD778" s="0" t="s">
        <v>216</v>
      </c>
      <c r="DE778" s="0" t="s">
        <v>216</v>
      </c>
      <c r="DF778" s="0" t="s">
        <v>216</v>
      </c>
      <c r="DG778" s="0" t="s">
        <v>216</v>
      </c>
      <c r="DH778" s="0" t="n">
        <v>0</v>
      </c>
      <c r="DI778" s="126" t="n">
        <v>216.27</v>
      </c>
      <c r="DK778" s="0" t="n">
        <v>0</v>
      </c>
      <c r="DM778" s="0" t="s">
        <v>385</v>
      </c>
      <c r="DN778" s="0" t="s">
        <v>216</v>
      </c>
      <c r="DO778" s="0" t="s">
        <v>216</v>
      </c>
      <c r="DP778" s="0" t="n">
        <v>0</v>
      </c>
      <c r="DQ778" s="0" t="n">
        <v>1</v>
      </c>
      <c r="DR778" s="0"/>
      <c r="DS778" s="0" t="n">
        <v>1</v>
      </c>
      <c r="DU778" s="0" t="n">
        <v>1</v>
      </c>
      <c r="DW778" s="1" t="n">
        <v>40204</v>
      </c>
      <c r="DX778" s="1" t="n">
        <v>40568</v>
      </c>
      <c r="DZ778" s="0"/>
      <c r="EA778" s="0" t="n">
        <v>1</v>
      </c>
      <c r="EC778" s="1" t="n">
        <v>40179</v>
      </c>
      <c r="ED778" s="1" t="n">
        <v>40543</v>
      </c>
      <c r="EF778" s="0"/>
      <c r="EG778" s="0" t="n">
        <v>1</v>
      </c>
      <c r="EH778" s="0" t="n">
        <v>4</v>
      </c>
      <c r="EI778" s="0" t="n">
        <f aca="false">IF(AND(DM778=1,DN778&lt;=48),"",IF(AND(DM778=2,DN778&lt;=42),"",IF(AND(DM778=3,DN778&lt;=45),"",EH778)))</f>
        <v>4</v>
      </c>
      <c r="EJ778" s="0" t="n">
        <f aca="false">IF(EI778="","",IF(EI778&lt;9,EI778,9))</f>
        <v>4</v>
      </c>
      <c r="EK778" s="0" t="n">
        <f aca="false">IF(EI778="","",IF(EI778&gt;9,EI778-EJ778,0))</f>
        <v>0</v>
      </c>
      <c r="EL778" s="0" t="e">
        <f aca="false">IF(EI778="","",EJ778*DA778*2+EK778*DA778*3)</f>
        <v>#VALUE!</v>
      </c>
      <c r="EP778" s="0" t="n">
        <v>0</v>
      </c>
      <c r="EQ778" s="0"/>
      <c r="ER778" s="0" t="n">
        <v>0</v>
      </c>
      <c r="ET778" s="0" t="n">
        <v>0</v>
      </c>
      <c r="EV778" s="0" t="n">
        <v>0</v>
      </c>
      <c r="EX778" s="0" t="n">
        <v>1</v>
      </c>
      <c r="EY778" s="0" t="n">
        <v>0</v>
      </c>
      <c r="EZ778" s="0"/>
      <c r="FA778" s="4" t="n">
        <v>3244.05</v>
      </c>
      <c r="FB778" s="0" t="n">
        <v>0</v>
      </c>
      <c r="FC778" s="1" t="n">
        <v>40938</v>
      </c>
      <c r="FD778" s="0" t="n">
        <v>1</v>
      </c>
      <c r="FE778" s="0" t="n">
        <v>15000</v>
      </c>
      <c r="FF778" s="120" t="n">
        <f aca="false">(CJ778-CI778+1)/365</f>
        <v>2.21917808219178</v>
      </c>
      <c r="FG778" s="0" t="str">
        <f aca="false">CONCATENATE(F778,"/",G778)</f>
        <v>746/2011</v>
      </c>
      <c r="FH778" s="0" t="n">
        <v>1</v>
      </c>
      <c r="FI778" s="0" t="n">
        <f aca="false">IFERROR(IF((FC778-J778+1)/365&gt;3,0,1),"")</f>
        <v>1</v>
      </c>
    </row>
    <row r="779" customFormat="false" ht="15" hidden="false" customHeight="false" outlineLevel="0" collapsed="false">
      <c r="A779" s="5" t="str">
        <f aca="false">E779&amp;G779&amp;F779</f>
        <v>72011745</v>
      </c>
      <c r="B779" s="0" t="s">
        <v>7130</v>
      </c>
      <c r="C779" s="1" t="n">
        <v>42395</v>
      </c>
      <c r="D779" s="0" t="s">
        <v>3265</v>
      </c>
      <c r="E779" s="0" t="n">
        <v>7</v>
      </c>
      <c r="F779" s="0" t="n">
        <v>745</v>
      </c>
      <c r="G779" s="0" t="n">
        <v>2011</v>
      </c>
      <c r="H779" s="0" t="str">
        <f aca="false">"J"&amp;E779&amp;"\"&amp;F779&amp;"\"&amp;G779&amp;"\"&amp;W779</f>
        <v>J7\745\2011\1</v>
      </c>
      <c r="I779" s="0"/>
      <c r="J779" s="1" t="n">
        <v>40659</v>
      </c>
      <c r="M779" s="1"/>
      <c r="N779" s="1"/>
      <c r="O779" s="1"/>
      <c r="P779" s="1"/>
      <c r="Q779" s="1"/>
      <c r="T779" s="121"/>
      <c r="U779" s="121"/>
      <c r="V779" s="122" t="n">
        <f aca="false">IF(AND(E779&gt;0,F779&gt;0,G779&gt;0),COUNTIFS($E:$E,E779,$F:$F,F779,$G:$G,G779),"")</f>
        <v>1</v>
      </c>
      <c r="W779" s="122" t="n">
        <f aca="false">IF(V779="","",IF(V779=1,1,IF(AND(E778=E779,F778=F779,G778=G779),W778+1,1)))</f>
        <v>1</v>
      </c>
      <c r="X779" s="0" t="n">
        <v>1</v>
      </c>
      <c r="Y779" s="0" t="n">
        <v>4</v>
      </c>
      <c r="Z779" s="0" t="s">
        <v>7156</v>
      </c>
      <c r="AA779" s="0" t="n">
        <v>0</v>
      </c>
      <c r="AB779" s="0" t="s">
        <v>2121</v>
      </c>
      <c r="AE779" s="0" t="n">
        <v>0</v>
      </c>
      <c r="AF779" s="0" t="s">
        <v>7157</v>
      </c>
      <c r="AG779" s="0" t="n">
        <v>0</v>
      </c>
      <c r="AH779" s="0" t="s">
        <v>7158</v>
      </c>
      <c r="AI779" s="0" t="s">
        <v>206</v>
      </c>
      <c r="AJ779" s="0" t="s">
        <v>207</v>
      </c>
      <c r="AL779" s="0" t="s">
        <v>7159</v>
      </c>
      <c r="AM779" s="0" t="n">
        <v>0</v>
      </c>
      <c r="AN779" s="0" t="s">
        <v>7158</v>
      </c>
      <c r="AO779" s="0" t="s">
        <v>206</v>
      </c>
      <c r="AP779" s="0" t="s">
        <v>207</v>
      </c>
      <c r="AR779" s="0" t="s">
        <v>7160</v>
      </c>
      <c r="AS779" s="0" t="n">
        <v>1</v>
      </c>
      <c r="AT779" s="0" t="s">
        <v>7158</v>
      </c>
      <c r="AU779" s="0" t="s">
        <v>206</v>
      </c>
      <c r="AV779" s="0" t="s">
        <v>207</v>
      </c>
      <c r="AX779" s="0" t="s">
        <v>7161</v>
      </c>
      <c r="AY779" s="0" t="n">
        <v>1</v>
      </c>
      <c r="AZ779" s="0" t="s">
        <v>7158</v>
      </c>
      <c r="BA779" s="0" t="s">
        <v>206</v>
      </c>
      <c r="BB779" s="0" t="s">
        <v>207</v>
      </c>
      <c r="BR779" s="0" t="n">
        <v>1</v>
      </c>
      <c r="BS779" s="0" t="s">
        <v>7162</v>
      </c>
      <c r="BT779" s="0" t="s">
        <v>7163</v>
      </c>
      <c r="BU779" s="0" t="s">
        <v>7164</v>
      </c>
      <c r="BV779" s="123"/>
      <c r="BW779" s="123"/>
      <c r="BX779" s="123"/>
      <c r="BY779" s="123"/>
      <c r="CA779" s="0" t="s">
        <v>216</v>
      </c>
      <c r="CD779" s="0" t="s">
        <v>370</v>
      </c>
      <c r="CE779" s="0" t="n">
        <v>1</v>
      </c>
      <c r="CF779" s="0" t="s">
        <v>7165</v>
      </c>
      <c r="CI779" s="1" t="n">
        <v>37895</v>
      </c>
      <c r="CJ779" s="1" t="n">
        <v>40652</v>
      </c>
      <c r="CK779" s="124" t="n">
        <v>0.375</v>
      </c>
      <c r="CL779" s="0" t="s">
        <v>7160</v>
      </c>
      <c r="CM779" s="0" t="n">
        <f aca="false">IF(OR(CI779="",CJ779=""),"",DAYS360(CI779,CJ779)/360)</f>
        <v>7.55</v>
      </c>
      <c r="CN779" s="0" t="n">
        <f aca="false">IF(OR(CI779="",CJ779=""),"",DAYS360(CI779,CJ779)/30)</f>
        <v>90.6</v>
      </c>
      <c r="CO779" s="0" t="n">
        <f aca="false">IF(OR(CI779="",CJ779=""),"",DAYS360(CI779,CJ779)/7)</f>
        <v>388.285714285714</v>
      </c>
      <c r="CP779" s="0" t="n">
        <f aca="false">IF(OR(CI779="",CJ779=""),"",DAYS360(CI779,CJ779))</f>
        <v>2718</v>
      </c>
      <c r="CQ779" s="0" t="s">
        <v>240</v>
      </c>
      <c r="CR779" s="0" t="n">
        <v>1</v>
      </c>
      <c r="CT779" s="0" t="s">
        <v>221</v>
      </c>
      <c r="CU779" s="0" t="s">
        <v>221</v>
      </c>
      <c r="CV779" s="0" t="str">
        <f aca="false">IF(OR(CT779="",CT779="NO ESPECIFICA",CT779="NO MENCIONA"),"",IF(CU779=0,CT779,IF(CU779=1,CT779/30,IF(CU779=2,CT779/15,IF(CU779=3,CT779/7,"")))))</f>
        <v/>
      </c>
      <c r="CW779" s="125" t="n">
        <v>18000</v>
      </c>
      <c r="CX779" s="0" t="n">
        <v>1</v>
      </c>
      <c r="CY779" s="0" t="n">
        <f aca="false">IF(CW779="","",IF(CX779=0,CW779,IF(CX779=1,CW779/30,IF(CX779=2,CW779/15,IF(CX779=3,CW779/7,CW779)))))</f>
        <v>600</v>
      </c>
      <c r="CZ779" s="0" t="n">
        <f aca="false">IF(DI779&gt;0,DI779,IF(CY779&gt;0,CY779,IF(CV779&gt;0,CV779,"")))</f>
        <v>600</v>
      </c>
      <c r="DA779" s="0" t="n">
        <f aca="false">IF(DM779=1,CZ779/8,IF(OR(DM779=2,DM779=4),CZ779/7,IF(DM779=3,CZ779/7.5,"")))</f>
        <v>75</v>
      </c>
      <c r="DB779" s="0" t="s">
        <v>216</v>
      </c>
      <c r="DC779" s="0" t="s">
        <v>216</v>
      </c>
      <c r="DD779" s="0" t="s">
        <v>216</v>
      </c>
      <c r="DE779" s="0" t="s">
        <v>216</v>
      </c>
      <c r="DF779" s="0" t="s">
        <v>216</v>
      </c>
      <c r="DG779" s="0" t="s">
        <v>216</v>
      </c>
      <c r="DH779" s="0" t="n">
        <v>0</v>
      </c>
      <c r="DI779" s="126" t="n">
        <v>600</v>
      </c>
      <c r="DK779" s="0" t="n">
        <v>0</v>
      </c>
      <c r="DM779" s="0" t="n">
        <v>1</v>
      </c>
      <c r="DN779" s="0" t="n">
        <v>55</v>
      </c>
      <c r="DO779" s="0" t="n">
        <v>3</v>
      </c>
      <c r="DP779" s="0" t="n">
        <v>0</v>
      </c>
      <c r="DQ779" s="0" t="n">
        <v>1</v>
      </c>
      <c r="DR779" s="0"/>
      <c r="DS779" s="0" t="n">
        <v>1</v>
      </c>
      <c r="DU779" s="0" t="n">
        <v>1</v>
      </c>
      <c r="DW779" s="1" t="n">
        <v>37895</v>
      </c>
      <c r="DX779" s="1" t="n">
        <v>40652</v>
      </c>
      <c r="DZ779" s="0"/>
      <c r="EA779" s="0" t="n">
        <v>1</v>
      </c>
      <c r="EC779" s="1" t="n">
        <v>37895</v>
      </c>
      <c r="ED779" s="1" t="n">
        <v>40652</v>
      </c>
      <c r="EF779" s="0"/>
      <c r="EG779" s="0" t="n">
        <v>1</v>
      </c>
      <c r="EH779" s="0" t="n">
        <v>7</v>
      </c>
      <c r="EI779" s="0" t="n">
        <f aca="false">IF(AND(DM779=1,DN779&lt;=48),"",IF(AND(DM779=2,DN779&lt;=42),"",IF(AND(DM779=3,DN779&lt;=45),"",EH779)))</f>
        <v>7</v>
      </c>
      <c r="EJ779" s="0" t="n">
        <f aca="false">IF(EI779="","",IF(EI779&lt;9,EI779,9))</f>
        <v>7</v>
      </c>
      <c r="EK779" s="0" t="n">
        <f aca="false">IF(EI779="","",IF(EI779&gt;9,EI779-EJ779,0))</f>
        <v>0</v>
      </c>
      <c r="EL779" s="0" t="n">
        <f aca="false">IF(EI779="","",EJ779*DA779*2+EK779*DA779*3)</f>
        <v>1050</v>
      </c>
      <c r="EP779" s="0" t="n">
        <v>0</v>
      </c>
      <c r="EQ779" s="0"/>
      <c r="ER779" s="0" t="n">
        <v>0</v>
      </c>
      <c r="ET779" s="0" t="n">
        <v>0</v>
      </c>
      <c r="EV779" s="0" t="n">
        <v>0</v>
      </c>
      <c r="EX779" s="0" t="n">
        <v>0</v>
      </c>
      <c r="EY779" s="0" t="n">
        <v>1</v>
      </c>
      <c r="EZ779" s="4" t="n">
        <v>13000</v>
      </c>
      <c r="FA779" s="4" t="n">
        <v>0</v>
      </c>
      <c r="FB779" s="0" t="n">
        <v>1</v>
      </c>
      <c r="FC779" s="1" t="n">
        <v>40891</v>
      </c>
      <c r="FD779" s="0" t="n">
        <v>1</v>
      </c>
      <c r="FE779" s="0" t="n">
        <v>30000</v>
      </c>
      <c r="FF779" s="120" t="n">
        <f aca="false">(CJ779-CI779+1)/365</f>
        <v>7.55616438356164</v>
      </c>
      <c r="FG779" s="0" t="str">
        <f aca="false">CONCATENATE(F779,"/",G779)</f>
        <v>745/2011</v>
      </c>
      <c r="FH779" s="0" t="n">
        <v>1</v>
      </c>
      <c r="FI779" s="0" t="n">
        <f aca="false">IFERROR(IF((FC779-J779+1)/365&gt;3,0,1),"")</f>
        <v>1</v>
      </c>
    </row>
    <row r="780" customFormat="false" ht="15" hidden="false" customHeight="false" outlineLevel="0" collapsed="false">
      <c r="A780" s="5" t="str">
        <f aca="false">E780&amp;G780&amp;F780</f>
        <v>72011743</v>
      </c>
      <c r="B780" s="0" t="s">
        <v>7130</v>
      </c>
      <c r="C780" s="1" t="n">
        <v>42395</v>
      </c>
      <c r="D780" s="0" t="s">
        <v>3265</v>
      </c>
      <c r="E780" s="0" t="n">
        <v>7</v>
      </c>
      <c r="F780" s="0" t="n">
        <v>743</v>
      </c>
      <c r="G780" s="0" t="n">
        <v>2011</v>
      </c>
      <c r="H780" s="0" t="str">
        <f aca="false">"J"&amp;E780&amp;"\"&amp;F780&amp;"\"&amp;G780&amp;"\"&amp;W780</f>
        <v>J7\743\2011\1</v>
      </c>
      <c r="I780" s="0"/>
      <c r="J780" s="1" t="n">
        <v>40659</v>
      </c>
      <c r="M780" s="1"/>
      <c r="N780" s="1"/>
      <c r="O780" s="1"/>
      <c r="P780" s="1"/>
      <c r="Q780" s="1"/>
      <c r="T780" s="121"/>
      <c r="U780" s="121"/>
      <c r="V780" s="122" t="n">
        <f aca="false">IF(AND(E780&gt;0,F780&gt;0,G780&gt;0),COUNTIFS($E:$E,E780,$F:$F,F780,$G:$G,G780),"")</f>
        <v>1</v>
      </c>
      <c r="W780" s="122" t="n">
        <f aca="false">IF(V780="","",IF(V780=1,1,IF(AND(E779=E780,F779=F780,G779=G780),W779+1,1)))</f>
        <v>1</v>
      </c>
      <c r="X780" s="0" t="n">
        <v>1</v>
      </c>
      <c r="Y780" s="0" t="n">
        <v>7</v>
      </c>
      <c r="Z780" s="0" t="s">
        <v>2204</v>
      </c>
      <c r="AA780" s="0" t="n">
        <v>0</v>
      </c>
      <c r="AB780" s="0" t="s">
        <v>753</v>
      </c>
      <c r="AC780" s="0" t="s">
        <v>754</v>
      </c>
      <c r="AD780" s="0" t="s">
        <v>755</v>
      </c>
      <c r="AE780" s="0" t="n">
        <v>0</v>
      </c>
      <c r="AF780" s="0" t="s">
        <v>7166</v>
      </c>
      <c r="AG780" s="0" t="n">
        <v>0</v>
      </c>
      <c r="AH780" s="0" t="s">
        <v>7167</v>
      </c>
      <c r="AI780" s="0" t="s">
        <v>2787</v>
      </c>
      <c r="AJ780" s="0" t="s">
        <v>207</v>
      </c>
      <c r="AL780" s="0" t="s">
        <v>7168</v>
      </c>
      <c r="AM780" s="0" t="n">
        <v>0</v>
      </c>
      <c r="AN780" s="0" t="s">
        <v>7167</v>
      </c>
      <c r="AO780" s="0" t="s">
        <v>2787</v>
      </c>
      <c r="AP780" s="0" t="s">
        <v>207</v>
      </c>
      <c r="AR780" s="0" t="s">
        <v>7169</v>
      </c>
      <c r="AS780" s="0" t="n">
        <v>0</v>
      </c>
      <c r="AT780" s="0" t="s">
        <v>7167</v>
      </c>
      <c r="AU780" s="0" t="s">
        <v>2787</v>
      </c>
      <c r="AV780" s="0" t="s">
        <v>207</v>
      </c>
      <c r="AX780" s="0" t="s">
        <v>7170</v>
      </c>
      <c r="AY780" s="0" t="n">
        <v>1</v>
      </c>
      <c r="AZ780" s="0" t="s">
        <v>7167</v>
      </c>
      <c r="BA780" s="0" t="s">
        <v>2787</v>
      </c>
      <c r="BB780" s="0" t="s">
        <v>207</v>
      </c>
      <c r="BD780" s="0" t="s">
        <v>7171</v>
      </c>
      <c r="BE780" s="0" t="n">
        <v>1</v>
      </c>
      <c r="BF780" s="0" t="s">
        <v>7167</v>
      </c>
      <c r="BG780" s="0" t="s">
        <v>2787</v>
      </c>
      <c r="BH780" s="0" t="s">
        <v>207</v>
      </c>
      <c r="BJ780" s="0" t="s">
        <v>7172</v>
      </c>
      <c r="BK780" s="0" t="n">
        <v>1</v>
      </c>
      <c r="BL780" s="0" t="s">
        <v>7167</v>
      </c>
      <c r="BM780" s="0" t="s">
        <v>2787</v>
      </c>
      <c r="BN780" s="0" t="s">
        <v>207</v>
      </c>
      <c r="BR780" s="0" t="n">
        <v>1</v>
      </c>
      <c r="BS780" s="0" t="s">
        <v>765</v>
      </c>
      <c r="BT780" s="0" t="s">
        <v>7173</v>
      </c>
      <c r="BU780" s="0" t="s">
        <v>7174</v>
      </c>
      <c r="BV780" s="123"/>
      <c r="BW780" s="123"/>
      <c r="BX780" s="123"/>
      <c r="BY780" s="123"/>
      <c r="CA780" s="0" t="s">
        <v>216</v>
      </c>
      <c r="CD780" s="0" t="s">
        <v>296</v>
      </c>
      <c r="CE780" s="0" t="n">
        <v>0</v>
      </c>
      <c r="CF780" s="0" t="s">
        <v>7175</v>
      </c>
      <c r="CI780" s="1" t="n">
        <v>40422</v>
      </c>
      <c r="CJ780" s="1" t="n">
        <v>40633</v>
      </c>
      <c r="CK780" s="124" t="n">
        <v>0.375</v>
      </c>
      <c r="CL780" s="0" t="s">
        <v>7176</v>
      </c>
      <c r="CM780" s="0" t="n">
        <f aca="false">IF(OR(CI780="",CJ780=""),"",DAYS360(CI780,CJ780)/360)</f>
        <v>0.583333333333333</v>
      </c>
      <c r="CN780" s="0" t="n">
        <f aca="false">IF(OR(CI780="",CJ780=""),"",DAYS360(CI780,CJ780)/30)</f>
        <v>7</v>
      </c>
      <c r="CO780" s="0" t="n">
        <f aca="false">IF(OR(CI780="",CJ780=""),"",DAYS360(CI780,CJ780)/7)</f>
        <v>30</v>
      </c>
      <c r="CP780" s="0" t="n">
        <f aca="false">IF(OR(CI780="",CJ780=""),"",DAYS360(CI780,CJ780))</f>
        <v>210</v>
      </c>
      <c r="CQ780" s="0" t="s">
        <v>240</v>
      </c>
      <c r="CR780" s="0" t="n">
        <v>1</v>
      </c>
      <c r="CT780" s="0" t="n">
        <v>714.285714285714</v>
      </c>
      <c r="CU780" s="0" t="n">
        <v>0</v>
      </c>
      <c r="CV780" s="0" t="n">
        <f aca="false">IF(OR(CT780="",CT780="NO ESPECIFICA",CT780="NO MENCIONA"),"",IF(CU780=0,CT780,IF(CU780=1,CT780/30,IF(CU780=2,CT780/15,IF(CU780=3,CT780/7,"")))))</f>
        <v>714.285714285714</v>
      </c>
      <c r="CW780" s="125" t="n">
        <v>1460.85</v>
      </c>
      <c r="CX780" s="0" t="n">
        <v>0</v>
      </c>
      <c r="CY780" s="0" t="n">
        <f aca="false">IF(CW780="","",IF(CX780=0,CW780,IF(CX780=1,CW780/30,IF(CX780=2,CW780/15,IF(CX780=3,CW780/7,CW780)))))</f>
        <v>1460.85</v>
      </c>
      <c r="CZ780" s="0" t="n">
        <f aca="false">IF(DI780&gt;0,DI780,IF(CY780&gt;0,CY780,IF(CV780&gt;0,CV780,"")))</f>
        <v>1460.85</v>
      </c>
      <c r="DA780" s="0" t="n">
        <f aca="false">IF(DM780=1,CZ780/8,IF(OR(DM780=2,DM780=4),CZ780/7,IF(DM780=3,CZ780/7.5,"")))</f>
        <v>182.60625</v>
      </c>
      <c r="DB780" s="0" t="s">
        <v>303</v>
      </c>
      <c r="DC780" s="0" t="s">
        <v>7177</v>
      </c>
      <c r="DD780" s="0" t="s">
        <v>417</v>
      </c>
      <c r="DE780" s="0" t="s">
        <v>216</v>
      </c>
      <c r="DF780" s="0" t="s">
        <v>216</v>
      </c>
      <c r="DG780" s="0" t="s">
        <v>216</v>
      </c>
      <c r="DH780" s="0" t="n">
        <v>0</v>
      </c>
      <c r="DI780" s="126" t="n">
        <v>1460.85</v>
      </c>
      <c r="DK780" s="0" t="n">
        <v>1</v>
      </c>
      <c r="DM780" s="0" t="n">
        <v>1</v>
      </c>
      <c r="DN780" s="0" t="n">
        <v>63</v>
      </c>
      <c r="DO780" s="0" t="n">
        <v>3</v>
      </c>
      <c r="DP780" s="0" t="n">
        <v>0</v>
      </c>
      <c r="DQ780" s="0" t="n">
        <v>1</v>
      </c>
      <c r="DR780" s="0"/>
      <c r="DS780" s="0" t="n">
        <v>1</v>
      </c>
      <c r="DU780" s="0" t="n">
        <v>1</v>
      </c>
      <c r="DW780" s="1" t="n">
        <v>40422</v>
      </c>
      <c r="DX780" s="1" t="n">
        <v>40633</v>
      </c>
      <c r="DZ780" s="0"/>
      <c r="EA780" s="0" t="n">
        <v>1</v>
      </c>
      <c r="EC780" s="1" t="n">
        <v>40422</v>
      </c>
      <c r="ED780" s="1" t="n">
        <v>40633</v>
      </c>
      <c r="EF780" s="0"/>
      <c r="EG780" s="0" t="n">
        <v>1</v>
      </c>
      <c r="EH780" s="0" t="n">
        <v>21</v>
      </c>
      <c r="EI780" s="0" t="n">
        <f aca="false">IF(AND(DM780=1,DN780&lt;=48),"",IF(AND(DM780=2,DN780&lt;=42),"",IF(AND(DM780=3,DN780&lt;=45),"",EH780)))</f>
        <v>21</v>
      </c>
      <c r="EJ780" s="0" t="n">
        <f aca="false">IF(EI780="","",IF(EI780&lt;9,EI780,9))</f>
        <v>9</v>
      </c>
      <c r="EK780" s="0" t="n">
        <f aca="false">IF(EI780="","",IF(EI780&gt;9,EI780-EJ780,0))</f>
        <v>12</v>
      </c>
      <c r="EL780" s="0" t="n">
        <f aca="false">IF(EI780="","",EJ780*DA780*2+EK780*DA780*3)</f>
        <v>9860.7375</v>
      </c>
      <c r="EP780" s="0" t="n">
        <v>0</v>
      </c>
      <c r="EQ780" s="0"/>
      <c r="ER780" s="0" t="n">
        <v>1</v>
      </c>
      <c r="ET780" s="0" t="n">
        <v>1</v>
      </c>
      <c r="EV780" s="0" t="n">
        <v>0</v>
      </c>
      <c r="EX780" s="0" t="n">
        <v>1</v>
      </c>
      <c r="EY780" s="0" t="n">
        <v>1</v>
      </c>
      <c r="EZ780" s="0"/>
      <c r="FA780" s="4" t="n">
        <v>65738.25</v>
      </c>
      <c r="FB780" s="0" t="n">
        <v>0</v>
      </c>
      <c r="FC780" s="1" t="n">
        <v>40967</v>
      </c>
      <c r="FD780" s="0" t="n">
        <v>1</v>
      </c>
      <c r="FE780" s="0" t="n">
        <v>11000</v>
      </c>
      <c r="FF780" s="120" t="n">
        <f aca="false">(CJ780-CI780+1)/365</f>
        <v>0.580821917808219</v>
      </c>
      <c r="FG780" s="0" t="str">
        <f aca="false">CONCATENATE(F780,"/",G780)</f>
        <v>743/2011</v>
      </c>
      <c r="FH780" s="0" t="n">
        <v>1</v>
      </c>
      <c r="FI780" s="0" t="n">
        <f aca="false">IFERROR(IF((FC780-J780+1)/365&gt;3,0,1),"")</f>
        <v>1</v>
      </c>
    </row>
    <row r="781" customFormat="false" ht="15" hidden="false" customHeight="false" outlineLevel="0" collapsed="false">
      <c r="A781" s="5" t="str">
        <f aca="false">E781&amp;G781&amp;F781</f>
        <v>72011741</v>
      </c>
      <c r="B781" s="0" t="s">
        <v>7130</v>
      </c>
      <c r="C781" s="1" t="n">
        <v>42395</v>
      </c>
      <c r="E781" s="0" t="n">
        <v>7</v>
      </c>
      <c r="F781" s="0" t="n">
        <v>741</v>
      </c>
      <c r="G781" s="0" t="n">
        <v>2011</v>
      </c>
      <c r="H781" s="0" t="str">
        <f aca="false">"J"&amp;E781&amp;"\"&amp;F781&amp;"\"&amp;G781&amp;"\"&amp;W781</f>
        <v>J7\741\2011\1</v>
      </c>
      <c r="I781" s="0"/>
      <c r="J781" s="1" t="n">
        <v>40659</v>
      </c>
      <c r="K781" s="0" t="n">
        <v>0</v>
      </c>
      <c r="M781" s="1" t="n">
        <v>40659</v>
      </c>
      <c r="N781" s="1" t="n">
        <v>40784</v>
      </c>
      <c r="O781" s="1"/>
      <c r="P781" s="1"/>
      <c r="Q781" s="1"/>
      <c r="T781" s="121"/>
      <c r="U781" s="121"/>
      <c r="V781" s="122" t="n">
        <f aca="false">IF(AND(E781&gt;0,F781&gt;0,G781&gt;0),COUNTIFS($E:$E,E781,$F:$F,F781,$G:$G,G781),"")</f>
        <v>1</v>
      </c>
      <c r="W781" s="122" t="n">
        <f aca="false">IF(V781="","",IF(V781=1,1,IF(AND(E780=E781,F780=F781,G780=G781),W780+1,1)))</f>
        <v>1</v>
      </c>
      <c r="X781" s="0" t="n">
        <v>1</v>
      </c>
      <c r="Y781" s="0" t="n">
        <v>3</v>
      </c>
      <c r="Z781" s="0" t="s">
        <v>7178</v>
      </c>
      <c r="AA781" s="0" t="n">
        <v>0</v>
      </c>
      <c r="AB781" s="0" t="s">
        <v>6367</v>
      </c>
      <c r="AC781" s="0" t="s">
        <v>318</v>
      </c>
      <c r="AD781" s="0" t="s">
        <v>221</v>
      </c>
      <c r="AE781" s="0" t="n">
        <v>0</v>
      </c>
      <c r="AF781" s="0" t="s">
        <v>888</v>
      </c>
      <c r="AG781" s="0" t="n">
        <v>0</v>
      </c>
      <c r="AH781" s="0" t="s">
        <v>7179</v>
      </c>
      <c r="AI781" s="0" t="s">
        <v>7180</v>
      </c>
      <c r="AJ781" s="0" t="s">
        <v>7181</v>
      </c>
      <c r="AL781" s="0" t="s">
        <v>3508</v>
      </c>
      <c r="AM781" s="0" t="n">
        <v>0</v>
      </c>
      <c r="AN781" s="0" t="s">
        <v>7179</v>
      </c>
      <c r="AO781" s="0" t="s">
        <v>7180</v>
      </c>
      <c r="AP781" s="0" t="s">
        <v>7181</v>
      </c>
      <c r="AR781" s="0" t="s">
        <v>7182</v>
      </c>
      <c r="AS781" s="0" t="n">
        <v>0</v>
      </c>
      <c r="AT781" s="0" t="s">
        <v>7183</v>
      </c>
      <c r="AU781" s="0" t="s">
        <v>380</v>
      </c>
      <c r="AV781" s="0" t="s">
        <v>322</v>
      </c>
      <c r="BR781" s="0" t="n">
        <v>1</v>
      </c>
      <c r="BS781" s="0" t="s">
        <v>7184</v>
      </c>
      <c r="BT781" s="0" t="s">
        <v>823</v>
      </c>
      <c r="BU781" s="0" t="s">
        <v>1427</v>
      </c>
      <c r="BV781" s="123"/>
      <c r="BW781" s="123"/>
      <c r="BX781" s="123"/>
      <c r="BY781" s="123"/>
      <c r="CA781" s="0" t="s">
        <v>216</v>
      </c>
      <c r="CD781" s="0" t="s">
        <v>370</v>
      </c>
      <c r="CE781" s="0" t="n">
        <v>0</v>
      </c>
      <c r="CF781" s="0" t="s">
        <v>5155</v>
      </c>
      <c r="CI781" s="1" t="n">
        <v>39485</v>
      </c>
      <c r="CJ781" s="1" t="n">
        <v>40640</v>
      </c>
      <c r="CK781" s="124" t="n">
        <v>0.375</v>
      </c>
      <c r="CL781" s="0" t="s">
        <v>7185</v>
      </c>
      <c r="CM781" s="0" t="n">
        <f aca="false">IF(OR(CI781="",CJ781=""),"",DAYS360(CI781,CJ781)/360)</f>
        <v>3.16666666666667</v>
      </c>
      <c r="CN781" s="0" t="n">
        <f aca="false">IF(OR(CI781="",CJ781=""),"",DAYS360(CI781,CJ781)/30)</f>
        <v>38</v>
      </c>
      <c r="CO781" s="0" t="n">
        <f aca="false">IF(OR(CI781="",CJ781=""),"",DAYS360(CI781,CJ781)/7)</f>
        <v>162.857142857143</v>
      </c>
      <c r="CP781" s="0" t="n">
        <f aca="false">IF(OR(CI781="",CJ781=""),"",DAYS360(CI781,CJ781))</f>
        <v>1140</v>
      </c>
      <c r="CQ781" s="0" t="s">
        <v>240</v>
      </c>
      <c r="CR781" s="0" t="n">
        <v>1</v>
      </c>
      <c r="CT781" s="0" t="s">
        <v>221</v>
      </c>
      <c r="CU781" s="0" t="s">
        <v>221</v>
      </c>
      <c r="CV781" s="0" t="str">
        <f aca="false">IF(OR(CT781="",CT781="NO ESPECIFICA",CT781="NO MENCIONA"),"",IF(CU781=0,CT781,IF(CU781=1,CT781/30,IF(CU781=2,CT781/15,IF(CU781=3,CT781/7,"")))))</f>
        <v/>
      </c>
      <c r="CW781" s="125" t="n">
        <v>2750</v>
      </c>
      <c r="CX781" s="0" t="n">
        <v>2</v>
      </c>
      <c r="CY781" s="0" t="n">
        <f aca="false">IF(CW781="","",IF(CX781=0,CW781,IF(CX781=1,CW781/30,IF(CX781=2,CW781/15,IF(CX781=3,CW781/7,CW781)))))</f>
        <v>183.333333333333</v>
      </c>
      <c r="CZ781" s="0" t="n">
        <f aca="false">IF(DI781&gt;0,DI781,IF(CY781&gt;0,CY781,IF(CV781&gt;0,CV781,"")))</f>
        <v>183.33</v>
      </c>
      <c r="DA781" s="0" t="n">
        <f aca="false">IF(DM781=1,CZ781/8,IF(OR(DM781=2,DM781=4),CZ781/7,IF(DM781=3,CZ781/7.5,"")))</f>
        <v>22.91625</v>
      </c>
      <c r="DB781" s="0" t="s">
        <v>216</v>
      </c>
      <c r="DC781" s="0" t="s">
        <v>216</v>
      </c>
      <c r="DD781" s="0" t="s">
        <v>216</v>
      </c>
      <c r="DE781" s="0" t="s">
        <v>216</v>
      </c>
      <c r="DF781" s="0" t="s">
        <v>216</v>
      </c>
      <c r="DG781" s="0" t="s">
        <v>216</v>
      </c>
      <c r="DH781" s="0" t="n">
        <v>0</v>
      </c>
      <c r="DI781" s="126" t="n">
        <v>183.33</v>
      </c>
      <c r="DK781" s="0" t="n">
        <v>0</v>
      </c>
      <c r="DM781" s="0" t="n">
        <v>1</v>
      </c>
      <c r="DN781" s="0" t="n">
        <v>60</v>
      </c>
      <c r="DO781" s="0" t="n">
        <v>3</v>
      </c>
      <c r="DP781" s="0" t="n">
        <v>0</v>
      </c>
      <c r="DQ781" s="0" t="n">
        <v>1</v>
      </c>
      <c r="DR781" s="0"/>
      <c r="DS781" s="0" t="n">
        <v>1</v>
      </c>
      <c r="DU781" s="0" t="n">
        <v>1</v>
      </c>
      <c r="DW781" s="1" t="n">
        <v>39485</v>
      </c>
      <c r="DX781" s="1" t="n">
        <v>40640</v>
      </c>
      <c r="DZ781" s="0"/>
      <c r="EA781" s="0" t="n">
        <v>1</v>
      </c>
      <c r="EC781" s="1" t="n">
        <v>39485</v>
      </c>
      <c r="ED781" s="1" t="n">
        <v>40640</v>
      </c>
      <c r="EF781" s="0"/>
      <c r="EG781" s="0" t="n">
        <v>1</v>
      </c>
      <c r="EH781" s="0" t="n">
        <v>12</v>
      </c>
      <c r="EI781" s="0" t="n">
        <f aca="false">IF(AND(DM781=1,DN781&lt;=48),"",IF(AND(DM781=2,DN781&lt;=42),"",IF(AND(DM781=3,DN781&lt;=45),"",EH781)))</f>
        <v>12</v>
      </c>
      <c r="EJ781" s="0" t="n">
        <f aca="false">IF(EI781="","",IF(EI781&lt;9,EI781,9))</f>
        <v>9</v>
      </c>
      <c r="EK781" s="0" t="n">
        <f aca="false">IF(EI781="","",IF(EI781&gt;9,EI781-EJ781,0))</f>
        <v>3</v>
      </c>
      <c r="EL781" s="0" t="n">
        <f aca="false">IF(EI781="","",EJ781*DA781*2+EK781*DA781*3)</f>
        <v>618.73875</v>
      </c>
      <c r="EP781" s="0" t="n">
        <v>0</v>
      </c>
      <c r="EQ781" s="0"/>
      <c r="ER781" s="0" t="n">
        <v>0</v>
      </c>
      <c r="ET781" s="0" t="n">
        <v>0</v>
      </c>
      <c r="EV781" s="0" t="n">
        <v>0</v>
      </c>
      <c r="EX781" s="0" t="n">
        <v>0</v>
      </c>
      <c r="EY781" s="0" t="n">
        <v>0</v>
      </c>
      <c r="EZ781" s="0"/>
      <c r="FA781" s="4" t="n">
        <v>6783.21</v>
      </c>
      <c r="FB781" s="0" t="n">
        <v>0</v>
      </c>
      <c r="FC781" s="1" t="n">
        <v>41687</v>
      </c>
      <c r="FD781" s="0" t="n">
        <v>4</v>
      </c>
      <c r="FE781" s="0" t="n">
        <v>0</v>
      </c>
      <c r="FF781" s="120" t="n">
        <f aca="false">(CJ781-CI781+1)/365</f>
        <v>3.16712328767123</v>
      </c>
      <c r="FG781" s="0" t="str">
        <f aca="false">CONCATENATE(F781,"/",G781)</f>
        <v>741/2011</v>
      </c>
      <c r="FH781" s="0" t="n">
        <v>1</v>
      </c>
      <c r="FI781" s="0" t="n">
        <f aca="false">IFERROR(IF((FC781-J781+1)/365&gt;3,0,1),"")</f>
        <v>1</v>
      </c>
    </row>
    <row r="782" customFormat="false" ht="15" hidden="false" customHeight="false" outlineLevel="0" collapsed="false">
      <c r="A782" s="5" t="str">
        <f aca="false">E782&amp;G782&amp;F782</f>
        <v>72011737</v>
      </c>
      <c r="B782" s="0" t="s">
        <v>7130</v>
      </c>
      <c r="C782" s="1" t="n">
        <v>42396</v>
      </c>
      <c r="D782" s="0" t="s">
        <v>3265</v>
      </c>
      <c r="E782" s="0" t="n">
        <v>7</v>
      </c>
      <c r="F782" s="0" t="n">
        <v>737</v>
      </c>
      <c r="G782" s="0" t="n">
        <v>2011</v>
      </c>
      <c r="H782" s="0" t="str">
        <f aca="false">"J"&amp;E782&amp;"\"&amp;F782&amp;"\"&amp;G782&amp;"\"&amp;W782</f>
        <v>J7\737\2011\1</v>
      </c>
      <c r="I782" s="0"/>
      <c r="J782" s="1" t="n">
        <v>40658</v>
      </c>
      <c r="M782" s="1"/>
      <c r="N782" s="1"/>
      <c r="O782" s="1"/>
      <c r="P782" s="1"/>
      <c r="Q782" s="1"/>
      <c r="T782" s="121"/>
      <c r="U782" s="121"/>
      <c r="V782" s="122" t="n">
        <f aca="false">IF(AND(E782&gt;0,F782&gt;0,G782&gt;0),COUNTIFS($E:$E,E782,$F:$F,F782,$G:$G,G782),"")</f>
        <v>1</v>
      </c>
      <c r="W782" s="122" t="n">
        <f aca="false">IF(V782="","",IF(V782=1,1,IF(AND(E781=E782,F781=F782,G781=G782),W781+1,1)))</f>
        <v>1</v>
      </c>
      <c r="X782" s="0" t="n">
        <v>1</v>
      </c>
      <c r="Y782" s="0" t="n">
        <v>7</v>
      </c>
      <c r="Z782" s="0" t="s">
        <v>7186</v>
      </c>
      <c r="AA782" s="0" t="n">
        <v>0</v>
      </c>
      <c r="AB782" s="0" t="s">
        <v>7187</v>
      </c>
      <c r="AC782" s="0" t="s">
        <v>5860</v>
      </c>
      <c r="AD782" s="0" t="s">
        <v>322</v>
      </c>
      <c r="AE782" s="0" t="n">
        <v>0</v>
      </c>
      <c r="AF782" s="0" t="s">
        <v>7188</v>
      </c>
      <c r="AG782" s="0" t="n">
        <v>0</v>
      </c>
      <c r="AH782" s="0" t="s">
        <v>7189</v>
      </c>
      <c r="AI782" s="0" t="s">
        <v>7190</v>
      </c>
      <c r="AJ782" s="0" t="s">
        <v>211</v>
      </c>
      <c r="AL782" s="0" t="s">
        <v>7191</v>
      </c>
      <c r="AM782" s="0" t="n">
        <v>1</v>
      </c>
      <c r="AN782" s="0" t="s">
        <v>7189</v>
      </c>
      <c r="AO782" s="0" t="s">
        <v>7190</v>
      </c>
      <c r="AP782" s="0" t="s">
        <v>211</v>
      </c>
      <c r="AR782" s="0" t="s">
        <v>7192</v>
      </c>
      <c r="AS782" s="0" t="n">
        <v>1</v>
      </c>
      <c r="AT782" s="0" t="s">
        <v>7189</v>
      </c>
      <c r="AU782" s="0" t="s">
        <v>7190</v>
      </c>
      <c r="AV782" s="0" t="s">
        <v>211</v>
      </c>
      <c r="AX782" s="0" t="s">
        <v>7193</v>
      </c>
      <c r="AY782" s="0" t="n">
        <v>1</v>
      </c>
      <c r="AZ782" s="0" t="s">
        <v>7189</v>
      </c>
      <c r="BA782" s="0" t="s">
        <v>7190</v>
      </c>
      <c r="BB782" s="0" t="s">
        <v>211</v>
      </c>
      <c r="BD782" s="0" t="s">
        <v>7194</v>
      </c>
      <c r="BE782" s="0" t="n">
        <v>1</v>
      </c>
      <c r="BF782" s="0" t="s">
        <v>7189</v>
      </c>
      <c r="BG782" s="0" t="s">
        <v>7190</v>
      </c>
      <c r="BH782" s="0" t="s">
        <v>211</v>
      </c>
      <c r="BJ782" s="0" t="s">
        <v>7195</v>
      </c>
      <c r="BK782" s="0" t="n">
        <v>1</v>
      </c>
      <c r="BL782" s="0" t="s">
        <v>7189</v>
      </c>
      <c r="BM782" s="0" t="s">
        <v>7190</v>
      </c>
      <c r="BN782" s="0" t="s">
        <v>211</v>
      </c>
      <c r="BR782" s="0" t="n">
        <v>1</v>
      </c>
      <c r="BS782" s="0" t="s">
        <v>7196</v>
      </c>
      <c r="BT782" s="0" t="s">
        <v>7197</v>
      </c>
      <c r="BU782" s="0" t="s">
        <v>7198</v>
      </c>
      <c r="BV782" s="123"/>
      <c r="BW782" s="123"/>
      <c r="BX782" s="123"/>
      <c r="BY782" s="123"/>
      <c r="CA782" s="0" t="s">
        <v>216</v>
      </c>
      <c r="CD782" s="0" t="s">
        <v>256</v>
      </c>
      <c r="CE782" s="0" t="n">
        <v>0</v>
      </c>
      <c r="CF782" s="0" t="s">
        <v>5816</v>
      </c>
      <c r="CI782" s="1" t="n">
        <v>39153</v>
      </c>
      <c r="CJ782" s="1" t="n">
        <v>40613</v>
      </c>
      <c r="CK782" s="124" t="n">
        <v>0.5</v>
      </c>
      <c r="CL782" s="0" t="s">
        <v>7199</v>
      </c>
      <c r="CM782" s="0" t="n">
        <f aca="false">IF(OR(CI782="",CJ782=""),"",DAYS360(CI782,CJ782)/360)</f>
        <v>3.99722222222222</v>
      </c>
      <c r="CN782" s="0" t="n">
        <f aca="false">IF(OR(CI782="",CJ782=""),"",DAYS360(CI782,CJ782)/30)</f>
        <v>47.9666666666667</v>
      </c>
      <c r="CO782" s="0" t="n">
        <f aca="false">IF(OR(CI782="",CJ782=""),"",DAYS360(CI782,CJ782)/7)</f>
        <v>205.571428571429</v>
      </c>
      <c r="CP782" s="0" t="n">
        <f aca="false">IF(OR(CI782="",CJ782=""),"",DAYS360(CI782,CJ782))</f>
        <v>1439</v>
      </c>
      <c r="CQ782" s="0" t="s">
        <v>240</v>
      </c>
      <c r="CR782" s="0" t="n">
        <v>1</v>
      </c>
      <c r="CT782" s="0" t="s">
        <v>221</v>
      </c>
      <c r="CU782" s="0" t="s">
        <v>221</v>
      </c>
      <c r="CV782" s="0" t="str">
        <f aca="false">IF(OR(CT782="",CT782="NO ESPECIFICA",CT782="NO MENCIONA"),"",IF(CU782=0,CT782,IF(CU782=1,CT782/30,IF(CU782=2,CT782/15,IF(CU782=3,CT782/7,"")))))</f>
        <v/>
      </c>
      <c r="CW782" s="125" t="n">
        <v>3344</v>
      </c>
      <c r="CX782" s="0" t="n">
        <v>0</v>
      </c>
      <c r="CY782" s="0" t="n">
        <f aca="false">IF(CW782="","",IF(CX782=0,CW782,IF(CX782=1,CW782/30,IF(CX782=2,CW782/15,IF(CX782=3,CW782/7,CW782)))))</f>
        <v>3344</v>
      </c>
      <c r="CZ782" s="0" t="n">
        <f aca="false">IF(DI782&gt;0,DI782,IF(CY782&gt;0,CY782,IF(CV782&gt;0,CV782,"")))</f>
        <v>339.180952380952</v>
      </c>
      <c r="DA782" s="0" t="n">
        <f aca="false">IF(DM782=1,CZ782/8,IF(OR(DM782=2,DM782=4),CZ782/7,IF(DM782=3,CZ782/7.5,"")))</f>
        <v>42.397619047619</v>
      </c>
      <c r="DB782" s="0" t="s">
        <v>771</v>
      </c>
      <c r="DC782" s="0" t="s">
        <v>7200</v>
      </c>
      <c r="DD782" s="0" t="s">
        <v>216</v>
      </c>
      <c r="DE782" s="0" t="s">
        <v>216</v>
      </c>
      <c r="DF782" s="0" t="s">
        <v>216</v>
      </c>
      <c r="DG782" s="0" t="s">
        <v>216</v>
      </c>
      <c r="DH782" s="0" t="n">
        <v>0</v>
      </c>
      <c r="DI782" s="126" t="n">
        <v>339.180952380952</v>
      </c>
      <c r="DK782" s="0" t="n">
        <v>1</v>
      </c>
      <c r="DM782" s="0" t="n">
        <v>1</v>
      </c>
      <c r="DN782" s="0" t="n">
        <v>52.5</v>
      </c>
      <c r="DO782" s="0" t="n">
        <v>3</v>
      </c>
      <c r="DP782" s="0" t="n">
        <v>0</v>
      </c>
      <c r="DQ782" s="0" t="n">
        <v>1</v>
      </c>
      <c r="DR782" s="0"/>
      <c r="DS782" s="0" t="n">
        <v>1</v>
      </c>
      <c r="DU782" s="0" t="n">
        <v>1</v>
      </c>
      <c r="DW782" s="1" t="n">
        <v>39153</v>
      </c>
      <c r="DX782" s="1" t="n">
        <v>40613</v>
      </c>
      <c r="DZ782" s="0"/>
      <c r="EA782" s="0" t="n">
        <v>1</v>
      </c>
      <c r="EC782" s="1" t="n">
        <v>39153</v>
      </c>
      <c r="ED782" s="1" t="n">
        <v>40613</v>
      </c>
      <c r="EF782" s="0"/>
      <c r="EG782" s="0" t="n">
        <v>1</v>
      </c>
      <c r="EH782" s="0" t="n">
        <v>10</v>
      </c>
      <c r="EI782" s="0" t="n">
        <f aca="false">IF(AND(DM782=1,DN782&lt;=48),"",IF(AND(DM782=2,DN782&lt;=42),"",IF(AND(DM782=3,DN782&lt;=45),"",EH782)))</f>
        <v>10</v>
      </c>
      <c r="EJ782" s="0" t="n">
        <f aca="false">IF(EI782="","",IF(EI782&lt;9,EI782,9))</f>
        <v>9</v>
      </c>
      <c r="EK782" s="0" t="n">
        <f aca="false">IF(EI782="","",IF(EI782&gt;9,EI782-EJ782,0))</f>
        <v>1</v>
      </c>
      <c r="EL782" s="0" t="n">
        <f aca="false">IF(EI782="","",EJ782*DA782*2+EK782*DA782*3)</f>
        <v>890.35</v>
      </c>
      <c r="EP782" s="0" t="n">
        <v>1</v>
      </c>
      <c r="EQ782" s="0"/>
      <c r="ER782" s="0" t="n">
        <v>0</v>
      </c>
      <c r="ET782" s="0" t="n">
        <v>0</v>
      </c>
      <c r="EV782" s="0" t="n">
        <v>0</v>
      </c>
      <c r="EX782" s="0" t="n">
        <v>1</v>
      </c>
      <c r="EY782" s="0" t="n">
        <v>1</v>
      </c>
      <c r="EZ782" s="0"/>
      <c r="FA782" s="4" t="n">
        <v>0</v>
      </c>
      <c r="FB782" s="0" t="n">
        <v>0</v>
      </c>
      <c r="FC782" s="1" t="n">
        <v>40827</v>
      </c>
      <c r="FD782" s="0" t="n">
        <v>1</v>
      </c>
      <c r="FE782" s="0" t="n">
        <v>23000</v>
      </c>
      <c r="FF782" s="120" t="n">
        <f aca="false">(CJ782-CI782+1)/365</f>
        <v>4.0027397260274</v>
      </c>
      <c r="FG782" s="0" t="str">
        <f aca="false">CONCATENATE(F782,"/",G782)</f>
        <v>737/2011</v>
      </c>
      <c r="FH782" s="0" t="n">
        <v>1</v>
      </c>
      <c r="FI782" s="0" t="n">
        <f aca="false">IFERROR(IF((FC782-J782+1)/365&gt;3,0,1),"")</f>
        <v>1</v>
      </c>
    </row>
    <row r="783" customFormat="false" ht="15" hidden="false" customHeight="false" outlineLevel="0" collapsed="false">
      <c r="A783" s="5" t="str">
        <f aca="false">E783&amp;G783&amp;F783</f>
        <v>72011735</v>
      </c>
      <c r="B783" s="0" t="s">
        <v>7130</v>
      </c>
      <c r="C783" s="1" t="n">
        <v>42396</v>
      </c>
      <c r="D783" s="0" t="s">
        <v>3265</v>
      </c>
      <c r="E783" s="0" t="n">
        <v>7</v>
      </c>
      <c r="F783" s="0" t="n">
        <v>735</v>
      </c>
      <c r="G783" s="0" t="n">
        <v>2011</v>
      </c>
      <c r="H783" s="0" t="str">
        <f aca="false">"J"&amp;E783&amp;"\"&amp;F783&amp;"\"&amp;G783&amp;"\"&amp;W783</f>
        <v>J7\735\2011\1</v>
      </c>
      <c r="I783" s="0"/>
      <c r="J783" s="1" t="n">
        <v>40658</v>
      </c>
      <c r="M783" s="1"/>
      <c r="N783" s="1"/>
      <c r="O783" s="1"/>
      <c r="P783" s="1"/>
      <c r="Q783" s="1"/>
      <c r="T783" s="121"/>
      <c r="U783" s="121"/>
      <c r="V783" s="122" t="n">
        <f aca="false">IF(AND(E783&gt;0,F783&gt;0,G783&gt;0),COUNTIFS($E:$E,E783,$F:$F,F783,$G:$G,G783),"")</f>
        <v>1</v>
      </c>
      <c r="W783" s="122" t="n">
        <f aca="false">IF(V783="","",IF(V783=1,1,IF(AND(E782=E783,F782=F783,G782=G783),W782+1,1)))</f>
        <v>1</v>
      </c>
      <c r="X783" s="0" t="n">
        <v>1</v>
      </c>
      <c r="Y783" s="0" t="n">
        <v>2</v>
      </c>
      <c r="Z783" s="0" t="s">
        <v>7201</v>
      </c>
      <c r="AA783" s="0" t="n">
        <v>0</v>
      </c>
      <c r="AB783" s="0" t="s">
        <v>2121</v>
      </c>
      <c r="AE783" s="0" t="n">
        <v>0</v>
      </c>
      <c r="AF783" s="0" t="s">
        <v>5397</v>
      </c>
      <c r="AG783" s="0" t="n">
        <v>0</v>
      </c>
      <c r="AH783" s="0" t="s">
        <v>7202</v>
      </c>
      <c r="AI783" s="0" t="s">
        <v>7203</v>
      </c>
      <c r="AJ783" s="0" t="s">
        <v>352</v>
      </c>
      <c r="AL783" s="0" t="s">
        <v>1637</v>
      </c>
      <c r="AM783" s="0" t="n">
        <v>1</v>
      </c>
      <c r="AN783" s="0" t="s">
        <v>7202</v>
      </c>
      <c r="AO783" s="0" t="s">
        <v>7203</v>
      </c>
      <c r="AP783" s="0" t="s">
        <v>352</v>
      </c>
      <c r="BR783" s="0" t="n">
        <v>1</v>
      </c>
      <c r="BS783" s="0" t="s">
        <v>7204</v>
      </c>
      <c r="BT783" s="0" t="s">
        <v>7205</v>
      </c>
      <c r="BU783" s="0" t="s">
        <v>7206</v>
      </c>
      <c r="BV783" s="123"/>
      <c r="BW783" s="123"/>
      <c r="BX783" s="123"/>
      <c r="BY783" s="123"/>
      <c r="CA783" s="0" t="s">
        <v>216</v>
      </c>
      <c r="CD783" s="0" t="s">
        <v>256</v>
      </c>
      <c r="CE783" s="0" t="n">
        <v>0</v>
      </c>
      <c r="CF783" s="0" t="s">
        <v>7207</v>
      </c>
      <c r="CI783" s="1" t="n">
        <v>40564</v>
      </c>
      <c r="CJ783" s="1" t="n">
        <v>40649</v>
      </c>
      <c r="CK783" s="124" t="n">
        <v>0.25</v>
      </c>
      <c r="CL783" s="0" t="s">
        <v>7208</v>
      </c>
      <c r="CM783" s="0" t="n">
        <f aca="false">IF(OR(CI783="",CJ783=""),"",DAYS360(CI783,CJ783)/360)</f>
        <v>0.236111111111111</v>
      </c>
      <c r="CN783" s="0" t="n">
        <f aca="false">IF(OR(CI783="",CJ783=""),"",DAYS360(CI783,CJ783)/30)</f>
        <v>2.83333333333333</v>
      </c>
      <c r="CO783" s="0" t="n">
        <f aca="false">IF(OR(CI783="",CJ783=""),"",DAYS360(CI783,CJ783)/7)</f>
        <v>12.1428571428571</v>
      </c>
      <c r="CP783" s="0" t="n">
        <f aca="false">IF(OR(CI783="",CJ783=""),"",DAYS360(CI783,CJ783))</f>
        <v>85</v>
      </c>
      <c r="CQ783" s="0" t="s">
        <v>240</v>
      </c>
      <c r="CR783" s="0" t="n">
        <v>1</v>
      </c>
      <c r="CT783" s="0" t="s">
        <v>221</v>
      </c>
      <c r="CU783" s="0" t="s">
        <v>221</v>
      </c>
      <c r="CV783" s="0" t="str">
        <f aca="false">IF(OR(CT783="",CT783="NO ESPECIFICA",CT783="NO MENCIONA"),"",IF(CU783=0,CT783,IF(CU783=1,CT783/30,IF(CU783=2,CT783/15,IF(CU783=3,CT783/7,"")))))</f>
        <v/>
      </c>
      <c r="CW783" s="125" t="n">
        <v>181.7</v>
      </c>
      <c r="CX783" s="0" t="n">
        <v>0</v>
      </c>
      <c r="CY783" s="0" t="n">
        <f aca="false">IF(CW783="","",IF(CX783=0,CW783,IF(CX783=1,CW783/30,IF(CX783=2,CW783/15,IF(CX783=3,CW783/7,CW783)))))</f>
        <v>181.7</v>
      </c>
      <c r="CZ783" s="0" t="n">
        <f aca="false">IF(DI783&gt;0,DI783,IF(CY783&gt;0,CY783,IF(CV783&gt;0,CV783,"")))</f>
        <v>181.7</v>
      </c>
      <c r="DA783" s="0" t="n">
        <f aca="false">IF(DM783=1,CZ783/8,IF(OR(DM783=2,DM783=4),CZ783/7,IF(DM783=3,CZ783/7.5,"")))</f>
        <v>24.2266666666667</v>
      </c>
      <c r="DB783" s="0" t="s">
        <v>216</v>
      </c>
      <c r="DC783" s="0" t="s">
        <v>216</v>
      </c>
      <c r="DD783" s="0" t="s">
        <v>216</v>
      </c>
      <c r="DE783" s="0" t="s">
        <v>216</v>
      </c>
      <c r="DF783" s="0" t="s">
        <v>216</v>
      </c>
      <c r="DG783" s="0" t="s">
        <v>216</v>
      </c>
      <c r="DH783" s="0" t="n">
        <v>0</v>
      </c>
      <c r="DI783" s="126" t="n">
        <v>181.7</v>
      </c>
      <c r="DK783" s="0" t="n">
        <v>0</v>
      </c>
      <c r="DM783" s="0" t="n">
        <v>3</v>
      </c>
      <c r="DN783" s="0" t="n">
        <v>14</v>
      </c>
      <c r="DO783" s="0" t="n">
        <v>0</v>
      </c>
      <c r="DP783" s="0" t="n">
        <v>0</v>
      </c>
      <c r="DQ783" s="0" t="n">
        <v>1</v>
      </c>
      <c r="DR783" s="0" t="n">
        <v>16353.83</v>
      </c>
      <c r="DS783" s="0" t="n">
        <v>1</v>
      </c>
      <c r="DU783" s="0" t="n">
        <v>1</v>
      </c>
      <c r="DV783" s="0" t="n">
        <v>357</v>
      </c>
      <c r="DW783" s="1" t="s">
        <v>216</v>
      </c>
      <c r="DX783" s="1" t="s">
        <v>216</v>
      </c>
      <c r="DY783" s="0" t="n">
        <v>6</v>
      </c>
      <c r="DZ783" s="0" t="n">
        <v>1090.2</v>
      </c>
      <c r="EA783" s="0" t="n">
        <v>1</v>
      </c>
      <c r="EB783" s="0" t="n">
        <v>272.55</v>
      </c>
      <c r="EC783" s="1" t="n">
        <v>40564</v>
      </c>
      <c r="ED783" s="1" t="n">
        <v>40649</v>
      </c>
      <c r="EF783" s="0" t="n">
        <v>1090.2</v>
      </c>
      <c r="EG783" s="0" t="n">
        <v>1</v>
      </c>
      <c r="EI783" s="0" t="str">
        <f aca="false">IF(AND(DM783=1,DN783&lt;=48),"",IF(AND(DM783=2,DN783&lt;=42),"",IF(AND(DM783=3,DN783&lt;=45),"",EH783)))</f>
        <v/>
      </c>
      <c r="EJ783" s="0" t="str">
        <f aca="false">IF(EI783="","",IF(EI783&lt;9,EI783,9))</f>
        <v/>
      </c>
      <c r="EK783" s="0" t="str">
        <f aca="false">IF(EI783="","",IF(EI783&gt;9,EI783-EJ783,0))</f>
        <v/>
      </c>
      <c r="EL783" s="0" t="str">
        <f aca="false">IF(EI783="","",EJ783*DA783*2+EK783*DA783*3)</f>
        <v/>
      </c>
      <c r="EN783" s="0" t="n">
        <v>81745.6</v>
      </c>
      <c r="EO783" s="0" t="n">
        <v>180</v>
      </c>
      <c r="EP783" s="0" t="n">
        <v>0</v>
      </c>
      <c r="EQ783" s="0"/>
      <c r="ER783" s="0" t="n">
        <v>0</v>
      </c>
      <c r="ET783" s="0" t="n">
        <v>0</v>
      </c>
      <c r="EV783" s="0" t="n">
        <v>0</v>
      </c>
      <c r="EX783" s="0" t="n">
        <v>0</v>
      </c>
      <c r="EY783" s="0" t="n">
        <v>1</v>
      </c>
      <c r="EZ783" s="0"/>
      <c r="FA783" s="4" t="n">
        <v>2725.64</v>
      </c>
      <c r="FB783" s="0" t="n">
        <v>0</v>
      </c>
      <c r="FC783" s="1" t="n">
        <v>40851</v>
      </c>
      <c r="FD783" s="0" t="n">
        <v>1</v>
      </c>
      <c r="FE783" s="0" t="n">
        <v>7800</v>
      </c>
      <c r="FF783" s="120" t="n">
        <f aca="false">(CJ783-CI783+1)/365</f>
        <v>0.235616438356164</v>
      </c>
      <c r="FG783" s="0" t="str">
        <f aca="false">CONCATENATE(F783,"/",G783)</f>
        <v>735/2011</v>
      </c>
      <c r="FH783" s="0" t="n">
        <v>1</v>
      </c>
      <c r="FI783" s="0" t="n">
        <f aca="false">IFERROR(IF((FC783-J783+1)/365&gt;3,0,1),"")</f>
        <v>1</v>
      </c>
    </row>
    <row r="784" customFormat="false" ht="15" hidden="false" customHeight="false" outlineLevel="0" collapsed="false">
      <c r="A784" s="5" t="str">
        <f aca="false">E784&amp;G784&amp;F784</f>
        <v>72011734</v>
      </c>
      <c r="B784" s="0" t="s">
        <v>7130</v>
      </c>
      <c r="C784" s="1" t="n">
        <v>42396</v>
      </c>
      <c r="D784" s="0" t="s">
        <v>3265</v>
      </c>
      <c r="E784" s="0" t="n">
        <v>7</v>
      </c>
      <c r="F784" s="0" t="n">
        <v>734</v>
      </c>
      <c r="G784" s="0" t="n">
        <v>2011</v>
      </c>
      <c r="H784" s="0" t="str">
        <f aca="false">"J"&amp;E784&amp;"\"&amp;F784&amp;"\"&amp;G784&amp;"\"&amp;W784</f>
        <v>J7\734\2011\1</v>
      </c>
      <c r="I784" s="0"/>
      <c r="J784" s="1" t="n">
        <v>40658</v>
      </c>
      <c r="M784" s="1"/>
      <c r="N784" s="1"/>
      <c r="O784" s="1"/>
      <c r="P784" s="1"/>
      <c r="Q784" s="1"/>
      <c r="T784" s="121"/>
      <c r="U784" s="121"/>
      <c r="V784" s="122" t="n">
        <f aca="false">IF(AND(E784&gt;0,F784&gt;0,G784&gt;0),COUNTIFS($E:$E,E784,$F:$F,F784,$G:$G,G784),"")</f>
        <v>1</v>
      </c>
      <c r="W784" s="122" t="n">
        <f aca="false">IF(V784="","",IF(V784=1,1,IF(AND(E783=E784,F783=F784,G783=G784),W783+1,1)))</f>
        <v>1</v>
      </c>
      <c r="X784" s="0" t="n">
        <v>1</v>
      </c>
      <c r="Y784" s="0" t="n">
        <v>2</v>
      </c>
      <c r="Z784" s="0" t="s">
        <v>7209</v>
      </c>
      <c r="AA784" s="0" t="n">
        <v>0</v>
      </c>
      <c r="AB784" s="0" t="s">
        <v>2121</v>
      </c>
      <c r="AE784" s="0" t="n">
        <v>0</v>
      </c>
      <c r="AF784" s="0" t="s">
        <v>5397</v>
      </c>
      <c r="AG784" s="0" t="n">
        <v>0</v>
      </c>
      <c r="AH784" s="0" t="s">
        <v>7202</v>
      </c>
      <c r="AI784" s="0" t="s">
        <v>7203</v>
      </c>
      <c r="AJ784" s="0" t="s">
        <v>352</v>
      </c>
      <c r="AL784" s="0" t="s">
        <v>1637</v>
      </c>
      <c r="AM784" s="0" t="n">
        <v>1</v>
      </c>
      <c r="AN784" s="0" t="s">
        <v>7202</v>
      </c>
      <c r="AO784" s="0" t="s">
        <v>7203</v>
      </c>
      <c r="AP784" s="0" t="s">
        <v>352</v>
      </c>
      <c r="BR784" s="0" t="n">
        <v>1</v>
      </c>
      <c r="BS784" s="0" t="s">
        <v>7204</v>
      </c>
      <c r="BT784" s="0" t="s">
        <v>7205</v>
      </c>
      <c r="BU784" s="0" t="s">
        <v>7206</v>
      </c>
      <c r="BV784" s="123"/>
      <c r="BW784" s="123"/>
      <c r="BX784" s="123"/>
      <c r="BY784" s="123"/>
      <c r="CA784" s="0" t="s">
        <v>216</v>
      </c>
      <c r="CD784" s="0" t="s">
        <v>256</v>
      </c>
      <c r="CE784" s="0" t="n">
        <v>0</v>
      </c>
      <c r="CF784" s="0" t="s">
        <v>7207</v>
      </c>
      <c r="CI784" s="1" t="n">
        <v>40337</v>
      </c>
      <c r="CJ784" s="1" t="n">
        <v>40649</v>
      </c>
      <c r="CK784" s="124" t="n">
        <v>0.25</v>
      </c>
      <c r="CL784" s="0" t="s">
        <v>7208</v>
      </c>
      <c r="CM784" s="0" t="n">
        <f aca="false">IF(OR(CI784="",CJ784=""),"",DAYS360(CI784,CJ784)/360)</f>
        <v>0.855555555555556</v>
      </c>
      <c r="CN784" s="0" t="n">
        <f aca="false">IF(OR(CI784="",CJ784=""),"",DAYS360(CI784,CJ784)/30)</f>
        <v>10.2666666666667</v>
      </c>
      <c r="CO784" s="0" t="n">
        <f aca="false">IF(OR(CI784="",CJ784=""),"",DAYS360(CI784,CJ784)/7)</f>
        <v>44</v>
      </c>
      <c r="CP784" s="0" t="n">
        <f aca="false">IF(OR(CI784="",CJ784=""),"",DAYS360(CI784,CJ784))</f>
        <v>308</v>
      </c>
      <c r="CQ784" s="0" t="s">
        <v>240</v>
      </c>
      <c r="CR784" s="0" t="n">
        <v>1</v>
      </c>
      <c r="CT784" s="0" t="s">
        <v>221</v>
      </c>
      <c r="CU784" s="0" t="s">
        <v>221</v>
      </c>
      <c r="CV784" s="0" t="str">
        <f aca="false">IF(OR(CT784="",CT784="NO ESPECIFICA",CT784="NO MENCIONA"),"",IF(CU784=0,CT784,IF(CU784=1,CT784/30,IF(CU784=2,CT784/15,IF(CU784=3,CT784/7,"")))))</f>
        <v/>
      </c>
      <c r="CW784" s="125" t="n">
        <v>252.78</v>
      </c>
      <c r="CX784" s="0" t="n">
        <v>0</v>
      </c>
      <c r="CY784" s="0" t="n">
        <f aca="false">IF(CW784="","",IF(CX784=0,CW784,IF(CX784=1,CW784/30,IF(CX784=2,CW784/15,IF(CX784=3,CW784/7,CW784)))))</f>
        <v>252.78</v>
      </c>
      <c r="CZ784" s="0" t="n">
        <f aca="false">IF(DI784&gt;0,DI784,IF(CY784&gt;0,CY784,IF(CV784&gt;0,CV784,"")))</f>
        <v>252.78</v>
      </c>
      <c r="DA784" s="0" t="n">
        <f aca="false">IF(DM784=1,CZ784/8,IF(OR(DM784=2,DM784=4),CZ784/7,IF(DM784=3,CZ784/7.5,"")))</f>
        <v>33.704</v>
      </c>
      <c r="DB784" s="0" t="s">
        <v>216</v>
      </c>
      <c r="DC784" s="0" t="s">
        <v>216</v>
      </c>
      <c r="DD784" s="0" t="s">
        <v>216</v>
      </c>
      <c r="DE784" s="0" t="s">
        <v>216</v>
      </c>
      <c r="DF784" s="0" t="s">
        <v>216</v>
      </c>
      <c r="DG784" s="0" t="s">
        <v>216</v>
      </c>
      <c r="DH784" s="0" t="n">
        <v>0</v>
      </c>
      <c r="DI784" s="126" t="n">
        <v>252.78</v>
      </c>
      <c r="DK784" s="0" t="n">
        <v>0</v>
      </c>
      <c r="DM784" s="0" t="n">
        <v>3</v>
      </c>
      <c r="DN784" s="0" t="n">
        <v>14</v>
      </c>
      <c r="DO784" s="0" t="n">
        <v>0</v>
      </c>
      <c r="DP784" s="0" t="n">
        <v>0</v>
      </c>
      <c r="DQ784" s="0" t="n">
        <v>1</v>
      </c>
      <c r="DR784" s="0" t="n">
        <v>22750.2</v>
      </c>
      <c r="DS784" s="0" t="n">
        <v>1</v>
      </c>
      <c r="DU784" s="0" t="n">
        <v>1</v>
      </c>
      <c r="DV784" s="0" t="n">
        <v>1190</v>
      </c>
      <c r="DW784" s="1" t="s">
        <v>216</v>
      </c>
      <c r="DX784" s="1" t="s">
        <v>216</v>
      </c>
      <c r="DY784" s="0" t="n">
        <v>6</v>
      </c>
      <c r="DZ784" s="0" t="n">
        <v>1516.68</v>
      </c>
      <c r="EA784" s="0" t="n">
        <v>1</v>
      </c>
      <c r="EB784" s="0" t="n">
        <v>379.17</v>
      </c>
      <c r="EC784" s="1" t="n">
        <v>40544</v>
      </c>
      <c r="ED784" s="1" t="n">
        <v>40649</v>
      </c>
      <c r="EF784" s="0" t="n">
        <v>1516.68</v>
      </c>
      <c r="EG784" s="0" t="n">
        <v>1</v>
      </c>
      <c r="EI784" s="0" t="str">
        <f aca="false">IF(AND(DM784=1,DN784&lt;=48),"",IF(AND(DM784=2,DN784&lt;=42),"",IF(AND(DM784=3,DN784&lt;=45),"",EH784)))</f>
        <v/>
      </c>
      <c r="EJ784" s="0" t="str">
        <f aca="false">IF(EI784="","",IF(EI784&lt;9,EI784,9))</f>
        <v/>
      </c>
      <c r="EK784" s="0" t="str">
        <f aca="false">IF(EI784="","",IF(EI784&gt;9,EI784-EJ784,0))</f>
        <v/>
      </c>
      <c r="EL784" s="0" t="str">
        <f aca="false">IF(EI784="","",EJ784*DA784*2+EK784*DA784*3)</f>
        <v/>
      </c>
      <c r="EN784" s="0" t="n">
        <v>51183.9</v>
      </c>
      <c r="EO784" s="0" t="n">
        <v>810</v>
      </c>
      <c r="EP784" s="0" t="n">
        <v>0</v>
      </c>
      <c r="EQ784" s="0"/>
      <c r="ER784" s="0" t="n">
        <v>0</v>
      </c>
      <c r="ET784" s="0" t="n">
        <v>0</v>
      </c>
      <c r="EV784" s="0" t="n">
        <v>0</v>
      </c>
      <c r="EX784" s="0" t="n">
        <v>0</v>
      </c>
      <c r="EY784" s="0" t="n">
        <v>1</v>
      </c>
      <c r="EZ784" s="0"/>
      <c r="FA784" s="4" t="n">
        <v>3791.7</v>
      </c>
      <c r="FB784" s="0" t="n">
        <v>0</v>
      </c>
      <c r="FC784" s="1" t="n">
        <v>40851</v>
      </c>
      <c r="FD784" s="0" t="n">
        <v>1</v>
      </c>
      <c r="FE784" s="0" t="n">
        <v>10000</v>
      </c>
      <c r="FF784" s="120" t="n">
        <f aca="false">(CJ784-CI784+1)/365</f>
        <v>0.857534246575342</v>
      </c>
      <c r="FG784" s="0" t="str">
        <f aca="false">CONCATENATE(F784,"/",G784)</f>
        <v>734/2011</v>
      </c>
      <c r="FH784" s="0" t="n">
        <v>1</v>
      </c>
      <c r="FI784" s="0" t="n">
        <f aca="false">IFERROR(IF((FC784-J784+1)/365&gt;3,0,1),"")</f>
        <v>1</v>
      </c>
    </row>
    <row r="785" customFormat="false" ht="15" hidden="false" customHeight="false" outlineLevel="0" collapsed="false">
      <c r="A785" s="5" t="str">
        <f aca="false">E785&amp;G785&amp;F785</f>
        <v>72011732</v>
      </c>
      <c r="B785" s="0" t="s">
        <v>7130</v>
      </c>
      <c r="C785" s="1" t="n">
        <v>42396</v>
      </c>
      <c r="E785" s="0" t="n">
        <v>7</v>
      </c>
      <c r="F785" s="0" t="n">
        <v>732</v>
      </c>
      <c r="G785" s="0" t="n">
        <v>2011</v>
      </c>
      <c r="H785" s="0" t="str">
        <f aca="false">"J"&amp;E785&amp;"\"&amp;F785&amp;"\"&amp;G785&amp;"\"&amp;W785</f>
        <v>J7\732\2011\1</v>
      </c>
      <c r="I785" s="0"/>
      <c r="J785" s="1" t="n">
        <v>40658</v>
      </c>
      <c r="K785" s="0" t="n">
        <v>0</v>
      </c>
      <c r="M785" s="1" t="n">
        <v>40658</v>
      </c>
      <c r="N785" s="1" t="n">
        <v>40780</v>
      </c>
      <c r="O785" s="1"/>
      <c r="P785" s="1"/>
      <c r="Q785" s="1"/>
      <c r="T785" s="121"/>
      <c r="U785" s="121"/>
      <c r="V785" s="122" t="n">
        <f aca="false">IF(AND(E785&gt;0,F785&gt;0,G785&gt;0),COUNTIFS($E:$E,E785,$F:$F,F785,$G:$G,G785),"")</f>
        <v>1</v>
      </c>
      <c r="W785" s="122" t="n">
        <f aca="false">IF(V785="","",IF(V785=1,1,IF(AND(E784=E785,F784=F785,G784=G785),W784+1,1)))</f>
        <v>1</v>
      </c>
      <c r="X785" s="0" t="n">
        <v>1</v>
      </c>
      <c r="Y785" s="0" t="n">
        <v>3</v>
      </c>
      <c r="Z785" s="0" t="s">
        <v>7210</v>
      </c>
      <c r="AA785" s="0" t="n">
        <v>0</v>
      </c>
      <c r="AB785" s="0" t="s">
        <v>1812</v>
      </c>
      <c r="AC785" s="0" t="s">
        <v>228</v>
      </c>
      <c r="AD785" s="0" t="s">
        <v>229</v>
      </c>
      <c r="AE785" s="0" t="n">
        <v>0</v>
      </c>
      <c r="AF785" s="0" t="s">
        <v>7211</v>
      </c>
      <c r="AG785" s="0" t="n">
        <v>0</v>
      </c>
      <c r="AH785" s="0" t="s">
        <v>7212</v>
      </c>
      <c r="AI785" s="0" t="s">
        <v>830</v>
      </c>
      <c r="AJ785" s="0" t="s">
        <v>322</v>
      </c>
      <c r="AL785" s="0" t="s">
        <v>7213</v>
      </c>
      <c r="AM785" s="0" t="n">
        <v>1</v>
      </c>
      <c r="AN785" s="0" t="s">
        <v>7212</v>
      </c>
      <c r="AO785" s="0" t="s">
        <v>830</v>
      </c>
      <c r="AP785" s="0" t="s">
        <v>322</v>
      </c>
      <c r="AR785" s="0" t="s">
        <v>213</v>
      </c>
      <c r="AS785" s="0" t="n">
        <v>1</v>
      </c>
      <c r="AT785" s="0" t="s">
        <v>7212</v>
      </c>
      <c r="AU785" s="0" t="s">
        <v>830</v>
      </c>
      <c r="AV785" s="0" t="s">
        <v>322</v>
      </c>
      <c r="BR785" s="0" t="n">
        <v>1</v>
      </c>
      <c r="BS785" s="0" t="s">
        <v>499</v>
      </c>
      <c r="BT785" s="0" t="s">
        <v>1818</v>
      </c>
      <c r="BU785" s="0" t="s">
        <v>501</v>
      </c>
      <c r="BV785" s="123"/>
      <c r="BW785" s="123"/>
      <c r="BX785" s="123"/>
      <c r="BY785" s="123"/>
      <c r="CA785" s="0" t="s">
        <v>216</v>
      </c>
      <c r="CD785" s="0" t="s">
        <v>370</v>
      </c>
      <c r="CE785" s="0" t="n">
        <v>0</v>
      </c>
      <c r="CF785" s="0" t="s">
        <v>7214</v>
      </c>
      <c r="CI785" s="1" t="n">
        <v>39720</v>
      </c>
      <c r="CJ785" s="1" t="n">
        <v>40598</v>
      </c>
      <c r="CK785" s="124" t="n">
        <v>0.75</v>
      </c>
      <c r="CL785" s="0" t="s">
        <v>7213</v>
      </c>
      <c r="CM785" s="0" t="n">
        <f aca="false">IF(OR(CI785="",CJ785=""),"",DAYS360(CI785,CJ785)/360)</f>
        <v>2.40277777777778</v>
      </c>
      <c r="CN785" s="0" t="n">
        <f aca="false">IF(OR(CI785="",CJ785=""),"",DAYS360(CI785,CJ785)/30)</f>
        <v>28.8333333333333</v>
      </c>
      <c r="CO785" s="0" t="n">
        <f aca="false">IF(OR(CI785="",CJ785=""),"",DAYS360(CI785,CJ785)/7)</f>
        <v>123.571428571429</v>
      </c>
      <c r="CP785" s="0" t="n">
        <f aca="false">IF(OR(CI785="",CJ785=""),"",DAYS360(CI785,CJ785))</f>
        <v>865</v>
      </c>
      <c r="CQ785" s="0" t="s">
        <v>240</v>
      </c>
      <c r="CR785" s="0" t="n">
        <v>1</v>
      </c>
      <c r="CT785" s="0" t="n">
        <v>194.55</v>
      </c>
      <c r="CU785" s="0" t="n">
        <v>0</v>
      </c>
      <c r="CV785" s="0" t="n">
        <f aca="false">IF(OR(CT785="",CT785="NO ESPECIFICA",CT785="NO MENCIONA"),"",IF(CU785=0,CT785,IF(CU785=1,CT785/30,IF(CU785=2,CT785/15,IF(CU785=3,CT785/7,"")))))</f>
        <v>194.55</v>
      </c>
      <c r="CW785" s="125" t="n">
        <v>287.69</v>
      </c>
      <c r="CX785" s="0" t="n">
        <v>0</v>
      </c>
      <c r="CY785" s="0" t="n">
        <f aca="false">IF(CW785="","",IF(CX785=0,CW785,IF(CX785=1,CW785/30,IF(CX785=2,CW785/15,IF(CX785=3,CW785/7,CW785)))))</f>
        <v>287.69</v>
      </c>
      <c r="CZ785" s="0" t="n">
        <f aca="false">IF(DI785&gt;0,DI785,IF(CY785&gt;0,CY785,IF(CV785&gt;0,CV785,"")))</f>
        <v>287.69</v>
      </c>
      <c r="DA785" s="0" t="n">
        <f aca="false">IF(DM785=1,CZ785/8,IF(OR(DM785=2,DM785=4),CZ785/7,IF(DM785=3,CZ785/7.5,"")))</f>
        <v>35.96125</v>
      </c>
      <c r="DB785" s="0" t="s">
        <v>216</v>
      </c>
      <c r="DC785" s="0" t="s">
        <v>216</v>
      </c>
      <c r="DD785" s="0" t="s">
        <v>216</v>
      </c>
      <c r="DE785" s="0" t="s">
        <v>216</v>
      </c>
      <c r="DF785" s="0" t="s">
        <v>216</v>
      </c>
      <c r="DG785" s="0" t="s">
        <v>216</v>
      </c>
      <c r="DH785" s="0" t="n">
        <v>0</v>
      </c>
      <c r="DI785" s="126" t="n">
        <v>287.69</v>
      </c>
      <c r="DK785" s="0" t="n">
        <v>0</v>
      </c>
      <c r="DM785" s="0" t="n">
        <v>1</v>
      </c>
      <c r="DN785" s="0" t="n">
        <v>69</v>
      </c>
      <c r="DO785" s="0" t="n">
        <v>3</v>
      </c>
      <c r="DP785" s="0" t="n">
        <v>0</v>
      </c>
      <c r="DQ785" s="0" t="n">
        <v>1</v>
      </c>
      <c r="DR785" s="0"/>
      <c r="DS785" s="0" t="n">
        <v>1</v>
      </c>
      <c r="DU785" s="0" t="n">
        <v>1</v>
      </c>
      <c r="DW785" s="1" t="n">
        <v>39720</v>
      </c>
      <c r="DX785" s="1" t="n">
        <v>40598</v>
      </c>
      <c r="DZ785" s="0"/>
      <c r="EA785" s="0" t="n">
        <v>1</v>
      </c>
      <c r="EC785" s="1" t="n">
        <v>39720</v>
      </c>
      <c r="ED785" s="1" t="n">
        <v>40598</v>
      </c>
      <c r="EF785" s="0"/>
      <c r="EG785" s="0" t="n">
        <v>0</v>
      </c>
      <c r="EI785" s="0" t="n">
        <f aca="false">IF(AND(DM785=1,DN785&lt;=48),"",IF(AND(DM785=2,DN785&lt;=42),"",IF(AND(DM785=3,DN785&lt;=45),"",EH785)))</f>
        <v>0</v>
      </c>
      <c r="EJ785" s="0" t="str">
        <f aca="false">IF(EI785="","",IF(EI785&lt;9,EI785,9))</f>
        <v/>
      </c>
      <c r="EK785" s="0" t="str">
        <f aca="false">IF(EI785="","",IF(EI785&gt;9,EI785-EJ785,0))</f>
        <v/>
      </c>
      <c r="EL785" s="0" t="str">
        <f aca="false">IF(EI785="","",EJ785*DA785*2+EK785*DA785*3)</f>
        <v/>
      </c>
      <c r="EP785" s="0" t="n">
        <v>0</v>
      </c>
      <c r="EQ785" s="0"/>
      <c r="ER785" s="0" t="n">
        <v>0</v>
      </c>
      <c r="ET785" s="0" t="n">
        <v>0</v>
      </c>
      <c r="EV785" s="0" t="n">
        <v>0</v>
      </c>
      <c r="EX785" s="0" t="n">
        <v>0</v>
      </c>
      <c r="EY785" s="0" t="n">
        <v>0</v>
      </c>
      <c r="EZ785" s="0"/>
      <c r="FA785" s="4" t="n">
        <v>5326.92</v>
      </c>
      <c r="FB785" s="0" t="n">
        <v>0</v>
      </c>
      <c r="FC785" s="1" t="n">
        <v>41465</v>
      </c>
      <c r="FD785" s="0" t="n">
        <v>1</v>
      </c>
      <c r="FE785" s="0" t="n">
        <v>5000</v>
      </c>
      <c r="FF785" s="120" t="n">
        <f aca="false">(CJ785-CI785+1)/365</f>
        <v>2.40821917808219</v>
      </c>
      <c r="FG785" s="0" t="str">
        <f aca="false">CONCATENATE(F785,"/",G785)</f>
        <v>732/2011</v>
      </c>
      <c r="FH785" s="0" t="n">
        <v>1</v>
      </c>
      <c r="FI785" s="0" t="n">
        <f aca="false">IFERROR(IF((FC785-J785+1)/365&gt;3,0,1),"")</f>
        <v>1</v>
      </c>
    </row>
    <row r="786" customFormat="false" ht="15" hidden="false" customHeight="false" outlineLevel="0" collapsed="false">
      <c r="A786" s="5" t="str">
        <f aca="false">E786&amp;G786&amp;F786</f>
        <v>72011599</v>
      </c>
      <c r="B786" s="0" t="s">
        <v>1855</v>
      </c>
      <c r="C786" s="1" t="n">
        <v>42358</v>
      </c>
      <c r="D786" s="0" t="s">
        <v>1856</v>
      </c>
      <c r="E786" s="0" t="n">
        <v>7</v>
      </c>
      <c r="F786" s="0" t="n">
        <v>599</v>
      </c>
      <c r="G786" s="0" t="n">
        <v>2011</v>
      </c>
      <c r="H786" s="0" t="str">
        <f aca="false">"J"&amp;E786&amp;"\"&amp;F786&amp;"\"&amp;G786&amp;"\"&amp;W786</f>
        <v>J7\599\2011\1</v>
      </c>
      <c r="I786" s="0"/>
      <c r="J786" s="1" t="n">
        <v>40633</v>
      </c>
      <c r="K786" s="0" t="n">
        <v>0</v>
      </c>
      <c r="M786" s="1"/>
      <c r="N786" s="1"/>
      <c r="O786" s="1"/>
      <c r="P786" s="1"/>
      <c r="Q786" s="1"/>
      <c r="T786" s="121"/>
      <c r="U786" s="121"/>
      <c r="V786" s="122" t="n">
        <f aca="false">IF(AND(E786&gt;0,F786&gt;0,G786&gt;0),COUNTIFS($E:$E,E786,$F:$F,F786,$G:$G,G786),"")</f>
        <v>1</v>
      </c>
      <c r="W786" s="122" t="n">
        <f aca="false">IF(V786="","",IF(V786=1,1,IF(AND(E785=E786,F785=F786,G785=G786),W785+1,1)))</f>
        <v>1</v>
      </c>
      <c r="X786" s="0" t="n">
        <v>1</v>
      </c>
      <c r="Y786" s="0" t="n">
        <v>3</v>
      </c>
      <c r="Z786" s="0" t="s">
        <v>7215</v>
      </c>
      <c r="AA786" s="0" t="n">
        <v>0</v>
      </c>
      <c r="AB786" s="0" t="s">
        <v>2121</v>
      </c>
      <c r="AE786" s="0" t="n">
        <v>0</v>
      </c>
      <c r="AF786" s="0" t="s">
        <v>7216</v>
      </c>
      <c r="AG786" s="0" t="n">
        <v>1</v>
      </c>
      <c r="AH786" s="0" t="s">
        <v>7217</v>
      </c>
      <c r="AI786" s="0" t="s">
        <v>7218</v>
      </c>
      <c r="AJ786" s="0" t="s">
        <v>352</v>
      </c>
      <c r="AL786" s="0" t="s">
        <v>7219</v>
      </c>
      <c r="AM786" s="0" t="n">
        <v>1</v>
      </c>
      <c r="AN786" s="0" t="s">
        <v>7217</v>
      </c>
      <c r="AO786" s="0" t="s">
        <v>7218</v>
      </c>
      <c r="AP786" s="0" t="s">
        <v>352</v>
      </c>
      <c r="AR786" s="0" t="s">
        <v>1880</v>
      </c>
      <c r="AS786" s="0" t="n">
        <v>1</v>
      </c>
      <c r="AT786" s="0" t="s">
        <v>7217</v>
      </c>
      <c r="AU786" s="0" t="s">
        <v>7218</v>
      </c>
      <c r="AV786" s="0" t="s">
        <v>352</v>
      </c>
      <c r="BR786" s="0" t="n">
        <v>1</v>
      </c>
      <c r="BS786" s="0" t="s">
        <v>5501</v>
      </c>
      <c r="BT786" s="0" t="s">
        <v>5502</v>
      </c>
      <c r="BU786" s="0" t="s">
        <v>7220</v>
      </c>
      <c r="BV786" s="123"/>
      <c r="BW786" s="123"/>
      <c r="BX786" s="123"/>
      <c r="BY786" s="123"/>
      <c r="CA786" s="0" t="s">
        <v>216</v>
      </c>
      <c r="CD786" s="0" t="s">
        <v>370</v>
      </c>
      <c r="CE786" s="0" t="n">
        <v>0</v>
      </c>
      <c r="CF786" s="0" t="s">
        <v>7221</v>
      </c>
      <c r="CI786" s="1" t="n">
        <v>40294</v>
      </c>
      <c r="CJ786" s="1" t="n">
        <v>40589</v>
      </c>
      <c r="CK786" s="124" t="n">
        <v>0.75</v>
      </c>
      <c r="CL786" s="0" t="s">
        <v>7216</v>
      </c>
      <c r="CM786" s="0" t="n">
        <f aca="false">IF(OR(CI786="",CJ786=""),"",DAYS360(CI786,CJ786)/360)</f>
        <v>0.802777777777778</v>
      </c>
      <c r="CN786" s="0" t="n">
        <f aca="false">IF(OR(CI786="",CJ786=""),"",DAYS360(CI786,CJ786)/30)</f>
        <v>9.63333333333333</v>
      </c>
      <c r="CO786" s="0" t="n">
        <f aca="false">IF(OR(CI786="",CJ786=""),"",DAYS360(CI786,CJ786)/7)</f>
        <v>41.2857142857143</v>
      </c>
      <c r="CP786" s="0" t="n">
        <f aca="false">IF(OR(CI786="",CJ786=""),"",DAYS360(CI786,CJ786))</f>
        <v>289</v>
      </c>
      <c r="CQ786" s="0" t="s">
        <v>220</v>
      </c>
      <c r="CR786" s="0" t="n">
        <v>1</v>
      </c>
      <c r="CT786" s="0" t="s">
        <v>221</v>
      </c>
      <c r="CU786" s="0" t="s">
        <v>221</v>
      </c>
      <c r="CV786" s="0" t="str">
        <f aca="false">IF(OR(CT786="",CT786="NO ESPECIFICA",CT786="NO MENCIONA"),"",IF(CU786=0,CT786,IF(CU786=1,CT786/30,IF(CU786=2,CT786/15,IF(CU786=3,CT786/7,"")))))</f>
        <v/>
      </c>
      <c r="CW786" s="125" t="n">
        <v>7000</v>
      </c>
      <c r="CX786" s="0" t="n">
        <v>1</v>
      </c>
      <c r="CY786" s="0" t="n">
        <f aca="false">IF(CW786="","",IF(CX786=0,CW786,IF(CX786=1,CW786/30,IF(CX786=2,CW786/15,IF(CX786=3,CW786/7,CW786)))))</f>
        <v>233.333333333333</v>
      </c>
      <c r="CZ786" s="0" t="n">
        <f aca="false">IF(DI786&gt;0,DI786,IF(CY786&gt;0,CY786,IF(CV786&gt;0,CV786,"")))</f>
        <v>233.33</v>
      </c>
      <c r="DA786" s="0" t="n">
        <f aca="false">IF(DM786=1,CZ786/8,IF(OR(DM786=2,DM786=4),CZ786/7,IF(DM786=3,CZ786/7.5,"")))</f>
        <v>29.16625</v>
      </c>
      <c r="DB786" s="0" t="s">
        <v>216</v>
      </c>
      <c r="DC786" s="0" t="s">
        <v>216</v>
      </c>
      <c r="DD786" s="0" t="s">
        <v>216</v>
      </c>
      <c r="DE786" s="0" t="s">
        <v>216</v>
      </c>
      <c r="DF786" s="0" t="s">
        <v>216</v>
      </c>
      <c r="DG786" s="0" t="s">
        <v>216</v>
      </c>
      <c r="DH786" s="0" t="n">
        <v>0</v>
      </c>
      <c r="DI786" s="126" t="n">
        <v>233.33</v>
      </c>
      <c r="DK786" s="0" t="n">
        <v>1</v>
      </c>
      <c r="DM786" s="0" t="n">
        <v>1</v>
      </c>
      <c r="DN786" s="0" t="n">
        <v>40</v>
      </c>
      <c r="DO786" s="0" t="n">
        <v>3</v>
      </c>
      <c r="DP786" s="0" t="n">
        <v>1</v>
      </c>
      <c r="DQ786" s="0" t="n">
        <v>1</v>
      </c>
      <c r="DR786" s="0"/>
      <c r="DS786" s="0" t="n">
        <v>1</v>
      </c>
      <c r="DU786" s="0" t="n">
        <v>1</v>
      </c>
      <c r="DW786" s="1" t="n">
        <v>40294</v>
      </c>
      <c r="DX786" s="1" t="n">
        <v>40589</v>
      </c>
      <c r="DZ786" s="0"/>
      <c r="EA786" s="0" t="n">
        <v>1</v>
      </c>
      <c r="EC786" s="1" t="n">
        <v>40544</v>
      </c>
      <c r="ED786" s="1" t="n">
        <v>40589</v>
      </c>
      <c r="EF786" s="0"/>
      <c r="EG786" s="0" t="n">
        <v>0</v>
      </c>
      <c r="EI786" s="0" t="str">
        <f aca="false">IF(AND(DM786=1,DN786&lt;=48),"",IF(AND(DM786=2,DN786&lt;=42),"",IF(AND(DM786=3,DN786&lt;=45),"",EH786)))</f>
        <v/>
      </c>
      <c r="EJ786" s="0" t="str">
        <f aca="false">IF(EI786="","",IF(EI786&lt;9,EI786,9))</f>
        <v/>
      </c>
      <c r="EK786" s="0" t="str">
        <f aca="false">IF(EI786="","",IF(EI786&gt;9,EI786-EJ786,0))</f>
        <v/>
      </c>
      <c r="EL786" s="0" t="str">
        <f aca="false">IF(EI786="","",EJ786*DA786*2+EK786*DA786*3)</f>
        <v/>
      </c>
      <c r="EP786" s="0" t="n">
        <v>1</v>
      </c>
      <c r="EQ786" s="0"/>
      <c r="ER786" s="0" t="n">
        <v>0</v>
      </c>
      <c r="ET786" s="0" t="n">
        <v>0</v>
      </c>
      <c r="EV786" s="0" t="n">
        <v>0</v>
      </c>
      <c r="EX786" s="0" t="n">
        <v>1</v>
      </c>
      <c r="EY786" s="0" t="n">
        <v>0</v>
      </c>
      <c r="EZ786" s="0"/>
      <c r="FA786" s="4" t="n">
        <v>3266.62</v>
      </c>
      <c r="FB786" s="0" t="n">
        <v>1</v>
      </c>
      <c r="FC786" s="1" t="n">
        <v>41169</v>
      </c>
      <c r="FD786" s="0" t="n">
        <v>1</v>
      </c>
      <c r="FE786" s="0" t="n">
        <v>15000</v>
      </c>
      <c r="FF786" s="120" t="n">
        <f aca="false">(CJ786-CI786+1)/365</f>
        <v>0.810958904109589</v>
      </c>
      <c r="FG786" s="0" t="str">
        <f aca="false">CONCATENATE(F786,"/",G786)</f>
        <v>599/2011</v>
      </c>
      <c r="FH786" s="0" t="n">
        <v>1</v>
      </c>
      <c r="FI786" s="0" t="n">
        <f aca="false">IFERROR(IF((FC786-J786+1)/365&gt;3,0,1),"")</f>
        <v>1</v>
      </c>
    </row>
    <row r="787" customFormat="false" ht="15" hidden="false" customHeight="false" outlineLevel="0" collapsed="false">
      <c r="A787" s="5" t="str">
        <f aca="false">E787&amp;G787&amp;F787</f>
        <v>72011600</v>
      </c>
      <c r="B787" s="0" t="s">
        <v>1855</v>
      </c>
      <c r="C787" s="1" t="n">
        <v>42358</v>
      </c>
      <c r="D787" s="0" t="s">
        <v>1856</v>
      </c>
      <c r="E787" s="0" t="n">
        <v>7</v>
      </c>
      <c r="F787" s="0" t="n">
        <v>600</v>
      </c>
      <c r="G787" s="0" t="n">
        <v>2011</v>
      </c>
      <c r="H787" s="0" t="str">
        <f aca="false">"J"&amp;E787&amp;"\"&amp;F787&amp;"\"&amp;G787&amp;"\"&amp;W787</f>
        <v>J7\600\2011\1</v>
      </c>
      <c r="I787" s="0"/>
      <c r="J787" s="1" t="n">
        <v>40633</v>
      </c>
      <c r="K787" s="0" t="n">
        <v>0</v>
      </c>
      <c r="M787" s="1"/>
      <c r="N787" s="1"/>
      <c r="O787" s="1"/>
      <c r="P787" s="1"/>
      <c r="Q787" s="1"/>
      <c r="T787" s="121"/>
      <c r="U787" s="121"/>
      <c r="V787" s="122" t="n">
        <f aca="false">IF(AND(E787&gt;0,F787&gt;0,G787&gt;0),COUNTIFS($E:$E,E787,$F:$F,F787,$G:$G,G787),"")</f>
        <v>1</v>
      </c>
      <c r="W787" s="122" t="n">
        <f aca="false">IF(V787="","",IF(V787=1,1,IF(AND(E786=E787,F786=F787,G786=G787),W786+1,1)))</f>
        <v>1</v>
      </c>
      <c r="X787" s="0" t="n">
        <v>1</v>
      </c>
      <c r="Y787" s="0" t="n">
        <v>5</v>
      </c>
      <c r="Z787" s="0" t="s">
        <v>7222</v>
      </c>
      <c r="AA787" s="0" t="n">
        <v>0</v>
      </c>
      <c r="AB787" s="0" t="s">
        <v>5290</v>
      </c>
      <c r="AC787" s="0" t="s">
        <v>1757</v>
      </c>
      <c r="AD787" s="0" t="s">
        <v>411</v>
      </c>
      <c r="AE787" s="0" t="n">
        <v>0</v>
      </c>
      <c r="AF787" s="0" t="s">
        <v>7223</v>
      </c>
      <c r="AG787" s="0" t="n">
        <v>0</v>
      </c>
      <c r="AH787" s="0" t="s">
        <v>7224</v>
      </c>
      <c r="AI787" s="0" t="s">
        <v>1661</v>
      </c>
      <c r="AJ787" s="0" t="s">
        <v>229</v>
      </c>
      <c r="AL787" s="0" t="s">
        <v>7225</v>
      </c>
      <c r="AM787" s="0" t="n">
        <v>1</v>
      </c>
      <c r="AN787" s="0" t="s">
        <v>7224</v>
      </c>
      <c r="AO787" s="0" t="s">
        <v>1661</v>
      </c>
      <c r="AP787" s="0" t="s">
        <v>229</v>
      </c>
      <c r="AR787" s="0" t="s">
        <v>7226</v>
      </c>
      <c r="AS787" s="0" t="n">
        <v>1</v>
      </c>
      <c r="AT787" s="0" t="s">
        <v>7224</v>
      </c>
      <c r="AU787" s="0" t="s">
        <v>1661</v>
      </c>
      <c r="AV787" s="0" t="s">
        <v>229</v>
      </c>
      <c r="AX787" s="0" t="s">
        <v>7227</v>
      </c>
      <c r="AY787" s="0" t="n">
        <v>1</v>
      </c>
      <c r="AZ787" s="0" t="s">
        <v>7224</v>
      </c>
      <c r="BA787" s="0" t="s">
        <v>1661</v>
      </c>
      <c r="BB787" s="0" t="s">
        <v>229</v>
      </c>
      <c r="BD787" s="0" t="s">
        <v>1880</v>
      </c>
      <c r="BE787" s="0" t="n">
        <v>1</v>
      </c>
      <c r="BF787" s="0" t="s">
        <v>7224</v>
      </c>
      <c r="BG787" s="0" t="s">
        <v>1661</v>
      </c>
      <c r="BH787" s="0" t="s">
        <v>229</v>
      </c>
      <c r="BR787" s="0" t="n">
        <v>1</v>
      </c>
      <c r="BS787" s="0" t="s">
        <v>7228</v>
      </c>
      <c r="BT787" s="0" t="s">
        <v>7229</v>
      </c>
      <c r="BU787" s="0" t="s">
        <v>7230</v>
      </c>
      <c r="BV787" s="123"/>
      <c r="BW787" s="123"/>
      <c r="BX787" s="123"/>
      <c r="BY787" s="123"/>
      <c r="CA787" s="0" t="s">
        <v>7231</v>
      </c>
      <c r="CD787" s="0" t="s">
        <v>256</v>
      </c>
      <c r="CE787" s="0" t="n">
        <v>0</v>
      </c>
      <c r="CF787" s="0" t="s">
        <v>7232</v>
      </c>
      <c r="CI787" s="1" t="n">
        <v>39190</v>
      </c>
      <c r="CJ787" s="1" t="n">
        <v>40617</v>
      </c>
      <c r="CK787" s="124" t="n">
        <v>0.375</v>
      </c>
      <c r="CL787" s="0" t="s">
        <v>7225</v>
      </c>
      <c r="CM787" s="0" t="n">
        <f aca="false">IF(OR(CI787="",CJ787=""),"",DAYS360(CI787,CJ787)/360)</f>
        <v>3.90833333333333</v>
      </c>
      <c r="CN787" s="0" t="n">
        <f aca="false">IF(OR(CI787="",CJ787=""),"",DAYS360(CI787,CJ787)/30)</f>
        <v>46.9</v>
      </c>
      <c r="CO787" s="0" t="n">
        <f aca="false">IF(OR(CI787="",CJ787=""),"",DAYS360(CI787,CJ787)/7)</f>
        <v>201</v>
      </c>
      <c r="CP787" s="0" t="n">
        <f aca="false">IF(OR(CI787="",CJ787=""),"",DAYS360(CI787,CJ787))</f>
        <v>1407</v>
      </c>
      <c r="CQ787" s="0" t="s">
        <v>220</v>
      </c>
      <c r="CR787" s="0" t="n">
        <v>1</v>
      </c>
      <c r="CT787" s="0" t="n">
        <v>407.5</v>
      </c>
      <c r="CU787" s="0" t="n">
        <v>0</v>
      </c>
      <c r="CV787" s="0" t="n">
        <f aca="false">IF(OR(CT787="",CT787="NO ESPECIFICA",CT787="NO MENCIONA"),"",IF(CU787=0,CT787,IF(CU787=1,CT787/30,IF(CU787=2,CT787/15,IF(CU787=3,CT787/7,"")))))</f>
        <v>407.5</v>
      </c>
      <c r="CW787" s="125" t="n">
        <v>596.62</v>
      </c>
      <c r="CX787" s="0" t="n">
        <v>0</v>
      </c>
      <c r="CY787" s="0" t="n">
        <f aca="false">IF(CW787="","",IF(CX787=0,CW787,IF(CX787=1,CW787/30,IF(CX787=2,CW787/15,IF(CX787=3,CW787/7,CW787)))))</f>
        <v>596.62</v>
      </c>
      <c r="CZ787" s="0" t="n">
        <f aca="false">IF(DI787&gt;0,DI787,IF(CY787&gt;0,CY787,IF(CV787&gt;0,CV787,"")))</f>
        <v>596.62</v>
      </c>
      <c r="DA787" s="0" t="n">
        <f aca="false">IF(DM787=1,CZ787/8,IF(OR(DM787=2,DM787=4),CZ787/7,IF(DM787=3,CZ787/7.5,"")))</f>
        <v>74.5775</v>
      </c>
      <c r="DB787" s="0" t="s">
        <v>302</v>
      </c>
      <c r="DC787" s="0" t="s">
        <v>303</v>
      </c>
      <c r="DD787" s="0" t="s">
        <v>301</v>
      </c>
      <c r="DE787" s="0" t="s">
        <v>299</v>
      </c>
      <c r="DF787" s="0" t="s">
        <v>300</v>
      </c>
      <c r="DG787" s="0" t="s">
        <v>7233</v>
      </c>
      <c r="DH787" s="0" t="n">
        <v>0</v>
      </c>
      <c r="DI787" s="126" t="n">
        <v>596.62</v>
      </c>
      <c r="DK787" s="0" t="n">
        <v>0</v>
      </c>
      <c r="DM787" s="0" t="n">
        <v>1</v>
      </c>
      <c r="DN787" s="0" t="n">
        <v>60</v>
      </c>
      <c r="DO787" s="0" t="n">
        <v>3</v>
      </c>
      <c r="DP787" s="0" t="n">
        <v>1</v>
      </c>
      <c r="DQ787" s="0" t="n">
        <v>1</v>
      </c>
      <c r="DR787" s="0"/>
      <c r="DS787" s="0" t="n">
        <v>1</v>
      </c>
      <c r="DU787" s="0" t="n">
        <v>1</v>
      </c>
      <c r="DW787" s="1" t="s">
        <v>1775</v>
      </c>
      <c r="DX787" s="1" t="s">
        <v>1775</v>
      </c>
      <c r="DZ787" s="0"/>
      <c r="EA787" s="0" t="n">
        <v>1</v>
      </c>
      <c r="EC787" s="1" t="n">
        <v>40544</v>
      </c>
      <c r="ED787" s="1" t="n">
        <v>40617</v>
      </c>
      <c r="EF787" s="0"/>
      <c r="EG787" s="0" t="n">
        <v>1</v>
      </c>
      <c r="EH787" s="0" t="n">
        <v>12</v>
      </c>
      <c r="EI787" s="0" t="n">
        <f aca="false">IF(AND(DM787=1,DN787&lt;=48),"",IF(AND(DM787=2,DN787&lt;=42),"",IF(AND(DM787=3,DN787&lt;=45),"",EH787)))</f>
        <v>12</v>
      </c>
      <c r="EJ787" s="0" t="n">
        <f aca="false">IF(EI787="","",IF(EI787&lt;9,EI787,9))</f>
        <v>9</v>
      </c>
      <c r="EK787" s="0" t="n">
        <f aca="false">IF(EI787="","",IF(EI787&gt;9,EI787-EJ787,0))</f>
        <v>3</v>
      </c>
      <c r="EL787" s="0" t="n">
        <f aca="false">IF(EI787="","",EJ787*DA787*2+EK787*DA787*3)</f>
        <v>2013.5925</v>
      </c>
      <c r="EP787" s="0" t="n">
        <v>1</v>
      </c>
      <c r="EQ787" s="0"/>
      <c r="ER787" s="0" t="n">
        <v>0</v>
      </c>
      <c r="ET787" s="0" t="n">
        <v>1</v>
      </c>
      <c r="EV787" s="0" t="n">
        <v>1</v>
      </c>
      <c r="EX787" s="0" t="n">
        <v>1</v>
      </c>
      <c r="EY787" s="0" t="n">
        <v>1</v>
      </c>
      <c r="EZ787" s="4" t="n">
        <v>15984.36</v>
      </c>
      <c r="FA787" s="4" t="n">
        <v>8352.68</v>
      </c>
      <c r="FB787" s="0" t="n">
        <v>1</v>
      </c>
      <c r="FC787" s="1" t="n">
        <v>40820</v>
      </c>
      <c r="FD787" s="0" t="n">
        <v>1</v>
      </c>
      <c r="FE787" s="0" t="n">
        <v>47433</v>
      </c>
      <c r="FF787" s="120" t="n">
        <f aca="false">(CJ787-CI787+1)/365</f>
        <v>3.91232876712329</v>
      </c>
      <c r="FG787" s="0" t="str">
        <f aca="false">CONCATENATE(F787,"/",G787)</f>
        <v>600/2011</v>
      </c>
      <c r="FH787" s="0" t="n">
        <v>1</v>
      </c>
      <c r="FI787" s="0" t="n">
        <f aca="false">IFERROR(IF((FC787-J787+1)/365&gt;3,0,1),"")</f>
        <v>1</v>
      </c>
    </row>
    <row r="788" customFormat="false" ht="15" hidden="false" customHeight="false" outlineLevel="0" collapsed="false">
      <c r="A788" s="5" t="str">
        <f aca="false">E788&amp;G788&amp;F788</f>
        <v>72011603</v>
      </c>
      <c r="B788" s="0" t="s">
        <v>1855</v>
      </c>
      <c r="C788" s="1" t="n">
        <v>42358</v>
      </c>
      <c r="D788" s="0" t="s">
        <v>1856</v>
      </c>
      <c r="E788" s="0" t="n">
        <v>7</v>
      </c>
      <c r="F788" s="0" t="n">
        <v>603</v>
      </c>
      <c r="G788" s="0" t="n">
        <v>2011</v>
      </c>
      <c r="H788" s="0" t="str">
        <f aca="false">"J"&amp;E788&amp;"\"&amp;F788&amp;"\"&amp;G788&amp;"\"&amp;W788</f>
        <v>J7\603\2011\1</v>
      </c>
      <c r="I788" s="0"/>
      <c r="J788" s="1" t="n">
        <v>40633</v>
      </c>
      <c r="K788" s="0" t="n">
        <v>0</v>
      </c>
      <c r="M788" s="1"/>
      <c r="N788" s="1"/>
      <c r="O788" s="1"/>
      <c r="P788" s="1"/>
      <c r="Q788" s="1"/>
      <c r="T788" s="121"/>
      <c r="U788" s="121"/>
      <c r="V788" s="122" t="n">
        <f aca="false">IF(AND(E788&gt;0,F788&gt;0,G788&gt;0),COUNTIFS($E:$E,E788,$F:$F,F788,$G:$G,G788),"")</f>
        <v>1</v>
      </c>
      <c r="W788" s="122" t="n">
        <f aca="false">IF(V788="","",IF(V788=1,1,IF(AND(E787=E788,F787=F788,G787=G788),W787+1,1)))</f>
        <v>1</v>
      </c>
      <c r="X788" s="0" t="n">
        <v>1</v>
      </c>
      <c r="Y788" s="0" t="n">
        <v>3</v>
      </c>
      <c r="Z788" s="0" t="s">
        <v>7234</v>
      </c>
      <c r="AA788" s="0" t="n">
        <v>0</v>
      </c>
      <c r="AB788" s="0" t="s">
        <v>273</v>
      </c>
      <c r="AC788" s="0" t="s">
        <v>274</v>
      </c>
      <c r="AE788" s="0" t="n">
        <v>0</v>
      </c>
      <c r="AF788" s="0" t="s">
        <v>7235</v>
      </c>
      <c r="AG788" s="0" t="n">
        <v>1</v>
      </c>
      <c r="AH788" s="0" t="s">
        <v>7236</v>
      </c>
      <c r="AI788" s="0" t="s">
        <v>7237</v>
      </c>
      <c r="AJ788" s="0" t="s">
        <v>352</v>
      </c>
      <c r="AL788" s="0" t="s">
        <v>7238</v>
      </c>
      <c r="AM788" s="0" t="n">
        <v>1</v>
      </c>
      <c r="AN788" s="0" t="s">
        <v>7236</v>
      </c>
      <c r="AO788" s="0" t="s">
        <v>7237</v>
      </c>
      <c r="AP788" s="0" t="s">
        <v>352</v>
      </c>
      <c r="AR788" s="0" t="s">
        <v>1880</v>
      </c>
      <c r="AS788" s="0" t="n">
        <v>1</v>
      </c>
      <c r="AT788" s="0" t="s">
        <v>7236</v>
      </c>
      <c r="AU788" s="0" t="s">
        <v>7237</v>
      </c>
      <c r="AV788" s="0" t="s">
        <v>352</v>
      </c>
      <c r="BR788" s="0" t="n">
        <v>1</v>
      </c>
      <c r="BS788" s="0" t="s">
        <v>7239</v>
      </c>
      <c r="BT788" s="0" t="s">
        <v>280</v>
      </c>
      <c r="BU788" s="0" t="s">
        <v>281</v>
      </c>
      <c r="BV788" s="123"/>
      <c r="BW788" s="123"/>
      <c r="BX788" s="123"/>
      <c r="BY788" s="123"/>
      <c r="CA788" s="0" t="s">
        <v>282</v>
      </c>
      <c r="CD788" s="0" t="s">
        <v>1308</v>
      </c>
      <c r="CE788" s="0" t="n">
        <v>0</v>
      </c>
      <c r="CF788" s="0" t="s">
        <v>503</v>
      </c>
      <c r="CI788" s="1" t="n">
        <v>40425</v>
      </c>
      <c r="CJ788" s="1" t="n">
        <v>40630</v>
      </c>
      <c r="CK788" s="124" t="n">
        <v>0.333333333333333</v>
      </c>
      <c r="CL788" s="0" t="s">
        <v>7238</v>
      </c>
      <c r="CM788" s="0" t="n">
        <f aca="false">IF(OR(CI788="",CJ788=""),"",DAYS360(CI788,CJ788)/360)</f>
        <v>0.566666666666667</v>
      </c>
      <c r="CN788" s="0" t="n">
        <f aca="false">IF(OR(CI788="",CJ788=""),"",DAYS360(CI788,CJ788)/30)</f>
        <v>6.8</v>
      </c>
      <c r="CO788" s="0" t="n">
        <f aca="false">IF(OR(CI788="",CJ788=""),"",DAYS360(CI788,CJ788)/7)</f>
        <v>29.1428571428571</v>
      </c>
      <c r="CP788" s="0" t="n">
        <f aca="false">IF(OR(CI788="",CJ788=""),"",DAYS360(CI788,CJ788))</f>
        <v>204</v>
      </c>
      <c r="CQ788" s="0" t="s">
        <v>240</v>
      </c>
      <c r="CR788" s="0" t="n">
        <v>1</v>
      </c>
      <c r="CT788" s="0" t="s">
        <v>221</v>
      </c>
      <c r="CU788" s="0" t="s">
        <v>221</v>
      </c>
      <c r="CV788" s="0" t="str">
        <f aca="false">IF(OR(CT788="",CT788="NO ESPECIFICA",CT788="NO MENCIONA"),"",IF(CU788=0,CT788,IF(CU788=1,CT788/30,IF(CU788=2,CT788/15,IF(CU788=3,CT788/7,"")))))</f>
        <v/>
      </c>
      <c r="CW788" s="125" t="n">
        <v>3500</v>
      </c>
      <c r="CX788" s="0" t="n">
        <v>3</v>
      </c>
      <c r="CY788" s="0" t="n">
        <f aca="false">IF(CW788="","",IF(CX788=0,CW788,IF(CX788=1,CW788/30,IF(CX788=2,CW788/15,IF(CX788=3,CW788/7,CW788)))))</f>
        <v>500</v>
      </c>
      <c r="CZ788" s="0" t="n">
        <f aca="false">IF(DI788&gt;0,DI788,IF(CY788&gt;0,CY788,IF(CV788&gt;0,CV788,"")))</f>
        <v>500</v>
      </c>
      <c r="DA788" s="0" t="n">
        <f aca="false">IF(DM788=1,CZ788/8,IF(OR(DM788=2,DM788=4),CZ788/7,IF(DM788=3,CZ788/7.5,"")))</f>
        <v>62.5</v>
      </c>
      <c r="DB788" s="0" t="s">
        <v>216</v>
      </c>
      <c r="DC788" s="0" t="s">
        <v>216</v>
      </c>
      <c r="DD788" s="0" t="s">
        <v>216</v>
      </c>
      <c r="DE788" s="0" t="s">
        <v>216</v>
      </c>
      <c r="DF788" s="0" t="s">
        <v>216</v>
      </c>
      <c r="DG788" s="0" t="s">
        <v>216</v>
      </c>
      <c r="DH788" s="0" t="n">
        <v>0</v>
      </c>
      <c r="DI788" s="126" t="n">
        <v>500</v>
      </c>
      <c r="DK788" s="0" t="n">
        <v>0</v>
      </c>
      <c r="DM788" s="0" t="n">
        <v>1</v>
      </c>
      <c r="DN788" s="0" t="n">
        <v>66</v>
      </c>
      <c r="DO788" s="0" t="n">
        <v>3</v>
      </c>
      <c r="DP788" s="0" t="n">
        <v>0</v>
      </c>
      <c r="DQ788" s="0" t="n">
        <v>1</v>
      </c>
      <c r="DR788" s="0"/>
      <c r="DS788" s="0" t="n">
        <v>1</v>
      </c>
      <c r="DU788" s="0" t="n">
        <v>1</v>
      </c>
      <c r="DW788" s="1" t="n">
        <v>40425</v>
      </c>
      <c r="DX788" s="1" t="n">
        <v>40630</v>
      </c>
      <c r="DZ788" s="0"/>
      <c r="EA788" s="0" t="n">
        <v>1</v>
      </c>
      <c r="EC788" s="1" t="n">
        <v>40425</v>
      </c>
      <c r="ED788" s="1" t="n">
        <v>40630</v>
      </c>
      <c r="EF788" s="0"/>
      <c r="EG788" s="0" t="n">
        <v>1</v>
      </c>
      <c r="EH788" s="0" t="n">
        <v>18</v>
      </c>
      <c r="EI788" s="0" t="n">
        <f aca="false">IF(AND(DM788=1,DN788&lt;=48),"",IF(AND(DM788=2,DN788&lt;=42),"",IF(AND(DM788=3,DN788&lt;=45),"",EH788)))</f>
        <v>18</v>
      </c>
      <c r="EJ788" s="0" t="n">
        <f aca="false">IF(EI788="","",IF(EI788&lt;9,EI788,9))</f>
        <v>9</v>
      </c>
      <c r="EK788" s="0" t="n">
        <f aca="false">IF(EI788="","",IF(EI788&gt;9,EI788-EJ788,0))</f>
        <v>9</v>
      </c>
      <c r="EL788" s="0" t="n">
        <f aca="false">IF(EI788="","",EJ788*DA788*2+EK788*DA788*3)</f>
        <v>2812.5</v>
      </c>
      <c r="EP788" s="0" t="n">
        <v>0</v>
      </c>
      <c r="EQ788" s="0"/>
      <c r="ER788" s="0" t="n">
        <v>0</v>
      </c>
      <c r="ET788" s="0" t="n">
        <v>0</v>
      </c>
      <c r="EV788" s="0" t="n">
        <v>0</v>
      </c>
      <c r="EX788" s="0" t="n">
        <v>0</v>
      </c>
      <c r="EY788" s="0" t="n">
        <v>0</v>
      </c>
      <c r="EZ788" s="0"/>
      <c r="FA788" s="4" t="n">
        <v>7000</v>
      </c>
      <c r="FB788" s="0" t="n">
        <v>0</v>
      </c>
      <c r="FC788" s="1" t="n">
        <v>41305</v>
      </c>
      <c r="FD788" s="0" t="n">
        <v>1</v>
      </c>
      <c r="FE788" s="0" t="n">
        <v>2000</v>
      </c>
      <c r="FF788" s="120" t="n">
        <f aca="false">(CJ788-CI788+1)/365</f>
        <v>0.564383561643836</v>
      </c>
      <c r="FG788" s="0" t="str">
        <f aca="false">CONCATENATE(F788,"/",G788)</f>
        <v>603/2011</v>
      </c>
      <c r="FH788" s="0" t="n">
        <v>1</v>
      </c>
      <c r="FI788" s="0" t="n">
        <f aca="false">IFERROR(IF((FC788-J788+1)/365&gt;3,0,1),"")</f>
        <v>1</v>
      </c>
    </row>
    <row r="789" customFormat="false" ht="15" hidden="false" customHeight="false" outlineLevel="0" collapsed="false">
      <c r="A789" s="5" t="str">
        <f aca="false">E789&amp;G789&amp;F789</f>
        <v>72011606</v>
      </c>
      <c r="B789" s="0" t="s">
        <v>1855</v>
      </c>
      <c r="C789" s="1" t="n">
        <v>42358</v>
      </c>
      <c r="E789" s="0" t="n">
        <v>7</v>
      </c>
      <c r="F789" s="0" t="n">
        <v>606</v>
      </c>
      <c r="G789" s="0" t="n">
        <v>2011</v>
      </c>
      <c r="H789" s="0" t="str">
        <f aca="false">"J"&amp;E789&amp;"\"&amp;F789&amp;"\"&amp;G789&amp;"\"&amp;W789</f>
        <v>J7\606\2011\1</v>
      </c>
      <c r="I789" s="0"/>
      <c r="J789" s="1" t="n">
        <v>40633</v>
      </c>
      <c r="K789" s="0" t="n">
        <v>0</v>
      </c>
      <c r="M789" s="1" t="n">
        <v>40633</v>
      </c>
      <c r="N789" s="1" t="n">
        <v>40735</v>
      </c>
      <c r="O789" s="1"/>
      <c r="P789" s="1"/>
      <c r="Q789" s="1"/>
      <c r="T789" s="121"/>
      <c r="U789" s="121"/>
      <c r="V789" s="122" t="n">
        <f aca="false">IF(AND(E789&gt;0,F789&gt;0,G789&gt;0),COUNTIFS($E:$E,E789,$F:$F,F789,$G:$G,G789),"")</f>
        <v>1</v>
      </c>
      <c r="W789" s="122" t="n">
        <f aca="false">IF(V789="","",IF(V789=1,1,IF(AND(E788=E789,F788=F789,G788=G789),W788+1,1)))</f>
        <v>1</v>
      </c>
      <c r="X789" s="0" t="n">
        <v>1</v>
      </c>
      <c r="Y789" s="0" t="n">
        <v>5</v>
      </c>
      <c r="Z789" s="0" t="s">
        <v>7240</v>
      </c>
      <c r="AA789" s="0" t="n">
        <v>0</v>
      </c>
      <c r="AB789" s="0" t="s">
        <v>7241</v>
      </c>
      <c r="AC789" s="0" t="s">
        <v>274</v>
      </c>
      <c r="AE789" s="0" t="n">
        <v>0</v>
      </c>
      <c r="AF789" s="0" t="s">
        <v>1821</v>
      </c>
      <c r="AG789" s="0" t="n">
        <v>0</v>
      </c>
      <c r="AH789" s="0" t="s">
        <v>1822</v>
      </c>
      <c r="AI789" s="0" t="s">
        <v>1160</v>
      </c>
      <c r="AJ789" s="0" t="s">
        <v>229</v>
      </c>
      <c r="AL789" s="0" t="s">
        <v>1823</v>
      </c>
      <c r="AM789" s="0" t="n">
        <v>0</v>
      </c>
      <c r="AN789" s="0" t="s">
        <v>1822</v>
      </c>
      <c r="AO789" s="0" t="s">
        <v>1160</v>
      </c>
      <c r="AP789" s="0" t="s">
        <v>229</v>
      </c>
      <c r="AR789" s="0" t="s">
        <v>7242</v>
      </c>
      <c r="AS789" s="0" t="n">
        <v>1</v>
      </c>
      <c r="AT789" s="0" t="s">
        <v>1822</v>
      </c>
      <c r="AU789" s="0" t="s">
        <v>1160</v>
      </c>
      <c r="AV789" s="0" t="s">
        <v>229</v>
      </c>
      <c r="AX789" s="0" t="s">
        <v>1880</v>
      </c>
      <c r="AY789" s="0" t="n">
        <v>1</v>
      </c>
      <c r="AZ789" s="0" t="s">
        <v>1822</v>
      </c>
      <c r="BA789" s="0" t="s">
        <v>1160</v>
      </c>
      <c r="BB789" s="0" t="s">
        <v>229</v>
      </c>
      <c r="BD789" s="0" t="s">
        <v>249</v>
      </c>
      <c r="BE789" s="0" t="n">
        <v>0</v>
      </c>
      <c r="BF789" s="0" t="s">
        <v>964</v>
      </c>
      <c r="BG789" s="0" t="s">
        <v>410</v>
      </c>
      <c r="BH789" s="0" t="s">
        <v>411</v>
      </c>
      <c r="BR789" s="0" t="n">
        <v>1</v>
      </c>
      <c r="BS789" s="0" t="s">
        <v>7243</v>
      </c>
      <c r="BT789" s="0" t="s">
        <v>7244</v>
      </c>
      <c r="BU789" s="0" t="s">
        <v>7245</v>
      </c>
      <c r="BV789" s="123"/>
      <c r="BW789" s="123"/>
      <c r="BX789" s="123"/>
      <c r="BY789" s="123"/>
      <c r="CA789" s="0" t="s">
        <v>7246</v>
      </c>
      <c r="CD789" s="0" t="s">
        <v>256</v>
      </c>
      <c r="CE789" s="0" t="n">
        <v>0</v>
      </c>
      <c r="CF789" s="0" t="s">
        <v>1027</v>
      </c>
      <c r="CI789" s="1" t="n">
        <v>40315</v>
      </c>
      <c r="CJ789" s="1" t="n">
        <v>40597</v>
      </c>
      <c r="CK789" s="124" t="n">
        <v>0.520833333333333</v>
      </c>
      <c r="CL789" s="0" t="s">
        <v>7242</v>
      </c>
      <c r="CM789" s="0" t="n">
        <f aca="false">IF(OR(CI789="",CJ789=""),"",DAYS360(CI789,CJ789)/360)</f>
        <v>0.766666666666667</v>
      </c>
      <c r="CN789" s="0" t="n">
        <f aca="false">IF(OR(CI789="",CJ789=""),"",DAYS360(CI789,CJ789)/30)</f>
        <v>9.2</v>
      </c>
      <c r="CO789" s="0" t="n">
        <f aca="false">IF(OR(CI789="",CJ789=""),"",DAYS360(CI789,CJ789)/7)</f>
        <v>39.4285714285714</v>
      </c>
      <c r="CP789" s="0" t="n">
        <f aca="false">IF(OR(CI789="",CJ789=""),"",DAYS360(CI789,CJ789))</f>
        <v>276</v>
      </c>
      <c r="CQ789" s="0" t="s">
        <v>220</v>
      </c>
      <c r="CR789" s="0" t="n">
        <v>1</v>
      </c>
      <c r="CT789" s="0" t="s">
        <v>221</v>
      </c>
      <c r="CU789" s="0" t="s">
        <v>221</v>
      </c>
      <c r="CV789" s="0" t="str">
        <f aca="false">IF(OR(CT789="",CT789="NO ESPECIFICA",CT789="NO MENCIONA"),"",IF(CU789=0,CT789,IF(CU789=1,CT789/30,IF(CU789=2,CT789/15,IF(CU789=3,CT789/7,"")))))</f>
        <v/>
      </c>
      <c r="CW789" s="125" t="n">
        <v>250</v>
      </c>
      <c r="CX789" s="0" t="n">
        <v>0</v>
      </c>
      <c r="CY789" s="0" t="n">
        <f aca="false">IF(CW789="","",IF(CX789=0,CW789,IF(CX789=1,CW789/30,IF(CX789=2,CW789/15,IF(CX789=3,CW789/7,CW789)))))</f>
        <v>250</v>
      </c>
      <c r="CZ789" s="0" t="n">
        <f aca="false">IF(DI789&gt;0,DI789,IF(CY789&gt;0,CY789,IF(CV789&gt;0,CV789,"")))</f>
        <v>383.333333333333</v>
      </c>
      <c r="DA789" s="0" t="n">
        <f aca="false">IF(DM789=1,CZ789/8,IF(OR(DM789=2,DM789=4),CZ789/7,IF(DM789=3,CZ789/7.5,"")))</f>
        <v>51.1111111111111</v>
      </c>
      <c r="DB789" s="0" t="s">
        <v>7247</v>
      </c>
      <c r="DC789" s="0" t="s">
        <v>216</v>
      </c>
      <c r="DD789" s="0" t="s">
        <v>216</v>
      </c>
      <c r="DE789" s="0" t="s">
        <v>216</v>
      </c>
      <c r="DF789" s="0" t="s">
        <v>216</v>
      </c>
      <c r="DG789" s="0" t="s">
        <v>216</v>
      </c>
      <c r="DH789" s="0" t="n">
        <v>0</v>
      </c>
      <c r="DI789" s="126" t="n">
        <v>383.333333333333</v>
      </c>
      <c r="DK789" s="0" t="n">
        <v>1</v>
      </c>
      <c r="DM789" s="0" t="n">
        <v>3</v>
      </c>
      <c r="DN789" s="0" t="n">
        <v>60</v>
      </c>
      <c r="DO789" s="0" t="n">
        <v>3</v>
      </c>
      <c r="DP789" s="0" t="n">
        <v>1</v>
      </c>
      <c r="DQ789" s="0" t="n">
        <v>1</v>
      </c>
      <c r="DR789" s="0"/>
      <c r="DS789" s="0" t="n">
        <v>1</v>
      </c>
      <c r="DU789" s="0" t="n">
        <v>1</v>
      </c>
      <c r="DW789" s="1" t="n">
        <v>40315</v>
      </c>
      <c r="DX789" s="1" t="n">
        <v>40597</v>
      </c>
      <c r="DZ789" s="0"/>
      <c r="EA789" s="0" t="n">
        <v>1</v>
      </c>
      <c r="EC789" s="1" t="n">
        <v>40315</v>
      </c>
      <c r="ED789" s="1" t="n">
        <v>40597</v>
      </c>
      <c r="EF789" s="0"/>
      <c r="EG789" s="0" t="n">
        <v>1</v>
      </c>
      <c r="EH789" s="0" t="n">
        <v>12</v>
      </c>
      <c r="EI789" s="0" t="n">
        <f aca="false">IF(AND(DM789=1,DN789&lt;=48),"",IF(AND(DM789=2,DN789&lt;=42),"",IF(AND(DM789=3,DN789&lt;=45),"",EH789)))</f>
        <v>12</v>
      </c>
      <c r="EJ789" s="0" t="n">
        <f aca="false">IF(EI789="","",IF(EI789&lt;9,EI789,9))</f>
        <v>9</v>
      </c>
      <c r="EK789" s="0" t="n">
        <f aca="false">IF(EI789="","",IF(EI789&gt;9,EI789-EJ789,0))</f>
        <v>3</v>
      </c>
      <c r="EL789" s="0" t="n">
        <f aca="false">IF(EI789="","",EJ789*DA789*2+EK789*DA789*3)</f>
        <v>1380</v>
      </c>
      <c r="EP789" s="0" t="n">
        <v>1</v>
      </c>
      <c r="EQ789" s="0"/>
      <c r="ER789" s="0" t="n">
        <v>0</v>
      </c>
      <c r="ET789" s="0" t="n">
        <v>0</v>
      </c>
      <c r="EV789" s="0" t="n">
        <v>0</v>
      </c>
      <c r="EX789" s="0" t="n">
        <v>1</v>
      </c>
      <c r="EY789" s="0" t="n">
        <v>1</v>
      </c>
      <c r="EZ789" s="4" t="n">
        <v>15000</v>
      </c>
      <c r="FA789" s="4" t="n">
        <v>2683.33333333333</v>
      </c>
      <c r="FB789" s="0" t="n">
        <v>1</v>
      </c>
      <c r="FC789" s="1" t="n">
        <v>41087</v>
      </c>
      <c r="FD789" s="0" t="n">
        <v>1</v>
      </c>
      <c r="FE789" s="0" t="n">
        <v>6000</v>
      </c>
      <c r="FF789" s="120" t="n">
        <f aca="false">(CJ789-CI789+1)/365</f>
        <v>0.775342465753425</v>
      </c>
      <c r="FG789" s="0" t="str">
        <f aca="false">CONCATENATE(F789,"/",G789)</f>
        <v>606/2011</v>
      </c>
      <c r="FH789" s="0" t="n">
        <v>1</v>
      </c>
      <c r="FI789" s="0" t="n">
        <f aca="false">IFERROR(IF((FC789-J789+1)/365&gt;3,0,1),"")</f>
        <v>1</v>
      </c>
    </row>
    <row r="790" customFormat="false" ht="15" hidden="false" customHeight="false" outlineLevel="0" collapsed="false">
      <c r="A790" s="5" t="str">
        <f aca="false">E790&amp;G790&amp;F790</f>
        <v>72011608</v>
      </c>
      <c r="B790" s="0" t="s">
        <v>1855</v>
      </c>
      <c r="C790" s="1" t="n">
        <v>42358</v>
      </c>
      <c r="D790" s="0" t="s">
        <v>7248</v>
      </c>
      <c r="E790" s="0" t="n">
        <v>7</v>
      </c>
      <c r="F790" s="0" t="n">
        <v>608</v>
      </c>
      <c r="G790" s="0" t="n">
        <v>2011</v>
      </c>
      <c r="H790" s="0" t="str">
        <f aca="false">"J"&amp;E790&amp;"\"&amp;F790&amp;"\"&amp;G790&amp;"\"&amp;W790</f>
        <v>J7\608\2011\1</v>
      </c>
      <c r="I790" s="0"/>
      <c r="J790" s="1" t="n">
        <v>40633</v>
      </c>
      <c r="K790" s="0" t="n">
        <v>1</v>
      </c>
      <c r="L790" s="0" t="s">
        <v>2511</v>
      </c>
      <c r="M790" s="1" t="n">
        <v>40633</v>
      </c>
      <c r="N790" s="1" t="n">
        <v>40735</v>
      </c>
      <c r="O790" s="1"/>
      <c r="P790" s="1"/>
      <c r="Q790" s="1"/>
      <c r="T790" s="121"/>
      <c r="U790" s="121"/>
      <c r="V790" s="122" t="n">
        <f aca="false">IF(AND(E790&gt;0,F790&gt;0,G790&gt;0),COUNTIFS($E:$E,E790,$F:$F,F790,$G:$G,G790),"")</f>
        <v>1</v>
      </c>
      <c r="W790" s="122" t="n">
        <f aca="false">IF(V790="","",IF(V790=1,1,IF(AND(E789=E790,F789=F790,G789=G790),W789+1,1)))</f>
        <v>1</v>
      </c>
      <c r="X790" s="0" t="n">
        <v>1</v>
      </c>
      <c r="Y790" s="0" t="n">
        <v>7</v>
      </c>
      <c r="Z790" s="0" t="s">
        <v>7249</v>
      </c>
      <c r="AA790" s="0" t="n">
        <v>0</v>
      </c>
      <c r="AB790" s="0" t="s">
        <v>7250</v>
      </c>
      <c r="AC790" s="0" t="s">
        <v>1661</v>
      </c>
      <c r="AE790" s="0" t="n">
        <v>0</v>
      </c>
      <c r="AF790" s="0" t="s">
        <v>7251</v>
      </c>
      <c r="AG790" s="0" t="n">
        <v>0</v>
      </c>
      <c r="AH790" s="0" t="s">
        <v>7252</v>
      </c>
      <c r="AI790" s="0" t="s">
        <v>7253</v>
      </c>
      <c r="AJ790" s="0" t="s">
        <v>207</v>
      </c>
      <c r="AL790" s="0" t="s">
        <v>7254</v>
      </c>
      <c r="AM790" s="0" t="n">
        <v>1</v>
      </c>
      <c r="AN790" s="0" t="s">
        <v>7252</v>
      </c>
      <c r="AO790" s="0" t="s">
        <v>7253</v>
      </c>
      <c r="AP790" s="0" t="s">
        <v>207</v>
      </c>
      <c r="AR790" s="0" t="s">
        <v>7255</v>
      </c>
      <c r="AS790" s="0" t="n">
        <v>0</v>
      </c>
      <c r="AT790" s="0" t="s">
        <v>7252</v>
      </c>
      <c r="AU790" s="0" t="s">
        <v>7253</v>
      </c>
      <c r="AV790" s="0" t="s">
        <v>207</v>
      </c>
      <c r="AX790" s="0" t="s">
        <v>7256</v>
      </c>
      <c r="AY790" s="0" t="n">
        <v>1</v>
      </c>
      <c r="AZ790" s="0" t="s">
        <v>7252</v>
      </c>
      <c r="BA790" s="0" t="s">
        <v>7253</v>
      </c>
      <c r="BB790" s="0" t="s">
        <v>207</v>
      </c>
      <c r="BD790" s="0" t="s">
        <v>7257</v>
      </c>
      <c r="BE790" s="0" t="n">
        <v>1</v>
      </c>
      <c r="BF790" s="0" t="s">
        <v>7252</v>
      </c>
      <c r="BG790" s="0" t="s">
        <v>7253</v>
      </c>
      <c r="BH790" s="0" t="s">
        <v>207</v>
      </c>
      <c r="BJ790" s="0" t="s">
        <v>7258</v>
      </c>
      <c r="BK790" s="0" t="n">
        <v>1</v>
      </c>
      <c r="BL790" s="0" t="s">
        <v>7252</v>
      </c>
      <c r="BM790" s="0" t="s">
        <v>7253</v>
      </c>
      <c r="BN790" s="0" t="s">
        <v>207</v>
      </c>
      <c r="BR790" s="0" t="n">
        <v>1</v>
      </c>
      <c r="BS790" s="0" t="s">
        <v>7259</v>
      </c>
      <c r="BT790" s="0" t="s">
        <v>7260</v>
      </c>
      <c r="BU790" s="0" t="s">
        <v>7261</v>
      </c>
      <c r="BV790" s="123"/>
      <c r="BW790" s="123"/>
      <c r="BX790" s="123"/>
      <c r="BY790" s="123"/>
      <c r="CA790" s="0" t="s">
        <v>216</v>
      </c>
      <c r="CD790" s="0" t="s">
        <v>296</v>
      </c>
      <c r="CE790" s="0" t="n">
        <v>0</v>
      </c>
      <c r="CF790" s="0" t="s">
        <v>7262</v>
      </c>
      <c r="CI790" s="1" t="n">
        <v>40040</v>
      </c>
      <c r="CJ790" s="1" t="n">
        <v>40574</v>
      </c>
      <c r="CK790" s="124" t="n">
        <v>0.666666666666667</v>
      </c>
      <c r="CL790" s="0" t="s">
        <v>7258</v>
      </c>
      <c r="CM790" s="0" t="n">
        <f aca="false">IF(OR(CI790="",CJ790=""),"",DAYS360(CI790,CJ790)/360)</f>
        <v>1.46111111111111</v>
      </c>
      <c r="CN790" s="0" t="n">
        <f aca="false">IF(OR(CI790="",CJ790=""),"",DAYS360(CI790,CJ790)/30)</f>
        <v>17.5333333333333</v>
      </c>
      <c r="CO790" s="0" t="n">
        <f aca="false">IF(OR(CI790="",CJ790=""),"",DAYS360(CI790,CJ790)/7)</f>
        <v>75.1428571428571</v>
      </c>
      <c r="CP790" s="0" t="n">
        <f aca="false">IF(OR(CI790="",CJ790=""),"",DAYS360(CI790,CJ790))</f>
        <v>526</v>
      </c>
      <c r="CQ790" s="0" t="s">
        <v>240</v>
      </c>
      <c r="CR790" s="0" t="n">
        <v>1</v>
      </c>
      <c r="CT790" s="0" t="s">
        <v>216</v>
      </c>
      <c r="CU790" s="0" t="s">
        <v>216</v>
      </c>
      <c r="CV790" s="0" t="str">
        <f aca="false">IF(OR(CT790="",CT790="NO ESPECIFICA",CT790="NO MENCIONA"),"",IF(CU790=0,CT790,IF(CU790=1,CT790/30,IF(CU790=2,CT790/15,IF(CU790=3,CT790/7,"")))))</f>
        <v/>
      </c>
      <c r="CW790" s="125" t="s">
        <v>216</v>
      </c>
      <c r="CX790" s="0" t="s">
        <v>216</v>
      </c>
      <c r="CY790" s="0" t="str">
        <f aca="false">IF(CW790="","",IF(CX790=0,CW790,IF(CX790=1,CW790/30,IF(CX790=2,CW790/15,IF(CX790=3,CW790/7,CW790)))))</f>
        <v>NO MENCIONA</v>
      </c>
      <c r="CZ790" s="0" t="n">
        <f aca="false">IF(DI790&gt;0,DI790,IF(CY790&gt;0,CY790,IF(CV790&gt;0,CV790,"")))</f>
        <v>200</v>
      </c>
      <c r="DA790" s="0" t="n">
        <f aca="false">IF(DM790=1,CZ790/8,IF(OR(DM790=2,DM790=4),CZ790/7,IF(DM790=3,CZ790/7.5,"")))</f>
        <v>25</v>
      </c>
      <c r="DB790" s="0" t="s">
        <v>216</v>
      </c>
      <c r="DC790" s="0" t="s">
        <v>216</v>
      </c>
      <c r="DD790" s="0" t="s">
        <v>216</v>
      </c>
      <c r="DE790" s="0" t="s">
        <v>216</v>
      </c>
      <c r="DF790" s="0" t="s">
        <v>216</v>
      </c>
      <c r="DG790" s="0" t="s">
        <v>216</v>
      </c>
      <c r="DH790" s="0" t="n">
        <v>0</v>
      </c>
      <c r="DI790" s="126" t="n">
        <v>200</v>
      </c>
      <c r="DK790" s="0" t="n">
        <v>0</v>
      </c>
      <c r="DM790" s="0" t="n">
        <v>1</v>
      </c>
      <c r="DN790" s="0" t="n">
        <v>50</v>
      </c>
      <c r="DO790" s="0" t="n">
        <v>3</v>
      </c>
      <c r="DP790" s="0" t="n">
        <v>0</v>
      </c>
      <c r="DQ790" s="0" t="n">
        <v>1</v>
      </c>
      <c r="DR790" s="0"/>
      <c r="DS790" s="0" t="n">
        <v>0</v>
      </c>
      <c r="DU790" s="0" t="n">
        <v>1</v>
      </c>
      <c r="DW790" s="1" t="n">
        <v>40040</v>
      </c>
      <c r="DX790" s="1" t="n">
        <v>40574</v>
      </c>
      <c r="DZ790" s="0"/>
      <c r="EA790" s="0" t="n">
        <v>1</v>
      </c>
      <c r="EC790" s="1" t="n">
        <v>40040</v>
      </c>
      <c r="ED790" s="1" t="n">
        <v>40574</v>
      </c>
      <c r="EF790" s="0"/>
      <c r="EG790" s="0" t="n">
        <v>1</v>
      </c>
      <c r="EH790" s="0" t="n">
        <v>12.5</v>
      </c>
      <c r="EI790" s="0" t="n">
        <f aca="false">IF(AND(DM790=1,DN790&lt;=48),"",IF(AND(DM790=2,DN790&lt;=42),"",IF(AND(DM790=3,DN790&lt;=45),"",EH790)))</f>
        <v>12.5</v>
      </c>
      <c r="EJ790" s="0" t="n">
        <f aca="false">IF(EI790="","",IF(EI790&lt;9,EI790,9))</f>
        <v>9</v>
      </c>
      <c r="EK790" s="0" t="n">
        <f aca="false">IF(EI790="","",IF(EI790&gt;9,EI790-EJ790,0))</f>
        <v>3.5</v>
      </c>
      <c r="EL790" s="0" t="n">
        <f aca="false">IF(EI790="","",EJ790*DA790*2+EK790*DA790*3)</f>
        <v>712.5</v>
      </c>
      <c r="EP790" s="0" t="n">
        <v>0</v>
      </c>
      <c r="EQ790" s="0"/>
      <c r="ER790" s="0" t="n">
        <v>0</v>
      </c>
      <c r="ET790" s="0" t="n">
        <v>1</v>
      </c>
      <c r="EV790" s="0" t="n">
        <v>1</v>
      </c>
      <c r="EX790" s="0" t="n">
        <v>0</v>
      </c>
      <c r="EY790" s="0" t="n">
        <v>1</v>
      </c>
      <c r="EZ790" s="4" t="n">
        <v>7000</v>
      </c>
      <c r="FA790" s="4" t="n">
        <v>0</v>
      </c>
      <c r="FB790" s="0" t="n">
        <v>0</v>
      </c>
      <c r="FC790" s="1" t="n">
        <v>40707</v>
      </c>
      <c r="FD790" s="0" t="n">
        <v>1</v>
      </c>
      <c r="FE790" s="0" t="n">
        <v>9000</v>
      </c>
      <c r="FF790" s="120" t="n">
        <f aca="false">(CJ790-CI790+1)/365</f>
        <v>1.46575342465753</v>
      </c>
      <c r="FG790" s="0" t="str">
        <f aca="false">CONCATENATE(F790,"/",G790)</f>
        <v>608/2011</v>
      </c>
      <c r="FH790" s="0" t="n">
        <v>1</v>
      </c>
      <c r="FI790" s="0" t="n">
        <f aca="false">IFERROR(IF((FC790-J790+1)/365&gt;3,0,1),"")</f>
        <v>1</v>
      </c>
    </row>
    <row r="791" customFormat="false" ht="15" hidden="false" customHeight="false" outlineLevel="0" collapsed="false">
      <c r="A791" s="5" t="str">
        <f aca="false">E791&amp;G791&amp;F791</f>
        <v>72011617</v>
      </c>
      <c r="B791" s="0" t="s">
        <v>1855</v>
      </c>
      <c r="C791" s="1" t="n">
        <v>42358</v>
      </c>
      <c r="D791" s="0" t="s">
        <v>1856</v>
      </c>
      <c r="E791" s="0" t="n">
        <v>7</v>
      </c>
      <c r="F791" s="0" t="n">
        <v>617</v>
      </c>
      <c r="G791" s="0" t="n">
        <v>2011</v>
      </c>
      <c r="H791" s="0" t="str">
        <f aca="false">"J"&amp;E791&amp;"\"&amp;F791&amp;"\"&amp;G791&amp;"\"&amp;W791</f>
        <v>J7\617\2011\1</v>
      </c>
      <c r="I791" s="0"/>
      <c r="J791" s="1" t="n">
        <v>40634</v>
      </c>
      <c r="K791" s="0" t="n">
        <v>0</v>
      </c>
      <c r="M791" s="1"/>
      <c r="N791" s="1"/>
      <c r="O791" s="1"/>
      <c r="P791" s="1"/>
      <c r="Q791" s="1"/>
      <c r="T791" s="121"/>
      <c r="U791" s="121"/>
      <c r="V791" s="122" t="n">
        <f aca="false">IF(AND(E791&gt;0,F791&gt;0,G791&gt;0),COUNTIFS($E:$E,E791,$F:$F,F791,$G:$G,G791),"")</f>
        <v>1</v>
      </c>
      <c r="W791" s="122" t="n">
        <f aca="false">IF(V791="","",IF(V791=1,1,IF(AND(E790=E791,F790=F791,G790=G791),W790+1,1)))</f>
        <v>1</v>
      </c>
      <c r="X791" s="0" t="n">
        <v>1</v>
      </c>
      <c r="Y791" s="0" t="n">
        <v>8</v>
      </c>
      <c r="Z791" s="0" t="s">
        <v>7263</v>
      </c>
      <c r="AA791" s="0" t="n">
        <v>0</v>
      </c>
      <c r="AB791" s="0" t="s">
        <v>7264</v>
      </c>
      <c r="AC791" s="0" t="s">
        <v>7265</v>
      </c>
      <c r="AD791" s="0" t="s">
        <v>590</v>
      </c>
      <c r="AE791" s="0" t="n">
        <v>0</v>
      </c>
      <c r="AF791" s="0" t="s">
        <v>7266</v>
      </c>
      <c r="AG791" s="0" t="n">
        <v>0</v>
      </c>
      <c r="AH791" s="0" t="s">
        <v>7267</v>
      </c>
      <c r="AI791" s="0" t="s">
        <v>287</v>
      </c>
      <c r="AJ791" s="0" t="s">
        <v>207</v>
      </c>
      <c r="AL791" s="0" t="s">
        <v>7268</v>
      </c>
      <c r="AM791" s="0" t="n">
        <v>0</v>
      </c>
      <c r="AN791" s="0" t="s">
        <v>7267</v>
      </c>
      <c r="AO791" s="0" t="s">
        <v>287</v>
      </c>
      <c r="AP791" s="0" t="s">
        <v>207</v>
      </c>
      <c r="AR791" s="0" t="s">
        <v>7269</v>
      </c>
      <c r="AS791" s="0" t="n">
        <v>1</v>
      </c>
      <c r="AT791" s="0" t="s">
        <v>7267</v>
      </c>
      <c r="AU791" s="0" t="s">
        <v>287</v>
      </c>
      <c r="AV791" s="0" t="s">
        <v>207</v>
      </c>
      <c r="AX791" s="0" t="s">
        <v>7270</v>
      </c>
      <c r="AY791" s="0" t="n">
        <v>1</v>
      </c>
      <c r="AZ791" s="0" t="s">
        <v>7267</v>
      </c>
      <c r="BA791" s="0" t="s">
        <v>287</v>
      </c>
      <c r="BB791" s="0" t="s">
        <v>207</v>
      </c>
      <c r="BD791" s="0" t="s">
        <v>7271</v>
      </c>
      <c r="BE791" s="0" t="n">
        <v>1</v>
      </c>
      <c r="BF791" s="0" t="s">
        <v>7267</v>
      </c>
      <c r="BG791" s="0" t="s">
        <v>287</v>
      </c>
      <c r="BH791" s="0" t="s">
        <v>207</v>
      </c>
      <c r="BJ791" s="0" t="s">
        <v>7272</v>
      </c>
      <c r="BK791" s="0" t="n">
        <v>0</v>
      </c>
      <c r="BL791" s="0" t="s">
        <v>7273</v>
      </c>
      <c r="BM791" s="0" t="s">
        <v>274</v>
      </c>
      <c r="BN791" s="0" t="s">
        <v>229</v>
      </c>
      <c r="BR791" s="0" t="n">
        <v>1</v>
      </c>
      <c r="BS791" s="0" t="s">
        <v>7274</v>
      </c>
      <c r="BT791" s="0" t="s">
        <v>7275</v>
      </c>
      <c r="BU791" s="0" t="s">
        <v>7276</v>
      </c>
      <c r="BV791" s="123"/>
      <c r="BW791" s="123"/>
      <c r="BX791" s="123"/>
      <c r="BY791" s="123"/>
      <c r="CA791" s="0" t="s">
        <v>216</v>
      </c>
      <c r="CD791" s="0" t="s">
        <v>1001</v>
      </c>
      <c r="CE791" s="0" t="n">
        <v>0</v>
      </c>
      <c r="CF791" s="0" t="s">
        <v>7277</v>
      </c>
      <c r="CI791" s="1" t="n">
        <v>36861</v>
      </c>
      <c r="CJ791" s="1" t="n">
        <v>40578</v>
      </c>
      <c r="CK791" s="124" t="n">
        <v>0.458333333333333</v>
      </c>
      <c r="CL791" s="0" t="s">
        <v>7269</v>
      </c>
      <c r="CM791" s="0" t="n">
        <f aca="false">IF(OR(CI791="",CJ791=""),"",DAYS360(CI791,CJ791)/360)</f>
        <v>10.175</v>
      </c>
      <c r="CN791" s="0" t="n">
        <f aca="false">IF(OR(CI791="",CJ791=""),"",DAYS360(CI791,CJ791)/30)</f>
        <v>122.1</v>
      </c>
      <c r="CO791" s="0" t="n">
        <f aca="false">IF(OR(CI791="",CJ791=""),"",DAYS360(CI791,CJ791)/7)</f>
        <v>523.285714285714</v>
      </c>
      <c r="CP791" s="0" t="n">
        <f aca="false">IF(OR(CI791="",CJ791=""),"",DAYS360(CI791,CJ791))</f>
        <v>3663</v>
      </c>
      <c r="CQ791" s="0" t="s">
        <v>220</v>
      </c>
      <c r="CR791" s="0" t="n">
        <v>1</v>
      </c>
      <c r="CT791" s="0" t="n">
        <v>238.4</v>
      </c>
      <c r="CU791" s="0" t="n">
        <v>0</v>
      </c>
      <c r="CV791" s="0" t="n">
        <f aca="false">IF(OR(CT791="",CT791="NO ESPECIFICA",CT791="NO MENCIONA"),"",IF(CU791=0,CT791,IF(CU791=1,CT791/30,IF(CU791=2,CT791/15,IF(CU791=3,CT791/7,"")))))</f>
        <v>238.4</v>
      </c>
      <c r="CW791" s="125" t="n">
        <v>580.13</v>
      </c>
      <c r="CX791" s="0" t="n">
        <v>0</v>
      </c>
      <c r="CY791" s="0" t="n">
        <f aca="false">IF(CW791="","",IF(CX791=0,CW791,IF(CX791=1,CW791/30,IF(CX791=2,CW791/15,IF(CX791=3,CW791/7,CW791)))))</f>
        <v>580.13</v>
      </c>
      <c r="CZ791" s="0" t="n">
        <f aca="false">IF(DI791&gt;0,DI791,IF(CY791&gt;0,CY791,IF(CV791&gt;0,CV791,"")))</f>
        <v>580.13</v>
      </c>
      <c r="DA791" s="0" t="n">
        <f aca="false">IF(DM791=1,CZ791/8,IF(OR(DM791=2,DM791=4),CZ791/7,IF(DM791=3,CZ791/7.5,"")))</f>
        <v>72.51625</v>
      </c>
      <c r="DB791" s="0" t="s">
        <v>303</v>
      </c>
      <c r="DC791" s="0" t="s">
        <v>301</v>
      </c>
      <c r="DD791" s="0" t="s">
        <v>1833</v>
      </c>
      <c r="DE791" s="0" t="s">
        <v>1119</v>
      </c>
      <c r="DF791" s="0" t="s">
        <v>300</v>
      </c>
      <c r="DG791" s="0" t="s">
        <v>7278</v>
      </c>
      <c r="DH791" s="0" t="n">
        <v>0</v>
      </c>
      <c r="DI791" s="126" t="n">
        <v>580.13</v>
      </c>
      <c r="DK791" s="0" t="n">
        <v>0</v>
      </c>
      <c r="DM791" s="0" t="n">
        <v>1</v>
      </c>
      <c r="DN791" s="0" t="n">
        <v>72</v>
      </c>
      <c r="DO791" s="0" t="n">
        <v>3</v>
      </c>
      <c r="DP791" s="0" t="n">
        <v>1</v>
      </c>
      <c r="DQ791" s="0" t="n">
        <v>1</v>
      </c>
      <c r="DR791" s="0"/>
      <c r="DS791" s="0" t="n">
        <v>1</v>
      </c>
      <c r="DU791" s="0" t="n">
        <v>1</v>
      </c>
      <c r="DW791" s="1" t="n">
        <v>40513</v>
      </c>
      <c r="DX791" s="1" t="n">
        <v>40578</v>
      </c>
      <c r="DZ791" s="0"/>
      <c r="EA791" s="0" t="n">
        <v>1</v>
      </c>
      <c r="EC791" s="1" t="n">
        <v>39814</v>
      </c>
      <c r="ED791" s="1" t="n">
        <v>40578</v>
      </c>
      <c r="EF791" s="0"/>
      <c r="EG791" s="0" t="n">
        <v>1</v>
      </c>
      <c r="EH791" s="0" t="n">
        <v>18</v>
      </c>
      <c r="EI791" s="0" t="n">
        <f aca="false">IF(AND(DM791=1,DN791&lt;=48),"",IF(AND(DM791=2,DN791&lt;=42),"",IF(AND(DM791=3,DN791&lt;=45),"",EH791)))</f>
        <v>18</v>
      </c>
      <c r="EJ791" s="0" t="n">
        <f aca="false">IF(EI791="","",IF(EI791&lt;9,EI791,9))</f>
        <v>9</v>
      </c>
      <c r="EK791" s="0" t="n">
        <f aca="false">IF(EI791="","",IF(EI791&gt;9,EI791-EJ791,0))</f>
        <v>9</v>
      </c>
      <c r="EL791" s="0" t="n">
        <f aca="false">IF(EI791="","",EJ791*DA791*2+EK791*DA791*3)</f>
        <v>3263.23125</v>
      </c>
      <c r="EP791" s="0" t="n">
        <v>1</v>
      </c>
      <c r="EQ791" s="0"/>
      <c r="ER791" s="0" t="n">
        <v>1</v>
      </c>
      <c r="ET791" s="0" t="n">
        <v>0</v>
      </c>
      <c r="EV791" s="0" t="n">
        <v>1</v>
      </c>
      <c r="EX791" s="0" t="n">
        <v>1</v>
      </c>
      <c r="EY791" s="0" t="n">
        <v>1</v>
      </c>
      <c r="EZ791" s="4" t="n">
        <v>58234.4</v>
      </c>
      <c r="FA791" s="4" t="n">
        <v>2320.52</v>
      </c>
      <c r="FB791" s="0" t="n">
        <v>1</v>
      </c>
      <c r="FC791" s="1" t="n">
        <v>40980</v>
      </c>
      <c r="FD791" s="0" t="n">
        <v>1</v>
      </c>
      <c r="FE791" s="0" t="n">
        <v>41000</v>
      </c>
      <c r="FF791" s="120" t="n">
        <f aca="false">(CJ791-CI791+1)/365</f>
        <v>10.186301369863</v>
      </c>
      <c r="FG791" s="0" t="str">
        <f aca="false">CONCATENATE(F791,"/",G791)</f>
        <v>617/2011</v>
      </c>
      <c r="FH791" s="0" t="n">
        <v>1</v>
      </c>
      <c r="FI791" s="0" t="n">
        <f aca="false">IFERROR(IF((FC791-J791+1)/365&gt;3,0,1),"")</f>
        <v>1</v>
      </c>
    </row>
    <row r="792" customFormat="false" ht="15" hidden="false" customHeight="false" outlineLevel="0" collapsed="false">
      <c r="A792" s="5" t="str">
        <f aca="false">E792&amp;G792&amp;F792</f>
        <v>72011626</v>
      </c>
      <c r="B792" s="0" t="s">
        <v>1855</v>
      </c>
      <c r="C792" s="1" t="n">
        <v>42358</v>
      </c>
      <c r="D792" s="0" t="s">
        <v>1856</v>
      </c>
      <c r="E792" s="0" t="n">
        <v>7</v>
      </c>
      <c r="F792" s="0" t="n">
        <v>626</v>
      </c>
      <c r="G792" s="0" t="n">
        <v>2011</v>
      </c>
      <c r="H792" s="0" t="str">
        <f aca="false">"J"&amp;E792&amp;"\"&amp;F792&amp;"\"&amp;G792&amp;"\"&amp;W792</f>
        <v>J7\626\2011\1</v>
      </c>
      <c r="I792" s="0"/>
      <c r="J792" s="1" t="n">
        <v>40638</v>
      </c>
      <c r="K792" s="0" t="n">
        <v>0</v>
      </c>
      <c r="M792" s="1"/>
      <c r="N792" s="1"/>
      <c r="O792" s="1"/>
      <c r="P792" s="1"/>
      <c r="Q792" s="1"/>
      <c r="T792" s="121"/>
      <c r="U792" s="121"/>
      <c r="V792" s="122" t="n">
        <f aca="false">IF(AND(E792&gt;0,F792&gt;0,G792&gt;0),COUNTIFS($E:$E,E792,$F:$F,F792,$G:$G,G792),"")</f>
        <v>1</v>
      </c>
      <c r="W792" s="122" t="n">
        <f aca="false">IF(V792="","",IF(V792=1,1,IF(AND(E791=E792,F791=F792,G791=G792),W791+1,1)))</f>
        <v>1</v>
      </c>
      <c r="X792" s="0" t="n">
        <v>1</v>
      </c>
      <c r="Y792" s="0" t="n">
        <v>4</v>
      </c>
      <c r="Z792" s="0" t="s">
        <v>7279</v>
      </c>
      <c r="AA792" s="0" t="n">
        <v>0</v>
      </c>
      <c r="AB792" s="0" t="s">
        <v>6911</v>
      </c>
      <c r="AC792" s="0" t="s">
        <v>318</v>
      </c>
      <c r="AD792" s="0" t="s">
        <v>229</v>
      </c>
      <c r="AE792" s="0" t="n">
        <v>0</v>
      </c>
      <c r="AF792" s="0" t="s">
        <v>7280</v>
      </c>
      <c r="AG792" s="0" t="n">
        <v>0</v>
      </c>
      <c r="AH792" s="0" t="s">
        <v>7281</v>
      </c>
      <c r="AI792" s="0" t="s">
        <v>7282</v>
      </c>
      <c r="AJ792" s="0" t="s">
        <v>7283</v>
      </c>
      <c r="AL792" s="0" t="s">
        <v>7284</v>
      </c>
      <c r="AM792" s="0" t="n">
        <v>1</v>
      </c>
      <c r="AN792" s="0" t="s">
        <v>7281</v>
      </c>
      <c r="AO792" s="0" t="s">
        <v>7282</v>
      </c>
      <c r="AP792" s="0" t="s">
        <v>7283</v>
      </c>
      <c r="AR792" s="0" t="s">
        <v>7285</v>
      </c>
      <c r="AS792" s="0" t="n">
        <v>1</v>
      </c>
      <c r="AT792" s="0" t="s">
        <v>7281</v>
      </c>
      <c r="AU792" s="0" t="s">
        <v>7282</v>
      </c>
      <c r="AV792" s="0" t="s">
        <v>7283</v>
      </c>
      <c r="AX792" s="0" t="s">
        <v>1880</v>
      </c>
      <c r="AY792" s="0" t="n">
        <v>1</v>
      </c>
      <c r="AZ792" s="0" t="s">
        <v>7281</v>
      </c>
      <c r="BA792" s="0" t="s">
        <v>7282</v>
      </c>
      <c r="BB792" s="0" t="s">
        <v>7283</v>
      </c>
      <c r="BR792" s="0" t="n">
        <v>1</v>
      </c>
      <c r="BS792" s="0" t="s">
        <v>6917</v>
      </c>
      <c r="BT792" s="0" t="s">
        <v>6918</v>
      </c>
      <c r="BU792" s="0" t="s">
        <v>7286</v>
      </c>
      <c r="BV792" s="123"/>
      <c r="BW792" s="123"/>
      <c r="BX792" s="123"/>
      <c r="BY792" s="123"/>
      <c r="CA792" s="0" t="s">
        <v>7287</v>
      </c>
      <c r="CD792" s="0" t="s">
        <v>502</v>
      </c>
      <c r="CE792" s="0" t="n">
        <v>0</v>
      </c>
      <c r="CF792" s="0" t="s">
        <v>503</v>
      </c>
      <c r="CI792" s="1" t="n">
        <v>32143</v>
      </c>
      <c r="CJ792" s="1" t="n">
        <v>40598</v>
      </c>
      <c r="CK792" s="124" t="n">
        <v>0.333333333333333</v>
      </c>
      <c r="CL792" s="0" t="s">
        <v>7288</v>
      </c>
      <c r="CM792" s="0" t="n">
        <f aca="false">IF(OR(CI792="",CJ792=""),"",DAYS360(CI792,CJ792)/360)</f>
        <v>23.1472222222222</v>
      </c>
      <c r="CN792" s="0" t="n">
        <f aca="false">IF(OR(CI792="",CJ792=""),"",DAYS360(CI792,CJ792)/30)</f>
        <v>277.766666666667</v>
      </c>
      <c r="CO792" s="0" t="n">
        <f aca="false">IF(OR(CI792="",CJ792=""),"",DAYS360(CI792,CJ792)/7)</f>
        <v>1190.42857142857</v>
      </c>
      <c r="CP792" s="0" t="n">
        <f aca="false">IF(OR(CI792="",CJ792=""),"",DAYS360(CI792,CJ792))</f>
        <v>8333</v>
      </c>
      <c r="CQ792" s="0" t="s">
        <v>240</v>
      </c>
      <c r="CR792" s="0" t="n">
        <v>1</v>
      </c>
      <c r="CT792" s="0" t="s">
        <v>221</v>
      </c>
      <c r="CU792" s="0" t="s">
        <v>221</v>
      </c>
      <c r="CV792" s="0" t="str">
        <f aca="false">IF(OR(CT792="",CT792="NO ESPECIFICA",CT792="NO MENCIONA"),"",IF(CU792=0,CT792,IF(CU792=1,CT792/30,IF(CU792=2,CT792/15,IF(CU792=3,CT792/7,"")))))</f>
        <v/>
      </c>
      <c r="CW792" s="125" t="n">
        <v>4500</v>
      </c>
      <c r="CX792" s="0" t="n">
        <v>3</v>
      </c>
      <c r="CY792" s="0" t="n">
        <f aca="false">IF(CW792="","",IF(CX792=0,CW792,IF(CX792=1,CW792/30,IF(CX792=2,CW792/15,IF(CX792=3,CW792/7,CW792)))))</f>
        <v>642.857142857143</v>
      </c>
      <c r="CZ792" s="0" t="n">
        <f aca="false">IF(DI792&gt;0,DI792,IF(CY792&gt;0,CY792,IF(CV792&gt;0,CV792,"")))</f>
        <v>642.857142857143</v>
      </c>
      <c r="DA792" s="0" t="n">
        <f aca="false">IF(DM792=1,CZ792/8,IF(OR(DM792=2,DM792=4),CZ792/7,IF(DM792=3,CZ792/7.5,"")))</f>
        <v>80.3571428571429</v>
      </c>
      <c r="DB792" s="0" t="s">
        <v>216</v>
      </c>
      <c r="DC792" s="0" t="s">
        <v>216</v>
      </c>
      <c r="DD792" s="0" t="s">
        <v>216</v>
      </c>
      <c r="DE792" s="0" t="s">
        <v>216</v>
      </c>
      <c r="DF792" s="0" t="s">
        <v>216</v>
      </c>
      <c r="DG792" s="0" t="s">
        <v>216</v>
      </c>
      <c r="DH792" s="0" t="n">
        <v>0</v>
      </c>
      <c r="DI792" s="126" t="n">
        <v>642.857142857143</v>
      </c>
      <c r="DK792" s="0" t="n">
        <v>0</v>
      </c>
      <c r="DM792" s="0" t="n">
        <v>1</v>
      </c>
      <c r="DN792" s="0" t="n">
        <v>60</v>
      </c>
      <c r="DO792" s="0" t="n">
        <v>3</v>
      </c>
      <c r="DP792" s="0" t="n">
        <v>0</v>
      </c>
      <c r="DQ792" s="0" t="n">
        <v>1</v>
      </c>
      <c r="DR792" s="0"/>
      <c r="DS792" s="0" t="n">
        <v>1</v>
      </c>
      <c r="DU792" s="0" t="n">
        <v>1</v>
      </c>
      <c r="DW792" s="1" t="n">
        <v>32143</v>
      </c>
      <c r="DX792" s="1" t="n">
        <v>40598</v>
      </c>
      <c r="DZ792" s="0"/>
      <c r="EA792" s="0" t="n">
        <v>1</v>
      </c>
      <c r="EC792" s="1" t="n">
        <v>32143</v>
      </c>
      <c r="ED792" s="1" t="n">
        <v>40598</v>
      </c>
      <c r="EF792" s="0"/>
      <c r="EG792" s="0" t="n">
        <v>1</v>
      </c>
      <c r="EH792" s="0" t="n">
        <v>12</v>
      </c>
      <c r="EI792" s="0" t="n">
        <f aca="false">IF(AND(DM792=1,DN792&lt;=48),"",IF(AND(DM792=2,DN792&lt;=42),"",IF(AND(DM792=3,DN792&lt;=45),"",EH792)))</f>
        <v>12</v>
      </c>
      <c r="EJ792" s="0" t="n">
        <f aca="false">IF(EI792="","",IF(EI792&lt;9,EI792,9))</f>
        <v>9</v>
      </c>
      <c r="EK792" s="0" t="n">
        <f aca="false">IF(EI792="","",IF(EI792&gt;9,EI792-EJ792,0))</f>
        <v>3</v>
      </c>
      <c r="EL792" s="0" t="n">
        <f aca="false">IF(EI792="","",EJ792*DA792*2+EK792*DA792*3)</f>
        <v>2169.64285714286</v>
      </c>
      <c r="EP792" s="0" t="n">
        <v>0</v>
      </c>
      <c r="EQ792" s="0"/>
      <c r="ER792" s="0" t="n">
        <v>0</v>
      </c>
      <c r="ET792" s="0" t="n">
        <v>0</v>
      </c>
      <c r="EV792" s="0" t="n">
        <v>0</v>
      </c>
      <c r="EX792" s="0" t="n">
        <v>1</v>
      </c>
      <c r="EY792" s="0" t="n">
        <v>1</v>
      </c>
      <c r="EZ792" s="4" t="n">
        <v>15000</v>
      </c>
      <c r="FA792" s="4" t="n">
        <v>88928.5714285714</v>
      </c>
      <c r="FB792" s="0" t="n">
        <v>0</v>
      </c>
      <c r="FC792" s="1" t="n">
        <v>41444</v>
      </c>
      <c r="FD792" s="0" t="n">
        <v>3</v>
      </c>
      <c r="FE792" s="0" t="n">
        <v>0</v>
      </c>
      <c r="FF792" s="120" t="n">
        <f aca="false">(CJ792-CI792+1)/365</f>
        <v>23.1671232876712</v>
      </c>
      <c r="FG792" s="0" t="str">
        <f aca="false">CONCATENATE(F792,"/",G792)</f>
        <v>626/2011</v>
      </c>
      <c r="FH792" s="0" t="n">
        <v>1</v>
      </c>
      <c r="FI792" s="0" t="n">
        <f aca="false">IFERROR(IF((FC792-J792+1)/365&gt;3,0,1),"")</f>
        <v>1</v>
      </c>
    </row>
    <row r="793" customFormat="false" ht="15" hidden="false" customHeight="false" outlineLevel="0" collapsed="false">
      <c r="A793" s="5" t="str">
        <f aca="false">E793&amp;G793&amp;F793</f>
        <v>72011633</v>
      </c>
      <c r="B793" s="0" t="s">
        <v>1855</v>
      </c>
      <c r="C793" s="1" t="n">
        <v>42358</v>
      </c>
      <c r="D793" s="0" t="s">
        <v>1856</v>
      </c>
      <c r="E793" s="0" t="n">
        <v>7</v>
      </c>
      <c r="F793" s="0" t="n">
        <v>633</v>
      </c>
      <c r="G793" s="0" t="n">
        <v>2011</v>
      </c>
      <c r="H793" s="0" t="str">
        <f aca="false">"J"&amp;E793&amp;"\"&amp;F793&amp;"\"&amp;G793&amp;"\"&amp;W793</f>
        <v>J7\633\2011\1</v>
      </c>
      <c r="I793" s="0"/>
      <c r="J793" s="1" t="n">
        <v>40639</v>
      </c>
      <c r="K793" s="0" t="n">
        <v>0</v>
      </c>
      <c r="M793" s="1"/>
      <c r="N793" s="1"/>
      <c r="O793" s="1"/>
      <c r="P793" s="1"/>
      <c r="Q793" s="1"/>
      <c r="T793" s="121"/>
      <c r="U793" s="121"/>
      <c r="V793" s="122" t="n">
        <f aca="false">IF(AND(E793&gt;0,F793&gt;0,G793&gt;0),COUNTIFS($E:$E,E793,$F:$F,F793,$G:$G,G793),"")</f>
        <v>1</v>
      </c>
      <c r="W793" s="122" t="n">
        <f aca="false">IF(V793="","",IF(V793=1,1,IF(AND(E792=E793,F792=F793,G792=G793),W792+1,1)))</f>
        <v>1</v>
      </c>
      <c r="X793" s="0" t="n">
        <v>1</v>
      </c>
      <c r="Y793" s="0" t="n">
        <v>3</v>
      </c>
      <c r="Z793" s="0" t="s">
        <v>7289</v>
      </c>
      <c r="AA793" s="0" t="n">
        <v>0</v>
      </c>
      <c r="AB793" s="0" t="s">
        <v>7290</v>
      </c>
      <c r="AC793" s="0" t="s">
        <v>251</v>
      </c>
      <c r="AD793" s="0" t="s">
        <v>229</v>
      </c>
      <c r="AE793" s="0" t="n">
        <v>0</v>
      </c>
      <c r="AF793" s="0" t="s">
        <v>7291</v>
      </c>
      <c r="AG793" s="0" t="n">
        <v>0</v>
      </c>
      <c r="AH793" s="0" t="s">
        <v>7292</v>
      </c>
      <c r="AI793" s="0" t="s">
        <v>287</v>
      </c>
      <c r="AJ793" s="0" t="s">
        <v>207</v>
      </c>
      <c r="AL793" s="0" t="s">
        <v>7293</v>
      </c>
      <c r="AM793" s="0" t="n">
        <v>0</v>
      </c>
      <c r="AN793" s="0" t="s">
        <v>7294</v>
      </c>
      <c r="AO793" s="0" t="s">
        <v>206</v>
      </c>
      <c r="AP793" s="0" t="s">
        <v>207</v>
      </c>
      <c r="AR793" s="0" t="s">
        <v>1880</v>
      </c>
      <c r="AS793" s="0" t="n">
        <v>1</v>
      </c>
      <c r="AT793" s="0" t="s">
        <v>7294</v>
      </c>
      <c r="AU793" s="0" t="s">
        <v>206</v>
      </c>
      <c r="AV793" s="0" t="s">
        <v>207</v>
      </c>
      <c r="BR793" s="0" t="n">
        <v>1</v>
      </c>
      <c r="BS793" s="0" t="s">
        <v>2988</v>
      </c>
      <c r="BT793" s="0" t="s">
        <v>2987</v>
      </c>
      <c r="BU793" s="0" t="s">
        <v>7295</v>
      </c>
      <c r="BV793" s="123"/>
      <c r="BW793" s="123"/>
      <c r="BX793" s="123"/>
      <c r="BY793" s="123"/>
      <c r="CA793" s="0" t="s">
        <v>7296</v>
      </c>
      <c r="CD793" s="0" t="s">
        <v>296</v>
      </c>
      <c r="CE793" s="0" t="n">
        <v>0</v>
      </c>
      <c r="CF793" s="0" t="s">
        <v>1018</v>
      </c>
      <c r="CI793" s="1" t="n">
        <v>40532</v>
      </c>
      <c r="CJ793" s="1" t="n">
        <v>40583</v>
      </c>
      <c r="CK793" s="124" t="n">
        <v>0.708333333333333</v>
      </c>
      <c r="CL793" s="0" t="s">
        <v>7297</v>
      </c>
      <c r="CM793" s="0" t="n">
        <f aca="false">IF(OR(CI793="",CJ793=""),"",DAYS360(CI793,CJ793)/360)</f>
        <v>0.136111111111111</v>
      </c>
      <c r="CN793" s="0" t="n">
        <f aca="false">IF(OR(CI793="",CJ793=""),"",DAYS360(CI793,CJ793)/30)</f>
        <v>1.63333333333333</v>
      </c>
      <c r="CO793" s="0" t="n">
        <f aca="false">IF(OR(CI793="",CJ793=""),"",DAYS360(CI793,CJ793)/7)</f>
        <v>7</v>
      </c>
      <c r="CP793" s="0" t="n">
        <f aca="false">IF(OR(CI793="",CJ793=""),"",DAYS360(CI793,CJ793))</f>
        <v>49</v>
      </c>
      <c r="CQ793" s="0" t="s">
        <v>240</v>
      </c>
      <c r="CR793" s="0" t="n">
        <v>1</v>
      </c>
      <c r="CT793" s="0" t="s">
        <v>221</v>
      </c>
      <c r="CU793" s="0" t="s">
        <v>221</v>
      </c>
      <c r="CV793" s="0" t="str">
        <f aca="false">IF(OR(CT793="",CT793="NO ESPECIFICA",CT793="NO MENCIONA"),"",IF(CU793=0,CT793,IF(CU793=1,CT793/30,IF(CU793=2,CT793/15,IF(CU793=3,CT793/7,"")))))</f>
        <v/>
      </c>
      <c r="CW793" s="125" t="n">
        <v>100</v>
      </c>
      <c r="CX793" s="0" t="n">
        <v>0</v>
      </c>
      <c r="CY793" s="0" t="n">
        <f aca="false">IF(CW793="","",IF(CX793=0,CW793,IF(CX793=1,CW793/30,IF(CX793=2,CW793/15,IF(CX793=3,CW793/7,CW793)))))</f>
        <v>100</v>
      </c>
      <c r="CZ793" s="0" t="n">
        <f aca="false">IF(DI793&gt;0,DI793,IF(CY793&gt;0,CY793,IF(CV793&gt;0,CV793,"")))</f>
        <v>100</v>
      </c>
      <c r="DA793" s="0" t="n">
        <f aca="false">IF(DM793=1,CZ793/8,IF(OR(DM793=2,DM793=4),CZ793/7,IF(DM793=3,CZ793/7.5,"")))</f>
        <v>12.5</v>
      </c>
      <c r="DB793" s="0" t="s">
        <v>216</v>
      </c>
      <c r="DC793" s="0" t="s">
        <v>216</v>
      </c>
      <c r="DD793" s="0" t="s">
        <v>216</v>
      </c>
      <c r="DE793" s="0" t="s">
        <v>216</v>
      </c>
      <c r="DF793" s="0" t="s">
        <v>216</v>
      </c>
      <c r="DG793" s="0" t="s">
        <v>216</v>
      </c>
      <c r="DH793" s="0" t="n">
        <v>0</v>
      </c>
      <c r="DI793" s="126" t="n">
        <v>100</v>
      </c>
      <c r="DK793" s="0" t="n">
        <v>0</v>
      </c>
      <c r="DM793" s="0" t="n">
        <v>1</v>
      </c>
      <c r="DN793" s="0" t="n">
        <v>60</v>
      </c>
      <c r="DO793" s="0" t="n">
        <v>3</v>
      </c>
      <c r="DP793" s="0" t="n">
        <v>0</v>
      </c>
      <c r="DQ793" s="0" t="n">
        <v>1</v>
      </c>
      <c r="DR793" s="0"/>
      <c r="DS793" s="0" t="n">
        <v>1</v>
      </c>
      <c r="DU793" s="0" t="n">
        <v>0</v>
      </c>
      <c r="DW793" s="1" t="n">
        <v>40532</v>
      </c>
      <c r="DX793" s="1" t="n">
        <v>40583</v>
      </c>
      <c r="DZ793" s="0"/>
      <c r="EA793" s="0" t="n">
        <v>1</v>
      </c>
      <c r="EC793" s="1" t="n">
        <v>40532</v>
      </c>
      <c r="ED793" s="1" t="n">
        <v>40583</v>
      </c>
      <c r="EF793" s="0"/>
      <c r="EG793" s="0" t="n">
        <v>1</v>
      </c>
      <c r="EH793" s="0" t="n">
        <v>12</v>
      </c>
      <c r="EI793" s="0" t="n">
        <f aca="false">IF(AND(DM793=1,DN793&lt;=48),"",IF(AND(DM793=2,DN793&lt;=42),"",IF(AND(DM793=3,DN793&lt;=45),"",EH793)))</f>
        <v>12</v>
      </c>
      <c r="EJ793" s="0" t="n">
        <f aca="false">IF(EI793="","",IF(EI793&lt;9,EI793,9))</f>
        <v>9</v>
      </c>
      <c r="EK793" s="0" t="n">
        <f aca="false">IF(EI793="","",IF(EI793&gt;9,EI793-EJ793,0))</f>
        <v>3</v>
      </c>
      <c r="EL793" s="0" t="n">
        <f aca="false">IF(EI793="","",EJ793*DA793*2+EK793*DA793*3)</f>
        <v>337.5</v>
      </c>
      <c r="EP793" s="0" t="n">
        <v>0</v>
      </c>
      <c r="EQ793" s="0"/>
      <c r="ER793" s="0" t="n">
        <v>0</v>
      </c>
      <c r="ET793" s="0" t="n">
        <v>0</v>
      </c>
      <c r="EV793" s="0" t="n">
        <v>0</v>
      </c>
      <c r="EX793" s="0" t="n">
        <v>0</v>
      </c>
      <c r="EY793" s="0" t="n">
        <v>0</v>
      </c>
      <c r="EZ793" s="0"/>
      <c r="FA793" s="4" t="n">
        <v>0</v>
      </c>
      <c r="FB793" s="0" t="n">
        <v>0</v>
      </c>
      <c r="FC793" s="1" t="n">
        <v>40794</v>
      </c>
      <c r="FD793" s="0" t="n">
        <v>1</v>
      </c>
      <c r="FE793" s="0" t="n">
        <v>3625</v>
      </c>
      <c r="FF793" s="120" t="n">
        <f aca="false">(CJ793-CI793+1)/365</f>
        <v>0.142465753424658</v>
      </c>
      <c r="FG793" s="0" t="str">
        <f aca="false">CONCATENATE(F793,"/",G793)</f>
        <v>633/2011</v>
      </c>
      <c r="FH793" s="0" t="n">
        <v>1</v>
      </c>
      <c r="FI793" s="0" t="n">
        <f aca="false">IFERROR(IF((FC793-J793+1)/365&gt;3,0,1),"")</f>
        <v>1</v>
      </c>
    </row>
    <row r="794" customFormat="false" ht="15" hidden="false" customHeight="false" outlineLevel="0" collapsed="false">
      <c r="A794" s="5" t="str">
        <f aca="false">E794&amp;G794&amp;F794</f>
        <v>72011792</v>
      </c>
      <c r="B794" s="0" t="s">
        <v>7298</v>
      </c>
      <c r="C794" s="1" t="n">
        <v>42366</v>
      </c>
      <c r="E794" s="0" t="n">
        <v>7</v>
      </c>
      <c r="F794" s="0" t="n">
        <v>792</v>
      </c>
      <c r="G794" s="0" t="n">
        <v>2011</v>
      </c>
      <c r="H794" s="0" t="str">
        <f aca="false">"J"&amp;E794&amp;"\"&amp;F794&amp;"\"&amp;G794&amp;"\"&amp;W794</f>
        <v>J7\792\2011\1</v>
      </c>
      <c r="I794" s="0"/>
      <c r="J794" s="1" t="n">
        <v>40667</v>
      </c>
      <c r="M794" s="1"/>
      <c r="N794" s="1"/>
      <c r="O794" s="1"/>
      <c r="P794" s="1"/>
      <c r="Q794" s="1"/>
      <c r="T794" s="121"/>
      <c r="U794" s="121"/>
      <c r="V794" s="122" t="n">
        <f aca="false">IF(AND(E794&gt;0,F794&gt;0,G794&gt;0),COUNTIFS($E:$E,E794,$F:$F,F794,$G:$G,G794),"")</f>
        <v>1</v>
      </c>
      <c r="W794" s="122" t="n">
        <f aca="false">IF(V794="","",IF(V794=1,1,IF(AND(E793=E794,F793=F794,G793=G794),W793+1,1)))</f>
        <v>1</v>
      </c>
      <c r="X794" s="0" t="n">
        <v>1</v>
      </c>
      <c r="Y794" s="0" t="n">
        <v>4</v>
      </c>
      <c r="Z794" s="0" t="s">
        <v>7299</v>
      </c>
      <c r="AA794" s="0" t="n">
        <v>0</v>
      </c>
      <c r="AB794" s="0" t="s">
        <v>7300</v>
      </c>
      <c r="AC794" s="0" t="s">
        <v>1016</v>
      </c>
      <c r="AD794" s="0" t="s">
        <v>2179</v>
      </c>
      <c r="AE794" s="0" t="n">
        <v>0</v>
      </c>
      <c r="AF794" s="0" t="s">
        <v>3317</v>
      </c>
      <c r="AG794" s="0" t="n">
        <v>0</v>
      </c>
      <c r="AH794" s="0" t="s">
        <v>7301</v>
      </c>
      <c r="AI794" s="0" t="s">
        <v>244</v>
      </c>
      <c r="AJ794" s="0" t="s">
        <v>1160</v>
      </c>
      <c r="AL794" s="0" t="s">
        <v>7302</v>
      </c>
      <c r="AM794" s="0" t="n">
        <v>1</v>
      </c>
      <c r="AN794" s="0" t="s">
        <v>7301</v>
      </c>
      <c r="AO794" s="0" t="s">
        <v>244</v>
      </c>
      <c r="AP794" s="0" t="s">
        <v>1160</v>
      </c>
      <c r="AR794" s="0" t="s">
        <v>7303</v>
      </c>
      <c r="AS794" s="0" t="n">
        <v>1</v>
      </c>
      <c r="AT794" s="0" t="s">
        <v>7301</v>
      </c>
      <c r="AU794" s="0" t="s">
        <v>244</v>
      </c>
      <c r="AV794" s="0" t="s">
        <v>1160</v>
      </c>
      <c r="AX794" s="0" t="s">
        <v>213</v>
      </c>
      <c r="AY794" s="0" t="n">
        <v>1</v>
      </c>
      <c r="AZ794" s="0" t="s">
        <v>7301</v>
      </c>
      <c r="BA794" s="0" t="s">
        <v>244</v>
      </c>
      <c r="BB794" s="0" t="s">
        <v>1160</v>
      </c>
      <c r="BR794" s="0" t="n">
        <v>1</v>
      </c>
      <c r="BS794" s="0" t="s">
        <v>7304</v>
      </c>
      <c r="BT794" s="0" t="s">
        <v>7305</v>
      </c>
      <c r="BU794" s="0" t="s">
        <v>7306</v>
      </c>
      <c r="BV794" s="123"/>
      <c r="BW794" s="123"/>
      <c r="BX794" s="123"/>
      <c r="BY794" s="123"/>
      <c r="CA794" s="0" t="s">
        <v>7307</v>
      </c>
      <c r="CD794" s="0" t="s">
        <v>216</v>
      </c>
      <c r="CE794" s="0" t="n">
        <v>0</v>
      </c>
      <c r="CF794" s="0" t="s">
        <v>7308</v>
      </c>
      <c r="CI794" s="1" t="n">
        <v>40107</v>
      </c>
      <c r="CJ794" s="1" t="n">
        <v>40662</v>
      </c>
      <c r="CK794" s="124" t="n">
        <v>0.625</v>
      </c>
      <c r="CL794" s="0" t="s">
        <v>7302</v>
      </c>
      <c r="CM794" s="0" t="n">
        <f aca="false">IF(OR(CI794="",CJ794=""),"",DAYS360(CI794,CJ794)/360)</f>
        <v>1.52222222222222</v>
      </c>
      <c r="CN794" s="0" t="n">
        <f aca="false">IF(OR(CI794="",CJ794=""),"",DAYS360(CI794,CJ794)/30)</f>
        <v>18.2666666666667</v>
      </c>
      <c r="CO794" s="0" t="n">
        <f aca="false">IF(OR(CI794="",CJ794=""),"",DAYS360(CI794,CJ794)/7)</f>
        <v>78.2857142857143</v>
      </c>
      <c r="CP794" s="0" t="n">
        <f aca="false">IF(OR(CI794="",CJ794=""),"",DAYS360(CI794,CJ794))</f>
        <v>548</v>
      </c>
      <c r="CQ794" s="0" t="s">
        <v>1493</v>
      </c>
      <c r="CR794" s="0" t="n">
        <v>1</v>
      </c>
      <c r="CT794" s="0" t="s">
        <v>221</v>
      </c>
      <c r="CU794" s="0" t="s">
        <v>221</v>
      </c>
      <c r="CV794" s="0" t="str">
        <f aca="false">IF(OR(CT794="",CT794="NO ESPECIFICA",CT794="NO MENCIONA"),"",IF(CU794=0,CT794,IF(CU794=1,CT794/30,IF(CU794=2,CT794/15,IF(CU794=3,CT794/7,"")))))</f>
        <v/>
      </c>
      <c r="CW794" s="125" t="n">
        <v>266.66</v>
      </c>
      <c r="CX794" s="0" t="n">
        <v>0</v>
      </c>
      <c r="CY794" s="0" t="n">
        <f aca="false">IF(CW794="","",IF(CX794=0,CW794,IF(CX794=1,CW794/30,IF(CX794=2,CW794/15,IF(CX794=3,CW794/7,CW794)))))</f>
        <v>266.66</v>
      </c>
      <c r="CZ794" s="0" t="n">
        <f aca="false">IF(DI794&gt;0,DI794,IF(CY794&gt;0,CY794,IF(CV794&gt;0,CV794,"")))</f>
        <v>266.66</v>
      </c>
      <c r="DA794" s="0" t="n">
        <f aca="false">IF(DM794=1,CZ794/8,IF(OR(DM794=2,DM794=4),CZ794/7,IF(DM794=3,CZ794/7.5,"")))</f>
        <v>38.0942857142857</v>
      </c>
      <c r="DB794" s="0" t="s">
        <v>216</v>
      </c>
      <c r="DC794" s="0" t="s">
        <v>216</v>
      </c>
      <c r="DD794" s="0" t="s">
        <v>216</v>
      </c>
      <c r="DE794" s="0" t="s">
        <v>216</v>
      </c>
      <c r="DF794" s="0" t="s">
        <v>216</v>
      </c>
      <c r="DG794" s="0" t="s">
        <v>216</v>
      </c>
      <c r="DH794" s="0" t="n">
        <v>0</v>
      </c>
      <c r="DI794" s="126" t="n">
        <v>266.66</v>
      </c>
      <c r="DK794" s="0" t="n">
        <v>1</v>
      </c>
      <c r="DM794" s="0" t="n">
        <v>2</v>
      </c>
      <c r="DN794" s="0" t="n">
        <v>54</v>
      </c>
      <c r="DO794" s="0" t="n">
        <v>3</v>
      </c>
      <c r="DP794" s="0" t="n">
        <v>0</v>
      </c>
      <c r="DQ794" s="0" t="n">
        <v>0</v>
      </c>
      <c r="DR794" s="0"/>
      <c r="DS794" s="0" t="n">
        <v>0</v>
      </c>
      <c r="DU794" s="0" t="n">
        <v>0</v>
      </c>
      <c r="DW794" s="1" t="n">
        <v>40107</v>
      </c>
      <c r="DX794" s="1" t="n">
        <v>40662</v>
      </c>
      <c r="DZ794" s="0"/>
      <c r="EA794" s="0" t="n">
        <v>1</v>
      </c>
      <c r="EC794" s="1" t="n">
        <v>40107</v>
      </c>
      <c r="ED794" s="1" t="n">
        <v>40662</v>
      </c>
      <c r="EF794" s="0"/>
      <c r="EG794" s="0" t="n">
        <v>1</v>
      </c>
      <c r="EH794" s="0" t="n">
        <v>6</v>
      </c>
      <c r="EI794" s="0" t="n">
        <f aca="false">IF(AND(DM794=1,DN794&lt;=48),"",IF(AND(DM794=2,DN794&lt;=42),"",IF(AND(DM794=3,DN794&lt;=45),"",EH794)))</f>
        <v>6</v>
      </c>
      <c r="EJ794" s="0" t="n">
        <f aca="false">IF(EI794="","",IF(EI794&lt;9,EI794,9))</f>
        <v>6</v>
      </c>
      <c r="EK794" s="0" t="n">
        <f aca="false">IF(EI794="","",IF(EI794&gt;9,EI794-EJ794,0))</f>
        <v>0</v>
      </c>
      <c r="EL794" s="0" t="n">
        <f aca="false">IF(EI794="","",EJ794*DA794*2+EK794*DA794*3)</f>
        <v>457.131428571429</v>
      </c>
      <c r="EP794" s="0" t="n">
        <v>0</v>
      </c>
      <c r="EQ794" s="0"/>
      <c r="ER794" s="0" t="n">
        <v>0</v>
      </c>
      <c r="ET794" s="0" t="n">
        <v>0</v>
      </c>
      <c r="EV794" s="0" t="n">
        <v>0</v>
      </c>
      <c r="EX794" s="0" t="n">
        <v>0</v>
      </c>
      <c r="EY794" s="0" t="n">
        <v>1</v>
      </c>
      <c r="EZ794" s="0"/>
      <c r="FA794" s="0"/>
      <c r="FB794" s="0" t="n">
        <v>0</v>
      </c>
      <c r="FC794" s="1" t="n">
        <v>40816</v>
      </c>
      <c r="FD794" s="0" t="n">
        <v>1</v>
      </c>
      <c r="FE794" s="0" t="n">
        <v>12000</v>
      </c>
      <c r="FF794" s="120" t="n">
        <f aca="false">(CJ794-CI794+1)/365</f>
        <v>1.52328767123288</v>
      </c>
      <c r="FG794" s="0" t="str">
        <f aca="false">CONCATENATE(F794,"/",G794)</f>
        <v>792/2011</v>
      </c>
      <c r="FH794" s="0" t="n">
        <v>1</v>
      </c>
      <c r="FI794" s="0" t="n">
        <f aca="false">IFERROR(IF((FC794-J794+1)/365&gt;3,0,1),"")</f>
        <v>1</v>
      </c>
    </row>
    <row r="795" customFormat="false" ht="15" hidden="false" customHeight="false" outlineLevel="0" collapsed="false">
      <c r="A795" s="5" t="str">
        <f aca="false">E795&amp;G795&amp;F795</f>
        <v>72011802</v>
      </c>
      <c r="B795" s="0" t="s">
        <v>7298</v>
      </c>
      <c r="C795" s="1" t="n">
        <v>42366</v>
      </c>
      <c r="E795" s="0" t="n">
        <v>7</v>
      </c>
      <c r="F795" s="0" t="n">
        <v>802</v>
      </c>
      <c r="G795" s="0" t="n">
        <v>2011</v>
      </c>
      <c r="H795" s="0" t="str">
        <f aca="false">"J"&amp;E795&amp;"\"&amp;F795&amp;"\"&amp;G795&amp;"\"&amp;W795</f>
        <v>J7\802\2011\1</v>
      </c>
      <c r="I795" s="0"/>
      <c r="J795" s="1" t="n">
        <v>40669</v>
      </c>
      <c r="M795" s="1"/>
      <c r="N795" s="1"/>
      <c r="O795" s="1"/>
      <c r="P795" s="1"/>
      <c r="Q795" s="1"/>
      <c r="T795" s="121"/>
      <c r="U795" s="121"/>
      <c r="V795" s="122" t="n">
        <f aca="false">IF(AND(E795&gt;0,F795&gt;0,G795&gt;0),COUNTIFS($E:$E,E795,$F:$F,F795,$G:$G,G795),"")</f>
        <v>1</v>
      </c>
      <c r="W795" s="122" t="n">
        <f aca="false">IF(V795="","",IF(V795=1,1,IF(AND(E794=E795,F794=F795,G794=G795),W794+1,1)))</f>
        <v>1</v>
      </c>
      <c r="X795" s="0" t="n">
        <v>1</v>
      </c>
      <c r="Y795" s="0" t="n">
        <v>2</v>
      </c>
      <c r="Z795" s="0" t="s">
        <v>7309</v>
      </c>
      <c r="AA795" s="0" t="n">
        <v>0</v>
      </c>
      <c r="AB795" s="0" t="s">
        <v>7310</v>
      </c>
      <c r="AC795" s="0" t="s">
        <v>274</v>
      </c>
      <c r="AD795" s="0" t="s">
        <v>1160</v>
      </c>
      <c r="AE795" s="0" t="n">
        <v>0</v>
      </c>
      <c r="AF795" s="0" t="s">
        <v>7311</v>
      </c>
      <c r="AG795" s="0" t="n">
        <v>1</v>
      </c>
      <c r="AH795" s="0" t="s">
        <v>7312</v>
      </c>
      <c r="AI795" s="0" t="s">
        <v>1635</v>
      </c>
      <c r="AJ795" s="0" t="s">
        <v>1160</v>
      </c>
      <c r="AL795" s="0" t="s">
        <v>7313</v>
      </c>
      <c r="AM795" s="0" t="n">
        <v>1</v>
      </c>
      <c r="AN795" s="0" t="s">
        <v>7312</v>
      </c>
      <c r="AO795" s="0" t="s">
        <v>1635</v>
      </c>
      <c r="AP795" s="0" t="s">
        <v>1160</v>
      </c>
      <c r="BR795" s="0" t="n">
        <v>1</v>
      </c>
      <c r="BS795" s="0" t="s">
        <v>7314</v>
      </c>
      <c r="BT795" s="0" t="s">
        <v>7315</v>
      </c>
      <c r="BU795" s="0" t="s">
        <v>7316</v>
      </c>
      <c r="BV795" s="123"/>
      <c r="BW795" s="123"/>
      <c r="BX795" s="123"/>
      <c r="BY795" s="123"/>
      <c r="CA795" s="0" t="s">
        <v>7314</v>
      </c>
      <c r="CD795" s="0" t="s">
        <v>370</v>
      </c>
      <c r="CE795" s="0" t="n">
        <v>0</v>
      </c>
      <c r="CF795" s="0" t="s">
        <v>1348</v>
      </c>
      <c r="CI795" s="1" t="n">
        <v>40581</v>
      </c>
      <c r="CJ795" s="1" t="n">
        <v>40609</v>
      </c>
      <c r="CK795" s="124" t="n">
        <v>0.625</v>
      </c>
      <c r="CL795" s="0" t="s">
        <v>7311</v>
      </c>
      <c r="CM795" s="0" t="n">
        <f aca="false">IF(OR(CI795="",CJ795=""),"",DAYS360(CI795,CJ795)/360)</f>
        <v>0.0833333333333333</v>
      </c>
      <c r="CN795" s="0" t="n">
        <f aca="false">IF(OR(CI795="",CJ795=""),"",DAYS360(CI795,CJ795)/30)</f>
        <v>1</v>
      </c>
      <c r="CO795" s="0" t="n">
        <f aca="false">IF(OR(CI795="",CJ795=""),"",DAYS360(CI795,CJ795)/7)</f>
        <v>4.28571428571429</v>
      </c>
      <c r="CP795" s="0" t="n">
        <f aca="false">IF(OR(CI795="",CJ795=""),"",DAYS360(CI795,CJ795))</f>
        <v>30</v>
      </c>
      <c r="CQ795" s="0" t="s">
        <v>240</v>
      </c>
      <c r="CR795" s="0" t="n">
        <v>1</v>
      </c>
      <c r="CT795" s="0" t="n">
        <v>700</v>
      </c>
      <c r="CU795" s="0" t="n">
        <v>3</v>
      </c>
      <c r="CV795" s="0" t="n">
        <f aca="false">IF(OR(CT795="",CT795="NO ESPECIFICA",CT795="NO MENCIONA"),"",IF(CU795=0,CT795,IF(CU795=1,CT795/30,IF(CU795=2,CT795/15,IF(CU795=3,CT795/7,"")))))</f>
        <v>100</v>
      </c>
      <c r="CW795" s="125" t="n">
        <v>1050</v>
      </c>
      <c r="CX795" s="0" t="n">
        <v>3</v>
      </c>
      <c r="CY795" s="0" t="n">
        <f aca="false">IF(CW795="","",IF(CX795=0,CW795,IF(CX795=1,CW795/30,IF(CX795=2,CW795/15,IF(CX795=3,CW795/7,CW795)))))</f>
        <v>150</v>
      </c>
      <c r="CZ795" s="0" t="n">
        <f aca="false">IF(DI795&gt;0,DI795,IF(CY795&gt;0,CY795,IF(CV795&gt;0,CV795,"")))</f>
        <v>150</v>
      </c>
      <c r="DA795" s="0" t="n">
        <f aca="false">IF(DM795=1,CZ795/8,IF(OR(DM795=2,DM795=4),CZ795/7,IF(DM795=3,CZ795/7.5,"")))</f>
        <v>18.75</v>
      </c>
      <c r="DB795" s="0" t="s">
        <v>1582</v>
      </c>
      <c r="DC795" s="0" t="s">
        <v>417</v>
      </c>
      <c r="DD795" s="0" t="s">
        <v>4278</v>
      </c>
      <c r="DE795" s="0" t="s">
        <v>216</v>
      </c>
      <c r="DF795" s="0" t="s">
        <v>216</v>
      </c>
      <c r="DG795" s="0" t="s">
        <v>216</v>
      </c>
      <c r="DH795" s="0" t="n">
        <v>0</v>
      </c>
      <c r="DI795" s="126" t="n">
        <v>150</v>
      </c>
      <c r="DK795" s="0" t="n">
        <v>0</v>
      </c>
      <c r="DM795" s="0" t="n">
        <v>1</v>
      </c>
      <c r="DN795" s="0" t="n">
        <v>49</v>
      </c>
      <c r="DO795" s="0" t="n">
        <v>3</v>
      </c>
      <c r="DP795" s="0" t="n">
        <v>0</v>
      </c>
      <c r="DQ795" s="0" t="n">
        <v>1</v>
      </c>
      <c r="DR795" s="0"/>
      <c r="DS795" s="0" t="n">
        <v>1</v>
      </c>
      <c r="DU795" s="0" t="n">
        <v>1</v>
      </c>
      <c r="DW795" s="1" t="n">
        <v>40581</v>
      </c>
      <c r="DX795" s="1" t="n">
        <v>40609</v>
      </c>
      <c r="DZ795" s="0"/>
      <c r="EA795" s="0" t="n">
        <v>1</v>
      </c>
      <c r="EC795" s="1" t="n">
        <v>40581</v>
      </c>
      <c r="ED795" s="1" t="n">
        <v>40609</v>
      </c>
      <c r="EF795" s="0"/>
      <c r="EG795" s="0" t="n">
        <v>0</v>
      </c>
      <c r="EI795" s="0" t="n">
        <f aca="false">IF(AND(DM795=1,DN795&lt;=48),"",IF(AND(DM795=2,DN795&lt;=42),"",IF(AND(DM795=3,DN795&lt;=45),"",EH795)))</f>
        <v>0</v>
      </c>
      <c r="EJ795" s="0" t="str">
        <f aca="false">IF(EI795="","",IF(EI795&lt;9,EI795,9))</f>
        <v/>
      </c>
      <c r="EK795" s="0" t="str">
        <f aca="false">IF(EI795="","",IF(EI795&gt;9,EI795-EJ795,0))</f>
        <v/>
      </c>
      <c r="EL795" s="0" t="str">
        <f aca="false">IF(EI795="","",EJ795*DA795*2+EK795*DA795*3)</f>
        <v/>
      </c>
      <c r="EP795" s="0" t="n">
        <v>0</v>
      </c>
      <c r="EQ795" s="0"/>
      <c r="ER795" s="0" t="n">
        <v>0</v>
      </c>
      <c r="ET795" s="0" t="n">
        <v>0</v>
      </c>
      <c r="EV795" s="0" t="n">
        <v>0</v>
      </c>
      <c r="EX795" s="0" t="n">
        <v>0</v>
      </c>
      <c r="EY795" s="0" t="n">
        <v>0</v>
      </c>
      <c r="EZ795" s="0"/>
      <c r="FA795" s="4" t="n">
        <v>4200</v>
      </c>
      <c r="FB795" s="0" t="n">
        <v>1</v>
      </c>
      <c r="FC795" s="1" t="n">
        <v>41040</v>
      </c>
      <c r="FD795" s="0" t="n">
        <v>2</v>
      </c>
      <c r="FE795" s="0" t="n">
        <v>0</v>
      </c>
      <c r="FF795" s="120" t="n">
        <f aca="false">(CJ795-CI795+1)/365</f>
        <v>0.0794520547945206</v>
      </c>
      <c r="FG795" s="0" t="str">
        <f aca="false">CONCATENATE(F795,"/",G795)</f>
        <v>802/2011</v>
      </c>
      <c r="FH795" s="0" t="n">
        <v>1</v>
      </c>
      <c r="FI795" s="0" t="n">
        <f aca="false">IFERROR(IF((FC795-J795+1)/365&gt;3,0,1),"")</f>
        <v>1</v>
      </c>
    </row>
    <row r="796" customFormat="false" ht="15" hidden="false" customHeight="false" outlineLevel="0" collapsed="false">
      <c r="A796" s="5" t="str">
        <f aca="false">E796&amp;G796&amp;F796</f>
        <v>72011803</v>
      </c>
      <c r="B796" s="0" t="s">
        <v>7298</v>
      </c>
      <c r="C796" s="1" t="n">
        <v>42366</v>
      </c>
      <c r="E796" s="0" t="n">
        <v>7</v>
      </c>
      <c r="F796" s="0" t="n">
        <v>803</v>
      </c>
      <c r="G796" s="0" t="n">
        <v>2011</v>
      </c>
      <c r="H796" s="0" t="str">
        <f aca="false">"J"&amp;E796&amp;"\"&amp;F796&amp;"\"&amp;G796&amp;"\"&amp;W796</f>
        <v>J7\803\2011\1</v>
      </c>
      <c r="I796" s="0"/>
      <c r="J796" s="1" t="n">
        <v>40669</v>
      </c>
      <c r="M796" s="1"/>
      <c r="N796" s="1"/>
      <c r="O796" s="1"/>
      <c r="P796" s="1"/>
      <c r="Q796" s="1"/>
      <c r="T796" s="121"/>
      <c r="U796" s="121"/>
      <c r="V796" s="122" t="n">
        <f aca="false">IF(AND(E796&gt;0,F796&gt;0,G796&gt;0),COUNTIFS($E:$E,E796,$F:$F,F796,$G:$G,G796),"")</f>
        <v>1</v>
      </c>
      <c r="W796" s="122" t="n">
        <f aca="false">IF(V796="","",IF(V796=1,1,IF(AND(E795=E796,F795=F796,G795=G796),W795+1,1)))</f>
        <v>1</v>
      </c>
      <c r="X796" s="0" t="n">
        <v>1</v>
      </c>
      <c r="Y796" s="0" t="n">
        <v>1</v>
      </c>
      <c r="Z796" s="0" t="s">
        <v>7317</v>
      </c>
      <c r="AA796" s="0" t="n">
        <v>0</v>
      </c>
      <c r="AB796" s="0" t="s">
        <v>7318</v>
      </c>
      <c r="AC796" s="0" t="s">
        <v>318</v>
      </c>
      <c r="AD796" s="0" t="s">
        <v>216</v>
      </c>
      <c r="AE796" s="0" t="n">
        <v>0</v>
      </c>
      <c r="AF796" s="0" t="s">
        <v>4813</v>
      </c>
      <c r="AG796" s="0" t="n">
        <v>0</v>
      </c>
      <c r="AH796" s="0" t="s">
        <v>7319</v>
      </c>
      <c r="AI796" s="0" t="s">
        <v>287</v>
      </c>
      <c r="AJ796" s="0" t="s">
        <v>2218</v>
      </c>
      <c r="BR796" s="0" t="n">
        <v>1</v>
      </c>
      <c r="BS796" s="0" t="s">
        <v>5761</v>
      </c>
      <c r="BV796" s="123"/>
      <c r="BW796" s="123"/>
      <c r="BX796" s="123"/>
      <c r="BY796" s="123"/>
      <c r="CA796" s="0" t="s">
        <v>216</v>
      </c>
      <c r="CD796" s="0" t="s">
        <v>296</v>
      </c>
      <c r="CE796" s="0" t="n">
        <v>0</v>
      </c>
      <c r="CF796" s="0" t="s">
        <v>7320</v>
      </c>
      <c r="CI796" s="1" t="n">
        <v>40602</v>
      </c>
      <c r="CJ796" s="1" t="n">
        <v>40666</v>
      </c>
      <c r="CK796" s="124" t="n">
        <v>0.583333333333333</v>
      </c>
      <c r="CL796" s="0" t="s">
        <v>7321</v>
      </c>
      <c r="CM796" s="0" t="n">
        <f aca="false">IF(OR(CI796="",CJ796=""),"",DAYS360(CI796,CJ796)/360)</f>
        <v>0.175</v>
      </c>
      <c r="CN796" s="0" t="n">
        <f aca="false">IF(OR(CI796="",CJ796=""),"",DAYS360(CI796,CJ796)/30)</f>
        <v>2.1</v>
      </c>
      <c r="CO796" s="0" t="n">
        <f aca="false">IF(OR(CI796="",CJ796=""),"",DAYS360(CI796,CJ796)/7)</f>
        <v>9</v>
      </c>
      <c r="CP796" s="0" t="n">
        <f aca="false">IF(OR(CI796="",CJ796=""),"",DAYS360(CI796,CJ796))</f>
        <v>63</v>
      </c>
      <c r="CQ796" s="0" t="s">
        <v>240</v>
      </c>
      <c r="CR796" s="0" t="n">
        <v>1</v>
      </c>
      <c r="CT796" s="0" t="n">
        <v>2400</v>
      </c>
      <c r="CU796" s="0" t="n">
        <v>2</v>
      </c>
      <c r="CV796" s="0" t="n">
        <f aca="false">IF(OR(CT796="",CT796="NO ESPECIFICA",CT796="NO MENCIONA"),"",IF(CU796=0,CT796,IF(CU796=1,CT796/30,IF(CU796=2,CT796/15,IF(CU796=3,CT796/7,"")))))</f>
        <v>160</v>
      </c>
      <c r="CW796" s="125" t="n">
        <v>2800</v>
      </c>
      <c r="CX796" s="0" t="n">
        <v>2</v>
      </c>
      <c r="CY796" s="0" t="n">
        <f aca="false">IF(CW796="","",IF(CX796=0,CW796,IF(CX796=1,CW796/30,IF(CX796=2,CW796/15,IF(CX796=3,CW796/7,CW796)))))</f>
        <v>186.666666666667</v>
      </c>
      <c r="CZ796" s="0" t="n">
        <f aca="false">IF(DI796&gt;0,DI796,IF(CY796&gt;0,CY796,IF(CV796&gt;0,CV796,"")))</f>
        <v>400</v>
      </c>
      <c r="DA796" s="0" t="n">
        <f aca="false">IF(DM796=1,CZ796/8,IF(OR(DM796=2,DM796=4),CZ796/7,IF(DM796=3,CZ796/7.5,"")))</f>
        <v>50</v>
      </c>
      <c r="DB796" s="0" t="s">
        <v>771</v>
      </c>
      <c r="DC796" s="0" t="s">
        <v>216</v>
      </c>
      <c r="DD796" s="0" t="s">
        <v>216</v>
      </c>
      <c r="DE796" s="0" t="s">
        <v>216</v>
      </c>
      <c r="DF796" s="0" t="s">
        <v>216</v>
      </c>
      <c r="DG796" s="0" t="s">
        <v>216</v>
      </c>
      <c r="DH796" s="0" t="n">
        <v>0</v>
      </c>
      <c r="DI796" s="126" t="n">
        <v>400</v>
      </c>
      <c r="DK796" s="0" t="n">
        <v>0</v>
      </c>
      <c r="DM796" s="0" t="n">
        <v>1</v>
      </c>
      <c r="DN796" s="0" t="n">
        <v>60</v>
      </c>
      <c r="DO796" s="0" t="n">
        <v>3</v>
      </c>
      <c r="DP796" s="0" t="n">
        <v>0</v>
      </c>
      <c r="DQ796" s="0" t="n">
        <v>1</v>
      </c>
      <c r="DR796" s="0"/>
      <c r="DS796" s="0" t="n">
        <v>1</v>
      </c>
      <c r="DU796" s="0" t="n">
        <v>1</v>
      </c>
      <c r="DW796" s="1" t="n">
        <v>40602</v>
      </c>
      <c r="DX796" s="1" t="n">
        <v>40666</v>
      </c>
      <c r="DZ796" s="0"/>
      <c r="EA796" s="0" t="n">
        <v>1</v>
      </c>
      <c r="EC796" s="1" t="n">
        <v>40602</v>
      </c>
      <c r="ED796" s="1" t="n">
        <v>40666</v>
      </c>
      <c r="EF796" s="0"/>
      <c r="EG796" s="0" t="n">
        <v>1</v>
      </c>
      <c r="EH796" s="0" t="n">
        <v>12</v>
      </c>
      <c r="EI796" s="0" t="n">
        <f aca="false">IF(AND(DM796=1,DN796&lt;=48),"",IF(AND(DM796=2,DN796&lt;=42),"",IF(AND(DM796=3,DN796&lt;=45),"",EH796)))</f>
        <v>12</v>
      </c>
      <c r="EJ796" s="0" t="n">
        <f aca="false">IF(EI796="","",IF(EI796&lt;9,EI796,9))</f>
        <v>9</v>
      </c>
      <c r="EK796" s="0" t="n">
        <f aca="false">IF(EI796="","",IF(EI796&gt;9,EI796-EJ796,0))</f>
        <v>3</v>
      </c>
      <c r="EL796" s="0" t="n">
        <f aca="false">IF(EI796="","",EJ796*DA796*2+EK796*DA796*3)</f>
        <v>1350</v>
      </c>
      <c r="EP796" s="0" t="n">
        <v>0</v>
      </c>
      <c r="EQ796" s="0"/>
      <c r="ER796" s="0" t="n">
        <v>0</v>
      </c>
      <c r="ET796" s="0" t="n">
        <v>0</v>
      </c>
      <c r="EV796" s="0" t="n">
        <v>1</v>
      </c>
      <c r="EX796" s="0" t="n">
        <v>0</v>
      </c>
      <c r="EY796" s="0" t="n">
        <v>1</v>
      </c>
      <c r="EZ796" s="0"/>
      <c r="FA796" s="4" t="n">
        <v>7200</v>
      </c>
      <c r="FB796" s="0" t="n">
        <v>1</v>
      </c>
      <c r="FC796" s="1" t="n">
        <v>40821</v>
      </c>
      <c r="FD796" s="0" t="n">
        <v>1</v>
      </c>
      <c r="FE796" s="0" t="n">
        <v>5000</v>
      </c>
      <c r="FF796" s="120" t="n">
        <f aca="false">(CJ796-CI796+1)/365</f>
        <v>0.178082191780822</v>
      </c>
      <c r="FG796" s="0" t="str">
        <f aca="false">CONCATENATE(F796,"/",G796)</f>
        <v>803/2011</v>
      </c>
      <c r="FH796" s="0" t="n">
        <v>1</v>
      </c>
      <c r="FI796" s="0" t="n">
        <f aca="false">IFERROR(IF((FC796-J796+1)/365&gt;3,0,1),"")</f>
        <v>1</v>
      </c>
    </row>
    <row r="797" customFormat="false" ht="15" hidden="false" customHeight="false" outlineLevel="0" collapsed="false">
      <c r="A797" s="5" t="str">
        <f aca="false">E797&amp;G797&amp;F797</f>
        <v>72011805</v>
      </c>
      <c r="B797" s="0" t="s">
        <v>7298</v>
      </c>
      <c r="C797" s="1" t="n">
        <v>42366</v>
      </c>
      <c r="E797" s="0" t="n">
        <v>7</v>
      </c>
      <c r="F797" s="0" t="n">
        <v>805</v>
      </c>
      <c r="G797" s="0" t="n">
        <v>2011</v>
      </c>
      <c r="H797" s="0" t="str">
        <f aca="false">"J"&amp;E797&amp;"\"&amp;F797&amp;"\"&amp;G797&amp;"\"&amp;W797</f>
        <v>J7\805\2011\1</v>
      </c>
      <c r="I797" s="0"/>
      <c r="J797" s="1" t="n">
        <v>40669</v>
      </c>
      <c r="M797" s="1"/>
      <c r="N797" s="1"/>
      <c r="O797" s="1"/>
      <c r="P797" s="1"/>
      <c r="Q797" s="1"/>
      <c r="T797" s="121"/>
      <c r="U797" s="121"/>
      <c r="V797" s="122" t="n">
        <f aca="false">IF(AND(E797&gt;0,F797&gt;0,G797&gt;0),COUNTIFS($E:$E,E797,$F:$F,F797,$G:$G,G797),"")</f>
        <v>1</v>
      </c>
      <c r="W797" s="122" t="n">
        <f aca="false">IF(V797="","",IF(V797=1,1,IF(AND(E796=E797,F796=F797,G796=G797),W796+1,1)))</f>
        <v>1</v>
      </c>
      <c r="X797" s="0" t="n">
        <v>1</v>
      </c>
      <c r="Y797" s="0" t="n">
        <v>6</v>
      </c>
      <c r="Z797" s="0" t="s">
        <v>7322</v>
      </c>
      <c r="AA797" s="0" t="n">
        <v>0</v>
      </c>
      <c r="AB797" s="0" t="s">
        <v>7323</v>
      </c>
      <c r="AC797" s="0" t="s">
        <v>274</v>
      </c>
      <c r="AD797" s="0" t="s">
        <v>1160</v>
      </c>
      <c r="AE797" s="0" t="n">
        <v>0</v>
      </c>
      <c r="AF797" s="0" t="s">
        <v>7324</v>
      </c>
      <c r="AG797" s="0" t="n">
        <v>0</v>
      </c>
      <c r="AH797" s="0" t="s">
        <v>7325</v>
      </c>
      <c r="AI797" s="0" t="s">
        <v>287</v>
      </c>
      <c r="AJ797" s="0" t="s">
        <v>2218</v>
      </c>
      <c r="AL797" s="0" t="s">
        <v>7326</v>
      </c>
      <c r="AM797" s="0" t="n">
        <v>0</v>
      </c>
      <c r="AN797" s="0" t="s">
        <v>7325</v>
      </c>
      <c r="AO797" s="0" t="s">
        <v>287</v>
      </c>
      <c r="AP797" s="0" t="s">
        <v>2218</v>
      </c>
      <c r="AR797" s="0" t="s">
        <v>7327</v>
      </c>
      <c r="AS797" s="0" t="n">
        <v>0</v>
      </c>
      <c r="AT797" s="0" t="s">
        <v>7325</v>
      </c>
      <c r="AU797" s="0" t="s">
        <v>287</v>
      </c>
      <c r="AV797" s="0" t="s">
        <v>2218</v>
      </c>
      <c r="AX797" s="0" t="s">
        <v>7328</v>
      </c>
      <c r="AY797" s="0" t="n">
        <v>1</v>
      </c>
      <c r="AZ797" s="0" t="s">
        <v>7325</v>
      </c>
      <c r="BA797" s="0" t="s">
        <v>287</v>
      </c>
      <c r="BB797" s="0" t="s">
        <v>2218</v>
      </c>
      <c r="BD797" s="0" t="s">
        <v>7329</v>
      </c>
      <c r="BE797" s="0" t="n">
        <v>1</v>
      </c>
      <c r="BF797" s="0" t="s">
        <v>7325</v>
      </c>
      <c r="BG797" s="0" t="s">
        <v>287</v>
      </c>
      <c r="BH797" s="0" t="s">
        <v>2218</v>
      </c>
      <c r="BJ797" s="0" t="s">
        <v>213</v>
      </c>
      <c r="BK797" s="0" t="n">
        <v>1</v>
      </c>
      <c r="BL797" s="0" t="s">
        <v>7325</v>
      </c>
      <c r="BM797" s="0" t="s">
        <v>287</v>
      </c>
      <c r="BN797" s="0" t="s">
        <v>2218</v>
      </c>
      <c r="BR797" s="0" t="n">
        <v>1</v>
      </c>
      <c r="BS797" s="0" t="s">
        <v>7330</v>
      </c>
      <c r="BT797" s="0" t="s">
        <v>7331</v>
      </c>
      <c r="BU797" s="0" t="s">
        <v>216</v>
      </c>
      <c r="BV797" s="123"/>
      <c r="BW797" s="123"/>
      <c r="BX797" s="123"/>
      <c r="BY797" s="123"/>
      <c r="CA797" s="0" t="s">
        <v>216</v>
      </c>
      <c r="CD797" s="0" t="s">
        <v>2546</v>
      </c>
      <c r="CE797" s="0" t="n">
        <v>0</v>
      </c>
      <c r="CF797" s="0" t="s">
        <v>1357</v>
      </c>
      <c r="CI797" s="1" t="n">
        <v>39458</v>
      </c>
      <c r="CJ797" s="1" t="n">
        <v>40662</v>
      </c>
      <c r="CK797" s="124" t="n">
        <v>0.333333333333333</v>
      </c>
      <c r="CL797" s="0" t="s">
        <v>7328</v>
      </c>
      <c r="CM797" s="0" t="n">
        <f aca="false">IF(OR(CI797="",CJ797=""),"",DAYS360(CI797,CJ797)/360)</f>
        <v>3.3</v>
      </c>
      <c r="CN797" s="0" t="n">
        <f aca="false">IF(OR(CI797="",CJ797=""),"",DAYS360(CI797,CJ797)/30)</f>
        <v>39.6</v>
      </c>
      <c r="CO797" s="0" t="n">
        <f aca="false">IF(OR(CI797="",CJ797=""),"",DAYS360(CI797,CJ797)/7)</f>
        <v>169.714285714286</v>
      </c>
      <c r="CP797" s="0" t="n">
        <f aca="false">IF(OR(CI797="",CJ797=""),"",DAYS360(CI797,CJ797))</f>
        <v>1188</v>
      </c>
      <c r="CQ797" s="0" t="s">
        <v>240</v>
      </c>
      <c r="CR797" s="0" t="n">
        <v>1</v>
      </c>
      <c r="CT797" s="0" t="s">
        <v>221</v>
      </c>
      <c r="CU797" s="0" t="s">
        <v>221</v>
      </c>
      <c r="CV797" s="0" t="str">
        <f aca="false">IF(OR(CT797="",CT797="NO ESPECIFICA",CT797="NO MENCIONA"),"",IF(CU797=0,CT797,IF(CU797=1,CT797/30,IF(CU797=2,CT797/15,IF(CU797=3,CT797/7,"")))))</f>
        <v/>
      </c>
      <c r="CW797" s="125" t="n">
        <v>7000</v>
      </c>
      <c r="CX797" s="0" t="n">
        <v>1</v>
      </c>
      <c r="CY797" s="0" t="n">
        <f aca="false">IF(CW797="","",IF(CX797=0,CW797,IF(CX797=1,CW797/30,IF(CX797=2,CW797/15,IF(CX797=3,CW797/7,CW797)))))</f>
        <v>233.333333333333</v>
      </c>
      <c r="CZ797" s="0" t="n">
        <f aca="false">IF(DI797&gt;0,DI797,IF(CY797&gt;0,CY797,IF(CV797&gt;0,CV797,"")))</f>
        <v>233.333333333333</v>
      </c>
      <c r="DA797" s="0" t="n">
        <f aca="false">IF(DM797=1,CZ797/8,IF(OR(DM797=2,DM797=4),CZ797/7,IF(DM797=3,CZ797/7.5,"")))</f>
        <v>29.1666666666667</v>
      </c>
      <c r="DB797" s="0" t="s">
        <v>216</v>
      </c>
      <c r="DC797" s="0" t="s">
        <v>216</v>
      </c>
      <c r="DD797" s="0" t="s">
        <v>216</v>
      </c>
      <c r="DE797" s="0" t="s">
        <v>216</v>
      </c>
      <c r="DF797" s="0" t="s">
        <v>216</v>
      </c>
      <c r="DG797" s="0" t="s">
        <v>216</v>
      </c>
      <c r="DH797" s="0" t="n">
        <v>0</v>
      </c>
      <c r="DI797" s="126" t="n">
        <v>233.333333333333</v>
      </c>
      <c r="DK797" s="0" t="n">
        <v>1</v>
      </c>
      <c r="DM797" s="0" t="n">
        <v>1</v>
      </c>
      <c r="DN797" s="0" t="n">
        <v>50</v>
      </c>
      <c r="DO797" s="0" t="n">
        <v>3</v>
      </c>
      <c r="DP797" s="0" t="n">
        <v>0</v>
      </c>
      <c r="DQ797" s="0" t="n">
        <v>1</v>
      </c>
      <c r="DR797" s="0"/>
      <c r="DS797" s="0" t="n">
        <v>1</v>
      </c>
      <c r="DU797" s="0" t="n">
        <v>1</v>
      </c>
      <c r="DW797" s="1" t="n">
        <v>40297</v>
      </c>
      <c r="DX797" s="1" t="n">
        <v>40662</v>
      </c>
      <c r="DZ797" s="0"/>
      <c r="EA797" s="0" t="n">
        <v>1</v>
      </c>
      <c r="EC797" s="1" t="n">
        <v>40544</v>
      </c>
      <c r="ED797" s="1" t="n">
        <v>40662</v>
      </c>
      <c r="EF797" s="0"/>
      <c r="EG797" s="0" t="n">
        <v>0</v>
      </c>
      <c r="EI797" s="0" t="n">
        <f aca="false">IF(AND(DM797=1,DN797&lt;=48),"",IF(AND(DM797=2,DN797&lt;=42),"",IF(AND(DM797=3,DN797&lt;=45),"",EH797)))</f>
        <v>0</v>
      </c>
      <c r="EJ797" s="0" t="str">
        <f aca="false">IF(EI797="","",IF(EI797&lt;9,EI797,9))</f>
        <v/>
      </c>
      <c r="EK797" s="0" t="str">
        <f aca="false">IF(EI797="","",IF(EI797&gt;9,EI797-EJ797,0))</f>
        <v/>
      </c>
      <c r="EL797" s="0" t="str">
        <f aca="false">IF(EI797="","",EJ797*DA797*2+EK797*DA797*3)</f>
        <v/>
      </c>
      <c r="EP797" s="0" t="n">
        <v>0</v>
      </c>
      <c r="EQ797" s="0"/>
      <c r="ER797" s="0" t="n">
        <v>0</v>
      </c>
      <c r="ET797" s="0" t="n">
        <v>0</v>
      </c>
      <c r="EV797" s="0" t="n">
        <v>0</v>
      </c>
      <c r="EX797" s="0" t="n">
        <v>1</v>
      </c>
      <c r="EY797" s="0" t="n">
        <v>0</v>
      </c>
      <c r="EZ797" s="0"/>
      <c r="FA797" s="0"/>
      <c r="FB797" s="0" t="n">
        <v>1</v>
      </c>
      <c r="FC797" s="1" t="n">
        <v>41243</v>
      </c>
      <c r="FD797" s="0" t="n">
        <v>1</v>
      </c>
      <c r="FE797" s="0" t="n">
        <v>35233</v>
      </c>
      <c r="FF797" s="120" t="n">
        <f aca="false">(CJ797-CI797+1)/365</f>
        <v>3.3013698630137</v>
      </c>
      <c r="FG797" s="0" t="str">
        <f aca="false">CONCATENATE(F797,"/",G797)</f>
        <v>805/2011</v>
      </c>
      <c r="FH797" s="0" t="n">
        <v>1</v>
      </c>
      <c r="FI797" s="0" t="n">
        <f aca="false">IFERROR(IF((FC797-J797+1)/365&gt;3,0,1),"")</f>
        <v>1</v>
      </c>
    </row>
    <row r="798" customFormat="false" ht="15" hidden="false" customHeight="false" outlineLevel="0" collapsed="false">
      <c r="A798" s="5" t="str">
        <f aca="false">E798&amp;G798&amp;F798</f>
        <v>72011812</v>
      </c>
      <c r="B798" s="0" t="s">
        <v>7298</v>
      </c>
      <c r="C798" s="1" t="n">
        <v>42366</v>
      </c>
      <c r="E798" s="0" t="n">
        <v>7</v>
      </c>
      <c r="F798" s="0" t="n">
        <v>812</v>
      </c>
      <c r="G798" s="0" t="n">
        <v>2011</v>
      </c>
      <c r="H798" s="0" t="str">
        <f aca="false">"J"&amp;E798&amp;"\"&amp;F798&amp;"\"&amp;G798&amp;"\"&amp;W798</f>
        <v>J7\812\2011\1</v>
      </c>
      <c r="I798" s="0"/>
      <c r="J798" s="1" t="n">
        <v>40672</v>
      </c>
      <c r="M798" s="1"/>
      <c r="N798" s="1"/>
      <c r="O798" s="1"/>
      <c r="P798" s="1"/>
      <c r="Q798" s="1"/>
      <c r="T798" s="121"/>
      <c r="U798" s="121"/>
      <c r="V798" s="122" t="n">
        <f aca="false">IF(AND(E798&gt;0,F798&gt;0,G798&gt;0),COUNTIFS($E:$E,E798,$F:$F,F798,$G:$G,G798),"")</f>
        <v>1</v>
      </c>
      <c r="W798" s="122" t="n">
        <f aca="false">IF(V798="","",IF(V798=1,1,IF(AND(E797=E798,F797=F798,G797=G798),W797+1,1)))</f>
        <v>1</v>
      </c>
      <c r="X798" s="0" t="n">
        <v>1</v>
      </c>
      <c r="Y798" s="0" t="n">
        <v>4</v>
      </c>
      <c r="Z798" s="0" t="s">
        <v>7332</v>
      </c>
      <c r="AA798" s="0" t="n">
        <v>0</v>
      </c>
      <c r="AB798" s="0" t="s">
        <v>7333</v>
      </c>
      <c r="AC798" s="0" t="s">
        <v>318</v>
      </c>
      <c r="AD798" s="0" t="s">
        <v>1160</v>
      </c>
      <c r="AE798" s="0" t="n">
        <v>0</v>
      </c>
      <c r="AF798" s="0" t="s">
        <v>7334</v>
      </c>
      <c r="AG798" s="0" t="n">
        <v>0</v>
      </c>
      <c r="AH798" s="0" t="s">
        <v>7335</v>
      </c>
      <c r="AI798" s="0" t="s">
        <v>1160</v>
      </c>
      <c r="AJ798" s="0" t="s">
        <v>1160</v>
      </c>
      <c r="AL798" s="0" t="s">
        <v>7336</v>
      </c>
      <c r="AM798" s="0" t="n">
        <v>1</v>
      </c>
      <c r="AN798" s="0" t="s">
        <v>7335</v>
      </c>
      <c r="AO798" s="0" t="s">
        <v>1160</v>
      </c>
      <c r="AP798" s="0" t="s">
        <v>1160</v>
      </c>
      <c r="AR798" s="0" t="s">
        <v>7337</v>
      </c>
      <c r="AS798" s="0" t="n">
        <v>1</v>
      </c>
      <c r="AT798" s="0" t="s">
        <v>7335</v>
      </c>
      <c r="AU798" s="0" t="s">
        <v>1160</v>
      </c>
      <c r="AV798" s="0" t="s">
        <v>1160</v>
      </c>
      <c r="AX798" s="0" t="s">
        <v>213</v>
      </c>
      <c r="AY798" s="0" t="n">
        <v>1</v>
      </c>
      <c r="AZ798" s="0" t="s">
        <v>7335</v>
      </c>
      <c r="BA798" s="0" t="s">
        <v>1160</v>
      </c>
      <c r="BB798" s="0" t="s">
        <v>1160</v>
      </c>
      <c r="BR798" s="0" t="n">
        <v>1</v>
      </c>
      <c r="BS798" s="0" t="s">
        <v>7338</v>
      </c>
      <c r="BT798" s="0" t="s">
        <v>7339</v>
      </c>
      <c r="BU798" s="0" t="s">
        <v>216</v>
      </c>
      <c r="BV798" s="123"/>
      <c r="BW798" s="123"/>
      <c r="BX798" s="123"/>
      <c r="BY798" s="123"/>
      <c r="CA798" s="0" t="s">
        <v>7340</v>
      </c>
      <c r="CD798" s="0" t="s">
        <v>556</v>
      </c>
      <c r="CE798" s="0" t="n">
        <v>0</v>
      </c>
      <c r="CF798" s="0" t="s">
        <v>7341</v>
      </c>
      <c r="CI798" s="1" t="n">
        <v>40421</v>
      </c>
      <c r="CJ798" s="1" t="n">
        <v>40616</v>
      </c>
      <c r="CK798" s="124" t="n">
        <v>0.416666666666667</v>
      </c>
      <c r="CL798" s="0" t="s">
        <v>7342</v>
      </c>
      <c r="CM798" s="0" t="n">
        <f aca="false">IF(OR(CI798="",CJ798=""),"",DAYS360(CI798,CJ798)/360)</f>
        <v>0.538888888888889</v>
      </c>
      <c r="CN798" s="0" t="n">
        <f aca="false">IF(OR(CI798="",CJ798=""),"",DAYS360(CI798,CJ798)/30)</f>
        <v>6.46666666666667</v>
      </c>
      <c r="CO798" s="0" t="n">
        <f aca="false">IF(OR(CI798="",CJ798=""),"",DAYS360(CI798,CJ798)/7)</f>
        <v>27.7142857142857</v>
      </c>
      <c r="CP798" s="0" t="n">
        <f aca="false">IF(OR(CI798="",CJ798=""),"",DAYS360(CI798,CJ798))</f>
        <v>194</v>
      </c>
      <c r="CQ798" s="0" t="s">
        <v>240</v>
      </c>
      <c r="CR798" s="0" t="n">
        <v>1</v>
      </c>
      <c r="CT798" s="0" t="s">
        <v>221</v>
      </c>
      <c r="CU798" s="0" t="s">
        <v>221</v>
      </c>
      <c r="CV798" s="0" t="str">
        <f aca="false">IF(OR(CT798="",CT798="NO ESPECIFICA",CT798="NO MENCIONA"),"",IF(CU798=0,CT798,IF(CU798=1,CT798/30,IF(CU798=2,CT798/15,IF(CU798=3,CT798/7,"")))))</f>
        <v/>
      </c>
      <c r="CW798" s="125" t="n">
        <v>1066</v>
      </c>
      <c r="CX798" s="0" t="n">
        <v>0</v>
      </c>
      <c r="CY798" s="0" t="n">
        <f aca="false">IF(CW798="","",IF(CX798=0,CW798,IF(CX798=1,CW798/30,IF(CX798=2,CW798/15,IF(CX798=3,CW798/7,CW798)))))</f>
        <v>1066</v>
      </c>
      <c r="CZ798" s="0" t="n">
        <f aca="false">IF(DI798&gt;0,DI798,IF(CY798&gt;0,CY798,IF(CV798&gt;0,CV798,"")))</f>
        <v>1066</v>
      </c>
      <c r="DA798" s="0" t="n">
        <f aca="false">IF(DM798=1,CZ798/8,IF(OR(DM798=2,DM798=4),CZ798/7,IF(DM798=3,CZ798/7.5,"")))</f>
        <v>133.25</v>
      </c>
      <c r="DB798" s="0" t="s">
        <v>216</v>
      </c>
      <c r="DC798" s="0" t="s">
        <v>216</v>
      </c>
      <c r="DD798" s="0" t="s">
        <v>216</v>
      </c>
      <c r="DE798" s="0" t="s">
        <v>216</v>
      </c>
      <c r="DF798" s="0" t="s">
        <v>216</v>
      </c>
      <c r="DG798" s="0" t="s">
        <v>216</v>
      </c>
      <c r="DH798" s="0" t="n">
        <v>0</v>
      </c>
      <c r="DI798" s="126" t="n">
        <v>1066</v>
      </c>
      <c r="DK798" s="0" t="n">
        <v>0</v>
      </c>
      <c r="DM798" s="0" t="n">
        <v>1</v>
      </c>
      <c r="DN798" s="0" t="n">
        <v>50</v>
      </c>
      <c r="DO798" s="0" t="n">
        <v>3</v>
      </c>
      <c r="DP798" s="0" t="n">
        <v>0</v>
      </c>
      <c r="DQ798" s="0" t="n">
        <v>1</v>
      </c>
      <c r="DR798" s="0"/>
      <c r="DS798" s="0" t="n">
        <v>1</v>
      </c>
      <c r="DU798" s="0" t="n">
        <v>1</v>
      </c>
      <c r="DW798" s="1" t="n">
        <v>40421</v>
      </c>
      <c r="DX798" s="1" t="n">
        <v>40616</v>
      </c>
      <c r="DZ798" s="0"/>
      <c r="EA798" s="0" t="n">
        <v>1</v>
      </c>
      <c r="EC798" s="1" t="n">
        <v>40421</v>
      </c>
      <c r="ED798" s="1" t="n">
        <v>40616</v>
      </c>
      <c r="EF798" s="0"/>
      <c r="EG798" s="0" t="n">
        <v>0</v>
      </c>
      <c r="EI798" s="0" t="n">
        <f aca="false">IF(AND(DM798=1,DN798&lt;=48),"",IF(AND(DM798=2,DN798&lt;=42),"",IF(AND(DM798=3,DN798&lt;=45),"",EH798)))</f>
        <v>0</v>
      </c>
      <c r="EJ798" s="0" t="str">
        <f aca="false">IF(EI798="","",IF(EI798&lt;9,EI798,9))</f>
        <v/>
      </c>
      <c r="EK798" s="0" t="str">
        <f aca="false">IF(EI798="","",IF(EI798&gt;9,EI798-EJ798,0))</f>
        <v/>
      </c>
      <c r="EL798" s="0" t="str">
        <f aca="false">IF(EI798="","",EJ798*DA798*2+EK798*DA798*3)</f>
        <v/>
      </c>
      <c r="EP798" s="0" t="n">
        <v>0</v>
      </c>
      <c r="EQ798" s="0"/>
      <c r="ER798" s="0" t="n">
        <v>0</v>
      </c>
      <c r="ET798" s="0" t="n">
        <v>0</v>
      </c>
      <c r="EV798" s="0" t="n">
        <v>0</v>
      </c>
      <c r="EX798" s="0" t="n">
        <v>1</v>
      </c>
      <c r="EY798" s="0" t="n">
        <v>1</v>
      </c>
      <c r="EZ798" s="0"/>
      <c r="FA798" s="0"/>
      <c r="FB798" s="0" t="n">
        <v>1</v>
      </c>
      <c r="FC798" s="1" t="n">
        <v>40965</v>
      </c>
      <c r="FD798" s="0" t="n">
        <v>1</v>
      </c>
      <c r="FE798" s="0" t="n">
        <v>70000</v>
      </c>
      <c r="FF798" s="120" t="n">
        <f aca="false">(CJ798-CI798+1)/365</f>
        <v>0.536986301369863</v>
      </c>
      <c r="FG798" s="0" t="str">
        <f aca="false">CONCATENATE(F798,"/",G798)</f>
        <v>812/2011</v>
      </c>
      <c r="FH798" s="0" t="n">
        <v>1</v>
      </c>
      <c r="FI798" s="0" t="n">
        <f aca="false">IFERROR(IF((FC798-J798+1)/365&gt;3,0,1),"")</f>
        <v>1</v>
      </c>
    </row>
    <row r="799" customFormat="false" ht="15" hidden="false" customHeight="false" outlineLevel="0" collapsed="false">
      <c r="A799" s="5" t="str">
        <f aca="false">E799&amp;G799&amp;F799</f>
        <v>72011814</v>
      </c>
      <c r="B799" s="0" t="s">
        <v>7298</v>
      </c>
      <c r="C799" s="1" t="n">
        <v>42366</v>
      </c>
      <c r="E799" s="0" t="n">
        <v>7</v>
      </c>
      <c r="F799" s="0" t="n">
        <v>814</v>
      </c>
      <c r="G799" s="0" t="n">
        <v>2011</v>
      </c>
      <c r="H799" s="0" t="str">
        <f aca="false">"J"&amp;E799&amp;"\"&amp;F799&amp;"\"&amp;G799&amp;"\"&amp;W799</f>
        <v>J7\814\2011\1</v>
      </c>
      <c r="I799" s="0"/>
      <c r="J799" s="1" t="n">
        <v>40672</v>
      </c>
      <c r="M799" s="1"/>
      <c r="N799" s="1"/>
      <c r="O799" s="1"/>
      <c r="P799" s="1"/>
      <c r="Q799" s="1"/>
      <c r="T799" s="121"/>
      <c r="U799" s="121"/>
      <c r="V799" s="122" t="n">
        <f aca="false">IF(AND(E799&gt;0,F799&gt;0,G799&gt;0),COUNTIFS($E:$E,E799,$F:$F,F799,$G:$G,G799),"")</f>
        <v>1</v>
      </c>
      <c r="W799" s="122" t="n">
        <f aca="false">IF(V799="","",IF(V799=1,1,IF(AND(E798=E799,F798=F799,G798=G799),W798+1,1)))</f>
        <v>1</v>
      </c>
      <c r="X799" s="0" t="n">
        <v>1</v>
      </c>
      <c r="Y799" s="0" t="n">
        <v>7</v>
      </c>
      <c r="Z799" s="0" t="s">
        <v>7343</v>
      </c>
      <c r="AA799" s="0" t="n">
        <v>0</v>
      </c>
      <c r="AB799" s="0" t="s">
        <v>7344</v>
      </c>
      <c r="AC799" s="0" t="s">
        <v>7345</v>
      </c>
      <c r="AD799" s="0" t="s">
        <v>2206</v>
      </c>
      <c r="AE799" s="0" t="n">
        <v>0</v>
      </c>
      <c r="AF799" s="0" t="s">
        <v>7346</v>
      </c>
      <c r="AG799" s="0" t="n">
        <v>0</v>
      </c>
      <c r="AH799" s="0" t="s">
        <v>7347</v>
      </c>
      <c r="AI799" s="0" t="s">
        <v>7348</v>
      </c>
      <c r="AJ799" s="0" t="s">
        <v>2236</v>
      </c>
      <c r="AL799" s="0" t="s">
        <v>7349</v>
      </c>
      <c r="AM799" s="0" t="n">
        <v>1</v>
      </c>
      <c r="AN799" s="0" t="s">
        <v>7347</v>
      </c>
      <c r="AO799" s="0" t="s">
        <v>7348</v>
      </c>
      <c r="AP799" s="0" t="s">
        <v>2236</v>
      </c>
      <c r="AR799" s="0" t="s">
        <v>7350</v>
      </c>
      <c r="AS799" s="0" t="n">
        <v>1</v>
      </c>
      <c r="AT799" s="0" t="s">
        <v>7347</v>
      </c>
      <c r="AU799" s="0" t="s">
        <v>7348</v>
      </c>
      <c r="AV799" s="0" t="s">
        <v>2236</v>
      </c>
      <c r="AX799" s="0" t="s">
        <v>7351</v>
      </c>
      <c r="AY799" s="0" t="n">
        <v>1</v>
      </c>
      <c r="AZ799" s="0" t="s">
        <v>7347</v>
      </c>
      <c r="BA799" s="0" t="s">
        <v>7348</v>
      </c>
      <c r="BB799" s="0" t="s">
        <v>2236</v>
      </c>
      <c r="BD799" s="0" t="s">
        <v>7352</v>
      </c>
      <c r="BE799" s="0" t="n">
        <v>0</v>
      </c>
      <c r="BF799" s="0" t="s">
        <v>7353</v>
      </c>
      <c r="BG799" s="0" t="s">
        <v>760</v>
      </c>
      <c r="BH799" s="0" t="s">
        <v>5892</v>
      </c>
      <c r="BJ799" s="0" t="s">
        <v>7354</v>
      </c>
      <c r="BK799" s="0" t="n">
        <v>1</v>
      </c>
      <c r="BL799" s="0" t="s">
        <v>7353</v>
      </c>
      <c r="BM799" s="0" t="s">
        <v>760</v>
      </c>
      <c r="BN799" s="0" t="s">
        <v>5892</v>
      </c>
      <c r="BR799" s="0" t="n">
        <v>1</v>
      </c>
      <c r="BS799" s="0" t="s">
        <v>7355</v>
      </c>
      <c r="BT799" s="0" t="s">
        <v>7356</v>
      </c>
      <c r="BU799" s="0" t="s">
        <v>7357</v>
      </c>
      <c r="BV799" s="123"/>
      <c r="BW799" s="123"/>
      <c r="BX799" s="123"/>
      <c r="BY799" s="123"/>
      <c r="CA799" s="0" t="s">
        <v>216</v>
      </c>
      <c r="CD799" s="0" t="s">
        <v>296</v>
      </c>
      <c r="CE799" s="0" t="n">
        <v>0</v>
      </c>
      <c r="CF799" s="0" t="s">
        <v>4710</v>
      </c>
      <c r="CI799" s="1" t="n">
        <v>39845</v>
      </c>
      <c r="CJ799" s="1" t="n">
        <v>40665</v>
      </c>
      <c r="CK799" s="124" t="n">
        <v>0.375</v>
      </c>
      <c r="CL799" s="0" t="s">
        <v>7350</v>
      </c>
      <c r="CM799" s="0" t="n">
        <f aca="false">IF(OR(CI799="",CJ799=""),"",DAYS360(CI799,CJ799)/360)</f>
        <v>2.25277777777778</v>
      </c>
      <c r="CN799" s="0" t="n">
        <f aca="false">IF(OR(CI799="",CJ799=""),"",DAYS360(CI799,CJ799)/30)</f>
        <v>27.0333333333333</v>
      </c>
      <c r="CO799" s="0" t="n">
        <f aca="false">IF(OR(CI799="",CJ799=""),"",DAYS360(CI799,CJ799)/7)</f>
        <v>115.857142857143</v>
      </c>
      <c r="CP799" s="0" t="n">
        <f aca="false">IF(OR(CI799="",CJ799=""),"",DAYS360(CI799,CJ799))</f>
        <v>811</v>
      </c>
      <c r="CQ799" s="0" t="s">
        <v>240</v>
      </c>
      <c r="CR799" s="0" t="n">
        <v>1</v>
      </c>
      <c r="CT799" s="0" t="s">
        <v>221</v>
      </c>
      <c r="CU799" s="0" t="s">
        <v>221</v>
      </c>
      <c r="CV799" s="0" t="str">
        <f aca="false">IF(OR(CT799="",CT799="NO ESPECIFICA",CT799="NO MENCIONA"),"",IF(CU799=0,CT799,IF(CU799=1,CT799/30,IF(CU799=2,CT799/15,IF(CU799=3,CT799/7,"")))))</f>
        <v/>
      </c>
      <c r="CW799" s="125" t="n">
        <v>215.93</v>
      </c>
      <c r="CX799" s="0" t="n">
        <v>0</v>
      </c>
      <c r="CY799" s="0" t="n">
        <f aca="false">IF(CW799="","",IF(CX799=0,CW799,IF(CX799=1,CW799/30,IF(CX799=2,CW799/15,IF(CX799=3,CW799/7,CW799)))))</f>
        <v>215.93</v>
      </c>
      <c r="CZ799" s="0" t="n">
        <f aca="false">IF(DI799&gt;0,DI799,IF(CY799&gt;0,CY799,IF(CV799&gt;0,CV799,"")))</f>
        <v>215.93</v>
      </c>
      <c r="DA799" s="0" t="n">
        <f aca="false">IF(DM799=1,CZ799/8,IF(OR(DM799=2,DM799=4),CZ799/7,IF(DM799=3,CZ799/7.5,"")))</f>
        <v>26.99125</v>
      </c>
      <c r="DB799" s="0" t="s">
        <v>216</v>
      </c>
      <c r="DC799" s="0" t="s">
        <v>216</v>
      </c>
      <c r="DD799" s="0" t="s">
        <v>216</v>
      </c>
      <c r="DE799" s="0" t="s">
        <v>216</v>
      </c>
      <c r="DF799" s="0" t="s">
        <v>216</v>
      </c>
      <c r="DG799" s="0" t="s">
        <v>216</v>
      </c>
      <c r="DH799" s="0" t="n">
        <v>0</v>
      </c>
      <c r="DI799" s="126" t="n">
        <v>215.93</v>
      </c>
      <c r="DK799" s="0" t="n">
        <v>1</v>
      </c>
      <c r="DM799" s="0" t="n">
        <v>1</v>
      </c>
      <c r="DN799" s="0" t="n">
        <v>45</v>
      </c>
      <c r="DO799" s="0" t="n">
        <v>3</v>
      </c>
      <c r="DP799" s="0" t="n">
        <v>0</v>
      </c>
      <c r="DQ799" s="0" t="n">
        <v>1</v>
      </c>
      <c r="DR799" s="0"/>
      <c r="DS799" s="0" t="n">
        <v>1</v>
      </c>
      <c r="DU799" s="0" t="n">
        <v>1</v>
      </c>
      <c r="DW799" s="1" t="n">
        <v>40210</v>
      </c>
      <c r="DX799" s="1" t="n">
        <v>40665</v>
      </c>
      <c r="DZ799" s="0"/>
      <c r="EA799" s="0" t="n">
        <v>1</v>
      </c>
      <c r="EC799" s="1" t="n">
        <v>40179</v>
      </c>
      <c r="ED799" s="1" t="n">
        <v>40665</v>
      </c>
      <c r="EF799" s="0"/>
      <c r="EG799" s="0" t="n">
        <v>0</v>
      </c>
      <c r="EI799" s="0" t="str">
        <f aca="false">IF(AND(DM799=1,DN799&lt;=48),"",IF(AND(DM799=2,DN799&lt;=42),"",IF(AND(DM799=3,DN799&lt;=45),"",EH799)))</f>
        <v/>
      </c>
      <c r="EJ799" s="0" t="str">
        <f aca="false">IF(EI799="","",IF(EI799&lt;9,EI799,9))</f>
        <v/>
      </c>
      <c r="EK799" s="0" t="str">
        <f aca="false">IF(EI799="","",IF(EI799&gt;9,EI799-EJ799,0))</f>
        <v/>
      </c>
      <c r="EL799" s="0" t="str">
        <f aca="false">IF(EI799="","",EJ799*DA799*2+EK799*DA799*3)</f>
        <v/>
      </c>
      <c r="EP799" s="0" t="n">
        <v>0</v>
      </c>
      <c r="EQ799" s="0"/>
      <c r="ER799" s="0" t="n">
        <v>0</v>
      </c>
      <c r="ET799" s="0" t="n">
        <v>0</v>
      </c>
      <c r="EV799" s="0" t="n">
        <v>1</v>
      </c>
      <c r="EX799" s="0" t="n">
        <v>1</v>
      </c>
      <c r="EY799" s="0" t="n">
        <v>0</v>
      </c>
      <c r="EZ799" s="0"/>
      <c r="FA799" s="0"/>
      <c r="FB799" s="0" t="n">
        <v>1</v>
      </c>
      <c r="FC799" s="1" t="n">
        <v>41466</v>
      </c>
      <c r="FD799" s="0" t="n">
        <v>1</v>
      </c>
      <c r="FE799" s="0" t="n">
        <v>17000</v>
      </c>
      <c r="FF799" s="120" t="n">
        <f aca="false">(CJ799-CI799+1)/365</f>
        <v>2.24931506849315</v>
      </c>
      <c r="FG799" s="0" t="str">
        <f aca="false">CONCATENATE(F799,"/",G799)</f>
        <v>814/2011</v>
      </c>
      <c r="FH799" s="0" t="n">
        <v>1</v>
      </c>
      <c r="FI799" s="0" t="n">
        <f aca="false">IFERROR(IF((FC799-J799+1)/365&gt;3,0,1),"")</f>
        <v>1</v>
      </c>
    </row>
    <row r="800" customFormat="false" ht="15" hidden="false" customHeight="false" outlineLevel="0" collapsed="false">
      <c r="A800" s="5" t="str">
        <f aca="false">E800&amp;G800&amp;F800</f>
        <v>72011815</v>
      </c>
      <c r="B800" s="0" t="s">
        <v>7298</v>
      </c>
      <c r="C800" s="1" t="n">
        <v>42366</v>
      </c>
      <c r="E800" s="0" t="n">
        <v>7</v>
      </c>
      <c r="F800" s="0" t="n">
        <v>815</v>
      </c>
      <c r="G800" s="0" t="n">
        <v>2011</v>
      </c>
      <c r="H800" s="0" t="str">
        <f aca="false">"J"&amp;E800&amp;"\"&amp;F800&amp;"\"&amp;G800&amp;"\"&amp;W800</f>
        <v>J7\815\2011\1</v>
      </c>
      <c r="I800" s="0"/>
      <c r="J800" s="1" t="n">
        <v>40672</v>
      </c>
      <c r="M800" s="1" t="n">
        <v>40672</v>
      </c>
      <c r="N800" s="1" t="n">
        <v>40809</v>
      </c>
      <c r="O800" s="1"/>
      <c r="P800" s="1"/>
      <c r="Q800" s="1"/>
      <c r="T800" s="121"/>
      <c r="U800" s="121"/>
      <c r="V800" s="122" t="n">
        <f aca="false">IF(AND(E800&gt;0,F800&gt;0,G800&gt;0),COUNTIFS($E:$E,E800,$F:$F,F800,$G:$G,G800),"")</f>
        <v>1</v>
      </c>
      <c r="W800" s="122" t="n">
        <f aca="false">IF(V800="","",IF(V800=1,1,IF(AND(E799=E800,F799=F800,G799=G800),W799+1,1)))</f>
        <v>1</v>
      </c>
      <c r="X800" s="0" t="n">
        <v>1</v>
      </c>
      <c r="Y800" s="0" t="n">
        <v>2</v>
      </c>
      <c r="Z800" s="0" t="s">
        <v>7358</v>
      </c>
      <c r="AA800" s="0" t="n">
        <v>0</v>
      </c>
      <c r="AB800" s="0" t="s">
        <v>7359</v>
      </c>
      <c r="AC800" s="0" t="s">
        <v>438</v>
      </c>
      <c r="AD800" s="0" t="s">
        <v>216</v>
      </c>
      <c r="AE800" s="0" t="n">
        <v>0</v>
      </c>
      <c r="AF800" s="0" t="s">
        <v>7360</v>
      </c>
      <c r="AG800" s="0" t="n">
        <v>0</v>
      </c>
      <c r="AH800" s="0" t="s">
        <v>7361</v>
      </c>
      <c r="AI800" s="0" t="s">
        <v>618</v>
      </c>
      <c r="AJ800" s="0" t="s">
        <v>216</v>
      </c>
      <c r="AL800" s="0" t="s">
        <v>7362</v>
      </c>
      <c r="AM800" s="0" t="n">
        <v>1</v>
      </c>
      <c r="AN800" s="0" t="s">
        <v>7361</v>
      </c>
      <c r="AO800" s="0" t="s">
        <v>618</v>
      </c>
      <c r="AP800" s="0" t="s">
        <v>216</v>
      </c>
      <c r="BR800" s="0" t="n">
        <v>1</v>
      </c>
      <c r="BS800" s="0" t="s">
        <v>7363</v>
      </c>
      <c r="BT800" s="0" t="s">
        <v>7364</v>
      </c>
      <c r="BU800" s="0" t="s">
        <v>7365</v>
      </c>
      <c r="BV800" s="123"/>
      <c r="BW800" s="123"/>
      <c r="BX800" s="123"/>
      <c r="BY800" s="123"/>
      <c r="CA800" s="0" t="s">
        <v>7366</v>
      </c>
      <c r="CD800" s="0" t="s">
        <v>216</v>
      </c>
      <c r="CE800" s="0" t="n">
        <v>0</v>
      </c>
      <c r="CF800" s="0" t="s">
        <v>1249</v>
      </c>
      <c r="CI800" s="1" t="n">
        <v>40311</v>
      </c>
      <c r="CJ800" s="1" t="n">
        <v>40619</v>
      </c>
      <c r="CK800" s="124" t="n">
        <v>0.791666666666667</v>
      </c>
      <c r="CL800" s="0" t="s">
        <v>7367</v>
      </c>
      <c r="CM800" s="0" t="n">
        <f aca="false">IF(OR(CI800="",CJ800=""),"",DAYS360(CI800,CJ800)/360)</f>
        <v>0.844444444444444</v>
      </c>
      <c r="CN800" s="0" t="n">
        <f aca="false">IF(OR(CI800="",CJ800=""),"",DAYS360(CI800,CJ800)/30)</f>
        <v>10.1333333333333</v>
      </c>
      <c r="CO800" s="0" t="n">
        <f aca="false">IF(OR(CI800="",CJ800=""),"",DAYS360(CI800,CJ800)/7)</f>
        <v>43.4285714285714</v>
      </c>
      <c r="CP800" s="0" t="n">
        <f aca="false">IF(OR(CI800="",CJ800=""),"",DAYS360(CI800,CJ800))</f>
        <v>304</v>
      </c>
      <c r="CQ800" s="0" t="s">
        <v>240</v>
      </c>
      <c r="CR800" s="0" t="n">
        <v>1</v>
      </c>
      <c r="CT800" s="0" t="s">
        <v>221</v>
      </c>
      <c r="CU800" s="0" t="s">
        <v>221</v>
      </c>
      <c r="CV800" s="0" t="str">
        <f aca="false">IF(OR(CT800="",CT800="NO ESPECIFICA",CT800="NO MENCIONA"),"",IF(CU800=0,CT800,IF(CU800=1,CT800/30,IF(CU800=2,CT800/15,IF(CU800=3,CT800/7,"")))))</f>
        <v/>
      </c>
      <c r="CW800" s="125" t="n">
        <v>3500</v>
      </c>
      <c r="CX800" s="0" t="n">
        <v>3</v>
      </c>
      <c r="CY800" s="0" t="n">
        <f aca="false">IF(CW800="","",IF(CX800=0,CW800,IF(CX800=1,CW800/30,IF(CX800=2,CW800/15,IF(CX800=3,CW800/7,CW800)))))</f>
        <v>500</v>
      </c>
      <c r="CZ800" s="0" t="n">
        <f aca="false">IF(DI800&gt;0,DI800,IF(CY800&gt;0,CY800,IF(CV800&gt;0,CV800,"")))</f>
        <v>871.42</v>
      </c>
      <c r="DA800" s="0" t="n">
        <f aca="false">IF(DM800=1,CZ800/8,IF(OR(DM800=2,DM800=4),CZ800/7,IF(DM800=3,CZ800/7.5,"")))</f>
        <v>108.9275</v>
      </c>
      <c r="DB800" s="0" t="s">
        <v>1582</v>
      </c>
      <c r="DC800" s="0" t="s">
        <v>374</v>
      </c>
      <c r="DD800" s="0" t="s">
        <v>1520</v>
      </c>
      <c r="DE800" s="0" t="s">
        <v>216</v>
      </c>
      <c r="DF800" s="0" t="s">
        <v>216</v>
      </c>
      <c r="DG800" s="0" t="s">
        <v>216</v>
      </c>
      <c r="DH800" s="0" t="n">
        <v>0</v>
      </c>
      <c r="DI800" s="126" t="n">
        <v>871.42</v>
      </c>
      <c r="DK800" s="0" t="n">
        <v>0</v>
      </c>
      <c r="DM800" s="0" t="n">
        <v>1</v>
      </c>
      <c r="DN800" s="0" t="n">
        <v>55</v>
      </c>
      <c r="DO800" s="0" t="n">
        <v>3</v>
      </c>
      <c r="DP800" s="0" t="n">
        <v>0</v>
      </c>
      <c r="DQ800" s="0" t="n">
        <v>1</v>
      </c>
      <c r="DR800" s="0"/>
      <c r="DS800" s="0" t="n">
        <v>1</v>
      </c>
      <c r="DU800" s="0" t="n">
        <v>1</v>
      </c>
      <c r="DW800" s="1" t="n">
        <v>40311</v>
      </c>
      <c r="DX800" s="1" t="n">
        <v>40619</v>
      </c>
      <c r="DZ800" s="0"/>
      <c r="EA800" s="0" t="n">
        <v>1</v>
      </c>
      <c r="EC800" s="1" t="n">
        <v>40311</v>
      </c>
      <c r="ED800" s="1" t="n">
        <v>40619</v>
      </c>
      <c r="EF800" s="0"/>
      <c r="EG800" s="0" t="n">
        <v>1</v>
      </c>
      <c r="EH800" s="0" t="n">
        <v>15</v>
      </c>
      <c r="EI800" s="0" t="n">
        <f aca="false">IF(AND(DM800=1,DN800&lt;=48),"",IF(AND(DM800=2,DN800&lt;=42),"",IF(AND(DM800=3,DN800&lt;=45),"",EH800)))</f>
        <v>15</v>
      </c>
      <c r="EJ800" s="0" t="n">
        <f aca="false">IF(EI800="","",IF(EI800&lt;9,EI800,9))</f>
        <v>9</v>
      </c>
      <c r="EK800" s="0" t="n">
        <f aca="false">IF(EI800="","",IF(EI800&gt;9,EI800-EJ800,0))</f>
        <v>6</v>
      </c>
      <c r="EL800" s="0" t="n">
        <f aca="false">IF(EI800="","",EJ800*DA800*2+EK800*DA800*3)</f>
        <v>3921.39</v>
      </c>
      <c r="EP800" s="0" t="n">
        <v>1</v>
      </c>
      <c r="EQ800" s="0"/>
      <c r="ER800" s="0" t="n">
        <v>0</v>
      </c>
      <c r="ET800" s="0" t="n">
        <v>0</v>
      </c>
      <c r="EV800" s="0" t="n">
        <v>0</v>
      </c>
      <c r="EX800" s="0" t="n">
        <v>0</v>
      </c>
      <c r="EY800" s="0" t="n">
        <v>1</v>
      </c>
      <c r="EZ800" s="0"/>
      <c r="FA800" s="4" t="n">
        <v>13071.42</v>
      </c>
      <c r="FB800" s="0" t="n">
        <v>1</v>
      </c>
      <c r="FC800" s="1" t="n">
        <v>41807</v>
      </c>
      <c r="FD800" s="0" t="n">
        <v>1</v>
      </c>
      <c r="FE800" s="0" t="n">
        <v>7000</v>
      </c>
      <c r="FF800" s="120" t="n">
        <f aca="false">(CJ800-CI800+1)/365</f>
        <v>0.846575342465753</v>
      </c>
      <c r="FG800" s="0" t="str">
        <f aca="false">CONCATENATE(F800,"/",G800)</f>
        <v>815/2011</v>
      </c>
      <c r="FH800" s="0" t="n">
        <v>1</v>
      </c>
      <c r="FI800" s="0" t="n">
        <f aca="false">IFERROR(IF((FC800-J800+1)/365&gt;3,0,1),"")</f>
        <v>0</v>
      </c>
    </row>
    <row r="801" customFormat="false" ht="15" hidden="false" customHeight="false" outlineLevel="0" collapsed="false">
      <c r="A801" s="5" t="str">
        <f aca="false">E801&amp;G801&amp;F801</f>
        <v>72011828</v>
      </c>
      <c r="B801" s="0" t="s">
        <v>7298</v>
      </c>
      <c r="C801" s="1" t="n">
        <v>42366</v>
      </c>
      <c r="E801" s="0" t="n">
        <v>7</v>
      </c>
      <c r="F801" s="0" t="n">
        <v>828</v>
      </c>
      <c r="G801" s="0" t="n">
        <v>2011</v>
      </c>
      <c r="H801" s="0" t="str">
        <f aca="false">"J"&amp;E801&amp;"\"&amp;F801&amp;"\"&amp;G801&amp;"\"&amp;W801</f>
        <v>J7\828\2011\1</v>
      </c>
      <c r="I801" s="0"/>
      <c r="J801" s="1" t="n">
        <v>40674</v>
      </c>
      <c r="M801" s="1"/>
      <c r="N801" s="1"/>
      <c r="O801" s="1"/>
      <c r="P801" s="1"/>
      <c r="Q801" s="1"/>
      <c r="T801" s="121"/>
      <c r="U801" s="121"/>
      <c r="V801" s="122" t="n">
        <f aca="false">IF(AND(E801&gt;0,F801&gt;0,G801&gt;0),COUNTIFS($E:$E,E801,$F:$F,F801,$G:$G,G801),"")</f>
        <v>1</v>
      </c>
      <c r="W801" s="122" t="n">
        <f aca="false">IF(V801="","",IF(V801=1,1,IF(AND(E800=E801,F800=F801,G800=G801),W800+1,1)))</f>
        <v>1</v>
      </c>
      <c r="X801" s="0" t="n">
        <v>1</v>
      </c>
      <c r="Y801" s="0" t="n">
        <v>5</v>
      </c>
      <c r="Z801" s="0" t="s">
        <v>7368</v>
      </c>
      <c r="AA801" s="0" t="n">
        <v>0</v>
      </c>
      <c r="AB801" s="0" t="s">
        <v>3399</v>
      </c>
      <c r="AC801" s="0" t="s">
        <v>789</v>
      </c>
      <c r="AD801" s="0" t="s">
        <v>1160</v>
      </c>
      <c r="AE801" s="0" t="n">
        <v>0</v>
      </c>
      <c r="AF801" s="0" t="s">
        <v>7369</v>
      </c>
      <c r="AG801" s="0" t="n">
        <v>0</v>
      </c>
      <c r="AH801" s="0" t="s">
        <v>7370</v>
      </c>
      <c r="AI801" s="0" t="s">
        <v>7371</v>
      </c>
      <c r="AJ801" s="0" t="s">
        <v>5607</v>
      </c>
      <c r="AL801" s="0" t="s">
        <v>213</v>
      </c>
      <c r="AM801" s="0" t="n">
        <v>1</v>
      </c>
      <c r="AN801" s="0" t="s">
        <v>7370</v>
      </c>
      <c r="AO801" s="0" t="s">
        <v>7371</v>
      </c>
      <c r="AP801" s="0" t="s">
        <v>5607</v>
      </c>
      <c r="AR801" s="0" t="s">
        <v>249</v>
      </c>
      <c r="AS801" s="0" t="n">
        <v>0</v>
      </c>
      <c r="AT801" s="0" t="s">
        <v>7372</v>
      </c>
      <c r="AU801" s="0" t="s">
        <v>410</v>
      </c>
      <c r="AV801" s="0" t="s">
        <v>5607</v>
      </c>
      <c r="AX801" s="0" t="s">
        <v>412</v>
      </c>
      <c r="AY801" s="0" t="n">
        <v>0</v>
      </c>
      <c r="AZ801" s="0" t="s">
        <v>7373</v>
      </c>
      <c r="BA801" s="0" t="s">
        <v>438</v>
      </c>
      <c r="BB801" s="0" t="s">
        <v>2340</v>
      </c>
      <c r="BD801" s="0" t="s">
        <v>4643</v>
      </c>
      <c r="BE801" s="0" t="n">
        <v>0</v>
      </c>
      <c r="BF801" s="0" t="s">
        <v>7374</v>
      </c>
      <c r="BG801" s="0" t="s">
        <v>404</v>
      </c>
      <c r="BH801" s="0" t="s">
        <v>1160</v>
      </c>
      <c r="BR801" s="0" t="n">
        <v>1</v>
      </c>
      <c r="BS801" s="0" t="s">
        <v>3402</v>
      </c>
      <c r="BT801" s="0" t="s">
        <v>3403</v>
      </c>
      <c r="BU801" s="0" t="s">
        <v>2115</v>
      </c>
      <c r="BV801" s="123"/>
      <c r="BW801" s="123"/>
      <c r="BX801" s="123"/>
      <c r="BY801" s="123"/>
      <c r="CA801" s="0" t="s">
        <v>2116</v>
      </c>
      <c r="CD801" s="0" t="s">
        <v>216</v>
      </c>
      <c r="CE801" s="0" t="n">
        <v>0</v>
      </c>
      <c r="CF801" s="0" t="s">
        <v>2314</v>
      </c>
      <c r="CI801" s="1" t="n">
        <v>40264</v>
      </c>
      <c r="CJ801" s="1" t="n">
        <v>40658</v>
      </c>
      <c r="CK801" s="124" t="n">
        <v>0.416666666666667</v>
      </c>
      <c r="CL801" s="0" t="s">
        <v>7375</v>
      </c>
      <c r="CM801" s="0" t="n">
        <f aca="false">IF(OR(CI801="",CJ801=""),"",DAYS360(CI801,CJ801)/360)</f>
        <v>1.07777777777778</v>
      </c>
      <c r="CN801" s="0" t="n">
        <f aca="false">IF(OR(CI801="",CJ801=""),"",DAYS360(CI801,CJ801)/30)</f>
        <v>12.9333333333333</v>
      </c>
      <c r="CO801" s="0" t="n">
        <f aca="false">IF(OR(CI801="",CJ801=""),"",DAYS360(CI801,CJ801)/7)</f>
        <v>55.4285714285714</v>
      </c>
      <c r="CP801" s="0" t="n">
        <f aca="false">IF(OR(CI801="",CJ801=""),"",DAYS360(CI801,CJ801))</f>
        <v>388</v>
      </c>
      <c r="CQ801" s="0" t="s">
        <v>240</v>
      </c>
      <c r="CR801" s="0" t="n">
        <v>1</v>
      </c>
      <c r="CT801" s="0" t="s">
        <v>221</v>
      </c>
      <c r="CU801" s="0" t="s">
        <v>221</v>
      </c>
      <c r="CV801" s="0" t="str">
        <f aca="false">IF(OR(CT801="",CT801="NO ESPECIFICA",CT801="NO MENCIONA"),"",IF(CU801=0,CT801,IF(CU801=1,CT801/30,IF(CU801=2,CT801/15,IF(CU801=3,CT801/7,"")))))</f>
        <v/>
      </c>
      <c r="CW801" s="125" t="n">
        <v>800</v>
      </c>
      <c r="CX801" s="0" t="n">
        <v>0</v>
      </c>
      <c r="CY801" s="0" t="n">
        <f aca="false">IF(CW801="","",IF(CX801=0,CW801,IF(CX801=1,CW801/30,IF(CX801=2,CW801/15,IF(CX801=3,CW801/7,CW801)))))</f>
        <v>800</v>
      </c>
      <c r="CZ801" s="0" t="n">
        <f aca="false">IF(DI801&gt;0,DI801,IF(CY801&gt;0,CY801,IF(CV801&gt;0,CV801,"")))</f>
        <v>800</v>
      </c>
      <c r="DA801" s="0" t="n">
        <f aca="false">IF(DM801=1,CZ801/8,IF(OR(DM801=2,DM801=4),CZ801/7,IF(DM801=3,CZ801/7.5,"")))</f>
        <v>100</v>
      </c>
      <c r="DB801" s="0" t="s">
        <v>216</v>
      </c>
      <c r="DC801" s="0" t="s">
        <v>216</v>
      </c>
      <c r="DD801" s="0" t="s">
        <v>216</v>
      </c>
      <c r="DE801" s="0" t="s">
        <v>216</v>
      </c>
      <c r="DF801" s="0" t="s">
        <v>216</v>
      </c>
      <c r="DG801" s="0" t="s">
        <v>216</v>
      </c>
      <c r="DH801" s="0" t="n">
        <v>0</v>
      </c>
      <c r="DI801" s="126" t="n">
        <v>800</v>
      </c>
      <c r="DK801" s="0" t="n">
        <v>0</v>
      </c>
      <c r="DM801" s="0" t="n">
        <v>1</v>
      </c>
      <c r="DN801" s="0" t="n">
        <v>60</v>
      </c>
      <c r="DO801" s="0" t="n">
        <v>3</v>
      </c>
      <c r="DP801" s="0" t="n">
        <v>0</v>
      </c>
      <c r="DQ801" s="0" t="n">
        <v>1</v>
      </c>
      <c r="DR801" s="0" t="n">
        <v>72000</v>
      </c>
      <c r="DS801" s="0" t="n">
        <v>1</v>
      </c>
      <c r="DU801" s="0" t="n">
        <v>1</v>
      </c>
      <c r="DW801" s="1" t="s">
        <v>216</v>
      </c>
      <c r="DX801" s="1" t="s">
        <v>216</v>
      </c>
      <c r="DY801" s="0" t="s">
        <v>216</v>
      </c>
      <c r="DZ801" s="0" t="s">
        <v>216</v>
      </c>
      <c r="EA801" s="0" t="n">
        <v>0</v>
      </c>
      <c r="EC801" s="1" t="s">
        <v>216</v>
      </c>
      <c r="ED801" s="1" t="s">
        <v>216</v>
      </c>
      <c r="EE801" s="0" t="s">
        <v>216</v>
      </c>
      <c r="EF801" s="0" t="s">
        <v>216</v>
      </c>
      <c r="EG801" s="0" t="n">
        <v>1</v>
      </c>
      <c r="EH801" s="0" t="n">
        <v>9</v>
      </c>
      <c r="EI801" s="0" t="n">
        <f aca="false">IF(AND(DM801=1,DN801&lt;=48),"",IF(AND(DM801=2,DN801&lt;=42),"",IF(AND(DM801=3,DN801&lt;=45),"",EH801)))</f>
        <v>9</v>
      </c>
      <c r="EJ801" s="0" t="n">
        <f aca="false">IF(EI801="","",IF(EI801&lt;9,EI801,9))</f>
        <v>9</v>
      </c>
      <c r="EK801" s="0" t="n">
        <f aca="false">IF(EI801="","",IF(EI801&gt;9,EI801-EJ801,0))</f>
        <v>0</v>
      </c>
      <c r="EL801" s="0" t="n">
        <f aca="false">IF(EI801="","",EJ801*DA801*2+EK801*DA801*3)</f>
        <v>1800</v>
      </c>
      <c r="EN801" s="0" t="n">
        <v>36500</v>
      </c>
      <c r="EP801" s="0" t="n">
        <v>0</v>
      </c>
      <c r="EQ801" s="0"/>
      <c r="ER801" s="0" t="n">
        <v>0</v>
      </c>
      <c r="ET801" s="0" t="n">
        <v>1</v>
      </c>
      <c r="EV801" s="0" t="n">
        <v>1</v>
      </c>
      <c r="EX801" s="0" t="n">
        <v>1</v>
      </c>
      <c r="EY801" s="0" t="n">
        <v>0</v>
      </c>
      <c r="EZ801" s="0"/>
      <c r="FA801" s="4" t="n">
        <v>73000</v>
      </c>
      <c r="FB801" s="0" t="n">
        <v>1</v>
      </c>
      <c r="FC801" s="1" t="n">
        <v>40830</v>
      </c>
      <c r="FD801" s="0" t="n">
        <v>1</v>
      </c>
      <c r="FE801" s="0" t="n">
        <v>25000</v>
      </c>
      <c r="FF801" s="120" t="n">
        <f aca="false">(CJ801-CI801+1)/365</f>
        <v>1.08219178082192</v>
      </c>
      <c r="FG801" s="0" t="str">
        <f aca="false">CONCATENATE(F801,"/",G801)</f>
        <v>828/2011</v>
      </c>
      <c r="FH801" s="0" t="n">
        <v>1</v>
      </c>
      <c r="FI801" s="0" t="n">
        <f aca="false">IFERROR(IF((FC801-J801+1)/365&gt;3,0,1),"")</f>
        <v>1</v>
      </c>
    </row>
    <row r="802" customFormat="false" ht="15" hidden="false" customHeight="false" outlineLevel="0" collapsed="false">
      <c r="A802" s="5" t="str">
        <f aca="false">E802&amp;G802&amp;F802</f>
        <v>72011831</v>
      </c>
      <c r="B802" s="0" t="s">
        <v>7298</v>
      </c>
      <c r="C802" s="1" t="n">
        <v>42366</v>
      </c>
      <c r="E802" s="0" t="n">
        <v>7</v>
      </c>
      <c r="F802" s="0" t="n">
        <v>831</v>
      </c>
      <c r="G802" s="0" t="n">
        <v>2011</v>
      </c>
      <c r="H802" s="0" t="str">
        <f aca="false">"J"&amp;E802&amp;"\"&amp;F802&amp;"\"&amp;G802&amp;"\"&amp;W802</f>
        <v>J7\831\2011\1</v>
      </c>
      <c r="I802" s="0"/>
      <c r="J802" s="1" t="n">
        <v>40675</v>
      </c>
      <c r="M802" s="1"/>
      <c r="N802" s="1"/>
      <c r="O802" s="1"/>
      <c r="P802" s="1"/>
      <c r="Q802" s="1"/>
      <c r="T802" s="121"/>
      <c r="U802" s="121"/>
      <c r="V802" s="122" t="n">
        <f aca="false">IF(AND(E802&gt;0,F802&gt;0,G802&gt;0),COUNTIFS($E:$E,E802,$F:$F,F802,$G:$G,G802),"")</f>
        <v>1</v>
      </c>
      <c r="W802" s="122" t="n">
        <f aca="false">IF(V802="","",IF(V802=1,1,IF(AND(E801=E802,F801=F802,G801=G802),W801+1,1)))</f>
        <v>1</v>
      </c>
      <c r="X802" s="0" t="n">
        <v>1</v>
      </c>
      <c r="Y802" s="0" t="n">
        <v>4</v>
      </c>
      <c r="Z802" s="0" t="s">
        <v>7376</v>
      </c>
      <c r="AA802" s="0" t="n">
        <v>0</v>
      </c>
      <c r="AB802" s="0" t="s">
        <v>7377</v>
      </c>
      <c r="AC802" s="0" t="s">
        <v>7378</v>
      </c>
      <c r="AD802" s="0" t="s">
        <v>5607</v>
      </c>
      <c r="AE802" s="0" t="n">
        <v>0</v>
      </c>
      <c r="AF802" s="0" t="s">
        <v>7379</v>
      </c>
      <c r="AG802" s="0" t="n">
        <v>0</v>
      </c>
      <c r="AH802" s="0" t="s">
        <v>7380</v>
      </c>
      <c r="AI802" s="0" t="s">
        <v>337</v>
      </c>
      <c r="AJ802" s="0" t="s">
        <v>2218</v>
      </c>
      <c r="AL802" s="0" t="s">
        <v>7381</v>
      </c>
      <c r="AM802" s="0" t="n">
        <v>1</v>
      </c>
      <c r="AN802" s="0" t="s">
        <v>7380</v>
      </c>
      <c r="AO802" s="0" t="s">
        <v>337</v>
      </c>
      <c r="AP802" s="0" t="s">
        <v>2218</v>
      </c>
      <c r="AR802" s="0" t="s">
        <v>7382</v>
      </c>
      <c r="AS802" s="0" t="n">
        <v>1</v>
      </c>
      <c r="AT802" s="0" t="s">
        <v>7380</v>
      </c>
      <c r="AU802" s="0" t="s">
        <v>337</v>
      </c>
      <c r="AV802" s="0" t="s">
        <v>2218</v>
      </c>
      <c r="AX802" s="0" t="s">
        <v>213</v>
      </c>
      <c r="AY802" s="0" t="n">
        <v>1</v>
      </c>
      <c r="AZ802" s="0" t="s">
        <v>7380</v>
      </c>
      <c r="BA802" s="0" t="s">
        <v>337</v>
      </c>
      <c r="BB802" s="0" t="s">
        <v>2218</v>
      </c>
      <c r="BR802" s="0" t="n">
        <v>1</v>
      </c>
      <c r="BS802" s="0" t="s">
        <v>7376</v>
      </c>
      <c r="BT802" s="0" t="s">
        <v>7383</v>
      </c>
      <c r="BU802" s="0" t="s">
        <v>7384</v>
      </c>
      <c r="BV802" s="123"/>
      <c r="BW802" s="123"/>
      <c r="BX802" s="123"/>
      <c r="BY802" s="123"/>
      <c r="CA802" s="0" t="s">
        <v>216</v>
      </c>
      <c r="CD802" s="0" t="s">
        <v>256</v>
      </c>
      <c r="CE802" s="0" t="n">
        <v>0</v>
      </c>
      <c r="CF802" s="0" t="s">
        <v>503</v>
      </c>
      <c r="CI802" s="1" t="n">
        <v>39651</v>
      </c>
      <c r="CJ802" s="1" t="n">
        <v>40660</v>
      </c>
      <c r="CK802" s="124" t="n">
        <v>0.479166666666667</v>
      </c>
      <c r="CL802" s="0" t="s">
        <v>7381</v>
      </c>
      <c r="CM802" s="0" t="n">
        <f aca="false">IF(OR(CI802="",CJ802=""),"",DAYS360(CI802,CJ802)/360)</f>
        <v>2.76388888888889</v>
      </c>
      <c r="CN802" s="0" t="n">
        <f aca="false">IF(OR(CI802="",CJ802=""),"",DAYS360(CI802,CJ802)/30)</f>
        <v>33.1666666666667</v>
      </c>
      <c r="CO802" s="0" t="n">
        <f aca="false">IF(OR(CI802="",CJ802=""),"",DAYS360(CI802,CJ802)/7)</f>
        <v>142.142857142857</v>
      </c>
      <c r="CP802" s="0" t="n">
        <f aca="false">IF(OR(CI802="",CJ802=""),"",DAYS360(CI802,CJ802))</f>
        <v>995</v>
      </c>
      <c r="CQ802" s="0" t="s">
        <v>240</v>
      </c>
      <c r="CR802" s="0" t="n">
        <v>1</v>
      </c>
      <c r="CT802" s="0" t="s">
        <v>221</v>
      </c>
      <c r="CU802" s="0" t="s">
        <v>221</v>
      </c>
      <c r="CV802" s="0" t="str">
        <f aca="false">IF(OR(CT802="",CT802="NO ESPECIFICA",CT802="NO MENCIONA"),"",IF(CU802=0,CT802,IF(CU802=1,CT802/30,IF(CU802=2,CT802/15,IF(CU802=3,CT802/7,"")))))</f>
        <v/>
      </c>
      <c r="CW802" s="125" t="n">
        <v>130.87</v>
      </c>
      <c r="CX802" s="0" t="n">
        <v>0</v>
      </c>
      <c r="CY802" s="0" t="n">
        <f aca="false">IF(CW802="","",IF(CX802=0,CW802,IF(CX802=1,CW802/30,IF(CX802=2,CW802/15,IF(CX802=3,CW802/7,CW802)))))</f>
        <v>130.87</v>
      </c>
      <c r="CZ802" s="0" t="n">
        <f aca="false">IF(DI802&gt;0,DI802,IF(CY802&gt;0,CY802,IF(CV802&gt;0,CV802,"")))</f>
        <v>130.87</v>
      </c>
      <c r="DA802" s="0" t="n">
        <f aca="false">IF(DM802=1,CZ802/8,IF(OR(DM802=2,DM802=4),CZ802/7,IF(DM802=3,CZ802/7.5,"")))</f>
        <v>17.4493333333333</v>
      </c>
      <c r="DB802" s="0" t="s">
        <v>216</v>
      </c>
      <c r="DC802" s="0" t="s">
        <v>216</v>
      </c>
      <c r="DD802" s="0" t="s">
        <v>216</v>
      </c>
      <c r="DE802" s="0" t="s">
        <v>216</v>
      </c>
      <c r="DF802" s="0" t="s">
        <v>216</v>
      </c>
      <c r="DG802" s="0" t="s">
        <v>216</v>
      </c>
      <c r="DH802" s="0" t="n">
        <v>0</v>
      </c>
      <c r="DI802" s="126" t="n">
        <v>130.87</v>
      </c>
      <c r="DK802" s="0" t="n">
        <v>0</v>
      </c>
      <c r="DM802" s="0" t="n">
        <v>3</v>
      </c>
      <c r="DN802" s="0" t="n">
        <v>40</v>
      </c>
      <c r="DO802" s="0" t="n">
        <v>3</v>
      </c>
      <c r="DP802" s="0" t="n">
        <v>0</v>
      </c>
      <c r="DQ802" s="0" t="n">
        <v>1</v>
      </c>
      <c r="DR802" s="0"/>
      <c r="DS802" s="0" t="n">
        <v>1</v>
      </c>
      <c r="DU802" s="0" t="n">
        <v>1</v>
      </c>
      <c r="DW802" s="1" t="n">
        <v>40381</v>
      </c>
      <c r="DX802" s="1" t="n">
        <v>40660</v>
      </c>
      <c r="DZ802" s="0"/>
      <c r="EA802" s="0" t="n">
        <v>1</v>
      </c>
      <c r="EC802" s="1" t="n">
        <v>40544</v>
      </c>
      <c r="ED802" s="1" t="n">
        <v>40660</v>
      </c>
      <c r="EF802" s="0"/>
      <c r="EG802" s="0" t="n">
        <v>0</v>
      </c>
      <c r="EI802" s="0" t="str">
        <f aca="false">IF(AND(DM802=1,DN802&lt;=48),"",IF(AND(DM802=2,DN802&lt;=42),"",IF(AND(DM802=3,DN802&lt;=45),"",EH802)))</f>
        <v/>
      </c>
      <c r="EJ802" s="0" t="str">
        <f aca="false">IF(EI802="","",IF(EI802&lt;9,EI802,9))</f>
        <v/>
      </c>
      <c r="EK802" s="0" t="str">
        <f aca="false">IF(EI802="","",IF(EI802&gt;9,EI802-EJ802,0))</f>
        <v/>
      </c>
      <c r="EL802" s="0" t="str">
        <f aca="false">IF(EI802="","",EJ802*DA802*2+EK802*DA802*3)</f>
        <v/>
      </c>
      <c r="EP802" s="0" t="n">
        <v>0</v>
      </c>
      <c r="EQ802" s="0"/>
      <c r="ER802" s="0" t="n">
        <v>0</v>
      </c>
      <c r="ET802" s="0" t="n">
        <v>0</v>
      </c>
      <c r="EV802" s="0" t="n">
        <v>0</v>
      </c>
      <c r="EX802" s="0" t="n">
        <v>1</v>
      </c>
      <c r="EY802" s="0" t="n">
        <v>0</v>
      </c>
      <c r="EZ802" s="0"/>
      <c r="FA802" s="4" t="n">
        <v>1963.05</v>
      </c>
      <c r="FB802" s="0" t="n">
        <v>1</v>
      </c>
      <c r="FC802" s="1" t="n">
        <v>40821</v>
      </c>
      <c r="FD802" s="0" t="n">
        <v>1</v>
      </c>
      <c r="FE802" s="0" t="n">
        <v>9500</v>
      </c>
      <c r="FF802" s="120" t="n">
        <f aca="false">(CJ802-CI802+1)/365</f>
        <v>2.76712328767123</v>
      </c>
      <c r="FG802" s="0" t="str">
        <f aca="false">CONCATENATE(F802,"/",G802)</f>
        <v>831/2011</v>
      </c>
      <c r="FH802" s="0" t="n">
        <v>1</v>
      </c>
      <c r="FI802" s="0" t="n">
        <f aca="false">IFERROR(IF((FC802-J802+1)/365&gt;3,0,1),"")</f>
        <v>1</v>
      </c>
    </row>
    <row r="803" customFormat="false" ht="15" hidden="false" customHeight="false" outlineLevel="0" collapsed="false">
      <c r="A803" s="5" t="str">
        <f aca="false">E803&amp;G803&amp;F803</f>
        <v>72011836</v>
      </c>
      <c r="B803" s="0" t="s">
        <v>7298</v>
      </c>
      <c r="C803" s="1" t="n">
        <v>42366</v>
      </c>
      <c r="E803" s="0" t="n">
        <v>7</v>
      </c>
      <c r="F803" s="0" t="n">
        <v>836</v>
      </c>
      <c r="G803" s="0" t="n">
        <v>2011</v>
      </c>
      <c r="H803" s="0" t="str">
        <f aca="false">"J"&amp;E803&amp;"\"&amp;F803&amp;"\"&amp;G803&amp;"\"&amp;W803</f>
        <v>J7\836\2011\1</v>
      </c>
      <c r="I803" s="0"/>
      <c r="J803" s="1" t="n">
        <v>40675</v>
      </c>
      <c r="M803" s="1"/>
      <c r="N803" s="1"/>
      <c r="O803" s="1"/>
      <c r="P803" s="1"/>
      <c r="Q803" s="1"/>
      <c r="T803" s="121"/>
      <c r="U803" s="121"/>
      <c r="V803" s="122" t="n">
        <f aca="false">IF(AND(E803&gt;0,F803&gt;0,G803&gt;0),COUNTIFS($E:$E,E803,$F:$F,F803,$G:$G,G803),"")</f>
        <v>1</v>
      </c>
      <c r="W803" s="122" t="n">
        <f aca="false">IF(V803="","",IF(V803=1,1,IF(AND(E802=E803,F802=F803,G802=G803),W802+1,1)))</f>
        <v>1</v>
      </c>
      <c r="X803" s="0" t="n">
        <v>1</v>
      </c>
      <c r="Y803" s="0" t="n">
        <v>4</v>
      </c>
      <c r="Z803" s="0" t="s">
        <v>7385</v>
      </c>
      <c r="AA803" s="0" t="n">
        <v>0</v>
      </c>
      <c r="AB803" s="0" t="s">
        <v>2250</v>
      </c>
      <c r="AC803" s="0" t="s">
        <v>274</v>
      </c>
      <c r="AD803" s="0" t="s">
        <v>216</v>
      </c>
      <c r="AE803" s="0" t="n">
        <v>0</v>
      </c>
      <c r="AF803" s="0" t="s">
        <v>7386</v>
      </c>
      <c r="AG803" s="0" t="n">
        <v>0</v>
      </c>
      <c r="AH803" s="0" t="s">
        <v>7387</v>
      </c>
      <c r="AI803" s="0" t="s">
        <v>4153</v>
      </c>
      <c r="AJ803" s="0" t="s">
        <v>1160</v>
      </c>
      <c r="AL803" s="0" t="s">
        <v>7388</v>
      </c>
      <c r="AM803" s="0" t="n">
        <v>1</v>
      </c>
      <c r="AN803" s="0" t="s">
        <v>7387</v>
      </c>
      <c r="AO803" s="0" t="s">
        <v>4153</v>
      </c>
      <c r="AP803" s="0" t="s">
        <v>1160</v>
      </c>
      <c r="AR803" s="0" t="s">
        <v>7389</v>
      </c>
      <c r="AS803" s="0" t="n">
        <v>1</v>
      </c>
      <c r="AT803" s="0" t="s">
        <v>7387</v>
      </c>
      <c r="AU803" s="0" t="s">
        <v>4153</v>
      </c>
      <c r="AV803" s="0" t="s">
        <v>1160</v>
      </c>
      <c r="AX803" s="0" t="s">
        <v>213</v>
      </c>
      <c r="AY803" s="0" t="n">
        <v>1</v>
      </c>
      <c r="AZ803" s="0" t="s">
        <v>7387</v>
      </c>
      <c r="BA803" s="0" t="s">
        <v>4153</v>
      </c>
      <c r="BB803" s="0" t="s">
        <v>1160</v>
      </c>
      <c r="BR803" s="0" t="n">
        <v>1</v>
      </c>
      <c r="BS803" s="0" t="s">
        <v>2256</v>
      </c>
      <c r="BT803" s="0" t="s">
        <v>2257</v>
      </c>
      <c r="BU803" s="0" t="s">
        <v>2258</v>
      </c>
      <c r="BV803" s="123"/>
      <c r="BW803" s="123"/>
      <c r="BX803" s="123"/>
      <c r="BY803" s="123"/>
      <c r="CA803" s="0" t="s">
        <v>2259</v>
      </c>
      <c r="CD803" s="0" t="s">
        <v>256</v>
      </c>
      <c r="CE803" s="0" t="n">
        <v>0</v>
      </c>
      <c r="CF803" s="0" t="s">
        <v>7390</v>
      </c>
      <c r="CI803" s="1" t="n">
        <v>40507</v>
      </c>
      <c r="CJ803" s="1" t="n">
        <v>40666</v>
      </c>
      <c r="CK803" s="124" t="n">
        <v>0.333333333333333</v>
      </c>
      <c r="CL803" s="0" t="s">
        <v>7391</v>
      </c>
      <c r="CM803" s="0" t="n">
        <f aca="false">IF(OR(CI803="",CJ803=""),"",DAYS360(CI803,CJ803)/360)</f>
        <v>0.438888888888889</v>
      </c>
      <c r="CN803" s="0" t="n">
        <f aca="false">IF(OR(CI803="",CJ803=""),"",DAYS360(CI803,CJ803)/30)</f>
        <v>5.26666666666667</v>
      </c>
      <c r="CO803" s="0" t="n">
        <f aca="false">IF(OR(CI803="",CJ803=""),"",DAYS360(CI803,CJ803)/7)</f>
        <v>22.5714285714286</v>
      </c>
      <c r="CP803" s="0" t="n">
        <f aca="false">IF(OR(CI803="",CJ803=""),"",DAYS360(CI803,CJ803))</f>
        <v>158</v>
      </c>
      <c r="CQ803" s="0" t="s">
        <v>240</v>
      </c>
      <c r="CR803" s="0" t="n">
        <v>1</v>
      </c>
      <c r="CT803" s="0" t="n">
        <v>2862</v>
      </c>
      <c r="CU803" s="0" t="n">
        <v>2</v>
      </c>
      <c r="CV803" s="0" t="n">
        <f aca="false">IF(OR(CT803="",CT803="NO ESPECIFICA",CT803="NO MENCIONA"),"",IF(CU803=0,CT803,IF(CU803=1,CT803/30,IF(CU803=2,CT803/15,IF(CU803=3,CT803/7,"")))))</f>
        <v>190.8</v>
      </c>
      <c r="CW803" s="125" t="s">
        <v>216</v>
      </c>
      <c r="CX803" s="0" t="s">
        <v>216</v>
      </c>
      <c r="CY803" s="0" t="str">
        <f aca="false">IF(CW803="","",IF(CX803=0,CW803,IF(CX803=1,CW803/30,IF(CX803=2,CW803/15,IF(CX803=3,CW803/7,CW803)))))</f>
        <v>NO MENCIONA</v>
      </c>
      <c r="CZ803" s="0" t="n">
        <f aca="false">IF(DI803&gt;0,DI803,IF(CY803&gt;0,CY803,IF(CV803&gt;0,CV803,"")))</f>
        <v>190.8</v>
      </c>
      <c r="DA803" s="0" t="n">
        <f aca="false">IF(DM803=1,CZ803/8,IF(OR(DM803=2,DM803=4),CZ803/7,IF(DM803=3,CZ803/7.5,"")))</f>
        <v>23.85</v>
      </c>
      <c r="DB803" s="0" t="s">
        <v>216</v>
      </c>
      <c r="DC803" s="0" t="s">
        <v>216</v>
      </c>
      <c r="DD803" s="0" t="s">
        <v>216</v>
      </c>
      <c r="DE803" s="0" t="s">
        <v>216</v>
      </c>
      <c r="DF803" s="0" t="s">
        <v>216</v>
      </c>
      <c r="DG803" s="0" t="s">
        <v>216</v>
      </c>
      <c r="DH803" s="0" t="n">
        <v>0</v>
      </c>
      <c r="DI803" s="126" t="n">
        <v>190.8</v>
      </c>
      <c r="DK803" s="0" t="n">
        <v>1</v>
      </c>
      <c r="DM803" s="0" t="n">
        <v>1</v>
      </c>
      <c r="DN803" s="0" t="n">
        <v>60</v>
      </c>
      <c r="DO803" s="0" t="n">
        <v>3</v>
      </c>
      <c r="DP803" s="0" t="n">
        <v>0</v>
      </c>
      <c r="DQ803" s="0" t="n">
        <v>1</v>
      </c>
      <c r="DR803" s="0"/>
      <c r="DS803" s="0" t="n">
        <v>1</v>
      </c>
      <c r="DU803" s="0" t="n">
        <v>1</v>
      </c>
      <c r="DW803" s="1" t="n">
        <v>40507</v>
      </c>
      <c r="DX803" s="1" t="n">
        <v>40666</v>
      </c>
      <c r="DZ803" s="0"/>
      <c r="EA803" s="0" t="n">
        <v>1</v>
      </c>
      <c r="EC803" s="1" t="n">
        <v>40507</v>
      </c>
      <c r="ED803" s="1" t="n">
        <v>40543</v>
      </c>
      <c r="EF803" s="0"/>
      <c r="EG803" s="0" t="n">
        <v>1</v>
      </c>
      <c r="EH803" s="0" t="n">
        <v>24</v>
      </c>
      <c r="EI803" s="0" t="n">
        <f aca="false">IF(AND(DM803=1,DN803&lt;=48),"",IF(AND(DM803=2,DN803&lt;=42),"",IF(AND(DM803=3,DN803&lt;=45),"",EH803)))</f>
        <v>24</v>
      </c>
      <c r="EJ803" s="0" t="n">
        <f aca="false">IF(EI803="","",IF(EI803&lt;9,EI803,9))</f>
        <v>9</v>
      </c>
      <c r="EK803" s="0" t="n">
        <f aca="false">IF(EI803="","",IF(EI803&gt;9,EI803-EJ803,0))</f>
        <v>15</v>
      </c>
      <c r="EL803" s="0" t="n">
        <f aca="false">IF(EI803="","",EJ803*DA803*2+EK803*DA803*3)</f>
        <v>1502.55</v>
      </c>
      <c r="EP803" s="0" t="n">
        <v>0</v>
      </c>
      <c r="EQ803" s="0"/>
      <c r="ER803" s="0" t="n">
        <v>0</v>
      </c>
      <c r="ET803" s="0" t="n">
        <v>0</v>
      </c>
      <c r="EV803" s="0" t="n">
        <v>1</v>
      </c>
      <c r="EX803" s="0" t="n">
        <v>0</v>
      </c>
      <c r="EY803" s="0" t="n">
        <v>1</v>
      </c>
      <c r="EZ803" s="0"/>
      <c r="FA803" s="4" t="n">
        <v>1335.6</v>
      </c>
      <c r="FB803" s="0" t="n">
        <v>0</v>
      </c>
      <c r="FC803" s="1" t="n">
        <v>40834</v>
      </c>
      <c r="FD803" s="0" t="n">
        <v>1</v>
      </c>
      <c r="FE803" s="0" t="n">
        <v>14898</v>
      </c>
      <c r="FF803" s="120" t="n">
        <f aca="false">(CJ803-CI803+1)/365</f>
        <v>0.438356164383562</v>
      </c>
      <c r="FG803" s="0" t="str">
        <f aca="false">CONCATENATE(F803,"/",G803)</f>
        <v>836/2011</v>
      </c>
      <c r="FH803" s="0" t="n">
        <v>1</v>
      </c>
      <c r="FI803" s="0" t="n">
        <f aca="false">IFERROR(IF((FC803-J803+1)/365&gt;3,0,1),"")</f>
        <v>1</v>
      </c>
    </row>
    <row r="804" customFormat="false" ht="15" hidden="false" customHeight="false" outlineLevel="0" collapsed="false">
      <c r="A804" s="5" t="str">
        <f aca="false">E804&amp;G804&amp;F804</f>
        <v>72011842</v>
      </c>
      <c r="B804" s="0" t="s">
        <v>7298</v>
      </c>
      <c r="C804" s="1" t="n">
        <v>42366</v>
      </c>
      <c r="E804" s="0" t="n">
        <v>7</v>
      </c>
      <c r="F804" s="0" t="n">
        <v>842</v>
      </c>
      <c r="G804" s="0" t="n">
        <v>2011</v>
      </c>
      <c r="H804" s="0" t="str">
        <f aca="false">"J"&amp;E804&amp;"\"&amp;F804&amp;"\"&amp;G804&amp;"\"&amp;W804</f>
        <v>J7\842\2011\1</v>
      </c>
      <c r="I804" s="0"/>
      <c r="J804" s="1" t="n">
        <v>40676</v>
      </c>
      <c r="M804" s="1" t="n">
        <v>40676</v>
      </c>
      <c r="N804" s="1" t="n">
        <v>40815</v>
      </c>
      <c r="O804" s="1"/>
      <c r="P804" s="1"/>
      <c r="Q804" s="1"/>
      <c r="T804" s="121"/>
      <c r="U804" s="121"/>
      <c r="V804" s="122" t="n">
        <f aca="false">IF(AND(E804&gt;0,F804&gt;0,G804&gt;0),COUNTIFS($E:$E,E804,$F:$F,F804,$G:$G,G804),"")</f>
        <v>1</v>
      </c>
      <c r="W804" s="122" t="n">
        <f aca="false">IF(V804="","",IF(V804=1,1,IF(AND(E803=E804,F803=F804,G803=G804),W803+1,1)))</f>
        <v>1</v>
      </c>
      <c r="X804" s="0" t="n">
        <v>1</v>
      </c>
      <c r="Y804" s="0" t="n">
        <v>3</v>
      </c>
      <c r="Z804" s="0" t="s">
        <v>7392</v>
      </c>
      <c r="AA804" s="0" t="n">
        <v>0</v>
      </c>
      <c r="AB804" s="0" t="s">
        <v>505</v>
      </c>
      <c r="AC804" s="0" t="s">
        <v>251</v>
      </c>
      <c r="AD804" s="0" t="s">
        <v>1160</v>
      </c>
      <c r="AE804" s="0" t="n">
        <v>0</v>
      </c>
      <c r="AF804" s="0" t="s">
        <v>6315</v>
      </c>
      <c r="AG804" s="0" t="n">
        <v>0</v>
      </c>
      <c r="AH804" s="0" t="s">
        <v>7393</v>
      </c>
      <c r="AI804" s="0" t="s">
        <v>598</v>
      </c>
      <c r="AJ804" s="0" t="s">
        <v>5607</v>
      </c>
      <c r="AL804" s="0" t="s">
        <v>7394</v>
      </c>
      <c r="AM804" s="0" t="n">
        <v>1</v>
      </c>
      <c r="AN804" s="0" t="s">
        <v>7393</v>
      </c>
      <c r="AO804" s="0" t="s">
        <v>598</v>
      </c>
      <c r="AP804" s="0" t="s">
        <v>5607</v>
      </c>
      <c r="BR804" s="0" t="n">
        <v>1</v>
      </c>
      <c r="BS804" s="0" t="s">
        <v>7395</v>
      </c>
      <c r="BT804" s="0" t="s">
        <v>7396</v>
      </c>
      <c r="BU804" s="0" t="s">
        <v>512</v>
      </c>
      <c r="BV804" s="123"/>
      <c r="BW804" s="123"/>
      <c r="BX804" s="123"/>
      <c r="BY804" s="123"/>
      <c r="CA804" s="0" t="s">
        <v>216</v>
      </c>
      <c r="CD804" s="0" t="s">
        <v>370</v>
      </c>
      <c r="CE804" s="0" t="n">
        <v>0</v>
      </c>
      <c r="CF804" s="0" t="s">
        <v>7397</v>
      </c>
      <c r="CI804" s="1" t="n">
        <v>39101</v>
      </c>
      <c r="CJ804" s="1" t="n">
        <v>40631</v>
      </c>
      <c r="CK804" s="124" t="n">
        <v>0.625</v>
      </c>
      <c r="CL804" s="0" t="s">
        <v>7394</v>
      </c>
      <c r="CM804" s="0" t="n">
        <f aca="false">IF(OR(CI804="",CJ804=""),"",DAYS360(CI804,CJ804)/360)</f>
        <v>4.19444444444444</v>
      </c>
      <c r="CN804" s="0" t="n">
        <f aca="false">IF(OR(CI804="",CJ804=""),"",DAYS360(CI804,CJ804)/30)</f>
        <v>50.3333333333333</v>
      </c>
      <c r="CO804" s="0" t="n">
        <f aca="false">IF(OR(CI804="",CJ804=""),"",DAYS360(CI804,CJ804)/7)</f>
        <v>215.714285714286</v>
      </c>
      <c r="CP804" s="0" t="n">
        <f aca="false">IF(OR(CI804="",CJ804=""),"",DAYS360(CI804,CJ804))</f>
        <v>1510</v>
      </c>
      <c r="CQ804" s="0" t="s">
        <v>240</v>
      </c>
      <c r="CR804" s="0" t="n">
        <v>1</v>
      </c>
      <c r="CT804" s="0" t="s">
        <v>221</v>
      </c>
      <c r="CU804" s="0" t="s">
        <v>221</v>
      </c>
      <c r="CV804" s="0" t="str">
        <f aca="false">IF(OR(CT804="",CT804="NO ESPECIFICA",CT804="NO MENCIONA"),"",IF(CU804=0,CT804,IF(CU804=1,CT804/30,IF(CU804=2,CT804/15,IF(CU804=3,CT804/7,"")))))</f>
        <v/>
      </c>
      <c r="CW804" s="125" t="n">
        <v>400</v>
      </c>
      <c r="CX804" s="0" t="n">
        <v>0</v>
      </c>
      <c r="CY804" s="0" t="n">
        <f aca="false">IF(CW804="","",IF(CX804=0,CW804,IF(CX804=1,CW804/30,IF(CX804=2,CW804/15,IF(CX804=3,CW804/7,CW804)))))</f>
        <v>400</v>
      </c>
      <c r="CZ804" s="0" t="n">
        <f aca="false">IF(DI804&gt;0,DI804,IF(CY804&gt;0,CY804,IF(CV804&gt;0,CV804,"")))</f>
        <v>400</v>
      </c>
      <c r="DA804" s="0" t="n">
        <f aca="false">IF(DM804=1,CZ804/8,IF(OR(DM804=2,DM804=4),CZ804/7,IF(DM804=3,CZ804/7.5,"")))</f>
        <v>53.3333333333333</v>
      </c>
      <c r="DB804" s="0" t="s">
        <v>216</v>
      </c>
      <c r="DC804" s="0" t="s">
        <v>216</v>
      </c>
      <c r="DD804" s="0" t="s">
        <v>216</v>
      </c>
      <c r="DE804" s="0" t="s">
        <v>216</v>
      </c>
      <c r="DF804" s="0" t="s">
        <v>216</v>
      </c>
      <c r="DG804" s="0" t="s">
        <v>216</v>
      </c>
      <c r="DH804" s="0" t="n">
        <v>0</v>
      </c>
      <c r="DI804" s="126" t="n">
        <v>400</v>
      </c>
      <c r="DK804" s="0" t="n">
        <v>0</v>
      </c>
      <c r="DM804" s="0" t="n">
        <v>3</v>
      </c>
      <c r="DN804" s="0" t="n">
        <v>36</v>
      </c>
      <c r="DO804" s="0" t="n">
        <v>3</v>
      </c>
      <c r="DP804" s="0" t="n">
        <v>0</v>
      </c>
      <c r="DQ804" s="0" t="n">
        <v>1</v>
      </c>
      <c r="DR804" s="0"/>
      <c r="DS804" s="0" t="n">
        <v>1</v>
      </c>
      <c r="DU804" s="0" t="n">
        <v>1</v>
      </c>
      <c r="DW804" s="1" t="n">
        <v>39101</v>
      </c>
      <c r="DX804" s="1" t="n">
        <v>40631</v>
      </c>
      <c r="DZ804" s="0"/>
      <c r="EA804" s="0" t="n">
        <v>1</v>
      </c>
      <c r="EC804" s="1" t="n">
        <v>39101</v>
      </c>
      <c r="ED804" s="1" t="n">
        <v>40631</v>
      </c>
      <c r="EF804" s="0"/>
      <c r="EG804" s="0" t="n">
        <v>0</v>
      </c>
      <c r="EI804" s="0" t="str">
        <f aca="false">IF(AND(DM804=1,DN804&lt;=48),"",IF(AND(DM804=2,DN804&lt;=42),"",IF(AND(DM804=3,DN804&lt;=45),"",EH804)))</f>
        <v/>
      </c>
      <c r="EJ804" s="0" t="str">
        <f aca="false">IF(EI804="","",IF(EI804&lt;9,EI804,9))</f>
        <v/>
      </c>
      <c r="EK804" s="0" t="str">
        <f aca="false">IF(EI804="","",IF(EI804&gt;9,EI804-EJ804,0))</f>
        <v/>
      </c>
      <c r="EL804" s="0" t="str">
        <f aca="false">IF(EI804="","",EJ804*DA804*2+EK804*DA804*3)</f>
        <v/>
      </c>
      <c r="EP804" s="0" t="n">
        <v>0</v>
      </c>
      <c r="EQ804" s="0"/>
      <c r="ER804" s="0" t="n">
        <v>1</v>
      </c>
      <c r="ET804" s="0" t="n">
        <v>1</v>
      </c>
      <c r="EV804" s="0" t="n">
        <v>0</v>
      </c>
      <c r="EX804" s="0" t="n">
        <v>0</v>
      </c>
      <c r="EY804" s="0" t="n">
        <v>0</v>
      </c>
      <c r="EZ804" s="0"/>
      <c r="FA804" s="4" t="n">
        <v>29600</v>
      </c>
      <c r="FB804" s="0" t="n">
        <v>0</v>
      </c>
      <c r="FC804" s="1" t="n">
        <v>41102</v>
      </c>
      <c r="FD804" s="0" t="n">
        <v>1</v>
      </c>
      <c r="FE804" s="0" t="n">
        <v>35000</v>
      </c>
      <c r="FF804" s="120" t="n">
        <f aca="false">(CJ804-CI804+1)/365</f>
        <v>4.19452054794521</v>
      </c>
      <c r="FG804" s="0" t="str">
        <f aca="false">CONCATENATE(F804,"/",G804)</f>
        <v>842/2011</v>
      </c>
      <c r="FH804" s="0" t="n">
        <v>1</v>
      </c>
      <c r="FI804" s="0" t="n">
        <f aca="false">IFERROR(IF((FC804-J804+1)/365&gt;3,0,1),"")</f>
        <v>1</v>
      </c>
    </row>
    <row r="805" customFormat="false" ht="15" hidden="false" customHeight="false" outlineLevel="0" collapsed="false">
      <c r="A805" s="5" t="str">
        <f aca="false">E805&amp;G805&amp;F805</f>
        <v>72011844</v>
      </c>
      <c r="B805" s="0" t="s">
        <v>7298</v>
      </c>
      <c r="C805" s="1" t="n">
        <v>42366</v>
      </c>
      <c r="E805" s="0" t="n">
        <v>7</v>
      </c>
      <c r="F805" s="0" t="n">
        <v>844</v>
      </c>
      <c r="G805" s="0" t="n">
        <v>2011</v>
      </c>
      <c r="H805" s="0" t="str">
        <f aca="false">"J"&amp;E805&amp;"\"&amp;F805&amp;"\"&amp;G805&amp;"\"&amp;W805</f>
        <v>J7\844\2011\1</v>
      </c>
      <c r="I805" s="0"/>
      <c r="J805" s="1" t="n">
        <v>40676</v>
      </c>
      <c r="M805" s="1" t="n">
        <v>40676</v>
      </c>
      <c r="N805" s="1" t="n">
        <v>40816</v>
      </c>
      <c r="O805" s="1"/>
      <c r="P805" s="1"/>
      <c r="Q805" s="1"/>
      <c r="T805" s="121"/>
      <c r="U805" s="121"/>
      <c r="V805" s="122" t="n">
        <f aca="false">IF(AND(E805&gt;0,F805&gt;0,G805&gt;0),COUNTIFS($E:$E,E805,$F:$F,F805,$G:$G,G805),"")</f>
        <v>1</v>
      </c>
      <c r="W805" s="122" t="n">
        <f aca="false">IF(V805="","",IF(V805=1,1,IF(AND(E804=E805,F804=F805,G804=G805),W804+1,1)))</f>
        <v>1</v>
      </c>
      <c r="X805" s="0" t="n">
        <v>1</v>
      </c>
      <c r="Y805" s="0" t="n">
        <v>3</v>
      </c>
      <c r="Z805" s="0" t="s">
        <v>7398</v>
      </c>
      <c r="AA805" s="0" t="n">
        <v>0</v>
      </c>
      <c r="AB805" s="0" t="s">
        <v>1812</v>
      </c>
      <c r="AC805" s="0" t="s">
        <v>228</v>
      </c>
      <c r="AD805" s="0" t="s">
        <v>1160</v>
      </c>
      <c r="AE805" s="0" t="n">
        <v>0</v>
      </c>
      <c r="AF805" s="0" t="s">
        <v>7399</v>
      </c>
      <c r="AG805" s="0" t="n">
        <v>0</v>
      </c>
      <c r="AH805" s="0" t="s">
        <v>7400</v>
      </c>
      <c r="AI805" s="0" t="s">
        <v>2320</v>
      </c>
      <c r="AJ805" s="0" t="s">
        <v>2222</v>
      </c>
      <c r="AL805" s="0" t="s">
        <v>7401</v>
      </c>
      <c r="AM805" s="0" t="n">
        <v>1</v>
      </c>
      <c r="AN805" s="0" t="s">
        <v>7400</v>
      </c>
      <c r="AO805" s="0" t="s">
        <v>2320</v>
      </c>
      <c r="AP805" s="0" t="s">
        <v>2222</v>
      </c>
      <c r="AR805" s="0" t="s">
        <v>213</v>
      </c>
      <c r="AS805" s="0" t="n">
        <v>1</v>
      </c>
      <c r="AT805" s="0" t="s">
        <v>7400</v>
      </c>
      <c r="AU805" s="0" t="s">
        <v>2320</v>
      </c>
      <c r="AV805" s="0" t="s">
        <v>2222</v>
      </c>
      <c r="BR805" s="0" t="n">
        <v>3</v>
      </c>
      <c r="BS805" s="0" t="s">
        <v>3272</v>
      </c>
      <c r="BT805" s="0" t="s">
        <v>1818</v>
      </c>
      <c r="BU805" s="0" t="s">
        <v>501</v>
      </c>
      <c r="BV805" s="123"/>
      <c r="BW805" s="123"/>
      <c r="BX805" s="123"/>
      <c r="BY805" s="123"/>
      <c r="CA805" s="0" t="s">
        <v>348</v>
      </c>
      <c r="CD805" s="0" t="s">
        <v>256</v>
      </c>
      <c r="CE805" s="0" t="n">
        <v>0</v>
      </c>
      <c r="CF805" s="0" t="s">
        <v>7402</v>
      </c>
      <c r="CI805" s="1" t="n">
        <v>40193</v>
      </c>
      <c r="CJ805" s="1" t="n">
        <v>40637</v>
      </c>
      <c r="CK805" s="124" t="n">
        <v>0.75</v>
      </c>
      <c r="CL805" s="0" t="s">
        <v>7401</v>
      </c>
      <c r="CM805" s="0" t="n">
        <f aca="false">IF(OR(CI805="",CJ805=""),"",DAYS360(CI805,CJ805)/360)</f>
        <v>1.21944444444444</v>
      </c>
      <c r="CN805" s="0" t="n">
        <f aca="false">IF(OR(CI805="",CJ805=""),"",DAYS360(CI805,CJ805)/30)</f>
        <v>14.6333333333333</v>
      </c>
      <c r="CO805" s="0" t="n">
        <f aca="false">IF(OR(CI805="",CJ805=""),"",DAYS360(CI805,CJ805)/7)</f>
        <v>62.7142857142857</v>
      </c>
      <c r="CP805" s="0" t="n">
        <f aca="false">IF(OR(CI805="",CJ805=""),"",DAYS360(CI805,CJ805))</f>
        <v>439</v>
      </c>
      <c r="CQ805" s="0" t="s">
        <v>240</v>
      </c>
      <c r="CR805" s="0" t="n">
        <v>1</v>
      </c>
      <c r="CT805" s="0" t="n">
        <v>116.66</v>
      </c>
      <c r="CU805" s="0" t="n">
        <v>0</v>
      </c>
      <c r="CV805" s="0" t="n">
        <f aca="false">IF(OR(CT805="",CT805="NO ESPECIFICA",CT805="NO MENCIONA"),"",IF(CU805=0,CT805,IF(CU805=1,CT805/30,IF(CU805=2,CT805/15,IF(CU805=3,CT805/7,"")))))</f>
        <v>116.66</v>
      </c>
      <c r="CW805" s="125" t="n">
        <v>122</v>
      </c>
      <c r="CX805" s="0" t="n">
        <v>0</v>
      </c>
      <c r="CY805" s="0" t="n">
        <f aca="false">IF(CW805="","",IF(CX805=0,CW805,IF(CX805=1,CW805/30,IF(CX805=2,CW805/15,IF(CX805=3,CW805/7,CW805)))))</f>
        <v>122</v>
      </c>
      <c r="CZ805" s="0" t="n">
        <f aca="false">IF(DI805&gt;0,DI805,IF(CY805&gt;0,CY805,IF(CV805&gt;0,CV805,"")))</f>
        <v>122</v>
      </c>
      <c r="DA805" s="0" t="n">
        <f aca="false">IF(DM805=1,CZ805/8,IF(OR(DM805=2,DM805=4),CZ805/7,IF(DM805=3,CZ805/7.5,"")))</f>
        <v>15.25</v>
      </c>
      <c r="DB805" s="0" t="s">
        <v>303</v>
      </c>
      <c r="DC805" s="0" t="s">
        <v>301</v>
      </c>
      <c r="DD805" s="0" t="s">
        <v>216</v>
      </c>
      <c r="DE805" s="0" t="s">
        <v>216</v>
      </c>
      <c r="DF805" s="0" t="s">
        <v>216</v>
      </c>
      <c r="DG805" s="0" t="s">
        <v>216</v>
      </c>
      <c r="DH805" s="0" t="n">
        <v>0</v>
      </c>
      <c r="DI805" s="126" t="n">
        <v>122</v>
      </c>
      <c r="DK805" s="0" t="n">
        <v>0</v>
      </c>
      <c r="DM805" s="0" t="n">
        <v>1</v>
      </c>
      <c r="DN805" s="0" t="n">
        <v>50</v>
      </c>
      <c r="DO805" s="0" t="n">
        <v>3</v>
      </c>
      <c r="DP805" s="0" t="n">
        <v>0</v>
      </c>
      <c r="DQ805" s="0" t="n">
        <v>1</v>
      </c>
      <c r="DR805" s="0"/>
      <c r="DS805" s="0" t="n">
        <v>1</v>
      </c>
      <c r="DU805" s="0" t="n">
        <v>1</v>
      </c>
      <c r="DW805" s="1" t="n">
        <v>40193</v>
      </c>
      <c r="DX805" s="1" t="n">
        <v>40637</v>
      </c>
      <c r="DZ805" s="0"/>
      <c r="EA805" s="0" t="n">
        <v>1</v>
      </c>
      <c r="EC805" s="1" t="n">
        <v>40193</v>
      </c>
      <c r="ED805" s="1" t="n">
        <v>40637</v>
      </c>
      <c r="EF805" s="0"/>
      <c r="EG805" s="0" t="n">
        <v>1</v>
      </c>
      <c r="EH805" s="0" t="n">
        <v>2</v>
      </c>
      <c r="EI805" s="0" t="n">
        <f aca="false">IF(AND(DM805=1,DN805&lt;=48),"",IF(AND(DM805=2,DN805&lt;=42),"",IF(AND(DM805=3,DN805&lt;=45),"",EH805)))</f>
        <v>2</v>
      </c>
      <c r="EJ805" s="0" t="n">
        <f aca="false">IF(EI805="","",IF(EI805&lt;9,EI805,9))</f>
        <v>2</v>
      </c>
      <c r="EK805" s="0" t="n">
        <f aca="false">IF(EI805="","",IF(EI805&gt;9,EI805-EJ805,0))</f>
        <v>0</v>
      </c>
      <c r="EL805" s="0" t="n">
        <f aca="false">IF(EI805="","",EJ805*DA805*2+EK805*DA805*3)</f>
        <v>61</v>
      </c>
      <c r="EP805" s="0" t="n">
        <v>0</v>
      </c>
      <c r="EQ805" s="0"/>
      <c r="ER805" s="0" t="n">
        <v>0</v>
      </c>
      <c r="ET805" s="0" t="n">
        <v>0</v>
      </c>
      <c r="EV805" s="0" t="n">
        <v>0</v>
      </c>
      <c r="EX805" s="0" t="n">
        <v>0</v>
      </c>
      <c r="EY805" s="0" t="n">
        <v>0</v>
      </c>
      <c r="EZ805" s="0"/>
      <c r="FA805" s="4" t="n">
        <v>488</v>
      </c>
      <c r="FB805" s="0" t="n">
        <v>1</v>
      </c>
      <c r="FC805" s="1" t="n">
        <v>40954</v>
      </c>
      <c r="FD805" s="0" t="n">
        <v>1</v>
      </c>
      <c r="FE805" s="0" t="n">
        <v>7500</v>
      </c>
      <c r="FF805" s="120" t="n">
        <f aca="false">(CJ805-CI805+1)/365</f>
        <v>1.21917808219178</v>
      </c>
      <c r="FG805" s="0" t="str">
        <f aca="false">CONCATENATE(F805,"/",G805)</f>
        <v>844/2011</v>
      </c>
      <c r="FH805" s="0" t="n">
        <v>1</v>
      </c>
      <c r="FI805" s="0" t="n">
        <f aca="false">IFERROR(IF((FC805-J805+1)/365&gt;3,0,1),"")</f>
        <v>1</v>
      </c>
    </row>
    <row r="806" customFormat="false" ht="15" hidden="false" customHeight="false" outlineLevel="0" collapsed="false">
      <c r="A806" s="5" t="str">
        <f aca="false">E806&amp;G806&amp;F806</f>
        <v>72011851</v>
      </c>
      <c r="B806" s="0" t="s">
        <v>7298</v>
      </c>
      <c r="C806" s="1" t="n">
        <v>42366</v>
      </c>
      <c r="E806" s="0" t="n">
        <v>7</v>
      </c>
      <c r="F806" s="0" t="n">
        <v>851</v>
      </c>
      <c r="G806" s="0" t="n">
        <v>2011</v>
      </c>
      <c r="H806" s="0" t="str">
        <f aca="false">"J"&amp;E806&amp;"\"&amp;F806&amp;"\"&amp;G806&amp;"\"&amp;W806</f>
        <v>J7\851\2011\1</v>
      </c>
      <c r="I806" s="0"/>
      <c r="J806" s="1" t="n">
        <v>40676</v>
      </c>
      <c r="M806" s="1" t="n">
        <v>40676</v>
      </c>
      <c r="N806" s="1" t="n">
        <v>40819</v>
      </c>
      <c r="O806" s="1"/>
      <c r="P806" s="1"/>
      <c r="Q806" s="1"/>
      <c r="T806" s="121"/>
      <c r="U806" s="121"/>
      <c r="V806" s="122" t="n">
        <f aca="false">IF(AND(E806&gt;0,F806&gt;0,G806&gt;0),COUNTIFS($E:$E,E806,$F:$F,F806,$G:$G,G806),"")</f>
        <v>1</v>
      </c>
      <c r="W806" s="122" t="n">
        <f aca="false">IF(V806="","",IF(V806=1,1,IF(AND(E805=E806,F805=F806,G805=G806),W805+1,1)))</f>
        <v>1</v>
      </c>
      <c r="X806" s="0" t="n">
        <v>1</v>
      </c>
      <c r="Y806" s="0" t="n">
        <v>3</v>
      </c>
      <c r="Z806" s="0" t="s">
        <v>7403</v>
      </c>
      <c r="AA806" s="0" t="n">
        <v>0</v>
      </c>
      <c r="AB806" s="0" t="s">
        <v>1812</v>
      </c>
      <c r="AC806" s="0" t="s">
        <v>228</v>
      </c>
      <c r="AD806" s="0" t="s">
        <v>1160</v>
      </c>
      <c r="AE806" s="0" t="n">
        <v>0</v>
      </c>
      <c r="AF806" s="0" t="s">
        <v>7404</v>
      </c>
      <c r="AG806" s="0" t="n">
        <v>1</v>
      </c>
      <c r="AH806" s="0" t="s">
        <v>7405</v>
      </c>
      <c r="AI806" s="0" t="s">
        <v>7406</v>
      </c>
      <c r="AJ806" s="0" t="s">
        <v>2222</v>
      </c>
      <c r="AL806" s="0" t="s">
        <v>7407</v>
      </c>
      <c r="AM806" s="0" t="n">
        <v>2</v>
      </c>
      <c r="AN806" s="0" t="s">
        <v>7405</v>
      </c>
      <c r="AO806" s="0" t="s">
        <v>7406</v>
      </c>
      <c r="AP806" s="0" t="s">
        <v>2222</v>
      </c>
      <c r="AR806" s="0" t="s">
        <v>213</v>
      </c>
      <c r="AS806" s="0" t="n">
        <v>1</v>
      </c>
      <c r="AT806" s="0" t="s">
        <v>7405</v>
      </c>
      <c r="AU806" s="0" t="s">
        <v>7406</v>
      </c>
      <c r="AV806" s="0" t="s">
        <v>2222</v>
      </c>
      <c r="BR806" s="0" t="n">
        <v>1</v>
      </c>
      <c r="BS806" s="0" t="s">
        <v>499</v>
      </c>
      <c r="BT806" s="0" t="s">
        <v>858</v>
      </c>
      <c r="BU806" s="0" t="s">
        <v>859</v>
      </c>
      <c r="BV806" s="123"/>
      <c r="BW806" s="123"/>
      <c r="BX806" s="123"/>
      <c r="BY806" s="123"/>
      <c r="CA806" s="0" t="s">
        <v>348</v>
      </c>
      <c r="CD806" s="0" t="s">
        <v>370</v>
      </c>
      <c r="CE806" s="0" t="n">
        <v>0</v>
      </c>
      <c r="CF806" s="0" t="s">
        <v>1651</v>
      </c>
      <c r="CI806" s="1" t="n">
        <v>40376</v>
      </c>
      <c r="CJ806" s="1" t="n">
        <v>40620</v>
      </c>
      <c r="CK806" s="124" t="n">
        <v>0.520833333333333</v>
      </c>
      <c r="CL806" s="0" t="s">
        <v>7408</v>
      </c>
      <c r="CM806" s="0" t="n">
        <f aca="false">IF(OR(CI806="",CJ806=""),"",DAYS360(CI806,CJ806)/360)</f>
        <v>0.669444444444444</v>
      </c>
      <c r="CN806" s="0" t="n">
        <f aca="false">IF(OR(CI806="",CJ806=""),"",DAYS360(CI806,CJ806)/30)</f>
        <v>8.03333333333333</v>
      </c>
      <c r="CO806" s="0" t="n">
        <f aca="false">IF(OR(CI806="",CJ806=""),"",DAYS360(CI806,CJ806)/7)</f>
        <v>34.4285714285714</v>
      </c>
      <c r="CP806" s="0" t="n">
        <f aca="false">IF(OR(CI806="",CJ806=""),"",DAYS360(CI806,CJ806))</f>
        <v>241</v>
      </c>
      <c r="CQ806" s="0" t="s">
        <v>240</v>
      </c>
      <c r="CR806" s="0" t="n">
        <v>1</v>
      </c>
      <c r="CT806" s="0" t="n">
        <v>196.66</v>
      </c>
      <c r="CU806" s="0" t="n">
        <v>0</v>
      </c>
      <c r="CV806" s="0" t="n">
        <f aca="false">IF(OR(CT806="",CT806="NO ESPECIFICA",CT806="NO MENCIONA"),"",IF(CU806=0,CT806,IF(CU806=1,CT806/30,IF(CU806=2,CT806/15,IF(CU806=3,CT806/7,"")))))</f>
        <v>196.66</v>
      </c>
      <c r="CW806" s="125" t="n">
        <v>205.54</v>
      </c>
      <c r="CX806" s="0" t="n">
        <v>0</v>
      </c>
      <c r="CY806" s="0" t="n">
        <f aca="false">IF(CW806="","",IF(CX806=0,CW806,IF(CX806=1,CW806/30,IF(CX806=2,CW806/15,IF(CX806=3,CW806/7,CW806)))))</f>
        <v>205.54</v>
      </c>
      <c r="CZ806" s="0" t="n">
        <f aca="false">IF(DI806&gt;0,DI806,IF(CY806&gt;0,CY806,IF(CV806&gt;0,CV806,"")))</f>
        <v>205.54</v>
      </c>
      <c r="DA806" s="0" t="n">
        <f aca="false">IF(DM806=1,CZ806/8,IF(OR(DM806=2,DM806=4),CZ806/7,IF(DM806=3,CZ806/7.5,"")))</f>
        <v>25.6925</v>
      </c>
      <c r="DB806" s="0" t="s">
        <v>303</v>
      </c>
      <c r="DC806" s="0" t="s">
        <v>301</v>
      </c>
      <c r="DD806" s="0" t="s">
        <v>216</v>
      </c>
      <c r="DE806" s="0" t="s">
        <v>216</v>
      </c>
      <c r="DF806" s="0" t="s">
        <v>216</v>
      </c>
      <c r="DG806" s="0" t="s">
        <v>216</v>
      </c>
      <c r="DH806" s="0" t="n">
        <v>0</v>
      </c>
      <c r="DI806" s="126" t="n">
        <v>205.54</v>
      </c>
      <c r="DK806" s="0" t="n">
        <v>0</v>
      </c>
      <c r="DM806" s="0" t="n">
        <v>1</v>
      </c>
      <c r="DN806" s="0" t="n">
        <v>47.5</v>
      </c>
      <c r="DO806" s="0" t="n">
        <v>3</v>
      </c>
      <c r="DP806" s="0" t="n">
        <v>0</v>
      </c>
      <c r="DQ806" s="0" t="n">
        <v>1</v>
      </c>
      <c r="DR806" s="0"/>
      <c r="DS806" s="0" t="n">
        <v>1</v>
      </c>
      <c r="DU806" s="0" t="n">
        <v>1</v>
      </c>
      <c r="DW806" s="1" t="n">
        <v>40376</v>
      </c>
      <c r="DX806" s="1" t="n">
        <v>40620</v>
      </c>
      <c r="DZ806" s="0"/>
      <c r="EA806" s="0" t="n">
        <v>1</v>
      </c>
      <c r="EC806" s="1" t="n">
        <v>40544</v>
      </c>
      <c r="ED806" s="1" t="n">
        <v>40620</v>
      </c>
      <c r="EF806" s="0"/>
      <c r="EG806" s="0" t="n">
        <v>0</v>
      </c>
      <c r="EI806" s="0" t="str">
        <f aca="false">IF(AND(DM806=1,DN806&lt;=48),"",IF(AND(DM806=2,DN806&lt;=42),"",IF(AND(DM806=3,DN806&lt;=45),"",EH806)))</f>
        <v/>
      </c>
      <c r="EJ806" s="0" t="str">
        <f aca="false">IF(EI806="","",IF(EI806&lt;9,EI806,9))</f>
        <v/>
      </c>
      <c r="EK806" s="0" t="str">
        <f aca="false">IF(EI806="","",IF(EI806&gt;9,EI806-EJ806,0))</f>
        <v/>
      </c>
      <c r="EL806" s="0" t="str">
        <f aca="false">IF(EI806="","",EJ806*DA806*2+EK806*DA806*3)</f>
        <v/>
      </c>
      <c r="EP806" s="0" t="n">
        <v>0</v>
      </c>
      <c r="EQ806" s="0"/>
      <c r="ER806" s="0" t="n">
        <v>0</v>
      </c>
      <c r="ET806" s="0" t="n">
        <v>0</v>
      </c>
      <c r="EV806" s="0" t="n">
        <v>0</v>
      </c>
      <c r="EX806" s="0" t="n">
        <v>0</v>
      </c>
      <c r="EY806" s="0" t="n">
        <v>0</v>
      </c>
      <c r="EZ806" s="0"/>
      <c r="FA806" s="0"/>
      <c r="FB806" s="0" t="n">
        <v>1</v>
      </c>
      <c r="FC806" s="1" t="n">
        <v>41955</v>
      </c>
      <c r="FD806" s="0" t="n">
        <v>4</v>
      </c>
      <c r="FE806" s="0" t="n">
        <v>0</v>
      </c>
      <c r="FF806" s="120" t="n">
        <f aca="false">(CJ806-CI806+1)/365</f>
        <v>0.671232876712329</v>
      </c>
      <c r="FG806" s="0" t="str">
        <f aca="false">CONCATENATE(F806,"/",G806)</f>
        <v>851/2011</v>
      </c>
      <c r="FH806" s="0" t="n">
        <v>1</v>
      </c>
      <c r="FI806" s="0" t="n">
        <f aca="false">IFERROR(IF((FC806-J806+1)/365&gt;3,0,1),"")</f>
        <v>0</v>
      </c>
    </row>
    <row r="807" customFormat="false" ht="15" hidden="false" customHeight="false" outlineLevel="0" collapsed="false">
      <c r="A807" s="5" t="str">
        <f aca="false">E807&amp;G807&amp;F807</f>
        <v>72011858</v>
      </c>
      <c r="B807" s="0" t="s">
        <v>7298</v>
      </c>
      <c r="C807" s="1" t="n">
        <v>42366</v>
      </c>
      <c r="E807" s="0" t="n">
        <v>7</v>
      </c>
      <c r="F807" s="0" t="n">
        <v>858</v>
      </c>
      <c r="G807" s="0" t="n">
        <v>2011</v>
      </c>
      <c r="H807" s="0" t="str">
        <f aca="false">"J"&amp;E807&amp;"\"&amp;F807&amp;"\"&amp;G807&amp;"\"&amp;W807</f>
        <v>J7\858\2011\1</v>
      </c>
      <c r="I807" s="0"/>
      <c r="J807" s="1" t="n">
        <v>40679</v>
      </c>
      <c r="M807" s="1"/>
      <c r="N807" s="1"/>
      <c r="O807" s="1"/>
      <c r="P807" s="1"/>
      <c r="Q807" s="1"/>
      <c r="T807" s="121"/>
      <c r="U807" s="121"/>
      <c r="V807" s="122" t="n">
        <f aca="false">IF(AND(E807&gt;0,F807&gt;0,G807&gt;0),COUNTIFS($E:$E,E807,$F:$F,F807,$G:$G,G807),"")</f>
        <v>1</v>
      </c>
      <c r="W807" s="122" t="n">
        <f aca="false">IF(V807="","",IF(V807=1,1,IF(AND(E806=E807,F806=F807,G806=G807),W806+1,1)))</f>
        <v>1</v>
      </c>
      <c r="X807" s="0" t="n">
        <v>1</v>
      </c>
      <c r="Y807" s="0" t="n">
        <v>2</v>
      </c>
      <c r="Z807" s="0" t="s">
        <v>7409</v>
      </c>
      <c r="AA807" s="0" t="n">
        <v>0</v>
      </c>
      <c r="AB807" s="0" t="s">
        <v>7410</v>
      </c>
      <c r="AC807" s="0" t="s">
        <v>643</v>
      </c>
      <c r="AD807" s="0" t="s">
        <v>2218</v>
      </c>
      <c r="AE807" s="0" t="n">
        <v>0</v>
      </c>
      <c r="AF807" s="0" t="s">
        <v>7411</v>
      </c>
      <c r="AG807" s="0" t="n">
        <v>1</v>
      </c>
      <c r="AH807" s="0" t="s">
        <v>7412</v>
      </c>
      <c r="AI807" s="0" t="s">
        <v>251</v>
      </c>
      <c r="AJ807" s="0" t="s">
        <v>216</v>
      </c>
      <c r="AL807" s="0" t="s">
        <v>213</v>
      </c>
      <c r="AM807" s="0" t="n">
        <v>1</v>
      </c>
      <c r="AN807" s="0" t="s">
        <v>7412</v>
      </c>
      <c r="AO807" s="0" t="s">
        <v>251</v>
      </c>
      <c r="AP807" s="0" t="s">
        <v>216</v>
      </c>
      <c r="BR807" s="0" t="n">
        <v>1</v>
      </c>
      <c r="BS807" s="0" t="s">
        <v>7413</v>
      </c>
      <c r="BT807" s="0" t="s">
        <v>7414</v>
      </c>
      <c r="BU807" s="0" t="s">
        <v>7415</v>
      </c>
      <c r="BV807" s="123"/>
      <c r="BW807" s="123"/>
      <c r="BX807" s="123"/>
      <c r="BY807" s="123"/>
      <c r="CA807" s="0" t="s">
        <v>216</v>
      </c>
      <c r="CD807" s="0" t="s">
        <v>296</v>
      </c>
      <c r="CE807" s="0" t="n">
        <v>0</v>
      </c>
      <c r="CF807" s="0" t="s">
        <v>782</v>
      </c>
      <c r="CI807" s="1" t="n">
        <v>38786</v>
      </c>
      <c r="CJ807" s="1" t="n">
        <v>40653</v>
      </c>
      <c r="CK807" s="124" t="n">
        <v>0.375</v>
      </c>
      <c r="CL807" s="0" t="s">
        <v>7411</v>
      </c>
      <c r="CM807" s="0" t="n">
        <f aca="false">IF(OR(CI807="",CJ807=""),"",DAYS360(CI807,CJ807)/360)</f>
        <v>5.11111111111111</v>
      </c>
      <c r="CN807" s="0" t="n">
        <f aca="false">IF(OR(CI807="",CJ807=""),"",DAYS360(CI807,CJ807)/30)</f>
        <v>61.3333333333333</v>
      </c>
      <c r="CO807" s="0" t="n">
        <f aca="false">IF(OR(CI807="",CJ807=""),"",DAYS360(CI807,CJ807)/7)</f>
        <v>262.857142857143</v>
      </c>
      <c r="CP807" s="0" t="n">
        <f aca="false">IF(OR(CI807="",CJ807=""),"",DAYS360(CI807,CJ807))</f>
        <v>1840</v>
      </c>
      <c r="CQ807" s="0" t="s">
        <v>240</v>
      </c>
      <c r="CR807" s="0" t="n">
        <v>1</v>
      </c>
      <c r="CT807" s="0" t="s">
        <v>221</v>
      </c>
      <c r="CU807" s="0" t="s">
        <v>221</v>
      </c>
      <c r="CV807" s="0" t="str">
        <f aca="false">IF(OR(CT807="",CT807="NO ESPECIFICA",CT807="NO MENCIONA"),"",IF(CU807=0,CT807,IF(CU807=1,CT807/30,IF(CU807=2,CT807/15,IF(CU807=3,CT807/7,"")))))</f>
        <v/>
      </c>
      <c r="CW807" s="125" t="n">
        <v>4850</v>
      </c>
      <c r="CX807" s="0" t="n">
        <v>1</v>
      </c>
      <c r="CY807" s="0" t="n">
        <f aca="false">IF(CW807="","",IF(CX807=0,CW807,IF(CX807=1,CW807/30,IF(CX807=2,CW807/15,IF(CX807=3,CW807/7,CW807)))))</f>
        <v>161.666666666667</v>
      </c>
      <c r="CZ807" s="0" t="n">
        <f aca="false">IF(DI807&gt;0,DI807,IF(CY807&gt;0,CY807,IF(CV807&gt;0,CV807,"")))</f>
        <v>161.666666666667</v>
      </c>
      <c r="DA807" s="0" t="n">
        <f aca="false">IF(DM807=1,CZ807/8,IF(OR(DM807=2,DM807=4),CZ807/7,IF(DM807=3,CZ807/7.5,"")))</f>
        <v>20.2083333333333</v>
      </c>
      <c r="DB807" s="0" t="s">
        <v>216</v>
      </c>
      <c r="DC807" s="0" t="s">
        <v>216</v>
      </c>
      <c r="DD807" s="0" t="s">
        <v>216</v>
      </c>
      <c r="DE807" s="0" t="s">
        <v>216</v>
      </c>
      <c r="DF807" s="0" t="s">
        <v>216</v>
      </c>
      <c r="DG807" s="0" t="s">
        <v>216</v>
      </c>
      <c r="DH807" s="0" t="n">
        <v>0</v>
      </c>
      <c r="DI807" s="126" t="n">
        <v>161.666666666667</v>
      </c>
      <c r="DK807" s="0" t="n">
        <v>0</v>
      </c>
      <c r="DM807" s="0" t="n">
        <v>1</v>
      </c>
      <c r="DN807" s="0" t="n">
        <v>50</v>
      </c>
      <c r="DO807" s="0" t="n">
        <v>3</v>
      </c>
      <c r="DP807" s="0" t="n">
        <v>0</v>
      </c>
      <c r="DQ807" s="0" t="n">
        <v>1</v>
      </c>
      <c r="DR807" s="0"/>
      <c r="DS807" s="0" t="n">
        <v>1</v>
      </c>
      <c r="DU807" s="0" t="n">
        <v>1</v>
      </c>
      <c r="DW807" s="1" t="n">
        <v>38786</v>
      </c>
      <c r="DX807" s="1" t="n">
        <v>40653</v>
      </c>
      <c r="DZ807" s="0"/>
      <c r="EA807" s="0" t="n">
        <v>1</v>
      </c>
      <c r="EC807" s="1" t="n">
        <v>40544</v>
      </c>
      <c r="ED807" s="1" t="n">
        <v>40653</v>
      </c>
      <c r="EF807" s="0"/>
      <c r="EG807" s="0" t="n">
        <v>1</v>
      </c>
      <c r="EH807" s="0" t="n">
        <v>12.5</v>
      </c>
      <c r="EI807" s="0" t="n">
        <f aca="false">IF(AND(DM807=1,DN807&lt;=48),"",IF(AND(DM807=2,DN807&lt;=42),"",IF(AND(DM807=3,DN807&lt;=45),"",EH807)))</f>
        <v>12.5</v>
      </c>
      <c r="EJ807" s="0" t="n">
        <f aca="false">IF(EI807="","",IF(EI807&lt;9,EI807,9))</f>
        <v>9</v>
      </c>
      <c r="EK807" s="0" t="n">
        <f aca="false">IF(EI807="","",IF(EI807&gt;9,EI807-EJ807,0))</f>
        <v>3.5</v>
      </c>
      <c r="EL807" s="0" t="n">
        <f aca="false">IF(EI807="","",EJ807*DA807*2+EK807*DA807*3)</f>
        <v>575.9375</v>
      </c>
      <c r="EP807" s="0" t="n">
        <v>0</v>
      </c>
      <c r="EQ807" s="0"/>
      <c r="ER807" s="0" t="n">
        <v>0</v>
      </c>
      <c r="ET807" s="0" t="n">
        <v>1</v>
      </c>
      <c r="EV807" s="0" t="n">
        <v>1</v>
      </c>
      <c r="EX807" s="0" t="n">
        <v>1</v>
      </c>
      <c r="EY807" s="0" t="n">
        <v>1</v>
      </c>
      <c r="EZ807" s="0"/>
      <c r="FA807" s="4" t="n">
        <v>323.33</v>
      </c>
      <c r="FB807" s="0" t="n">
        <v>1</v>
      </c>
      <c r="FC807" s="1" t="n">
        <v>40695</v>
      </c>
      <c r="FD807" s="0" t="n">
        <v>2</v>
      </c>
      <c r="FE807" s="0" t="n">
        <v>0</v>
      </c>
      <c r="FF807" s="120" t="n">
        <f aca="false">(CJ807-CI807+1)/365</f>
        <v>5.11780821917808</v>
      </c>
      <c r="FG807" s="0" t="str">
        <f aca="false">CONCATENATE(F807,"/",G807)</f>
        <v>858/2011</v>
      </c>
      <c r="FH807" s="0" t="n">
        <v>1</v>
      </c>
      <c r="FI807" s="0" t="n">
        <f aca="false">IFERROR(IF((FC807-J807+1)/365&gt;3,0,1),"")</f>
        <v>1</v>
      </c>
    </row>
    <row r="808" customFormat="false" ht="15" hidden="false" customHeight="false" outlineLevel="0" collapsed="false">
      <c r="A808" s="5" t="str">
        <f aca="false">E808&amp;G808&amp;F808</f>
        <v>72011861</v>
      </c>
      <c r="B808" s="0" t="s">
        <v>7298</v>
      </c>
      <c r="C808" s="1" t="n">
        <v>42366</v>
      </c>
      <c r="E808" s="0" t="n">
        <v>7</v>
      </c>
      <c r="F808" s="0" t="n">
        <v>861</v>
      </c>
      <c r="G808" s="0" t="n">
        <v>2011</v>
      </c>
      <c r="H808" s="0" t="str">
        <f aca="false">"J"&amp;E808&amp;"\"&amp;F808&amp;"\"&amp;G808&amp;"\"&amp;W808</f>
        <v>J7\861\2011\1</v>
      </c>
      <c r="I808" s="0"/>
      <c r="J808" s="1" t="n">
        <v>40679</v>
      </c>
      <c r="M808" s="1"/>
      <c r="N808" s="1"/>
      <c r="O808" s="1"/>
      <c r="P808" s="1"/>
      <c r="Q808" s="1"/>
      <c r="T808" s="121"/>
      <c r="U808" s="121"/>
      <c r="V808" s="122" t="n">
        <f aca="false">IF(AND(E808&gt;0,F808&gt;0,G808&gt;0),COUNTIFS($E:$E,E808,$F:$F,F808,$G:$G,G808),"")</f>
        <v>1</v>
      </c>
      <c r="W808" s="122" t="n">
        <f aca="false">IF(V808="","",IF(V808=1,1,IF(AND(E807=E808,F807=F808,G807=G808),W807+1,1)))</f>
        <v>1</v>
      </c>
      <c r="X808" s="0" t="n">
        <v>1</v>
      </c>
      <c r="Y808" s="0" t="n">
        <v>4</v>
      </c>
      <c r="Z808" s="0" t="s">
        <v>7416</v>
      </c>
      <c r="AA808" s="0" t="n">
        <v>0</v>
      </c>
      <c r="AB808" s="0" t="s">
        <v>6374</v>
      </c>
      <c r="AC808" s="0" t="s">
        <v>1661</v>
      </c>
      <c r="AD808" s="0" t="s">
        <v>216</v>
      </c>
      <c r="AE808" s="0" t="n">
        <v>0</v>
      </c>
      <c r="AF808" s="0" t="s">
        <v>7417</v>
      </c>
      <c r="AG808" s="0" t="n">
        <v>0</v>
      </c>
      <c r="AH808" s="0" t="s">
        <v>7418</v>
      </c>
      <c r="AI808" s="0" t="s">
        <v>7419</v>
      </c>
      <c r="AJ808" s="0" t="s">
        <v>2179</v>
      </c>
      <c r="AL808" s="0" t="s">
        <v>7420</v>
      </c>
      <c r="AM808" s="0" t="n">
        <v>1</v>
      </c>
      <c r="AN808" s="0" t="s">
        <v>7418</v>
      </c>
      <c r="AO808" s="0" t="s">
        <v>7419</v>
      </c>
      <c r="AP808" s="0" t="s">
        <v>2179</v>
      </c>
      <c r="AR808" s="0" t="s">
        <v>7421</v>
      </c>
      <c r="AS808" s="0" t="n">
        <v>1</v>
      </c>
      <c r="AT808" s="0" t="s">
        <v>7418</v>
      </c>
      <c r="AU808" s="0" t="s">
        <v>7419</v>
      </c>
      <c r="AV808" s="0" t="s">
        <v>2179</v>
      </c>
      <c r="AX808" s="0" t="s">
        <v>213</v>
      </c>
      <c r="AY808" s="0" t="n">
        <v>1</v>
      </c>
      <c r="AZ808" s="0" t="s">
        <v>7418</v>
      </c>
      <c r="BA808" s="0" t="s">
        <v>7419</v>
      </c>
      <c r="BB808" s="0" t="s">
        <v>2179</v>
      </c>
      <c r="BR808" s="0" t="n">
        <v>1</v>
      </c>
      <c r="BS808" s="0" t="s">
        <v>5038</v>
      </c>
      <c r="BT808" s="0" t="s">
        <v>1809</v>
      </c>
      <c r="BU808" s="0" t="s">
        <v>823</v>
      </c>
      <c r="BV808" s="123"/>
      <c r="BW808" s="123"/>
      <c r="BX808" s="123"/>
      <c r="BY808" s="123"/>
      <c r="CA808" s="0" t="s">
        <v>216</v>
      </c>
      <c r="CD808" s="0" t="s">
        <v>370</v>
      </c>
      <c r="CE808" s="0" t="n">
        <v>0</v>
      </c>
      <c r="CF808" s="0" t="s">
        <v>527</v>
      </c>
      <c r="CI808" s="1" t="n">
        <v>40310</v>
      </c>
      <c r="CJ808" s="1" t="n">
        <v>40632</v>
      </c>
      <c r="CK808" s="124" t="n">
        <v>0.354166666666667</v>
      </c>
      <c r="CL808" s="0" t="s">
        <v>7421</v>
      </c>
      <c r="CM808" s="0" t="n">
        <f aca="false">IF(OR(CI808="",CJ808=""),"",DAYS360(CI808,CJ808)/360)</f>
        <v>0.883333333333333</v>
      </c>
      <c r="CN808" s="0" t="n">
        <f aca="false">IF(OR(CI808="",CJ808=""),"",DAYS360(CI808,CJ808)/30)</f>
        <v>10.6</v>
      </c>
      <c r="CO808" s="0" t="n">
        <f aca="false">IF(OR(CI808="",CJ808=""),"",DAYS360(CI808,CJ808)/7)</f>
        <v>45.4285714285714</v>
      </c>
      <c r="CP808" s="0" t="n">
        <f aca="false">IF(OR(CI808="",CJ808=""),"",DAYS360(CI808,CJ808))</f>
        <v>318</v>
      </c>
      <c r="CQ808" s="0" t="s">
        <v>240</v>
      </c>
      <c r="CR808" s="0" t="n">
        <v>1</v>
      </c>
      <c r="CT808" s="0" t="s">
        <v>221</v>
      </c>
      <c r="CU808" s="0" t="s">
        <v>221</v>
      </c>
      <c r="CV808" s="0" t="str">
        <f aca="false">IF(OR(CT808="",CT808="NO ESPECIFICA",CT808="NO MENCIONA"),"",IF(CU808=0,CT808,IF(CU808=1,CT808/30,IF(CU808=2,CT808/15,IF(CU808=3,CT808/7,"")))))</f>
        <v/>
      </c>
      <c r="CW808" s="125" t="n">
        <v>150</v>
      </c>
      <c r="CX808" s="0" t="n">
        <v>0</v>
      </c>
      <c r="CY808" s="0" t="n">
        <f aca="false">IF(CW808="","",IF(CX808=0,CW808,IF(CX808=1,CW808/30,IF(CX808=2,CW808/15,IF(CX808=3,CW808/7,CW808)))))</f>
        <v>150</v>
      </c>
      <c r="CZ808" s="0" t="n">
        <f aca="false">IF(DI808&gt;0,DI808,IF(CY808&gt;0,CY808,IF(CV808&gt;0,CV808,"")))</f>
        <v>150</v>
      </c>
      <c r="DA808" s="0" t="n">
        <f aca="false">IF(DM808=1,CZ808/8,IF(OR(DM808=2,DM808=4),CZ808/7,IF(DM808=3,CZ808/7.5,"")))</f>
        <v>18.75</v>
      </c>
      <c r="DB808" s="0" t="s">
        <v>216</v>
      </c>
      <c r="DC808" s="0" t="s">
        <v>216</v>
      </c>
      <c r="DD808" s="0" t="s">
        <v>216</v>
      </c>
      <c r="DE808" s="0" t="s">
        <v>216</v>
      </c>
      <c r="DF808" s="0" t="s">
        <v>216</v>
      </c>
      <c r="DG808" s="0" t="s">
        <v>216</v>
      </c>
      <c r="DH808" s="0" t="n">
        <v>0</v>
      </c>
      <c r="DI808" s="126" t="n">
        <v>150</v>
      </c>
      <c r="DK808" s="0" t="n">
        <v>0</v>
      </c>
      <c r="DM808" s="0" t="n">
        <v>1</v>
      </c>
      <c r="DN808" s="0" t="n">
        <v>60</v>
      </c>
      <c r="DO808" s="0" t="n">
        <v>3</v>
      </c>
      <c r="DP808" s="0" t="n">
        <v>0</v>
      </c>
      <c r="DQ808" s="0" t="n">
        <v>1</v>
      </c>
      <c r="DR808" s="0"/>
      <c r="DS808" s="0" t="n">
        <v>1</v>
      </c>
      <c r="DU808" s="0" t="n">
        <v>1</v>
      </c>
      <c r="DW808" s="1" t="n">
        <v>40310</v>
      </c>
      <c r="DX808" s="1" t="n">
        <v>40632</v>
      </c>
      <c r="DZ808" s="0"/>
      <c r="EA808" s="0" t="n">
        <v>1</v>
      </c>
      <c r="EC808" s="1" t="n">
        <v>40310</v>
      </c>
      <c r="ED808" s="1" t="n">
        <v>40632</v>
      </c>
      <c r="EF808" s="0"/>
      <c r="EG808" s="0" t="n">
        <v>1</v>
      </c>
      <c r="EH808" s="0" t="n">
        <v>12</v>
      </c>
      <c r="EI808" s="0" t="n">
        <f aca="false">IF(AND(DM808=1,DN808&lt;=48),"",IF(AND(DM808=2,DN808&lt;=42),"",IF(AND(DM808=3,DN808&lt;=45),"",EH808)))</f>
        <v>12</v>
      </c>
      <c r="EJ808" s="0" t="n">
        <f aca="false">IF(EI808="","",IF(EI808&lt;9,EI808,9))</f>
        <v>9</v>
      </c>
      <c r="EK808" s="0" t="n">
        <f aca="false">IF(EI808="","",IF(EI808&gt;9,EI808-EJ808,0))</f>
        <v>3</v>
      </c>
      <c r="EL808" s="0" t="n">
        <f aca="false">IF(EI808="","",EJ808*DA808*2+EK808*DA808*3)</f>
        <v>506.25</v>
      </c>
      <c r="EP808" s="0" t="n">
        <v>0</v>
      </c>
      <c r="EQ808" s="0"/>
      <c r="ER808" s="0" t="n">
        <v>1</v>
      </c>
      <c r="ET808" s="0" t="n">
        <v>0</v>
      </c>
      <c r="EV808" s="0" t="n">
        <v>0</v>
      </c>
      <c r="EX808" s="0" t="n">
        <v>0</v>
      </c>
      <c r="EY808" s="0" t="n">
        <v>0</v>
      </c>
      <c r="EZ808" s="0"/>
      <c r="FA808" s="4" t="n">
        <v>2250</v>
      </c>
      <c r="FB808" s="0" t="n">
        <v>1</v>
      </c>
      <c r="FC808" s="1" t="n">
        <v>41207</v>
      </c>
      <c r="FD808" s="0" t="n">
        <v>1</v>
      </c>
      <c r="FE808" s="0" t="n">
        <v>4000</v>
      </c>
      <c r="FF808" s="120" t="n">
        <f aca="false">(CJ808-CI808+1)/365</f>
        <v>0.884931506849315</v>
      </c>
      <c r="FG808" s="0" t="str">
        <f aca="false">CONCATENATE(F808,"/",G808)</f>
        <v>861/2011</v>
      </c>
      <c r="FH808" s="0" t="n">
        <v>1</v>
      </c>
      <c r="FI808" s="0" t="n">
        <f aca="false">IFERROR(IF((FC808-J808+1)/365&gt;3,0,1),"")</f>
        <v>1</v>
      </c>
    </row>
    <row r="809" customFormat="false" ht="15" hidden="false" customHeight="false" outlineLevel="0" collapsed="false">
      <c r="A809" s="5" t="str">
        <f aca="false">E809&amp;G809&amp;F809</f>
        <v>72011866</v>
      </c>
      <c r="B809" s="0" t="s">
        <v>7298</v>
      </c>
      <c r="C809" s="1" t="n">
        <v>42366</v>
      </c>
      <c r="E809" s="0" t="n">
        <v>7</v>
      </c>
      <c r="F809" s="0" t="n">
        <v>866</v>
      </c>
      <c r="G809" s="0" t="n">
        <v>2011</v>
      </c>
      <c r="H809" s="0" t="str">
        <f aca="false">"J"&amp;E809&amp;"\"&amp;F809&amp;"\"&amp;G809&amp;"\"&amp;W809</f>
        <v>J7\866\2011\1</v>
      </c>
      <c r="I809" s="0"/>
      <c r="J809" s="1" t="n">
        <v>40680</v>
      </c>
      <c r="M809" s="1"/>
      <c r="N809" s="1"/>
      <c r="O809" s="1"/>
      <c r="P809" s="1"/>
      <c r="Q809" s="1"/>
      <c r="T809" s="121"/>
      <c r="U809" s="121"/>
      <c r="V809" s="122" t="n">
        <f aca="false">IF(AND(E809&gt;0,F809&gt;0,G809&gt;0),COUNTIFS($E:$E,E809,$F:$F,F809,$G:$G,G809),"")</f>
        <v>1</v>
      </c>
      <c r="W809" s="122" t="n">
        <f aca="false">IF(V809="","",IF(V809=1,1,IF(AND(E808=E809,F808=F809,G808=G809),W808+1,1)))</f>
        <v>1</v>
      </c>
      <c r="X809" s="0" t="n">
        <v>1</v>
      </c>
      <c r="Y809" s="0" t="n">
        <v>3</v>
      </c>
      <c r="Z809" s="0" t="s">
        <v>7422</v>
      </c>
      <c r="AA809" s="0" t="n">
        <v>0</v>
      </c>
      <c r="AB809" s="0" t="s">
        <v>7423</v>
      </c>
      <c r="AC809" s="0" t="s">
        <v>1611</v>
      </c>
      <c r="AD809" s="0" t="s">
        <v>1160</v>
      </c>
      <c r="AE809" s="0" t="n">
        <v>0</v>
      </c>
      <c r="AF809" s="0" t="s">
        <v>6569</v>
      </c>
      <c r="AG809" s="0" t="n">
        <v>0</v>
      </c>
      <c r="AH809" s="0" t="s">
        <v>7424</v>
      </c>
      <c r="AI809" s="0" t="s">
        <v>1635</v>
      </c>
      <c r="AJ809" s="0" t="s">
        <v>1160</v>
      </c>
      <c r="AL809" s="0" t="s">
        <v>7425</v>
      </c>
      <c r="AM809" s="0" t="n">
        <v>1</v>
      </c>
      <c r="AN809" s="0" t="s">
        <v>7424</v>
      </c>
      <c r="AO809" s="0" t="s">
        <v>1635</v>
      </c>
      <c r="AP809" s="0" t="s">
        <v>1160</v>
      </c>
      <c r="AR809" s="0" t="s">
        <v>213</v>
      </c>
      <c r="AS809" s="0" t="n">
        <v>1</v>
      </c>
      <c r="AT809" s="0" t="s">
        <v>7424</v>
      </c>
      <c r="AU809" s="0" t="s">
        <v>1635</v>
      </c>
      <c r="AV809" s="0" t="s">
        <v>1160</v>
      </c>
      <c r="BR809" s="0" t="n">
        <v>1</v>
      </c>
      <c r="BS809" s="0" t="s">
        <v>7426</v>
      </c>
      <c r="BT809" s="0" t="s">
        <v>7427</v>
      </c>
      <c r="BU809" s="0" t="s">
        <v>7428</v>
      </c>
      <c r="BV809" s="123"/>
      <c r="BW809" s="123"/>
      <c r="BX809" s="123"/>
      <c r="BY809" s="123"/>
      <c r="CA809" s="0" t="s">
        <v>216</v>
      </c>
      <c r="CD809" s="0" t="s">
        <v>296</v>
      </c>
      <c r="CE809" s="0" t="n">
        <v>0</v>
      </c>
      <c r="CF809" s="0" t="s">
        <v>7429</v>
      </c>
      <c r="CI809" s="1" t="n">
        <v>40185</v>
      </c>
      <c r="CJ809" s="1" t="n">
        <v>40657</v>
      </c>
      <c r="CK809" s="124" t="n">
        <v>0.520833333333333</v>
      </c>
      <c r="CL809" s="0" t="s">
        <v>7425</v>
      </c>
      <c r="CM809" s="0" t="n">
        <f aca="false">IF(OR(CI809="",CJ809=""),"",DAYS360(CI809,CJ809)/360)</f>
        <v>1.29722222222222</v>
      </c>
      <c r="CN809" s="0" t="n">
        <f aca="false">IF(OR(CI809="",CJ809=""),"",DAYS360(CI809,CJ809)/30)</f>
        <v>15.5666666666667</v>
      </c>
      <c r="CO809" s="0" t="n">
        <f aca="false">IF(OR(CI809="",CJ809=""),"",DAYS360(CI809,CJ809)/7)</f>
        <v>66.7142857142857</v>
      </c>
      <c r="CP809" s="0" t="n">
        <f aca="false">IF(OR(CI809="",CJ809=""),"",DAYS360(CI809,CJ809))</f>
        <v>467</v>
      </c>
      <c r="CQ809" s="0" t="s">
        <v>240</v>
      </c>
      <c r="CR809" s="0" t="n">
        <v>1</v>
      </c>
      <c r="CT809" s="0" t="s">
        <v>221</v>
      </c>
      <c r="CU809" s="0" t="s">
        <v>221</v>
      </c>
      <c r="CV809" s="0" t="str">
        <f aca="false">IF(OR(CT809="",CT809="NO ESPECIFICA",CT809="NO MENCIONA"),"",IF(CU809=0,CT809,IF(CU809=1,CT809/30,IF(CU809=2,CT809/15,IF(CU809=3,CT809/7,"")))))</f>
        <v/>
      </c>
      <c r="CW809" s="125" t="s">
        <v>7430</v>
      </c>
      <c r="CX809" s="0" t="n">
        <v>0</v>
      </c>
      <c r="CY809" s="0" t="str">
        <f aca="false">IF(CW809="","",IF(CX809=0,CW809,IF(CX809=1,CW809/30,IF(CX809=2,CW809/15,IF(CX809=3,CW809/7,CW809)))))</f>
        <v>233.33</v>
      </c>
      <c r="CZ809" s="0" t="n">
        <f aca="false">IF(DI809&gt;0,DI809,IF(CY809&gt;0,CY809,IF(CV809&gt;0,CV809,"")))</f>
        <v>299.96</v>
      </c>
      <c r="DA809" s="0" t="n">
        <f aca="false">IF(DM809=1,CZ809/8,IF(OR(DM809=2,DM809=4),CZ809/7,IF(DM809=3,CZ809/7.5,"")))</f>
        <v>37.495</v>
      </c>
      <c r="DB809" s="0" t="s">
        <v>771</v>
      </c>
      <c r="DC809" s="0" t="s">
        <v>216</v>
      </c>
      <c r="DD809" s="0" t="s">
        <v>216</v>
      </c>
      <c r="DE809" s="0" t="s">
        <v>216</v>
      </c>
      <c r="DF809" s="0" t="s">
        <v>216</v>
      </c>
      <c r="DG809" s="0" t="s">
        <v>216</v>
      </c>
      <c r="DH809" s="0" t="n">
        <v>0</v>
      </c>
      <c r="DI809" s="126" t="n">
        <v>299.96</v>
      </c>
      <c r="DK809" s="0" t="n">
        <v>0</v>
      </c>
      <c r="DM809" s="0" t="n">
        <v>1</v>
      </c>
      <c r="DN809" s="0" t="n">
        <v>45</v>
      </c>
      <c r="DO809" s="0" t="n">
        <v>3</v>
      </c>
      <c r="DP809" s="0" t="n">
        <v>0</v>
      </c>
      <c r="DQ809" s="0" t="n">
        <v>1</v>
      </c>
      <c r="DR809" s="0" t="n">
        <v>20990.7</v>
      </c>
      <c r="DS809" s="0" t="n">
        <v>1</v>
      </c>
      <c r="DU809" s="0" t="n">
        <v>1</v>
      </c>
      <c r="DV809" s="0" t="n">
        <v>2799.96</v>
      </c>
      <c r="DW809" s="1" t="n">
        <v>40185</v>
      </c>
      <c r="DX809" s="1" t="n">
        <v>40657</v>
      </c>
      <c r="DZ809" s="0" t="n">
        <v>1399.98</v>
      </c>
      <c r="EA809" s="0" t="n">
        <v>1</v>
      </c>
      <c r="EB809" s="0" t="n">
        <v>466.66</v>
      </c>
      <c r="EC809" s="1" t="n">
        <v>40544</v>
      </c>
      <c r="ED809" s="1" t="n">
        <v>40657</v>
      </c>
      <c r="EF809" s="0" t="n">
        <v>875</v>
      </c>
      <c r="EG809" s="0" t="n">
        <v>0</v>
      </c>
      <c r="EI809" s="0" t="str">
        <f aca="false">IF(AND(DM809=1,DN809&lt;=48),"",IF(AND(DM809=2,DN809&lt;=42),"",IF(AND(DM809=3,DN809&lt;=45),"",EH809)))</f>
        <v/>
      </c>
      <c r="EJ809" s="0" t="str">
        <f aca="false">IF(EI809="","",IF(EI809&lt;9,EI809,9))</f>
        <v/>
      </c>
      <c r="EK809" s="0" t="str">
        <f aca="false">IF(EI809="","",IF(EI809&gt;9,EI809-EJ809,0))</f>
        <v/>
      </c>
      <c r="EL809" s="0" t="str">
        <f aca="false">IF(EI809="","",EJ809*DA809*2+EK809*DA809*3)</f>
        <v/>
      </c>
      <c r="EP809" s="0" t="n">
        <v>1</v>
      </c>
      <c r="EQ809" s="0" t="n">
        <v>4666</v>
      </c>
      <c r="ER809" s="0" t="n">
        <v>0</v>
      </c>
      <c r="ET809" s="0" t="n">
        <v>0</v>
      </c>
      <c r="EV809" s="0" t="n">
        <v>0</v>
      </c>
      <c r="EX809" s="0" t="n">
        <v>1</v>
      </c>
      <c r="EY809" s="0" t="n">
        <v>1</v>
      </c>
      <c r="EZ809" s="0"/>
      <c r="FA809" s="4" t="n">
        <v>3499.94</v>
      </c>
      <c r="FB809" s="0" t="n">
        <v>1</v>
      </c>
      <c r="FC809" s="1" t="n">
        <v>40871</v>
      </c>
      <c r="FD809" s="0" t="n">
        <v>1</v>
      </c>
      <c r="FE809" s="0" t="n">
        <v>20000</v>
      </c>
      <c r="FF809" s="120" t="n">
        <f aca="false">(CJ809-CI809+1)/365</f>
        <v>1.2958904109589</v>
      </c>
      <c r="FG809" s="0" t="str">
        <f aca="false">CONCATENATE(F809,"/",G809)</f>
        <v>866/2011</v>
      </c>
      <c r="FH809" s="0" t="n">
        <v>1</v>
      </c>
      <c r="FI809" s="0" t="n">
        <f aca="false">IFERROR(IF((FC809-J809+1)/365&gt;3,0,1),"")</f>
        <v>1</v>
      </c>
    </row>
    <row r="810" customFormat="false" ht="15" hidden="false" customHeight="false" outlineLevel="0" collapsed="false">
      <c r="A810" s="5" t="str">
        <f aca="false">E810&amp;G810&amp;F810</f>
        <v>72011869</v>
      </c>
      <c r="B810" s="0" t="s">
        <v>7298</v>
      </c>
      <c r="C810" s="1" t="n">
        <v>42366</v>
      </c>
      <c r="E810" s="0" t="n">
        <v>7</v>
      </c>
      <c r="F810" s="0" t="n">
        <v>869</v>
      </c>
      <c r="G810" s="0" t="n">
        <v>2011</v>
      </c>
      <c r="H810" s="0" t="str">
        <f aca="false">"J"&amp;E810&amp;"\"&amp;F810&amp;"\"&amp;G810&amp;"\"&amp;W810</f>
        <v>J7\869\2011\1</v>
      </c>
      <c r="I810" s="0"/>
      <c r="J810" s="1" t="n">
        <v>40680</v>
      </c>
      <c r="M810" s="1"/>
      <c r="N810" s="1"/>
      <c r="O810" s="1"/>
      <c r="P810" s="1"/>
      <c r="Q810" s="1"/>
      <c r="T810" s="121"/>
      <c r="U810" s="121"/>
      <c r="V810" s="122" t="n">
        <f aca="false">IF(AND(E810&gt;0,F810&gt;0,G810&gt;0),COUNTIFS($E:$E,E810,$F:$F,F810,$G:$G,G810),"")</f>
        <v>1</v>
      </c>
      <c r="W810" s="122" t="n">
        <f aca="false">IF(V810="","",IF(V810=1,1,IF(AND(E809=E810,F809=F810,G809=G810),W809+1,1)))</f>
        <v>1</v>
      </c>
      <c r="X810" s="0" t="n">
        <v>1</v>
      </c>
      <c r="Y810" s="0" t="n">
        <v>2</v>
      </c>
      <c r="Z810" s="0" t="s">
        <v>7431</v>
      </c>
      <c r="AA810" s="0" t="n">
        <v>0</v>
      </c>
      <c r="AB810" s="0" t="s">
        <v>862</v>
      </c>
      <c r="AC810" s="0" t="s">
        <v>287</v>
      </c>
      <c r="AD810" s="0" t="s">
        <v>2218</v>
      </c>
      <c r="AE810" s="0" t="n">
        <v>0</v>
      </c>
      <c r="AF810" s="0" t="s">
        <v>7432</v>
      </c>
      <c r="AG810" s="0" t="n">
        <v>0</v>
      </c>
      <c r="AH810" s="0" t="s">
        <v>7433</v>
      </c>
      <c r="AI810" s="0" t="s">
        <v>287</v>
      </c>
      <c r="AJ810" s="0" t="s">
        <v>2218</v>
      </c>
      <c r="AL810" s="0" t="s">
        <v>7434</v>
      </c>
      <c r="AM810" s="0" t="n">
        <v>0</v>
      </c>
      <c r="AN810" s="0" t="s">
        <v>7433</v>
      </c>
      <c r="AO810" s="0" t="s">
        <v>287</v>
      </c>
      <c r="AP810" s="0" t="s">
        <v>2218</v>
      </c>
      <c r="BR810" s="0" t="n">
        <v>1</v>
      </c>
      <c r="BS810" s="0" t="s">
        <v>871</v>
      </c>
      <c r="BT810" s="0" t="s">
        <v>872</v>
      </c>
      <c r="BU810" s="0" t="s">
        <v>873</v>
      </c>
      <c r="BV810" s="123"/>
      <c r="BW810" s="123"/>
      <c r="BX810" s="123"/>
      <c r="BY810" s="123"/>
      <c r="CA810" s="0" t="s">
        <v>216</v>
      </c>
      <c r="CD810" s="0" t="s">
        <v>256</v>
      </c>
      <c r="CE810" s="0" t="n">
        <v>0</v>
      </c>
      <c r="CF810" s="0" t="s">
        <v>216</v>
      </c>
      <c r="CI810" s="1" t="n">
        <v>40498</v>
      </c>
      <c r="CJ810" s="1" t="n">
        <v>40679</v>
      </c>
      <c r="CK810" s="124" t="n">
        <v>0.833333333333333</v>
      </c>
      <c r="CL810" s="0" t="s">
        <v>7435</v>
      </c>
      <c r="CM810" s="0" t="n">
        <f aca="false">IF(OR(CI810="",CJ810=""),"",DAYS360(CI810,CJ810)/360)</f>
        <v>0.5</v>
      </c>
      <c r="CN810" s="0" t="n">
        <f aca="false">IF(OR(CI810="",CJ810=""),"",DAYS360(CI810,CJ810)/30)</f>
        <v>6</v>
      </c>
      <c r="CO810" s="0" t="n">
        <f aca="false">IF(OR(CI810="",CJ810=""),"",DAYS360(CI810,CJ810)/7)</f>
        <v>25.7142857142857</v>
      </c>
      <c r="CP810" s="0" t="n">
        <f aca="false">IF(OR(CI810="",CJ810=""),"",DAYS360(CI810,CJ810))</f>
        <v>180</v>
      </c>
      <c r="CQ810" s="0" t="s">
        <v>220</v>
      </c>
      <c r="CR810" s="0" t="n">
        <v>1</v>
      </c>
      <c r="CT810" s="0" t="n">
        <v>418.81</v>
      </c>
      <c r="CU810" s="0" t="n">
        <v>3</v>
      </c>
      <c r="CV810" s="0" t="n">
        <f aca="false">IF(OR(CT810="",CT810="NO ESPECIFICA",CT810="NO MENCIONA"),"",IF(CU810=0,CT810,IF(CU810=1,CT810/30,IF(CU810=2,CT810/15,IF(CU810=3,CT810/7,"")))))</f>
        <v>59.83</v>
      </c>
      <c r="CW810" s="125" t="n">
        <v>307.95</v>
      </c>
      <c r="CX810" s="0" t="n">
        <v>0</v>
      </c>
      <c r="CY810" s="0" t="n">
        <f aca="false">IF(CW810="","",IF(CX810=0,CW810,IF(CX810=1,CW810/30,IF(CX810=2,CW810/15,IF(CX810=3,CW810/7,CW810)))))</f>
        <v>307.95</v>
      </c>
      <c r="CZ810" s="0" t="n">
        <f aca="false">IF(DI810&gt;0,DI810,IF(CY810&gt;0,CY810,IF(CV810&gt;0,CV810,"")))</f>
        <v>307.95</v>
      </c>
      <c r="DA810" s="0" t="n">
        <f aca="false">IF(DM810=1,CZ810/8,IF(OR(DM810=2,DM810=4),CZ810/7,IF(DM810=3,CZ810/7.5,"")))</f>
        <v>38.49375</v>
      </c>
      <c r="DB810" s="0" t="s">
        <v>7436</v>
      </c>
      <c r="DC810" s="0" t="s">
        <v>1119</v>
      </c>
      <c r="DD810" s="0" t="s">
        <v>7437</v>
      </c>
      <c r="DE810" s="0" t="s">
        <v>7438</v>
      </c>
      <c r="DF810" s="0" t="s">
        <v>258</v>
      </c>
      <c r="DG810" s="0" t="s">
        <v>2315</v>
      </c>
      <c r="DH810" s="0" t="n">
        <v>0</v>
      </c>
      <c r="DI810" s="126" t="n">
        <v>307.95</v>
      </c>
      <c r="DK810" s="0" t="n">
        <v>0</v>
      </c>
      <c r="DM810" s="0" t="n">
        <v>1</v>
      </c>
      <c r="DN810" s="0" t="n">
        <v>36</v>
      </c>
      <c r="DO810" s="0" t="n">
        <v>3</v>
      </c>
      <c r="DP810" s="0" t="n">
        <v>1</v>
      </c>
      <c r="DQ810" s="0" t="n">
        <v>1</v>
      </c>
      <c r="DR810" s="0"/>
      <c r="DS810" s="0" t="n">
        <v>1</v>
      </c>
      <c r="DU810" s="0" t="n">
        <v>1</v>
      </c>
      <c r="DW810" s="1" t="n">
        <v>40498</v>
      </c>
      <c r="DX810" s="1" t="n">
        <v>40679</v>
      </c>
      <c r="DZ810" s="0"/>
      <c r="EA810" s="0" t="n">
        <v>1</v>
      </c>
      <c r="EC810" s="1" t="n">
        <v>40544</v>
      </c>
      <c r="ED810" s="1" t="n">
        <v>40679</v>
      </c>
      <c r="EF810" s="0"/>
      <c r="EG810" s="0" t="n">
        <v>0</v>
      </c>
      <c r="EI810" s="0" t="str">
        <f aca="false">IF(AND(DM810=1,DN810&lt;=48),"",IF(AND(DM810=2,DN810&lt;=42),"",IF(AND(DM810=3,DN810&lt;=45),"",EH810)))</f>
        <v/>
      </c>
      <c r="EJ810" s="0" t="str">
        <f aca="false">IF(EI810="","",IF(EI810&lt;9,EI810,9))</f>
        <v/>
      </c>
      <c r="EK810" s="0" t="str">
        <f aca="false">IF(EI810="","",IF(EI810&gt;9,EI810-EJ810,0))</f>
        <v/>
      </c>
      <c r="EL810" s="0" t="str">
        <f aca="false">IF(EI810="","",EJ810*DA810*2+EK810*DA810*3)</f>
        <v/>
      </c>
      <c r="EP810" s="0" t="n">
        <v>1</v>
      </c>
      <c r="EQ810" s="0"/>
      <c r="ER810" s="0" t="n">
        <v>0</v>
      </c>
      <c r="ET810" s="0" t="n">
        <v>0</v>
      </c>
      <c r="EV810" s="0" t="n">
        <v>0</v>
      </c>
      <c r="EX810" s="0" t="n">
        <v>1</v>
      </c>
      <c r="EY810" s="0" t="n">
        <v>0</v>
      </c>
      <c r="EZ810" s="0"/>
      <c r="FA810" s="4" t="n">
        <v>16847.7</v>
      </c>
      <c r="FB810" s="0" t="n">
        <v>0</v>
      </c>
      <c r="FC810" s="1" t="n">
        <v>40695</v>
      </c>
      <c r="FD810" s="0" t="n">
        <v>2</v>
      </c>
      <c r="FE810" s="0" t="n">
        <v>0</v>
      </c>
      <c r="FF810" s="120" t="n">
        <f aca="false">(CJ810-CI810+1)/365</f>
        <v>0.498630136986301</v>
      </c>
      <c r="FG810" s="0" t="str">
        <f aca="false">CONCATENATE(F810,"/",G810)</f>
        <v>869/2011</v>
      </c>
      <c r="FH810" s="0" t="n">
        <v>1</v>
      </c>
      <c r="FI810" s="0" t="n">
        <f aca="false">IFERROR(IF((FC810-J810+1)/365&gt;3,0,1),"")</f>
        <v>1</v>
      </c>
    </row>
    <row r="811" customFormat="false" ht="15" hidden="false" customHeight="false" outlineLevel="0" collapsed="false">
      <c r="A811" s="5" t="str">
        <f aca="false">E811&amp;G811&amp;F811</f>
        <v>72011870</v>
      </c>
      <c r="B811" s="0" t="s">
        <v>7298</v>
      </c>
      <c r="C811" s="1" t="n">
        <v>42366</v>
      </c>
      <c r="E811" s="0" t="n">
        <v>7</v>
      </c>
      <c r="F811" s="0" t="n">
        <v>870</v>
      </c>
      <c r="G811" s="0" t="n">
        <v>2011</v>
      </c>
      <c r="H811" s="0" t="str">
        <f aca="false">"J"&amp;E811&amp;"\"&amp;F811&amp;"\"&amp;G811&amp;"\"&amp;W811</f>
        <v>J7\870\2011\1</v>
      </c>
      <c r="I811" s="0"/>
      <c r="J811" s="1" t="n">
        <v>40681</v>
      </c>
      <c r="M811" s="1"/>
      <c r="N811" s="1"/>
      <c r="O811" s="1"/>
      <c r="P811" s="1"/>
      <c r="Q811" s="1"/>
      <c r="T811" s="121"/>
      <c r="U811" s="121"/>
      <c r="V811" s="122" t="n">
        <f aca="false">IF(AND(E811&gt;0,F811&gt;0,G811&gt;0),COUNTIFS($E:$E,E811,$F:$F,F811,$G:$G,G811),"")</f>
        <v>1</v>
      </c>
      <c r="W811" s="122" t="n">
        <f aca="false">IF(V811="","",IF(V811=1,1,IF(AND(E810=E811,F810=F811,G810=G811),W810+1,1)))</f>
        <v>1</v>
      </c>
      <c r="X811" s="0" t="n">
        <v>1</v>
      </c>
      <c r="Y811" s="0" t="n">
        <v>3</v>
      </c>
      <c r="Z811" s="0" t="s">
        <v>7439</v>
      </c>
      <c r="AA811" s="0" t="n">
        <v>0</v>
      </c>
      <c r="AB811" s="0" t="s">
        <v>5042</v>
      </c>
      <c r="AC811" s="0" t="s">
        <v>789</v>
      </c>
      <c r="AD811" s="0" t="s">
        <v>216</v>
      </c>
      <c r="AE811" s="0" t="n">
        <v>0</v>
      </c>
      <c r="AF811" s="0" t="s">
        <v>7440</v>
      </c>
      <c r="AG811" s="0" t="n">
        <v>0</v>
      </c>
      <c r="AH811" s="0" t="s">
        <v>7441</v>
      </c>
      <c r="AI811" s="0" t="s">
        <v>598</v>
      </c>
      <c r="AJ811" s="0" t="s">
        <v>5607</v>
      </c>
      <c r="AL811" s="0" t="s">
        <v>7442</v>
      </c>
      <c r="AM811" s="0" t="n">
        <v>1</v>
      </c>
      <c r="AN811" s="0" t="s">
        <v>7441</v>
      </c>
      <c r="AO811" s="0" t="s">
        <v>598</v>
      </c>
      <c r="AP811" s="0" t="s">
        <v>5607</v>
      </c>
      <c r="AR811" s="0" t="s">
        <v>7443</v>
      </c>
      <c r="AS811" s="0" t="n">
        <v>1</v>
      </c>
      <c r="AT811" s="0" t="s">
        <v>7441</v>
      </c>
      <c r="AU811" s="0" t="s">
        <v>598</v>
      </c>
      <c r="AV811" s="0" t="s">
        <v>5607</v>
      </c>
      <c r="BR811" s="0" t="n">
        <v>1</v>
      </c>
      <c r="BS811" s="0" t="s">
        <v>4405</v>
      </c>
      <c r="BT811" s="0" t="s">
        <v>5046</v>
      </c>
      <c r="BU811" s="0" t="s">
        <v>5047</v>
      </c>
      <c r="BV811" s="123"/>
      <c r="BW811" s="123"/>
      <c r="BX811" s="123"/>
      <c r="BY811" s="123"/>
      <c r="CA811" s="0" t="s">
        <v>4406</v>
      </c>
      <c r="CD811" s="0" t="s">
        <v>216</v>
      </c>
      <c r="CE811" s="0" t="n">
        <v>0</v>
      </c>
      <c r="CF811" s="0" t="s">
        <v>7444</v>
      </c>
      <c r="CI811" s="1" t="n">
        <v>38749</v>
      </c>
      <c r="CJ811" s="1" t="n">
        <v>40647</v>
      </c>
      <c r="CK811" s="124" t="n">
        <v>0.416666666666667</v>
      </c>
      <c r="CL811" s="0" t="s">
        <v>7443</v>
      </c>
      <c r="CM811" s="0" t="n">
        <f aca="false">IF(OR(CI811="",CJ811=""),"",DAYS360(CI811,CJ811)/360)</f>
        <v>5.20277777777778</v>
      </c>
      <c r="CN811" s="0" t="n">
        <f aca="false">IF(OR(CI811="",CJ811=""),"",DAYS360(CI811,CJ811)/30)</f>
        <v>62.4333333333333</v>
      </c>
      <c r="CO811" s="0" t="n">
        <f aca="false">IF(OR(CI811="",CJ811=""),"",DAYS360(CI811,CJ811)/7)</f>
        <v>267.571428571429</v>
      </c>
      <c r="CP811" s="0" t="n">
        <f aca="false">IF(OR(CI811="",CJ811=""),"",DAYS360(CI811,CJ811))</f>
        <v>1873</v>
      </c>
      <c r="CQ811" s="0" t="s">
        <v>220</v>
      </c>
      <c r="CR811" s="0" t="n">
        <v>1</v>
      </c>
      <c r="CT811" s="0" t="n">
        <v>633.33</v>
      </c>
      <c r="CU811" s="0" t="n">
        <v>0</v>
      </c>
      <c r="CV811" s="0" t="n">
        <f aca="false">IF(OR(CT811="",CT811="NO ESPECIFICA",CT811="NO MENCIONA"),"",IF(CU811=0,CT811,IF(CU811=1,CT811/30,IF(CU811=2,CT811/15,IF(CU811=3,CT811/7,"")))))</f>
        <v>633.33</v>
      </c>
      <c r="CW811" s="125" t="n">
        <v>690.58</v>
      </c>
      <c r="CX811" s="0" t="n">
        <v>0</v>
      </c>
      <c r="CY811" s="0" t="n">
        <f aca="false">IF(CW811="","",IF(CX811=0,CW811,IF(CX811=1,CW811/30,IF(CX811=2,CW811/15,IF(CX811=3,CW811/7,CW811)))))</f>
        <v>690.58</v>
      </c>
      <c r="CZ811" s="0" t="n">
        <f aca="false">IF(DI811&gt;0,DI811,IF(CY811&gt;0,CY811,IF(CV811&gt;0,CV811,"")))</f>
        <v>690.58</v>
      </c>
      <c r="DA811" s="0" t="n">
        <f aca="false">IF(DM811=1,CZ811/8,IF(OR(DM811=2,DM811=4),CZ811/7,IF(DM811=3,CZ811/7.5,"")))</f>
        <v>86.3225</v>
      </c>
      <c r="DB811" s="0" t="s">
        <v>303</v>
      </c>
      <c r="DC811" s="0" t="s">
        <v>301</v>
      </c>
      <c r="DD811" s="0" t="s">
        <v>7445</v>
      </c>
      <c r="DE811" s="0" t="s">
        <v>216</v>
      </c>
      <c r="DF811" s="0" t="s">
        <v>216</v>
      </c>
      <c r="DG811" s="0" t="s">
        <v>216</v>
      </c>
      <c r="DH811" s="0" t="n">
        <v>0</v>
      </c>
      <c r="DI811" s="126" t="n">
        <v>690.58</v>
      </c>
      <c r="DK811" s="0" t="n">
        <v>0</v>
      </c>
      <c r="DM811" s="0" t="n">
        <v>1</v>
      </c>
      <c r="DN811" s="0" t="n">
        <v>66</v>
      </c>
      <c r="DO811" s="0" t="n">
        <v>3</v>
      </c>
      <c r="DP811" s="0" t="n">
        <v>1</v>
      </c>
      <c r="DQ811" s="0" t="n">
        <v>1</v>
      </c>
      <c r="DR811" s="0"/>
      <c r="DS811" s="0" t="n">
        <v>1</v>
      </c>
      <c r="DU811" s="0" t="n">
        <v>1</v>
      </c>
      <c r="DV811" s="0" t="n">
        <v>7178.4</v>
      </c>
      <c r="DW811" s="1" t="n">
        <v>40210</v>
      </c>
      <c r="DX811" s="1" t="n">
        <v>40575</v>
      </c>
      <c r="DZ811" s="0"/>
      <c r="EA811" s="0" t="n">
        <v>1</v>
      </c>
      <c r="EC811" s="1" t="n">
        <v>40179</v>
      </c>
      <c r="ED811" s="1" t="n">
        <v>40543</v>
      </c>
      <c r="EF811" s="0" t="n">
        <v>19000</v>
      </c>
      <c r="EG811" s="0" t="n">
        <v>1</v>
      </c>
      <c r="EH811" s="0" t="n">
        <v>12</v>
      </c>
      <c r="EI811" s="0" t="n">
        <f aca="false">IF(AND(DM811=1,DN811&lt;=48),"",IF(AND(DM811=2,DN811&lt;=42),"",IF(AND(DM811=3,DN811&lt;=45),"",EH811)))</f>
        <v>12</v>
      </c>
      <c r="EJ811" s="0" t="n">
        <f aca="false">IF(EI811="","",IF(EI811&lt;9,EI811,9))</f>
        <v>9</v>
      </c>
      <c r="EK811" s="0" t="n">
        <f aca="false">IF(EI811="","",IF(EI811&gt;9,EI811-EJ811,0))</f>
        <v>3</v>
      </c>
      <c r="EL811" s="0" t="n">
        <f aca="false">IF(EI811="","",EJ811*DA811*2+EK811*DA811*3)</f>
        <v>2330.7075</v>
      </c>
      <c r="EP811" s="0" t="n">
        <v>1</v>
      </c>
      <c r="EQ811" s="0" t="n">
        <v>69058</v>
      </c>
      <c r="ER811" s="0" t="n">
        <v>0</v>
      </c>
      <c r="ET811" s="0" t="n">
        <v>0</v>
      </c>
      <c r="EV811" s="0" t="n">
        <v>1</v>
      </c>
      <c r="EX811" s="0" t="n">
        <v>0</v>
      </c>
      <c r="EY811" s="0" t="n">
        <v>1</v>
      </c>
      <c r="EZ811" s="0"/>
      <c r="FA811" s="4" t="n">
        <v>16800</v>
      </c>
      <c r="FB811" s="0" t="n">
        <v>0</v>
      </c>
      <c r="FC811" s="1" t="n">
        <v>40862</v>
      </c>
      <c r="FD811" s="0" t="n">
        <v>1</v>
      </c>
      <c r="FE811" s="0" t="n">
        <v>35000</v>
      </c>
      <c r="FF811" s="120" t="n">
        <f aca="false">(CJ811-CI811+1)/365</f>
        <v>5.2027397260274</v>
      </c>
      <c r="FG811" s="0" t="str">
        <f aca="false">CONCATENATE(F811,"/",G811)</f>
        <v>870/2011</v>
      </c>
      <c r="FH811" s="0" t="n">
        <v>1</v>
      </c>
      <c r="FI811" s="0" t="n">
        <f aca="false">IFERROR(IF((FC811-J811+1)/365&gt;3,0,1),"")</f>
        <v>1</v>
      </c>
    </row>
    <row r="812" customFormat="false" ht="15" hidden="false" customHeight="false" outlineLevel="0" collapsed="false">
      <c r="A812" s="5" t="str">
        <f aca="false">E812&amp;G812&amp;F812</f>
        <v>72011874</v>
      </c>
      <c r="B812" s="0" t="s">
        <v>7298</v>
      </c>
      <c r="C812" s="1" t="n">
        <v>42366</v>
      </c>
      <c r="E812" s="0" t="n">
        <v>7</v>
      </c>
      <c r="F812" s="0" t="n">
        <v>874</v>
      </c>
      <c r="G812" s="0" t="n">
        <v>2011</v>
      </c>
      <c r="H812" s="0" t="str">
        <f aca="false">"J"&amp;E812&amp;"\"&amp;F812&amp;"\"&amp;G812&amp;"\"&amp;W812</f>
        <v>J7\874\2011\1</v>
      </c>
      <c r="I812" s="0"/>
      <c r="J812" s="1" t="n">
        <v>40681</v>
      </c>
      <c r="M812" s="1"/>
      <c r="N812" s="1"/>
      <c r="O812" s="1"/>
      <c r="P812" s="1"/>
      <c r="Q812" s="1"/>
      <c r="T812" s="121"/>
      <c r="U812" s="121"/>
      <c r="V812" s="122" t="n">
        <f aca="false">IF(AND(E812&gt;0,F812&gt;0,G812&gt;0),COUNTIFS($E:$E,E812,$F:$F,F812,$G:$G,G812),"")</f>
        <v>1</v>
      </c>
      <c r="W812" s="122" t="n">
        <f aca="false">IF(V812="","",IF(V812=1,1,IF(AND(E811=E812,F811=F812,G811=G812),W811+1,1)))</f>
        <v>1</v>
      </c>
      <c r="X812" s="0" t="n">
        <v>1</v>
      </c>
      <c r="Y812" s="0" t="n">
        <v>2</v>
      </c>
      <c r="Z812" s="0" t="s">
        <v>7446</v>
      </c>
      <c r="AA812" s="0" t="n">
        <v>0</v>
      </c>
      <c r="AB812" s="0" t="s">
        <v>7447</v>
      </c>
      <c r="AC812" s="0" t="s">
        <v>318</v>
      </c>
      <c r="AD812" s="0" t="s">
        <v>1160</v>
      </c>
      <c r="AE812" s="0" t="n">
        <v>0</v>
      </c>
      <c r="AF812" s="0" t="s">
        <v>7448</v>
      </c>
      <c r="AG812" s="0" t="n">
        <v>0</v>
      </c>
      <c r="AH812" s="0" t="s">
        <v>7449</v>
      </c>
      <c r="AI812" s="0" t="s">
        <v>7450</v>
      </c>
      <c r="AJ812" s="0" t="s">
        <v>2218</v>
      </c>
      <c r="AL812" s="0" t="s">
        <v>213</v>
      </c>
      <c r="AM812" s="0" t="n">
        <v>1</v>
      </c>
      <c r="AN812" s="0" t="s">
        <v>7449</v>
      </c>
      <c r="AO812" s="0" t="s">
        <v>7450</v>
      </c>
      <c r="AP812" s="0" t="s">
        <v>2218</v>
      </c>
      <c r="BR812" s="0" t="n">
        <v>1</v>
      </c>
      <c r="BS812" s="0" t="s">
        <v>7451</v>
      </c>
      <c r="BT812" s="0" t="s">
        <v>7452</v>
      </c>
      <c r="BU812" s="0" t="s">
        <v>7453</v>
      </c>
      <c r="BV812" s="123"/>
      <c r="BW812" s="123"/>
      <c r="BX812" s="123"/>
      <c r="BY812" s="123"/>
      <c r="CA812" s="0" t="s">
        <v>216</v>
      </c>
      <c r="CD812" s="0" t="s">
        <v>256</v>
      </c>
      <c r="CE812" s="0" t="n">
        <v>0</v>
      </c>
      <c r="CF812" s="0" t="s">
        <v>4710</v>
      </c>
      <c r="CI812" s="1" t="n">
        <v>40376</v>
      </c>
      <c r="CJ812" s="1" t="n">
        <v>40620</v>
      </c>
      <c r="CK812" s="124" t="n">
        <v>0.416666666666667</v>
      </c>
      <c r="CL812" s="0" t="s">
        <v>7454</v>
      </c>
      <c r="CM812" s="0" t="n">
        <f aca="false">IF(OR(CI812="",CJ812=""),"",DAYS360(CI812,CJ812)/360)</f>
        <v>0.669444444444444</v>
      </c>
      <c r="CN812" s="0" t="n">
        <f aca="false">IF(OR(CI812="",CJ812=""),"",DAYS360(CI812,CJ812)/30)</f>
        <v>8.03333333333333</v>
      </c>
      <c r="CO812" s="0" t="n">
        <f aca="false">IF(OR(CI812="",CJ812=""),"",DAYS360(CI812,CJ812)/7)</f>
        <v>34.4285714285714</v>
      </c>
      <c r="CP812" s="0" t="n">
        <f aca="false">IF(OR(CI812="",CJ812=""),"",DAYS360(CI812,CJ812))</f>
        <v>241</v>
      </c>
      <c r="CQ812" s="0" t="s">
        <v>240</v>
      </c>
      <c r="CR812" s="0" t="n">
        <v>1</v>
      </c>
      <c r="CT812" s="0" t="n">
        <v>103.33</v>
      </c>
      <c r="CU812" s="0" t="n">
        <v>0</v>
      </c>
      <c r="CV812" s="0" t="n">
        <f aca="false">IF(OR(CT812="",CT812="NO ESPECIFICA",CT812="NO MENCIONA"),"",IF(CU812=0,CT812,IF(CU812=1,CT812/30,IF(CU812=2,CT812/15,IF(CU812=3,CT812/7,"")))))</f>
        <v>103.33</v>
      </c>
      <c r="CW812" s="125" t="n">
        <v>141.32</v>
      </c>
      <c r="CX812" s="0" t="n">
        <v>0</v>
      </c>
      <c r="CY812" s="0" t="n">
        <f aca="false">IF(CW812="","",IF(CX812=0,CW812,IF(CX812=1,CW812/30,IF(CX812=2,CW812/15,IF(CX812=3,CW812/7,CW812)))))</f>
        <v>141.32</v>
      </c>
      <c r="CZ812" s="0" t="n">
        <f aca="false">IF(DI812&gt;0,DI812,IF(CY812&gt;0,CY812,IF(CV812&gt;0,CV812,"")))</f>
        <v>141.32</v>
      </c>
      <c r="DA812" s="0" t="n">
        <f aca="false">IF(DM812=1,CZ812/8,IF(OR(DM812=2,DM812=4),CZ812/7,IF(DM812=3,CZ812/7.5,"")))</f>
        <v>17.665</v>
      </c>
      <c r="DB812" s="0" t="s">
        <v>301</v>
      </c>
      <c r="DC812" s="0" t="s">
        <v>303</v>
      </c>
      <c r="DD812" s="0" t="s">
        <v>1582</v>
      </c>
      <c r="DE812" s="0" t="s">
        <v>216</v>
      </c>
      <c r="DF812" s="0" t="s">
        <v>216</v>
      </c>
      <c r="DG812" s="0" t="s">
        <v>216</v>
      </c>
      <c r="DH812" s="0" t="n">
        <v>0</v>
      </c>
      <c r="DI812" s="126" t="n">
        <v>141.32</v>
      </c>
      <c r="DK812" s="0" t="n">
        <v>1</v>
      </c>
      <c r="DM812" s="0" t="n">
        <v>1</v>
      </c>
      <c r="DN812" s="0" t="n">
        <v>54</v>
      </c>
      <c r="DO812" s="0" t="n">
        <v>3</v>
      </c>
      <c r="DP812" s="0" t="n">
        <v>0</v>
      </c>
      <c r="DQ812" s="0" t="n">
        <v>1</v>
      </c>
      <c r="DR812" s="0" t="n">
        <v>12718.8</v>
      </c>
      <c r="DS812" s="0" t="n">
        <v>1</v>
      </c>
      <c r="DU812" s="0" t="n">
        <v>1</v>
      </c>
      <c r="DV812" s="0" t="n">
        <v>830.55</v>
      </c>
      <c r="DW812" s="1" t="n">
        <v>40376</v>
      </c>
      <c r="DX812" s="1" t="n">
        <v>40620</v>
      </c>
      <c r="DY812" s="0" t="n">
        <v>6</v>
      </c>
      <c r="DZ812" s="0" t="n">
        <v>414.05</v>
      </c>
      <c r="EA812" s="0" t="n">
        <v>1</v>
      </c>
      <c r="EB812" s="0" t="n">
        <v>102.9</v>
      </c>
      <c r="EC812" s="1" t="n">
        <v>40376</v>
      </c>
      <c r="ED812" s="1" t="n">
        <v>40620</v>
      </c>
      <c r="EF812" s="0" t="n">
        <v>1038.8</v>
      </c>
      <c r="EG812" s="0" t="n">
        <v>1</v>
      </c>
      <c r="EH812" s="0" t="n">
        <v>3</v>
      </c>
      <c r="EI812" s="0" t="n">
        <f aca="false">IF(AND(DM812=1,DN812&lt;=48),"",IF(AND(DM812=2,DN812&lt;=42),"",IF(AND(DM812=3,DN812&lt;=45),"",EH812)))</f>
        <v>3</v>
      </c>
      <c r="EJ812" s="0" t="n">
        <f aca="false">IF(EI812="","",IF(EI812&lt;9,EI812,9))</f>
        <v>3</v>
      </c>
      <c r="EK812" s="0" t="n">
        <f aca="false">IF(EI812="","",IF(EI812&gt;9,EI812-EJ812,0))</f>
        <v>0</v>
      </c>
      <c r="EL812" s="0" t="n">
        <f aca="false">IF(EI812="","",EJ812*DA812*2+EK812*DA812*3)</f>
        <v>105.99</v>
      </c>
      <c r="EP812" s="0" t="n">
        <v>0</v>
      </c>
      <c r="EQ812" s="0"/>
      <c r="ER812" s="0" t="n">
        <v>1</v>
      </c>
      <c r="ES812" s="0" t="n">
        <v>904.05</v>
      </c>
      <c r="ET812" s="0" t="n">
        <v>0</v>
      </c>
      <c r="EV812" s="0" t="n">
        <v>0</v>
      </c>
      <c r="EX812" s="0" t="n">
        <v>1</v>
      </c>
      <c r="EY812" s="0" t="n">
        <v>0</v>
      </c>
      <c r="EZ812" s="0"/>
      <c r="FA812" s="4" t="n">
        <v>1756.61</v>
      </c>
      <c r="FB812" s="0" t="n">
        <v>1</v>
      </c>
      <c r="FC812" s="1" t="n">
        <v>40899</v>
      </c>
      <c r="FD812" s="0" t="n">
        <v>1</v>
      </c>
      <c r="FE812" s="0" t="n">
        <v>5000</v>
      </c>
      <c r="FF812" s="120" t="n">
        <f aca="false">(CJ812-CI812+1)/365</f>
        <v>0.671232876712329</v>
      </c>
      <c r="FG812" s="0" t="str">
        <f aca="false">CONCATENATE(F812,"/",G812)</f>
        <v>874/2011</v>
      </c>
      <c r="FH812" s="0" t="n">
        <v>1</v>
      </c>
      <c r="FI812" s="0" t="n">
        <f aca="false">IFERROR(IF((FC812-J812+1)/365&gt;3,0,1),"")</f>
        <v>1</v>
      </c>
    </row>
    <row r="813" customFormat="false" ht="15" hidden="false" customHeight="false" outlineLevel="0" collapsed="false">
      <c r="A813" s="5" t="str">
        <f aca="false">E813&amp;G813&amp;F813</f>
        <v>72011876</v>
      </c>
      <c r="B813" s="0" t="s">
        <v>7298</v>
      </c>
      <c r="C813" s="1" t="n">
        <v>42366</v>
      </c>
      <c r="E813" s="0" t="n">
        <v>7</v>
      </c>
      <c r="F813" s="0" t="n">
        <v>876</v>
      </c>
      <c r="G813" s="0" t="n">
        <v>2011</v>
      </c>
      <c r="H813" s="0" t="str">
        <f aca="false">"J"&amp;E813&amp;"\"&amp;F813&amp;"\"&amp;G813&amp;"\"&amp;W813</f>
        <v>J7\876\2011\1</v>
      </c>
      <c r="I813" s="0"/>
      <c r="J813" s="1" t="n">
        <v>40681</v>
      </c>
      <c r="M813" s="1"/>
      <c r="N813" s="1"/>
      <c r="O813" s="1"/>
      <c r="P813" s="1"/>
      <c r="Q813" s="1"/>
      <c r="T813" s="121"/>
      <c r="U813" s="121"/>
      <c r="V813" s="122" t="n">
        <f aca="false">IF(AND(E813&gt;0,F813&gt;0,G813&gt;0),COUNTIFS($E:$E,E813,$F:$F,F813,$G:$G,G813),"")</f>
        <v>1</v>
      </c>
      <c r="W813" s="122" t="n">
        <f aca="false">IF(V813="","",IF(V813=1,1,IF(AND(E812=E813,F812=F813,G812=G813),W812+1,1)))</f>
        <v>1</v>
      </c>
      <c r="X813" s="0" t="n">
        <v>1</v>
      </c>
      <c r="Y813" s="0" t="n">
        <v>2</v>
      </c>
      <c r="Z813" s="0" t="s">
        <v>7455</v>
      </c>
      <c r="AA813" s="0" t="n">
        <v>0</v>
      </c>
      <c r="AB813" s="0" t="s">
        <v>702</v>
      </c>
      <c r="AE813" s="0" t="n">
        <v>0</v>
      </c>
      <c r="AF813" s="0" t="s">
        <v>7456</v>
      </c>
      <c r="AG813" s="0" t="n">
        <v>0</v>
      </c>
      <c r="AH813" s="0" t="s">
        <v>7457</v>
      </c>
      <c r="AI813" s="0" t="s">
        <v>3957</v>
      </c>
      <c r="AJ813" s="0" t="s">
        <v>2179</v>
      </c>
      <c r="AL813" s="0" t="s">
        <v>213</v>
      </c>
      <c r="AM813" s="0" t="n">
        <v>1</v>
      </c>
      <c r="AN813" s="0" t="s">
        <v>7457</v>
      </c>
      <c r="AO813" s="0" t="s">
        <v>3957</v>
      </c>
      <c r="AP813" s="0" t="s">
        <v>2179</v>
      </c>
      <c r="BR813" s="0" t="n">
        <v>1</v>
      </c>
      <c r="BS813" s="0" t="s">
        <v>7458</v>
      </c>
      <c r="BT813" s="0" t="s">
        <v>7459</v>
      </c>
      <c r="BU813" s="0" t="s">
        <v>216</v>
      </c>
      <c r="BV813" s="123"/>
      <c r="BW813" s="123"/>
      <c r="BX813" s="123"/>
      <c r="BY813" s="123"/>
      <c r="CA813" s="0" t="s">
        <v>216</v>
      </c>
      <c r="CD813" s="0" t="s">
        <v>256</v>
      </c>
      <c r="CE813" s="0" t="n">
        <v>0</v>
      </c>
      <c r="CF813" s="0" t="s">
        <v>1086</v>
      </c>
      <c r="CI813" s="1" t="n">
        <v>39249</v>
      </c>
      <c r="CJ813" s="1" t="n">
        <v>40659</v>
      </c>
      <c r="CK813" s="124" t="n">
        <v>0.416666666666667</v>
      </c>
      <c r="CL813" s="0" t="s">
        <v>7460</v>
      </c>
      <c r="CM813" s="0" t="n">
        <f aca="false">IF(OR(CI813="",CJ813=""),"",DAYS360(CI813,CJ813)/360)</f>
        <v>3.86111111111111</v>
      </c>
      <c r="CN813" s="0" t="n">
        <f aca="false">IF(OR(CI813="",CJ813=""),"",DAYS360(CI813,CJ813)/30)</f>
        <v>46.3333333333333</v>
      </c>
      <c r="CO813" s="0" t="n">
        <f aca="false">IF(OR(CI813="",CJ813=""),"",DAYS360(CI813,CJ813)/7)</f>
        <v>198.571428571429</v>
      </c>
      <c r="CP813" s="0" t="n">
        <f aca="false">IF(OR(CI813="",CJ813=""),"",DAYS360(CI813,CJ813))</f>
        <v>1390</v>
      </c>
      <c r="CQ813" s="0" t="s">
        <v>240</v>
      </c>
      <c r="CR813" s="0" t="n">
        <v>1</v>
      </c>
      <c r="CT813" s="0" t="s">
        <v>221</v>
      </c>
      <c r="CU813" s="0" t="s">
        <v>221</v>
      </c>
      <c r="CV813" s="0" t="str">
        <f aca="false">IF(OR(CT813="",CT813="NO ESPECIFICA",CT813="NO MENCIONA"),"",IF(CU813=0,CT813,IF(CU813=1,CT813/30,IF(CU813=2,CT813/15,IF(CU813=3,CT813/7,"")))))</f>
        <v/>
      </c>
      <c r="CW813" s="125" t="n">
        <v>400</v>
      </c>
      <c r="CX813" s="0" t="n">
        <v>0</v>
      </c>
      <c r="CY813" s="0" t="n">
        <f aca="false">IF(CW813="","",IF(CX813=0,CW813,IF(CX813=1,CW813/30,IF(CX813=2,CW813/15,IF(CX813=3,CW813/7,CW813)))))</f>
        <v>400</v>
      </c>
      <c r="CZ813" s="0" t="n">
        <f aca="false">IF(DI813&gt;0,DI813,IF(CY813&gt;0,CY813,IF(CV813&gt;0,CV813,"")))</f>
        <v>400</v>
      </c>
      <c r="DA813" s="0" t="n">
        <f aca="false">IF(DM813=1,CZ813/8,IF(OR(DM813=2,DM813=4),CZ813/7,IF(DM813=3,CZ813/7.5,"")))</f>
        <v>50</v>
      </c>
      <c r="DB813" s="0" t="s">
        <v>216</v>
      </c>
      <c r="DC813" s="0" t="s">
        <v>216</v>
      </c>
      <c r="DD813" s="0" t="s">
        <v>216</v>
      </c>
      <c r="DE813" s="0" t="s">
        <v>216</v>
      </c>
      <c r="DF813" s="0" t="s">
        <v>216</v>
      </c>
      <c r="DG813" s="0" t="s">
        <v>216</v>
      </c>
      <c r="DH813" s="0" t="n">
        <v>0</v>
      </c>
      <c r="DI813" s="126" t="n">
        <v>400</v>
      </c>
      <c r="DK813" s="0" t="n">
        <v>1</v>
      </c>
      <c r="DM813" s="0" t="n">
        <v>1</v>
      </c>
      <c r="DN813" s="0" t="n">
        <v>62</v>
      </c>
      <c r="DO813" s="0" t="n">
        <v>3</v>
      </c>
      <c r="DP813" s="0" t="n">
        <v>0</v>
      </c>
      <c r="DQ813" s="0" t="n">
        <v>1</v>
      </c>
      <c r="DR813" s="0" t="n">
        <v>36000</v>
      </c>
      <c r="DS813" s="0" t="n">
        <v>1</v>
      </c>
      <c r="DU813" s="0" t="n">
        <v>1</v>
      </c>
      <c r="DV813" s="0" t="n">
        <v>19200</v>
      </c>
      <c r="DW813" s="1" t="n">
        <v>39249</v>
      </c>
      <c r="DX813" s="1" t="n">
        <v>40659</v>
      </c>
      <c r="DY813" s="0" t="n">
        <v>28</v>
      </c>
      <c r="DZ813" s="0" t="n">
        <v>14000</v>
      </c>
      <c r="EA813" s="0" t="n">
        <v>1</v>
      </c>
      <c r="EC813" s="1" t="n">
        <v>39249</v>
      </c>
      <c r="ED813" s="1" t="n">
        <v>40659</v>
      </c>
      <c r="EF813" s="0" t="n">
        <v>18000</v>
      </c>
      <c r="EG813" s="0" t="n">
        <v>1</v>
      </c>
      <c r="EH813" s="0" t="n">
        <v>18</v>
      </c>
      <c r="EI813" s="0" t="n">
        <f aca="false">IF(AND(DM813=1,DN813&lt;=48),"",IF(AND(DM813=2,DN813&lt;=42),"",IF(AND(DM813=3,DN813&lt;=45),"",EH813)))</f>
        <v>18</v>
      </c>
      <c r="EJ813" s="0" t="n">
        <f aca="false">IF(EI813="","",IF(EI813&lt;9,EI813,9))</f>
        <v>9</v>
      </c>
      <c r="EK813" s="0" t="n">
        <f aca="false">IF(EI813="","",IF(EI813&gt;9,EI813-EJ813,0))</f>
        <v>9</v>
      </c>
      <c r="EL813" s="0" t="n">
        <f aca="false">IF(EI813="","",EJ813*DA813*2+EK813*DA813*3)</f>
        <v>2250</v>
      </c>
      <c r="EM813" s="0" t="n">
        <v>2880</v>
      </c>
      <c r="EN813" s="0" t="n">
        <v>144000</v>
      </c>
      <c r="EP813" s="0" t="n">
        <v>0</v>
      </c>
      <c r="EQ813" s="0"/>
      <c r="ER813" s="0" t="n">
        <v>0</v>
      </c>
      <c r="ET813" s="0" t="n">
        <v>1</v>
      </c>
      <c r="EU813" s="0" t="n">
        <v>91200</v>
      </c>
      <c r="EV813" s="0" t="n">
        <v>0</v>
      </c>
      <c r="EX813" s="0" t="n">
        <v>0</v>
      </c>
      <c r="EY813" s="0" t="n">
        <v>0</v>
      </c>
      <c r="EZ813" s="0"/>
      <c r="FA813" s="4" t="n">
        <v>27500</v>
      </c>
      <c r="FB813" s="0" t="n">
        <v>0</v>
      </c>
      <c r="FC813" s="1" t="n">
        <v>40690</v>
      </c>
      <c r="FD813" s="0" t="n">
        <v>2</v>
      </c>
      <c r="FE813" s="0" t="n">
        <v>0</v>
      </c>
      <c r="FF813" s="120" t="n">
        <f aca="false">(CJ813-CI813+1)/365</f>
        <v>3.86575342465753</v>
      </c>
      <c r="FG813" s="0" t="str">
        <f aca="false">CONCATENATE(F813,"/",G813)</f>
        <v>876/2011</v>
      </c>
      <c r="FH813" s="0" t="n">
        <v>1</v>
      </c>
      <c r="FI813" s="0" t="n">
        <f aca="false">IFERROR(IF((FC813-J813+1)/365&gt;3,0,1),"")</f>
        <v>1</v>
      </c>
    </row>
    <row r="814" customFormat="false" ht="15" hidden="false" customHeight="false" outlineLevel="0" collapsed="false">
      <c r="A814" s="5" t="str">
        <f aca="false">E814&amp;G814&amp;F814</f>
        <v>72011919</v>
      </c>
      <c r="B814" s="0" t="s">
        <v>7461</v>
      </c>
      <c r="C814" s="1" t="n">
        <v>42383</v>
      </c>
      <c r="E814" s="0" t="n">
        <v>7</v>
      </c>
      <c r="F814" s="0" t="n">
        <v>919</v>
      </c>
      <c r="G814" s="0" t="n">
        <v>2011</v>
      </c>
      <c r="H814" s="0" t="str">
        <f aca="false">"J"&amp;E814&amp;"\"&amp;F814&amp;"\"&amp;G814&amp;"\"&amp;W814</f>
        <v>J7\919\2011\1</v>
      </c>
      <c r="I814" s="0"/>
      <c r="J814" s="1" t="n">
        <v>40689</v>
      </c>
      <c r="M814" s="1"/>
      <c r="N814" s="1"/>
      <c r="O814" s="1"/>
      <c r="P814" s="1"/>
      <c r="Q814" s="1"/>
      <c r="T814" s="121"/>
      <c r="U814" s="121"/>
      <c r="V814" s="122" t="n">
        <f aca="false">IF(AND(E814&gt;0,F814&gt;0,G814&gt;0),COUNTIFS($E:$E,E814,$F:$F,F814,$G:$G,G814),"")</f>
        <v>1</v>
      </c>
      <c r="W814" s="122" t="n">
        <f aca="false">IF(V814="","",IF(V814=1,1,IF(AND(E813=E814,F813=F814,G813=G814),W813+1,1)))</f>
        <v>1</v>
      </c>
      <c r="X814" s="0" t="n">
        <v>1</v>
      </c>
      <c r="Y814" s="0" t="n">
        <v>5</v>
      </c>
      <c r="Z814" s="0" t="s">
        <v>7462</v>
      </c>
      <c r="AA814" s="0" t="n">
        <v>0</v>
      </c>
      <c r="AB814" s="0" t="s">
        <v>7463</v>
      </c>
      <c r="AC814" s="0" t="s">
        <v>5187</v>
      </c>
      <c r="AD814" s="0" t="s">
        <v>2266</v>
      </c>
      <c r="AE814" s="0" t="n">
        <v>0</v>
      </c>
      <c r="AF814" s="0" t="s">
        <v>7464</v>
      </c>
      <c r="AG814" s="0" t="n">
        <v>0</v>
      </c>
      <c r="AH814" s="0" t="s">
        <v>7465</v>
      </c>
      <c r="AI814" s="0" t="s">
        <v>7466</v>
      </c>
      <c r="AJ814" s="0" t="s">
        <v>2266</v>
      </c>
      <c r="AL814" s="0" t="s">
        <v>7467</v>
      </c>
      <c r="AM814" s="0" t="n">
        <v>1</v>
      </c>
      <c r="AN814" s="0" t="s">
        <v>7465</v>
      </c>
      <c r="AO814" s="0" t="s">
        <v>7466</v>
      </c>
      <c r="AP814" s="0" t="s">
        <v>2266</v>
      </c>
      <c r="AR814" s="0" t="s">
        <v>7468</v>
      </c>
      <c r="AS814" s="0" t="n">
        <v>1</v>
      </c>
      <c r="AT814" s="0" t="s">
        <v>7465</v>
      </c>
      <c r="AU814" s="0" t="s">
        <v>7466</v>
      </c>
      <c r="AV814" s="0" t="s">
        <v>2266</v>
      </c>
      <c r="AX814" s="0" t="s">
        <v>7469</v>
      </c>
      <c r="AY814" s="0" t="n">
        <v>1</v>
      </c>
      <c r="AZ814" s="0" t="s">
        <v>7465</v>
      </c>
      <c r="BA814" s="0" t="s">
        <v>7466</v>
      </c>
      <c r="BB814" s="0" t="s">
        <v>2266</v>
      </c>
      <c r="BD814" s="0" t="s">
        <v>213</v>
      </c>
      <c r="BE814" s="0" t="n">
        <v>1</v>
      </c>
      <c r="BF814" s="0" t="s">
        <v>7465</v>
      </c>
      <c r="BG814" s="0" t="s">
        <v>7466</v>
      </c>
      <c r="BH814" s="0" t="s">
        <v>2266</v>
      </c>
      <c r="BR814" s="0" t="n">
        <v>1</v>
      </c>
      <c r="BS814" s="0" t="s">
        <v>7470</v>
      </c>
      <c r="BT814" s="0" t="s">
        <v>7471</v>
      </c>
      <c r="BU814" s="0" t="s">
        <v>7472</v>
      </c>
      <c r="BV814" s="123"/>
      <c r="BW814" s="123"/>
      <c r="BX814" s="123"/>
      <c r="BY814" s="123"/>
      <c r="CA814" s="0" t="s">
        <v>216</v>
      </c>
      <c r="CD814" s="0" t="s">
        <v>370</v>
      </c>
      <c r="CE814" s="0" t="n">
        <v>0</v>
      </c>
      <c r="CF814" s="0" t="s">
        <v>1873</v>
      </c>
      <c r="CI814" s="1" t="n">
        <v>40563</v>
      </c>
      <c r="CJ814" s="1" t="n">
        <v>40649</v>
      </c>
      <c r="CK814" s="124" t="n">
        <v>0.5</v>
      </c>
      <c r="CL814" s="0" t="s">
        <v>7467</v>
      </c>
      <c r="CM814" s="0" t="n">
        <f aca="false">IF(OR(CI814="",CJ814=""),"",DAYS360(CI814,CJ814)/360)</f>
        <v>0.238888888888889</v>
      </c>
      <c r="CN814" s="0" t="n">
        <f aca="false">IF(OR(CI814="",CJ814=""),"",DAYS360(CI814,CJ814)/30)</f>
        <v>2.86666666666667</v>
      </c>
      <c r="CO814" s="0" t="n">
        <f aca="false">IF(OR(CI814="",CJ814=""),"",DAYS360(CI814,CJ814)/7)</f>
        <v>12.2857142857143</v>
      </c>
      <c r="CP814" s="0" t="n">
        <f aca="false">IF(OR(CI814="",CJ814=""),"",DAYS360(CI814,CJ814))</f>
        <v>86</v>
      </c>
      <c r="CQ814" s="0" t="s">
        <v>220</v>
      </c>
      <c r="CR814" s="0" t="n">
        <v>1</v>
      </c>
      <c r="CT814" s="0" t="n">
        <v>333.33</v>
      </c>
      <c r="CU814" s="0" t="n">
        <v>0</v>
      </c>
      <c r="CV814" s="0" t="n">
        <f aca="false">IF(OR(CT814="",CT814="NO ESPECIFICA",CT814="NO MENCIONA"),"",IF(CU814=0,CT814,IF(CU814=1,CT814/30,IF(CU814=2,CT814/15,IF(CU814=3,CT814/7,"")))))</f>
        <v>333.33</v>
      </c>
      <c r="CW814" s="125" t="s">
        <v>216</v>
      </c>
      <c r="CX814" s="0" t="s">
        <v>216</v>
      </c>
      <c r="CY814" s="0" t="str">
        <f aca="false">IF(CW814="","",IF(CX814=0,CW814,IF(CX814=1,CW814/30,IF(CX814=2,CW814/15,IF(CX814=3,CW814/7,CW814)))))</f>
        <v>NO MENCIONA</v>
      </c>
      <c r="CZ814" s="0" t="n">
        <f aca="false">IF(DI814&gt;0,DI814,IF(CY814&gt;0,CY814,IF(CV814&gt;0,CV814,"")))</f>
        <v>385.472857142857</v>
      </c>
      <c r="DA814" s="0" t="n">
        <f aca="false">IF(DM814=1,CZ814/8,IF(OR(DM814=2,DM814=4),CZ814/7,IF(DM814=3,CZ814/7.5,"")))</f>
        <v>48.1841071428571</v>
      </c>
      <c r="DB814" s="0" t="s">
        <v>258</v>
      </c>
      <c r="DC814" s="0" t="s">
        <v>259</v>
      </c>
      <c r="DD814" s="0" t="s">
        <v>299</v>
      </c>
      <c r="DE814" s="0" t="s">
        <v>6268</v>
      </c>
      <c r="DF814" s="0" t="s">
        <v>216</v>
      </c>
      <c r="DG814" s="0" t="s">
        <v>216</v>
      </c>
      <c r="DH814" s="0" t="n">
        <v>0</v>
      </c>
      <c r="DI814" s="126" t="n">
        <v>385.472857142857</v>
      </c>
      <c r="DK814" s="0" t="n">
        <v>1</v>
      </c>
      <c r="DM814" s="0" t="n">
        <v>1</v>
      </c>
      <c r="DN814" s="0" t="n">
        <v>66</v>
      </c>
      <c r="DO814" s="0" t="n">
        <v>3</v>
      </c>
      <c r="DP814" s="0" t="n">
        <v>1</v>
      </c>
      <c r="DQ814" s="0" t="n">
        <v>0</v>
      </c>
      <c r="DR814" s="0"/>
      <c r="DS814" s="0" t="n">
        <v>1</v>
      </c>
      <c r="DU814" s="0" t="n">
        <v>0</v>
      </c>
      <c r="DW814" s="1" t="n">
        <v>40563</v>
      </c>
      <c r="DX814" s="1" t="n">
        <v>40649</v>
      </c>
      <c r="DZ814" s="0"/>
      <c r="EA814" s="0" t="n">
        <v>1</v>
      </c>
      <c r="EC814" s="1" t="n">
        <v>40563</v>
      </c>
      <c r="ED814" s="1" t="n">
        <v>40649</v>
      </c>
      <c r="EF814" s="0"/>
      <c r="EG814" s="0" t="n">
        <v>1</v>
      </c>
      <c r="EH814" s="0" t="n">
        <v>18</v>
      </c>
      <c r="EI814" s="0" t="n">
        <f aca="false">IF(AND(DM814=1,DN814&lt;=48),"",IF(AND(DM814=2,DN814&lt;=42),"",IF(AND(DM814=3,DN814&lt;=45),"",EH814)))</f>
        <v>18</v>
      </c>
      <c r="EJ814" s="0" t="n">
        <f aca="false">IF(EI814="","",IF(EI814&lt;9,EI814,9))</f>
        <v>9</v>
      </c>
      <c r="EK814" s="0" t="n">
        <f aca="false">IF(EI814="","",IF(EI814&gt;9,EI814-EJ814,0))</f>
        <v>9</v>
      </c>
      <c r="EL814" s="0" t="n">
        <f aca="false">IF(EI814="","",EJ814*DA814*2+EK814*DA814*3)</f>
        <v>2168.28482142857</v>
      </c>
      <c r="EP814" s="0" t="n">
        <v>0</v>
      </c>
      <c r="EQ814" s="0"/>
      <c r="ER814" s="0" t="n">
        <v>1</v>
      </c>
      <c r="ET814" s="0" t="n">
        <v>0</v>
      </c>
      <c r="EV814" s="0" t="n">
        <v>0</v>
      </c>
      <c r="EX814" s="0" t="n">
        <v>1</v>
      </c>
      <c r="EY814" s="0" t="n">
        <v>0</v>
      </c>
      <c r="EZ814" s="0"/>
      <c r="FA814" s="4" t="n">
        <v>10793.24</v>
      </c>
      <c r="FB814" s="0" t="n">
        <v>0</v>
      </c>
      <c r="FC814" s="1" t="n">
        <v>41040</v>
      </c>
      <c r="FD814" s="0" t="n">
        <v>1</v>
      </c>
      <c r="FE814" s="0" t="n">
        <v>12500</v>
      </c>
      <c r="FF814" s="120" t="n">
        <f aca="false">(CJ814-CI814+1)/365</f>
        <v>0.238356164383562</v>
      </c>
      <c r="FG814" s="0" t="str">
        <f aca="false">CONCATENATE(F814,"/",G814)</f>
        <v>919/2011</v>
      </c>
      <c r="FH814" s="0" t="n">
        <v>1</v>
      </c>
      <c r="FI814" s="0" t="n">
        <f aca="false">IFERROR(IF((FC814-J814+1)/365&gt;3,0,1),"")</f>
        <v>1</v>
      </c>
    </row>
    <row r="815" customFormat="false" ht="15" hidden="false" customHeight="false" outlineLevel="0" collapsed="false">
      <c r="A815" s="5" t="str">
        <f aca="false">E815&amp;G815&amp;F815</f>
        <v>72011921</v>
      </c>
      <c r="B815" s="0" t="s">
        <v>7461</v>
      </c>
      <c r="C815" s="1" t="n">
        <v>42383</v>
      </c>
      <c r="E815" s="0" t="n">
        <v>7</v>
      </c>
      <c r="F815" s="0" t="n">
        <v>921</v>
      </c>
      <c r="G815" s="0" t="n">
        <v>2011</v>
      </c>
      <c r="H815" s="0" t="str">
        <f aca="false">"J"&amp;E815&amp;"\"&amp;F815&amp;"\"&amp;G815&amp;"\"&amp;W815</f>
        <v>J7\921\2011\1</v>
      </c>
      <c r="I815" s="0"/>
      <c r="J815" s="1" t="n">
        <v>40689</v>
      </c>
      <c r="M815" s="1"/>
      <c r="N815" s="1"/>
      <c r="O815" s="1"/>
      <c r="P815" s="1"/>
      <c r="Q815" s="1"/>
      <c r="T815" s="121"/>
      <c r="U815" s="121"/>
      <c r="V815" s="122" t="n">
        <f aca="false">IF(AND(E815&gt;0,F815&gt;0,G815&gt;0),COUNTIFS($E:$E,E815,$F:$F,F815,$G:$G,G815),"")</f>
        <v>1</v>
      </c>
      <c r="W815" s="122" t="n">
        <f aca="false">IF(V815="","",IF(V815=1,1,IF(AND(E814=E815,F814=F815,G814=G815),W814+1,1)))</f>
        <v>1</v>
      </c>
      <c r="X815" s="0" t="n">
        <v>1</v>
      </c>
      <c r="Y815" s="0" t="n">
        <v>4</v>
      </c>
      <c r="Z815" s="0" t="s">
        <v>7473</v>
      </c>
      <c r="AA815" s="0" t="n">
        <v>0</v>
      </c>
      <c r="AB815" s="0" t="s">
        <v>4853</v>
      </c>
      <c r="AC815" s="0" t="s">
        <v>318</v>
      </c>
      <c r="AD815" s="0" t="s">
        <v>216</v>
      </c>
      <c r="AE815" s="0" t="n">
        <v>0</v>
      </c>
      <c r="AF815" s="0" t="s">
        <v>7474</v>
      </c>
      <c r="AG815" s="0" t="n">
        <v>0</v>
      </c>
      <c r="AH815" s="0" t="s">
        <v>7475</v>
      </c>
      <c r="AI815" s="0" t="s">
        <v>1729</v>
      </c>
      <c r="AJ815" s="0" t="s">
        <v>2179</v>
      </c>
      <c r="AL815" s="0" t="s">
        <v>7476</v>
      </c>
      <c r="AM815" s="0" t="n">
        <v>0</v>
      </c>
      <c r="AN815" s="0" t="s">
        <v>7475</v>
      </c>
      <c r="AO815" s="0" t="s">
        <v>1729</v>
      </c>
      <c r="AP815" s="0" t="s">
        <v>2179</v>
      </c>
      <c r="AR815" s="0" t="s">
        <v>7477</v>
      </c>
      <c r="AS815" s="0" t="n">
        <v>1</v>
      </c>
      <c r="AT815" s="0" t="s">
        <v>7475</v>
      </c>
      <c r="AU815" s="0" t="s">
        <v>1729</v>
      </c>
      <c r="AV815" s="0" t="s">
        <v>2179</v>
      </c>
      <c r="AX815" s="0" t="s">
        <v>7478</v>
      </c>
      <c r="AY815" s="0" t="n">
        <v>1</v>
      </c>
      <c r="AZ815" s="0" t="s">
        <v>7475</v>
      </c>
      <c r="BA815" s="0" t="s">
        <v>1729</v>
      </c>
      <c r="BB815" s="0" t="s">
        <v>2179</v>
      </c>
      <c r="BR815" s="0" t="n">
        <v>1</v>
      </c>
      <c r="BS815" s="0" t="s">
        <v>5761</v>
      </c>
      <c r="BT815" s="0" t="s">
        <v>4856</v>
      </c>
      <c r="BU815" s="0" t="s">
        <v>4857</v>
      </c>
      <c r="BV815" s="123"/>
      <c r="BW815" s="123"/>
      <c r="BX815" s="123"/>
      <c r="BY815" s="123"/>
      <c r="CA815" s="0" t="s">
        <v>216</v>
      </c>
      <c r="CD815" s="0" t="s">
        <v>556</v>
      </c>
      <c r="CE815" s="0" t="n">
        <v>0</v>
      </c>
      <c r="CF815" s="0" t="s">
        <v>7479</v>
      </c>
      <c r="CI815" s="1" t="n">
        <v>40063</v>
      </c>
      <c r="CJ815" s="1" t="n">
        <v>40683</v>
      </c>
      <c r="CK815" s="124" t="n">
        <v>0.333333333333333</v>
      </c>
      <c r="CL815" s="0" t="s">
        <v>7478</v>
      </c>
      <c r="CM815" s="0" t="n">
        <f aca="false">IF(OR(CI815="",CJ815=""),"",DAYS360(CI815,CJ815)/360)</f>
        <v>1.70277777777778</v>
      </c>
      <c r="CN815" s="0" t="n">
        <f aca="false">IF(OR(CI815="",CJ815=""),"",DAYS360(CI815,CJ815)/30)</f>
        <v>20.4333333333333</v>
      </c>
      <c r="CO815" s="0" t="n">
        <f aca="false">IF(OR(CI815="",CJ815=""),"",DAYS360(CI815,CJ815)/7)</f>
        <v>87.5714285714286</v>
      </c>
      <c r="CP815" s="0" t="n">
        <f aca="false">IF(OR(CI815="",CJ815=""),"",DAYS360(CI815,CJ815))</f>
        <v>613</v>
      </c>
      <c r="CQ815" s="0" t="s">
        <v>240</v>
      </c>
      <c r="CR815" s="0" t="n">
        <v>1</v>
      </c>
      <c r="CT815" s="0" t="n">
        <v>4000</v>
      </c>
      <c r="CU815" s="0" t="n">
        <v>2</v>
      </c>
      <c r="CV815" s="0" t="n">
        <f aca="false">IF(OR(CT815="",CT815="NO ESPECIFICA",CT815="NO MENCIONA"),"",IF(CU815=0,CT815,IF(CU815=1,CT815/30,IF(CU815=2,CT815/15,IF(CU815=3,CT815/7,"")))))</f>
        <v>266.666666666667</v>
      </c>
      <c r="CW815" s="125" t="n">
        <v>4198</v>
      </c>
      <c r="CX815" s="0" t="n">
        <v>2</v>
      </c>
      <c r="CY815" s="0" t="n">
        <f aca="false">IF(CW815="","",IF(CX815=0,CW815,IF(CX815=1,CW815/30,IF(CX815=2,CW815/15,IF(CX815=3,CW815/7,CW815)))))</f>
        <v>279.866666666667</v>
      </c>
      <c r="CZ815" s="0" t="n">
        <f aca="false">IF(DI815&gt;0,DI815,IF(CY815&gt;0,CY815,IF(CV815&gt;0,CV815,"")))</f>
        <v>279.866666666667</v>
      </c>
      <c r="DA815" s="0" t="n">
        <f aca="false">IF(DM815=1,CZ815/8,IF(OR(DM815=2,DM815=4),CZ815/7,IF(DM815=3,CZ815/7.5,"")))</f>
        <v>34.9833333333333</v>
      </c>
      <c r="DB815" s="0" t="s">
        <v>258</v>
      </c>
      <c r="DC815" s="0" t="s">
        <v>259</v>
      </c>
      <c r="DD815" s="0" t="s">
        <v>216</v>
      </c>
      <c r="DE815" s="0" t="s">
        <v>216</v>
      </c>
      <c r="DF815" s="0" t="s">
        <v>216</v>
      </c>
      <c r="DG815" s="0" t="s">
        <v>216</v>
      </c>
      <c r="DH815" s="0" t="n">
        <v>0</v>
      </c>
      <c r="DI815" s="126" t="n">
        <v>279.866666666667</v>
      </c>
      <c r="DK815" s="0" t="n">
        <v>0</v>
      </c>
      <c r="DM815" s="0" t="n">
        <v>1</v>
      </c>
      <c r="DN815" s="0" t="n">
        <v>72</v>
      </c>
      <c r="DO815" s="0" t="n">
        <v>3</v>
      </c>
      <c r="DP815" s="0" t="n">
        <v>0</v>
      </c>
      <c r="DQ815" s="0" t="n">
        <v>1</v>
      </c>
      <c r="DR815" s="0"/>
      <c r="DS815" s="0" t="n">
        <v>1</v>
      </c>
      <c r="DU815" s="0" t="n">
        <v>1</v>
      </c>
      <c r="DW815" s="1" t="n">
        <v>40063</v>
      </c>
      <c r="DX815" s="1" t="n">
        <v>40683</v>
      </c>
      <c r="DZ815" s="0"/>
      <c r="EA815" s="0" t="n">
        <v>1</v>
      </c>
      <c r="EC815" s="1" t="n">
        <v>40179</v>
      </c>
      <c r="ED815" s="1" t="n">
        <v>40683</v>
      </c>
      <c r="EF815" s="0"/>
      <c r="EG815" s="0" t="n">
        <v>1</v>
      </c>
      <c r="EH815" s="0" t="n">
        <v>24</v>
      </c>
      <c r="EI815" s="0" t="n">
        <f aca="false">IF(AND(DM815=1,DN815&lt;=48),"",IF(AND(DM815=2,DN815&lt;=42),"",IF(AND(DM815=3,DN815&lt;=45),"",EH815)))</f>
        <v>24</v>
      </c>
      <c r="EJ815" s="0" t="n">
        <f aca="false">IF(EI815="","",IF(EI815&lt;9,EI815,9))</f>
        <v>9</v>
      </c>
      <c r="EK815" s="0" t="n">
        <f aca="false">IF(EI815="","",IF(EI815&gt;9,EI815-EJ815,0))</f>
        <v>15</v>
      </c>
      <c r="EL815" s="0" t="n">
        <f aca="false">IF(EI815="","",EJ815*DA815*2+EK815*DA815*3)</f>
        <v>2203.95</v>
      </c>
      <c r="EP815" s="0" t="n">
        <v>0</v>
      </c>
      <c r="EQ815" s="0"/>
      <c r="ER815" s="0" t="n">
        <v>0</v>
      </c>
      <c r="ET815" s="0" t="n">
        <v>0</v>
      </c>
      <c r="EV815" s="0" t="n">
        <v>1</v>
      </c>
      <c r="EX815" s="0" t="n">
        <v>0</v>
      </c>
      <c r="EY815" s="0" t="n">
        <v>1</v>
      </c>
      <c r="EZ815" s="0"/>
      <c r="FA815" s="4" t="n">
        <v>4599.33333333333</v>
      </c>
      <c r="FB815" s="0" t="n">
        <v>1</v>
      </c>
      <c r="FC815" s="1" t="n">
        <v>40878</v>
      </c>
      <c r="FD815" s="0" t="n">
        <v>2</v>
      </c>
      <c r="FE815" s="0" t="n">
        <v>0</v>
      </c>
      <c r="FF815" s="120" t="n">
        <f aca="false">(CJ815-CI815+1)/365</f>
        <v>1.7013698630137</v>
      </c>
      <c r="FG815" s="0" t="str">
        <f aca="false">CONCATENATE(F815,"/",G815)</f>
        <v>921/2011</v>
      </c>
      <c r="FH815" s="0" t="n">
        <v>1</v>
      </c>
      <c r="FI815" s="0" t="n">
        <f aca="false">IFERROR(IF((FC815-J815+1)/365&gt;3,0,1),"")</f>
        <v>1</v>
      </c>
    </row>
    <row r="816" customFormat="false" ht="15" hidden="false" customHeight="false" outlineLevel="0" collapsed="false">
      <c r="A816" s="5" t="str">
        <f aca="false">E816&amp;G816&amp;F816</f>
        <v>72011925</v>
      </c>
      <c r="B816" s="0" t="s">
        <v>7461</v>
      </c>
      <c r="C816" s="1" t="n">
        <v>42383</v>
      </c>
      <c r="E816" s="0" t="n">
        <v>7</v>
      </c>
      <c r="F816" s="0" t="n">
        <v>925</v>
      </c>
      <c r="G816" s="0" t="n">
        <v>2011</v>
      </c>
      <c r="H816" s="0" t="str">
        <f aca="false">"J"&amp;E816&amp;"\"&amp;F816&amp;"\"&amp;G816&amp;"\"&amp;W816</f>
        <v>J7\925\2011\1</v>
      </c>
      <c r="I816" s="0"/>
      <c r="J816" s="1" t="n">
        <v>40689</v>
      </c>
      <c r="M816" s="1"/>
      <c r="N816" s="1"/>
      <c r="O816" s="1"/>
      <c r="P816" s="1"/>
      <c r="Q816" s="1"/>
      <c r="T816" s="121"/>
      <c r="U816" s="121"/>
      <c r="V816" s="122" t="n">
        <f aca="false">IF(AND(E816&gt;0,F816&gt;0,G816&gt;0),COUNTIFS($E:$E,E816,$F:$F,F816,$G:$G,G816),"")</f>
        <v>1</v>
      </c>
      <c r="W816" s="122" t="n">
        <f aca="false">IF(V816="","",IF(V816=1,1,IF(AND(E815=E816,F815=F816,G815=G816),W815+1,1)))</f>
        <v>1</v>
      </c>
      <c r="X816" s="0" t="n">
        <v>1</v>
      </c>
      <c r="Y816" s="0" t="n">
        <v>3</v>
      </c>
      <c r="Z816" s="0" t="s">
        <v>7480</v>
      </c>
      <c r="AA816" s="0" t="n">
        <v>0</v>
      </c>
      <c r="AB816" s="0" t="s">
        <v>7481</v>
      </c>
      <c r="AC816" s="0" t="s">
        <v>318</v>
      </c>
      <c r="AD816" s="0" t="s">
        <v>1160</v>
      </c>
      <c r="AE816" s="0" t="n">
        <v>0</v>
      </c>
      <c r="AF816" s="0" t="s">
        <v>7482</v>
      </c>
      <c r="AG816" s="0" t="n">
        <v>0</v>
      </c>
      <c r="AH816" s="0" t="s">
        <v>7483</v>
      </c>
      <c r="AI816" s="0" t="s">
        <v>2124</v>
      </c>
      <c r="AJ816" s="0" t="s">
        <v>2172</v>
      </c>
      <c r="AL816" s="0" t="s">
        <v>7484</v>
      </c>
      <c r="AM816" s="0" t="n">
        <v>0</v>
      </c>
      <c r="AN816" s="0" t="s">
        <v>7485</v>
      </c>
      <c r="AO816" s="0" t="s">
        <v>914</v>
      </c>
      <c r="AP816" s="0" t="s">
        <v>2253</v>
      </c>
      <c r="AR816" s="0" t="s">
        <v>213</v>
      </c>
      <c r="AS816" s="0" t="n">
        <v>1</v>
      </c>
      <c r="AT816" s="0" t="s">
        <v>7485</v>
      </c>
      <c r="AU816" s="0" t="s">
        <v>914</v>
      </c>
      <c r="AV816" s="0" t="s">
        <v>2253</v>
      </c>
      <c r="BR816" s="0" t="n">
        <v>1</v>
      </c>
      <c r="BS816" s="0" t="s">
        <v>5705</v>
      </c>
      <c r="BT816" s="0" t="s">
        <v>5706</v>
      </c>
      <c r="BU816" s="0" t="s">
        <v>5707</v>
      </c>
      <c r="BV816" s="123"/>
      <c r="BW816" s="123"/>
      <c r="BX816" s="123"/>
      <c r="BY816" s="123"/>
      <c r="CA816" s="0" t="s">
        <v>5708</v>
      </c>
      <c r="CD816" s="0" t="s">
        <v>370</v>
      </c>
      <c r="CE816" s="0" t="n">
        <v>0</v>
      </c>
      <c r="CF816" s="0" t="s">
        <v>7486</v>
      </c>
      <c r="CI816" s="1" t="n">
        <v>39714</v>
      </c>
      <c r="CJ816" s="1" t="n">
        <v>40684</v>
      </c>
      <c r="CK816" s="124" t="n">
        <v>0.333333333333333</v>
      </c>
      <c r="CL816" s="0" t="s">
        <v>7487</v>
      </c>
      <c r="CM816" s="0" t="n">
        <f aca="false">IF(OR(CI816="",CJ816=""),"",DAYS360(CI816,CJ816)/360)</f>
        <v>2.66111111111111</v>
      </c>
      <c r="CN816" s="0" t="n">
        <f aca="false">IF(OR(CI816="",CJ816=""),"",DAYS360(CI816,CJ816)/30)</f>
        <v>31.9333333333333</v>
      </c>
      <c r="CO816" s="0" t="n">
        <f aca="false">IF(OR(CI816="",CJ816=""),"",DAYS360(CI816,CJ816)/7)</f>
        <v>136.857142857143</v>
      </c>
      <c r="CP816" s="0" t="n">
        <f aca="false">IF(OR(CI816="",CJ816=""),"",DAYS360(CI816,CJ816))</f>
        <v>958</v>
      </c>
      <c r="CQ816" s="0" t="s">
        <v>240</v>
      </c>
      <c r="CR816" s="0" t="n">
        <v>1</v>
      </c>
      <c r="CT816" s="0" t="s">
        <v>221</v>
      </c>
      <c r="CU816" s="0" t="s">
        <v>221</v>
      </c>
      <c r="CV816" s="0" t="str">
        <f aca="false">IF(OR(CT816="",CT816="NO ESPECIFICA",CT816="NO MENCIONA"),"",IF(CU816=0,CT816,IF(CU816=1,CT816/30,IF(CU816=2,CT816/15,IF(CU816=3,CT816/7,"")))))</f>
        <v/>
      </c>
      <c r="CW816" s="125" t="n">
        <v>250</v>
      </c>
      <c r="CX816" s="0" t="n">
        <v>0</v>
      </c>
      <c r="CY816" s="0" t="n">
        <f aca="false">IF(CW816="","",IF(CX816=0,CW816,IF(CX816=1,CW816/30,IF(CX816=2,CW816/15,IF(CX816=3,CW816/7,CW816)))))</f>
        <v>250</v>
      </c>
      <c r="CZ816" s="0" t="n">
        <f aca="false">IF(DI816&gt;0,DI816,IF(CY816&gt;0,CY816,IF(CV816&gt;0,CV816,"")))</f>
        <v>250</v>
      </c>
      <c r="DA816" s="0" t="n">
        <f aca="false">IF(DM816=1,CZ816/8,IF(OR(DM816=2,DM816=4),CZ816/7,IF(DM816=3,CZ816/7.5,"")))</f>
        <v>31.25</v>
      </c>
      <c r="DB816" s="0" t="s">
        <v>216</v>
      </c>
      <c r="DC816" s="0" t="s">
        <v>216</v>
      </c>
      <c r="DD816" s="0" t="s">
        <v>216</v>
      </c>
      <c r="DE816" s="0" t="s">
        <v>216</v>
      </c>
      <c r="DF816" s="0" t="s">
        <v>216</v>
      </c>
      <c r="DG816" s="0" t="s">
        <v>216</v>
      </c>
      <c r="DH816" s="0" t="n">
        <v>0</v>
      </c>
      <c r="DI816" s="126" t="n">
        <v>250</v>
      </c>
      <c r="DK816" s="0" t="n">
        <v>0</v>
      </c>
      <c r="DM816" s="0" t="n">
        <v>1</v>
      </c>
      <c r="DN816" s="0" t="n">
        <v>60</v>
      </c>
      <c r="DO816" s="0" t="n">
        <v>3</v>
      </c>
      <c r="DP816" s="0" t="n">
        <v>0</v>
      </c>
      <c r="DQ816" s="0" t="n">
        <v>1</v>
      </c>
      <c r="DR816" s="0"/>
      <c r="DS816" s="0" t="n">
        <v>1</v>
      </c>
      <c r="DU816" s="0" t="n">
        <v>1</v>
      </c>
      <c r="DW816" s="1" t="n">
        <v>39714</v>
      </c>
      <c r="DX816" s="1" t="n">
        <v>40684</v>
      </c>
      <c r="DZ816" s="0"/>
      <c r="EA816" s="0" t="n">
        <v>1</v>
      </c>
      <c r="EC816" s="1" t="n">
        <v>39714</v>
      </c>
      <c r="ED816" s="1" t="n">
        <v>40684</v>
      </c>
      <c r="EF816" s="0"/>
      <c r="EG816" s="0" t="n">
        <v>1</v>
      </c>
      <c r="EH816" s="0" t="n">
        <v>12</v>
      </c>
      <c r="EI816" s="0" t="n">
        <f aca="false">IF(AND(DM816=1,DN816&lt;=48),"",IF(AND(DM816=2,DN816&lt;=42),"",IF(AND(DM816=3,DN816&lt;=45),"",EH816)))</f>
        <v>12</v>
      </c>
      <c r="EJ816" s="0" t="n">
        <f aca="false">IF(EI816="","",IF(EI816&lt;9,EI816,9))</f>
        <v>9</v>
      </c>
      <c r="EK816" s="0" t="n">
        <f aca="false">IF(EI816="","",IF(EI816&gt;9,EI816-EJ816,0))</f>
        <v>3</v>
      </c>
      <c r="EL816" s="0" t="n">
        <f aca="false">IF(EI816="","",EJ816*DA816*2+EK816*DA816*3)</f>
        <v>843.75</v>
      </c>
      <c r="EP816" s="0" t="n">
        <v>0</v>
      </c>
      <c r="EQ816" s="0"/>
      <c r="ER816" s="0" t="n">
        <v>1</v>
      </c>
      <c r="ET816" s="0" t="n">
        <v>1</v>
      </c>
      <c r="EV816" s="0" t="n">
        <v>1</v>
      </c>
      <c r="EX816" s="0" t="n">
        <v>1</v>
      </c>
      <c r="EY816" s="0" t="n">
        <v>1</v>
      </c>
      <c r="EZ816" s="4" t="n">
        <v>18650</v>
      </c>
      <c r="FA816" s="0"/>
      <c r="FB816" s="0" t="n">
        <v>0</v>
      </c>
      <c r="FC816" s="1" t="n">
        <v>40814</v>
      </c>
      <c r="FD816" s="0" t="n">
        <v>2</v>
      </c>
      <c r="FE816" s="0" t="n">
        <v>0</v>
      </c>
      <c r="FF816" s="120" t="n">
        <f aca="false">(CJ816-CI816+1)/365</f>
        <v>2.66027397260274</v>
      </c>
      <c r="FG816" s="0" t="str">
        <f aca="false">CONCATENATE(F816,"/",G816)</f>
        <v>925/2011</v>
      </c>
      <c r="FH816" s="0" t="n">
        <v>1</v>
      </c>
      <c r="FI816" s="0" t="n">
        <f aca="false">IFERROR(IF((FC816-J816+1)/365&gt;3,0,1),"")</f>
        <v>1</v>
      </c>
    </row>
    <row r="817" customFormat="false" ht="15" hidden="false" customHeight="false" outlineLevel="0" collapsed="false">
      <c r="A817" s="5" t="str">
        <f aca="false">E817&amp;G817&amp;F817</f>
        <v>72011935</v>
      </c>
      <c r="B817" s="0" t="s">
        <v>7461</v>
      </c>
      <c r="C817" s="1" t="n">
        <v>42383</v>
      </c>
      <c r="E817" s="0" t="n">
        <v>7</v>
      </c>
      <c r="F817" s="0" t="n">
        <v>935</v>
      </c>
      <c r="G817" s="0" t="n">
        <v>2011</v>
      </c>
      <c r="H817" s="0" t="str">
        <f aca="false">"J"&amp;E817&amp;"\"&amp;F817&amp;"\"&amp;G817&amp;"\"&amp;W817</f>
        <v>J7\935\2011\1</v>
      </c>
      <c r="I817" s="0"/>
      <c r="J817" s="1" t="n">
        <v>40690</v>
      </c>
      <c r="M817" s="1" t="n">
        <v>40690</v>
      </c>
      <c r="N817" s="1" t="n">
        <v>40842</v>
      </c>
      <c r="O817" s="1"/>
      <c r="P817" s="1"/>
      <c r="Q817" s="1"/>
      <c r="T817" s="121"/>
      <c r="U817" s="121"/>
      <c r="V817" s="122" t="n">
        <f aca="false">IF(AND(E817&gt;0,F817&gt;0,G817&gt;0),COUNTIFS($E:$E,E817,$F:$F,F817,$G:$G,G817),"")</f>
        <v>1</v>
      </c>
      <c r="W817" s="122" t="n">
        <f aca="false">IF(V817="","",IF(V817=1,1,IF(AND(E816=E817,F816=F817,G816=G817),W816+1,1)))</f>
        <v>1</v>
      </c>
      <c r="X817" s="0" t="n">
        <v>1</v>
      </c>
      <c r="Y817" s="0" t="n">
        <v>3</v>
      </c>
      <c r="Z817" s="0" t="s">
        <v>7488</v>
      </c>
      <c r="AA817" s="0" t="n">
        <v>0</v>
      </c>
      <c r="AB817" s="0" t="s">
        <v>7489</v>
      </c>
      <c r="AC817" s="0" t="s">
        <v>789</v>
      </c>
      <c r="AD817" s="0" t="s">
        <v>216</v>
      </c>
      <c r="AE817" s="0" t="n">
        <v>0</v>
      </c>
      <c r="AF817" s="0" t="s">
        <v>7490</v>
      </c>
      <c r="AG817" s="0" t="n">
        <v>1</v>
      </c>
      <c r="AH817" s="0" t="s">
        <v>7491</v>
      </c>
      <c r="AI817" s="0" t="s">
        <v>7492</v>
      </c>
      <c r="AJ817" s="0" t="s">
        <v>2206</v>
      </c>
      <c r="AL817" s="0" t="s">
        <v>7493</v>
      </c>
      <c r="AM817" s="0" t="n">
        <v>1</v>
      </c>
      <c r="AN817" s="0" t="s">
        <v>7491</v>
      </c>
      <c r="AO817" s="0" t="s">
        <v>7492</v>
      </c>
      <c r="AP817" s="0" t="s">
        <v>2206</v>
      </c>
      <c r="AR817" s="0" t="s">
        <v>213</v>
      </c>
      <c r="AS817" s="0" t="n">
        <v>1</v>
      </c>
      <c r="AT817" s="0" t="s">
        <v>7491</v>
      </c>
      <c r="AU817" s="0" t="s">
        <v>7492</v>
      </c>
      <c r="AV817" s="0" t="s">
        <v>2206</v>
      </c>
      <c r="BR817" s="0" t="n">
        <v>1</v>
      </c>
      <c r="BS817" s="0" t="s">
        <v>7494</v>
      </c>
      <c r="BT817" s="0" t="s">
        <v>7495</v>
      </c>
      <c r="BU817" s="0" t="s">
        <v>7496</v>
      </c>
      <c r="BV817" s="123"/>
      <c r="BW817" s="123"/>
      <c r="BX817" s="123"/>
      <c r="BY817" s="123"/>
      <c r="CA817" s="0" t="s">
        <v>216</v>
      </c>
      <c r="CD817" s="0" t="s">
        <v>216</v>
      </c>
      <c r="CE817" s="0" t="n">
        <v>0</v>
      </c>
      <c r="CF817" s="0" t="s">
        <v>1789</v>
      </c>
      <c r="CI817" s="1" t="n">
        <v>34250</v>
      </c>
      <c r="CJ817" s="1" t="n">
        <v>40677</v>
      </c>
      <c r="CK817" s="124" t="n">
        <v>0.833333333333333</v>
      </c>
      <c r="CL817" s="0" t="s">
        <v>7497</v>
      </c>
      <c r="CM817" s="0" t="n">
        <f aca="false">IF(OR(CI817="",CJ817=""),"",DAYS360(CI817,CJ817)/360)</f>
        <v>17.6</v>
      </c>
      <c r="CN817" s="0" t="n">
        <f aca="false">IF(OR(CI817="",CJ817=""),"",DAYS360(CI817,CJ817)/30)</f>
        <v>211.2</v>
      </c>
      <c r="CO817" s="0" t="n">
        <f aca="false">IF(OR(CI817="",CJ817=""),"",DAYS360(CI817,CJ817)/7)</f>
        <v>905.142857142857</v>
      </c>
      <c r="CP817" s="0" t="n">
        <f aca="false">IF(OR(CI817="",CJ817=""),"",DAYS360(CI817,CJ817))</f>
        <v>6336</v>
      </c>
      <c r="CQ817" s="0" t="s">
        <v>220</v>
      </c>
      <c r="CR817" s="0" t="n">
        <v>1</v>
      </c>
      <c r="CT817" s="0" t="s">
        <v>221</v>
      </c>
      <c r="CU817" s="0" t="s">
        <v>221</v>
      </c>
      <c r="CV817" s="0" t="str">
        <f aca="false">IF(OR(CT817="",CT817="NO ESPECIFICA",CT817="NO MENCIONA"),"",IF(CU817=0,CT817,IF(CU817=1,CT817/30,IF(CU817=2,CT817/15,IF(CU817=3,CT817/7,"")))))</f>
        <v/>
      </c>
      <c r="CW817" s="125" t="n">
        <v>1100</v>
      </c>
      <c r="CX817" s="0" t="n">
        <v>3</v>
      </c>
      <c r="CY817" s="0" t="n">
        <f aca="false">IF(CW817="","",IF(CX817=0,CW817,IF(CX817=1,CW817/30,IF(CX817=2,CW817/15,IF(CX817=3,CW817/7,CW817)))))</f>
        <v>157.142857142857</v>
      </c>
      <c r="CZ817" s="0" t="n">
        <f aca="false">IF(DI817&gt;0,DI817,IF(CY817&gt;0,CY817,IF(CV817&gt;0,CV817,"")))</f>
        <v>157.142857142857</v>
      </c>
      <c r="DA817" s="0" t="n">
        <f aca="false">IF(DM817=1,CZ817/8,IF(OR(DM817=2,DM817=4),CZ817/7,IF(DM817=3,CZ817/7.5,"")))</f>
        <v>20.952380952381</v>
      </c>
      <c r="DB817" s="0" t="s">
        <v>216</v>
      </c>
      <c r="DC817" s="0" t="s">
        <v>216</v>
      </c>
      <c r="DD817" s="0" t="s">
        <v>216</v>
      </c>
      <c r="DE817" s="0" t="s">
        <v>216</v>
      </c>
      <c r="DF817" s="0" t="s">
        <v>216</v>
      </c>
      <c r="DG817" s="0" t="s">
        <v>216</v>
      </c>
      <c r="DH817" s="0" t="n">
        <v>0</v>
      </c>
      <c r="DI817" s="126" t="n">
        <v>157.142857142857</v>
      </c>
      <c r="DK817" s="0" t="n">
        <v>0</v>
      </c>
      <c r="DM817" s="0" t="n">
        <v>3</v>
      </c>
      <c r="DN817" s="0" t="n">
        <v>36</v>
      </c>
      <c r="DO817" s="0" t="n">
        <v>3</v>
      </c>
      <c r="DP817" s="0" t="n">
        <v>1</v>
      </c>
      <c r="DQ817" s="0" t="n">
        <v>1</v>
      </c>
      <c r="DR817" s="0"/>
      <c r="DS817" s="0" t="n">
        <v>0</v>
      </c>
      <c r="DU817" s="0" t="n">
        <v>0</v>
      </c>
      <c r="DW817" s="1" t="n">
        <v>34250</v>
      </c>
      <c r="DX817" s="1" t="n">
        <v>40677</v>
      </c>
      <c r="DZ817" s="0"/>
      <c r="EA817" s="0" t="n">
        <v>1</v>
      </c>
      <c r="EC817" s="1" t="n">
        <v>34250</v>
      </c>
      <c r="ED817" s="1" t="n">
        <v>40677</v>
      </c>
      <c r="EF817" s="0"/>
      <c r="EG817" s="0" t="n">
        <v>0</v>
      </c>
      <c r="EI817" s="0" t="str">
        <f aca="false">IF(AND(DM817=1,DN817&lt;=48),"",IF(AND(DM817=2,DN817&lt;=42),"",IF(AND(DM817=3,DN817&lt;=45),"",EH817)))</f>
        <v/>
      </c>
      <c r="EJ817" s="0" t="str">
        <f aca="false">IF(EI817="","",IF(EI817&lt;9,EI817,9))</f>
        <v/>
      </c>
      <c r="EK817" s="0" t="str">
        <f aca="false">IF(EI817="","",IF(EI817&gt;9,EI817-EJ817,0))</f>
        <v/>
      </c>
      <c r="EL817" s="0" t="str">
        <f aca="false">IF(EI817="","",EJ817*DA817*2+EK817*DA817*3)</f>
        <v/>
      </c>
      <c r="EP817" s="0" t="n">
        <v>1</v>
      </c>
      <c r="EQ817" s="0"/>
      <c r="ER817" s="0" t="n">
        <v>0</v>
      </c>
      <c r="ET817" s="0" t="n">
        <v>0</v>
      </c>
      <c r="EV817" s="0" t="n">
        <v>0</v>
      </c>
      <c r="EX817" s="0" t="n">
        <v>1</v>
      </c>
      <c r="EY817" s="0" t="n">
        <v>0</v>
      </c>
      <c r="EZ817" s="0"/>
      <c r="FA817" s="0"/>
      <c r="FB817" s="0" t="n">
        <v>0</v>
      </c>
      <c r="FC817" s="1" t="n">
        <v>41493</v>
      </c>
      <c r="FD817" s="0" t="n">
        <v>2</v>
      </c>
      <c r="FE817" s="0" t="n">
        <v>0</v>
      </c>
      <c r="FF817" s="120" t="n">
        <f aca="false">(CJ817-CI817+1)/365</f>
        <v>17.6109589041096</v>
      </c>
      <c r="FG817" s="0" t="str">
        <f aca="false">CONCATENATE(F817,"/",G817)</f>
        <v>935/2011</v>
      </c>
      <c r="FH817" s="0" t="n">
        <v>1</v>
      </c>
      <c r="FI817" s="0" t="n">
        <f aca="false">IFERROR(IF((FC817-J817+1)/365&gt;3,0,1),"")</f>
        <v>1</v>
      </c>
    </row>
    <row r="818" customFormat="false" ht="15" hidden="false" customHeight="false" outlineLevel="0" collapsed="false">
      <c r="A818" s="5" t="str">
        <f aca="false">E818&amp;G818&amp;F818</f>
        <v>72011937</v>
      </c>
      <c r="B818" s="0" t="s">
        <v>7461</v>
      </c>
      <c r="C818" s="1" t="n">
        <v>42383</v>
      </c>
      <c r="E818" s="0" t="n">
        <v>7</v>
      </c>
      <c r="F818" s="0" t="n">
        <v>937</v>
      </c>
      <c r="G818" s="0" t="n">
        <v>2011</v>
      </c>
      <c r="H818" s="0" t="str">
        <f aca="false">"J"&amp;E818&amp;"\"&amp;F818&amp;"\"&amp;G818&amp;"\"&amp;W818</f>
        <v>J7\937\2011\1</v>
      </c>
      <c r="I818" s="0"/>
      <c r="J818" s="1" t="n">
        <v>40690</v>
      </c>
      <c r="M818" s="1"/>
      <c r="N818" s="1"/>
      <c r="O818" s="1"/>
      <c r="P818" s="1"/>
      <c r="Q818" s="1"/>
      <c r="T818" s="121"/>
      <c r="U818" s="121"/>
      <c r="V818" s="122" t="n">
        <f aca="false">IF(AND(E818&gt;0,F818&gt;0,G818&gt;0),COUNTIFS($E:$E,E818,$F:$F,F818,$G:$G,G818),"")</f>
        <v>1</v>
      </c>
      <c r="W818" s="122" t="n">
        <f aca="false">IF(V818="","",IF(V818=1,1,IF(AND(E817=E818,F817=F818,G817=G818),W817+1,1)))</f>
        <v>1</v>
      </c>
      <c r="X818" s="0" t="n">
        <v>1</v>
      </c>
      <c r="Y818" s="0" t="n">
        <v>5</v>
      </c>
      <c r="Z818" s="0" t="s">
        <v>7498</v>
      </c>
      <c r="AA818" s="0" t="n">
        <v>0</v>
      </c>
      <c r="AB818" s="0" t="s">
        <v>1812</v>
      </c>
      <c r="AC818" s="0" t="s">
        <v>228</v>
      </c>
      <c r="AD818" s="0" t="s">
        <v>1160</v>
      </c>
      <c r="AE818" s="0" t="n">
        <v>0</v>
      </c>
      <c r="AF818" s="0" t="s">
        <v>7499</v>
      </c>
      <c r="AG818" s="0" t="n">
        <v>0</v>
      </c>
      <c r="AH818" s="0" t="s">
        <v>7500</v>
      </c>
      <c r="AI818" s="0" t="s">
        <v>598</v>
      </c>
      <c r="AJ818" s="0" t="s">
        <v>5607</v>
      </c>
      <c r="AL818" s="0" t="s">
        <v>7501</v>
      </c>
      <c r="AM818" s="0" t="n">
        <v>1</v>
      </c>
      <c r="AN818" s="0" t="s">
        <v>7500</v>
      </c>
      <c r="AO818" s="0" t="s">
        <v>598</v>
      </c>
      <c r="AP818" s="0" t="s">
        <v>5607</v>
      </c>
      <c r="AR818" s="0" t="s">
        <v>7502</v>
      </c>
      <c r="AS818" s="0" t="n">
        <v>1</v>
      </c>
      <c r="AT818" s="0" t="s">
        <v>7500</v>
      </c>
      <c r="AU818" s="0" t="s">
        <v>598</v>
      </c>
      <c r="AV818" s="0" t="s">
        <v>5607</v>
      </c>
      <c r="AX818" s="0" t="s">
        <v>7503</v>
      </c>
      <c r="AY818" s="0" t="n">
        <v>1</v>
      </c>
      <c r="AZ818" s="0" t="s">
        <v>7500</v>
      </c>
      <c r="BA818" s="0" t="s">
        <v>598</v>
      </c>
      <c r="BB818" s="0" t="s">
        <v>5607</v>
      </c>
      <c r="BD818" s="0" t="s">
        <v>213</v>
      </c>
      <c r="BE818" s="0" t="n">
        <v>1</v>
      </c>
      <c r="BF818" s="0" t="s">
        <v>7500</v>
      </c>
      <c r="BG818" s="0" t="s">
        <v>598</v>
      </c>
      <c r="BH818" s="0" t="s">
        <v>5607</v>
      </c>
      <c r="BR818" s="0" t="n">
        <v>3</v>
      </c>
      <c r="BS818" s="0" t="s">
        <v>499</v>
      </c>
      <c r="BT818" s="0" t="s">
        <v>858</v>
      </c>
      <c r="BU818" s="0" t="s">
        <v>859</v>
      </c>
      <c r="BV818" s="123"/>
      <c r="BW818" s="123"/>
      <c r="BX818" s="123"/>
      <c r="BY818" s="123"/>
      <c r="CA818" s="0" t="s">
        <v>348</v>
      </c>
      <c r="CD818" s="0" t="s">
        <v>296</v>
      </c>
      <c r="CE818" s="0" t="n">
        <v>0</v>
      </c>
      <c r="CF818" s="0" t="s">
        <v>7504</v>
      </c>
      <c r="CI818" s="1" t="n">
        <v>40476</v>
      </c>
      <c r="CJ818" s="1" t="n">
        <v>40666</v>
      </c>
      <c r="CK818" s="124" t="n">
        <v>0.229166666666667</v>
      </c>
      <c r="CL818" s="0" t="s">
        <v>7502</v>
      </c>
      <c r="CM818" s="0" t="n">
        <f aca="false">IF(OR(CI818="",CJ818=""),"",DAYS360(CI818,CJ818)/360)</f>
        <v>0.522222222222222</v>
      </c>
      <c r="CN818" s="0" t="n">
        <f aca="false">IF(OR(CI818="",CJ818=""),"",DAYS360(CI818,CJ818)/30)</f>
        <v>6.26666666666667</v>
      </c>
      <c r="CO818" s="0" t="n">
        <f aca="false">IF(OR(CI818="",CJ818=""),"",DAYS360(CI818,CJ818)/7)</f>
        <v>26.8571428571429</v>
      </c>
      <c r="CP818" s="0" t="n">
        <f aca="false">IF(OR(CI818="",CJ818=""),"",DAYS360(CI818,CJ818))</f>
        <v>188</v>
      </c>
      <c r="CQ818" s="0" t="s">
        <v>240</v>
      </c>
      <c r="CR818" s="0" t="n">
        <v>1</v>
      </c>
      <c r="CT818" s="0" t="n">
        <v>130</v>
      </c>
      <c r="CU818" s="0" t="n">
        <v>0</v>
      </c>
      <c r="CV818" s="0" t="n">
        <f aca="false">IF(OR(CT818="",CT818="NO ESPECIFICA",CT818="NO MENCIONA"),"",IF(CU818=0,CT818,IF(CU818=1,CT818/30,IF(CU818=2,CT818/15,IF(CU818=3,CT818/7,"")))))</f>
        <v>130</v>
      </c>
      <c r="CW818" s="125" t="n">
        <v>135.87</v>
      </c>
      <c r="CX818" s="0" t="n">
        <v>0</v>
      </c>
      <c r="CY818" s="0" t="n">
        <f aca="false">IF(CW818="","",IF(CX818=0,CW818,IF(CX818=1,CW818/30,IF(CX818=2,CW818/15,IF(CX818=3,CW818/7,CW818)))))</f>
        <v>135.87</v>
      </c>
      <c r="CZ818" s="0" t="n">
        <f aca="false">IF(DI818&gt;0,DI818,IF(CY818&gt;0,CY818,IF(CV818&gt;0,CV818,"")))</f>
        <v>135.87</v>
      </c>
      <c r="DA818" s="0" t="n">
        <f aca="false">IF(DM818=1,CZ818/8,IF(OR(DM818=2,DM818=4),CZ818/7,IF(DM818=3,CZ818/7.5,"")))</f>
        <v>16.98375</v>
      </c>
      <c r="DB818" s="0" t="s">
        <v>303</v>
      </c>
      <c r="DC818" s="0" t="s">
        <v>301</v>
      </c>
      <c r="DD818" s="0" t="s">
        <v>216</v>
      </c>
      <c r="DE818" s="0" t="s">
        <v>216</v>
      </c>
      <c r="DF818" s="0" t="s">
        <v>216</v>
      </c>
      <c r="DG818" s="0" t="s">
        <v>216</v>
      </c>
      <c r="DH818" s="0" t="n">
        <v>0</v>
      </c>
      <c r="DI818" s="126" t="n">
        <v>135.87</v>
      </c>
      <c r="DK818" s="0" t="n">
        <v>0</v>
      </c>
      <c r="DM818" s="0" t="n">
        <v>1</v>
      </c>
      <c r="DN818" s="0" t="n">
        <v>49</v>
      </c>
      <c r="DO818" s="0" t="n">
        <v>3</v>
      </c>
      <c r="DP818" s="0" t="n">
        <v>0</v>
      </c>
      <c r="DQ818" s="0" t="n">
        <v>1</v>
      </c>
      <c r="DR818" s="0"/>
      <c r="DS818" s="0" t="n">
        <v>1</v>
      </c>
      <c r="DU818" s="0" t="n">
        <v>1</v>
      </c>
      <c r="DW818" s="1" t="n">
        <v>40476</v>
      </c>
      <c r="DX818" s="1" t="n">
        <v>40666</v>
      </c>
      <c r="DZ818" s="0"/>
      <c r="EA818" s="0" t="n">
        <v>1</v>
      </c>
      <c r="EC818" s="1" t="n">
        <v>40544</v>
      </c>
      <c r="ED818" s="1" t="n">
        <v>40666</v>
      </c>
      <c r="EF818" s="0"/>
      <c r="EG818" s="0" t="n">
        <v>0</v>
      </c>
      <c r="EI818" s="0" t="n">
        <f aca="false">IF(AND(DM818=1,DN818&lt;=48),"",IF(AND(DM818=2,DN818&lt;=42),"",IF(AND(DM818=3,DN818&lt;=45),"",EH818)))</f>
        <v>0</v>
      </c>
      <c r="EJ818" s="0" t="str">
        <f aca="false">IF(EI818="","",IF(EI818&lt;9,EI818,9))</f>
        <v/>
      </c>
      <c r="EK818" s="0" t="str">
        <f aca="false">IF(EI818="","",IF(EI818&gt;9,EI818-EJ818,0))</f>
        <v/>
      </c>
      <c r="EL818" s="0" t="str">
        <f aca="false">IF(EI818="","",EJ818*DA818*2+EK818*DA818*3)</f>
        <v/>
      </c>
      <c r="EP818" s="0" t="n">
        <v>0</v>
      </c>
      <c r="EQ818" s="0"/>
      <c r="ER818" s="0" t="n">
        <v>0</v>
      </c>
      <c r="ET818" s="0" t="n">
        <v>0</v>
      </c>
      <c r="EV818" s="0" t="n">
        <v>0</v>
      </c>
      <c r="EX818" s="0" t="n">
        <v>0</v>
      </c>
      <c r="EY818" s="0" t="n">
        <v>0</v>
      </c>
      <c r="EZ818" s="0"/>
      <c r="FA818" s="0"/>
      <c r="FB818" s="0" t="n">
        <v>1</v>
      </c>
      <c r="FC818" s="1" t="n">
        <v>41205</v>
      </c>
      <c r="FD818" s="0" t="n">
        <v>1</v>
      </c>
      <c r="FE818" s="0" t="n">
        <v>4500</v>
      </c>
      <c r="FF818" s="120" t="n">
        <f aca="false">(CJ818-CI818+1)/365</f>
        <v>0.523287671232877</v>
      </c>
      <c r="FG818" s="0" t="str">
        <f aca="false">CONCATENATE(F818,"/",G818)</f>
        <v>937/2011</v>
      </c>
      <c r="FH818" s="0" t="n">
        <v>1</v>
      </c>
      <c r="FI818" s="0" t="n">
        <f aca="false">IFERROR(IF((FC818-J818+1)/365&gt;3,0,1),"")</f>
        <v>1</v>
      </c>
    </row>
    <row r="819" customFormat="false" ht="15" hidden="false" customHeight="false" outlineLevel="0" collapsed="false">
      <c r="A819" s="5" t="str">
        <f aca="false">E819&amp;G819&amp;F819</f>
        <v>72011938</v>
      </c>
      <c r="B819" s="0" t="s">
        <v>7461</v>
      </c>
      <c r="C819" s="1" t="n">
        <v>42383</v>
      </c>
      <c r="E819" s="0" t="n">
        <v>7</v>
      </c>
      <c r="F819" s="0" t="n">
        <v>938</v>
      </c>
      <c r="G819" s="0" t="n">
        <v>2011</v>
      </c>
      <c r="H819" s="0" t="str">
        <f aca="false">"J"&amp;E819&amp;"\"&amp;F819&amp;"\"&amp;G819&amp;"\"&amp;W819</f>
        <v>J7\938\2011\1</v>
      </c>
      <c r="I819" s="0"/>
      <c r="J819" s="1" t="n">
        <v>40690</v>
      </c>
      <c r="M819" s="1"/>
      <c r="N819" s="1"/>
      <c r="O819" s="1"/>
      <c r="P819" s="1"/>
      <c r="Q819" s="1"/>
      <c r="T819" s="121"/>
      <c r="U819" s="121"/>
      <c r="V819" s="122" t="n">
        <f aca="false">IF(AND(E819&gt;0,F819&gt;0,G819&gt;0),COUNTIFS($E:$E,E819,$F:$F,F819,$G:$G,G819),"")</f>
        <v>1</v>
      </c>
      <c r="W819" s="122" t="n">
        <f aca="false">IF(V819="","",IF(V819=1,1,IF(AND(E818=E819,F818=F819,G818=G819),W818+1,1)))</f>
        <v>1</v>
      </c>
      <c r="X819" s="0" t="n">
        <v>1</v>
      </c>
      <c r="Y819" s="0" t="n">
        <v>5</v>
      </c>
      <c r="Z819" s="0" t="s">
        <v>7505</v>
      </c>
      <c r="AA819" s="0" t="n">
        <v>0</v>
      </c>
      <c r="AB819" s="0" t="s">
        <v>1812</v>
      </c>
      <c r="AC819" s="0" t="s">
        <v>228</v>
      </c>
      <c r="AD819" s="0" t="s">
        <v>1160</v>
      </c>
      <c r="AE819" s="0" t="n">
        <v>0</v>
      </c>
      <c r="AF819" s="0" t="s">
        <v>4425</v>
      </c>
      <c r="AG819" s="0" t="n">
        <v>0</v>
      </c>
      <c r="AH819" s="0" t="s">
        <v>7506</v>
      </c>
      <c r="AI819" s="0" t="s">
        <v>438</v>
      </c>
      <c r="AJ819" s="0" t="s">
        <v>2218</v>
      </c>
      <c r="AL819" s="0" t="s">
        <v>7507</v>
      </c>
      <c r="AM819" s="0" t="n">
        <v>1</v>
      </c>
      <c r="AN819" s="0" t="s">
        <v>7506</v>
      </c>
      <c r="AO819" s="0" t="s">
        <v>438</v>
      </c>
      <c r="AP819" s="0" t="s">
        <v>2218</v>
      </c>
      <c r="AR819" s="0" t="s">
        <v>7508</v>
      </c>
      <c r="AS819" s="0" t="n">
        <v>1</v>
      </c>
      <c r="AT819" s="0" t="s">
        <v>7506</v>
      </c>
      <c r="AU819" s="0" t="s">
        <v>438</v>
      </c>
      <c r="AV819" s="0" t="s">
        <v>2218</v>
      </c>
      <c r="AX819" s="0" t="s">
        <v>7509</v>
      </c>
      <c r="AY819" s="0" t="n">
        <v>1</v>
      </c>
      <c r="AZ819" s="0" t="s">
        <v>7506</v>
      </c>
      <c r="BA819" s="0" t="s">
        <v>438</v>
      </c>
      <c r="BB819" s="0" t="s">
        <v>2218</v>
      </c>
      <c r="BD819" s="0" t="s">
        <v>213</v>
      </c>
      <c r="BE819" s="0" t="n">
        <v>1</v>
      </c>
      <c r="BF819" s="0" t="s">
        <v>7506</v>
      </c>
      <c r="BG819" s="0" t="s">
        <v>438</v>
      </c>
      <c r="BH819" s="0" t="s">
        <v>2218</v>
      </c>
      <c r="BR819" s="0" t="n">
        <v>3</v>
      </c>
      <c r="BS819" s="0" t="s">
        <v>499</v>
      </c>
      <c r="BT819" s="0" t="s">
        <v>858</v>
      </c>
      <c r="BU819" s="0" t="s">
        <v>859</v>
      </c>
      <c r="BV819" s="123"/>
      <c r="BW819" s="123"/>
      <c r="BX819" s="123"/>
      <c r="BY819" s="123"/>
      <c r="CA819" s="0" t="s">
        <v>348</v>
      </c>
      <c r="CD819" s="0" t="s">
        <v>296</v>
      </c>
      <c r="CE819" s="0" t="n">
        <v>0</v>
      </c>
      <c r="CF819" s="0" t="s">
        <v>7510</v>
      </c>
      <c r="CI819" s="1" t="n">
        <v>40233</v>
      </c>
      <c r="CJ819" s="1" t="n">
        <v>40633</v>
      </c>
      <c r="CK819" s="124" t="n">
        <v>0.5</v>
      </c>
      <c r="CL819" s="0" t="s">
        <v>7509</v>
      </c>
      <c r="CM819" s="0" t="n">
        <f aca="false">IF(OR(CI819="",CJ819=""),"",DAYS360(CI819,CJ819)/360)</f>
        <v>1.10277777777778</v>
      </c>
      <c r="CN819" s="0" t="n">
        <f aca="false">IF(OR(CI819="",CJ819=""),"",DAYS360(CI819,CJ819)/30)</f>
        <v>13.2333333333333</v>
      </c>
      <c r="CO819" s="0" t="n">
        <f aca="false">IF(OR(CI819="",CJ819=""),"",DAYS360(CI819,CJ819)/7)</f>
        <v>56.7142857142857</v>
      </c>
      <c r="CP819" s="0" t="n">
        <f aca="false">IF(OR(CI819="",CJ819=""),"",DAYS360(CI819,CJ819))</f>
        <v>397</v>
      </c>
      <c r="CQ819" s="0" t="s">
        <v>240</v>
      </c>
      <c r="CR819" s="0" t="n">
        <v>1</v>
      </c>
      <c r="CT819" s="0" t="n">
        <v>933.33</v>
      </c>
      <c r="CU819" s="0" t="n">
        <v>0</v>
      </c>
      <c r="CV819" s="0" t="n">
        <f aca="false">IF(OR(CT819="",CT819="NO ESPECIFICA",CT819="NO MENCIONA"),"",IF(CU819=0,CT819,IF(CU819=1,CT819/30,IF(CU819=2,CT819/15,IF(CU819=3,CT819/7,"")))))</f>
        <v>933.33</v>
      </c>
      <c r="CW819" s="125" t="n">
        <v>976.79</v>
      </c>
      <c r="CX819" s="0" t="n">
        <v>0</v>
      </c>
      <c r="CY819" s="0" t="n">
        <f aca="false">IF(CW819="","",IF(CX819=0,CW819,IF(CX819=1,CW819/30,IF(CX819=2,CW819/15,IF(CX819=3,CW819/7,CW819)))))</f>
        <v>976.79</v>
      </c>
      <c r="CZ819" s="0" t="n">
        <f aca="false">IF(DI819&gt;0,DI819,IF(CY819&gt;0,CY819,IF(CV819&gt;0,CV819,"")))</f>
        <v>976.79</v>
      </c>
      <c r="DA819" s="0" t="n">
        <f aca="false">IF(DM819=1,CZ819/8,IF(OR(DM819=2,DM819=4),CZ819/7,IF(DM819=3,CZ819/7.5,"")))</f>
        <v>122.09875</v>
      </c>
      <c r="DB819" s="0" t="s">
        <v>303</v>
      </c>
      <c r="DC819" s="0" t="s">
        <v>301</v>
      </c>
      <c r="DD819" s="0" t="s">
        <v>216</v>
      </c>
      <c r="DE819" s="0" t="s">
        <v>216</v>
      </c>
      <c r="DF819" s="0" t="s">
        <v>216</v>
      </c>
      <c r="DG819" s="0" t="s">
        <v>216</v>
      </c>
      <c r="DH819" s="0" t="n">
        <v>0</v>
      </c>
      <c r="DI819" s="126" t="n">
        <v>976.79</v>
      </c>
      <c r="DK819" s="0" t="n">
        <v>1</v>
      </c>
      <c r="DM819" s="0" t="n">
        <v>1</v>
      </c>
      <c r="DN819" s="0" t="n">
        <v>78</v>
      </c>
      <c r="DO819" s="0" t="n">
        <v>3</v>
      </c>
      <c r="DP819" s="0" t="n">
        <v>0</v>
      </c>
      <c r="DQ819" s="0" t="n">
        <v>1</v>
      </c>
      <c r="DR819" s="0"/>
      <c r="DS819" s="0" t="n">
        <v>1</v>
      </c>
      <c r="DU819" s="0" t="n">
        <v>1</v>
      </c>
      <c r="DW819" s="1" t="n">
        <v>40233</v>
      </c>
      <c r="DX819" s="1" t="n">
        <v>40623</v>
      </c>
      <c r="DZ819" s="0"/>
      <c r="EA819" s="0" t="n">
        <v>1</v>
      </c>
      <c r="EC819" s="1" t="n">
        <v>40233</v>
      </c>
      <c r="ED819" s="1" t="n">
        <v>40623</v>
      </c>
      <c r="EF819" s="0"/>
      <c r="EG819" s="0" t="n">
        <v>0</v>
      </c>
      <c r="EI819" s="0" t="n">
        <f aca="false">IF(AND(DM819=1,DN819&lt;=48),"",IF(AND(DM819=2,DN819&lt;=42),"",IF(AND(DM819=3,DN819&lt;=45),"",EH819)))</f>
        <v>0</v>
      </c>
      <c r="EJ819" s="0" t="str">
        <f aca="false">IF(EI819="","",IF(EI819&lt;9,EI819,9))</f>
        <v/>
      </c>
      <c r="EK819" s="0" t="str">
        <f aca="false">IF(EI819="","",IF(EI819&gt;9,EI819-EJ819,0))</f>
        <v/>
      </c>
      <c r="EL819" s="0" t="str">
        <f aca="false">IF(EI819="","",EJ819*DA819*2+EK819*DA819*3)</f>
        <v/>
      </c>
      <c r="EP819" s="0" t="n">
        <v>0</v>
      </c>
      <c r="EQ819" s="0"/>
      <c r="ER819" s="0" t="n">
        <v>0</v>
      </c>
      <c r="ET819" s="0" t="n">
        <v>0</v>
      </c>
      <c r="EV819" s="0" t="n">
        <v>0</v>
      </c>
      <c r="EX819" s="0" t="n">
        <v>0</v>
      </c>
      <c r="EY819" s="0" t="n">
        <v>0</v>
      </c>
      <c r="EZ819" s="0"/>
      <c r="FA819" s="0"/>
      <c r="FB819" s="0" t="n">
        <v>1</v>
      </c>
      <c r="FC819" s="1" t="n">
        <v>40793</v>
      </c>
      <c r="FD819" s="0" t="n">
        <v>1</v>
      </c>
      <c r="FE819" s="0" t="n">
        <v>96000</v>
      </c>
      <c r="FF819" s="120" t="n">
        <f aca="false">(CJ819-CI819+1)/365</f>
        <v>1.0986301369863</v>
      </c>
      <c r="FG819" s="0" t="str">
        <f aca="false">CONCATENATE(F819,"/",G819)</f>
        <v>938/2011</v>
      </c>
      <c r="FH819" s="0" t="n">
        <v>1</v>
      </c>
      <c r="FI819" s="0" t="n">
        <f aca="false">IFERROR(IF((FC819-J819+1)/365&gt;3,0,1),"")</f>
        <v>1</v>
      </c>
    </row>
    <row r="820" customFormat="false" ht="15" hidden="false" customHeight="false" outlineLevel="0" collapsed="false">
      <c r="A820" s="5" t="str">
        <f aca="false">E820&amp;G820&amp;F820</f>
        <v>72011943</v>
      </c>
      <c r="B820" s="0" t="s">
        <v>7461</v>
      </c>
      <c r="C820" s="1" t="n">
        <v>42383</v>
      </c>
      <c r="E820" s="0" t="n">
        <v>7</v>
      </c>
      <c r="F820" s="0" t="n">
        <v>943</v>
      </c>
      <c r="G820" s="0" t="n">
        <v>2011</v>
      </c>
      <c r="H820" s="0" t="str">
        <f aca="false">"J"&amp;E820&amp;"\"&amp;F820&amp;"\"&amp;G820&amp;"\"&amp;W820</f>
        <v>J7\943\2011\1</v>
      </c>
      <c r="I820" s="0"/>
      <c r="J820" s="1" t="n">
        <v>40693</v>
      </c>
      <c r="M820" s="1"/>
      <c r="N820" s="1"/>
      <c r="O820" s="1"/>
      <c r="P820" s="1"/>
      <c r="Q820" s="1"/>
      <c r="T820" s="121"/>
      <c r="U820" s="121"/>
      <c r="V820" s="122" t="n">
        <f aca="false">IF(AND(E820&gt;0,F820&gt;0,G820&gt;0),COUNTIFS($E:$E,E820,$F:$F,F820,$G:$G,G820),"")</f>
        <v>1</v>
      </c>
      <c r="W820" s="122" t="n">
        <f aca="false">IF(V820="","",IF(V820=1,1,IF(AND(E819=E820,F819=F820,G819=G820),W819+1,1)))</f>
        <v>1</v>
      </c>
      <c r="X820" s="0" t="n">
        <v>1</v>
      </c>
      <c r="Y820" s="0" t="n">
        <v>5</v>
      </c>
      <c r="Z820" s="0" t="s">
        <v>7511</v>
      </c>
      <c r="AA820" s="0" t="n">
        <v>0</v>
      </c>
      <c r="AB820" s="0" t="s">
        <v>7512</v>
      </c>
      <c r="AC820" s="0" t="s">
        <v>287</v>
      </c>
      <c r="AD820" s="0" t="s">
        <v>2218</v>
      </c>
      <c r="AE820" s="0" t="n">
        <v>0</v>
      </c>
      <c r="AF820" s="0" t="s">
        <v>7513</v>
      </c>
      <c r="AG820" s="0" t="n">
        <v>0</v>
      </c>
      <c r="AH820" s="0" t="s">
        <v>7514</v>
      </c>
      <c r="AI820" s="0" t="s">
        <v>1513</v>
      </c>
      <c r="AJ820" s="0" t="s">
        <v>2218</v>
      </c>
      <c r="AL820" s="0" t="s">
        <v>7515</v>
      </c>
      <c r="AM820" s="0" t="n">
        <v>0</v>
      </c>
      <c r="AN820" s="0" t="s">
        <v>7514</v>
      </c>
      <c r="AO820" s="0" t="s">
        <v>1513</v>
      </c>
      <c r="AP820" s="0" t="s">
        <v>2218</v>
      </c>
      <c r="AR820" s="0" t="s">
        <v>7516</v>
      </c>
      <c r="AS820" s="0" t="n">
        <v>1</v>
      </c>
      <c r="AT820" s="0" t="s">
        <v>7514</v>
      </c>
      <c r="AU820" s="0" t="s">
        <v>1513</v>
      </c>
      <c r="AV820" s="0" t="s">
        <v>2218</v>
      </c>
      <c r="AX820" s="0" t="s">
        <v>7517</v>
      </c>
      <c r="AY820" s="0" t="n">
        <v>1</v>
      </c>
      <c r="AZ820" s="0" t="s">
        <v>7514</v>
      </c>
      <c r="BA820" s="0" t="s">
        <v>1513</v>
      </c>
      <c r="BB820" s="0" t="s">
        <v>2218</v>
      </c>
      <c r="BD820" s="0" t="s">
        <v>7518</v>
      </c>
      <c r="BE820" s="0" t="n">
        <v>1</v>
      </c>
      <c r="BF820" s="0" t="s">
        <v>7514</v>
      </c>
      <c r="BG820" s="0" t="s">
        <v>1513</v>
      </c>
      <c r="BH820" s="0" t="s">
        <v>2218</v>
      </c>
      <c r="BR820" s="0" t="n">
        <v>1</v>
      </c>
      <c r="BS820" s="0" t="s">
        <v>7519</v>
      </c>
      <c r="BT820" s="0" t="s">
        <v>7520</v>
      </c>
      <c r="BU820" s="0" t="s">
        <v>7521</v>
      </c>
      <c r="BV820" s="123"/>
      <c r="BW820" s="123"/>
      <c r="BX820" s="123"/>
      <c r="BY820" s="123"/>
      <c r="CA820" s="0" t="s">
        <v>216</v>
      </c>
      <c r="CD820" s="0" t="s">
        <v>256</v>
      </c>
      <c r="CE820" s="0" t="n">
        <v>0</v>
      </c>
      <c r="CF820" s="0" t="s">
        <v>7522</v>
      </c>
      <c r="CI820" s="1" t="n">
        <v>40544</v>
      </c>
      <c r="CJ820" s="1" t="n">
        <v>40679</v>
      </c>
      <c r="CK820" s="124" t="n">
        <v>0.802083333333333</v>
      </c>
      <c r="CL820" s="0" t="s">
        <v>7523</v>
      </c>
      <c r="CM820" s="0" t="n">
        <f aca="false">IF(OR(CI820="",CJ820=""),"",DAYS360(CI820,CJ820)/360)</f>
        <v>0.375</v>
      </c>
      <c r="CN820" s="0" t="n">
        <f aca="false">IF(OR(CI820="",CJ820=""),"",DAYS360(CI820,CJ820)/30)</f>
        <v>4.5</v>
      </c>
      <c r="CO820" s="0" t="n">
        <f aca="false">IF(OR(CI820="",CJ820=""),"",DAYS360(CI820,CJ820)/7)</f>
        <v>19.2857142857143</v>
      </c>
      <c r="CP820" s="0" t="n">
        <f aca="false">IF(OR(CI820="",CJ820=""),"",DAYS360(CI820,CJ820))</f>
        <v>135</v>
      </c>
      <c r="CQ820" s="0" t="s">
        <v>220</v>
      </c>
      <c r="CR820" s="0" t="n">
        <v>1</v>
      </c>
      <c r="CT820" s="0" t="s">
        <v>216</v>
      </c>
      <c r="CU820" s="0" t="s">
        <v>216</v>
      </c>
      <c r="CV820" s="0" t="str">
        <f aca="false">IF(OR(CT820="",CT820="NO ESPECIFICA",CT820="NO MENCIONA"),"",IF(CU820=0,CT820,IF(CU820=1,CT820/30,IF(CU820=2,CT820/15,IF(CU820=3,CT820/7,"")))))</f>
        <v/>
      </c>
      <c r="CW820" s="125" t="n">
        <v>12070.23</v>
      </c>
      <c r="CX820" s="0" t="n">
        <v>2</v>
      </c>
      <c r="CY820" s="0" t="n">
        <f aca="false">IF(CW820="","",IF(CX820=0,CW820,IF(CX820=1,CW820/30,IF(CX820=2,CW820/15,IF(CX820=3,CW820/7,CW820)))))</f>
        <v>804.682</v>
      </c>
      <c r="CZ820" s="0" t="n">
        <f aca="false">IF(DI820&gt;0,DI820,IF(CY820&gt;0,CY820,IF(CV820&gt;0,CV820,"")))</f>
        <v>710.013529411765</v>
      </c>
      <c r="DA820" s="0" t="n">
        <f aca="false">IF(DM820=1,CZ820/8,IF(OR(DM820=2,DM820=4),CZ820/7,IF(DM820=3,CZ820/7.5,"")))</f>
        <v>88.7516911764706</v>
      </c>
      <c r="DB820" s="0" t="s">
        <v>216</v>
      </c>
      <c r="DC820" s="0" t="s">
        <v>216</v>
      </c>
      <c r="DD820" s="0" t="s">
        <v>216</v>
      </c>
      <c r="DE820" s="0" t="s">
        <v>216</v>
      </c>
      <c r="DF820" s="0" t="s">
        <v>216</v>
      </c>
      <c r="DG820" s="0" t="s">
        <v>216</v>
      </c>
      <c r="DH820" s="0" t="n">
        <v>0</v>
      </c>
      <c r="DI820" s="126" t="n">
        <v>710.013529411765</v>
      </c>
      <c r="DK820" s="0" t="n">
        <v>0</v>
      </c>
      <c r="DM820" s="0" t="n">
        <v>1</v>
      </c>
      <c r="DN820" s="0" t="n">
        <v>60</v>
      </c>
      <c r="DO820" s="0" t="n">
        <v>3</v>
      </c>
      <c r="DP820" s="0" t="n">
        <v>1</v>
      </c>
      <c r="DQ820" s="0" t="n">
        <v>1</v>
      </c>
      <c r="DR820" s="0"/>
      <c r="DS820" s="0" t="n">
        <v>1</v>
      </c>
      <c r="DU820" s="0" t="n">
        <v>1</v>
      </c>
      <c r="DW820" s="1" t="n">
        <v>40544</v>
      </c>
      <c r="DX820" s="1" t="n">
        <v>40679</v>
      </c>
      <c r="DZ820" s="0"/>
      <c r="EA820" s="0" t="n">
        <v>1</v>
      </c>
      <c r="EC820" s="1" t="n">
        <v>40544</v>
      </c>
      <c r="ED820" s="1" t="n">
        <v>40679</v>
      </c>
      <c r="EF820" s="0"/>
      <c r="EG820" s="0" t="n">
        <v>1</v>
      </c>
      <c r="EH820" s="0" t="n">
        <v>12</v>
      </c>
      <c r="EI820" s="0" t="n">
        <f aca="false">IF(AND(DM820=1,DN820&lt;=48),"",IF(AND(DM820=2,DN820&lt;=42),"",IF(AND(DM820=3,DN820&lt;=45),"",EH820)))</f>
        <v>12</v>
      </c>
      <c r="EJ820" s="0" t="n">
        <f aca="false">IF(EI820="","",IF(EI820&lt;9,EI820,9))</f>
        <v>9</v>
      </c>
      <c r="EK820" s="0" t="n">
        <f aca="false">IF(EI820="","",IF(EI820&gt;9,EI820-EJ820,0))</f>
        <v>3</v>
      </c>
      <c r="EL820" s="0" t="n">
        <f aca="false">IF(EI820="","",EJ820*DA820*2+EK820*DA820*3)</f>
        <v>2396.29566176471</v>
      </c>
      <c r="EP820" s="0" t="n">
        <v>1</v>
      </c>
      <c r="EQ820" s="0"/>
      <c r="ER820" s="0" t="n">
        <v>0</v>
      </c>
      <c r="ET820" s="0" t="n">
        <v>0</v>
      </c>
      <c r="EV820" s="0" t="n">
        <v>0</v>
      </c>
      <c r="EX820" s="0" t="n">
        <v>1</v>
      </c>
      <c r="EY820" s="0" t="n">
        <v>0</v>
      </c>
      <c r="EZ820" s="0"/>
      <c r="FA820" s="0"/>
      <c r="FB820" s="0" t="n">
        <v>0</v>
      </c>
      <c r="FC820" s="1" t="n">
        <v>41429</v>
      </c>
      <c r="FD820" s="0" t="n">
        <v>1</v>
      </c>
      <c r="FE820" s="0" t="n">
        <v>100000</v>
      </c>
      <c r="FF820" s="120" t="n">
        <f aca="false">(CJ820-CI820+1)/365</f>
        <v>0.372602739726027</v>
      </c>
      <c r="FG820" s="0" t="str">
        <f aca="false">CONCATENATE(F820,"/",G820)</f>
        <v>943/2011</v>
      </c>
      <c r="FH820" s="0" t="n">
        <v>1</v>
      </c>
      <c r="FI820" s="0" t="n">
        <f aca="false">IFERROR(IF((FC820-J820+1)/365&gt;3,0,1),"")</f>
        <v>1</v>
      </c>
    </row>
    <row r="821" customFormat="false" ht="15" hidden="false" customHeight="false" outlineLevel="0" collapsed="false">
      <c r="A821" s="5" t="str">
        <f aca="false">E821&amp;G821&amp;F821</f>
        <v>72011946</v>
      </c>
      <c r="B821" s="0" t="s">
        <v>7461</v>
      </c>
      <c r="C821" s="1" t="n">
        <v>42387</v>
      </c>
      <c r="E821" s="0" t="n">
        <v>7</v>
      </c>
      <c r="F821" s="0" t="n">
        <v>946</v>
      </c>
      <c r="G821" s="0" t="n">
        <v>2011</v>
      </c>
      <c r="H821" s="0" t="str">
        <f aca="false">"J"&amp;E821&amp;"\"&amp;F821&amp;"\"&amp;G821&amp;"\"&amp;W821</f>
        <v>J7\946\2011\1</v>
      </c>
      <c r="I821" s="0"/>
      <c r="J821" s="1" t="n">
        <v>40693</v>
      </c>
      <c r="M821" s="1" t="n">
        <v>40693</v>
      </c>
      <c r="N821" s="1" t="n">
        <v>40844</v>
      </c>
      <c r="O821" s="1"/>
      <c r="P821" s="1"/>
      <c r="Q821" s="1"/>
      <c r="T821" s="121"/>
      <c r="U821" s="121"/>
      <c r="V821" s="122" t="n">
        <f aca="false">IF(AND(E821&gt;0,F821&gt;0,G821&gt;0),COUNTIFS($E:$E,E821,$F:$F,F821,$G:$G,G821),"")</f>
        <v>1</v>
      </c>
      <c r="W821" s="122" t="n">
        <f aca="false">IF(V821="","",IF(V821=1,1,IF(AND(E820=E821,F820=F821,G820=G821),W820+1,1)))</f>
        <v>1</v>
      </c>
      <c r="X821" s="0" t="n">
        <v>1</v>
      </c>
      <c r="Y821" s="0" t="n">
        <v>4</v>
      </c>
      <c r="Z821" s="0" t="s">
        <v>7524</v>
      </c>
      <c r="AA821" s="0" t="n">
        <v>0</v>
      </c>
      <c r="AB821" s="0" t="s">
        <v>1812</v>
      </c>
      <c r="AC821" s="0" t="s">
        <v>228</v>
      </c>
      <c r="AD821" s="0" t="s">
        <v>1160</v>
      </c>
      <c r="AE821" s="0" t="n">
        <v>0</v>
      </c>
      <c r="AF821" s="0" t="s">
        <v>7525</v>
      </c>
      <c r="AG821" s="0" t="n">
        <v>0</v>
      </c>
      <c r="AH821" s="0" t="s">
        <v>7526</v>
      </c>
      <c r="AI821" s="0" t="s">
        <v>4559</v>
      </c>
      <c r="AJ821" s="0" t="s">
        <v>2172</v>
      </c>
      <c r="AL821" s="0" t="s">
        <v>7527</v>
      </c>
      <c r="AM821" s="0" t="n">
        <v>1</v>
      </c>
      <c r="AN821" s="0" t="s">
        <v>7526</v>
      </c>
      <c r="AO821" s="0" t="s">
        <v>4559</v>
      </c>
      <c r="AP821" s="0" t="s">
        <v>2172</v>
      </c>
      <c r="AR821" s="0" t="s">
        <v>7528</v>
      </c>
      <c r="AS821" s="0" t="n">
        <v>1</v>
      </c>
      <c r="AT821" s="0" t="s">
        <v>7526</v>
      </c>
      <c r="AU821" s="0" t="s">
        <v>4559</v>
      </c>
      <c r="AV821" s="0" t="s">
        <v>2172</v>
      </c>
      <c r="AX821" s="0" t="s">
        <v>213</v>
      </c>
      <c r="AY821" s="0" t="n">
        <v>1</v>
      </c>
      <c r="AZ821" s="0" t="s">
        <v>7526</v>
      </c>
      <c r="BA821" s="0" t="s">
        <v>4559</v>
      </c>
      <c r="BB821" s="0" t="s">
        <v>2172</v>
      </c>
      <c r="BR821" s="0" t="n">
        <v>3</v>
      </c>
      <c r="BS821" s="0" t="s">
        <v>3213</v>
      </c>
      <c r="BT821" s="0" t="s">
        <v>1818</v>
      </c>
      <c r="BU821" s="0" t="s">
        <v>501</v>
      </c>
      <c r="BV821" s="123"/>
      <c r="BW821" s="123"/>
      <c r="BX821" s="123"/>
      <c r="BY821" s="123"/>
      <c r="CA821" s="0" t="s">
        <v>348</v>
      </c>
      <c r="CD821" s="0" t="s">
        <v>256</v>
      </c>
      <c r="CE821" s="0" t="n">
        <v>0</v>
      </c>
      <c r="CF821" s="0" t="s">
        <v>860</v>
      </c>
      <c r="CI821" s="1" t="n">
        <v>39821</v>
      </c>
      <c r="CJ821" s="1" t="n">
        <v>40666</v>
      </c>
      <c r="CK821" s="124" t="n">
        <v>0.333333333333333</v>
      </c>
      <c r="CL821" s="0" t="s">
        <v>7528</v>
      </c>
      <c r="CM821" s="0" t="n">
        <f aca="false">IF(OR(CI821="",CJ821=""),"",DAYS360(CI821,CJ821)/360)</f>
        <v>2.31944444444444</v>
      </c>
      <c r="CN821" s="0" t="n">
        <f aca="false">IF(OR(CI821="",CJ821=""),"",DAYS360(CI821,CJ821)/30)</f>
        <v>27.8333333333333</v>
      </c>
      <c r="CO821" s="0" t="n">
        <f aca="false">IF(OR(CI821="",CJ821=""),"",DAYS360(CI821,CJ821)/7)</f>
        <v>119.285714285714</v>
      </c>
      <c r="CP821" s="0" t="n">
        <f aca="false">IF(OR(CI821="",CJ821=""),"",DAYS360(CI821,CJ821))</f>
        <v>835</v>
      </c>
      <c r="CQ821" s="0" t="s">
        <v>240</v>
      </c>
      <c r="CR821" s="0" t="n">
        <v>1</v>
      </c>
      <c r="CT821" s="0" t="n">
        <v>146.66</v>
      </c>
      <c r="CU821" s="0" t="n">
        <v>0</v>
      </c>
      <c r="CV821" s="0" t="n">
        <f aca="false">IF(OR(CT821="",CT821="NO ESPECIFICA",CT821="NO MENCIONA"),"",IF(CU821=0,CT821,IF(CU821=1,CT821/30,IF(CU821=2,CT821/15,IF(CU821=3,CT821/7,"")))))</f>
        <v>146.66</v>
      </c>
      <c r="CW821" s="125" t="n">
        <v>153.28</v>
      </c>
      <c r="CX821" s="0" t="n">
        <v>0</v>
      </c>
      <c r="CY821" s="0" t="n">
        <f aca="false">IF(CW821="","",IF(CX821=0,CW821,IF(CX821=1,CW821/30,IF(CX821=2,CW821/15,IF(CX821=3,CW821/7,CW821)))))</f>
        <v>153.28</v>
      </c>
      <c r="CZ821" s="0" t="n">
        <f aca="false">IF(DI821&gt;0,DI821,IF(CY821&gt;0,CY821,IF(CV821&gt;0,CV821,"")))</f>
        <v>153.28</v>
      </c>
      <c r="DA821" s="0" t="n">
        <f aca="false">IF(DM821=1,CZ821/8,IF(OR(DM821=2,DM821=4),CZ821/7,IF(DM821=3,CZ821/7.5,"")))</f>
        <v>19.16</v>
      </c>
      <c r="DB821" s="0" t="s">
        <v>303</v>
      </c>
      <c r="DC821" s="0" t="s">
        <v>301</v>
      </c>
      <c r="DD821" s="0" t="s">
        <v>216</v>
      </c>
      <c r="DE821" s="0" t="s">
        <v>216</v>
      </c>
      <c r="DF821" s="0" t="s">
        <v>216</v>
      </c>
      <c r="DG821" s="0" t="s">
        <v>216</v>
      </c>
      <c r="DH821" s="0" t="n">
        <v>0</v>
      </c>
      <c r="DI821" s="126" t="n">
        <v>153.28</v>
      </c>
      <c r="DK821" s="0" t="n">
        <v>0</v>
      </c>
      <c r="DM821" s="0" t="n">
        <v>1</v>
      </c>
      <c r="DN821" s="0" t="n">
        <v>45</v>
      </c>
      <c r="DO821" s="0" t="n">
        <v>3</v>
      </c>
      <c r="DP821" s="0" t="n">
        <v>0</v>
      </c>
      <c r="DQ821" s="0" t="n">
        <v>1</v>
      </c>
      <c r="DR821" s="0"/>
      <c r="DS821" s="0" t="n">
        <v>1</v>
      </c>
      <c r="DU821" s="0" t="n">
        <v>1</v>
      </c>
      <c r="DW821" s="1" t="n">
        <v>40186</v>
      </c>
      <c r="DX821" s="1" t="n">
        <v>40666</v>
      </c>
      <c r="DZ821" s="0"/>
      <c r="EA821" s="0" t="n">
        <v>1</v>
      </c>
      <c r="EC821" s="1" t="n">
        <v>40179</v>
      </c>
      <c r="ED821" s="1" t="n">
        <v>40666</v>
      </c>
      <c r="EF821" s="0"/>
      <c r="EG821" s="0" t="n">
        <v>0</v>
      </c>
      <c r="EI821" s="0" t="str">
        <f aca="false">IF(AND(DM821=1,DN821&lt;=48),"",IF(AND(DM821=2,DN821&lt;=42),"",IF(AND(DM821=3,DN821&lt;=45),"",EH821)))</f>
        <v/>
      </c>
      <c r="EJ821" s="0" t="str">
        <f aca="false">IF(EI821="","",IF(EI821&lt;9,EI821,9))</f>
        <v/>
      </c>
      <c r="EK821" s="0" t="str">
        <f aca="false">IF(EI821="","",IF(EI821&gt;9,EI821-EJ821,0))</f>
        <v/>
      </c>
      <c r="EL821" s="0" t="str">
        <f aca="false">IF(EI821="","",EJ821*DA821*2+EK821*DA821*3)</f>
        <v/>
      </c>
      <c r="EP821" s="0" t="n">
        <v>0</v>
      </c>
      <c r="EQ821" s="0"/>
      <c r="ER821" s="0" t="n">
        <v>0</v>
      </c>
      <c r="ET821" s="0" t="n">
        <v>0</v>
      </c>
      <c r="EV821" s="0" t="n">
        <v>0</v>
      </c>
      <c r="EX821" s="0" t="n">
        <v>0</v>
      </c>
      <c r="EY821" s="0" t="n">
        <v>0</v>
      </c>
      <c r="EZ821" s="0"/>
      <c r="FA821" s="0"/>
      <c r="FB821" s="0" t="n">
        <v>1</v>
      </c>
      <c r="FC821" s="1" t="n">
        <v>41233</v>
      </c>
      <c r="FD821" s="0" t="n">
        <v>1</v>
      </c>
      <c r="FE821" s="0" t="n">
        <v>5000</v>
      </c>
      <c r="FF821" s="120" t="n">
        <f aca="false">(CJ821-CI821+1)/365</f>
        <v>2.31780821917808</v>
      </c>
      <c r="FG821" s="0" t="str">
        <f aca="false">CONCATENATE(F821,"/",G821)</f>
        <v>946/2011</v>
      </c>
      <c r="FH821" s="0" t="n">
        <v>1</v>
      </c>
      <c r="FI821" s="0" t="n">
        <f aca="false">IFERROR(IF((FC821-J821+1)/365&gt;3,0,1),"")</f>
        <v>1</v>
      </c>
    </row>
    <row r="822" customFormat="false" ht="15" hidden="false" customHeight="false" outlineLevel="0" collapsed="false">
      <c r="A822" s="5" t="str">
        <f aca="false">E822&amp;G822&amp;F822</f>
        <v>72011962</v>
      </c>
      <c r="B822" s="0" t="s">
        <v>7461</v>
      </c>
      <c r="C822" s="1" t="n">
        <v>42387</v>
      </c>
      <c r="E822" s="0" t="n">
        <v>7</v>
      </c>
      <c r="F822" s="0" t="n">
        <v>962</v>
      </c>
      <c r="G822" s="0" t="n">
        <v>2011</v>
      </c>
      <c r="H822" s="0" t="str">
        <f aca="false">"J"&amp;E822&amp;"\"&amp;F822&amp;"\"&amp;G822&amp;"\"&amp;W822</f>
        <v>J7\962\2011\1</v>
      </c>
      <c r="I822" s="0"/>
      <c r="J822" s="1" t="n">
        <v>40696</v>
      </c>
      <c r="M822" s="1" t="n">
        <v>40696</v>
      </c>
      <c r="N822" s="1" t="n">
        <v>40851</v>
      </c>
      <c r="O822" s="1"/>
      <c r="P822" s="1"/>
      <c r="Q822" s="1"/>
      <c r="T822" s="121"/>
      <c r="U822" s="121"/>
      <c r="V822" s="122" t="n">
        <f aca="false">IF(AND(E822&gt;0,F822&gt;0,G822&gt;0),COUNTIFS($E:$E,E822,$F:$F,F822,$G:$G,G822),"")</f>
        <v>2</v>
      </c>
      <c r="W822" s="122" t="n">
        <f aca="false">IF(V822="","",IF(V822=1,1,IF(AND(E821=E822,F821=F822,G821=G822),W821+1,1)))</f>
        <v>1</v>
      </c>
      <c r="X822" s="0" t="n">
        <v>2</v>
      </c>
      <c r="Y822" s="0" t="n">
        <v>9</v>
      </c>
      <c r="Z822" s="0" t="s">
        <v>7529</v>
      </c>
      <c r="AA822" s="0" t="n">
        <v>0</v>
      </c>
      <c r="AB822" s="0" t="s">
        <v>7530</v>
      </c>
      <c r="AC822" s="0" t="s">
        <v>1160</v>
      </c>
      <c r="AD822" s="0" t="s">
        <v>1160</v>
      </c>
      <c r="AE822" s="0" t="n">
        <v>0</v>
      </c>
      <c r="AF822" s="0" t="s">
        <v>7531</v>
      </c>
      <c r="AG822" s="0" t="n">
        <v>0</v>
      </c>
      <c r="AH822" s="0" t="s">
        <v>7532</v>
      </c>
      <c r="AI822" s="0" t="s">
        <v>1136</v>
      </c>
      <c r="AJ822" s="0" t="s">
        <v>216</v>
      </c>
      <c r="AL822" s="0" t="s">
        <v>7533</v>
      </c>
      <c r="AM822" s="0" t="n">
        <v>0</v>
      </c>
      <c r="AN822" s="0" t="s">
        <v>7532</v>
      </c>
      <c r="AO822" s="0" t="s">
        <v>1136</v>
      </c>
      <c r="AP822" s="0" t="s">
        <v>216</v>
      </c>
      <c r="AR822" s="0" t="s">
        <v>7534</v>
      </c>
      <c r="AS822" s="0" t="n">
        <v>0</v>
      </c>
      <c r="AT822" s="0" t="s">
        <v>7532</v>
      </c>
      <c r="AU822" s="0" t="s">
        <v>1136</v>
      </c>
      <c r="AV822" s="0" t="s">
        <v>216</v>
      </c>
      <c r="AX822" s="0" t="s">
        <v>7535</v>
      </c>
      <c r="AY822" s="0" t="n">
        <v>1</v>
      </c>
      <c r="AZ822" s="0" t="s">
        <v>7532</v>
      </c>
      <c r="BA822" s="0" t="s">
        <v>1136</v>
      </c>
      <c r="BB822" s="0" t="s">
        <v>216</v>
      </c>
      <c r="BD822" s="0" t="s">
        <v>7536</v>
      </c>
      <c r="BE822" s="0" t="n">
        <v>1</v>
      </c>
      <c r="BF822" s="0" t="s">
        <v>7532</v>
      </c>
      <c r="BG822" s="0" t="s">
        <v>1136</v>
      </c>
      <c r="BH822" s="0" t="s">
        <v>216</v>
      </c>
      <c r="BJ822" s="0" t="s">
        <v>7537</v>
      </c>
      <c r="BK822" s="0" t="n">
        <v>1</v>
      </c>
      <c r="BL822" s="0" t="s">
        <v>7532</v>
      </c>
      <c r="BM822" s="0" t="s">
        <v>1136</v>
      </c>
      <c r="BN822" s="0" t="s">
        <v>216</v>
      </c>
      <c r="BR822" s="0" t="n">
        <v>1</v>
      </c>
      <c r="BS822" s="0" t="s">
        <v>7069</v>
      </c>
      <c r="BT822" s="0" t="s">
        <v>747</v>
      </c>
      <c r="BU822" s="0" t="s">
        <v>4359</v>
      </c>
      <c r="BV822" s="123"/>
      <c r="BW822" s="123"/>
      <c r="BX822" s="123"/>
      <c r="BY822" s="123"/>
      <c r="CA822" s="0" t="s">
        <v>216</v>
      </c>
      <c r="CD822" s="0" t="s">
        <v>256</v>
      </c>
      <c r="CE822" s="0" t="n">
        <v>0</v>
      </c>
      <c r="CF822" s="0" t="s">
        <v>7538</v>
      </c>
      <c r="CI822" s="1" t="n">
        <v>36669</v>
      </c>
      <c r="CJ822" s="1" t="n">
        <v>40675</v>
      </c>
      <c r="CK822" s="124" t="n">
        <v>0.375</v>
      </c>
      <c r="CL822" s="0" t="s">
        <v>7539</v>
      </c>
      <c r="CM822" s="0" t="n">
        <f aca="false">IF(OR(CI822="",CJ822=""),"",DAYS360(CI822,CJ822)/360)</f>
        <v>10.9694444444444</v>
      </c>
      <c r="CN822" s="0" t="n">
        <f aca="false">IF(OR(CI822="",CJ822=""),"",DAYS360(CI822,CJ822)/30)</f>
        <v>131.633333333333</v>
      </c>
      <c r="CO822" s="0" t="n">
        <f aca="false">IF(OR(CI822="",CJ822=""),"",DAYS360(CI822,CJ822)/7)</f>
        <v>564.142857142857</v>
      </c>
      <c r="CP822" s="0" t="n">
        <f aca="false">IF(OR(CI822="",CJ822=""),"",DAYS360(CI822,CJ822))</f>
        <v>3949</v>
      </c>
      <c r="CQ822" s="0" t="s">
        <v>240</v>
      </c>
      <c r="CR822" s="0" t="n">
        <v>1</v>
      </c>
      <c r="CT822" s="0" t="s">
        <v>221</v>
      </c>
      <c r="CU822" s="0" t="s">
        <v>221</v>
      </c>
      <c r="CV822" s="0" t="str">
        <f aca="false">IF(OR(CT822="",CT822="NO ESPECIFICA",CT822="NO MENCIONA"),"",IF(CU822=0,CT822,IF(CU822=1,CT822/30,IF(CU822=2,CT822/15,IF(CU822=3,CT822/7,"")))))</f>
        <v/>
      </c>
      <c r="CW822" s="125" t="n">
        <v>9500</v>
      </c>
      <c r="CX822" s="0" t="n">
        <v>1</v>
      </c>
      <c r="CY822" s="0" t="n">
        <f aca="false">IF(CW822="","",IF(CX822=0,CW822,IF(CX822=1,CW822/30,IF(CX822=2,CW822/15,IF(CX822=3,CW822/7,CW822)))))</f>
        <v>316.666666666667</v>
      </c>
      <c r="CZ822" s="0" t="n">
        <f aca="false">IF(DI822&gt;0,DI822,IF(CY822&gt;0,CY822,IF(CV822&gt;0,CV822,"")))</f>
        <v>316.666666666667</v>
      </c>
      <c r="DA822" s="0" t="n">
        <f aca="false">IF(DM822=1,CZ822/8,IF(OR(DM822=2,DM822=4),CZ822/7,IF(DM822=3,CZ822/7.5,"")))</f>
        <v>39.5833333333333</v>
      </c>
      <c r="DB822" s="0" t="s">
        <v>216</v>
      </c>
      <c r="DC822" s="0" t="s">
        <v>216</v>
      </c>
      <c r="DD822" s="0" t="s">
        <v>216</v>
      </c>
      <c r="DE822" s="0" t="s">
        <v>216</v>
      </c>
      <c r="DF822" s="0" t="s">
        <v>216</v>
      </c>
      <c r="DG822" s="0" t="s">
        <v>216</v>
      </c>
      <c r="DH822" s="0" t="n">
        <v>0</v>
      </c>
      <c r="DI822" s="126" t="n">
        <v>316.666666666667</v>
      </c>
      <c r="DK822" s="0" t="n">
        <v>1</v>
      </c>
      <c r="DM822" s="0" t="n">
        <v>1</v>
      </c>
      <c r="DN822" s="0" t="n">
        <v>50</v>
      </c>
      <c r="DO822" s="0" t="n">
        <v>3</v>
      </c>
      <c r="DP822" s="0" t="n">
        <v>0</v>
      </c>
      <c r="DQ822" s="0" t="n">
        <v>1</v>
      </c>
      <c r="DR822" s="0"/>
      <c r="DS822" s="0" t="n">
        <v>1</v>
      </c>
      <c r="DU822" s="0" t="n">
        <v>1</v>
      </c>
      <c r="DW822" s="1" t="n">
        <v>40321</v>
      </c>
      <c r="DX822" s="1" t="n">
        <v>40675</v>
      </c>
      <c r="DZ822" s="0"/>
      <c r="EA822" s="0" t="n">
        <v>1</v>
      </c>
      <c r="EC822" s="1" t="n">
        <v>40179</v>
      </c>
      <c r="ED822" s="1" t="n">
        <v>40675</v>
      </c>
      <c r="EF822" s="0"/>
      <c r="EG822" s="0" t="n">
        <v>1</v>
      </c>
      <c r="EH822" s="0" t="n">
        <v>10</v>
      </c>
      <c r="EI822" s="0" t="n">
        <f aca="false">IF(AND(DM822=1,DN822&lt;=48),"",IF(AND(DM822=2,DN822&lt;=42),"",IF(AND(DM822=3,DN822&lt;=45),"",EH822)))</f>
        <v>10</v>
      </c>
      <c r="EJ822" s="0" t="n">
        <f aca="false">IF(EI822="","",IF(EI822&lt;9,EI822,9))</f>
        <v>9</v>
      </c>
      <c r="EK822" s="0" t="n">
        <f aca="false">IF(EI822="","",IF(EI822&gt;9,EI822-EJ822,0))</f>
        <v>1</v>
      </c>
      <c r="EL822" s="0" t="n">
        <f aca="false">IF(EI822="","",EJ822*DA822*2+EK822*DA822*3)</f>
        <v>831.25</v>
      </c>
      <c r="EP822" s="0" t="n">
        <v>0</v>
      </c>
      <c r="EQ822" s="0"/>
      <c r="ER822" s="0" t="n">
        <v>0</v>
      </c>
      <c r="ET822" s="0" t="n">
        <v>0</v>
      </c>
      <c r="EV822" s="0" t="n">
        <v>1</v>
      </c>
      <c r="EX822" s="0" t="n">
        <v>1</v>
      </c>
      <c r="EY822" s="0" t="n">
        <v>1</v>
      </c>
      <c r="EZ822" s="4" t="n">
        <v>10000</v>
      </c>
      <c r="FA822" s="0"/>
      <c r="FB822" s="0" t="n">
        <v>1</v>
      </c>
      <c r="FC822" s="1"/>
      <c r="FF822" s="120" t="n">
        <f aca="false">(CJ822-CI822+1)/365</f>
        <v>10.9780821917808</v>
      </c>
      <c r="FG822" s="0" t="str">
        <f aca="false">CONCATENATE(F822,"/",G822)</f>
        <v>962/2011</v>
      </c>
      <c r="FH822" s="0" t="n">
        <v>1</v>
      </c>
      <c r="FI822" s="0" t="n">
        <f aca="false">IFERROR(IF((FC822-J822+1)/365&gt;3,0,1),"")</f>
        <v>1</v>
      </c>
    </row>
    <row r="823" customFormat="false" ht="15" hidden="false" customHeight="false" outlineLevel="0" collapsed="false">
      <c r="A823" s="5" t="str">
        <f aca="false">E823&amp;G823&amp;F823</f>
        <v>72011962</v>
      </c>
      <c r="B823" s="0" t="s">
        <v>7461</v>
      </c>
      <c r="C823" s="1" t="n">
        <v>42387</v>
      </c>
      <c r="E823" s="0" t="n">
        <v>7</v>
      </c>
      <c r="F823" s="0" t="n">
        <v>962</v>
      </c>
      <c r="G823" s="0" t="n">
        <v>2011</v>
      </c>
      <c r="H823" s="0" t="str">
        <f aca="false">"J"&amp;E823&amp;"\"&amp;F823&amp;"\"&amp;G823&amp;"\"&amp;W823</f>
        <v>J7\962\2011\2</v>
      </c>
      <c r="I823" s="0"/>
      <c r="J823" s="1" t="n">
        <v>40696</v>
      </c>
      <c r="M823" s="1" t="n">
        <v>40696</v>
      </c>
      <c r="N823" s="1" t="n">
        <v>40851</v>
      </c>
      <c r="O823" s="1"/>
      <c r="P823" s="1"/>
      <c r="Q823" s="1"/>
      <c r="T823" s="121"/>
      <c r="U823" s="121"/>
      <c r="V823" s="122" t="n">
        <f aca="false">IF(AND(E823&gt;0,F823&gt;0,G823&gt;0),COUNTIFS($E:$E,E823,$F:$F,F823,$G:$G,G823),"")</f>
        <v>2</v>
      </c>
      <c r="W823" s="122" t="n">
        <f aca="false">IF(V823="","",IF(V823=1,1,IF(AND(E822=E823,F822=F823,G822=G823),W822+1,1)))</f>
        <v>2</v>
      </c>
      <c r="X823" s="0" t="n">
        <v>2</v>
      </c>
      <c r="Y823" s="0" t="n">
        <v>9</v>
      </c>
      <c r="Z823" s="0" t="s">
        <v>7540</v>
      </c>
      <c r="AA823" s="0" t="n">
        <v>0</v>
      </c>
      <c r="AB823" s="0" t="s">
        <v>7530</v>
      </c>
      <c r="AC823" s="0" t="s">
        <v>1160</v>
      </c>
      <c r="AD823" s="0" t="s">
        <v>1160</v>
      </c>
      <c r="AE823" s="0" t="n">
        <v>0</v>
      </c>
      <c r="AF823" s="0" t="s">
        <v>7531</v>
      </c>
      <c r="AG823" s="0" t="n">
        <v>0</v>
      </c>
      <c r="AH823" s="0" t="s">
        <v>7532</v>
      </c>
      <c r="AI823" s="0" t="s">
        <v>1136</v>
      </c>
      <c r="AJ823" s="0" t="s">
        <v>216</v>
      </c>
      <c r="AL823" s="0" t="s">
        <v>7533</v>
      </c>
      <c r="AM823" s="0" t="n">
        <v>0</v>
      </c>
      <c r="AN823" s="0" t="s">
        <v>7532</v>
      </c>
      <c r="AO823" s="0" t="s">
        <v>1136</v>
      </c>
      <c r="AP823" s="0" t="s">
        <v>216</v>
      </c>
      <c r="AR823" s="0" t="s">
        <v>7534</v>
      </c>
      <c r="AS823" s="0" t="n">
        <v>0</v>
      </c>
      <c r="AT823" s="0" t="s">
        <v>7532</v>
      </c>
      <c r="AU823" s="0" t="s">
        <v>1136</v>
      </c>
      <c r="AV823" s="0" t="s">
        <v>216</v>
      </c>
      <c r="AX823" s="0" t="s">
        <v>7535</v>
      </c>
      <c r="AY823" s="0" t="n">
        <v>1</v>
      </c>
      <c r="AZ823" s="0" t="s">
        <v>7532</v>
      </c>
      <c r="BA823" s="0" t="s">
        <v>1136</v>
      </c>
      <c r="BB823" s="0" t="s">
        <v>216</v>
      </c>
      <c r="BD823" s="0" t="s">
        <v>7536</v>
      </c>
      <c r="BE823" s="0" t="n">
        <v>1</v>
      </c>
      <c r="BF823" s="0" t="s">
        <v>7532</v>
      </c>
      <c r="BG823" s="0" t="s">
        <v>1136</v>
      </c>
      <c r="BH823" s="0" t="s">
        <v>216</v>
      </c>
      <c r="BJ823" s="0" t="s">
        <v>7537</v>
      </c>
      <c r="BK823" s="0" t="n">
        <v>1</v>
      </c>
      <c r="BL823" s="0" t="s">
        <v>7532</v>
      </c>
      <c r="BM823" s="0" t="s">
        <v>1136</v>
      </c>
      <c r="BN823" s="0" t="s">
        <v>216</v>
      </c>
      <c r="BR823" s="0" t="n">
        <v>1</v>
      </c>
      <c r="BS823" s="0" t="s">
        <v>7069</v>
      </c>
      <c r="BT823" s="0" t="s">
        <v>747</v>
      </c>
      <c r="BU823" s="0" t="s">
        <v>4359</v>
      </c>
      <c r="BV823" s="123"/>
      <c r="BW823" s="123"/>
      <c r="BX823" s="123"/>
      <c r="BY823" s="123"/>
      <c r="CA823" s="0" t="s">
        <v>216</v>
      </c>
      <c r="CD823" s="0" t="s">
        <v>256</v>
      </c>
      <c r="CE823" s="0" t="n">
        <v>0</v>
      </c>
      <c r="CF823" s="0" t="s">
        <v>1357</v>
      </c>
      <c r="CI823" s="1" t="n">
        <v>39696</v>
      </c>
      <c r="CJ823" s="1" t="n">
        <v>40675</v>
      </c>
      <c r="CK823" s="124" t="n">
        <v>0.375</v>
      </c>
      <c r="CL823" s="0" t="s">
        <v>7539</v>
      </c>
      <c r="CM823" s="0" t="n">
        <f aca="false">IF(OR(CI823="",CJ823=""),"",DAYS360(CI823,CJ823)/360)</f>
        <v>2.68611111111111</v>
      </c>
      <c r="CN823" s="0" t="n">
        <f aca="false">IF(OR(CI823="",CJ823=""),"",DAYS360(CI823,CJ823)/30)</f>
        <v>32.2333333333333</v>
      </c>
      <c r="CO823" s="0" t="n">
        <f aca="false">IF(OR(CI823="",CJ823=""),"",DAYS360(CI823,CJ823)/7)</f>
        <v>138.142857142857</v>
      </c>
      <c r="CP823" s="0" t="n">
        <f aca="false">IF(OR(CI823="",CJ823=""),"",DAYS360(CI823,CJ823))</f>
        <v>967</v>
      </c>
      <c r="CQ823" s="0" t="s">
        <v>240</v>
      </c>
      <c r="CR823" s="0" t="n">
        <v>1</v>
      </c>
      <c r="CT823" s="0" t="s">
        <v>221</v>
      </c>
      <c r="CU823" s="0" t="s">
        <v>221</v>
      </c>
      <c r="CV823" s="0" t="str">
        <f aca="false">IF(OR(CT823="",CT823="NO ESPECIFICA",CT823="NO MENCIONA"),"",IF(CU823=0,CT823,IF(CU823=1,CT823/30,IF(CU823=2,CT823/15,IF(CU823=3,CT823/7,"")))))</f>
        <v/>
      </c>
      <c r="CW823" s="125" t="n">
        <v>5000</v>
      </c>
      <c r="CX823" s="0" t="n">
        <v>1</v>
      </c>
      <c r="CY823" s="0" t="n">
        <f aca="false">IF(CW823="","",IF(CX823=0,CW823,IF(CX823=1,CW823/30,IF(CX823=2,CW823/15,IF(CX823=3,CW823/7,CW823)))))</f>
        <v>166.666666666667</v>
      </c>
      <c r="CZ823" s="0" t="n">
        <f aca="false">IF(DI823&gt;0,DI823,IF(CY823&gt;0,CY823,IF(CV823&gt;0,CV823,"")))</f>
        <v>166.666666666667</v>
      </c>
      <c r="DA823" s="0" t="n">
        <f aca="false">IF(DM823=1,CZ823/8,IF(OR(DM823=2,DM823=4),CZ823/7,IF(DM823=3,CZ823/7.5,"")))</f>
        <v>20.8333333333333</v>
      </c>
      <c r="DB823" s="0" t="s">
        <v>216</v>
      </c>
      <c r="DC823" s="0" t="s">
        <v>216</v>
      </c>
      <c r="DD823" s="0" t="s">
        <v>216</v>
      </c>
      <c r="DE823" s="0" t="s">
        <v>216</v>
      </c>
      <c r="DF823" s="0" t="s">
        <v>216</v>
      </c>
      <c r="DG823" s="0" t="s">
        <v>216</v>
      </c>
      <c r="DH823" s="0" t="n">
        <v>0</v>
      </c>
      <c r="DI823" s="126" t="n">
        <v>166.666666666667</v>
      </c>
      <c r="DK823" s="0" t="n">
        <v>1</v>
      </c>
      <c r="DM823" s="0" t="n">
        <v>1</v>
      </c>
      <c r="DN823" s="0" t="n">
        <v>50</v>
      </c>
      <c r="DO823" s="0" t="n">
        <v>3</v>
      </c>
      <c r="DP823" s="0" t="n">
        <v>0</v>
      </c>
      <c r="DQ823" s="0" t="n">
        <v>1</v>
      </c>
      <c r="DR823" s="0"/>
      <c r="DS823" s="0" t="n">
        <v>1</v>
      </c>
      <c r="DU823" s="0" t="n">
        <v>1</v>
      </c>
      <c r="DW823" s="1" t="n">
        <v>40321</v>
      </c>
      <c r="DX823" s="1" t="n">
        <v>40675</v>
      </c>
      <c r="DZ823" s="0"/>
      <c r="EA823" s="0" t="n">
        <v>1</v>
      </c>
      <c r="EC823" s="1" t="n">
        <v>40179</v>
      </c>
      <c r="ED823" s="1" t="n">
        <v>40675</v>
      </c>
      <c r="EF823" s="0"/>
      <c r="EG823" s="0" t="n">
        <v>1</v>
      </c>
      <c r="EH823" s="0" t="n">
        <v>10</v>
      </c>
      <c r="EI823" s="0" t="n">
        <f aca="false">IF(AND(DM823=1,DN823&lt;=48),"",IF(AND(DM823=2,DN823&lt;=42),"",IF(AND(DM823=3,DN823&lt;=45),"",EH823)))</f>
        <v>10</v>
      </c>
      <c r="EJ823" s="0" t="n">
        <f aca="false">IF(EI823="","",IF(EI823&lt;9,EI823,9))</f>
        <v>9</v>
      </c>
      <c r="EK823" s="0" t="n">
        <f aca="false">IF(EI823="","",IF(EI823&gt;9,EI823-EJ823,0))</f>
        <v>1</v>
      </c>
      <c r="EL823" s="0" t="n">
        <f aca="false">IF(EI823="","",EJ823*DA823*2+EK823*DA823*3)</f>
        <v>437.5</v>
      </c>
      <c r="EP823" s="0" t="n">
        <v>0</v>
      </c>
      <c r="EQ823" s="0"/>
      <c r="ER823" s="0" t="n">
        <v>0</v>
      </c>
      <c r="ET823" s="0" t="n">
        <v>0</v>
      </c>
      <c r="EV823" s="0" t="n">
        <v>1</v>
      </c>
      <c r="EX823" s="0" t="n">
        <v>1</v>
      </c>
      <c r="EY823" s="0" t="n">
        <v>1</v>
      </c>
      <c r="EZ823" s="4" t="n">
        <v>10000</v>
      </c>
      <c r="FA823" s="0"/>
      <c r="FB823" s="0" t="n">
        <v>1</v>
      </c>
      <c r="FC823" s="1"/>
      <c r="FF823" s="120" t="n">
        <f aca="false">(CJ823-CI823+1)/365</f>
        <v>2.68493150684932</v>
      </c>
      <c r="FG823" s="0" t="str">
        <f aca="false">CONCATENATE(F823,"/",G823)</f>
        <v>962/2011</v>
      </c>
      <c r="FH823" s="0" t="n">
        <v>1</v>
      </c>
      <c r="FI823" s="0" t="n">
        <f aca="false">IFERROR(IF((FC823-J823+1)/365&gt;3,0,1),"")</f>
        <v>1</v>
      </c>
    </row>
    <row r="824" customFormat="false" ht="15" hidden="false" customHeight="false" outlineLevel="0" collapsed="false">
      <c r="A824" s="5" t="str">
        <f aca="false">E824&amp;G824&amp;F824</f>
        <v>72011964</v>
      </c>
      <c r="B824" s="0" t="s">
        <v>7461</v>
      </c>
      <c r="C824" s="1" t="n">
        <v>42387</v>
      </c>
      <c r="E824" s="0" t="n">
        <v>7</v>
      </c>
      <c r="F824" s="0" t="n">
        <v>964</v>
      </c>
      <c r="G824" s="0" t="n">
        <v>2011</v>
      </c>
      <c r="H824" s="0" t="str">
        <f aca="false">"J"&amp;E824&amp;"\"&amp;F824&amp;"\"&amp;G824&amp;"\"&amp;W824</f>
        <v>J7\964\2011\1</v>
      </c>
      <c r="I824" s="0"/>
      <c r="J824" s="1" t="n">
        <v>40696</v>
      </c>
      <c r="M824" s="1" t="n">
        <v>40696</v>
      </c>
      <c r="N824" s="1" t="n">
        <v>40851</v>
      </c>
      <c r="O824" s="1"/>
      <c r="P824" s="1"/>
      <c r="Q824" s="1"/>
      <c r="T824" s="121"/>
      <c r="U824" s="121"/>
      <c r="V824" s="122" t="n">
        <f aca="false">IF(AND(E824&gt;0,F824&gt;0,G824&gt;0),COUNTIFS($E:$E,E824,$F:$F,F824,$G:$G,G824),"")</f>
        <v>1</v>
      </c>
      <c r="W824" s="122" t="n">
        <f aca="false">IF(V824="","",IF(V824=1,1,IF(AND(E823=E824,F823=F824,G823=G824),W823+1,1)))</f>
        <v>1</v>
      </c>
      <c r="X824" s="0" t="n">
        <v>1</v>
      </c>
      <c r="Y824" s="0" t="n">
        <v>4</v>
      </c>
      <c r="Z824" s="0" t="s">
        <v>7541</v>
      </c>
      <c r="AA824" s="0" t="n">
        <v>0</v>
      </c>
      <c r="AB824" s="0" t="s">
        <v>7542</v>
      </c>
      <c r="AC824" s="0" t="s">
        <v>3645</v>
      </c>
      <c r="AD824" s="0" t="s">
        <v>1160</v>
      </c>
      <c r="AE824" s="0" t="n">
        <v>0</v>
      </c>
      <c r="AF824" s="0" t="s">
        <v>7543</v>
      </c>
      <c r="AG824" s="0" t="n">
        <v>0</v>
      </c>
      <c r="AH824" s="0" t="s">
        <v>7544</v>
      </c>
      <c r="AI824" s="0" t="s">
        <v>7545</v>
      </c>
      <c r="AJ824" s="0" t="s">
        <v>2266</v>
      </c>
      <c r="AL824" s="0" t="s">
        <v>7546</v>
      </c>
      <c r="AM824" s="0" t="n">
        <v>1</v>
      </c>
      <c r="AN824" s="0" t="s">
        <v>7542</v>
      </c>
      <c r="AO824" s="0" t="s">
        <v>3645</v>
      </c>
      <c r="AP824" s="0" t="s">
        <v>1160</v>
      </c>
      <c r="AR824" s="0" t="s">
        <v>7547</v>
      </c>
      <c r="AS824" s="0" t="n">
        <v>1</v>
      </c>
      <c r="AT824" s="0" t="s">
        <v>7542</v>
      </c>
      <c r="AU824" s="0" t="s">
        <v>3645</v>
      </c>
      <c r="AV824" s="0" t="s">
        <v>1160</v>
      </c>
      <c r="AX824" s="0" t="s">
        <v>7548</v>
      </c>
      <c r="AY824" s="0" t="n">
        <v>1</v>
      </c>
      <c r="AZ824" s="0" t="s">
        <v>7542</v>
      </c>
      <c r="BA824" s="0" t="s">
        <v>3645</v>
      </c>
      <c r="BB824" s="0" t="s">
        <v>1160</v>
      </c>
      <c r="BR824" s="0" t="n">
        <v>1</v>
      </c>
      <c r="BS824" s="0" t="s">
        <v>7549</v>
      </c>
      <c r="BT824" s="0" t="s">
        <v>7550</v>
      </c>
      <c r="BU824" s="0" t="s">
        <v>7551</v>
      </c>
      <c r="BV824" s="123"/>
      <c r="BW824" s="123"/>
      <c r="BX824" s="123"/>
      <c r="BY824" s="123"/>
      <c r="CA824" s="0" t="s">
        <v>7552</v>
      </c>
      <c r="CD824" s="0" t="s">
        <v>256</v>
      </c>
      <c r="CE824" s="0" t="n">
        <v>0</v>
      </c>
      <c r="CF824" s="0" t="s">
        <v>7553</v>
      </c>
      <c r="CI824" s="1" t="n">
        <v>39962</v>
      </c>
      <c r="CJ824" s="1" t="n">
        <v>40669</v>
      </c>
      <c r="CK824" s="124" t="n">
        <v>0.291666666666667</v>
      </c>
      <c r="CL824" s="0" t="s">
        <v>7547</v>
      </c>
      <c r="CM824" s="0" t="n">
        <f aca="false">IF(OR(CI824="",CJ824=""),"",DAYS360(CI824,CJ824)/360)</f>
        <v>1.93611111111111</v>
      </c>
      <c r="CN824" s="0" t="n">
        <f aca="false">IF(OR(CI824="",CJ824=""),"",DAYS360(CI824,CJ824)/30)</f>
        <v>23.2333333333333</v>
      </c>
      <c r="CO824" s="0" t="n">
        <f aca="false">IF(OR(CI824="",CJ824=""),"",DAYS360(CI824,CJ824)/7)</f>
        <v>99.5714285714286</v>
      </c>
      <c r="CP824" s="0" t="n">
        <f aca="false">IF(OR(CI824="",CJ824=""),"",DAYS360(CI824,CJ824))</f>
        <v>697</v>
      </c>
      <c r="CQ824" s="0" t="s">
        <v>240</v>
      </c>
      <c r="CR824" s="0" t="n">
        <v>1</v>
      </c>
      <c r="CT824" s="0" t="s">
        <v>221</v>
      </c>
      <c r="CU824" s="0" t="s">
        <v>221</v>
      </c>
      <c r="CV824" s="0" t="str">
        <f aca="false">IF(OR(CT824="",CT824="NO ESPECIFICA",CT824="NO MENCIONA"),"",IF(CU824=0,CT824,IF(CU824=1,CT824/30,IF(CU824=2,CT824/15,IF(CU824=3,CT824/7,"")))))</f>
        <v/>
      </c>
      <c r="CW824" s="125" t="n">
        <v>213.47</v>
      </c>
      <c r="CX824" s="0" t="n">
        <v>0</v>
      </c>
      <c r="CY824" s="0" t="n">
        <f aca="false">IF(CW824="","",IF(CX824=0,CW824,IF(CX824=1,CW824/30,IF(CX824=2,CW824/15,IF(CX824=3,CW824/7,CW824)))))</f>
        <v>213.47</v>
      </c>
      <c r="CZ824" s="0" t="n">
        <f aca="false">IF(DI824&gt;0,DI824,IF(CY824&gt;0,CY824,IF(CV824&gt;0,CV824,"")))</f>
        <v>213.47</v>
      </c>
      <c r="DA824" s="0" t="n">
        <f aca="false">IF(DM824=1,CZ824/8,IF(OR(DM824=2,DM824=4),CZ824/7,IF(DM824=3,CZ824/7.5,"")))</f>
        <v>26.68375</v>
      </c>
      <c r="DB824" s="0" t="s">
        <v>216</v>
      </c>
      <c r="DC824" s="0" t="s">
        <v>216</v>
      </c>
      <c r="DD824" s="0" t="s">
        <v>216</v>
      </c>
      <c r="DE824" s="0" t="s">
        <v>216</v>
      </c>
      <c r="DF824" s="0" t="s">
        <v>216</v>
      </c>
      <c r="DG824" s="0" t="s">
        <v>216</v>
      </c>
      <c r="DH824" s="0" t="n">
        <v>0</v>
      </c>
      <c r="DI824" s="126" t="n">
        <v>213.47</v>
      </c>
      <c r="DK824" s="0" t="n">
        <v>0</v>
      </c>
      <c r="DM824" s="0" t="n">
        <v>1</v>
      </c>
      <c r="DN824" s="0" t="n">
        <v>51</v>
      </c>
      <c r="DO824" s="0" t="n">
        <v>3</v>
      </c>
      <c r="DP824" s="0" t="n">
        <v>0</v>
      </c>
      <c r="DQ824" s="0" t="n">
        <v>1</v>
      </c>
      <c r="DR824" s="0"/>
      <c r="DS824" s="0" t="n">
        <v>1</v>
      </c>
      <c r="DU824" s="0" t="n">
        <v>1</v>
      </c>
      <c r="DW824" s="1" t="n">
        <v>40327</v>
      </c>
      <c r="DX824" s="1" t="n">
        <v>40669</v>
      </c>
      <c r="DZ824" s="0"/>
      <c r="EA824" s="0" t="n">
        <v>1</v>
      </c>
      <c r="EC824" s="1" t="n">
        <v>40544</v>
      </c>
      <c r="ED824" s="1" t="n">
        <v>40669</v>
      </c>
      <c r="EF824" s="0"/>
      <c r="EG824" s="0" t="n">
        <v>0</v>
      </c>
      <c r="EI824" s="0" t="n">
        <f aca="false">IF(AND(DM824=1,DN824&lt;=48),"",IF(AND(DM824=2,DN824&lt;=42),"",IF(AND(DM824=3,DN824&lt;=45),"",EH824)))</f>
        <v>0</v>
      </c>
      <c r="EJ824" s="0" t="str">
        <f aca="false">IF(EI824="","",IF(EI824&lt;9,EI824,9))</f>
        <v/>
      </c>
      <c r="EK824" s="0" t="str">
        <f aca="false">IF(EI824="","",IF(EI824&gt;9,EI824-EJ824,0))</f>
        <v/>
      </c>
      <c r="EL824" s="0" t="str">
        <f aca="false">IF(EI824="","",EJ824*DA824*2+EK824*DA824*3)</f>
        <v/>
      </c>
      <c r="EP824" s="0" t="n">
        <v>0</v>
      </c>
      <c r="EQ824" s="0"/>
      <c r="ER824" s="0" t="n">
        <v>0</v>
      </c>
      <c r="ET824" s="0" t="n">
        <v>0</v>
      </c>
      <c r="EV824" s="0" t="n">
        <v>0</v>
      </c>
      <c r="EX824" s="0" t="n">
        <v>1</v>
      </c>
      <c r="EY824" s="0" t="n">
        <v>0</v>
      </c>
      <c r="EZ824" s="0"/>
      <c r="FA824" s="0"/>
      <c r="FB824" s="0" t="n">
        <v>0</v>
      </c>
      <c r="FC824" s="1" t="n">
        <v>41043</v>
      </c>
      <c r="FD824" s="0" t="n">
        <v>1</v>
      </c>
      <c r="FE824" s="0" t="n">
        <v>19000</v>
      </c>
      <c r="FF824" s="120" t="n">
        <f aca="false">(CJ824-CI824+1)/365</f>
        <v>1.93972602739726</v>
      </c>
      <c r="FG824" s="0" t="str">
        <f aca="false">CONCATENATE(F824,"/",G824)</f>
        <v>964/2011</v>
      </c>
      <c r="FH824" s="0" t="n">
        <v>1</v>
      </c>
      <c r="FI824" s="0" t="n">
        <f aca="false">IFERROR(IF((FC824-J824+1)/365&gt;3,0,1),"")</f>
        <v>1</v>
      </c>
    </row>
    <row r="825" customFormat="false" ht="15" hidden="false" customHeight="false" outlineLevel="0" collapsed="false">
      <c r="A825" s="5" t="str">
        <f aca="false">E825&amp;G825&amp;F825</f>
        <v>72011970</v>
      </c>
      <c r="B825" s="0" t="s">
        <v>7461</v>
      </c>
      <c r="C825" s="1" t="n">
        <v>42387</v>
      </c>
      <c r="E825" s="0" t="n">
        <v>7</v>
      </c>
      <c r="F825" s="0" t="n">
        <v>970</v>
      </c>
      <c r="G825" s="0" t="n">
        <v>2011</v>
      </c>
      <c r="H825" s="0" t="str">
        <f aca="false">"J"&amp;E825&amp;"\"&amp;F825&amp;"\"&amp;G825&amp;"\"&amp;W825</f>
        <v>J7\970\2011\1</v>
      </c>
      <c r="I825" s="0"/>
      <c r="J825" s="1" t="n">
        <v>40697</v>
      </c>
      <c r="M825" s="1"/>
      <c r="N825" s="1"/>
      <c r="O825" s="1"/>
      <c r="P825" s="1"/>
      <c r="Q825" s="1"/>
      <c r="T825" s="121"/>
      <c r="U825" s="121"/>
      <c r="V825" s="122" t="n">
        <f aca="false">IF(AND(E825&gt;0,F825&gt;0,G825&gt;0),COUNTIFS($E:$E,E825,$F:$F,F825,$G:$G,G825),"")</f>
        <v>1</v>
      </c>
      <c r="W825" s="122" t="n">
        <f aca="false">IF(V825="","",IF(V825=1,1,IF(AND(E824=E825,F824=F825,G824=G825),W824+1,1)))</f>
        <v>1</v>
      </c>
      <c r="X825" s="0" t="n">
        <v>1</v>
      </c>
      <c r="Y825" s="0" t="n">
        <v>4</v>
      </c>
      <c r="Z825" s="0" t="s">
        <v>7554</v>
      </c>
      <c r="AA825" s="0" t="n">
        <v>0</v>
      </c>
      <c r="AB825" s="0" t="s">
        <v>1264</v>
      </c>
      <c r="AC825" s="0" t="s">
        <v>244</v>
      </c>
      <c r="AD825" s="0" t="s">
        <v>1160</v>
      </c>
      <c r="AE825" s="0" t="n">
        <v>0</v>
      </c>
      <c r="AF825" s="0" t="s">
        <v>7555</v>
      </c>
      <c r="AG825" s="0" t="n">
        <v>0</v>
      </c>
      <c r="AH825" s="0" t="s">
        <v>7556</v>
      </c>
      <c r="AI825" s="0" t="s">
        <v>1160</v>
      </c>
      <c r="AJ825" s="0" t="s">
        <v>1160</v>
      </c>
      <c r="AL825" s="0" t="s">
        <v>7557</v>
      </c>
      <c r="AM825" s="0" t="n">
        <v>1</v>
      </c>
      <c r="AN825" s="0" t="s">
        <v>7556</v>
      </c>
      <c r="AO825" s="0" t="s">
        <v>1160</v>
      </c>
      <c r="AP825" s="0" t="s">
        <v>1160</v>
      </c>
      <c r="AR825" s="0" t="s">
        <v>7558</v>
      </c>
      <c r="AS825" s="0" t="n">
        <v>1</v>
      </c>
      <c r="AT825" s="0" t="s">
        <v>7556</v>
      </c>
      <c r="AU825" s="0" t="s">
        <v>1160</v>
      </c>
      <c r="AV825" s="0" t="s">
        <v>1160</v>
      </c>
      <c r="AX825" s="0" t="s">
        <v>7548</v>
      </c>
      <c r="AY825" s="0" t="n">
        <v>1</v>
      </c>
      <c r="AZ825" s="0" t="s">
        <v>7556</v>
      </c>
      <c r="BA825" s="0" t="s">
        <v>1160</v>
      </c>
      <c r="BB825" s="0" t="s">
        <v>1160</v>
      </c>
      <c r="BR825" s="0" t="n">
        <v>1</v>
      </c>
      <c r="BS825" s="0" t="s">
        <v>1271</v>
      </c>
      <c r="BT825" s="0" t="s">
        <v>1272</v>
      </c>
      <c r="BU825" s="0" t="s">
        <v>1273</v>
      </c>
      <c r="BV825" s="123"/>
      <c r="BW825" s="123"/>
      <c r="BX825" s="123"/>
      <c r="BY825" s="123"/>
      <c r="CA825" s="0" t="s">
        <v>1274</v>
      </c>
      <c r="CD825" s="0" t="s">
        <v>256</v>
      </c>
      <c r="CE825" s="0" t="n">
        <v>0</v>
      </c>
      <c r="CF825" s="0" t="s">
        <v>7559</v>
      </c>
      <c r="CI825" s="1" t="n">
        <v>40441</v>
      </c>
      <c r="CJ825" s="1" t="n">
        <v>40695</v>
      </c>
      <c r="CK825" s="124" t="n">
        <v>0.375</v>
      </c>
      <c r="CL825" s="0" t="s">
        <v>7558</v>
      </c>
      <c r="CM825" s="0" t="n">
        <f aca="false">IF(OR(CI825="",CJ825=""),"",DAYS360(CI825,CJ825)/360)</f>
        <v>0.697222222222222</v>
      </c>
      <c r="CN825" s="0" t="n">
        <f aca="false">IF(OR(CI825="",CJ825=""),"",DAYS360(CI825,CJ825)/30)</f>
        <v>8.36666666666667</v>
      </c>
      <c r="CO825" s="0" t="n">
        <f aca="false">IF(OR(CI825="",CJ825=""),"",DAYS360(CI825,CJ825)/7)</f>
        <v>35.8571428571429</v>
      </c>
      <c r="CP825" s="0" t="n">
        <f aca="false">IF(OR(CI825="",CJ825=""),"",DAYS360(CI825,CJ825))</f>
        <v>251</v>
      </c>
      <c r="CQ825" s="0" t="s">
        <v>240</v>
      </c>
      <c r="CR825" s="0" t="n">
        <v>1</v>
      </c>
      <c r="CT825" s="0" t="n">
        <v>186.66</v>
      </c>
      <c r="CU825" s="0" t="n">
        <v>0</v>
      </c>
      <c r="CV825" s="0" t="n">
        <f aca="false">IF(OR(CT825="",CT825="NO ESPECIFICA",CT825="NO MENCIONA"),"",IF(CU825=0,CT825,IF(CU825=1,CT825/30,IF(CU825=2,CT825/15,IF(CU825=3,CT825/7,"")))))</f>
        <v>186.66</v>
      </c>
      <c r="CW825" s="125" t="n">
        <v>278.42</v>
      </c>
      <c r="CX825" s="0" t="n">
        <v>0</v>
      </c>
      <c r="CY825" s="0" t="n">
        <f aca="false">IF(CW825="","",IF(CX825=0,CW825,IF(CX825=1,CW825/30,IF(CX825=2,CW825/15,IF(CX825=3,CW825/7,CW825)))))</f>
        <v>278.42</v>
      </c>
      <c r="CZ825" s="0" t="n">
        <f aca="false">IF(DI825&gt;0,DI825,IF(CY825&gt;0,CY825,IF(CV825&gt;0,CV825,"")))</f>
        <v>278.42</v>
      </c>
      <c r="DA825" s="0" t="n">
        <f aca="false">IF(DM825=1,CZ825/8,IF(OR(DM825=2,DM825=4),CZ825/7,IF(DM825=3,CZ825/7.5,"")))</f>
        <v>34.8025</v>
      </c>
      <c r="DB825" s="0" t="s">
        <v>301</v>
      </c>
      <c r="DC825" s="0" t="s">
        <v>302</v>
      </c>
      <c r="DD825" s="0" t="s">
        <v>303</v>
      </c>
      <c r="DE825" s="0" t="s">
        <v>258</v>
      </c>
      <c r="DF825" s="0" t="s">
        <v>259</v>
      </c>
      <c r="DG825" s="0" t="s">
        <v>7560</v>
      </c>
      <c r="DH825" s="0" t="n">
        <v>0</v>
      </c>
      <c r="DI825" s="126" t="n">
        <v>278.42</v>
      </c>
      <c r="DK825" s="0" t="n">
        <v>0</v>
      </c>
      <c r="DM825" s="0" t="n">
        <v>1</v>
      </c>
      <c r="DN825" s="0" t="n">
        <v>66</v>
      </c>
      <c r="DO825" s="0" t="n">
        <v>3</v>
      </c>
      <c r="DP825" s="0" t="n">
        <v>0</v>
      </c>
      <c r="DQ825" s="0" t="n">
        <v>1</v>
      </c>
      <c r="DR825" s="0"/>
      <c r="DS825" s="0" t="n">
        <v>1</v>
      </c>
      <c r="DU825" s="0" t="n">
        <v>1</v>
      </c>
      <c r="DW825" s="1" t="n">
        <v>40441</v>
      </c>
      <c r="DX825" s="1" t="n">
        <v>40695</v>
      </c>
      <c r="DZ825" s="0"/>
      <c r="EA825" s="0" t="n">
        <v>1</v>
      </c>
      <c r="EC825" s="1" t="n">
        <v>40441</v>
      </c>
      <c r="ED825" s="1" t="n">
        <v>40695</v>
      </c>
      <c r="EF825" s="0"/>
      <c r="EG825" s="0" t="n">
        <v>1</v>
      </c>
      <c r="EH825" s="0" t="n">
        <v>18</v>
      </c>
      <c r="EI825" s="0" t="n">
        <f aca="false">IF(AND(DM825=1,DN825&lt;=48),"",IF(AND(DM825=2,DN825&lt;=42),"",IF(AND(DM825=3,DN825&lt;=45),"",EH825)))</f>
        <v>18</v>
      </c>
      <c r="EJ825" s="0" t="n">
        <f aca="false">IF(EI825="","",IF(EI825&lt;9,EI825,9))</f>
        <v>9</v>
      </c>
      <c r="EK825" s="0" t="n">
        <f aca="false">IF(EI825="","",IF(EI825&gt;9,EI825-EJ825,0))</f>
        <v>9</v>
      </c>
      <c r="EL825" s="0" t="n">
        <f aca="false">IF(EI825="","",EJ825*DA825*2+EK825*DA825*3)</f>
        <v>1566.1125</v>
      </c>
      <c r="EP825" s="0" t="n">
        <v>0</v>
      </c>
      <c r="EQ825" s="0"/>
      <c r="ER825" s="0" t="n">
        <v>1</v>
      </c>
      <c r="ET825" s="0" t="n">
        <v>0</v>
      </c>
      <c r="EV825" s="0" t="n">
        <v>0</v>
      </c>
      <c r="EX825" s="0" t="n">
        <v>0</v>
      </c>
      <c r="EY825" s="0" t="n">
        <v>0</v>
      </c>
      <c r="EZ825" s="0"/>
      <c r="FA825" s="4" t="n">
        <v>8631.02</v>
      </c>
      <c r="FB825" s="0" t="n">
        <v>0</v>
      </c>
      <c r="FC825" s="1" t="n">
        <v>41177</v>
      </c>
      <c r="FD825" s="0" t="n">
        <v>1</v>
      </c>
      <c r="FE825" s="0" t="n">
        <v>14500</v>
      </c>
      <c r="FF825" s="120" t="n">
        <f aca="false">(CJ825-CI825+1)/365</f>
        <v>0.698630136986301</v>
      </c>
      <c r="FG825" s="0" t="str">
        <f aca="false">CONCATENATE(F825,"/",G825)</f>
        <v>970/2011</v>
      </c>
      <c r="FH825" s="0" t="n">
        <v>1</v>
      </c>
      <c r="FI825" s="0" t="n">
        <f aca="false">IFERROR(IF((FC825-J825+1)/365&gt;3,0,1),"")</f>
        <v>1</v>
      </c>
    </row>
    <row r="826" customFormat="false" ht="15" hidden="false" customHeight="false" outlineLevel="0" collapsed="false">
      <c r="A826" s="5" t="str">
        <f aca="false">E826&amp;G826&amp;F826</f>
        <v>72011974</v>
      </c>
      <c r="B826" s="0" t="s">
        <v>7461</v>
      </c>
      <c r="C826" s="1" t="n">
        <v>42387</v>
      </c>
      <c r="E826" s="0" t="n">
        <v>7</v>
      </c>
      <c r="F826" s="0" t="n">
        <v>974</v>
      </c>
      <c r="G826" s="0" t="n">
        <v>2011</v>
      </c>
      <c r="H826" s="0" t="str">
        <f aca="false">"J"&amp;E826&amp;"\"&amp;F826&amp;"\"&amp;G826&amp;"\"&amp;W826</f>
        <v>J7\974\2011\1</v>
      </c>
      <c r="I826" s="0"/>
      <c r="J826" s="1" t="n">
        <v>40700</v>
      </c>
      <c r="M826" s="1" t="n">
        <v>40700</v>
      </c>
      <c r="N826" s="1" t="n">
        <v>40855</v>
      </c>
      <c r="O826" s="1"/>
      <c r="P826" s="1"/>
      <c r="Q826" s="1"/>
      <c r="T826" s="121"/>
      <c r="U826" s="121"/>
      <c r="V826" s="122" t="n">
        <f aca="false">IF(AND(E826&gt;0,F826&gt;0,G826&gt;0),COUNTIFS($E:$E,E826,$F:$F,F826,$G:$G,G826),"")</f>
        <v>1</v>
      </c>
      <c r="W826" s="122" t="n">
        <f aca="false">IF(V826="","",IF(V826=1,1,IF(AND(E825=E826,F825=F826,G825=G826),W825+1,1)))</f>
        <v>1</v>
      </c>
      <c r="X826" s="0" t="n">
        <v>1</v>
      </c>
      <c r="Y826" s="0" t="n">
        <v>4</v>
      </c>
      <c r="Z826" s="0" t="s">
        <v>7561</v>
      </c>
      <c r="AA826" s="0" t="n">
        <v>0</v>
      </c>
      <c r="AB826" s="0" t="s">
        <v>1812</v>
      </c>
      <c r="AC826" s="0" t="s">
        <v>228</v>
      </c>
      <c r="AD826" s="0" t="s">
        <v>1160</v>
      </c>
      <c r="AE826" s="0" t="n">
        <v>0</v>
      </c>
      <c r="AF826" s="0" t="s">
        <v>7448</v>
      </c>
      <c r="AG826" s="0" t="n">
        <v>0</v>
      </c>
      <c r="AH826" s="0" t="s">
        <v>7449</v>
      </c>
      <c r="AI826" s="0" t="s">
        <v>7450</v>
      </c>
      <c r="AJ826" s="0" t="s">
        <v>2218</v>
      </c>
      <c r="AL826" s="0" t="s">
        <v>7562</v>
      </c>
      <c r="AM826" s="0" t="n">
        <v>1</v>
      </c>
      <c r="AN826" s="0" t="s">
        <v>7449</v>
      </c>
      <c r="AO826" s="0" t="s">
        <v>7450</v>
      </c>
      <c r="AP826" s="0" t="s">
        <v>2218</v>
      </c>
      <c r="AR826" s="0" t="s">
        <v>7563</v>
      </c>
      <c r="AS826" s="0" t="n">
        <v>1</v>
      </c>
      <c r="AT826" s="0" t="s">
        <v>7449</v>
      </c>
      <c r="AU826" s="0" t="s">
        <v>7450</v>
      </c>
      <c r="AV826" s="0" t="s">
        <v>2218</v>
      </c>
      <c r="AX826" s="0" t="s">
        <v>7564</v>
      </c>
      <c r="AY826" s="0" t="n">
        <v>1</v>
      </c>
      <c r="AZ826" s="0" t="s">
        <v>7449</v>
      </c>
      <c r="BA826" s="0" t="s">
        <v>7450</v>
      </c>
      <c r="BB826" s="0" t="s">
        <v>2218</v>
      </c>
      <c r="BR826" s="0" t="n">
        <v>3</v>
      </c>
      <c r="BS826" s="0" t="s">
        <v>651</v>
      </c>
      <c r="BT826" s="0" t="s">
        <v>1818</v>
      </c>
      <c r="BU826" s="0" t="s">
        <v>501</v>
      </c>
      <c r="BV826" s="123"/>
      <c r="BW826" s="123"/>
      <c r="BX826" s="123"/>
      <c r="BY826" s="123"/>
      <c r="CA826" s="0" t="s">
        <v>348</v>
      </c>
      <c r="CD826" s="0" t="s">
        <v>296</v>
      </c>
      <c r="CE826" s="0" t="n">
        <v>0</v>
      </c>
      <c r="CF826" s="0" t="s">
        <v>2082</v>
      </c>
      <c r="CI826" s="1" t="n">
        <v>40387</v>
      </c>
      <c r="CJ826" s="1" t="n">
        <v>40640</v>
      </c>
      <c r="CK826" s="124" t="n">
        <v>0.458333333333333</v>
      </c>
      <c r="CL826" s="0" t="s">
        <v>7563</v>
      </c>
      <c r="CM826" s="0" t="n">
        <f aca="false">IF(OR(CI826="",CJ826=""),"",DAYS360(CI826,CJ826)/360)</f>
        <v>0.691666666666667</v>
      </c>
      <c r="CN826" s="0" t="n">
        <f aca="false">IF(OR(CI826="",CJ826=""),"",DAYS360(CI826,CJ826)/30)</f>
        <v>8.3</v>
      </c>
      <c r="CO826" s="0" t="n">
        <f aca="false">IF(OR(CI826="",CJ826=""),"",DAYS360(CI826,CJ826)/7)</f>
        <v>35.5714285714286</v>
      </c>
      <c r="CP826" s="0" t="n">
        <f aca="false">IF(OR(CI826="",CJ826=""),"",DAYS360(CI826,CJ826))</f>
        <v>249</v>
      </c>
      <c r="CQ826" s="0" t="s">
        <v>240</v>
      </c>
      <c r="CR826" s="0" t="n">
        <v>1</v>
      </c>
      <c r="CT826" s="0" t="n">
        <v>183.33</v>
      </c>
      <c r="CU826" s="0" t="n">
        <v>0</v>
      </c>
      <c r="CV826" s="0" t="n">
        <f aca="false">IF(OR(CT826="",CT826="NO ESPECIFICA",CT826="NO MENCIONA"),"",IF(CU826=0,CT826,IF(CU826=1,CT826/30,IF(CU826=2,CT826/15,IF(CU826=3,CT826/7,"")))))</f>
        <v>183.33</v>
      </c>
      <c r="CW826" s="125" t="n">
        <v>190.86</v>
      </c>
      <c r="CX826" s="0" t="n">
        <v>0</v>
      </c>
      <c r="CY826" s="0" t="n">
        <f aca="false">IF(CW826="","",IF(CX826=0,CW826,IF(CX826=1,CW826/30,IF(CX826=2,CW826/15,IF(CX826=3,CW826/7,CW826)))))</f>
        <v>190.86</v>
      </c>
      <c r="CZ826" s="0" t="n">
        <f aca="false">IF(DI826&gt;0,DI826,IF(CY826&gt;0,CY826,IF(CV826&gt;0,CV826,"")))</f>
        <v>190.86</v>
      </c>
      <c r="DA826" s="0" t="n">
        <f aca="false">IF(DM826=1,CZ826/8,IF(OR(DM826=2,DM826=4),CZ826/7,IF(DM826=3,CZ826/7.5,"")))</f>
        <v>23.8575</v>
      </c>
      <c r="DB826" s="0" t="s">
        <v>303</v>
      </c>
      <c r="DC826" s="0" t="s">
        <v>301</v>
      </c>
      <c r="DD826" s="0" t="s">
        <v>216</v>
      </c>
      <c r="DE826" s="0" t="s">
        <v>216</v>
      </c>
      <c r="DF826" s="0" t="s">
        <v>216</v>
      </c>
      <c r="DG826" s="0" t="s">
        <v>216</v>
      </c>
      <c r="DH826" s="0" t="n">
        <v>0</v>
      </c>
      <c r="DI826" s="126" t="n">
        <v>190.86</v>
      </c>
      <c r="DK826" s="0" t="n">
        <v>1</v>
      </c>
      <c r="DM826" s="0" t="n">
        <v>1</v>
      </c>
      <c r="DN826" s="0" t="n">
        <v>54</v>
      </c>
      <c r="DO826" s="0" t="n">
        <v>3</v>
      </c>
      <c r="DP826" s="0" t="n">
        <v>0</v>
      </c>
      <c r="DQ826" s="0" t="n">
        <v>1</v>
      </c>
      <c r="DR826" s="0"/>
      <c r="DS826" s="0" t="n">
        <v>1</v>
      </c>
      <c r="DU826" s="0" t="n">
        <v>1</v>
      </c>
      <c r="DW826" s="1" t="n">
        <v>40387</v>
      </c>
      <c r="DX826" s="1" t="n">
        <v>40640</v>
      </c>
      <c r="DZ826" s="0"/>
      <c r="EA826" s="0" t="n">
        <v>1</v>
      </c>
      <c r="EC826" s="1" t="n">
        <v>40387</v>
      </c>
      <c r="ED826" s="1" t="n">
        <v>40640</v>
      </c>
      <c r="EF826" s="0"/>
      <c r="EG826" s="0" t="n">
        <v>0</v>
      </c>
      <c r="EI826" s="0" t="n">
        <f aca="false">IF(AND(DM826=1,DN826&lt;=48),"",IF(AND(DM826=2,DN826&lt;=42),"",IF(AND(DM826=3,DN826&lt;=45),"",EH826)))</f>
        <v>0</v>
      </c>
      <c r="EJ826" s="0" t="str">
        <f aca="false">IF(EI826="","",IF(EI826&lt;9,EI826,9))</f>
        <v/>
      </c>
      <c r="EK826" s="0" t="str">
        <f aca="false">IF(EI826="","",IF(EI826&gt;9,EI826-EJ826,0))</f>
        <v/>
      </c>
      <c r="EL826" s="0" t="str">
        <f aca="false">IF(EI826="","",EJ826*DA826*2+EK826*DA826*3)</f>
        <v/>
      </c>
      <c r="EP826" s="0" t="n">
        <v>0</v>
      </c>
      <c r="EQ826" s="0"/>
      <c r="ER826" s="0" t="n">
        <v>0</v>
      </c>
      <c r="ET826" s="0" t="n">
        <v>0</v>
      </c>
      <c r="EV826" s="0" t="n">
        <v>0</v>
      </c>
      <c r="EX826" s="0" t="n">
        <v>0</v>
      </c>
      <c r="EY826" s="0" t="n">
        <v>0</v>
      </c>
      <c r="EZ826" s="0"/>
      <c r="FA826" s="4" t="n">
        <v>4008.06</v>
      </c>
      <c r="FB826" s="0" t="n">
        <v>1</v>
      </c>
      <c r="FC826" s="1" t="n">
        <v>41082</v>
      </c>
      <c r="FD826" s="0" t="n">
        <v>1</v>
      </c>
      <c r="FE826" s="0" t="n">
        <v>9388.58</v>
      </c>
      <c r="FF826" s="120" t="n">
        <f aca="false">(CJ826-CI826+1)/365</f>
        <v>0.695890410958904</v>
      </c>
      <c r="FG826" s="0" t="str">
        <f aca="false">CONCATENATE(F826,"/",G826)</f>
        <v>974/2011</v>
      </c>
      <c r="FH826" s="0" t="n">
        <v>1</v>
      </c>
      <c r="FI826" s="0" t="n">
        <f aca="false">IFERROR(IF((FC826-J826+1)/365&gt;3,0,1),"")</f>
        <v>1</v>
      </c>
    </row>
    <row r="827" customFormat="false" ht="15" hidden="false" customHeight="false" outlineLevel="0" collapsed="false">
      <c r="A827" s="5" t="str">
        <f aca="false">E827&amp;G827&amp;F827</f>
        <v>720111324</v>
      </c>
      <c r="B827" s="0" t="s">
        <v>5963</v>
      </c>
      <c r="C827" s="1" t="n">
        <v>42354</v>
      </c>
      <c r="D827" s="0" t="s">
        <v>3265</v>
      </c>
      <c r="E827" s="0" t="n">
        <v>7</v>
      </c>
      <c r="F827" s="0" t="n">
        <v>1324</v>
      </c>
      <c r="G827" s="0" t="n">
        <v>2011</v>
      </c>
      <c r="H827" s="0" t="str">
        <f aca="false">"J"&amp;E827&amp;"\"&amp;F827&amp;"\"&amp;G827&amp;"\"&amp;W827</f>
        <v>J7\1324\2011\1</v>
      </c>
      <c r="I827" s="0"/>
      <c r="J827" s="1" t="n">
        <v>40760</v>
      </c>
      <c r="K827" s="0" t="n">
        <v>0</v>
      </c>
      <c r="M827" s="1"/>
      <c r="N827" s="1"/>
      <c r="O827" s="1"/>
      <c r="P827" s="1"/>
      <c r="Q827" s="1"/>
      <c r="T827" s="121"/>
      <c r="U827" s="121"/>
      <c r="V827" s="122" t="n">
        <f aca="false">IF(AND(E827&gt;0,F827&gt;0,G827&gt;0),COUNTIFS($E:$E,E827,$F:$F,F827,$G:$G,G827),"")</f>
        <v>1</v>
      </c>
      <c r="W827" s="122" t="n">
        <f aca="false">IF(V827="","",IF(V827=1,1,IF(AND(E826=E827,F826=F827,G826=G827),W826+1,1)))</f>
        <v>1</v>
      </c>
      <c r="X827" s="0" t="n">
        <v>1</v>
      </c>
      <c r="Y827" s="0" t="n">
        <v>7</v>
      </c>
      <c r="Z827" s="0" t="s">
        <v>7565</v>
      </c>
      <c r="AA827" s="0" t="n">
        <v>0</v>
      </c>
      <c r="AB827" s="0" t="s">
        <v>7566</v>
      </c>
      <c r="AC827" s="0" t="s">
        <v>789</v>
      </c>
      <c r="AD827" s="0" t="s">
        <v>229</v>
      </c>
      <c r="AE827" s="0" t="n">
        <v>0</v>
      </c>
      <c r="AF827" s="0" t="s">
        <v>7567</v>
      </c>
      <c r="AG827" s="0" t="n">
        <v>0</v>
      </c>
      <c r="AH827" s="0" t="s">
        <v>7568</v>
      </c>
      <c r="AI827" s="0" t="s">
        <v>4146</v>
      </c>
      <c r="AJ827" s="0" t="s">
        <v>7569</v>
      </c>
      <c r="AL827" s="0" t="s">
        <v>7570</v>
      </c>
      <c r="AM827" s="0" t="n">
        <v>0</v>
      </c>
      <c r="AN827" s="0" t="s">
        <v>7568</v>
      </c>
      <c r="AO827" s="0" t="s">
        <v>4146</v>
      </c>
      <c r="AP827" s="0" t="s">
        <v>7569</v>
      </c>
      <c r="AR827" s="0" t="s">
        <v>7571</v>
      </c>
      <c r="AS827" s="0" t="n">
        <v>0</v>
      </c>
      <c r="AT827" s="0" t="s">
        <v>7572</v>
      </c>
      <c r="AU827" s="0" t="s">
        <v>5860</v>
      </c>
      <c r="AX827" s="0" t="s">
        <v>7573</v>
      </c>
      <c r="AY827" s="0" t="n">
        <v>0</v>
      </c>
      <c r="AZ827" s="0" t="s">
        <v>7574</v>
      </c>
      <c r="BA827" s="0" t="s">
        <v>7575</v>
      </c>
      <c r="BB827" s="0" t="s">
        <v>322</v>
      </c>
      <c r="BD827" s="0" t="s">
        <v>7576</v>
      </c>
      <c r="BE827" s="0" t="n">
        <v>1</v>
      </c>
      <c r="BF827" s="0" t="s">
        <v>7568</v>
      </c>
      <c r="BG827" s="0" t="s">
        <v>4146</v>
      </c>
      <c r="BH827" s="0" t="s">
        <v>590</v>
      </c>
      <c r="BJ827" s="0" t="s">
        <v>7577</v>
      </c>
      <c r="BK827" s="0" t="n">
        <v>1</v>
      </c>
      <c r="BL827" s="0" t="s">
        <v>7568</v>
      </c>
      <c r="BM827" s="0" t="s">
        <v>4146</v>
      </c>
      <c r="BN827" s="0" t="s">
        <v>590</v>
      </c>
      <c r="BR827" s="0" t="n">
        <v>1</v>
      </c>
      <c r="BS827" s="0" t="s">
        <v>1181</v>
      </c>
      <c r="BV827" s="123"/>
      <c r="BW827" s="123"/>
      <c r="BX827" s="123"/>
      <c r="BY827" s="123"/>
      <c r="CA827" s="0" t="s">
        <v>5981</v>
      </c>
      <c r="CD827" s="0" t="s">
        <v>216</v>
      </c>
      <c r="CE827" s="0" t="n">
        <v>0</v>
      </c>
      <c r="CF827" s="0" t="s">
        <v>7578</v>
      </c>
      <c r="CG827" s="0" t="s">
        <v>216</v>
      </c>
      <c r="CH827" s="0" t="s">
        <v>216</v>
      </c>
      <c r="CI827" s="1" t="n">
        <v>39871</v>
      </c>
      <c r="CJ827" s="1" t="n">
        <v>40735</v>
      </c>
      <c r="CK827" s="124" t="n">
        <v>0.375</v>
      </c>
      <c r="CL827" s="0" t="s">
        <v>7577</v>
      </c>
      <c r="CM827" s="0" t="n">
        <f aca="false">IF(OR(CI827="",CJ827=""),"",DAYS360(CI827,CJ827)/360)</f>
        <v>2.37222222222222</v>
      </c>
      <c r="CN827" s="0" t="n">
        <f aca="false">IF(OR(CI827="",CJ827=""),"",DAYS360(CI827,CJ827)/30)</f>
        <v>28.4666666666667</v>
      </c>
      <c r="CO827" s="0" t="n">
        <f aca="false">IF(OR(CI827="",CJ827=""),"",DAYS360(CI827,CJ827)/7)</f>
        <v>122</v>
      </c>
      <c r="CP827" s="0" t="n">
        <f aca="false">IF(OR(CI827="",CJ827=""),"",DAYS360(CI827,CJ827))</f>
        <v>854</v>
      </c>
      <c r="CQ827" s="0" t="s">
        <v>220</v>
      </c>
      <c r="CR827" s="0" t="n">
        <v>1</v>
      </c>
      <c r="CT827" s="0" t="n">
        <v>233.33</v>
      </c>
      <c r="CU827" s="0" t="n">
        <v>0</v>
      </c>
      <c r="CV827" s="0" t="n">
        <f aca="false">IF(OR(CT827="",CT827="NO ESPECIFICA",CT827="NO MENCIONA"),"",IF(CU827=0,CT827,IF(CU827=1,CT827/30,IF(CU827=2,CT827/15,IF(CU827=3,CT827/7,"")))))</f>
        <v>233.33</v>
      </c>
      <c r="CW827" s="125" t="n">
        <v>249.29</v>
      </c>
      <c r="CX827" s="0" t="n">
        <v>0</v>
      </c>
      <c r="CY827" s="0" t="n">
        <f aca="false">IF(CW827="","",IF(CX827=0,CW827,IF(CX827=1,CW827/30,IF(CX827=2,CW827/15,IF(CX827=3,CW827/7,CW827)))))</f>
        <v>249.29</v>
      </c>
      <c r="CZ827" s="0" t="n">
        <f aca="false">IF(DI827&gt;0,DI827,IF(CY827&gt;0,CY827,IF(CV827&gt;0,CV827,"")))</f>
        <v>249.29</v>
      </c>
      <c r="DA827" s="0" t="n">
        <f aca="false">IF(DM827=1,CZ827/8,IF(OR(DM827=2,DM827=4),CZ827/7,IF(DM827=3,CZ827/7.5,"")))</f>
        <v>31.16125</v>
      </c>
      <c r="DB827" s="0" t="s">
        <v>302</v>
      </c>
      <c r="DC827" s="0" t="s">
        <v>303</v>
      </c>
      <c r="DD827" s="0" t="s">
        <v>301</v>
      </c>
      <c r="DE827" s="0" t="s">
        <v>216</v>
      </c>
      <c r="DF827" s="0" t="s">
        <v>216</v>
      </c>
      <c r="DG827" s="0" t="s">
        <v>216</v>
      </c>
      <c r="DH827" s="0" t="n">
        <v>0</v>
      </c>
      <c r="DI827" s="126" t="n">
        <v>249.29</v>
      </c>
      <c r="DK827" s="0" t="n">
        <v>0</v>
      </c>
      <c r="DM827" s="0" t="n">
        <v>1</v>
      </c>
      <c r="DN827" s="0" t="n">
        <v>66</v>
      </c>
      <c r="DO827" s="0" t="n">
        <v>3</v>
      </c>
      <c r="DP827" s="0" t="n">
        <v>1</v>
      </c>
      <c r="DQ827" s="0" t="n">
        <v>1</v>
      </c>
      <c r="DR827" s="0"/>
      <c r="DS827" s="0" t="n">
        <v>1</v>
      </c>
      <c r="DU827" s="0" t="n">
        <v>1</v>
      </c>
      <c r="DW827" s="1" t="n">
        <v>39871</v>
      </c>
      <c r="DX827" s="1" t="n">
        <v>40735</v>
      </c>
      <c r="DZ827" s="0"/>
      <c r="EA827" s="0" t="n">
        <v>1</v>
      </c>
      <c r="EC827" s="1" t="n">
        <v>40544</v>
      </c>
      <c r="ED827" s="1" t="n">
        <v>40735</v>
      </c>
      <c r="EF827" s="0"/>
      <c r="EG827" s="0" t="n">
        <v>1</v>
      </c>
      <c r="EH827" s="0" t="n">
        <v>21</v>
      </c>
      <c r="EI827" s="0" t="n">
        <f aca="false">IF(AND(DM827=1,DN827&lt;=48),"",IF(AND(DM827=2,DN827&lt;=42),"",IF(AND(DM827=3,DN827&lt;=45),"",EH827)))</f>
        <v>21</v>
      </c>
      <c r="EJ827" s="0" t="n">
        <f aca="false">IF(EI827="","",IF(EI827&lt;9,EI827,9))</f>
        <v>9</v>
      </c>
      <c r="EK827" s="0" t="n">
        <f aca="false">IF(EI827="","",IF(EI827&gt;9,EI827-EJ827,0))</f>
        <v>12</v>
      </c>
      <c r="EL827" s="0" t="n">
        <f aca="false">IF(EI827="","",EJ827*DA827*2+EK827*DA827*3)</f>
        <v>1682.7075</v>
      </c>
      <c r="EP827" s="0" t="n">
        <v>1</v>
      </c>
      <c r="EQ827" s="0"/>
      <c r="ER827" s="0" t="n">
        <v>0</v>
      </c>
      <c r="ET827" s="0" t="n">
        <v>0</v>
      </c>
      <c r="EV827" s="0" t="n">
        <v>0</v>
      </c>
      <c r="EX827" s="0" t="n">
        <v>1</v>
      </c>
      <c r="EY827" s="0" t="n">
        <v>0</v>
      </c>
      <c r="EZ827" s="0"/>
      <c r="FA827" s="0"/>
      <c r="FB827" s="0" t="n">
        <v>1</v>
      </c>
      <c r="FC827" s="1" t="n">
        <v>40829</v>
      </c>
      <c r="FD827" s="0" t="n">
        <v>1</v>
      </c>
      <c r="FE827" s="0" t="n">
        <v>23000</v>
      </c>
      <c r="FF827" s="120" t="n">
        <f aca="false">(CJ827-CI827+1)/365</f>
        <v>2.36986301369863</v>
      </c>
      <c r="FG827" s="0" t="str">
        <f aca="false">CONCATENATE(F827,"/",G827)</f>
        <v>1324/2011</v>
      </c>
      <c r="FH827" s="0" t="n">
        <v>1</v>
      </c>
      <c r="FI827" s="0" t="n">
        <f aca="false">IFERROR(IF((FC827-J827+1)/365&gt;3,0,1),"")</f>
        <v>1</v>
      </c>
    </row>
    <row r="828" customFormat="false" ht="15" hidden="false" customHeight="false" outlineLevel="0" collapsed="false">
      <c r="A828" s="5" t="str">
        <f aca="false">E828&amp;G828&amp;F828</f>
        <v>720111333</v>
      </c>
      <c r="B828" s="0" t="s">
        <v>5963</v>
      </c>
      <c r="C828" s="1" t="n">
        <v>42354</v>
      </c>
      <c r="D828" s="0" t="s">
        <v>3265</v>
      </c>
      <c r="E828" s="0" t="n">
        <v>7</v>
      </c>
      <c r="F828" s="0" t="n">
        <v>1333</v>
      </c>
      <c r="G828" s="0" t="n">
        <v>2011</v>
      </c>
      <c r="H828" s="0" t="str">
        <f aca="false">"J"&amp;E828&amp;"\"&amp;F828&amp;"\"&amp;G828&amp;"\"&amp;W828</f>
        <v>J7\1333\2011\1</v>
      </c>
      <c r="I828" s="0"/>
      <c r="J828" s="1" t="n">
        <v>40763</v>
      </c>
      <c r="K828" s="0" t="n">
        <v>0</v>
      </c>
      <c r="M828" s="1"/>
      <c r="N828" s="1"/>
      <c r="O828" s="1"/>
      <c r="P828" s="1"/>
      <c r="Q828" s="1"/>
      <c r="T828" s="121"/>
      <c r="U828" s="121"/>
      <c r="V828" s="122" t="n">
        <f aca="false">IF(AND(E828&gt;0,F828&gt;0,G828&gt;0),COUNTIFS($E:$E,E828,$F:$F,F828,$G:$G,G828),"")</f>
        <v>1</v>
      </c>
      <c r="W828" s="122" t="n">
        <f aca="false">IF(V828="","",IF(V828=1,1,IF(AND(E827=E828,F827=F828,G827=G828),W827+1,1)))</f>
        <v>1</v>
      </c>
      <c r="X828" s="0" t="n">
        <v>1</v>
      </c>
      <c r="Y828" s="0" t="n">
        <v>3</v>
      </c>
      <c r="Z828" s="0" t="s">
        <v>7579</v>
      </c>
      <c r="AA828" s="0" t="n">
        <v>0</v>
      </c>
      <c r="AB828" s="0" t="s">
        <v>7580</v>
      </c>
      <c r="AC828" s="0" t="s">
        <v>7581</v>
      </c>
      <c r="AD828" s="0" t="s">
        <v>216</v>
      </c>
      <c r="AE828" s="0" t="n">
        <v>0</v>
      </c>
      <c r="AF828" s="0" t="s">
        <v>7582</v>
      </c>
      <c r="AG828" s="0" t="n">
        <v>0</v>
      </c>
      <c r="AH828" s="0" t="s">
        <v>7583</v>
      </c>
      <c r="AI828" s="0" t="s">
        <v>2874</v>
      </c>
      <c r="AJ828" s="0" t="s">
        <v>411</v>
      </c>
      <c r="AL828" s="0" t="s">
        <v>7584</v>
      </c>
      <c r="AM828" s="0" t="n">
        <v>1</v>
      </c>
      <c r="AN828" s="0" t="s">
        <v>7583</v>
      </c>
      <c r="AO828" s="0" t="s">
        <v>2874</v>
      </c>
      <c r="AP828" s="0" t="s">
        <v>411</v>
      </c>
      <c r="AR828" s="0" t="s">
        <v>5971</v>
      </c>
      <c r="AS828" s="0" t="n">
        <v>1</v>
      </c>
      <c r="AT828" s="0" t="s">
        <v>7583</v>
      </c>
      <c r="AU828" s="0" t="s">
        <v>2874</v>
      </c>
      <c r="AV828" s="0" t="s">
        <v>411</v>
      </c>
      <c r="BR828" s="0" t="n">
        <v>1</v>
      </c>
      <c r="BS828" s="0" t="s">
        <v>7585</v>
      </c>
      <c r="BT828" s="0" t="s">
        <v>7586</v>
      </c>
      <c r="BU828" s="0" t="s">
        <v>7587</v>
      </c>
      <c r="BV828" s="123"/>
      <c r="BW828" s="123"/>
      <c r="BX828" s="123"/>
      <c r="BY828" s="123"/>
      <c r="CD828" s="0" t="s">
        <v>370</v>
      </c>
      <c r="CE828" s="0" t="n">
        <v>0</v>
      </c>
      <c r="CF828" s="0" t="s">
        <v>7588</v>
      </c>
      <c r="CG828" s="0" t="s">
        <v>216</v>
      </c>
      <c r="CH828" s="0" t="s">
        <v>216</v>
      </c>
      <c r="CI828" s="1" t="n">
        <v>39741</v>
      </c>
      <c r="CJ828" s="1" t="n">
        <v>40739</v>
      </c>
      <c r="CK828" s="124" t="n">
        <v>0.541666666666667</v>
      </c>
      <c r="CL828" s="0" t="s">
        <v>7589</v>
      </c>
      <c r="CM828" s="0" t="n">
        <f aca="false">IF(OR(CI828="",CJ828=""),"",DAYS360(CI828,CJ828)/360)</f>
        <v>2.73611111111111</v>
      </c>
      <c r="CN828" s="0" t="n">
        <f aca="false">IF(OR(CI828="",CJ828=""),"",DAYS360(CI828,CJ828)/30)</f>
        <v>32.8333333333333</v>
      </c>
      <c r="CO828" s="0" t="n">
        <f aca="false">IF(OR(CI828="",CJ828=""),"",DAYS360(CI828,CJ828)/7)</f>
        <v>140.714285714286</v>
      </c>
      <c r="CP828" s="0" t="n">
        <f aca="false">IF(OR(CI828="",CJ828=""),"",DAYS360(CI828,CJ828))</f>
        <v>985</v>
      </c>
      <c r="CQ828" s="0" t="s">
        <v>240</v>
      </c>
      <c r="CR828" s="0" t="n">
        <v>1</v>
      </c>
      <c r="CT828" s="0" t="n">
        <v>271.42</v>
      </c>
      <c r="CU828" s="0" t="n">
        <v>0</v>
      </c>
      <c r="CV828" s="0" t="n">
        <f aca="false">IF(OR(CT828="",CT828="NO ESPECIFICA",CT828="NO MENCIONA"),"",IF(CU828=0,CT828,IF(CU828=1,CT828/30,IF(CU828=2,CT828/15,IF(CU828=3,CT828/7,"")))))</f>
        <v>271.42</v>
      </c>
      <c r="CW828" s="125" t="n">
        <v>1900</v>
      </c>
      <c r="CX828" s="0" t="n">
        <v>3</v>
      </c>
      <c r="CY828" s="0" t="n">
        <f aca="false">IF(CW828="","",IF(CX828=0,CW828,IF(CX828=1,CW828/30,IF(CX828=2,CW828/15,IF(CX828=3,CW828/7,CW828)))))</f>
        <v>271.428571428571</v>
      </c>
      <c r="CZ828" s="0" t="n">
        <f aca="false">IF(DI828&gt;0,DI828,IF(CY828&gt;0,CY828,IF(CV828&gt;0,CV828,"")))</f>
        <v>271.42</v>
      </c>
      <c r="DA828" s="0" t="n">
        <f aca="false">IF(DM828=1,CZ828/8,IF(OR(DM828=2,DM828=4),CZ828/7,IF(DM828=3,CZ828/7.5,"")))</f>
        <v>33.9275</v>
      </c>
      <c r="DB828" s="0" t="s">
        <v>216</v>
      </c>
      <c r="DC828" s="0" t="s">
        <v>216</v>
      </c>
      <c r="DD828" s="0" t="s">
        <v>216</v>
      </c>
      <c r="DE828" s="0" t="s">
        <v>216</v>
      </c>
      <c r="DF828" s="0" t="s">
        <v>216</v>
      </c>
      <c r="DG828" s="0" t="s">
        <v>216</v>
      </c>
      <c r="DH828" s="0" t="n">
        <v>0</v>
      </c>
      <c r="DI828" s="126" t="n">
        <v>271.42</v>
      </c>
      <c r="DK828" s="0" t="n">
        <v>1</v>
      </c>
      <c r="DM828" s="0" t="n">
        <v>1</v>
      </c>
      <c r="DN828" s="0" t="n">
        <v>45</v>
      </c>
      <c r="DO828" s="0" t="n">
        <v>3</v>
      </c>
      <c r="DP828" s="0" t="n">
        <v>0</v>
      </c>
      <c r="DQ828" s="0" t="n">
        <v>1</v>
      </c>
      <c r="DR828" s="0" t="n">
        <v>24427.8</v>
      </c>
      <c r="DS828" s="0" t="n">
        <v>1</v>
      </c>
      <c r="DT828" s="0" t="n">
        <v>271.42</v>
      </c>
      <c r="DU828" s="0" t="n">
        <v>1</v>
      </c>
      <c r="DV828" s="0" t="n">
        <v>6514.8</v>
      </c>
      <c r="DW828" s="1" t="n">
        <v>39741</v>
      </c>
      <c r="DX828" s="1" t="n">
        <v>40739</v>
      </c>
      <c r="DZ828" s="0"/>
      <c r="EA828" s="0" t="n">
        <v>1</v>
      </c>
      <c r="EC828" s="1" t="n">
        <v>39448</v>
      </c>
      <c r="ED828" s="1" t="n">
        <v>40739</v>
      </c>
      <c r="EF828" s="0"/>
      <c r="EG828" s="0" t="n">
        <v>0</v>
      </c>
      <c r="EI828" s="0" t="str">
        <f aca="false">IF(AND(DM828=1,DN828&lt;=48),"",IF(AND(DM828=2,DN828&lt;=42),"",IF(AND(DM828=3,DN828&lt;=45),"",EH828)))</f>
        <v/>
      </c>
      <c r="EJ828" s="0" t="str">
        <f aca="false">IF(EI828="","",IF(EI828&lt;9,EI828,9))</f>
        <v/>
      </c>
      <c r="EK828" s="0" t="str">
        <f aca="false">IF(EI828="","",IF(EI828&gt;9,EI828-EJ828,0))</f>
        <v/>
      </c>
      <c r="EL828" s="0" t="str">
        <f aca="false">IF(EI828="","",EJ828*DA828*2+EK828*DA828*3)</f>
        <v/>
      </c>
      <c r="EP828" s="0" t="n">
        <v>0</v>
      </c>
      <c r="EQ828" s="0"/>
      <c r="ER828" s="0" t="n">
        <v>0</v>
      </c>
      <c r="ET828" s="0" t="n">
        <v>0</v>
      </c>
      <c r="EV828" s="0" t="n">
        <v>0</v>
      </c>
      <c r="EX828" s="0" t="n">
        <v>1</v>
      </c>
      <c r="EY828" s="0" t="n">
        <v>0</v>
      </c>
      <c r="EZ828" s="0"/>
      <c r="FA828" s="0"/>
      <c r="FB828" s="0" t="n">
        <v>0</v>
      </c>
      <c r="FC828" s="1" t="n">
        <v>41086</v>
      </c>
      <c r="FD828" s="0" t="n">
        <v>1</v>
      </c>
      <c r="FE828" s="0" t="n">
        <v>9250</v>
      </c>
      <c r="FF828" s="120" t="n">
        <f aca="false">(CJ828-CI828+1)/365</f>
        <v>2.73698630136986</v>
      </c>
      <c r="FG828" s="0" t="str">
        <f aca="false">CONCATENATE(F828,"/",G828)</f>
        <v>1333/2011</v>
      </c>
      <c r="FH828" s="0" t="n">
        <v>1</v>
      </c>
      <c r="FI828" s="0" t="n">
        <f aca="false">IFERROR(IF((FC828-J828+1)/365&gt;3,0,1),"")</f>
        <v>1</v>
      </c>
    </row>
    <row r="829" customFormat="false" ht="15" hidden="false" customHeight="false" outlineLevel="0" collapsed="false">
      <c r="A829" s="5" t="str">
        <f aca="false">E829&amp;G829&amp;F829</f>
        <v>720111334</v>
      </c>
      <c r="B829" s="0" t="s">
        <v>5963</v>
      </c>
      <c r="C829" s="1" t="n">
        <v>42354</v>
      </c>
      <c r="D829" s="0" t="s">
        <v>3265</v>
      </c>
      <c r="E829" s="0" t="n">
        <v>7</v>
      </c>
      <c r="F829" s="0" t="n">
        <v>1334</v>
      </c>
      <c r="G829" s="0" t="n">
        <v>2011</v>
      </c>
      <c r="H829" s="0" t="str">
        <f aca="false">"J"&amp;E829&amp;"\"&amp;F829&amp;"\"&amp;G829&amp;"\"&amp;W829</f>
        <v>J7\1334\2011\1</v>
      </c>
      <c r="I829" s="0"/>
      <c r="J829" s="1" t="n">
        <v>40763</v>
      </c>
      <c r="K829" s="0" t="n">
        <v>0</v>
      </c>
      <c r="M829" s="1"/>
      <c r="N829" s="1"/>
      <c r="O829" s="1"/>
      <c r="P829" s="1"/>
      <c r="Q829" s="1"/>
      <c r="T829" s="121"/>
      <c r="U829" s="121"/>
      <c r="V829" s="122" t="n">
        <f aca="false">IF(AND(E829&gt;0,F829&gt;0,G829&gt;0),COUNTIFS($E:$E,E829,$F:$F,F829,$G:$G,G829),"")</f>
        <v>1</v>
      </c>
      <c r="W829" s="122" t="n">
        <f aca="false">IF(V829="","",IF(V829=1,1,IF(AND(E828=E829,F828=F829,G828=G829),W828+1,1)))</f>
        <v>1</v>
      </c>
      <c r="X829" s="0" t="n">
        <v>1</v>
      </c>
      <c r="Y829" s="0" t="n">
        <v>2</v>
      </c>
      <c r="Z829" s="0" t="s">
        <v>7590</v>
      </c>
      <c r="AA829" s="0" t="n">
        <v>0</v>
      </c>
      <c r="AB829" s="0" t="s">
        <v>7591</v>
      </c>
      <c r="AC829" s="0" t="s">
        <v>287</v>
      </c>
      <c r="AD829" s="0" t="s">
        <v>207</v>
      </c>
      <c r="AE829" s="0" t="n">
        <v>0</v>
      </c>
      <c r="AF829" s="0" t="s">
        <v>7592</v>
      </c>
      <c r="AG829" s="0" t="n">
        <v>0</v>
      </c>
      <c r="AH829" s="0" t="s">
        <v>7593</v>
      </c>
      <c r="AI829" s="0" t="s">
        <v>7594</v>
      </c>
      <c r="AJ829" s="0" t="s">
        <v>207</v>
      </c>
      <c r="AL829" s="0" t="s">
        <v>7595</v>
      </c>
      <c r="AM829" s="0" t="n">
        <v>1</v>
      </c>
      <c r="AN829" s="0" t="s">
        <v>7593</v>
      </c>
      <c r="AO829" s="0" t="s">
        <v>7594</v>
      </c>
      <c r="AP829" s="0" t="s">
        <v>207</v>
      </c>
      <c r="BR829" s="0" t="n">
        <v>1</v>
      </c>
      <c r="BS829" s="0" t="s">
        <v>3603</v>
      </c>
      <c r="BV829" s="123"/>
      <c r="BW829" s="123"/>
      <c r="BX829" s="123"/>
      <c r="BY829" s="123"/>
      <c r="CA829" s="0" t="s">
        <v>7596</v>
      </c>
      <c r="CD829" s="0" t="s">
        <v>370</v>
      </c>
      <c r="CE829" s="0" t="n">
        <v>0</v>
      </c>
      <c r="CF829" s="0" t="s">
        <v>7597</v>
      </c>
      <c r="CG829" s="0" t="s">
        <v>216</v>
      </c>
      <c r="CH829" s="0" t="s">
        <v>216</v>
      </c>
      <c r="CI829" s="1" t="n">
        <v>40603</v>
      </c>
      <c r="CJ829" s="1" t="n">
        <v>40739</v>
      </c>
      <c r="CK829" s="124" t="n">
        <v>0.760416666666667</v>
      </c>
      <c r="CL829" s="0" t="s">
        <v>7595</v>
      </c>
      <c r="CM829" s="0" t="n">
        <f aca="false">IF(OR(CI829="",CJ829=""),"",DAYS360(CI829,CJ829)/360)</f>
        <v>0.372222222222222</v>
      </c>
      <c r="CN829" s="0" t="n">
        <f aca="false">IF(OR(CI829="",CJ829=""),"",DAYS360(CI829,CJ829)/30)</f>
        <v>4.46666666666667</v>
      </c>
      <c r="CO829" s="0" t="n">
        <f aca="false">IF(OR(CI829="",CJ829=""),"",DAYS360(CI829,CJ829)/7)</f>
        <v>19.1428571428571</v>
      </c>
      <c r="CP829" s="0" t="n">
        <f aca="false">IF(OR(CI829="",CJ829=""),"",DAYS360(CI829,CJ829))</f>
        <v>134</v>
      </c>
      <c r="CQ829" s="0" t="s">
        <v>240</v>
      </c>
      <c r="CR829" s="0" t="n">
        <v>1</v>
      </c>
      <c r="CT829" s="0" t="n">
        <v>18000</v>
      </c>
      <c r="CU829" s="0" t="n">
        <v>1</v>
      </c>
      <c r="CV829" s="0" t="n">
        <f aca="false">IF(OR(CT829="",CT829="NO ESPECIFICA",CT829="NO MENCIONA"),"",IF(CU829=0,CT829,IF(CU829=1,CT829/30,IF(CU829=2,CT829/15,IF(CU829=3,CT829/7,"")))))</f>
        <v>600</v>
      </c>
      <c r="CW829" s="125" t="n">
        <v>18000</v>
      </c>
      <c r="CX829" s="0" t="n">
        <v>1</v>
      </c>
      <c r="CY829" s="0" t="n">
        <f aca="false">IF(CW829="","",IF(CX829=0,CW829,IF(CX829=1,CW829/30,IF(CX829=2,CW829/15,IF(CX829=3,CW829/7,CW829)))))</f>
        <v>600</v>
      </c>
      <c r="CZ829" s="0" t="n">
        <f aca="false">IF(DI829&gt;0,DI829,IF(CY829&gt;0,CY829,IF(CV829&gt;0,CV829,"")))</f>
        <v>750</v>
      </c>
      <c r="DA829" s="0" t="n">
        <f aca="false">IF(DM829=1,CZ829/8,IF(OR(DM829=2,DM829=4),CZ829/7,IF(DM829=3,CZ829/7.5,"")))</f>
        <v>93.75</v>
      </c>
      <c r="DB829" s="0" t="s">
        <v>216</v>
      </c>
      <c r="DC829" s="0" t="s">
        <v>216</v>
      </c>
      <c r="DD829" s="0" t="s">
        <v>216</v>
      </c>
      <c r="DE829" s="0" t="s">
        <v>216</v>
      </c>
      <c r="DF829" s="0" t="s">
        <v>216</v>
      </c>
      <c r="DG829" s="0" t="s">
        <v>216</v>
      </c>
      <c r="DH829" s="0" t="n">
        <v>0</v>
      </c>
      <c r="DI829" s="126" t="n">
        <v>750</v>
      </c>
      <c r="DK829" s="0" t="n">
        <v>1</v>
      </c>
      <c r="DM829" s="0" t="n">
        <v>1</v>
      </c>
      <c r="DN829" s="0" t="n">
        <v>66</v>
      </c>
      <c r="DO829" s="0" t="n">
        <v>3</v>
      </c>
      <c r="DP829" s="0" t="n">
        <v>0</v>
      </c>
      <c r="DQ829" s="0" t="n">
        <v>1</v>
      </c>
      <c r="DR829" s="0"/>
      <c r="DS829" s="0" t="n">
        <v>1</v>
      </c>
      <c r="DU829" s="0" t="n">
        <v>1</v>
      </c>
      <c r="DW829" s="1" t="n">
        <v>40603</v>
      </c>
      <c r="DX829" s="1" t="n">
        <v>40739</v>
      </c>
      <c r="DZ829" s="0"/>
      <c r="EA829" s="0" t="n">
        <v>1</v>
      </c>
      <c r="EC829" s="1" t="n">
        <v>40544</v>
      </c>
      <c r="ED829" s="1" t="n">
        <v>40739</v>
      </c>
      <c r="EF829" s="0"/>
      <c r="EG829" s="0" t="n">
        <v>1</v>
      </c>
      <c r="EH829" s="0" t="n">
        <v>21</v>
      </c>
      <c r="EI829" s="0" t="n">
        <f aca="false">IF(AND(DM829=1,DN829&lt;=48),"",IF(AND(DM829=2,DN829&lt;=42),"",IF(AND(DM829=3,DN829&lt;=45),"",EH829)))</f>
        <v>21</v>
      </c>
      <c r="EJ829" s="0" t="n">
        <f aca="false">IF(EI829="","",IF(EI829&lt;9,EI829,9))</f>
        <v>9</v>
      </c>
      <c r="EK829" s="0" t="n">
        <f aca="false">IF(EI829="","",IF(EI829&gt;9,EI829-EJ829,0))</f>
        <v>12</v>
      </c>
      <c r="EL829" s="0" t="n">
        <f aca="false">IF(EI829="","",EJ829*DA829*2+EK829*DA829*3)</f>
        <v>5062.5</v>
      </c>
      <c r="EP829" s="0" t="n">
        <v>0</v>
      </c>
      <c r="EQ829" s="0"/>
      <c r="ER829" s="0" t="n">
        <v>0</v>
      </c>
      <c r="ET829" s="0" t="n">
        <v>1</v>
      </c>
      <c r="EV829" s="0" t="n">
        <v>1</v>
      </c>
      <c r="EX829" s="0" t="n">
        <v>1</v>
      </c>
      <c r="EY829" s="0" t="n">
        <v>0</v>
      </c>
      <c r="EZ829" s="0"/>
      <c r="FA829" s="0"/>
      <c r="FB829" s="0" t="n">
        <v>1</v>
      </c>
      <c r="FC829" s="1" t="n">
        <v>40854</v>
      </c>
      <c r="FD829" s="0" t="n">
        <v>1</v>
      </c>
      <c r="FE829" s="0" t="n">
        <v>15000</v>
      </c>
      <c r="FF829" s="120" t="n">
        <f aca="false">(CJ829-CI829+1)/365</f>
        <v>0.375342465753425</v>
      </c>
      <c r="FG829" s="0" t="str">
        <f aca="false">CONCATENATE(F829,"/",G829)</f>
        <v>1334/2011</v>
      </c>
      <c r="FH829" s="0" t="n">
        <v>1</v>
      </c>
      <c r="FI829" s="0" t="n">
        <f aca="false">IFERROR(IF((FC829-J829+1)/365&gt;3,0,1),"")</f>
        <v>1</v>
      </c>
    </row>
    <row r="830" customFormat="false" ht="15" hidden="false" customHeight="false" outlineLevel="0" collapsed="false">
      <c r="A830" s="5" t="str">
        <f aca="false">E830&amp;G830&amp;F830</f>
        <v>720111343</v>
      </c>
      <c r="B830" s="0" t="s">
        <v>5963</v>
      </c>
      <c r="C830" s="1" t="n">
        <v>42354</v>
      </c>
      <c r="D830" s="0" t="s">
        <v>3265</v>
      </c>
      <c r="E830" s="0" t="n">
        <v>7</v>
      </c>
      <c r="F830" s="0" t="n">
        <v>1343</v>
      </c>
      <c r="G830" s="0" t="n">
        <v>2011</v>
      </c>
      <c r="H830" s="0" t="str">
        <f aca="false">"J"&amp;E830&amp;"\"&amp;F830&amp;"\"&amp;G830&amp;"\"&amp;W830</f>
        <v>J7\1343\2011\1</v>
      </c>
      <c r="I830" s="0"/>
      <c r="J830" s="1" t="n">
        <v>40763</v>
      </c>
      <c r="K830" s="0" t="n">
        <v>0</v>
      </c>
      <c r="M830" s="1"/>
      <c r="N830" s="1"/>
      <c r="O830" s="1"/>
      <c r="P830" s="1"/>
      <c r="Q830" s="1"/>
      <c r="T830" s="121"/>
      <c r="U830" s="121"/>
      <c r="V830" s="122" t="n">
        <f aca="false">IF(AND(E830&gt;0,F830&gt;0,G830&gt;0),COUNTIFS($E:$E,E830,$F:$F,F830,$G:$G,G830),"")</f>
        <v>1</v>
      </c>
      <c r="W830" s="122" t="n">
        <f aca="false">IF(V830="","",IF(V830=1,1,IF(AND(E829=E830,F829=F830,G829=G830),W829+1,1)))</f>
        <v>1</v>
      </c>
      <c r="X830" s="0" t="n">
        <v>1</v>
      </c>
      <c r="Y830" s="0" t="n">
        <v>4</v>
      </c>
      <c r="Z830" s="0" t="s">
        <v>7598</v>
      </c>
      <c r="AA830" s="0" t="n">
        <v>0</v>
      </c>
      <c r="AB830" s="0" t="s">
        <v>7599</v>
      </c>
      <c r="AC830" s="0" t="s">
        <v>228</v>
      </c>
      <c r="AD830" s="0" t="s">
        <v>229</v>
      </c>
      <c r="AE830" s="0" t="n">
        <v>0</v>
      </c>
      <c r="AF830" s="0" t="s">
        <v>7600</v>
      </c>
      <c r="AG830" s="0" t="n">
        <v>0</v>
      </c>
      <c r="AH830" s="0" t="s">
        <v>7601</v>
      </c>
      <c r="AI830" s="0" t="s">
        <v>1241</v>
      </c>
      <c r="AJ830" s="0" t="s">
        <v>207</v>
      </c>
      <c r="AL830" s="0" t="s">
        <v>7602</v>
      </c>
      <c r="AM830" s="0" t="n">
        <v>0</v>
      </c>
      <c r="AN830" s="0" t="s">
        <v>7601</v>
      </c>
      <c r="AO830" s="0" t="s">
        <v>1241</v>
      </c>
      <c r="AP830" s="0" t="s">
        <v>207</v>
      </c>
      <c r="AR830" s="0" t="s">
        <v>7603</v>
      </c>
      <c r="AS830" s="0" t="n">
        <v>1</v>
      </c>
      <c r="AT830" s="0" t="s">
        <v>7601</v>
      </c>
      <c r="AU830" s="0" t="s">
        <v>1241</v>
      </c>
      <c r="AV830" s="0" t="s">
        <v>207</v>
      </c>
      <c r="AX830" s="0" t="s">
        <v>7604</v>
      </c>
      <c r="AY830" s="0" t="n">
        <v>1</v>
      </c>
      <c r="AZ830" s="0" t="s">
        <v>7601</v>
      </c>
      <c r="BA830" s="0" t="s">
        <v>1241</v>
      </c>
      <c r="BB830" s="0" t="s">
        <v>207</v>
      </c>
      <c r="BR830" s="0" t="n">
        <v>3</v>
      </c>
      <c r="BS830" s="0" t="s">
        <v>7605</v>
      </c>
      <c r="BV830" s="123"/>
      <c r="BW830" s="123"/>
      <c r="BX830" s="123"/>
      <c r="BY830" s="123"/>
      <c r="CA830" s="0" t="s">
        <v>348</v>
      </c>
      <c r="CD830" s="0" t="s">
        <v>296</v>
      </c>
      <c r="CE830" s="0" t="n">
        <v>0</v>
      </c>
      <c r="CF830" s="0" t="s">
        <v>7606</v>
      </c>
      <c r="CG830" s="0" t="s">
        <v>216</v>
      </c>
      <c r="CH830" s="0" t="s">
        <v>216</v>
      </c>
      <c r="CI830" s="1" t="n">
        <v>36951</v>
      </c>
      <c r="CJ830" s="1" t="n">
        <v>40700</v>
      </c>
      <c r="CK830" s="124" t="n">
        <v>0.479166666666667</v>
      </c>
      <c r="CL830" s="0" t="s">
        <v>7607</v>
      </c>
      <c r="CM830" s="0" t="n">
        <f aca="false">IF(OR(CI830="",CJ830=""),"",DAYS360(CI830,CJ830)/360)</f>
        <v>10.2638888888889</v>
      </c>
      <c r="CN830" s="0" t="n">
        <f aca="false">IF(OR(CI830="",CJ830=""),"",DAYS360(CI830,CJ830)/30)</f>
        <v>123.166666666667</v>
      </c>
      <c r="CO830" s="0" t="n">
        <f aca="false">IF(OR(CI830="",CJ830=""),"",DAYS360(CI830,CJ830)/7)</f>
        <v>527.857142857143</v>
      </c>
      <c r="CP830" s="0" t="n">
        <f aca="false">IF(OR(CI830="",CJ830=""),"",DAYS360(CI830,CJ830))</f>
        <v>3695</v>
      </c>
      <c r="CQ830" s="0" t="s">
        <v>240</v>
      </c>
      <c r="CR830" s="0" t="n">
        <v>1</v>
      </c>
      <c r="CT830" s="0" t="n">
        <v>300</v>
      </c>
      <c r="CU830" s="0" t="n">
        <v>0</v>
      </c>
      <c r="CV830" s="0" t="n">
        <f aca="false">IF(OR(CT830="",CT830="NO ESPECIFICA",CT830="NO MENCIONA"),"",IF(CU830=0,CT830,IF(CU830=1,CT830/30,IF(CU830=2,CT830/15,IF(CU830=3,CT830/7,"")))))</f>
        <v>300</v>
      </c>
      <c r="CW830" s="125" t="n">
        <v>312.56</v>
      </c>
      <c r="CX830" s="0" t="n">
        <v>0</v>
      </c>
      <c r="CY830" s="0" t="n">
        <f aca="false">IF(CW830="","",IF(CX830=0,CW830,IF(CX830=1,CW830/30,IF(CX830=2,CW830/15,IF(CX830=3,CW830/7,CW830)))))</f>
        <v>312.56</v>
      </c>
      <c r="CZ830" s="0" t="n">
        <f aca="false">IF(DI830&gt;0,DI830,IF(CY830&gt;0,CY830,IF(CV830&gt;0,CV830,"")))</f>
        <v>313.56</v>
      </c>
      <c r="DA830" s="0" t="n">
        <f aca="false">IF(DM830=1,CZ830/8,IF(OR(DM830=2,DM830=4),CZ830/7,IF(DM830=3,CZ830/7.5,"")))</f>
        <v>39.195</v>
      </c>
      <c r="DB830" s="0" t="s">
        <v>302</v>
      </c>
      <c r="DC830" s="0" t="s">
        <v>303</v>
      </c>
      <c r="DD830" s="0" t="s">
        <v>301</v>
      </c>
      <c r="DE830" s="0" t="s">
        <v>216</v>
      </c>
      <c r="DF830" s="0" t="s">
        <v>216</v>
      </c>
      <c r="DG830" s="0" t="s">
        <v>216</v>
      </c>
      <c r="DH830" s="0" t="n">
        <v>0</v>
      </c>
      <c r="DI830" s="126" t="n">
        <v>313.56</v>
      </c>
      <c r="DK830" s="0" t="n">
        <v>0</v>
      </c>
      <c r="DM830" s="0" t="n">
        <v>1</v>
      </c>
      <c r="DN830" s="0" t="n">
        <v>48</v>
      </c>
      <c r="DO830" s="0" t="n">
        <v>3</v>
      </c>
      <c r="DP830" s="0" t="n">
        <v>0</v>
      </c>
      <c r="DQ830" s="0" t="n">
        <v>1</v>
      </c>
      <c r="DR830" s="0"/>
      <c r="DS830" s="0" t="n">
        <v>0</v>
      </c>
      <c r="DU830" s="0" t="n">
        <v>1</v>
      </c>
      <c r="DW830" s="1" t="s">
        <v>216</v>
      </c>
      <c r="DX830" s="1" t="s">
        <v>216</v>
      </c>
      <c r="DZ830" s="0"/>
      <c r="EA830" s="0" t="n">
        <v>0</v>
      </c>
      <c r="EC830" s="1" t="s">
        <v>1895</v>
      </c>
      <c r="ED830" s="1" t="s">
        <v>1895</v>
      </c>
      <c r="EF830" s="0"/>
      <c r="EG830" s="0" t="n">
        <v>0</v>
      </c>
      <c r="EI830" s="0" t="str">
        <f aca="false">IF(AND(DM830=1,DN830&lt;=48),"",IF(AND(DM830=2,DN830&lt;=42),"",IF(AND(DM830=3,DN830&lt;=45),"",EH830)))</f>
        <v/>
      </c>
      <c r="EJ830" s="0" t="str">
        <f aca="false">IF(EI830="","",IF(EI830&lt;9,EI830,9))</f>
        <v/>
      </c>
      <c r="EK830" s="0" t="str">
        <f aca="false">IF(EI830="","",IF(EI830&gt;9,EI830-EJ830,0))</f>
        <v/>
      </c>
      <c r="EL830" s="0" t="str">
        <f aca="false">IF(EI830="","",EJ830*DA830*2+EK830*DA830*3)</f>
        <v/>
      </c>
      <c r="EP830" s="0" t="n">
        <v>0</v>
      </c>
      <c r="EQ830" s="0"/>
      <c r="ER830" s="0" t="n">
        <v>0</v>
      </c>
      <c r="ET830" s="0" t="n">
        <v>0</v>
      </c>
      <c r="EV830" s="0" t="n">
        <v>0</v>
      </c>
      <c r="EX830" s="0" t="n">
        <v>0</v>
      </c>
      <c r="EY830" s="0" t="n">
        <v>0</v>
      </c>
      <c r="EZ830" s="0"/>
      <c r="FA830" s="0"/>
      <c r="FB830" s="0" t="n">
        <v>0</v>
      </c>
      <c r="FC830" s="1" t="n">
        <v>41170</v>
      </c>
      <c r="FD830" s="0" t="n">
        <v>1</v>
      </c>
      <c r="FE830" s="0" t="n">
        <v>35000</v>
      </c>
      <c r="FF830" s="120" t="n">
        <f aca="false">(CJ830-CI830+1)/365</f>
        <v>10.2739726027397</v>
      </c>
      <c r="FG830" s="0" t="str">
        <f aca="false">CONCATENATE(F830,"/",G830)</f>
        <v>1343/2011</v>
      </c>
      <c r="FH830" s="0" t="n">
        <v>1</v>
      </c>
      <c r="FI830" s="0" t="n">
        <f aca="false">IFERROR(IF((FC830-J830+1)/365&gt;3,0,1),"")</f>
        <v>1</v>
      </c>
    </row>
    <row r="831" customFormat="false" ht="15" hidden="false" customHeight="false" outlineLevel="0" collapsed="false">
      <c r="A831" s="5" t="str">
        <f aca="false">E831&amp;G831&amp;F831</f>
        <v>720111347</v>
      </c>
      <c r="B831" s="0" t="s">
        <v>5963</v>
      </c>
      <c r="C831" s="1" t="n">
        <v>42354</v>
      </c>
      <c r="D831" s="0" t="s">
        <v>3265</v>
      </c>
      <c r="E831" s="0" t="n">
        <v>7</v>
      </c>
      <c r="F831" s="0" t="n">
        <v>1347</v>
      </c>
      <c r="G831" s="0" t="n">
        <v>2011</v>
      </c>
      <c r="H831" s="0" t="str">
        <f aca="false">"J"&amp;E831&amp;"\"&amp;F831&amp;"\"&amp;G831&amp;"\"&amp;W831</f>
        <v>J7\1347\2011\1</v>
      </c>
      <c r="I831" s="0"/>
      <c r="J831" s="1" t="n">
        <v>40764</v>
      </c>
      <c r="K831" s="0" t="n">
        <v>0</v>
      </c>
      <c r="M831" s="1"/>
      <c r="N831" s="1"/>
      <c r="O831" s="1"/>
      <c r="P831" s="1"/>
      <c r="Q831" s="1"/>
      <c r="T831" s="121"/>
      <c r="U831" s="121"/>
      <c r="V831" s="122" t="n">
        <f aca="false">IF(AND(E831&gt;0,F831&gt;0,G831&gt;0),COUNTIFS($E:$E,E831,$F:$F,F831,$G:$G,G831),"")</f>
        <v>1</v>
      </c>
      <c r="W831" s="122" t="n">
        <f aca="false">IF(V831="","",IF(V831=1,1,IF(AND(E830=E831,F830=F831,G830=G831),W830+1,1)))</f>
        <v>1</v>
      </c>
      <c r="X831" s="0" t="n">
        <v>1</v>
      </c>
      <c r="Y831" s="0" t="n">
        <v>2</v>
      </c>
      <c r="Z831" s="0" t="s">
        <v>7608</v>
      </c>
      <c r="AA831" s="0" t="n">
        <v>0</v>
      </c>
      <c r="AB831" s="0" t="s">
        <v>7609</v>
      </c>
      <c r="AC831" s="0" t="s">
        <v>274</v>
      </c>
      <c r="AD831" s="0" t="s">
        <v>216</v>
      </c>
      <c r="AE831" s="0" t="n">
        <v>0</v>
      </c>
      <c r="AF831" s="0" t="s">
        <v>7610</v>
      </c>
      <c r="AG831" s="0" t="n">
        <v>1</v>
      </c>
      <c r="AH831" s="0" t="s">
        <v>7611</v>
      </c>
      <c r="AI831" s="0" t="s">
        <v>7612</v>
      </c>
      <c r="AJ831" s="0" t="s">
        <v>352</v>
      </c>
      <c r="AL831" s="0" t="s">
        <v>5971</v>
      </c>
      <c r="AM831" s="0" t="n">
        <v>1</v>
      </c>
      <c r="AN831" s="0" t="s">
        <v>7611</v>
      </c>
      <c r="AO831" s="0" t="s">
        <v>7612</v>
      </c>
      <c r="AP831" s="0" t="s">
        <v>352</v>
      </c>
      <c r="BR831" s="0" t="n">
        <v>1</v>
      </c>
      <c r="BS831" s="0" t="s">
        <v>279</v>
      </c>
      <c r="BV831" s="123"/>
      <c r="BW831" s="123"/>
      <c r="BX831" s="123"/>
      <c r="BY831" s="123"/>
      <c r="CD831" s="0" t="s">
        <v>502</v>
      </c>
      <c r="CE831" s="0" t="n">
        <v>0</v>
      </c>
      <c r="CF831" s="0" t="s">
        <v>503</v>
      </c>
      <c r="CG831" s="0" t="s">
        <v>216</v>
      </c>
      <c r="CH831" s="0" t="s">
        <v>216</v>
      </c>
      <c r="CI831" s="1" t="n">
        <v>39696</v>
      </c>
      <c r="CJ831" s="1" t="n">
        <v>40760</v>
      </c>
      <c r="CK831" s="124" t="n">
        <v>0.541666666666667</v>
      </c>
      <c r="CL831" s="0" t="s">
        <v>7610</v>
      </c>
      <c r="CM831" s="0" t="n">
        <f aca="false">IF(OR(CI831="",CJ831=""),"",DAYS360(CI831,CJ831)/360)</f>
        <v>2.91666666666667</v>
      </c>
      <c r="CN831" s="0" t="n">
        <f aca="false">IF(OR(CI831="",CJ831=""),"",DAYS360(CI831,CJ831)/30)</f>
        <v>35</v>
      </c>
      <c r="CO831" s="0" t="n">
        <f aca="false">IF(OR(CI831="",CJ831=""),"",DAYS360(CI831,CJ831)/7)</f>
        <v>150</v>
      </c>
      <c r="CP831" s="0" t="n">
        <f aca="false">IF(OR(CI831="",CJ831=""),"",DAYS360(CI831,CJ831))</f>
        <v>1050</v>
      </c>
      <c r="CQ831" s="0" t="s">
        <v>240</v>
      </c>
      <c r="CR831" s="0" t="n">
        <v>1</v>
      </c>
      <c r="CT831" s="0" t="n">
        <v>500</v>
      </c>
      <c r="CU831" s="0" t="n">
        <v>0</v>
      </c>
      <c r="CV831" s="0" t="n">
        <f aca="false">IF(OR(CT831="",CT831="NO ESPECIFICA",CT831="NO MENCIONA"),"",IF(CU831=0,CT831,IF(CU831=1,CT831/30,IF(CU831=2,CT831/15,IF(CU831=3,CT831/7,"")))))</f>
        <v>500</v>
      </c>
      <c r="CW831" s="125" t="n">
        <v>500</v>
      </c>
      <c r="CX831" s="0" t="n">
        <v>0</v>
      </c>
      <c r="CY831" s="0" t="n">
        <f aca="false">IF(CW831="","",IF(CX831=0,CW831,IF(CX831=1,CW831/30,IF(CX831=2,CW831/15,IF(CX831=3,CW831/7,CW831)))))</f>
        <v>500</v>
      </c>
      <c r="CZ831" s="0" t="n">
        <f aca="false">IF(DI831&gt;0,DI831,IF(CY831&gt;0,CY831,IF(CV831&gt;0,CV831,"")))</f>
        <v>500</v>
      </c>
      <c r="DA831" s="0" t="n">
        <f aca="false">IF(DM831=1,CZ831/8,IF(OR(DM831=2,DM831=4),CZ831/7,IF(DM831=3,CZ831/7.5,"")))</f>
        <v>66.6666666666667</v>
      </c>
      <c r="DB831" s="0" t="s">
        <v>216</v>
      </c>
      <c r="DC831" s="0" t="s">
        <v>216</v>
      </c>
      <c r="DD831" s="0" t="s">
        <v>216</v>
      </c>
      <c r="DE831" s="0" t="s">
        <v>216</v>
      </c>
      <c r="DF831" s="0" t="s">
        <v>216</v>
      </c>
      <c r="DG831" s="0" t="s">
        <v>216</v>
      </c>
      <c r="DH831" s="0" t="n">
        <v>0</v>
      </c>
      <c r="DI831" s="126" t="n">
        <v>500</v>
      </c>
      <c r="DK831" s="0" t="n">
        <v>0</v>
      </c>
      <c r="DM831" s="0" t="n">
        <v>3</v>
      </c>
      <c r="DN831" s="0" t="n">
        <v>60</v>
      </c>
      <c r="DO831" s="0" t="n">
        <v>3</v>
      </c>
      <c r="DP831" s="0" t="n">
        <v>0</v>
      </c>
      <c r="DQ831" s="0" t="n">
        <v>1</v>
      </c>
      <c r="DR831" s="0"/>
      <c r="DS831" s="0" t="n">
        <v>1</v>
      </c>
      <c r="DU831" s="0" t="n">
        <v>1</v>
      </c>
      <c r="DW831" s="1" t="n">
        <v>39692</v>
      </c>
      <c r="DX831" s="1" t="n">
        <v>40756</v>
      </c>
      <c r="DZ831" s="0"/>
      <c r="EA831" s="0" t="n">
        <v>1</v>
      </c>
      <c r="EC831" s="1" t="n">
        <v>39692</v>
      </c>
      <c r="ED831" s="1" t="n">
        <v>40756</v>
      </c>
      <c r="EF831" s="0"/>
      <c r="EG831" s="0" t="n">
        <v>1</v>
      </c>
      <c r="EH831" s="0" t="n">
        <v>12</v>
      </c>
      <c r="EI831" s="0" t="n">
        <f aca="false">IF(AND(DM831=1,DN831&lt;=48),"",IF(AND(DM831=2,DN831&lt;=42),"",IF(AND(DM831=3,DN831&lt;=45),"",EH831)))</f>
        <v>12</v>
      </c>
      <c r="EJ831" s="0" t="n">
        <f aca="false">IF(EI831="","",IF(EI831&lt;9,EI831,9))</f>
        <v>9</v>
      </c>
      <c r="EK831" s="0" t="n">
        <f aca="false">IF(EI831="","",IF(EI831&gt;9,EI831-EJ831,0))</f>
        <v>3</v>
      </c>
      <c r="EL831" s="0" t="n">
        <f aca="false">IF(EI831="","",EJ831*DA831*2+EK831*DA831*3)</f>
        <v>1800</v>
      </c>
      <c r="EP831" s="0" t="n">
        <v>0</v>
      </c>
      <c r="EQ831" s="0"/>
      <c r="ER831" s="0" t="n">
        <v>0</v>
      </c>
      <c r="ET831" s="0" t="n">
        <v>0</v>
      </c>
      <c r="EV831" s="0" t="n">
        <v>0</v>
      </c>
      <c r="EX831" s="0" t="n">
        <v>0</v>
      </c>
      <c r="EY831" s="0" t="n">
        <v>0</v>
      </c>
      <c r="EZ831" s="0"/>
      <c r="FA831" s="0"/>
      <c r="FB831" s="0" t="n">
        <v>0</v>
      </c>
      <c r="FC831" s="1" t="n">
        <v>40851</v>
      </c>
      <c r="FD831" s="0" t="n">
        <v>2</v>
      </c>
      <c r="FE831" s="0" t="n">
        <v>0</v>
      </c>
      <c r="FF831" s="120" t="n">
        <f aca="false">(CJ831-CI831+1)/365</f>
        <v>2.91780821917808</v>
      </c>
      <c r="FG831" s="0" t="str">
        <f aca="false">CONCATENATE(F831,"/",G831)</f>
        <v>1347/2011</v>
      </c>
      <c r="FH831" s="0" t="n">
        <v>1</v>
      </c>
      <c r="FI831" s="0" t="n">
        <f aca="false">IFERROR(IF((FC831-J831+1)/365&gt;3,0,1),"")</f>
        <v>1</v>
      </c>
    </row>
    <row r="832" customFormat="false" ht="15" hidden="false" customHeight="false" outlineLevel="0" collapsed="false">
      <c r="A832" s="5" t="str">
        <f aca="false">E832&amp;G832&amp;F832</f>
        <v>720111352</v>
      </c>
      <c r="B832" s="0" t="s">
        <v>5963</v>
      </c>
      <c r="C832" s="1" t="n">
        <v>42358</v>
      </c>
      <c r="D832" s="0" t="s">
        <v>3265</v>
      </c>
      <c r="E832" s="0" t="n">
        <v>7</v>
      </c>
      <c r="F832" s="0" t="n">
        <v>1352</v>
      </c>
      <c r="G832" s="0" t="n">
        <v>2011</v>
      </c>
      <c r="H832" s="0" t="str">
        <f aca="false">"J"&amp;E832&amp;"\"&amp;F832&amp;"\"&amp;G832&amp;"\"&amp;W832</f>
        <v>J7\1352\2011\1</v>
      </c>
      <c r="I832" s="0"/>
      <c r="J832" s="1" t="n">
        <v>40765</v>
      </c>
      <c r="K832" s="0" t="n">
        <v>0</v>
      </c>
      <c r="M832" s="1"/>
      <c r="N832" s="1"/>
      <c r="O832" s="1"/>
      <c r="P832" s="1"/>
      <c r="Q832" s="1"/>
      <c r="T832" s="121"/>
      <c r="U832" s="121"/>
      <c r="V832" s="122" t="n">
        <f aca="false">IF(AND(E832&gt;0,F832&gt;0,G832&gt;0),COUNTIFS($E:$E,E832,$F:$F,F832,$G:$G,G832),"")</f>
        <v>1</v>
      </c>
      <c r="W832" s="122" t="n">
        <f aca="false">IF(V832="","",IF(V832=1,1,IF(AND(E831=E832,F831=F832,G831=G832),W831+1,1)))</f>
        <v>1</v>
      </c>
      <c r="X832" s="0" t="n">
        <v>1</v>
      </c>
      <c r="Y832" s="0" t="n">
        <v>2</v>
      </c>
      <c r="Z832" s="0" t="s">
        <v>7613</v>
      </c>
      <c r="AA832" s="0" t="n">
        <v>0</v>
      </c>
      <c r="AB832" s="0" t="s">
        <v>7599</v>
      </c>
      <c r="AC832" s="0" t="s">
        <v>228</v>
      </c>
      <c r="AD832" s="0" t="s">
        <v>229</v>
      </c>
      <c r="AE832" s="0" t="n">
        <v>0</v>
      </c>
      <c r="AF832" s="0" t="s">
        <v>7614</v>
      </c>
      <c r="AG832" s="0" t="n">
        <v>1</v>
      </c>
      <c r="AH832" s="0" t="s">
        <v>7615</v>
      </c>
      <c r="AI832" s="0" t="s">
        <v>7616</v>
      </c>
      <c r="AJ832" s="0" t="s">
        <v>411</v>
      </c>
      <c r="AL832" s="0" t="s">
        <v>5971</v>
      </c>
      <c r="AM832" s="0" t="n">
        <v>1</v>
      </c>
      <c r="AN832" s="0" t="s">
        <v>7615</v>
      </c>
      <c r="AO832" s="0" t="s">
        <v>7616</v>
      </c>
      <c r="AP832" s="0" t="s">
        <v>411</v>
      </c>
      <c r="BR832" s="0" t="n">
        <v>3</v>
      </c>
      <c r="BS832" s="0" t="s">
        <v>425</v>
      </c>
      <c r="BT832" s="0" t="s">
        <v>356</v>
      </c>
      <c r="BV832" s="123"/>
      <c r="BW832" s="123"/>
      <c r="BX832" s="123"/>
      <c r="BY832" s="123"/>
      <c r="CA832" s="0" t="s">
        <v>348</v>
      </c>
      <c r="CD832" s="0" t="s">
        <v>502</v>
      </c>
      <c r="CE832" s="0" t="n">
        <v>0</v>
      </c>
      <c r="CF832" s="0" t="s">
        <v>503</v>
      </c>
      <c r="CG832" s="0" t="s">
        <v>216</v>
      </c>
      <c r="CH832" s="0" t="s">
        <v>216</v>
      </c>
      <c r="CI832" s="1" t="n">
        <v>38068</v>
      </c>
      <c r="CJ832" s="1" t="n">
        <v>40722</v>
      </c>
      <c r="CK832" s="124" t="n">
        <v>0.416666666666667</v>
      </c>
      <c r="CL832" s="0" t="s">
        <v>7614</v>
      </c>
      <c r="CM832" s="0" t="n">
        <f aca="false">IF(OR(CI832="",CJ832=""),"",DAYS360(CI832,CJ832)/360)</f>
        <v>7.26666666666667</v>
      </c>
      <c r="CN832" s="0" t="n">
        <f aca="false">IF(OR(CI832="",CJ832=""),"",DAYS360(CI832,CJ832)/30)</f>
        <v>87.2</v>
      </c>
      <c r="CO832" s="0" t="n">
        <f aca="false">IF(OR(CI832="",CJ832=""),"",DAYS360(CI832,CJ832)/7)</f>
        <v>373.714285714286</v>
      </c>
      <c r="CP832" s="0" t="n">
        <f aca="false">IF(OR(CI832="",CJ832=""),"",DAYS360(CI832,CJ832))</f>
        <v>2616</v>
      </c>
      <c r="CQ832" s="0" t="s">
        <v>240</v>
      </c>
      <c r="CR832" s="0" t="n">
        <v>1</v>
      </c>
      <c r="CT832" s="0" t="n">
        <v>200</v>
      </c>
      <c r="CU832" s="0" t="n">
        <v>0</v>
      </c>
      <c r="CV832" s="0" t="n">
        <f aca="false">IF(OR(CT832="",CT832="NO ESPECIFICA",CT832="NO MENCIONA"),"",IF(CU832=0,CT832,IF(CU832=1,CT832/30,IF(CU832=2,CT832/15,IF(CU832=3,CT832/7,"")))))</f>
        <v>200</v>
      </c>
      <c r="CW832" s="125" t="n">
        <v>210.12</v>
      </c>
      <c r="CX832" s="0" t="n">
        <v>0</v>
      </c>
      <c r="CY832" s="0" t="n">
        <f aca="false">IF(CW832="","",IF(CX832=0,CW832,IF(CX832=1,CW832/30,IF(CX832=2,CW832/15,IF(CX832=3,CW832/7,CW832)))))</f>
        <v>210.12</v>
      </c>
      <c r="CZ832" s="0" t="n">
        <f aca="false">IF(DI832&gt;0,DI832,IF(CY832&gt;0,CY832,IF(CV832&gt;0,CV832,"")))</f>
        <v>210.12</v>
      </c>
      <c r="DA832" s="0" t="n">
        <f aca="false">IF(DM832=1,CZ832/8,IF(OR(DM832=2,DM832=4),CZ832/7,IF(DM832=3,CZ832/7.5,"")))</f>
        <v>26.265</v>
      </c>
      <c r="DB832" s="0" t="s">
        <v>303</v>
      </c>
      <c r="DC832" s="0" t="s">
        <v>301</v>
      </c>
      <c r="DD832" s="0" t="s">
        <v>216</v>
      </c>
      <c r="DE832" s="0" t="s">
        <v>216</v>
      </c>
      <c r="DF832" s="0" t="s">
        <v>216</v>
      </c>
      <c r="DG832" s="0" t="s">
        <v>216</v>
      </c>
      <c r="DH832" s="0" t="n">
        <v>0</v>
      </c>
      <c r="DI832" s="126" t="n">
        <v>210.12</v>
      </c>
      <c r="DK832" s="0" t="n">
        <v>0</v>
      </c>
      <c r="DM832" s="0" t="n">
        <v>1</v>
      </c>
      <c r="DN832" s="0" t="n">
        <v>48</v>
      </c>
      <c r="DO832" s="0" t="n">
        <v>3</v>
      </c>
      <c r="DP832" s="0" t="n">
        <v>0</v>
      </c>
      <c r="DQ832" s="0" t="n">
        <v>1</v>
      </c>
      <c r="DR832" s="0"/>
      <c r="DS832" s="0" t="n">
        <v>1</v>
      </c>
      <c r="DU832" s="0" t="n">
        <v>1</v>
      </c>
      <c r="DW832" s="1" t="n">
        <v>40179</v>
      </c>
      <c r="DX832" s="1" t="n">
        <v>40544</v>
      </c>
      <c r="DZ832" s="0"/>
      <c r="EA832" s="0" t="n">
        <v>1</v>
      </c>
      <c r="EC832" s="1" t="n">
        <v>40179</v>
      </c>
      <c r="ED832" s="1" t="n">
        <v>40544</v>
      </c>
      <c r="EF832" s="0"/>
      <c r="EG832" s="0" t="n">
        <v>0</v>
      </c>
      <c r="EI832" s="0" t="str">
        <f aca="false">IF(AND(DM832=1,DN832&lt;=48),"",IF(AND(DM832=2,DN832&lt;=42),"",IF(AND(DM832=3,DN832&lt;=45),"",EH832)))</f>
        <v/>
      </c>
      <c r="EJ832" s="0" t="str">
        <f aca="false">IF(EI832="","",IF(EI832&lt;9,EI832,9))</f>
        <v/>
      </c>
      <c r="EK832" s="0" t="str">
        <f aca="false">IF(EI832="","",IF(EI832&gt;9,EI832-EJ832,0))</f>
        <v/>
      </c>
      <c r="EL832" s="0" t="str">
        <f aca="false">IF(EI832="","",EJ832*DA832*2+EK832*DA832*3)</f>
        <v/>
      </c>
      <c r="EP832" s="0" t="n">
        <v>0</v>
      </c>
      <c r="EQ832" s="0"/>
      <c r="ER832" s="0" t="n">
        <v>0</v>
      </c>
      <c r="ET832" s="0" t="n">
        <v>0</v>
      </c>
      <c r="EV832" s="0" t="n">
        <v>0</v>
      </c>
      <c r="EX832" s="0" t="n">
        <v>1</v>
      </c>
      <c r="EY832" s="0" t="n">
        <v>0</v>
      </c>
      <c r="EZ832" s="0"/>
      <c r="FA832" s="0"/>
      <c r="FB832" s="0" t="n">
        <v>1</v>
      </c>
      <c r="FC832" s="1" t="n">
        <v>41428</v>
      </c>
      <c r="FD832" s="0" t="n">
        <v>2</v>
      </c>
      <c r="FE832" s="0" t="n">
        <v>0</v>
      </c>
      <c r="FF832" s="120" t="n">
        <f aca="false">(CJ832-CI832+1)/365</f>
        <v>7.27397260273973</v>
      </c>
      <c r="FG832" s="0" t="str">
        <f aca="false">CONCATENATE(F832,"/",G832)</f>
        <v>1352/2011</v>
      </c>
      <c r="FH832" s="0" t="n">
        <v>1</v>
      </c>
      <c r="FI832" s="0" t="n">
        <f aca="false">IFERROR(IF((FC832-J832+1)/365&gt;3,0,1),"")</f>
        <v>1</v>
      </c>
    </row>
    <row r="833" customFormat="false" ht="15" hidden="false" customHeight="false" outlineLevel="0" collapsed="false">
      <c r="A833" s="5" t="str">
        <f aca="false">E833&amp;G833&amp;F833</f>
        <v>720111353</v>
      </c>
      <c r="B833" s="0" t="s">
        <v>5963</v>
      </c>
      <c r="C833" s="1" t="n">
        <v>42358</v>
      </c>
      <c r="D833" s="0" t="s">
        <v>3265</v>
      </c>
      <c r="E833" s="0" t="n">
        <v>7</v>
      </c>
      <c r="F833" s="0" t="n">
        <v>1353</v>
      </c>
      <c r="G833" s="0" t="n">
        <v>2011</v>
      </c>
      <c r="H833" s="0" t="str">
        <f aca="false">"J"&amp;E833&amp;"\"&amp;F833&amp;"\"&amp;G833&amp;"\"&amp;W833</f>
        <v>J7\1353\2011\1</v>
      </c>
      <c r="I833" s="0"/>
      <c r="J833" s="1" t="n">
        <v>40765</v>
      </c>
      <c r="K833" s="0" t="n">
        <v>0</v>
      </c>
      <c r="M833" s="1"/>
      <c r="N833" s="1"/>
      <c r="O833" s="1"/>
      <c r="P833" s="1"/>
      <c r="Q833" s="1"/>
      <c r="T833" s="121"/>
      <c r="U833" s="121"/>
      <c r="V833" s="122" t="n">
        <f aca="false">IF(AND(E833&gt;0,F833&gt;0,G833&gt;0),COUNTIFS($E:$E,E833,$F:$F,F833,$G:$G,G833),"")</f>
        <v>1</v>
      </c>
      <c r="W833" s="122" t="n">
        <f aca="false">IF(V833="","",IF(V833=1,1,IF(AND(E832=E833,F832=F833,G832=G833),W832+1,1)))</f>
        <v>1</v>
      </c>
      <c r="X833" s="0" t="n">
        <v>1</v>
      </c>
      <c r="Y833" s="0" t="n">
        <v>3</v>
      </c>
      <c r="Z833" s="0" t="s">
        <v>7617</v>
      </c>
      <c r="AA833" s="0" t="n">
        <v>0</v>
      </c>
      <c r="AB833" s="0" t="s">
        <v>6021</v>
      </c>
      <c r="AC833" s="0" t="s">
        <v>228</v>
      </c>
      <c r="AD833" s="0" t="s">
        <v>229</v>
      </c>
      <c r="AE833" s="0" t="n">
        <v>0</v>
      </c>
      <c r="AF833" s="0" t="s">
        <v>7618</v>
      </c>
      <c r="AG833" s="0" t="n">
        <v>0</v>
      </c>
      <c r="AH833" s="0" t="s">
        <v>7619</v>
      </c>
      <c r="AI833" s="0" t="s">
        <v>7620</v>
      </c>
      <c r="AJ833" s="0" t="s">
        <v>229</v>
      </c>
      <c r="AL833" s="0" t="s">
        <v>7621</v>
      </c>
      <c r="AM833" s="0" t="n">
        <v>1</v>
      </c>
      <c r="AN833" s="0" t="s">
        <v>7619</v>
      </c>
      <c r="AO833" s="0" t="s">
        <v>7620</v>
      </c>
      <c r="AP833" s="0" t="s">
        <v>229</v>
      </c>
      <c r="AR833" s="0" t="s">
        <v>7622</v>
      </c>
      <c r="AS833" s="0" t="n">
        <v>1</v>
      </c>
      <c r="AT833" s="0" t="s">
        <v>7619</v>
      </c>
      <c r="AU833" s="0" t="s">
        <v>7620</v>
      </c>
      <c r="AV833" s="0" t="s">
        <v>229</v>
      </c>
      <c r="BR833" s="0" t="n">
        <v>3</v>
      </c>
      <c r="BS833" s="0" t="s">
        <v>1154</v>
      </c>
      <c r="BV833" s="123"/>
      <c r="BW833" s="123"/>
      <c r="BX833" s="123"/>
      <c r="BY833" s="123"/>
      <c r="CA833" s="0" t="s">
        <v>348</v>
      </c>
      <c r="CD833" s="0" t="s">
        <v>502</v>
      </c>
      <c r="CE833" s="0" t="n">
        <v>0</v>
      </c>
      <c r="CF833" s="0" t="s">
        <v>7623</v>
      </c>
      <c r="CG833" s="0" t="s">
        <v>216</v>
      </c>
      <c r="CH833" s="0" t="s">
        <v>216</v>
      </c>
      <c r="CI833" s="1" t="n">
        <v>40550</v>
      </c>
      <c r="CJ833" s="1" t="n">
        <v>40712</v>
      </c>
      <c r="CK833" s="124" t="n">
        <v>0.25</v>
      </c>
      <c r="CL833" s="0" t="s">
        <v>7624</v>
      </c>
      <c r="CM833" s="0" t="n">
        <f aca="false">IF(OR(CI833="",CJ833=""),"",DAYS360(CI833,CJ833)/360)</f>
        <v>0.447222222222222</v>
      </c>
      <c r="CN833" s="0" t="n">
        <f aca="false">IF(OR(CI833="",CJ833=""),"",DAYS360(CI833,CJ833)/30)</f>
        <v>5.36666666666667</v>
      </c>
      <c r="CO833" s="0" t="n">
        <f aca="false">IF(OR(CI833="",CJ833=""),"",DAYS360(CI833,CJ833)/7)</f>
        <v>23</v>
      </c>
      <c r="CP833" s="0" t="n">
        <f aca="false">IF(OR(CI833="",CJ833=""),"",DAYS360(CI833,CJ833))</f>
        <v>161</v>
      </c>
      <c r="CQ833" s="0" t="s">
        <v>240</v>
      </c>
      <c r="CR833" s="0" t="n">
        <v>1</v>
      </c>
      <c r="CT833" s="0" t="n">
        <v>83.57</v>
      </c>
      <c r="CU833" s="0" t="n">
        <v>0</v>
      </c>
      <c r="CV833" s="0" t="n">
        <f aca="false">IF(OR(CT833="",CT833="NO ESPECIFICA",CT833="NO MENCIONA"),"",IF(CU833=0,CT833,IF(CU833=1,CT833/30,IF(CU833=2,CT833/15,IF(CU833=3,CT833/7,"")))))</f>
        <v>83.57</v>
      </c>
      <c r="CW833" s="125" t="n">
        <v>87.14</v>
      </c>
      <c r="CX833" s="0" t="n">
        <v>0</v>
      </c>
      <c r="CY833" s="0" t="n">
        <f aca="false">IF(CW833="","",IF(CX833=0,CW833,IF(CX833=1,CW833/30,IF(CX833=2,CW833/15,IF(CX833=3,CW833/7,CW833)))))</f>
        <v>87.14</v>
      </c>
      <c r="CZ833" s="0" t="n">
        <f aca="false">IF(DI833&gt;0,DI833,IF(CY833&gt;0,CY833,IF(CV833&gt;0,CV833,"")))</f>
        <v>87.14</v>
      </c>
      <c r="DA833" s="0" t="n">
        <f aca="false">IF(DM833=1,CZ833/8,IF(OR(DM833=2,DM833=4),CZ833/7,IF(DM833=3,CZ833/7.5,"")))</f>
        <v>12.4485714285714</v>
      </c>
      <c r="DB833" s="0" t="s">
        <v>303</v>
      </c>
      <c r="DC833" s="0" t="s">
        <v>301</v>
      </c>
      <c r="DD833" s="0" t="s">
        <v>216</v>
      </c>
      <c r="DE833" s="0" t="s">
        <v>216</v>
      </c>
      <c r="DF833" s="0" t="s">
        <v>216</v>
      </c>
      <c r="DG833" s="0" t="s">
        <v>216</v>
      </c>
      <c r="DH833" s="0" t="n">
        <v>0</v>
      </c>
      <c r="DI833" s="126" t="n">
        <v>87.14</v>
      </c>
      <c r="DK833" s="0" t="n">
        <v>0</v>
      </c>
      <c r="DM833" s="0" t="n">
        <v>4</v>
      </c>
      <c r="DN833" s="0" t="n">
        <v>96</v>
      </c>
      <c r="DO833" s="0" t="n">
        <v>3</v>
      </c>
      <c r="DP833" s="0" t="n">
        <v>0</v>
      </c>
      <c r="DQ833" s="0" t="n">
        <v>1</v>
      </c>
      <c r="DR833" s="0"/>
      <c r="DS833" s="0" t="n">
        <v>1</v>
      </c>
      <c r="DU833" s="0" t="n">
        <v>1</v>
      </c>
      <c r="DW833" s="1" t="n">
        <v>40550</v>
      </c>
      <c r="DX833" s="1" t="n">
        <v>40712</v>
      </c>
      <c r="DZ833" s="0"/>
      <c r="EA833" s="0" t="n">
        <v>1</v>
      </c>
      <c r="EC833" s="1" t="n">
        <v>40544</v>
      </c>
      <c r="ED833" s="1" t="n">
        <v>40712</v>
      </c>
      <c r="EF833" s="0"/>
      <c r="EG833" s="0" t="n">
        <v>0</v>
      </c>
      <c r="EI833" s="0" t="n">
        <f aca="false">IF(AND(DM833=1,DN833&lt;=48),"",IF(AND(DM833=2,DN833&lt;=42),"",IF(AND(DM833=3,DN833&lt;=45),"",EH833)))</f>
        <v>0</v>
      </c>
      <c r="EJ833" s="0" t="str">
        <f aca="false">IF(EI833="","",IF(EI833&lt;9,EI833,9))</f>
        <v/>
      </c>
      <c r="EK833" s="0" t="str">
        <f aca="false">IF(EI833="","",IF(EI833&gt;9,EI833-EJ833,0))</f>
        <v/>
      </c>
      <c r="EL833" s="0" t="str">
        <f aca="false">IF(EI833="","",EJ833*DA833*2+EK833*DA833*3)</f>
        <v/>
      </c>
      <c r="EP833" s="0" t="n">
        <v>0</v>
      </c>
      <c r="EQ833" s="0"/>
      <c r="ER833" s="0" t="n">
        <v>0</v>
      </c>
      <c r="ET833" s="0" t="n">
        <v>0</v>
      </c>
      <c r="EV833" s="0" t="n">
        <v>0</v>
      </c>
      <c r="EX833" s="0" t="n">
        <v>0</v>
      </c>
      <c r="EY833" s="0" t="n">
        <v>0</v>
      </c>
      <c r="EZ833" s="0"/>
      <c r="FA833" s="0"/>
      <c r="FB833" s="0" t="n">
        <v>1</v>
      </c>
      <c r="FC833" s="1" t="n">
        <v>41068</v>
      </c>
      <c r="FD833" s="0" t="n">
        <v>1</v>
      </c>
      <c r="FE833" s="0" t="n">
        <v>4000</v>
      </c>
      <c r="FF833" s="120" t="n">
        <f aca="false">(CJ833-CI833+1)/365</f>
        <v>0.446575342465753</v>
      </c>
      <c r="FG833" s="0" t="str">
        <f aca="false">CONCATENATE(F833,"/",G833)</f>
        <v>1353/2011</v>
      </c>
      <c r="FH833" s="0" t="n">
        <v>1</v>
      </c>
      <c r="FI833" s="0" t="n">
        <f aca="false">IFERROR(IF((FC833-J833+1)/365&gt;3,0,1),"")</f>
        <v>1</v>
      </c>
    </row>
    <row r="834" customFormat="false" ht="15" hidden="false" customHeight="false" outlineLevel="0" collapsed="false">
      <c r="A834" s="5" t="str">
        <f aca="false">E834&amp;G834&amp;F834</f>
        <v>720111357</v>
      </c>
      <c r="B834" s="0" t="s">
        <v>5963</v>
      </c>
      <c r="C834" s="1" t="n">
        <v>42358</v>
      </c>
      <c r="D834" s="0" t="s">
        <v>3265</v>
      </c>
      <c r="E834" s="0" t="n">
        <v>7</v>
      </c>
      <c r="F834" s="0" t="n">
        <v>1357</v>
      </c>
      <c r="G834" s="0" t="n">
        <v>2011</v>
      </c>
      <c r="H834" s="0" t="str">
        <f aca="false">"J"&amp;E834&amp;"\"&amp;F834&amp;"\"&amp;G834&amp;"\"&amp;W834</f>
        <v>J7\1357\2011\1</v>
      </c>
      <c r="I834" s="0"/>
      <c r="J834" s="1" t="n">
        <v>40765</v>
      </c>
      <c r="K834" s="0" t="n">
        <v>0</v>
      </c>
      <c r="M834" s="1"/>
      <c r="N834" s="1"/>
      <c r="O834" s="1"/>
      <c r="P834" s="1"/>
      <c r="Q834" s="1"/>
      <c r="T834" s="121"/>
      <c r="U834" s="121"/>
      <c r="V834" s="122" t="n">
        <f aca="false">IF(AND(E834&gt;0,F834&gt;0,G834&gt;0),COUNTIFS($E:$E,E834,$F:$F,F834,$G:$G,G834),"")</f>
        <v>1</v>
      </c>
      <c r="W834" s="122" t="n">
        <f aca="false">IF(V834="","",IF(V834=1,1,IF(AND(E833=E834,F833=F834,G833=G834),W833+1,1)))</f>
        <v>1</v>
      </c>
      <c r="X834" s="0" t="n">
        <v>1</v>
      </c>
      <c r="Y834" s="0" t="n">
        <v>4</v>
      </c>
      <c r="Z834" s="0" t="s">
        <v>7625</v>
      </c>
      <c r="AA834" s="0" t="n">
        <v>0</v>
      </c>
      <c r="AB834" s="0" t="s">
        <v>6021</v>
      </c>
      <c r="AC834" s="0" t="s">
        <v>228</v>
      </c>
      <c r="AD834" s="0" t="s">
        <v>229</v>
      </c>
      <c r="AE834" s="0" t="n">
        <v>0</v>
      </c>
      <c r="AF834" s="0" t="s">
        <v>3317</v>
      </c>
      <c r="AG834" s="0" t="n">
        <v>0</v>
      </c>
      <c r="AH834" s="0" t="s">
        <v>7626</v>
      </c>
      <c r="AI834" s="0" t="s">
        <v>1661</v>
      </c>
      <c r="AJ834" s="0" t="s">
        <v>229</v>
      </c>
      <c r="AL834" s="0" t="s">
        <v>7627</v>
      </c>
      <c r="AM834" s="0" t="n">
        <v>1</v>
      </c>
      <c r="AN834" s="0" t="s">
        <v>7626</v>
      </c>
      <c r="AO834" s="0" t="s">
        <v>1661</v>
      </c>
      <c r="AP834" s="0" t="s">
        <v>229</v>
      </c>
      <c r="AR834" s="0" t="s">
        <v>7628</v>
      </c>
      <c r="AS834" s="0" t="n">
        <v>1</v>
      </c>
      <c r="AT834" s="0" t="s">
        <v>7626</v>
      </c>
      <c r="AU834" s="0" t="s">
        <v>1661</v>
      </c>
      <c r="AV834" s="0" t="s">
        <v>229</v>
      </c>
      <c r="AX834" s="0" t="s">
        <v>7629</v>
      </c>
      <c r="AY834" s="0" t="n">
        <v>1</v>
      </c>
      <c r="AZ834" s="0" t="s">
        <v>7626</v>
      </c>
      <c r="BA834" s="0" t="s">
        <v>1661</v>
      </c>
      <c r="BB834" s="0" t="s">
        <v>229</v>
      </c>
      <c r="BR834" s="0" t="n">
        <v>3</v>
      </c>
      <c r="BS834" s="0" t="s">
        <v>3272</v>
      </c>
      <c r="BV834" s="123"/>
      <c r="BW834" s="123"/>
      <c r="BX834" s="123"/>
      <c r="BY834" s="123"/>
      <c r="CA834" s="0" t="s">
        <v>348</v>
      </c>
      <c r="CD834" s="0" t="s">
        <v>7630</v>
      </c>
      <c r="CE834" s="0" t="n">
        <v>0</v>
      </c>
      <c r="CF834" s="0" t="s">
        <v>3324</v>
      </c>
      <c r="CG834" s="0" t="s">
        <v>216</v>
      </c>
      <c r="CH834" s="0" t="s">
        <v>216</v>
      </c>
      <c r="CI834" s="1" t="n">
        <v>40672</v>
      </c>
      <c r="CJ834" s="1" t="n">
        <v>40723</v>
      </c>
      <c r="CK834" s="124" t="n">
        <v>0.708333333333333</v>
      </c>
      <c r="CL834" s="0" t="s">
        <v>7631</v>
      </c>
      <c r="CM834" s="0" t="n">
        <f aca="false">IF(OR(CI834="",CJ834=""),"",DAYS360(CI834,CJ834)/360)</f>
        <v>0.138888888888889</v>
      </c>
      <c r="CN834" s="0" t="n">
        <f aca="false">IF(OR(CI834="",CJ834=""),"",DAYS360(CI834,CJ834)/30)</f>
        <v>1.66666666666667</v>
      </c>
      <c r="CO834" s="0" t="n">
        <f aca="false">IF(OR(CI834="",CJ834=""),"",DAYS360(CI834,CJ834)/7)</f>
        <v>7.14285714285714</v>
      </c>
      <c r="CP834" s="0" t="n">
        <f aca="false">IF(OR(CI834="",CJ834=""),"",DAYS360(CI834,CJ834))</f>
        <v>50</v>
      </c>
      <c r="CQ834" s="0" t="s">
        <v>240</v>
      </c>
      <c r="CR834" s="0" t="n">
        <v>1</v>
      </c>
      <c r="CT834" s="0" t="n">
        <v>83.33</v>
      </c>
      <c r="CU834" s="0" t="n">
        <v>0</v>
      </c>
      <c r="CV834" s="0" t="n">
        <f aca="false">IF(OR(CT834="",CT834="NO ESPECIFICA",CT834="NO MENCIONA"),"",IF(CU834=0,CT834,IF(CU834=1,CT834/30,IF(CU834=2,CT834/15,IF(CU834=3,CT834/7,"")))))</f>
        <v>83.33</v>
      </c>
      <c r="CW834" s="125" t="n">
        <v>87.09</v>
      </c>
      <c r="CX834" s="0" t="n">
        <v>0</v>
      </c>
      <c r="CY834" s="0" t="n">
        <f aca="false">IF(CW834="","",IF(CX834=0,CW834,IF(CX834=1,CW834/30,IF(CX834=2,CW834/15,IF(CX834=3,CW834/7,CW834)))))</f>
        <v>87.09</v>
      </c>
      <c r="CZ834" s="0" t="n">
        <f aca="false">IF(DI834&gt;0,DI834,IF(CY834&gt;0,CY834,IF(CV834&gt;0,CV834,"")))</f>
        <v>87.09</v>
      </c>
      <c r="DA834" s="0" t="n">
        <f aca="false">IF(DM834=1,CZ834/8,IF(OR(DM834=2,DM834=4),CZ834/7,IF(DM834=3,CZ834/7.5,"")))</f>
        <v>10.88625</v>
      </c>
      <c r="DB834" s="0" t="s">
        <v>302</v>
      </c>
      <c r="DC834" s="0" t="s">
        <v>301</v>
      </c>
      <c r="DD834" s="0" t="s">
        <v>216</v>
      </c>
      <c r="DE834" s="0" t="s">
        <v>216</v>
      </c>
      <c r="DF834" s="0" t="s">
        <v>216</v>
      </c>
      <c r="DG834" s="0" t="s">
        <v>216</v>
      </c>
      <c r="DH834" s="0" t="n">
        <v>0</v>
      </c>
      <c r="DI834" s="126" t="n">
        <v>87.09</v>
      </c>
      <c r="DK834" s="0" t="n">
        <v>0</v>
      </c>
      <c r="DM834" s="0" t="n">
        <v>1</v>
      </c>
      <c r="DN834" s="0" t="n">
        <v>66</v>
      </c>
      <c r="DO834" s="0" t="n">
        <v>3</v>
      </c>
      <c r="DP834" s="0" t="n">
        <v>0</v>
      </c>
      <c r="DQ834" s="0" t="n">
        <v>1</v>
      </c>
      <c r="DR834" s="0"/>
      <c r="DS834" s="0" t="n">
        <v>1</v>
      </c>
      <c r="DU834" s="0" t="n">
        <v>1</v>
      </c>
      <c r="DW834" s="1" t="n">
        <v>40672</v>
      </c>
      <c r="DX834" s="1" t="n">
        <v>40723</v>
      </c>
      <c r="DZ834" s="0"/>
      <c r="EA834" s="0" t="n">
        <v>1</v>
      </c>
      <c r="EC834" s="1" t="n">
        <v>40544</v>
      </c>
      <c r="ED834" s="1" t="n">
        <v>40723</v>
      </c>
      <c r="EF834" s="0"/>
      <c r="EG834" s="0" t="n">
        <v>1</v>
      </c>
      <c r="EH834" s="0" t="n">
        <v>24</v>
      </c>
      <c r="EI834" s="0" t="n">
        <f aca="false">IF(AND(DM834=1,DN834&lt;=48),"",IF(AND(DM834=2,DN834&lt;=42),"",IF(AND(DM834=3,DN834&lt;=45),"",EH834)))</f>
        <v>24</v>
      </c>
      <c r="EJ834" s="0" t="n">
        <f aca="false">IF(EI834="","",IF(EI834&lt;9,EI834,9))</f>
        <v>9</v>
      </c>
      <c r="EK834" s="0" t="n">
        <f aca="false">IF(EI834="","",IF(EI834&gt;9,EI834-EJ834,0))</f>
        <v>15</v>
      </c>
      <c r="EL834" s="0" t="n">
        <f aca="false">IF(EI834="","",EJ834*DA834*2+EK834*DA834*3)</f>
        <v>685.83375</v>
      </c>
      <c r="EP834" s="0" t="n">
        <v>0</v>
      </c>
      <c r="EQ834" s="0"/>
      <c r="ER834" s="0" t="n">
        <v>0</v>
      </c>
      <c r="ET834" s="0" t="n">
        <v>0</v>
      </c>
      <c r="EV834" s="0" t="n">
        <v>0</v>
      </c>
      <c r="EX834" s="0" t="n">
        <v>0</v>
      </c>
      <c r="EY834" s="0" t="n">
        <v>0</v>
      </c>
      <c r="EZ834" s="0"/>
      <c r="FA834" s="0"/>
      <c r="FB834" s="0" t="n">
        <v>1</v>
      </c>
      <c r="FC834" s="1" t="n">
        <v>41890</v>
      </c>
      <c r="FD834" s="0" t="n">
        <v>1</v>
      </c>
      <c r="FE834" s="0" t="n">
        <v>25000</v>
      </c>
      <c r="FF834" s="120" t="n">
        <f aca="false">(CJ834-CI834+1)/365</f>
        <v>0.142465753424658</v>
      </c>
      <c r="FG834" s="0" t="str">
        <f aca="false">CONCATENATE(F834,"/",G834)</f>
        <v>1357/2011</v>
      </c>
      <c r="FH834" s="0" t="n">
        <v>1</v>
      </c>
      <c r="FI834" s="0" t="n">
        <f aca="false">IFERROR(IF((FC834-J834+1)/365&gt;3,0,1),"")</f>
        <v>0</v>
      </c>
    </row>
    <row r="835" customFormat="false" ht="15" hidden="false" customHeight="false" outlineLevel="0" collapsed="false">
      <c r="A835" s="5" t="str">
        <f aca="false">E835&amp;G835&amp;F835</f>
        <v>720111360</v>
      </c>
      <c r="B835" s="0" t="s">
        <v>5963</v>
      </c>
      <c r="C835" s="1" t="n">
        <v>42358</v>
      </c>
      <c r="D835" s="0" t="s">
        <v>3265</v>
      </c>
      <c r="E835" s="0" t="n">
        <v>7</v>
      </c>
      <c r="F835" s="0" t="n">
        <v>1360</v>
      </c>
      <c r="G835" s="0" t="n">
        <v>2011</v>
      </c>
      <c r="H835" s="0" t="str">
        <f aca="false">"J"&amp;E835&amp;"\"&amp;F835&amp;"\"&amp;G835&amp;"\"&amp;W835</f>
        <v>J7\1360\2011\1</v>
      </c>
      <c r="I835" s="0"/>
      <c r="J835" s="1" t="n">
        <v>40765</v>
      </c>
      <c r="K835" s="0" t="n">
        <v>0</v>
      </c>
      <c r="M835" s="1"/>
      <c r="N835" s="1"/>
      <c r="O835" s="1"/>
      <c r="P835" s="1"/>
      <c r="Q835" s="1"/>
      <c r="T835" s="121"/>
      <c r="U835" s="121"/>
      <c r="V835" s="122" t="n">
        <f aca="false">IF(AND(E835&gt;0,F835&gt;0,G835&gt;0),COUNTIFS($E:$E,E835,$F:$F,F835,$G:$G,G835),"")</f>
        <v>1</v>
      </c>
      <c r="W835" s="122" t="n">
        <f aca="false">IF(V835="","",IF(V835=1,1,IF(AND(E834=E835,F834=F835,G834=G835),W834+1,1)))</f>
        <v>1</v>
      </c>
      <c r="X835" s="0" t="n">
        <v>1</v>
      </c>
      <c r="Y835" s="0" t="n">
        <v>6</v>
      </c>
      <c r="Z835" s="0" t="s">
        <v>7632</v>
      </c>
      <c r="AA835" s="0" t="n">
        <v>0</v>
      </c>
      <c r="AB835" s="0" t="s">
        <v>7633</v>
      </c>
      <c r="AC835" s="0" t="s">
        <v>7634</v>
      </c>
      <c r="AD835" s="0" t="s">
        <v>216</v>
      </c>
      <c r="AE835" s="0" t="n">
        <v>0</v>
      </c>
      <c r="AF835" s="0" t="s">
        <v>5444</v>
      </c>
      <c r="AG835" s="0" t="n">
        <v>0</v>
      </c>
      <c r="AH835" s="0" t="s">
        <v>7635</v>
      </c>
      <c r="AI835" s="0" t="s">
        <v>3064</v>
      </c>
      <c r="AJ835" s="0" t="s">
        <v>7569</v>
      </c>
      <c r="AL835" s="0" t="s">
        <v>7636</v>
      </c>
      <c r="AM835" s="0" t="n">
        <v>1</v>
      </c>
      <c r="AN835" s="0" t="s">
        <v>7635</v>
      </c>
      <c r="AO835" s="0" t="s">
        <v>3064</v>
      </c>
      <c r="AP835" s="0" t="s">
        <v>7569</v>
      </c>
      <c r="AR835" s="0" t="s">
        <v>7637</v>
      </c>
      <c r="AS835" s="0" t="n">
        <v>1</v>
      </c>
      <c r="AT835" s="0" t="s">
        <v>7635</v>
      </c>
      <c r="AU835" s="0" t="s">
        <v>3064</v>
      </c>
      <c r="AV835" s="0" t="s">
        <v>7569</v>
      </c>
      <c r="AX835" s="0" t="s">
        <v>7629</v>
      </c>
      <c r="AY835" s="0" t="n">
        <v>1</v>
      </c>
      <c r="AZ835" s="0" t="s">
        <v>7635</v>
      </c>
      <c r="BA835" s="0" t="s">
        <v>3064</v>
      </c>
      <c r="BB835" s="0" t="s">
        <v>7569</v>
      </c>
      <c r="BD835" s="0" t="s">
        <v>7638</v>
      </c>
      <c r="BE835" s="0" t="n">
        <v>0</v>
      </c>
      <c r="BF835" s="0" t="s">
        <v>7639</v>
      </c>
      <c r="BG835" s="0" t="s">
        <v>287</v>
      </c>
      <c r="BH835" s="0" t="s">
        <v>207</v>
      </c>
      <c r="BJ835" s="0" t="s">
        <v>7640</v>
      </c>
      <c r="BK835" s="0" t="n">
        <v>1</v>
      </c>
      <c r="BL835" s="0" t="s">
        <v>7639</v>
      </c>
      <c r="BM835" s="0" t="s">
        <v>287</v>
      </c>
      <c r="BN835" s="0" t="s">
        <v>207</v>
      </c>
      <c r="BR835" s="0" t="n">
        <v>1</v>
      </c>
      <c r="BS835" s="0" t="s">
        <v>7641</v>
      </c>
      <c r="BT835" s="0" t="s">
        <v>7642</v>
      </c>
      <c r="BU835" s="0" t="s">
        <v>7643</v>
      </c>
      <c r="BV835" s="123"/>
      <c r="BW835" s="123"/>
      <c r="BX835" s="123"/>
      <c r="BY835" s="123"/>
      <c r="CD835" s="0" t="s">
        <v>256</v>
      </c>
      <c r="CE835" s="0" t="n">
        <v>0</v>
      </c>
      <c r="CF835" s="0" t="s">
        <v>3639</v>
      </c>
      <c r="CG835" s="0" t="s">
        <v>216</v>
      </c>
      <c r="CH835" s="0" t="s">
        <v>216</v>
      </c>
      <c r="CI835" s="1" t="n">
        <v>40088</v>
      </c>
      <c r="CJ835" s="1" t="n">
        <v>40735</v>
      </c>
      <c r="CK835" s="124" t="n">
        <v>0.4375</v>
      </c>
      <c r="CL835" s="0" t="s">
        <v>7644</v>
      </c>
      <c r="CM835" s="0" t="n">
        <f aca="false">IF(OR(CI835="",CJ835=""),"",DAYS360(CI835,CJ835)/360)</f>
        <v>1.775</v>
      </c>
      <c r="CN835" s="0" t="n">
        <f aca="false">IF(OR(CI835="",CJ835=""),"",DAYS360(CI835,CJ835)/30)</f>
        <v>21.3</v>
      </c>
      <c r="CO835" s="0" t="n">
        <f aca="false">IF(OR(CI835="",CJ835=""),"",DAYS360(CI835,CJ835)/7)</f>
        <v>91.2857142857143</v>
      </c>
      <c r="CP835" s="0" t="n">
        <f aca="false">IF(OR(CI835="",CJ835=""),"",DAYS360(CI835,CJ835))</f>
        <v>639</v>
      </c>
      <c r="CQ835" s="0" t="s">
        <v>240</v>
      </c>
      <c r="CR835" s="0" t="n">
        <v>1</v>
      </c>
      <c r="CT835" s="0" t="n">
        <v>325.11</v>
      </c>
      <c r="CU835" s="0" t="n">
        <v>0</v>
      </c>
      <c r="CV835" s="0" t="n">
        <f aca="false">IF(OR(CT835="",CT835="NO ESPECIFICA",CT835="NO MENCIONA"),"",IF(CU835=0,CT835,IF(CU835=1,CT835/30,IF(CU835=2,CT835/15,IF(CU835=3,CT835/7,"")))))</f>
        <v>325.11</v>
      </c>
      <c r="CW835" s="125" t="n">
        <v>325.11</v>
      </c>
      <c r="CX835" s="0" t="n">
        <v>0</v>
      </c>
      <c r="CY835" s="0" t="n">
        <f aca="false">IF(CW835="","",IF(CX835=0,CW835,IF(CX835=1,CW835/30,IF(CX835=2,CW835/15,IF(CX835=3,CW835/7,CW835)))))</f>
        <v>325.11</v>
      </c>
      <c r="CZ835" s="0" t="n">
        <f aca="false">IF(DI835&gt;0,DI835,IF(CY835&gt;0,CY835,IF(CV835&gt;0,CV835,"")))</f>
        <v>325.11</v>
      </c>
      <c r="DA835" s="0" t="n">
        <f aca="false">IF(DM835=1,CZ835/8,IF(OR(DM835=2,DM835=4),CZ835/7,IF(DM835=3,CZ835/7.5,"")))</f>
        <v>40.63875</v>
      </c>
      <c r="DB835" s="0" t="s">
        <v>216</v>
      </c>
      <c r="DC835" s="0" t="s">
        <v>216</v>
      </c>
      <c r="DD835" s="0" t="s">
        <v>216</v>
      </c>
      <c r="DE835" s="0" t="s">
        <v>216</v>
      </c>
      <c r="DF835" s="0" t="s">
        <v>216</v>
      </c>
      <c r="DG835" s="0" t="s">
        <v>216</v>
      </c>
      <c r="DH835" s="0" t="n">
        <v>0</v>
      </c>
      <c r="DI835" s="126" t="n">
        <v>325.11</v>
      </c>
      <c r="DK835" s="0" t="n">
        <v>1</v>
      </c>
      <c r="DM835" s="0" t="n">
        <v>1</v>
      </c>
      <c r="DN835" s="0" t="n">
        <v>66</v>
      </c>
      <c r="DO835" s="0" t="n">
        <v>3</v>
      </c>
      <c r="DP835" s="0" t="n">
        <v>0</v>
      </c>
      <c r="DQ835" s="0" t="n">
        <v>1</v>
      </c>
      <c r="DR835" s="0"/>
      <c r="DS835" s="0" t="n">
        <v>1</v>
      </c>
      <c r="DU835" s="0" t="n">
        <v>1</v>
      </c>
      <c r="DW835" s="1" t="n">
        <v>40088</v>
      </c>
      <c r="DX835" s="1" t="n">
        <v>40735</v>
      </c>
      <c r="DZ835" s="0"/>
      <c r="EA835" s="0" t="n">
        <v>1</v>
      </c>
      <c r="EC835" s="1" t="n">
        <v>39814</v>
      </c>
      <c r="ED835" s="1" t="n">
        <v>40735</v>
      </c>
      <c r="EF835" s="0"/>
      <c r="EG835" s="0" t="n">
        <v>1</v>
      </c>
      <c r="EH835" s="0" t="n">
        <v>12</v>
      </c>
      <c r="EI835" s="0" t="n">
        <f aca="false">IF(AND(DM835=1,DN835&lt;=48),"",IF(AND(DM835=2,DN835&lt;=42),"",IF(AND(DM835=3,DN835&lt;=45),"",EH835)))</f>
        <v>12</v>
      </c>
      <c r="EJ835" s="0" t="n">
        <f aca="false">IF(EI835="","",IF(EI835&lt;9,EI835,9))</f>
        <v>9</v>
      </c>
      <c r="EK835" s="0" t="n">
        <f aca="false">IF(EI835="","",IF(EI835&gt;9,EI835-EJ835,0))</f>
        <v>3</v>
      </c>
      <c r="EL835" s="0" t="n">
        <f aca="false">IF(EI835="","",EJ835*DA835*2+EK835*DA835*3)</f>
        <v>1097.24625</v>
      </c>
      <c r="EP835" s="0" t="n">
        <v>0</v>
      </c>
      <c r="EQ835" s="0"/>
      <c r="ER835" s="0" t="n">
        <v>1</v>
      </c>
      <c r="ET835" s="0" t="n">
        <v>1</v>
      </c>
      <c r="EV835" s="0" t="n">
        <v>1</v>
      </c>
      <c r="EX835" s="0" t="n">
        <v>1</v>
      </c>
      <c r="EY835" s="0" t="n">
        <v>0</v>
      </c>
      <c r="EZ835" s="0"/>
      <c r="FA835" s="0"/>
      <c r="FB835" s="0" t="n">
        <v>0</v>
      </c>
      <c r="FC835" s="1" t="n">
        <v>41885</v>
      </c>
      <c r="FD835" s="0" t="n">
        <v>1</v>
      </c>
      <c r="FE835" s="0" t="n">
        <v>20000</v>
      </c>
      <c r="FF835" s="120" t="n">
        <f aca="false">(CJ835-CI835+1)/365</f>
        <v>1.77534246575342</v>
      </c>
      <c r="FG835" s="0" t="str">
        <f aca="false">CONCATENATE(F835,"/",G835)</f>
        <v>1360/2011</v>
      </c>
      <c r="FH835" s="0" t="n">
        <v>1</v>
      </c>
      <c r="FI835" s="0" t="n">
        <f aca="false">IFERROR(IF((FC835-J835+1)/365&gt;3,0,1),"")</f>
        <v>0</v>
      </c>
    </row>
    <row r="836" customFormat="false" ht="15" hidden="false" customHeight="false" outlineLevel="0" collapsed="false">
      <c r="A836" s="5" t="str">
        <f aca="false">E836&amp;G836&amp;F836</f>
        <v>720111362</v>
      </c>
      <c r="B836" s="0" t="s">
        <v>5963</v>
      </c>
      <c r="C836" s="1" t="n">
        <v>42358</v>
      </c>
      <c r="D836" s="0" t="s">
        <v>3265</v>
      </c>
      <c r="E836" s="0" t="n">
        <v>7</v>
      </c>
      <c r="F836" s="0" t="n">
        <v>1362</v>
      </c>
      <c r="G836" s="0" t="n">
        <v>2011</v>
      </c>
      <c r="H836" s="0" t="str">
        <f aca="false">"J"&amp;E836&amp;"\"&amp;F836&amp;"\"&amp;G836&amp;"\"&amp;W836</f>
        <v>J7\1362\2011\1</v>
      </c>
      <c r="I836" s="0"/>
      <c r="J836" s="1" t="n">
        <v>40765</v>
      </c>
      <c r="K836" s="0" t="n">
        <v>0</v>
      </c>
      <c r="M836" s="1"/>
      <c r="N836" s="1"/>
      <c r="O836" s="1"/>
      <c r="P836" s="1"/>
      <c r="Q836" s="1"/>
      <c r="T836" s="121"/>
      <c r="U836" s="121"/>
      <c r="V836" s="122" t="n">
        <f aca="false">IF(AND(E836&gt;0,F836&gt;0,G836&gt;0),COUNTIFS($E:$E,E836,$F:$F,F836,$G:$G,G836),"")</f>
        <v>1</v>
      </c>
      <c r="W836" s="122" t="n">
        <f aca="false">IF(V836="","",IF(V836=1,1,IF(AND(E835=E836,F835=F836,G835=G836),W835+1,1)))</f>
        <v>1</v>
      </c>
      <c r="X836" s="0" t="n">
        <v>1</v>
      </c>
      <c r="Y836" s="0" t="n">
        <v>4</v>
      </c>
      <c r="Z836" s="0" t="s">
        <v>7645</v>
      </c>
      <c r="AA836" s="0" t="n">
        <v>0</v>
      </c>
      <c r="AB836" s="0" t="s">
        <v>7646</v>
      </c>
      <c r="AC836" s="0" t="s">
        <v>789</v>
      </c>
      <c r="AD836" s="0" t="s">
        <v>229</v>
      </c>
      <c r="AE836" s="0" t="n">
        <v>0</v>
      </c>
      <c r="AF836" s="0" t="s">
        <v>7647</v>
      </c>
      <c r="AG836" s="0" t="n">
        <v>0</v>
      </c>
      <c r="AH836" s="0" t="s">
        <v>7648</v>
      </c>
      <c r="AI836" s="0" t="s">
        <v>1123</v>
      </c>
      <c r="AJ836" s="0" t="s">
        <v>322</v>
      </c>
      <c r="AL836" s="0" t="s">
        <v>7649</v>
      </c>
      <c r="AM836" s="0" t="n">
        <v>1</v>
      </c>
      <c r="AN836" s="0" t="s">
        <v>7648</v>
      </c>
      <c r="AO836" s="0" t="s">
        <v>1123</v>
      </c>
      <c r="AP836" s="0" t="s">
        <v>322</v>
      </c>
      <c r="AR836" s="0" t="s">
        <v>7650</v>
      </c>
      <c r="AS836" s="0" t="n">
        <v>1</v>
      </c>
      <c r="AT836" s="0" t="s">
        <v>7648</v>
      </c>
      <c r="AU836" s="0" t="s">
        <v>1123</v>
      </c>
      <c r="AV836" s="0" t="s">
        <v>322</v>
      </c>
      <c r="AX836" s="0" t="s">
        <v>7629</v>
      </c>
      <c r="AY836" s="0" t="n">
        <v>1</v>
      </c>
      <c r="AZ836" s="0" t="s">
        <v>7648</v>
      </c>
      <c r="BA836" s="0" t="s">
        <v>1123</v>
      </c>
      <c r="BB836" s="0" t="s">
        <v>322</v>
      </c>
      <c r="BR836" s="0" t="n">
        <v>1</v>
      </c>
      <c r="BS836" s="0" t="s">
        <v>7651</v>
      </c>
      <c r="BV836" s="123"/>
      <c r="BW836" s="123"/>
      <c r="BX836" s="123"/>
      <c r="BY836" s="123"/>
      <c r="CA836" s="0" t="s">
        <v>7652</v>
      </c>
      <c r="CD836" s="0" t="s">
        <v>370</v>
      </c>
      <c r="CE836" s="0" t="n">
        <v>0</v>
      </c>
      <c r="CF836" s="0" t="s">
        <v>7653</v>
      </c>
      <c r="CG836" s="0" t="s">
        <v>216</v>
      </c>
      <c r="CH836" s="0" t="s">
        <v>216</v>
      </c>
      <c r="CI836" s="1" t="n">
        <v>39960</v>
      </c>
      <c r="CJ836" s="1" t="n">
        <v>40761</v>
      </c>
      <c r="CK836" s="124" t="n">
        <v>0.541666666666667</v>
      </c>
      <c r="CL836" s="0" t="s">
        <v>7649</v>
      </c>
      <c r="CM836" s="0" t="n">
        <f aca="false">IF(OR(CI836="",CJ836=""),"",DAYS360(CI836,CJ836)/360)</f>
        <v>2.19166666666667</v>
      </c>
      <c r="CN836" s="0" t="n">
        <f aca="false">IF(OR(CI836="",CJ836=""),"",DAYS360(CI836,CJ836)/30)</f>
        <v>26.3</v>
      </c>
      <c r="CO836" s="0" t="n">
        <f aca="false">IF(OR(CI836="",CJ836=""),"",DAYS360(CI836,CJ836)/7)</f>
        <v>112.714285714286</v>
      </c>
      <c r="CP836" s="0" t="n">
        <f aca="false">IF(OR(CI836="",CJ836=""),"",DAYS360(CI836,CJ836))</f>
        <v>789</v>
      </c>
      <c r="CQ836" s="0" t="s">
        <v>220</v>
      </c>
      <c r="CR836" s="0" t="n">
        <v>1</v>
      </c>
      <c r="CT836" s="0" t="n">
        <v>86.66</v>
      </c>
      <c r="CU836" s="0" t="n">
        <v>0</v>
      </c>
      <c r="CV836" s="0" t="n">
        <f aca="false">IF(OR(CT836="",CT836="NO ESPECIFICA",CT836="NO MENCIONA"),"",IF(CU836=0,CT836,IF(CU836=1,CT836/30,IF(CU836=2,CT836/15,IF(CU836=3,CT836/7,"")))))</f>
        <v>86.66</v>
      </c>
      <c r="CW836" s="125" t="n">
        <v>358.28</v>
      </c>
      <c r="CX836" s="0" t="n">
        <v>0</v>
      </c>
      <c r="CY836" s="0" t="n">
        <f aca="false">IF(CW836="","",IF(CX836=0,CW836,IF(CX836=1,CW836/30,IF(CX836=2,CW836/15,IF(CX836=3,CW836/7,CW836)))))</f>
        <v>358.28</v>
      </c>
      <c r="CZ836" s="0" t="n">
        <f aca="false">IF(DI836&gt;0,DI836,IF(CY836&gt;0,CY836,IF(CV836&gt;0,CV836,"")))</f>
        <v>358.28</v>
      </c>
      <c r="DA836" s="0" t="n">
        <f aca="false">IF(DM836=1,CZ836/8,IF(OR(DM836=2,DM836=4),CZ836/7,IF(DM836=3,CZ836/7.5,"")))</f>
        <v>44.785</v>
      </c>
      <c r="DB836" s="0" t="s">
        <v>302</v>
      </c>
      <c r="DC836" s="0" t="s">
        <v>301</v>
      </c>
      <c r="DD836" s="0" t="s">
        <v>417</v>
      </c>
      <c r="DE836" s="0" t="s">
        <v>2470</v>
      </c>
      <c r="DF836" s="0" t="s">
        <v>216</v>
      </c>
      <c r="DG836" s="0" t="s">
        <v>216</v>
      </c>
      <c r="DH836" s="0" t="n">
        <v>0</v>
      </c>
      <c r="DI836" s="126" t="n">
        <v>358.28</v>
      </c>
      <c r="DK836" s="0" t="n">
        <v>1</v>
      </c>
      <c r="DM836" s="0" t="n">
        <v>1</v>
      </c>
      <c r="DN836" s="0" t="n">
        <v>54</v>
      </c>
      <c r="DO836" s="0" t="n">
        <v>3</v>
      </c>
      <c r="DP836" s="0" t="n">
        <v>1</v>
      </c>
      <c r="DQ836" s="0" t="n">
        <v>1</v>
      </c>
      <c r="DR836" s="0"/>
      <c r="DS836" s="0" t="n">
        <v>1</v>
      </c>
      <c r="DU836" s="0" t="n">
        <v>1</v>
      </c>
      <c r="DW836" s="1" t="n">
        <v>39960</v>
      </c>
      <c r="DX836" s="1" t="n">
        <v>40761</v>
      </c>
      <c r="DZ836" s="0"/>
      <c r="EA836" s="0" t="n">
        <v>1</v>
      </c>
      <c r="EC836" s="1" t="n">
        <v>39960</v>
      </c>
      <c r="ED836" s="1" t="n">
        <v>40761</v>
      </c>
      <c r="EF836" s="0"/>
      <c r="EG836" s="0" t="n">
        <v>0</v>
      </c>
      <c r="EI836" s="0" t="n">
        <f aca="false">IF(AND(DM836=1,DN836&lt;=48),"",IF(AND(DM836=2,DN836&lt;=42),"",IF(AND(DM836=3,DN836&lt;=45),"",EH836)))</f>
        <v>0</v>
      </c>
      <c r="EJ836" s="0" t="str">
        <f aca="false">IF(EI836="","",IF(EI836&lt;9,EI836,9))</f>
        <v/>
      </c>
      <c r="EK836" s="0" t="str">
        <f aca="false">IF(EI836="","",IF(EI836&gt;9,EI836-EJ836,0))</f>
        <v/>
      </c>
      <c r="EL836" s="0" t="str">
        <f aca="false">IF(EI836="","",EJ836*DA836*2+EK836*DA836*3)</f>
        <v/>
      </c>
      <c r="EP836" s="0" t="n">
        <v>1</v>
      </c>
      <c r="EQ836" s="0"/>
      <c r="ER836" s="0" t="n">
        <v>0</v>
      </c>
      <c r="ET836" s="0" t="n">
        <v>0</v>
      </c>
      <c r="EV836" s="0" t="n">
        <v>0</v>
      </c>
      <c r="EX836" s="0" t="n">
        <v>1</v>
      </c>
      <c r="EY836" s="0" t="n">
        <v>0</v>
      </c>
      <c r="EZ836" s="0"/>
      <c r="FA836" s="0"/>
      <c r="FB836" s="0" t="n">
        <v>1</v>
      </c>
      <c r="FC836" s="1" t="n">
        <v>41103</v>
      </c>
      <c r="FD836" s="0" t="n">
        <v>1</v>
      </c>
      <c r="FE836" s="0" t="n">
        <v>15000</v>
      </c>
      <c r="FF836" s="120" t="n">
        <f aca="false">(CJ836-CI836+1)/365</f>
        <v>2.1972602739726</v>
      </c>
      <c r="FG836" s="0" t="str">
        <f aca="false">CONCATENATE(F836,"/",G836)</f>
        <v>1362/2011</v>
      </c>
      <c r="FH836" s="0" t="n">
        <v>1</v>
      </c>
      <c r="FI836" s="0" t="n">
        <f aca="false">IFERROR(IF((FC836-J836+1)/365&gt;3,0,1),"")</f>
        <v>1</v>
      </c>
    </row>
    <row r="837" customFormat="false" ht="15" hidden="false" customHeight="false" outlineLevel="0" collapsed="false">
      <c r="A837" s="5" t="str">
        <f aca="false">E837&amp;G837&amp;F837</f>
        <v>720111364</v>
      </c>
      <c r="B837" s="0" t="s">
        <v>5963</v>
      </c>
      <c r="C837" s="1" t="n">
        <v>42358</v>
      </c>
      <c r="D837" s="0" t="s">
        <v>3265</v>
      </c>
      <c r="E837" s="0" t="n">
        <v>7</v>
      </c>
      <c r="F837" s="0" t="n">
        <v>1364</v>
      </c>
      <c r="G837" s="0" t="n">
        <v>2011</v>
      </c>
      <c r="H837" s="0" t="str">
        <f aca="false">"J"&amp;E837&amp;"\"&amp;F837&amp;"\"&amp;G837&amp;"\"&amp;W837</f>
        <v>J7\1364\2011\1</v>
      </c>
      <c r="I837" s="0"/>
      <c r="J837" s="1" t="n">
        <v>40766</v>
      </c>
      <c r="K837" s="0" t="n">
        <v>0</v>
      </c>
      <c r="M837" s="1"/>
      <c r="N837" s="1"/>
      <c r="O837" s="1"/>
      <c r="P837" s="1"/>
      <c r="Q837" s="1"/>
      <c r="T837" s="121"/>
      <c r="U837" s="121"/>
      <c r="V837" s="122" t="n">
        <f aca="false">IF(AND(E837&gt;0,F837&gt;0,G837&gt;0),COUNTIFS($E:$E,E837,$F:$F,F837,$G:$G,G837),"")</f>
        <v>1</v>
      </c>
      <c r="W837" s="122" t="n">
        <f aca="false">IF(V837="","",IF(V837=1,1,IF(AND(E836=E837,F836=F837,G836=G837),W836+1,1)))</f>
        <v>1</v>
      </c>
      <c r="X837" s="0" t="n">
        <v>1</v>
      </c>
      <c r="Y837" s="0" t="n">
        <v>1</v>
      </c>
      <c r="Z837" s="0" t="s">
        <v>7654</v>
      </c>
      <c r="AA837" s="0" t="n">
        <v>0</v>
      </c>
      <c r="AB837" s="0" t="s">
        <v>702</v>
      </c>
      <c r="AE837" s="0" t="n">
        <v>0</v>
      </c>
      <c r="AF837" s="0" t="s">
        <v>7655</v>
      </c>
      <c r="AG837" s="0" t="n">
        <v>0</v>
      </c>
      <c r="AH837" s="0" t="s">
        <v>7656</v>
      </c>
      <c r="AI837" s="0" t="s">
        <v>7657</v>
      </c>
      <c r="AJ837" s="0" t="s">
        <v>7569</v>
      </c>
      <c r="BR837" s="0" t="n">
        <v>1</v>
      </c>
      <c r="BS837" s="0" t="s">
        <v>7658</v>
      </c>
      <c r="BT837" s="0" t="s">
        <v>7659</v>
      </c>
      <c r="BV837" s="123"/>
      <c r="BW837" s="123"/>
      <c r="BX837" s="123"/>
      <c r="BY837" s="123"/>
      <c r="CD837" s="0" t="s">
        <v>216</v>
      </c>
      <c r="CE837" s="0" t="n">
        <v>0</v>
      </c>
      <c r="CF837" s="0" t="s">
        <v>968</v>
      </c>
      <c r="CG837" s="0" t="s">
        <v>216</v>
      </c>
      <c r="CH837" s="0" t="s">
        <v>216</v>
      </c>
      <c r="CI837" s="1" t="n">
        <v>35509</v>
      </c>
      <c r="CJ837" s="1" t="n">
        <v>40533</v>
      </c>
      <c r="CK837" s="124" t="s">
        <v>216</v>
      </c>
      <c r="CL837" s="0" t="s">
        <v>216</v>
      </c>
      <c r="CM837" s="0" t="n">
        <f aca="false">IF(OR(CI837="",CJ837=""),"",DAYS360(CI837,CJ837)/360)</f>
        <v>13.7527777777778</v>
      </c>
      <c r="CN837" s="0" t="n">
        <f aca="false">IF(OR(CI837="",CJ837=""),"",DAYS360(CI837,CJ837)/30)</f>
        <v>165.033333333333</v>
      </c>
      <c r="CO837" s="0" t="n">
        <f aca="false">IF(OR(CI837="",CJ837=""),"",DAYS360(CI837,CJ837)/7)</f>
        <v>707.285714285714</v>
      </c>
      <c r="CP837" s="0" t="n">
        <f aca="false">IF(OR(CI837="",CJ837=""),"",DAYS360(CI837,CJ837))</f>
        <v>4951</v>
      </c>
      <c r="CQ837" s="0" t="s">
        <v>1493</v>
      </c>
      <c r="CR837" s="0" t="n">
        <v>5</v>
      </c>
      <c r="CS837" s="0" t="s">
        <v>1494</v>
      </c>
      <c r="CT837" s="0" t="n">
        <v>366.67</v>
      </c>
      <c r="CU837" s="0" t="n">
        <v>0</v>
      </c>
      <c r="CV837" s="0" t="n">
        <f aca="false">IF(OR(CT837="",CT837="NO ESPECIFICA",CT837="NO MENCIONA"),"",IF(CU837=0,CT837,IF(CU837=1,CT837/30,IF(CU837=2,CT837/15,IF(CU837=3,CT837/7,"")))))</f>
        <v>366.67</v>
      </c>
      <c r="CW837" s="125" t="n">
        <v>366.67</v>
      </c>
      <c r="CX837" s="0" t="n">
        <v>0</v>
      </c>
      <c r="CY837" s="0" t="n">
        <f aca="false">IF(CW837="","",IF(CX837=0,CW837,IF(CX837=1,CW837/30,IF(CX837=2,CW837/15,IF(CX837=3,CW837/7,CW837)))))</f>
        <v>366.67</v>
      </c>
      <c r="CZ837" s="0" t="n">
        <f aca="false">IF(DI837&gt;0,DI837,IF(CY837&gt;0,CY837,IF(CV837&gt;0,CV837,"")))</f>
        <v>366.67</v>
      </c>
      <c r="DA837" s="0" t="n">
        <f aca="false">IF(DM837=1,CZ837/8,IF(OR(DM837=2,DM837=4),CZ837/7,IF(DM837=3,CZ837/7.5,"")))</f>
        <v>45.83375</v>
      </c>
      <c r="DB837" s="0" t="s">
        <v>216</v>
      </c>
      <c r="DC837" s="0" t="s">
        <v>216</v>
      </c>
      <c r="DD837" s="0" t="s">
        <v>216</v>
      </c>
      <c r="DE837" s="0" t="s">
        <v>216</v>
      </c>
      <c r="DF837" s="0" t="s">
        <v>216</v>
      </c>
      <c r="DG837" s="0" t="s">
        <v>216</v>
      </c>
      <c r="DH837" s="0" t="n">
        <v>0</v>
      </c>
      <c r="DI837" s="126" t="n">
        <v>366.67</v>
      </c>
      <c r="DK837" s="0" t="n">
        <v>1</v>
      </c>
      <c r="DM837" s="0" t="n">
        <v>1</v>
      </c>
      <c r="DN837" s="0" t="n">
        <v>48</v>
      </c>
      <c r="DO837" s="0" t="n">
        <v>3</v>
      </c>
      <c r="DP837" s="0" t="n">
        <v>0</v>
      </c>
      <c r="DQ837" s="0" t="n">
        <v>0</v>
      </c>
      <c r="DR837" s="0"/>
      <c r="DS837" s="0" t="n">
        <v>0</v>
      </c>
      <c r="DU837" s="0" t="n">
        <v>1</v>
      </c>
      <c r="DV837" s="0" t="n">
        <v>18775.31</v>
      </c>
      <c r="DW837" s="1" t="s">
        <v>216</v>
      </c>
      <c r="DX837" s="1" t="s">
        <v>216</v>
      </c>
      <c r="DZ837" s="0" t="n">
        <v>5729.09</v>
      </c>
      <c r="EA837" s="0" t="n">
        <v>1</v>
      </c>
      <c r="EB837" s="0" t="n">
        <v>1157.27</v>
      </c>
      <c r="EC837" s="1" t="s">
        <v>1895</v>
      </c>
      <c r="ED837" s="1" t="s">
        <v>1895</v>
      </c>
      <c r="EF837" s="0" t="n">
        <v>352.05</v>
      </c>
      <c r="EG837" s="0" t="n">
        <v>0</v>
      </c>
      <c r="EI837" s="0" t="str">
        <f aca="false">IF(AND(DM837=1,DN837&lt;=48),"",IF(AND(DM837=2,DN837&lt;=42),"",IF(AND(DM837=3,DN837&lt;=45),"",EH837)))</f>
        <v/>
      </c>
      <c r="EJ837" s="0" t="str">
        <f aca="false">IF(EI837="","",IF(EI837&lt;9,EI837,9))</f>
        <v/>
      </c>
      <c r="EK837" s="0" t="str">
        <f aca="false">IF(EI837="","",IF(EI837&gt;9,EI837-EJ837,0))</f>
        <v/>
      </c>
      <c r="EL837" s="0" t="str">
        <f aca="false">IF(EI837="","",EJ837*DA837*2+EK837*DA837*3)</f>
        <v/>
      </c>
      <c r="EP837" s="0" t="n">
        <v>0</v>
      </c>
      <c r="EQ837" s="0"/>
      <c r="ER837" s="0" t="n">
        <v>0</v>
      </c>
      <c r="ET837" s="0" t="n">
        <v>0</v>
      </c>
      <c r="EV837" s="0" t="n">
        <v>0</v>
      </c>
      <c r="EX837" s="0" t="n">
        <v>0</v>
      </c>
      <c r="EY837" s="0" t="n">
        <v>0</v>
      </c>
      <c r="EZ837" s="0"/>
      <c r="FA837" s="4" t="n">
        <v>25998.63</v>
      </c>
      <c r="FB837" s="0" t="n">
        <v>0</v>
      </c>
      <c r="FC837" s="1"/>
      <c r="FF837" s="120" t="n">
        <f aca="false">(CJ837-CI837+1)/365</f>
        <v>13.7671232876712</v>
      </c>
      <c r="FG837" s="0" t="str">
        <f aca="false">CONCATENATE(F837,"/",G837)</f>
        <v>1364/2011</v>
      </c>
      <c r="FH837" s="0" t="n">
        <v>1</v>
      </c>
      <c r="FI837" s="0" t="n">
        <f aca="false">IFERROR(IF((FC837-J837+1)/365&gt;3,0,1),"")</f>
        <v>1</v>
      </c>
    </row>
    <row r="838" customFormat="false" ht="15" hidden="false" customHeight="false" outlineLevel="0" collapsed="false">
      <c r="A838" s="5" t="str">
        <f aca="false">E838&amp;G838&amp;F838</f>
        <v>720111417</v>
      </c>
      <c r="B838" s="0" t="s">
        <v>5405</v>
      </c>
      <c r="C838" s="1" t="n">
        <v>42354</v>
      </c>
      <c r="D838" s="0" t="s">
        <v>3265</v>
      </c>
      <c r="E838" s="0" t="n">
        <v>7</v>
      </c>
      <c r="F838" s="0" t="n">
        <v>1417</v>
      </c>
      <c r="G838" s="0" t="n">
        <v>2011</v>
      </c>
      <c r="H838" s="0" t="str">
        <f aca="false">"J"&amp;E838&amp;"\"&amp;F838&amp;"\"&amp;G838&amp;"\"&amp;W838</f>
        <v>J7\1417\2011\1</v>
      </c>
      <c r="I838" s="0"/>
      <c r="J838" s="1" t="n">
        <v>40773</v>
      </c>
      <c r="K838" s="0" t="n">
        <v>0</v>
      </c>
      <c r="M838" s="1" t="n">
        <v>40773</v>
      </c>
      <c r="N838" s="1" t="n">
        <v>40984</v>
      </c>
      <c r="O838" s="1"/>
      <c r="P838" s="1"/>
      <c r="Q838" s="1"/>
      <c r="T838" s="121"/>
      <c r="U838" s="121"/>
      <c r="V838" s="122" t="n">
        <f aca="false">IF(AND(E838&gt;0,F838&gt;0,G838&gt;0),COUNTIFS($E:$E,E838,$F:$F,F838,$G:$G,G838),"")</f>
        <v>1</v>
      </c>
      <c r="W838" s="122" t="n">
        <f aca="false">IF(V838="","",IF(V838=1,1,IF(AND(E837=E838,F837=F838,G837=G838),W837+1,1)))</f>
        <v>1</v>
      </c>
      <c r="X838" s="0" t="n">
        <v>1</v>
      </c>
      <c r="Y838" s="0" t="n">
        <v>6</v>
      </c>
      <c r="Z838" s="0" t="s">
        <v>7660</v>
      </c>
      <c r="AA838" s="0" t="n">
        <v>0</v>
      </c>
      <c r="AB838" s="0" t="s">
        <v>7661</v>
      </c>
      <c r="AC838" s="0" t="s">
        <v>318</v>
      </c>
      <c r="AE838" s="0" t="n">
        <v>0</v>
      </c>
      <c r="AF838" s="0" t="s">
        <v>7662</v>
      </c>
      <c r="AG838" s="0" t="n">
        <v>1</v>
      </c>
      <c r="AH838" s="0" t="s">
        <v>7663</v>
      </c>
      <c r="AI838" s="0" t="s">
        <v>1160</v>
      </c>
      <c r="AJ838" s="0" t="s">
        <v>229</v>
      </c>
      <c r="AL838" s="0" t="s">
        <v>7664</v>
      </c>
      <c r="AM838" s="0" t="n">
        <v>1</v>
      </c>
      <c r="AN838" s="0" t="s">
        <v>7663</v>
      </c>
      <c r="AO838" s="0" t="s">
        <v>1160</v>
      </c>
      <c r="AP838" s="0" t="s">
        <v>229</v>
      </c>
      <c r="AR838" s="0" t="s">
        <v>7665</v>
      </c>
      <c r="AS838" s="0" t="n">
        <v>1</v>
      </c>
      <c r="AT838" s="0" t="s">
        <v>7663</v>
      </c>
      <c r="AU838" s="0" t="s">
        <v>1160</v>
      </c>
      <c r="AV838" s="0" t="s">
        <v>229</v>
      </c>
      <c r="AX838" s="0" t="s">
        <v>213</v>
      </c>
      <c r="AY838" s="0" t="n">
        <v>1</v>
      </c>
      <c r="AZ838" s="0" t="s">
        <v>7663</v>
      </c>
      <c r="BA838" s="0" t="s">
        <v>1160</v>
      </c>
      <c r="BB838" s="0" t="s">
        <v>229</v>
      </c>
      <c r="BD838" s="0" t="s">
        <v>1821</v>
      </c>
      <c r="BE838" s="0" t="n">
        <v>0</v>
      </c>
      <c r="BF838" s="0" t="s">
        <v>7663</v>
      </c>
      <c r="BG838" s="0" t="s">
        <v>1160</v>
      </c>
      <c r="BH838" s="0" t="s">
        <v>229</v>
      </c>
      <c r="BJ838" s="0" t="s">
        <v>1823</v>
      </c>
      <c r="BK838" s="0" t="n">
        <v>0</v>
      </c>
      <c r="BL838" s="0" t="s">
        <v>7666</v>
      </c>
      <c r="BM838" s="0" t="s">
        <v>497</v>
      </c>
      <c r="BN838" s="0" t="s">
        <v>207</v>
      </c>
      <c r="BR838" s="0" t="n">
        <v>1</v>
      </c>
      <c r="BS838" s="0" t="s">
        <v>4516</v>
      </c>
      <c r="BT838" s="0" t="s">
        <v>5613</v>
      </c>
      <c r="BU838" s="0" t="s">
        <v>7667</v>
      </c>
      <c r="BV838" s="123"/>
      <c r="BW838" s="123"/>
      <c r="BX838" s="123"/>
      <c r="BY838" s="123"/>
      <c r="CD838" s="0" t="s">
        <v>296</v>
      </c>
      <c r="CE838" s="0" t="n">
        <v>0</v>
      </c>
      <c r="CF838" s="0" t="s">
        <v>645</v>
      </c>
      <c r="CG838" s="0" t="s">
        <v>218</v>
      </c>
      <c r="CI838" s="1" t="n">
        <v>39686</v>
      </c>
      <c r="CJ838" s="1" t="n">
        <v>40751</v>
      </c>
      <c r="CK838" s="124" t="n">
        <v>0.5</v>
      </c>
      <c r="CL838" s="0" t="s">
        <v>7668</v>
      </c>
      <c r="CM838" s="0" t="n">
        <f aca="false">IF(OR(CI838="",CJ838=""),"",DAYS360(CI838,CJ838)/360)</f>
        <v>2.91944444444444</v>
      </c>
      <c r="CN838" s="0" t="n">
        <f aca="false">IF(OR(CI838="",CJ838=""),"",DAYS360(CI838,CJ838)/30)</f>
        <v>35.0333333333333</v>
      </c>
      <c r="CO838" s="0" t="n">
        <f aca="false">IF(OR(CI838="",CJ838=""),"",DAYS360(CI838,CJ838)/7)</f>
        <v>150.142857142857</v>
      </c>
      <c r="CP838" s="0" t="n">
        <f aca="false">IF(OR(CI838="",CJ838=""),"",DAYS360(CI838,CJ838))</f>
        <v>1051</v>
      </c>
      <c r="CQ838" s="0" t="s">
        <v>240</v>
      </c>
      <c r="CR838" s="0" t="n">
        <v>1</v>
      </c>
      <c r="CT838" s="0" t="n">
        <v>6500</v>
      </c>
      <c r="CU838" s="0" t="n">
        <v>2</v>
      </c>
      <c r="CV838" s="0" t="n">
        <f aca="false">IF(OR(CT838="",CT838="NO ESPECIFICA",CT838="NO MENCIONA"),"",IF(CU838=0,CT838,IF(CU838=1,CT838/30,IF(CU838=2,CT838/15,IF(CU838=3,CT838/7,"")))))</f>
        <v>433.333333333333</v>
      </c>
      <c r="CW838" s="125" t="s">
        <v>216</v>
      </c>
      <c r="CY838" s="0" t="str">
        <f aca="false">IF(CW838="","",IF(CX838=0,CW838,IF(CX838=1,CW838/30,IF(CX838=2,CW838/15,IF(CX838=3,CW838/7,CW838)))))</f>
        <v>NO MENCIONA</v>
      </c>
      <c r="CZ838" s="0" t="n">
        <f aca="false">IF(DI838&gt;0,DI838,IF(CY838&gt;0,CY838,IF(CV838&gt;0,CV838,"")))</f>
        <v>433.33</v>
      </c>
      <c r="DA838" s="0" t="n">
        <f aca="false">IF(DM838=1,CZ838/8,IF(OR(DM838=2,DM838=4),CZ838/7,IF(DM838=3,CZ838/7.5,"")))</f>
        <v>54.16625</v>
      </c>
      <c r="DB838" s="0" t="s">
        <v>216</v>
      </c>
      <c r="DC838" s="0" t="s">
        <v>216</v>
      </c>
      <c r="DD838" s="0" t="s">
        <v>216</v>
      </c>
      <c r="DE838" s="0" t="s">
        <v>216</v>
      </c>
      <c r="DF838" s="0" t="s">
        <v>216</v>
      </c>
      <c r="DG838" s="0" t="s">
        <v>216</v>
      </c>
      <c r="DH838" s="0" t="n">
        <v>0</v>
      </c>
      <c r="DI838" s="126" t="n">
        <v>433.33</v>
      </c>
      <c r="DK838" s="0" t="n">
        <v>0</v>
      </c>
      <c r="DM838" s="0" t="n">
        <v>1</v>
      </c>
      <c r="DN838" s="0" t="n">
        <v>57</v>
      </c>
      <c r="DO838" s="0" t="n">
        <v>3</v>
      </c>
      <c r="DP838" s="0" t="n">
        <v>0</v>
      </c>
      <c r="DQ838" s="0" t="n">
        <v>1</v>
      </c>
      <c r="DR838" s="0"/>
      <c r="DS838" s="0" t="n">
        <v>1</v>
      </c>
      <c r="DU838" s="0" t="n">
        <v>1</v>
      </c>
      <c r="DW838" s="1" t="n">
        <v>39686</v>
      </c>
      <c r="DX838" s="1" t="n">
        <v>40751</v>
      </c>
      <c r="DZ838" s="0"/>
      <c r="EA838" s="0" t="n">
        <v>1</v>
      </c>
      <c r="EC838" s="1" t="n">
        <v>40179</v>
      </c>
      <c r="ED838" s="1" t="n">
        <v>40751</v>
      </c>
      <c r="EF838" s="0"/>
      <c r="EG838" s="0" t="n">
        <v>1</v>
      </c>
      <c r="EH838" s="0" t="n">
        <v>12</v>
      </c>
      <c r="EI838" s="0" t="n">
        <f aca="false">IF(AND(DM838=1,DN838&lt;=48),"",IF(AND(DM838=2,DN838&lt;=42),"",IF(AND(DM838=3,DN838&lt;=45),"",EH838)))</f>
        <v>12</v>
      </c>
      <c r="EJ838" s="0" t="n">
        <f aca="false">IF(EI838="","",IF(EI838&lt;9,EI838,9))</f>
        <v>9</v>
      </c>
      <c r="EK838" s="0" t="n">
        <f aca="false">IF(EI838="","",IF(EI838&gt;9,EI838-EJ838,0))</f>
        <v>3</v>
      </c>
      <c r="EL838" s="0" t="n">
        <f aca="false">IF(EI838="","",EJ838*DA838*2+EK838*DA838*3)</f>
        <v>1462.48875</v>
      </c>
      <c r="EP838" s="0" t="n">
        <v>0</v>
      </c>
      <c r="EQ838" s="0"/>
      <c r="ER838" s="0" t="n">
        <v>0</v>
      </c>
      <c r="ET838" s="0" t="n">
        <v>0</v>
      </c>
      <c r="EV838" s="0" t="n">
        <v>1</v>
      </c>
      <c r="EX838" s="0" t="n">
        <v>0</v>
      </c>
      <c r="EY838" s="0" t="n">
        <v>1</v>
      </c>
      <c r="EZ838" s="0"/>
      <c r="FA838" s="4" t="n">
        <v>4766.63</v>
      </c>
      <c r="FB838" s="0" t="n">
        <v>1</v>
      </c>
      <c r="FC838" s="1" t="n">
        <v>41327</v>
      </c>
      <c r="FD838" s="0" t="n">
        <v>1</v>
      </c>
      <c r="FE838" s="0" t="n">
        <v>17000</v>
      </c>
      <c r="FF838" s="120" t="n">
        <f aca="false">(CJ838-CI838+1)/365</f>
        <v>2.92054794520548</v>
      </c>
      <c r="FG838" s="0" t="str">
        <f aca="false">CONCATENATE(F838,"/",G838)</f>
        <v>1417/2011</v>
      </c>
      <c r="FH838" s="0" t="n">
        <v>1</v>
      </c>
      <c r="FI838" s="0" t="n">
        <f aca="false">IFERROR(IF((FC838-J838+1)/365&gt;3,0,1),"")</f>
        <v>1</v>
      </c>
    </row>
    <row r="839" customFormat="false" ht="15" hidden="false" customHeight="false" outlineLevel="0" collapsed="false">
      <c r="A839" s="5" t="str">
        <f aca="false">E839&amp;G839&amp;F839</f>
        <v>720111421</v>
      </c>
      <c r="B839" s="0" t="s">
        <v>5405</v>
      </c>
      <c r="C839" s="1" t="n">
        <v>42354</v>
      </c>
      <c r="D839" s="0" t="s">
        <v>3265</v>
      </c>
      <c r="E839" s="0" t="n">
        <v>7</v>
      </c>
      <c r="F839" s="0" t="n">
        <v>1421</v>
      </c>
      <c r="G839" s="0" t="n">
        <v>2011</v>
      </c>
      <c r="H839" s="0" t="str">
        <f aca="false">"J"&amp;E839&amp;"\"&amp;F839&amp;"\"&amp;G839&amp;"\"&amp;W839</f>
        <v>J7\1421\2011\1</v>
      </c>
      <c r="I839" s="0"/>
      <c r="J839" s="1" t="n">
        <v>40773</v>
      </c>
      <c r="K839" s="0" t="n">
        <v>0</v>
      </c>
      <c r="M839" s="1"/>
      <c r="N839" s="1"/>
      <c r="O839" s="1"/>
      <c r="P839" s="1"/>
      <c r="Q839" s="1"/>
      <c r="T839" s="121"/>
      <c r="U839" s="121"/>
      <c r="V839" s="122" t="n">
        <f aca="false">IF(AND(E839&gt;0,F839&gt;0,G839&gt;0),COUNTIFS($E:$E,E839,$F:$F,F839,$G:$G,G839),"")</f>
        <v>1</v>
      </c>
      <c r="W839" s="122" t="n">
        <f aca="false">IF(V839="","",IF(V839=1,1,IF(AND(E838=E839,F838=F839,G838=G839),W838+1,1)))</f>
        <v>1</v>
      </c>
      <c r="X839" s="0" t="n">
        <v>1</v>
      </c>
      <c r="Y839" s="0" t="n">
        <v>3</v>
      </c>
      <c r="Z839" s="0" t="s">
        <v>7669</v>
      </c>
      <c r="AA839" s="0" t="n">
        <v>0</v>
      </c>
      <c r="AB839" s="0" t="s">
        <v>7670</v>
      </c>
      <c r="AC839" s="0" t="s">
        <v>3645</v>
      </c>
      <c r="AD839" s="0" t="s">
        <v>229</v>
      </c>
      <c r="AE839" s="0" t="n">
        <v>0</v>
      </c>
      <c r="AF839" s="0" t="s">
        <v>2334</v>
      </c>
      <c r="AG839" s="0" t="n">
        <v>0</v>
      </c>
      <c r="AH839" s="0" t="s">
        <v>7671</v>
      </c>
      <c r="AI839" s="0" t="s">
        <v>287</v>
      </c>
      <c r="AJ839" s="0" t="s">
        <v>207</v>
      </c>
      <c r="AL839" s="0" t="s">
        <v>7672</v>
      </c>
      <c r="AM839" s="0" t="n">
        <v>0</v>
      </c>
      <c r="AN839" s="0" t="s">
        <v>7673</v>
      </c>
      <c r="AO839" s="0" t="s">
        <v>508</v>
      </c>
      <c r="AP839" s="0" t="s">
        <v>322</v>
      </c>
      <c r="AR839" s="0" t="s">
        <v>7674</v>
      </c>
      <c r="AS839" s="0" t="n">
        <v>1</v>
      </c>
      <c r="AT839" s="0" t="s">
        <v>7673</v>
      </c>
      <c r="AU839" s="0" t="s">
        <v>508</v>
      </c>
      <c r="AV839" s="0" t="s">
        <v>322</v>
      </c>
      <c r="BR839" s="0" t="n">
        <v>1</v>
      </c>
      <c r="BS839" s="0" t="s">
        <v>5062</v>
      </c>
      <c r="BT839" s="0" t="s">
        <v>5063</v>
      </c>
      <c r="BU839" s="0" t="s">
        <v>7675</v>
      </c>
      <c r="BV839" s="123"/>
      <c r="BW839" s="123"/>
      <c r="BX839" s="123"/>
      <c r="BY839" s="123"/>
      <c r="CD839" s="0" t="s">
        <v>296</v>
      </c>
      <c r="CE839" s="0" t="n">
        <v>0</v>
      </c>
      <c r="CF839" s="0" t="s">
        <v>527</v>
      </c>
      <c r="CG839" s="0" t="s">
        <v>218</v>
      </c>
      <c r="CI839" s="1" t="n">
        <v>40567</v>
      </c>
      <c r="CJ839" s="1" t="n">
        <v>40739</v>
      </c>
      <c r="CK839" s="124" t="n">
        <v>0.75</v>
      </c>
      <c r="CL839" s="0" t="s">
        <v>7674</v>
      </c>
      <c r="CM839" s="0" t="n">
        <f aca="false">IF(OR(CI839="",CJ839=""),"",DAYS360(CI839,CJ839)/360)</f>
        <v>0.475</v>
      </c>
      <c r="CN839" s="0" t="n">
        <f aca="false">IF(OR(CI839="",CJ839=""),"",DAYS360(CI839,CJ839)/30)</f>
        <v>5.7</v>
      </c>
      <c r="CO839" s="0" t="n">
        <f aca="false">IF(OR(CI839="",CJ839=""),"",DAYS360(CI839,CJ839)/7)</f>
        <v>24.4285714285714</v>
      </c>
      <c r="CP839" s="0" t="n">
        <f aca="false">IF(OR(CI839="",CJ839=""),"",DAYS360(CI839,CJ839))</f>
        <v>171</v>
      </c>
      <c r="CQ839" s="0" t="s">
        <v>240</v>
      </c>
      <c r="CR839" s="0" t="n">
        <v>1</v>
      </c>
      <c r="CT839" s="0" t="n">
        <v>1300</v>
      </c>
      <c r="CU839" s="0" t="n">
        <v>3</v>
      </c>
      <c r="CV839" s="0" t="n">
        <f aca="false">IF(OR(CT839="",CT839="NO ESPECIFICA",CT839="NO MENCIONA"),"",IF(CU839=0,CT839,IF(CU839=1,CT839/30,IF(CU839=2,CT839/15,IF(CU839=3,CT839/7,"")))))</f>
        <v>185.714285714286</v>
      </c>
      <c r="CW839" s="125" t="s">
        <v>216</v>
      </c>
      <c r="CY839" s="0" t="str">
        <f aca="false">IF(CW839="","",IF(CX839=0,CW839,IF(CX839=1,CW839/30,IF(CX839=2,CW839/15,IF(CX839=3,CW839/7,CW839)))))</f>
        <v>NO MENCIONA</v>
      </c>
      <c r="CZ839" s="0" t="n">
        <f aca="false">IF(DI839&gt;0,DI839,IF(CY839&gt;0,CY839,IF(CV839&gt;0,CV839,"")))</f>
        <v>185.71</v>
      </c>
      <c r="DA839" s="0" t="n">
        <f aca="false">IF(DM839=1,CZ839/8,IF(OR(DM839=2,DM839=4),CZ839/7,IF(DM839=3,CZ839/7.5,"")))</f>
        <v>23.21375</v>
      </c>
      <c r="DB839" s="0" t="s">
        <v>216</v>
      </c>
      <c r="DC839" s="0" t="s">
        <v>216</v>
      </c>
      <c r="DD839" s="0" t="s">
        <v>216</v>
      </c>
      <c r="DE839" s="0" t="s">
        <v>216</v>
      </c>
      <c r="DF839" s="0" t="s">
        <v>216</v>
      </c>
      <c r="DG839" s="0" t="s">
        <v>216</v>
      </c>
      <c r="DH839" s="0" t="n">
        <v>0</v>
      </c>
      <c r="DI839" s="126" t="n">
        <v>185.71</v>
      </c>
      <c r="DK839" s="0" t="n">
        <v>0</v>
      </c>
      <c r="DM839" s="0" t="n">
        <v>1</v>
      </c>
      <c r="DN839" s="0" t="n">
        <v>57</v>
      </c>
      <c r="DO839" s="0" t="n">
        <v>3</v>
      </c>
      <c r="DP839" s="0" t="n">
        <v>0</v>
      </c>
      <c r="DQ839" s="0" t="n">
        <v>1</v>
      </c>
      <c r="DR839" s="0"/>
      <c r="DS839" s="0" t="n">
        <v>1</v>
      </c>
      <c r="DU839" s="0" t="n">
        <v>1</v>
      </c>
      <c r="DW839" s="1" t="n">
        <v>40567</v>
      </c>
      <c r="DX839" s="1" t="n">
        <v>40739</v>
      </c>
      <c r="DZ839" s="0"/>
      <c r="EA839" s="0" t="n">
        <v>1</v>
      </c>
      <c r="EC839" s="1" t="n">
        <v>40567</v>
      </c>
      <c r="ED839" s="1" t="n">
        <v>40739</v>
      </c>
      <c r="EF839" s="0"/>
      <c r="EG839" s="0" t="n">
        <v>1</v>
      </c>
      <c r="EH839" s="0" t="n">
        <v>9</v>
      </c>
      <c r="EI839" s="0" t="n">
        <f aca="false">IF(AND(DM839=1,DN839&lt;=48),"",IF(AND(DM839=2,DN839&lt;=42),"",IF(AND(DM839=3,DN839&lt;=45),"",EH839)))</f>
        <v>9</v>
      </c>
      <c r="EJ839" s="0" t="n">
        <f aca="false">IF(EI839="","",IF(EI839&lt;9,EI839,9))</f>
        <v>9</v>
      </c>
      <c r="EK839" s="0" t="n">
        <f aca="false">IF(EI839="","",IF(EI839&gt;9,EI839-EJ839,0))</f>
        <v>0</v>
      </c>
      <c r="EL839" s="0" t="n">
        <f aca="false">IF(EI839="","",EJ839*DA839*2+EK839*DA839*3)</f>
        <v>417.8475</v>
      </c>
      <c r="EP839" s="0" t="n">
        <v>0</v>
      </c>
      <c r="EQ839" s="0"/>
      <c r="ER839" s="0" t="n">
        <v>0</v>
      </c>
      <c r="ET839" s="0" t="n">
        <v>0</v>
      </c>
      <c r="EV839" s="0" t="n">
        <v>0</v>
      </c>
      <c r="EX839" s="0" t="n">
        <v>0</v>
      </c>
      <c r="EY839" s="0" t="n">
        <v>0</v>
      </c>
      <c r="EZ839" s="0"/>
      <c r="FA839" s="4" t="n">
        <v>925</v>
      </c>
      <c r="FB839" s="0" t="n">
        <v>1</v>
      </c>
      <c r="FC839" s="1" t="n">
        <v>41239</v>
      </c>
      <c r="FD839" s="0" t="n">
        <v>1</v>
      </c>
      <c r="FE839" s="0" t="n">
        <v>5000</v>
      </c>
      <c r="FF839" s="120" t="n">
        <f aca="false">(CJ839-CI839+1)/365</f>
        <v>0.473972602739726</v>
      </c>
      <c r="FG839" s="0" t="str">
        <f aca="false">CONCATENATE(F839,"/",G839)</f>
        <v>1421/2011</v>
      </c>
      <c r="FH839" s="0" t="n">
        <v>1</v>
      </c>
      <c r="FI839" s="0" t="n">
        <f aca="false">IFERROR(IF((FC839-J839+1)/365&gt;3,0,1),"")</f>
        <v>1</v>
      </c>
    </row>
    <row r="840" customFormat="false" ht="15" hidden="false" customHeight="false" outlineLevel="0" collapsed="false">
      <c r="A840" s="5" t="str">
        <f aca="false">E840&amp;G840&amp;F840</f>
        <v>720111431</v>
      </c>
      <c r="B840" s="0" t="s">
        <v>5405</v>
      </c>
      <c r="C840" s="1" t="n">
        <v>42355</v>
      </c>
      <c r="D840" s="0" t="s">
        <v>3265</v>
      </c>
      <c r="E840" s="0" t="n">
        <v>7</v>
      </c>
      <c r="F840" s="0" t="n">
        <v>1431</v>
      </c>
      <c r="G840" s="0" t="n">
        <v>2011</v>
      </c>
      <c r="H840" s="0" t="str">
        <f aca="false">"J"&amp;E840&amp;"\"&amp;F840&amp;"\"&amp;G840&amp;"\"&amp;W840</f>
        <v>J7\1431\2011\1</v>
      </c>
      <c r="I840" s="0"/>
      <c r="J840" s="1" t="n">
        <v>40774</v>
      </c>
      <c r="K840" s="0" t="n">
        <v>0</v>
      </c>
      <c r="M840" s="1"/>
      <c r="N840" s="1"/>
      <c r="O840" s="1"/>
      <c r="P840" s="1"/>
      <c r="Q840" s="1"/>
      <c r="T840" s="121"/>
      <c r="U840" s="121"/>
      <c r="V840" s="122" t="n">
        <f aca="false">IF(AND(E840&gt;0,F840&gt;0,G840&gt;0),COUNTIFS($E:$E,E840,$F:$F,F840,$G:$G,G840),"")</f>
        <v>1</v>
      </c>
      <c r="W840" s="122" t="n">
        <f aca="false">IF(V840="","",IF(V840=1,1,IF(AND(E839=E840,F839=F840,G839=G840),W839+1,1)))</f>
        <v>1</v>
      </c>
      <c r="X840" s="0" t="n">
        <v>1</v>
      </c>
      <c r="Y840" s="0" t="n">
        <v>2</v>
      </c>
      <c r="Z840" s="0" t="s">
        <v>7676</v>
      </c>
      <c r="AA840" s="0" t="n">
        <v>0</v>
      </c>
      <c r="AB840" s="0" t="s">
        <v>702</v>
      </c>
      <c r="AE840" s="0" t="n">
        <v>0</v>
      </c>
      <c r="AF840" s="0" t="s">
        <v>7677</v>
      </c>
      <c r="AG840" s="0" t="n">
        <v>0</v>
      </c>
      <c r="AH840" s="0" t="s">
        <v>7678</v>
      </c>
      <c r="AI840" s="0" t="s">
        <v>433</v>
      </c>
      <c r="AJ840" s="0" t="s">
        <v>411</v>
      </c>
      <c r="AL840" s="0" t="s">
        <v>213</v>
      </c>
      <c r="AM840" s="0" t="n">
        <v>1</v>
      </c>
      <c r="AN840" s="0" t="s">
        <v>7678</v>
      </c>
      <c r="AO840" s="0" t="s">
        <v>433</v>
      </c>
      <c r="AP840" s="0" t="s">
        <v>411</v>
      </c>
      <c r="BR840" s="0" t="n">
        <v>1</v>
      </c>
      <c r="BS840" s="0" t="s">
        <v>7679</v>
      </c>
      <c r="BT840" s="0" t="s">
        <v>7680</v>
      </c>
      <c r="BV840" s="123"/>
      <c r="BW840" s="123"/>
      <c r="BX840" s="123"/>
      <c r="BY840" s="123"/>
      <c r="CD840" s="0" t="s">
        <v>502</v>
      </c>
      <c r="CE840" s="0" t="n">
        <v>0</v>
      </c>
      <c r="CF840" s="0" t="s">
        <v>1458</v>
      </c>
      <c r="CG840" s="0" t="s">
        <v>218</v>
      </c>
      <c r="CI840" s="1" t="n">
        <v>36321</v>
      </c>
      <c r="CJ840" s="1" t="s">
        <v>216</v>
      </c>
      <c r="CK840" s="124" t="s">
        <v>216</v>
      </c>
      <c r="CL840" s="0" t="s">
        <v>216</v>
      </c>
      <c r="CM840" s="0" t="e">
        <f aca="false">IF(OR(CI840="",CJ840=""),"",DAYS360(CI840,CJ840)/360)</f>
        <v>#VALUE!</v>
      </c>
      <c r="CN840" s="0" t="e">
        <f aca="false">IF(OR(CI840="",CJ840=""),"",DAYS360(CI840,CJ840)/30)</f>
        <v>#VALUE!</v>
      </c>
      <c r="CO840" s="0" t="e">
        <f aca="false">IF(OR(CI840="",CJ840=""),"",DAYS360(CI840,CJ840)/7)</f>
        <v>#VALUE!</v>
      </c>
      <c r="CP840" s="0" t="e">
        <f aca="false">IF(OR(CI840="",CJ840=""),"",DAYS360(CI840,CJ840))</f>
        <v>#VALUE!</v>
      </c>
      <c r="CQ840" s="0" t="s">
        <v>1493</v>
      </c>
      <c r="CR840" s="0" t="n">
        <v>3</v>
      </c>
      <c r="CT840" s="0" t="s">
        <v>216</v>
      </c>
      <c r="CV840" s="0" t="str">
        <f aca="false">IF(OR(CT840="",CT840="NO ESPECIFICA",CT840="NO MENCIONA"),"",IF(CU840=0,CT840,IF(CU840=1,CT840/30,IF(CU840=2,CT840/15,IF(CU840=3,CT840/7,"")))))</f>
        <v/>
      </c>
      <c r="CW840" s="125" t="s">
        <v>216</v>
      </c>
      <c r="CY840" s="0" t="str">
        <f aca="false">IF(CW840="","",IF(CX840=0,CW840,IF(CX840=1,CW840/30,IF(CX840=2,CW840/15,IF(CX840=3,CW840/7,CW840)))))</f>
        <v>NO MENCIONA</v>
      </c>
      <c r="CZ840" s="0" t="str">
        <f aca="false">IF(DI840&gt;0,DI840,IF(CY840&gt;0,CY840,IF(CV840&gt;0,CV840,"")))</f>
        <v>NO MENCIONA</v>
      </c>
      <c r="DA840" s="0" t="str">
        <f aca="false">IF(DM840=1,CZ840/8,IF(OR(DM840=2,DM840=4),CZ840/7,IF(DM840=3,CZ840/7.5,"")))</f>
        <v/>
      </c>
      <c r="DB840" s="0" t="s">
        <v>216</v>
      </c>
      <c r="DC840" s="0" t="s">
        <v>216</v>
      </c>
      <c r="DD840" s="0" t="s">
        <v>216</v>
      </c>
      <c r="DE840" s="0" t="s">
        <v>216</v>
      </c>
      <c r="DF840" s="0" t="s">
        <v>216</v>
      </c>
      <c r="DG840" s="0" t="s">
        <v>216</v>
      </c>
      <c r="DH840" s="0" t="n">
        <v>0</v>
      </c>
      <c r="DI840" s="126" t="s">
        <v>216</v>
      </c>
      <c r="DK840" s="0" t="n">
        <v>0</v>
      </c>
      <c r="DM840" s="0" t="s">
        <v>385</v>
      </c>
      <c r="DN840" s="0" t="s">
        <v>216</v>
      </c>
      <c r="DO840" s="0" t="s">
        <v>216</v>
      </c>
      <c r="DP840" s="0" t="n">
        <v>0</v>
      </c>
      <c r="DQ840" s="0" t="n">
        <v>0</v>
      </c>
      <c r="DR840" s="0"/>
      <c r="DS840" s="0" t="n">
        <v>0</v>
      </c>
      <c r="DU840" s="0" t="n">
        <v>0</v>
      </c>
      <c r="DW840" s="1" t="s">
        <v>216</v>
      </c>
      <c r="DX840" s="1" t="s">
        <v>216</v>
      </c>
      <c r="DZ840" s="0" t="n">
        <v>9344</v>
      </c>
      <c r="EA840" s="0" t="n">
        <v>1</v>
      </c>
      <c r="EB840" s="0" t="n">
        <v>2336</v>
      </c>
      <c r="EC840" s="1" t="s">
        <v>216</v>
      </c>
      <c r="ED840" s="1" t="s">
        <v>216</v>
      </c>
      <c r="EF840" s="0"/>
      <c r="EG840" s="0" t="n">
        <v>0</v>
      </c>
      <c r="EI840" s="0" t="n">
        <f aca="false">IF(AND(DM840=1,DN840&lt;=48),"",IF(AND(DM840=2,DN840&lt;=42),"",IF(AND(DM840=3,DN840&lt;=45),"",EH840)))</f>
        <v>0</v>
      </c>
      <c r="EJ840" s="0" t="str">
        <f aca="false">IF(EI840="","",IF(EI840&lt;9,EI840,9))</f>
        <v/>
      </c>
      <c r="EK840" s="0" t="str">
        <f aca="false">IF(EI840="","",IF(EI840&gt;9,EI840-EJ840,0))</f>
        <v/>
      </c>
      <c r="EL840" s="0" t="str">
        <f aca="false">IF(EI840="","",EJ840*DA840*2+EK840*DA840*3)</f>
        <v/>
      </c>
      <c r="EP840" s="0" t="n">
        <v>0</v>
      </c>
      <c r="EQ840" s="0"/>
      <c r="ER840" s="0" t="n">
        <v>0</v>
      </c>
      <c r="ET840" s="0" t="n">
        <v>0</v>
      </c>
      <c r="EV840" s="0" t="n">
        <v>0</v>
      </c>
      <c r="EX840" s="0" t="n">
        <v>0</v>
      </c>
      <c r="EY840" s="0" t="n">
        <v>0</v>
      </c>
      <c r="EZ840" s="0"/>
      <c r="FA840" s="4" t="n">
        <v>0</v>
      </c>
      <c r="FB840" s="0" t="n">
        <v>0</v>
      </c>
      <c r="FC840" s="1" t="n">
        <v>41226</v>
      </c>
      <c r="FD840" s="0" t="n">
        <v>4</v>
      </c>
      <c r="FE840" s="0" t="n">
        <v>0</v>
      </c>
      <c r="FF840" s="120" t="e">
        <f aca="false">(CJ840-CI840+1)/365</f>
        <v>#VALUE!</v>
      </c>
      <c r="FG840" s="0" t="str">
        <f aca="false">CONCATENATE(F840,"/",G840)</f>
        <v>1431/2011</v>
      </c>
      <c r="FH840" s="0" t="n">
        <v>1</v>
      </c>
      <c r="FI840" s="0" t="n">
        <f aca="false">IFERROR(IF((FC840-J840+1)/365&gt;3,0,1),"")</f>
        <v>1</v>
      </c>
    </row>
    <row r="841" customFormat="false" ht="15" hidden="false" customHeight="false" outlineLevel="0" collapsed="false">
      <c r="A841" s="5" t="str">
        <f aca="false">E841&amp;G841&amp;F841</f>
        <v>720111439</v>
      </c>
      <c r="B841" s="0" t="s">
        <v>5405</v>
      </c>
      <c r="C841" s="1" t="n">
        <v>42355</v>
      </c>
      <c r="D841" s="0" t="s">
        <v>3265</v>
      </c>
      <c r="E841" s="0" t="n">
        <v>7</v>
      </c>
      <c r="F841" s="0" t="n">
        <v>1439</v>
      </c>
      <c r="G841" s="0" t="n">
        <v>2011</v>
      </c>
      <c r="H841" s="0" t="str">
        <f aca="false">"J"&amp;E841&amp;"\"&amp;F841&amp;"\"&amp;G841&amp;"\"&amp;W841</f>
        <v>J7\1439\2011\1</v>
      </c>
      <c r="I841" s="0"/>
      <c r="J841" s="1" t="n">
        <v>40777</v>
      </c>
      <c r="K841" s="0" t="n">
        <v>0</v>
      </c>
      <c r="M841" s="1"/>
      <c r="N841" s="1"/>
      <c r="O841" s="1"/>
      <c r="P841" s="1"/>
      <c r="Q841" s="1"/>
      <c r="T841" s="121"/>
      <c r="U841" s="121"/>
      <c r="V841" s="122" t="n">
        <f aca="false">IF(AND(E841&gt;0,F841&gt;0,G841&gt;0),COUNTIFS($E:$E,E841,$F:$F,F841,$G:$G,G841),"")</f>
        <v>1</v>
      </c>
      <c r="W841" s="122" t="n">
        <f aca="false">IF(V841="","",IF(V841=1,1,IF(AND(E840=E841,F840=F841,G840=G841),W840+1,1)))</f>
        <v>1</v>
      </c>
      <c r="X841" s="0" t="n">
        <v>1</v>
      </c>
      <c r="Y841" s="0" t="n">
        <v>1</v>
      </c>
      <c r="Z841" s="0" t="s">
        <v>7681</v>
      </c>
      <c r="AA841" s="0" t="n">
        <v>0</v>
      </c>
      <c r="AB841" s="0" t="s">
        <v>7682</v>
      </c>
      <c r="AC841" s="0" t="s">
        <v>7683</v>
      </c>
      <c r="AD841" s="0" t="s">
        <v>519</v>
      </c>
      <c r="AE841" s="0" t="n">
        <v>0</v>
      </c>
      <c r="AF841" s="0" t="s">
        <v>7684</v>
      </c>
      <c r="AG841" s="0" t="n">
        <v>0</v>
      </c>
      <c r="AH841" s="0" t="s">
        <v>7685</v>
      </c>
      <c r="AI841" s="0" t="s">
        <v>7686</v>
      </c>
      <c r="AJ841" s="0" t="s">
        <v>322</v>
      </c>
      <c r="BR841" s="0" t="n">
        <v>1</v>
      </c>
      <c r="BS841" s="0" t="s">
        <v>7687</v>
      </c>
      <c r="BT841" s="0" t="s">
        <v>7688</v>
      </c>
      <c r="BU841" s="0" t="s">
        <v>7689</v>
      </c>
      <c r="BV841" s="123"/>
      <c r="BW841" s="123"/>
      <c r="BX841" s="123"/>
      <c r="BY841" s="123"/>
      <c r="CD841" s="0" t="s">
        <v>556</v>
      </c>
      <c r="CE841" s="0" t="n">
        <v>0</v>
      </c>
      <c r="CF841" s="0" t="s">
        <v>7690</v>
      </c>
      <c r="CG841" s="0" t="s">
        <v>218</v>
      </c>
      <c r="CI841" s="1" t="n">
        <v>40376</v>
      </c>
      <c r="CJ841" s="1" t="n">
        <v>40757</v>
      </c>
      <c r="CK841" s="124" t="n">
        <v>0.375</v>
      </c>
      <c r="CL841" s="0" t="s">
        <v>7691</v>
      </c>
      <c r="CM841" s="0" t="n">
        <f aca="false">IF(OR(CI841="",CJ841=""),"",DAYS360(CI841,CJ841)/360)</f>
        <v>1.04166666666667</v>
      </c>
      <c r="CN841" s="0" t="n">
        <f aca="false">IF(OR(CI841="",CJ841=""),"",DAYS360(CI841,CJ841)/30)</f>
        <v>12.5</v>
      </c>
      <c r="CO841" s="0" t="n">
        <f aca="false">IF(OR(CI841="",CJ841=""),"",DAYS360(CI841,CJ841)/7)</f>
        <v>53.5714285714286</v>
      </c>
      <c r="CP841" s="0" t="n">
        <f aca="false">IF(OR(CI841="",CJ841=""),"",DAYS360(CI841,CJ841))</f>
        <v>375</v>
      </c>
      <c r="CQ841" s="0" t="s">
        <v>220</v>
      </c>
      <c r="CR841" s="0" t="n">
        <v>1</v>
      </c>
      <c r="CT841" s="0" t="n">
        <v>700</v>
      </c>
      <c r="CU841" s="0" t="n">
        <v>0</v>
      </c>
      <c r="CV841" s="0" t="n">
        <f aca="false">IF(OR(CT841="",CT841="NO ESPECIFICA",CT841="NO MENCIONA"),"",IF(CU841=0,CT841,IF(CU841=1,CT841/30,IF(CU841=2,CT841/15,IF(CU841=3,CT841/7,"")))))</f>
        <v>700</v>
      </c>
      <c r="CW841" s="125" t="s">
        <v>216</v>
      </c>
      <c r="CY841" s="0" t="str">
        <f aca="false">IF(CW841="","",IF(CX841=0,CW841,IF(CX841=1,CW841/30,IF(CX841=2,CW841/15,IF(CX841=3,CW841/7,CW841)))))</f>
        <v>NO MENCIONA</v>
      </c>
      <c r="CZ841" s="0" t="n">
        <f aca="false">IF(DI841&gt;0,DI841,IF(CY841&gt;0,CY841,IF(CV841&gt;0,CV841,"")))</f>
        <v>700</v>
      </c>
      <c r="DA841" s="0" t="n">
        <f aca="false">IF(DM841=1,CZ841/8,IF(OR(DM841=2,DM841=4),CZ841/7,IF(DM841=3,CZ841/7.5,"")))</f>
        <v>87.5</v>
      </c>
      <c r="DB841" s="0" t="s">
        <v>216</v>
      </c>
      <c r="DC841" s="0" t="s">
        <v>216</v>
      </c>
      <c r="DD841" s="0" t="s">
        <v>216</v>
      </c>
      <c r="DE841" s="0" t="s">
        <v>216</v>
      </c>
      <c r="DF841" s="0" t="s">
        <v>216</v>
      </c>
      <c r="DG841" s="0" t="s">
        <v>216</v>
      </c>
      <c r="DH841" s="0" t="n">
        <v>0</v>
      </c>
      <c r="DI841" s="126" t="n">
        <v>700</v>
      </c>
      <c r="DK841" s="0" t="n">
        <v>0</v>
      </c>
      <c r="DM841" s="0" t="n">
        <v>1</v>
      </c>
      <c r="DN841" s="0" t="n">
        <v>78</v>
      </c>
      <c r="DO841" s="0" t="n">
        <v>3</v>
      </c>
      <c r="DP841" s="0" t="n">
        <v>1</v>
      </c>
      <c r="DQ841" s="0" t="n">
        <v>0</v>
      </c>
      <c r="DR841" s="0"/>
      <c r="DS841" s="0" t="n">
        <v>1</v>
      </c>
      <c r="DU841" s="0" t="n">
        <v>1</v>
      </c>
      <c r="DW841" s="1" t="s">
        <v>221</v>
      </c>
      <c r="DX841" s="1" t="s">
        <v>7692</v>
      </c>
      <c r="DZ841" s="0"/>
      <c r="EA841" s="0" t="n">
        <v>1</v>
      </c>
      <c r="EC841" s="1" t="s">
        <v>221</v>
      </c>
      <c r="ED841" s="1" t="s">
        <v>221</v>
      </c>
      <c r="EF841" s="0"/>
      <c r="EG841" s="0" t="n">
        <v>1</v>
      </c>
      <c r="EH841" s="0" t="n">
        <v>42</v>
      </c>
      <c r="EI841" s="0" t="n">
        <f aca="false">IF(AND(DM841=1,DN841&lt;=48),"",IF(AND(DM841=2,DN841&lt;=42),"",IF(AND(DM841=3,DN841&lt;=45),"",EH841)))</f>
        <v>42</v>
      </c>
      <c r="EJ841" s="0" t="n">
        <f aca="false">IF(EI841="","",IF(EI841&lt;9,EI841,9))</f>
        <v>9</v>
      </c>
      <c r="EK841" s="0" t="n">
        <f aca="false">IF(EI841="","",IF(EI841&gt;9,EI841-EJ841,0))</f>
        <v>33</v>
      </c>
      <c r="EL841" s="0" t="n">
        <f aca="false">IF(EI841="","",EJ841*DA841*2+EK841*DA841*3)</f>
        <v>10237.5</v>
      </c>
      <c r="EP841" s="0" t="n">
        <v>1</v>
      </c>
      <c r="EQ841" s="0"/>
      <c r="ER841" s="0" t="n">
        <v>0</v>
      </c>
      <c r="ET841" s="0" t="n">
        <v>0</v>
      </c>
      <c r="EV841" s="0" t="n">
        <v>0</v>
      </c>
      <c r="EX841" s="0" t="n">
        <v>1</v>
      </c>
      <c r="EY841" s="0" t="n">
        <v>0</v>
      </c>
      <c r="EZ841" s="0"/>
      <c r="FA841" s="4" t="n">
        <v>0</v>
      </c>
      <c r="FB841" s="0" t="n">
        <v>0</v>
      </c>
      <c r="FC841" s="1" t="n">
        <v>40857</v>
      </c>
      <c r="FD841" s="0" t="n">
        <v>1</v>
      </c>
      <c r="FE841" s="0" t="n">
        <v>16000</v>
      </c>
      <c r="FF841" s="120" t="n">
        <f aca="false">(CJ841-CI841+1)/365</f>
        <v>1.04657534246575</v>
      </c>
      <c r="FG841" s="0" t="str">
        <f aca="false">CONCATENATE(F841,"/",G841)</f>
        <v>1439/2011</v>
      </c>
      <c r="FH841" s="0" t="n">
        <v>1</v>
      </c>
      <c r="FI841" s="0" t="n">
        <f aca="false">IFERROR(IF((FC841-J841+1)/365&gt;3,0,1),"")</f>
        <v>1</v>
      </c>
    </row>
    <row r="842" customFormat="false" ht="15" hidden="false" customHeight="false" outlineLevel="0" collapsed="false">
      <c r="A842" s="5" t="str">
        <f aca="false">E842&amp;G842&amp;F842</f>
        <v>720111443</v>
      </c>
      <c r="B842" s="0" t="s">
        <v>5405</v>
      </c>
      <c r="C842" s="1" t="n">
        <v>42356</v>
      </c>
      <c r="D842" s="0" t="s">
        <v>3265</v>
      </c>
      <c r="E842" s="0" t="n">
        <v>7</v>
      </c>
      <c r="F842" s="0" t="n">
        <v>1443</v>
      </c>
      <c r="G842" s="0" t="n">
        <v>2011</v>
      </c>
      <c r="H842" s="0" t="str">
        <f aca="false">"J"&amp;E842&amp;"\"&amp;F842&amp;"\"&amp;G842&amp;"\"&amp;W842</f>
        <v>J7\1443\2011\1</v>
      </c>
      <c r="I842" s="0"/>
      <c r="J842" s="1" t="n">
        <v>40778</v>
      </c>
      <c r="K842" s="0" t="n">
        <v>0</v>
      </c>
      <c r="M842" s="1"/>
      <c r="N842" s="1"/>
      <c r="O842" s="1"/>
      <c r="P842" s="1"/>
      <c r="Q842" s="1"/>
      <c r="T842" s="121"/>
      <c r="U842" s="121"/>
      <c r="V842" s="122" t="n">
        <f aca="false">IF(AND(E842&gt;0,F842&gt;0,G842&gt;0),COUNTIFS($E:$E,E842,$F:$F,F842,$G:$G,G842),"")</f>
        <v>1</v>
      </c>
      <c r="W842" s="122" t="n">
        <f aca="false">IF(V842="","",IF(V842=1,1,IF(AND(E841=E842,F841=F842,G841=G842),W841+1,1)))</f>
        <v>1</v>
      </c>
      <c r="X842" s="0" t="n">
        <v>1</v>
      </c>
      <c r="Y842" s="0" t="n">
        <v>2</v>
      </c>
      <c r="Z842" s="0" t="s">
        <v>7693</v>
      </c>
      <c r="AA842" s="0" t="n">
        <v>0</v>
      </c>
      <c r="AB842" s="0" t="s">
        <v>7694</v>
      </c>
      <c r="AC842" s="0" t="s">
        <v>865</v>
      </c>
      <c r="AD842" s="0" t="s">
        <v>207</v>
      </c>
      <c r="AE842" s="0" t="n">
        <v>0</v>
      </c>
      <c r="AF842" s="0" t="s">
        <v>7695</v>
      </c>
      <c r="AG842" s="0" t="n">
        <v>0</v>
      </c>
      <c r="AH842" s="0" t="s">
        <v>7696</v>
      </c>
      <c r="AI842" s="0" t="s">
        <v>7134</v>
      </c>
      <c r="AJ842" s="0" t="s">
        <v>352</v>
      </c>
      <c r="AL842" s="0" t="s">
        <v>7697</v>
      </c>
      <c r="AM842" s="0" t="n">
        <v>1</v>
      </c>
      <c r="AN842" s="0" t="s">
        <v>7696</v>
      </c>
      <c r="AO842" s="0" t="s">
        <v>7134</v>
      </c>
      <c r="AP842" s="0" t="s">
        <v>352</v>
      </c>
      <c r="BR842" s="0" t="n">
        <v>1</v>
      </c>
      <c r="BS842" s="0" t="s">
        <v>7698</v>
      </c>
      <c r="BT842" s="0" t="s">
        <v>7699</v>
      </c>
      <c r="BU842" s="0" t="s">
        <v>7700</v>
      </c>
      <c r="BV842" s="123"/>
      <c r="BW842" s="123"/>
      <c r="BX842" s="123"/>
      <c r="BY842" s="123"/>
      <c r="CD842" s="0" t="s">
        <v>1465</v>
      </c>
      <c r="CE842" s="0" t="n">
        <v>0</v>
      </c>
      <c r="CF842" s="0" t="s">
        <v>5973</v>
      </c>
      <c r="CG842" s="0" t="s">
        <v>218</v>
      </c>
      <c r="CI842" s="1" t="n">
        <v>39874</v>
      </c>
      <c r="CJ842" s="1" t="n">
        <v>40770</v>
      </c>
      <c r="CK842" s="124" t="n">
        <v>0.75</v>
      </c>
      <c r="CL842" s="0" t="s">
        <v>7697</v>
      </c>
      <c r="CM842" s="0" t="n">
        <f aca="false">IF(OR(CI842="",CJ842=""),"",DAYS360(CI842,CJ842)/360)</f>
        <v>2.45277777777778</v>
      </c>
      <c r="CN842" s="0" t="n">
        <f aca="false">IF(OR(CI842="",CJ842=""),"",DAYS360(CI842,CJ842)/30)</f>
        <v>29.4333333333333</v>
      </c>
      <c r="CO842" s="0" t="n">
        <f aca="false">IF(OR(CI842="",CJ842=""),"",DAYS360(CI842,CJ842)/7)</f>
        <v>126.142857142857</v>
      </c>
      <c r="CP842" s="0" t="n">
        <f aca="false">IF(OR(CI842="",CJ842=""),"",DAYS360(CI842,CJ842))</f>
        <v>883</v>
      </c>
      <c r="CQ842" s="0" t="s">
        <v>220</v>
      </c>
      <c r="CR842" s="0" t="n">
        <v>1</v>
      </c>
      <c r="CT842" s="0" t="n">
        <v>150</v>
      </c>
      <c r="CU842" s="0" t="n">
        <v>0</v>
      </c>
      <c r="CV842" s="0" t="n">
        <f aca="false">IF(OR(CT842="",CT842="NO ESPECIFICA",CT842="NO MENCIONA"),"",IF(CU842=0,CT842,IF(CU842=1,CT842/30,IF(CU842=2,CT842/15,IF(CU842=3,CT842/7,"")))))</f>
        <v>150</v>
      </c>
      <c r="CW842" s="125" t="n">
        <v>169.1</v>
      </c>
      <c r="CX842" s="0" t="n">
        <v>0</v>
      </c>
      <c r="CY842" s="0" t="n">
        <f aca="false">IF(CW842="","",IF(CX842=0,CW842,IF(CX842=1,CW842/30,IF(CX842=2,CW842/15,IF(CX842=3,CW842/7,CW842)))))</f>
        <v>169.1</v>
      </c>
      <c r="CZ842" s="0" t="n">
        <f aca="false">IF(DI842&gt;0,DI842,IF(CY842&gt;0,CY842,IF(CV842&gt;0,CV842,"")))</f>
        <v>169.32</v>
      </c>
      <c r="DA842" s="0" t="n">
        <f aca="false">IF(DM842=1,CZ842/8,IF(OR(DM842=2,DM842=4),CZ842/7,IF(DM842=3,CZ842/7.5,"")))</f>
        <v>21.165</v>
      </c>
      <c r="DB842" s="0" t="s">
        <v>302</v>
      </c>
      <c r="DC842" s="0" t="s">
        <v>303</v>
      </c>
      <c r="DD842" s="0" t="s">
        <v>301</v>
      </c>
      <c r="DE842" s="0" t="s">
        <v>216</v>
      </c>
      <c r="DF842" s="0" t="s">
        <v>216</v>
      </c>
      <c r="DG842" s="0" t="s">
        <v>216</v>
      </c>
      <c r="DH842" s="0" t="n">
        <v>0</v>
      </c>
      <c r="DI842" s="126" t="n">
        <v>169.32</v>
      </c>
      <c r="DK842" s="0" t="n">
        <v>0</v>
      </c>
      <c r="DM842" s="0" t="n">
        <v>1</v>
      </c>
      <c r="DN842" s="0" t="n">
        <v>50</v>
      </c>
      <c r="DO842" s="0" t="n">
        <v>3</v>
      </c>
      <c r="DP842" s="0" t="n">
        <v>1</v>
      </c>
      <c r="DQ842" s="0" t="n">
        <v>1</v>
      </c>
      <c r="DR842" s="0"/>
      <c r="DS842" s="0" t="n">
        <v>1</v>
      </c>
      <c r="DU842" s="0" t="n">
        <v>1</v>
      </c>
      <c r="DW842" s="1" t="n">
        <v>39874</v>
      </c>
      <c r="DX842" s="1" t="n">
        <v>40770</v>
      </c>
      <c r="DY842" s="0" t="n">
        <v>11</v>
      </c>
      <c r="DZ842" s="0"/>
      <c r="EA842" s="0" t="n">
        <v>1</v>
      </c>
      <c r="EC842" s="1" t="n">
        <v>39874</v>
      </c>
      <c r="ED842" s="1" t="n">
        <v>40770</v>
      </c>
      <c r="EE842" s="0" t="n">
        <v>30</v>
      </c>
      <c r="EF842" s="0"/>
      <c r="EG842" s="0" t="n">
        <v>1</v>
      </c>
      <c r="EH842" s="0" t="n">
        <v>5</v>
      </c>
      <c r="EI842" s="0" t="n">
        <f aca="false">IF(AND(DM842=1,DN842&lt;=48),"",IF(AND(DM842=2,DN842&lt;=42),"",IF(AND(DM842=3,DN842&lt;=45),"",EH842)))</f>
        <v>5</v>
      </c>
      <c r="EJ842" s="0" t="n">
        <f aca="false">IF(EI842="","",IF(EI842&lt;9,EI842,9))</f>
        <v>5</v>
      </c>
      <c r="EK842" s="0" t="n">
        <f aca="false">IF(EI842="","",IF(EI842&gt;9,EI842-EJ842,0))</f>
        <v>0</v>
      </c>
      <c r="EL842" s="0" t="n">
        <f aca="false">IF(EI842="","",EJ842*DA842*2+EK842*DA842*3)</f>
        <v>211.65</v>
      </c>
      <c r="EP842" s="0" t="n">
        <v>1</v>
      </c>
      <c r="EQ842" s="0"/>
      <c r="ER842" s="0" t="n">
        <v>0</v>
      </c>
      <c r="ET842" s="0" t="n">
        <v>0</v>
      </c>
      <c r="EV842" s="0" t="n">
        <v>0</v>
      </c>
      <c r="EX842" s="0" t="n">
        <v>1</v>
      </c>
      <c r="EY842" s="0" t="n">
        <v>1</v>
      </c>
      <c r="EZ842" s="0"/>
      <c r="FA842" s="4" t="n">
        <v>2705.6</v>
      </c>
      <c r="FB842" s="0" t="n">
        <v>1</v>
      </c>
      <c r="FC842" s="1" t="n">
        <v>41001</v>
      </c>
      <c r="FD842" s="0" t="n">
        <v>1</v>
      </c>
      <c r="FE842" s="0" t="n">
        <v>30000</v>
      </c>
      <c r="FF842" s="120" t="n">
        <f aca="false">(CJ842-CI842+1)/365</f>
        <v>2.45753424657534</v>
      </c>
      <c r="FG842" s="0" t="str">
        <f aca="false">CONCATENATE(F842,"/",G842)</f>
        <v>1443/2011</v>
      </c>
      <c r="FH842" s="0" t="n">
        <v>1</v>
      </c>
      <c r="FI842" s="0" t="n">
        <f aca="false">IFERROR(IF((FC842-J842+1)/365&gt;3,0,1),"")</f>
        <v>1</v>
      </c>
    </row>
    <row r="843" customFormat="false" ht="15" hidden="false" customHeight="false" outlineLevel="0" collapsed="false">
      <c r="A843" s="5" t="str">
        <f aca="false">E843&amp;G843&amp;F843</f>
        <v>720111446</v>
      </c>
      <c r="B843" s="0" t="s">
        <v>5405</v>
      </c>
      <c r="C843" s="1" t="n">
        <v>42356</v>
      </c>
      <c r="D843" s="0" t="s">
        <v>3265</v>
      </c>
      <c r="E843" s="0" t="n">
        <v>7</v>
      </c>
      <c r="F843" s="0" t="n">
        <v>1446</v>
      </c>
      <c r="G843" s="0" t="n">
        <v>2011</v>
      </c>
      <c r="H843" s="0" t="str">
        <f aca="false">"J"&amp;E843&amp;"\"&amp;F843&amp;"\"&amp;G843&amp;"\"&amp;W843</f>
        <v>J7\1446\2011\1</v>
      </c>
      <c r="I843" s="0"/>
      <c r="J843" s="1" t="n">
        <v>40778</v>
      </c>
      <c r="K843" s="0" t="n">
        <v>0</v>
      </c>
      <c r="M843" s="1"/>
      <c r="N843" s="1"/>
      <c r="O843" s="1"/>
      <c r="P843" s="1"/>
      <c r="Q843" s="1"/>
      <c r="T843" s="121"/>
      <c r="U843" s="121"/>
      <c r="V843" s="122" t="n">
        <f aca="false">IF(AND(E843&gt;0,F843&gt;0,G843&gt;0),COUNTIFS($E:$E,E843,$F:$F,F843,$G:$G,G843),"")</f>
        <v>1</v>
      </c>
      <c r="W843" s="122" t="n">
        <f aca="false">IF(V843="","",IF(V843=1,1,IF(AND(E842=E843,F842=F843,G842=G843),W842+1,1)))</f>
        <v>1</v>
      </c>
      <c r="X843" s="0" t="n">
        <v>1</v>
      </c>
      <c r="Y843" s="0" t="n">
        <v>4</v>
      </c>
      <c r="Z843" s="0" t="s">
        <v>7701</v>
      </c>
      <c r="AA843" s="0" t="n">
        <v>0</v>
      </c>
      <c r="AB843" s="0" t="s">
        <v>7702</v>
      </c>
      <c r="AC843" s="0" t="s">
        <v>4153</v>
      </c>
      <c r="AD843" s="0" t="s">
        <v>229</v>
      </c>
      <c r="AE843" s="0" t="n">
        <v>0</v>
      </c>
      <c r="AF843" s="0" t="s">
        <v>7703</v>
      </c>
      <c r="AG843" s="0" t="n">
        <v>0</v>
      </c>
      <c r="AH843" s="0" t="s">
        <v>7704</v>
      </c>
      <c r="AI843" s="0" t="s">
        <v>7114</v>
      </c>
      <c r="AJ843" s="0" t="s">
        <v>211</v>
      </c>
      <c r="AL843" s="0" t="s">
        <v>7705</v>
      </c>
      <c r="AM843" s="0" t="n">
        <v>1</v>
      </c>
      <c r="AN843" s="0" t="s">
        <v>7704</v>
      </c>
      <c r="AO843" s="0" t="s">
        <v>7114</v>
      </c>
      <c r="AP843" s="0" t="s">
        <v>211</v>
      </c>
      <c r="AR843" s="0" t="s">
        <v>7706</v>
      </c>
      <c r="AS843" s="0" t="n">
        <v>1</v>
      </c>
      <c r="AT843" s="0" t="s">
        <v>7704</v>
      </c>
      <c r="AU843" s="0" t="s">
        <v>7114</v>
      </c>
      <c r="AV843" s="0" t="s">
        <v>211</v>
      </c>
      <c r="AX843" s="0" t="s">
        <v>213</v>
      </c>
      <c r="AY843" s="0" t="n">
        <v>1</v>
      </c>
      <c r="AZ843" s="0" t="s">
        <v>7704</v>
      </c>
      <c r="BA843" s="0" t="s">
        <v>7114</v>
      </c>
      <c r="BB843" s="0" t="s">
        <v>211</v>
      </c>
      <c r="BR843" s="0" t="n">
        <v>1</v>
      </c>
      <c r="BS843" s="0" t="s">
        <v>7707</v>
      </c>
      <c r="BT843" s="0" t="s">
        <v>7708</v>
      </c>
      <c r="BU843" s="0" t="s">
        <v>7709</v>
      </c>
      <c r="BV843" s="123"/>
      <c r="BW843" s="123"/>
      <c r="BX843" s="123"/>
      <c r="BY843" s="123"/>
      <c r="CD843" s="0" t="s">
        <v>1465</v>
      </c>
      <c r="CE843" s="0" t="n">
        <v>0</v>
      </c>
      <c r="CF843" s="0" t="s">
        <v>782</v>
      </c>
      <c r="CG843" s="0" t="s">
        <v>218</v>
      </c>
      <c r="CI843" s="1" t="n">
        <v>34685</v>
      </c>
      <c r="CJ843" s="1" t="n">
        <v>40773</v>
      </c>
      <c r="CK843" s="124" t="n">
        <v>0.75</v>
      </c>
      <c r="CL843" s="0" t="s">
        <v>7706</v>
      </c>
      <c r="CM843" s="0" t="n">
        <f aca="false">IF(OR(CI843="",CJ843=""),"",DAYS360(CI843,CJ843)/360)</f>
        <v>16.6694444444444</v>
      </c>
      <c r="CN843" s="0" t="n">
        <f aca="false">IF(OR(CI843="",CJ843=""),"",DAYS360(CI843,CJ843)/30)</f>
        <v>200.033333333333</v>
      </c>
      <c r="CO843" s="0" t="n">
        <f aca="false">IF(OR(CI843="",CJ843=""),"",DAYS360(CI843,CJ843)/7)</f>
        <v>857.285714285714</v>
      </c>
      <c r="CP843" s="0" t="n">
        <f aca="false">IF(OR(CI843="",CJ843=""),"",DAYS360(CI843,CJ843))</f>
        <v>6001</v>
      </c>
      <c r="CQ843" s="0" t="s">
        <v>240</v>
      </c>
      <c r="CR843" s="0" t="n">
        <v>1</v>
      </c>
      <c r="CT843" s="0" t="n">
        <v>3260.66</v>
      </c>
      <c r="CU843" s="0" t="n">
        <v>1</v>
      </c>
      <c r="CV843" s="0" t="n">
        <f aca="false">IF(OR(CT843="",CT843="NO ESPECIFICA",CT843="NO MENCIONA"),"",IF(CU843=0,CT843,IF(CU843=1,CT843/30,IF(CU843=2,CT843/15,IF(CU843=3,CT843/7,"")))))</f>
        <v>108.688666666667</v>
      </c>
      <c r="CW843" s="125" t="s">
        <v>216</v>
      </c>
      <c r="CY843" s="0" t="str">
        <f aca="false">IF(CW843="","",IF(CX843=0,CW843,IF(CX843=1,CW843/30,IF(CX843=2,CW843/15,IF(CX843=3,CW843/7,CW843)))))</f>
        <v>NO MENCIONA</v>
      </c>
      <c r="CZ843" s="0" t="n">
        <f aca="false">IF(DI843&gt;0,DI843,IF(CY843&gt;0,CY843,IF(CV843&gt;0,CV843,"")))</f>
        <v>108.68</v>
      </c>
      <c r="DA843" s="0" t="n">
        <f aca="false">IF(DM843=1,CZ843/8,IF(OR(DM843=2,DM843=4),CZ843/7,IF(DM843=3,CZ843/7.5,"")))</f>
        <v>13.585</v>
      </c>
      <c r="DB843" s="0" t="s">
        <v>216</v>
      </c>
      <c r="DC843" s="0" t="s">
        <v>216</v>
      </c>
      <c r="DD843" s="0" t="s">
        <v>216</v>
      </c>
      <c r="DE843" s="0" t="s">
        <v>216</v>
      </c>
      <c r="DF843" s="0" t="s">
        <v>216</v>
      </c>
      <c r="DG843" s="0" t="s">
        <v>216</v>
      </c>
      <c r="DH843" s="0" t="n">
        <v>0</v>
      </c>
      <c r="DI843" s="126" t="n">
        <v>108.68</v>
      </c>
      <c r="DK843" s="0" t="n">
        <v>0</v>
      </c>
      <c r="DM843" s="0" t="n">
        <v>1</v>
      </c>
      <c r="DN843" s="0" t="n">
        <v>50</v>
      </c>
      <c r="DO843" s="0" t="n">
        <v>3</v>
      </c>
      <c r="DP843" s="0" t="n">
        <v>0</v>
      </c>
      <c r="DQ843" s="0" t="n">
        <v>1</v>
      </c>
      <c r="DR843" s="0"/>
      <c r="DS843" s="0" t="n">
        <v>1</v>
      </c>
      <c r="DU843" s="0" t="n">
        <v>1</v>
      </c>
      <c r="DW843" s="1" t="n">
        <v>34685</v>
      </c>
      <c r="DX843" s="1" t="n">
        <v>40773</v>
      </c>
      <c r="DZ843" s="0"/>
      <c r="EA843" s="0" t="n">
        <v>1</v>
      </c>
      <c r="EC843" s="1" t="n">
        <v>34685</v>
      </c>
      <c r="ED843" s="1" t="n">
        <v>40773</v>
      </c>
      <c r="EF843" s="0"/>
      <c r="EG843" s="0" t="n">
        <v>1</v>
      </c>
      <c r="EH843" s="0" t="n">
        <v>5</v>
      </c>
      <c r="EI843" s="0" t="n">
        <f aca="false">IF(AND(DM843=1,DN843&lt;=48),"",IF(AND(DM843=2,DN843&lt;=42),"",IF(AND(DM843=3,DN843&lt;=45),"",EH843)))</f>
        <v>5</v>
      </c>
      <c r="EJ843" s="0" t="n">
        <f aca="false">IF(EI843="","",IF(EI843&lt;9,EI843,9))</f>
        <v>5</v>
      </c>
      <c r="EK843" s="0" t="n">
        <f aca="false">IF(EI843="","",IF(EI843&gt;9,EI843-EJ843,0))</f>
        <v>0</v>
      </c>
      <c r="EL843" s="0" t="n">
        <f aca="false">IF(EI843="","",EJ843*DA843*2+EK843*DA843*3)</f>
        <v>135.85</v>
      </c>
      <c r="EP843" s="0" t="n">
        <v>0</v>
      </c>
      <c r="EQ843" s="0"/>
      <c r="ER843" s="0" t="n">
        <v>0</v>
      </c>
      <c r="ET843" s="0" t="n">
        <v>1</v>
      </c>
      <c r="EV843" s="0" t="n">
        <v>1</v>
      </c>
      <c r="EX843" s="0" t="n">
        <v>1</v>
      </c>
      <c r="EY843" s="0" t="n">
        <v>0</v>
      </c>
      <c r="EZ843" s="0"/>
      <c r="FA843" s="4" t="n">
        <v>0</v>
      </c>
      <c r="FB843" s="0" t="n">
        <v>0</v>
      </c>
      <c r="FC843" s="1" t="n">
        <v>41173</v>
      </c>
      <c r="FD843" s="0" t="n">
        <v>1</v>
      </c>
      <c r="FE843" s="0" t="n">
        <v>50000</v>
      </c>
      <c r="FF843" s="120" t="n">
        <f aca="false">(CJ843-CI843+1)/365</f>
        <v>16.6821917808219</v>
      </c>
      <c r="FG843" s="0" t="str">
        <f aca="false">CONCATENATE(F843,"/",G843)</f>
        <v>1446/2011</v>
      </c>
      <c r="FH843" s="0" t="n">
        <v>1</v>
      </c>
      <c r="FI843" s="0" t="n">
        <f aca="false">IFERROR(IF((FC843-J843+1)/365&gt;3,0,1),"")</f>
        <v>1</v>
      </c>
    </row>
    <row r="844" customFormat="false" ht="15" hidden="false" customHeight="false" outlineLevel="0" collapsed="false">
      <c r="A844" s="5" t="str">
        <f aca="false">E844&amp;G844&amp;F844</f>
        <v>720111450</v>
      </c>
      <c r="B844" s="0" t="s">
        <v>5405</v>
      </c>
      <c r="C844" s="1" t="n">
        <v>42356</v>
      </c>
      <c r="D844" s="0" t="s">
        <v>3265</v>
      </c>
      <c r="E844" s="0" t="n">
        <v>7</v>
      </c>
      <c r="F844" s="0" t="n">
        <v>1450</v>
      </c>
      <c r="G844" s="0" t="n">
        <v>2011</v>
      </c>
      <c r="H844" s="0" t="str">
        <f aca="false">"J"&amp;E844&amp;"\"&amp;F844&amp;"\"&amp;G844&amp;"\"&amp;W844</f>
        <v>J7\1450\2011\1</v>
      </c>
      <c r="I844" s="0"/>
      <c r="J844" s="1" t="n">
        <v>40779</v>
      </c>
      <c r="K844" s="0" t="n">
        <v>0</v>
      </c>
      <c r="M844" s="1"/>
      <c r="N844" s="1"/>
      <c r="O844" s="1"/>
      <c r="P844" s="1"/>
      <c r="Q844" s="1"/>
      <c r="T844" s="121"/>
      <c r="U844" s="121"/>
      <c r="V844" s="122" t="n">
        <f aca="false">IF(AND(E844&gt;0,F844&gt;0,G844&gt;0),COUNTIFS($E:$E,E844,$F:$F,F844,$G:$G,G844),"")</f>
        <v>1</v>
      </c>
      <c r="W844" s="122" t="n">
        <f aca="false">IF(V844="","",IF(V844=1,1,IF(AND(E843=E844,F843=F844,G843=G844),W843+1,1)))</f>
        <v>1</v>
      </c>
      <c r="X844" s="0" t="n">
        <v>1</v>
      </c>
      <c r="Y844" s="0" t="n">
        <v>3</v>
      </c>
      <c r="Z844" s="0" t="s">
        <v>7710</v>
      </c>
      <c r="AA844" s="0" t="n">
        <v>0</v>
      </c>
      <c r="AB844" s="0" t="s">
        <v>6965</v>
      </c>
      <c r="AC844" s="0" t="s">
        <v>318</v>
      </c>
      <c r="AD844" s="0" t="s">
        <v>229</v>
      </c>
      <c r="AE844" s="0" t="n">
        <v>0</v>
      </c>
      <c r="AF844" s="0" t="s">
        <v>7711</v>
      </c>
      <c r="AG844" s="0" t="n">
        <v>0</v>
      </c>
      <c r="AH844" s="0" t="s">
        <v>7712</v>
      </c>
      <c r="AI844" s="0" t="s">
        <v>618</v>
      </c>
      <c r="AJ844" s="0" t="s">
        <v>322</v>
      </c>
      <c r="AL844" s="0" t="s">
        <v>7713</v>
      </c>
      <c r="AM844" s="0" t="n">
        <v>0</v>
      </c>
      <c r="AN844" s="0" t="s">
        <v>7712</v>
      </c>
      <c r="AO844" s="0" t="s">
        <v>618</v>
      </c>
      <c r="AP844" s="0" t="s">
        <v>322</v>
      </c>
      <c r="AR844" s="0" t="s">
        <v>7714</v>
      </c>
      <c r="AS844" s="0" t="n">
        <v>1</v>
      </c>
      <c r="AT844" s="0" t="s">
        <v>7712</v>
      </c>
      <c r="AU844" s="0" t="s">
        <v>618</v>
      </c>
      <c r="AV844" s="0" t="s">
        <v>322</v>
      </c>
      <c r="BR844" s="0" t="n">
        <v>1</v>
      </c>
      <c r="BS844" s="0" t="s">
        <v>7715</v>
      </c>
      <c r="BT844" s="0" t="s">
        <v>4748</v>
      </c>
      <c r="BU844" s="0" t="s">
        <v>4749</v>
      </c>
      <c r="BV844" s="123"/>
      <c r="BW844" s="123"/>
      <c r="BX844" s="123"/>
      <c r="BY844" s="123"/>
      <c r="CA844" s="0" t="s">
        <v>4750</v>
      </c>
      <c r="CD844" s="0" t="s">
        <v>370</v>
      </c>
      <c r="CE844" s="0" t="n">
        <v>0</v>
      </c>
      <c r="CF844" s="0" t="s">
        <v>1959</v>
      </c>
      <c r="CG844" s="0" t="s">
        <v>218</v>
      </c>
      <c r="CI844" s="1" t="n">
        <v>40564</v>
      </c>
      <c r="CJ844" s="1" t="n">
        <v>40744</v>
      </c>
      <c r="CK844" s="124" t="n">
        <v>0.791666666666667</v>
      </c>
      <c r="CL844" s="0" t="s">
        <v>7714</v>
      </c>
      <c r="CM844" s="0" t="n">
        <f aca="false">IF(OR(CI844="",CJ844=""),"",DAYS360(CI844,CJ844)/360)</f>
        <v>0.497222222222222</v>
      </c>
      <c r="CN844" s="0" t="n">
        <f aca="false">IF(OR(CI844="",CJ844=""),"",DAYS360(CI844,CJ844)/30)</f>
        <v>5.96666666666667</v>
      </c>
      <c r="CO844" s="0" t="n">
        <f aca="false">IF(OR(CI844="",CJ844=""),"",DAYS360(CI844,CJ844)/7)</f>
        <v>25.5714285714286</v>
      </c>
      <c r="CP844" s="0" t="n">
        <f aca="false">IF(OR(CI844="",CJ844=""),"",DAYS360(CI844,CJ844))</f>
        <v>179</v>
      </c>
      <c r="CQ844" s="0" t="s">
        <v>220</v>
      </c>
      <c r="CR844" s="0" t="n">
        <v>1</v>
      </c>
      <c r="CT844" s="0" t="n">
        <v>166.66</v>
      </c>
      <c r="CU844" s="0" t="n">
        <v>0</v>
      </c>
      <c r="CV844" s="0" t="n">
        <f aca="false">IF(OR(CT844="",CT844="NO ESPECIFICA",CT844="NO MENCIONA"),"",IF(CU844=0,CT844,IF(CU844=1,CT844/30,IF(CU844=2,CT844/15,IF(CU844=3,CT844/7,"")))))</f>
        <v>166.66</v>
      </c>
      <c r="CW844" s="125" t="n">
        <v>182.4</v>
      </c>
      <c r="CX844" s="0" t="n">
        <v>0</v>
      </c>
      <c r="CY844" s="0" t="n">
        <f aca="false">IF(CW844="","",IF(CX844=0,CW844,IF(CX844=1,CW844/30,IF(CX844=2,CW844/15,IF(CX844=3,CW844/7,CW844)))))</f>
        <v>182.4</v>
      </c>
      <c r="CZ844" s="0" t="n">
        <f aca="false">IF(DI844&gt;0,DI844,IF(CY844&gt;0,CY844,IF(CV844&gt;0,CV844,"")))</f>
        <v>182.4</v>
      </c>
      <c r="DA844" s="0" t="n">
        <f aca="false">IF(DM844=1,CZ844/8,IF(OR(DM844=2,DM844=4),CZ844/7,IF(DM844=3,CZ844/7.5,"")))</f>
        <v>22.8</v>
      </c>
      <c r="DB844" s="0" t="s">
        <v>303</v>
      </c>
      <c r="DC844" s="0" t="s">
        <v>301</v>
      </c>
      <c r="DH844" s="0" t="n">
        <v>0</v>
      </c>
      <c r="DI844" s="126" t="n">
        <v>182.4</v>
      </c>
      <c r="DK844" s="0" t="n">
        <v>0</v>
      </c>
      <c r="DM844" s="0" t="n">
        <v>1</v>
      </c>
      <c r="DN844" s="0" t="n">
        <v>54</v>
      </c>
      <c r="DO844" s="0" t="n">
        <v>3</v>
      </c>
      <c r="DP844" s="0" t="n">
        <v>1</v>
      </c>
      <c r="DQ844" s="0" t="n">
        <v>1</v>
      </c>
      <c r="DR844" s="0"/>
      <c r="DS844" s="0" t="n">
        <v>1</v>
      </c>
      <c r="DU844" s="0" t="n">
        <v>1</v>
      </c>
      <c r="DW844" s="1" t="n">
        <v>40564</v>
      </c>
      <c r="DX844" s="1" t="n">
        <v>40744</v>
      </c>
      <c r="DZ844" s="0"/>
      <c r="EA844" s="0" t="n">
        <v>1</v>
      </c>
      <c r="EC844" s="1" t="n">
        <v>40564</v>
      </c>
      <c r="ED844" s="1" t="n">
        <v>40744</v>
      </c>
      <c r="EF844" s="0"/>
      <c r="EG844" s="0" t="n">
        <v>1</v>
      </c>
      <c r="EH844" s="0" t="n">
        <v>6</v>
      </c>
      <c r="EI844" s="0" t="n">
        <f aca="false">IF(AND(DM844=1,DN844&lt;=48),"",IF(AND(DM844=2,DN844&lt;=42),"",IF(AND(DM844=3,DN844&lt;=45),"",EH844)))</f>
        <v>6</v>
      </c>
      <c r="EJ844" s="0" t="n">
        <f aca="false">IF(EI844="","",IF(EI844&lt;9,EI844,9))</f>
        <v>6</v>
      </c>
      <c r="EK844" s="0" t="n">
        <f aca="false">IF(EI844="","",IF(EI844&gt;9,EI844-EJ844,0))</f>
        <v>0</v>
      </c>
      <c r="EL844" s="0" t="n">
        <f aca="false">IF(EI844="","",EJ844*DA844*2+EK844*DA844*3)</f>
        <v>273.6</v>
      </c>
      <c r="EP844" s="0" t="n">
        <v>1</v>
      </c>
      <c r="EQ844" s="0"/>
      <c r="ER844" s="0" t="n">
        <v>0</v>
      </c>
      <c r="ET844" s="0" t="n">
        <v>0</v>
      </c>
      <c r="EV844" s="0" t="n">
        <v>0</v>
      </c>
      <c r="EX844" s="0" t="n">
        <v>1</v>
      </c>
      <c r="EY844" s="0" t="n">
        <v>0</v>
      </c>
      <c r="EZ844" s="0"/>
      <c r="FA844" s="4" t="n">
        <v>0</v>
      </c>
      <c r="FB844" s="0" t="n">
        <v>1</v>
      </c>
      <c r="FC844" s="1" t="n">
        <v>40932</v>
      </c>
      <c r="FD844" s="0" t="n">
        <v>2</v>
      </c>
      <c r="FE844" s="0" t="n">
        <v>0</v>
      </c>
      <c r="FF844" s="120" t="n">
        <f aca="false">(CJ844-CI844+1)/365</f>
        <v>0.495890410958904</v>
      </c>
      <c r="FG844" s="0" t="str">
        <f aca="false">CONCATENATE(F844,"/",G844)</f>
        <v>1450/2011</v>
      </c>
      <c r="FH844" s="0" t="n">
        <v>1</v>
      </c>
      <c r="FI844" s="0" t="n">
        <f aca="false">IFERROR(IF((FC844-J844+1)/365&gt;3,0,1),"")</f>
        <v>1</v>
      </c>
    </row>
    <row r="845" customFormat="false" ht="15" hidden="false" customHeight="false" outlineLevel="0" collapsed="false">
      <c r="A845" s="5" t="str">
        <f aca="false">E845&amp;G845&amp;F845</f>
        <v>720111453</v>
      </c>
      <c r="B845" s="0" t="s">
        <v>5405</v>
      </c>
      <c r="C845" s="1" t="n">
        <v>42358</v>
      </c>
      <c r="D845" s="0" t="s">
        <v>3265</v>
      </c>
      <c r="E845" s="0" t="n">
        <v>7</v>
      </c>
      <c r="F845" s="0" t="n">
        <v>1453</v>
      </c>
      <c r="G845" s="0" t="n">
        <v>2011</v>
      </c>
      <c r="H845" s="0" t="str">
        <f aca="false">"J"&amp;E845&amp;"\"&amp;F845&amp;"\"&amp;G845&amp;"\"&amp;W845</f>
        <v>J7\1453\2011\1</v>
      </c>
      <c r="I845" s="0"/>
      <c r="J845" s="1" t="n">
        <v>40779</v>
      </c>
      <c r="K845" s="0" t="n">
        <v>0</v>
      </c>
      <c r="M845" s="1"/>
      <c r="N845" s="1"/>
      <c r="O845" s="1"/>
      <c r="P845" s="1"/>
      <c r="Q845" s="1"/>
      <c r="T845" s="121"/>
      <c r="U845" s="121"/>
      <c r="V845" s="122" t="n">
        <f aca="false">IF(AND(E845&gt;0,F845&gt;0,G845&gt;0),COUNTIFS($E:$E,E845,$F:$F,F845,$G:$G,G845),"")</f>
        <v>1</v>
      </c>
      <c r="W845" s="122" t="n">
        <f aca="false">IF(V845="","",IF(V845=1,1,IF(AND(E844=E845,F844=F845,G844=G845),W844+1,1)))</f>
        <v>1</v>
      </c>
      <c r="X845" s="0" t="n">
        <v>1</v>
      </c>
      <c r="Y845" s="0" t="n">
        <v>6</v>
      </c>
      <c r="Z845" s="0" t="s">
        <v>7716</v>
      </c>
      <c r="AA845" s="0" t="n">
        <v>0</v>
      </c>
      <c r="AB845" s="0" t="s">
        <v>7717</v>
      </c>
      <c r="AC845" s="0" t="s">
        <v>2803</v>
      </c>
      <c r="AD845" s="0" t="s">
        <v>485</v>
      </c>
      <c r="AE845" s="0" t="n">
        <v>0</v>
      </c>
      <c r="AF845" s="0" t="s">
        <v>7718</v>
      </c>
      <c r="AG845" s="0" t="n">
        <v>0</v>
      </c>
      <c r="AH845" s="0" t="s">
        <v>7719</v>
      </c>
      <c r="AI845" s="0" t="s">
        <v>618</v>
      </c>
      <c r="AJ845" s="0" t="s">
        <v>322</v>
      </c>
      <c r="AL845" s="0" t="s">
        <v>213</v>
      </c>
      <c r="AM845" s="0" t="n">
        <v>1</v>
      </c>
      <c r="AN845" s="0" t="s">
        <v>7719</v>
      </c>
      <c r="AO845" s="0" t="s">
        <v>618</v>
      </c>
      <c r="AP845" s="0" t="s">
        <v>322</v>
      </c>
      <c r="AR845" s="0" t="s">
        <v>7720</v>
      </c>
      <c r="AS845" s="0" t="n">
        <v>1</v>
      </c>
      <c r="AT845" s="0" t="s">
        <v>7719</v>
      </c>
      <c r="AU845" s="0" t="s">
        <v>618</v>
      </c>
      <c r="AV845" s="0" t="s">
        <v>322</v>
      </c>
      <c r="AX845" s="0" t="s">
        <v>7721</v>
      </c>
      <c r="AY845" s="0" t="n">
        <v>1</v>
      </c>
      <c r="AZ845" s="0" t="s">
        <v>7719</v>
      </c>
      <c r="BA845" s="0" t="s">
        <v>618</v>
      </c>
      <c r="BB845" s="0" t="s">
        <v>322</v>
      </c>
      <c r="BD845" s="0" t="s">
        <v>249</v>
      </c>
      <c r="BE845" s="0" t="n">
        <v>0</v>
      </c>
      <c r="BF845" s="0" t="s">
        <v>4642</v>
      </c>
      <c r="BG845" s="0" t="s">
        <v>410</v>
      </c>
      <c r="BH845" s="0" t="s">
        <v>411</v>
      </c>
      <c r="BJ845" s="0" t="s">
        <v>412</v>
      </c>
      <c r="BK845" s="0" t="n">
        <v>0</v>
      </c>
      <c r="BL845" s="0" t="s">
        <v>4230</v>
      </c>
      <c r="BM845" s="0" t="s">
        <v>438</v>
      </c>
      <c r="BR845" s="0" t="n">
        <v>1</v>
      </c>
      <c r="BS845" s="0" t="s">
        <v>7722</v>
      </c>
      <c r="BT845" s="0" t="s">
        <v>7723</v>
      </c>
      <c r="BU845" s="0" t="s">
        <v>7724</v>
      </c>
      <c r="BV845" s="123"/>
      <c r="BW845" s="123"/>
      <c r="BX845" s="123"/>
      <c r="BY845" s="123"/>
      <c r="CA845" s="0" t="s">
        <v>7725</v>
      </c>
      <c r="CD845" s="0" t="s">
        <v>216</v>
      </c>
      <c r="CE845" s="0" t="n">
        <v>0</v>
      </c>
      <c r="CF845" s="0" t="s">
        <v>4331</v>
      </c>
      <c r="CG845" s="0" t="s">
        <v>218</v>
      </c>
      <c r="CI845" s="1" t="n">
        <v>40213</v>
      </c>
      <c r="CJ845" s="1" t="n">
        <v>40719</v>
      </c>
      <c r="CK845" s="124" t="s">
        <v>216</v>
      </c>
      <c r="CL845" s="0" t="s">
        <v>7726</v>
      </c>
      <c r="CM845" s="0" t="n">
        <f aca="false">IF(OR(CI845="",CJ845=""),"",DAYS360(CI845,CJ845)/360)</f>
        <v>1.39166666666667</v>
      </c>
      <c r="CN845" s="0" t="n">
        <f aca="false">IF(OR(CI845="",CJ845=""),"",DAYS360(CI845,CJ845)/30)</f>
        <v>16.7</v>
      </c>
      <c r="CO845" s="0" t="n">
        <f aca="false">IF(OR(CI845="",CJ845=""),"",DAYS360(CI845,CJ845)/7)</f>
        <v>71.5714285714286</v>
      </c>
      <c r="CP845" s="0" t="n">
        <f aca="false">IF(OR(CI845="",CJ845=""),"",DAYS360(CI845,CJ845))</f>
        <v>501</v>
      </c>
      <c r="CQ845" s="0" t="s">
        <v>220</v>
      </c>
      <c r="CR845" s="0" t="n">
        <v>1</v>
      </c>
      <c r="CT845" s="0" t="n">
        <v>21000</v>
      </c>
      <c r="CU845" s="0" t="n">
        <v>1</v>
      </c>
      <c r="CV845" s="0" t="n">
        <f aca="false">IF(OR(CT845="",CT845="NO ESPECIFICA",CT845="NO MENCIONA"),"",IF(CU845=0,CT845,IF(CU845=1,CT845/30,IF(CU845=2,CT845/15,IF(CU845=3,CT845/7,"")))))</f>
        <v>700</v>
      </c>
      <c r="CW845" s="125" t="s">
        <v>216</v>
      </c>
      <c r="CY845" s="0" t="str">
        <f aca="false">IF(CW845="","",IF(CX845=0,CW845,IF(CX845=1,CW845/30,IF(CX845=2,CW845/15,IF(CX845=3,CW845/7,CW845)))))</f>
        <v>NO MENCIONA</v>
      </c>
      <c r="CZ845" s="0" t="n">
        <f aca="false">IF(DI845&gt;0,DI845,IF(CY845&gt;0,CY845,IF(CV845&gt;0,CV845,"")))</f>
        <v>700</v>
      </c>
      <c r="DA845" s="0" t="n">
        <f aca="false">IF(DM845=1,CZ845/8,IF(OR(DM845=2,DM845=4),CZ845/7,IF(DM845=3,CZ845/7.5,"")))</f>
        <v>87.5</v>
      </c>
      <c r="DH845" s="0" t="n">
        <v>0</v>
      </c>
      <c r="DI845" s="126" t="n">
        <v>700</v>
      </c>
      <c r="DK845" s="0" t="n">
        <v>0</v>
      </c>
      <c r="DM845" s="0" t="n">
        <v>1</v>
      </c>
      <c r="DN845" s="0" t="n">
        <v>72</v>
      </c>
      <c r="DO845" s="0" t="n">
        <v>3</v>
      </c>
      <c r="DP845" s="0" t="n">
        <v>1</v>
      </c>
      <c r="DQ845" s="0" t="n">
        <v>0</v>
      </c>
      <c r="DR845" s="0"/>
      <c r="DS845" s="0" t="n">
        <v>1</v>
      </c>
      <c r="DU845" s="0" t="n">
        <v>0</v>
      </c>
      <c r="DW845" s="1" t="n">
        <v>40213</v>
      </c>
      <c r="DX845" s="1" t="n">
        <v>40719</v>
      </c>
      <c r="DZ845" s="0"/>
      <c r="EA845" s="0" t="n">
        <v>1</v>
      </c>
      <c r="EC845" s="1" t="n">
        <v>40213</v>
      </c>
      <c r="ED845" s="1" t="n">
        <v>40719</v>
      </c>
      <c r="EF845" s="0"/>
      <c r="EG845" s="0" t="n">
        <v>1</v>
      </c>
      <c r="EH845" s="0" t="n">
        <v>8</v>
      </c>
      <c r="EI845" s="0" t="n">
        <f aca="false">IF(AND(DM845=1,DN845&lt;=48),"",IF(AND(DM845=2,DN845&lt;=42),"",IF(AND(DM845=3,DN845&lt;=45),"",EH845)))</f>
        <v>8</v>
      </c>
      <c r="EJ845" s="0" t="n">
        <f aca="false">IF(EI845="","",IF(EI845&lt;9,EI845,9))</f>
        <v>8</v>
      </c>
      <c r="EK845" s="0" t="n">
        <f aca="false">IF(EI845="","",IF(EI845&gt;9,EI845-EJ845,0))</f>
        <v>0</v>
      </c>
      <c r="EL845" s="0" t="n">
        <f aca="false">IF(EI845="","",EJ845*DA845*2+EK845*DA845*3)</f>
        <v>1400</v>
      </c>
      <c r="EP845" s="0" t="n">
        <v>0</v>
      </c>
      <c r="EQ845" s="0"/>
      <c r="ER845" s="0" t="n">
        <v>0</v>
      </c>
      <c r="ET845" s="0" t="n">
        <v>1</v>
      </c>
      <c r="EV845" s="0" t="n">
        <v>1</v>
      </c>
      <c r="EX845" s="0" t="n">
        <v>1</v>
      </c>
      <c r="EY845" s="0" t="n">
        <v>1</v>
      </c>
      <c r="EZ845" s="0"/>
      <c r="FA845" s="4" t="n">
        <v>5000</v>
      </c>
      <c r="FB845" s="0" t="n">
        <v>1</v>
      </c>
      <c r="FC845" s="1" t="n">
        <v>41036</v>
      </c>
      <c r="FD845" s="0" t="n">
        <v>1</v>
      </c>
      <c r="FE845" s="0" t="n">
        <v>11000</v>
      </c>
      <c r="FF845" s="120" t="n">
        <f aca="false">(CJ845-CI845+1)/365</f>
        <v>1.38904109589041</v>
      </c>
      <c r="FG845" s="0" t="str">
        <f aca="false">CONCATENATE(F845,"/",G845)</f>
        <v>1453/2011</v>
      </c>
      <c r="FH845" s="0" t="n">
        <v>1</v>
      </c>
      <c r="FI845" s="0" t="n">
        <f aca="false">IFERROR(IF((FC845-J845+1)/365&gt;3,0,1),"")</f>
        <v>1</v>
      </c>
    </row>
    <row r="846" customFormat="false" ht="15" hidden="false" customHeight="false" outlineLevel="0" collapsed="false">
      <c r="A846" s="5" t="str">
        <f aca="false">E846&amp;G846&amp;F846</f>
        <v>720111454</v>
      </c>
      <c r="B846" s="0" t="s">
        <v>5405</v>
      </c>
      <c r="C846" s="1" t="n">
        <v>42358</v>
      </c>
      <c r="E846" s="0" t="n">
        <v>7</v>
      </c>
      <c r="F846" s="0" t="n">
        <v>1454</v>
      </c>
      <c r="G846" s="0" t="n">
        <v>2011</v>
      </c>
      <c r="H846" s="0" t="str">
        <f aca="false">"J"&amp;E846&amp;"\"&amp;F846&amp;"\"&amp;G846&amp;"\"&amp;W846</f>
        <v>J7\1454\2011\1</v>
      </c>
      <c r="I846" s="0"/>
      <c r="J846" s="1" t="n">
        <v>40779</v>
      </c>
      <c r="K846" s="0" t="n">
        <v>0</v>
      </c>
      <c r="M846" s="1" t="n">
        <v>42240</v>
      </c>
      <c r="N846" s="1" t="n">
        <v>40997</v>
      </c>
      <c r="O846" s="1"/>
      <c r="P846" s="1"/>
      <c r="Q846" s="1"/>
      <c r="T846" s="121"/>
      <c r="U846" s="121"/>
      <c r="V846" s="122" t="n">
        <f aca="false">IF(AND(E846&gt;0,F846&gt;0,G846&gt;0),COUNTIFS($E:$E,E846,$F:$F,F846,$G:$G,G846),"")</f>
        <v>1</v>
      </c>
      <c r="W846" s="122" t="n">
        <f aca="false">IF(V846="","",IF(V846=1,1,IF(AND(E845=E846,F845=F846,G845=G846),W845+1,1)))</f>
        <v>1</v>
      </c>
      <c r="X846" s="0" t="n">
        <v>1</v>
      </c>
      <c r="Y846" s="0" t="n">
        <v>9</v>
      </c>
      <c r="Z846" s="0" t="s">
        <v>7727</v>
      </c>
      <c r="AA846" s="0" t="n">
        <v>0</v>
      </c>
      <c r="AB846" s="0" t="s">
        <v>7728</v>
      </c>
      <c r="AC846" s="0" t="s">
        <v>1136</v>
      </c>
      <c r="AD846" s="0" t="s">
        <v>590</v>
      </c>
      <c r="AE846" s="0" t="n">
        <v>0</v>
      </c>
      <c r="AF846" s="0" t="s">
        <v>7729</v>
      </c>
      <c r="AG846" s="0" t="n">
        <v>0</v>
      </c>
      <c r="AH846" s="0" t="s">
        <v>7730</v>
      </c>
      <c r="AI846" s="0" t="s">
        <v>7731</v>
      </c>
      <c r="AJ846" s="0" t="s">
        <v>207</v>
      </c>
      <c r="AL846" s="0" t="s">
        <v>7732</v>
      </c>
      <c r="AM846" s="0" t="n">
        <v>0</v>
      </c>
      <c r="AN846" s="0" t="s">
        <v>7730</v>
      </c>
      <c r="AO846" s="0" t="s">
        <v>7731</v>
      </c>
      <c r="AP846" s="0" t="s">
        <v>207</v>
      </c>
      <c r="AR846" s="0" t="s">
        <v>7733</v>
      </c>
      <c r="AS846" s="0" t="n">
        <v>0</v>
      </c>
      <c r="AT846" s="0" t="s">
        <v>7730</v>
      </c>
      <c r="AU846" s="0" t="s">
        <v>7731</v>
      </c>
      <c r="AV846" s="0" t="s">
        <v>207</v>
      </c>
      <c r="AX846" s="0" t="s">
        <v>7734</v>
      </c>
      <c r="AY846" s="0" t="n">
        <v>0</v>
      </c>
      <c r="AZ846" s="0" t="s">
        <v>7730</v>
      </c>
      <c r="BA846" s="0" t="s">
        <v>7731</v>
      </c>
      <c r="BB846" s="0" t="s">
        <v>207</v>
      </c>
      <c r="BD846" s="0" t="s">
        <v>7735</v>
      </c>
      <c r="BE846" s="0" t="n">
        <v>1</v>
      </c>
      <c r="BF846" s="0" t="s">
        <v>7730</v>
      </c>
      <c r="BG846" s="0" t="s">
        <v>7731</v>
      </c>
      <c r="BH846" s="0" t="s">
        <v>207</v>
      </c>
      <c r="BJ846" s="0" t="s">
        <v>7736</v>
      </c>
      <c r="BK846" s="0" t="n">
        <v>1</v>
      </c>
      <c r="BL846" s="0" t="s">
        <v>7730</v>
      </c>
      <c r="BM846" s="0" t="s">
        <v>7731</v>
      </c>
      <c r="BN846" s="0" t="s">
        <v>207</v>
      </c>
      <c r="BR846" s="0" t="n">
        <v>1</v>
      </c>
      <c r="BS846" s="0" t="s">
        <v>7737</v>
      </c>
      <c r="BT846" s="0" t="s">
        <v>7738</v>
      </c>
      <c r="BV846" s="123"/>
      <c r="BW846" s="123"/>
      <c r="BX846" s="123"/>
      <c r="BY846" s="123"/>
      <c r="CD846" s="0" t="s">
        <v>370</v>
      </c>
      <c r="CE846" s="0" t="n">
        <v>0</v>
      </c>
      <c r="CF846" s="0" t="s">
        <v>7739</v>
      </c>
      <c r="CG846" s="0" t="s">
        <v>218</v>
      </c>
      <c r="CI846" s="1" t="n">
        <v>38184</v>
      </c>
      <c r="CJ846" s="1" t="n">
        <v>40756</v>
      </c>
      <c r="CK846" s="124" t="n">
        <v>0.333333333333333</v>
      </c>
      <c r="CL846" s="0" t="s">
        <v>7740</v>
      </c>
      <c r="CM846" s="0" t="n">
        <f aca="false">IF(OR(CI846="",CJ846=""),"",DAYS360(CI846,CJ846)/360)</f>
        <v>7.04166666666667</v>
      </c>
      <c r="CN846" s="0" t="n">
        <f aca="false">IF(OR(CI846="",CJ846=""),"",DAYS360(CI846,CJ846)/30)</f>
        <v>84.5</v>
      </c>
      <c r="CO846" s="0" t="n">
        <f aca="false">IF(OR(CI846="",CJ846=""),"",DAYS360(CI846,CJ846)/7)</f>
        <v>362.142857142857</v>
      </c>
      <c r="CP846" s="0" t="n">
        <f aca="false">IF(OR(CI846="",CJ846=""),"",DAYS360(CI846,CJ846))</f>
        <v>2535</v>
      </c>
      <c r="CQ846" s="0" t="s">
        <v>240</v>
      </c>
      <c r="CR846" s="0" t="n">
        <v>1</v>
      </c>
      <c r="CT846" s="0" t="n">
        <v>129.82</v>
      </c>
      <c r="CU846" s="0" t="n">
        <v>0</v>
      </c>
      <c r="CV846" s="0" t="n">
        <f aca="false">IF(OR(CT846="",CT846="NO ESPECIFICA",CT846="NO MENCIONA"),"",IF(CU846=0,CT846,IF(CU846=1,CT846/30,IF(CU846=2,CT846/15,IF(CU846=3,CT846/7,"")))))</f>
        <v>129.82</v>
      </c>
      <c r="CW846" s="125" t="s">
        <v>221</v>
      </c>
      <c r="CY846" s="0" t="str">
        <f aca="false">IF(CW846="","",IF(CX846=0,CW846,IF(CX846=1,CW846/30,IF(CX846=2,CW846/15,IF(CX846=3,CW846/7,CW846)))))</f>
        <v>NO ESPECIFICA</v>
      </c>
      <c r="CZ846" s="0" t="n">
        <f aca="false">IF(DI846&gt;0,DI846,IF(CY846&gt;0,CY846,IF(CV846&gt;0,CV846,"")))</f>
        <v>129.82</v>
      </c>
      <c r="DA846" s="0" t="n">
        <f aca="false">IF(DM846=1,CZ846/8,IF(OR(DM846=2,DM846=4),CZ846/7,IF(DM846=3,CZ846/7.5,"")))</f>
        <v>16.2275</v>
      </c>
      <c r="DB846" s="0" t="s">
        <v>7741</v>
      </c>
      <c r="DC846" s="0" t="s">
        <v>627</v>
      </c>
      <c r="DD846" s="0" t="s">
        <v>300</v>
      </c>
      <c r="DE846" s="0" t="s">
        <v>303</v>
      </c>
      <c r="DF846" s="0" t="s">
        <v>2022</v>
      </c>
      <c r="DG846" s="0" t="s">
        <v>417</v>
      </c>
      <c r="DH846" s="0" t="n">
        <v>0</v>
      </c>
      <c r="DI846" s="126" t="n">
        <v>129.82</v>
      </c>
      <c r="DK846" s="0" t="n">
        <v>0</v>
      </c>
      <c r="DM846" s="0" t="n">
        <v>1</v>
      </c>
      <c r="DN846" s="0" t="n">
        <v>84</v>
      </c>
      <c r="DO846" s="0" t="n">
        <v>3</v>
      </c>
      <c r="DP846" s="0" t="n">
        <v>0</v>
      </c>
      <c r="DQ846" s="0" t="n">
        <v>1</v>
      </c>
      <c r="DR846" s="0"/>
      <c r="DS846" s="0" t="n">
        <v>1</v>
      </c>
      <c r="DU846" s="0" t="n">
        <v>1</v>
      </c>
      <c r="DW846" s="1" t="n">
        <v>40375</v>
      </c>
      <c r="DX846" s="1" t="n">
        <v>40756</v>
      </c>
      <c r="DZ846" s="0"/>
      <c r="EA846" s="0" t="n">
        <v>1</v>
      </c>
      <c r="EC846" s="1" t="n">
        <v>40179</v>
      </c>
      <c r="ED846" s="1" t="n">
        <v>40756</v>
      </c>
      <c r="EF846" s="0"/>
      <c r="EG846" s="0" t="n">
        <v>1</v>
      </c>
      <c r="EH846" s="0" t="n">
        <v>14</v>
      </c>
      <c r="EI846" s="0" t="n">
        <f aca="false">IF(AND(DM846=1,DN846&lt;=48),"",IF(AND(DM846=2,DN846&lt;=42),"",IF(AND(DM846=3,DN846&lt;=45),"",EH846)))</f>
        <v>14</v>
      </c>
      <c r="EJ846" s="0" t="n">
        <f aca="false">IF(EI846="","",IF(EI846&lt;9,EI846,9))</f>
        <v>9</v>
      </c>
      <c r="EK846" s="0" t="n">
        <f aca="false">IF(EI846="","",IF(EI846&gt;9,EI846-EJ846,0))</f>
        <v>5</v>
      </c>
      <c r="EL846" s="0" t="n">
        <f aca="false">IF(EI846="","",EJ846*DA846*2+EK846*DA846*3)</f>
        <v>535.5075</v>
      </c>
      <c r="EP846" s="0" t="n">
        <v>0</v>
      </c>
      <c r="EQ846" s="0"/>
      <c r="ER846" s="0" t="n">
        <v>0</v>
      </c>
      <c r="ET846" s="0" t="n">
        <v>0</v>
      </c>
      <c r="EV846" s="0" t="n">
        <v>0</v>
      </c>
      <c r="EX846" s="0" t="n">
        <v>1</v>
      </c>
      <c r="EY846" s="0" t="n">
        <v>1</v>
      </c>
      <c r="EZ846" s="0"/>
      <c r="FA846" s="4" t="n">
        <v>0</v>
      </c>
      <c r="FB846" s="0" t="n">
        <v>1</v>
      </c>
      <c r="FC846" s="1" t="n">
        <v>41192</v>
      </c>
      <c r="FD846" s="0" t="n">
        <v>1</v>
      </c>
      <c r="FE846" s="0" t="n">
        <v>67000</v>
      </c>
      <c r="FF846" s="120" t="n">
        <f aca="false">(CJ846-CI846+1)/365</f>
        <v>7.04931506849315</v>
      </c>
      <c r="FG846" s="0" t="str">
        <f aca="false">CONCATENATE(F846,"/",G846)</f>
        <v>1454/2011</v>
      </c>
      <c r="FH846" s="0" t="n">
        <v>1</v>
      </c>
      <c r="FI846" s="0" t="n">
        <f aca="false">IFERROR(IF((FC846-J846+1)/365&gt;3,0,1),"")</f>
        <v>1</v>
      </c>
    </row>
    <row r="847" customFormat="false" ht="15" hidden="false" customHeight="false" outlineLevel="0" collapsed="false">
      <c r="A847" s="5" t="str">
        <f aca="false">E847&amp;G847&amp;F847</f>
        <v>720111459</v>
      </c>
      <c r="B847" s="0" t="s">
        <v>5405</v>
      </c>
      <c r="C847" s="1" t="n">
        <v>42358</v>
      </c>
      <c r="D847" s="0" t="s">
        <v>3265</v>
      </c>
      <c r="E847" s="0" t="n">
        <v>7</v>
      </c>
      <c r="F847" s="0" t="n">
        <v>1459</v>
      </c>
      <c r="G847" s="0" t="n">
        <v>2011</v>
      </c>
      <c r="H847" s="0" t="str">
        <f aca="false">"J"&amp;E847&amp;"\"&amp;F847&amp;"\"&amp;G847&amp;"\"&amp;W847</f>
        <v>J7\1459\2011\1</v>
      </c>
      <c r="I847" s="0"/>
      <c r="J847" s="1" t="n">
        <v>40780</v>
      </c>
      <c r="K847" s="0" t="n">
        <v>0</v>
      </c>
      <c r="M847" s="1"/>
      <c r="N847" s="1"/>
      <c r="O847" s="1"/>
      <c r="P847" s="1"/>
      <c r="Q847" s="1"/>
      <c r="T847" s="121"/>
      <c r="U847" s="121"/>
      <c r="V847" s="122" t="n">
        <f aca="false">IF(AND(E847&gt;0,F847&gt;0,G847&gt;0),COUNTIFS($E:$E,E847,$F:$F,F847,$G:$G,G847),"")</f>
        <v>1</v>
      </c>
      <c r="W847" s="122" t="n">
        <f aca="false">IF(V847="","",IF(V847=1,1,IF(AND(E846=E847,F846=F847,G846=G847),W846+1,1)))</f>
        <v>1</v>
      </c>
      <c r="X847" s="0" t="n">
        <v>1</v>
      </c>
      <c r="Y847" s="0" t="n">
        <v>4</v>
      </c>
      <c r="Z847" s="0" t="s">
        <v>7742</v>
      </c>
      <c r="AA847" s="0" t="n">
        <v>0</v>
      </c>
      <c r="AB847" s="0" t="s">
        <v>7743</v>
      </c>
      <c r="AC847" s="0" t="s">
        <v>7744</v>
      </c>
      <c r="AD847" s="0" t="s">
        <v>7745</v>
      </c>
      <c r="AE847" s="0" t="n">
        <v>0</v>
      </c>
      <c r="AF847" s="0" t="s">
        <v>7746</v>
      </c>
      <c r="AG847" s="0" t="n">
        <v>0</v>
      </c>
      <c r="AH847" s="0" t="s">
        <v>5492</v>
      </c>
      <c r="AI847" s="0" t="s">
        <v>7747</v>
      </c>
      <c r="AJ847" s="0" t="s">
        <v>207</v>
      </c>
      <c r="AL847" s="0" t="s">
        <v>7748</v>
      </c>
      <c r="AM847" s="0" t="n">
        <v>1</v>
      </c>
      <c r="AN847" s="0" t="s">
        <v>5492</v>
      </c>
      <c r="AO847" s="0" t="s">
        <v>7747</v>
      </c>
      <c r="AP847" s="0" t="s">
        <v>207</v>
      </c>
      <c r="AR847" s="0" t="s">
        <v>7749</v>
      </c>
      <c r="AS847" s="0" t="n">
        <v>1</v>
      </c>
      <c r="AT847" s="0" t="s">
        <v>5492</v>
      </c>
      <c r="AU847" s="0" t="s">
        <v>7747</v>
      </c>
      <c r="AV847" s="0" t="s">
        <v>207</v>
      </c>
      <c r="AX847" s="0" t="s">
        <v>2334</v>
      </c>
      <c r="AY847" s="0" t="n">
        <v>0</v>
      </c>
      <c r="AZ847" s="0" t="s">
        <v>5492</v>
      </c>
      <c r="BA847" s="0" t="s">
        <v>7747</v>
      </c>
      <c r="BB847" s="0" t="s">
        <v>207</v>
      </c>
      <c r="BR847" s="0" t="n">
        <v>1</v>
      </c>
      <c r="BS847" s="0" t="s">
        <v>7750</v>
      </c>
      <c r="BT847" s="0" t="s">
        <v>7751</v>
      </c>
      <c r="BU847" s="0" t="s">
        <v>7752</v>
      </c>
      <c r="BV847" s="123"/>
      <c r="BW847" s="123"/>
      <c r="BX847" s="123"/>
      <c r="BY847" s="123"/>
      <c r="CD847" s="0" t="s">
        <v>296</v>
      </c>
      <c r="CE847" s="0" t="n">
        <v>0</v>
      </c>
      <c r="CF847" s="0" t="s">
        <v>7753</v>
      </c>
      <c r="CG847" s="0" t="s">
        <v>218</v>
      </c>
      <c r="CI847" s="1" t="n">
        <v>40035</v>
      </c>
      <c r="CJ847" s="1" t="n">
        <v>40738</v>
      </c>
      <c r="CK847" s="124" t="n">
        <v>0.46875</v>
      </c>
      <c r="CL847" s="0" t="s">
        <v>7748</v>
      </c>
      <c r="CM847" s="0" t="n">
        <f aca="false">IF(OR(CI847="",CJ847=""),"",DAYS360(CI847,CJ847)/360)</f>
        <v>1.92777777777778</v>
      </c>
      <c r="CN847" s="0" t="n">
        <f aca="false">IF(OR(CI847="",CJ847=""),"",DAYS360(CI847,CJ847)/30)</f>
        <v>23.1333333333333</v>
      </c>
      <c r="CO847" s="0" t="n">
        <f aca="false">IF(OR(CI847="",CJ847=""),"",DAYS360(CI847,CJ847)/7)</f>
        <v>99.1428571428571</v>
      </c>
      <c r="CP847" s="0" t="n">
        <f aca="false">IF(OR(CI847="",CJ847=""),"",DAYS360(CI847,CJ847))</f>
        <v>694</v>
      </c>
      <c r="CQ847" s="0" t="s">
        <v>240</v>
      </c>
      <c r="CR847" s="0" t="n">
        <v>1</v>
      </c>
      <c r="CT847" s="0" t="n">
        <v>280</v>
      </c>
      <c r="CU847" s="0" t="n">
        <v>0</v>
      </c>
      <c r="CV847" s="0" t="n">
        <f aca="false">IF(OR(CT847="",CT847="NO ESPECIFICA",CT847="NO MENCIONA"),"",IF(CU847=0,CT847,IF(CU847=1,CT847/30,IF(CU847=2,CT847/15,IF(CU847=3,CT847/7,"")))))</f>
        <v>280</v>
      </c>
      <c r="CW847" s="125" t="n">
        <v>364.15</v>
      </c>
      <c r="CX847" s="0" t="n">
        <v>0</v>
      </c>
      <c r="CY847" s="0" t="n">
        <f aca="false">IF(CW847="","",IF(CX847=0,CW847,IF(CX847=1,CW847/30,IF(CX847=2,CW847/15,IF(CX847=3,CW847/7,CW847)))))</f>
        <v>364.15</v>
      </c>
      <c r="CZ847" s="0" t="n">
        <f aca="false">IF(DI847&gt;0,DI847,IF(CY847&gt;0,CY847,IF(CV847&gt;0,CV847,"")))</f>
        <v>364.15</v>
      </c>
      <c r="DA847" s="0" t="n">
        <f aca="false">IF(DM847=1,CZ847/8,IF(OR(DM847=2,DM847=4),CZ847/7,IF(DM847=3,CZ847/7.5,"")))</f>
        <v>45.51875</v>
      </c>
      <c r="DB847" s="0" t="s">
        <v>303</v>
      </c>
      <c r="DC847" s="0" t="s">
        <v>301</v>
      </c>
      <c r="DD847" s="0" t="s">
        <v>3547</v>
      </c>
      <c r="DH847" s="0" t="n">
        <v>0</v>
      </c>
      <c r="DI847" s="126" t="n">
        <v>364.15</v>
      </c>
      <c r="DK847" s="0" t="n">
        <v>1</v>
      </c>
      <c r="DM847" s="0" t="n">
        <v>1</v>
      </c>
      <c r="DN847" s="0" t="n">
        <v>47.5</v>
      </c>
      <c r="DO847" s="0" t="n">
        <v>3</v>
      </c>
      <c r="DP847" s="0" t="n">
        <v>0</v>
      </c>
      <c r="DQ847" s="0" t="n">
        <v>1</v>
      </c>
      <c r="DR847" s="0"/>
      <c r="DS847" s="0" t="n">
        <v>1</v>
      </c>
      <c r="DU847" s="0" t="n">
        <v>1</v>
      </c>
      <c r="DW847" s="1" t="n">
        <v>40035</v>
      </c>
      <c r="DX847" s="1" t="n">
        <v>40738</v>
      </c>
      <c r="DZ847" s="0"/>
      <c r="EA847" s="0" t="n">
        <v>1</v>
      </c>
      <c r="EC847" s="1" t="n">
        <v>40035</v>
      </c>
      <c r="ED847" s="1" t="n">
        <v>40738</v>
      </c>
      <c r="EF847" s="0"/>
      <c r="EG847" s="0" t="n">
        <v>1</v>
      </c>
      <c r="EH847" s="0" t="n">
        <v>21</v>
      </c>
      <c r="EI847" s="0" t="str">
        <f aca="false">IF(AND(DM847=1,DN847&lt;=48),"",IF(AND(DM847=2,DN847&lt;=42),"",IF(AND(DM847=3,DN847&lt;=45),"",EH847)))</f>
        <v/>
      </c>
      <c r="EJ847" s="0" t="str">
        <f aca="false">IF(EI847="","",IF(EI847&lt;9,EI847,9))</f>
        <v/>
      </c>
      <c r="EK847" s="0" t="str">
        <f aca="false">IF(EI847="","",IF(EI847&gt;9,EI847-EJ847,0))</f>
        <v/>
      </c>
      <c r="EL847" s="0" t="str">
        <f aca="false">IF(EI847="","",EJ847*DA847*2+EK847*DA847*3)</f>
        <v/>
      </c>
      <c r="EP847" s="0" t="n">
        <v>0</v>
      </c>
      <c r="EQ847" s="0"/>
      <c r="ER847" s="0" t="n">
        <v>0</v>
      </c>
      <c r="ET847" s="0" t="n">
        <v>1</v>
      </c>
      <c r="EV847" s="0" t="n">
        <v>0</v>
      </c>
      <c r="EX847" s="0" t="n">
        <v>1</v>
      </c>
      <c r="EY847" s="0" t="n">
        <v>1</v>
      </c>
      <c r="EZ847" s="0"/>
      <c r="FA847" s="4" t="n">
        <v>0</v>
      </c>
      <c r="FB847" s="0" t="n">
        <v>0</v>
      </c>
      <c r="FC847" s="1" t="n">
        <v>42074</v>
      </c>
      <c r="FD847" s="0" t="n">
        <v>1</v>
      </c>
      <c r="FE847" s="0" t="n">
        <v>70000</v>
      </c>
      <c r="FF847" s="120" t="n">
        <f aca="false">(CJ847-CI847+1)/365</f>
        <v>1.92876712328767</v>
      </c>
      <c r="FG847" s="0" t="str">
        <f aca="false">CONCATENATE(F847,"/",G847)</f>
        <v>1459/2011</v>
      </c>
      <c r="FH847" s="0" t="n">
        <v>1</v>
      </c>
      <c r="FI847" s="0" t="n">
        <f aca="false">IFERROR(IF((FC847-J847+1)/365&gt;3,0,1),"")</f>
        <v>0</v>
      </c>
    </row>
    <row r="848" customFormat="false" ht="15" hidden="false" customHeight="false" outlineLevel="0" collapsed="false">
      <c r="A848" s="5" t="str">
        <f aca="false">E848&amp;G848&amp;F848</f>
        <v>720111461</v>
      </c>
      <c r="B848" s="0" t="s">
        <v>5405</v>
      </c>
      <c r="C848" s="1" t="n">
        <v>42358</v>
      </c>
      <c r="D848" s="0" t="s">
        <v>3265</v>
      </c>
      <c r="E848" s="0" t="n">
        <v>7</v>
      </c>
      <c r="F848" s="0" t="n">
        <v>1461</v>
      </c>
      <c r="G848" s="0" t="n">
        <v>2011</v>
      </c>
      <c r="H848" s="0" t="str">
        <f aca="false">"J"&amp;E848&amp;"\"&amp;F848&amp;"\"&amp;G848&amp;"\"&amp;W848</f>
        <v>J7\1461\2011\1</v>
      </c>
      <c r="I848" s="0"/>
      <c r="J848" s="1" t="n">
        <v>40781</v>
      </c>
      <c r="K848" s="0" t="n">
        <v>0</v>
      </c>
      <c r="M848" s="1"/>
      <c r="N848" s="1"/>
      <c r="O848" s="1"/>
      <c r="P848" s="1"/>
      <c r="Q848" s="1"/>
      <c r="T848" s="121"/>
      <c r="U848" s="121"/>
      <c r="V848" s="122" t="n">
        <f aca="false">IF(AND(E848&gt;0,F848&gt;0,G848&gt;0),COUNTIFS($E:$E,E848,$F:$F,F848,$G:$G,G848),"")</f>
        <v>1</v>
      </c>
      <c r="W848" s="122" t="n">
        <f aca="false">IF(V848="","",IF(V848=1,1,IF(AND(E847=E848,F847=F848,G847=G848),W847+1,1)))</f>
        <v>1</v>
      </c>
      <c r="X848" s="0" t="n">
        <v>1</v>
      </c>
      <c r="Y848" s="0" t="n">
        <v>4</v>
      </c>
      <c r="Z848" s="0" t="s">
        <v>7754</v>
      </c>
      <c r="AA848" s="0" t="n">
        <v>0</v>
      </c>
      <c r="AB848" s="0" t="s">
        <v>348</v>
      </c>
      <c r="AE848" s="0" t="n">
        <v>0</v>
      </c>
      <c r="AF848" s="0" t="s">
        <v>7755</v>
      </c>
      <c r="AG848" s="0" t="n">
        <v>0</v>
      </c>
      <c r="AH848" s="0" t="s">
        <v>7756</v>
      </c>
      <c r="AI848" s="0" t="s">
        <v>7757</v>
      </c>
      <c r="AJ848" s="0" t="s">
        <v>207</v>
      </c>
      <c r="AL848" s="0" t="s">
        <v>7758</v>
      </c>
      <c r="AM848" s="0" t="n">
        <v>1</v>
      </c>
      <c r="AN848" s="0" t="s">
        <v>7756</v>
      </c>
      <c r="AO848" s="0" t="s">
        <v>7757</v>
      </c>
      <c r="AP848" s="0" t="s">
        <v>207</v>
      </c>
      <c r="AR848" s="0" t="s">
        <v>7759</v>
      </c>
      <c r="AS848" s="0" t="n">
        <v>1</v>
      </c>
      <c r="AT848" s="0" t="s">
        <v>7756</v>
      </c>
      <c r="AU848" s="0" t="s">
        <v>7757</v>
      </c>
      <c r="AV848" s="0" t="s">
        <v>207</v>
      </c>
      <c r="AX848" s="0" t="s">
        <v>213</v>
      </c>
      <c r="AY848" s="0" t="n">
        <v>1</v>
      </c>
      <c r="AZ848" s="0" t="s">
        <v>7756</v>
      </c>
      <c r="BA848" s="0" t="s">
        <v>7757</v>
      </c>
      <c r="BB848" s="0" t="s">
        <v>207</v>
      </c>
      <c r="BR848" s="0" t="n">
        <v>3</v>
      </c>
      <c r="BS848" s="0" t="s">
        <v>3856</v>
      </c>
      <c r="BT848" s="0" t="s">
        <v>1818</v>
      </c>
      <c r="BU848" s="0" t="s">
        <v>1841</v>
      </c>
      <c r="BV848" s="123"/>
      <c r="BW848" s="123"/>
      <c r="BX848" s="123"/>
      <c r="BY848" s="123"/>
      <c r="CA848" s="0" t="s">
        <v>348</v>
      </c>
      <c r="CD848" s="0" t="s">
        <v>1465</v>
      </c>
      <c r="CE848" s="0" t="n">
        <v>0</v>
      </c>
      <c r="CF848" s="0" t="s">
        <v>2082</v>
      </c>
      <c r="CG848" s="0" t="s">
        <v>218</v>
      </c>
      <c r="CI848" s="1" t="n">
        <v>40688</v>
      </c>
      <c r="CJ848" s="1" t="n">
        <v>40729</v>
      </c>
      <c r="CK848" s="124" t="n">
        <v>0.625</v>
      </c>
      <c r="CL848" s="0" t="s">
        <v>7759</v>
      </c>
      <c r="CM848" s="0" t="n">
        <f aca="false">IF(OR(CI848="",CJ848=""),"",DAYS360(CI848,CJ848)/360)</f>
        <v>0.111111111111111</v>
      </c>
      <c r="CN848" s="0" t="n">
        <f aca="false">IF(OR(CI848="",CJ848=""),"",DAYS360(CI848,CJ848)/30)</f>
        <v>1.33333333333333</v>
      </c>
      <c r="CO848" s="0" t="n">
        <f aca="false">IF(OR(CI848="",CJ848=""),"",DAYS360(CI848,CJ848)/7)</f>
        <v>5.71428571428571</v>
      </c>
      <c r="CP848" s="0" t="n">
        <f aca="false">IF(OR(CI848="",CJ848=""),"",DAYS360(CI848,CJ848))</f>
        <v>40</v>
      </c>
      <c r="CQ848" s="0" t="s">
        <v>240</v>
      </c>
      <c r="CR848" s="0" t="n">
        <v>1</v>
      </c>
      <c r="CT848" s="0" t="n">
        <v>230</v>
      </c>
      <c r="CU848" s="0" t="n">
        <v>0</v>
      </c>
      <c r="CV848" s="0" t="n">
        <f aca="false">IF(OR(CT848="",CT848="NO ESPECIFICA",CT848="NO MENCIONA"),"",IF(CU848=0,CT848,IF(CU848=1,CT848/30,IF(CU848=2,CT848/15,IF(CU848=3,CT848/7,"")))))</f>
        <v>230</v>
      </c>
      <c r="CW848" s="125" t="n">
        <v>240.39</v>
      </c>
      <c r="CX848" s="0" t="n">
        <v>0</v>
      </c>
      <c r="CY848" s="0" t="n">
        <f aca="false">IF(CW848="","",IF(CX848=0,CW848,IF(CX848=1,CW848/30,IF(CX848=2,CW848/15,IF(CX848=3,CW848/7,CW848)))))</f>
        <v>240.39</v>
      </c>
      <c r="CZ848" s="0" t="n">
        <f aca="false">IF(DI848&gt;0,DI848,IF(CY848&gt;0,CY848,IF(CV848&gt;0,CV848,"")))</f>
        <v>240.39</v>
      </c>
      <c r="DA848" s="0" t="n">
        <f aca="false">IF(DM848=1,CZ848/8,IF(OR(DM848=2,DM848=4),CZ848/7,IF(DM848=3,CZ848/7.5,"")))</f>
        <v>30.04875</v>
      </c>
      <c r="DB848" s="0" t="s">
        <v>1935</v>
      </c>
      <c r="DC848" s="0" t="s">
        <v>301</v>
      </c>
      <c r="DH848" s="0" t="n">
        <v>0</v>
      </c>
      <c r="DI848" s="126" t="n">
        <v>240.39</v>
      </c>
      <c r="DK848" s="0" t="n">
        <v>1</v>
      </c>
      <c r="DM848" s="0" t="n">
        <v>1</v>
      </c>
      <c r="DN848" s="0" t="n">
        <v>50</v>
      </c>
      <c r="DO848" s="0" t="n">
        <v>3</v>
      </c>
      <c r="DP848" s="0" t="n">
        <v>0</v>
      </c>
      <c r="DQ848" s="0" t="n">
        <v>1</v>
      </c>
      <c r="DR848" s="0"/>
      <c r="DS848" s="0" t="n">
        <v>1</v>
      </c>
      <c r="DU848" s="0" t="n">
        <v>1</v>
      </c>
      <c r="DW848" s="1" t="n">
        <v>40688</v>
      </c>
      <c r="DX848" s="1" t="n">
        <v>40729</v>
      </c>
      <c r="DZ848" s="0"/>
      <c r="EA848" s="0" t="n">
        <v>1</v>
      </c>
      <c r="EC848" s="1" t="n">
        <v>40688</v>
      </c>
      <c r="ED848" s="1" t="n">
        <v>40729</v>
      </c>
      <c r="EF848" s="0"/>
      <c r="EG848" s="0" t="n">
        <v>0</v>
      </c>
      <c r="EI848" s="0" t="n">
        <f aca="false">IF(AND(DM848=1,DN848&lt;=48),"",IF(AND(DM848=2,DN848&lt;=42),"",IF(AND(DM848=3,DN848&lt;=45),"",EH848)))</f>
        <v>0</v>
      </c>
      <c r="EJ848" s="0" t="str">
        <f aca="false">IF(EI848="","",IF(EI848&lt;9,EI848,9))</f>
        <v/>
      </c>
      <c r="EK848" s="0" t="str">
        <f aca="false">IF(EI848="","",IF(EI848&gt;9,EI848-EJ848,0))</f>
        <v/>
      </c>
      <c r="EL848" s="0" t="str">
        <f aca="false">IF(EI848="","",EJ848*DA848*2+EK848*DA848*3)</f>
        <v/>
      </c>
      <c r="EP848" s="0" t="n">
        <v>0</v>
      </c>
      <c r="EQ848" s="0"/>
      <c r="ER848" s="0" t="n">
        <v>0</v>
      </c>
      <c r="ET848" s="0" t="n">
        <v>0</v>
      </c>
      <c r="EV848" s="0" t="n">
        <v>0</v>
      </c>
      <c r="EX848" s="0" t="n">
        <v>0</v>
      </c>
      <c r="EY848" s="0" t="n">
        <v>0</v>
      </c>
      <c r="EZ848" s="0"/>
      <c r="FA848" s="4" t="n">
        <v>2403.9</v>
      </c>
      <c r="FB848" s="0" t="n">
        <v>1</v>
      </c>
      <c r="FC848" s="1" t="n">
        <v>41704</v>
      </c>
      <c r="FD848" s="0" t="n">
        <v>3</v>
      </c>
      <c r="FE848" s="0" t="n">
        <v>80000</v>
      </c>
      <c r="FF848" s="120" t="n">
        <f aca="false">(CJ848-CI848+1)/365</f>
        <v>0.115068493150685</v>
      </c>
      <c r="FG848" s="0" t="str">
        <f aca="false">CONCATENATE(F848,"/",G848)</f>
        <v>1461/2011</v>
      </c>
      <c r="FH848" s="0" t="n">
        <v>1</v>
      </c>
      <c r="FI848" s="0" t="n">
        <f aca="false">IFERROR(IF((FC848-J848+1)/365&gt;3,0,1),"")</f>
        <v>1</v>
      </c>
    </row>
    <row r="849" customFormat="false" ht="15" hidden="false" customHeight="false" outlineLevel="0" collapsed="false">
      <c r="A849" s="5" t="str">
        <f aca="false">E849&amp;G849&amp;F849</f>
        <v>720111464</v>
      </c>
      <c r="B849" s="0" t="s">
        <v>5405</v>
      </c>
      <c r="C849" s="1" t="n">
        <v>42358</v>
      </c>
      <c r="D849" s="0" t="s">
        <v>3265</v>
      </c>
      <c r="E849" s="0" t="n">
        <v>7</v>
      </c>
      <c r="F849" s="0" t="n">
        <v>1464</v>
      </c>
      <c r="G849" s="0" t="n">
        <v>2011</v>
      </c>
      <c r="H849" s="0" t="str">
        <f aca="false">"J"&amp;E849&amp;"\"&amp;F849&amp;"\"&amp;G849&amp;"\"&amp;W849</f>
        <v>J7\1464\2011\1</v>
      </c>
      <c r="I849" s="0"/>
      <c r="J849" s="1" t="n">
        <v>40781</v>
      </c>
      <c r="K849" s="0" t="n">
        <v>0</v>
      </c>
      <c r="M849" s="1"/>
      <c r="N849" s="1"/>
      <c r="O849" s="1"/>
      <c r="P849" s="1"/>
      <c r="Q849" s="1"/>
      <c r="T849" s="121"/>
      <c r="U849" s="121"/>
      <c r="V849" s="122" t="n">
        <f aca="false">IF(AND(E849&gt;0,F849&gt;0,G849&gt;0),COUNTIFS($E:$E,E849,$F:$F,F849,$G:$G,G849),"")</f>
        <v>1</v>
      </c>
      <c r="W849" s="122" t="n">
        <f aca="false">IF(V849="","",IF(V849=1,1,IF(AND(E848=E849,F848=F849,G848=G849),W848+1,1)))</f>
        <v>1</v>
      </c>
      <c r="X849" s="0" t="n">
        <v>1</v>
      </c>
      <c r="Y849" s="0" t="n">
        <v>3</v>
      </c>
      <c r="Z849" s="0" t="s">
        <v>7760</v>
      </c>
      <c r="AA849" s="0" t="n">
        <v>0</v>
      </c>
      <c r="AB849" s="0" t="s">
        <v>348</v>
      </c>
      <c r="AE849" s="0" t="n">
        <v>0</v>
      </c>
      <c r="AF849" s="0" t="s">
        <v>7761</v>
      </c>
      <c r="AG849" s="0" t="n">
        <v>1</v>
      </c>
      <c r="AH849" s="0" t="s">
        <v>7762</v>
      </c>
      <c r="AI849" s="0" t="s">
        <v>1661</v>
      </c>
      <c r="AJ849" s="0" t="s">
        <v>229</v>
      </c>
      <c r="AL849" s="0" t="s">
        <v>7763</v>
      </c>
      <c r="AM849" s="0" t="n">
        <v>1</v>
      </c>
      <c r="AN849" s="0" t="s">
        <v>7762</v>
      </c>
      <c r="AO849" s="0" t="s">
        <v>1661</v>
      </c>
      <c r="AP849" s="0" t="s">
        <v>229</v>
      </c>
      <c r="AR849" s="0" t="s">
        <v>213</v>
      </c>
      <c r="AS849" s="0" t="n">
        <v>1</v>
      </c>
      <c r="AT849" s="0" t="s">
        <v>7762</v>
      </c>
      <c r="AU849" s="0" t="s">
        <v>1661</v>
      </c>
      <c r="AV849" s="0" t="s">
        <v>229</v>
      </c>
      <c r="BR849" s="0" t="n">
        <v>3</v>
      </c>
      <c r="BS849" s="0" t="s">
        <v>1816</v>
      </c>
      <c r="BT849" s="0" t="s">
        <v>1817</v>
      </c>
      <c r="BU849" s="0" t="s">
        <v>1818</v>
      </c>
      <c r="BV849" s="123"/>
      <c r="BW849" s="123"/>
      <c r="BX849" s="123"/>
      <c r="BY849" s="123"/>
      <c r="CA849" s="0" t="s">
        <v>348</v>
      </c>
      <c r="CD849" s="0" t="s">
        <v>296</v>
      </c>
      <c r="CE849" s="0" t="n">
        <v>0</v>
      </c>
      <c r="CF849" s="0" t="s">
        <v>968</v>
      </c>
      <c r="CG849" s="0" t="s">
        <v>218</v>
      </c>
      <c r="CI849" s="1" t="s">
        <v>221</v>
      </c>
      <c r="CJ849" s="1" t="n">
        <v>40756</v>
      </c>
      <c r="CK849" s="124" t="n">
        <v>0.416666666666667</v>
      </c>
      <c r="CL849" s="0" t="s">
        <v>7763</v>
      </c>
      <c r="CM849" s="0" t="e">
        <f aca="false">IF(OR(CI849="",CJ849=""),"",DAYS360(CI849,CJ849)/360)</f>
        <v>#VALUE!</v>
      </c>
      <c r="CN849" s="0" t="e">
        <f aca="false">IF(OR(CI849="",CJ849=""),"",DAYS360(CI849,CJ849)/30)</f>
        <v>#VALUE!</v>
      </c>
      <c r="CO849" s="0" t="e">
        <f aca="false">IF(OR(CI849="",CJ849=""),"",DAYS360(CI849,CJ849)/7)</f>
        <v>#VALUE!</v>
      </c>
      <c r="CP849" s="0" t="e">
        <f aca="false">IF(OR(CI849="",CJ849=""),"",DAYS360(CI849,CJ849))</f>
        <v>#VALUE!</v>
      </c>
      <c r="CQ849" s="0" t="s">
        <v>240</v>
      </c>
      <c r="CR849" s="0" t="n">
        <v>1</v>
      </c>
      <c r="CT849" s="0" t="n">
        <v>80</v>
      </c>
      <c r="CU849" s="0" t="n">
        <v>0</v>
      </c>
      <c r="CV849" s="0" t="n">
        <f aca="false">IF(OR(CT849="",CT849="NO ESPECIFICA",CT849="NO MENCIONA"),"",IF(CU849=0,CT849,IF(CU849=1,CT849/30,IF(CU849=2,CT849/15,IF(CU849=3,CT849/7,"")))))</f>
        <v>80</v>
      </c>
      <c r="CW849" s="125" t="n">
        <v>186.28</v>
      </c>
      <c r="CX849" s="0" t="n">
        <v>0</v>
      </c>
      <c r="CY849" s="0" t="n">
        <f aca="false">IF(CW849="","",IF(CX849=0,CW849,IF(CX849=1,CW849/30,IF(CX849=2,CW849/15,IF(CX849=3,CW849/7,CW849)))))</f>
        <v>186.28</v>
      </c>
      <c r="CZ849" s="0" t="n">
        <f aca="false">IF(DI849&gt;0,DI849,IF(CY849&gt;0,CY849,IF(CV849&gt;0,CV849,"")))</f>
        <v>186.28</v>
      </c>
      <c r="DA849" s="0" t="n">
        <f aca="false">IF(DM849=1,CZ849/8,IF(OR(DM849=2,DM849=4),CZ849/7,IF(DM849=3,CZ849/7.5,"")))</f>
        <v>23.285</v>
      </c>
      <c r="DB849" s="0" t="s">
        <v>303</v>
      </c>
      <c r="DC849" s="0" t="s">
        <v>301</v>
      </c>
      <c r="DH849" s="0" t="n">
        <v>0</v>
      </c>
      <c r="DI849" s="126" t="n">
        <v>186.28</v>
      </c>
      <c r="DK849" s="0" t="n">
        <v>0</v>
      </c>
      <c r="DM849" s="0" t="n">
        <v>1</v>
      </c>
      <c r="DN849" s="0" t="n">
        <v>50</v>
      </c>
      <c r="DO849" s="0" t="n">
        <v>3</v>
      </c>
      <c r="DP849" s="0" t="n">
        <v>0</v>
      </c>
      <c r="DQ849" s="0" t="n">
        <v>1</v>
      </c>
      <c r="DR849" s="0"/>
      <c r="DS849" s="0" t="n">
        <v>1</v>
      </c>
      <c r="DU849" s="0" t="n">
        <v>1</v>
      </c>
      <c r="DW849" s="1" t="s">
        <v>221</v>
      </c>
      <c r="DX849" s="1" t="n">
        <v>40756</v>
      </c>
      <c r="DZ849" s="0"/>
      <c r="EA849" s="0" t="n">
        <v>1</v>
      </c>
      <c r="EC849" s="1" t="s">
        <v>221</v>
      </c>
      <c r="ED849" s="1" t="n">
        <v>40756</v>
      </c>
      <c r="EF849" s="0"/>
      <c r="EG849" s="0" t="n">
        <v>0</v>
      </c>
      <c r="EI849" s="0" t="n">
        <f aca="false">IF(AND(DM849=1,DN849&lt;=48),"",IF(AND(DM849=2,DN849&lt;=42),"",IF(AND(DM849=3,DN849&lt;=45),"",EH849)))</f>
        <v>0</v>
      </c>
      <c r="EJ849" s="0" t="str">
        <f aca="false">IF(EI849="","",IF(EI849&lt;9,EI849,9))</f>
        <v/>
      </c>
      <c r="EK849" s="0" t="str">
        <f aca="false">IF(EI849="","",IF(EI849&gt;9,EI849-EJ849,0))</f>
        <v/>
      </c>
      <c r="EL849" s="0" t="str">
        <f aca="false">IF(EI849="","",EJ849*DA849*2+EK849*DA849*3)</f>
        <v/>
      </c>
      <c r="EP849" s="0" t="n">
        <v>0</v>
      </c>
      <c r="EQ849" s="0"/>
      <c r="ER849" s="0" t="n">
        <v>0</v>
      </c>
      <c r="ET849" s="0" t="n">
        <v>0</v>
      </c>
      <c r="EV849" s="0" t="n">
        <v>0</v>
      </c>
      <c r="EX849" s="0" t="n">
        <v>0</v>
      </c>
      <c r="EY849" s="0" t="n">
        <v>0</v>
      </c>
      <c r="EZ849" s="0"/>
      <c r="FA849" s="4" t="n">
        <v>1490.24</v>
      </c>
      <c r="FB849" s="0" t="n">
        <v>1</v>
      </c>
      <c r="FC849" s="1" t="n">
        <v>41677</v>
      </c>
      <c r="FD849" s="0" t="n">
        <v>1</v>
      </c>
      <c r="FE849" s="0" t="n">
        <v>3500</v>
      </c>
      <c r="FF849" s="120" t="e">
        <f aca="false">(CJ849-CI849+1)/365</f>
        <v>#VALUE!</v>
      </c>
      <c r="FG849" s="0" t="str">
        <f aca="false">CONCATENATE(F849,"/",G849)</f>
        <v>1464/2011</v>
      </c>
      <c r="FH849" s="0" t="n">
        <v>1</v>
      </c>
      <c r="FI849" s="0" t="n">
        <f aca="false">IFERROR(IF((FC849-J849+1)/365&gt;3,0,1),"")</f>
        <v>1</v>
      </c>
    </row>
    <row r="850" customFormat="false" ht="15" hidden="false" customHeight="false" outlineLevel="0" collapsed="false">
      <c r="A850" s="5" t="str">
        <f aca="false">E850&amp;G850&amp;F850</f>
        <v>720111468</v>
      </c>
      <c r="B850" s="0" t="s">
        <v>5405</v>
      </c>
      <c r="C850" s="1" t="n">
        <v>42358</v>
      </c>
      <c r="D850" s="0" t="s">
        <v>3265</v>
      </c>
      <c r="E850" s="0" t="n">
        <v>7</v>
      </c>
      <c r="F850" s="0" t="n">
        <v>1468</v>
      </c>
      <c r="G850" s="0" t="n">
        <v>2011</v>
      </c>
      <c r="H850" s="0" t="str">
        <f aca="false">"J"&amp;E850&amp;"\"&amp;F850&amp;"\"&amp;G850&amp;"\"&amp;W850</f>
        <v>J7\1468\2011\1</v>
      </c>
      <c r="I850" s="0"/>
      <c r="J850" s="1" t="n">
        <v>40781</v>
      </c>
      <c r="K850" s="0" t="n">
        <v>0</v>
      </c>
      <c r="M850" s="1"/>
      <c r="N850" s="1"/>
      <c r="O850" s="1"/>
      <c r="P850" s="1"/>
      <c r="Q850" s="1"/>
      <c r="T850" s="121"/>
      <c r="U850" s="121"/>
      <c r="V850" s="122" t="n">
        <f aca="false">IF(AND(E850&gt;0,F850&gt;0,G850&gt;0),COUNTIFS($E:$E,E850,$F:$F,F850,$G:$G,G850),"")</f>
        <v>1</v>
      </c>
      <c r="W850" s="122" t="n">
        <f aca="false">IF(V850="","",IF(V850=1,1,IF(AND(E849=E850,F849=F850,G849=G850),W849+1,1)))</f>
        <v>1</v>
      </c>
      <c r="X850" s="0" t="n">
        <v>1</v>
      </c>
      <c r="Y850" s="0" t="n">
        <v>4</v>
      </c>
      <c r="Z850" s="0" t="s">
        <v>7764</v>
      </c>
      <c r="AA850" s="0" t="n">
        <v>0</v>
      </c>
      <c r="AB850" s="0" t="s">
        <v>348</v>
      </c>
      <c r="AE850" s="0" t="n">
        <v>0</v>
      </c>
      <c r="AF850" s="0" t="s">
        <v>7765</v>
      </c>
      <c r="AG850" s="0" t="n">
        <v>0</v>
      </c>
      <c r="AH850" s="0" t="s">
        <v>7766</v>
      </c>
      <c r="AI850" s="0" t="s">
        <v>6508</v>
      </c>
      <c r="AJ850" s="0" t="s">
        <v>590</v>
      </c>
      <c r="AL850" s="0" t="s">
        <v>7767</v>
      </c>
      <c r="AM850" s="0" t="n">
        <v>1</v>
      </c>
      <c r="AN850" s="0" t="s">
        <v>7766</v>
      </c>
      <c r="AO850" s="0" t="s">
        <v>6508</v>
      </c>
      <c r="AP850" s="0" t="s">
        <v>590</v>
      </c>
      <c r="AR850" s="0" t="s">
        <v>7768</v>
      </c>
      <c r="AS850" s="0" t="n">
        <v>1</v>
      </c>
      <c r="AT850" s="0" t="s">
        <v>7766</v>
      </c>
      <c r="AU850" s="0" t="s">
        <v>6508</v>
      </c>
      <c r="AV850" s="0" t="s">
        <v>590</v>
      </c>
      <c r="AX850" s="0" t="s">
        <v>213</v>
      </c>
      <c r="AY850" s="0" t="n">
        <v>1</v>
      </c>
      <c r="AZ850" s="0" t="s">
        <v>7766</v>
      </c>
      <c r="BA850" s="0" t="s">
        <v>6508</v>
      </c>
      <c r="BB850" s="0" t="s">
        <v>590</v>
      </c>
      <c r="BR850" s="0" t="n">
        <v>3</v>
      </c>
      <c r="BS850" s="0" t="s">
        <v>3213</v>
      </c>
      <c r="BT850" s="0" t="s">
        <v>1818</v>
      </c>
      <c r="BU850" s="0" t="s">
        <v>1841</v>
      </c>
      <c r="BV850" s="123"/>
      <c r="BW850" s="123"/>
      <c r="BX850" s="123"/>
      <c r="BY850" s="123"/>
      <c r="CA850" s="0" t="s">
        <v>348</v>
      </c>
      <c r="CD850" s="0" t="s">
        <v>556</v>
      </c>
      <c r="CE850" s="0" t="n">
        <v>0</v>
      </c>
      <c r="CF850" s="0" t="s">
        <v>7769</v>
      </c>
      <c r="CG850" s="0" t="s">
        <v>218</v>
      </c>
      <c r="CI850" s="1" t="n">
        <v>37690</v>
      </c>
      <c r="CJ850" s="1" t="n">
        <v>40753</v>
      </c>
      <c r="CK850" s="124" t="n">
        <v>0.729166666666667</v>
      </c>
      <c r="CL850" s="0" t="s">
        <v>7768</v>
      </c>
      <c r="CM850" s="0" t="n">
        <f aca="false">IF(OR(CI850="",CJ850=""),"",DAYS360(CI850,CJ850)/360)</f>
        <v>8.38611111111111</v>
      </c>
      <c r="CN850" s="0" t="n">
        <f aca="false">IF(OR(CI850="",CJ850=""),"",DAYS360(CI850,CJ850)/30)</f>
        <v>100.633333333333</v>
      </c>
      <c r="CO850" s="0" t="n">
        <f aca="false">IF(OR(CI850="",CJ850=""),"",DAYS360(CI850,CJ850)/7)</f>
        <v>431.285714285714</v>
      </c>
      <c r="CP850" s="0" t="n">
        <f aca="false">IF(OR(CI850="",CJ850=""),"",DAYS360(CI850,CJ850))</f>
        <v>3019</v>
      </c>
      <c r="CQ850" s="0" t="s">
        <v>240</v>
      </c>
      <c r="CR850" s="0" t="n">
        <v>1</v>
      </c>
      <c r="CT850" s="0" t="n">
        <v>308</v>
      </c>
      <c r="CU850" s="0" t="n">
        <v>0</v>
      </c>
      <c r="CV850" s="0" t="n">
        <f aca="false">IF(OR(CT850="",CT850="NO ESPECIFICA",CT850="NO MENCIONA"),"",IF(CU850=0,CT850,IF(CU850=1,CT850/30,IF(CU850=2,CT850/15,IF(CU850=3,CT850/7,"")))))</f>
        <v>308</v>
      </c>
      <c r="CW850" s="125" t="n">
        <v>323.6</v>
      </c>
      <c r="CX850" s="0" t="n">
        <v>0</v>
      </c>
      <c r="CY850" s="0" t="n">
        <f aca="false">IF(CW850="","",IF(CX850=0,CW850,IF(CX850=1,CW850/30,IF(CX850=2,CW850/15,IF(CX850=3,CW850/7,CW850)))))</f>
        <v>323.6</v>
      </c>
      <c r="CZ850" s="0" t="n">
        <f aca="false">IF(DI850&gt;0,DI850,IF(CY850&gt;0,CY850,IF(CV850&gt;0,CV850,"")))</f>
        <v>323.6</v>
      </c>
      <c r="DA850" s="0" t="n">
        <f aca="false">IF(DM850=1,CZ850/8,IF(OR(DM850=2,DM850=4),CZ850/7,IF(DM850=3,CZ850/7.5,"")))</f>
        <v>40.45</v>
      </c>
      <c r="DB850" s="0" t="s">
        <v>303</v>
      </c>
      <c r="DC850" s="0" t="s">
        <v>301</v>
      </c>
      <c r="DD850" s="0" t="s">
        <v>303</v>
      </c>
      <c r="DH850" s="0" t="n">
        <v>0</v>
      </c>
      <c r="DI850" s="126" t="n">
        <v>323.6</v>
      </c>
      <c r="DK850" s="0" t="n">
        <v>1</v>
      </c>
      <c r="DM850" s="0" t="n">
        <v>1</v>
      </c>
      <c r="DN850" s="0" t="n">
        <v>55</v>
      </c>
      <c r="DO850" s="0" t="n">
        <v>3</v>
      </c>
      <c r="DP850" s="0" t="n">
        <v>0</v>
      </c>
      <c r="DQ850" s="0" t="n">
        <v>1</v>
      </c>
      <c r="DR850" s="0"/>
      <c r="DS850" s="0" t="n">
        <v>1</v>
      </c>
      <c r="DU850" s="0" t="n">
        <v>1</v>
      </c>
      <c r="DW850" s="1" t="n">
        <v>40247</v>
      </c>
      <c r="DX850" s="1" t="n">
        <v>40753</v>
      </c>
      <c r="DZ850" s="0"/>
      <c r="EA850" s="0" t="n">
        <v>1</v>
      </c>
      <c r="EC850" s="1" t="n">
        <v>40179</v>
      </c>
      <c r="ED850" s="1" t="n">
        <v>40753</v>
      </c>
      <c r="EF850" s="0"/>
      <c r="EG850" s="0" t="n">
        <v>0</v>
      </c>
      <c r="EI850" s="0" t="n">
        <f aca="false">IF(AND(DM850=1,DN850&lt;=48),"",IF(AND(DM850=2,DN850&lt;=42),"",IF(AND(DM850=3,DN850&lt;=45),"",EH850)))</f>
        <v>0</v>
      </c>
      <c r="EJ850" s="0" t="str">
        <f aca="false">IF(EI850="","",IF(EI850&lt;9,EI850,9))</f>
        <v/>
      </c>
      <c r="EK850" s="0" t="str">
        <f aca="false">IF(EI850="","",IF(EI850&gt;9,EI850-EJ850,0))</f>
        <v/>
      </c>
      <c r="EL850" s="0" t="str">
        <f aca="false">IF(EI850="","",EJ850*DA850*2+EK850*DA850*3)</f>
        <v/>
      </c>
      <c r="EP850" s="0" t="n">
        <v>0</v>
      </c>
      <c r="EQ850" s="0"/>
      <c r="ER850" s="0" t="n">
        <v>0</v>
      </c>
      <c r="ET850" s="0" t="n">
        <v>0</v>
      </c>
      <c r="EV850" s="0" t="n">
        <v>0</v>
      </c>
      <c r="EX850" s="0" t="n">
        <v>0</v>
      </c>
      <c r="EY850" s="0" t="n">
        <v>0</v>
      </c>
      <c r="EZ850" s="0"/>
      <c r="FA850" s="4" t="n">
        <v>0</v>
      </c>
      <c r="FB850" s="0" t="n">
        <v>1</v>
      </c>
      <c r="FC850" s="1" t="n">
        <v>41430</v>
      </c>
      <c r="FD850" s="0" t="n">
        <v>1</v>
      </c>
      <c r="FE850" s="0" t="n">
        <v>20000</v>
      </c>
      <c r="FF850" s="120" t="n">
        <f aca="false">(CJ850-CI850+1)/365</f>
        <v>8.39452054794521</v>
      </c>
      <c r="FG850" s="0" t="str">
        <f aca="false">CONCATENATE(F850,"/",G850)</f>
        <v>1468/2011</v>
      </c>
      <c r="FH850" s="0" t="n">
        <v>1</v>
      </c>
      <c r="FI850" s="0" t="n">
        <f aca="false">IFERROR(IF((FC850-J850+1)/365&gt;3,0,1),"")</f>
        <v>1</v>
      </c>
    </row>
    <row r="851" customFormat="false" ht="15" hidden="false" customHeight="false" outlineLevel="0" collapsed="false">
      <c r="A851" s="5" t="str">
        <f aca="false">E851&amp;G851&amp;F851</f>
        <v>720111153</v>
      </c>
      <c r="B851" s="0" t="s">
        <v>1884</v>
      </c>
      <c r="C851" s="1" t="n">
        <v>42382</v>
      </c>
      <c r="E851" s="0" t="n">
        <v>7</v>
      </c>
      <c r="F851" s="0" t="n">
        <v>1153</v>
      </c>
      <c r="G851" s="0" t="n">
        <v>2011</v>
      </c>
      <c r="H851" s="0" t="str">
        <f aca="false">"J"&amp;E851&amp;"\"&amp;F851&amp;"\"&amp;G851&amp;"\"&amp;W851</f>
        <v>J7\1153\2011\1</v>
      </c>
      <c r="I851" s="0"/>
      <c r="J851" s="1" t="n">
        <v>40729</v>
      </c>
      <c r="K851" s="0" t="n">
        <v>0</v>
      </c>
      <c r="M851" s="1"/>
      <c r="N851" s="1"/>
      <c r="O851" s="1"/>
      <c r="P851" s="1"/>
      <c r="Q851" s="1"/>
      <c r="T851" s="121"/>
      <c r="U851" s="121"/>
      <c r="V851" s="122" t="n">
        <f aca="false">IF(AND(E851&gt;0,F851&gt;0,G851&gt;0),COUNTIFS($E:$E,E851,$F:$F,F851,$G:$G,G851),"")</f>
        <v>1</v>
      </c>
      <c r="W851" s="122" t="n">
        <f aca="false">IF(V851="","",IF(V851=1,1,IF(AND(E850=E851,F850=F851,G850=G851),W850+1,1)))</f>
        <v>1</v>
      </c>
      <c r="X851" s="0" t="n">
        <v>1</v>
      </c>
      <c r="Y851" s="0" t="n">
        <v>2</v>
      </c>
      <c r="Z851" s="0" t="s">
        <v>7770</v>
      </c>
      <c r="AA851" s="0" t="n">
        <v>0</v>
      </c>
      <c r="AB851" s="0" t="s">
        <v>7771</v>
      </c>
      <c r="AC851" s="0" t="s">
        <v>3903</v>
      </c>
      <c r="AD851" s="0" t="s">
        <v>2070</v>
      </c>
      <c r="AE851" s="0" t="n">
        <v>0</v>
      </c>
      <c r="AF851" s="0" t="s">
        <v>7772</v>
      </c>
      <c r="AG851" s="0" t="n">
        <v>0</v>
      </c>
      <c r="AH851" s="0" t="s">
        <v>7773</v>
      </c>
      <c r="AI851" s="0" t="s">
        <v>3464</v>
      </c>
      <c r="AJ851" s="0" t="s">
        <v>1972</v>
      </c>
      <c r="AL851" s="0" t="s">
        <v>2057</v>
      </c>
      <c r="AM851" s="0" t="n">
        <v>1</v>
      </c>
      <c r="AN851" s="0" t="s">
        <v>7773</v>
      </c>
      <c r="AO851" s="0" t="s">
        <v>3464</v>
      </c>
      <c r="AP851" s="0" t="s">
        <v>7774</v>
      </c>
      <c r="BR851" s="0" t="n">
        <v>1</v>
      </c>
      <c r="BS851" s="0" t="s">
        <v>7775</v>
      </c>
      <c r="BT851" s="0" t="s">
        <v>7776</v>
      </c>
      <c r="BU851" s="0" t="s">
        <v>7777</v>
      </c>
      <c r="BV851" s="123"/>
      <c r="BW851" s="123"/>
      <c r="BX851" s="123"/>
      <c r="BY851" s="123"/>
      <c r="CA851" s="0" t="s">
        <v>1895</v>
      </c>
      <c r="CD851" s="0" t="s">
        <v>3716</v>
      </c>
      <c r="CE851" s="0" t="n">
        <v>0</v>
      </c>
      <c r="CF851" s="0" t="s">
        <v>7778</v>
      </c>
      <c r="CI851" s="1" t="n">
        <v>40649</v>
      </c>
      <c r="CJ851" s="1" t="n">
        <v>40727</v>
      </c>
      <c r="CK851" s="124" t="n">
        <v>0.541666666666667</v>
      </c>
      <c r="CL851" s="0" t="s">
        <v>7779</v>
      </c>
      <c r="CM851" s="0" t="n">
        <f aca="false">IF(OR(CI851="",CJ851=""),"",DAYS360(CI851,CJ851)/360)</f>
        <v>0.213888888888889</v>
      </c>
      <c r="CN851" s="0" t="n">
        <f aca="false">IF(OR(CI851="",CJ851=""),"",DAYS360(CI851,CJ851)/30)</f>
        <v>2.56666666666667</v>
      </c>
      <c r="CO851" s="0" t="n">
        <f aca="false">IF(OR(CI851="",CJ851=""),"",DAYS360(CI851,CJ851)/7)</f>
        <v>11</v>
      </c>
      <c r="CP851" s="0" t="n">
        <f aca="false">IF(OR(CI851="",CJ851=""),"",DAYS360(CI851,CJ851))</f>
        <v>77</v>
      </c>
      <c r="CQ851" s="0" t="s">
        <v>2021</v>
      </c>
      <c r="CR851" s="0" t="n">
        <v>1</v>
      </c>
      <c r="CT851" s="0" t="s">
        <v>1899</v>
      </c>
      <c r="CU851" s="0" t="s">
        <v>1899</v>
      </c>
      <c r="CV851" s="0" t="str">
        <f aca="false">IF(OR(CT851="",CT851="NO ESPECIFICA",CT851="NO MENCIONA"),"",IF(CU851=0,CT851,IF(CU851=1,CT851/30,IF(CU851=2,CT851/15,IF(CU851=3,CT851/7,"")))))</f>
        <v/>
      </c>
      <c r="CW851" s="125" t="n">
        <v>2500</v>
      </c>
      <c r="CX851" s="0" t="n">
        <v>3</v>
      </c>
      <c r="CY851" s="0" t="n">
        <f aca="false">IF(CW851="","",IF(CX851=0,CW851,IF(CX851=1,CW851/30,IF(CX851=2,CW851/15,IF(CX851=3,CW851/7,CW851)))))</f>
        <v>357.142857142857</v>
      </c>
      <c r="CZ851" s="0" t="n">
        <f aca="false">IF(DI851&gt;0,DI851,IF(CY851&gt;0,CY851,IF(CV851&gt;0,CV851,"")))</f>
        <v>357.14</v>
      </c>
      <c r="DA851" s="0" t="n">
        <f aca="false">IF(DM851=1,CZ851/8,IF(OR(DM851=2,DM851=4),CZ851/7,IF(DM851=3,CZ851/7.5,"")))</f>
        <v>44.6425</v>
      </c>
      <c r="DB851" s="0" t="s">
        <v>1895</v>
      </c>
      <c r="DC851" s="0" t="s">
        <v>1895</v>
      </c>
      <c r="DD851" s="0" t="s">
        <v>1895</v>
      </c>
      <c r="DE851" s="0" t="s">
        <v>216</v>
      </c>
      <c r="DF851" s="0" t="s">
        <v>216</v>
      </c>
      <c r="DG851" s="0" t="s">
        <v>216</v>
      </c>
      <c r="DH851" s="0" t="n">
        <v>0</v>
      </c>
      <c r="DI851" s="126" t="n">
        <v>357.14</v>
      </c>
      <c r="DK851" s="0" t="n">
        <v>0</v>
      </c>
      <c r="DM851" s="0" t="n">
        <v>1</v>
      </c>
      <c r="DN851" s="0" t="n">
        <v>36</v>
      </c>
      <c r="DO851" s="0" t="n">
        <v>3</v>
      </c>
      <c r="DP851" s="0" t="n">
        <v>1</v>
      </c>
      <c r="DQ851" s="0" t="n">
        <v>0</v>
      </c>
      <c r="DR851" s="0"/>
      <c r="DS851" s="0" t="n">
        <v>1</v>
      </c>
      <c r="DU851" s="0" t="n">
        <v>1</v>
      </c>
      <c r="DW851" s="1" t="n">
        <v>40649</v>
      </c>
      <c r="DX851" s="1" t="n">
        <v>40727</v>
      </c>
      <c r="DZ851" s="0"/>
      <c r="EA851" s="0" t="n">
        <v>1</v>
      </c>
      <c r="EC851" s="1" t="n">
        <v>40649</v>
      </c>
      <c r="ED851" s="1" t="n">
        <v>40727</v>
      </c>
      <c r="EF851" s="0"/>
      <c r="EG851" s="0" t="n">
        <v>0</v>
      </c>
      <c r="EI851" s="0" t="str">
        <f aca="false">IF(AND(DM851=1,DN851&lt;=48),"",IF(AND(DM851=2,DN851&lt;=42),"",IF(AND(DM851=3,DN851&lt;=45),"",EH851)))</f>
        <v/>
      </c>
      <c r="EJ851" s="0" t="str">
        <f aca="false">IF(EI851="","",IF(EI851&lt;9,EI851,9))</f>
        <v/>
      </c>
      <c r="EK851" s="0" t="str">
        <f aca="false">IF(EI851="","",IF(EI851&gt;9,EI851-EJ851,0))</f>
        <v/>
      </c>
      <c r="EL851" s="0" t="str">
        <f aca="false">IF(EI851="","",EJ851*DA851*2+EK851*DA851*3)</f>
        <v/>
      </c>
      <c r="EP851" s="0" t="n">
        <v>0</v>
      </c>
      <c r="EQ851" s="0"/>
      <c r="ER851" s="0" t="n">
        <v>0</v>
      </c>
      <c r="ET851" s="0" t="n">
        <v>0</v>
      </c>
      <c r="EV851" s="0" t="n">
        <v>0</v>
      </c>
      <c r="EX851" s="0" t="n">
        <v>0</v>
      </c>
      <c r="EY851" s="0" t="n">
        <v>1</v>
      </c>
      <c r="EZ851" s="0"/>
      <c r="FA851" s="0"/>
      <c r="FB851" s="0" t="n">
        <v>0</v>
      </c>
      <c r="FC851" s="1" t="n">
        <v>41019</v>
      </c>
      <c r="FD851" s="0" t="n">
        <v>2</v>
      </c>
      <c r="FE851" s="0" t="n">
        <v>0</v>
      </c>
      <c r="FF851" s="120" t="n">
        <f aca="false">(CJ851-CI851+1)/365</f>
        <v>0.216438356164384</v>
      </c>
      <c r="FG851" s="0" t="str">
        <f aca="false">CONCATENATE(F851,"/",G851)</f>
        <v>1153/2011</v>
      </c>
      <c r="FH851" s="0" t="n">
        <v>1</v>
      </c>
      <c r="FI851" s="0" t="n">
        <f aca="false">IFERROR(IF((FC851-J851+1)/365&gt;3,0,1),"")</f>
        <v>1</v>
      </c>
    </row>
    <row r="852" customFormat="false" ht="15" hidden="false" customHeight="false" outlineLevel="0" collapsed="false">
      <c r="A852" s="5" t="str">
        <f aca="false">E852&amp;G852&amp;F852</f>
        <v>72011975</v>
      </c>
      <c r="B852" s="0" t="s">
        <v>1884</v>
      </c>
      <c r="C852" s="1" t="n">
        <v>42382</v>
      </c>
      <c r="E852" s="0" t="n">
        <v>7</v>
      </c>
      <c r="F852" s="0" t="n">
        <v>975</v>
      </c>
      <c r="G852" s="0" t="n">
        <v>2011</v>
      </c>
      <c r="H852" s="0" t="str">
        <f aca="false">"J"&amp;E852&amp;"\"&amp;F852&amp;"\"&amp;G852&amp;"\"&amp;W852</f>
        <v>J7\975\2011\1</v>
      </c>
      <c r="I852" s="0"/>
      <c r="J852" s="1" t="n">
        <v>40700</v>
      </c>
      <c r="K852" s="0" t="n">
        <v>0</v>
      </c>
      <c r="M852" s="1"/>
      <c r="N852" s="1"/>
      <c r="O852" s="1"/>
      <c r="P852" s="1"/>
      <c r="Q852" s="1"/>
      <c r="T852" s="121"/>
      <c r="U852" s="121"/>
      <c r="V852" s="122" t="n">
        <f aca="false">IF(AND(E852&gt;0,F852&gt;0,G852&gt;0),COUNTIFS($E:$E,E852,$F:$F,F852,$G:$G,G852),"")</f>
        <v>1</v>
      </c>
      <c r="W852" s="122" t="n">
        <f aca="false">IF(V852="","",IF(V852=1,1,IF(AND(E851=E852,F851=F852,G851=G852),W851+1,1)))</f>
        <v>1</v>
      </c>
      <c r="X852" s="0" t="n">
        <v>1</v>
      </c>
      <c r="Y852" s="0" t="n">
        <v>6</v>
      </c>
      <c r="Z852" s="0" t="s">
        <v>7780</v>
      </c>
      <c r="AA852" s="0" t="n">
        <v>0</v>
      </c>
      <c r="AB852" s="0" t="s">
        <v>7781</v>
      </c>
      <c r="AC852" s="0" t="s">
        <v>7782</v>
      </c>
      <c r="AD852" s="0" t="s">
        <v>2678</v>
      </c>
      <c r="AE852" s="0" t="n">
        <v>0</v>
      </c>
      <c r="AF852" s="0" t="s">
        <v>7783</v>
      </c>
      <c r="AG852" s="0" t="n">
        <v>0</v>
      </c>
      <c r="AH852" s="0" t="s">
        <v>6891</v>
      </c>
      <c r="AI852" s="0" t="s">
        <v>6752</v>
      </c>
      <c r="AJ852" s="0" t="s">
        <v>590</v>
      </c>
      <c r="AL852" s="0" t="s">
        <v>7784</v>
      </c>
      <c r="AM852" s="0" t="n">
        <v>1</v>
      </c>
      <c r="AN852" s="0" t="s">
        <v>6891</v>
      </c>
      <c r="AO852" s="0" t="s">
        <v>6752</v>
      </c>
      <c r="AP852" s="0" t="s">
        <v>2179</v>
      </c>
      <c r="AR852" s="0" t="s">
        <v>7785</v>
      </c>
      <c r="AS852" s="0" t="n">
        <v>1</v>
      </c>
      <c r="AT852" s="0" t="s">
        <v>6891</v>
      </c>
      <c r="AU852" s="0" t="s">
        <v>6752</v>
      </c>
      <c r="AV852" s="0" t="s">
        <v>2179</v>
      </c>
      <c r="AX852" s="0" t="s">
        <v>249</v>
      </c>
      <c r="AY852" s="0" t="n">
        <v>0</v>
      </c>
      <c r="AZ852" s="0" t="s">
        <v>7786</v>
      </c>
      <c r="BA852" s="0" t="s">
        <v>2108</v>
      </c>
      <c r="BB852" s="0" t="s">
        <v>7774</v>
      </c>
      <c r="BD852" s="0" t="s">
        <v>2109</v>
      </c>
      <c r="BE852" s="0" t="n">
        <v>0</v>
      </c>
      <c r="BF852" s="0" t="s">
        <v>2110</v>
      </c>
      <c r="BG852" s="0" t="s">
        <v>7787</v>
      </c>
      <c r="BH852" s="0" t="s">
        <v>2112</v>
      </c>
      <c r="BJ852" s="0" t="s">
        <v>7788</v>
      </c>
      <c r="BK852" s="0" t="n">
        <v>0</v>
      </c>
      <c r="BL852" s="0" t="s">
        <v>7789</v>
      </c>
      <c r="BM852" s="0" t="s">
        <v>235</v>
      </c>
      <c r="BN852" s="0" t="s">
        <v>207</v>
      </c>
      <c r="BR852" s="0" t="n">
        <v>1</v>
      </c>
      <c r="BS852" s="0" t="s">
        <v>7790</v>
      </c>
      <c r="BT852" s="0" t="s">
        <v>7791</v>
      </c>
      <c r="BU852" s="0" t="s">
        <v>2010</v>
      </c>
      <c r="BV852" s="123"/>
      <c r="BW852" s="123"/>
      <c r="BX852" s="123"/>
      <c r="BY852" s="123"/>
      <c r="CA852" s="0" t="s">
        <v>1895</v>
      </c>
      <c r="CD852" s="0" t="s">
        <v>357</v>
      </c>
      <c r="CE852" s="0" t="n">
        <v>0</v>
      </c>
      <c r="CF852" s="0" t="s">
        <v>7792</v>
      </c>
      <c r="CI852" s="1" t="n">
        <v>40273</v>
      </c>
      <c r="CJ852" s="1" t="n">
        <v>40690</v>
      </c>
      <c r="CK852" s="124" t="n">
        <v>0.583333333333333</v>
      </c>
      <c r="CL852" s="0" t="s">
        <v>7784</v>
      </c>
      <c r="CM852" s="0" t="n">
        <f aca="false">IF(OR(CI852="",CJ852=""),"",DAYS360(CI852,CJ852)/360)</f>
        <v>1.14444444444444</v>
      </c>
      <c r="CN852" s="0" t="n">
        <f aca="false">IF(OR(CI852="",CJ852=""),"",DAYS360(CI852,CJ852)/30)</f>
        <v>13.7333333333333</v>
      </c>
      <c r="CO852" s="0" t="n">
        <f aca="false">IF(OR(CI852="",CJ852=""),"",DAYS360(CI852,CJ852)/7)</f>
        <v>58.8571428571429</v>
      </c>
      <c r="CP852" s="0" t="n">
        <f aca="false">IF(OR(CI852="",CJ852=""),"",DAYS360(CI852,CJ852))</f>
        <v>412</v>
      </c>
      <c r="CQ852" s="0" t="s">
        <v>2021</v>
      </c>
      <c r="CR852" s="0" t="n">
        <v>1</v>
      </c>
      <c r="CT852" s="0" t="n">
        <v>3000</v>
      </c>
      <c r="CU852" s="0" t="n">
        <v>2</v>
      </c>
      <c r="CV852" s="0" t="n">
        <f aca="false">IF(OR(CT852="",CT852="NO ESPECIFICA",CT852="NO MENCIONA"),"",IF(CU852=0,CT852,IF(CU852=1,CT852/30,IF(CU852=2,CT852/15,IF(CU852=3,CT852/7,"")))))</f>
        <v>200</v>
      </c>
      <c r="CW852" s="125" t="n">
        <v>425.63</v>
      </c>
      <c r="CX852" s="0" t="n">
        <v>0</v>
      </c>
      <c r="CY852" s="0" t="n">
        <f aca="false">IF(CW852="","",IF(CX852=0,CW852,IF(CX852=1,CW852/30,IF(CX852=2,CW852/15,IF(CX852=3,CW852/7,CW852)))))</f>
        <v>425.63</v>
      </c>
      <c r="CZ852" s="0" t="n">
        <f aca="false">IF(DI852&gt;0,DI852,IF(CY852&gt;0,CY852,IF(CV852&gt;0,CV852,"")))</f>
        <v>425.63</v>
      </c>
      <c r="DA852" s="0" t="n">
        <f aca="false">IF(DM852=1,CZ852/8,IF(OR(DM852=2,DM852=4),CZ852/7,IF(DM852=3,CZ852/7.5,"")))</f>
        <v>56.7506666666667</v>
      </c>
      <c r="DB852" s="0" t="s">
        <v>1945</v>
      </c>
      <c r="DC852" s="0" t="s">
        <v>7793</v>
      </c>
      <c r="DD852" s="0" t="s">
        <v>1935</v>
      </c>
      <c r="DE852" s="0" t="s">
        <v>6902</v>
      </c>
      <c r="DF852" s="0" t="s">
        <v>3909</v>
      </c>
      <c r="DG852" s="0" t="s">
        <v>216</v>
      </c>
      <c r="DH852" s="0" t="n">
        <v>0</v>
      </c>
      <c r="DI852" s="126" t="n">
        <v>425.63</v>
      </c>
      <c r="DK852" s="0" t="n">
        <v>1</v>
      </c>
      <c r="DM852" s="0" t="n">
        <v>3</v>
      </c>
      <c r="DN852" s="0" t="n">
        <v>66.7</v>
      </c>
      <c r="DO852" s="0" t="n">
        <v>3</v>
      </c>
      <c r="DP852" s="0" t="n">
        <v>1</v>
      </c>
      <c r="DQ852" s="0" t="n">
        <v>1</v>
      </c>
      <c r="DR852" s="0"/>
      <c r="DS852" s="0" t="n">
        <v>1</v>
      </c>
      <c r="DU852" s="0" t="n">
        <v>1</v>
      </c>
      <c r="DW852" s="1" t="n">
        <v>40273</v>
      </c>
      <c r="DX852" s="1" t="n">
        <v>40690</v>
      </c>
      <c r="DZ852" s="0"/>
      <c r="EA852" s="0" t="n">
        <v>1</v>
      </c>
      <c r="EC852" s="1" t="n">
        <v>40273</v>
      </c>
      <c r="ED852" s="1" t="n">
        <v>40690</v>
      </c>
      <c r="EF852" s="0"/>
      <c r="EG852" s="0" t="n">
        <v>1</v>
      </c>
      <c r="EH852" s="0" t="n">
        <v>18</v>
      </c>
      <c r="EI852" s="0" t="n">
        <f aca="false">IF(AND(DM852=1,DN852&lt;=48),"",IF(AND(DM852=2,DN852&lt;=42),"",IF(AND(DM852=3,DN852&lt;=45),"",EH852)))</f>
        <v>18</v>
      </c>
      <c r="EJ852" s="0" t="n">
        <f aca="false">IF(EI852="","",IF(EI852&lt;9,EI852,9))</f>
        <v>9</v>
      </c>
      <c r="EK852" s="0" t="n">
        <f aca="false">IF(EI852="","",IF(EI852&gt;9,EI852-EJ852,0))</f>
        <v>9</v>
      </c>
      <c r="EL852" s="0" t="n">
        <f aca="false">IF(EI852="","",EJ852*DA852*2+EK852*DA852*3)</f>
        <v>2553.78</v>
      </c>
      <c r="EP852" s="0" t="n">
        <v>1</v>
      </c>
      <c r="EQ852" s="0"/>
      <c r="ER852" s="0" t="n">
        <v>1</v>
      </c>
      <c r="ET852" s="0" t="n">
        <v>0</v>
      </c>
      <c r="EV852" s="0" t="n">
        <v>0</v>
      </c>
      <c r="EX852" s="0" t="n">
        <v>1</v>
      </c>
      <c r="EY852" s="0" t="n">
        <v>1</v>
      </c>
      <c r="EZ852" s="0"/>
      <c r="FA852" s="0"/>
      <c r="FB852" s="0" t="n">
        <v>0</v>
      </c>
      <c r="FC852" s="1" t="n">
        <v>40960</v>
      </c>
      <c r="FD852" s="0" t="n">
        <v>1</v>
      </c>
      <c r="FE852" s="0" t="n">
        <v>11000</v>
      </c>
      <c r="FF852" s="120" t="n">
        <f aca="false">(CJ852-CI852+1)/365</f>
        <v>1.14520547945205</v>
      </c>
      <c r="FG852" s="0" t="str">
        <f aca="false">CONCATENATE(F852,"/",G852)</f>
        <v>975/2011</v>
      </c>
      <c r="FH852" s="0" t="n">
        <v>1</v>
      </c>
      <c r="FI852" s="0" t="n">
        <f aca="false">IFERROR(IF((FC852-J852+1)/365&gt;3,0,1),"")</f>
        <v>1</v>
      </c>
    </row>
    <row r="853" customFormat="false" ht="15" hidden="false" customHeight="false" outlineLevel="0" collapsed="false">
      <c r="A853" s="5" t="str">
        <f aca="false">E853&amp;G853&amp;F853</f>
        <v>72011978</v>
      </c>
      <c r="B853" s="0" t="s">
        <v>1884</v>
      </c>
      <c r="C853" s="1" t="n">
        <v>42382</v>
      </c>
      <c r="E853" s="0" t="n">
        <v>7</v>
      </c>
      <c r="F853" s="0" t="n">
        <v>978</v>
      </c>
      <c r="G853" s="0" t="n">
        <v>2011</v>
      </c>
      <c r="H853" s="0" t="str">
        <f aca="false">"J"&amp;E853&amp;"\"&amp;F853&amp;"\"&amp;G853&amp;"\"&amp;W853</f>
        <v>J7\978\2011\1</v>
      </c>
      <c r="I853" s="0"/>
      <c r="J853" s="1" t="n">
        <v>40700</v>
      </c>
      <c r="K853" s="0" t="n">
        <v>0</v>
      </c>
      <c r="M853" s="1"/>
      <c r="N853" s="1"/>
      <c r="O853" s="1"/>
      <c r="P853" s="1"/>
      <c r="Q853" s="1"/>
      <c r="T853" s="121"/>
      <c r="U853" s="121"/>
      <c r="V853" s="122" t="n">
        <f aca="false">IF(AND(E853&gt;0,F853&gt;0,G853&gt;0),COUNTIFS($E:$E,E853,$F:$F,F853,$G:$G,G853),"")</f>
        <v>1</v>
      </c>
      <c r="W853" s="122" t="n">
        <f aca="false">IF(V853="","",IF(V853=1,1,IF(AND(E852=E853,F852=F853,G852=G853),W852+1,1)))</f>
        <v>1</v>
      </c>
      <c r="X853" s="0" t="n">
        <v>1</v>
      </c>
      <c r="Y853" s="0" t="n">
        <v>1</v>
      </c>
      <c r="Z853" s="0" t="s">
        <v>7794</v>
      </c>
      <c r="AA853" s="0" t="n">
        <v>0</v>
      </c>
      <c r="AB853" s="0" t="s">
        <v>7795</v>
      </c>
      <c r="AC853" s="0" t="s">
        <v>2460</v>
      </c>
      <c r="AD853" s="0" t="s">
        <v>1888</v>
      </c>
      <c r="AE853" s="0" t="n">
        <v>0</v>
      </c>
      <c r="AF853" s="0" t="s">
        <v>7796</v>
      </c>
      <c r="AG853" s="0" t="n">
        <v>1</v>
      </c>
      <c r="AH853" s="0" t="s">
        <v>7797</v>
      </c>
      <c r="AI853" s="0" t="s">
        <v>7798</v>
      </c>
      <c r="AJ853" s="0" t="s">
        <v>590</v>
      </c>
      <c r="BR853" s="0" t="n">
        <v>1</v>
      </c>
      <c r="BS853" s="0" t="s">
        <v>7799</v>
      </c>
      <c r="BT853" s="0" t="s">
        <v>7800</v>
      </c>
      <c r="BV853" s="123"/>
      <c r="BW853" s="123"/>
      <c r="BX853" s="123"/>
      <c r="BY853" s="123"/>
      <c r="CA853" s="0" t="s">
        <v>1895</v>
      </c>
      <c r="CD853" s="0" t="s">
        <v>1895</v>
      </c>
      <c r="CE853" s="0" t="n">
        <v>0</v>
      </c>
      <c r="CF853" s="0" t="s">
        <v>1959</v>
      </c>
      <c r="CI853" s="1" t="n">
        <v>38183</v>
      </c>
      <c r="CJ853" s="1" t="n">
        <v>40681</v>
      </c>
      <c r="CK853" s="124" t="n">
        <v>0.458333333333333</v>
      </c>
      <c r="CL853" s="0" t="s">
        <v>7796</v>
      </c>
      <c r="CM853" s="0" t="n">
        <f aca="false">IF(OR(CI853="",CJ853=""),"",DAYS360(CI853,CJ853)/360)</f>
        <v>6.84166666666667</v>
      </c>
      <c r="CN853" s="0" t="n">
        <f aca="false">IF(OR(CI853="",CJ853=""),"",DAYS360(CI853,CJ853)/30)</f>
        <v>82.1</v>
      </c>
      <c r="CO853" s="0" t="n">
        <f aca="false">IF(OR(CI853="",CJ853=""),"",DAYS360(CI853,CJ853)/7)</f>
        <v>351.857142857143</v>
      </c>
      <c r="CP853" s="0" t="n">
        <f aca="false">IF(OR(CI853="",CJ853=""),"",DAYS360(CI853,CJ853))</f>
        <v>2463</v>
      </c>
      <c r="CQ853" s="0" t="s">
        <v>1898</v>
      </c>
      <c r="CR853" s="0" t="n">
        <v>1</v>
      </c>
      <c r="CT853" s="0" t="s">
        <v>1899</v>
      </c>
      <c r="CU853" s="0" t="s">
        <v>1899</v>
      </c>
      <c r="CV853" s="0" t="str">
        <f aca="false">IF(OR(CT853="",CT853="NO ESPECIFICA",CT853="NO MENCIONA"),"",IF(CU853=0,CT853,IF(CU853=1,CT853/30,IF(CU853=2,CT853/15,IF(CU853=3,CT853/7,"")))))</f>
        <v/>
      </c>
      <c r="CW853" s="125" t="n">
        <v>400</v>
      </c>
      <c r="CX853" s="0" t="n">
        <v>0</v>
      </c>
      <c r="CY853" s="0" t="n">
        <f aca="false">IF(CW853="","",IF(CX853=0,CW853,IF(CX853=1,CW853/30,IF(CX853=2,CW853/15,IF(CX853=3,CW853/7,CW853)))))</f>
        <v>400</v>
      </c>
      <c r="CZ853" s="0" t="n">
        <f aca="false">IF(DI853&gt;0,DI853,IF(CY853&gt;0,CY853,IF(CV853&gt;0,CV853,"")))</f>
        <v>400</v>
      </c>
      <c r="DA853" s="0" t="n">
        <f aca="false">IF(DM853=1,CZ853/8,IF(OR(DM853=2,DM853=4),CZ853/7,IF(DM853=3,CZ853/7.5,"")))</f>
        <v>50</v>
      </c>
      <c r="DB853" s="0" t="s">
        <v>1895</v>
      </c>
      <c r="DC853" s="0" t="s">
        <v>1895</v>
      </c>
      <c r="DD853" s="0" t="s">
        <v>1895</v>
      </c>
      <c r="DE853" s="0" t="s">
        <v>216</v>
      </c>
      <c r="DF853" s="0" t="s">
        <v>216</v>
      </c>
      <c r="DG853" s="0" t="s">
        <v>216</v>
      </c>
      <c r="DH853" s="0" t="n">
        <v>0</v>
      </c>
      <c r="DI853" s="126" t="n">
        <v>400</v>
      </c>
      <c r="DK853" s="0" t="n">
        <v>0</v>
      </c>
      <c r="DM853" s="0" t="n">
        <v>1</v>
      </c>
      <c r="DN853" s="0" t="n">
        <v>60</v>
      </c>
      <c r="DO853" s="0" t="n">
        <v>3</v>
      </c>
      <c r="DP853" s="0" t="n">
        <v>0</v>
      </c>
      <c r="DQ853" s="0" t="n">
        <v>1</v>
      </c>
      <c r="DR853" s="0"/>
      <c r="DS853" s="0" t="n">
        <v>1</v>
      </c>
      <c r="DU853" s="0" t="n">
        <v>1</v>
      </c>
      <c r="DW853" s="1" t="n">
        <v>38183</v>
      </c>
      <c r="DX853" s="1" t="n">
        <v>40681</v>
      </c>
      <c r="DZ853" s="0"/>
      <c r="EA853" s="0" t="n">
        <v>1</v>
      </c>
      <c r="EC853" s="1" t="n">
        <v>38183</v>
      </c>
      <c r="ED853" s="1" t="n">
        <v>40681</v>
      </c>
      <c r="EF853" s="0"/>
      <c r="EG853" s="0" t="n">
        <v>1</v>
      </c>
      <c r="EH853" s="0" t="n">
        <v>12</v>
      </c>
      <c r="EI853" s="0" t="n">
        <f aca="false">IF(AND(DM853=1,DN853&lt;=48),"",IF(AND(DM853=2,DN853&lt;=42),"",IF(AND(DM853=3,DN853&lt;=45),"",EH853)))</f>
        <v>12</v>
      </c>
      <c r="EJ853" s="0" t="n">
        <f aca="false">IF(EI853="","",IF(EI853&lt;9,EI853,9))</f>
        <v>9</v>
      </c>
      <c r="EK853" s="0" t="n">
        <f aca="false">IF(EI853="","",IF(EI853&gt;9,EI853-EJ853,0))</f>
        <v>3</v>
      </c>
      <c r="EL853" s="0" t="n">
        <f aca="false">IF(EI853="","",EJ853*DA853*2+EK853*DA853*3)</f>
        <v>1350</v>
      </c>
      <c r="EP853" s="0" t="n">
        <v>1</v>
      </c>
      <c r="EQ853" s="0"/>
      <c r="ER853" s="0" t="n">
        <v>0</v>
      </c>
      <c r="ET853" s="0" t="n">
        <v>1</v>
      </c>
      <c r="EV853" s="0" t="n">
        <v>1</v>
      </c>
      <c r="EX853" s="0" t="n">
        <v>0</v>
      </c>
      <c r="EY853" s="0" t="n">
        <v>0</v>
      </c>
      <c r="EZ853" s="0"/>
      <c r="FA853" s="0"/>
      <c r="FB853" s="0" t="n">
        <v>1</v>
      </c>
      <c r="FC853" s="1" t="n">
        <v>41492</v>
      </c>
      <c r="FD853" s="0" t="n">
        <v>4</v>
      </c>
      <c r="FE853" s="0" t="n">
        <v>0</v>
      </c>
      <c r="FF853" s="120" t="n">
        <f aca="false">(CJ853-CI853+1)/365</f>
        <v>6.84657534246575</v>
      </c>
      <c r="FG853" s="0" t="str">
        <f aca="false">CONCATENATE(F853,"/",G853)</f>
        <v>978/2011</v>
      </c>
      <c r="FH853" s="0" t="n">
        <v>1</v>
      </c>
      <c r="FI853" s="0" t="n">
        <f aca="false">IFERROR(IF((FC853-J853+1)/365&gt;3,0,1),"")</f>
        <v>1</v>
      </c>
    </row>
    <row r="854" customFormat="false" ht="15" hidden="false" customHeight="false" outlineLevel="0" collapsed="false">
      <c r="A854" s="5" t="str">
        <f aca="false">E854&amp;G854&amp;F854</f>
        <v>72011979</v>
      </c>
      <c r="B854" s="0" t="s">
        <v>1884</v>
      </c>
      <c r="C854" s="1" t="n">
        <v>42382</v>
      </c>
      <c r="E854" s="0" t="n">
        <v>7</v>
      </c>
      <c r="F854" s="0" t="n">
        <v>979</v>
      </c>
      <c r="G854" s="0" t="n">
        <v>2011</v>
      </c>
      <c r="H854" s="0" t="str">
        <f aca="false">"J"&amp;E854&amp;"\"&amp;F854&amp;"\"&amp;G854&amp;"\"&amp;W854</f>
        <v>J7\979\2011\1</v>
      </c>
      <c r="I854" s="0"/>
      <c r="J854" s="1" t="n">
        <v>40700</v>
      </c>
      <c r="K854" s="0" t="n">
        <v>0</v>
      </c>
      <c r="M854" s="1"/>
      <c r="N854" s="1"/>
      <c r="O854" s="1"/>
      <c r="P854" s="1"/>
      <c r="Q854" s="1"/>
      <c r="T854" s="121"/>
      <c r="U854" s="121"/>
      <c r="V854" s="122" t="n">
        <f aca="false">IF(AND(E854&gt;0,F854&gt;0,G854&gt;0),COUNTIFS($E:$E,E854,$F:$F,F854,$G:$G,G854),"")</f>
        <v>1</v>
      </c>
      <c r="W854" s="122" t="n">
        <f aca="false">IF(V854="","",IF(V854=1,1,IF(AND(E853=E854,F853=F854,G853=G854),W853+1,1)))</f>
        <v>1</v>
      </c>
      <c r="X854" s="0" t="n">
        <v>1</v>
      </c>
      <c r="Y854" s="0" t="n">
        <v>7</v>
      </c>
      <c r="Z854" s="0" t="s">
        <v>7801</v>
      </c>
      <c r="AA854" s="0" t="n">
        <v>0</v>
      </c>
      <c r="AB854" s="0" t="s">
        <v>1947</v>
      </c>
      <c r="AE854" s="0" t="n">
        <v>0</v>
      </c>
      <c r="AF854" s="0" t="s">
        <v>7802</v>
      </c>
      <c r="AG854" s="0" t="n">
        <v>1</v>
      </c>
      <c r="AH854" s="0" t="s">
        <v>7803</v>
      </c>
      <c r="AI854" s="0" t="s">
        <v>7804</v>
      </c>
      <c r="AJ854" s="0" t="s">
        <v>2070</v>
      </c>
      <c r="AL854" s="0" t="s">
        <v>7805</v>
      </c>
      <c r="AM854" s="0" t="n">
        <v>1</v>
      </c>
      <c r="AN854" s="0" t="s">
        <v>7803</v>
      </c>
      <c r="AO854" s="0" t="s">
        <v>7804</v>
      </c>
      <c r="AP854" s="0" t="s">
        <v>2070</v>
      </c>
      <c r="AR854" s="0" t="s">
        <v>7806</v>
      </c>
      <c r="AS854" s="0" t="n">
        <v>1</v>
      </c>
      <c r="AT854" s="0" t="s">
        <v>7803</v>
      </c>
      <c r="AU854" s="0" t="s">
        <v>7804</v>
      </c>
      <c r="AV854" s="0" t="s">
        <v>2070</v>
      </c>
      <c r="AX854" s="0" t="s">
        <v>1931</v>
      </c>
      <c r="AY854" s="0" t="n">
        <v>1</v>
      </c>
      <c r="AZ854" s="0" t="s">
        <v>7803</v>
      </c>
      <c r="BA854" s="0" t="s">
        <v>7804</v>
      </c>
      <c r="BB854" s="0" t="s">
        <v>2070</v>
      </c>
      <c r="BD854" s="0" t="s">
        <v>7807</v>
      </c>
      <c r="BE854" s="0" t="n">
        <v>0</v>
      </c>
      <c r="BF854" s="0" t="s">
        <v>7803</v>
      </c>
      <c r="BG854" s="0" t="s">
        <v>7804</v>
      </c>
      <c r="BH854" s="0" t="s">
        <v>2070</v>
      </c>
      <c r="BJ854" s="0" t="s">
        <v>249</v>
      </c>
      <c r="BK854" s="0" t="n">
        <v>0</v>
      </c>
      <c r="BL854" s="0" t="s">
        <v>7803</v>
      </c>
      <c r="BM854" s="0" t="s">
        <v>7804</v>
      </c>
      <c r="BN854" s="0" t="s">
        <v>2070</v>
      </c>
      <c r="BR854" s="0" t="n">
        <v>1</v>
      </c>
      <c r="BS854" s="0" t="s">
        <v>7808</v>
      </c>
      <c r="BT854" s="0" t="s">
        <v>7809</v>
      </c>
      <c r="BU854" s="0" t="s">
        <v>7810</v>
      </c>
      <c r="BV854" s="123"/>
      <c r="BW854" s="123"/>
      <c r="BX854" s="123"/>
      <c r="BY854" s="123"/>
      <c r="CA854" s="0" t="s">
        <v>1895</v>
      </c>
      <c r="CD854" s="0" t="s">
        <v>357</v>
      </c>
      <c r="CE854" s="0" t="n">
        <v>0</v>
      </c>
      <c r="CF854" s="0" t="s">
        <v>7811</v>
      </c>
      <c r="CI854" s="1" t="n">
        <v>40148</v>
      </c>
      <c r="CJ854" s="1" t="n">
        <v>40672</v>
      </c>
      <c r="CK854" s="124" t="n">
        <v>0.375</v>
      </c>
      <c r="CL854" s="0" t="s">
        <v>7802</v>
      </c>
      <c r="CM854" s="0" t="n">
        <f aca="false">IF(OR(CI854="",CJ854=""),"",DAYS360(CI854,CJ854)/360)</f>
        <v>1.43888888888889</v>
      </c>
      <c r="CN854" s="0" t="n">
        <f aca="false">IF(OR(CI854="",CJ854=""),"",DAYS360(CI854,CJ854)/30)</f>
        <v>17.2666666666667</v>
      </c>
      <c r="CO854" s="0" t="n">
        <f aca="false">IF(OR(CI854="",CJ854=""),"",DAYS360(CI854,CJ854)/7)</f>
        <v>74</v>
      </c>
      <c r="CP854" s="0" t="n">
        <f aca="false">IF(OR(CI854="",CJ854=""),"",DAYS360(CI854,CJ854))</f>
        <v>518</v>
      </c>
      <c r="CQ854" s="0" t="s">
        <v>1898</v>
      </c>
      <c r="CR854" s="0" t="n">
        <v>1</v>
      </c>
      <c r="CT854" s="0" t="s">
        <v>1899</v>
      </c>
      <c r="CU854" s="0" t="s">
        <v>1899</v>
      </c>
      <c r="CV854" s="0" t="str">
        <f aca="false">IF(OR(CT854="",CT854="NO ESPECIFICA",CT854="NO MENCIONA"),"",IF(CU854=0,CT854,IF(CU854=1,CT854/30,IF(CU854=2,CT854/15,IF(CU854=3,CT854/7,"")))))</f>
        <v/>
      </c>
      <c r="CW854" s="125" t="n">
        <v>35000</v>
      </c>
      <c r="CX854" s="0" t="n">
        <v>1</v>
      </c>
      <c r="CY854" s="0" t="n">
        <f aca="false">IF(CW854="","",IF(CX854=0,CW854,IF(CX854=1,CW854/30,IF(CX854=2,CW854/15,IF(CX854=3,CW854/7,CW854)))))</f>
        <v>1166.66666666667</v>
      </c>
      <c r="CZ854" s="0" t="n">
        <f aca="false">IF(DI854&gt;0,DI854,IF(CY854&gt;0,CY854,IF(CV854&gt;0,CV854,"")))</f>
        <v>1166.66</v>
      </c>
      <c r="DA854" s="0" t="n">
        <f aca="false">IF(DM854=1,CZ854/8,IF(OR(DM854=2,DM854=4),CZ854/7,IF(DM854=3,CZ854/7.5,"")))</f>
        <v>145.8325</v>
      </c>
      <c r="DB854" s="0" t="s">
        <v>1895</v>
      </c>
      <c r="DC854" s="0" t="s">
        <v>1895</v>
      </c>
      <c r="DD854" s="0" t="s">
        <v>1895</v>
      </c>
      <c r="DE854" s="0" t="s">
        <v>216</v>
      </c>
      <c r="DF854" s="0" t="s">
        <v>216</v>
      </c>
      <c r="DG854" s="0" t="s">
        <v>216</v>
      </c>
      <c r="DH854" s="0" t="n">
        <v>0</v>
      </c>
      <c r="DI854" s="126" t="n">
        <v>1166.66</v>
      </c>
      <c r="DK854" s="0" t="n">
        <v>1</v>
      </c>
      <c r="DM854" s="0" t="n">
        <v>1</v>
      </c>
      <c r="DN854" s="0" t="n">
        <v>50</v>
      </c>
      <c r="DO854" s="0" t="n">
        <v>3</v>
      </c>
      <c r="DP854" s="0" t="n">
        <v>0</v>
      </c>
      <c r="DQ854" s="0" t="n">
        <v>1</v>
      </c>
      <c r="DR854" s="0"/>
      <c r="DS854" s="0" t="n">
        <v>1</v>
      </c>
      <c r="DU854" s="0" t="n">
        <v>1</v>
      </c>
      <c r="DW854" s="1" t="n">
        <v>40148</v>
      </c>
      <c r="DX854" s="1" t="n">
        <v>40672</v>
      </c>
      <c r="DZ854" s="0"/>
      <c r="EA854" s="0" t="n">
        <v>1</v>
      </c>
      <c r="EC854" s="1" t="n">
        <v>40148</v>
      </c>
      <c r="ED854" s="1" t="n">
        <v>40672</v>
      </c>
      <c r="EF854" s="0"/>
      <c r="EG854" s="0" t="n">
        <v>1</v>
      </c>
      <c r="EH854" s="0" t="n">
        <v>10</v>
      </c>
      <c r="EI854" s="0" t="n">
        <f aca="false">IF(AND(DM854=1,DN854&lt;=48),"",IF(AND(DM854=2,DN854&lt;=42),"",IF(AND(DM854=3,DN854&lt;=45),"",EH854)))</f>
        <v>10</v>
      </c>
      <c r="EJ854" s="0" t="n">
        <f aca="false">IF(EI854="","",IF(EI854&lt;9,EI854,9))</f>
        <v>9</v>
      </c>
      <c r="EK854" s="0" t="n">
        <f aca="false">IF(EI854="","",IF(EI854&gt;9,EI854-EJ854,0))</f>
        <v>1</v>
      </c>
      <c r="EL854" s="0" t="n">
        <f aca="false">IF(EI854="","",EJ854*DA854*2+EK854*DA854*3)</f>
        <v>3062.4825</v>
      </c>
      <c r="EP854" s="0" t="n">
        <v>0</v>
      </c>
      <c r="EQ854" s="0"/>
      <c r="ER854" s="0" t="n">
        <v>0</v>
      </c>
      <c r="ET854" s="0" t="n">
        <v>0</v>
      </c>
      <c r="EV854" s="0" t="n">
        <v>1</v>
      </c>
      <c r="EX854" s="0" t="n">
        <v>1</v>
      </c>
      <c r="EY854" s="0" t="n">
        <v>0</v>
      </c>
      <c r="EZ854" s="0"/>
      <c r="FA854" s="0"/>
      <c r="FB854" s="0" t="n">
        <v>0</v>
      </c>
      <c r="FC854" s="1" t="n">
        <v>41736</v>
      </c>
      <c r="FD854" s="0" t="n">
        <v>2</v>
      </c>
      <c r="FE854" s="0" t="n">
        <v>0</v>
      </c>
      <c r="FF854" s="120" t="n">
        <f aca="false">(CJ854-CI854+1)/365</f>
        <v>1.43835616438356</v>
      </c>
      <c r="FG854" s="0" t="str">
        <f aca="false">CONCATENATE(F854,"/",G854)</f>
        <v>979/2011</v>
      </c>
      <c r="FH854" s="0" t="n">
        <v>1</v>
      </c>
      <c r="FI854" s="0" t="n">
        <f aca="false">IFERROR(IF((FC854-J854+1)/365&gt;3,0,1),"")</f>
        <v>1</v>
      </c>
    </row>
    <row r="855" customFormat="false" ht="15" hidden="false" customHeight="false" outlineLevel="0" collapsed="false">
      <c r="A855" s="5" t="str">
        <f aca="false">E855&amp;G855&amp;F855</f>
        <v>72011980</v>
      </c>
      <c r="B855" s="0" t="s">
        <v>1884</v>
      </c>
      <c r="C855" s="1" t="n">
        <v>42382</v>
      </c>
      <c r="E855" s="0" t="n">
        <v>7</v>
      </c>
      <c r="F855" s="0" t="n">
        <v>980</v>
      </c>
      <c r="G855" s="0" t="n">
        <v>2011</v>
      </c>
      <c r="H855" s="0" t="str">
        <f aca="false">"J"&amp;E855&amp;"\"&amp;F855&amp;"\"&amp;G855&amp;"\"&amp;W855</f>
        <v>J7\980\2011\1</v>
      </c>
      <c r="I855" s="0"/>
      <c r="J855" s="1" t="n">
        <v>40701</v>
      </c>
      <c r="K855" s="0" t="n">
        <v>0</v>
      </c>
      <c r="M855" s="1" t="n">
        <v>40701</v>
      </c>
      <c r="N855" s="1" t="n">
        <v>40857</v>
      </c>
      <c r="O855" s="1"/>
      <c r="P855" s="1"/>
      <c r="Q855" s="1"/>
      <c r="T855" s="121"/>
      <c r="U855" s="121"/>
      <c r="V855" s="122" t="n">
        <f aca="false">IF(AND(E855&gt;0,F855&gt;0,G855&gt;0),COUNTIFS($E:$E,E855,$F:$F,F855,$G:$G,G855),"")</f>
        <v>1</v>
      </c>
      <c r="W855" s="122" t="n">
        <f aca="false">IF(V855="","",IF(V855=1,1,IF(AND(E854=E855,F854=F855,G854=G855),W854+1,1)))</f>
        <v>1</v>
      </c>
      <c r="X855" s="0" t="n">
        <v>1</v>
      </c>
      <c r="Y855" s="0" t="n">
        <v>2</v>
      </c>
      <c r="Z855" s="0" t="s">
        <v>7812</v>
      </c>
      <c r="AA855" s="0" t="n">
        <v>0</v>
      </c>
      <c r="AB855" s="0" t="s">
        <v>7813</v>
      </c>
      <c r="AC855" s="0" t="s">
        <v>2640</v>
      </c>
      <c r="AD855" s="0" t="s">
        <v>1903</v>
      </c>
      <c r="AE855" s="0" t="n">
        <v>0</v>
      </c>
      <c r="AF855" s="0" t="s">
        <v>7814</v>
      </c>
      <c r="AG855" s="0" t="n">
        <v>0</v>
      </c>
      <c r="AH855" s="0" t="s">
        <v>7815</v>
      </c>
      <c r="AI855" s="0" t="s">
        <v>7816</v>
      </c>
      <c r="AJ855" s="0" t="s">
        <v>7817</v>
      </c>
      <c r="AL855" s="0" t="s">
        <v>7818</v>
      </c>
      <c r="AM855" s="0" t="n">
        <v>1</v>
      </c>
      <c r="AN855" s="0" t="s">
        <v>7815</v>
      </c>
      <c r="AO855" s="0" t="s">
        <v>7816</v>
      </c>
      <c r="AP855" s="0" t="s">
        <v>7817</v>
      </c>
      <c r="BR855" s="0" t="n">
        <v>1</v>
      </c>
      <c r="BS855" s="0" t="s">
        <v>7819</v>
      </c>
      <c r="BT855" s="0" t="s">
        <v>7820</v>
      </c>
      <c r="BU855" s="0" t="s">
        <v>7821</v>
      </c>
      <c r="BV855" s="123"/>
      <c r="BW855" s="123"/>
      <c r="BX855" s="123"/>
      <c r="BY855" s="123"/>
      <c r="CA855" s="0" t="s">
        <v>7822</v>
      </c>
      <c r="CD855" s="0" t="s">
        <v>1943</v>
      </c>
      <c r="CE855" s="0" t="n">
        <v>0</v>
      </c>
      <c r="CF855" s="0" t="s">
        <v>7823</v>
      </c>
      <c r="CI855" s="1" t="n">
        <v>40238</v>
      </c>
      <c r="CJ855" s="1" t="n">
        <v>40690</v>
      </c>
      <c r="CK855" s="124" t="n">
        <v>0.270833333333333</v>
      </c>
      <c r="CL855" s="0" t="s">
        <v>7824</v>
      </c>
      <c r="CM855" s="0" t="n">
        <f aca="false">IF(OR(CI855="",CJ855=""),"",DAYS360(CI855,CJ855)/360)</f>
        <v>1.23888888888889</v>
      </c>
      <c r="CN855" s="0" t="n">
        <f aca="false">IF(OR(CI855="",CJ855=""),"",DAYS360(CI855,CJ855)/30)</f>
        <v>14.8666666666667</v>
      </c>
      <c r="CO855" s="0" t="n">
        <f aca="false">IF(OR(CI855="",CJ855=""),"",DAYS360(CI855,CJ855)/7)</f>
        <v>63.7142857142857</v>
      </c>
      <c r="CP855" s="0" t="n">
        <f aca="false">IF(OR(CI855="",CJ855=""),"",DAYS360(CI855,CJ855))</f>
        <v>446</v>
      </c>
      <c r="CQ855" s="0" t="s">
        <v>1898</v>
      </c>
      <c r="CR855" s="0" t="n">
        <v>1</v>
      </c>
      <c r="CT855" s="0" t="n">
        <v>597.8</v>
      </c>
      <c r="CU855" s="0" t="n">
        <v>3</v>
      </c>
      <c r="CV855" s="0" t="n">
        <f aca="false">IF(OR(CT855="",CT855="NO ESPECIFICA",CT855="NO MENCIONA"),"",IF(CU855=0,CT855,IF(CU855=1,CT855/30,IF(CU855=2,CT855/15,IF(CU855=3,CT855/7,"")))))</f>
        <v>85.4</v>
      </c>
      <c r="CW855" s="125" t="n">
        <v>2730.98</v>
      </c>
      <c r="CX855" s="0" t="n">
        <v>3</v>
      </c>
      <c r="CY855" s="0" t="n">
        <f aca="false">IF(CW855="","",IF(CX855=0,CW855,IF(CX855=1,CW855/30,IF(CX855=2,CW855/15,IF(CX855=3,CW855/7,CW855)))))</f>
        <v>390.14</v>
      </c>
      <c r="CZ855" s="0" t="n">
        <f aca="false">IF(DI855&gt;0,DI855,IF(CY855&gt;0,CY855,IF(CV855&gt;0,CV855,"")))</f>
        <v>390.14</v>
      </c>
      <c r="DA855" s="0" t="n">
        <f aca="false">IF(DM855=1,CZ855/8,IF(OR(DM855=2,DM855=4),CZ855/7,IF(DM855=3,CZ855/7.5,"")))</f>
        <v>48.7675</v>
      </c>
      <c r="DB855" s="0" t="s">
        <v>7825</v>
      </c>
      <c r="DC855" s="0" t="s">
        <v>2315</v>
      </c>
      <c r="DD855" s="0" t="s">
        <v>1895</v>
      </c>
      <c r="DE855" s="0" t="s">
        <v>216</v>
      </c>
      <c r="DF855" s="0" t="s">
        <v>216</v>
      </c>
      <c r="DG855" s="0" t="s">
        <v>216</v>
      </c>
      <c r="DH855" s="0" t="n">
        <v>0</v>
      </c>
      <c r="DI855" s="126" t="n">
        <v>390.14</v>
      </c>
      <c r="DK855" s="0" t="n">
        <v>0</v>
      </c>
      <c r="DM855" s="0" t="n">
        <v>1</v>
      </c>
      <c r="DN855" s="0" t="n">
        <v>66</v>
      </c>
      <c r="DO855" s="0" t="n">
        <v>3</v>
      </c>
      <c r="DP855" s="0" t="n">
        <v>0</v>
      </c>
      <c r="DQ855" s="0" t="n">
        <v>1</v>
      </c>
      <c r="DR855" s="0"/>
      <c r="DS855" s="0" t="n">
        <v>1</v>
      </c>
      <c r="DU855" s="0" t="n">
        <v>1</v>
      </c>
      <c r="DW855" s="1" t="n">
        <v>40238</v>
      </c>
      <c r="DX855" s="1" t="n">
        <v>40690</v>
      </c>
      <c r="DZ855" s="0"/>
      <c r="EA855" s="0" t="n">
        <v>1</v>
      </c>
      <c r="EC855" s="1" t="n">
        <v>40238</v>
      </c>
      <c r="ED855" s="1" t="n">
        <v>40690</v>
      </c>
      <c r="EF855" s="0"/>
      <c r="EG855" s="0" t="n">
        <v>1</v>
      </c>
      <c r="EH855" s="0" t="n">
        <v>12</v>
      </c>
      <c r="EI855" s="0" t="n">
        <f aca="false">IF(AND(DM855=1,DN855&lt;=48),"",IF(AND(DM855=2,DN855&lt;=42),"",IF(AND(DM855=3,DN855&lt;=45),"",EH855)))</f>
        <v>12</v>
      </c>
      <c r="EJ855" s="0" t="n">
        <f aca="false">IF(EI855="","",IF(EI855&lt;9,EI855,9))</f>
        <v>9</v>
      </c>
      <c r="EK855" s="0" t="n">
        <f aca="false">IF(EI855="","",IF(EI855&gt;9,EI855-EJ855,0))</f>
        <v>3</v>
      </c>
      <c r="EL855" s="0" t="n">
        <f aca="false">IF(EI855="","",EJ855*DA855*2+EK855*DA855*3)</f>
        <v>1316.7225</v>
      </c>
      <c r="EP855" s="0" t="n">
        <v>0</v>
      </c>
      <c r="EQ855" s="0"/>
      <c r="ER855" s="0" t="n">
        <v>0</v>
      </c>
      <c r="ET855" s="0" t="n">
        <v>0</v>
      </c>
      <c r="EV855" s="0" t="n">
        <v>0</v>
      </c>
      <c r="EX855" s="0" t="n">
        <v>1</v>
      </c>
      <c r="EY855" s="0" t="n">
        <v>0</v>
      </c>
      <c r="EZ855" s="0"/>
      <c r="FA855" s="4" t="n">
        <v>3150</v>
      </c>
      <c r="FB855" s="0" t="n">
        <v>0</v>
      </c>
      <c r="FC855" s="1" t="n">
        <v>41193</v>
      </c>
      <c r="FD855" s="0" t="n">
        <v>1</v>
      </c>
      <c r="FE855" s="0" t="n">
        <v>20000</v>
      </c>
      <c r="FF855" s="120" t="n">
        <f aca="false">(CJ855-CI855+1)/365</f>
        <v>1.24109589041096</v>
      </c>
      <c r="FG855" s="0" t="str">
        <f aca="false">CONCATENATE(F855,"/",G855)</f>
        <v>980/2011</v>
      </c>
      <c r="FH855" s="0" t="n">
        <v>1</v>
      </c>
      <c r="FI855" s="0" t="n">
        <f aca="false">IFERROR(IF((FC855-J855+1)/365&gt;3,0,1),"")</f>
        <v>1</v>
      </c>
    </row>
    <row r="856" customFormat="false" ht="15" hidden="false" customHeight="false" outlineLevel="0" collapsed="false">
      <c r="A856" s="5" t="str">
        <f aca="false">E856&amp;G856&amp;F856</f>
        <v>72011983</v>
      </c>
      <c r="B856" s="0" t="s">
        <v>1884</v>
      </c>
      <c r="C856" s="1" t="n">
        <v>42382</v>
      </c>
      <c r="E856" s="0" t="n">
        <v>7</v>
      </c>
      <c r="F856" s="0" t="n">
        <v>983</v>
      </c>
      <c r="G856" s="0" t="n">
        <v>2011</v>
      </c>
      <c r="H856" s="0" t="str">
        <f aca="false">"J"&amp;E856&amp;"\"&amp;F856&amp;"\"&amp;G856&amp;"\"&amp;W856</f>
        <v>J7\983\2011\1</v>
      </c>
      <c r="I856" s="0"/>
      <c r="J856" s="1" t="n">
        <v>40701</v>
      </c>
      <c r="K856" s="0" t="n">
        <v>0</v>
      </c>
      <c r="M856" s="1"/>
      <c r="N856" s="1"/>
      <c r="O856" s="1"/>
      <c r="P856" s="1"/>
      <c r="Q856" s="1"/>
      <c r="T856" s="121"/>
      <c r="U856" s="121"/>
      <c r="V856" s="122" t="n">
        <f aca="false">IF(AND(E856&gt;0,F856&gt;0,G856&gt;0),COUNTIFS($E:$E,E856,$F:$F,F856,$G:$G,G856),"")</f>
        <v>1</v>
      </c>
      <c r="W856" s="122" t="n">
        <f aca="false">IF(V856="","",IF(V856=1,1,IF(AND(E855=E856,F855=F856,G855=G856),W855+1,1)))</f>
        <v>1</v>
      </c>
      <c r="X856" s="0" t="n">
        <v>1</v>
      </c>
      <c r="Y856" s="0" t="n">
        <v>2</v>
      </c>
      <c r="Z856" s="0" t="s">
        <v>7826</v>
      </c>
      <c r="AA856" s="0" t="n">
        <v>0</v>
      </c>
      <c r="AB856" s="0" t="s">
        <v>6661</v>
      </c>
      <c r="AC856" s="0" t="s">
        <v>2049</v>
      </c>
      <c r="AE856" s="0" t="n">
        <v>0</v>
      </c>
      <c r="AF856" s="0" t="s">
        <v>7827</v>
      </c>
      <c r="AG856" s="0" t="n">
        <v>1</v>
      </c>
      <c r="AH856" s="0" t="s">
        <v>7828</v>
      </c>
      <c r="AI856" s="0" t="s">
        <v>954</v>
      </c>
      <c r="AJ856" s="0" t="s">
        <v>1888</v>
      </c>
      <c r="AL856" s="0" t="s">
        <v>7829</v>
      </c>
      <c r="AM856" s="0" t="n">
        <v>0</v>
      </c>
      <c r="AN856" s="0" t="s">
        <v>7828</v>
      </c>
      <c r="AO856" s="0" t="s">
        <v>954</v>
      </c>
      <c r="AP856" s="0" t="s">
        <v>1888</v>
      </c>
      <c r="BR856" s="0" t="n">
        <v>1</v>
      </c>
      <c r="BS856" s="0" t="s">
        <v>6667</v>
      </c>
      <c r="BT856" s="0" t="s">
        <v>7830</v>
      </c>
      <c r="BU856" s="0" t="s">
        <v>7831</v>
      </c>
      <c r="BV856" s="123"/>
      <c r="BW856" s="123"/>
      <c r="BX856" s="123"/>
      <c r="BY856" s="123"/>
      <c r="CA856" s="0" t="s">
        <v>1895</v>
      </c>
      <c r="CD856" s="0" t="s">
        <v>256</v>
      </c>
      <c r="CE856" s="0" t="n">
        <v>0</v>
      </c>
      <c r="CF856" s="0" t="s">
        <v>7832</v>
      </c>
      <c r="CI856" s="1" t="n">
        <v>40323</v>
      </c>
      <c r="CJ856" s="1" t="n">
        <v>40687</v>
      </c>
      <c r="CK856" s="124" t="n">
        <v>0.583333333333333</v>
      </c>
      <c r="CL856" s="0" t="s">
        <v>7827</v>
      </c>
      <c r="CM856" s="0" t="n">
        <f aca="false">IF(OR(CI856="",CJ856=""),"",DAYS360(CI856,CJ856)/360)</f>
        <v>0.997222222222222</v>
      </c>
      <c r="CN856" s="0" t="n">
        <f aca="false">IF(OR(CI856="",CJ856=""),"",DAYS360(CI856,CJ856)/30)</f>
        <v>11.9666666666667</v>
      </c>
      <c r="CO856" s="0" t="n">
        <f aca="false">IF(OR(CI856="",CJ856=""),"",DAYS360(CI856,CJ856)/7)</f>
        <v>51.2857142857143</v>
      </c>
      <c r="CP856" s="0" t="n">
        <f aca="false">IF(OR(CI856="",CJ856=""),"",DAYS360(CI856,CJ856))</f>
        <v>359</v>
      </c>
      <c r="CQ856" s="0" t="s">
        <v>1898</v>
      </c>
      <c r="CR856" s="0" t="n">
        <v>1</v>
      </c>
      <c r="CT856" s="0" t="n">
        <v>1300</v>
      </c>
      <c r="CU856" s="0" t="n">
        <v>3</v>
      </c>
      <c r="CV856" s="0" t="n">
        <f aca="false">IF(OR(CT856="",CT856="NO ESPECIFICA",CT856="NO MENCIONA"),"",IF(CU856=0,CT856,IF(CU856=1,CT856/30,IF(CU856=2,CT856/15,IF(CU856=3,CT856/7,"")))))</f>
        <v>185.714285714286</v>
      </c>
      <c r="CW856" s="125" t="n">
        <v>1471.43</v>
      </c>
      <c r="CX856" s="0" t="n">
        <v>3</v>
      </c>
      <c r="CY856" s="0" t="n">
        <f aca="false">IF(CW856="","",IF(CX856=0,CW856,IF(CX856=1,CW856/30,IF(CX856=2,CW856/15,IF(CX856=3,CW856/7,CW856)))))</f>
        <v>210.204285714286</v>
      </c>
      <c r="CZ856" s="0" t="n">
        <f aca="false">IF(DI856&gt;0,DI856,IF(CY856&gt;0,CY856,IF(CV856&gt;0,CV856,"")))</f>
        <v>210.2</v>
      </c>
      <c r="DA856" s="0" t="n">
        <f aca="false">IF(DM856=1,CZ856/8,IF(OR(DM856=2,DM856=4),CZ856/7,IF(DM856=3,CZ856/7.5,"")))</f>
        <v>30.0285714285714</v>
      </c>
      <c r="DB856" s="0" t="s">
        <v>259</v>
      </c>
      <c r="DC856" s="0" t="s">
        <v>259</v>
      </c>
      <c r="DD856" s="0" t="s">
        <v>1895</v>
      </c>
      <c r="DE856" s="0" t="s">
        <v>216</v>
      </c>
      <c r="DF856" s="0" t="s">
        <v>216</v>
      </c>
      <c r="DG856" s="0" t="s">
        <v>216</v>
      </c>
      <c r="DH856" s="0" t="n">
        <v>0</v>
      </c>
      <c r="DI856" s="126" t="n">
        <v>210.2</v>
      </c>
      <c r="DK856" s="0" t="n">
        <v>1</v>
      </c>
      <c r="DM856" s="0" t="n">
        <v>2</v>
      </c>
      <c r="DN856" s="0" t="n">
        <v>60</v>
      </c>
      <c r="DO856" s="0" t="n">
        <v>3</v>
      </c>
      <c r="DP856" s="0" t="n">
        <v>0</v>
      </c>
      <c r="DQ856" s="0" t="n">
        <v>1</v>
      </c>
      <c r="DR856" s="0"/>
      <c r="DS856" s="0" t="n">
        <v>1</v>
      </c>
      <c r="DU856" s="0" t="n">
        <v>1</v>
      </c>
      <c r="DW856" s="1" t="n">
        <v>40323</v>
      </c>
      <c r="DX856" s="1" t="n">
        <v>40687</v>
      </c>
      <c r="DZ856" s="0"/>
      <c r="EA856" s="0" t="n">
        <v>1</v>
      </c>
      <c r="EC856" s="1" t="n">
        <v>40323</v>
      </c>
      <c r="ED856" s="1" t="n">
        <v>40687</v>
      </c>
      <c r="EF856" s="0"/>
      <c r="EG856" s="0" t="n">
        <v>1</v>
      </c>
      <c r="EH856" s="0" t="n">
        <v>12</v>
      </c>
      <c r="EI856" s="0" t="n">
        <f aca="false">IF(AND(DM856=1,DN856&lt;=48),"",IF(AND(DM856=2,DN856&lt;=42),"",IF(AND(DM856=3,DN856&lt;=45),"",EH856)))</f>
        <v>12</v>
      </c>
      <c r="EJ856" s="0" t="n">
        <f aca="false">IF(EI856="","",IF(EI856&lt;9,EI856,9))</f>
        <v>9</v>
      </c>
      <c r="EK856" s="0" t="n">
        <f aca="false">IF(EI856="","",IF(EI856&gt;9,EI856-EJ856,0))</f>
        <v>3</v>
      </c>
      <c r="EL856" s="0" t="n">
        <f aca="false">IF(EI856="","",EJ856*DA856*2+EK856*DA856*3)</f>
        <v>810.771428571429</v>
      </c>
      <c r="EP856" s="0" t="n">
        <v>0</v>
      </c>
      <c r="EQ856" s="0"/>
      <c r="ER856" s="0" t="n">
        <v>0</v>
      </c>
      <c r="ET856" s="0" t="n">
        <v>0</v>
      </c>
      <c r="EV856" s="0" t="n">
        <v>1</v>
      </c>
      <c r="EX856" s="0" t="n">
        <v>0</v>
      </c>
      <c r="EY856" s="0" t="n">
        <v>0</v>
      </c>
      <c r="EZ856" s="4" t="n">
        <v>1681.6</v>
      </c>
      <c r="FA856" s="0"/>
      <c r="FB856" s="0" t="n">
        <v>1</v>
      </c>
      <c r="FC856" s="1" t="n">
        <v>41022</v>
      </c>
      <c r="FD856" s="0" t="n">
        <v>1</v>
      </c>
      <c r="FE856" s="0" t="n">
        <v>12000</v>
      </c>
      <c r="FF856" s="120" t="n">
        <f aca="false">(CJ856-CI856+1)/365</f>
        <v>1</v>
      </c>
      <c r="FG856" s="0" t="str">
        <f aca="false">CONCATENATE(F856,"/",G856)</f>
        <v>983/2011</v>
      </c>
      <c r="FH856" s="0" t="n">
        <v>1</v>
      </c>
      <c r="FI856" s="0" t="n">
        <f aca="false">IFERROR(IF((FC856-J856+1)/365&gt;3,0,1),"")</f>
        <v>1</v>
      </c>
    </row>
    <row r="857" customFormat="false" ht="15" hidden="false" customHeight="false" outlineLevel="0" collapsed="false">
      <c r="A857" s="5" t="str">
        <f aca="false">E857&amp;G857&amp;F857</f>
        <v>72011984</v>
      </c>
      <c r="B857" s="0" t="s">
        <v>1884</v>
      </c>
      <c r="C857" s="1" t="n">
        <v>42382</v>
      </c>
      <c r="E857" s="0" t="n">
        <v>7</v>
      </c>
      <c r="F857" s="0" t="n">
        <v>984</v>
      </c>
      <c r="G857" s="0" t="n">
        <v>2011</v>
      </c>
      <c r="H857" s="0" t="str">
        <f aca="false">"J"&amp;E857&amp;"\"&amp;F857&amp;"\"&amp;G857&amp;"\"&amp;W857</f>
        <v>J7\984\2011\1</v>
      </c>
      <c r="I857" s="0"/>
      <c r="J857" s="1" t="n">
        <v>40701</v>
      </c>
      <c r="K857" s="0" t="n">
        <v>0</v>
      </c>
      <c r="M857" s="1" t="n">
        <v>40701</v>
      </c>
      <c r="N857" s="1" t="n">
        <v>40858</v>
      </c>
      <c r="O857" s="1"/>
      <c r="P857" s="1"/>
      <c r="Q857" s="1"/>
      <c r="T857" s="121"/>
      <c r="U857" s="121"/>
      <c r="V857" s="122" t="n">
        <f aca="false">IF(AND(E857&gt;0,F857&gt;0,G857&gt;0),COUNTIFS($E:$E,E857,$F:$F,F857,$G:$G,G857),"")</f>
        <v>1</v>
      </c>
      <c r="W857" s="122" t="n">
        <f aca="false">IF(V857="","",IF(V857=1,1,IF(AND(E856=E857,F856=F857,G856=G857),W856+1,1)))</f>
        <v>1</v>
      </c>
      <c r="X857" s="0" t="n">
        <v>1</v>
      </c>
      <c r="Y857" s="0" t="n">
        <v>3</v>
      </c>
      <c r="Z857" s="0" t="s">
        <v>7833</v>
      </c>
      <c r="AA857" s="0" t="n">
        <v>0</v>
      </c>
      <c r="AB857" s="0" t="s">
        <v>7834</v>
      </c>
      <c r="AC857" s="0" t="s">
        <v>7835</v>
      </c>
      <c r="AD857" s="0" t="s">
        <v>1888</v>
      </c>
      <c r="AE857" s="0" t="n">
        <v>0</v>
      </c>
      <c r="AF857" s="0" t="s">
        <v>7836</v>
      </c>
      <c r="AG857" s="0" t="n">
        <v>0</v>
      </c>
      <c r="AH857" s="0" t="s">
        <v>7837</v>
      </c>
      <c r="AI857" s="0" t="s">
        <v>7838</v>
      </c>
      <c r="AJ857" s="0" t="s">
        <v>1907</v>
      </c>
      <c r="AL857" s="0" t="s">
        <v>7839</v>
      </c>
      <c r="AM857" s="0" t="n">
        <v>1</v>
      </c>
      <c r="AN857" s="0" t="s">
        <v>7837</v>
      </c>
      <c r="AO857" s="0" t="s">
        <v>7838</v>
      </c>
      <c r="AP857" s="0" t="s">
        <v>1907</v>
      </c>
      <c r="AR857" s="0" t="s">
        <v>7840</v>
      </c>
      <c r="AS857" s="0" t="n">
        <v>1</v>
      </c>
      <c r="AT857" s="0" t="s">
        <v>7837</v>
      </c>
      <c r="AU857" s="0" t="s">
        <v>7838</v>
      </c>
      <c r="AV857" s="0" t="s">
        <v>1907</v>
      </c>
      <c r="BR857" s="0" t="n">
        <v>1</v>
      </c>
      <c r="BS857" s="0" t="s">
        <v>7841</v>
      </c>
      <c r="BT857" s="0" t="s">
        <v>7842</v>
      </c>
      <c r="BU857" s="0" t="s">
        <v>7843</v>
      </c>
      <c r="BV857" s="123"/>
      <c r="BW857" s="123"/>
      <c r="BX857" s="123"/>
      <c r="BY857" s="123"/>
      <c r="CA857" s="0" t="s">
        <v>1895</v>
      </c>
      <c r="CD857" s="0" t="s">
        <v>7844</v>
      </c>
      <c r="CE857" s="0" t="n">
        <v>0</v>
      </c>
      <c r="CF857" s="0" t="s">
        <v>1959</v>
      </c>
      <c r="CI857" s="1" t="n">
        <v>40548</v>
      </c>
      <c r="CJ857" s="1" t="n">
        <v>40679</v>
      </c>
      <c r="CK857" s="124" t="n">
        <v>0.708333333333333</v>
      </c>
      <c r="CL857" s="0" t="s">
        <v>7839</v>
      </c>
      <c r="CM857" s="0" t="n">
        <f aca="false">IF(OR(CI857="",CJ857=""),"",DAYS360(CI857,CJ857)/360)</f>
        <v>0.363888888888889</v>
      </c>
      <c r="CN857" s="0" t="n">
        <f aca="false">IF(OR(CI857="",CJ857=""),"",DAYS360(CI857,CJ857)/30)</f>
        <v>4.36666666666667</v>
      </c>
      <c r="CO857" s="0" t="n">
        <f aca="false">IF(OR(CI857="",CJ857=""),"",DAYS360(CI857,CJ857)/7)</f>
        <v>18.7142857142857</v>
      </c>
      <c r="CP857" s="0" t="n">
        <f aca="false">IF(OR(CI857="",CJ857=""),"",DAYS360(CI857,CJ857))</f>
        <v>131</v>
      </c>
      <c r="CQ857" s="0" t="s">
        <v>1898</v>
      </c>
      <c r="CR857" s="0" t="n">
        <v>1</v>
      </c>
      <c r="CT857" s="0" t="s">
        <v>1899</v>
      </c>
      <c r="CU857" s="0" t="s">
        <v>1899</v>
      </c>
      <c r="CV857" s="0" t="str">
        <f aca="false">IF(OR(CT857="",CT857="NO ESPECIFICA",CT857="NO MENCIONA"),"",IF(CU857=0,CT857,IF(CU857=1,CT857/30,IF(CU857=2,CT857/15,IF(CU857=3,CT857/7,"")))))</f>
        <v/>
      </c>
      <c r="CW857" s="125" t="n">
        <v>266.66</v>
      </c>
      <c r="CX857" s="0" t="n">
        <v>0</v>
      </c>
      <c r="CY857" s="0" t="n">
        <f aca="false">IF(CW857="","",IF(CX857=0,CW857,IF(CX857=1,CW857/30,IF(CX857=2,CW857/15,IF(CX857=3,CW857/7,CW857)))))</f>
        <v>266.66</v>
      </c>
      <c r="CZ857" s="0" t="n">
        <f aca="false">IF(DI857&gt;0,DI857,IF(CY857&gt;0,CY857,IF(CV857&gt;0,CV857,"")))</f>
        <v>266.66</v>
      </c>
      <c r="DA857" s="0" t="n">
        <f aca="false">IF(DM857=1,CZ857/8,IF(OR(DM857=2,DM857=4),CZ857/7,IF(DM857=3,CZ857/7.5,"")))</f>
        <v>33.3325</v>
      </c>
      <c r="DB857" s="0" t="s">
        <v>1895</v>
      </c>
      <c r="DC857" s="0" t="s">
        <v>1895</v>
      </c>
      <c r="DD857" s="0" t="s">
        <v>1895</v>
      </c>
      <c r="DE857" s="0" t="s">
        <v>216</v>
      </c>
      <c r="DF857" s="0" t="s">
        <v>216</v>
      </c>
      <c r="DG857" s="0" t="s">
        <v>216</v>
      </c>
      <c r="DH857" s="0" t="n">
        <v>0</v>
      </c>
      <c r="DI857" s="126" t="n">
        <v>266.66</v>
      </c>
      <c r="DK857" s="0" t="n">
        <v>0</v>
      </c>
      <c r="DM857" s="0" t="n">
        <v>1</v>
      </c>
      <c r="DN857" s="0" t="n">
        <v>55</v>
      </c>
      <c r="DO857" s="0" t="n">
        <v>3</v>
      </c>
      <c r="DP857" s="0" t="n">
        <v>0</v>
      </c>
      <c r="DQ857" s="0" t="n">
        <v>1</v>
      </c>
      <c r="DR857" s="0"/>
      <c r="DS857" s="0" t="n">
        <v>1</v>
      </c>
      <c r="DU857" s="0" t="n">
        <v>1</v>
      </c>
      <c r="DW857" s="1" t="n">
        <v>40548</v>
      </c>
      <c r="DX857" s="1" t="n">
        <v>40679</v>
      </c>
      <c r="DZ857" s="0"/>
      <c r="EA857" s="0" t="n">
        <v>1</v>
      </c>
      <c r="EC857" s="1" t="n">
        <v>40548</v>
      </c>
      <c r="ED857" s="1" t="n">
        <v>40679</v>
      </c>
      <c r="EF857" s="0"/>
      <c r="EG857" s="0" t="n">
        <v>1</v>
      </c>
      <c r="EH857" s="0" t="n">
        <v>15</v>
      </c>
      <c r="EI857" s="0" t="n">
        <f aca="false">IF(AND(DM857=1,DN857&lt;=48),"",IF(AND(DM857=2,DN857&lt;=42),"",IF(AND(DM857=3,DN857&lt;=45),"",EH857)))</f>
        <v>15</v>
      </c>
      <c r="EJ857" s="0" t="n">
        <f aca="false">IF(EI857="","",IF(EI857&lt;9,EI857,9))</f>
        <v>9</v>
      </c>
      <c r="EK857" s="0" t="n">
        <f aca="false">IF(EI857="","",IF(EI857&gt;9,EI857-EJ857,0))</f>
        <v>6</v>
      </c>
      <c r="EL857" s="0" t="n">
        <f aca="false">IF(EI857="","",EJ857*DA857*2+EK857*DA857*3)</f>
        <v>1199.97</v>
      </c>
      <c r="EN857" s="0" t="n">
        <v>22597.74</v>
      </c>
      <c r="EO857" s="0" t="n">
        <v>339</v>
      </c>
      <c r="EP857" s="0" t="n">
        <v>1</v>
      </c>
      <c r="EQ857" s="0"/>
      <c r="ER857" s="0" t="n">
        <v>0</v>
      </c>
      <c r="ET857" s="0" t="n">
        <v>0</v>
      </c>
      <c r="EV857" s="0" t="n">
        <v>0</v>
      </c>
      <c r="EX857" s="0" t="n">
        <v>1</v>
      </c>
      <c r="EY857" s="0" t="n">
        <v>1</v>
      </c>
      <c r="EZ857" s="4" t="n">
        <v>5000</v>
      </c>
      <c r="FA857" s="4" t="n">
        <v>4000</v>
      </c>
      <c r="FB857" s="0" t="n">
        <v>1</v>
      </c>
      <c r="FC857" s="1" t="n">
        <v>41426</v>
      </c>
      <c r="FD857" s="0" t="n">
        <v>1</v>
      </c>
      <c r="FE857" s="0" t="n">
        <v>18000</v>
      </c>
      <c r="FF857" s="120" t="n">
        <f aca="false">(CJ857-CI857+1)/365</f>
        <v>0.361643835616438</v>
      </c>
      <c r="FG857" s="0" t="str">
        <f aca="false">CONCATENATE(F857,"/",G857)</f>
        <v>984/2011</v>
      </c>
      <c r="FH857" s="0" t="n">
        <v>1</v>
      </c>
      <c r="FI857" s="0" t="n">
        <f aca="false">IFERROR(IF((FC857-J857+1)/365&gt;3,0,1),"")</f>
        <v>1</v>
      </c>
    </row>
    <row r="858" customFormat="false" ht="15" hidden="false" customHeight="false" outlineLevel="0" collapsed="false">
      <c r="A858" s="5" t="str">
        <f aca="false">E858&amp;G858&amp;F858</f>
        <v>72011988</v>
      </c>
      <c r="B858" s="0" t="s">
        <v>1884</v>
      </c>
      <c r="C858" s="1" t="n">
        <v>42382</v>
      </c>
      <c r="E858" s="0" t="n">
        <v>7</v>
      </c>
      <c r="F858" s="0" t="n">
        <v>988</v>
      </c>
      <c r="G858" s="0" t="n">
        <v>2011</v>
      </c>
      <c r="H858" s="0" t="str">
        <f aca="false">"J"&amp;E858&amp;"\"&amp;F858&amp;"\"&amp;G858&amp;"\"&amp;W858</f>
        <v>J7\988\2011\1</v>
      </c>
      <c r="I858" s="0"/>
      <c r="J858" s="1" t="n">
        <v>40702</v>
      </c>
      <c r="K858" s="0" t="n">
        <v>0</v>
      </c>
      <c r="M858" s="1" t="n">
        <v>40856</v>
      </c>
      <c r="N858" s="1" t="n">
        <v>40858</v>
      </c>
      <c r="O858" s="1"/>
      <c r="P858" s="1"/>
      <c r="Q858" s="1"/>
      <c r="T858" s="121"/>
      <c r="U858" s="121"/>
      <c r="V858" s="122" t="n">
        <f aca="false">IF(AND(E858&gt;0,F858&gt;0,G858&gt;0),COUNTIFS($E:$E,E858,$F:$F,F858,$G:$G,G858),"")</f>
        <v>1</v>
      </c>
      <c r="W858" s="122" t="n">
        <f aca="false">IF(V858="","",IF(V858=1,1,IF(AND(E857=E858,F857=F858,G857=G858),W857+1,1)))</f>
        <v>1</v>
      </c>
      <c r="X858" s="0" t="n">
        <v>1</v>
      </c>
      <c r="Y858" s="0" t="n">
        <v>4</v>
      </c>
      <c r="Z858" s="0" t="s">
        <v>7845</v>
      </c>
      <c r="AA858" s="0" t="n">
        <v>0</v>
      </c>
      <c r="AB858" s="0" t="s">
        <v>1947</v>
      </c>
      <c r="AE858" s="0" t="n">
        <v>0</v>
      </c>
      <c r="AF858" s="0" t="s">
        <v>7846</v>
      </c>
      <c r="AG858" s="0" t="n">
        <v>0</v>
      </c>
      <c r="AH858" s="0" t="s">
        <v>5619</v>
      </c>
      <c r="AI858" s="0" t="s">
        <v>2640</v>
      </c>
      <c r="AJ858" s="0" t="s">
        <v>1903</v>
      </c>
      <c r="AL858" s="0" t="s">
        <v>7847</v>
      </c>
      <c r="AM858" s="0" t="n">
        <v>0</v>
      </c>
      <c r="AN858" s="0" t="s">
        <v>5619</v>
      </c>
      <c r="AO858" s="0" t="s">
        <v>2640</v>
      </c>
      <c r="AP858" s="0" t="s">
        <v>1903</v>
      </c>
      <c r="AR858" s="0" t="s">
        <v>7848</v>
      </c>
      <c r="AS858" s="0" t="n">
        <v>1</v>
      </c>
      <c r="AT858" s="0" t="s">
        <v>5619</v>
      </c>
      <c r="AU858" s="0" t="s">
        <v>2640</v>
      </c>
      <c r="AV858" s="0" t="s">
        <v>1903</v>
      </c>
      <c r="AX858" s="0" t="s">
        <v>5622</v>
      </c>
      <c r="AY858" s="0" t="n">
        <v>1</v>
      </c>
      <c r="AZ858" s="0" t="s">
        <v>5619</v>
      </c>
      <c r="BA858" s="0" t="s">
        <v>2640</v>
      </c>
      <c r="BB858" s="0" t="s">
        <v>1903</v>
      </c>
      <c r="BR858" s="0" t="n">
        <v>1</v>
      </c>
      <c r="BS858" s="0" t="s">
        <v>7849</v>
      </c>
      <c r="BT858" s="0" t="s">
        <v>7850</v>
      </c>
      <c r="BU858" s="0" t="s">
        <v>7851</v>
      </c>
      <c r="BV858" s="123"/>
      <c r="BW858" s="123"/>
      <c r="BX858" s="123"/>
      <c r="BY858" s="123"/>
      <c r="CA858" s="0" t="s">
        <v>5630</v>
      </c>
      <c r="CD858" s="0" t="s">
        <v>296</v>
      </c>
      <c r="CE858" s="0" t="n">
        <v>0</v>
      </c>
      <c r="CF858" s="0" t="s">
        <v>7852</v>
      </c>
      <c r="CI858" s="1" t="n">
        <v>40301</v>
      </c>
      <c r="CJ858" s="1" t="n">
        <v>40690</v>
      </c>
      <c r="CK858" s="124" t="n">
        <v>0.375</v>
      </c>
      <c r="CL858" s="0" t="s">
        <v>7848</v>
      </c>
      <c r="CM858" s="0" t="n">
        <f aca="false">IF(OR(CI858="",CJ858=""),"",DAYS360(CI858,CJ858)/360)</f>
        <v>1.06666666666667</v>
      </c>
      <c r="CN858" s="0" t="n">
        <f aca="false">IF(OR(CI858="",CJ858=""),"",DAYS360(CI858,CJ858)/30)</f>
        <v>12.8</v>
      </c>
      <c r="CO858" s="0" t="n">
        <f aca="false">IF(OR(CI858="",CJ858=""),"",DAYS360(CI858,CJ858)/7)</f>
        <v>54.8571428571429</v>
      </c>
      <c r="CP858" s="0" t="n">
        <f aca="false">IF(OR(CI858="",CJ858=""),"",DAYS360(CI858,CJ858))</f>
        <v>384</v>
      </c>
      <c r="CQ858" s="0" t="s">
        <v>1898</v>
      </c>
      <c r="CR858" s="0" t="n">
        <v>1</v>
      </c>
      <c r="CT858" s="0" t="n">
        <v>400</v>
      </c>
      <c r="CU858" s="0" t="n">
        <v>0</v>
      </c>
      <c r="CV858" s="0" t="n">
        <f aca="false">IF(OR(CT858="",CT858="NO ESPECIFICA",CT858="NO MENCIONA"),"",IF(CU858=0,CT858,IF(CU858=1,CT858/30,IF(CU858=2,CT858/15,IF(CU858=3,CT858/7,"")))))</f>
        <v>400</v>
      </c>
      <c r="CW858" s="125" t="n">
        <v>650</v>
      </c>
      <c r="CX858" s="0" t="n">
        <v>0</v>
      </c>
      <c r="CY858" s="0" t="n">
        <f aca="false">IF(CW858="","",IF(CX858=0,CW858,IF(CX858=1,CW858/30,IF(CX858=2,CW858/15,IF(CX858=3,CW858/7,CW858)))))</f>
        <v>650</v>
      </c>
      <c r="CZ858" s="0" t="n">
        <f aca="false">IF(DI858&gt;0,DI858,IF(CY858&gt;0,CY858,IF(CV858&gt;0,CV858,"")))</f>
        <v>650</v>
      </c>
      <c r="DA858" s="0" t="n">
        <f aca="false">IF(DM858=1,CZ858/8,IF(OR(DM858=2,DM858=4),CZ858/7,IF(DM858=3,CZ858/7.5,"")))</f>
        <v>81.25</v>
      </c>
      <c r="DB858" s="0" t="s">
        <v>299</v>
      </c>
      <c r="DC858" s="0" t="s">
        <v>259</v>
      </c>
      <c r="DD858" s="0" t="s">
        <v>5633</v>
      </c>
      <c r="DE858" s="0" t="s">
        <v>6902</v>
      </c>
      <c r="DF858" s="0" t="s">
        <v>7853</v>
      </c>
      <c r="DG858" s="0" t="s">
        <v>216</v>
      </c>
      <c r="DH858" s="0" t="n">
        <v>0</v>
      </c>
      <c r="DI858" s="126" t="n">
        <v>650</v>
      </c>
      <c r="DK858" s="0" t="n">
        <v>0</v>
      </c>
      <c r="DM858" s="0" t="n">
        <v>1</v>
      </c>
      <c r="DN858" s="0" t="n">
        <v>60</v>
      </c>
      <c r="DO858" s="0" t="n">
        <v>3</v>
      </c>
      <c r="DP858" s="0" t="n">
        <v>0</v>
      </c>
      <c r="DQ858" s="0" t="n">
        <v>1</v>
      </c>
      <c r="DR858" s="0" t="n">
        <v>58500</v>
      </c>
      <c r="DS858" s="0" t="n">
        <v>1</v>
      </c>
      <c r="DU858" s="0" t="n">
        <v>1</v>
      </c>
      <c r="DW858" s="1" t="n">
        <v>40301</v>
      </c>
      <c r="DX858" s="1" t="n">
        <v>40690</v>
      </c>
      <c r="DZ858" s="0"/>
      <c r="EA858" s="0" t="n">
        <v>1</v>
      </c>
      <c r="EC858" s="1" t="n">
        <v>40301</v>
      </c>
      <c r="ED858" s="1" t="n">
        <v>40690</v>
      </c>
      <c r="EF858" s="0"/>
      <c r="EG858" s="0" t="n">
        <v>1</v>
      </c>
      <c r="EH858" s="0" t="n">
        <v>12</v>
      </c>
      <c r="EI858" s="0" t="n">
        <f aca="false">IF(AND(DM858=1,DN858&lt;=48),"",IF(AND(DM858=2,DN858&lt;=42),"",IF(AND(DM858=3,DN858&lt;=45),"",EH858)))</f>
        <v>12</v>
      </c>
      <c r="EJ858" s="0" t="n">
        <f aca="false">IF(EI858="","",IF(EI858&lt;9,EI858,9))</f>
        <v>9</v>
      </c>
      <c r="EK858" s="0" t="n">
        <f aca="false">IF(EI858="","",IF(EI858&gt;9,EI858-EJ858,0))</f>
        <v>3</v>
      </c>
      <c r="EL858" s="0" t="n">
        <f aca="false">IF(EI858="","",EJ858*DA858*2+EK858*DA858*3)</f>
        <v>2193.75</v>
      </c>
      <c r="EN858" s="0" t="n">
        <v>114075</v>
      </c>
      <c r="EP858" s="0" t="n">
        <v>0</v>
      </c>
      <c r="EQ858" s="0"/>
      <c r="ER858" s="0" t="n">
        <v>0</v>
      </c>
      <c r="ET858" s="0" t="n">
        <v>0</v>
      </c>
      <c r="EV858" s="0" t="n">
        <v>0</v>
      </c>
      <c r="EX858" s="0" t="n">
        <v>1</v>
      </c>
      <c r="EY858" s="0" t="n">
        <v>1</v>
      </c>
      <c r="EZ858" s="0"/>
      <c r="FA858" s="4" t="n">
        <v>7150</v>
      </c>
      <c r="FB858" s="0" t="n">
        <v>0</v>
      </c>
      <c r="FC858" s="1" t="n">
        <v>40872</v>
      </c>
      <c r="FD858" s="0" t="n">
        <v>1</v>
      </c>
      <c r="FE858" s="0" t="n">
        <v>13000</v>
      </c>
      <c r="FF858" s="120" t="n">
        <f aca="false">(CJ858-CI858+1)/365</f>
        <v>1.06849315068493</v>
      </c>
      <c r="FG858" s="0" t="str">
        <f aca="false">CONCATENATE(F858,"/",G858)</f>
        <v>988/2011</v>
      </c>
      <c r="FH858" s="0" t="n">
        <v>1</v>
      </c>
      <c r="FI858" s="0" t="n">
        <f aca="false">IFERROR(IF((FC858-J858+1)/365&gt;3,0,1),"")</f>
        <v>1</v>
      </c>
    </row>
    <row r="859" customFormat="false" ht="15" hidden="false" customHeight="false" outlineLevel="0" collapsed="false">
      <c r="A859" s="5" t="str">
        <f aca="false">E859&amp;G859&amp;F859</f>
        <v>72011991</v>
      </c>
      <c r="B859" s="0" t="s">
        <v>1884</v>
      </c>
      <c r="C859" s="1" t="n">
        <v>42383</v>
      </c>
      <c r="E859" s="0" t="n">
        <v>7</v>
      </c>
      <c r="F859" s="0" t="n">
        <v>991</v>
      </c>
      <c r="G859" s="0" t="n">
        <v>2011</v>
      </c>
      <c r="H859" s="0" t="str">
        <f aca="false">"J"&amp;E859&amp;"\"&amp;F859&amp;"\"&amp;G859&amp;"\"&amp;W859</f>
        <v>J7\991\2011\1</v>
      </c>
      <c r="I859" s="0"/>
      <c r="J859" s="1" t="n">
        <v>40702</v>
      </c>
      <c r="K859" s="0" t="n">
        <v>0</v>
      </c>
      <c r="M859" s="1"/>
      <c r="N859" s="1"/>
      <c r="O859" s="1"/>
      <c r="P859" s="1"/>
      <c r="Q859" s="1"/>
      <c r="T859" s="121"/>
      <c r="U859" s="121"/>
      <c r="V859" s="122" t="n">
        <f aca="false">IF(AND(E859&gt;0,F859&gt;0,G859&gt;0),COUNTIFS($E:$E,E859,$F:$F,F859,$G:$G,G859),"")</f>
        <v>1</v>
      </c>
      <c r="W859" s="122" t="n">
        <f aca="false">IF(V859="","",IF(V859=1,1,IF(AND(E858=E859,F858=F859,G858=G859),W858+1,1)))</f>
        <v>1</v>
      </c>
      <c r="X859" s="0" t="n">
        <v>1</v>
      </c>
      <c r="Y859" s="0" t="n">
        <v>6</v>
      </c>
      <c r="Z859" s="0" t="s">
        <v>7854</v>
      </c>
      <c r="AA859" s="0" t="n">
        <v>0</v>
      </c>
      <c r="AB859" s="0" t="s">
        <v>7855</v>
      </c>
      <c r="AC859" s="0" t="s">
        <v>1399</v>
      </c>
      <c r="AD859" s="0" t="s">
        <v>1903</v>
      </c>
      <c r="AE859" s="0" t="n">
        <v>0</v>
      </c>
      <c r="AF859" s="0" t="s">
        <v>7856</v>
      </c>
      <c r="AG859" s="0" t="n">
        <v>0</v>
      </c>
      <c r="AH859" s="0" t="s">
        <v>7857</v>
      </c>
      <c r="AI859" s="0" t="s">
        <v>7858</v>
      </c>
      <c r="AJ859" s="0" t="s">
        <v>1895</v>
      </c>
      <c r="AL859" s="0" t="s">
        <v>7859</v>
      </c>
      <c r="AM859" s="0" t="n">
        <v>1</v>
      </c>
      <c r="AN859" s="0" t="s">
        <v>7857</v>
      </c>
      <c r="AO859" s="0" t="s">
        <v>7858</v>
      </c>
      <c r="AP859" s="0" t="s">
        <v>1895</v>
      </c>
      <c r="AR859" s="0" t="s">
        <v>6849</v>
      </c>
      <c r="AS859" s="0" t="n">
        <v>1</v>
      </c>
      <c r="AT859" s="0" t="s">
        <v>7857</v>
      </c>
      <c r="AU859" s="0" t="s">
        <v>7858</v>
      </c>
      <c r="AV859" s="0" t="s">
        <v>1895</v>
      </c>
      <c r="AX859" s="0" t="s">
        <v>7860</v>
      </c>
      <c r="AY859" s="0" t="n">
        <v>0</v>
      </c>
      <c r="AZ859" s="0" t="s">
        <v>251</v>
      </c>
      <c r="BD859" s="0" t="s">
        <v>412</v>
      </c>
      <c r="BE859" s="0" t="n">
        <v>0</v>
      </c>
      <c r="BF859" s="0" t="s">
        <v>977</v>
      </c>
      <c r="BH859" s="0" t="s">
        <v>1895</v>
      </c>
      <c r="BJ859" s="0" t="s">
        <v>4643</v>
      </c>
      <c r="BK859" s="0" t="n">
        <v>0</v>
      </c>
      <c r="BL859" s="0" t="s">
        <v>7861</v>
      </c>
      <c r="BM859" s="0" t="s">
        <v>7862</v>
      </c>
      <c r="BN859" s="0" t="s">
        <v>1895</v>
      </c>
      <c r="BR859" s="0" t="n">
        <v>1</v>
      </c>
      <c r="BS859" s="0" t="s">
        <v>7863</v>
      </c>
      <c r="BT859" s="0" t="s">
        <v>7864</v>
      </c>
      <c r="BU859" s="0" t="s">
        <v>7865</v>
      </c>
      <c r="BV859" s="123"/>
      <c r="BW859" s="123"/>
      <c r="BX859" s="123"/>
      <c r="BY859" s="123"/>
      <c r="CA859" s="0" t="s">
        <v>1895</v>
      </c>
      <c r="CD859" s="0" t="s">
        <v>370</v>
      </c>
      <c r="CE859" s="0" t="n">
        <v>0</v>
      </c>
      <c r="CF859" s="0" t="s">
        <v>7866</v>
      </c>
      <c r="CI859" s="1" t="n">
        <v>40534</v>
      </c>
      <c r="CJ859" s="1" t="n">
        <v>40676</v>
      </c>
      <c r="CK859" s="124" t="n">
        <v>0.458333333333333</v>
      </c>
      <c r="CL859" s="0" t="s">
        <v>7867</v>
      </c>
      <c r="CM859" s="0" t="n">
        <f aca="false">IF(OR(CI859="",CJ859=""),"",DAYS360(CI859,CJ859)/360)</f>
        <v>0.391666666666667</v>
      </c>
      <c r="CN859" s="0" t="n">
        <f aca="false">IF(OR(CI859="",CJ859=""),"",DAYS360(CI859,CJ859)/30)</f>
        <v>4.7</v>
      </c>
      <c r="CO859" s="0" t="n">
        <f aca="false">IF(OR(CI859="",CJ859=""),"",DAYS360(CI859,CJ859)/7)</f>
        <v>20.1428571428571</v>
      </c>
      <c r="CP859" s="0" t="n">
        <f aca="false">IF(OR(CI859="",CJ859=""),"",DAYS360(CI859,CJ859))</f>
        <v>141</v>
      </c>
      <c r="CQ859" s="0" t="s">
        <v>2021</v>
      </c>
      <c r="CR859" s="0" t="n">
        <v>1</v>
      </c>
      <c r="CT859" s="0" t="n">
        <v>1733.34</v>
      </c>
      <c r="CU859" s="0" t="n">
        <v>0</v>
      </c>
      <c r="CV859" s="0" t="n">
        <f aca="false">IF(OR(CT859="",CT859="NO ESPECIFICA",CT859="NO MENCIONA"),"",IF(CU859=0,CT859,IF(CU859=1,CT859/30,IF(CU859=2,CT859/15,IF(CU859=3,CT859/7,"")))))</f>
        <v>1733.34</v>
      </c>
      <c r="CW859" s="125" t="n">
        <v>3443.56</v>
      </c>
      <c r="CX859" s="0" t="n">
        <v>0</v>
      </c>
      <c r="CY859" s="0" t="n">
        <f aca="false">IF(CW859="","",IF(CX859=0,CW859,IF(CX859=1,CW859/30,IF(CX859=2,CW859/15,IF(CX859=3,CW859/7,CW859)))))</f>
        <v>3443.56</v>
      </c>
      <c r="CZ859" s="0" t="n">
        <f aca="false">IF(DI859&gt;0,DI859,IF(CY859&gt;0,CY859,IF(CV859&gt;0,CV859,"")))</f>
        <v>3443.56</v>
      </c>
      <c r="DA859" s="0" t="n">
        <f aca="false">IF(DM859=1,CZ859/8,IF(OR(DM859=2,DM859=4),CZ859/7,IF(DM859=3,CZ859/7.5,"")))</f>
        <v>430.445</v>
      </c>
      <c r="DB859" s="0" t="s">
        <v>1945</v>
      </c>
      <c r="DC859" s="0" t="s">
        <v>1935</v>
      </c>
      <c r="DD859" s="0" t="s">
        <v>7868</v>
      </c>
      <c r="DE859" s="0" t="s">
        <v>7869</v>
      </c>
      <c r="DF859" s="0" t="s">
        <v>7870</v>
      </c>
      <c r="DG859" s="0" t="s">
        <v>2046</v>
      </c>
      <c r="DH859" s="0" t="n">
        <v>0</v>
      </c>
      <c r="DI859" s="126" t="n">
        <v>3443.56</v>
      </c>
      <c r="DK859" s="0" t="n">
        <v>0</v>
      </c>
      <c r="DM859" s="0" t="n">
        <v>1</v>
      </c>
      <c r="DN859" s="0" t="n">
        <v>55</v>
      </c>
      <c r="DO859" s="0" t="n">
        <v>3</v>
      </c>
      <c r="DP859" s="0" t="n">
        <v>1</v>
      </c>
      <c r="DQ859" s="0" t="n">
        <v>1</v>
      </c>
      <c r="DR859" s="0"/>
      <c r="DS859" s="0" t="n">
        <v>1</v>
      </c>
      <c r="DU859" s="0" t="n">
        <v>1</v>
      </c>
      <c r="DW859" s="1" t="n">
        <v>40534</v>
      </c>
      <c r="DX859" s="1" t="n">
        <v>40676</v>
      </c>
      <c r="DZ859" s="0"/>
      <c r="EA859" s="0" t="n">
        <v>1</v>
      </c>
      <c r="EC859" s="1" t="n">
        <v>40544</v>
      </c>
      <c r="ED859" s="1" t="n">
        <v>40676</v>
      </c>
      <c r="EF859" s="0"/>
      <c r="EG859" s="0" t="n">
        <v>1</v>
      </c>
      <c r="EH859" s="0" t="n">
        <v>17</v>
      </c>
      <c r="EI859" s="0" t="n">
        <f aca="false">IF(AND(DM859=1,DN859&lt;=48),"",IF(AND(DM859=2,DN859&lt;=42),"",IF(AND(DM859=3,DN859&lt;=45),"",EH859)))</f>
        <v>17</v>
      </c>
      <c r="EJ859" s="0" t="n">
        <f aca="false">IF(EI859="","",IF(EI859&lt;9,EI859,9))</f>
        <v>9</v>
      </c>
      <c r="EK859" s="0" t="n">
        <f aca="false">IF(EI859="","",IF(EI859&gt;9,EI859-EJ859,0))</f>
        <v>8</v>
      </c>
      <c r="EL859" s="0" t="n">
        <f aca="false">IF(EI859="","",EJ859*DA859*2+EK859*DA859*3)</f>
        <v>18078.69</v>
      </c>
      <c r="EP859" s="0" t="n">
        <v>1</v>
      </c>
      <c r="EQ859" s="0"/>
      <c r="ER859" s="0" t="n">
        <v>0</v>
      </c>
      <c r="ET859" s="0" t="n">
        <v>0</v>
      </c>
      <c r="EV859" s="0" t="n">
        <v>0</v>
      </c>
      <c r="EX859" s="0" t="n">
        <v>0</v>
      </c>
      <c r="EY859" s="0" t="n">
        <v>1</v>
      </c>
      <c r="EZ859" s="0"/>
      <c r="FA859" s="4" t="n">
        <v>250000</v>
      </c>
      <c r="FB859" s="0" t="n">
        <v>1</v>
      </c>
      <c r="FC859" s="1" t="n">
        <v>40770</v>
      </c>
      <c r="FD859" s="0" t="n">
        <v>1</v>
      </c>
      <c r="FE859" s="0" t="n">
        <v>50000</v>
      </c>
      <c r="FF859" s="120" t="n">
        <f aca="false">(CJ859-CI859+1)/365</f>
        <v>0.391780821917808</v>
      </c>
      <c r="FG859" s="0" t="str">
        <f aca="false">CONCATENATE(F859,"/",G859)</f>
        <v>991/2011</v>
      </c>
      <c r="FH859" s="0" t="n">
        <v>1</v>
      </c>
      <c r="FI859" s="0" t="n">
        <f aca="false">IFERROR(IF((FC859-J859+1)/365&gt;3,0,1),"")</f>
        <v>1</v>
      </c>
    </row>
    <row r="860" customFormat="false" ht="15" hidden="false" customHeight="false" outlineLevel="0" collapsed="false">
      <c r="A860" s="5" t="str">
        <f aca="false">E860&amp;G860&amp;F860</f>
        <v>720111005</v>
      </c>
      <c r="B860" s="0" t="s">
        <v>1884</v>
      </c>
      <c r="C860" s="1" t="n">
        <v>42356</v>
      </c>
      <c r="D860" s="0" t="s">
        <v>7871</v>
      </c>
      <c r="E860" s="0" t="n">
        <v>7</v>
      </c>
      <c r="F860" s="0" t="n">
        <v>1005</v>
      </c>
      <c r="G860" s="0" t="n">
        <v>2011</v>
      </c>
      <c r="H860" s="0" t="str">
        <f aca="false">"J"&amp;E860&amp;"\"&amp;F860&amp;"\"&amp;G860&amp;"\"&amp;W860</f>
        <v>J7\1005\2011\1</v>
      </c>
      <c r="I860" s="0"/>
      <c r="J860" s="1" t="n">
        <v>40703</v>
      </c>
      <c r="K860" s="0" t="n">
        <v>0</v>
      </c>
      <c r="M860" s="1"/>
      <c r="N860" s="1"/>
      <c r="O860" s="1"/>
      <c r="P860" s="1"/>
      <c r="Q860" s="1"/>
      <c r="T860" s="121"/>
      <c r="U860" s="121"/>
      <c r="V860" s="122" t="n">
        <f aca="false">IF(AND(E860&gt;0,F860&gt;0,G860&gt;0),COUNTIFS($E:$E,E860,$F:$F,F860,$G:$G,G860),"")</f>
        <v>1</v>
      </c>
      <c r="W860" s="122" t="n">
        <f aca="false">IF(V860="","",IF(V860=1,1,IF(AND(E859=E860,F859=F860,G859=G860),W859+1,1)))</f>
        <v>1</v>
      </c>
      <c r="X860" s="0" t="n">
        <v>1</v>
      </c>
      <c r="Y860" s="0" t="n">
        <v>5</v>
      </c>
      <c r="Z860" s="0" t="s">
        <v>7872</v>
      </c>
      <c r="AA860" s="0" t="n">
        <v>0</v>
      </c>
      <c r="AB860" s="0" t="s">
        <v>7873</v>
      </c>
      <c r="AC860" s="0" t="s">
        <v>2049</v>
      </c>
      <c r="AD860" s="0" t="s">
        <v>1888</v>
      </c>
      <c r="AE860" s="0" t="n">
        <v>0</v>
      </c>
      <c r="AF860" s="0" t="s">
        <v>4438</v>
      </c>
      <c r="AG860" s="0" t="n">
        <v>0</v>
      </c>
      <c r="AH860" s="0" t="s">
        <v>7874</v>
      </c>
      <c r="AI860" s="0" t="s">
        <v>7875</v>
      </c>
      <c r="AJ860" s="0" t="s">
        <v>1888</v>
      </c>
      <c r="AL860" s="0" t="s">
        <v>7876</v>
      </c>
      <c r="AM860" s="0" t="n">
        <v>0</v>
      </c>
      <c r="AN860" s="0" t="s">
        <v>7877</v>
      </c>
      <c r="AP860" s="0" t="s">
        <v>1972</v>
      </c>
      <c r="AR860" s="0" t="s">
        <v>7878</v>
      </c>
      <c r="AS860" s="0" t="n">
        <v>0</v>
      </c>
      <c r="AT860" s="0" t="s">
        <v>7879</v>
      </c>
      <c r="AU860" s="0" t="s">
        <v>7880</v>
      </c>
      <c r="AV860" s="0" t="s">
        <v>7569</v>
      </c>
      <c r="AX860" s="0" t="s">
        <v>7881</v>
      </c>
      <c r="AY860" s="0" t="n">
        <v>0</v>
      </c>
      <c r="AZ860" s="0" t="s">
        <v>7882</v>
      </c>
      <c r="BA860" s="0" t="s">
        <v>7883</v>
      </c>
      <c r="BB860" s="0" t="s">
        <v>216</v>
      </c>
      <c r="BD860" s="0" t="s">
        <v>3891</v>
      </c>
      <c r="BE860" s="0" t="n">
        <v>0</v>
      </c>
      <c r="BF860" s="0" t="s">
        <v>7884</v>
      </c>
      <c r="BG860" s="0" t="s">
        <v>2108</v>
      </c>
      <c r="BH860" s="0" t="s">
        <v>1972</v>
      </c>
      <c r="BR860" s="0" t="n">
        <v>1</v>
      </c>
      <c r="BS860" s="0" t="s">
        <v>7885</v>
      </c>
      <c r="BT860" s="0" t="s">
        <v>7886</v>
      </c>
      <c r="BU860" s="0" t="s">
        <v>7887</v>
      </c>
      <c r="BV860" s="123"/>
      <c r="BW860" s="123"/>
      <c r="BX860" s="123"/>
      <c r="BY860" s="123"/>
      <c r="CA860" s="0" t="s">
        <v>1895</v>
      </c>
      <c r="CD860" s="0" t="s">
        <v>3716</v>
      </c>
      <c r="CE860" s="0" t="n">
        <v>0</v>
      </c>
      <c r="CF860" s="0" t="s">
        <v>503</v>
      </c>
      <c r="CI860" s="1" t="n">
        <v>36852</v>
      </c>
      <c r="CJ860" s="1" t="n">
        <v>40875</v>
      </c>
      <c r="CK860" s="124" t="n">
        <v>0.5</v>
      </c>
      <c r="CL860" s="0" t="s">
        <v>7888</v>
      </c>
      <c r="CM860" s="0" t="n">
        <f aca="false">IF(OR(CI860="",CJ860=""),"",DAYS360(CI860,CJ860)/360)</f>
        <v>11.0166666666667</v>
      </c>
      <c r="CN860" s="0" t="n">
        <f aca="false">IF(OR(CI860="",CJ860=""),"",DAYS360(CI860,CJ860)/30)</f>
        <v>132.2</v>
      </c>
      <c r="CO860" s="0" t="n">
        <f aca="false">IF(OR(CI860="",CJ860=""),"",DAYS360(CI860,CJ860)/7)</f>
        <v>566.571428571429</v>
      </c>
      <c r="CP860" s="0" t="n">
        <f aca="false">IF(OR(CI860="",CJ860=""),"",DAYS360(CI860,CJ860))</f>
        <v>3966</v>
      </c>
      <c r="CQ860" s="0" t="s">
        <v>240</v>
      </c>
      <c r="CR860" s="0" t="n">
        <v>1</v>
      </c>
      <c r="CT860" s="0" t="s">
        <v>221</v>
      </c>
      <c r="CU860" s="0" t="s">
        <v>221</v>
      </c>
      <c r="CV860" s="0" t="str">
        <f aca="false">IF(OR(CT860="",CT860="NO ESPECIFICA",CT860="NO MENCIONA"),"",IF(CU860=0,CT860,IF(CU860=1,CT860/30,IF(CU860=2,CT860/15,IF(CU860=3,CT860/7,"")))))</f>
        <v/>
      </c>
      <c r="CW860" s="125" t="n">
        <v>2464.73</v>
      </c>
      <c r="CX860" s="0" t="n">
        <v>2</v>
      </c>
      <c r="CY860" s="0" t="n">
        <f aca="false">IF(CW860="","",IF(CX860=0,CW860,IF(CX860=1,CW860/30,IF(CX860=2,CW860/15,IF(CX860=3,CW860/7,CW860)))))</f>
        <v>164.315333333333</v>
      </c>
      <c r="CZ860" s="0" t="n">
        <f aca="false">IF(DI860&gt;0,DI860,IF(CY860&gt;0,CY860,IF(CV860&gt;0,CV860,"")))</f>
        <v>164.31</v>
      </c>
      <c r="DA860" s="0" t="n">
        <f aca="false">IF(DM860=1,CZ860/8,IF(OR(DM860=2,DM860=4),CZ860/7,IF(DM860=3,CZ860/7.5,"")))</f>
        <v>20.53875</v>
      </c>
      <c r="DB860" s="0" t="s">
        <v>216</v>
      </c>
      <c r="DC860" s="0" t="s">
        <v>216</v>
      </c>
      <c r="DD860" s="0" t="s">
        <v>216</v>
      </c>
      <c r="DE860" s="0" t="s">
        <v>1895</v>
      </c>
      <c r="DF860" s="0" t="s">
        <v>1895</v>
      </c>
      <c r="DG860" s="0" t="s">
        <v>1895</v>
      </c>
      <c r="DH860" s="0" t="n">
        <v>0</v>
      </c>
      <c r="DI860" s="126" t="n">
        <v>164.31</v>
      </c>
      <c r="DK860" s="0" t="n">
        <v>0</v>
      </c>
      <c r="DM860" s="0" t="n">
        <v>1</v>
      </c>
      <c r="DN860" s="0" t="n">
        <v>92</v>
      </c>
      <c r="DO860" s="0" t="n">
        <v>3</v>
      </c>
      <c r="DP860" s="0" t="n">
        <v>0</v>
      </c>
      <c r="DQ860" s="0" t="n">
        <v>1</v>
      </c>
      <c r="DR860" s="0"/>
      <c r="DS860" s="0" t="n">
        <v>1</v>
      </c>
      <c r="DU860" s="0" t="n">
        <v>1</v>
      </c>
      <c r="DW860" s="1" t="n">
        <v>36852</v>
      </c>
      <c r="DX860" s="1" t="n">
        <v>40875</v>
      </c>
      <c r="DZ860" s="0"/>
      <c r="EA860" s="0" t="n">
        <v>1</v>
      </c>
      <c r="EC860" s="1" t="n">
        <v>36852</v>
      </c>
      <c r="ED860" s="1" t="n">
        <v>40875</v>
      </c>
      <c r="EF860" s="0"/>
      <c r="EG860" s="0" t="n">
        <v>0</v>
      </c>
      <c r="EI860" s="0" t="n">
        <f aca="false">IF(AND(DM860=1,DN860&lt;=48),"",IF(AND(DM860=2,DN860&lt;=42),"",IF(AND(DM860=3,DN860&lt;=45),"",EH860)))</f>
        <v>0</v>
      </c>
      <c r="EJ860" s="0" t="str">
        <f aca="false">IF(EI860="","",IF(EI860&lt;9,EI860,9))</f>
        <v/>
      </c>
      <c r="EK860" s="0" t="str">
        <f aca="false">IF(EI860="","",IF(EI860&gt;9,EI860-EJ860,0))</f>
        <v/>
      </c>
      <c r="EL860" s="0" t="str">
        <f aca="false">IF(EI860="","",EJ860*DA860*2+EK860*DA860*3)</f>
        <v/>
      </c>
      <c r="EP860" s="0" t="n">
        <v>0</v>
      </c>
      <c r="EQ860" s="0"/>
      <c r="ER860" s="0" t="n">
        <v>1</v>
      </c>
      <c r="ET860" s="0" t="n">
        <v>1</v>
      </c>
      <c r="EV860" s="0" t="n">
        <v>1</v>
      </c>
      <c r="EX860" s="0" t="n">
        <v>1</v>
      </c>
      <c r="EY860" s="0" t="n">
        <v>1</v>
      </c>
      <c r="EZ860" s="0"/>
      <c r="FA860" s="4" t="n">
        <v>3430.37</v>
      </c>
      <c r="FB860" s="0" t="n">
        <v>1</v>
      </c>
      <c r="FC860" s="1" t="n">
        <v>41209</v>
      </c>
      <c r="FD860" s="0" t="n">
        <v>2</v>
      </c>
      <c r="FE860" s="0" t="n">
        <v>0</v>
      </c>
      <c r="FF860" s="120" t="n">
        <f aca="false">(CJ860-CI860+1)/365</f>
        <v>11.0246575342466</v>
      </c>
      <c r="FG860" s="0" t="str">
        <f aca="false">CONCATENATE(F860,"/",G860)</f>
        <v>1005/2011</v>
      </c>
      <c r="FH860" s="0" t="n">
        <v>1</v>
      </c>
      <c r="FI860" s="0" t="n">
        <f aca="false">IFERROR(IF((FC860-J860+1)/365&gt;3,0,1),"")</f>
        <v>1</v>
      </c>
    </row>
    <row r="861" customFormat="false" ht="15" hidden="false" customHeight="false" outlineLevel="0" collapsed="false">
      <c r="A861" s="5" t="str">
        <f aca="false">E861&amp;G861&amp;F861</f>
        <v>720111008</v>
      </c>
      <c r="B861" s="0" t="s">
        <v>1884</v>
      </c>
      <c r="C861" s="1" t="n">
        <v>42357</v>
      </c>
      <c r="E861" s="0" t="n">
        <v>7</v>
      </c>
      <c r="F861" s="0" t="n">
        <v>1008</v>
      </c>
      <c r="G861" s="0" t="n">
        <v>2011</v>
      </c>
      <c r="H861" s="0" t="str">
        <f aca="false">"J"&amp;E861&amp;"\"&amp;F861&amp;"\"&amp;G861&amp;"\"&amp;W861</f>
        <v>J7\1008\2011\1</v>
      </c>
      <c r="I861" s="0"/>
      <c r="J861" s="1" t="n">
        <v>40704</v>
      </c>
      <c r="K861" s="0" t="n">
        <v>0</v>
      </c>
      <c r="M861" s="1" t="n">
        <v>40704</v>
      </c>
      <c r="N861" s="1" t="n">
        <v>40864</v>
      </c>
      <c r="O861" s="1"/>
      <c r="P861" s="1"/>
      <c r="Q861" s="1"/>
      <c r="T861" s="121"/>
      <c r="U861" s="121"/>
      <c r="V861" s="122" t="n">
        <f aca="false">IF(AND(E861&gt;0,F861&gt;0,G861&gt;0),COUNTIFS($E:$E,E861,$F:$F,F861,$G:$G,G861),"")</f>
        <v>1</v>
      </c>
      <c r="W861" s="122" t="n">
        <f aca="false">IF(V861="","",IF(V861=1,1,IF(AND(E860=E861,F860=F861,G860=G861),W860+1,1)))</f>
        <v>1</v>
      </c>
      <c r="X861" s="0" t="n">
        <v>1</v>
      </c>
      <c r="Y861" s="0" t="n">
        <v>2</v>
      </c>
      <c r="Z861" s="0" t="s">
        <v>7889</v>
      </c>
      <c r="AA861" s="0" t="n">
        <v>0</v>
      </c>
      <c r="AB861" s="0" t="s">
        <v>7890</v>
      </c>
      <c r="AC861" s="0" t="s">
        <v>7891</v>
      </c>
      <c r="AD861" s="0" t="s">
        <v>7892</v>
      </c>
      <c r="AE861" s="0" t="n">
        <v>0</v>
      </c>
      <c r="AF861" s="0" t="s">
        <v>7893</v>
      </c>
      <c r="AG861" s="0" t="n">
        <v>1</v>
      </c>
      <c r="AH861" s="0" t="s">
        <v>7894</v>
      </c>
      <c r="AI861" s="0" t="s">
        <v>5892</v>
      </c>
      <c r="AJ861" s="0" t="s">
        <v>7895</v>
      </c>
      <c r="AL861" s="0" t="s">
        <v>7896</v>
      </c>
      <c r="AM861" s="0" t="n">
        <v>0</v>
      </c>
      <c r="AN861" s="0" t="s">
        <v>7894</v>
      </c>
      <c r="AO861" s="0" t="s">
        <v>5892</v>
      </c>
      <c r="AP861" s="0" t="s">
        <v>7895</v>
      </c>
      <c r="BH861" s="0" t="s">
        <v>216</v>
      </c>
      <c r="BR861" s="0" t="n">
        <v>1</v>
      </c>
      <c r="BS861" s="0" t="s">
        <v>7897</v>
      </c>
      <c r="BT861" s="0" t="s">
        <v>7898</v>
      </c>
      <c r="BU861" s="0" t="s">
        <v>7899</v>
      </c>
      <c r="BV861" s="123"/>
      <c r="BW861" s="123"/>
      <c r="BX861" s="123"/>
      <c r="BY861" s="123"/>
      <c r="CA861" s="0" t="s">
        <v>7900</v>
      </c>
      <c r="CD861" s="0" t="s">
        <v>1919</v>
      </c>
      <c r="CE861" s="0" t="n">
        <v>0</v>
      </c>
      <c r="CF861" s="0" t="s">
        <v>7901</v>
      </c>
      <c r="CI861" s="1" t="n">
        <v>38733</v>
      </c>
      <c r="CJ861" s="1" t="n">
        <v>40690</v>
      </c>
      <c r="CK861" s="124" t="n">
        <v>0.333333333333333</v>
      </c>
      <c r="CL861" s="0" t="s">
        <v>7893</v>
      </c>
      <c r="CM861" s="0" t="n">
        <f aca="false">IF(OR(CI861="",CJ861=""),"",DAYS360(CI861,CJ861)/360)</f>
        <v>5.36388888888889</v>
      </c>
      <c r="CN861" s="0" t="n">
        <f aca="false">IF(OR(CI861="",CJ861=""),"",DAYS360(CI861,CJ861)/30)</f>
        <v>64.3666666666667</v>
      </c>
      <c r="CO861" s="0" t="n">
        <f aca="false">IF(OR(CI861="",CJ861=""),"",DAYS360(CI861,CJ861)/7)</f>
        <v>275.857142857143</v>
      </c>
      <c r="CP861" s="0" t="n">
        <f aca="false">IF(OR(CI861="",CJ861=""),"",DAYS360(CI861,CJ861))</f>
        <v>1931</v>
      </c>
      <c r="CQ861" s="0" t="s">
        <v>240</v>
      </c>
      <c r="CR861" s="0" t="n">
        <v>1</v>
      </c>
      <c r="CT861" s="0" t="s">
        <v>221</v>
      </c>
      <c r="CU861" s="0" t="s">
        <v>221</v>
      </c>
      <c r="CV861" s="0" t="str">
        <f aca="false">IF(OR(CT861="",CT861="NO ESPECIFICA",CT861="NO MENCIONA"),"",IF(CU861=0,CT861,IF(CU861=1,CT861/30,IF(CU861=2,CT861/15,IF(CU861=3,CT861/7,"")))))</f>
        <v/>
      </c>
      <c r="CW861" s="125" t="n">
        <v>2500</v>
      </c>
      <c r="CX861" s="0" t="n">
        <v>3</v>
      </c>
      <c r="CY861" s="0" t="n">
        <f aca="false">IF(CW861="","",IF(CX861=0,CW861,IF(CX861=1,CW861/30,IF(CX861=2,CW861/15,IF(CX861=3,CW861/7,CW861)))))</f>
        <v>357.142857142857</v>
      </c>
      <c r="CZ861" s="0" t="n">
        <f aca="false">IF(DI861&gt;0,DI861,IF(CY861&gt;0,CY861,IF(CV861&gt;0,CV861,"")))</f>
        <v>357.14</v>
      </c>
      <c r="DA861" s="0" t="n">
        <f aca="false">IF(DM861=1,CZ861/8,IF(OR(DM861=2,DM861=4),CZ861/7,IF(DM861=3,CZ861/7.5,"")))</f>
        <v>51.02</v>
      </c>
      <c r="DB861" s="0" t="s">
        <v>5633</v>
      </c>
      <c r="DC861" s="0" t="s">
        <v>2023</v>
      </c>
      <c r="DD861" s="0" t="s">
        <v>1895</v>
      </c>
      <c r="DE861" s="0" t="s">
        <v>1895</v>
      </c>
      <c r="DF861" s="0" t="s">
        <v>1895</v>
      </c>
      <c r="DG861" s="0" t="s">
        <v>1895</v>
      </c>
      <c r="DH861" s="0" t="n">
        <v>0</v>
      </c>
      <c r="DI861" s="126" t="n">
        <v>357.14</v>
      </c>
      <c r="DK861" s="0" t="n">
        <v>0</v>
      </c>
      <c r="DM861" s="0" t="n">
        <v>4</v>
      </c>
      <c r="DN861" s="0" t="n">
        <v>84</v>
      </c>
      <c r="DO861" s="0" t="n">
        <v>3</v>
      </c>
      <c r="DP861" s="0" t="n">
        <v>0</v>
      </c>
      <c r="DQ861" s="0" t="n">
        <v>1</v>
      </c>
      <c r="DR861" s="0"/>
      <c r="DS861" s="0" t="n">
        <v>1</v>
      </c>
      <c r="DU861" s="0" t="n">
        <v>1</v>
      </c>
      <c r="DW861" s="1" t="n">
        <v>38733</v>
      </c>
      <c r="DX861" s="1" t="n">
        <v>40690</v>
      </c>
      <c r="DZ861" s="0"/>
      <c r="EA861" s="0" t="n">
        <v>1</v>
      </c>
      <c r="EC861" s="1" t="n">
        <v>38733</v>
      </c>
      <c r="ED861" s="1" t="n">
        <v>40690</v>
      </c>
      <c r="EF861" s="0"/>
      <c r="EG861" s="0" t="n">
        <v>1</v>
      </c>
      <c r="EH861" s="0" t="n">
        <v>36</v>
      </c>
      <c r="EI861" s="0" t="n">
        <f aca="false">IF(AND(DM861=1,DN861&lt;=48),"",IF(AND(DM861=2,DN861&lt;=42),"",IF(AND(DM861=3,DN861&lt;=45),"",EH861)))</f>
        <v>36</v>
      </c>
      <c r="EJ861" s="0" t="n">
        <f aca="false">IF(EI861="","",IF(EI861&lt;9,EI861,9))</f>
        <v>9</v>
      </c>
      <c r="EK861" s="0" t="n">
        <f aca="false">IF(EI861="","",IF(EI861&gt;9,EI861-EJ861,0))</f>
        <v>27</v>
      </c>
      <c r="EL861" s="0" t="n">
        <f aca="false">IF(EI861="","",EJ861*DA861*2+EK861*DA861*3)</f>
        <v>5050.98</v>
      </c>
      <c r="EP861" s="0" t="n">
        <v>0</v>
      </c>
      <c r="EQ861" s="0"/>
      <c r="ER861" s="0" t="n">
        <v>1</v>
      </c>
      <c r="ET861" s="0" t="n">
        <v>0</v>
      </c>
      <c r="EV861" s="0" t="n">
        <v>1</v>
      </c>
      <c r="EX861" s="0" t="n">
        <v>1</v>
      </c>
      <c r="EY861" s="0" t="n">
        <v>1</v>
      </c>
      <c r="EZ861" s="0"/>
      <c r="FA861" s="4" t="n">
        <v>4700</v>
      </c>
      <c r="FB861" s="0" t="n">
        <v>1</v>
      </c>
      <c r="FC861" s="1" t="n">
        <v>40981</v>
      </c>
      <c r="FD861" s="0" t="n">
        <v>1</v>
      </c>
      <c r="FE861" s="0" t="n">
        <v>35000</v>
      </c>
      <c r="FF861" s="120" t="n">
        <f aca="false">(CJ861-CI861+1)/365</f>
        <v>5.36438356164384</v>
      </c>
      <c r="FG861" s="0" t="str">
        <f aca="false">CONCATENATE(F861,"/",G861)</f>
        <v>1008/2011</v>
      </c>
      <c r="FH861" s="0" t="n">
        <v>1</v>
      </c>
      <c r="FI861" s="0" t="n">
        <f aca="false">IFERROR(IF((FC861-J861+1)/365&gt;3,0,1),"")</f>
        <v>1</v>
      </c>
    </row>
    <row r="862" customFormat="false" ht="15" hidden="false" customHeight="false" outlineLevel="0" collapsed="false">
      <c r="A862" s="5" t="str">
        <f aca="false">E862&amp;G862&amp;F862</f>
        <v>720111009</v>
      </c>
      <c r="B862" s="0" t="s">
        <v>1884</v>
      </c>
      <c r="C862" s="1" t="n">
        <v>42357</v>
      </c>
      <c r="E862" s="0" t="n">
        <v>7</v>
      </c>
      <c r="F862" s="0" t="n">
        <v>1009</v>
      </c>
      <c r="G862" s="0" t="n">
        <v>2011</v>
      </c>
      <c r="H862" s="0" t="str">
        <f aca="false">"J"&amp;E862&amp;"\"&amp;F862&amp;"\"&amp;G862&amp;"\"&amp;W862</f>
        <v>J7\1009\2011\1</v>
      </c>
      <c r="I862" s="0"/>
      <c r="J862" s="1" t="n">
        <v>40704</v>
      </c>
      <c r="K862" s="0" t="n">
        <v>0</v>
      </c>
      <c r="M862" s="1"/>
      <c r="N862" s="1"/>
      <c r="O862" s="1"/>
      <c r="P862" s="1"/>
      <c r="Q862" s="1"/>
      <c r="T862" s="121"/>
      <c r="U862" s="121"/>
      <c r="V862" s="122" t="n">
        <f aca="false">IF(AND(E862&gt;0,F862&gt;0,G862&gt;0),COUNTIFS($E:$E,E862,$F:$F,F862,$G:$G,G862),"")</f>
        <v>1</v>
      </c>
      <c r="W862" s="122" t="n">
        <f aca="false">IF(V862="","",IF(V862=1,1,IF(AND(E861=E862,F861=F862,G861=G862),W861+1,1)))</f>
        <v>1</v>
      </c>
      <c r="X862" s="0" t="n">
        <v>1</v>
      </c>
      <c r="Y862" s="0" t="n">
        <v>5</v>
      </c>
      <c r="Z862" s="0" t="s">
        <v>7902</v>
      </c>
      <c r="AA862" s="0" t="n">
        <v>0</v>
      </c>
      <c r="AB862" s="0" t="s">
        <v>7903</v>
      </c>
      <c r="AC862" s="0" t="s">
        <v>7904</v>
      </c>
      <c r="AD862" s="0" t="s">
        <v>1972</v>
      </c>
      <c r="AE862" s="0" t="n">
        <v>0</v>
      </c>
      <c r="AF862" s="0" t="s">
        <v>7905</v>
      </c>
      <c r="AG862" s="0" t="n">
        <v>0</v>
      </c>
      <c r="AH862" s="0" t="s">
        <v>7906</v>
      </c>
      <c r="AI862" s="0" t="s">
        <v>7907</v>
      </c>
      <c r="AJ862" s="0" t="s">
        <v>1972</v>
      </c>
      <c r="AL862" s="0" t="s">
        <v>7908</v>
      </c>
      <c r="AM862" s="0" t="n">
        <v>1</v>
      </c>
      <c r="AN862" s="0" t="s">
        <v>7906</v>
      </c>
      <c r="AO862" s="0" t="s">
        <v>7907</v>
      </c>
      <c r="AP862" s="0" t="s">
        <v>1972</v>
      </c>
      <c r="AR862" s="0" t="s">
        <v>7909</v>
      </c>
      <c r="AS862" s="0" t="n">
        <v>1</v>
      </c>
      <c r="AT862" s="0" t="s">
        <v>7906</v>
      </c>
      <c r="AU862" s="0" t="s">
        <v>7907</v>
      </c>
      <c r="AV862" s="0" t="s">
        <v>1972</v>
      </c>
      <c r="AX862" s="0" t="s">
        <v>3891</v>
      </c>
      <c r="AY862" s="0" t="n">
        <v>0</v>
      </c>
      <c r="AZ862" s="0" t="s">
        <v>7910</v>
      </c>
      <c r="BA862" s="0" t="s">
        <v>2108</v>
      </c>
      <c r="BB862" s="0" t="s">
        <v>1972</v>
      </c>
      <c r="BD862" s="0" t="s">
        <v>7911</v>
      </c>
      <c r="BE862" s="0" t="n">
        <v>0</v>
      </c>
      <c r="BF862" s="0" t="s">
        <v>977</v>
      </c>
      <c r="BG862" s="0" t="s">
        <v>2111</v>
      </c>
      <c r="BH862" s="0" t="s">
        <v>2112</v>
      </c>
      <c r="BR862" s="0" t="n">
        <v>1</v>
      </c>
      <c r="BS862" s="0" t="s">
        <v>7912</v>
      </c>
      <c r="BT862" s="0" t="s">
        <v>7913</v>
      </c>
      <c r="BU862" s="0" t="s">
        <v>7914</v>
      </c>
      <c r="BV862" s="123"/>
      <c r="BW862" s="123"/>
      <c r="BX862" s="123"/>
      <c r="BY862" s="123"/>
      <c r="CA862" s="0" t="s">
        <v>1895</v>
      </c>
      <c r="CD862" s="0" t="s">
        <v>3716</v>
      </c>
      <c r="CE862" s="0" t="n">
        <v>0</v>
      </c>
      <c r="CF862" s="0" t="s">
        <v>7915</v>
      </c>
      <c r="CI862" s="1" t="n">
        <v>36530</v>
      </c>
      <c r="CJ862" s="1" t="n">
        <v>40648</v>
      </c>
      <c r="CK862" s="124" t="n">
        <v>0.666666666666667</v>
      </c>
      <c r="CL862" s="0" t="s">
        <v>7909</v>
      </c>
      <c r="CM862" s="0" t="n">
        <f aca="false">IF(OR(CI862="",CJ862=""),"",DAYS360(CI862,CJ862)/360)</f>
        <v>11.2777777777778</v>
      </c>
      <c r="CN862" s="0" t="n">
        <f aca="false">IF(OR(CI862="",CJ862=""),"",DAYS360(CI862,CJ862)/30)</f>
        <v>135.333333333333</v>
      </c>
      <c r="CO862" s="0" t="n">
        <f aca="false">IF(OR(CI862="",CJ862=""),"",DAYS360(CI862,CJ862)/7)</f>
        <v>580</v>
      </c>
      <c r="CP862" s="0" t="n">
        <f aca="false">IF(OR(CI862="",CJ862=""),"",DAYS360(CI862,CJ862))</f>
        <v>4060</v>
      </c>
      <c r="CQ862" s="0" t="s">
        <v>240</v>
      </c>
      <c r="CR862" s="0" t="n">
        <v>1</v>
      </c>
      <c r="CT862" s="0" t="s">
        <v>221</v>
      </c>
      <c r="CU862" s="0" t="s">
        <v>221</v>
      </c>
      <c r="CV862" s="0" t="str">
        <f aca="false">IF(OR(CT862="",CT862="NO ESPECIFICA",CT862="NO MENCIONA"),"",IF(CU862=0,CT862,IF(CU862=1,CT862/30,IF(CU862=2,CT862/15,IF(CU862=3,CT862/7,"")))))</f>
        <v/>
      </c>
      <c r="CW862" s="125" t="n">
        <v>2474.43</v>
      </c>
      <c r="CX862" s="0" t="n">
        <v>3</v>
      </c>
      <c r="CY862" s="0" t="n">
        <f aca="false">IF(CW862="","",IF(CX862=0,CW862,IF(CX862=1,CW862/30,IF(CX862=2,CW862/15,IF(CX862=3,CW862/7,CW862)))))</f>
        <v>353.49</v>
      </c>
      <c r="CZ862" s="0" t="n">
        <f aca="false">IF(DI862&gt;0,DI862,IF(CY862&gt;0,CY862,IF(CV862&gt;0,CV862,"")))</f>
        <v>353.49</v>
      </c>
      <c r="DA862" s="0" t="n">
        <f aca="false">IF(DM862=1,CZ862/8,IF(OR(DM862=2,DM862=4),CZ862/7,IF(DM862=3,CZ862/7.5,"")))</f>
        <v>44.18625</v>
      </c>
      <c r="DB862" s="0" t="s">
        <v>216</v>
      </c>
      <c r="DC862" s="0" t="s">
        <v>1895</v>
      </c>
      <c r="DD862" s="0" t="s">
        <v>1895</v>
      </c>
      <c r="DE862" s="0" t="s">
        <v>1895</v>
      </c>
      <c r="DF862" s="0" t="s">
        <v>1895</v>
      </c>
      <c r="DG862" s="0" t="s">
        <v>1895</v>
      </c>
      <c r="DH862" s="0" t="n">
        <v>0</v>
      </c>
      <c r="DI862" s="126" t="n">
        <v>353.49</v>
      </c>
      <c r="DK862" s="0" t="n">
        <v>0</v>
      </c>
      <c r="DM862" s="0" t="n">
        <v>1</v>
      </c>
      <c r="DN862" s="0" t="s">
        <v>1899</v>
      </c>
      <c r="DO862" s="0" t="n">
        <v>3</v>
      </c>
      <c r="DP862" s="0" t="n">
        <v>0</v>
      </c>
      <c r="DQ862" s="0" t="n">
        <v>1</v>
      </c>
      <c r="DR862" s="0"/>
      <c r="DS862" s="0" t="n">
        <v>1</v>
      </c>
      <c r="DU862" s="0" t="n">
        <v>1</v>
      </c>
      <c r="DW862" s="1" t="n">
        <v>40183</v>
      </c>
      <c r="DX862" s="1" t="n">
        <v>40548</v>
      </c>
      <c r="DZ862" s="0"/>
      <c r="EA862" s="0" t="n">
        <v>1</v>
      </c>
      <c r="EC862" s="1" t="n">
        <v>40179</v>
      </c>
      <c r="ED862" s="1" t="n">
        <v>40648</v>
      </c>
      <c r="EF862" s="0"/>
      <c r="EG862" s="0" t="n">
        <v>0</v>
      </c>
      <c r="EI862" s="0" t="n">
        <f aca="false">IF(AND(DM862=1,DN862&lt;=48),"",IF(AND(DM862=2,DN862&lt;=42),"",IF(AND(DM862=3,DN862&lt;=45),"",EH862)))</f>
        <v>0</v>
      </c>
      <c r="EJ862" s="0" t="str">
        <f aca="false">IF(EI862="","",IF(EI862&lt;9,EI862,9))</f>
        <v/>
      </c>
      <c r="EK862" s="0" t="str">
        <f aca="false">IF(EI862="","",IF(EI862&gt;9,EI862-EJ862,0))</f>
        <v/>
      </c>
      <c r="EL862" s="0" t="str">
        <f aca="false">IF(EI862="","",EJ862*DA862*2+EK862*DA862*3)</f>
        <v/>
      </c>
      <c r="EP862" s="0" t="n">
        <v>0</v>
      </c>
      <c r="EQ862" s="0"/>
      <c r="ER862" s="0" t="n">
        <v>1</v>
      </c>
      <c r="ET862" s="0" t="n">
        <v>0</v>
      </c>
      <c r="EV862" s="0" t="n">
        <v>1</v>
      </c>
      <c r="EX862" s="0" t="n">
        <v>1</v>
      </c>
      <c r="EY862" s="0" t="n">
        <v>0</v>
      </c>
      <c r="EZ862" s="0"/>
      <c r="FA862" s="0"/>
      <c r="FB862" s="0" t="n">
        <v>1</v>
      </c>
      <c r="FC862" s="1" t="n">
        <v>41694</v>
      </c>
      <c r="FD862" s="0" t="n">
        <v>1</v>
      </c>
      <c r="FE862" s="0" t="n">
        <v>6000</v>
      </c>
      <c r="FF862" s="120" t="n">
        <f aca="false">(CJ862-CI862+1)/365</f>
        <v>11.2849315068493</v>
      </c>
      <c r="FG862" s="0" t="str">
        <f aca="false">CONCATENATE(F862,"/",G862)</f>
        <v>1009/2011</v>
      </c>
      <c r="FH862" s="0" t="n">
        <v>1</v>
      </c>
      <c r="FI862" s="0" t="n">
        <f aca="false">IFERROR(IF((FC862-J862+1)/365&gt;3,0,1),"")</f>
        <v>1</v>
      </c>
    </row>
    <row r="863" customFormat="false" ht="15" hidden="false" customHeight="false" outlineLevel="0" collapsed="false">
      <c r="A863" s="5" t="str">
        <f aca="false">E863&amp;G863&amp;F863</f>
        <v>720111010</v>
      </c>
      <c r="B863" s="0" t="s">
        <v>1884</v>
      </c>
      <c r="C863" s="1" t="n">
        <v>42357</v>
      </c>
      <c r="E863" s="0" t="n">
        <v>7</v>
      </c>
      <c r="F863" s="0" t="n">
        <v>1010</v>
      </c>
      <c r="G863" s="0" t="n">
        <v>2011</v>
      </c>
      <c r="H863" s="0" t="str">
        <f aca="false">"J"&amp;E863&amp;"\"&amp;F863&amp;"\"&amp;G863&amp;"\"&amp;W863</f>
        <v>J7\1010\2011\1</v>
      </c>
      <c r="I863" s="0"/>
      <c r="J863" s="1" t="n">
        <v>40704</v>
      </c>
      <c r="K863" s="0" t="n">
        <v>0</v>
      </c>
      <c r="M863" s="1" t="n">
        <v>40704</v>
      </c>
      <c r="N863" s="1" t="n">
        <v>40864</v>
      </c>
      <c r="O863" s="1"/>
      <c r="P863" s="1"/>
      <c r="Q863" s="1"/>
      <c r="T863" s="121"/>
      <c r="U863" s="121"/>
      <c r="V863" s="122" t="n">
        <f aca="false">IF(AND(E863&gt;0,F863&gt;0,G863&gt;0),COUNTIFS($E:$E,E863,$F:$F,F863,$G:$G,G863),"")</f>
        <v>1</v>
      </c>
      <c r="W863" s="122" t="n">
        <f aca="false">IF(V863="","",IF(V863=1,1,IF(AND(E862=E863,F862=F863,G862=G863),W862+1,1)))</f>
        <v>1</v>
      </c>
      <c r="X863" s="0" t="n">
        <v>1</v>
      </c>
      <c r="Y863" s="0" t="n">
        <v>2</v>
      </c>
      <c r="Z863" s="0" t="s">
        <v>7916</v>
      </c>
      <c r="AA863" s="0" t="n">
        <v>0</v>
      </c>
      <c r="AB863" s="0" t="s">
        <v>7917</v>
      </c>
      <c r="AC863" s="0" t="s">
        <v>2049</v>
      </c>
      <c r="AD863" s="0" t="s">
        <v>1888</v>
      </c>
      <c r="AE863" s="0" t="n">
        <v>0</v>
      </c>
      <c r="AF863" s="0" t="s">
        <v>7918</v>
      </c>
      <c r="AG863" s="0" t="n">
        <v>0</v>
      </c>
      <c r="AH863" s="0" t="s">
        <v>7919</v>
      </c>
      <c r="AI863" s="0" t="s">
        <v>7920</v>
      </c>
      <c r="AJ863" s="0" t="s">
        <v>2070</v>
      </c>
      <c r="AL863" s="0" t="s">
        <v>3901</v>
      </c>
      <c r="AM863" s="0" t="n">
        <v>1</v>
      </c>
      <c r="AN863" s="0" t="s">
        <v>7919</v>
      </c>
      <c r="AO863" s="0" t="s">
        <v>7920</v>
      </c>
      <c r="AP863" s="0" t="s">
        <v>2070</v>
      </c>
      <c r="BH863" s="0" t="s">
        <v>216</v>
      </c>
      <c r="BR863" s="0" t="n">
        <v>1</v>
      </c>
      <c r="BS863" s="0" t="s">
        <v>7921</v>
      </c>
      <c r="BT863" s="0" t="s">
        <v>7922</v>
      </c>
      <c r="BU863" s="0" t="s">
        <v>7923</v>
      </c>
      <c r="BV863" s="123"/>
      <c r="BW863" s="123"/>
      <c r="BX863" s="123"/>
      <c r="BY863" s="123"/>
      <c r="CA863" s="0" t="s">
        <v>7924</v>
      </c>
      <c r="CD863" s="0" t="s">
        <v>7925</v>
      </c>
      <c r="CE863" s="0" t="n">
        <v>0</v>
      </c>
      <c r="CF863" s="0" t="s">
        <v>7926</v>
      </c>
      <c r="CI863" s="1" t="n">
        <v>35196</v>
      </c>
      <c r="CJ863" s="1" t="n">
        <v>40287</v>
      </c>
      <c r="CK863" s="124" t="s">
        <v>1899</v>
      </c>
      <c r="CL863" s="0" t="s">
        <v>7927</v>
      </c>
      <c r="CM863" s="0" t="n">
        <f aca="false">IF(OR(CI863="",CJ863=""),"",DAYS360(CI863,CJ863)/360)</f>
        <v>13.9388888888889</v>
      </c>
      <c r="CN863" s="0" t="n">
        <f aca="false">IF(OR(CI863="",CJ863=""),"",DAYS360(CI863,CJ863)/30)</f>
        <v>167.266666666667</v>
      </c>
      <c r="CO863" s="0" t="n">
        <f aca="false">IF(OR(CI863="",CJ863=""),"",DAYS360(CI863,CJ863)/7)</f>
        <v>716.857142857143</v>
      </c>
      <c r="CP863" s="0" t="n">
        <f aca="false">IF(OR(CI863="",CJ863=""),"",DAYS360(CI863,CJ863))</f>
        <v>5018</v>
      </c>
      <c r="CQ863" s="0" t="s">
        <v>2021</v>
      </c>
      <c r="CR863" s="0" t="n">
        <v>1</v>
      </c>
      <c r="CT863" s="0" t="s">
        <v>221</v>
      </c>
      <c r="CU863" s="0" t="s">
        <v>221</v>
      </c>
      <c r="CV863" s="0" t="str">
        <f aca="false">IF(OR(CT863="",CT863="NO ESPECIFICA",CT863="NO MENCIONA"),"",IF(CU863=0,CT863,IF(CU863=1,CT863/30,IF(CU863=2,CT863/15,IF(CU863=3,CT863/7,"")))))</f>
        <v/>
      </c>
      <c r="CW863" s="125" t="n">
        <v>916.7</v>
      </c>
      <c r="CX863" s="0" t="n">
        <v>0</v>
      </c>
      <c r="CY863" s="0" t="n">
        <f aca="false">IF(CW863="","",IF(CX863=0,CW863,IF(CX863=1,CW863/30,IF(CX863=2,CW863/15,IF(CX863=3,CW863/7,CW863)))))</f>
        <v>916.7</v>
      </c>
      <c r="CZ863" s="0" t="n">
        <f aca="false">IF(DI863&gt;0,DI863,IF(CY863&gt;0,CY863,IF(CV863&gt;0,CV863,"")))</f>
        <v>916.7</v>
      </c>
      <c r="DA863" s="0" t="n">
        <f aca="false">IF(DM863=1,CZ863/8,IF(OR(DM863=2,DM863=4),CZ863/7,IF(DM863=3,CZ863/7.5,"")))</f>
        <v>114.5875</v>
      </c>
      <c r="DB863" s="0" t="s">
        <v>216</v>
      </c>
      <c r="DC863" s="0" t="s">
        <v>1895</v>
      </c>
      <c r="DD863" s="0" t="s">
        <v>1895</v>
      </c>
      <c r="DE863" s="0" t="s">
        <v>1895</v>
      </c>
      <c r="DF863" s="0" t="s">
        <v>1895</v>
      </c>
      <c r="DG863" s="0" t="s">
        <v>1895</v>
      </c>
      <c r="DH863" s="0" t="n">
        <v>0</v>
      </c>
      <c r="DI863" s="126" t="n">
        <v>916.7</v>
      </c>
      <c r="DK863" s="0" t="n">
        <v>0</v>
      </c>
      <c r="DM863" s="0" t="n">
        <v>1</v>
      </c>
      <c r="DN863" s="0" t="n">
        <v>45</v>
      </c>
      <c r="DO863" s="0" t="n">
        <v>3</v>
      </c>
      <c r="DP863" s="0" t="n">
        <v>1</v>
      </c>
      <c r="DQ863" s="0" t="n">
        <v>0</v>
      </c>
      <c r="DR863" s="0"/>
      <c r="DS863" s="0" t="n">
        <v>1</v>
      </c>
      <c r="DU863" s="0" t="n">
        <v>0</v>
      </c>
      <c r="DW863" s="0"/>
      <c r="DX863" s="0"/>
      <c r="DZ863" s="0"/>
      <c r="EA863" s="0" t="n">
        <v>0</v>
      </c>
      <c r="EC863" s="0"/>
      <c r="ED863" s="0"/>
      <c r="EF863" s="0"/>
      <c r="EG863" s="0" t="n">
        <v>0</v>
      </c>
      <c r="EI863" s="0" t="str">
        <f aca="false">IF(AND(DM863=1,DN863&lt;=48),"",IF(AND(DM863=2,DN863&lt;=42),"",IF(AND(DM863=3,DN863&lt;=45),"",EH863)))</f>
        <v/>
      </c>
      <c r="EJ863" s="0" t="str">
        <f aca="false">IF(EI863="","",IF(EI863&lt;9,EI863,9))</f>
        <v/>
      </c>
      <c r="EK863" s="0" t="str">
        <f aca="false">IF(EI863="","",IF(EI863&gt;9,EI863-EJ863,0))</f>
        <v/>
      </c>
      <c r="EL863" s="0" t="str">
        <f aca="false">IF(EI863="","",EJ863*DA863*2+EK863*DA863*3)</f>
        <v/>
      </c>
      <c r="EP863" s="0" t="n">
        <v>0</v>
      </c>
      <c r="EQ863" s="0"/>
      <c r="ER863" s="0" t="n">
        <v>0</v>
      </c>
      <c r="ET863" s="0" t="n">
        <v>0</v>
      </c>
      <c r="EV863" s="0" t="n">
        <v>0</v>
      </c>
      <c r="EX863" s="0" t="n">
        <v>0</v>
      </c>
      <c r="EY863" s="0" t="n">
        <v>0</v>
      </c>
      <c r="EZ863" s="0"/>
      <c r="FA863" s="0"/>
      <c r="FB863" s="0" t="n">
        <v>0</v>
      </c>
      <c r="FC863" s="1"/>
      <c r="FF863" s="120" t="n">
        <f aca="false">(CJ863-CI863+1)/365</f>
        <v>13.9506849315069</v>
      </c>
      <c r="FG863" s="0" t="str">
        <f aca="false">CONCATENATE(F863,"/",G863)</f>
        <v>1010/2011</v>
      </c>
      <c r="FH863" s="0" t="n">
        <v>1</v>
      </c>
      <c r="FI863" s="0" t="n">
        <f aca="false">IFERROR(IF((FC863-J863+1)/365&gt;3,0,1),"")</f>
        <v>1</v>
      </c>
    </row>
    <row r="864" customFormat="false" ht="15" hidden="false" customHeight="false" outlineLevel="0" collapsed="false">
      <c r="A864" s="5" t="str">
        <f aca="false">E864&amp;G864&amp;F864</f>
        <v>720111021</v>
      </c>
      <c r="B864" s="0" t="s">
        <v>1884</v>
      </c>
      <c r="C864" s="1" t="n">
        <v>42357</v>
      </c>
      <c r="E864" s="0" t="n">
        <v>7</v>
      </c>
      <c r="F864" s="0" t="n">
        <v>1021</v>
      </c>
      <c r="G864" s="0" t="n">
        <v>2011</v>
      </c>
      <c r="H864" s="0" t="str">
        <f aca="false">"J"&amp;E864&amp;"\"&amp;F864&amp;"\"&amp;G864&amp;"\"&amp;W864</f>
        <v>J7\1021\2011\1</v>
      </c>
      <c r="I864" s="0"/>
      <c r="J864" s="1" t="n">
        <v>40707</v>
      </c>
      <c r="K864" s="0" t="n">
        <v>0</v>
      </c>
      <c r="M864" s="1"/>
      <c r="N864" s="1"/>
      <c r="O864" s="1"/>
      <c r="P864" s="1"/>
      <c r="Q864" s="1"/>
      <c r="T864" s="121"/>
      <c r="U864" s="121"/>
      <c r="V864" s="122" t="n">
        <f aca="false">IF(AND(E864&gt;0,F864&gt;0,G864&gt;0),COUNTIFS($E:$E,E864,$F:$F,F864,$G:$G,G864),"")</f>
        <v>2</v>
      </c>
      <c r="W864" s="122" t="n">
        <f aca="false">IF(V864="","",IF(V864=1,1,IF(AND(E863=E864,F863=F864,G863=G864),W863+1,1)))</f>
        <v>1</v>
      </c>
      <c r="X864" s="0" t="n">
        <v>2</v>
      </c>
      <c r="Y864" s="0" t="n">
        <v>5</v>
      </c>
      <c r="Z864" s="0" t="s">
        <v>7928</v>
      </c>
      <c r="AA864" s="0" t="n">
        <v>0</v>
      </c>
      <c r="AB864" s="0" t="s">
        <v>7929</v>
      </c>
      <c r="AC864" s="0" t="s">
        <v>1160</v>
      </c>
      <c r="AD864" s="0" t="s">
        <v>7892</v>
      </c>
      <c r="AE864" s="0" t="n">
        <v>0</v>
      </c>
      <c r="AF864" s="0" t="s">
        <v>7930</v>
      </c>
      <c r="AG864" s="0" t="n">
        <v>2</v>
      </c>
      <c r="AH864" s="0" t="s">
        <v>7931</v>
      </c>
      <c r="AI864" s="0" t="s">
        <v>954</v>
      </c>
      <c r="AJ864" s="0" t="s">
        <v>1888</v>
      </c>
      <c r="AL864" s="0" t="s">
        <v>7932</v>
      </c>
      <c r="AM864" s="0" t="n">
        <v>0</v>
      </c>
      <c r="AN864" s="0" t="s">
        <v>7931</v>
      </c>
      <c r="AO864" s="0" t="s">
        <v>954</v>
      </c>
      <c r="AP864" s="0" t="s">
        <v>1888</v>
      </c>
      <c r="AR864" s="0" t="s">
        <v>7933</v>
      </c>
      <c r="AS864" s="0" t="n">
        <v>1</v>
      </c>
      <c r="AT864" s="0" t="s">
        <v>7931</v>
      </c>
      <c r="AU864" s="0" t="s">
        <v>954</v>
      </c>
      <c r="AV864" s="0" t="s">
        <v>1888</v>
      </c>
      <c r="AX864" s="0" t="s">
        <v>7934</v>
      </c>
      <c r="AY864" s="0" t="n">
        <v>1</v>
      </c>
      <c r="AZ864" s="0" t="s">
        <v>7931</v>
      </c>
      <c r="BA864" s="0" t="s">
        <v>954</v>
      </c>
      <c r="BB864" s="0" t="s">
        <v>1888</v>
      </c>
      <c r="BD864" s="0" t="s">
        <v>7935</v>
      </c>
      <c r="BE864" s="0" t="n">
        <v>1</v>
      </c>
      <c r="BF864" s="0" t="s">
        <v>7931</v>
      </c>
      <c r="BG864" s="0" t="s">
        <v>954</v>
      </c>
      <c r="BH864" s="0" t="s">
        <v>1888</v>
      </c>
      <c r="BR864" s="0" t="n">
        <v>1</v>
      </c>
      <c r="BS864" s="0" t="s">
        <v>7936</v>
      </c>
      <c r="BT864" s="0" t="s">
        <v>7937</v>
      </c>
      <c r="BU864" s="0" t="s">
        <v>7938</v>
      </c>
      <c r="BV864" s="123"/>
      <c r="BW864" s="123"/>
      <c r="BX864" s="123"/>
      <c r="BY864" s="123"/>
      <c r="CA864" s="0" t="s">
        <v>1895</v>
      </c>
      <c r="CD864" s="0" t="s">
        <v>3716</v>
      </c>
      <c r="CE864" s="0" t="n">
        <v>0</v>
      </c>
      <c r="CF864" s="0" t="s">
        <v>7939</v>
      </c>
      <c r="CI864" s="1" t="n">
        <v>38839</v>
      </c>
      <c r="CJ864" s="1" t="n">
        <v>40645</v>
      </c>
      <c r="CK864" s="124" t="n">
        <v>0.333333333333333</v>
      </c>
      <c r="CL864" s="0" t="s">
        <v>7935</v>
      </c>
      <c r="CM864" s="0" t="n">
        <f aca="false">IF(OR(CI864="",CJ864=""),"",DAYS360(CI864,CJ864)/360)</f>
        <v>4.94444444444444</v>
      </c>
      <c r="CN864" s="0" t="n">
        <f aca="false">IF(OR(CI864="",CJ864=""),"",DAYS360(CI864,CJ864)/30)</f>
        <v>59.3333333333333</v>
      </c>
      <c r="CO864" s="0" t="n">
        <f aca="false">IF(OR(CI864="",CJ864=""),"",DAYS360(CI864,CJ864)/7)</f>
        <v>254.285714285714</v>
      </c>
      <c r="CP864" s="0" t="n">
        <f aca="false">IF(OR(CI864="",CJ864=""),"",DAYS360(CI864,CJ864))</f>
        <v>1780</v>
      </c>
      <c r="CQ864" s="0" t="s">
        <v>2021</v>
      </c>
      <c r="CR864" s="0" t="n">
        <v>1</v>
      </c>
      <c r="CT864" s="0" t="n">
        <v>216.66</v>
      </c>
      <c r="CU864" s="0" t="n">
        <v>0</v>
      </c>
      <c r="CV864" s="0" t="n">
        <f aca="false">IF(OR(CT864="",CT864="NO ESPECIFICA",CT864="NO MENCIONA"),"",IF(CU864=0,CT864,IF(CU864=1,CT864/30,IF(CU864=2,CT864/15,IF(CU864=3,CT864/7,"")))))</f>
        <v>216.66</v>
      </c>
      <c r="CW864" s="125" t="n">
        <v>241</v>
      </c>
      <c r="CX864" s="0" t="n">
        <v>0</v>
      </c>
      <c r="CY864" s="0" t="n">
        <f aca="false">IF(CW864="","",IF(CX864=0,CW864,IF(CX864=1,CW864/30,IF(CX864=2,CW864/15,IF(CX864=3,CW864/7,CW864)))))</f>
        <v>241</v>
      </c>
      <c r="CZ864" s="0" t="n">
        <f aca="false">IF(DI864&gt;0,DI864,IF(CY864&gt;0,CY864,IF(CV864&gt;0,CV864,"")))</f>
        <v>241</v>
      </c>
      <c r="DA864" s="0" t="n">
        <f aca="false">IF(DM864=1,CZ864/8,IF(OR(DM864=2,DM864=4),CZ864/7,IF(DM864=3,CZ864/7.5,"")))</f>
        <v>32.1333333333333</v>
      </c>
      <c r="DB864" s="0" t="s">
        <v>1935</v>
      </c>
      <c r="DC864" s="0" t="s">
        <v>2023</v>
      </c>
      <c r="DD864" s="0" t="s">
        <v>1895</v>
      </c>
      <c r="DE864" s="0" t="s">
        <v>1895</v>
      </c>
      <c r="DF864" s="0" t="s">
        <v>1895</v>
      </c>
      <c r="DG864" s="0" t="s">
        <v>1895</v>
      </c>
      <c r="DH864" s="0" t="n">
        <v>0</v>
      </c>
      <c r="DI864" s="126" t="n">
        <v>241</v>
      </c>
      <c r="DK864" s="0" t="n">
        <v>0</v>
      </c>
      <c r="DM864" s="0" t="n">
        <v>3</v>
      </c>
      <c r="DN864" s="0" t="n">
        <v>54</v>
      </c>
      <c r="DO864" s="0" t="n">
        <v>3</v>
      </c>
      <c r="DP864" s="0" t="n">
        <v>1</v>
      </c>
      <c r="DQ864" s="0" t="n">
        <v>0</v>
      </c>
      <c r="DR864" s="0"/>
      <c r="DS864" s="0" t="n">
        <v>1</v>
      </c>
      <c r="DU864" s="0" t="n">
        <v>0</v>
      </c>
      <c r="DW864" s="1" t="n">
        <v>38839</v>
      </c>
      <c r="DX864" s="1" t="n">
        <v>40645</v>
      </c>
      <c r="DZ864" s="0"/>
      <c r="EA864" s="0" t="n">
        <v>1</v>
      </c>
      <c r="EC864" s="1" t="n">
        <v>38839</v>
      </c>
      <c r="ED864" s="1" t="n">
        <v>40645</v>
      </c>
      <c r="EF864" s="0"/>
      <c r="EG864" s="0" t="n">
        <v>1</v>
      </c>
      <c r="EH864" s="0" t="n">
        <v>6</v>
      </c>
      <c r="EI864" s="0" t="n">
        <f aca="false">IF(AND(DM864=1,DN864&lt;=48),"",IF(AND(DM864=2,DN864&lt;=42),"",IF(AND(DM864=3,DN864&lt;=45),"",EH864)))</f>
        <v>6</v>
      </c>
      <c r="EJ864" s="0" t="n">
        <f aca="false">IF(EI864="","",IF(EI864&lt;9,EI864,9))</f>
        <v>6</v>
      </c>
      <c r="EK864" s="0" t="n">
        <f aca="false">IF(EI864="","",IF(EI864&gt;9,EI864-EJ864,0))</f>
        <v>0</v>
      </c>
      <c r="EL864" s="0" t="n">
        <f aca="false">IF(EI864="","",EJ864*DA864*2+EK864*DA864*3)</f>
        <v>385.6</v>
      </c>
      <c r="EP864" s="0" t="n">
        <v>0</v>
      </c>
      <c r="EQ864" s="0"/>
      <c r="ER864" s="0" t="n">
        <v>0</v>
      </c>
      <c r="ET864" s="0" t="n">
        <v>0</v>
      </c>
      <c r="EV864" s="0" t="n">
        <v>0</v>
      </c>
      <c r="EX864" s="0" t="n">
        <v>1</v>
      </c>
      <c r="EY864" s="0" t="n">
        <v>0</v>
      </c>
      <c r="EZ864" s="0"/>
      <c r="FA864" s="4" t="n">
        <v>56137</v>
      </c>
      <c r="FB864" s="0" t="n">
        <v>0</v>
      </c>
      <c r="FC864" s="1"/>
      <c r="FF864" s="120" t="n">
        <f aca="false">(CJ864-CI864+1)/365</f>
        <v>4.95068493150685</v>
      </c>
      <c r="FG864" s="0" t="str">
        <f aca="false">CONCATENATE(F864,"/",G864)</f>
        <v>1021/2011</v>
      </c>
      <c r="FH864" s="0" t="n">
        <v>1</v>
      </c>
      <c r="FI864" s="0" t="n">
        <f aca="false">IFERROR(IF((FC864-J864+1)/365&gt;3,0,1),"")</f>
        <v>1</v>
      </c>
    </row>
    <row r="865" customFormat="false" ht="15" hidden="false" customHeight="false" outlineLevel="0" collapsed="false">
      <c r="A865" s="5" t="str">
        <f aca="false">E865&amp;G865&amp;F865</f>
        <v>720111021</v>
      </c>
      <c r="B865" s="0" t="s">
        <v>1884</v>
      </c>
      <c r="C865" s="1" t="n">
        <v>42357</v>
      </c>
      <c r="E865" s="0" t="n">
        <v>7</v>
      </c>
      <c r="F865" s="0" t="n">
        <v>1021</v>
      </c>
      <c r="G865" s="0" t="n">
        <v>2011</v>
      </c>
      <c r="H865" s="0" t="str">
        <f aca="false">"J"&amp;E865&amp;"\"&amp;F865&amp;"\"&amp;G865&amp;"\"&amp;W865</f>
        <v>J7\1021\2011\2</v>
      </c>
      <c r="I865" s="0"/>
      <c r="J865" s="1" t="n">
        <v>40707</v>
      </c>
      <c r="K865" s="0" t="n">
        <v>0</v>
      </c>
      <c r="M865" s="1"/>
      <c r="N865" s="1"/>
      <c r="O865" s="1"/>
      <c r="P865" s="1"/>
      <c r="Q865" s="1"/>
      <c r="T865" s="121"/>
      <c r="U865" s="121"/>
      <c r="V865" s="122" t="n">
        <f aca="false">IF(AND(E865&gt;0,F865&gt;0,G865&gt;0),COUNTIFS($E:$E,E865,$F:$F,F865,$G:$G,G865),"")</f>
        <v>2</v>
      </c>
      <c r="W865" s="122" t="n">
        <f aca="false">IF(V865="","",IF(V865=1,1,IF(AND(E864=E865,F864=F865,G864=G865),W864+1,1)))</f>
        <v>2</v>
      </c>
      <c r="X865" s="0" t="n">
        <v>2</v>
      </c>
      <c r="Y865" s="0" t="n">
        <v>5</v>
      </c>
      <c r="Z865" s="0" t="s">
        <v>7940</v>
      </c>
      <c r="AA865" s="0" t="n">
        <v>0</v>
      </c>
      <c r="AB865" s="0" t="s">
        <v>7929</v>
      </c>
      <c r="AC865" s="0" t="s">
        <v>1160</v>
      </c>
      <c r="AD865" s="0" t="s">
        <v>7892</v>
      </c>
      <c r="AE865" s="0" t="n">
        <v>0</v>
      </c>
      <c r="AF865" s="0" t="s">
        <v>7930</v>
      </c>
      <c r="AG865" s="0" t="n">
        <v>2</v>
      </c>
      <c r="AH865" s="0" t="s">
        <v>7931</v>
      </c>
      <c r="AI865" s="0" t="s">
        <v>954</v>
      </c>
      <c r="AJ865" s="0" t="s">
        <v>1888</v>
      </c>
      <c r="AL865" s="0" t="s">
        <v>7932</v>
      </c>
      <c r="AM865" s="0" t="n">
        <v>0</v>
      </c>
      <c r="AN865" s="0" t="s">
        <v>7931</v>
      </c>
      <c r="AO865" s="0" t="s">
        <v>954</v>
      </c>
      <c r="AP865" s="0" t="s">
        <v>1888</v>
      </c>
      <c r="AR865" s="0" t="s">
        <v>7933</v>
      </c>
      <c r="AS865" s="0" t="n">
        <v>1</v>
      </c>
      <c r="AT865" s="0" t="s">
        <v>7931</v>
      </c>
      <c r="AU865" s="0" t="s">
        <v>954</v>
      </c>
      <c r="AV865" s="0" t="s">
        <v>1888</v>
      </c>
      <c r="AX865" s="0" t="s">
        <v>7934</v>
      </c>
      <c r="AY865" s="0" t="n">
        <v>1</v>
      </c>
      <c r="AZ865" s="0" t="s">
        <v>7931</v>
      </c>
      <c r="BA865" s="0" t="s">
        <v>954</v>
      </c>
      <c r="BB865" s="0" t="s">
        <v>1888</v>
      </c>
      <c r="BD865" s="0" t="s">
        <v>7935</v>
      </c>
      <c r="BE865" s="0" t="n">
        <v>1</v>
      </c>
      <c r="BF865" s="0" t="s">
        <v>7931</v>
      </c>
      <c r="BG865" s="0" t="s">
        <v>954</v>
      </c>
      <c r="BH865" s="0" t="s">
        <v>1888</v>
      </c>
      <c r="BR865" s="0" t="n">
        <v>1</v>
      </c>
      <c r="BS865" s="0" t="s">
        <v>7936</v>
      </c>
      <c r="BT865" s="0" t="s">
        <v>7937</v>
      </c>
      <c r="BU865" s="0" t="s">
        <v>7938</v>
      </c>
      <c r="BV865" s="123"/>
      <c r="BW865" s="123"/>
      <c r="BX865" s="123"/>
      <c r="BY865" s="123"/>
      <c r="CA865" s="0" t="s">
        <v>1895</v>
      </c>
      <c r="CD865" s="0" t="s">
        <v>3716</v>
      </c>
      <c r="CE865" s="0" t="n">
        <v>0</v>
      </c>
      <c r="CF865" s="0" t="s">
        <v>7939</v>
      </c>
      <c r="CI865" s="1" t="n">
        <v>38586</v>
      </c>
      <c r="CJ865" s="1" t="n">
        <v>40645</v>
      </c>
      <c r="CK865" s="124" t="n">
        <v>0.333333333333333</v>
      </c>
      <c r="CL865" s="0" t="s">
        <v>7935</v>
      </c>
      <c r="CM865" s="0" t="n">
        <f aca="false">IF(OR(CI865="",CJ865=""),"",DAYS360(CI865,CJ865)/360)</f>
        <v>5.63888888888889</v>
      </c>
      <c r="CN865" s="0" t="n">
        <f aca="false">IF(OR(CI865="",CJ865=""),"",DAYS360(CI865,CJ865)/30)</f>
        <v>67.6666666666667</v>
      </c>
      <c r="CO865" s="0" t="n">
        <f aca="false">IF(OR(CI865="",CJ865=""),"",DAYS360(CI865,CJ865)/7)</f>
        <v>290</v>
      </c>
      <c r="CP865" s="0" t="n">
        <f aca="false">IF(OR(CI865="",CJ865=""),"",DAYS360(CI865,CJ865))</f>
        <v>2030</v>
      </c>
      <c r="CQ865" s="0" t="s">
        <v>2021</v>
      </c>
      <c r="CR865" s="0" t="n">
        <v>1</v>
      </c>
      <c r="CT865" s="0" t="n">
        <v>216.66</v>
      </c>
      <c r="CU865" s="0" t="n">
        <v>0</v>
      </c>
      <c r="CV865" s="0" t="n">
        <f aca="false">IF(OR(CT865="",CT865="NO ESPECIFICA",CT865="NO MENCIONA"),"",IF(CU865=0,CT865,IF(CU865=1,CT865/30,IF(CU865=2,CT865/15,IF(CU865=3,CT865/7,"")))))</f>
        <v>216.66</v>
      </c>
      <c r="CW865" s="125" t="n">
        <v>241</v>
      </c>
      <c r="CX865" s="0" t="n">
        <v>0</v>
      </c>
      <c r="CY865" s="0" t="n">
        <f aca="false">IF(CW865="","",IF(CX865=0,CW865,IF(CX865=1,CW865/30,IF(CX865=2,CW865/15,IF(CX865=3,CW865/7,CW865)))))</f>
        <v>241</v>
      </c>
      <c r="CZ865" s="0" t="n">
        <f aca="false">IF(DI865&gt;0,DI865,IF(CY865&gt;0,CY865,IF(CV865&gt;0,CV865,"")))</f>
        <v>241</v>
      </c>
      <c r="DA865" s="0" t="n">
        <f aca="false">IF(DM865=1,CZ865/8,IF(OR(DM865=2,DM865=4),CZ865/7,IF(DM865=3,CZ865/7.5,"")))</f>
        <v>34.4285714285714</v>
      </c>
      <c r="DB865" s="0" t="s">
        <v>1935</v>
      </c>
      <c r="DC865" s="0" t="s">
        <v>2023</v>
      </c>
      <c r="DD865" s="0" t="s">
        <v>1895</v>
      </c>
      <c r="DE865" s="0" t="s">
        <v>1895</v>
      </c>
      <c r="DF865" s="0" t="s">
        <v>1895</v>
      </c>
      <c r="DG865" s="0" t="s">
        <v>1895</v>
      </c>
      <c r="DH865" s="0" t="n">
        <v>0</v>
      </c>
      <c r="DI865" s="126" t="n">
        <v>241</v>
      </c>
      <c r="DK865" s="0" t="n">
        <v>0</v>
      </c>
      <c r="DM865" s="0" t="n">
        <v>2</v>
      </c>
      <c r="DN865" s="0" t="n">
        <v>54</v>
      </c>
      <c r="DO865" s="0" t="n">
        <v>3</v>
      </c>
      <c r="DP865" s="0" t="n">
        <v>1</v>
      </c>
      <c r="DQ865" s="0" t="n">
        <v>0</v>
      </c>
      <c r="DR865" s="0"/>
      <c r="DS865" s="0" t="n">
        <v>1</v>
      </c>
      <c r="DU865" s="0" t="n">
        <v>0</v>
      </c>
      <c r="DW865" s="1" t="n">
        <v>38586</v>
      </c>
      <c r="DX865" s="1" t="n">
        <v>40645</v>
      </c>
      <c r="DZ865" s="0"/>
      <c r="EA865" s="0" t="n">
        <v>1</v>
      </c>
      <c r="EC865" s="1" t="n">
        <v>38586</v>
      </c>
      <c r="ED865" s="1" t="n">
        <v>40645</v>
      </c>
      <c r="EF865" s="0"/>
      <c r="EG865" s="0" t="n">
        <v>1</v>
      </c>
      <c r="EH865" s="0" t="n">
        <v>5</v>
      </c>
      <c r="EI865" s="0" t="n">
        <f aca="false">IF(AND(DM865=1,DN865&lt;=48),"",IF(AND(DM865=2,DN865&lt;=42),"",IF(AND(DM865=3,DN865&lt;=45),"",EH865)))</f>
        <v>5</v>
      </c>
      <c r="EJ865" s="0" t="n">
        <f aca="false">IF(EI865="","",IF(EI865&lt;9,EI865,9))</f>
        <v>5</v>
      </c>
      <c r="EK865" s="0" t="n">
        <f aca="false">IF(EI865="","",IF(EI865&gt;9,EI865-EJ865,0))</f>
        <v>0</v>
      </c>
      <c r="EL865" s="0" t="n">
        <f aca="false">IF(EI865="","",EJ865*DA865*2+EK865*DA865*3)</f>
        <v>344.285714285714</v>
      </c>
      <c r="EP865" s="0" t="n">
        <v>0</v>
      </c>
      <c r="EQ865" s="0"/>
      <c r="ER865" s="0" t="n">
        <v>0</v>
      </c>
      <c r="ET865" s="0" t="n">
        <v>0</v>
      </c>
      <c r="EV865" s="0" t="n">
        <v>0</v>
      </c>
      <c r="EX865" s="0" t="n">
        <v>1</v>
      </c>
      <c r="EY865" s="0" t="n">
        <v>0</v>
      </c>
      <c r="EZ865" s="0"/>
      <c r="FA865" s="4" t="n">
        <v>56587.44</v>
      </c>
      <c r="FB865" s="0" t="n">
        <v>0</v>
      </c>
      <c r="FC865" s="1"/>
      <c r="FF865" s="120" t="n">
        <f aca="false">(CJ865-CI865+1)/365</f>
        <v>5.64383561643836</v>
      </c>
      <c r="FG865" s="0" t="str">
        <f aca="false">CONCATENATE(F865,"/",G865)</f>
        <v>1021/2011</v>
      </c>
      <c r="FH865" s="0" t="n">
        <v>1</v>
      </c>
      <c r="FI865" s="0" t="n">
        <f aca="false">IFERROR(IF((FC865-J865+1)/365&gt;3,0,1),"")</f>
        <v>1</v>
      </c>
    </row>
    <row r="866" customFormat="false" ht="15" hidden="false" customHeight="false" outlineLevel="0" collapsed="false">
      <c r="A866" s="5" t="str">
        <f aca="false">E866&amp;G866&amp;F866</f>
        <v>720111022</v>
      </c>
      <c r="B866" s="0" t="s">
        <v>1884</v>
      </c>
      <c r="C866" s="1" t="n">
        <v>42357</v>
      </c>
      <c r="E866" s="0" t="n">
        <v>7</v>
      </c>
      <c r="F866" s="0" t="n">
        <v>1022</v>
      </c>
      <c r="G866" s="0" t="n">
        <v>2011</v>
      </c>
      <c r="H866" s="0" t="str">
        <f aca="false">"J"&amp;E866&amp;"\"&amp;F866&amp;"\"&amp;G866&amp;"\"&amp;W866</f>
        <v>J7\1022\2011\1</v>
      </c>
      <c r="I866" s="0"/>
      <c r="J866" s="1" t="n">
        <v>40708</v>
      </c>
      <c r="K866" s="0" t="n">
        <v>0</v>
      </c>
      <c r="M866" s="1"/>
      <c r="N866" s="1"/>
      <c r="O866" s="1"/>
      <c r="P866" s="1"/>
      <c r="Q866" s="1"/>
      <c r="T866" s="121"/>
      <c r="U866" s="121"/>
      <c r="V866" s="122" t="n">
        <f aca="false">IF(AND(E866&gt;0,F866&gt;0,G866&gt;0),COUNTIFS($E:$E,E866,$F:$F,F866,$G:$G,G866),"")</f>
        <v>2</v>
      </c>
      <c r="W866" s="122" t="n">
        <f aca="false">IF(V866="","",IF(V866=1,1,IF(AND(E865=E866,F865=F866,G865=G866),W865+1,1)))</f>
        <v>1</v>
      </c>
      <c r="X866" s="0" t="n">
        <v>2</v>
      </c>
      <c r="Y866" s="0" t="n">
        <v>5</v>
      </c>
      <c r="Z866" s="0" t="s">
        <v>7941</v>
      </c>
      <c r="AA866" s="0" t="n">
        <v>0</v>
      </c>
      <c r="AB866" s="0" t="s">
        <v>7942</v>
      </c>
      <c r="AC866" s="0" t="s">
        <v>1160</v>
      </c>
      <c r="AD866" s="0" t="s">
        <v>1888</v>
      </c>
      <c r="AE866" s="0" t="n">
        <v>0</v>
      </c>
      <c r="AF866" s="0" t="s">
        <v>6662</v>
      </c>
      <c r="AG866" s="0" t="n">
        <v>0</v>
      </c>
      <c r="AH866" s="0" t="s">
        <v>7943</v>
      </c>
      <c r="AI866" s="0" t="s">
        <v>6664</v>
      </c>
      <c r="AJ866" s="0" t="s">
        <v>2112</v>
      </c>
      <c r="AL866" s="0" t="s">
        <v>7944</v>
      </c>
      <c r="AM866" s="0" t="n">
        <v>1</v>
      </c>
      <c r="AN866" s="0" t="s">
        <v>7943</v>
      </c>
      <c r="AO866" s="0" t="s">
        <v>6664</v>
      </c>
      <c r="AP866" s="0" t="s">
        <v>2112</v>
      </c>
      <c r="AR866" s="0" t="s">
        <v>7945</v>
      </c>
      <c r="AS866" s="0" t="n">
        <v>1</v>
      </c>
      <c r="AT866" s="0" t="s">
        <v>7943</v>
      </c>
      <c r="AU866" s="0" t="s">
        <v>6664</v>
      </c>
      <c r="AV866" s="0" t="s">
        <v>2112</v>
      </c>
      <c r="AX866" s="0" t="s">
        <v>7946</v>
      </c>
      <c r="AY866" s="0" t="n">
        <v>1</v>
      </c>
      <c r="AZ866" s="0" t="s">
        <v>7943</v>
      </c>
      <c r="BA866" s="0" t="s">
        <v>6664</v>
      </c>
      <c r="BB866" s="0" t="s">
        <v>2112</v>
      </c>
      <c r="BD866" s="0" t="s">
        <v>7947</v>
      </c>
      <c r="BE866" s="0" t="n">
        <v>0</v>
      </c>
      <c r="BF866" s="0" t="s">
        <v>7948</v>
      </c>
      <c r="BG866" s="0" t="s">
        <v>7949</v>
      </c>
      <c r="BH866" s="0" t="s">
        <v>1907</v>
      </c>
      <c r="BR866" s="0" t="n">
        <v>1</v>
      </c>
      <c r="BS866" s="0" t="s">
        <v>7950</v>
      </c>
      <c r="BT866" s="0" t="s">
        <v>7951</v>
      </c>
      <c r="BU866" s="0" t="s">
        <v>7952</v>
      </c>
      <c r="BV866" s="123"/>
      <c r="BW866" s="123"/>
      <c r="BX866" s="123"/>
      <c r="BY866" s="123"/>
      <c r="CA866" s="0" t="s">
        <v>1895</v>
      </c>
      <c r="CD866" s="0" t="s">
        <v>1943</v>
      </c>
      <c r="CE866" s="0" t="n">
        <v>0</v>
      </c>
      <c r="CF866" s="0" t="s">
        <v>7953</v>
      </c>
      <c r="CI866" s="1" t="n">
        <v>40595</v>
      </c>
      <c r="CJ866" s="1" t="n">
        <v>40703</v>
      </c>
      <c r="CK866" s="124" t="n">
        <v>0.375</v>
      </c>
      <c r="CL866" s="0" t="s">
        <v>7954</v>
      </c>
      <c r="CM866" s="0" t="n">
        <f aca="false">IF(OR(CI866="",CJ866=""),"",DAYS360(CI866,CJ866)/360)</f>
        <v>0.3</v>
      </c>
      <c r="CN866" s="0" t="n">
        <f aca="false">IF(OR(CI866="",CJ866=""),"",DAYS360(CI866,CJ866)/30)</f>
        <v>3.6</v>
      </c>
      <c r="CO866" s="0" t="n">
        <f aca="false">IF(OR(CI866="",CJ866=""),"",DAYS360(CI866,CJ866)/7)</f>
        <v>15.4285714285714</v>
      </c>
      <c r="CP866" s="0" t="n">
        <f aca="false">IF(OR(CI866="",CJ866=""),"",DAYS360(CI866,CJ866))</f>
        <v>108</v>
      </c>
      <c r="CQ866" s="0" t="s">
        <v>240</v>
      </c>
      <c r="CR866" s="0" t="n">
        <v>1</v>
      </c>
      <c r="CT866" s="0" t="s">
        <v>221</v>
      </c>
      <c r="CU866" s="0" t="s">
        <v>221</v>
      </c>
      <c r="CV866" s="0" t="str">
        <f aca="false">IF(OR(CT866="",CT866="NO ESPECIFICA",CT866="NO MENCIONA"),"",IF(CU866=0,CT866,IF(CU866=1,CT866/30,IF(CU866=2,CT866/15,IF(CU866=3,CT866/7,"")))))</f>
        <v/>
      </c>
      <c r="CW866" s="125" t="n">
        <v>250</v>
      </c>
      <c r="CX866" s="0" t="n">
        <v>0</v>
      </c>
      <c r="CY866" s="0" t="n">
        <f aca="false">IF(CW866="","",IF(CX866=0,CW866,IF(CX866=1,CW866/30,IF(CX866=2,CW866/15,IF(CX866=3,CW866/7,CW866)))))</f>
        <v>250</v>
      </c>
      <c r="CZ866" s="0" t="n">
        <f aca="false">IF(DI866&gt;0,DI866,IF(CY866&gt;0,CY866,IF(CV866&gt;0,CV866,"")))</f>
        <v>250</v>
      </c>
      <c r="DA866" s="0" t="n">
        <f aca="false">IF(DM866=1,CZ866/8,IF(OR(DM866=2,DM866=4),CZ866/7,IF(DM866=3,CZ866/7.5,"")))</f>
        <v>31.25</v>
      </c>
      <c r="DB866" s="0" t="s">
        <v>216</v>
      </c>
      <c r="DC866" s="0" t="s">
        <v>1895</v>
      </c>
      <c r="DD866" s="0" t="s">
        <v>1895</v>
      </c>
      <c r="DE866" s="0" t="s">
        <v>1895</v>
      </c>
      <c r="DF866" s="0" t="s">
        <v>1895</v>
      </c>
      <c r="DG866" s="0" t="s">
        <v>1895</v>
      </c>
      <c r="DH866" s="0" t="n">
        <v>0</v>
      </c>
      <c r="DI866" s="126" t="n">
        <v>250</v>
      </c>
      <c r="DK866" s="0" t="n">
        <v>1</v>
      </c>
      <c r="DM866" s="0" t="n">
        <v>1</v>
      </c>
      <c r="DN866" s="0" t="n">
        <v>66</v>
      </c>
      <c r="DO866" s="0" t="n">
        <v>3</v>
      </c>
      <c r="DP866" s="0" t="n">
        <v>0</v>
      </c>
      <c r="DQ866" s="0" t="n">
        <v>1</v>
      </c>
      <c r="DR866" s="0"/>
      <c r="DS866" s="0" t="n">
        <v>1</v>
      </c>
      <c r="DU866" s="0" t="n">
        <v>1</v>
      </c>
      <c r="DW866" s="1" t="n">
        <v>40595</v>
      </c>
      <c r="DX866" s="1" t="n">
        <v>40703</v>
      </c>
      <c r="DZ866" s="0"/>
      <c r="EA866" s="0" t="n">
        <v>1</v>
      </c>
      <c r="EC866" s="1" t="n">
        <v>40595</v>
      </c>
      <c r="ED866" s="1" t="n">
        <v>40703</v>
      </c>
      <c r="EF866" s="0"/>
      <c r="EG866" s="0" t="n">
        <v>1</v>
      </c>
      <c r="EH866" s="0" t="n">
        <v>18</v>
      </c>
      <c r="EI866" s="0" t="n">
        <f aca="false">IF(AND(DM866=1,DN866&lt;=48),"",IF(AND(DM866=2,DN866&lt;=42),"",IF(AND(DM866=3,DN866&lt;=45),"",EH866)))</f>
        <v>18</v>
      </c>
      <c r="EJ866" s="0" t="n">
        <f aca="false">IF(EI866="","",IF(EI866&lt;9,EI866,9))</f>
        <v>9</v>
      </c>
      <c r="EK866" s="0" t="n">
        <f aca="false">IF(EI866="","",IF(EI866&gt;9,EI866-EJ866,0))</f>
        <v>9</v>
      </c>
      <c r="EL866" s="0" t="n">
        <f aca="false">IF(EI866="","",EJ866*DA866*2+EK866*DA866*3)</f>
        <v>1406.25</v>
      </c>
      <c r="EP866" s="0" t="n">
        <v>0</v>
      </c>
      <c r="EQ866" s="0"/>
      <c r="ER866" s="0" t="n">
        <v>1</v>
      </c>
      <c r="ET866" s="0" t="n">
        <v>0</v>
      </c>
      <c r="EV866" s="0" t="n">
        <v>0</v>
      </c>
      <c r="EX866" s="0" t="n">
        <v>0</v>
      </c>
      <c r="EY866" s="0" t="n">
        <v>0</v>
      </c>
      <c r="EZ866" s="0"/>
      <c r="FA866" s="4" t="n">
        <v>3750</v>
      </c>
      <c r="FB866" s="0" t="n">
        <v>1</v>
      </c>
      <c r="FC866" s="1"/>
      <c r="FF866" s="120" t="n">
        <f aca="false">(CJ866-CI866+1)/365</f>
        <v>0.298630136986301</v>
      </c>
      <c r="FG866" s="0" t="str">
        <f aca="false">CONCATENATE(F866,"/",G866)</f>
        <v>1022/2011</v>
      </c>
      <c r="FH866" s="0" t="n">
        <v>1</v>
      </c>
      <c r="FI866" s="0" t="n">
        <f aca="false">IFERROR(IF((FC866-J866+1)/365&gt;3,0,1),"")</f>
        <v>1</v>
      </c>
    </row>
    <row r="867" customFormat="false" ht="15" hidden="false" customHeight="false" outlineLevel="0" collapsed="false">
      <c r="A867" s="5" t="str">
        <f aca="false">E867&amp;G867&amp;F867</f>
        <v>720111022</v>
      </c>
      <c r="B867" s="0" t="s">
        <v>1884</v>
      </c>
      <c r="C867" s="1" t="n">
        <v>42357</v>
      </c>
      <c r="E867" s="0" t="n">
        <v>7</v>
      </c>
      <c r="F867" s="0" t="n">
        <v>1022</v>
      </c>
      <c r="G867" s="0" t="n">
        <v>2011</v>
      </c>
      <c r="H867" s="0" t="str">
        <f aca="false">"J"&amp;E867&amp;"\"&amp;F867&amp;"\"&amp;G867&amp;"\"&amp;W867</f>
        <v>J7\1022\2011\2</v>
      </c>
      <c r="I867" s="0"/>
      <c r="J867" s="1" t="n">
        <v>40708</v>
      </c>
      <c r="K867" s="0" t="n">
        <v>0</v>
      </c>
      <c r="M867" s="1"/>
      <c r="N867" s="1"/>
      <c r="O867" s="1"/>
      <c r="P867" s="1"/>
      <c r="Q867" s="1"/>
      <c r="T867" s="121"/>
      <c r="U867" s="121"/>
      <c r="V867" s="122" t="n">
        <f aca="false">IF(AND(E867&gt;0,F867&gt;0,G867&gt;0),COUNTIFS($E:$E,E867,$F:$F,F867,$G:$G,G867),"")</f>
        <v>2</v>
      </c>
      <c r="W867" s="122" t="n">
        <f aca="false">IF(V867="","",IF(V867=1,1,IF(AND(E866=E867,F866=F867,G866=G867),W866+1,1)))</f>
        <v>2</v>
      </c>
      <c r="X867" s="0" t="n">
        <v>2</v>
      </c>
      <c r="Y867" s="0" t="n">
        <v>5</v>
      </c>
      <c r="Z867" s="0" t="s">
        <v>7955</v>
      </c>
      <c r="AA867" s="0" t="n">
        <v>0</v>
      </c>
      <c r="AB867" s="0" t="s">
        <v>7942</v>
      </c>
      <c r="AC867" s="0" t="s">
        <v>1160</v>
      </c>
      <c r="AD867" s="0" t="s">
        <v>1888</v>
      </c>
      <c r="AE867" s="0" t="n">
        <v>0</v>
      </c>
      <c r="AF867" s="0" t="s">
        <v>6662</v>
      </c>
      <c r="AG867" s="0" t="n">
        <v>0</v>
      </c>
      <c r="AH867" s="0" t="s">
        <v>7943</v>
      </c>
      <c r="AI867" s="0" t="s">
        <v>6664</v>
      </c>
      <c r="AJ867" s="0" t="s">
        <v>2112</v>
      </c>
      <c r="AL867" s="0" t="s">
        <v>7944</v>
      </c>
      <c r="AM867" s="0" t="n">
        <v>1</v>
      </c>
      <c r="AN867" s="0" t="s">
        <v>7943</v>
      </c>
      <c r="AO867" s="0" t="s">
        <v>6664</v>
      </c>
      <c r="AP867" s="0" t="s">
        <v>2112</v>
      </c>
      <c r="AR867" s="0" t="s">
        <v>7945</v>
      </c>
      <c r="AS867" s="0" t="n">
        <v>1</v>
      </c>
      <c r="AT867" s="0" t="s">
        <v>7943</v>
      </c>
      <c r="AU867" s="0" t="s">
        <v>6664</v>
      </c>
      <c r="AV867" s="0" t="s">
        <v>2112</v>
      </c>
      <c r="AX867" s="0" t="s">
        <v>7946</v>
      </c>
      <c r="AY867" s="0" t="n">
        <v>1</v>
      </c>
      <c r="AZ867" s="0" t="s">
        <v>7943</v>
      </c>
      <c r="BA867" s="0" t="s">
        <v>6664</v>
      </c>
      <c r="BB867" s="0" t="s">
        <v>2112</v>
      </c>
      <c r="BD867" s="0" t="s">
        <v>7947</v>
      </c>
      <c r="BE867" s="0" t="n">
        <v>0</v>
      </c>
      <c r="BF867" s="0" t="s">
        <v>7948</v>
      </c>
      <c r="BG867" s="0" t="s">
        <v>7949</v>
      </c>
      <c r="BH867" s="0" t="s">
        <v>1907</v>
      </c>
      <c r="BR867" s="0" t="n">
        <v>1</v>
      </c>
      <c r="BS867" s="0" t="s">
        <v>7950</v>
      </c>
      <c r="BT867" s="0" t="s">
        <v>7951</v>
      </c>
      <c r="BU867" s="0" t="s">
        <v>7952</v>
      </c>
      <c r="BV867" s="123"/>
      <c r="BW867" s="123"/>
      <c r="BX867" s="123"/>
      <c r="BY867" s="123"/>
      <c r="CA867" s="0" t="s">
        <v>1895</v>
      </c>
      <c r="CD867" s="0" t="s">
        <v>1943</v>
      </c>
      <c r="CE867" s="0" t="n">
        <v>0</v>
      </c>
      <c r="CF867" s="0" t="s">
        <v>7953</v>
      </c>
      <c r="CI867" s="1" t="n">
        <v>40606</v>
      </c>
      <c r="CJ867" s="1" t="n">
        <v>40703</v>
      </c>
      <c r="CK867" s="124" t="n">
        <v>0.375</v>
      </c>
      <c r="CL867" s="0" t="s">
        <v>7954</v>
      </c>
      <c r="CM867" s="0" t="n">
        <f aca="false">IF(OR(CI867="",CJ867=""),"",DAYS360(CI867,CJ867)/360)</f>
        <v>0.263888888888889</v>
      </c>
      <c r="CN867" s="0" t="n">
        <f aca="false">IF(OR(CI867="",CJ867=""),"",DAYS360(CI867,CJ867)/30)</f>
        <v>3.16666666666667</v>
      </c>
      <c r="CO867" s="0" t="n">
        <f aca="false">IF(OR(CI867="",CJ867=""),"",DAYS360(CI867,CJ867)/7)</f>
        <v>13.5714285714286</v>
      </c>
      <c r="CP867" s="0" t="n">
        <f aca="false">IF(OR(CI867="",CJ867=""),"",DAYS360(CI867,CJ867))</f>
        <v>95</v>
      </c>
      <c r="CQ867" s="0" t="s">
        <v>240</v>
      </c>
      <c r="CR867" s="0" t="n">
        <v>1</v>
      </c>
      <c r="CT867" s="0" t="s">
        <v>221</v>
      </c>
      <c r="CU867" s="0" t="s">
        <v>221</v>
      </c>
      <c r="CV867" s="0" t="str">
        <f aca="false">IF(OR(CT867="",CT867="NO ESPECIFICA",CT867="NO MENCIONA"),"",IF(CU867=0,CT867,IF(CU867=1,CT867/30,IF(CU867=2,CT867/15,IF(CU867=3,CT867/7,"")))))</f>
        <v/>
      </c>
      <c r="CW867" s="125" t="n">
        <v>250</v>
      </c>
      <c r="CX867" s="0" t="n">
        <v>0</v>
      </c>
      <c r="CY867" s="0" t="n">
        <f aca="false">IF(CW867="","",IF(CX867=0,CW867,IF(CX867=1,CW867/30,IF(CX867=2,CW867/15,IF(CX867=3,CW867/7,CW867)))))</f>
        <v>250</v>
      </c>
      <c r="CZ867" s="0" t="n">
        <f aca="false">IF(DI867&gt;0,DI867,IF(CY867&gt;0,CY867,IF(CV867&gt;0,CV867,"")))</f>
        <v>250</v>
      </c>
      <c r="DA867" s="0" t="n">
        <f aca="false">IF(DM867=1,CZ867/8,IF(OR(DM867=2,DM867=4),CZ867/7,IF(DM867=3,CZ867/7.5,"")))</f>
        <v>31.25</v>
      </c>
      <c r="DB867" s="0" t="s">
        <v>216</v>
      </c>
      <c r="DC867" s="0" t="s">
        <v>1895</v>
      </c>
      <c r="DD867" s="0" t="s">
        <v>1895</v>
      </c>
      <c r="DE867" s="0" t="s">
        <v>1895</v>
      </c>
      <c r="DF867" s="0" t="s">
        <v>1895</v>
      </c>
      <c r="DG867" s="0" t="s">
        <v>1895</v>
      </c>
      <c r="DH867" s="0" t="n">
        <v>0</v>
      </c>
      <c r="DI867" s="126" t="n">
        <v>250</v>
      </c>
      <c r="DK867" s="0" t="n">
        <v>1</v>
      </c>
      <c r="DM867" s="0" t="n">
        <v>1</v>
      </c>
      <c r="DN867" s="0" t="n">
        <v>66</v>
      </c>
      <c r="DO867" s="0" t="n">
        <v>3</v>
      </c>
      <c r="DP867" s="0" t="n">
        <v>0</v>
      </c>
      <c r="DQ867" s="0" t="n">
        <v>1</v>
      </c>
      <c r="DR867" s="0"/>
      <c r="DS867" s="0" t="n">
        <v>1</v>
      </c>
      <c r="DU867" s="0" t="n">
        <v>1</v>
      </c>
      <c r="DW867" s="1" t="n">
        <v>40606</v>
      </c>
      <c r="DX867" s="1" t="n">
        <v>40703</v>
      </c>
      <c r="DZ867" s="0"/>
      <c r="EA867" s="0" t="n">
        <v>1</v>
      </c>
      <c r="EC867" s="1" t="n">
        <v>40606</v>
      </c>
      <c r="ED867" s="1" t="n">
        <v>40703</v>
      </c>
      <c r="EF867" s="0"/>
      <c r="EG867" s="0" t="n">
        <v>1</v>
      </c>
      <c r="EH867" s="0" t="n">
        <v>18</v>
      </c>
      <c r="EI867" s="0" t="n">
        <f aca="false">IF(AND(DM867=1,DN867&lt;=48),"",IF(AND(DM867=2,DN867&lt;=42),"",IF(AND(DM867=3,DN867&lt;=45),"",EH867)))</f>
        <v>18</v>
      </c>
      <c r="EJ867" s="0" t="n">
        <f aca="false">IF(EI867="","",IF(EI867&lt;9,EI867,9))</f>
        <v>9</v>
      </c>
      <c r="EK867" s="0" t="n">
        <f aca="false">IF(EI867="","",IF(EI867&gt;9,EI867-EJ867,0))</f>
        <v>9</v>
      </c>
      <c r="EL867" s="0" t="n">
        <f aca="false">IF(EI867="","",EJ867*DA867*2+EK867*DA867*3)</f>
        <v>1406.25</v>
      </c>
      <c r="EP867" s="0" t="n">
        <v>0</v>
      </c>
      <c r="EQ867" s="0"/>
      <c r="ER867" s="0" t="n">
        <v>1</v>
      </c>
      <c r="ET867" s="0" t="n">
        <v>0</v>
      </c>
      <c r="EV867" s="0" t="n">
        <v>0</v>
      </c>
      <c r="EX867" s="0" t="n">
        <v>0</v>
      </c>
      <c r="EY867" s="0" t="n">
        <v>0</v>
      </c>
      <c r="EZ867" s="0"/>
      <c r="FA867" s="4" t="n">
        <v>3750</v>
      </c>
      <c r="FB867" s="0" t="n">
        <v>1</v>
      </c>
      <c r="FC867" s="1"/>
      <c r="FF867" s="120" t="n">
        <f aca="false">(CJ867-CI867+1)/365</f>
        <v>0.268493150684932</v>
      </c>
      <c r="FG867" s="0" t="str">
        <f aca="false">CONCATENATE(F867,"/",G867)</f>
        <v>1022/2011</v>
      </c>
      <c r="FH867" s="0" t="n">
        <v>1</v>
      </c>
      <c r="FI867" s="0" t="n">
        <f aca="false">IFERROR(IF((FC867-J867+1)/365&gt;3,0,1),"")</f>
        <v>1</v>
      </c>
    </row>
    <row r="868" customFormat="false" ht="15" hidden="false" customHeight="false" outlineLevel="0" collapsed="false">
      <c r="A868" s="5" t="str">
        <f aca="false">E868&amp;G868&amp;F868</f>
        <v>720111025</v>
      </c>
      <c r="B868" s="0" t="s">
        <v>1884</v>
      </c>
      <c r="C868" s="1" t="n">
        <v>42357</v>
      </c>
      <c r="E868" s="0" t="n">
        <v>7</v>
      </c>
      <c r="F868" s="0" t="n">
        <v>1025</v>
      </c>
      <c r="G868" s="0" t="n">
        <v>2011</v>
      </c>
      <c r="H868" s="0" t="str">
        <f aca="false">"J"&amp;E868&amp;"\"&amp;F868&amp;"\"&amp;G868&amp;"\"&amp;W868</f>
        <v>J7\1025\2011\1</v>
      </c>
      <c r="I868" s="0"/>
      <c r="J868" s="1" t="n">
        <v>40708</v>
      </c>
      <c r="K868" s="0" t="n">
        <v>0</v>
      </c>
      <c r="M868" s="1"/>
      <c r="N868" s="1"/>
      <c r="O868" s="1"/>
      <c r="P868" s="1"/>
      <c r="Q868" s="1"/>
      <c r="T868" s="121"/>
      <c r="U868" s="121"/>
      <c r="V868" s="122" t="n">
        <f aca="false">IF(AND(E868&gt;0,F868&gt;0,G868&gt;0),COUNTIFS($E:$E,E868,$F:$F,F868,$G:$G,G868),"")</f>
        <v>1</v>
      </c>
      <c r="W868" s="122" t="n">
        <f aca="false">IF(V868="","",IF(V868=1,1,IF(AND(E867=E868,F867=F868,G867=G868),W867+1,1)))</f>
        <v>1</v>
      </c>
      <c r="X868" s="0" t="n">
        <v>1</v>
      </c>
      <c r="Y868" s="0" t="n">
        <v>2</v>
      </c>
      <c r="Z868" s="0" t="s">
        <v>7956</v>
      </c>
      <c r="AA868" s="0" t="n">
        <v>0</v>
      </c>
      <c r="AB868" s="0" t="s">
        <v>7957</v>
      </c>
      <c r="AC868" s="0" t="s">
        <v>2049</v>
      </c>
      <c r="AD868" s="0" t="s">
        <v>1888</v>
      </c>
      <c r="AE868" s="0" t="n">
        <v>0</v>
      </c>
      <c r="AF868" s="0" t="s">
        <v>7958</v>
      </c>
      <c r="AG868" s="0" t="n">
        <v>0</v>
      </c>
      <c r="AH868" s="0" t="s">
        <v>6710</v>
      </c>
      <c r="AI868" s="0" t="s">
        <v>1963</v>
      </c>
      <c r="AJ868" s="0" t="s">
        <v>1888</v>
      </c>
      <c r="AL868" s="0" t="s">
        <v>7959</v>
      </c>
      <c r="AM868" s="0" t="n">
        <v>1</v>
      </c>
      <c r="AN868" s="0" t="s">
        <v>6710</v>
      </c>
      <c r="AO868" s="0" t="s">
        <v>1963</v>
      </c>
      <c r="AP868" s="0" t="s">
        <v>1888</v>
      </c>
      <c r="BR868" s="0" t="n">
        <v>1</v>
      </c>
      <c r="BS868" s="0" t="s">
        <v>7960</v>
      </c>
      <c r="BT868" s="0" t="s">
        <v>7961</v>
      </c>
      <c r="BU868" s="0" t="s">
        <v>7962</v>
      </c>
      <c r="BV868" s="123"/>
      <c r="BW868" s="123"/>
      <c r="BX868" s="123"/>
      <c r="BY868" s="123"/>
      <c r="CA868" s="0" t="s">
        <v>7963</v>
      </c>
      <c r="CD868" s="0" t="s">
        <v>1919</v>
      </c>
      <c r="CE868" s="0" t="n">
        <v>0</v>
      </c>
      <c r="CF868" s="0" t="s">
        <v>7964</v>
      </c>
      <c r="CI868" s="1" t="n">
        <v>40136</v>
      </c>
      <c r="CJ868" s="1" t="n">
        <v>40697</v>
      </c>
      <c r="CK868" s="124" t="n">
        <v>0.625</v>
      </c>
      <c r="CL868" s="0" t="s">
        <v>7959</v>
      </c>
      <c r="CM868" s="0" t="n">
        <f aca="false">IF(OR(CI868="",CJ868=""),"",DAYS360(CI868,CJ868)/360)</f>
        <v>1.53888888888889</v>
      </c>
      <c r="CN868" s="0" t="n">
        <f aca="false">IF(OR(CI868="",CJ868=""),"",DAYS360(CI868,CJ868)/30)</f>
        <v>18.4666666666667</v>
      </c>
      <c r="CO868" s="0" t="n">
        <f aca="false">IF(OR(CI868="",CJ868=""),"",DAYS360(CI868,CJ868)/7)</f>
        <v>79.1428571428571</v>
      </c>
      <c r="CP868" s="0" t="n">
        <f aca="false">IF(OR(CI868="",CJ868=""),"",DAYS360(CI868,CJ868))</f>
        <v>554</v>
      </c>
      <c r="CQ868" s="0" t="s">
        <v>240</v>
      </c>
      <c r="CR868" s="0" t="n">
        <v>1</v>
      </c>
      <c r="CT868" s="0" t="n">
        <v>200</v>
      </c>
      <c r="CU868" s="0" t="n">
        <v>0</v>
      </c>
      <c r="CV868" s="0" t="n">
        <f aca="false">IF(OR(CT868="",CT868="NO ESPECIFICA",CT868="NO MENCIONA"),"",IF(CU868=0,CT868,IF(CU868=1,CT868/30,IF(CU868=2,CT868/15,IF(CU868=3,CT868/7,"")))))</f>
        <v>200</v>
      </c>
      <c r="CW868" s="125" t="n">
        <v>274.98</v>
      </c>
      <c r="CX868" s="0" t="n">
        <v>0</v>
      </c>
      <c r="CY868" s="0" t="n">
        <f aca="false">IF(CW868="","",IF(CX868=0,CW868,IF(CX868=1,CW868/30,IF(CX868=2,CW868/15,IF(CX868=3,CW868/7,CW868)))))</f>
        <v>274.98</v>
      </c>
      <c r="CZ868" s="0" t="n">
        <f aca="false">IF(DI868&gt;0,DI868,IF(CY868&gt;0,CY868,IF(CV868&gt;0,CV868,"")))</f>
        <v>274.98</v>
      </c>
      <c r="DA868" s="0" t="n">
        <f aca="false">IF(DM868=1,CZ868/8,IF(OR(DM868=2,DM868=4),CZ868/7,IF(DM868=3,CZ868/7.5,"")))</f>
        <v>36.664</v>
      </c>
      <c r="DB868" s="0" t="s">
        <v>2436</v>
      </c>
      <c r="DC868" s="0" t="s">
        <v>5633</v>
      </c>
      <c r="DD868" s="0" t="s">
        <v>2023</v>
      </c>
      <c r="DE868" s="0" t="s">
        <v>7965</v>
      </c>
      <c r="DF868" s="0" t="s">
        <v>7966</v>
      </c>
      <c r="DG868" s="0" t="s">
        <v>1895</v>
      </c>
      <c r="DH868" s="0" t="n">
        <v>0</v>
      </c>
      <c r="DI868" s="126" t="n">
        <v>274.98</v>
      </c>
      <c r="DK868" s="0" t="n">
        <v>0</v>
      </c>
      <c r="DM868" s="0" t="n">
        <v>3</v>
      </c>
      <c r="DN868" s="0" t="n">
        <v>66</v>
      </c>
      <c r="DO868" s="0" t="n">
        <v>3</v>
      </c>
      <c r="DP868" s="0" t="n">
        <v>0</v>
      </c>
      <c r="DQ868" s="0" t="n">
        <v>1</v>
      </c>
      <c r="DR868" s="0"/>
      <c r="DS868" s="0" t="n">
        <v>1</v>
      </c>
      <c r="DU868" s="0" t="n">
        <v>1</v>
      </c>
      <c r="DW868" s="1" t="n">
        <v>40136</v>
      </c>
      <c r="DX868" s="1" t="n">
        <v>40697</v>
      </c>
      <c r="DZ868" s="0"/>
      <c r="EA868" s="0" t="n">
        <v>1</v>
      </c>
      <c r="EC868" s="1" t="n">
        <v>40136</v>
      </c>
      <c r="ED868" s="1" t="n">
        <v>40697</v>
      </c>
      <c r="EF868" s="0"/>
      <c r="EG868" s="0" t="n">
        <v>1</v>
      </c>
      <c r="EH868" s="0" t="n">
        <v>12</v>
      </c>
      <c r="EI868" s="0" t="n">
        <f aca="false">IF(AND(DM868=1,DN868&lt;=48),"",IF(AND(DM868=2,DN868&lt;=42),"",IF(AND(DM868=3,DN868&lt;=45),"",EH868)))</f>
        <v>12</v>
      </c>
      <c r="EJ868" s="0" t="n">
        <f aca="false">IF(EI868="","",IF(EI868&lt;9,EI868,9))</f>
        <v>9</v>
      </c>
      <c r="EK868" s="0" t="n">
        <f aca="false">IF(EI868="","",IF(EI868&gt;9,EI868-EJ868,0))</f>
        <v>3</v>
      </c>
      <c r="EL868" s="0" t="n">
        <f aca="false">IF(EI868="","",EJ868*DA868*2+EK868*DA868*3)</f>
        <v>989.928</v>
      </c>
      <c r="EP868" s="0" t="n">
        <v>0</v>
      </c>
      <c r="EQ868" s="0"/>
      <c r="ER868" s="0" t="n">
        <v>1</v>
      </c>
      <c r="ET868" s="0" t="n">
        <v>1</v>
      </c>
      <c r="EV868" s="0" t="n">
        <v>1</v>
      </c>
      <c r="EX868" s="0" t="n">
        <v>1</v>
      </c>
      <c r="EY868" s="0" t="n">
        <v>0</v>
      </c>
      <c r="EZ868" s="0"/>
      <c r="FA868" s="0"/>
      <c r="FB868" s="0" t="n">
        <v>0</v>
      </c>
      <c r="FC868" s="1" t="n">
        <v>40851</v>
      </c>
      <c r="FD868" s="0" t="n">
        <v>1</v>
      </c>
      <c r="FE868" s="0" t="n">
        <v>9000</v>
      </c>
      <c r="FF868" s="120" t="n">
        <f aca="false">(CJ868-CI868+1)/365</f>
        <v>1.53972602739726</v>
      </c>
      <c r="FG868" s="0" t="str">
        <f aca="false">CONCATENATE(F868,"/",G868)</f>
        <v>1025/2011</v>
      </c>
      <c r="FH868" s="0" t="n">
        <v>1</v>
      </c>
      <c r="FI868" s="0" t="n">
        <f aca="false">IFERROR(IF((FC868-J868+1)/365&gt;3,0,1),"")</f>
        <v>1</v>
      </c>
    </row>
    <row r="869" customFormat="false" ht="15" hidden="false" customHeight="false" outlineLevel="0" collapsed="false">
      <c r="A869" s="5" t="str">
        <f aca="false">E869&amp;G869&amp;F869</f>
        <v>720111027</v>
      </c>
      <c r="B869" s="0" t="s">
        <v>1884</v>
      </c>
      <c r="C869" s="1" t="n">
        <v>42357</v>
      </c>
      <c r="E869" s="0" t="n">
        <v>7</v>
      </c>
      <c r="F869" s="0" t="n">
        <v>1027</v>
      </c>
      <c r="G869" s="0" t="n">
        <v>2011</v>
      </c>
      <c r="H869" s="0" t="str">
        <f aca="false">"J"&amp;E869&amp;"\"&amp;F869&amp;"\"&amp;G869&amp;"\"&amp;W869</f>
        <v>J7\1027\2011\1</v>
      </c>
      <c r="I869" s="0"/>
      <c r="J869" s="1" t="n">
        <v>40708</v>
      </c>
      <c r="K869" s="0" t="n">
        <v>0</v>
      </c>
      <c r="M869" s="1" t="n">
        <v>40708</v>
      </c>
      <c r="N869" s="1" t="n">
        <v>40870</v>
      </c>
      <c r="O869" s="1"/>
      <c r="P869" s="1"/>
      <c r="Q869" s="1"/>
      <c r="T869" s="121"/>
      <c r="U869" s="121"/>
      <c r="V869" s="122" t="n">
        <f aca="false">IF(AND(E869&gt;0,F869&gt;0,G869&gt;0),COUNTIFS($E:$E,E869,$F:$F,F869,$G:$G,G869),"")</f>
        <v>1</v>
      </c>
      <c r="W869" s="122" t="n">
        <f aca="false">IF(V869="","",IF(V869=1,1,IF(AND(E868=E869,F868=F869,G868=G869),W868+1,1)))</f>
        <v>1</v>
      </c>
      <c r="X869" s="0" t="n">
        <v>1</v>
      </c>
      <c r="Y869" s="0" t="n">
        <v>4</v>
      </c>
      <c r="Z869" s="0" t="s">
        <v>7967</v>
      </c>
      <c r="AA869" s="0" t="n">
        <v>0</v>
      </c>
      <c r="AB869" s="0" t="s">
        <v>7968</v>
      </c>
      <c r="AC869" s="0" t="s">
        <v>1160</v>
      </c>
      <c r="AD869" s="0" t="s">
        <v>393</v>
      </c>
      <c r="AE869" s="0" t="n">
        <v>0</v>
      </c>
      <c r="AF869" s="0" t="s">
        <v>7969</v>
      </c>
      <c r="AG869" s="0" t="n">
        <v>1</v>
      </c>
      <c r="AH869" s="0" t="s">
        <v>7970</v>
      </c>
      <c r="AI869" s="0" t="s">
        <v>1887</v>
      </c>
      <c r="AJ869" s="0" t="s">
        <v>1888</v>
      </c>
      <c r="AL869" s="0" t="s">
        <v>7971</v>
      </c>
      <c r="AM869" s="0" t="n">
        <v>0</v>
      </c>
      <c r="AN869" s="0" t="s">
        <v>7970</v>
      </c>
      <c r="AO869" s="0" t="s">
        <v>1887</v>
      </c>
      <c r="AP869" s="0" t="s">
        <v>1888</v>
      </c>
      <c r="BR869" s="0" t="n">
        <v>1</v>
      </c>
      <c r="BS869" s="0" t="s">
        <v>7972</v>
      </c>
      <c r="BT869" s="0" t="s">
        <v>7973</v>
      </c>
      <c r="BU869" s="0" t="s">
        <v>7974</v>
      </c>
      <c r="BV869" s="123"/>
      <c r="BW869" s="123"/>
      <c r="BX869" s="123"/>
      <c r="BY869" s="123"/>
      <c r="CA869" s="0" t="s">
        <v>1895</v>
      </c>
      <c r="CD869" s="0" t="s">
        <v>1919</v>
      </c>
      <c r="CE869" s="0" t="n">
        <v>0</v>
      </c>
      <c r="CF869" s="0" t="s">
        <v>7975</v>
      </c>
      <c r="CI869" s="1" t="s">
        <v>216</v>
      </c>
      <c r="CJ869" s="1" t="s">
        <v>1895</v>
      </c>
      <c r="CK869" s="124" t="s">
        <v>1895</v>
      </c>
      <c r="CL869" s="0" t="s">
        <v>1895</v>
      </c>
      <c r="CM869" s="0" t="e">
        <f aca="false">IF(OR(CI869="",CJ869=""),"",DAYS360(CI869,CJ869)/360)</f>
        <v>#VALUE!</v>
      </c>
      <c r="CN869" s="0" t="e">
        <f aca="false">IF(OR(CI869="",CJ869=""),"",DAYS360(CI869,CJ869)/30)</f>
        <v>#VALUE!</v>
      </c>
      <c r="CO869" s="0" t="e">
        <f aca="false">IF(OR(CI869="",CJ869=""),"",DAYS360(CI869,CJ869)/7)</f>
        <v>#VALUE!</v>
      </c>
      <c r="CP869" s="0" t="e">
        <f aca="false">IF(OR(CI869="",CJ869=""),"",DAYS360(CI869,CJ869))</f>
        <v>#VALUE!</v>
      </c>
      <c r="CQ869" s="0" t="s">
        <v>240</v>
      </c>
      <c r="CR869" s="0" t="n">
        <v>1</v>
      </c>
      <c r="CT869" s="0" t="s">
        <v>221</v>
      </c>
      <c r="CU869" s="0" t="s">
        <v>221</v>
      </c>
      <c r="CV869" s="0" t="str">
        <f aca="false">IF(OR(CT869="",CT869="NO ESPECIFICA",CT869="NO MENCIONA"),"",IF(CU869=0,CT869,IF(CU869=1,CT869/30,IF(CU869=2,CT869/15,IF(CU869=3,CT869/7,"")))))</f>
        <v/>
      </c>
      <c r="CW869" s="125" t="n">
        <v>200</v>
      </c>
      <c r="CX869" s="0" t="n">
        <v>0</v>
      </c>
      <c r="CY869" s="0" t="n">
        <f aca="false">IF(CW869="","",IF(CX869=0,CW869,IF(CX869=1,CW869/30,IF(CX869=2,CW869/15,IF(CX869=3,CW869/7,CW869)))))</f>
        <v>200</v>
      </c>
      <c r="CZ869" s="0" t="n">
        <f aca="false">IF(DI869&gt;0,DI869,IF(CY869&gt;0,CY869,IF(CV869&gt;0,CV869,"")))</f>
        <v>200</v>
      </c>
      <c r="DA869" s="0" t="n">
        <f aca="false">IF(DM869=1,CZ869/8,IF(OR(DM869=2,DM869=4),CZ869/7,IF(DM869=3,CZ869/7.5,"")))</f>
        <v>25</v>
      </c>
      <c r="DB869" s="0" t="s">
        <v>216</v>
      </c>
      <c r="DC869" s="0" t="s">
        <v>1895</v>
      </c>
      <c r="DD869" s="0" t="s">
        <v>1895</v>
      </c>
      <c r="DE869" s="0" t="s">
        <v>1895</v>
      </c>
      <c r="DF869" s="0" t="s">
        <v>1895</v>
      </c>
      <c r="DG869" s="0" t="s">
        <v>1895</v>
      </c>
      <c r="DH869" s="0" t="n">
        <v>0</v>
      </c>
      <c r="DI869" s="126" t="n">
        <v>200</v>
      </c>
      <c r="DK869" s="0" t="n">
        <v>0</v>
      </c>
      <c r="DM869" s="0" t="n">
        <v>1</v>
      </c>
      <c r="DN869" s="0" t="n">
        <v>54</v>
      </c>
      <c r="DO869" s="0" t="n">
        <v>3</v>
      </c>
      <c r="DP869" s="0" t="n">
        <v>0</v>
      </c>
      <c r="DQ869" s="0" t="n">
        <v>1</v>
      </c>
      <c r="DR869" s="0" t="n">
        <v>14400</v>
      </c>
      <c r="DS869" s="0" t="n">
        <v>1</v>
      </c>
      <c r="DU869" s="0" t="n">
        <v>1</v>
      </c>
      <c r="DW869" s="1" t="s">
        <v>1899</v>
      </c>
      <c r="DX869" s="1" t="s">
        <v>1899</v>
      </c>
      <c r="DZ869" s="0"/>
      <c r="EA869" s="0" t="n">
        <v>1</v>
      </c>
      <c r="EC869" s="1" t="s">
        <v>1899</v>
      </c>
      <c r="ED869" s="1" t="s">
        <v>1899</v>
      </c>
      <c r="EF869" s="0"/>
      <c r="EG869" s="0" t="n">
        <v>1</v>
      </c>
      <c r="EH869" s="0" t="n">
        <v>12</v>
      </c>
      <c r="EI869" s="0" t="n">
        <f aca="false">IF(AND(DM869=1,DN869&lt;=48),"",IF(AND(DM869=2,DN869&lt;=42),"",IF(AND(DM869=3,DN869&lt;=45),"",EH869)))</f>
        <v>12</v>
      </c>
      <c r="EJ869" s="0" t="n">
        <f aca="false">IF(EI869="","",IF(EI869&lt;9,EI869,9))</f>
        <v>9</v>
      </c>
      <c r="EK869" s="0" t="n">
        <f aca="false">IF(EI869="","",IF(EI869&gt;9,EI869-EJ869,0))</f>
        <v>3</v>
      </c>
      <c r="EL869" s="0" t="n">
        <f aca="false">IF(EI869="","",EJ869*DA869*2+EK869*DA869*3)</f>
        <v>675</v>
      </c>
      <c r="EP869" s="0" t="n">
        <v>0</v>
      </c>
      <c r="EQ869" s="0"/>
      <c r="ER869" s="0" t="n">
        <v>0</v>
      </c>
      <c r="ET869" s="0" t="n">
        <v>0</v>
      </c>
      <c r="EV869" s="0" t="n">
        <v>1</v>
      </c>
      <c r="EX869" s="0" t="n">
        <v>1</v>
      </c>
      <c r="EY869" s="0" t="n">
        <v>0</v>
      </c>
      <c r="EZ869" s="0"/>
      <c r="FA869" s="0"/>
      <c r="FB869" s="0" t="n">
        <v>0</v>
      </c>
      <c r="FC869" s="1" t="n">
        <v>42136</v>
      </c>
      <c r="FD869" s="0" t="n">
        <v>2</v>
      </c>
      <c r="FE869" s="0" t="n">
        <v>0</v>
      </c>
      <c r="FF869" s="120" t="e">
        <f aca="false">(CJ869-CI869+1)/365</f>
        <v>#VALUE!</v>
      </c>
      <c r="FG869" s="0" t="str">
        <f aca="false">CONCATENATE(F869,"/",G869)</f>
        <v>1027/2011</v>
      </c>
      <c r="FH869" s="0" t="n">
        <v>1</v>
      </c>
      <c r="FI869" s="0" t="n">
        <f aca="false">IFERROR(IF((FC869-J869+1)/365&gt;3,0,1),"")</f>
        <v>0</v>
      </c>
    </row>
    <row r="870" customFormat="false" ht="15" hidden="false" customHeight="false" outlineLevel="0" collapsed="false">
      <c r="A870" s="5" t="str">
        <f aca="false">E870&amp;G870&amp;F870</f>
        <v>720111029</v>
      </c>
      <c r="B870" s="0" t="s">
        <v>1884</v>
      </c>
      <c r="C870" s="1" t="n">
        <v>42358</v>
      </c>
      <c r="E870" s="0" t="n">
        <v>7</v>
      </c>
      <c r="F870" s="0" t="n">
        <v>1029</v>
      </c>
      <c r="G870" s="0" t="n">
        <v>2011</v>
      </c>
      <c r="H870" s="0" t="str">
        <f aca="false">"J"&amp;E870&amp;"\"&amp;F870&amp;"\"&amp;G870&amp;"\"&amp;W870</f>
        <v>J7\1029\2011\1</v>
      </c>
      <c r="I870" s="0"/>
      <c r="J870" s="1" t="n">
        <v>40708</v>
      </c>
      <c r="K870" s="0" t="n">
        <v>0</v>
      </c>
      <c r="M870" s="1"/>
      <c r="N870" s="1"/>
      <c r="O870" s="1"/>
      <c r="P870" s="1"/>
      <c r="Q870" s="1"/>
      <c r="T870" s="121"/>
      <c r="U870" s="121"/>
      <c r="V870" s="122" t="n">
        <f aca="false">IF(AND(E870&gt;0,F870&gt;0,G870&gt;0),COUNTIFS($E:$E,E870,$F:$F,F870,$G:$G,G870),"")</f>
        <v>1</v>
      </c>
      <c r="W870" s="122" t="n">
        <f aca="false">IF(V870="","",IF(V870=1,1,IF(AND(E869=E870,F869=F870,G869=G870),W869+1,1)))</f>
        <v>1</v>
      </c>
      <c r="X870" s="0" t="n">
        <v>1</v>
      </c>
      <c r="Y870" s="0" t="n">
        <v>2</v>
      </c>
      <c r="Z870" s="0" t="s">
        <v>7976</v>
      </c>
      <c r="AA870" s="0" t="n">
        <v>0</v>
      </c>
      <c r="AB870" s="0" t="s">
        <v>7977</v>
      </c>
      <c r="AC870" s="0" t="s">
        <v>2460</v>
      </c>
      <c r="AD870" s="0" t="s">
        <v>1895</v>
      </c>
      <c r="AE870" s="0" t="n">
        <v>0</v>
      </c>
      <c r="AF870" s="0" t="s">
        <v>7978</v>
      </c>
      <c r="AG870" s="0" t="n">
        <v>0</v>
      </c>
      <c r="AH870" s="0" t="s">
        <v>7979</v>
      </c>
      <c r="AI870" s="0" t="s">
        <v>1399</v>
      </c>
      <c r="AJ870" s="0" t="s">
        <v>1903</v>
      </c>
      <c r="AL870" s="0" t="s">
        <v>7980</v>
      </c>
      <c r="AM870" s="0" t="n">
        <v>1</v>
      </c>
      <c r="AN870" s="0" t="s">
        <v>7979</v>
      </c>
      <c r="AO870" s="0" t="s">
        <v>1399</v>
      </c>
      <c r="AP870" s="0" t="s">
        <v>1903</v>
      </c>
      <c r="BR870" s="0" t="n">
        <v>1</v>
      </c>
      <c r="BS870" s="0" t="s">
        <v>7981</v>
      </c>
      <c r="BT870" s="0" t="s">
        <v>7974</v>
      </c>
      <c r="BU870" s="0" t="s">
        <v>7982</v>
      </c>
      <c r="BV870" s="123"/>
      <c r="BW870" s="123"/>
      <c r="BX870" s="123"/>
      <c r="BY870" s="123"/>
      <c r="CA870" s="0" t="s">
        <v>1895</v>
      </c>
      <c r="CD870" s="0" t="s">
        <v>6039</v>
      </c>
      <c r="CE870" s="0" t="n">
        <v>0</v>
      </c>
      <c r="CF870" s="0" t="s">
        <v>7983</v>
      </c>
      <c r="CI870" s="1" t="n">
        <v>40399</v>
      </c>
      <c r="CJ870" s="1" t="n">
        <v>40683</v>
      </c>
      <c r="CK870" s="124" t="n">
        <v>0.625</v>
      </c>
      <c r="CL870" s="0" t="s">
        <v>7980</v>
      </c>
      <c r="CM870" s="0" t="n">
        <f aca="false">IF(OR(CI870="",CJ870=""),"",DAYS360(CI870,CJ870)/360)</f>
        <v>0.780555555555556</v>
      </c>
      <c r="CN870" s="0" t="n">
        <f aca="false">IF(OR(CI870="",CJ870=""),"",DAYS360(CI870,CJ870)/30)</f>
        <v>9.36666666666667</v>
      </c>
      <c r="CO870" s="0" t="n">
        <f aca="false">IF(OR(CI870="",CJ870=""),"",DAYS360(CI870,CJ870)/7)</f>
        <v>40.1428571428571</v>
      </c>
      <c r="CP870" s="0" t="n">
        <f aca="false">IF(OR(CI870="",CJ870=""),"",DAYS360(CI870,CJ870))</f>
        <v>281</v>
      </c>
      <c r="CQ870" s="0" t="s">
        <v>240</v>
      </c>
      <c r="CR870" s="0" t="n">
        <v>1</v>
      </c>
      <c r="CT870" s="0" t="s">
        <v>221</v>
      </c>
      <c r="CU870" s="0" t="s">
        <v>221</v>
      </c>
      <c r="CV870" s="0" t="str">
        <f aca="false">IF(OR(CT870="",CT870="NO ESPECIFICA",CT870="NO MENCIONA"),"",IF(CU870=0,CT870,IF(CU870=1,CT870/30,IF(CU870=2,CT870/15,IF(CU870=3,CT870/7,"")))))</f>
        <v/>
      </c>
      <c r="CW870" s="125" t="n">
        <v>4200</v>
      </c>
      <c r="CX870" s="0" t="n">
        <v>1</v>
      </c>
      <c r="CY870" s="0" t="n">
        <f aca="false">IF(CW870="","",IF(CX870=0,CW870,IF(CX870=1,CW870/30,IF(CX870=2,CW870/15,IF(CX870=3,CW870/7,CW870)))))</f>
        <v>140</v>
      </c>
      <c r="CZ870" s="0" t="n">
        <f aca="false">IF(DI870&gt;0,DI870,IF(CY870&gt;0,CY870,IF(CV870&gt;0,CV870,"")))</f>
        <v>140</v>
      </c>
      <c r="DA870" s="0" t="n">
        <f aca="false">IF(DM870=1,CZ870/8,IF(OR(DM870=2,DM870=4),CZ870/7,IF(DM870=3,CZ870/7.5,"")))</f>
        <v>18.6666666666667</v>
      </c>
      <c r="DB870" s="0" t="s">
        <v>216</v>
      </c>
      <c r="DC870" s="0" t="s">
        <v>1895</v>
      </c>
      <c r="DD870" s="0" t="s">
        <v>1895</v>
      </c>
      <c r="DE870" s="0" t="s">
        <v>1895</v>
      </c>
      <c r="DF870" s="0" t="s">
        <v>1895</v>
      </c>
      <c r="DG870" s="0" t="s">
        <v>1895</v>
      </c>
      <c r="DH870" s="0" t="n">
        <v>0</v>
      </c>
      <c r="DI870" s="126" t="n">
        <v>140</v>
      </c>
      <c r="DK870" s="0" t="n">
        <v>1</v>
      </c>
      <c r="DM870" s="0" t="n">
        <v>3</v>
      </c>
      <c r="DN870" s="0" t="n">
        <v>63</v>
      </c>
      <c r="DO870" s="0" t="n">
        <v>3</v>
      </c>
      <c r="DP870" s="0" t="n">
        <v>0</v>
      </c>
      <c r="DQ870" s="0" t="n">
        <v>1</v>
      </c>
      <c r="DR870" s="0"/>
      <c r="DS870" s="0" t="n">
        <v>1</v>
      </c>
      <c r="DU870" s="0" t="n">
        <v>1</v>
      </c>
      <c r="DW870" s="1" t="n">
        <v>40399</v>
      </c>
      <c r="DX870" s="1" t="n">
        <v>40683</v>
      </c>
      <c r="DZ870" s="0"/>
      <c r="EA870" s="0" t="n">
        <v>1</v>
      </c>
      <c r="EC870" s="1" t="n">
        <v>40399</v>
      </c>
      <c r="ED870" s="1" t="n">
        <v>40683</v>
      </c>
      <c r="EF870" s="0"/>
      <c r="EG870" s="0" t="n">
        <v>1</v>
      </c>
      <c r="EH870" s="0" t="n">
        <v>7</v>
      </c>
      <c r="EI870" s="0" t="n">
        <f aca="false">IF(AND(DM870=1,DN870&lt;=48),"",IF(AND(DM870=2,DN870&lt;=42),"",IF(AND(DM870=3,DN870&lt;=45),"",EH870)))</f>
        <v>7</v>
      </c>
      <c r="EJ870" s="0" t="n">
        <f aca="false">IF(EI870="","",IF(EI870&lt;9,EI870,9))</f>
        <v>7</v>
      </c>
      <c r="EK870" s="0" t="n">
        <f aca="false">IF(EI870="","",IF(EI870&gt;9,EI870-EJ870,0))</f>
        <v>0</v>
      </c>
      <c r="EL870" s="0" t="n">
        <f aca="false">IF(EI870="","",EJ870*DA870*2+EK870*DA870*3)</f>
        <v>261.333333333333</v>
      </c>
      <c r="EP870" s="0" t="n">
        <v>0</v>
      </c>
      <c r="EQ870" s="0"/>
      <c r="ER870" s="0" t="n">
        <v>0</v>
      </c>
      <c r="ET870" s="0" t="n">
        <v>0</v>
      </c>
      <c r="EV870" s="0" t="n">
        <v>0</v>
      </c>
      <c r="EX870" s="0" t="n">
        <v>0</v>
      </c>
      <c r="EY870" s="0" t="n">
        <v>0</v>
      </c>
      <c r="EZ870" s="0"/>
      <c r="FA870" s="4" t="n">
        <v>2520</v>
      </c>
      <c r="FB870" s="0" t="n">
        <v>0</v>
      </c>
      <c r="FC870" s="1" t="n">
        <v>40870</v>
      </c>
      <c r="FD870" s="0" t="n">
        <v>2</v>
      </c>
      <c r="FE870" s="0" t="n">
        <v>0</v>
      </c>
      <c r="FF870" s="120" t="n">
        <f aca="false">(CJ870-CI870+1)/365</f>
        <v>0.780821917808219</v>
      </c>
      <c r="FG870" s="0" t="str">
        <f aca="false">CONCATENATE(F870,"/",G870)</f>
        <v>1029/2011</v>
      </c>
      <c r="FH870" s="0" t="n">
        <v>1</v>
      </c>
      <c r="FI870" s="0" t="n">
        <f aca="false">IFERROR(IF((FC870-J870+1)/365&gt;3,0,1),"")</f>
        <v>1</v>
      </c>
    </row>
    <row r="871" customFormat="false" ht="15" hidden="false" customHeight="false" outlineLevel="0" collapsed="false">
      <c r="A871" s="5" t="str">
        <f aca="false">E871&amp;G871&amp;F871</f>
        <v>720111033</v>
      </c>
      <c r="B871" s="0" t="s">
        <v>1884</v>
      </c>
      <c r="C871" s="1" t="n">
        <v>42358</v>
      </c>
      <c r="E871" s="0" t="n">
        <v>7</v>
      </c>
      <c r="F871" s="0" t="n">
        <v>1033</v>
      </c>
      <c r="G871" s="0" t="n">
        <v>2011</v>
      </c>
      <c r="H871" s="0" t="str">
        <f aca="false">"J"&amp;E871&amp;"\"&amp;F871&amp;"\"&amp;G871&amp;"\"&amp;W871</f>
        <v>J7\1033\2011\1</v>
      </c>
      <c r="I871" s="0"/>
      <c r="J871" s="1" t="n">
        <v>40709</v>
      </c>
      <c r="K871" s="0" t="n">
        <v>0</v>
      </c>
      <c r="M871" s="1"/>
      <c r="N871" s="1"/>
      <c r="O871" s="1"/>
      <c r="P871" s="1"/>
      <c r="Q871" s="1"/>
      <c r="T871" s="121"/>
      <c r="U871" s="121"/>
      <c r="V871" s="122" t="n">
        <f aca="false">IF(AND(E871&gt;0,F871&gt;0,G871&gt;0),COUNTIFS($E:$E,E871,$F:$F,F871,$G:$G,G871),"")</f>
        <v>1</v>
      </c>
      <c r="W871" s="122" t="n">
        <f aca="false">IF(V871="","",IF(V871=1,1,IF(AND(E870=E871,F870=F871,G870=G871),W870+1,1)))</f>
        <v>1</v>
      </c>
      <c r="X871" s="0" t="n">
        <v>1</v>
      </c>
      <c r="Y871" s="0" t="n">
        <v>8</v>
      </c>
      <c r="Z871" s="0" t="s">
        <v>7984</v>
      </c>
      <c r="AA871" s="0" t="n">
        <v>0</v>
      </c>
      <c r="AB871" s="0" t="s">
        <v>7985</v>
      </c>
      <c r="AC871" s="0" t="s">
        <v>2640</v>
      </c>
      <c r="AD871" s="0" t="s">
        <v>1903</v>
      </c>
      <c r="AE871" s="0" t="n">
        <v>0</v>
      </c>
      <c r="AF871" s="0" t="s">
        <v>7986</v>
      </c>
      <c r="AG871" s="0" t="n">
        <v>0</v>
      </c>
      <c r="AH871" s="0" t="s">
        <v>7987</v>
      </c>
      <c r="AI871" s="0" t="s">
        <v>7988</v>
      </c>
      <c r="AJ871" s="0" t="s">
        <v>1903</v>
      </c>
      <c r="AL871" s="0" t="s">
        <v>7989</v>
      </c>
      <c r="AM871" s="0" t="n">
        <v>0</v>
      </c>
      <c r="AN871" s="0" t="s">
        <v>7987</v>
      </c>
      <c r="AO871" s="0" t="s">
        <v>7988</v>
      </c>
      <c r="AP871" s="0" t="s">
        <v>1903</v>
      </c>
      <c r="AR871" s="0" t="s">
        <v>7990</v>
      </c>
      <c r="AS871" s="0" t="n">
        <v>1</v>
      </c>
      <c r="AT871" s="0" t="s">
        <v>7987</v>
      </c>
      <c r="AU871" s="0" t="s">
        <v>7988</v>
      </c>
      <c r="AV871" s="0" t="s">
        <v>1903</v>
      </c>
      <c r="AX871" s="0" t="s">
        <v>7991</v>
      </c>
      <c r="AY871" s="0" t="n">
        <v>1</v>
      </c>
      <c r="AZ871" s="0" t="s">
        <v>7987</v>
      </c>
      <c r="BA871" s="0" t="s">
        <v>7988</v>
      </c>
      <c r="BB871" s="0" t="s">
        <v>1903</v>
      </c>
      <c r="BD871" s="0" t="s">
        <v>7992</v>
      </c>
      <c r="BE871" s="0" t="n">
        <v>1</v>
      </c>
      <c r="BF871" s="0" t="s">
        <v>7987</v>
      </c>
      <c r="BG871" s="0" t="s">
        <v>7988</v>
      </c>
      <c r="BH871" s="0" t="s">
        <v>1903</v>
      </c>
      <c r="BJ871" s="0" t="s">
        <v>7993</v>
      </c>
      <c r="BK871" s="0" t="n">
        <v>1</v>
      </c>
      <c r="BL871" s="0" t="s">
        <v>7987</v>
      </c>
      <c r="BM871" s="0" t="s">
        <v>7988</v>
      </c>
      <c r="BN871" s="0" t="s">
        <v>1903</v>
      </c>
      <c r="BR871" s="0" t="n">
        <v>1</v>
      </c>
      <c r="BS871" s="0" t="s">
        <v>7994</v>
      </c>
      <c r="BT871" s="0" t="s">
        <v>7995</v>
      </c>
      <c r="BU871" s="0" t="s">
        <v>7996</v>
      </c>
      <c r="BV871" s="123"/>
      <c r="BW871" s="123"/>
      <c r="BX871" s="123"/>
      <c r="BY871" s="123"/>
      <c r="CA871" s="0" t="s">
        <v>1895</v>
      </c>
      <c r="CD871" s="0" t="s">
        <v>3716</v>
      </c>
      <c r="CE871" s="0" t="n">
        <v>0</v>
      </c>
      <c r="CF871" s="0" t="s">
        <v>503</v>
      </c>
      <c r="CI871" s="1" t="n">
        <v>40038</v>
      </c>
      <c r="CJ871" s="1" t="n">
        <v>40688</v>
      </c>
      <c r="CK871" s="124" t="n">
        <v>0.333333333333333</v>
      </c>
      <c r="CL871" s="0" t="s">
        <v>7991</v>
      </c>
      <c r="CM871" s="0" t="n">
        <f aca="false">IF(OR(CI871="",CJ871=""),"",DAYS360(CI871,CJ871)/360)</f>
        <v>1.78333333333333</v>
      </c>
      <c r="CN871" s="0" t="n">
        <f aca="false">IF(OR(CI871="",CJ871=""),"",DAYS360(CI871,CJ871)/30)</f>
        <v>21.4</v>
      </c>
      <c r="CO871" s="0" t="n">
        <f aca="false">IF(OR(CI871="",CJ871=""),"",DAYS360(CI871,CJ871)/7)</f>
        <v>91.7142857142857</v>
      </c>
      <c r="CP871" s="0" t="n">
        <f aca="false">IF(OR(CI871="",CJ871=""),"",DAYS360(CI871,CJ871))</f>
        <v>642</v>
      </c>
      <c r="CQ871" s="0" t="s">
        <v>240</v>
      </c>
      <c r="CR871" s="0" t="n">
        <v>1</v>
      </c>
      <c r="CT871" s="0" t="n">
        <v>1000</v>
      </c>
      <c r="CU871" s="0" t="n">
        <v>0</v>
      </c>
      <c r="CV871" s="0" t="n">
        <f aca="false">IF(OR(CT871="",CT871="NO ESPECIFICA",CT871="NO MENCIONA"),"",IF(CU871=0,CT871,IF(CU871=1,CT871/30,IF(CU871=2,CT871/15,IF(CU871=3,CT871/7,"")))))</f>
        <v>1000</v>
      </c>
      <c r="CW871" s="125" t="n">
        <v>1518</v>
      </c>
      <c r="CX871" s="0" t="n">
        <v>0</v>
      </c>
      <c r="CY871" s="0" t="n">
        <f aca="false">IF(CW871="","",IF(CX871=0,CW871,IF(CX871=1,CW871/30,IF(CX871=2,CW871/15,IF(CX871=3,CW871/7,CW871)))))</f>
        <v>1518</v>
      </c>
      <c r="CZ871" s="0" t="n">
        <f aca="false">IF(DI871&gt;0,DI871,IF(CY871&gt;0,CY871,IF(CV871&gt;0,CV871,"")))</f>
        <v>1518</v>
      </c>
      <c r="DA871" s="0" t="n">
        <f aca="false">IF(DM871=1,CZ871/8,IF(OR(DM871=2,DM871=4),CZ871/7,IF(DM871=3,CZ871/7.5,"")))</f>
        <v>189.75</v>
      </c>
      <c r="DB871" s="0" t="s">
        <v>7997</v>
      </c>
      <c r="DC871" s="0" t="s">
        <v>7998</v>
      </c>
      <c r="DD871" s="0" t="s">
        <v>2435</v>
      </c>
      <c r="DE871" s="0" t="s">
        <v>2436</v>
      </c>
      <c r="DF871" s="0" t="s">
        <v>7999</v>
      </c>
      <c r="DH871" s="0" t="n">
        <v>0</v>
      </c>
      <c r="DI871" s="126" t="n">
        <v>1518</v>
      </c>
      <c r="DK871" s="0" t="n">
        <v>0</v>
      </c>
      <c r="DM871" s="0" t="n">
        <v>1</v>
      </c>
      <c r="DN871" s="0" t="n">
        <v>57</v>
      </c>
      <c r="DO871" s="0" t="n">
        <v>3</v>
      </c>
      <c r="DP871" s="0" t="n">
        <v>0</v>
      </c>
      <c r="DQ871" s="0" t="n">
        <v>1</v>
      </c>
      <c r="DR871" s="0"/>
      <c r="DS871" s="0" t="n">
        <v>1</v>
      </c>
      <c r="DU871" s="0" t="n">
        <v>1</v>
      </c>
      <c r="DW871" s="1" t="n">
        <v>40403</v>
      </c>
      <c r="DX871" s="1" t="n">
        <v>40688</v>
      </c>
      <c r="DY871" s="0" t="n">
        <v>36</v>
      </c>
      <c r="DZ871" s="0" t="n">
        <v>36000</v>
      </c>
      <c r="EA871" s="0" t="n">
        <v>1</v>
      </c>
      <c r="EB871" s="0" t="n">
        <v>12600</v>
      </c>
      <c r="EC871" s="1" t="n">
        <v>40403</v>
      </c>
      <c r="ED871" s="1" t="n">
        <v>40688</v>
      </c>
      <c r="EF871" s="0" t="n">
        <v>42000</v>
      </c>
      <c r="EG871" s="0" t="n">
        <v>1</v>
      </c>
      <c r="EH871" s="0" t="n">
        <v>9</v>
      </c>
      <c r="EI871" s="0" t="n">
        <f aca="false">IF(AND(DM871=1,DN871&lt;=48),"",IF(AND(DM871=2,DN871&lt;=42),"",IF(AND(DM871=3,DN871&lt;=45),"",EH871)))</f>
        <v>9</v>
      </c>
      <c r="EJ871" s="0" t="n">
        <f aca="false">IF(EI871="","",IF(EI871&lt;9,EI871,9))</f>
        <v>9</v>
      </c>
      <c r="EK871" s="0" t="n">
        <f aca="false">IF(EI871="","",IF(EI871&gt;9,EI871-EJ871,0))</f>
        <v>0</v>
      </c>
      <c r="EL871" s="0" t="n">
        <f aca="false">IF(EI871="","",EJ871*DA871*2+EK871*DA871*3)</f>
        <v>3415.5</v>
      </c>
      <c r="EN871" s="0" t="n">
        <v>117000</v>
      </c>
      <c r="EP871" s="0" t="n">
        <v>0</v>
      </c>
      <c r="EQ871" s="0"/>
      <c r="ER871" s="0" t="n">
        <v>0</v>
      </c>
      <c r="ET871" s="0" t="n">
        <v>1</v>
      </c>
      <c r="EV871" s="0" t="n">
        <v>1</v>
      </c>
      <c r="EX871" s="0" t="n">
        <v>1</v>
      </c>
      <c r="EY871" s="0" t="n">
        <v>0</v>
      </c>
      <c r="EZ871" s="0"/>
      <c r="FA871" s="0"/>
      <c r="FB871" s="0" t="n">
        <v>0</v>
      </c>
      <c r="FC871" s="1" t="n">
        <v>41059</v>
      </c>
      <c r="FD871" s="0" t="n">
        <v>2</v>
      </c>
      <c r="FE871" s="0" t="n">
        <v>0</v>
      </c>
      <c r="FF871" s="120" t="n">
        <f aca="false">(CJ871-CI871+1)/365</f>
        <v>1.78356164383562</v>
      </c>
      <c r="FG871" s="0" t="str">
        <f aca="false">CONCATENATE(F871,"/",G871)</f>
        <v>1033/2011</v>
      </c>
      <c r="FH871" s="0" t="n">
        <v>1</v>
      </c>
      <c r="FI871" s="0" t="n">
        <f aca="false">IFERROR(IF((FC871-J871+1)/365&gt;3,0,1),"")</f>
        <v>1</v>
      </c>
    </row>
    <row r="872" customFormat="false" ht="15" hidden="false" customHeight="false" outlineLevel="0" collapsed="false">
      <c r="A872" s="5" t="str">
        <f aca="false">E872&amp;G872&amp;F872</f>
        <v>720111034</v>
      </c>
      <c r="B872" s="0" t="s">
        <v>1884</v>
      </c>
      <c r="C872" s="1" t="n">
        <v>42358</v>
      </c>
      <c r="E872" s="0" t="n">
        <v>7</v>
      </c>
      <c r="F872" s="0" t="n">
        <v>1034</v>
      </c>
      <c r="G872" s="0" t="n">
        <v>2011</v>
      </c>
      <c r="H872" s="0" t="str">
        <f aca="false">"J"&amp;E872&amp;"\"&amp;F872&amp;"\"&amp;G872&amp;"\"&amp;W872</f>
        <v>J7\1034\2011\1</v>
      </c>
      <c r="I872" s="0"/>
      <c r="J872" s="1" t="n">
        <v>40709</v>
      </c>
      <c r="K872" s="0" t="n">
        <v>0</v>
      </c>
      <c r="M872" s="1"/>
      <c r="N872" s="1"/>
      <c r="O872" s="1"/>
      <c r="P872" s="1"/>
      <c r="Q872" s="1"/>
      <c r="T872" s="121"/>
      <c r="U872" s="121"/>
      <c r="V872" s="122" t="n">
        <f aca="false">IF(AND(E872&gt;0,F872&gt;0,G872&gt;0),COUNTIFS($E:$E,E872,$F:$F,F872,$G:$G,G872),"")</f>
        <v>1</v>
      </c>
      <c r="W872" s="122" t="n">
        <f aca="false">IF(V872="","",IF(V872=1,1,IF(AND(E871=E872,F871=F872,G871=G872),W871+1,1)))</f>
        <v>1</v>
      </c>
      <c r="X872" s="0" t="n">
        <v>1</v>
      </c>
      <c r="Y872" s="0" t="n">
        <v>2</v>
      </c>
      <c r="Z872" s="0" t="s">
        <v>8000</v>
      </c>
      <c r="AA872" s="0" t="n">
        <v>0</v>
      </c>
      <c r="AB872" s="0" t="s">
        <v>8001</v>
      </c>
      <c r="AC872" s="0" t="s">
        <v>2049</v>
      </c>
      <c r="AD872" s="0" t="s">
        <v>1888</v>
      </c>
      <c r="AE872" s="0" t="n">
        <v>0</v>
      </c>
      <c r="AF872" s="0" t="s">
        <v>8002</v>
      </c>
      <c r="AG872" s="0" t="n">
        <v>0</v>
      </c>
      <c r="AH872" s="0" t="s">
        <v>8003</v>
      </c>
      <c r="AI872" s="0" t="s">
        <v>8004</v>
      </c>
      <c r="AJ872" s="0" t="s">
        <v>1903</v>
      </c>
      <c r="AL872" s="0" t="s">
        <v>3891</v>
      </c>
      <c r="AM872" s="0" t="n">
        <v>0</v>
      </c>
      <c r="AN872" s="0" t="s">
        <v>8005</v>
      </c>
      <c r="AO872" s="0" t="s">
        <v>2108</v>
      </c>
      <c r="AP872" s="0" t="s">
        <v>1972</v>
      </c>
      <c r="BR872" s="0" t="n">
        <v>1</v>
      </c>
      <c r="BS872" s="0" t="s">
        <v>8006</v>
      </c>
      <c r="BT872" s="0" t="s">
        <v>8007</v>
      </c>
      <c r="BU872" s="0" t="s">
        <v>8008</v>
      </c>
      <c r="BV872" s="123"/>
      <c r="BW872" s="123"/>
      <c r="BX872" s="123"/>
      <c r="BY872" s="123"/>
      <c r="CA872" s="0" t="s">
        <v>8009</v>
      </c>
      <c r="CD872" s="0" t="s">
        <v>1943</v>
      </c>
      <c r="CE872" s="0" t="n">
        <v>0</v>
      </c>
      <c r="CF872" s="0" t="s">
        <v>8010</v>
      </c>
      <c r="CI872" s="1" t="n">
        <v>39083</v>
      </c>
      <c r="CJ872" s="1" t="n">
        <v>40694</v>
      </c>
      <c r="CK872" s="124" t="n">
        <v>0.458333333333333</v>
      </c>
      <c r="CL872" s="0" t="s">
        <v>8011</v>
      </c>
      <c r="CM872" s="0" t="n">
        <f aca="false">IF(OR(CI872="",CJ872=""),"",DAYS360(CI872,CJ872)/360)</f>
        <v>4.41666666666667</v>
      </c>
      <c r="CN872" s="0" t="n">
        <f aca="false">IF(OR(CI872="",CJ872=""),"",DAYS360(CI872,CJ872)/30)</f>
        <v>53</v>
      </c>
      <c r="CO872" s="0" t="n">
        <f aca="false">IF(OR(CI872="",CJ872=""),"",DAYS360(CI872,CJ872)/7)</f>
        <v>227.142857142857</v>
      </c>
      <c r="CP872" s="0" t="n">
        <f aca="false">IF(OR(CI872="",CJ872=""),"",DAYS360(CI872,CJ872))</f>
        <v>1590</v>
      </c>
      <c r="CQ872" s="0" t="s">
        <v>240</v>
      </c>
      <c r="CR872" s="0" t="n">
        <v>1</v>
      </c>
      <c r="CT872" s="0" t="s">
        <v>221</v>
      </c>
      <c r="CU872" s="0" t="s">
        <v>221</v>
      </c>
      <c r="CV872" s="0" t="str">
        <f aca="false">IF(OR(CT872="",CT872="NO ESPECIFICA",CT872="NO MENCIONA"),"",IF(CU872=0,CT872,IF(CU872=1,CT872/30,IF(CU872=2,CT872/15,IF(CU872=3,CT872/7,"")))))</f>
        <v/>
      </c>
      <c r="CW872" s="125" t="n">
        <v>210</v>
      </c>
      <c r="CX872" s="0" t="n">
        <v>0</v>
      </c>
      <c r="CY872" s="0" t="n">
        <f aca="false">IF(CW872="","",IF(CX872=0,CW872,IF(CX872=1,CW872/30,IF(CX872=2,CW872/15,IF(CX872=3,CW872/7,CW872)))))</f>
        <v>210</v>
      </c>
      <c r="CZ872" s="0" t="n">
        <f aca="false">IF(DI872&gt;0,DI872,IF(CY872&gt;0,CY872,IF(CV872&gt;0,CV872,"")))</f>
        <v>210</v>
      </c>
      <c r="DA872" s="0" t="n">
        <f aca="false">IF(DM872=1,CZ872/8,IF(OR(DM872=2,DM872=4),CZ872/7,IF(DM872=3,CZ872/7.5,"")))</f>
        <v>26.25</v>
      </c>
      <c r="DB872" s="0" t="s">
        <v>216</v>
      </c>
      <c r="DC872" s="0" t="s">
        <v>1895</v>
      </c>
      <c r="DD872" s="0" t="s">
        <v>1895</v>
      </c>
      <c r="DE872" s="0" t="s">
        <v>1895</v>
      </c>
      <c r="DF872" s="0" t="s">
        <v>1895</v>
      </c>
      <c r="DG872" s="0" t="s">
        <v>1895</v>
      </c>
      <c r="DH872" s="0" t="n">
        <v>0</v>
      </c>
      <c r="DI872" s="126" t="n">
        <v>210</v>
      </c>
      <c r="DK872" s="0" t="n">
        <v>1</v>
      </c>
      <c r="DM872" s="0" t="n">
        <v>1</v>
      </c>
      <c r="DN872" s="0" t="n">
        <v>54</v>
      </c>
      <c r="DO872" s="0" t="n">
        <v>3</v>
      </c>
      <c r="DP872" s="0" t="n">
        <v>0</v>
      </c>
      <c r="DQ872" s="0" t="n">
        <v>1</v>
      </c>
      <c r="DR872" s="0"/>
      <c r="DS872" s="0" t="n">
        <v>1</v>
      </c>
      <c r="DU872" s="0" t="n">
        <v>1</v>
      </c>
      <c r="DW872" s="1" t="n">
        <v>39083</v>
      </c>
      <c r="DX872" s="1" t="n">
        <v>40694</v>
      </c>
      <c r="DZ872" s="0"/>
      <c r="EC872" s="1" t="n">
        <v>40544</v>
      </c>
      <c r="ED872" s="1" t="n">
        <v>40694</v>
      </c>
      <c r="EF872" s="0"/>
      <c r="EG872" s="0" t="n">
        <v>1</v>
      </c>
      <c r="EH872" s="0" t="n">
        <v>6</v>
      </c>
      <c r="EI872" s="0" t="n">
        <f aca="false">IF(AND(DM872=1,DN872&lt;=48),"",IF(AND(DM872=2,DN872&lt;=42),"",IF(AND(DM872=3,DN872&lt;=45),"",EH872)))</f>
        <v>6</v>
      </c>
      <c r="EJ872" s="0" t="n">
        <f aca="false">IF(EI872="","",IF(EI872&lt;9,EI872,9))</f>
        <v>6</v>
      </c>
      <c r="EK872" s="0" t="n">
        <f aca="false">IF(EI872="","",IF(EI872&gt;9,EI872-EJ872,0))</f>
        <v>0</v>
      </c>
      <c r="EL872" s="0" t="n">
        <f aca="false">IF(EI872="","",EJ872*DA872*2+EK872*DA872*3)</f>
        <v>315</v>
      </c>
      <c r="EP872" s="0" t="n">
        <v>0</v>
      </c>
      <c r="EQ872" s="0"/>
      <c r="ER872" s="0" t="n">
        <v>0</v>
      </c>
      <c r="ET872" s="0" t="n">
        <v>0</v>
      </c>
      <c r="EV872" s="0" t="n">
        <v>1</v>
      </c>
      <c r="EX872" s="0" t="n">
        <v>1</v>
      </c>
      <c r="EY872" s="0" t="n">
        <v>0</v>
      </c>
      <c r="EZ872" s="0"/>
      <c r="FA872" s="0"/>
      <c r="FB872" s="0" t="n">
        <v>0</v>
      </c>
      <c r="FC872" s="1" t="n">
        <v>41304</v>
      </c>
      <c r="FD872" s="0" t="n">
        <v>1</v>
      </c>
      <c r="FE872" s="0" t="n">
        <v>4000</v>
      </c>
      <c r="FF872" s="120" t="n">
        <f aca="false">(CJ872-CI872+1)/365</f>
        <v>4.41643835616438</v>
      </c>
      <c r="FG872" s="0" t="str">
        <f aca="false">CONCATENATE(F872,"/",G872)</f>
        <v>1034/2011</v>
      </c>
      <c r="FH872" s="0" t="n">
        <v>1</v>
      </c>
      <c r="FI872" s="0" t="n">
        <f aca="false">IFERROR(IF((FC872-J872+1)/365&gt;3,0,1),"")</f>
        <v>1</v>
      </c>
    </row>
    <row r="873" customFormat="false" ht="15" hidden="false" customHeight="false" outlineLevel="0" collapsed="false">
      <c r="A873" s="5" t="str">
        <f aca="false">E873&amp;G873&amp;F873</f>
        <v>720111035</v>
      </c>
      <c r="B873" s="0" t="s">
        <v>1884</v>
      </c>
      <c r="C873" s="1" t="n">
        <v>42358</v>
      </c>
      <c r="E873" s="0" t="n">
        <v>7</v>
      </c>
      <c r="F873" s="0" t="n">
        <v>1035</v>
      </c>
      <c r="G873" s="0" t="n">
        <v>2011</v>
      </c>
      <c r="H873" s="0" t="str">
        <f aca="false">"J"&amp;E873&amp;"\"&amp;F873&amp;"\"&amp;G873&amp;"\"&amp;W873</f>
        <v>J7\1035\2011\1</v>
      </c>
      <c r="I873" s="0"/>
      <c r="J873" s="1" t="n">
        <v>40709</v>
      </c>
      <c r="K873" s="0" t="n">
        <v>0</v>
      </c>
      <c r="M873" s="1"/>
      <c r="N873" s="1"/>
      <c r="O873" s="1"/>
      <c r="P873" s="1"/>
      <c r="Q873" s="1"/>
      <c r="T873" s="121"/>
      <c r="U873" s="121"/>
      <c r="V873" s="122" t="n">
        <f aca="false">IF(AND(E873&gt;0,F873&gt;0,G873&gt;0),COUNTIFS($E:$E,E873,$F:$F,F873,$G:$G,G873),"")</f>
        <v>2</v>
      </c>
      <c r="W873" s="122" t="n">
        <f aca="false">IF(V873="","",IF(V873=1,1,IF(AND(E872=E873,F872=F873,G872=G873),W872+1,1)))</f>
        <v>1</v>
      </c>
      <c r="X873" s="0" t="n">
        <v>2</v>
      </c>
      <c r="Y873" s="0" t="n">
        <v>6</v>
      </c>
      <c r="Z873" s="0" t="s">
        <v>8012</v>
      </c>
      <c r="AA873" s="0" t="n">
        <v>0</v>
      </c>
      <c r="AB873" s="0" t="s">
        <v>8013</v>
      </c>
      <c r="AC873" s="0" t="s">
        <v>2049</v>
      </c>
      <c r="AD873" s="0" t="s">
        <v>1888</v>
      </c>
      <c r="AE873" s="0" t="n">
        <v>0</v>
      </c>
      <c r="AF873" s="0" t="s">
        <v>8014</v>
      </c>
      <c r="AG873" s="0" t="n">
        <v>0</v>
      </c>
      <c r="AH873" s="0" t="s">
        <v>8015</v>
      </c>
      <c r="AI873" s="0" t="s">
        <v>8016</v>
      </c>
      <c r="AJ873" s="0" t="s">
        <v>216</v>
      </c>
      <c r="AL873" s="0" t="s">
        <v>8017</v>
      </c>
      <c r="AM873" s="0" t="n">
        <v>0</v>
      </c>
      <c r="AN873" s="0" t="s">
        <v>8015</v>
      </c>
      <c r="AO873" s="0" t="s">
        <v>8016</v>
      </c>
      <c r="AP873" s="0" t="s">
        <v>216</v>
      </c>
      <c r="AR873" s="0" t="s">
        <v>8018</v>
      </c>
      <c r="AS873" s="0" t="n">
        <v>0</v>
      </c>
      <c r="AT873" s="0" t="s">
        <v>8015</v>
      </c>
      <c r="AU873" s="0" t="s">
        <v>8016</v>
      </c>
      <c r="AV873" s="0" t="s">
        <v>216</v>
      </c>
      <c r="AX873" s="0" t="s">
        <v>3891</v>
      </c>
      <c r="AY873" s="0" t="n">
        <v>0</v>
      </c>
      <c r="AZ873" s="0" t="s">
        <v>4022</v>
      </c>
      <c r="BA873" s="0" t="s">
        <v>1887</v>
      </c>
      <c r="BB873" s="0" t="s">
        <v>1888</v>
      </c>
      <c r="BD873" s="0" t="s">
        <v>8019</v>
      </c>
      <c r="BE873" s="0" t="n">
        <v>0</v>
      </c>
      <c r="BF873" s="0" t="s">
        <v>8020</v>
      </c>
      <c r="BG873" s="0" t="s">
        <v>2111</v>
      </c>
      <c r="BH873" s="0" t="s">
        <v>216</v>
      </c>
      <c r="BJ873" s="0" t="s">
        <v>8021</v>
      </c>
      <c r="BK873" s="0" t="n">
        <v>0</v>
      </c>
      <c r="BL873" s="0" t="s">
        <v>4781</v>
      </c>
      <c r="BM873" s="0" t="s">
        <v>606</v>
      </c>
      <c r="BN873" s="0" t="s">
        <v>229</v>
      </c>
      <c r="BR873" s="0" t="n">
        <v>1</v>
      </c>
      <c r="BS873" s="0" t="s">
        <v>8022</v>
      </c>
      <c r="BT873" s="0" t="s">
        <v>8023</v>
      </c>
      <c r="BU873" s="0" t="s">
        <v>8024</v>
      </c>
      <c r="BV873" s="123"/>
      <c r="BW873" s="123"/>
      <c r="BX873" s="123"/>
      <c r="BY873" s="123"/>
      <c r="CA873" s="0" t="s">
        <v>1895</v>
      </c>
      <c r="CD873" s="0" t="s">
        <v>1943</v>
      </c>
      <c r="CE873" s="0" t="n">
        <v>0</v>
      </c>
      <c r="CF873" s="0" t="s">
        <v>8025</v>
      </c>
      <c r="CI873" s="1" t="n">
        <v>39218</v>
      </c>
      <c r="CJ873" s="1" t="n">
        <v>40694</v>
      </c>
      <c r="CK873" s="124" t="n">
        <v>0.375</v>
      </c>
      <c r="CL873" s="0" t="s">
        <v>8026</v>
      </c>
      <c r="CM873" s="0" t="n">
        <f aca="false">IF(OR(CI873="",CJ873=""),"",DAYS360(CI873,CJ873)/360)</f>
        <v>4.04166666666667</v>
      </c>
      <c r="CN873" s="0" t="n">
        <f aca="false">IF(OR(CI873="",CJ873=""),"",DAYS360(CI873,CJ873)/30)</f>
        <v>48.5</v>
      </c>
      <c r="CO873" s="0" t="n">
        <f aca="false">IF(OR(CI873="",CJ873=""),"",DAYS360(CI873,CJ873)/7)</f>
        <v>207.857142857143</v>
      </c>
      <c r="CP873" s="0" t="n">
        <f aca="false">IF(OR(CI873="",CJ873=""),"",DAYS360(CI873,CJ873))</f>
        <v>1455</v>
      </c>
      <c r="CQ873" s="0" t="s">
        <v>2021</v>
      </c>
      <c r="CR873" s="0" t="n">
        <v>1</v>
      </c>
      <c r="CT873" s="0" t="n">
        <v>400</v>
      </c>
      <c r="CU873" s="0" t="n">
        <v>0</v>
      </c>
      <c r="CV873" s="0" t="n">
        <f aca="false">IF(OR(CT873="",CT873="NO ESPECIFICA",CT873="NO MENCIONA"),"",IF(CU873=0,CT873,IF(CU873=1,CT873/30,IF(CU873=2,CT873/15,IF(CU873=3,CT873/7,"")))))</f>
        <v>400</v>
      </c>
      <c r="CW873" s="125" t="n">
        <v>419.71</v>
      </c>
      <c r="CX873" s="0" t="n">
        <v>0</v>
      </c>
      <c r="CY873" s="0" t="n">
        <f aca="false">IF(CW873="","",IF(CX873=0,CW873,IF(CX873=1,CW873/30,IF(CX873=2,CW873/15,IF(CX873=3,CW873/7,CW873)))))</f>
        <v>419.71</v>
      </c>
      <c r="CZ873" s="0" t="n">
        <f aca="false">IF(DI873&gt;0,DI873,IF(CY873&gt;0,CY873,IF(CV873&gt;0,CV873,"")))</f>
        <v>419.71</v>
      </c>
      <c r="DA873" s="0" t="n">
        <f aca="false">IF(DM873=1,CZ873/8,IF(OR(DM873=2,DM873=4),CZ873/7,IF(DM873=3,CZ873/7.5,"")))</f>
        <v>52.46375</v>
      </c>
      <c r="DB873" s="0" t="s">
        <v>1945</v>
      </c>
      <c r="DC873" s="0" t="s">
        <v>1935</v>
      </c>
      <c r="DD873" s="0" t="s">
        <v>1895</v>
      </c>
      <c r="DE873" s="0" t="s">
        <v>1895</v>
      </c>
      <c r="DF873" s="0" t="s">
        <v>1895</v>
      </c>
      <c r="DG873" s="0" t="s">
        <v>1895</v>
      </c>
      <c r="DH873" s="0" t="n">
        <v>0</v>
      </c>
      <c r="DI873" s="126" t="n">
        <v>419.71</v>
      </c>
      <c r="DK873" s="0" t="n">
        <v>0</v>
      </c>
      <c r="DM873" s="0" t="n">
        <v>1</v>
      </c>
      <c r="DN873" s="0" t="n">
        <v>47.5</v>
      </c>
      <c r="DO873" s="0" t="n">
        <v>3</v>
      </c>
      <c r="DP873" s="0" t="n">
        <v>1</v>
      </c>
      <c r="DQ873" s="0" t="n">
        <v>0</v>
      </c>
      <c r="DR873" s="0"/>
      <c r="DS873" s="0" t="n">
        <v>1</v>
      </c>
      <c r="DU873" s="0" t="n">
        <v>1</v>
      </c>
      <c r="DW873" s="1" t="s">
        <v>1899</v>
      </c>
      <c r="DX873" s="1" t="s">
        <v>1899</v>
      </c>
      <c r="DZ873" s="0"/>
      <c r="EA873" s="0" t="n">
        <v>1</v>
      </c>
      <c r="EC873" s="1" t="n">
        <v>40544</v>
      </c>
      <c r="ED873" s="1" t="n">
        <v>40694</v>
      </c>
      <c r="EF873" s="0"/>
      <c r="EG873" s="0" t="n">
        <v>0</v>
      </c>
      <c r="EI873" s="0" t="str">
        <f aca="false">IF(AND(DM873=1,DN873&lt;=48),"",IF(AND(DM873=2,DN873&lt;=42),"",IF(AND(DM873=3,DN873&lt;=45),"",EH873)))</f>
        <v/>
      </c>
      <c r="EJ873" s="0" t="str">
        <f aca="false">IF(EI873="","",IF(EI873&lt;9,EI873,9))</f>
        <v/>
      </c>
      <c r="EK873" s="0" t="str">
        <f aca="false">IF(EI873="","",IF(EI873&gt;9,EI873-EJ873,0))</f>
        <v/>
      </c>
      <c r="EL873" s="0" t="str">
        <f aca="false">IF(EI873="","",EJ873*DA873*2+EK873*DA873*3)</f>
        <v/>
      </c>
      <c r="EP873" s="0" t="n">
        <v>0</v>
      </c>
      <c r="EQ873" s="0"/>
      <c r="ER873" s="0" t="n">
        <v>0</v>
      </c>
      <c r="ET873" s="0" t="n">
        <v>0</v>
      </c>
      <c r="EV873" s="0" t="n">
        <v>0</v>
      </c>
      <c r="EX873" s="0" t="n">
        <v>1</v>
      </c>
      <c r="EY873" s="0" t="n">
        <v>0</v>
      </c>
      <c r="EZ873" s="0"/>
      <c r="FA873" s="0"/>
      <c r="FB873" s="0" t="n">
        <v>1</v>
      </c>
      <c r="FC873" s="1"/>
      <c r="FF873" s="120" t="n">
        <f aca="false">(CJ873-CI873+1)/365</f>
        <v>4.04657534246575</v>
      </c>
      <c r="FG873" s="0" t="str">
        <f aca="false">CONCATENATE(F873,"/",G873)</f>
        <v>1035/2011</v>
      </c>
      <c r="FH873" s="0" t="n">
        <v>1</v>
      </c>
      <c r="FI873" s="0" t="n">
        <f aca="false">IFERROR(IF((FC873-J873+1)/365&gt;3,0,1),"")</f>
        <v>1</v>
      </c>
    </row>
    <row r="874" customFormat="false" ht="15" hidden="false" customHeight="false" outlineLevel="0" collapsed="false">
      <c r="A874" s="5" t="str">
        <f aca="false">E874&amp;G874&amp;F874</f>
        <v>720111035</v>
      </c>
      <c r="B874" s="0" t="s">
        <v>1884</v>
      </c>
      <c r="C874" s="1" t="n">
        <v>42358</v>
      </c>
      <c r="E874" s="0" t="n">
        <v>7</v>
      </c>
      <c r="F874" s="0" t="n">
        <v>1035</v>
      </c>
      <c r="G874" s="0" t="n">
        <v>2011</v>
      </c>
      <c r="H874" s="0" t="str">
        <f aca="false">"J"&amp;E874&amp;"\"&amp;F874&amp;"\"&amp;G874&amp;"\"&amp;W874</f>
        <v>J7\1035\2011\2</v>
      </c>
      <c r="I874" s="0"/>
      <c r="J874" s="1" t="n">
        <v>40709</v>
      </c>
      <c r="K874" s="0" t="n">
        <v>0</v>
      </c>
      <c r="M874" s="1"/>
      <c r="N874" s="1"/>
      <c r="O874" s="1"/>
      <c r="P874" s="1"/>
      <c r="Q874" s="1"/>
      <c r="T874" s="121"/>
      <c r="U874" s="121"/>
      <c r="V874" s="122" t="n">
        <f aca="false">IF(AND(E874&gt;0,F874&gt;0,G874&gt;0),COUNTIFS($E:$E,E874,$F:$F,F874,$G:$G,G874),"")</f>
        <v>2</v>
      </c>
      <c r="W874" s="122" t="n">
        <f aca="false">IF(V874="","",IF(V874=1,1,IF(AND(E873=E874,F873=F874,G873=G874),W873+1,1)))</f>
        <v>2</v>
      </c>
      <c r="X874" s="0" t="n">
        <v>2</v>
      </c>
      <c r="Y874" s="0" t="n">
        <v>6</v>
      </c>
      <c r="Z874" s="0" t="s">
        <v>8027</v>
      </c>
      <c r="AA874" s="0" t="n">
        <v>0</v>
      </c>
      <c r="AB874" s="0" t="s">
        <v>8013</v>
      </c>
      <c r="AC874" s="0" t="s">
        <v>2049</v>
      </c>
      <c r="AD874" s="0" t="s">
        <v>1888</v>
      </c>
      <c r="AE874" s="0" t="n">
        <v>0</v>
      </c>
      <c r="AF874" s="0" t="s">
        <v>8014</v>
      </c>
      <c r="AG874" s="0" t="n">
        <v>0</v>
      </c>
      <c r="AH874" s="0" t="s">
        <v>8015</v>
      </c>
      <c r="AI874" s="0" t="s">
        <v>8016</v>
      </c>
      <c r="AJ874" s="0" t="s">
        <v>216</v>
      </c>
      <c r="AL874" s="0" t="s">
        <v>8017</v>
      </c>
      <c r="AM874" s="0" t="n">
        <v>0</v>
      </c>
      <c r="AN874" s="0" t="s">
        <v>8015</v>
      </c>
      <c r="AO874" s="0" t="s">
        <v>8016</v>
      </c>
      <c r="AP874" s="0" t="s">
        <v>216</v>
      </c>
      <c r="AR874" s="0" t="s">
        <v>8018</v>
      </c>
      <c r="AS874" s="0" t="n">
        <v>0</v>
      </c>
      <c r="AT874" s="0" t="s">
        <v>8015</v>
      </c>
      <c r="AU874" s="0" t="s">
        <v>8016</v>
      </c>
      <c r="AV874" s="0" t="s">
        <v>216</v>
      </c>
      <c r="AX874" s="0" t="s">
        <v>3891</v>
      </c>
      <c r="AY874" s="0" t="n">
        <v>0</v>
      </c>
      <c r="AZ874" s="0" t="s">
        <v>4022</v>
      </c>
      <c r="BA874" s="0" t="s">
        <v>1887</v>
      </c>
      <c r="BB874" s="0" t="s">
        <v>1888</v>
      </c>
      <c r="BD874" s="0" t="s">
        <v>8019</v>
      </c>
      <c r="BE874" s="0" t="n">
        <v>0</v>
      </c>
      <c r="BF874" s="0" t="s">
        <v>8020</v>
      </c>
      <c r="BG874" s="0" t="s">
        <v>2111</v>
      </c>
      <c r="BH874" s="0" t="s">
        <v>216</v>
      </c>
      <c r="BJ874" s="0" t="s">
        <v>8021</v>
      </c>
      <c r="BK874" s="0" t="n">
        <v>0</v>
      </c>
      <c r="BL874" s="0" t="s">
        <v>4781</v>
      </c>
      <c r="BM874" s="0" t="s">
        <v>606</v>
      </c>
      <c r="BN874" s="0" t="s">
        <v>229</v>
      </c>
      <c r="BR874" s="0" t="n">
        <v>1</v>
      </c>
      <c r="BS874" s="0" t="s">
        <v>8022</v>
      </c>
      <c r="BT874" s="0" t="s">
        <v>8023</v>
      </c>
      <c r="BU874" s="0" t="s">
        <v>8024</v>
      </c>
      <c r="BV874" s="123"/>
      <c r="BW874" s="123"/>
      <c r="BX874" s="123"/>
      <c r="BY874" s="123"/>
      <c r="CA874" s="0" t="s">
        <v>1895</v>
      </c>
      <c r="CD874" s="0" t="s">
        <v>1943</v>
      </c>
      <c r="CE874" s="0" t="n">
        <v>0</v>
      </c>
      <c r="CF874" s="0" t="s">
        <v>8025</v>
      </c>
      <c r="CI874" s="1" t="n">
        <v>39203</v>
      </c>
      <c r="CJ874" s="1" t="n">
        <v>40694</v>
      </c>
      <c r="CK874" s="124" t="n">
        <v>0.375</v>
      </c>
      <c r="CL874" s="0" t="s">
        <v>8026</v>
      </c>
      <c r="CM874" s="0" t="n">
        <f aca="false">IF(OR(CI874="",CJ874=""),"",DAYS360(CI874,CJ874)/360)</f>
        <v>4.08333333333333</v>
      </c>
      <c r="CN874" s="0" t="n">
        <f aca="false">IF(OR(CI874="",CJ874=""),"",DAYS360(CI874,CJ874)/30)</f>
        <v>49</v>
      </c>
      <c r="CO874" s="0" t="n">
        <f aca="false">IF(OR(CI874="",CJ874=""),"",DAYS360(CI874,CJ874)/7)</f>
        <v>210</v>
      </c>
      <c r="CP874" s="0" t="n">
        <f aca="false">IF(OR(CI874="",CJ874=""),"",DAYS360(CI874,CJ874))</f>
        <v>1470</v>
      </c>
      <c r="CQ874" s="0" t="s">
        <v>2021</v>
      </c>
      <c r="CR874" s="0" t="n">
        <v>1</v>
      </c>
      <c r="CT874" s="0" t="n">
        <v>416</v>
      </c>
      <c r="CU874" s="0" t="n">
        <v>0</v>
      </c>
      <c r="CV874" s="0" t="n">
        <f aca="false">IF(OR(CT874="",CT874="NO ESPECIFICA",CT874="NO MENCIONA"),"",IF(CU874=0,CT874,IF(CU874=1,CT874/30,IF(CU874=2,CT874/15,IF(CU874=3,CT874/7,"")))))</f>
        <v>416</v>
      </c>
      <c r="CW874" s="125" t="n">
        <v>436.5</v>
      </c>
      <c r="CX874" s="0" t="n">
        <v>0</v>
      </c>
      <c r="CY874" s="0" t="n">
        <f aca="false">IF(CW874="","",IF(CX874=0,CW874,IF(CX874=1,CW874/30,IF(CX874=2,CW874/15,IF(CX874=3,CW874/7,CW874)))))</f>
        <v>436.5</v>
      </c>
      <c r="CZ874" s="0" t="n">
        <f aca="false">IF(DI874&gt;0,DI874,IF(CY874&gt;0,CY874,IF(CV874&gt;0,CV874,"")))</f>
        <v>436.5</v>
      </c>
      <c r="DA874" s="0" t="n">
        <f aca="false">IF(DM874=1,CZ874/8,IF(OR(DM874=2,DM874=4),CZ874/7,IF(DM874=3,CZ874/7.5,"")))</f>
        <v>54.5625</v>
      </c>
      <c r="DB874" s="0" t="s">
        <v>1935</v>
      </c>
      <c r="DC874" s="0" t="s">
        <v>1945</v>
      </c>
      <c r="DD874" s="0" t="s">
        <v>1895</v>
      </c>
      <c r="DE874" s="0" t="s">
        <v>1895</v>
      </c>
      <c r="DF874" s="0" t="s">
        <v>1895</v>
      </c>
      <c r="DG874" s="0" t="s">
        <v>1895</v>
      </c>
      <c r="DH874" s="0" t="n">
        <v>0</v>
      </c>
      <c r="DI874" s="126" t="n">
        <v>436.5</v>
      </c>
      <c r="DK874" s="0" t="n">
        <v>1</v>
      </c>
      <c r="DM874" s="0" t="n">
        <v>1</v>
      </c>
      <c r="DN874" s="0" t="n">
        <v>47.5</v>
      </c>
      <c r="DO874" s="0" t="n">
        <v>3</v>
      </c>
      <c r="DP874" s="0" t="n">
        <v>1</v>
      </c>
      <c r="DQ874" s="0" t="n">
        <v>0</v>
      </c>
      <c r="DR874" s="0"/>
      <c r="DS874" s="0" t="n">
        <v>1</v>
      </c>
      <c r="DU874" s="0" t="n">
        <v>1</v>
      </c>
      <c r="DW874" s="1" t="s">
        <v>1899</v>
      </c>
      <c r="DX874" s="1" t="s">
        <v>1899</v>
      </c>
      <c r="DZ874" s="0"/>
      <c r="EA874" s="0" t="n">
        <v>1</v>
      </c>
      <c r="EC874" s="1" t="n">
        <v>40544</v>
      </c>
      <c r="ED874" s="1" t="n">
        <v>40694</v>
      </c>
      <c r="EF874" s="0"/>
      <c r="EG874" s="0" t="n">
        <v>0</v>
      </c>
      <c r="EI874" s="0" t="str">
        <f aca="false">IF(AND(DM874=1,DN874&lt;=48),"",IF(AND(DM874=2,DN874&lt;=42),"",IF(AND(DM874=3,DN874&lt;=45),"",EH874)))</f>
        <v/>
      </c>
      <c r="EJ874" s="0" t="str">
        <f aca="false">IF(EI874="","",IF(EI874&lt;9,EI874,9))</f>
        <v/>
      </c>
      <c r="EK874" s="0" t="str">
        <f aca="false">IF(EI874="","",IF(EI874&gt;9,EI874-EJ874,0))</f>
        <v/>
      </c>
      <c r="EL874" s="0" t="str">
        <f aca="false">IF(EI874="","",EJ874*DA874*2+EK874*DA874*3)</f>
        <v/>
      </c>
      <c r="EP874" s="0" t="n">
        <v>0</v>
      </c>
      <c r="EQ874" s="0"/>
      <c r="ER874" s="0" t="n">
        <v>0</v>
      </c>
      <c r="ET874" s="0" t="n">
        <v>0</v>
      </c>
      <c r="EV874" s="0" t="n">
        <v>0</v>
      </c>
      <c r="EX874" s="0" t="n">
        <v>1</v>
      </c>
      <c r="EY874" s="0" t="n">
        <v>0</v>
      </c>
      <c r="EZ874" s="0"/>
      <c r="FA874" s="0"/>
      <c r="FB874" s="0" t="n">
        <v>1</v>
      </c>
      <c r="FC874" s="1"/>
      <c r="FF874" s="120" t="n">
        <f aca="false">(CJ874-CI874+1)/365</f>
        <v>4.08767123287671</v>
      </c>
      <c r="FG874" s="0" t="str">
        <f aca="false">CONCATENATE(F874,"/",G874)</f>
        <v>1035/2011</v>
      </c>
      <c r="FH874" s="0" t="n">
        <v>1</v>
      </c>
      <c r="FI874" s="0" t="n">
        <f aca="false">IFERROR(IF((FC874-J874+1)/365&gt;3,0,1),"")</f>
        <v>1</v>
      </c>
    </row>
    <row r="875" customFormat="false" ht="15" hidden="false" customHeight="false" outlineLevel="0" collapsed="false">
      <c r="A875" s="5" t="str">
        <f aca="false">E875&amp;G875&amp;F875</f>
        <v>720111044</v>
      </c>
      <c r="B875" s="0" t="s">
        <v>1884</v>
      </c>
      <c r="C875" s="1" t="n">
        <v>42358</v>
      </c>
      <c r="E875" s="0" t="n">
        <v>7</v>
      </c>
      <c r="F875" s="0" t="n">
        <v>1044</v>
      </c>
      <c r="G875" s="0" t="n">
        <v>2011</v>
      </c>
      <c r="H875" s="0" t="str">
        <f aca="false">"J"&amp;E875&amp;"\"&amp;F875&amp;"\"&amp;G875&amp;"\"&amp;W875</f>
        <v>J7\1044\2011\1</v>
      </c>
      <c r="I875" s="0" t="n">
        <v>40710</v>
      </c>
      <c r="J875" s="1" t="n">
        <v>40556</v>
      </c>
      <c r="K875" s="0" t="n">
        <v>0</v>
      </c>
      <c r="M875" s="1"/>
      <c r="N875" s="1"/>
      <c r="O875" s="1"/>
      <c r="P875" s="1"/>
      <c r="Q875" s="1"/>
      <c r="T875" s="121"/>
      <c r="U875" s="121"/>
      <c r="V875" s="122" t="n">
        <f aca="false">IF(AND(E875&gt;0,F875&gt;0,G875&gt;0),COUNTIFS($E:$E,E875,$F:$F,F875,$G:$G,G875),"")</f>
        <v>1</v>
      </c>
      <c r="W875" s="122" t="n">
        <f aca="false">IF(V875="","",IF(V875=1,1,IF(AND(E874=E875,F874=F875,G874=G875),W874+1,1)))</f>
        <v>1</v>
      </c>
      <c r="X875" s="0" t="n">
        <v>1</v>
      </c>
      <c r="Y875" s="0" t="n">
        <v>4</v>
      </c>
      <c r="Z875" s="0" t="s">
        <v>8028</v>
      </c>
      <c r="AA875" s="0" t="n">
        <v>0</v>
      </c>
      <c r="AB875" s="0" t="s">
        <v>8029</v>
      </c>
      <c r="AC875" s="0" t="s">
        <v>8030</v>
      </c>
      <c r="AD875" s="0" t="s">
        <v>2579</v>
      </c>
      <c r="AE875" s="0" t="n">
        <v>0</v>
      </c>
      <c r="AF875" s="0" t="s">
        <v>8031</v>
      </c>
      <c r="AG875" s="0" t="n">
        <v>0</v>
      </c>
      <c r="AH875" s="0" t="s">
        <v>8032</v>
      </c>
      <c r="AI875" s="0" t="s">
        <v>8033</v>
      </c>
      <c r="AJ875" s="0" t="s">
        <v>2070</v>
      </c>
      <c r="AL875" s="0" t="s">
        <v>8034</v>
      </c>
      <c r="AM875" s="0" t="n">
        <v>1</v>
      </c>
      <c r="AN875" s="0" t="s">
        <v>8032</v>
      </c>
      <c r="AO875" s="0" t="s">
        <v>8033</v>
      </c>
      <c r="AP875" s="0" t="s">
        <v>2070</v>
      </c>
      <c r="AR875" s="0" t="s">
        <v>8035</v>
      </c>
      <c r="AS875" s="0" t="n">
        <v>1</v>
      </c>
      <c r="AT875" s="0" t="s">
        <v>8032</v>
      </c>
      <c r="AU875" s="0" t="s">
        <v>8033</v>
      </c>
      <c r="AV875" s="0" t="s">
        <v>2070</v>
      </c>
      <c r="AX875" s="0" t="s">
        <v>8036</v>
      </c>
      <c r="AY875" s="0" t="n">
        <v>1</v>
      </c>
      <c r="AZ875" s="0" t="s">
        <v>8032</v>
      </c>
      <c r="BA875" s="0" t="s">
        <v>8033</v>
      </c>
      <c r="BB875" s="0" t="s">
        <v>2070</v>
      </c>
      <c r="BR875" s="0" t="n">
        <v>1</v>
      </c>
      <c r="BS875" s="0" t="s">
        <v>8037</v>
      </c>
      <c r="BT875" s="0" t="s">
        <v>8038</v>
      </c>
      <c r="BU875" s="0" t="s">
        <v>8039</v>
      </c>
      <c r="BV875" s="123"/>
      <c r="BW875" s="123"/>
      <c r="BX875" s="123"/>
      <c r="BY875" s="123"/>
      <c r="CA875" s="0" t="s">
        <v>1895</v>
      </c>
      <c r="CD875" s="0" t="s">
        <v>7925</v>
      </c>
      <c r="CE875" s="0" t="n">
        <v>0</v>
      </c>
      <c r="CF875" s="0" t="s">
        <v>8040</v>
      </c>
      <c r="CI875" s="1" t="n">
        <v>39958</v>
      </c>
      <c r="CJ875" s="1" t="n">
        <v>40863</v>
      </c>
      <c r="CK875" s="124" t="n">
        <v>0.375</v>
      </c>
      <c r="CL875" s="0" t="s">
        <v>8034</v>
      </c>
      <c r="CM875" s="0" t="n">
        <f aca="false">IF(OR(CI875="",CJ875=""),"",DAYS360(CI875,CJ875)/360)</f>
        <v>2.475</v>
      </c>
      <c r="CN875" s="0" t="n">
        <f aca="false">IF(OR(CI875="",CJ875=""),"",DAYS360(CI875,CJ875)/30)</f>
        <v>29.7</v>
      </c>
      <c r="CO875" s="0" t="n">
        <f aca="false">IF(OR(CI875="",CJ875=""),"",DAYS360(CI875,CJ875)/7)</f>
        <v>127.285714285714</v>
      </c>
      <c r="CP875" s="0" t="n">
        <f aca="false">IF(OR(CI875="",CJ875=""),"",DAYS360(CI875,CJ875))</f>
        <v>891</v>
      </c>
      <c r="CQ875" s="0" t="s">
        <v>2021</v>
      </c>
      <c r="CR875" s="0" t="n">
        <v>1</v>
      </c>
      <c r="CT875" s="0" t="s">
        <v>221</v>
      </c>
      <c r="CU875" s="0" t="s">
        <v>221</v>
      </c>
      <c r="CV875" s="0" t="str">
        <f aca="false">IF(OR(CT875="",CT875="NO ESPECIFICA",CT875="NO MENCIONA"),"",IF(CU875=0,CT875,IF(CU875=1,CT875/30,IF(CU875=2,CT875/15,IF(CU875=3,CT875/7,"")))))</f>
        <v/>
      </c>
      <c r="CW875" s="125" t="n">
        <v>7908.52</v>
      </c>
      <c r="CX875" s="0" t="n">
        <v>2</v>
      </c>
      <c r="CY875" s="0" t="n">
        <f aca="false">IF(CW875="","",IF(CX875=0,CW875,IF(CX875=1,CW875/30,IF(CX875=2,CW875/15,IF(CX875=3,CW875/7,CW875)))))</f>
        <v>527.234666666667</v>
      </c>
      <c r="CZ875" s="0" t="n">
        <f aca="false">IF(DI875&gt;0,DI875,IF(CY875&gt;0,CY875,IF(CV875&gt;0,CV875,"")))</f>
        <v>527.23</v>
      </c>
      <c r="DA875" s="0" t="n">
        <f aca="false">IF(DM875=1,CZ875/8,IF(OR(DM875=2,DM875=4),CZ875/7,IF(DM875=3,CZ875/7.5,"")))</f>
        <v>65.90375</v>
      </c>
      <c r="DB875" s="0" t="s">
        <v>216</v>
      </c>
      <c r="DC875" s="0" t="s">
        <v>1895</v>
      </c>
      <c r="DD875" s="0" t="s">
        <v>1895</v>
      </c>
      <c r="DE875" s="0" t="s">
        <v>1895</v>
      </c>
      <c r="DF875" s="0" t="s">
        <v>1895</v>
      </c>
      <c r="DG875" s="0" t="s">
        <v>1895</v>
      </c>
      <c r="DH875" s="0" t="n">
        <v>0</v>
      </c>
      <c r="DI875" s="126" t="n">
        <v>527.23</v>
      </c>
      <c r="DK875" s="0" t="n">
        <v>0</v>
      </c>
      <c r="DM875" s="0" t="n">
        <v>1</v>
      </c>
      <c r="DN875" s="0" t="n">
        <v>66</v>
      </c>
      <c r="DO875" s="0" t="n">
        <v>3</v>
      </c>
      <c r="DP875" s="0" t="n">
        <v>1</v>
      </c>
      <c r="DQ875" s="0" t="n">
        <v>0</v>
      </c>
      <c r="DR875" s="0"/>
      <c r="DS875" s="0" t="n">
        <v>1</v>
      </c>
      <c r="DU875" s="0" t="n">
        <v>1</v>
      </c>
      <c r="DW875" s="1" t="n">
        <v>39958</v>
      </c>
      <c r="DX875" s="1" t="n">
        <v>40863</v>
      </c>
      <c r="DZ875" s="0"/>
      <c r="EA875" s="0" t="n">
        <v>1</v>
      </c>
      <c r="EC875" s="1" t="n">
        <v>40179</v>
      </c>
      <c r="ED875" s="1" t="n">
        <v>40863</v>
      </c>
      <c r="EF875" s="0"/>
      <c r="EG875" s="0" t="n">
        <v>1</v>
      </c>
      <c r="EH875" s="0" t="n">
        <v>15</v>
      </c>
      <c r="EI875" s="0" t="n">
        <f aca="false">IF(AND(DM875=1,DN875&lt;=48),"",IF(AND(DM875=2,DN875&lt;=42),"",IF(AND(DM875=3,DN875&lt;=45),"",EH875)))</f>
        <v>15</v>
      </c>
      <c r="EJ875" s="0" t="n">
        <f aca="false">IF(EI875="","",IF(EI875&lt;9,EI875,9))</f>
        <v>9</v>
      </c>
      <c r="EK875" s="0" t="n">
        <f aca="false">IF(EI875="","",IF(EI875&gt;9,EI875-EJ875,0))</f>
        <v>6</v>
      </c>
      <c r="EL875" s="0" t="n">
        <f aca="false">IF(EI875="","",EJ875*DA875*2+EK875*DA875*3)</f>
        <v>2372.535</v>
      </c>
      <c r="EP875" s="0" t="n">
        <v>0</v>
      </c>
      <c r="EQ875" s="0"/>
      <c r="ER875" s="0" t="n">
        <v>0</v>
      </c>
      <c r="ET875" s="0" t="n">
        <v>0</v>
      </c>
      <c r="EV875" s="0" t="n">
        <v>0</v>
      </c>
      <c r="EX875" s="0" t="n">
        <v>1</v>
      </c>
      <c r="EY875" s="0" t="n">
        <v>0</v>
      </c>
      <c r="EZ875" s="0"/>
      <c r="FA875" s="0"/>
      <c r="FB875" s="0" t="n">
        <v>1</v>
      </c>
      <c r="FC875" s="1" t="n">
        <v>40914</v>
      </c>
      <c r="FD875" s="0" t="n">
        <v>4</v>
      </c>
      <c r="FE875" s="0" t="n">
        <v>18000</v>
      </c>
      <c r="FF875" s="120" t="n">
        <f aca="false">(CJ875-CI875+1)/365</f>
        <v>2.48219178082192</v>
      </c>
      <c r="FG875" s="0" t="str">
        <f aca="false">CONCATENATE(F875,"/",G875)</f>
        <v>1044/2011</v>
      </c>
      <c r="FH875" s="0" t="n">
        <v>1</v>
      </c>
      <c r="FI875" s="0" t="n">
        <f aca="false">IFERROR(IF((FC875-J875+1)/365&gt;3,0,1),"")</f>
        <v>1</v>
      </c>
    </row>
    <row r="876" customFormat="false" ht="15" hidden="false" customHeight="false" outlineLevel="0" collapsed="false">
      <c r="A876" s="5" t="str">
        <f aca="false">E876&amp;G876&amp;F876</f>
        <v>720111908</v>
      </c>
      <c r="B876" s="0" t="s">
        <v>4119</v>
      </c>
      <c r="C876" s="1" t="n">
        <v>42355</v>
      </c>
      <c r="D876" s="0" t="s">
        <v>1856</v>
      </c>
      <c r="E876" s="0" t="n">
        <v>7</v>
      </c>
      <c r="F876" s="0" t="n">
        <v>1908</v>
      </c>
      <c r="G876" s="0" t="n">
        <v>2011</v>
      </c>
      <c r="H876" s="0" t="str">
        <f aca="false">"J"&amp;E876&amp;"\"&amp;F876&amp;"\"&amp;G876&amp;"\"&amp;W876</f>
        <v>J7\1908\2011\1</v>
      </c>
      <c r="I876" s="0"/>
      <c r="J876" s="1" t="n">
        <v>40862</v>
      </c>
      <c r="K876" s="0" t="n">
        <v>0</v>
      </c>
      <c r="M876" s="1"/>
      <c r="N876" s="1"/>
      <c r="O876" s="1"/>
      <c r="P876" s="1"/>
      <c r="Q876" s="1"/>
      <c r="T876" s="121"/>
      <c r="U876" s="121"/>
      <c r="V876" s="122" t="n">
        <f aca="false">IF(AND(E876&gt;0,F876&gt;0,G876&gt;0),COUNTIFS($E:$E,E876,$F:$F,F876,$G:$G,G876),"")</f>
        <v>1</v>
      </c>
      <c r="W876" s="122" t="n">
        <f aca="false">IF(V876="","",IF(V876=1,1,IF(AND(E875=E876,F875=F876,G875=G876),W875+1,1)))</f>
        <v>1</v>
      </c>
      <c r="X876" s="0" t="n">
        <v>1</v>
      </c>
      <c r="Y876" s="0" t="n">
        <v>3</v>
      </c>
      <c r="Z876" s="0" t="s">
        <v>8041</v>
      </c>
      <c r="AA876" s="0" t="n">
        <v>0</v>
      </c>
      <c r="AB876" s="0" t="s">
        <v>8042</v>
      </c>
      <c r="AC876" s="0" t="s">
        <v>8043</v>
      </c>
      <c r="AD876" s="0" t="s">
        <v>411</v>
      </c>
      <c r="AE876" s="0" t="n">
        <v>0</v>
      </c>
      <c r="AF876" s="0" t="s">
        <v>8044</v>
      </c>
      <c r="AG876" s="0" t="n">
        <v>0</v>
      </c>
      <c r="AH876" s="0" t="s">
        <v>8045</v>
      </c>
      <c r="AI876" s="0" t="s">
        <v>206</v>
      </c>
      <c r="AJ876" s="0" t="s">
        <v>207</v>
      </c>
      <c r="AL876" s="0" t="s">
        <v>5468</v>
      </c>
      <c r="AM876" s="0" t="n">
        <v>0</v>
      </c>
      <c r="AN876" s="0" t="s">
        <v>8046</v>
      </c>
      <c r="AO876" s="0" t="s">
        <v>1123</v>
      </c>
      <c r="AP876" s="0" t="s">
        <v>322</v>
      </c>
      <c r="AR876" s="0" t="s">
        <v>1637</v>
      </c>
      <c r="AS876" s="0" t="n">
        <v>0</v>
      </c>
      <c r="AT876" s="0" t="s">
        <v>221</v>
      </c>
      <c r="AU876" s="0" t="s">
        <v>221</v>
      </c>
      <c r="AV876" s="0" t="s">
        <v>221</v>
      </c>
      <c r="BR876" s="0" t="n">
        <v>1</v>
      </c>
      <c r="BS876" s="0" t="s">
        <v>8047</v>
      </c>
      <c r="BT876" s="0" t="s">
        <v>8048</v>
      </c>
      <c r="BU876" s="0" t="s">
        <v>8049</v>
      </c>
      <c r="BV876" s="123"/>
      <c r="BW876" s="123"/>
      <c r="BX876" s="123"/>
      <c r="BY876" s="123"/>
      <c r="CA876" s="0" t="s">
        <v>216</v>
      </c>
      <c r="CD876" s="0" t="s">
        <v>296</v>
      </c>
      <c r="CE876" s="0" t="n">
        <v>0</v>
      </c>
      <c r="CF876" s="0" t="s">
        <v>8050</v>
      </c>
      <c r="CI876" s="1" t="n">
        <v>40254</v>
      </c>
      <c r="CJ876" s="1" t="n">
        <v>40801</v>
      </c>
      <c r="CK876" s="124" t="n">
        <v>0.5</v>
      </c>
      <c r="CL876" s="0" t="s">
        <v>8051</v>
      </c>
      <c r="CM876" s="0" t="n">
        <f aca="false">IF(OR(CI876="",CJ876=""),"",DAYS360(CI876,CJ876)/360)</f>
        <v>1.49444444444444</v>
      </c>
      <c r="CN876" s="0" t="n">
        <f aca="false">IF(OR(CI876="",CJ876=""),"",DAYS360(CI876,CJ876)/30)</f>
        <v>17.9333333333333</v>
      </c>
      <c r="CO876" s="0" t="n">
        <f aca="false">IF(OR(CI876="",CJ876=""),"",DAYS360(CI876,CJ876)/7)</f>
        <v>76.8571428571429</v>
      </c>
      <c r="CP876" s="0" t="n">
        <f aca="false">IF(OR(CI876="",CJ876=""),"",DAYS360(CI876,CJ876))</f>
        <v>538</v>
      </c>
      <c r="CQ876" s="0" t="s">
        <v>240</v>
      </c>
      <c r="CR876" s="0" t="n">
        <v>1</v>
      </c>
      <c r="CT876" s="0" t="s">
        <v>221</v>
      </c>
      <c r="CU876" s="0" t="s">
        <v>221</v>
      </c>
      <c r="CV876" s="0" t="str">
        <f aca="false">IF(OR(CT876="",CT876="NO ESPECIFICA",CT876="NO MENCIONA"),"",IF(CU876=0,CT876,IF(CU876=1,CT876/30,IF(CU876=2,CT876/15,IF(CU876=3,CT876/7,"")))))</f>
        <v/>
      </c>
      <c r="CW876" s="125" t="n">
        <v>266.82</v>
      </c>
      <c r="CX876" s="0" t="n">
        <v>0</v>
      </c>
      <c r="CY876" s="0" t="n">
        <f aca="false">IF(CW876="","",IF(CX876=0,CW876,IF(CX876=1,CW876/30,IF(CX876=2,CW876/15,IF(CX876=3,CW876/7,CW876)))))</f>
        <v>266.82</v>
      </c>
      <c r="CZ876" s="0" t="n">
        <f aca="false">IF(DI876&gt;0,DI876,IF(CY876&gt;0,CY876,IF(CV876&gt;0,CV876,"")))</f>
        <v>346.162753733333</v>
      </c>
      <c r="DA876" s="0" t="n">
        <f aca="false">IF(DM876=1,CZ876/8,IF(OR(DM876=2,DM876=4),CZ876/7,IF(DM876=3,CZ876/7.5,"")))</f>
        <v>43.2703442166667</v>
      </c>
      <c r="DB876" s="0" t="s">
        <v>1087</v>
      </c>
      <c r="DC876" s="0" t="s">
        <v>216</v>
      </c>
      <c r="DD876" s="0" t="s">
        <v>216</v>
      </c>
      <c r="DE876" s="0" t="s">
        <v>216</v>
      </c>
      <c r="DF876" s="0" t="s">
        <v>216</v>
      </c>
      <c r="DG876" s="0" t="s">
        <v>216</v>
      </c>
      <c r="DH876" s="0" t="n">
        <v>0</v>
      </c>
      <c r="DI876" s="126" t="n">
        <v>346.162753733333</v>
      </c>
      <c r="DK876" s="0" t="n">
        <v>1</v>
      </c>
      <c r="DM876" s="0" t="n">
        <v>1</v>
      </c>
      <c r="DN876" s="0" t="n">
        <v>42.5</v>
      </c>
      <c r="DO876" s="0" t="n">
        <v>3</v>
      </c>
      <c r="DP876" s="0" t="n">
        <v>0</v>
      </c>
      <c r="DQ876" s="0" t="n">
        <v>1</v>
      </c>
      <c r="DR876" s="0" t="n">
        <v>38298.84</v>
      </c>
      <c r="DS876" s="0" t="n">
        <v>1</v>
      </c>
      <c r="DU876" s="0" t="n">
        <v>1</v>
      </c>
      <c r="DV876" s="0" t="n">
        <v>5106.48</v>
      </c>
      <c r="DW876" s="1" t="s">
        <v>216</v>
      </c>
      <c r="DX876" s="1" t="s">
        <v>216</v>
      </c>
      <c r="DY876" s="0" t="s">
        <v>216</v>
      </c>
      <c r="DZ876" s="0" t="s">
        <v>216</v>
      </c>
      <c r="EA876" s="0" t="n">
        <v>0</v>
      </c>
      <c r="EC876" s="1" t="s">
        <v>216</v>
      </c>
      <c r="ED876" s="1" t="s">
        <v>216</v>
      </c>
      <c r="EF876" s="0"/>
      <c r="EG876" s="0" t="n">
        <v>0</v>
      </c>
      <c r="EI876" s="0" t="str">
        <f aca="false">IF(AND(DM876=1,DN876&lt;=48),"",IF(AND(DM876=2,DN876&lt;=42),"",IF(AND(DM876=3,DN876&lt;=45),"",EH876)))</f>
        <v/>
      </c>
      <c r="EJ876" s="0" t="str">
        <f aca="false">IF(EI876="","",IF(EI876&lt;9,EI876,9))</f>
        <v/>
      </c>
      <c r="EK876" s="0" t="str">
        <f aca="false">IF(EI876="","",IF(EI876&gt;9,EI876-EJ876,0))</f>
        <v/>
      </c>
      <c r="EL876" s="0" t="str">
        <f aca="false">IF(EI876="","",EJ876*DA876*2+EK876*DA876*3)</f>
        <v/>
      </c>
      <c r="EP876" s="0" t="n">
        <v>0</v>
      </c>
      <c r="EQ876" s="0"/>
      <c r="ER876" s="0" t="n">
        <v>0</v>
      </c>
      <c r="ET876" s="0" t="n">
        <v>0</v>
      </c>
      <c r="EV876" s="0" t="n">
        <v>0</v>
      </c>
      <c r="EX876" s="0" t="n">
        <v>0</v>
      </c>
      <c r="EY876" s="0" t="n">
        <v>1</v>
      </c>
      <c r="EZ876" s="4" t="n">
        <v>10000</v>
      </c>
      <c r="FA876" s="4" t="n">
        <v>0</v>
      </c>
      <c r="FB876" s="0" t="n">
        <v>1</v>
      </c>
      <c r="FC876" s="1" t="n">
        <v>41137</v>
      </c>
      <c r="FD876" s="0" t="n">
        <v>1</v>
      </c>
      <c r="FE876" s="0" t="n">
        <v>10000</v>
      </c>
      <c r="FF876" s="120" t="n">
        <f aca="false">(CJ876-CI876+1)/365</f>
        <v>1.5013698630137</v>
      </c>
      <c r="FG876" s="0" t="str">
        <f aca="false">CONCATENATE(F876,"/",G876)</f>
        <v>1908/2011</v>
      </c>
      <c r="FH876" s="0" t="n">
        <v>1</v>
      </c>
      <c r="FI876" s="0" t="n">
        <f aca="false">IFERROR(IF((FC876-J876+1)/365&gt;3,0,1),"")</f>
        <v>1</v>
      </c>
    </row>
    <row r="877" customFormat="false" ht="15" hidden="false" customHeight="false" outlineLevel="0" collapsed="false">
      <c r="A877" s="5" t="str">
        <f aca="false">E877&amp;G877&amp;F877</f>
        <v>720111903</v>
      </c>
      <c r="B877" s="0" t="s">
        <v>4119</v>
      </c>
      <c r="C877" s="1" t="n">
        <v>42357</v>
      </c>
      <c r="D877" s="0" t="s">
        <v>1856</v>
      </c>
      <c r="E877" s="0" t="n">
        <v>7</v>
      </c>
      <c r="F877" s="0" t="n">
        <v>1903</v>
      </c>
      <c r="G877" s="0" t="n">
        <v>2011</v>
      </c>
      <c r="H877" s="0" t="str">
        <f aca="false">"J"&amp;E877&amp;"\"&amp;F877&amp;"\"&amp;G877&amp;"\"&amp;W877</f>
        <v>J7\1903\2011\1</v>
      </c>
      <c r="I877" s="0"/>
      <c r="J877" s="1" t="n">
        <v>40862</v>
      </c>
      <c r="M877" s="1"/>
      <c r="N877" s="1"/>
      <c r="O877" s="1"/>
      <c r="P877" s="1"/>
      <c r="Q877" s="1"/>
      <c r="T877" s="121"/>
      <c r="U877" s="121"/>
      <c r="V877" s="122" t="n">
        <f aca="false">IF(AND(E877&gt;0,F877&gt;0,G877&gt;0),COUNTIFS($E:$E,E877,$F:$F,F877,$G:$G,G877),"")</f>
        <v>1</v>
      </c>
      <c r="W877" s="122" t="n">
        <f aca="false">IF(V877="","",IF(V877=1,1,IF(AND(E876=E877,F876=F877,G876=G877),W876+1,1)))</f>
        <v>1</v>
      </c>
      <c r="X877" s="0" t="n">
        <v>1</v>
      </c>
      <c r="Y877" s="0" t="n">
        <v>4</v>
      </c>
      <c r="Z877" s="0" t="s">
        <v>8052</v>
      </c>
      <c r="AA877" s="0" t="n">
        <v>0</v>
      </c>
      <c r="AB877" s="0" t="s">
        <v>8053</v>
      </c>
      <c r="AC877" s="0" t="s">
        <v>728</v>
      </c>
      <c r="AD877" s="0" t="s">
        <v>352</v>
      </c>
      <c r="AE877" s="0" t="n">
        <v>0</v>
      </c>
      <c r="AF877" s="0" t="s">
        <v>8054</v>
      </c>
      <c r="AG877" s="0" t="n">
        <v>0</v>
      </c>
      <c r="AH877" s="0" t="s">
        <v>8055</v>
      </c>
      <c r="AI877" s="0" t="s">
        <v>5649</v>
      </c>
      <c r="AJ877" s="0" t="s">
        <v>3511</v>
      </c>
      <c r="AL877" s="0" t="s">
        <v>8056</v>
      </c>
      <c r="AM877" s="0" t="n">
        <v>1</v>
      </c>
      <c r="AN877" s="0" t="s">
        <v>8055</v>
      </c>
      <c r="AO877" s="0" t="s">
        <v>5649</v>
      </c>
      <c r="AP877" s="0" t="s">
        <v>3511</v>
      </c>
      <c r="AR877" s="0" t="s">
        <v>249</v>
      </c>
      <c r="AS877" s="0" t="n">
        <v>0</v>
      </c>
      <c r="AT877" s="0" t="s">
        <v>8057</v>
      </c>
      <c r="AU877" s="0" t="s">
        <v>410</v>
      </c>
      <c r="AV877" s="0" t="s">
        <v>411</v>
      </c>
      <c r="AX877" s="0" t="s">
        <v>8058</v>
      </c>
      <c r="AY877" s="0" t="n">
        <v>1</v>
      </c>
      <c r="AZ877" s="0" t="s">
        <v>8055</v>
      </c>
      <c r="BA877" s="0" t="s">
        <v>5649</v>
      </c>
      <c r="BB877" s="0" t="s">
        <v>3511</v>
      </c>
      <c r="BR877" s="0" t="n">
        <v>1</v>
      </c>
      <c r="BS877" s="0" t="s">
        <v>662</v>
      </c>
      <c r="BT877" s="0" t="s">
        <v>5851</v>
      </c>
      <c r="BU877" s="0" t="s">
        <v>8059</v>
      </c>
      <c r="BV877" s="123"/>
      <c r="BW877" s="123"/>
      <c r="BX877" s="123"/>
      <c r="BY877" s="123"/>
      <c r="CA877" s="0" t="s">
        <v>216</v>
      </c>
      <c r="CD877" s="0" t="s">
        <v>370</v>
      </c>
      <c r="CE877" s="0" t="n">
        <v>1</v>
      </c>
      <c r="CF877" s="0" t="s">
        <v>8060</v>
      </c>
      <c r="CI877" s="1" t="n">
        <v>40695</v>
      </c>
      <c r="CJ877" s="1" t="n">
        <v>40806</v>
      </c>
      <c r="CK877" s="124" t="n">
        <v>0.333333333333333</v>
      </c>
      <c r="CL877" s="0" t="s">
        <v>8056</v>
      </c>
      <c r="CM877" s="0" t="n">
        <f aca="false">IF(OR(CI877="",CJ877=""),"",DAYS360(CI877,CJ877)/360)</f>
        <v>0.302777777777778</v>
      </c>
      <c r="CN877" s="0" t="n">
        <f aca="false">IF(OR(CI877="",CJ877=""),"",DAYS360(CI877,CJ877)/30)</f>
        <v>3.63333333333333</v>
      </c>
      <c r="CO877" s="0" t="n">
        <f aca="false">IF(OR(CI877="",CJ877=""),"",DAYS360(CI877,CJ877)/7)</f>
        <v>15.5714285714286</v>
      </c>
      <c r="CP877" s="0" t="n">
        <f aca="false">IF(OR(CI877="",CJ877=""),"",DAYS360(CI877,CJ877))</f>
        <v>109</v>
      </c>
      <c r="CQ877" s="0" t="s">
        <v>220</v>
      </c>
      <c r="CR877" s="0" t="n">
        <v>1</v>
      </c>
      <c r="CT877" s="0" t="n">
        <v>335.72</v>
      </c>
      <c r="CU877" s="0" t="n">
        <v>0</v>
      </c>
      <c r="CV877" s="0" t="n">
        <f aca="false">IF(OR(CT877="",CT877="NO ESPECIFICA",CT877="NO MENCIONA"),"",IF(CU877=0,CT877,IF(CU877=1,CT877/30,IF(CU877=2,CT877/15,IF(CU877=3,CT877/7,"")))))</f>
        <v>335.72</v>
      </c>
      <c r="CW877" s="125" t="n">
        <v>465.39</v>
      </c>
      <c r="CX877" s="0" t="n">
        <v>0</v>
      </c>
      <c r="CY877" s="0" t="n">
        <f aca="false">IF(CW877="","",IF(CX877=0,CW877,IF(CX877=1,CW877/30,IF(CX877=2,CW877/15,IF(CX877=3,CW877/7,CW877)))))</f>
        <v>465.39</v>
      </c>
      <c r="CZ877" s="0" t="n">
        <f aca="false">IF(DI877&gt;0,DI877,IF(CY877&gt;0,CY877,IF(CV877&gt;0,CV877,"")))</f>
        <v>465.39</v>
      </c>
      <c r="DA877" s="0" t="n">
        <f aca="false">IF(DM877=1,CZ877/8,IF(OR(DM877=2,DM877=4),CZ877/7,IF(DM877=3,CZ877/7.5,"")))</f>
        <v>58.17375</v>
      </c>
      <c r="DB877" s="0" t="s">
        <v>8061</v>
      </c>
      <c r="DC877" s="0" t="s">
        <v>417</v>
      </c>
      <c r="DD877" s="0" t="s">
        <v>303</v>
      </c>
      <c r="DE877" s="0" t="s">
        <v>301</v>
      </c>
      <c r="DF877" s="0" t="s">
        <v>216</v>
      </c>
      <c r="DG877" s="0" t="s">
        <v>216</v>
      </c>
      <c r="DH877" s="0" t="n">
        <v>0</v>
      </c>
      <c r="DI877" s="126" t="n">
        <v>465.39</v>
      </c>
      <c r="DK877" s="0" t="n">
        <v>1</v>
      </c>
      <c r="DM877" s="0" t="n">
        <v>1</v>
      </c>
      <c r="DN877" s="0" t="n">
        <v>63</v>
      </c>
      <c r="DO877" s="0" t="n">
        <v>3</v>
      </c>
      <c r="DP877" s="0" t="n">
        <v>1</v>
      </c>
      <c r="DQ877" s="0" t="n">
        <v>1</v>
      </c>
      <c r="DR877" s="0"/>
      <c r="DS877" s="0" t="n">
        <v>1</v>
      </c>
      <c r="DU877" s="0" t="n">
        <v>1</v>
      </c>
      <c r="DW877" s="1" t="n">
        <v>40695</v>
      </c>
      <c r="DX877" s="1" t="n">
        <v>40806</v>
      </c>
      <c r="DZ877" s="0"/>
      <c r="EA877" s="0" t="n">
        <v>1</v>
      </c>
      <c r="EC877" s="1" t="n">
        <v>40695</v>
      </c>
      <c r="ED877" s="1" t="n">
        <v>40806</v>
      </c>
      <c r="EF877" s="0"/>
      <c r="EG877" s="0" t="n">
        <v>1</v>
      </c>
      <c r="EH877" s="0" t="n">
        <v>15</v>
      </c>
      <c r="EI877" s="0" t="n">
        <f aca="false">IF(AND(DM877=1,DN877&lt;=48),"",IF(AND(DM877=2,DN877&lt;=42),"",IF(AND(DM877=3,DN877&lt;=45),"",EH877)))</f>
        <v>15</v>
      </c>
      <c r="EJ877" s="0" t="n">
        <f aca="false">IF(EI877="","",IF(EI877&lt;9,EI877,9))</f>
        <v>9</v>
      </c>
      <c r="EK877" s="0" t="n">
        <f aca="false">IF(EI877="","",IF(EI877&gt;9,EI877-EJ877,0))</f>
        <v>6</v>
      </c>
      <c r="EL877" s="0" t="n">
        <f aca="false">IF(EI877="","",EJ877*DA877*2+EK877*DA877*3)</f>
        <v>2094.255</v>
      </c>
      <c r="EP877" s="0" t="n">
        <v>1</v>
      </c>
      <c r="EQ877" s="0"/>
      <c r="ER877" s="0" t="n">
        <v>0</v>
      </c>
      <c r="ET877" s="0" t="n">
        <v>0</v>
      </c>
      <c r="EV877" s="0" t="n">
        <v>0</v>
      </c>
      <c r="EX877" s="0" t="n">
        <v>1</v>
      </c>
      <c r="EY877" s="0" t="n">
        <v>0</v>
      </c>
      <c r="EZ877" s="0"/>
      <c r="FA877" s="4" t="n">
        <v>2792.34</v>
      </c>
      <c r="FB877" s="0" t="n">
        <v>0</v>
      </c>
      <c r="FC877" s="1" t="n">
        <v>41102</v>
      </c>
      <c r="FD877" s="0" t="n">
        <v>1</v>
      </c>
      <c r="FE877" s="0" t="n">
        <v>8000</v>
      </c>
      <c r="FF877" s="120" t="n">
        <f aca="false">(CJ877-CI877+1)/365</f>
        <v>0.306849315068493</v>
      </c>
      <c r="FG877" s="0" t="str">
        <f aca="false">CONCATENATE(F877,"/",G877)</f>
        <v>1903/2011</v>
      </c>
      <c r="FH877" s="0" t="n">
        <v>1</v>
      </c>
      <c r="FI877" s="0" t="n">
        <f aca="false">IFERROR(IF((FC877-J877+1)/365&gt;3,0,1),"")</f>
        <v>1</v>
      </c>
    </row>
    <row r="878" customFormat="false" ht="15" hidden="false" customHeight="false" outlineLevel="0" collapsed="false">
      <c r="A878" s="5" t="str">
        <f aca="false">E878&amp;G878&amp;F878</f>
        <v>720111896</v>
      </c>
      <c r="B878" s="0" t="s">
        <v>4119</v>
      </c>
      <c r="C878" s="1" t="n">
        <v>42357</v>
      </c>
      <c r="D878" s="0" t="s">
        <v>1856</v>
      </c>
      <c r="E878" s="0" t="n">
        <v>7</v>
      </c>
      <c r="F878" s="0" t="n">
        <v>1896</v>
      </c>
      <c r="G878" s="0" t="n">
        <v>2011</v>
      </c>
      <c r="H878" s="0" t="str">
        <f aca="false">"J"&amp;E878&amp;"\"&amp;F878&amp;"\"&amp;G878&amp;"\"&amp;W878</f>
        <v>J7\1896\2011\1</v>
      </c>
      <c r="I878" s="0"/>
      <c r="J878" s="1" t="n">
        <v>40861</v>
      </c>
      <c r="M878" s="1"/>
      <c r="N878" s="1"/>
      <c r="O878" s="1"/>
      <c r="P878" s="1"/>
      <c r="Q878" s="1"/>
      <c r="T878" s="121"/>
      <c r="U878" s="121"/>
      <c r="V878" s="122" t="n">
        <f aca="false">IF(AND(E878&gt;0,F878&gt;0,G878&gt;0),COUNTIFS($E:$E,E878,$F:$F,F878,$G:$G,G878),"")</f>
        <v>1</v>
      </c>
      <c r="W878" s="122" t="n">
        <f aca="false">IF(V878="","",IF(V878=1,1,IF(AND(E877=E878,F877=F878,G877=G878),W877+1,1)))</f>
        <v>1</v>
      </c>
      <c r="X878" s="0" t="n">
        <v>1</v>
      </c>
      <c r="Y878" s="0" t="n">
        <v>8</v>
      </c>
      <c r="Z878" s="0" t="s">
        <v>8062</v>
      </c>
      <c r="AA878" s="0" t="n">
        <v>0</v>
      </c>
      <c r="AB878" s="0" t="s">
        <v>8063</v>
      </c>
      <c r="AC878" s="0" t="s">
        <v>274</v>
      </c>
      <c r="AD878" s="0" t="s">
        <v>229</v>
      </c>
      <c r="AE878" s="0" t="n">
        <v>0</v>
      </c>
      <c r="AF878" s="0" t="s">
        <v>8064</v>
      </c>
      <c r="AG878" s="0" t="n">
        <v>0</v>
      </c>
      <c r="AH878" s="0" t="s">
        <v>8065</v>
      </c>
      <c r="AI878" s="0" t="s">
        <v>251</v>
      </c>
      <c r="AJ878" s="0" t="s">
        <v>229</v>
      </c>
      <c r="AL878" s="0" t="s">
        <v>8066</v>
      </c>
      <c r="AM878" s="0" t="n">
        <v>1</v>
      </c>
      <c r="AN878" s="0" t="s">
        <v>8065</v>
      </c>
      <c r="AO878" s="0" t="s">
        <v>251</v>
      </c>
      <c r="AP878" s="0" t="s">
        <v>229</v>
      </c>
      <c r="AR878" s="0" t="s">
        <v>8067</v>
      </c>
      <c r="AS878" s="0" t="n">
        <v>1</v>
      </c>
      <c r="AT878" s="0" t="s">
        <v>8065</v>
      </c>
      <c r="AU878" s="0" t="s">
        <v>251</v>
      </c>
      <c r="AV878" s="0" t="s">
        <v>229</v>
      </c>
      <c r="AX878" s="0" t="s">
        <v>8068</v>
      </c>
      <c r="AY878" s="0" t="n">
        <v>1</v>
      </c>
      <c r="AZ878" s="0" t="s">
        <v>8065</v>
      </c>
      <c r="BA878" s="0" t="s">
        <v>251</v>
      </c>
      <c r="BB878" s="0" t="s">
        <v>229</v>
      </c>
      <c r="BD878" s="0" t="s">
        <v>8069</v>
      </c>
      <c r="BE878" s="0" t="n">
        <v>1</v>
      </c>
      <c r="BF878" s="0" t="s">
        <v>8065</v>
      </c>
      <c r="BG878" s="0" t="s">
        <v>251</v>
      </c>
      <c r="BH878" s="0" t="s">
        <v>229</v>
      </c>
      <c r="BJ878" s="0" t="s">
        <v>8070</v>
      </c>
      <c r="BK878" s="0" t="n">
        <v>0</v>
      </c>
      <c r="BL878" s="0" t="s">
        <v>8071</v>
      </c>
      <c r="BM878" s="0" t="s">
        <v>251</v>
      </c>
      <c r="BN878" s="0" t="s">
        <v>229</v>
      </c>
      <c r="BR878" s="0" t="n">
        <v>1</v>
      </c>
      <c r="BS878" s="0" t="s">
        <v>8072</v>
      </c>
      <c r="BT878" s="0" t="s">
        <v>8073</v>
      </c>
      <c r="BU878" s="0" t="s">
        <v>8074</v>
      </c>
      <c r="BV878" s="123"/>
      <c r="BW878" s="123"/>
      <c r="BX878" s="123"/>
      <c r="BY878" s="123"/>
      <c r="CA878" s="0" t="s">
        <v>216</v>
      </c>
      <c r="CD878" s="0" t="s">
        <v>256</v>
      </c>
      <c r="CE878" s="0" t="n">
        <v>0</v>
      </c>
      <c r="CF878" s="0" t="s">
        <v>8075</v>
      </c>
      <c r="CI878" s="1" t="n">
        <v>37118</v>
      </c>
      <c r="CJ878" s="1" t="n">
        <v>40836</v>
      </c>
      <c r="CK878" s="124" t="n">
        <v>0.395833333333333</v>
      </c>
      <c r="CL878" s="0" t="s">
        <v>8068</v>
      </c>
      <c r="CM878" s="0" t="n">
        <f aca="false">IF(OR(CI878="",CJ878=""),"",DAYS360(CI878,CJ878)/360)</f>
        <v>10.1805555555556</v>
      </c>
      <c r="CN878" s="0" t="n">
        <f aca="false">IF(OR(CI878="",CJ878=""),"",DAYS360(CI878,CJ878)/30)</f>
        <v>122.166666666667</v>
      </c>
      <c r="CO878" s="0" t="n">
        <f aca="false">IF(OR(CI878="",CJ878=""),"",DAYS360(CI878,CJ878)/7)</f>
        <v>523.571428571429</v>
      </c>
      <c r="CP878" s="0" t="n">
        <f aca="false">IF(OR(CI878="",CJ878=""),"",DAYS360(CI878,CJ878))</f>
        <v>3665</v>
      </c>
      <c r="CQ878" s="0" t="s">
        <v>220</v>
      </c>
      <c r="CR878" s="0" t="n">
        <v>1</v>
      </c>
      <c r="CT878" s="0" t="n">
        <v>147.07</v>
      </c>
      <c r="CU878" s="0" t="n">
        <v>0</v>
      </c>
      <c r="CV878" s="0" t="n">
        <f aca="false">IF(OR(CT878="",CT878="NO ESPECIFICA",CT878="NO MENCIONA"),"",IF(CU878=0,CT878,IF(CU878=1,CT878/30,IF(CU878=2,CT878/15,IF(CU878=3,CT878/7,"")))))</f>
        <v>147.07</v>
      </c>
      <c r="CW878" s="125" t="n">
        <v>152.32</v>
      </c>
      <c r="CX878" s="0" t="n">
        <v>0</v>
      </c>
      <c r="CY878" s="0" t="n">
        <f aca="false">IF(CW878="","",IF(CX878=0,CW878,IF(CX878=1,CW878/30,IF(CX878=2,CW878/15,IF(CX878=3,CW878/7,CW878)))))</f>
        <v>152.32</v>
      </c>
      <c r="CZ878" s="0" t="n">
        <f aca="false">IF(DI878&gt;0,DI878,IF(CY878&gt;0,CY878,IF(CV878&gt;0,CV878,"")))</f>
        <v>152.32</v>
      </c>
      <c r="DA878" s="0" t="n">
        <f aca="false">IF(DM878=1,CZ878/8,IF(OR(DM878=2,DM878=4),CZ878/7,IF(DM878=3,CZ878/7.5,"")))</f>
        <v>21.76</v>
      </c>
      <c r="DB878" s="0" t="s">
        <v>1119</v>
      </c>
      <c r="DC878" s="0" t="s">
        <v>216</v>
      </c>
      <c r="DD878" s="0" t="s">
        <v>216</v>
      </c>
      <c r="DE878" s="0" t="s">
        <v>216</v>
      </c>
      <c r="DF878" s="0" t="s">
        <v>216</v>
      </c>
      <c r="DG878" s="0" t="s">
        <v>216</v>
      </c>
      <c r="DH878" s="0" t="n">
        <v>0</v>
      </c>
      <c r="DI878" s="126" t="n">
        <v>152.32</v>
      </c>
      <c r="DK878" s="0" t="n">
        <v>0</v>
      </c>
      <c r="DM878" s="0" t="n">
        <v>2</v>
      </c>
      <c r="DN878" s="0" t="n">
        <v>48</v>
      </c>
      <c r="DO878" s="0" t="n">
        <v>3</v>
      </c>
      <c r="DP878" s="0" t="n">
        <v>1</v>
      </c>
      <c r="DQ878" s="0" t="n">
        <v>1</v>
      </c>
      <c r="DR878" s="0"/>
      <c r="DS878" s="0" t="n">
        <v>1</v>
      </c>
      <c r="DU878" s="0" t="n">
        <v>1</v>
      </c>
      <c r="DW878" s="1" t="n">
        <v>40040</v>
      </c>
      <c r="DX878" s="1" t="n">
        <v>40836</v>
      </c>
      <c r="DZ878" s="0"/>
      <c r="EA878" s="0" t="n">
        <v>1</v>
      </c>
      <c r="EC878" s="1" t="n">
        <v>40544</v>
      </c>
      <c r="ED878" s="1" t="n">
        <v>40836</v>
      </c>
      <c r="EF878" s="0"/>
      <c r="EG878" s="0" t="n">
        <v>0</v>
      </c>
      <c r="EI878" s="0" t="n">
        <f aca="false">IF(AND(DM878=1,DN878&lt;=48),"",IF(AND(DM878=2,DN878&lt;=42),"",IF(AND(DM878=3,DN878&lt;=45),"",EH878)))</f>
        <v>0</v>
      </c>
      <c r="EJ878" s="0" t="str">
        <f aca="false">IF(EI878="","",IF(EI878&lt;9,EI878,9))</f>
        <v/>
      </c>
      <c r="EK878" s="0" t="str">
        <f aca="false">IF(EI878="","",IF(EI878&gt;9,EI878-EJ878,0))</f>
        <v/>
      </c>
      <c r="EL878" s="0" t="str">
        <f aca="false">IF(EI878="","",EJ878*DA878*2+EK878*DA878*3)</f>
        <v/>
      </c>
      <c r="EP878" s="0" t="n">
        <v>1</v>
      </c>
      <c r="EQ878" s="0"/>
      <c r="ER878" s="0" t="n">
        <v>0</v>
      </c>
      <c r="ET878" s="0" t="n">
        <v>0</v>
      </c>
      <c r="EV878" s="0" t="n">
        <v>1</v>
      </c>
      <c r="EX878" s="0" t="n">
        <v>1</v>
      </c>
      <c r="EY878" s="0" t="n">
        <v>0</v>
      </c>
      <c r="EZ878" s="0"/>
      <c r="FA878" s="0"/>
      <c r="FB878" s="0" t="n">
        <v>0</v>
      </c>
      <c r="FC878" s="1" t="n">
        <v>41228</v>
      </c>
      <c r="FD878" s="0" t="n">
        <v>1</v>
      </c>
      <c r="FE878" s="0" t="n">
        <v>23000</v>
      </c>
      <c r="FF878" s="120" t="n">
        <f aca="false">(CJ878-CI878+1)/365</f>
        <v>10.1890410958904</v>
      </c>
      <c r="FG878" s="0" t="str">
        <f aca="false">CONCATENATE(F878,"/",G878)</f>
        <v>1896/2011</v>
      </c>
      <c r="FH878" s="0" t="n">
        <v>1</v>
      </c>
      <c r="FI878" s="0" t="n">
        <f aca="false">IFERROR(IF((FC878-J878+1)/365&gt;3,0,1),"")</f>
        <v>1</v>
      </c>
    </row>
    <row r="879" customFormat="false" ht="15" hidden="false" customHeight="false" outlineLevel="0" collapsed="false">
      <c r="A879" s="5" t="str">
        <f aca="false">E879&amp;G879&amp;F879</f>
        <v>720111893</v>
      </c>
      <c r="B879" s="0" t="s">
        <v>4119</v>
      </c>
      <c r="C879" s="1" t="n">
        <v>42358</v>
      </c>
      <c r="D879" s="0" t="s">
        <v>1856</v>
      </c>
      <c r="E879" s="0" t="n">
        <v>7</v>
      </c>
      <c r="F879" s="0" t="n">
        <v>1893</v>
      </c>
      <c r="G879" s="0" t="n">
        <v>2011</v>
      </c>
      <c r="H879" s="0" t="str">
        <f aca="false">"J"&amp;E879&amp;"\"&amp;F879&amp;"\"&amp;G879&amp;"\"&amp;W879</f>
        <v>J7\1893\2011\1</v>
      </c>
      <c r="I879" s="0"/>
      <c r="J879" s="1" t="n">
        <v>40858</v>
      </c>
      <c r="M879" s="1"/>
      <c r="N879" s="1"/>
      <c r="O879" s="1"/>
      <c r="P879" s="1"/>
      <c r="Q879" s="1"/>
      <c r="T879" s="121"/>
      <c r="U879" s="121"/>
      <c r="V879" s="122" t="n">
        <f aca="false">IF(AND(E879&gt;0,F879&gt;0,G879&gt;0),COUNTIFS($E:$E,E879,$F:$F,F879,$G:$G,G879),"")</f>
        <v>1</v>
      </c>
      <c r="W879" s="122" t="n">
        <f aca="false">IF(V879="","",IF(V879=1,1,IF(AND(E878=E879,F878=F879,G878=G879),W878+1,1)))</f>
        <v>1</v>
      </c>
      <c r="X879" s="0" t="n">
        <v>1</v>
      </c>
      <c r="Y879" s="0" t="n">
        <v>2</v>
      </c>
      <c r="Z879" s="0" t="s">
        <v>8076</v>
      </c>
      <c r="AA879" s="0" t="n">
        <v>0</v>
      </c>
      <c r="AB879" s="0" t="s">
        <v>6021</v>
      </c>
      <c r="AC879" s="0" t="s">
        <v>228</v>
      </c>
      <c r="AD879" s="0" t="s">
        <v>229</v>
      </c>
      <c r="AE879" s="0" t="n">
        <v>0</v>
      </c>
      <c r="AF879" s="0" t="s">
        <v>8077</v>
      </c>
      <c r="AG879" s="0" t="n">
        <v>0</v>
      </c>
      <c r="AH879" s="0" t="s">
        <v>8078</v>
      </c>
      <c r="AI879" s="0" t="s">
        <v>4153</v>
      </c>
      <c r="AJ879" s="0" t="s">
        <v>229</v>
      </c>
      <c r="AL879" s="0" t="s">
        <v>2126</v>
      </c>
      <c r="AM879" s="0" t="n">
        <v>1</v>
      </c>
      <c r="AN879" s="0" t="s">
        <v>8078</v>
      </c>
      <c r="AO879" s="0" t="s">
        <v>4153</v>
      </c>
      <c r="AP879" s="0" t="s">
        <v>229</v>
      </c>
      <c r="BR879" s="0" t="n">
        <v>3</v>
      </c>
      <c r="BS879" s="0" t="s">
        <v>4922</v>
      </c>
      <c r="BT879" s="0" t="s">
        <v>1818</v>
      </c>
      <c r="BU879" s="0" t="s">
        <v>1841</v>
      </c>
      <c r="BV879" s="123"/>
      <c r="BW879" s="123"/>
      <c r="BX879" s="123"/>
      <c r="BY879" s="123"/>
      <c r="CA879" s="0" t="s">
        <v>348</v>
      </c>
      <c r="CD879" s="0" t="s">
        <v>216</v>
      </c>
      <c r="CE879" s="0" t="n">
        <v>0</v>
      </c>
      <c r="CF879" s="0" t="s">
        <v>503</v>
      </c>
      <c r="CI879" s="1" t="n">
        <v>40558</v>
      </c>
      <c r="CJ879" s="1" t="n">
        <v>40806</v>
      </c>
      <c r="CK879" s="124" t="n">
        <v>0.4375</v>
      </c>
      <c r="CL879" s="0" t="s">
        <v>8077</v>
      </c>
      <c r="CM879" s="0" t="n">
        <f aca="false">IF(OR(CI879="",CJ879=""),"",DAYS360(CI879,CJ879)/360)</f>
        <v>0.680555555555556</v>
      </c>
      <c r="CN879" s="0" t="n">
        <f aca="false">IF(OR(CI879="",CJ879=""),"",DAYS360(CI879,CJ879)/30)</f>
        <v>8.16666666666667</v>
      </c>
      <c r="CO879" s="0" t="n">
        <f aca="false">IF(OR(CI879="",CJ879=""),"",DAYS360(CI879,CJ879)/7)</f>
        <v>35</v>
      </c>
      <c r="CP879" s="0" t="n">
        <f aca="false">IF(OR(CI879="",CJ879=""),"",DAYS360(CI879,CJ879))</f>
        <v>245</v>
      </c>
      <c r="CQ879" s="0" t="s">
        <v>240</v>
      </c>
      <c r="CR879" s="0" t="n">
        <v>1</v>
      </c>
      <c r="CT879" s="0" t="n">
        <v>100</v>
      </c>
      <c r="CU879" s="0" t="n">
        <v>0</v>
      </c>
      <c r="CV879" s="0" t="n">
        <f aca="false">IF(OR(CT879="",CT879="NO ESPECIFICA",CT879="NO MENCIONA"),"",IF(CU879=0,CT879,IF(CU879=1,CT879/30,IF(CU879=2,CT879/15,IF(CU879=3,CT879/7,"")))))</f>
        <v>100</v>
      </c>
      <c r="CW879" s="125" t="n">
        <v>104.52</v>
      </c>
      <c r="CX879" s="0" t="n">
        <v>0</v>
      </c>
      <c r="CY879" s="0" t="n">
        <f aca="false">IF(CW879="","",IF(CX879=0,CW879,IF(CX879=1,CW879/30,IF(CX879=2,CW879/15,IF(CX879=3,CW879/7,CW879)))))</f>
        <v>104.52</v>
      </c>
      <c r="CZ879" s="0" t="n">
        <f aca="false">IF(DI879&gt;0,DI879,IF(CY879&gt;0,CY879,IF(CV879&gt;0,CV879,"")))</f>
        <v>104.52</v>
      </c>
      <c r="DA879" s="0" t="n">
        <f aca="false">IF(DM879=1,CZ879/8,IF(OR(DM879=2,DM879=4),CZ879/7,IF(DM879=3,CZ879/7.5,"")))</f>
        <v>13.065</v>
      </c>
      <c r="DB879" s="0" t="s">
        <v>301</v>
      </c>
      <c r="DC879" s="0" t="s">
        <v>303</v>
      </c>
      <c r="DD879" s="0" t="s">
        <v>216</v>
      </c>
      <c r="DE879" s="0" t="s">
        <v>216</v>
      </c>
      <c r="DF879" s="0" t="s">
        <v>216</v>
      </c>
      <c r="DG879" s="0" t="s">
        <v>216</v>
      </c>
      <c r="DH879" s="0" t="n">
        <v>0</v>
      </c>
      <c r="DI879" s="126" t="n">
        <v>104.52</v>
      </c>
      <c r="DK879" s="0" t="n">
        <v>0</v>
      </c>
      <c r="DM879" s="0" t="n">
        <v>1</v>
      </c>
      <c r="DN879" s="0" t="n">
        <v>50</v>
      </c>
      <c r="DO879" s="0" t="n">
        <v>3</v>
      </c>
      <c r="DP879" s="0" t="n">
        <v>0</v>
      </c>
      <c r="DQ879" s="0" t="n">
        <v>1</v>
      </c>
      <c r="DR879" s="0"/>
      <c r="DS879" s="0" t="n">
        <v>1</v>
      </c>
      <c r="DU879" s="0" t="n">
        <v>1</v>
      </c>
      <c r="DW879" s="1" t="n">
        <v>40558</v>
      </c>
      <c r="DX879" s="1" t="n">
        <v>40806</v>
      </c>
      <c r="DZ879" s="0"/>
      <c r="EA879" s="0" t="n">
        <v>1</v>
      </c>
      <c r="EC879" s="1" t="n">
        <v>40558</v>
      </c>
      <c r="ED879" s="1" t="n">
        <v>40806</v>
      </c>
      <c r="EF879" s="0"/>
      <c r="EG879" s="0" t="n">
        <v>0</v>
      </c>
      <c r="EI879" s="0" t="n">
        <f aca="false">IF(AND(DM879=1,DN879&lt;=48),"",IF(AND(DM879=2,DN879&lt;=42),"",IF(AND(DM879=3,DN879&lt;=45),"",EH879)))</f>
        <v>0</v>
      </c>
      <c r="EJ879" s="0" t="str">
        <f aca="false">IF(EI879="","",IF(EI879&lt;9,EI879,9))</f>
        <v/>
      </c>
      <c r="EK879" s="0" t="str">
        <f aca="false">IF(EI879="","",IF(EI879&gt;9,EI879-EJ879,0))</f>
        <v/>
      </c>
      <c r="EL879" s="0" t="str">
        <f aca="false">IF(EI879="","",EJ879*DA879*2+EK879*DA879*3)</f>
        <v/>
      </c>
      <c r="EP879" s="0" t="n">
        <v>0</v>
      </c>
      <c r="EQ879" s="0"/>
      <c r="ER879" s="0" t="n">
        <v>0</v>
      </c>
      <c r="ET879" s="0" t="n">
        <v>0</v>
      </c>
      <c r="EV879" s="0" t="n">
        <v>0</v>
      </c>
      <c r="EX879" s="0" t="n">
        <v>0</v>
      </c>
      <c r="EY879" s="0" t="n">
        <v>0</v>
      </c>
      <c r="EZ879" s="0"/>
      <c r="FA879" s="4" t="n">
        <v>313.56</v>
      </c>
      <c r="FB879" s="0" t="n">
        <v>1</v>
      </c>
      <c r="FC879" s="1" t="n">
        <v>41008</v>
      </c>
      <c r="FD879" s="0" t="n">
        <v>4</v>
      </c>
      <c r="FE879" s="0" t="n">
        <v>0</v>
      </c>
      <c r="FF879" s="120" t="n">
        <f aca="false">(CJ879-CI879+1)/365</f>
        <v>0.682191780821918</v>
      </c>
      <c r="FG879" s="0" t="str">
        <f aca="false">CONCATENATE(F879,"/",G879)</f>
        <v>1893/2011</v>
      </c>
      <c r="FH879" s="0" t="n">
        <v>1</v>
      </c>
      <c r="FI879" s="0" t="n">
        <f aca="false">IFERROR(IF((FC879-J879+1)/365&gt;3,0,1),"")</f>
        <v>1</v>
      </c>
    </row>
    <row r="880" customFormat="false" ht="15" hidden="false" customHeight="false" outlineLevel="0" collapsed="false">
      <c r="A880" s="5" t="str">
        <f aca="false">E880&amp;G880&amp;F880</f>
        <v>720111892</v>
      </c>
      <c r="B880" s="0" t="s">
        <v>4119</v>
      </c>
      <c r="C880" s="1" t="n">
        <v>42358</v>
      </c>
      <c r="D880" s="0" t="s">
        <v>1856</v>
      </c>
      <c r="E880" s="0" t="n">
        <v>7</v>
      </c>
      <c r="F880" s="0" t="n">
        <v>1892</v>
      </c>
      <c r="G880" s="0" t="n">
        <v>2011</v>
      </c>
      <c r="H880" s="0" t="str">
        <f aca="false">"J"&amp;E880&amp;"\"&amp;F880&amp;"\"&amp;G880&amp;"\"&amp;W880</f>
        <v>J7\1892\2011\1</v>
      </c>
      <c r="I880" s="0"/>
      <c r="J880" s="1" t="n">
        <v>40858</v>
      </c>
      <c r="M880" s="1"/>
      <c r="N880" s="1"/>
      <c r="O880" s="1"/>
      <c r="P880" s="1"/>
      <c r="Q880" s="1"/>
      <c r="T880" s="121"/>
      <c r="U880" s="121"/>
      <c r="V880" s="122" t="n">
        <f aca="false">IF(AND(E880&gt;0,F880&gt;0,G880&gt;0),COUNTIFS($E:$E,E880,$F:$F,F880,$G:$G,G880),"")</f>
        <v>1</v>
      </c>
      <c r="W880" s="122" t="n">
        <f aca="false">IF(V880="","",IF(V880=1,1,IF(AND(E879=E880,F879=F880,G879=G880),W879+1,1)))</f>
        <v>1</v>
      </c>
      <c r="X880" s="0" t="n">
        <v>1</v>
      </c>
      <c r="Y880" s="0" t="n">
        <v>5</v>
      </c>
      <c r="Z880" s="0" t="s">
        <v>8079</v>
      </c>
      <c r="AA880" s="0" t="n">
        <v>0</v>
      </c>
      <c r="AB880" s="0" t="s">
        <v>8080</v>
      </c>
      <c r="AC880" s="0" t="s">
        <v>274</v>
      </c>
      <c r="AD880" s="0" t="s">
        <v>8081</v>
      </c>
      <c r="AE880" s="0" t="n">
        <v>0</v>
      </c>
      <c r="AF880" s="0" t="s">
        <v>8082</v>
      </c>
      <c r="AG880" s="0" t="n">
        <v>0</v>
      </c>
      <c r="AH880" s="0" t="s">
        <v>8083</v>
      </c>
      <c r="AI880" s="0" t="s">
        <v>2944</v>
      </c>
      <c r="AJ880" s="0" t="s">
        <v>229</v>
      </c>
      <c r="AL880" s="0" t="s">
        <v>8084</v>
      </c>
      <c r="AM880" s="0" t="n">
        <v>1</v>
      </c>
      <c r="AN880" s="0" t="s">
        <v>8083</v>
      </c>
      <c r="AO880" s="0" t="s">
        <v>2944</v>
      </c>
      <c r="AP880" s="0" t="s">
        <v>229</v>
      </c>
      <c r="AR880" s="0" t="s">
        <v>8085</v>
      </c>
      <c r="AS880" s="0" t="n">
        <v>1</v>
      </c>
      <c r="AT880" s="0" t="s">
        <v>8083</v>
      </c>
      <c r="AU880" s="0" t="s">
        <v>2944</v>
      </c>
      <c r="AV880" s="0" t="s">
        <v>229</v>
      </c>
      <c r="AX880" s="0" t="s">
        <v>8086</v>
      </c>
      <c r="AY880" s="0" t="n">
        <v>1</v>
      </c>
      <c r="AZ880" s="0" t="s">
        <v>8083</v>
      </c>
      <c r="BA880" s="0" t="s">
        <v>2944</v>
      </c>
      <c r="BB880" s="0" t="s">
        <v>229</v>
      </c>
      <c r="BD880" s="0" t="s">
        <v>4242</v>
      </c>
      <c r="BE880" s="0" t="n">
        <v>1</v>
      </c>
      <c r="BF880" s="0" t="s">
        <v>8083</v>
      </c>
      <c r="BG880" s="0" t="s">
        <v>2944</v>
      </c>
      <c r="BH880" s="0" t="s">
        <v>229</v>
      </c>
      <c r="BR880" s="0" t="n">
        <v>1</v>
      </c>
      <c r="BS880" s="0" t="s">
        <v>1008</v>
      </c>
      <c r="BT880" s="0" t="s">
        <v>8087</v>
      </c>
      <c r="BU880" s="0" t="s">
        <v>609</v>
      </c>
      <c r="BV880" s="123"/>
      <c r="BW880" s="123"/>
      <c r="BX880" s="123"/>
      <c r="BY880" s="123"/>
      <c r="CA880" s="0" t="s">
        <v>1010</v>
      </c>
      <c r="CD880" s="0" t="s">
        <v>502</v>
      </c>
      <c r="CE880" s="0" t="n">
        <v>0</v>
      </c>
      <c r="CF880" s="0" t="s">
        <v>4788</v>
      </c>
      <c r="CI880" s="1" t="n">
        <v>39168</v>
      </c>
      <c r="CJ880" s="1" t="n">
        <v>40805</v>
      </c>
      <c r="CK880" s="124" t="n">
        <v>0.479166666666667</v>
      </c>
      <c r="CL880" s="0" t="s">
        <v>8084</v>
      </c>
      <c r="CM880" s="0" t="n">
        <f aca="false">IF(OR(CI880="",CJ880=""),"",DAYS360(CI880,CJ880)/360)</f>
        <v>4.47777777777778</v>
      </c>
      <c r="CN880" s="0" t="n">
        <f aca="false">IF(OR(CI880="",CJ880=""),"",DAYS360(CI880,CJ880)/30)</f>
        <v>53.7333333333333</v>
      </c>
      <c r="CO880" s="0" t="n">
        <f aca="false">IF(OR(CI880="",CJ880=""),"",DAYS360(CI880,CJ880)/7)</f>
        <v>230.285714285714</v>
      </c>
      <c r="CP880" s="0" t="n">
        <f aca="false">IF(OR(CI880="",CJ880=""),"",DAYS360(CI880,CJ880))</f>
        <v>1612</v>
      </c>
      <c r="CQ880" s="0" t="s">
        <v>240</v>
      </c>
      <c r="CR880" s="0" t="n">
        <v>1</v>
      </c>
      <c r="CT880" s="0" t="s">
        <v>221</v>
      </c>
      <c r="CU880" s="0" t="s">
        <v>221</v>
      </c>
      <c r="CV880" s="0" t="str">
        <f aca="false">IF(OR(CT880="",CT880="NO ESPECIFICA",CT880="NO MENCIONA"),"",IF(CU880=0,CT880,IF(CU880=1,CT880/30,IF(CU880=2,CT880/15,IF(CU880=3,CT880/7,"")))))</f>
        <v/>
      </c>
      <c r="CW880" s="125" t="n">
        <v>600</v>
      </c>
      <c r="CX880" s="0" t="n">
        <v>0</v>
      </c>
      <c r="CY880" s="0" t="n">
        <f aca="false">IF(CW880="","",IF(CX880=0,CW880,IF(CX880=1,CW880/30,IF(CX880=2,CW880/15,IF(CX880=3,CW880/7,CW880)))))</f>
        <v>600</v>
      </c>
      <c r="CZ880" s="0" t="n">
        <f aca="false">IF(DI880&gt;0,DI880,IF(CY880&gt;0,CY880,IF(CV880&gt;0,CV880,"")))</f>
        <v>600</v>
      </c>
      <c r="DA880" s="0" t="n">
        <f aca="false">IF(DM880=1,CZ880/8,IF(OR(DM880=2,DM880=4),CZ880/7,IF(DM880=3,CZ880/7.5,"")))</f>
        <v>80</v>
      </c>
      <c r="DB880" s="0" t="s">
        <v>216</v>
      </c>
      <c r="DC880" s="0" t="s">
        <v>216</v>
      </c>
      <c r="DD880" s="0" t="s">
        <v>216</v>
      </c>
      <c r="DE880" s="0" t="s">
        <v>216</v>
      </c>
      <c r="DF880" s="0" t="s">
        <v>216</v>
      </c>
      <c r="DG880" s="0" t="s">
        <v>216</v>
      </c>
      <c r="DH880" s="0" t="n">
        <v>0</v>
      </c>
      <c r="DI880" s="126" t="n">
        <v>600</v>
      </c>
      <c r="DK880" s="0" t="n">
        <v>0</v>
      </c>
      <c r="DM880" s="0" t="n">
        <v>3</v>
      </c>
      <c r="DN880" s="0" t="n">
        <v>66</v>
      </c>
      <c r="DO880" s="0" t="n">
        <v>3</v>
      </c>
      <c r="DP880" s="0" t="n">
        <v>0</v>
      </c>
      <c r="DQ880" s="0" t="n">
        <v>1</v>
      </c>
      <c r="DR880" s="0"/>
      <c r="DS880" s="0" t="n">
        <v>1</v>
      </c>
      <c r="DU880" s="0" t="n">
        <v>1</v>
      </c>
      <c r="DW880" s="1" t="n">
        <v>39168</v>
      </c>
      <c r="DX880" s="1" t="n">
        <v>40805</v>
      </c>
      <c r="DZ880" s="0"/>
      <c r="EA880" s="0" t="n">
        <v>1</v>
      </c>
      <c r="EC880" s="1" t="n">
        <v>39168</v>
      </c>
      <c r="ED880" s="1" t="n">
        <v>40805</v>
      </c>
      <c r="EF880" s="0"/>
      <c r="EG880" s="0" t="n">
        <v>1</v>
      </c>
      <c r="EH880" s="0" t="n">
        <v>18</v>
      </c>
      <c r="EI880" s="0" t="n">
        <f aca="false">IF(AND(DM880=1,DN880&lt;=48),"",IF(AND(DM880=2,DN880&lt;=42),"",IF(AND(DM880=3,DN880&lt;=45),"",EH880)))</f>
        <v>18</v>
      </c>
      <c r="EJ880" s="0" t="n">
        <f aca="false">IF(EI880="","",IF(EI880&lt;9,EI880,9))</f>
        <v>9</v>
      </c>
      <c r="EK880" s="0" t="n">
        <f aca="false">IF(EI880="","",IF(EI880&gt;9,EI880-EJ880,0))</f>
        <v>9</v>
      </c>
      <c r="EL880" s="0" t="n">
        <f aca="false">IF(EI880="","",EJ880*DA880*2+EK880*DA880*3)</f>
        <v>3600</v>
      </c>
      <c r="EP880" s="0" t="n">
        <v>0</v>
      </c>
      <c r="EQ880" s="0"/>
      <c r="ER880" s="0" t="n">
        <v>0</v>
      </c>
      <c r="ET880" s="0" t="n">
        <v>1</v>
      </c>
      <c r="EV880" s="0" t="n">
        <v>1</v>
      </c>
      <c r="EX880" s="0" t="n">
        <v>1</v>
      </c>
      <c r="EY880" s="0" t="n">
        <v>1</v>
      </c>
      <c r="EZ880" s="0"/>
      <c r="FA880" s="0"/>
      <c r="FB880" s="0" t="n">
        <v>0</v>
      </c>
      <c r="FC880" s="1" t="n">
        <v>40948</v>
      </c>
      <c r="FD880" s="0" t="n">
        <v>1</v>
      </c>
      <c r="FE880" s="0" t="n">
        <v>21500</v>
      </c>
      <c r="FF880" s="120" t="n">
        <f aca="false">(CJ880-CI880+1)/365</f>
        <v>4.48767123287671</v>
      </c>
      <c r="FG880" s="0" t="str">
        <f aca="false">CONCATENATE(F880,"/",G880)</f>
        <v>1892/2011</v>
      </c>
      <c r="FH880" s="0" t="n">
        <v>1</v>
      </c>
      <c r="FI880" s="0" t="n">
        <f aca="false">IFERROR(IF((FC880-J880+1)/365&gt;3,0,1),"")</f>
        <v>1</v>
      </c>
    </row>
    <row r="881" customFormat="false" ht="15" hidden="false" customHeight="false" outlineLevel="0" collapsed="false">
      <c r="A881" s="5" t="str">
        <f aca="false">E881&amp;G881&amp;F881</f>
        <v>720111886</v>
      </c>
      <c r="B881" s="0" t="s">
        <v>4119</v>
      </c>
      <c r="C881" s="1" t="n">
        <v>42359</v>
      </c>
      <c r="E881" s="0" t="n">
        <v>7</v>
      </c>
      <c r="F881" s="0" t="n">
        <v>1886</v>
      </c>
      <c r="G881" s="0" t="n">
        <v>2011</v>
      </c>
      <c r="H881" s="0" t="str">
        <f aca="false">"J"&amp;E881&amp;"\"&amp;F881&amp;"\"&amp;G881&amp;"\"&amp;W881</f>
        <v>J7\1886\2011\1</v>
      </c>
      <c r="I881" s="0"/>
      <c r="J881" s="1" t="n">
        <v>40858</v>
      </c>
      <c r="K881" s="0" t="n">
        <v>0</v>
      </c>
      <c r="M881" s="1" t="n">
        <v>40858</v>
      </c>
      <c r="N881" s="1" t="n">
        <v>40920</v>
      </c>
      <c r="O881" s="1"/>
      <c r="P881" s="1"/>
      <c r="Q881" s="1"/>
      <c r="T881" s="121"/>
      <c r="U881" s="121"/>
      <c r="V881" s="122" t="n">
        <f aca="false">IF(AND(E881&gt;0,F881&gt;0,G881&gt;0),COUNTIFS($E:$E,E881,$F:$F,F881,$G:$G,G881),"")</f>
        <v>1</v>
      </c>
      <c r="W881" s="122" t="n">
        <f aca="false">IF(V881="","",IF(V881=1,1,IF(AND(E880=E881,F880=F881,G880=G881),W880+1,1)))</f>
        <v>1</v>
      </c>
      <c r="X881" s="0" t="n">
        <v>1</v>
      </c>
      <c r="Y881" s="0" t="n">
        <v>3</v>
      </c>
      <c r="Z881" s="0" t="s">
        <v>8088</v>
      </c>
      <c r="AA881" s="0" t="n">
        <v>0</v>
      </c>
      <c r="AB881" s="0" t="s">
        <v>8089</v>
      </c>
      <c r="AC881" s="0" t="s">
        <v>251</v>
      </c>
      <c r="AD881" s="0" t="s">
        <v>229</v>
      </c>
      <c r="AE881" s="0" t="n">
        <v>0</v>
      </c>
      <c r="AF881" s="0" t="s">
        <v>8090</v>
      </c>
      <c r="AG881" s="0" t="n">
        <v>0</v>
      </c>
      <c r="AH881" s="0" t="s">
        <v>8091</v>
      </c>
      <c r="AI881" s="0" t="s">
        <v>830</v>
      </c>
      <c r="AJ881" s="0" t="s">
        <v>322</v>
      </c>
      <c r="AL881" s="0" t="s">
        <v>8092</v>
      </c>
      <c r="AM881" s="0" t="n">
        <v>1</v>
      </c>
      <c r="AN881" s="0" t="s">
        <v>8091</v>
      </c>
      <c r="AO881" s="0" t="s">
        <v>830</v>
      </c>
      <c r="AP881" s="0" t="s">
        <v>322</v>
      </c>
      <c r="AR881" s="0" t="s">
        <v>1637</v>
      </c>
      <c r="AS881" s="0" t="n">
        <v>1</v>
      </c>
      <c r="AT881" s="0" t="s">
        <v>8091</v>
      </c>
      <c r="AU881" s="0" t="s">
        <v>830</v>
      </c>
      <c r="AV881" s="0" t="s">
        <v>322</v>
      </c>
      <c r="BR881" s="0" t="n">
        <v>1</v>
      </c>
      <c r="BS881" s="0" t="s">
        <v>3081</v>
      </c>
      <c r="BT881" s="0" t="s">
        <v>3080</v>
      </c>
      <c r="BU881" s="0" t="s">
        <v>8093</v>
      </c>
      <c r="BV881" s="123"/>
      <c r="BW881" s="123"/>
      <c r="BX881" s="123"/>
      <c r="BY881" s="123"/>
      <c r="CA881" s="0" t="s">
        <v>216</v>
      </c>
      <c r="CD881" s="0" t="s">
        <v>296</v>
      </c>
      <c r="CE881" s="0" t="n">
        <v>0</v>
      </c>
      <c r="CF881" s="0" t="s">
        <v>1873</v>
      </c>
      <c r="CI881" s="1" t="n">
        <v>40693</v>
      </c>
      <c r="CJ881" s="1" t="n">
        <v>40800</v>
      </c>
      <c r="CK881" s="124" t="n">
        <v>0.375</v>
      </c>
      <c r="CL881" s="0" t="s">
        <v>8094</v>
      </c>
      <c r="CM881" s="0" t="n">
        <f aca="false">IF(OR(CI881="",CJ881=""),"",DAYS360(CI881,CJ881)/360)</f>
        <v>0.288888888888889</v>
      </c>
      <c r="CN881" s="0" t="n">
        <f aca="false">IF(OR(CI881="",CJ881=""),"",DAYS360(CI881,CJ881)/30)</f>
        <v>3.46666666666667</v>
      </c>
      <c r="CO881" s="0" t="n">
        <f aca="false">IF(OR(CI881="",CJ881=""),"",DAYS360(CI881,CJ881)/7)</f>
        <v>14.8571428571429</v>
      </c>
      <c r="CP881" s="0" t="n">
        <f aca="false">IF(OR(CI881="",CJ881=""),"",DAYS360(CI881,CJ881))</f>
        <v>104</v>
      </c>
      <c r="CQ881" s="0" t="s">
        <v>220</v>
      </c>
      <c r="CR881" s="0" t="n">
        <v>1</v>
      </c>
      <c r="CT881" s="0" t="n">
        <v>500</v>
      </c>
      <c r="CU881" s="0" t="n">
        <v>0</v>
      </c>
      <c r="CV881" s="0" t="n">
        <f aca="false">IF(OR(CT881="",CT881="NO ESPECIFICA",CT881="NO MENCIONA"),"",IF(CU881=0,CT881,IF(CU881=1,CT881/30,IF(CU881=2,CT881/15,IF(CU881=3,CT881/7,"")))))</f>
        <v>500</v>
      </c>
      <c r="CW881" s="125" t="s">
        <v>216</v>
      </c>
      <c r="CX881" s="0" t="s">
        <v>216</v>
      </c>
      <c r="CY881" s="0" t="str">
        <f aca="false">IF(CW881="","",IF(CX881=0,CW881,IF(CX881=1,CW881/30,IF(CX881=2,CW881/15,IF(CX881=3,CW881/7,CW881)))))</f>
        <v>NO MENCIONA</v>
      </c>
      <c r="CZ881" s="0" t="n">
        <f aca="false">IF(DI881&gt;0,DI881,IF(CY881&gt;0,CY881,IF(CV881&gt;0,CV881,"")))</f>
        <v>500</v>
      </c>
      <c r="DA881" s="0" t="n">
        <f aca="false">IF(DM881=1,CZ881/8,IF(OR(DM881=2,DM881=4),CZ881/7,IF(DM881=3,CZ881/7.5,"")))</f>
        <v>62.5</v>
      </c>
      <c r="DB881" s="0" t="s">
        <v>216</v>
      </c>
      <c r="DC881" s="0" t="s">
        <v>216</v>
      </c>
      <c r="DD881" s="0" t="s">
        <v>216</v>
      </c>
      <c r="DE881" s="0" t="s">
        <v>216</v>
      </c>
      <c r="DF881" s="0" t="s">
        <v>216</v>
      </c>
      <c r="DG881" s="0" t="s">
        <v>216</v>
      </c>
      <c r="DH881" s="0" t="n">
        <v>0</v>
      </c>
      <c r="DI881" s="126" t="n">
        <v>500</v>
      </c>
      <c r="DK881" s="0" t="n">
        <v>1</v>
      </c>
      <c r="DM881" s="0" t="n">
        <v>1</v>
      </c>
      <c r="DN881" s="0" t="n">
        <v>50</v>
      </c>
      <c r="DO881" s="0" t="n">
        <v>3</v>
      </c>
      <c r="DP881" s="0" t="n">
        <v>1</v>
      </c>
      <c r="DQ881" s="0" t="n">
        <v>1</v>
      </c>
      <c r="DR881" s="0"/>
      <c r="DS881" s="0" t="n">
        <v>1</v>
      </c>
      <c r="DU881" s="0" t="n">
        <v>1</v>
      </c>
      <c r="DW881" s="1" t="n">
        <v>40693</v>
      </c>
      <c r="DX881" s="1" t="n">
        <v>40800</v>
      </c>
      <c r="DZ881" s="0"/>
      <c r="EA881" s="0" t="n">
        <v>1</v>
      </c>
      <c r="EC881" s="1" t="n">
        <v>40693</v>
      </c>
      <c r="ED881" s="1" t="n">
        <v>40800</v>
      </c>
      <c r="EF881" s="0"/>
      <c r="EG881" s="0" t="n">
        <v>1</v>
      </c>
      <c r="EH881" s="0" t="n">
        <v>10</v>
      </c>
      <c r="EI881" s="0" t="n">
        <f aca="false">IF(AND(DM881=1,DN881&lt;=48),"",IF(AND(DM881=2,DN881&lt;=42),"",IF(AND(DM881=3,DN881&lt;=45),"",EH881)))</f>
        <v>10</v>
      </c>
      <c r="EJ881" s="0" t="n">
        <f aca="false">IF(EI881="","",IF(EI881&lt;9,EI881,9))</f>
        <v>9</v>
      </c>
      <c r="EK881" s="0" t="n">
        <f aca="false">IF(EI881="","",IF(EI881&gt;9,EI881-EJ881,0))</f>
        <v>1</v>
      </c>
      <c r="EL881" s="0" t="n">
        <f aca="false">IF(EI881="","",EJ881*DA881*2+EK881*DA881*3)</f>
        <v>1312.5</v>
      </c>
      <c r="EP881" s="0" t="n">
        <v>1</v>
      </c>
      <c r="EQ881" s="0"/>
      <c r="ER881" s="0" t="n">
        <v>0</v>
      </c>
      <c r="ET881" s="0" t="n">
        <v>0</v>
      </c>
      <c r="EV881" s="0" t="n">
        <v>0</v>
      </c>
      <c r="EX881" s="0" t="n">
        <v>1</v>
      </c>
      <c r="EY881" s="0" t="n">
        <v>0</v>
      </c>
      <c r="EZ881" s="0"/>
      <c r="FA881" s="4" t="n">
        <v>11500</v>
      </c>
      <c r="FB881" s="0" t="n">
        <v>1</v>
      </c>
      <c r="FC881" s="1" t="n">
        <v>41157</v>
      </c>
      <c r="FD881" s="0" t="n">
        <v>1</v>
      </c>
      <c r="FE881" s="0" t="n">
        <v>18000</v>
      </c>
      <c r="FF881" s="120" t="n">
        <f aca="false">(CJ881-CI881+1)/365</f>
        <v>0.295890410958904</v>
      </c>
      <c r="FG881" s="0" t="str">
        <f aca="false">CONCATENATE(F881,"/",G881)</f>
        <v>1886/2011</v>
      </c>
      <c r="FH881" s="0" t="n">
        <v>1</v>
      </c>
      <c r="FI881" s="0" t="n">
        <f aca="false">IFERROR(IF((FC881-J881+1)/365&gt;3,0,1),"")</f>
        <v>1</v>
      </c>
    </row>
    <row r="882" customFormat="false" ht="15" hidden="false" customHeight="false" outlineLevel="0" collapsed="false">
      <c r="A882" s="5" t="str">
        <f aca="false">E882&amp;G882&amp;F882</f>
        <v>720111879</v>
      </c>
      <c r="B882" s="0" t="s">
        <v>4119</v>
      </c>
      <c r="C882" s="1" t="n">
        <v>42359</v>
      </c>
      <c r="D882" s="0" t="s">
        <v>1856</v>
      </c>
      <c r="E882" s="0" t="n">
        <v>7</v>
      </c>
      <c r="F882" s="0" t="n">
        <v>1879</v>
      </c>
      <c r="G882" s="0" t="n">
        <v>2011</v>
      </c>
      <c r="H882" s="0" t="str">
        <f aca="false">"J"&amp;E882&amp;"\"&amp;F882&amp;"\"&amp;G882&amp;"\"&amp;W882</f>
        <v>J7\1879\2011\1</v>
      </c>
      <c r="I882" s="0"/>
      <c r="J882" s="1" t="n">
        <v>40857</v>
      </c>
      <c r="M882" s="1"/>
      <c r="N882" s="1"/>
      <c r="O882" s="1"/>
      <c r="P882" s="1"/>
      <c r="Q882" s="1"/>
      <c r="T882" s="121"/>
      <c r="U882" s="121"/>
      <c r="V882" s="122" t="n">
        <f aca="false">IF(AND(E882&gt;0,F882&gt;0,G882&gt;0),COUNTIFS($E:$E,E882,$F:$F,F882,$G:$G,G882),"")</f>
        <v>1</v>
      </c>
      <c r="W882" s="122" t="n">
        <f aca="false">IF(V882="","",IF(V882=1,1,IF(AND(E881=E882,F881=F882,G881=G882),W881+1,1)))</f>
        <v>1</v>
      </c>
      <c r="X882" s="0" t="n">
        <v>1</v>
      </c>
      <c r="Y882" s="0" t="n">
        <v>3</v>
      </c>
      <c r="Z882" s="0" t="s">
        <v>8095</v>
      </c>
      <c r="AA882" s="0" t="n">
        <v>0</v>
      </c>
      <c r="AB882" s="0" t="s">
        <v>6021</v>
      </c>
      <c r="AC882" s="0" t="s">
        <v>228</v>
      </c>
      <c r="AD882" s="0" t="s">
        <v>229</v>
      </c>
      <c r="AE882" s="0" t="n">
        <v>0</v>
      </c>
      <c r="AF882" s="0" t="s">
        <v>8096</v>
      </c>
      <c r="AG882" s="0" t="n">
        <v>0</v>
      </c>
      <c r="AH882" s="0" t="s">
        <v>8097</v>
      </c>
      <c r="AI882" s="0" t="s">
        <v>2088</v>
      </c>
      <c r="AJ882" s="0" t="s">
        <v>590</v>
      </c>
      <c r="AL882" s="0" t="s">
        <v>8098</v>
      </c>
      <c r="AM882" s="0" t="n">
        <v>1</v>
      </c>
      <c r="AN882" s="0" t="s">
        <v>8097</v>
      </c>
      <c r="AO882" s="0" t="s">
        <v>2088</v>
      </c>
      <c r="AP882" s="0" t="s">
        <v>590</v>
      </c>
      <c r="AR882" s="0" t="s">
        <v>213</v>
      </c>
      <c r="AS882" s="0" t="n">
        <v>1</v>
      </c>
      <c r="AT882" s="0" t="s">
        <v>8097</v>
      </c>
      <c r="AU882" s="0" t="s">
        <v>2088</v>
      </c>
      <c r="AV882" s="0" t="s">
        <v>590</v>
      </c>
      <c r="BR882" s="0" t="n">
        <v>3</v>
      </c>
      <c r="BS882" s="0" t="s">
        <v>8099</v>
      </c>
      <c r="BT882" s="0" t="s">
        <v>1818</v>
      </c>
      <c r="BU882" s="0" t="s">
        <v>1841</v>
      </c>
      <c r="BV882" s="123"/>
      <c r="BW882" s="123"/>
      <c r="BX882" s="123"/>
      <c r="BY882" s="123"/>
      <c r="CA882" s="0" t="s">
        <v>348</v>
      </c>
      <c r="CD882" s="0" t="s">
        <v>256</v>
      </c>
      <c r="CE882" s="0" t="n">
        <v>0</v>
      </c>
      <c r="CF882" s="0" t="s">
        <v>3639</v>
      </c>
      <c r="CI882" s="1" t="n">
        <v>37163</v>
      </c>
      <c r="CJ882" s="1" t="n">
        <v>40822</v>
      </c>
      <c r="CK882" s="124" t="n">
        <v>0.625</v>
      </c>
      <c r="CL882" s="0" t="s">
        <v>8098</v>
      </c>
      <c r="CM882" s="0" t="n">
        <f aca="false">IF(OR(CI882="",CJ882=""),"",DAYS360(CI882,CJ882)/360)</f>
        <v>10.0194444444444</v>
      </c>
      <c r="CN882" s="0" t="n">
        <f aca="false">IF(OR(CI882="",CJ882=""),"",DAYS360(CI882,CJ882)/30)</f>
        <v>120.233333333333</v>
      </c>
      <c r="CO882" s="0" t="n">
        <f aca="false">IF(OR(CI882="",CJ882=""),"",DAYS360(CI882,CJ882)/7)</f>
        <v>515.285714285714</v>
      </c>
      <c r="CP882" s="0" t="n">
        <f aca="false">IF(OR(CI882="",CJ882=""),"",DAYS360(CI882,CJ882))</f>
        <v>3607</v>
      </c>
      <c r="CQ882" s="0" t="s">
        <v>1493</v>
      </c>
      <c r="CR882" s="0" t="n">
        <v>3</v>
      </c>
      <c r="CT882" s="0" t="n">
        <v>181.74</v>
      </c>
      <c r="CU882" s="0" t="n">
        <v>0</v>
      </c>
      <c r="CV882" s="0" t="n">
        <f aca="false">IF(OR(CT882="",CT882="NO ESPECIFICA",CT882="NO MENCIONA"),"",IF(CU882=0,CT882,IF(CU882=1,CT882/30,IF(CU882=2,CT882/15,IF(CU882=3,CT882/7,"")))))</f>
        <v>181.74</v>
      </c>
      <c r="CW882" s="125" t="n">
        <v>191.2</v>
      </c>
      <c r="CX882" s="0" t="n">
        <v>0</v>
      </c>
      <c r="CY882" s="0" t="n">
        <f aca="false">IF(CW882="","",IF(CX882=0,CW882,IF(CX882=1,CW882/30,IF(CX882=2,CW882/15,IF(CX882=3,CW882/7,CW882)))))</f>
        <v>191.2</v>
      </c>
      <c r="CZ882" s="0" t="n">
        <f aca="false">IF(DI882&gt;0,DI882,IF(CY882&gt;0,CY882,IF(CV882&gt;0,CV882,"")))</f>
        <v>191.2</v>
      </c>
      <c r="DA882" s="0" t="n">
        <f aca="false">IF(DM882=1,CZ882/8,IF(OR(DM882=2,DM882=4),CZ882/7,IF(DM882=3,CZ882/7.5,"")))</f>
        <v>23.9</v>
      </c>
      <c r="DB882" s="0" t="s">
        <v>216</v>
      </c>
      <c r="DC882" s="0" t="s">
        <v>216</v>
      </c>
      <c r="DD882" s="0" t="s">
        <v>216</v>
      </c>
      <c r="DE882" s="0" t="s">
        <v>216</v>
      </c>
      <c r="DF882" s="0" t="s">
        <v>216</v>
      </c>
      <c r="DG882" s="0" t="s">
        <v>216</v>
      </c>
      <c r="DH882" s="0" t="n">
        <v>0</v>
      </c>
      <c r="DI882" s="126" t="n">
        <v>191.2</v>
      </c>
      <c r="DK882" s="0" t="n">
        <v>0</v>
      </c>
      <c r="DM882" s="0" t="n">
        <v>1</v>
      </c>
      <c r="DN882" s="0" t="n">
        <v>45</v>
      </c>
      <c r="DO882" s="0" t="n">
        <v>3</v>
      </c>
      <c r="DP882" s="0" t="n">
        <v>0</v>
      </c>
      <c r="DQ882" s="0" t="n">
        <v>0</v>
      </c>
      <c r="DR882" s="0"/>
      <c r="DS882" s="0" t="n">
        <v>0</v>
      </c>
      <c r="DU882" s="0" t="n">
        <v>1</v>
      </c>
      <c r="DW882" s="1" t="n">
        <v>37163</v>
      </c>
      <c r="DX882" s="1" t="n">
        <v>40822</v>
      </c>
      <c r="DZ882" s="0"/>
      <c r="EA882" s="0" t="n">
        <v>1</v>
      </c>
      <c r="EC882" s="1" t="s">
        <v>216</v>
      </c>
      <c r="ED882" s="1" t="s">
        <v>216</v>
      </c>
      <c r="EE882" s="0" t="s">
        <v>216</v>
      </c>
      <c r="EF882" s="0" t="s">
        <v>216</v>
      </c>
      <c r="EG882" s="0" t="n">
        <v>0</v>
      </c>
      <c r="EI882" s="0" t="str">
        <f aca="false">IF(AND(DM882=1,DN882&lt;=48),"",IF(AND(DM882=2,DN882&lt;=42),"",IF(AND(DM882=3,DN882&lt;=45),"",EH882)))</f>
        <v/>
      </c>
      <c r="EJ882" s="0" t="str">
        <f aca="false">IF(EI882="","",IF(EI882&lt;9,EI882,9))</f>
        <v/>
      </c>
      <c r="EK882" s="0" t="str">
        <f aca="false">IF(EI882="","",IF(EI882&gt;9,EI882-EJ882,0))</f>
        <v/>
      </c>
      <c r="EL882" s="0" t="str">
        <f aca="false">IF(EI882="","",EJ882*DA882*2+EK882*DA882*3)</f>
        <v/>
      </c>
      <c r="EP882" s="0" t="n">
        <v>0</v>
      </c>
      <c r="EQ882" s="0"/>
      <c r="ER882" s="0" t="n">
        <v>0</v>
      </c>
      <c r="ET882" s="0" t="n">
        <v>0</v>
      </c>
      <c r="EV882" s="0" t="n">
        <v>0</v>
      </c>
      <c r="EX882" s="0" t="n">
        <v>0</v>
      </c>
      <c r="EY882" s="0" t="n">
        <v>0</v>
      </c>
      <c r="EZ882" s="0"/>
      <c r="FA882" s="0"/>
      <c r="FB882" s="0" t="n">
        <v>1</v>
      </c>
      <c r="FC882" s="1" t="n">
        <v>41242</v>
      </c>
      <c r="FD882" s="0" t="n">
        <v>1</v>
      </c>
      <c r="FE882" s="0" t="n">
        <v>15000</v>
      </c>
      <c r="FF882" s="120" t="n">
        <f aca="false">(CJ882-CI882+1)/365</f>
        <v>10.027397260274</v>
      </c>
      <c r="FG882" s="0" t="str">
        <f aca="false">CONCATENATE(F882,"/",G882)</f>
        <v>1879/2011</v>
      </c>
      <c r="FH882" s="0" t="n">
        <v>1</v>
      </c>
      <c r="FI882" s="0" t="n">
        <f aca="false">IFERROR(IF((FC882-J882+1)/365&gt;3,0,1),"")</f>
        <v>1</v>
      </c>
    </row>
    <row r="883" customFormat="false" ht="15" hidden="false" customHeight="false" outlineLevel="0" collapsed="false">
      <c r="A883" s="5" t="str">
        <f aca="false">E883&amp;G883&amp;F883</f>
        <v>720111868</v>
      </c>
      <c r="B883" s="0" t="s">
        <v>4119</v>
      </c>
      <c r="C883" s="1" t="n">
        <v>42359</v>
      </c>
      <c r="D883" s="0" t="s">
        <v>1856</v>
      </c>
      <c r="E883" s="0" t="n">
        <v>7</v>
      </c>
      <c r="F883" s="0" t="n">
        <v>1868</v>
      </c>
      <c r="G883" s="0" t="n">
        <v>2011</v>
      </c>
      <c r="H883" s="0" t="str">
        <f aca="false">"J"&amp;E883&amp;"\"&amp;F883&amp;"\"&amp;G883&amp;"\"&amp;W883</f>
        <v>J7\1868\2011\1</v>
      </c>
      <c r="I883" s="0"/>
      <c r="J883" s="1" t="n">
        <v>40856</v>
      </c>
      <c r="M883" s="1"/>
      <c r="N883" s="1"/>
      <c r="O883" s="1"/>
      <c r="P883" s="1"/>
      <c r="Q883" s="1"/>
      <c r="T883" s="121"/>
      <c r="U883" s="121"/>
      <c r="V883" s="122" t="n">
        <f aca="false">IF(AND(E883&gt;0,F883&gt;0,G883&gt;0),COUNTIFS($E:$E,E883,$F:$F,F883,$G:$G,G883),"")</f>
        <v>1</v>
      </c>
      <c r="W883" s="122" t="n">
        <f aca="false">IF(V883="","",IF(V883=1,1,IF(AND(E882=E883,F882=F883,G882=G883),W882+1,1)))</f>
        <v>1</v>
      </c>
      <c r="X883" s="0" t="n">
        <v>1</v>
      </c>
      <c r="Y883" s="0" t="n">
        <v>3</v>
      </c>
      <c r="Z883" s="0" t="s">
        <v>8100</v>
      </c>
      <c r="AA883" s="0" t="n">
        <v>0</v>
      </c>
      <c r="AB883" s="0" t="s">
        <v>8101</v>
      </c>
      <c r="AC883" s="0" t="s">
        <v>228</v>
      </c>
      <c r="AD883" s="0" t="s">
        <v>229</v>
      </c>
      <c r="AE883" s="0" t="n">
        <v>0</v>
      </c>
      <c r="AF883" s="0" t="s">
        <v>8102</v>
      </c>
      <c r="AG883" s="0" t="n">
        <v>0</v>
      </c>
      <c r="AH883" s="0" t="s">
        <v>8103</v>
      </c>
      <c r="AI883" s="0" t="s">
        <v>1757</v>
      </c>
      <c r="AJ883" s="0" t="s">
        <v>411</v>
      </c>
      <c r="AL883" s="0" t="s">
        <v>8104</v>
      </c>
      <c r="AM883" s="0" t="n">
        <v>1</v>
      </c>
      <c r="AN883" s="0" t="s">
        <v>8103</v>
      </c>
      <c r="AO883" s="0" t="s">
        <v>1757</v>
      </c>
      <c r="AP883" s="0" t="s">
        <v>411</v>
      </c>
      <c r="AR883" s="0" t="s">
        <v>8105</v>
      </c>
      <c r="AS883" s="0" t="n">
        <v>1</v>
      </c>
      <c r="AT883" s="0" t="s">
        <v>8103</v>
      </c>
      <c r="AU883" s="0" t="s">
        <v>1757</v>
      </c>
      <c r="AV883" s="0" t="s">
        <v>411</v>
      </c>
      <c r="BR883" s="0" t="n">
        <v>3</v>
      </c>
      <c r="BS883" s="0" t="s">
        <v>3676</v>
      </c>
      <c r="BT883" s="0" t="s">
        <v>1818</v>
      </c>
      <c r="BU883" s="0" t="s">
        <v>1841</v>
      </c>
      <c r="BV883" s="123"/>
      <c r="BW883" s="123"/>
      <c r="BX883" s="123"/>
      <c r="BY883" s="123"/>
      <c r="CA883" s="0" t="s">
        <v>348</v>
      </c>
      <c r="CD883" s="0" t="s">
        <v>296</v>
      </c>
      <c r="CE883" s="0" t="n">
        <v>0</v>
      </c>
      <c r="CF883" s="0" t="s">
        <v>1651</v>
      </c>
      <c r="CI883" s="1" t="n">
        <v>40595</v>
      </c>
      <c r="CJ883" s="1" t="n">
        <v>40805</v>
      </c>
      <c r="CK883" s="124" t="n">
        <v>0.458333333333333</v>
      </c>
      <c r="CL883" s="0" t="s">
        <v>8104</v>
      </c>
      <c r="CM883" s="0" t="n">
        <f aca="false">IF(OR(CI883="",CJ883=""),"",DAYS360(CI883,CJ883)/360)</f>
        <v>0.577777777777778</v>
      </c>
      <c r="CN883" s="0" t="n">
        <f aca="false">IF(OR(CI883="",CJ883=""),"",DAYS360(CI883,CJ883)/30)</f>
        <v>6.93333333333333</v>
      </c>
      <c r="CO883" s="0" t="n">
        <f aca="false">IF(OR(CI883="",CJ883=""),"",DAYS360(CI883,CJ883)/7)</f>
        <v>29.7142857142857</v>
      </c>
      <c r="CP883" s="0" t="n">
        <f aca="false">IF(OR(CI883="",CJ883=""),"",DAYS360(CI883,CJ883))</f>
        <v>208</v>
      </c>
      <c r="CQ883" s="0" t="s">
        <v>240</v>
      </c>
      <c r="CR883" s="0" t="n">
        <v>1</v>
      </c>
      <c r="CT883" s="0" t="n">
        <v>85.94</v>
      </c>
      <c r="CU883" s="0" t="n">
        <v>0</v>
      </c>
      <c r="CV883" s="0" t="n">
        <f aca="false">IF(OR(CT883="",CT883="NO ESPECIFICA",CT883="NO MENCIONA"),"",IF(CU883=0,CT883,IF(CU883=1,CT883/30,IF(CU883=2,CT883/15,IF(CU883=3,CT883/7,"")))))</f>
        <v>85.94</v>
      </c>
      <c r="CW883" s="125" t="n">
        <v>176.86</v>
      </c>
      <c r="CX883" s="0" t="n">
        <v>0</v>
      </c>
      <c r="CY883" s="0" t="n">
        <f aca="false">IF(CW883="","",IF(CX883=0,CW883,IF(CX883=1,CW883/30,IF(CX883=2,CW883/15,IF(CX883=3,CW883/7,CW883)))))</f>
        <v>176.86</v>
      </c>
      <c r="CZ883" s="0" t="n">
        <f aca="false">IF(DI883&gt;0,DI883,IF(CY883&gt;0,CY883,IF(CV883&gt;0,CV883,"")))</f>
        <v>176.86</v>
      </c>
      <c r="DA883" s="0" t="n">
        <f aca="false">IF(DM883=1,CZ883/8,IF(OR(DM883=2,DM883=4),CZ883/7,IF(DM883=3,CZ883/7.5,"")))</f>
        <v>22.1075</v>
      </c>
      <c r="DB883" s="0" t="s">
        <v>303</v>
      </c>
      <c r="DC883" s="0" t="s">
        <v>301</v>
      </c>
      <c r="DD883" s="0" t="s">
        <v>1020</v>
      </c>
      <c r="DE883" s="0" t="s">
        <v>216</v>
      </c>
      <c r="DF883" s="0" t="s">
        <v>216</v>
      </c>
      <c r="DG883" s="0" t="s">
        <v>216</v>
      </c>
      <c r="DH883" s="0" t="n">
        <v>0</v>
      </c>
      <c r="DI883" s="126" t="n">
        <v>176.86</v>
      </c>
      <c r="DK883" s="0" t="n">
        <v>0</v>
      </c>
      <c r="DM883" s="0" t="n">
        <v>1</v>
      </c>
      <c r="DN883" s="0" t="n">
        <v>75</v>
      </c>
      <c r="DO883" s="0" t="n">
        <v>3</v>
      </c>
      <c r="DP883" s="0" t="n">
        <v>0</v>
      </c>
      <c r="DQ883" s="0" t="n">
        <v>1</v>
      </c>
      <c r="DR883" s="0"/>
      <c r="DS883" s="0" t="n">
        <v>1</v>
      </c>
      <c r="DU883" s="0" t="n">
        <v>1</v>
      </c>
      <c r="DW883" s="1" t="n">
        <v>40595</v>
      </c>
      <c r="DX883" s="1" t="n">
        <v>40805</v>
      </c>
      <c r="DZ883" s="0"/>
      <c r="EA883" s="0" t="n">
        <v>1</v>
      </c>
      <c r="EC883" s="1" t="n">
        <v>40595</v>
      </c>
      <c r="ED883" s="1" t="n">
        <v>40805</v>
      </c>
      <c r="EF883" s="0"/>
      <c r="EG883" s="0" t="n">
        <v>0</v>
      </c>
      <c r="EI883" s="0" t="n">
        <f aca="false">IF(AND(DM883=1,DN883&lt;=48),"",IF(AND(DM883=2,DN883&lt;=42),"",IF(AND(DM883=3,DN883&lt;=45),"",EH883)))</f>
        <v>0</v>
      </c>
      <c r="EJ883" s="0" t="str">
        <f aca="false">IF(EI883="","",IF(EI883&lt;9,EI883,9))</f>
        <v/>
      </c>
      <c r="EK883" s="0" t="str">
        <f aca="false">IF(EI883="","",IF(EI883&gt;9,EI883-EJ883,0))</f>
        <v/>
      </c>
      <c r="EL883" s="0" t="str">
        <f aca="false">IF(EI883="","",EJ883*DA883*2+EK883*DA883*3)</f>
        <v/>
      </c>
      <c r="EP883" s="0" t="n">
        <v>0</v>
      </c>
      <c r="EQ883" s="0"/>
      <c r="ER883" s="0" t="n">
        <v>0</v>
      </c>
      <c r="ET883" s="0" t="n">
        <v>0</v>
      </c>
      <c r="EV883" s="0" t="n">
        <v>0</v>
      </c>
      <c r="EX883" s="0" t="n">
        <v>0</v>
      </c>
      <c r="EY883" s="0" t="n">
        <v>0</v>
      </c>
      <c r="EZ883" s="0"/>
      <c r="FA883" s="0"/>
      <c r="FB883" s="0" t="n">
        <v>1</v>
      </c>
      <c r="FC883" s="1" t="n">
        <v>40928</v>
      </c>
      <c r="FD883" s="0" t="n">
        <v>1</v>
      </c>
      <c r="FE883" s="0" t="n">
        <v>6000</v>
      </c>
      <c r="FF883" s="120" t="n">
        <f aca="false">(CJ883-CI883+1)/365</f>
        <v>0.578082191780822</v>
      </c>
      <c r="FG883" s="0" t="str">
        <f aca="false">CONCATENATE(F883,"/",G883)</f>
        <v>1868/2011</v>
      </c>
      <c r="FH883" s="0" t="n">
        <v>1</v>
      </c>
      <c r="FI883" s="0" t="n">
        <f aca="false">IFERROR(IF((FC883-J883+1)/365&gt;3,0,1),"")</f>
        <v>1</v>
      </c>
    </row>
    <row r="884" customFormat="false" ht="15" hidden="false" customHeight="false" outlineLevel="0" collapsed="false">
      <c r="A884" s="5" t="str">
        <f aca="false">E884&amp;G884&amp;F884</f>
        <v>72011334</v>
      </c>
      <c r="B884" s="0" t="s">
        <v>8106</v>
      </c>
      <c r="C884" s="1" t="n">
        <v>42391</v>
      </c>
      <c r="D884" s="0" t="s">
        <v>1630</v>
      </c>
      <c r="E884" s="0" t="n">
        <v>7</v>
      </c>
      <c r="F884" s="0" t="n">
        <v>334</v>
      </c>
      <c r="G884" s="0" t="n">
        <v>2011</v>
      </c>
      <c r="H884" s="0" t="str">
        <f aca="false">"J"&amp;E884&amp;"\"&amp;F884&amp;"\"&amp;G884&amp;"\"&amp;W884</f>
        <v>J7\334\2011\1</v>
      </c>
      <c r="I884" s="0"/>
      <c r="J884" s="1" t="n">
        <v>40596</v>
      </c>
      <c r="K884" s="0" t="n">
        <v>0</v>
      </c>
      <c r="M884" s="1"/>
      <c r="N884" s="1"/>
      <c r="O884" s="1"/>
      <c r="P884" s="1"/>
      <c r="Q884" s="1"/>
      <c r="T884" s="121"/>
      <c r="U884" s="121"/>
      <c r="V884" s="122" t="n">
        <f aca="false">IF(AND(E884&gt;0,F884&gt;0,G884&gt;0),COUNTIFS($E:$E,E884,$F:$F,F884,$G:$G,G884),"")</f>
        <v>1</v>
      </c>
      <c r="W884" s="122" t="n">
        <f aca="false">IF(V884="","",IF(V884=1,1,IF(AND(E883=E884,F883=F884,G883=G884),W883+1,1)))</f>
        <v>1</v>
      </c>
      <c r="X884" s="0" t="n">
        <v>1</v>
      </c>
      <c r="Y884" s="0" t="n">
        <v>2</v>
      </c>
      <c r="Z884" s="0" t="s">
        <v>8107</v>
      </c>
      <c r="AA884" s="0" t="n">
        <v>0</v>
      </c>
      <c r="AB884" s="0" t="s">
        <v>8108</v>
      </c>
      <c r="AC884" s="0" t="s">
        <v>1661</v>
      </c>
      <c r="AD884" s="0" t="s">
        <v>229</v>
      </c>
      <c r="AE884" s="0" t="n">
        <v>0</v>
      </c>
      <c r="AF884" s="0" t="s">
        <v>8109</v>
      </c>
      <c r="AG884" s="0" t="n">
        <v>0</v>
      </c>
      <c r="AH884" s="0" t="s">
        <v>8110</v>
      </c>
      <c r="AI884" s="0" t="s">
        <v>8111</v>
      </c>
      <c r="AJ884" s="0" t="s">
        <v>659</v>
      </c>
      <c r="AL884" s="0" t="s">
        <v>8112</v>
      </c>
      <c r="AM884" s="0" t="n">
        <v>1</v>
      </c>
      <c r="AN884" s="0" t="s">
        <v>8110</v>
      </c>
      <c r="AO884" s="0" t="s">
        <v>8111</v>
      </c>
      <c r="AP884" s="0" t="s">
        <v>659</v>
      </c>
      <c r="BR884" s="0" t="n">
        <v>1</v>
      </c>
      <c r="BS884" s="0" t="s">
        <v>1786</v>
      </c>
      <c r="BT884" s="0" t="s">
        <v>1787</v>
      </c>
      <c r="BU884" s="0" t="s">
        <v>8113</v>
      </c>
      <c r="BV884" s="123"/>
      <c r="BW884" s="123"/>
      <c r="BX884" s="123"/>
      <c r="BY884" s="123"/>
      <c r="CA884" s="0" t="s">
        <v>8114</v>
      </c>
      <c r="CD884" s="0" t="s">
        <v>370</v>
      </c>
      <c r="CE884" s="0" t="n">
        <v>0</v>
      </c>
      <c r="CF884" s="0" t="s">
        <v>1789</v>
      </c>
      <c r="CI884" s="1" t="n">
        <v>37819</v>
      </c>
      <c r="CJ884" s="1" t="n">
        <v>40553</v>
      </c>
      <c r="CK884" s="124" t="n">
        <v>0.583333333333333</v>
      </c>
      <c r="CL884" s="0" t="s">
        <v>8115</v>
      </c>
      <c r="CM884" s="0" t="n">
        <f aca="false">IF(OR(CI884="",CJ884=""),"",DAYS360(CI884,CJ884)/360)</f>
        <v>7.48055555555556</v>
      </c>
      <c r="CN884" s="0" t="n">
        <f aca="false">IF(OR(CI884="",CJ884=""),"",DAYS360(CI884,CJ884)/30)</f>
        <v>89.7666666666667</v>
      </c>
      <c r="CO884" s="0" t="n">
        <f aca="false">IF(OR(CI884="",CJ884=""),"",DAYS360(CI884,CJ884)/7)</f>
        <v>384.714285714286</v>
      </c>
      <c r="CP884" s="0" t="n">
        <f aca="false">IF(OR(CI884="",CJ884=""),"",DAYS360(CI884,CJ884))</f>
        <v>2693</v>
      </c>
      <c r="CQ884" s="0" t="s">
        <v>220</v>
      </c>
      <c r="CR884" s="0" t="n">
        <v>1</v>
      </c>
      <c r="CT884" s="0" t="n">
        <v>77.2</v>
      </c>
      <c r="CU884" s="0" t="n">
        <v>0</v>
      </c>
      <c r="CV884" s="0" t="n">
        <f aca="false">IF(OR(CT884="",CT884="NO ESPECIFICA",CT884="NO MENCIONA"),"",IF(CU884=0,CT884,IF(CU884=1,CT884/30,IF(CU884=2,CT884/15,IF(CU884=3,CT884/7,"")))))</f>
        <v>77.2</v>
      </c>
      <c r="CW884" s="125" t="n">
        <v>84.08</v>
      </c>
      <c r="CX884" s="0" t="n">
        <v>0</v>
      </c>
      <c r="CY884" s="0" t="n">
        <f aca="false">IF(CW884="","",IF(CX884=0,CW884,IF(CX884=1,CW884/30,IF(CX884=2,CW884/15,IF(CX884=3,CW884/7,CW884)))))</f>
        <v>84.08</v>
      </c>
      <c r="CZ884" s="0" t="n">
        <f aca="false">IF(DI884&gt;0,DI884,IF(CY884&gt;0,CY884,IF(CV884&gt;0,CV884,"")))</f>
        <v>84.08</v>
      </c>
      <c r="DA884" s="0" t="n">
        <f aca="false">IF(DM884=1,CZ884/8,IF(OR(DM884=2,DM884=4),CZ884/7,IF(DM884=3,CZ884/7.5,"")))</f>
        <v>11.2106666666667</v>
      </c>
      <c r="DB884" s="0" t="s">
        <v>216</v>
      </c>
      <c r="DC884" s="0" t="s">
        <v>216</v>
      </c>
      <c r="DD884" s="0" t="s">
        <v>216</v>
      </c>
      <c r="DE884" s="0" t="s">
        <v>216</v>
      </c>
      <c r="DF884" s="0" t="s">
        <v>216</v>
      </c>
      <c r="DG884" s="0" t="s">
        <v>216</v>
      </c>
      <c r="DH884" s="0" t="n">
        <v>0</v>
      </c>
      <c r="DI884" s="126" t="n">
        <v>84.08</v>
      </c>
      <c r="DK884" s="0" t="n">
        <v>0</v>
      </c>
      <c r="DM884" s="0" t="n">
        <v>3</v>
      </c>
      <c r="DN884" s="0" t="n">
        <v>48</v>
      </c>
      <c r="DO884" s="0" t="n">
        <v>3</v>
      </c>
      <c r="DP884" s="0" t="n">
        <v>1</v>
      </c>
      <c r="DQ884" s="0" t="n">
        <v>0</v>
      </c>
      <c r="DR884" s="0"/>
      <c r="DS884" s="0" t="n">
        <v>1</v>
      </c>
      <c r="DU884" s="0" t="n">
        <v>1</v>
      </c>
      <c r="DW884" s="1" t="n">
        <v>40376</v>
      </c>
      <c r="DX884" s="1" t="n">
        <v>40553</v>
      </c>
      <c r="DZ884" s="0"/>
      <c r="EA884" s="0" t="n">
        <v>1</v>
      </c>
      <c r="EC884" s="1" t="n">
        <v>40544</v>
      </c>
      <c r="ED884" s="1" t="n">
        <v>40553</v>
      </c>
      <c r="EF884" s="0"/>
      <c r="EG884" s="0" t="n">
        <v>1</v>
      </c>
      <c r="EH884" s="0" t="n">
        <v>12</v>
      </c>
      <c r="EI884" s="0" t="n">
        <f aca="false">IF(AND(DM884=1,DN884&lt;=48),"",IF(AND(DM884=2,DN884&lt;=42),"",IF(AND(DM884=3,DN884&lt;=45),"",EH884)))</f>
        <v>12</v>
      </c>
      <c r="EJ884" s="0" t="n">
        <f aca="false">IF(EI884="","",IF(EI884&lt;9,EI884,9))</f>
        <v>9</v>
      </c>
      <c r="EK884" s="0" t="n">
        <f aca="false">IF(EI884="","",IF(EI884&gt;9,EI884-EJ884,0))</f>
        <v>3</v>
      </c>
      <c r="EL884" s="0" t="n">
        <f aca="false">IF(EI884="","",EJ884*DA884*2+EK884*DA884*3)</f>
        <v>302.688</v>
      </c>
      <c r="EN884" s="0" t="n">
        <v>12751.02</v>
      </c>
      <c r="EP884" s="0" t="n">
        <v>0</v>
      </c>
      <c r="EQ884" s="0"/>
      <c r="ER884" s="0" t="n">
        <v>0</v>
      </c>
      <c r="ET884" s="0" t="n">
        <v>0</v>
      </c>
      <c r="EV884" s="0" t="n">
        <v>0</v>
      </c>
      <c r="EX884" s="0" t="n">
        <v>1</v>
      </c>
      <c r="EY884" s="0" t="n">
        <v>0</v>
      </c>
      <c r="EZ884" s="0"/>
      <c r="FA884" s="4" t="n">
        <v>27077.7</v>
      </c>
      <c r="FB884" s="0" t="n">
        <v>1</v>
      </c>
      <c r="FC884" s="1" t="n">
        <v>41002</v>
      </c>
      <c r="FD884" s="0" t="n">
        <v>2</v>
      </c>
      <c r="FE884" s="0" t="n">
        <v>0</v>
      </c>
      <c r="FF884" s="120" t="n">
        <f aca="false">(CJ884-CI884+1)/365</f>
        <v>7.49315068493151</v>
      </c>
      <c r="FG884" s="0" t="str">
        <f aca="false">CONCATENATE(F884,"/",G884)</f>
        <v>334/2011</v>
      </c>
      <c r="FH884" s="0" t="n">
        <v>1</v>
      </c>
      <c r="FI884" s="0" t="n">
        <f aca="false">IFERROR(IF((FC884-J884+1)/365&gt;3,0,1),"")</f>
        <v>1</v>
      </c>
    </row>
    <row r="885" customFormat="false" ht="15" hidden="false" customHeight="false" outlineLevel="0" collapsed="false">
      <c r="A885" s="5" t="str">
        <f aca="false">E885&amp;G885&amp;F885</f>
        <v>72011336</v>
      </c>
      <c r="B885" s="0" t="s">
        <v>8106</v>
      </c>
      <c r="C885" s="1" t="n">
        <v>42391</v>
      </c>
      <c r="E885" s="0" t="n">
        <v>7</v>
      </c>
      <c r="F885" s="0" t="n">
        <v>336</v>
      </c>
      <c r="G885" s="0" t="n">
        <v>2011</v>
      </c>
      <c r="H885" s="0" t="str">
        <f aca="false">"J"&amp;E885&amp;"\"&amp;F885&amp;"\"&amp;G885&amp;"\"&amp;W885</f>
        <v>J7\336\2011\1</v>
      </c>
      <c r="I885" s="0"/>
      <c r="J885" s="1" t="n">
        <v>40596</v>
      </c>
      <c r="K885" s="0" t="n">
        <v>0</v>
      </c>
      <c r="M885" s="1" t="n">
        <v>40596</v>
      </c>
      <c r="N885" s="1" t="n">
        <v>40674</v>
      </c>
      <c r="O885" s="1"/>
      <c r="P885" s="1"/>
      <c r="Q885" s="1"/>
      <c r="T885" s="121"/>
      <c r="U885" s="121"/>
      <c r="V885" s="122" t="n">
        <f aca="false">IF(AND(E885&gt;0,F885&gt;0,G885&gt;0),COUNTIFS($E:$E,E885,$F:$F,F885,$G:$G,G885),"")</f>
        <v>1</v>
      </c>
      <c r="W885" s="122" t="n">
        <f aca="false">IF(V885="","",IF(V885=1,1,IF(AND(E884=E885,F884=F885,G884=G885),W884+1,1)))</f>
        <v>1</v>
      </c>
      <c r="X885" s="0" t="n">
        <v>1</v>
      </c>
      <c r="Y885" s="0" t="n">
        <v>3</v>
      </c>
      <c r="Z885" s="0" t="s">
        <v>8116</v>
      </c>
      <c r="AA885" s="0" t="n">
        <v>0</v>
      </c>
      <c r="AB885" s="0" t="s">
        <v>1632</v>
      </c>
      <c r="AC885" s="0" t="s">
        <v>697</v>
      </c>
      <c r="AD885" s="0" t="s">
        <v>207</v>
      </c>
      <c r="AE885" s="0" t="n">
        <v>0</v>
      </c>
      <c r="AF885" s="0" t="s">
        <v>8117</v>
      </c>
      <c r="AG885" s="0" t="n">
        <v>0</v>
      </c>
      <c r="AH885" s="0" t="s">
        <v>8118</v>
      </c>
      <c r="AI885" s="0" t="s">
        <v>8119</v>
      </c>
      <c r="AJ885" s="0" t="s">
        <v>411</v>
      </c>
      <c r="AL885" s="0" t="s">
        <v>8120</v>
      </c>
      <c r="AM885" s="0" t="n">
        <v>1</v>
      </c>
      <c r="AN885" s="0" t="s">
        <v>8118</v>
      </c>
      <c r="AO885" s="0" t="s">
        <v>8119</v>
      </c>
      <c r="AP885" s="0" t="s">
        <v>411</v>
      </c>
      <c r="AR885" s="0" t="s">
        <v>1637</v>
      </c>
      <c r="AS885" s="0" t="n">
        <v>1</v>
      </c>
      <c r="AT885" s="0" t="s">
        <v>8118</v>
      </c>
      <c r="AU885" s="0" t="s">
        <v>8119</v>
      </c>
      <c r="AV885" s="0" t="s">
        <v>411</v>
      </c>
      <c r="BR885" s="0" t="n">
        <v>1</v>
      </c>
      <c r="BS885" s="0" t="s">
        <v>8121</v>
      </c>
      <c r="BT885" s="0" t="s">
        <v>1639</v>
      </c>
      <c r="BU885" s="0" t="s">
        <v>1640</v>
      </c>
      <c r="BV885" s="123"/>
      <c r="BW885" s="123"/>
      <c r="BX885" s="123"/>
      <c r="BY885" s="123"/>
      <c r="CA885" s="0" t="s">
        <v>216</v>
      </c>
      <c r="CD885" s="0" t="s">
        <v>256</v>
      </c>
      <c r="CE885" s="0" t="n">
        <v>0</v>
      </c>
      <c r="CF885" s="0" t="s">
        <v>8122</v>
      </c>
      <c r="CI885" s="1" t="n">
        <v>35521</v>
      </c>
      <c r="CJ885" s="1" t="n">
        <v>40588</v>
      </c>
      <c r="CK885" s="124" t="n">
        <v>0.458333333333333</v>
      </c>
      <c r="CL885" s="0" t="s">
        <v>8123</v>
      </c>
      <c r="CM885" s="0" t="n">
        <f aca="false">IF(OR(CI885="",CJ885=""),"",DAYS360(CI885,CJ885)/360)</f>
        <v>13.8694444444444</v>
      </c>
      <c r="CN885" s="0" t="n">
        <f aca="false">IF(OR(CI885="",CJ885=""),"",DAYS360(CI885,CJ885)/30)</f>
        <v>166.433333333333</v>
      </c>
      <c r="CO885" s="0" t="n">
        <f aca="false">IF(OR(CI885="",CJ885=""),"",DAYS360(CI885,CJ885)/7)</f>
        <v>713.285714285714</v>
      </c>
      <c r="CP885" s="0" t="n">
        <f aca="false">IF(OR(CI885="",CJ885=""),"",DAYS360(CI885,CJ885))</f>
        <v>4993</v>
      </c>
      <c r="CQ885" s="0" t="s">
        <v>240</v>
      </c>
      <c r="CR885" s="0" t="n">
        <v>1</v>
      </c>
      <c r="CT885" s="0" t="n">
        <v>178.57</v>
      </c>
      <c r="CU885" s="0" t="n">
        <v>0</v>
      </c>
      <c r="CV885" s="0" t="n">
        <f aca="false">IF(OR(CT885="",CT885="NO ESPECIFICA",CT885="NO MENCIONA"),"",IF(CU885=0,CT885,IF(CU885=1,CT885/30,IF(CU885=2,CT885/15,IF(CU885=3,CT885/7,"")))))</f>
        <v>178.57</v>
      </c>
      <c r="CW885" s="125" t="n">
        <v>223.57</v>
      </c>
      <c r="CX885" s="0" t="n">
        <v>0</v>
      </c>
      <c r="CY885" s="0" t="n">
        <f aca="false">IF(CW885="","",IF(CX885=0,CW885,IF(CX885=1,CW885/30,IF(CX885=2,CW885/15,IF(CX885=3,CW885/7,CW885)))))</f>
        <v>223.57</v>
      </c>
      <c r="CZ885" s="0" t="n">
        <f aca="false">IF(DI885&gt;0,DI885,IF(CY885&gt;0,CY885,IF(CV885&gt;0,CV885,"")))</f>
        <v>223.57</v>
      </c>
      <c r="DA885" s="0" t="n">
        <f aca="false">IF(DM885=1,CZ885/8,IF(OR(DM885=2,DM885=4),CZ885/7,IF(DM885=3,CZ885/7.5,"")))</f>
        <v>27.94625</v>
      </c>
      <c r="DB885" s="0" t="s">
        <v>2283</v>
      </c>
      <c r="DC885" s="0" t="s">
        <v>299</v>
      </c>
      <c r="DD885" s="0" t="s">
        <v>216</v>
      </c>
      <c r="DE885" s="0" t="s">
        <v>216</v>
      </c>
      <c r="DF885" s="0" t="s">
        <v>216</v>
      </c>
      <c r="DG885" s="0" t="s">
        <v>216</v>
      </c>
      <c r="DH885" s="0" t="n">
        <v>0</v>
      </c>
      <c r="DI885" s="126" t="n">
        <v>223.57</v>
      </c>
      <c r="DK885" s="0" t="n">
        <v>0</v>
      </c>
      <c r="DM885" s="0" t="n">
        <v>1</v>
      </c>
      <c r="DN885" s="0" t="n">
        <v>60</v>
      </c>
      <c r="DO885" s="0" t="n">
        <v>3</v>
      </c>
      <c r="DP885" s="0" t="n">
        <v>0</v>
      </c>
      <c r="DQ885" s="0" t="n">
        <v>1</v>
      </c>
      <c r="DR885" s="0"/>
      <c r="DS885" s="0" t="n">
        <v>1</v>
      </c>
      <c r="DU885" s="0" t="n">
        <v>1</v>
      </c>
      <c r="DW885" s="1" t="n">
        <v>35521</v>
      </c>
      <c r="DX885" s="1" t="n">
        <v>40588</v>
      </c>
      <c r="DZ885" s="0"/>
      <c r="EA885" s="0" t="n">
        <v>1</v>
      </c>
      <c r="EC885" s="1" t="n">
        <v>35521</v>
      </c>
      <c r="ED885" s="1" t="n">
        <v>40588</v>
      </c>
      <c r="EF885" s="0"/>
      <c r="EG885" s="0" t="n">
        <v>1</v>
      </c>
      <c r="EH885" s="0" t="n">
        <v>12</v>
      </c>
      <c r="EI885" s="0" t="n">
        <f aca="false">IF(AND(DM885=1,DN885&lt;=48),"",IF(AND(DM885=2,DN885&lt;=42),"",IF(AND(DM885=3,DN885&lt;=45),"",EH885)))</f>
        <v>12</v>
      </c>
      <c r="EJ885" s="0" t="n">
        <f aca="false">IF(EI885="","",IF(EI885&lt;9,EI885,9))</f>
        <v>9</v>
      </c>
      <c r="EK885" s="0" t="n">
        <f aca="false">IF(EI885="","",IF(EI885&gt;9,EI885-EJ885,0))</f>
        <v>3</v>
      </c>
      <c r="EL885" s="0" t="n">
        <f aca="false">IF(EI885="","",EJ885*DA885*2+EK885*DA885*3)</f>
        <v>754.54875</v>
      </c>
      <c r="EP885" s="0" t="n">
        <v>0</v>
      </c>
      <c r="EQ885" s="0"/>
      <c r="ER885" s="0" t="n">
        <v>0</v>
      </c>
      <c r="ET885" s="0" t="n">
        <v>0</v>
      </c>
      <c r="EV885" s="0" t="n">
        <v>0</v>
      </c>
      <c r="EX885" s="0" t="n">
        <v>1</v>
      </c>
      <c r="EY885" s="0" t="n">
        <v>1</v>
      </c>
      <c r="EZ885" s="0"/>
      <c r="FA885" s="4" t="n">
        <v>0</v>
      </c>
      <c r="FB885" s="0" t="n">
        <v>0</v>
      </c>
      <c r="FC885" s="1" t="n">
        <v>40997</v>
      </c>
      <c r="FD885" s="0" t="n">
        <v>2</v>
      </c>
      <c r="FE885" s="0" t="n">
        <v>0</v>
      </c>
      <c r="FF885" s="120" t="n">
        <f aca="false">(CJ885-CI885+1)/365</f>
        <v>13.8849315068493</v>
      </c>
      <c r="FG885" s="0" t="str">
        <f aca="false">CONCATENATE(F885,"/",G885)</f>
        <v>336/2011</v>
      </c>
      <c r="FH885" s="0" t="n">
        <v>1</v>
      </c>
      <c r="FI885" s="0" t="n">
        <f aca="false">IFERROR(IF((FC885-J885+1)/365&gt;3,0,1),"")</f>
        <v>1</v>
      </c>
    </row>
    <row r="886" customFormat="false" ht="15" hidden="false" customHeight="false" outlineLevel="0" collapsed="false">
      <c r="A886" s="5" t="str">
        <f aca="false">E886&amp;G886&amp;F886</f>
        <v>72011339</v>
      </c>
      <c r="B886" s="0" t="s">
        <v>8106</v>
      </c>
      <c r="C886" s="1" t="n">
        <v>42391</v>
      </c>
      <c r="D886" s="0" t="s">
        <v>8124</v>
      </c>
      <c r="E886" s="0" t="n">
        <v>7</v>
      </c>
      <c r="F886" s="0" t="n">
        <v>339</v>
      </c>
      <c r="G886" s="0" t="n">
        <v>2011</v>
      </c>
      <c r="H886" s="0" t="str">
        <f aca="false">"J"&amp;E886&amp;"\"&amp;F886&amp;"\"&amp;G886&amp;"\"&amp;W886</f>
        <v>J7\339\2011\1</v>
      </c>
      <c r="I886" s="0"/>
      <c r="J886" s="1" t="n">
        <v>40596</v>
      </c>
      <c r="K886" s="0" t="n">
        <v>1</v>
      </c>
      <c r="L886" s="0" t="s">
        <v>8125</v>
      </c>
      <c r="M886" s="1" t="n">
        <v>40596</v>
      </c>
      <c r="N886" s="1" t="n">
        <v>40675</v>
      </c>
      <c r="O886" s="1"/>
      <c r="P886" s="1"/>
      <c r="Q886" s="1"/>
      <c r="T886" s="121"/>
      <c r="U886" s="121"/>
      <c r="V886" s="122" t="n">
        <f aca="false">IF(AND(E886&gt;0,F886&gt;0,G886&gt;0),COUNTIFS($E:$E,E886,$F:$F,F886,$G:$G,G886),"")</f>
        <v>1</v>
      </c>
      <c r="W886" s="122" t="n">
        <f aca="false">IF(V886="","",IF(V886=1,1,IF(AND(E885=E886,F885=F886,G885=G886),W885+1,1)))</f>
        <v>1</v>
      </c>
      <c r="X886" s="0" t="n">
        <v>1</v>
      </c>
      <c r="Y886" s="0" t="n">
        <v>9</v>
      </c>
      <c r="Z886" s="0" t="s">
        <v>8126</v>
      </c>
      <c r="AA886" s="0" t="n">
        <v>0</v>
      </c>
      <c r="AB886" s="0" t="s">
        <v>8127</v>
      </c>
      <c r="AC886" s="0" t="s">
        <v>697</v>
      </c>
      <c r="AD886" s="0" t="s">
        <v>207</v>
      </c>
      <c r="AE886" s="0" t="n">
        <v>0</v>
      </c>
      <c r="AF886" s="0" t="s">
        <v>1821</v>
      </c>
      <c r="AG886" s="0" t="n">
        <v>0</v>
      </c>
      <c r="AH886" s="0" t="s">
        <v>8128</v>
      </c>
      <c r="AI886" s="0" t="s">
        <v>8129</v>
      </c>
      <c r="AJ886" s="0" t="s">
        <v>1665</v>
      </c>
      <c r="AL886" s="0" t="s">
        <v>8130</v>
      </c>
      <c r="AM886" s="0" t="n">
        <v>0</v>
      </c>
      <c r="AN886" s="0" t="s">
        <v>8128</v>
      </c>
      <c r="AO886" s="0" t="s">
        <v>8129</v>
      </c>
      <c r="AP886" s="0" t="s">
        <v>1665</v>
      </c>
      <c r="AR886" s="0" t="s">
        <v>8131</v>
      </c>
      <c r="AS886" s="0" t="n">
        <v>0</v>
      </c>
      <c r="AT886" s="0" t="s">
        <v>8128</v>
      </c>
      <c r="AU886" s="0" t="s">
        <v>8129</v>
      </c>
      <c r="AV886" s="0" t="s">
        <v>1665</v>
      </c>
      <c r="AX886" s="0" t="s">
        <v>7668</v>
      </c>
      <c r="AY886" s="0" t="n">
        <v>1</v>
      </c>
      <c r="AZ886" s="0" t="s">
        <v>8128</v>
      </c>
      <c r="BA886" s="0" t="s">
        <v>8129</v>
      </c>
      <c r="BB886" s="0" t="s">
        <v>1665</v>
      </c>
      <c r="BD886" s="0" t="s">
        <v>8132</v>
      </c>
      <c r="BE886" s="0" t="n">
        <v>1</v>
      </c>
      <c r="BF886" s="0" t="s">
        <v>8128</v>
      </c>
      <c r="BG886" s="0" t="s">
        <v>8129</v>
      </c>
      <c r="BH886" s="0" t="s">
        <v>1665</v>
      </c>
      <c r="BJ886" s="0" t="s">
        <v>8133</v>
      </c>
      <c r="BK886" s="0" t="n">
        <v>1</v>
      </c>
      <c r="BL886" s="0" t="s">
        <v>8128</v>
      </c>
      <c r="BM886" s="0" t="s">
        <v>8129</v>
      </c>
      <c r="BN886" s="0" t="s">
        <v>1665</v>
      </c>
      <c r="BR886" s="0" t="n">
        <v>1</v>
      </c>
      <c r="BS886" s="0" t="s">
        <v>8134</v>
      </c>
      <c r="BT886" s="0" t="s">
        <v>8135</v>
      </c>
      <c r="BU886" s="0" t="s">
        <v>8136</v>
      </c>
      <c r="BV886" s="123"/>
      <c r="BW886" s="123"/>
      <c r="BX886" s="123"/>
      <c r="BY886" s="123"/>
      <c r="CA886" s="0" t="s">
        <v>8137</v>
      </c>
      <c r="CD886" s="0" t="s">
        <v>256</v>
      </c>
      <c r="CE886" s="0" t="n">
        <v>0</v>
      </c>
      <c r="CF886" s="0" t="s">
        <v>645</v>
      </c>
      <c r="CI886" s="1" t="n">
        <v>39539</v>
      </c>
      <c r="CJ886" s="1" t="n">
        <v>40558</v>
      </c>
      <c r="CK886" s="124" t="n">
        <v>0.291666666666667</v>
      </c>
      <c r="CL886" s="0" t="s">
        <v>8133</v>
      </c>
      <c r="CM886" s="0" t="n">
        <f aca="false">IF(OR(CI886="",CJ886=""),"",DAYS360(CI886,CJ886)/360)</f>
        <v>2.78888888888889</v>
      </c>
      <c r="CN886" s="0" t="n">
        <f aca="false">IF(OR(CI886="",CJ886=""),"",DAYS360(CI886,CJ886)/30)</f>
        <v>33.4666666666667</v>
      </c>
      <c r="CO886" s="0" t="n">
        <f aca="false">IF(OR(CI886="",CJ886=""),"",DAYS360(CI886,CJ886)/7)</f>
        <v>143.428571428571</v>
      </c>
      <c r="CP886" s="0" t="n">
        <f aca="false">IF(OR(CI886="",CJ886=""),"",DAYS360(CI886,CJ886))</f>
        <v>1004</v>
      </c>
      <c r="CQ886" s="0" t="s">
        <v>240</v>
      </c>
      <c r="CR886" s="0" t="n">
        <v>1</v>
      </c>
      <c r="CT886" s="0" t="n">
        <v>174.2</v>
      </c>
      <c r="CU886" s="0" t="n">
        <v>0</v>
      </c>
      <c r="CV886" s="0" t="n">
        <f aca="false">IF(OR(CT886="",CT886="NO ESPECIFICA",CT886="NO MENCIONA"),"",IF(CU886=0,CT886,IF(CU886=1,CT886/30,IF(CU886=2,CT886/15,IF(CU886=3,CT886/7,"")))))</f>
        <v>174.2</v>
      </c>
      <c r="CW886" s="125" t="n">
        <v>1416.85</v>
      </c>
      <c r="CX886" s="0" t="n">
        <v>0</v>
      </c>
      <c r="CY886" s="0" t="n">
        <f aca="false">IF(CW886="","",IF(CX886=0,CW886,IF(CX886=1,CW886/30,IF(CX886=2,CW886/15,IF(CX886=3,CW886/7,CW886)))))</f>
        <v>1416.85</v>
      </c>
      <c r="CZ886" s="0" t="n">
        <f aca="false">IF(DI886&gt;0,DI886,IF(CY886&gt;0,CY886,IF(CV886&gt;0,CV886,"")))</f>
        <v>1416.85</v>
      </c>
      <c r="DA886" s="0" t="n">
        <f aca="false">IF(DM886=1,CZ886/8,IF(OR(DM886=2,DM886=4),CZ886/7,IF(DM886=3,CZ886/7.5,"")))</f>
        <v>177.10625</v>
      </c>
      <c r="DB886" s="0" t="s">
        <v>6268</v>
      </c>
      <c r="DC886" s="0" t="s">
        <v>417</v>
      </c>
      <c r="DD886" s="0" t="s">
        <v>301</v>
      </c>
      <c r="DE886" s="0" t="s">
        <v>303</v>
      </c>
      <c r="DF886" s="0" t="s">
        <v>1119</v>
      </c>
      <c r="DG886" s="0" t="s">
        <v>1833</v>
      </c>
      <c r="DH886" s="0" t="n">
        <v>0</v>
      </c>
      <c r="DI886" s="126" t="n">
        <v>1416.85</v>
      </c>
      <c r="DK886" s="0" t="n">
        <v>0</v>
      </c>
      <c r="DM886" s="0" t="n">
        <v>1</v>
      </c>
      <c r="DN886" s="0" t="n">
        <v>72</v>
      </c>
      <c r="DO886" s="0" t="n">
        <v>3</v>
      </c>
      <c r="DP886" s="0" t="n">
        <v>0</v>
      </c>
      <c r="DQ886" s="0" t="n">
        <v>1</v>
      </c>
      <c r="DR886" s="0"/>
      <c r="DS886" s="0" t="n">
        <v>1</v>
      </c>
      <c r="DU886" s="0" t="n">
        <v>0</v>
      </c>
      <c r="DW886" s="1" t="n">
        <v>39539</v>
      </c>
      <c r="DX886" s="1" t="n">
        <v>40558</v>
      </c>
      <c r="DZ886" s="0"/>
      <c r="EA886" s="0" t="n">
        <v>1</v>
      </c>
      <c r="EC886" s="1" t="n">
        <v>39539</v>
      </c>
      <c r="ED886" s="1" t="n">
        <v>40558</v>
      </c>
      <c r="EF886" s="0"/>
      <c r="EG886" s="0" t="n">
        <v>1</v>
      </c>
      <c r="EH886" s="0" t="s">
        <v>221</v>
      </c>
      <c r="EI886" s="0" t="str">
        <f aca="false">IF(AND(DM886=1,DN886&lt;=48),"",IF(AND(DM886=2,DN886&lt;=42),"",IF(AND(DM886=3,DN886&lt;=45),"",EH886)))</f>
        <v>NO ESPECIFICA</v>
      </c>
      <c r="EJ886" s="0" t="n">
        <f aca="false">IF(EI886="","",IF(EI886&lt;9,EI886,9))</f>
        <v>9</v>
      </c>
      <c r="EK886" s="0" t="e">
        <f aca="false">IF(EI886="","",IF(EI886&gt;9,EI886-EJ886,0))</f>
        <v>#VALUE!</v>
      </c>
      <c r="EL886" s="0" t="e">
        <f aca="false">IF(EI886="","",EJ886*DA886*2+EK886*DA886*3)</f>
        <v>#VALUE!</v>
      </c>
      <c r="EP886" s="0" t="n">
        <v>0</v>
      </c>
      <c r="EQ886" s="0"/>
      <c r="ER886" s="0" t="n">
        <v>1</v>
      </c>
      <c r="ET886" s="0" t="n">
        <v>1</v>
      </c>
      <c r="EV886" s="0" t="n">
        <v>1</v>
      </c>
      <c r="EX886" s="0" t="n">
        <v>1</v>
      </c>
      <c r="EY886" s="0" t="n">
        <v>1</v>
      </c>
      <c r="EZ886" s="4" t="n">
        <v>20000</v>
      </c>
      <c r="FA886" s="4" t="n">
        <v>18000</v>
      </c>
      <c r="FB886" s="0" t="n">
        <v>0</v>
      </c>
      <c r="FC886" s="1" t="n">
        <v>41288</v>
      </c>
      <c r="FD886" s="0" t="n">
        <v>1</v>
      </c>
      <c r="FE886" s="0" t="n">
        <v>14000</v>
      </c>
      <c r="FF886" s="120" t="n">
        <f aca="false">(CJ886-CI886+1)/365</f>
        <v>2.79452054794521</v>
      </c>
      <c r="FG886" s="0" t="str">
        <f aca="false">CONCATENATE(F886,"/",G886)</f>
        <v>339/2011</v>
      </c>
      <c r="FH886" s="0" t="n">
        <v>1</v>
      </c>
      <c r="FI886" s="0" t="n">
        <f aca="false">IFERROR(IF((FC886-J886+1)/365&gt;3,0,1),"")</f>
        <v>1</v>
      </c>
    </row>
    <row r="887" customFormat="false" ht="15" hidden="false" customHeight="false" outlineLevel="0" collapsed="false">
      <c r="A887" s="5" t="str">
        <f aca="false">E887&amp;G887&amp;F887</f>
        <v>72011341</v>
      </c>
      <c r="B887" s="0" t="s">
        <v>8106</v>
      </c>
      <c r="C887" s="1" t="n">
        <v>42391</v>
      </c>
      <c r="E887" s="0" t="n">
        <v>7</v>
      </c>
      <c r="F887" s="0" t="n">
        <v>341</v>
      </c>
      <c r="G887" s="0" t="n">
        <v>2011</v>
      </c>
      <c r="H887" s="0" t="str">
        <f aca="false">"J"&amp;E887&amp;"\"&amp;F887&amp;"\"&amp;G887&amp;"\"&amp;W887</f>
        <v>J7\341\2011\1</v>
      </c>
      <c r="I887" s="0"/>
      <c r="J887" s="1" t="n">
        <v>40596</v>
      </c>
      <c r="K887" s="0" t="n">
        <v>0</v>
      </c>
      <c r="M887" s="1" t="n">
        <v>40596</v>
      </c>
      <c r="N887" s="1" t="n">
        <v>40675</v>
      </c>
      <c r="O887" s="1"/>
      <c r="P887" s="1"/>
      <c r="Q887" s="1"/>
      <c r="T887" s="121"/>
      <c r="U887" s="121"/>
      <c r="V887" s="122" t="n">
        <f aca="false">IF(AND(E887&gt;0,F887&gt;0,G887&gt;0),COUNTIFS($E:$E,E887,$F:$F,F887,$G:$G,G887),"")</f>
        <v>1</v>
      </c>
      <c r="W887" s="122" t="n">
        <f aca="false">IF(V887="","",IF(V887=1,1,IF(AND(E886=E887,F886=F887,G886=G887),W886+1,1)))</f>
        <v>1</v>
      </c>
      <c r="X887" s="0" t="n">
        <v>1</v>
      </c>
      <c r="Y887" s="0" t="n">
        <v>4</v>
      </c>
      <c r="Z887" s="0" t="s">
        <v>8138</v>
      </c>
      <c r="AA887" s="0" t="n">
        <v>0</v>
      </c>
      <c r="AB887" s="0" t="s">
        <v>1264</v>
      </c>
      <c r="AC887" s="0" t="s">
        <v>244</v>
      </c>
      <c r="AD887" s="0" t="s">
        <v>229</v>
      </c>
      <c r="AE887" s="0" t="n">
        <v>0</v>
      </c>
      <c r="AF887" s="0" t="s">
        <v>8139</v>
      </c>
      <c r="AG887" s="0" t="n">
        <v>0</v>
      </c>
      <c r="AH887" s="0" t="s">
        <v>8140</v>
      </c>
      <c r="AI887" s="0" t="s">
        <v>8141</v>
      </c>
      <c r="AJ887" s="0" t="s">
        <v>268</v>
      </c>
      <c r="AL887" s="0" t="s">
        <v>8142</v>
      </c>
      <c r="AM887" s="0" t="n">
        <v>1</v>
      </c>
      <c r="AN887" s="0" t="s">
        <v>8140</v>
      </c>
      <c r="AO887" s="0" t="s">
        <v>8141</v>
      </c>
      <c r="AP887" s="0" t="s">
        <v>268</v>
      </c>
      <c r="AR887" s="0" t="s">
        <v>8143</v>
      </c>
      <c r="AS887" s="0" t="n">
        <v>1</v>
      </c>
      <c r="AT887" s="0" t="s">
        <v>8140</v>
      </c>
      <c r="AU887" s="0" t="s">
        <v>8141</v>
      </c>
      <c r="AV887" s="0" t="s">
        <v>268</v>
      </c>
      <c r="AX887" s="0" t="s">
        <v>1637</v>
      </c>
      <c r="AY887" s="0" t="n">
        <v>1</v>
      </c>
      <c r="AZ887" s="0" t="s">
        <v>8140</v>
      </c>
      <c r="BA887" s="0" t="s">
        <v>8141</v>
      </c>
      <c r="BB887" s="0" t="s">
        <v>268</v>
      </c>
      <c r="BR887" s="0" t="n">
        <v>1</v>
      </c>
      <c r="BS887" s="0" t="s">
        <v>1271</v>
      </c>
      <c r="BT887" s="0" t="s">
        <v>1272</v>
      </c>
      <c r="BU887" s="0" t="s">
        <v>1273</v>
      </c>
      <c r="BV887" s="123"/>
      <c r="BW887" s="123"/>
      <c r="BX887" s="123"/>
      <c r="BY887" s="123"/>
      <c r="CA887" s="0" t="s">
        <v>1274</v>
      </c>
      <c r="CD887" s="0" t="s">
        <v>296</v>
      </c>
      <c r="CE887" s="0" t="n">
        <v>0</v>
      </c>
      <c r="CF887" s="0" t="s">
        <v>2082</v>
      </c>
      <c r="CI887" s="1" t="n">
        <v>40306</v>
      </c>
      <c r="CJ887" s="1" t="n">
        <v>40583</v>
      </c>
      <c r="CK887" s="124" t="n">
        <v>0.375</v>
      </c>
      <c r="CL887" s="0" t="s">
        <v>8143</v>
      </c>
      <c r="CM887" s="0" t="n">
        <f aca="false">IF(OR(CI887="",CJ887=""),"",DAYS360(CI887,CJ887)/360)</f>
        <v>0.752777777777778</v>
      </c>
      <c r="CN887" s="0" t="n">
        <f aca="false">IF(OR(CI887="",CJ887=""),"",DAYS360(CI887,CJ887)/30)</f>
        <v>9.03333333333333</v>
      </c>
      <c r="CO887" s="0" t="n">
        <f aca="false">IF(OR(CI887="",CJ887=""),"",DAYS360(CI887,CJ887)/7)</f>
        <v>38.7142857142857</v>
      </c>
      <c r="CP887" s="0" t="n">
        <f aca="false">IF(OR(CI887="",CJ887=""),"",DAYS360(CI887,CJ887))</f>
        <v>271</v>
      </c>
      <c r="CQ887" s="0" t="s">
        <v>240</v>
      </c>
      <c r="CR887" s="0" t="n">
        <v>1</v>
      </c>
      <c r="CT887" s="0" t="n">
        <v>200</v>
      </c>
      <c r="CU887" s="0" t="n">
        <v>0</v>
      </c>
      <c r="CV887" s="0" t="n">
        <f aca="false">IF(OR(CT887="",CT887="NO ESPECIFICA",CT887="NO MENCIONA"),"",IF(CU887=0,CT887,IF(CU887=1,CT887/30,IF(CU887=2,CT887/15,IF(CU887=3,CT887/7,"")))))</f>
        <v>200</v>
      </c>
      <c r="CW887" s="125" t="n">
        <v>285.63</v>
      </c>
      <c r="CX887" s="0" t="n">
        <v>0</v>
      </c>
      <c r="CY887" s="0" t="n">
        <f aca="false">IF(CW887="","",IF(CX887=0,CW887,IF(CX887=1,CW887/30,IF(CX887=2,CW887/15,IF(CX887=3,CW887/7,CW887)))))</f>
        <v>285.63</v>
      </c>
      <c r="CZ887" s="0" t="n">
        <f aca="false">IF(DI887&gt;0,DI887,IF(CY887&gt;0,CY887,IF(CV887&gt;0,CV887,"")))</f>
        <v>285.63</v>
      </c>
      <c r="DA887" s="0" t="n">
        <f aca="false">IF(DM887=1,CZ887/8,IF(OR(DM887=2,DM887=4),CZ887/7,IF(DM887=3,CZ887/7.5,"")))</f>
        <v>35.70375</v>
      </c>
      <c r="DB887" s="0" t="s">
        <v>301</v>
      </c>
      <c r="DC887" s="0" t="s">
        <v>302</v>
      </c>
      <c r="DD887" s="0" t="s">
        <v>303</v>
      </c>
      <c r="DE887" s="0" t="s">
        <v>259</v>
      </c>
      <c r="DF887" s="0" t="s">
        <v>6977</v>
      </c>
      <c r="DG887" s="0" t="s">
        <v>2959</v>
      </c>
      <c r="DH887" s="0" t="n">
        <v>0</v>
      </c>
      <c r="DI887" s="126" t="n">
        <v>285.63</v>
      </c>
      <c r="DK887" s="0" t="n">
        <v>1</v>
      </c>
      <c r="DM887" s="0" t="n">
        <v>1</v>
      </c>
      <c r="DN887" s="0" t="n">
        <v>66</v>
      </c>
      <c r="DO887" s="0" t="n">
        <v>3</v>
      </c>
      <c r="DP887" s="0" t="n">
        <v>0</v>
      </c>
      <c r="DQ887" s="0" t="n">
        <v>1</v>
      </c>
      <c r="DR887" s="0"/>
      <c r="DS887" s="0" t="n">
        <v>1</v>
      </c>
      <c r="DU887" s="0" t="n">
        <v>1</v>
      </c>
      <c r="DW887" s="1" t="n">
        <v>40306</v>
      </c>
      <c r="DX887" s="1" t="n">
        <v>40583</v>
      </c>
      <c r="DZ887" s="0"/>
      <c r="EA887" s="0" t="n">
        <v>1</v>
      </c>
      <c r="EC887" s="1" t="n">
        <v>40306</v>
      </c>
      <c r="ED887" s="1" t="n">
        <v>40583</v>
      </c>
      <c r="EF887" s="0"/>
      <c r="EG887" s="0" t="n">
        <v>1</v>
      </c>
      <c r="EH887" s="0" t="n">
        <v>18</v>
      </c>
      <c r="EI887" s="0" t="n">
        <f aca="false">IF(AND(DM887=1,DN887&lt;=48),"",IF(AND(DM887=2,DN887&lt;=42),"",IF(AND(DM887=3,DN887&lt;=45),"",EH887)))</f>
        <v>18</v>
      </c>
      <c r="EJ887" s="0" t="n">
        <f aca="false">IF(EI887="","",IF(EI887&lt;9,EI887,9))</f>
        <v>9</v>
      </c>
      <c r="EK887" s="0" t="n">
        <f aca="false">IF(EI887="","",IF(EI887&gt;9,EI887-EJ887,0))</f>
        <v>9</v>
      </c>
      <c r="EL887" s="0" t="n">
        <f aca="false">IF(EI887="","",EJ887*DA887*2+EK887*DA887*3)</f>
        <v>1606.66875</v>
      </c>
      <c r="EP887" s="0" t="n">
        <v>0</v>
      </c>
      <c r="EQ887" s="0"/>
      <c r="ER887" s="0" t="n">
        <v>1</v>
      </c>
      <c r="ET887" s="0" t="n">
        <v>1</v>
      </c>
      <c r="EV887" s="0" t="n">
        <v>1</v>
      </c>
      <c r="EX887" s="0" t="n">
        <v>1</v>
      </c>
      <c r="EY887" s="0" t="n">
        <v>0</v>
      </c>
      <c r="EZ887" s="0"/>
      <c r="FA887" s="4" t="n">
        <v>9140.16</v>
      </c>
      <c r="FB887" s="0" t="n">
        <v>0</v>
      </c>
      <c r="FC887" s="1"/>
      <c r="FF887" s="120" t="n">
        <f aca="false">(CJ887-CI887+1)/365</f>
        <v>0.761643835616438</v>
      </c>
      <c r="FG887" s="0" t="str">
        <f aca="false">CONCATENATE(F887,"/",G887)</f>
        <v>341/2011</v>
      </c>
      <c r="FH887" s="0" t="n">
        <v>1</v>
      </c>
      <c r="FI887" s="0" t="n">
        <f aca="false">IFERROR(IF((FC887-J887+1)/365&gt;3,0,1),"")</f>
        <v>1</v>
      </c>
    </row>
    <row r="888" customFormat="false" ht="15" hidden="false" customHeight="false" outlineLevel="0" collapsed="false">
      <c r="A888" s="5" t="str">
        <f aca="false">E888&amp;G888&amp;F888</f>
        <v>72011346</v>
      </c>
      <c r="B888" s="0" t="s">
        <v>8106</v>
      </c>
      <c r="C888" s="1" t="n">
        <v>42391</v>
      </c>
      <c r="D888" s="0" t="s">
        <v>1630</v>
      </c>
      <c r="E888" s="0" t="n">
        <v>7</v>
      </c>
      <c r="F888" s="0" t="n">
        <v>346</v>
      </c>
      <c r="G888" s="0" t="n">
        <v>2011</v>
      </c>
      <c r="H888" s="0" t="str">
        <f aca="false">"J"&amp;E888&amp;"\"&amp;F888&amp;"\"&amp;G888&amp;"\"&amp;W888</f>
        <v>J7\346\2011\1</v>
      </c>
      <c r="I888" s="0"/>
      <c r="J888" s="1" t="n">
        <v>40597</v>
      </c>
      <c r="K888" s="0" t="n">
        <v>0</v>
      </c>
      <c r="M888" s="1"/>
      <c r="N888" s="1"/>
      <c r="O888" s="1"/>
      <c r="P888" s="1"/>
      <c r="Q888" s="1"/>
      <c r="T888" s="121"/>
      <c r="U888" s="121"/>
      <c r="V888" s="122" t="n">
        <f aca="false">IF(AND(E888&gt;0,F888&gt;0,G888&gt;0),COUNTIFS($E:$E,E888,$F:$F,F888,$G:$G,G888),"")</f>
        <v>1</v>
      </c>
      <c r="W888" s="122" t="n">
        <f aca="false">IF(V888="","",IF(V888=1,1,IF(AND(E887=E888,F887=F888,G887=G888),W887+1,1)))</f>
        <v>1</v>
      </c>
      <c r="X888" s="0" t="n">
        <v>1</v>
      </c>
      <c r="Y888" s="0" t="n">
        <v>3</v>
      </c>
      <c r="Z888" s="0" t="s">
        <v>8144</v>
      </c>
      <c r="AA888" s="0" t="n">
        <v>0</v>
      </c>
      <c r="AB888" s="0" t="s">
        <v>8145</v>
      </c>
      <c r="AC888" s="0" t="s">
        <v>228</v>
      </c>
      <c r="AD888" s="0" t="s">
        <v>229</v>
      </c>
      <c r="AE888" s="0" t="n">
        <v>0</v>
      </c>
      <c r="AF888" s="0" t="s">
        <v>8146</v>
      </c>
      <c r="AG888" s="0" t="n">
        <v>0</v>
      </c>
      <c r="AH888" s="0" t="s">
        <v>6540</v>
      </c>
      <c r="AI888" s="0" t="s">
        <v>8147</v>
      </c>
      <c r="AJ888" s="0" t="s">
        <v>322</v>
      </c>
      <c r="AL888" s="0" t="s">
        <v>8148</v>
      </c>
      <c r="AM888" s="0" t="n">
        <v>1</v>
      </c>
      <c r="AN888" s="0" t="s">
        <v>6540</v>
      </c>
      <c r="AO888" s="0" t="s">
        <v>8147</v>
      </c>
      <c r="AP888" s="0" t="s">
        <v>322</v>
      </c>
      <c r="AR888" s="0" t="s">
        <v>1637</v>
      </c>
      <c r="AS888" s="0" t="n">
        <v>1</v>
      </c>
      <c r="AT888" s="0" t="s">
        <v>6540</v>
      </c>
      <c r="AU888" s="0" t="s">
        <v>8147</v>
      </c>
      <c r="AV888" s="0" t="s">
        <v>322</v>
      </c>
      <c r="BR888" s="0" t="n">
        <v>3</v>
      </c>
      <c r="BS888" s="0" t="s">
        <v>499</v>
      </c>
      <c r="BT888" s="0" t="s">
        <v>1818</v>
      </c>
      <c r="BU888" s="0" t="s">
        <v>1841</v>
      </c>
      <c r="BV888" s="123"/>
      <c r="BW888" s="123"/>
      <c r="BX888" s="123"/>
      <c r="BY888" s="123"/>
      <c r="CA888" s="0" t="s">
        <v>348</v>
      </c>
      <c r="CD888" s="0" t="s">
        <v>296</v>
      </c>
      <c r="CE888" s="0" t="n">
        <v>0</v>
      </c>
      <c r="CF888" s="0" t="s">
        <v>1027</v>
      </c>
      <c r="CI888" s="1" t="n">
        <v>40070</v>
      </c>
      <c r="CJ888" s="1" t="n">
        <v>40542</v>
      </c>
      <c r="CK888" s="124" t="n">
        <v>0.770833333333333</v>
      </c>
      <c r="CL888" s="0" t="s">
        <v>8148</v>
      </c>
      <c r="CM888" s="0" t="n">
        <f aca="false">IF(OR(CI888="",CJ888=""),"",DAYS360(CI888,CJ888)/360)</f>
        <v>1.29444444444444</v>
      </c>
      <c r="CN888" s="0" t="n">
        <f aca="false">IF(OR(CI888="",CJ888=""),"",DAYS360(CI888,CJ888)/30)</f>
        <v>15.5333333333333</v>
      </c>
      <c r="CO888" s="0" t="n">
        <f aca="false">IF(OR(CI888="",CJ888=""),"",DAYS360(CI888,CJ888)/7)</f>
        <v>66.5714285714286</v>
      </c>
      <c r="CP888" s="0" t="n">
        <f aca="false">IF(OR(CI888="",CJ888=""),"",DAYS360(CI888,CJ888))</f>
        <v>466</v>
      </c>
      <c r="CQ888" s="0" t="s">
        <v>240</v>
      </c>
      <c r="CR888" s="0" t="n">
        <v>1</v>
      </c>
      <c r="CT888" s="0" t="n">
        <v>250</v>
      </c>
      <c r="CU888" s="0" t="n">
        <v>0</v>
      </c>
      <c r="CV888" s="0" t="n">
        <f aca="false">IF(OR(CT888="",CT888="NO ESPECIFICA",CT888="NO MENCIONA"),"",IF(CU888=0,CT888,IF(CU888=1,CT888/30,IF(CU888=2,CT888/15,IF(CU888=3,CT888/7,"")))))</f>
        <v>250</v>
      </c>
      <c r="CW888" s="125" t="n">
        <v>261.63</v>
      </c>
      <c r="CX888" s="0" t="n">
        <v>0</v>
      </c>
      <c r="CY888" s="0" t="n">
        <f aca="false">IF(CW888="","",IF(CX888=0,CW888,IF(CX888=1,CW888/30,IF(CX888=2,CW888/15,IF(CX888=3,CW888/7,CW888)))))</f>
        <v>261.63</v>
      </c>
      <c r="CZ888" s="0" t="n">
        <f aca="false">IF(DI888&gt;0,DI888,IF(CY888&gt;0,CY888,IF(CV888&gt;0,CV888,"")))</f>
        <v>261.63</v>
      </c>
      <c r="DA888" s="0" t="n">
        <f aca="false">IF(DM888=1,CZ888/8,IF(OR(DM888=2,DM888=4),CZ888/7,IF(DM888=3,CZ888/7.5,"")))</f>
        <v>34.884</v>
      </c>
      <c r="DB888" s="0" t="s">
        <v>303</v>
      </c>
      <c r="DC888" s="0" t="s">
        <v>301</v>
      </c>
      <c r="DD888" s="0" t="s">
        <v>216</v>
      </c>
      <c r="DE888" s="0" t="s">
        <v>216</v>
      </c>
      <c r="DF888" s="0" t="s">
        <v>216</v>
      </c>
      <c r="DG888" s="0" t="s">
        <v>216</v>
      </c>
      <c r="DH888" s="0" t="n">
        <v>0</v>
      </c>
      <c r="DI888" s="126" t="n">
        <v>261.63</v>
      </c>
      <c r="DK888" s="0" t="n">
        <v>1</v>
      </c>
      <c r="DM888" s="0" t="n">
        <v>3</v>
      </c>
      <c r="DN888" s="0" t="n">
        <v>42</v>
      </c>
      <c r="DO888" s="0" t="n">
        <v>3</v>
      </c>
      <c r="DP888" s="0" t="n">
        <v>0</v>
      </c>
      <c r="DQ888" s="0" t="n">
        <v>1</v>
      </c>
      <c r="DR888" s="0"/>
      <c r="DS888" s="0" t="n">
        <v>1</v>
      </c>
      <c r="DU888" s="0" t="n">
        <v>1</v>
      </c>
      <c r="DW888" s="1" t="n">
        <v>40070</v>
      </c>
      <c r="DX888" s="1" t="n">
        <v>40542</v>
      </c>
      <c r="DZ888" s="0"/>
      <c r="EA888" s="0" t="n">
        <v>1</v>
      </c>
      <c r="EC888" s="1" t="n">
        <v>40070</v>
      </c>
      <c r="ED888" s="1" t="n">
        <v>40542</v>
      </c>
      <c r="EF888" s="0"/>
      <c r="EG888" s="0" t="n">
        <v>0</v>
      </c>
      <c r="EI888" s="0" t="str">
        <f aca="false">IF(AND(DM888=1,DN888&lt;=48),"",IF(AND(DM888=2,DN888&lt;=42),"",IF(AND(DM888=3,DN888&lt;=45),"",EH888)))</f>
        <v/>
      </c>
      <c r="EJ888" s="0" t="str">
        <f aca="false">IF(EI888="","",IF(EI888&lt;9,EI888,9))</f>
        <v/>
      </c>
      <c r="EK888" s="0" t="str">
        <f aca="false">IF(EI888="","",IF(EI888&gt;9,EI888-EJ888,0))</f>
        <v/>
      </c>
      <c r="EL888" s="0" t="str">
        <f aca="false">IF(EI888="","",EJ888*DA888*2+EK888*DA888*3)</f>
        <v/>
      </c>
      <c r="EP888" s="0" t="n">
        <v>0</v>
      </c>
      <c r="EQ888" s="0"/>
      <c r="ER888" s="0" t="n">
        <v>0</v>
      </c>
      <c r="ET888" s="0" t="n">
        <v>0</v>
      </c>
      <c r="EV888" s="0" t="n">
        <v>0</v>
      </c>
      <c r="EX888" s="0" t="n">
        <v>0</v>
      </c>
      <c r="EY888" s="0" t="n">
        <v>0</v>
      </c>
      <c r="EZ888" s="0"/>
      <c r="FA888" s="4" t="n">
        <v>2354.67</v>
      </c>
      <c r="FB888" s="0" t="n">
        <v>0</v>
      </c>
      <c r="FC888" s="1" t="n">
        <v>41080</v>
      </c>
      <c r="FD888" s="0" t="n">
        <v>1</v>
      </c>
      <c r="FE888" s="0" t="n">
        <v>8000</v>
      </c>
      <c r="FF888" s="120" t="n">
        <f aca="false">(CJ888-CI888+1)/365</f>
        <v>1.2958904109589</v>
      </c>
      <c r="FG888" s="0" t="str">
        <f aca="false">CONCATENATE(F888,"/",G888)</f>
        <v>346/2011</v>
      </c>
      <c r="FH888" s="0" t="n">
        <v>1</v>
      </c>
      <c r="FI888" s="0" t="n">
        <f aca="false">IFERROR(IF((FC888-J888+1)/365&gt;3,0,1),"")</f>
        <v>1</v>
      </c>
    </row>
    <row r="889" customFormat="false" ht="15" hidden="false" customHeight="false" outlineLevel="0" collapsed="false">
      <c r="A889" s="5" t="str">
        <f aca="false">E889&amp;G889&amp;F889</f>
        <v>72011347</v>
      </c>
      <c r="B889" s="0" t="s">
        <v>8106</v>
      </c>
      <c r="C889" s="1" t="n">
        <v>42391</v>
      </c>
      <c r="D889" s="0" t="s">
        <v>1630</v>
      </c>
      <c r="E889" s="0" t="n">
        <v>7</v>
      </c>
      <c r="F889" s="0" t="n">
        <v>347</v>
      </c>
      <c r="G889" s="0" t="n">
        <v>2011</v>
      </c>
      <c r="H889" s="0" t="str">
        <f aca="false">"J"&amp;E889&amp;"\"&amp;F889&amp;"\"&amp;G889&amp;"\"&amp;W889</f>
        <v>J7\347\2011\1</v>
      </c>
      <c r="I889" s="0"/>
      <c r="J889" s="1" t="n">
        <v>40597</v>
      </c>
      <c r="K889" s="0" t="n">
        <v>0</v>
      </c>
      <c r="M889" s="1"/>
      <c r="N889" s="1"/>
      <c r="O889" s="1"/>
      <c r="P889" s="1"/>
      <c r="Q889" s="1"/>
      <c r="T889" s="121"/>
      <c r="U889" s="121"/>
      <c r="V889" s="122" t="n">
        <f aca="false">IF(AND(E889&gt;0,F889&gt;0,G889&gt;0),COUNTIFS($E:$E,E889,$F:$F,F889,$G:$G,G889),"")</f>
        <v>1</v>
      </c>
      <c r="W889" s="122" t="n">
        <f aca="false">IF(V889="","",IF(V889=1,1,IF(AND(E888=E889,F888=F889,G888=G889),W888+1,1)))</f>
        <v>1</v>
      </c>
      <c r="X889" s="0" t="n">
        <v>1</v>
      </c>
      <c r="Y889" s="0" t="n">
        <v>1</v>
      </c>
      <c r="Z889" s="0" t="s">
        <v>8149</v>
      </c>
      <c r="AA889" s="0" t="n">
        <v>0</v>
      </c>
      <c r="AB889" s="0" t="s">
        <v>8150</v>
      </c>
      <c r="AC889" s="0" t="s">
        <v>274</v>
      </c>
      <c r="AD889" s="0" t="s">
        <v>221</v>
      </c>
      <c r="AE889" s="0" t="n">
        <v>0</v>
      </c>
      <c r="AF889" s="0" t="s">
        <v>8151</v>
      </c>
      <c r="AG889" s="0" t="n">
        <v>1</v>
      </c>
      <c r="AH889" s="0" t="s">
        <v>8152</v>
      </c>
      <c r="AI889" s="0" t="s">
        <v>8153</v>
      </c>
      <c r="AJ889" s="0" t="s">
        <v>352</v>
      </c>
      <c r="BR889" s="0" t="n">
        <v>1</v>
      </c>
      <c r="BS889" s="0" t="s">
        <v>8154</v>
      </c>
      <c r="BT889" s="0" t="s">
        <v>8155</v>
      </c>
      <c r="BU889" s="0" t="s">
        <v>8156</v>
      </c>
      <c r="BV889" s="123"/>
      <c r="BW889" s="123"/>
      <c r="BX889" s="123"/>
      <c r="BY889" s="123"/>
      <c r="CA889" s="0" t="s">
        <v>216</v>
      </c>
      <c r="CD889" s="0" t="s">
        <v>370</v>
      </c>
      <c r="CE889" s="0" t="n">
        <v>1</v>
      </c>
      <c r="CF889" s="0" t="s">
        <v>8157</v>
      </c>
      <c r="CI889" s="1" t="n">
        <v>39545</v>
      </c>
      <c r="CJ889" s="1" t="n">
        <v>40582</v>
      </c>
      <c r="CK889" s="124" t="n">
        <v>0.361111111111111</v>
      </c>
      <c r="CL889" s="0" t="s">
        <v>8151</v>
      </c>
      <c r="CM889" s="0" t="n">
        <f aca="false">IF(OR(CI889="",CJ889=""),"",DAYS360(CI889,CJ889)/360)</f>
        <v>2.83611111111111</v>
      </c>
      <c r="CN889" s="0" t="n">
        <f aca="false">IF(OR(CI889="",CJ889=""),"",DAYS360(CI889,CJ889)/30)</f>
        <v>34.0333333333333</v>
      </c>
      <c r="CO889" s="0" t="n">
        <f aca="false">IF(OR(CI889="",CJ889=""),"",DAYS360(CI889,CJ889)/7)</f>
        <v>145.857142857143</v>
      </c>
      <c r="CP889" s="0" t="n">
        <f aca="false">IF(OR(CI889="",CJ889=""),"",DAYS360(CI889,CJ889))</f>
        <v>1021</v>
      </c>
      <c r="CQ889" s="0" t="s">
        <v>240</v>
      </c>
      <c r="CR889" s="0" t="n">
        <v>1</v>
      </c>
      <c r="CT889" s="0" t="n">
        <v>5500</v>
      </c>
      <c r="CU889" s="0" t="n">
        <v>1</v>
      </c>
      <c r="CV889" s="0" t="n">
        <f aca="false">IF(OR(CT889="",CT889="NO ESPECIFICA",CT889="NO MENCIONA"),"",IF(CU889=0,CT889,IF(CU889=1,CT889/30,IF(CU889=2,CT889/15,IF(CU889=3,CT889/7,"")))))</f>
        <v>183.333333333333</v>
      </c>
      <c r="CW889" s="125" t="s">
        <v>216</v>
      </c>
      <c r="CX889" s="0" t="s">
        <v>216</v>
      </c>
      <c r="CY889" s="0" t="str">
        <f aca="false">IF(CW889="","",IF(CX889=0,CW889,IF(CX889=1,CW889/30,IF(CX889=2,CW889/15,IF(CX889=3,CW889/7,CW889)))))</f>
        <v>NO MENCIONA</v>
      </c>
      <c r="CZ889" s="0" t="n">
        <f aca="false">IF(DI889&gt;0,DI889,IF(CY889&gt;0,CY889,IF(CV889&gt;0,CV889,"")))</f>
        <v>183.333333333333</v>
      </c>
      <c r="DA889" s="0" t="n">
        <f aca="false">IF(DM889=1,CZ889/8,IF(OR(DM889=2,DM889=4),CZ889/7,IF(DM889=3,CZ889/7.5,"")))</f>
        <v>22.9166666666667</v>
      </c>
      <c r="DB889" s="0" t="s">
        <v>216</v>
      </c>
      <c r="DC889" s="0" t="s">
        <v>216</v>
      </c>
      <c r="DD889" s="0" t="s">
        <v>216</v>
      </c>
      <c r="DE889" s="0" t="s">
        <v>216</v>
      </c>
      <c r="DF889" s="0" t="s">
        <v>216</v>
      </c>
      <c r="DG889" s="0" t="s">
        <v>216</v>
      </c>
      <c r="DH889" s="0" t="n">
        <v>0</v>
      </c>
      <c r="DI889" s="126" t="n">
        <v>183.333333333333</v>
      </c>
      <c r="DK889" s="0" t="n">
        <v>0</v>
      </c>
      <c r="DM889" s="0" t="n">
        <v>1</v>
      </c>
      <c r="DN889" s="0" t="n">
        <v>40</v>
      </c>
      <c r="DO889" s="0" t="n">
        <v>3</v>
      </c>
      <c r="DP889" s="0" t="n">
        <v>0</v>
      </c>
      <c r="DQ889" s="0" t="n">
        <v>1</v>
      </c>
      <c r="DR889" s="0"/>
      <c r="DS889" s="0" t="n">
        <v>1</v>
      </c>
      <c r="DU889" s="0" t="n">
        <v>1</v>
      </c>
      <c r="DW889" s="1" t="n">
        <v>40179</v>
      </c>
      <c r="DX889" s="1" t="n">
        <v>40582</v>
      </c>
      <c r="DZ889" s="0"/>
      <c r="EA889" s="0" t="n">
        <v>1</v>
      </c>
      <c r="EC889" s="1" t="n">
        <v>40179</v>
      </c>
      <c r="ED889" s="1" t="n">
        <v>40582</v>
      </c>
      <c r="EF889" s="0"/>
      <c r="EG889" s="0" t="n">
        <v>0</v>
      </c>
      <c r="EI889" s="0" t="str">
        <f aca="false">IF(AND(DM889=1,DN889&lt;=48),"",IF(AND(DM889=2,DN889&lt;=42),"",IF(AND(DM889=3,DN889&lt;=45),"",EH889)))</f>
        <v/>
      </c>
      <c r="EJ889" s="0" t="str">
        <f aca="false">IF(EI889="","",IF(EI889&lt;9,EI889,9))</f>
        <v/>
      </c>
      <c r="EK889" s="0" t="str">
        <f aca="false">IF(EI889="","",IF(EI889&gt;9,EI889-EJ889,0))</f>
        <v/>
      </c>
      <c r="EL889" s="0" t="str">
        <f aca="false">IF(EI889="","",EJ889*DA889*2+EK889*DA889*3)</f>
        <v/>
      </c>
      <c r="EP889" s="0" t="n">
        <v>0</v>
      </c>
      <c r="EQ889" s="0"/>
      <c r="ER889" s="0" t="n">
        <v>0</v>
      </c>
      <c r="ET889" s="0" t="n">
        <v>0</v>
      </c>
      <c r="EV889" s="0" t="n">
        <v>0</v>
      </c>
      <c r="EX889" s="0" t="n">
        <v>0</v>
      </c>
      <c r="EY889" s="0" t="n">
        <v>0</v>
      </c>
      <c r="EZ889" s="0"/>
      <c r="FA889" s="4" t="n">
        <v>0</v>
      </c>
      <c r="FB889" s="0" t="n">
        <v>0</v>
      </c>
      <c r="FC889" s="1" t="n">
        <v>41922</v>
      </c>
      <c r="FD889" s="0" t="n">
        <v>4</v>
      </c>
      <c r="FE889" s="0" t="n">
        <v>0</v>
      </c>
      <c r="FF889" s="120" t="n">
        <f aca="false">(CJ889-CI889+1)/365</f>
        <v>2.84383561643836</v>
      </c>
      <c r="FG889" s="0" t="str">
        <f aca="false">CONCATENATE(F889,"/",G889)</f>
        <v>347/2011</v>
      </c>
      <c r="FH889" s="0" t="n">
        <v>1</v>
      </c>
      <c r="FI889" s="0" t="n">
        <f aca="false">IFERROR(IF((FC889-J889+1)/365&gt;3,0,1),"")</f>
        <v>0</v>
      </c>
    </row>
    <row r="890" customFormat="false" ht="15" hidden="false" customHeight="false" outlineLevel="0" collapsed="false">
      <c r="A890" s="5" t="str">
        <f aca="false">E890&amp;G890&amp;F890</f>
        <v>72011349</v>
      </c>
      <c r="B890" s="0" t="s">
        <v>8106</v>
      </c>
      <c r="C890" s="1" t="n">
        <v>42391</v>
      </c>
      <c r="E890" s="0" t="n">
        <v>7</v>
      </c>
      <c r="F890" s="0" t="n">
        <v>349</v>
      </c>
      <c r="G890" s="0" t="n">
        <v>2011</v>
      </c>
      <c r="H890" s="0" t="str">
        <f aca="false">"J"&amp;E890&amp;"\"&amp;F890&amp;"\"&amp;G890&amp;"\"&amp;W890</f>
        <v>J7\349\2011\1</v>
      </c>
      <c r="I890" s="0"/>
      <c r="J890" s="1" t="n">
        <v>40597</v>
      </c>
      <c r="K890" s="0" t="n">
        <v>0</v>
      </c>
      <c r="M890" s="1" t="n">
        <v>40597</v>
      </c>
      <c r="N890" s="1" t="n">
        <v>40676</v>
      </c>
      <c r="O890" s="1"/>
      <c r="P890" s="1"/>
      <c r="Q890" s="1"/>
      <c r="T890" s="121"/>
      <c r="U890" s="121"/>
      <c r="V890" s="122" t="n">
        <f aca="false">IF(AND(E890&gt;0,F890&gt;0,G890&gt;0),COUNTIFS($E:$E,E890,$F:$F,F890,$G:$G,G890),"")</f>
        <v>1</v>
      </c>
      <c r="W890" s="122" t="n">
        <f aca="false">IF(V890="","",IF(V890=1,1,IF(AND(E889=E890,F889=F890,G889=G890),W889+1,1)))</f>
        <v>1</v>
      </c>
      <c r="X890" s="0" t="n">
        <v>1</v>
      </c>
      <c r="Y890" s="0" t="n">
        <v>3</v>
      </c>
      <c r="Z890" s="0" t="s">
        <v>8158</v>
      </c>
      <c r="AA890" s="0" t="n">
        <v>0</v>
      </c>
      <c r="AB890" s="0" t="s">
        <v>8159</v>
      </c>
      <c r="AC890" s="0" t="s">
        <v>3409</v>
      </c>
      <c r="AD890" s="0" t="s">
        <v>322</v>
      </c>
      <c r="AE890" s="0" t="n">
        <v>0</v>
      </c>
      <c r="AF890" s="0" t="s">
        <v>8160</v>
      </c>
      <c r="AG890" s="0" t="n">
        <v>0</v>
      </c>
      <c r="AH890" s="0" t="s">
        <v>2553</v>
      </c>
      <c r="AI890" s="0" t="s">
        <v>8161</v>
      </c>
      <c r="AJ890" s="0" t="s">
        <v>221</v>
      </c>
      <c r="AL890" s="0" t="s">
        <v>8162</v>
      </c>
      <c r="AM890" s="0" t="n">
        <v>1</v>
      </c>
      <c r="AN890" s="0" t="s">
        <v>2553</v>
      </c>
      <c r="AO890" s="0" t="s">
        <v>8161</v>
      </c>
      <c r="AP890" s="0" t="s">
        <v>221</v>
      </c>
      <c r="AR890" s="0" t="s">
        <v>1637</v>
      </c>
      <c r="AS890" s="0" t="n">
        <v>1</v>
      </c>
      <c r="AT890" s="0" t="s">
        <v>2553</v>
      </c>
      <c r="AU890" s="0" t="s">
        <v>8161</v>
      </c>
      <c r="AV890" s="0" t="s">
        <v>221</v>
      </c>
      <c r="BR890" s="0" t="n">
        <v>1</v>
      </c>
      <c r="BS890" s="0" t="s">
        <v>8163</v>
      </c>
      <c r="BT890" s="0" t="s">
        <v>3413</v>
      </c>
      <c r="BU890" s="0" t="s">
        <v>8164</v>
      </c>
      <c r="BV890" s="123"/>
      <c r="BW890" s="123"/>
      <c r="BX890" s="123"/>
      <c r="BY890" s="123"/>
      <c r="CA890" s="0" t="s">
        <v>216</v>
      </c>
      <c r="CD890" s="0" t="s">
        <v>370</v>
      </c>
      <c r="CE890" s="0" t="n">
        <v>0</v>
      </c>
      <c r="CF890" s="0" t="s">
        <v>2281</v>
      </c>
      <c r="CI890" s="1" t="n">
        <v>35432</v>
      </c>
      <c r="CJ890" s="1" t="n">
        <v>40560</v>
      </c>
      <c r="CK890" s="124" t="n">
        <v>0.708333333333333</v>
      </c>
      <c r="CL890" s="0" t="s">
        <v>8162</v>
      </c>
      <c r="CM890" s="0" t="n">
        <f aca="false">IF(OR(CI890="",CJ890=""),"",DAYS360(CI890,CJ890)/360)</f>
        <v>14.0416666666667</v>
      </c>
      <c r="CN890" s="0" t="n">
        <f aca="false">IF(OR(CI890="",CJ890=""),"",DAYS360(CI890,CJ890)/30)</f>
        <v>168.5</v>
      </c>
      <c r="CO890" s="0" t="n">
        <f aca="false">IF(OR(CI890="",CJ890=""),"",DAYS360(CI890,CJ890)/7)</f>
        <v>722.142857142857</v>
      </c>
      <c r="CP890" s="0" t="n">
        <f aca="false">IF(OR(CI890="",CJ890=""),"",DAYS360(CI890,CJ890))</f>
        <v>5055</v>
      </c>
      <c r="CQ890" s="0" t="s">
        <v>240</v>
      </c>
      <c r="CR890" s="0" t="n">
        <v>1</v>
      </c>
      <c r="CT890" s="0" t="s">
        <v>221</v>
      </c>
      <c r="CU890" s="0" t="s">
        <v>221</v>
      </c>
      <c r="CV890" s="0" t="str">
        <f aca="false">IF(OR(CT890="",CT890="NO ESPECIFICA",CT890="NO MENCIONA"),"",IF(CU890=0,CT890,IF(CU890=1,CT890/30,IF(CU890=2,CT890/15,IF(CU890=3,CT890/7,"")))))</f>
        <v/>
      </c>
      <c r="CW890" s="125" t="n">
        <v>250</v>
      </c>
      <c r="CX890" s="0" t="n">
        <v>0</v>
      </c>
      <c r="CY890" s="0" t="n">
        <f aca="false">IF(CW890="","",IF(CX890=0,CW890,IF(CX890=1,CW890/30,IF(CX890=2,CW890/15,IF(CX890=3,CW890/7,CW890)))))</f>
        <v>250</v>
      </c>
      <c r="CZ890" s="0" t="n">
        <f aca="false">IF(DI890&gt;0,DI890,IF(CY890&gt;0,CY890,IF(CV890&gt;0,CV890,"")))</f>
        <v>250</v>
      </c>
      <c r="DA890" s="0" t="n">
        <f aca="false">IF(DM890=1,CZ890/8,IF(OR(DM890=2,DM890=4),CZ890/7,IF(DM890=3,CZ890/7.5,"")))</f>
        <v>31.25</v>
      </c>
      <c r="DB890" s="0" t="s">
        <v>216</v>
      </c>
      <c r="DC890" s="0" t="s">
        <v>216</v>
      </c>
      <c r="DD890" s="0" t="s">
        <v>216</v>
      </c>
      <c r="DE890" s="0" t="s">
        <v>216</v>
      </c>
      <c r="DF890" s="0" t="s">
        <v>216</v>
      </c>
      <c r="DG890" s="0" t="s">
        <v>216</v>
      </c>
      <c r="DH890" s="0" t="n">
        <v>0</v>
      </c>
      <c r="DI890" s="126" t="n">
        <v>250</v>
      </c>
      <c r="DK890" s="0" t="n">
        <v>0</v>
      </c>
      <c r="DM890" s="0" t="n">
        <v>1</v>
      </c>
      <c r="DN890" s="0" t="n">
        <v>48</v>
      </c>
      <c r="DO890" s="0" t="n">
        <v>3</v>
      </c>
      <c r="DP890" s="0" t="n">
        <v>0</v>
      </c>
      <c r="DQ890" s="0" t="n">
        <v>1</v>
      </c>
      <c r="DR890" s="0" t="n">
        <v>22500</v>
      </c>
      <c r="DS890" s="0" t="n">
        <v>1</v>
      </c>
      <c r="DU890" s="0" t="n">
        <v>1</v>
      </c>
      <c r="DW890" s="1" t="n">
        <v>39815</v>
      </c>
      <c r="DX890" s="1" t="n">
        <v>40560</v>
      </c>
      <c r="DZ890" s="0"/>
      <c r="EA890" s="0" t="n">
        <v>1</v>
      </c>
      <c r="EC890" s="1" t="n">
        <v>40179</v>
      </c>
      <c r="ED890" s="1" t="n">
        <v>40560</v>
      </c>
      <c r="EF890" s="0"/>
      <c r="EG890" s="0" t="n">
        <v>0</v>
      </c>
      <c r="EI890" s="0" t="str">
        <f aca="false">IF(AND(DM890=1,DN890&lt;=48),"",IF(AND(DM890=2,DN890&lt;=42),"",IF(AND(DM890=3,DN890&lt;=45),"",EH890)))</f>
        <v/>
      </c>
      <c r="EJ890" s="0" t="str">
        <f aca="false">IF(EI890="","",IF(EI890&lt;9,EI890,9))</f>
        <v/>
      </c>
      <c r="EK890" s="0" t="str">
        <f aca="false">IF(EI890="","",IF(EI890&gt;9,EI890-EJ890,0))</f>
        <v/>
      </c>
      <c r="EL890" s="0" t="str">
        <f aca="false">IF(EI890="","",EJ890*DA890*2+EK890*DA890*3)</f>
        <v/>
      </c>
      <c r="EP890" s="0" t="n">
        <v>0</v>
      </c>
      <c r="EQ890" s="0"/>
      <c r="ER890" s="0" t="n">
        <v>0</v>
      </c>
      <c r="ET890" s="0" t="n">
        <v>0</v>
      </c>
      <c r="EV890" s="0" t="n">
        <v>0</v>
      </c>
      <c r="EX890" s="0" t="n">
        <v>0</v>
      </c>
      <c r="EY890" s="0" t="n">
        <v>1</v>
      </c>
      <c r="EZ890" s="0"/>
      <c r="FA890" s="4" t="n">
        <v>0</v>
      </c>
      <c r="FB890" s="0" t="n">
        <v>0</v>
      </c>
      <c r="FC890" s="1" t="n">
        <v>40676</v>
      </c>
      <c r="FD890" s="0" t="n">
        <v>1</v>
      </c>
      <c r="FE890" s="0" t="n">
        <v>25000</v>
      </c>
      <c r="FF890" s="120" t="n">
        <f aca="false">(CJ890-CI890+1)/365</f>
        <v>14.0520547945205</v>
      </c>
      <c r="FG890" s="0" t="str">
        <f aca="false">CONCATENATE(F890,"/",G890)</f>
        <v>349/2011</v>
      </c>
      <c r="FH890" s="0" t="n">
        <v>1</v>
      </c>
      <c r="FI890" s="0" t="n">
        <f aca="false">IFERROR(IF((FC890-J890+1)/365&gt;3,0,1),"")</f>
        <v>1</v>
      </c>
    </row>
    <row r="891" customFormat="false" ht="15" hidden="false" customHeight="false" outlineLevel="0" collapsed="false">
      <c r="A891" s="5" t="str">
        <f aca="false">E891&amp;G891&amp;F891</f>
        <v>72011351</v>
      </c>
      <c r="B891" s="0" t="s">
        <v>8106</v>
      </c>
      <c r="C891" s="1" t="n">
        <v>42391</v>
      </c>
      <c r="D891" s="0" t="s">
        <v>1630</v>
      </c>
      <c r="E891" s="0" t="n">
        <v>7</v>
      </c>
      <c r="F891" s="0" t="n">
        <v>351</v>
      </c>
      <c r="G891" s="0" t="n">
        <v>2011</v>
      </c>
      <c r="H891" s="0" t="str">
        <f aca="false">"J"&amp;E891&amp;"\"&amp;F891&amp;"\"&amp;G891&amp;"\"&amp;W891</f>
        <v>J7\351\2011\1</v>
      </c>
      <c r="I891" s="0"/>
      <c r="J891" s="1" t="n">
        <v>40597</v>
      </c>
      <c r="K891" s="0" t="n">
        <v>0</v>
      </c>
      <c r="M891" s="1"/>
      <c r="N891" s="1"/>
      <c r="O891" s="1"/>
      <c r="P891" s="1"/>
      <c r="Q891" s="1"/>
      <c r="T891" s="121"/>
      <c r="U891" s="121"/>
      <c r="V891" s="122" t="n">
        <f aca="false">IF(AND(E891&gt;0,F891&gt;0,G891&gt;0),COUNTIFS($E:$E,E891,$F:$F,F891,$G:$G,G891),"")</f>
        <v>1</v>
      </c>
      <c r="W891" s="122" t="n">
        <f aca="false">IF(V891="","",IF(V891=1,1,IF(AND(E890=E891,F890=F891,G890=G891),W890+1,1)))</f>
        <v>1</v>
      </c>
      <c r="X891" s="0" t="n">
        <v>1</v>
      </c>
      <c r="Y891" s="0" t="n">
        <v>3</v>
      </c>
      <c r="Z891" s="0" t="s">
        <v>8165</v>
      </c>
      <c r="AA891" s="0" t="n">
        <v>0</v>
      </c>
      <c r="AB891" s="0" t="s">
        <v>5290</v>
      </c>
      <c r="AC891" s="0" t="s">
        <v>1757</v>
      </c>
      <c r="AD891" s="0" t="s">
        <v>411</v>
      </c>
      <c r="AE891" s="0" t="n">
        <v>0</v>
      </c>
      <c r="AF891" s="0" t="s">
        <v>8166</v>
      </c>
      <c r="AG891" s="0" t="n">
        <v>0</v>
      </c>
      <c r="AH891" s="0" t="s">
        <v>8167</v>
      </c>
      <c r="AI891" s="0" t="s">
        <v>6512</v>
      </c>
      <c r="AJ891" s="0" t="s">
        <v>755</v>
      </c>
      <c r="AL891" s="0" t="s">
        <v>8168</v>
      </c>
      <c r="AM891" s="0" t="n">
        <v>1</v>
      </c>
      <c r="AN891" s="0" t="s">
        <v>8167</v>
      </c>
      <c r="AO891" s="0" t="s">
        <v>6512</v>
      </c>
      <c r="AP891" s="0" t="s">
        <v>755</v>
      </c>
      <c r="AR891" s="0" t="s">
        <v>1637</v>
      </c>
      <c r="AS891" s="0" t="n">
        <v>1</v>
      </c>
      <c r="AT891" s="0" t="s">
        <v>8167</v>
      </c>
      <c r="AU891" s="0" t="s">
        <v>6512</v>
      </c>
      <c r="AV891" s="0" t="s">
        <v>755</v>
      </c>
      <c r="BR891" s="0" t="n">
        <v>1</v>
      </c>
      <c r="BS891" s="0" t="s">
        <v>8169</v>
      </c>
      <c r="BT891" s="0" t="s">
        <v>8170</v>
      </c>
      <c r="BU891" s="0" t="s">
        <v>8171</v>
      </c>
      <c r="BV891" s="123"/>
      <c r="BW891" s="123"/>
      <c r="BX891" s="123"/>
      <c r="BY891" s="123"/>
      <c r="CA891" s="0" t="s">
        <v>216</v>
      </c>
      <c r="CD891" s="0" t="s">
        <v>256</v>
      </c>
      <c r="CE891" s="0" t="n">
        <v>0</v>
      </c>
      <c r="CF891" s="0" t="s">
        <v>611</v>
      </c>
      <c r="CI891" s="1" t="n">
        <v>40392</v>
      </c>
      <c r="CJ891" s="1" t="n">
        <v>40539</v>
      </c>
      <c r="CK891" s="124" t="n">
        <v>0.333333333333333</v>
      </c>
      <c r="CL891" s="0" t="s">
        <v>8168</v>
      </c>
      <c r="CM891" s="0" t="n">
        <f aca="false">IF(OR(CI891="",CJ891=""),"",DAYS360(CI891,CJ891)/360)</f>
        <v>0.402777777777778</v>
      </c>
      <c r="CN891" s="0" t="n">
        <f aca="false">IF(OR(CI891="",CJ891=""),"",DAYS360(CI891,CJ891)/30)</f>
        <v>4.83333333333333</v>
      </c>
      <c r="CO891" s="0" t="n">
        <f aca="false">IF(OR(CI891="",CJ891=""),"",DAYS360(CI891,CJ891)/7)</f>
        <v>20.7142857142857</v>
      </c>
      <c r="CP891" s="0" t="n">
        <f aca="false">IF(OR(CI891="",CJ891=""),"",DAYS360(CI891,CJ891))</f>
        <v>145</v>
      </c>
      <c r="CQ891" s="0" t="s">
        <v>240</v>
      </c>
      <c r="CR891" s="0" t="n">
        <v>1</v>
      </c>
      <c r="CT891" s="0" t="n">
        <v>180</v>
      </c>
      <c r="CU891" s="0" t="n">
        <v>0</v>
      </c>
      <c r="CV891" s="0" t="n">
        <f aca="false">IF(OR(CT891="",CT891="NO ESPECIFICA",CT891="NO MENCIONA"),"",IF(CU891=0,CT891,IF(CU891=1,CT891/30,IF(CU891=2,CT891/15,IF(CU891=3,CT891/7,"")))))</f>
        <v>180</v>
      </c>
      <c r="CW891" s="125" t="n">
        <v>202.18</v>
      </c>
      <c r="CX891" s="0" t="n">
        <v>0</v>
      </c>
      <c r="CY891" s="0" t="n">
        <f aca="false">IF(CW891="","",IF(CX891=0,CW891,IF(CX891=1,CW891/30,IF(CX891=2,CW891/15,IF(CX891=3,CW891/7,CW891)))))</f>
        <v>202.18</v>
      </c>
      <c r="CZ891" s="0" t="n">
        <f aca="false">IF(DI891&gt;0,DI891,IF(CY891&gt;0,CY891,IF(CV891&gt;0,CV891,"")))</f>
        <v>202.18</v>
      </c>
      <c r="DA891" s="0" t="n">
        <f aca="false">IF(DM891=1,CZ891/8,IF(OR(DM891=2,DM891=4),CZ891/7,IF(DM891=3,CZ891/7.5,"")))</f>
        <v>25.2725</v>
      </c>
      <c r="DB891" s="0" t="s">
        <v>303</v>
      </c>
      <c r="DC891" s="0" t="s">
        <v>301</v>
      </c>
      <c r="DD891" s="0" t="s">
        <v>216</v>
      </c>
      <c r="DE891" s="0" t="s">
        <v>216</v>
      </c>
      <c r="DF891" s="0" t="s">
        <v>216</v>
      </c>
      <c r="DG891" s="0" t="s">
        <v>216</v>
      </c>
      <c r="DH891" s="0" t="n">
        <v>0</v>
      </c>
      <c r="DI891" s="126" t="n">
        <v>202.18</v>
      </c>
      <c r="DK891" s="0" t="n">
        <v>1</v>
      </c>
      <c r="DM891" s="0" t="n">
        <v>1</v>
      </c>
      <c r="DN891" s="0" t="n">
        <v>72</v>
      </c>
      <c r="DO891" s="0" t="n">
        <v>3</v>
      </c>
      <c r="DP891" s="0" t="n">
        <v>0</v>
      </c>
      <c r="DQ891" s="0" t="n">
        <v>1</v>
      </c>
      <c r="DR891" s="0"/>
      <c r="DS891" s="0" t="n">
        <v>1</v>
      </c>
      <c r="DU891" s="0" t="n">
        <v>0</v>
      </c>
      <c r="DW891" s="1" t="n">
        <v>40392</v>
      </c>
      <c r="DX891" s="1" t="n">
        <v>40539</v>
      </c>
      <c r="DZ891" s="0"/>
      <c r="EA891" s="0" t="n">
        <v>1</v>
      </c>
      <c r="EC891" s="1" t="n">
        <v>40392</v>
      </c>
      <c r="ED891" s="1" t="n">
        <v>40539</v>
      </c>
      <c r="EF891" s="0"/>
      <c r="EG891" s="0" t="n">
        <v>1</v>
      </c>
      <c r="EH891" s="0" t="n">
        <v>24</v>
      </c>
      <c r="EI891" s="0" t="n">
        <f aca="false">IF(AND(DM891=1,DN891&lt;=48),"",IF(AND(DM891=2,DN891&lt;=42),"",IF(AND(DM891=3,DN891&lt;=45),"",EH891)))</f>
        <v>24</v>
      </c>
      <c r="EJ891" s="0" t="n">
        <f aca="false">IF(EI891="","",IF(EI891&lt;9,EI891,9))</f>
        <v>9</v>
      </c>
      <c r="EK891" s="0" t="n">
        <f aca="false">IF(EI891="","",IF(EI891&gt;9,EI891-EJ891,0))</f>
        <v>15</v>
      </c>
      <c r="EL891" s="0" t="n">
        <f aca="false">IF(EI891="","",EJ891*DA891*2+EK891*DA891*3)</f>
        <v>1592.1675</v>
      </c>
      <c r="EP891" s="0" t="n">
        <v>0</v>
      </c>
      <c r="EQ891" s="0"/>
      <c r="ER891" s="0" t="n">
        <v>0</v>
      </c>
      <c r="ET891" s="0" t="n">
        <v>1</v>
      </c>
      <c r="EV891" s="0" t="n">
        <v>1</v>
      </c>
      <c r="EX891" s="0" t="n">
        <v>1</v>
      </c>
      <c r="EY891" s="0" t="n">
        <v>0</v>
      </c>
      <c r="EZ891" s="0"/>
      <c r="FA891" s="4" t="n">
        <v>2426.16</v>
      </c>
      <c r="FB891" s="0" t="n">
        <v>1</v>
      </c>
      <c r="FC891" s="1" t="n">
        <v>41131</v>
      </c>
      <c r="FD891" s="0" t="n">
        <v>1</v>
      </c>
      <c r="FE891" s="0" t="n">
        <v>13247</v>
      </c>
      <c r="FF891" s="120" t="n">
        <f aca="false">(CJ891-CI891+1)/365</f>
        <v>0.405479452054794</v>
      </c>
      <c r="FG891" s="0" t="str">
        <f aca="false">CONCATENATE(F891,"/",G891)</f>
        <v>351/2011</v>
      </c>
      <c r="FH891" s="0" t="n">
        <v>1</v>
      </c>
      <c r="FI891" s="0" t="n">
        <f aca="false">IFERROR(IF((FC891-J891+1)/365&gt;3,0,1),"")</f>
        <v>1</v>
      </c>
    </row>
    <row r="892" customFormat="false" ht="15" hidden="false" customHeight="false" outlineLevel="0" collapsed="false">
      <c r="A892" s="5" t="str">
        <f aca="false">E892&amp;G892&amp;F892</f>
        <v>72011355</v>
      </c>
      <c r="B892" s="0" t="s">
        <v>8106</v>
      </c>
      <c r="C892" s="1" t="n">
        <v>42391</v>
      </c>
      <c r="E892" s="0" t="n">
        <v>7</v>
      </c>
      <c r="F892" s="0" t="n">
        <v>355</v>
      </c>
      <c r="G892" s="0" t="n">
        <v>2011</v>
      </c>
      <c r="H892" s="0" t="str">
        <f aca="false">"J"&amp;E892&amp;"\"&amp;F892&amp;"\"&amp;G892&amp;"\"&amp;W892</f>
        <v>J7\355\2011\1</v>
      </c>
      <c r="I892" s="0"/>
      <c r="J892" s="1" t="n">
        <v>40598</v>
      </c>
      <c r="K892" s="0" t="n">
        <v>0</v>
      </c>
      <c r="M892" s="1" t="n">
        <v>40598</v>
      </c>
      <c r="N892" s="1" t="n">
        <v>40680</v>
      </c>
      <c r="O892" s="1"/>
      <c r="P892" s="1"/>
      <c r="Q892" s="1"/>
      <c r="T892" s="121"/>
      <c r="U892" s="121"/>
      <c r="V892" s="122" t="n">
        <f aca="false">IF(AND(E892&gt;0,F892&gt;0,G892&gt;0),COUNTIFS($E:$E,E892,$F:$F,F892,$G:$G,G892),"")</f>
        <v>1</v>
      </c>
      <c r="W892" s="122" t="n">
        <f aca="false">IF(V892="","",IF(V892=1,1,IF(AND(E891=E892,F891=F892,G891=G892),W891+1,1)))</f>
        <v>1</v>
      </c>
      <c r="X892" s="0" t="n">
        <v>1</v>
      </c>
      <c r="Y892" s="0" t="n">
        <v>4</v>
      </c>
      <c r="Z892" s="0" t="s">
        <v>8172</v>
      </c>
      <c r="AA892" s="0" t="n">
        <v>0</v>
      </c>
      <c r="AB892" s="0" t="s">
        <v>8173</v>
      </c>
      <c r="AC892" s="0" t="s">
        <v>8174</v>
      </c>
      <c r="AD892" s="0" t="s">
        <v>207</v>
      </c>
      <c r="AE892" s="0" t="n">
        <v>0</v>
      </c>
      <c r="AF892" s="0" t="s">
        <v>6127</v>
      </c>
      <c r="AG892" s="0" t="n">
        <v>1</v>
      </c>
      <c r="AH892" s="0" t="s">
        <v>8175</v>
      </c>
      <c r="AI892" s="0" t="s">
        <v>287</v>
      </c>
      <c r="AJ892" s="0" t="s">
        <v>207</v>
      </c>
      <c r="AL892" s="0" t="s">
        <v>8176</v>
      </c>
      <c r="AM892" s="0" t="n">
        <v>0</v>
      </c>
      <c r="AN892" s="0" t="s">
        <v>8175</v>
      </c>
      <c r="AO892" s="0" t="s">
        <v>287</v>
      </c>
      <c r="AP892" s="0" t="s">
        <v>207</v>
      </c>
      <c r="AR892" s="0" t="s">
        <v>249</v>
      </c>
      <c r="AS892" s="0" t="n">
        <v>0</v>
      </c>
      <c r="AT892" s="0" t="s">
        <v>4148</v>
      </c>
      <c r="AU892" s="0" t="s">
        <v>251</v>
      </c>
      <c r="AV892" s="0" t="s">
        <v>229</v>
      </c>
      <c r="AX892" s="0" t="s">
        <v>412</v>
      </c>
      <c r="AY892" s="0" t="s">
        <v>437</v>
      </c>
      <c r="AZ892" s="0" t="s">
        <v>438</v>
      </c>
      <c r="BA892" s="0" t="s">
        <v>352</v>
      </c>
      <c r="BR892" s="0" t="n">
        <v>1</v>
      </c>
      <c r="BS892" s="0" t="s">
        <v>8177</v>
      </c>
      <c r="BT892" s="0" t="s">
        <v>4009</v>
      </c>
      <c r="BU892" s="0" t="s">
        <v>8178</v>
      </c>
      <c r="BV892" s="123"/>
      <c r="BW892" s="123"/>
      <c r="BX892" s="123"/>
      <c r="BY892" s="123"/>
      <c r="CA892" s="0" t="s">
        <v>216</v>
      </c>
      <c r="CD892" s="0" t="s">
        <v>256</v>
      </c>
      <c r="CE892" s="0" t="n">
        <v>0</v>
      </c>
      <c r="CF892" s="0" t="s">
        <v>8179</v>
      </c>
      <c r="CI892" s="1" t="n">
        <v>40057</v>
      </c>
      <c r="CJ892" s="1" t="n">
        <v>40557</v>
      </c>
      <c r="CK892" s="124" t="n">
        <v>0.458333333333333</v>
      </c>
      <c r="CL892" s="0" t="s">
        <v>8180</v>
      </c>
      <c r="CM892" s="0" t="n">
        <f aca="false">IF(OR(CI892="",CJ892=""),"",DAYS360(CI892,CJ892)/360)</f>
        <v>1.36944444444444</v>
      </c>
      <c r="CN892" s="0" t="n">
        <f aca="false">IF(OR(CI892="",CJ892=""),"",DAYS360(CI892,CJ892)/30)</f>
        <v>16.4333333333333</v>
      </c>
      <c r="CO892" s="0" t="n">
        <f aca="false">IF(OR(CI892="",CJ892=""),"",DAYS360(CI892,CJ892)/7)</f>
        <v>70.4285714285714</v>
      </c>
      <c r="CP892" s="0" t="n">
        <f aca="false">IF(OR(CI892="",CJ892=""),"",DAYS360(CI892,CJ892))</f>
        <v>493</v>
      </c>
      <c r="CQ892" s="0" t="s">
        <v>240</v>
      </c>
      <c r="CR892" s="0" t="n">
        <v>1</v>
      </c>
      <c r="CT892" s="0" t="s">
        <v>221</v>
      </c>
      <c r="CU892" s="0" t="s">
        <v>221</v>
      </c>
      <c r="CV892" s="0" t="str">
        <f aca="false">IF(OR(CT892="",CT892="NO ESPECIFICA",CT892="NO MENCIONA"),"",IF(CU892=0,CT892,IF(CU892=1,CT892/30,IF(CU892=2,CT892/15,IF(CU892=3,CT892/7,"")))))</f>
        <v/>
      </c>
      <c r="CW892" s="125" t="n">
        <v>322.58</v>
      </c>
      <c r="CX892" s="0" t="n">
        <v>0</v>
      </c>
      <c r="CY892" s="0" t="n">
        <f aca="false">IF(CW892="","",IF(CX892=0,CW892,IF(CX892=1,CW892/30,IF(CX892=2,CW892/15,IF(CX892=3,CW892/7,CW892)))))</f>
        <v>322.58</v>
      </c>
      <c r="CZ892" s="0" t="n">
        <f aca="false">IF(DI892&gt;0,DI892,IF(CY892&gt;0,CY892,IF(CV892&gt;0,CV892,"")))</f>
        <v>322.58</v>
      </c>
      <c r="DA892" s="0" t="n">
        <f aca="false">IF(DM892=1,CZ892/8,IF(OR(DM892=2,DM892=4),CZ892/7,IF(DM892=3,CZ892/7.5,"")))</f>
        <v>40.3225</v>
      </c>
      <c r="DB892" s="0" t="s">
        <v>216</v>
      </c>
      <c r="DC892" s="0" t="s">
        <v>216</v>
      </c>
      <c r="DD892" s="0" t="s">
        <v>216</v>
      </c>
      <c r="DE892" s="0" t="s">
        <v>216</v>
      </c>
      <c r="DF892" s="0" t="s">
        <v>216</v>
      </c>
      <c r="DG892" s="0" t="s">
        <v>216</v>
      </c>
      <c r="DH892" s="0" t="n">
        <v>0</v>
      </c>
      <c r="DI892" s="126" t="n">
        <v>322.58</v>
      </c>
      <c r="DK892" s="0" t="n">
        <v>1</v>
      </c>
      <c r="DM892" s="0" t="n">
        <v>1</v>
      </c>
      <c r="DN892" s="0" t="n">
        <v>45</v>
      </c>
      <c r="DO892" s="0" t="n">
        <v>3</v>
      </c>
      <c r="DP892" s="0" t="n">
        <v>0</v>
      </c>
      <c r="DQ892" s="0" t="n">
        <v>1</v>
      </c>
      <c r="DR892" s="0"/>
      <c r="DS892" s="0" t="n">
        <v>1</v>
      </c>
      <c r="DU892" s="0" t="n">
        <v>1</v>
      </c>
      <c r="DW892" s="1" t="n">
        <v>40057</v>
      </c>
      <c r="DX892" s="1" t="n">
        <v>40557</v>
      </c>
      <c r="DZ892" s="0"/>
      <c r="EA892" s="0" t="n">
        <v>1</v>
      </c>
      <c r="EC892" s="1" t="n">
        <v>40544</v>
      </c>
      <c r="ED892" s="1" t="n">
        <v>40557</v>
      </c>
      <c r="EF892" s="0"/>
      <c r="EG892" s="0" t="n">
        <v>0</v>
      </c>
      <c r="EI892" s="0" t="str">
        <f aca="false">IF(AND(DM892=1,DN892&lt;=48),"",IF(AND(DM892=2,DN892&lt;=42),"",IF(AND(DM892=3,DN892&lt;=45),"",EH892)))</f>
        <v/>
      </c>
      <c r="EJ892" s="0" t="str">
        <f aca="false">IF(EI892="","",IF(EI892&lt;9,EI892,9))</f>
        <v/>
      </c>
      <c r="EK892" s="0" t="str">
        <f aca="false">IF(EI892="","",IF(EI892&gt;9,EI892-EJ892,0))</f>
        <v/>
      </c>
      <c r="EL892" s="0" t="str">
        <f aca="false">IF(EI892="","",EJ892*DA892*2+EK892*DA892*3)</f>
        <v/>
      </c>
      <c r="EP892" s="0" t="n">
        <v>0</v>
      </c>
      <c r="EQ892" s="0"/>
      <c r="ER892" s="0" t="n">
        <v>0</v>
      </c>
      <c r="ET892" s="0" t="n">
        <v>0</v>
      </c>
      <c r="EV892" s="0" t="n">
        <v>0</v>
      </c>
      <c r="EX892" s="0" t="n">
        <v>1</v>
      </c>
      <c r="EY892" s="0" t="n">
        <v>0</v>
      </c>
      <c r="EZ892" s="0"/>
      <c r="FA892" s="4" t="n">
        <v>0</v>
      </c>
      <c r="FB892" s="0" t="n">
        <v>1</v>
      </c>
      <c r="FC892" s="1" t="n">
        <v>41598</v>
      </c>
      <c r="FD892" s="0" t="n">
        <v>1</v>
      </c>
      <c r="FE892" s="0" t="n">
        <v>7000</v>
      </c>
      <c r="FF892" s="120" t="n">
        <f aca="false">(CJ892-CI892+1)/365</f>
        <v>1.37260273972603</v>
      </c>
      <c r="FG892" s="0" t="str">
        <f aca="false">CONCATENATE(F892,"/",G892)</f>
        <v>355/2011</v>
      </c>
      <c r="FH892" s="0" t="n">
        <v>1</v>
      </c>
      <c r="FI892" s="0" t="n">
        <f aca="false">IFERROR(IF((FC892-J892+1)/365&gt;3,0,1),"")</f>
        <v>1</v>
      </c>
    </row>
    <row r="893" customFormat="false" ht="15" hidden="false" customHeight="false" outlineLevel="0" collapsed="false">
      <c r="A893" s="5" t="str">
        <f aca="false">E893&amp;G893&amp;F893</f>
        <v>72011358</v>
      </c>
      <c r="B893" s="0" t="s">
        <v>8106</v>
      </c>
      <c r="C893" s="1" t="n">
        <v>42391</v>
      </c>
      <c r="E893" s="0" t="n">
        <v>7</v>
      </c>
      <c r="F893" s="0" t="n">
        <v>358</v>
      </c>
      <c r="G893" s="0" t="n">
        <v>2011</v>
      </c>
      <c r="H893" s="0" t="str">
        <f aca="false">"J"&amp;E893&amp;"\"&amp;F893&amp;"\"&amp;G893&amp;"\"&amp;W893</f>
        <v>J7\358\2011\1</v>
      </c>
      <c r="I893" s="0"/>
      <c r="J893" s="1" t="n">
        <v>40598</v>
      </c>
      <c r="K893" s="0" t="n">
        <v>0</v>
      </c>
      <c r="M893" s="1" t="n">
        <v>40598</v>
      </c>
      <c r="N893" s="1" t="n">
        <v>40679</v>
      </c>
      <c r="O893" s="1"/>
      <c r="P893" s="1"/>
      <c r="Q893" s="1"/>
      <c r="T893" s="121"/>
      <c r="U893" s="121"/>
      <c r="V893" s="122" t="n">
        <f aca="false">IF(AND(E893&gt;0,F893&gt;0,G893&gt;0),COUNTIFS($E:$E,E893,$F:$F,F893,$G:$G,G893),"")</f>
        <v>1</v>
      </c>
      <c r="W893" s="122" t="n">
        <f aca="false">IF(V893="","",IF(V893=1,1,IF(AND(E892=E893,F892=F893,G892=G893),W892+1,1)))</f>
        <v>1</v>
      </c>
      <c r="X893" s="0" t="n">
        <v>1</v>
      </c>
      <c r="Y893" s="0" t="n">
        <v>2</v>
      </c>
      <c r="Z893" s="0" t="s">
        <v>8181</v>
      </c>
      <c r="AA893" s="0" t="n">
        <v>0</v>
      </c>
      <c r="AB893" s="0" t="s">
        <v>8182</v>
      </c>
      <c r="AC893" s="0" t="s">
        <v>251</v>
      </c>
      <c r="AD893" s="0" t="s">
        <v>229</v>
      </c>
      <c r="AE893" s="0" t="n">
        <v>0</v>
      </c>
      <c r="AF893" s="0" t="s">
        <v>8183</v>
      </c>
      <c r="AG893" s="0" t="n">
        <v>0</v>
      </c>
      <c r="AH893" s="0" t="s">
        <v>8184</v>
      </c>
      <c r="AI893" s="0" t="s">
        <v>8185</v>
      </c>
      <c r="AJ893" s="0" t="s">
        <v>8186</v>
      </c>
      <c r="AL893" s="0" t="s">
        <v>1637</v>
      </c>
      <c r="AM893" s="0" t="n">
        <v>1</v>
      </c>
      <c r="AN893" s="0" t="s">
        <v>8184</v>
      </c>
      <c r="AO893" s="0" t="s">
        <v>8185</v>
      </c>
      <c r="AP893" s="0" t="s">
        <v>8186</v>
      </c>
      <c r="BR893" s="0" t="n">
        <v>1</v>
      </c>
      <c r="BS893" s="0" t="s">
        <v>6425</v>
      </c>
      <c r="BT893" s="0" t="s">
        <v>8187</v>
      </c>
      <c r="BU893" s="0" t="s">
        <v>8188</v>
      </c>
      <c r="BV893" s="123"/>
      <c r="BW893" s="123"/>
      <c r="BX893" s="123"/>
      <c r="BY893" s="123"/>
      <c r="CA893" s="0" t="s">
        <v>8189</v>
      </c>
      <c r="CD893" s="0" t="s">
        <v>256</v>
      </c>
      <c r="CE893" s="0" t="n">
        <v>0</v>
      </c>
      <c r="CF893" s="0" t="s">
        <v>8190</v>
      </c>
      <c r="CI893" s="1" t="n">
        <v>39735</v>
      </c>
      <c r="CJ893" s="1" t="n">
        <v>40569</v>
      </c>
      <c r="CK893" s="124" t="n">
        <v>0.833333333333333</v>
      </c>
      <c r="CL893" s="0" t="s">
        <v>8191</v>
      </c>
      <c r="CM893" s="0" t="n">
        <f aca="false">IF(OR(CI893="",CJ893=""),"",DAYS360(CI893,CJ893)/360)</f>
        <v>2.28333333333333</v>
      </c>
      <c r="CN893" s="0" t="n">
        <f aca="false">IF(OR(CI893="",CJ893=""),"",DAYS360(CI893,CJ893)/30)</f>
        <v>27.4</v>
      </c>
      <c r="CO893" s="0" t="n">
        <f aca="false">IF(OR(CI893="",CJ893=""),"",DAYS360(CI893,CJ893)/7)</f>
        <v>117.428571428571</v>
      </c>
      <c r="CP893" s="0" t="n">
        <f aca="false">IF(OR(CI893="",CJ893=""),"",DAYS360(CI893,CJ893))</f>
        <v>822</v>
      </c>
      <c r="CQ893" s="0" t="s">
        <v>240</v>
      </c>
      <c r="CR893" s="0" t="n">
        <v>1</v>
      </c>
      <c r="CT893" s="0" t="n">
        <v>300</v>
      </c>
      <c r="CU893" s="0" t="n">
        <v>0</v>
      </c>
      <c r="CV893" s="0" t="n">
        <f aca="false">IF(OR(CT893="",CT893="NO ESPECIFICA",CT893="NO MENCIONA"),"",IF(CU893=0,CT893,IF(CU893=1,CT893/30,IF(CU893=2,CT893/15,IF(CU893=3,CT893/7,"")))))</f>
        <v>300</v>
      </c>
      <c r="CW893" s="125" t="n">
        <v>314.58</v>
      </c>
      <c r="CX893" s="0" t="n">
        <v>0</v>
      </c>
      <c r="CY893" s="0" t="n">
        <f aca="false">IF(CW893="","",IF(CX893=0,CW893,IF(CX893=1,CW893/30,IF(CX893=2,CW893/15,IF(CX893=3,CW893/7,CW893)))))</f>
        <v>314.58</v>
      </c>
      <c r="CZ893" s="0" t="n">
        <f aca="false">IF(DI893&gt;0,DI893,IF(CY893&gt;0,CY893,IF(CV893&gt;0,CV893,"")))</f>
        <v>300</v>
      </c>
      <c r="DA893" s="0" t="n">
        <f aca="false">IF(DM893=1,CZ893/8,IF(OR(DM893=2,DM893=4),CZ893/7,IF(DM893=3,CZ893/7.5,"")))</f>
        <v>37.5</v>
      </c>
      <c r="DB893" s="0" t="s">
        <v>301</v>
      </c>
      <c r="DC893" s="0" t="s">
        <v>303</v>
      </c>
      <c r="DD893" s="0" t="s">
        <v>216</v>
      </c>
      <c r="DE893" s="0" t="s">
        <v>216</v>
      </c>
      <c r="DF893" s="0" t="s">
        <v>216</v>
      </c>
      <c r="DG893" s="0" t="s">
        <v>216</v>
      </c>
      <c r="DH893" s="0" t="n">
        <v>0</v>
      </c>
      <c r="DI893" s="126" t="n">
        <v>300</v>
      </c>
      <c r="DK893" s="0" t="n">
        <v>0</v>
      </c>
      <c r="DM893" s="0" t="n">
        <v>1</v>
      </c>
      <c r="DN893" s="0" t="n">
        <v>65</v>
      </c>
      <c r="DO893" s="0" t="n">
        <v>3</v>
      </c>
      <c r="DP893" s="0" t="n">
        <v>0</v>
      </c>
      <c r="DQ893" s="0" t="n">
        <v>1</v>
      </c>
      <c r="DR893" s="0"/>
      <c r="DS893" s="0" t="n">
        <v>1</v>
      </c>
      <c r="DU893" s="0" t="n">
        <v>1</v>
      </c>
      <c r="DW893" s="1" t="n">
        <v>39735</v>
      </c>
      <c r="DX893" s="1" t="n">
        <v>40569</v>
      </c>
      <c r="DZ893" s="0"/>
      <c r="EA893" s="0" t="n">
        <v>1</v>
      </c>
      <c r="EC893" s="1" t="n">
        <v>40179</v>
      </c>
      <c r="ED893" s="1" t="n">
        <v>40569</v>
      </c>
      <c r="EF893" s="0"/>
      <c r="EG893" s="0" t="n">
        <v>1</v>
      </c>
      <c r="EH893" s="0" t="n">
        <v>17</v>
      </c>
      <c r="EI893" s="0" t="n">
        <f aca="false">IF(AND(DM893=1,DN893&lt;=48),"",IF(AND(DM893=2,DN893&lt;=42),"",IF(AND(DM893=3,DN893&lt;=45),"",EH893)))</f>
        <v>17</v>
      </c>
      <c r="EJ893" s="0" t="n">
        <f aca="false">IF(EI893="","",IF(EI893&lt;9,EI893,9))</f>
        <v>9</v>
      </c>
      <c r="EK893" s="0" t="n">
        <f aca="false">IF(EI893="","",IF(EI893&gt;9,EI893-EJ893,0))</f>
        <v>8</v>
      </c>
      <c r="EL893" s="0" t="n">
        <f aca="false">IF(EI893="","",EJ893*DA893*2+EK893*DA893*3)</f>
        <v>1575</v>
      </c>
      <c r="EP893" s="0" t="n">
        <v>0</v>
      </c>
      <c r="EQ893" s="0"/>
      <c r="ER893" s="0" t="n">
        <v>0</v>
      </c>
      <c r="ET893" s="0" t="n">
        <v>0</v>
      </c>
      <c r="EV893" s="0" t="n">
        <v>0</v>
      </c>
      <c r="EX893" s="0" t="n">
        <v>0</v>
      </c>
      <c r="EY893" s="0" t="n">
        <v>0</v>
      </c>
      <c r="EZ893" s="0"/>
      <c r="FA893" s="4" t="n">
        <v>0</v>
      </c>
      <c r="FB893" s="0" t="n">
        <v>0</v>
      </c>
      <c r="FC893" s="1" t="n">
        <v>40963</v>
      </c>
      <c r="FD893" s="0" t="n">
        <v>1</v>
      </c>
      <c r="FE893" s="0" t="n">
        <v>13500</v>
      </c>
      <c r="FF893" s="120" t="n">
        <f aca="false">(CJ893-CI893+1)/365</f>
        <v>2.28767123287671</v>
      </c>
      <c r="FG893" s="0" t="str">
        <f aca="false">CONCATENATE(F893,"/",G893)</f>
        <v>358/2011</v>
      </c>
      <c r="FH893" s="0" t="n">
        <v>1</v>
      </c>
      <c r="FI893" s="0" t="n">
        <f aca="false">IFERROR(IF((FC893-J893+1)/365&gt;3,0,1),"")</f>
        <v>1</v>
      </c>
    </row>
    <row r="894" customFormat="false" ht="15" hidden="false" customHeight="false" outlineLevel="0" collapsed="false">
      <c r="A894" s="5" t="str">
        <f aca="false">E894&amp;G894&amp;F894</f>
        <v>72011360</v>
      </c>
      <c r="B894" s="0" t="s">
        <v>8106</v>
      </c>
      <c r="C894" s="1" t="n">
        <v>42391</v>
      </c>
      <c r="D894" s="0" t="s">
        <v>1630</v>
      </c>
      <c r="E894" s="0" t="n">
        <v>7</v>
      </c>
      <c r="F894" s="0" t="n">
        <v>360</v>
      </c>
      <c r="G894" s="0" t="n">
        <v>2011</v>
      </c>
      <c r="H894" s="0" t="str">
        <f aca="false">"J"&amp;E894&amp;"\"&amp;F894&amp;"\"&amp;G894&amp;"\"&amp;W894</f>
        <v>J7\360\2011\1</v>
      </c>
      <c r="I894" s="0"/>
      <c r="J894" s="1" t="n">
        <v>40598</v>
      </c>
      <c r="K894" s="0" t="n">
        <v>0</v>
      </c>
      <c r="M894" s="1"/>
      <c r="N894" s="1"/>
      <c r="O894" s="1"/>
      <c r="P894" s="1"/>
      <c r="Q894" s="1"/>
      <c r="T894" s="121"/>
      <c r="U894" s="121"/>
      <c r="V894" s="122" t="n">
        <f aca="false">IF(AND(E894&gt;0,F894&gt;0,G894&gt;0),COUNTIFS($E:$E,E894,$F:$F,F894,$G:$G,G894),"")</f>
        <v>1</v>
      </c>
      <c r="W894" s="122" t="n">
        <f aca="false">IF(V894="","",IF(V894=1,1,IF(AND(E893=E894,F893=F894,G893=G894),W893+1,1)))</f>
        <v>1</v>
      </c>
      <c r="X894" s="0" t="n">
        <v>1</v>
      </c>
      <c r="Y894" s="0" t="n">
        <v>7</v>
      </c>
      <c r="Z894" s="0" t="s">
        <v>8192</v>
      </c>
      <c r="AA894" s="0" t="n">
        <v>0</v>
      </c>
      <c r="AB894" s="0" t="s">
        <v>4236</v>
      </c>
      <c r="AC894" s="0" t="s">
        <v>318</v>
      </c>
      <c r="AD894" s="0" t="s">
        <v>221</v>
      </c>
      <c r="AE894" s="0" t="n">
        <v>0</v>
      </c>
      <c r="AF894" s="0" t="s">
        <v>8193</v>
      </c>
      <c r="AG894" s="0" t="n">
        <v>1</v>
      </c>
      <c r="AH894" s="0" t="s">
        <v>8194</v>
      </c>
      <c r="AI894" s="0" t="s">
        <v>8195</v>
      </c>
      <c r="AJ894" s="0" t="s">
        <v>352</v>
      </c>
      <c r="AL894" s="0" t="s">
        <v>8196</v>
      </c>
      <c r="AM894" s="0" t="n">
        <v>1</v>
      </c>
      <c r="AN894" s="0" t="s">
        <v>8194</v>
      </c>
      <c r="AO894" s="0" t="s">
        <v>8195</v>
      </c>
      <c r="AP894" s="0" t="s">
        <v>352</v>
      </c>
      <c r="AR894" s="0" t="s">
        <v>8197</v>
      </c>
      <c r="AS894" s="0" t="n">
        <v>1</v>
      </c>
      <c r="AT894" s="0" t="s">
        <v>8194</v>
      </c>
      <c r="AU894" s="0" t="s">
        <v>8195</v>
      </c>
      <c r="AV894" s="0" t="s">
        <v>352</v>
      </c>
      <c r="AX894" s="0" t="s">
        <v>8198</v>
      </c>
      <c r="AY894" s="0" t="n">
        <v>1</v>
      </c>
      <c r="AZ894" s="0" t="s">
        <v>8194</v>
      </c>
      <c r="BA894" s="0" t="s">
        <v>8195</v>
      </c>
      <c r="BB894" s="0" t="s">
        <v>352</v>
      </c>
      <c r="BD894" s="0" t="s">
        <v>8199</v>
      </c>
      <c r="BE894" s="0" t="n">
        <v>1</v>
      </c>
      <c r="BF894" s="0" t="s">
        <v>8194</v>
      </c>
      <c r="BG894" s="0" t="s">
        <v>8195</v>
      </c>
      <c r="BH894" s="0" t="s">
        <v>352</v>
      </c>
      <c r="BJ894" s="0" t="s">
        <v>8200</v>
      </c>
      <c r="BK894" s="0" t="n">
        <v>2</v>
      </c>
      <c r="BL894" s="0" t="s">
        <v>8194</v>
      </c>
      <c r="BM894" s="0" t="s">
        <v>8195</v>
      </c>
      <c r="BN894" s="0" t="s">
        <v>352</v>
      </c>
      <c r="BR894" s="0" t="n">
        <v>1</v>
      </c>
      <c r="BS894" s="0" t="s">
        <v>4243</v>
      </c>
      <c r="BT894" s="0" t="s">
        <v>1116</v>
      </c>
      <c r="BU894" s="0" t="s">
        <v>1117</v>
      </c>
      <c r="BV894" s="123"/>
      <c r="BW894" s="123"/>
      <c r="BX894" s="123"/>
      <c r="BY894" s="123"/>
      <c r="CA894" s="0" t="s">
        <v>8201</v>
      </c>
      <c r="CD894" s="0" t="s">
        <v>502</v>
      </c>
      <c r="CE894" s="0" t="n">
        <v>0</v>
      </c>
      <c r="CF894" s="0" t="s">
        <v>503</v>
      </c>
      <c r="CI894" s="1" t="n">
        <v>38154</v>
      </c>
      <c r="CJ894" s="1" t="n">
        <v>40582</v>
      </c>
      <c r="CK894" s="124" t="n">
        <v>0.701388888888889</v>
      </c>
      <c r="CL894" s="0" t="s">
        <v>8193</v>
      </c>
      <c r="CM894" s="0" t="n">
        <f aca="false">IF(OR(CI894="",CJ894=""),"",DAYS360(CI894,CJ894)/360)</f>
        <v>6.64444444444445</v>
      </c>
      <c r="CN894" s="0" t="n">
        <f aca="false">IF(OR(CI894="",CJ894=""),"",DAYS360(CI894,CJ894)/30)</f>
        <v>79.7333333333333</v>
      </c>
      <c r="CO894" s="0" t="n">
        <f aca="false">IF(OR(CI894="",CJ894=""),"",DAYS360(CI894,CJ894)/7)</f>
        <v>341.714285714286</v>
      </c>
      <c r="CP894" s="0" t="n">
        <f aca="false">IF(OR(CI894="",CJ894=""),"",DAYS360(CI894,CJ894))</f>
        <v>2392</v>
      </c>
      <c r="CQ894" s="0" t="s">
        <v>240</v>
      </c>
      <c r="CR894" s="0" t="n">
        <v>1</v>
      </c>
      <c r="CT894" s="0" t="n">
        <v>500</v>
      </c>
      <c r="CU894" s="0" t="n">
        <v>0</v>
      </c>
      <c r="CV894" s="0" t="n">
        <f aca="false">IF(OR(CT894="",CT894="NO ESPECIFICA",CT894="NO MENCIONA"),"",IF(CU894=0,CT894,IF(CU894=1,CT894/30,IF(CU894=2,CT894/15,IF(CU894=3,CT894/7,"")))))</f>
        <v>500</v>
      </c>
      <c r="CW894" s="125" t="n">
        <v>1112.87</v>
      </c>
      <c r="CX894" s="0" t="n">
        <v>0</v>
      </c>
      <c r="CY894" s="0" t="n">
        <f aca="false">IF(CW894="","",IF(CX894=0,CW894,IF(CX894=1,CW894/30,IF(CX894=2,CW894/15,IF(CX894=3,CW894/7,CW894)))))</f>
        <v>1112.87</v>
      </c>
      <c r="CZ894" s="0" t="n">
        <f aca="false">IF(DI894&gt;0,DI894,IF(CY894&gt;0,CY894,IF(CV894&gt;0,CV894,"")))</f>
        <v>1112.87</v>
      </c>
      <c r="DA894" s="0" t="n">
        <f aca="false">IF(DM894=1,CZ894/8,IF(OR(DM894=2,DM894=4),CZ894/7,IF(DM894=3,CZ894/7.5,"")))</f>
        <v>139.10875</v>
      </c>
      <c r="DB894" s="0" t="s">
        <v>303</v>
      </c>
      <c r="DC894" s="0" t="s">
        <v>301</v>
      </c>
      <c r="DD894" s="0" t="s">
        <v>1119</v>
      </c>
      <c r="DE894" s="0" t="s">
        <v>258</v>
      </c>
      <c r="DF894" s="0" t="s">
        <v>259</v>
      </c>
      <c r="DG894" s="0" t="s">
        <v>8202</v>
      </c>
      <c r="DH894" s="0" t="n">
        <v>0</v>
      </c>
      <c r="DI894" s="126" t="n">
        <v>1112.87</v>
      </c>
      <c r="DK894" s="0" t="n">
        <v>0</v>
      </c>
      <c r="DM894" s="0" t="n">
        <v>1</v>
      </c>
      <c r="DN894" s="0" t="n">
        <v>66</v>
      </c>
      <c r="DO894" s="0" t="n">
        <v>3</v>
      </c>
      <c r="DP894" s="0" t="n">
        <v>0</v>
      </c>
      <c r="DQ894" s="0" t="n">
        <v>1</v>
      </c>
      <c r="DR894" s="0"/>
      <c r="DS894" s="0" t="n">
        <v>1</v>
      </c>
      <c r="DU894" s="0" t="n">
        <v>0</v>
      </c>
      <c r="DW894" s="1" t="n">
        <v>38154</v>
      </c>
      <c r="DX894" s="1" t="n">
        <v>40582</v>
      </c>
      <c r="DZ894" s="0"/>
      <c r="EA894" s="0" t="n">
        <v>1</v>
      </c>
      <c r="EC894" s="1" t="n">
        <v>38154</v>
      </c>
      <c r="ED894" s="1" t="n">
        <v>40582</v>
      </c>
      <c r="EF894" s="0"/>
      <c r="EG894" s="0" t="n">
        <v>1</v>
      </c>
      <c r="EH894" s="0" t="n">
        <v>18</v>
      </c>
      <c r="EI894" s="0" t="n">
        <f aca="false">IF(AND(DM894=1,DN894&lt;=48),"",IF(AND(DM894=2,DN894&lt;=42),"",IF(AND(DM894=3,DN894&lt;=45),"",EH894)))</f>
        <v>18</v>
      </c>
      <c r="EJ894" s="0" t="n">
        <f aca="false">IF(EI894="","",IF(EI894&lt;9,EI894,9))</f>
        <v>9</v>
      </c>
      <c r="EK894" s="0" t="n">
        <f aca="false">IF(EI894="","",IF(EI894&gt;9,EI894-EJ894,0))</f>
        <v>9</v>
      </c>
      <c r="EL894" s="0" t="n">
        <f aca="false">IF(EI894="","",EJ894*DA894*2+EK894*DA894*3)</f>
        <v>6259.89375</v>
      </c>
      <c r="EP894" s="0" t="n">
        <v>0</v>
      </c>
      <c r="EQ894" s="0"/>
      <c r="ER894" s="0" t="n">
        <v>1</v>
      </c>
      <c r="ET894" s="0" t="n">
        <v>1</v>
      </c>
      <c r="EV894" s="0" t="n">
        <v>1</v>
      </c>
      <c r="EX894" s="0" t="n">
        <v>0</v>
      </c>
      <c r="EY894" s="0" t="n">
        <v>0</v>
      </c>
      <c r="EZ894" s="0"/>
      <c r="FA894" s="4" t="n">
        <v>8902.96</v>
      </c>
      <c r="FB894" s="0" t="n">
        <v>1</v>
      </c>
      <c r="FC894" s="1" t="n">
        <v>40639</v>
      </c>
      <c r="FD894" s="0" t="n">
        <v>2</v>
      </c>
      <c r="FE894" s="0" t="n">
        <v>0</v>
      </c>
      <c r="FF894" s="120" t="n">
        <f aca="false">(CJ894-CI894+1)/365</f>
        <v>6.65479452054795</v>
      </c>
      <c r="FG894" s="0" t="str">
        <f aca="false">CONCATENATE(F894,"/",G894)</f>
        <v>360/2011</v>
      </c>
      <c r="FH894" s="0" t="n">
        <v>1</v>
      </c>
      <c r="FI894" s="0" t="n">
        <f aca="false">IFERROR(IF((FC894-J894+1)/365&gt;3,0,1),"")</f>
        <v>1</v>
      </c>
    </row>
    <row r="895" customFormat="false" ht="15" hidden="false" customHeight="false" outlineLevel="0" collapsed="false">
      <c r="A895" s="5" t="str">
        <f aca="false">E895&amp;G895&amp;F895</f>
        <v>72011364</v>
      </c>
      <c r="B895" s="0" t="s">
        <v>8106</v>
      </c>
      <c r="C895" s="1" t="n">
        <v>42391</v>
      </c>
      <c r="E895" s="0" t="n">
        <v>7</v>
      </c>
      <c r="F895" s="0" t="n">
        <v>364</v>
      </c>
      <c r="G895" s="0" t="n">
        <v>2011</v>
      </c>
      <c r="H895" s="0" t="str">
        <f aca="false">"J"&amp;E895&amp;"\"&amp;F895&amp;"\"&amp;G895&amp;"\"&amp;W895</f>
        <v>J7\364\2011\1</v>
      </c>
      <c r="I895" s="0"/>
      <c r="J895" s="1" t="n">
        <v>40598</v>
      </c>
      <c r="K895" s="0" t="n">
        <v>1</v>
      </c>
      <c r="L895" s="0" t="s">
        <v>528</v>
      </c>
      <c r="M895" s="1" t="n">
        <v>40598</v>
      </c>
      <c r="N895" s="1" t="n">
        <v>40681</v>
      </c>
      <c r="O895" s="1"/>
      <c r="P895" s="1"/>
      <c r="Q895" s="1"/>
      <c r="T895" s="121"/>
      <c r="U895" s="121"/>
      <c r="V895" s="122" t="n">
        <f aca="false">IF(AND(E895&gt;0,F895&gt;0,G895&gt;0),COUNTIFS($E:$E,E895,$F:$F,F895,$G:$G,G895),"")</f>
        <v>1</v>
      </c>
      <c r="W895" s="122" t="n">
        <f aca="false">IF(V895="","",IF(V895=1,1,IF(AND(E894=E895,F894=F895,G894=G895),W894+1,1)))</f>
        <v>1</v>
      </c>
      <c r="X895" s="0" t="n">
        <v>1</v>
      </c>
      <c r="Y895" s="0" t="n">
        <v>5</v>
      </c>
      <c r="Z895" s="0" t="s">
        <v>8203</v>
      </c>
      <c r="AA895" s="0" t="n">
        <v>0</v>
      </c>
      <c r="AB895" s="0" t="s">
        <v>8204</v>
      </c>
      <c r="AC895" s="0" t="s">
        <v>1313</v>
      </c>
      <c r="AD895" s="0" t="s">
        <v>229</v>
      </c>
      <c r="AE895" s="0" t="n">
        <v>0</v>
      </c>
      <c r="AF895" s="0" t="s">
        <v>8205</v>
      </c>
      <c r="AG895" s="0" t="n">
        <v>0</v>
      </c>
      <c r="AH895" s="0" t="s">
        <v>8206</v>
      </c>
      <c r="AI895" s="0" t="s">
        <v>1160</v>
      </c>
      <c r="AJ895" s="0" t="s">
        <v>229</v>
      </c>
      <c r="AL895" s="0" t="s">
        <v>8207</v>
      </c>
      <c r="AM895" s="0" t="n">
        <v>0</v>
      </c>
      <c r="AN895" s="0" t="s">
        <v>8206</v>
      </c>
      <c r="AO895" s="0" t="s">
        <v>1160</v>
      </c>
      <c r="AP895" s="0" t="s">
        <v>229</v>
      </c>
      <c r="AR895" s="0" t="s">
        <v>8208</v>
      </c>
      <c r="AS895" s="0" t="n">
        <v>1</v>
      </c>
      <c r="AT895" s="0" t="s">
        <v>8206</v>
      </c>
      <c r="AU895" s="0" t="s">
        <v>1160</v>
      </c>
      <c r="AV895" s="0" t="s">
        <v>229</v>
      </c>
      <c r="AX895" s="0" t="s">
        <v>8209</v>
      </c>
      <c r="AY895" s="0" t="n">
        <v>1</v>
      </c>
      <c r="AZ895" s="0" t="s">
        <v>8206</v>
      </c>
      <c r="BA895" s="0" t="s">
        <v>1160</v>
      </c>
      <c r="BB895" s="0" t="s">
        <v>229</v>
      </c>
      <c r="BD895" s="0" t="s">
        <v>1637</v>
      </c>
      <c r="BE895" s="0" t="n">
        <v>1</v>
      </c>
      <c r="BF895" s="0" t="s">
        <v>8206</v>
      </c>
      <c r="BG895" s="0" t="s">
        <v>1160</v>
      </c>
      <c r="BH895" s="0" t="s">
        <v>229</v>
      </c>
      <c r="BR895" s="0" t="n">
        <v>1</v>
      </c>
      <c r="BS895" s="0" t="s">
        <v>8210</v>
      </c>
      <c r="BT895" s="0" t="s">
        <v>8211</v>
      </c>
      <c r="BU895" s="0" t="s">
        <v>8212</v>
      </c>
      <c r="BV895" s="123"/>
      <c r="BW895" s="123"/>
      <c r="BX895" s="123"/>
      <c r="BY895" s="123"/>
      <c r="CA895" s="0" t="s">
        <v>216</v>
      </c>
      <c r="CD895" s="0" t="s">
        <v>256</v>
      </c>
      <c r="CE895" s="0" t="n">
        <v>0</v>
      </c>
      <c r="CF895" s="0" t="s">
        <v>1309</v>
      </c>
      <c r="CI895" s="1" t="n">
        <v>39976</v>
      </c>
      <c r="CJ895" s="1" t="n">
        <v>40529</v>
      </c>
      <c r="CK895" s="124" t="n">
        <v>0.958333333333333</v>
      </c>
      <c r="CL895" s="0" t="s">
        <v>8213</v>
      </c>
      <c r="CM895" s="0" t="n">
        <f aca="false">IF(OR(CI895="",CJ895=""),"",DAYS360(CI895,CJ895)/360)</f>
        <v>1.51388888888889</v>
      </c>
      <c r="CN895" s="0" t="n">
        <f aca="false">IF(OR(CI895="",CJ895=""),"",DAYS360(CI895,CJ895)/30)</f>
        <v>18.1666666666667</v>
      </c>
      <c r="CO895" s="0" t="n">
        <f aca="false">IF(OR(CI895="",CJ895=""),"",DAYS360(CI895,CJ895)/7)</f>
        <v>77.8571428571429</v>
      </c>
      <c r="CP895" s="0" t="n">
        <f aca="false">IF(OR(CI895="",CJ895=""),"",DAYS360(CI895,CJ895))</f>
        <v>545</v>
      </c>
      <c r="CQ895" s="0" t="s">
        <v>240</v>
      </c>
      <c r="CR895" s="0" t="n">
        <v>1</v>
      </c>
      <c r="CT895" s="0" t="s">
        <v>221</v>
      </c>
      <c r="CU895" s="0" t="s">
        <v>221</v>
      </c>
      <c r="CV895" s="0" t="str">
        <f aca="false">IF(OR(CT895="",CT895="NO ESPECIFICA",CT895="NO MENCIONA"),"",IF(CU895=0,CT895,IF(CU895=1,CT895/30,IF(CU895=2,CT895/15,IF(CU895=3,CT895/7,"")))))</f>
        <v/>
      </c>
      <c r="CW895" s="125" t="n">
        <v>133.33</v>
      </c>
      <c r="CX895" s="0" t="n">
        <v>0</v>
      </c>
      <c r="CY895" s="0" t="n">
        <f aca="false">IF(CW895="","",IF(CX895=0,CW895,IF(CX895=1,CW895/30,IF(CX895=2,CW895/15,IF(CX895=3,CW895/7,CW895)))))</f>
        <v>133.33</v>
      </c>
      <c r="CZ895" s="0" t="n">
        <f aca="false">IF(DI895&gt;0,DI895,IF(CY895&gt;0,CY895,IF(CV895&gt;0,CV895,"")))</f>
        <v>133.33</v>
      </c>
      <c r="DA895" s="0" t="n">
        <f aca="false">IF(DM895=1,CZ895/8,IF(OR(DM895=2,DM895=4),CZ895/7,IF(DM895=3,CZ895/7.5,"")))</f>
        <v>17.7773333333333</v>
      </c>
      <c r="DB895" s="0" t="s">
        <v>216</v>
      </c>
      <c r="DC895" s="0" t="s">
        <v>216</v>
      </c>
      <c r="DD895" s="0" t="s">
        <v>216</v>
      </c>
      <c r="DE895" s="0" t="s">
        <v>216</v>
      </c>
      <c r="DF895" s="0" t="s">
        <v>216</v>
      </c>
      <c r="DG895" s="0" t="s">
        <v>216</v>
      </c>
      <c r="DH895" s="0" t="n">
        <v>0</v>
      </c>
      <c r="DI895" s="126" t="n">
        <v>133.33</v>
      </c>
      <c r="DK895" s="0" t="n">
        <v>0</v>
      </c>
      <c r="DM895" s="0" t="n">
        <v>3</v>
      </c>
      <c r="DN895" s="0" t="n">
        <v>63</v>
      </c>
      <c r="DO895" s="0" t="n">
        <v>3</v>
      </c>
      <c r="DP895" s="0" t="n">
        <v>0</v>
      </c>
      <c r="DQ895" s="0" t="n">
        <v>1</v>
      </c>
      <c r="DR895" s="0"/>
      <c r="DS895" s="0" t="n">
        <v>1</v>
      </c>
      <c r="DU895" s="0" t="n">
        <v>1</v>
      </c>
      <c r="DW895" s="1" t="n">
        <v>39976</v>
      </c>
      <c r="DX895" s="1" t="n">
        <v>40529</v>
      </c>
      <c r="DZ895" s="0"/>
      <c r="EA895" s="0" t="n">
        <v>1</v>
      </c>
      <c r="EC895" s="1" t="n">
        <v>39976</v>
      </c>
      <c r="ED895" s="1" t="n">
        <v>40529</v>
      </c>
      <c r="EF895" s="0"/>
      <c r="EG895" s="0" t="n">
        <v>1</v>
      </c>
      <c r="EH895" s="0" t="n">
        <v>7</v>
      </c>
      <c r="EI895" s="0" t="n">
        <f aca="false">IF(AND(DM895=1,DN895&lt;=48),"",IF(AND(DM895=2,DN895&lt;=42),"",IF(AND(DM895=3,DN895&lt;=45),"",EH895)))</f>
        <v>7</v>
      </c>
      <c r="EJ895" s="0" t="n">
        <f aca="false">IF(EI895="","",IF(EI895&lt;9,EI895,9))</f>
        <v>7</v>
      </c>
      <c r="EK895" s="0" t="n">
        <f aca="false">IF(EI895="","",IF(EI895&gt;9,EI895-EJ895,0))</f>
        <v>0</v>
      </c>
      <c r="EL895" s="0" t="n">
        <f aca="false">IF(EI895="","",EJ895*DA895*2+EK895*DA895*3)</f>
        <v>248.882666666667</v>
      </c>
      <c r="EP895" s="0" t="n">
        <v>0</v>
      </c>
      <c r="EQ895" s="0"/>
      <c r="ER895" s="0" t="n">
        <v>0</v>
      </c>
      <c r="ET895" s="0" t="n">
        <v>0</v>
      </c>
      <c r="EV895" s="0" t="n">
        <v>1</v>
      </c>
      <c r="EX895" s="0" t="n">
        <v>1</v>
      </c>
      <c r="EY895" s="0" t="n">
        <v>0</v>
      </c>
      <c r="EZ895" s="0"/>
      <c r="FA895" s="4" t="n">
        <v>400</v>
      </c>
      <c r="FB895" s="0" t="n">
        <v>0</v>
      </c>
      <c r="FC895" s="1" t="n">
        <v>40942</v>
      </c>
      <c r="FD895" s="0" t="n">
        <v>1</v>
      </c>
      <c r="FE895" s="0" t="n">
        <v>3000</v>
      </c>
      <c r="FF895" s="120" t="n">
        <f aca="false">(CJ895-CI895+1)/365</f>
        <v>1.51780821917808</v>
      </c>
      <c r="FG895" s="0" t="str">
        <f aca="false">CONCATENATE(F895,"/",G895)</f>
        <v>364/2011</v>
      </c>
      <c r="FH895" s="0" t="n">
        <v>1</v>
      </c>
      <c r="FI895" s="0" t="n">
        <f aca="false">IFERROR(IF((FC895-J895+1)/365&gt;3,0,1),"")</f>
        <v>1</v>
      </c>
    </row>
    <row r="896" customFormat="false" ht="15" hidden="false" customHeight="false" outlineLevel="0" collapsed="false">
      <c r="A896" s="5" t="str">
        <f aca="false">E896&amp;G896&amp;F896</f>
        <v>720112074</v>
      </c>
      <c r="B896" s="0" t="s">
        <v>3217</v>
      </c>
      <c r="C896" s="1" t="n">
        <v>42389</v>
      </c>
      <c r="E896" s="0" t="n">
        <v>7</v>
      </c>
      <c r="F896" s="0" t="n">
        <v>2074</v>
      </c>
      <c r="G896" s="0" t="n">
        <v>2011</v>
      </c>
      <c r="H896" s="0" t="str">
        <f aca="false">"J"&amp;E896&amp;"\"&amp;F896&amp;"\"&amp;G896&amp;"\"&amp;W896</f>
        <v>J7\2074\2011\1</v>
      </c>
      <c r="I896" s="0"/>
      <c r="J896" s="1" t="n">
        <v>40889</v>
      </c>
      <c r="K896" s="0" t="n">
        <v>1</v>
      </c>
      <c r="L896" s="0" t="s">
        <v>8214</v>
      </c>
      <c r="M896" s="1" t="n">
        <v>40889</v>
      </c>
      <c r="N896" s="1" t="n">
        <v>40956</v>
      </c>
      <c r="O896" s="1"/>
      <c r="P896" s="1"/>
      <c r="Q896" s="1"/>
      <c r="T896" s="121"/>
      <c r="U896" s="121"/>
      <c r="V896" s="122" t="n">
        <f aca="false">IF(AND(E896&gt;0,F896&gt;0,G896&gt;0),COUNTIFS($E:$E,E896,$F:$F,F896,$G:$G,G896),"")</f>
        <v>1</v>
      </c>
      <c r="W896" s="122" t="n">
        <f aca="false">IF(V896="","",IF(V896=1,1,IF(AND(E895=E896,F895=F896,G895=G896),W895+1,1)))</f>
        <v>1</v>
      </c>
      <c r="X896" s="0" t="n">
        <v>1</v>
      </c>
      <c r="Y896" s="0" t="n">
        <v>8</v>
      </c>
      <c r="Z896" s="0" t="s">
        <v>8215</v>
      </c>
      <c r="AA896" s="0" t="n">
        <v>0</v>
      </c>
      <c r="AB896" s="0" t="s">
        <v>8216</v>
      </c>
      <c r="AC896" s="0" t="s">
        <v>438</v>
      </c>
      <c r="AD896" s="0" t="s">
        <v>352</v>
      </c>
      <c r="AE896" s="0" t="n">
        <v>0</v>
      </c>
      <c r="AF896" s="0" t="s">
        <v>8217</v>
      </c>
      <c r="AG896" s="0" t="n">
        <v>0</v>
      </c>
      <c r="AH896" s="0" t="s">
        <v>8218</v>
      </c>
      <c r="AI896" s="0" t="s">
        <v>1160</v>
      </c>
      <c r="AJ896" s="0" t="s">
        <v>229</v>
      </c>
      <c r="AL896" s="0" t="s">
        <v>8219</v>
      </c>
      <c r="AM896" s="0" t="s">
        <v>221</v>
      </c>
      <c r="AN896" s="0" t="s">
        <v>8218</v>
      </c>
      <c r="AO896" s="0" t="s">
        <v>1160</v>
      </c>
      <c r="AP896" s="0" t="s">
        <v>229</v>
      </c>
      <c r="AR896" s="0" t="s">
        <v>8220</v>
      </c>
      <c r="AS896" s="0" t="n">
        <v>0</v>
      </c>
      <c r="AT896" s="0" t="s">
        <v>8221</v>
      </c>
      <c r="AU896" s="0" t="s">
        <v>2236</v>
      </c>
      <c r="AV896" s="0" t="s">
        <v>221</v>
      </c>
      <c r="AX896" s="0" t="s">
        <v>8222</v>
      </c>
      <c r="AY896" s="0" t="n">
        <v>0</v>
      </c>
      <c r="AZ896" s="0" t="s">
        <v>8223</v>
      </c>
      <c r="BA896" s="0" t="s">
        <v>8224</v>
      </c>
      <c r="BB896" s="0" t="s">
        <v>211</v>
      </c>
      <c r="BD896" s="0" t="s">
        <v>8225</v>
      </c>
      <c r="BE896" s="0" t="n">
        <v>0</v>
      </c>
      <c r="BF896" s="0" t="s">
        <v>8226</v>
      </c>
      <c r="BG896" s="0" t="s">
        <v>4576</v>
      </c>
      <c r="BH896" s="0" t="s">
        <v>519</v>
      </c>
      <c r="BJ896" s="0" t="s">
        <v>8227</v>
      </c>
      <c r="BK896" s="0" t="n">
        <v>0</v>
      </c>
      <c r="BL896" s="0" t="s">
        <v>8228</v>
      </c>
      <c r="BM896" s="0" t="s">
        <v>8224</v>
      </c>
      <c r="BN896" s="0" t="s">
        <v>211</v>
      </c>
      <c r="BR896" s="0" t="n">
        <v>1</v>
      </c>
      <c r="BS896" s="0" t="s">
        <v>8229</v>
      </c>
      <c r="BT896" s="0" t="s">
        <v>8230</v>
      </c>
      <c r="BU896" s="0" t="s">
        <v>8231</v>
      </c>
      <c r="BV896" s="123"/>
      <c r="BW896" s="123"/>
      <c r="BX896" s="123"/>
      <c r="BY896" s="123"/>
      <c r="CA896" s="0" t="s">
        <v>216</v>
      </c>
      <c r="CD896" s="0" t="s">
        <v>216</v>
      </c>
      <c r="CE896" s="0" t="n">
        <v>0</v>
      </c>
      <c r="CF896" s="0" t="s">
        <v>5571</v>
      </c>
      <c r="CI896" s="1" t="n">
        <v>39934</v>
      </c>
      <c r="CJ896" s="1" t="n">
        <v>40831</v>
      </c>
      <c r="CK896" s="124" t="s">
        <v>216</v>
      </c>
      <c r="CL896" s="0" t="s">
        <v>8232</v>
      </c>
      <c r="CM896" s="0" t="n">
        <f aca="false">IF(OR(CI896="",CJ896=""),"",DAYS360(CI896,CJ896)/360)</f>
        <v>2.45555555555556</v>
      </c>
      <c r="CN896" s="0" t="n">
        <f aca="false">IF(OR(CI896="",CJ896=""),"",DAYS360(CI896,CJ896)/30)</f>
        <v>29.4666666666667</v>
      </c>
      <c r="CO896" s="0" t="n">
        <f aca="false">IF(OR(CI896="",CJ896=""),"",DAYS360(CI896,CJ896)/7)</f>
        <v>126.285714285714</v>
      </c>
      <c r="CP896" s="0" t="n">
        <f aca="false">IF(OR(CI896="",CJ896=""),"",DAYS360(CI896,CJ896))</f>
        <v>884</v>
      </c>
      <c r="CQ896" s="0" t="s">
        <v>220</v>
      </c>
      <c r="CR896" s="0" t="n">
        <v>1</v>
      </c>
      <c r="CT896" s="0" t="s">
        <v>216</v>
      </c>
      <c r="CU896" s="0" t="s">
        <v>216</v>
      </c>
      <c r="CV896" s="0" t="str">
        <f aca="false">IF(OR(CT896="",CT896="NO ESPECIFICA",CT896="NO MENCIONA"),"",IF(CU896=0,CT896,IF(CU896=1,CT896/30,IF(CU896=2,CT896/15,IF(CU896=3,CT896/7,"")))))</f>
        <v/>
      </c>
      <c r="CW896" s="125" t="s">
        <v>216</v>
      </c>
      <c r="CX896" s="0" t="s">
        <v>216</v>
      </c>
      <c r="CY896" s="0" t="str">
        <f aca="false">IF(CW896="","",IF(CX896=0,CW896,IF(CX896=1,CW896/30,IF(CX896=2,CW896/15,IF(CX896=3,CW896/7,CW896)))))</f>
        <v>NO MENCIONA</v>
      </c>
      <c r="CZ896" s="0" t="str">
        <f aca="false">IF(DI896&gt;0,DI896,IF(CY896&gt;0,CY896,IF(CV896&gt;0,CV896,"")))</f>
        <v>NO ESPECIFICA</v>
      </c>
      <c r="DA896" s="0" t="e">
        <f aca="false">IF(DM896=1,CZ896/8,IF(OR(DM896=2,DM896=4),CZ896/7,IF(DM896=3,CZ896/7.5,"")))</f>
        <v>#VALUE!</v>
      </c>
      <c r="DB896" s="0" t="s">
        <v>216</v>
      </c>
      <c r="DC896" s="0" t="s">
        <v>216</v>
      </c>
      <c r="DD896" s="0" t="s">
        <v>216</v>
      </c>
      <c r="DE896" s="0" t="s">
        <v>216</v>
      </c>
      <c r="DF896" s="0" t="s">
        <v>216</v>
      </c>
      <c r="DG896" s="0" t="s">
        <v>216</v>
      </c>
      <c r="DH896" s="0" t="n">
        <v>0</v>
      </c>
      <c r="DI896" s="126" t="s">
        <v>221</v>
      </c>
      <c r="DK896" s="0" t="n">
        <v>0</v>
      </c>
      <c r="DM896" s="0" t="n">
        <v>1</v>
      </c>
      <c r="DN896" s="0" t="n">
        <v>70</v>
      </c>
      <c r="DO896" s="0" t="n">
        <v>3</v>
      </c>
      <c r="DP896" s="0" t="n">
        <v>1</v>
      </c>
      <c r="DQ896" s="0" t="n">
        <v>1</v>
      </c>
      <c r="DR896" s="0"/>
      <c r="DS896" s="0" t="n">
        <v>1</v>
      </c>
      <c r="DU896" s="0" t="n">
        <v>1</v>
      </c>
      <c r="DW896" s="1" t="n">
        <v>40299</v>
      </c>
      <c r="DX896" s="1" t="n">
        <v>40831</v>
      </c>
      <c r="DZ896" s="0"/>
      <c r="EA896" s="0" t="n">
        <v>1</v>
      </c>
      <c r="EC896" s="1" t="n">
        <v>40179</v>
      </c>
      <c r="ED896" s="1" t="n">
        <v>40831</v>
      </c>
      <c r="EF896" s="0"/>
      <c r="EG896" s="0" t="n">
        <v>1</v>
      </c>
      <c r="EH896" s="0" t="n">
        <v>14</v>
      </c>
      <c r="EI896" s="0" t="n">
        <f aca="false">IF(AND(DM896=1,DN896&lt;=48),"",IF(AND(DM896=2,DN896&lt;=42),"",IF(AND(DM896=3,DN896&lt;=45),"",EH896)))</f>
        <v>14</v>
      </c>
      <c r="EJ896" s="0" t="n">
        <f aca="false">IF(EI896="","",IF(EI896&lt;9,EI896,9))</f>
        <v>9</v>
      </c>
      <c r="EK896" s="0" t="n">
        <f aca="false">IF(EI896="","",IF(EI896&gt;9,EI896-EJ896,0))</f>
        <v>5</v>
      </c>
      <c r="EL896" s="0" t="e">
        <f aca="false">IF(EI896="","",EJ896*DA896*2+EK896*DA896*3)</f>
        <v>#VALUE!</v>
      </c>
      <c r="EP896" s="0" t="n">
        <v>0</v>
      </c>
      <c r="EQ896" s="0"/>
      <c r="ER896" s="0" t="n">
        <v>0</v>
      </c>
      <c r="ET896" s="0" t="n">
        <v>0</v>
      </c>
      <c r="EV896" s="0" t="n">
        <v>0</v>
      </c>
      <c r="EX896" s="0" t="n">
        <v>1</v>
      </c>
      <c r="EY896" s="0" t="n">
        <v>0</v>
      </c>
      <c r="EZ896" s="0"/>
      <c r="FA896" s="4" t="n">
        <v>0</v>
      </c>
      <c r="FB896" s="0" t="n">
        <v>0</v>
      </c>
      <c r="FC896" s="1" t="n">
        <v>41418</v>
      </c>
      <c r="FD896" s="0" t="n">
        <v>2</v>
      </c>
      <c r="FE896" s="0" t="n">
        <v>0</v>
      </c>
      <c r="FF896" s="120" t="n">
        <f aca="false">(CJ896-CI896+1)/365</f>
        <v>2.46027397260274</v>
      </c>
      <c r="FG896" s="0" t="str">
        <f aca="false">CONCATENATE(F896,"/",G896)</f>
        <v>2074/2011</v>
      </c>
      <c r="FH896" s="0" t="n">
        <v>1</v>
      </c>
      <c r="FI896" s="0" t="n">
        <f aca="false">IFERROR(IF((FC896-J896+1)/365&gt;3,0,1),"")</f>
        <v>1</v>
      </c>
    </row>
    <row r="897" customFormat="false" ht="15" hidden="false" customHeight="false" outlineLevel="0" collapsed="false">
      <c r="A897" s="5" t="str">
        <f aca="false">E897&amp;G897&amp;F897</f>
        <v>720112075</v>
      </c>
      <c r="B897" s="0" t="s">
        <v>3217</v>
      </c>
      <c r="C897" s="1" t="n">
        <v>42391</v>
      </c>
      <c r="D897" s="0" t="s">
        <v>3265</v>
      </c>
      <c r="E897" s="0" t="n">
        <v>7</v>
      </c>
      <c r="F897" s="0" t="n">
        <v>2075</v>
      </c>
      <c r="G897" s="0" t="n">
        <v>2011</v>
      </c>
      <c r="H897" s="0" t="str">
        <f aca="false">"J"&amp;E897&amp;"\"&amp;F897&amp;"\"&amp;G897&amp;"\"&amp;W897</f>
        <v>J7\2075\2011\1</v>
      </c>
      <c r="I897" s="0"/>
      <c r="J897" s="1" t="n">
        <v>40889</v>
      </c>
      <c r="K897" s="0" t="n">
        <v>0</v>
      </c>
      <c r="M897" s="1"/>
      <c r="N897" s="1"/>
      <c r="O897" s="1"/>
      <c r="P897" s="1"/>
      <c r="Q897" s="1"/>
      <c r="T897" s="121"/>
      <c r="U897" s="121"/>
      <c r="V897" s="122" t="n">
        <f aca="false">IF(AND(E897&gt;0,F897&gt;0,G897&gt;0),COUNTIFS($E:$E,E897,$F:$F,F897,$G:$G,G897),"")</f>
        <v>1</v>
      </c>
      <c r="W897" s="122" t="n">
        <f aca="false">IF(V897="","",IF(V897=1,1,IF(AND(E896=E897,F896=F897,G896=G897),W896+1,1)))</f>
        <v>1</v>
      </c>
      <c r="X897" s="0" t="n">
        <v>1</v>
      </c>
      <c r="Y897" s="0" t="n">
        <v>4</v>
      </c>
      <c r="Z897" s="0" t="s">
        <v>8233</v>
      </c>
      <c r="AA897" s="0" t="n">
        <v>0</v>
      </c>
      <c r="AB897" s="0" t="s">
        <v>2941</v>
      </c>
      <c r="AC897" s="0" t="s">
        <v>228</v>
      </c>
      <c r="AD897" s="0" t="s">
        <v>229</v>
      </c>
      <c r="AE897" s="0" t="n">
        <v>0</v>
      </c>
      <c r="AF897" s="0" t="s">
        <v>8234</v>
      </c>
      <c r="AG897" s="0" t="n">
        <v>0</v>
      </c>
      <c r="AH897" s="0" t="s">
        <v>8235</v>
      </c>
      <c r="AI897" s="0" t="s">
        <v>380</v>
      </c>
      <c r="AJ897" s="0" t="s">
        <v>322</v>
      </c>
      <c r="AL897" s="0" t="s">
        <v>8236</v>
      </c>
      <c r="AM897" s="0" t="n">
        <v>1</v>
      </c>
      <c r="AN897" s="0" t="s">
        <v>8235</v>
      </c>
      <c r="AO897" s="0" t="s">
        <v>380</v>
      </c>
      <c r="AP897" s="0" t="s">
        <v>322</v>
      </c>
      <c r="AR897" s="0" t="s">
        <v>8237</v>
      </c>
      <c r="AS897" s="0" t="n">
        <v>1</v>
      </c>
      <c r="AT897" s="0" t="s">
        <v>8235</v>
      </c>
      <c r="AU897" s="0" t="s">
        <v>380</v>
      </c>
      <c r="AV897" s="0" t="s">
        <v>322</v>
      </c>
      <c r="AX897" s="0" t="s">
        <v>1880</v>
      </c>
      <c r="AY897" s="0" t="n">
        <v>1</v>
      </c>
      <c r="AZ897" s="0" t="s">
        <v>8235</v>
      </c>
      <c r="BA897" s="0" t="s">
        <v>380</v>
      </c>
      <c r="BB897" s="0" t="s">
        <v>322</v>
      </c>
      <c r="BR897" s="0" t="n">
        <v>3</v>
      </c>
      <c r="BS897" s="0" t="s">
        <v>651</v>
      </c>
      <c r="BT897" s="0" t="s">
        <v>1818</v>
      </c>
      <c r="BU897" s="0" t="s">
        <v>1841</v>
      </c>
      <c r="BV897" s="123"/>
      <c r="BW897" s="123"/>
      <c r="BX897" s="123"/>
      <c r="BY897" s="123"/>
      <c r="CA897" s="0" t="s">
        <v>348</v>
      </c>
      <c r="CD897" s="0" t="s">
        <v>296</v>
      </c>
      <c r="CE897" s="0" t="n">
        <v>0</v>
      </c>
      <c r="CF897" s="0" t="s">
        <v>8238</v>
      </c>
      <c r="CI897" s="1" t="n">
        <v>39212</v>
      </c>
      <c r="CJ897" s="1" t="n">
        <v>40834</v>
      </c>
      <c r="CK897" s="124" t="n">
        <v>0.520833333333333</v>
      </c>
      <c r="CL897" s="0" t="s">
        <v>8237</v>
      </c>
      <c r="CM897" s="0" t="n">
        <f aca="false">IF(OR(CI897="",CJ897=""),"",DAYS360(CI897,CJ897)/360)</f>
        <v>4.43888888888889</v>
      </c>
      <c r="CN897" s="0" t="n">
        <f aca="false">IF(OR(CI897="",CJ897=""),"",DAYS360(CI897,CJ897)/30)</f>
        <v>53.2666666666667</v>
      </c>
      <c r="CO897" s="0" t="n">
        <f aca="false">IF(OR(CI897="",CJ897=""),"",DAYS360(CI897,CJ897)/7)</f>
        <v>228.285714285714</v>
      </c>
      <c r="CP897" s="0" t="n">
        <f aca="false">IF(OR(CI897="",CJ897=""),"",DAYS360(CI897,CJ897))</f>
        <v>1598</v>
      </c>
      <c r="CQ897" s="0" t="s">
        <v>240</v>
      </c>
      <c r="CR897" s="0" t="n">
        <v>1</v>
      </c>
      <c r="CT897" s="0" t="n">
        <v>366.66</v>
      </c>
      <c r="CU897" s="0" t="n">
        <v>0</v>
      </c>
      <c r="CV897" s="0" t="n">
        <f aca="false">IF(OR(CT897="",CT897="NO ESPECIFICA",CT897="NO MENCIONA"),"",IF(CU897=0,CT897,IF(CU897=1,CT897/30,IF(CU897=2,CT897/15,IF(CU897=3,CT897/7,"")))))</f>
        <v>366.66</v>
      </c>
      <c r="CW897" s="125" t="n">
        <v>384.54</v>
      </c>
      <c r="CX897" s="0" t="n">
        <v>0</v>
      </c>
      <c r="CY897" s="0" t="n">
        <f aca="false">IF(CW897="","",IF(CX897=0,CW897,IF(CX897=1,CW897/30,IF(CX897=2,CW897/15,IF(CX897=3,CW897/7,CW897)))))</f>
        <v>384.54</v>
      </c>
      <c r="CZ897" s="0" t="n">
        <f aca="false">IF(DI897&gt;0,DI897,IF(CY897&gt;0,CY897,IF(CV897&gt;0,CV897,"")))</f>
        <v>384.54</v>
      </c>
      <c r="DA897" s="0" t="n">
        <f aca="false">IF(DM897=1,CZ897/8,IF(OR(DM897=2,DM897=4),CZ897/7,IF(DM897=3,CZ897/7.5,"")))</f>
        <v>48.0675</v>
      </c>
      <c r="DB897" s="0" t="s">
        <v>303</v>
      </c>
      <c r="DC897" s="0" t="s">
        <v>301</v>
      </c>
      <c r="DD897" s="0" t="s">
        <v>216</v>
      </c>
      <c r="DE897" s="0" t="s">
        <v>216</v>
      </c>
      <c r="DF897" s="0" t="s">
        <v>216</v>
      </c>
      <c r="DG897" s="0" t="s">
        <v>216</v>
      </c>
      <c r="DH897" s="0" t="n">
        <v>0</v>
      </c>
      <c r="DI897" s="126" t="n">
        <v>384.54</v>
      </c>
      <c r="DK897" s="0" t="n">
        <v>0</v>
      </c>
      <c r="DM897" s="0" t="n">
        <v>1</v>
      </c>
      <c r="DN897" s="0" t="n">
        <v>84</v>
      </c>
      <c r="DO897" s="0" t="n">
        <v>3</v>
      </c>
      <c r="DP897" s="0" t="n">
        <v>0</v>
      </c>
      <c r="DQ897" s="0" t="n">
        <v>1</v>
      </c>
      <c r="DR897" s="0"/>
      <c r="DS897" s="0" t="n">
        <v>1</v>
      </c>
      <c r="DU897" s="0" t="n">
        <v>1</v>
      </c>
      <c r="DW897" s="1" t="n">
        <v>39212</v>
      </c>
      <c r="DX897" s="1" t="n">
        <v>40834</v>
      </c>
      <c r="DZ897" s="0"/>
      <c r="EA897" s="0" t="n">
        <v>1</v>
      </c>
      <c r="EC897" s="1" t="n">
        <v>39212</v>
      </c>
      <c r="ED897" s="1" t="n">
        <v>40834</v>
      </c>
      <c r="EF897" s="0"/>
      <c r="EG897" s="0" t="n">
        <v>0</v>
      </c>
      <c r="EI897" s="0" t="n">
        <f aca="false">IF(AND(DM897=1,DN897&lt;=48),"",IF(AND(DM897=2,DN897&lt;=42),"",IF(AND(DM897=3,DN897&lt;=45),"",EH897)))</f>
        <v>0</v>
      </c>
      <c r="EJ897" s="0" t="str">
        <f aca="false">IF(EI897="","",IF(EI897&lt;9,EI897,9))</f>
        <v/>
      </c>
      <c r="EK897" s="0" t="str">
        <f aca="false">IF(EI897="","",IF(EI897&gt;9,EI897-EJ897,0))</f>
        <v/>
      </c>
      <c r="EL897" s="0" t="str">
        <f aca="false">IF(EI897="","",EJ897*DA897*2+EK897*DA897*3)</f>
        <v/>
      </c>
      <c r="EP897" s="0" t="n">
        <v>0</v>
      </c>
      <c r="EQ897" s="0"/>
      <c r="ER897" s="0" t="n">
        <v>0</v>
      </c>
      <c r="ET897" s="0" t="n">
        <v>0</v>
      </c>
      <c r="EV897" s="0" t="n">
        <v>0</v>
      </c>
      <c r="EX897" s="0" t="n">
        <v>0</v>
      </c>
      <c r="EY897" s="0" t="n">
        <v>0</v>
      </c>
      <c r="EZ897" s="0"/>
      <c r="FA897" s="4" t="n">
        <v>0</v>
      </c>
      <c r="FB897" s="0" t="n">
        <v>0</v>
      </c>
      <c r="FC897" s="1" t="n">
        <v>40938</v>
      </c>
      <c r="FD897" s="0" t="n">
        <v>1</v>
      </c>
      <c r="FE897" s="0" t="n">
        <v>24943.05</v>
      </c>
      <c r="FF897" s="120" t="n">
        <f aca="false">(CJ897-CI897+1)/365</f>
        <v>4.44657534246575</v>
      </c>
      <c r="FG897" s="0" t="str">
        <f aca="false">CONCATENATE(F897,"/",G897)</f>
        <v>2075/2011</v>
      </c>
      <c r="FH897" s="0" t="n">
        <v>1</v>
      </c>
      <c r="FI897" s="0" t="n">
        <f aca="false">IFERROR(IF((FC897-J897+1)/365&gt;3,0,1),"")</f>
        <v>1</v>
      </c>
    </row>
    <row r="898" customFormat="false" ht="15" hidden="false" customHeight="false" outlineLevel="0" collapsed="false">
      <c r="A898" s="5" t="str">
        <f aca="false">E898&amp;G898&amp;F898</f>
        <v>720112082</v>
      </c>
      <c r="B898" s="0" t="s">
        <v>3217</v>
      </c>
      <c r="C898" s="1" t="n">
        <v>42391</v>
      </c>
      <c r="E898" s="0" t="n">
        <v>7</v>
      </c>
      <c r="F898" s="0" t="n">
        <v>2082</v>
      </c>
      <c r="G898" s="0" t="n">
        <v>2011</v>
      </c>
      <c r="H898" s="0" t="str">
        <f aca="false">"J"&amp;E898&amp;"\"&amp;F898&amp;"\"&amp;G898&amp;"\"&amp;W898</f>
        <v>J7\2082\2011\1</v>
      </c>
      <c r="I898" s="0"/>
      <c r="J898" s="1" t="n">
        <v>40890</v>
      </c>
      <c r="K898" s="0" t="n">
        <v>0</v>
      </c>
      <c r="M898" s="1" t="n">
        <v>40890</v>
      </c>
      <c r="N898" s="1" t="n">
        <v>40956</v>
      </c>
      <c r="O898" s="1"/>
      <c r="P898" s="1"/>
      <c r="Q898" s="1"/>
      <c r="T898" s="121"/>
      <c r="U898" s="121"/>
      <c r="V898" s="122" t="n">
        <f aca="false">IF(AND(E898&gt;0,F898&gt;0,G898&gt;0),COUNTIFS($E:$E,E898,$F:$F,F898,$G:$G,G898),"")</f>
        <v>1</v>
      </c>
      <c r="W898" s="122" t="n">
        <f aca="false">IF(V898="","",IF(V898=1,1,IF(AND(E897=E898,F897=F898,G897=G898),W897+1,1)))</f>
        <v>1</v>
      </c>
      <c r="X898" s="0" t="n">
        <v>1</v>
      </c>
      <c r="Y898" s="0" t="n">
        <v>3</v>
      </c>
      <c r="Z898" s="0" t="s">
        <v>8239</v>
      </c>
      <c r="AA898" s="0" t="n">
        <v>0</v>
      </c>
      <c r="AB898" s="0" t="s">
        <v>8240</v>
      </c>
      <c r="AC898" s="0" t="s">
        <v>251</v>
      </c>
      <c r="AD898" s="0" t="s">
        <v>229</v>
      </c>
      <c r="AE898" s="0" t="n">
        <v>0</v>
      </c>
      <c r="AF898" s="0" t="s">
        <v>8241</v>
      </c>
      <c r="AG898" s="0" t="n">
        <v>0</v>
      </c>
      <c r="AH898" s="0" t="s">
        <v>6415</v>
      </c>
      <c r="AI898" s="0" t="s">
        <v>2640</v>
      </c>
      <c r="AJ898" s="0" t="s">
        <v>207</v>
      </c>
      <c r="AL898" s="0" t="s">
        <v>8242</v>
      </c>
      <c r="AM898" s="0" t="n">
        <v>1</v>
      </c>
      <c r="AN898" s="0" t="s">
        <v>6415</v>
      </c>
      <c r="AO898" s="0" t="s">
        <v>2640</v>
      </c>
      <c r="AP898" s="0" t="s">
        <v>207</v>
      </c>
      <c r="AR898" s="0" t="s">
        <v>1880</v>
      </c>
      <c r="AS898" s="0" t="n">
        <v>1</v>
      </c>
      <c r="AT898" s="0" t="s">
        <v>6415</v>
      </c>
      <c r="AU898" s="0" t="s">
        <v>2640</v>
      </c>
      <c r="AV898" s="0" t="s">
        <v>207</v>
      </c>
      <c r="BR898" s="0" t="n">
        <v>1</v>
      </c>
      <c r="BS898" s="0" t="s">
        <v>8243</v>
      </c>
      <c r="BT898" s="0" t="s">
        <v>8244</v>
      </c>
      <c r="BU898" s="0" t="s">
        <v>8245</v>
      </c>
      <c r="BV898" s="123"/>
      <c r="BW898" s="123"/>
      <c r="BX898" s="123"/>
      <c r="BY898" s="123"/>
      <c r="CA898" s="0" t="s">
        <v>216</v>
      </c>
      <c r="CD898" s="0" t="s">
        <v>357</v>
      </c>
      <c r="CE898" s="0" t="n">
        <v>0</v>
      </c>
      <c r="CF898" s="0" t="s">
        <v>527</v>
      </c>
      <c r="CI898" s="1" t="n">
        <v>39484</v>
      </c>
      <c r="CJ898" s="1" t="n">
        <v>40862</v>
      </c>
      <c r="CK898" s="124" t="n">
        <v>0.291666666666667</v>
      </c>
      <c r="CL898" s="0" t="s">
        <v>8242</v>
      </c>
      <c r="CM898" s="0" t="n">
        <f aca="false">IF(OR(CI898="",CJ898=""),"",DAYS360(CI898,CJ898)/360)</f>
        <v>3.775</v>
      </c>
      <c r="CN898" s="0" t="n">
        <f aca="false">IF(OR(CI898="",CJ898=""),"",DAYS360(CI898,CJ898)/30)</f>
        <v>45.3</v>
      </c>
      <c r="CO898" s="0" t="n">
        <f aca="false">IF(OR(CI898="",CJ898=""),"",DAYS360(CI898,CJ898)/7)</f>
        <v>194.142857142857</v>
      </c>
      <c r="CP898" s="0" t="n">
        <f aca="false">IF(OR(CI898="",CJ898=""),"",DAYS360(CI898,CJ898))</f>
        <v>1359</v>
      </c>
      <c r="CQ898" s="0" t="s">
        <v>220</v>
      </c>
      <c r="CR898" s="0" t="n">
        <v>1</v>
      </c>
      <c r="CT898" s="0" t="n">
        <v>5200</v>
      </c>
      <c r="CU898" s="0" t="n">
        <v>1</v>
      </c>
      <c r="CV898" s="0" t="n">
        <f aca="false">IF(OR(CT898="",CT898="NO ESPECIFICA",CT898="NO MENCIONA"),"",IF(CU898=0,CT898,IF(CU898=1,CT898/30,IF(CU898=2,CT898/15,IF(CU898=3,CT898/7,"")))))</f>
        <v>173.333333333333</v>
      </c>
      <c r="CW898" s="125" t="n">
        <v>8200</v>
      </c>
      <c r="CX898" s="0" t="n">
        <v>1</v>
      </c>
      <c r="CY898" s="0" t="n">
        <f aca="false">IF(CW898="","",IF(CX898=0,CW898,IF(CX898=1,CW898/30,IF(CX898=2,CW898/15,IF(CX898=3,CW898/7,CW898)))))</f>
        <v>273.333333333333</v>
      </c>
      <c r="CZ898" s="0" t="n">
        <f aca="false">IF(DI898&gt;0,DI898,IF(CY898&gt;0,CY898,IF(CV898&gt;0,CV898,"")))</f>
        <v>273.33</v>
      </c>
      <c r="DA898" s="0" t="n">
        <f aca="false">IF(DM898=1,CZ898/8,IF(OR(DM898=2,DM898=4),CZ898/7,IF(DM898=3,CZ898/7.5,"")))</f>
        <v>34.16625</v>
      </c>
      <c r="DB898" s="0" t="s">
        <v>2315</v>
      </c>
      <c r="DC898" s="0" t="s">
        <v>216</v>
      </c>
      <c r="DD898" s="0" t="s">
        <v>216</v>
      </c>
      <c r="DE898" s="0" t="s">
        <v>216</v>
      </c>
      <c r="DF898" s="0" t="s">
        <v>216</v>
      </c>
      <c r="DG898" s="0" t="s">
        <v>216</v>
      </c>
      <c r="DH898" s="0" t="n">
        <v>0</v>
      </c>
      <c r="DI898" s="126" t="n">
        <v>273.33</v>
      </c>
      <c r="DK898" s="0" t="n">
        <v>0</v>
      </c>
      <c r="DM898" s="0" t="n">
        <v>1</v>
      </c>
      <c r="DN898" s="0" t="n">
        <v>50</v>
      </c>
      <c r="DO898" s="0" t="n">
        <v>3</v>
      </c>
      <c r="DP898" s="0" t="n">
        <v>1</v>
      </c>
      <c r="DQ898" s="0" t="n">
        <v>1</v>
      </c>
      <c r="DR898" s="0"/>
      <c r="DS898" s="0" t="n">
        <v>1</v>
      </c>
      <c r="DU898" s="0" t="n">
        <v>1</v>
      </c>
      <c r="DW898" s="1" t="n">
        <v>40580</v>
      </c>
      <c r="DX898" s="1" t="n">
        <v>40862</v>
      </c>
      <c r="DZ898" s="0"/>
      <c r="EA898" s="0" t="n">
        <v>1</v>
      </c>
      <c r="EC898" s="1" t="n">
        <v>40544</v>
      </c>
      <c r="ED898" s="1" t="n">
        <v>40862</v>
      </c>
      <c r="EF898" s="0"/>
      <c r="EG898" s="0" t="n">
        <v>0</v>
      </c>
      <c r="EI898" s="0" t="n">
        <f aca="false">IF(AND(DM898=1,DN898&lt;=48),"",IF(AND(DM898=2,DN898&lt;=42),"",IF(AND(DM898=3,DN898&lt;=45),"",EH898)))</f>
        <v>0</v>
      </c>
      <c r="EJ898" s="0" t="str">
        <f aca="false">IF(EI898="","",IF(EI898&lt;9,EI898,9))</f>
        <v/>
      </c>
      <c r="EK898" s="0" t="str">
        <f aca="false">IF(EI898="","",IF(EI898&gt;9,EI898-EJ898,0))</f>
        <v/>
      </c>
      <c r="EL898" s="0" t="str">
        <f aca="false">IF(EI898="","",EJ898*DA898*2+EK898*DA898*3)</f>
        <v/>
      </c>
      <c r="EP898" s="0" t="n">
        <v>1</v>
      </c>
      <c r="EQ898" s="0"/>
      <c r="ER898" s="0" t="n">
        <v>0</v>
      </c>
      <c r="ET898" s="0" t="n">
        <v>0</v>
      </c>
      <c r="EV898" s="0" t="n">
        <v>0</v>
      </c>
      <c r="EX898" s="0" t="n">
        <v>0</v>
      </c>
      <c r="EY898" s="0" t="n">
        <v>1</v>
      </c>
      <c r="EZ898" s="4" t="n">
        <v>24600</v>
      </c>
      <c r="FA898" s="4" t="n">
        <v>0</v>
      </c>
      <c r="FB898" s="0" t="n">
        <v>1</v>
      </c>
      <c r="FC898" s="1" t="n">
        <v>41332</v>
      </c>
      <c r="FD898" s="0" t="n">
        <v>1</v>
      </c>
      <c r="FE898" s="0" t="n">
        <v>10000</v>
      </c>
      <c r="FF898" s="120" t="n">
        <f aca="false">(CJ898-CI898+1)/365</f>
        <v>3.77808219178082</v>
      </c>
      <c r="FG898" s="0" t="str">
        <f aca="false">CONCATENATE(F898,"/",G898)</f>
        <v>2082/2011</v>
      </c>
      <c r="FH898" s="0" t="n">
        <v>1</v>
      </c>
      <c r="FI898" s="0" t="n">
        <f aca="false">IFERROR(IF((FC898-J898+1)/365&gt;3,0,1),"")</f>
        <v>1</v>
      </c>
    </row>
    <row r="899" customFormat="false" ht="15" hidden="false" customHeight="false" outlineLevel="0" collapsed="false">
      <c r="A899" s="5" t="str">
        <f aca="false">E899&amp;G899&amp;F899</f>
        <v>720112083</v>
      </c>
      <c r="B899" s="0" t="s">
        <v>3217</v>
      </c>
      <c r="C899" s="1" t="n">
        <v>42391</v>
      </c>
      <c r="D899" s="0" t="s">
        <v>3265</v>
      </c>
      <c r="E899" s="0" t="n">
        <v>7</v>
      </c>
      <c r="F899" s="0" t="n">
        <v>2083</v>
      </c>
      <c r="G899" s="0" t="n">
        <v>2011</v>
      </c>
      <c r="H899" s="0" t="str">
        <f aca="false">"J"&amp;E899&amp;"\"&amp;F899&amp;"\"&amp;G899&amp;"\"&amp;W899</f>
        <v>J7\2083\2011\1</v>
      </c>
      <c r="I899" s="0"/>
      <c r="J899" s="1" t="n">
        <v>40890</v>
      </c>
      <c r="K899" s="0" t="n">
        <v>0</v>
      </c>
      <c r="M899" s="1"/>
      <c r="N899" s="1"/>
      <c r="O899" s="1"/>
      <c r="P899" s="1"/>
      <c r="Q899" s="1"/>
      <c r="T899" s="121"/>
      <c r="U899" s="121"/>
      <c r="V899" s="122" t="n">
        <f aca="false">IF(AND(E899&gt;0,F899&gt;0,G899&gt;0),COUNTIFS($E:$E,E899,$F:$F,F899,$G:$G,G899),"")</f>
        <v>1</v>
      </c>
      <c r="W899" s="122" t="n">
        <f aca="false">IF(V899="","",IF(V899=1,1,IF(AND(E898=E899,F898=F899,G898=G899),W898+1,1)))</f>
        <v>1</v>
      </c>
      <c r="X899" s="0" t="n">
        <v>1</v>
      </c>
      <c r="Y899" s="0" t="n">
        <v>5</v>
      </c>
      <c r="Z899" s="0" t="s">
        <v>8246</v>
      </c>
      <c r="AA899" s="0" t="n">
        <v>0</v>
      </c>
      <c r="AB899" s="0" t="s">
        <v>8247</v>
      </c>
      <c r="AC899" s="0" t="s">
        <v>1661</v>
      </c>
      <c r="AD899" s="0" t="s">
        <v>229</v>
      </c>
      <c r="AE899" s="0" t="n">
        <v>0</v>
      </c>
      <c r="AF899" s="0" t="s">
        <v>8248</v>
      </c>
      <c r="AG899" s="0" t="n">
        <v>0</v>
      </c>
      <c r="AH899" s="0" t="s">
        <v>8249</v>
      </c>
      <c r="AI899" s="0" t="s">
        <v>8250</v>
      </c>
      <c r="AJ899" s="0" t="s">
        <v>352</v>
      </c>
      <c r="AL899" s="0" t="s">
        <v>8251</v>
      </c>
      <c r="AM899" s="0" t="n">
        <v>1</v>
      </c>
      <c r="AN899" s="0" t="s">
        <v>8249</v>
      </c>
      <c r="AO899" s="0" t="s">
        <v>8250</v>
      </c>
      <c r="AP899" s="0" t="s">
        <v>352</v>
      </c>
      <c r="AR899" s="0" t="s">
        <v>8252</v>
      </c>
      <c r="AS899" s="0" t="n">
        <v>1</v>
      </c>
      <c r="AT899" s="0" t="s">
        <v>8249</v>
      </c>
      <c r="AU899" s="0" t="s">
        <v>8250</v>
      </c>
      <c r="AV899" s="0" t="s">
        <v>352</v>
      </c>
      <c r="AX899" s="0" t="s">
        <v>5425</v>
      </c>
      <c r="AY899" s="0" t="n">
        <v>0</v>
      </c>
      <c r="AZ899" s="0" t="s">
        <v>8253</v>
      </c>
      <c r="BA899" s="0" t="s">
        <v>3618</v>
      </c>
      <c r="BB899" s="0" t="s">
        <v>221</v>
      </c>
      <c r="BD899" s="0" t="s">
        <v>1880</v>
      </c>
      <c r="BE899" s="0" t="n">
        <v>1</v>
      </c>
      <c r="BF899" s="0" t="s">
        <v>8254</v>
      </c>
      <c r="BG899" s="0" t="s">
        <v>8255</v>
      </c>
      <c r="BH899" s="0" t="s">
        <v>8256</v>
      </c>
      <c r="BR899" s="0" t="n">
        <v>1</v>
      </c>
      <c r="BS899" s="0" t="s">
        <v>8257</v>
      </c>
      <c r="BT899" s="0" t="s">
        <v>8258</v>
      </c>
      <c r="BU899" s="0" t="s">
        <v>8259</v>
      </c>
      <c r="BV899" s="123"/>
      <c r="BW899" s="123"/>
      <c r="BX899" s="123"/>
      <c r="BY899" s="123"/>
      <c r="CA899" s="0" t="s">
        <v>216</v>
      </c>
      <c r="CD899" s="0" t="s">
        <v>885</v>
      </c>
      <c r="CE899" s="0" t="s">
        <v>1895</v>
      </c>
      <c r="CF899" s="0" t="s">
        <v>216</v>
      </c>
      <c r="CI899" s="1" t="n">
        <v>40764</v>
      </c>
      <c r="CJ899" s="1" t="n">
        <v>40847</v>
      </c>
      <c r="CK899" s="124" t="n">
        <v>0.4375</v>
      </c>
      <c r="CL899" s="0" t="s">
        <v>8251</v>
      </c>
      <c r="CM899" s="0" t="n">
        <f aca="false">IF(OR(CI899="",CJ899=""),"",DAYS360(CI899,CJ899)/360)</f>
        <v>0.227777777777778</v>
      </c>
      <c r="CN899" s="0" t="n">
        <f aca="false">IF(OR(CI899="",CJ899=""),"",DAYS360(CI899,CJ899)/30)</f>
        <v>2.73333333333333</v>
      </c>
      <c r="CO899" s="0" t="n">
        <f aca="false">IF(OR(CI899="",CJ899=""),"",DAYS360(CI899,CJ899)/7)</f>
        <v>11.7142857142857</v>
      </c>
      <c r="CP899" s="0" t="n">
        <f aca="false">IF(OR(CI899="",CJ899=""),"",DAYS360(CI899,CJ899))</f>
        <v>82</v>
      </c>
      <c r="CQ899" s="0" t="s">
        <v>220</v>
      </c>
      <c r="CR899" s="0" t="n">
        <v>1</v>
      </c>
      <c r="CT899" s="0" t="s">
        <v>221</v>
      </c>
      <c r="CU899" s="0" t="s">
        <v>221</v>
      </c>
      <c r="CV899" s="0" t="str">
        <f aca="false">IF(OR(CT899="",CT899="NO ESPECIFICA",CT899="NO MENCIONA"),"",IF(CU899=0,CT899,IF(CU899=1,CT899/30,IF(CU899=2,CT899/15,IF(CU899=3,CT899/7,"")))))</f>
        <v/>
      </c>
      <c r="CW899" s="125" t="n">
        <v>172</v>
      </c>
      <c r="CX899" s="0" t="n">
        <v>0</v>
      </c>
      <c r="CY899" s="0" t="n">
        <f aca="false">IF(CW899="","",IF(CX899=0,CW899,IF(CX899=1,CW899/30,IF(CX899=2,CW899/15,IF(CX899=3,CW899/7,CW899)))))</f>
        <v>172</v>
      </c>
      <c r="CZ899" s="0" t="n">
        <f aca="false">IF(DI899&gt;0,DI899,IF(CY899&gt;0,CY899,IF(CV899&gt;0,CV899,"")))</f>
        <v>172</v>
      </c>
      <c r="DA899" s="0" t="n">
        <f aca="false">IF(DM899=1,CZ899/8,IF(OR(DM899=2,DM899=4),CZ899/7,IF(DM899=3,CZ899/7.5,"")))</f>
        <v>21.5</v>
      </c>
      <c r="DB899" s="0" t="s">
        <v>216</v>
      </c>
      <c r="DC899" s="0" t="s">
        <v>216</v>
      </c>
      <c r="DD899" s="0" t="s">
        <v>216</v>
      </c>
      <c r="DE899" s="0" t="s">
        <v>216</v>
      </c>
      <c r="DF899" s="0" t="s">
        <v>216</v>
      </c>
      <c r="DG899" s="0" t="s">
        <v>216</v>
      </c>
      <c r="DH899" s="0" t="n">
        <v>0</v>
      </c>
      <c r="DI899" s="126" t="n">
        <v>172</v>
      </c>
      <c r="DK899" s="0" t="n">
        <v>1</v>
      </c>
      <c r="DM899" s="0" t="n">
        <v>1</v>
      </c>
      <c r="DN899" s="0" t="n">
        <v>54</v>
      </c>
      <c r="DO899" s="0" t="n">
        <v>3</v>
      </c>
      <c r="DP899" s="0" t="n">
        <v>1</v>
      </c>
      <c r="DQ899" s="0" t="n">
        <v>0</v>
      </c>
      <c r="DR899" s="0"/>
      <c r="DS899" s="0" t="n">
        <v>1</v>
      </c>
      <c r="DU899" s="0" t="n">
        <v>1</v>
      </c>
      <c r="DW899" s="1" t="n">
        <v>40764</v>
      </c>
      <c r="DX899" s="1" t="n">
        <v>40847</v>
      </c>
      <c r="DZ899" s="0"/>
      <c r="EA899" s="0" t="n">
        <v>1</v>
      </c>
      <c r="EC899" s="1" t="n">
        <v>40764</v>
      </c>
      <c r="ED899" s="1" t="n">
        <v>40847</v>
      </c>
      <c r="EF899" s="0"/>
      <c r="EG899" s="0" t="n">
        <v>0</v>
      </c>
      <c r="EI899" s="0" t="n">
        <f aca="false">IF(AND(DM899=1,DN899&lt;=48),"",IF(AND(DM899=2,DN899&lt;=42),"",IF(AND(DM899=3,DN899&lt;=45),"",EH899)))</f>
        <v>0</v>
      </c>
      <c r="EJ899" s="0" t="str">
        <f aca="false">IF(EI899="","",IF(EI899&lt;9,EI899,9))</f>
        <v/>
      </c>
      <c r="EK899" s="0" t="str">
        <f aca="false">IF(EI899="","",IF(EI899&gt;9,EI899-EJ899,0))</f>
        <v/>
      </c>
      <c r="EL899" s="0" t="str">
        <f aca="false">IF(EI899="","",EJ899*DA899*2+EK899*DA899*3)</f>
        <v/>
      </c>
      <c r="EP899" s="0" t="n">
        <v>0</v>
      </c>
      <c r="EQ899" s="0"/>
      <c r="ER899" s="0" t="n">
        <v>1</v>
      </c>
      <c r="ET899" s="0" t="n">
        <v>0</v>
      </c>
      <c r="EV899" s="0" t="n">
        <v>0</v>
      </c>
      <c r="EX899" s="0" t="n">
        <v>1</v>
      </c>
      <c r="EY899" s="0" t="n">
        <v>0</v>
      </c>
      <c r="EZ899" s="0"/>
      <c r="FA899" s="4" t="n">
        <v>0</v>
      </c>
      <c r="FB899" s="0" t="n">
        <v>1</v>
      </c>
      <c r="FC899" s="1" t="n">
        <v>41199</v>
      </c>
      <c r="FD899" s="0" t="n">
        <v>1</v>
      </c>
      <c r="FE899" s="0" t="n">
        <v>8500</v>
      </c>
      <c r="FF899" s="120" t="n">
        <f aca="false">(CJ899-CI899+1)/365</f>
        <v>0.23013698630137</v>
      </c>
      <c r="FG899" s="0" t="str">
        <f aca="false">CONCATENATE(F899,"/",G899)</f>
        <v>2083/2011</v>
      </c>
      <c r="FH899" s="0" t="n">
        <v>1</v>
      </c>
      <c r="FI899" s="0" t="n">
        <f aca="false">IFERROR(IF((FC899-J899+1)/365&gt;3,0,1),"")</f>
        <v>1</v>
      </c>
    </row>
    <row r="900" customFormat="false" ht="15" hidden="false" customHeight="false" outlineLevel="0" collapsed="false">
      <c r="A900" s="5" t="str">
        <f aca="false">E900&amp;G900&amp;F900</f>
        <v>720112090</v>
      </c>
      <c r="B900" s="0" t="s">
        <v>3217</v>
      </c>
      <c r="C900" s="1" t="n">
        <v>42391</v>
      </c>
      <c r="E900" s="0" t="n">
        <v>7</v>
      </c>
      <c r="F900" s="0" t="n">
        <v>2090</v>
      </c>
      <c r="G900" s="0" t="n">
        <v>2011</v>
      </c>
      <c r="H900" s="0" t="str">
        <f aca="false">"J"&amp;E900&amp;"\"&amp;F900&amp;"\"&amp;G900&amp;"\"&amp;W900</f>
        <v>J7\2090\2011\1</v>
      </c>
      <c r="I900" s="0"/>
      <c r="J900" s="1" t="n">
        <v>40891</v>
      </c>
      <c r="K900" s="0" t="n">
        <v>0</v>
      </c>
      <c r="M900" s="1" t="n">
        <v>40891</v>
      </c>
      <c r="N900" s="1" t="n">
        <v>40956</v>
      </c>
      <c r="O900" s="1"/>
      <c r="P900" s="1"/>
      <c r="Q900" s="1"/>
      <c r="T900" s="121"/>
      <c r="U900" s="121"/>
      <c r="V900" s="122" t="n">
        <f aca="false">IF(AND(E900&gt;0,F900&gt;0,G900&gt;0),COUNTIFS($E:$E,E900,$F:$F,F900,$G:$G,G900),"")</f>
        <v>1</v>
      </c>
      <c r="W900" s="122" t="n">
        <f aca="false">IF(V900="","",IF(V900=1,1,IF(AND(E899=E900,F899=F900,G899=G900),W899+1,1)))</f>
        <v>1</v>
      </c>
      <c r="X900" s="0" t="n">
        <v>1</v>
      </c>
      <c r="Y900" s="0" t="n">
        <v>2</v>
      </c>
      <c r="Z900" s="0" t="s">
        <v>8260</v>
      </c>
      <c r="AA900" s="0" t="n">
        <v>0</v>
      </c>
      <c r="AB900" s="0" t="s">
        <v>8261</v>
      </c>
      <c r="AC900" s="0" t="s">
        <v>643</v>
      </c>
      <c r="AD900" s="0" t="s">
        <v>207</v>
      </c>
      <c r="AE900" s="0" t="n">
        <v>0</v>
      </c>
      <c r="AF900" s="0" t="s">
        <v>8262</v>
      </c>
      <c r="AG900" s="0" t="n">
        <v>0</v>
      </c>
      <c r="AH900" s="0" t="s">
        <v>8263</v>
      </c>
      <c r="AI900" s="0" t="s">
        <v>760</v>
      </c>
      <c r="AJ900" s="0" t="s">
        <v>221</v>
      </c>
      <c r="AL900" s="0" t="s">
        <v>1931</v>
      </c>
      <c r="AM900" s="0" t="n">
        <v>1</v>
      </c>
      <c r="AN900" s="0" t="s">
        <v>8263</v>
      </c>
      <c r="AO900" s="0" t="s">
        <v>760</v>
      </c>
      <c r="AP900" s="0" t="s">
        <v>221</v>
      </c>
      <c r="BR900" s="0" t="n">
        <v>1</v>
      </c>
      <c r="BS900" s="0" t="s">
        <v>2443</v>
      </c>
      <c r="BT900" s="0" t="s">
        <v>8264</v>
      </c>
      <c r="BU900" s="0" t="s">
        <v>8265</v>
      </c>
      <c r="BV900" s="123"/>
      <c r="BW900" s="123"/>
      <c r="BX900" s="123"/>
      <c r="BY900" s="123"/>
      <c r="CA900" s="0" t="s">
        <v>8266</v>
      </c>
      <c r="CD900" s="0" t="s">
        <v>296</v>
      </c>
      <c r="CE900" s="0" t="n">
        <v>0</v>
      </c>
      <c r="CF900" s="0" t="s">
        <v>8267</v>
      </c>
      <c r="CI900" s="1" t="n">
        <v>40466</v>
      </c>
      <c r="CJ900" s="1" t="n">
        <v>40833</v>
      </c>
      <c r="CK900" s="124" t="n">
        <v>0.375</v>
      </c>
      <c r="CL900" s="0" t="s">
        <v>8268</v>
      </c>
      <c r="CM900" s="0" t="n">
        <f aca="false">IF(OR(CI900="",CJ900=""),"",DAYS360(CI900,CJ900)/360)</f>
        <v>1.00555555555556</v>
      </c>
      <c r="CN900" s="0" t="n">
        <f aca="false">IF(OR(CI900="",CJ900=""),"",DAYS360(CI900,CJ900)/30)</f>
        <v>12.0666666666667</v>
      </c>
      <c r="CO900" s="0" t="n">
        <f aca="false">IF(OR(CI900="",CJ900=""),"",DAYS360(CI900,CJ900)/7)</f>
        <v>51.7142857142857</v>
      </c>
      <c r="CP900" s="0" t="n">
        <f aca="false">IF(OR(CI900="",CJ900=""),"",DAYS360(CI900,CJ900))</f>
        <v>362</v>
      </c>
      <c r="CQ900" s="0" t="s">
        <v>240</v>
      </c>
      <c r="CR900" s="0" t="n">
        <v>1</v>
      </c>
      <c r="CT900" s="0" t="s">
        <v>221</v>
      </c>
      <c r="CU900" s="0" t="s">
        <v>221</v>
      </c>
      <c r="CV900" s="0" t="str">
        <f aca="false">IF(OR(CT900="",CT900="NO ESPECIFICA",CT900="NO MENCIONA"),"",IF(CU900=0,CT900,IF(CU900=1,CT900/30,IF(CU900=2,CT900/15,IF(CU900=3,CT900/7,"")))))</f>
        <v/>
      </c>
      <c r="CW900" s="125" t="n">
        <v>25000</v>
      </c>
      <c r="CX900" s="0" t="n">
        <v>1</v>
      </c>
      <c r="CY900" s="0" t="n">
        <f aca="false">IF(CW900="","",IF(CX900=0,CW900,IF(CX900=1,CW900/30,IF(CX900=2,CW900/15,IF(CX900=3,CW900/7,CW900)))))</f>
        <v>833.333333333333</v>
      </c>
      <c r="CZ900" s="0" t="n">
        <f aca="false">IF(DI900&gt;0,DI900,IF(CY900&gt;0,CY900,IF(CV900&gt;0,CV900,"")))</f>
        <v>833.33</v>
      </c>
      <c r="DA900" s="0" t="n">
        <f aca="false">IF(DM900=1,CZ900/8,IF(OR(DM900=2,DM900=4),CZ900/7,IF(DM900=3,CZ900/7.5,"")))</f>
        <v>104.16625</v>
      </c>
      <c r="DB900" s="0" t="s">
        <v>216</v>
      </c>
      <c r="DC900" s="0" t="s">
        <v>216</v>
      </c>
      <c r="DD900" s="0" t="s">
        <v>216</v>
      </c>
      <c r="DE900" s="0" t="s">
        <v>216</v>
      </c>
      <c r="DF900" s="0" t="s">
        <v>216</v>
      </c>
      <c r="DG900" s="0" t="s">
        <v>216</v>
      </c>
      <c r="DH900" s="0" t="n">
        <v>0</v>
      </c>
      <c r="DI900" s="126" t="n">
        <v>833.33</v>
      </c>
      <c r="DK900" s="0" t="n">
        <v>1</v>
      </c>
      <c r="DM900" s="0" t="n">
        <v>1</v>
      </c>
      <c r="DN900" s="0" t="n">
        <v>60</v>
      </c>
      <c r="DO900" s="0" t="n">
        <v>3</v>
      </c>
      <c r="DP900" s="0" t="n">
        <v>0</v>
      </c>
      <c r="DQ900" s="0" t="n">
        <v>1</v>
      </c>
      <c r="DR900" s="0"/>
      <c r="DS900" s="0" t="n">
        <v>1</v>
      </c>
      <c r="DU900" s="0" t="n">
        <v>1</v>
      </c>
      <c r="DW900" s="1" t="n">
        <v>40466</v>
      </c>
      <c r="DX900" s="1" t="n">
        <v>40833</v>
      </c>
      <c r="DZ900" s="0"/>
      <c r="EA900" s="0" t="n">
        <v>1</v>
      </c>
      <c r="EC900" s="1" t="n">
        <v>40466</v>
      </c>
      <c r="ED900" s="1" t="n">
        <v>40833</v>
      </c>
      <c r="EF900" s="0"/>
      <c r="EG900" s="0" t="n">
        <v>1</v>
      </c>
      <c r="EH900" s="0" t="n">
        <v>15</v>
      </c>
      <c r="EI900" s="0" t="n">
        <f aca="false">IF(AND(DM900=1,DN900&lt;=48),"",IF(AND(DM900=2,DN900&lt;=42),"",IF(AND(DM900=3,DN900&lt;=45),"",EH900)))</f>
        <v>15</v>
      </c>
      <c r="EJ900" s="0" t="n">
        <f aca="false">IF(EI900="","",IF(EI900&lt;9,EI900,9))</f>
        <v>9</v>
      </c>
      <c r="EK900" s="0" t="n">
        <f aca="false">IF(EI900="","",IF(EI900&gt;9,EI900-EJ900,0))</f>
        <v>6</v>
      </c>
      <c r="EL900" s="0" t="n">
        <f aca="false">IF(EI900="","",EJ900*DA900*2+EK900*DA900*3)</f>
        <v>3749.985</v>
      </c>
      <c r="EP900" s="0" t="n">
        <v>0</v>
      </c>
      <c r="EQ900" s="0"/>
      <c r="ER900" s="0" t="n">
        <v>0</v>
      </c>
      <c r="ET900" s="0" t="n">
        <v>0</v>
      </c>
      <c r="EV900" s="0" t="n">
        <v>0</v>
      </c>
      <c r="EX900" s="0" t="n">
        <v>1</v>
      </c>
      <c r="EY900" s="0" t="n">
        <v>0</v>
      </c>
      <c r="EZ900" s="0"/>
      <c r="FA900" s="4" t="n">
        <v>10000</v>
      </c>
      <c r="FB900" s="0" t="n">
        <v>0</v>
      </c>
      <c r="FC900" s="1" t="n">
        <v>41330</v>
      </c>
      <c r="FD900" s="0" t="n">
        <v>1</v>
      </c>
      <c r="FE900" s="0" t="n">
        <v>62000</v>
      </c>
      <c r="FF900" s="120" t="n">
        <f aca="false">(CJ900-CI900+1)/365</f>
        <v>1.00821917808219</v>
      </c>
      <c r="FG900" s="0" t="str">
        <f aca="false">CONCATENATE(F900,"/",G900)</f>
        <v>2090/2011</v>
      </c>
      <c r="FH900" s="0" t="n">
        <v>1</v>
      </c>
      <c r="FI900" s="0" t="n">
        <f aca="false">IFERROR(IF((FC900-J900+1)/365&gt;3,0,1),"")</f>
        <v>1</v>
      </c>
    </row>
    <row r="901" customFormat="false" ht="15" hidden="false" customHeight="false" outlineLevel="0" collapsed="false">
      <c r="A901" s="5" t="str">
        <f aca="false">E901&amp;G901&amp;F901</f>
        <v>720112092</v>
      </c>
      <c r="B901" s="0" t="s">
        <v>3217</v>
      </c>
      <c r="C901" s="1" t="n">
        <v>42391</v>
      </c>
      <c r="D901" s="0" t="s">
        <v>3265</v>
      </c>
      <c r="E901" s="0" t="n">
        <v>7</v>
      </c>
      <c r="F901" s="0" t="n">
        <v>2092</v>
      </c>
      <c r="G901" s="0" t="n">
        <v>2011</v>
      </c>
      <c r="H901" s="0" t="str">
        <f aca="false">"J"&amp;E901&amp;"\"&amp;F901&amp;"\"&amp;G901&amp;"\"&amp;W901</f>
        <v>J7\2092\2011\1</v>
      </c>
      <c r="I901" s="0"/>
      <c r="J901" s="1" t="n">
        <v>40891</v>
      </c>
      <c r="K901" s="0" t="n">
        <v>0</v>
      </c>
      <c r="M901" s="1"/>
      <c r="N901" s="1"/>
      <c r="O901" s="1"/>
      <c r="P901" s="1"/>
      <c r="Q901" s="1"/>
      <c r="T901" s="121"/>
      <c r="U901" s="121"/>
      <c r="V901" s="122" t="n">
        <f aca="false">IF(AND(E901&gt;0,F901&gt;0,G901&gt;0),COUNTIFS($E:$E,E901,$F:$F,F901,$G:$G,G901),"")</f>
        <v>1</v>
      </c>
      <c r="W901" s="122" t="n">
        <f aca="false">IF(V901="","",IF(V901=1,1,IF(AND(E900=E901,F900=F901,G900=G901),W900+1,1)))</f>
        <v>1</v>
      </c>
      <c r="X901" s="0" t="n">
        <v>1</v>
      </c>
      <c r="Y901" s="0" t="n">
        <v>4</v>
      </c>
      <c r="Z901" s="0" t="s">
        <v>8269</v>
      </c>
      <c r="AA901" s="0" t="n">
        <v>0</v>
      </c>
      <c r="AB901" s="0" t="s">
        <v>8270</v>
      </c>
      <c r="AC901" s="0" t="s">
        <v>318</v>
      </c>
      <c r="AD901" s="0" t="s">
        <v>229</v>
      </c>
      <c r="AE901" s="0" t="n">
        <v>0</v>
      </c>
      <c r="AF901" s="0" t="s">
        <v>8271</v>
      </c>
      <c r="AG901" s="0" t="n">
        <v>0</v>
      </c>
      <c r="AH901" s="0" t="s">
        <v>8272</v>
      </c>
      <c r="AI901" s="0" t="s">
        <v>4993</v>
      </c>
      <c r="AJ901" s="0" t="s">
        <v>590</v>
      </c>
      <c r="AL901" s="0" t="s">
        <v>8273</v>
      </c>
      <c r="AM901" s="0" t="n">
        <v>1</v>
      </c>
      <c r="AN901" s="0" t="s">
        <v>8272</v>
      </c>
      <c r="AO901" s="0" t="s">
        <v>4993</v>
      </c>
      <c r="AP901" s="0" t="s">
        <v>590</v>
      </c>
      <c r="AR901" s="0" t="s">
        <v>8274</v>
      </c>
      <c r="AS901" s="0" t="n">
        <v>1</v>
      </c>
      <c r="AT901" s="0" t="s">
        <v>8272</v>
      </c>
      <c r="AU901" s="0" t="s">
        <v>4993</v>
      </c>
      <c r="AV901" s="0" t="s">
        <v>590</v>
      </c>
      <c r="AX901" s="0" t="s">
        <v>8275</v>
      </c>
      <c r="AY901" s="0" t="n">
        <v>1</v>
      </c>
      <c r="AZ901" s="0" t="s">
        <v>8272</v>
      </c>
      <c r="BA901" s="0" t="s">
        <v>4993</v>
      </c>
      <c r="BB901" s="0" t="s">
        <v>590</v>
      </c>
      <c r="BR901" s="0" t="n">
        <v>1</v>
      </c>
      <c r="BS901" s="0" t="s">
        <v>8276</v>
      </c>
      <c r="BT901" s="0" t="s">
        <v>8277</v>
      </c>
      <c r="BU901" s="0" t="s">
        <v>8278</v>
      </c>
      <c r="BV901" s="123"/>
      <c r="BW901" s="123"/>
      <c r="BX901" s="123"/>
      <c r="BY901" s="123"/>
      <c r="CA901" s="0" t="s">
        <v>216</v>
      </c>
      <c r="CD901" s="0" t="s">
        <v>370</v>
      </c>
      <c r="CE901" s="0" t="n">
        <v>0</v>
      </c>
      <c r="CF901" s="0" t="s">
        <v>1486</v>
      </c>
      <c r="CI901" s="1" t="n">
        <v>34641</v>
      </c>
      <c r="CJ901" s="1" t="n">
        <v>40836</v>
      </c>
      <c r="CK901" s="124" t="n">
        <v>0.5625</v>
      </c>
      <c r="CL901" s="0" t="s">
        <v>8275</v>
      </c>
      <c r="CM901" s="0" t="n">
        <f aca="false">IF(OR(CI901="",CJ901=""),"",DAYS360(CI901,CJ901)/360)</f>
        <v>16.9638888888889</v>
      </c>
      <c r="CN901" s="0" t="n">
        <f aca="false">IF(OR(CI901="",CJ901=""),"",DAYS360(CI901,CJ901)/30)</f>
        <v>203.566666666667</v>
      </c>
      <c r="CO901" s="0" t="n">
        <f aca="false">IF(OR(CI901="",CJ901=""),"",DAYS360(CI901,CJ901)/7)</f>
        <v>872.428571428572</v>
      </c>
      <c r="CP901" s="0" t="n">
        <f aca="false">IF(OR(CI901="",CJ901=""),"",DAYS360(CI901,CJ901))</f>
        <v>6107</v>
      </c>
      <c r="CQ901" s="0" t="s">
        <v>220</v>
      </c>
      <c r="CR901" s="0" t="n">
        <v>1</v>
      </c>
      <c r="CT901" s="0" t="n">
        <v>7936.4</v>
      </c>
      <c r="CU901" s="0" t="n">
        <v>1</v>
      </c>
      <c r="CV901" s="0" t="n">
        <f aca="false">IF(OR(CT901="",CT901="NO ESPECIFICA",CT901="NO MENCIONA"),"",IF(CU901=0,CT901,IF(CU901=1,CT901/30,IF(CU901=2,CT901/15,IF(CU901=3,CT901/7,"")))))</f>
        <v>264.546666666667</v>
      </c>
      <c r="CW901" s="125" t="s">
        <v>216</v>
      </c>
      <c r="CX901" s="0" t="s">
        <v>216</v>
      </c>
      <c r="CY901" s="0" t="str">
        <f aca="false">IF(CW901="","",IF(CX901=0,CW901,IF(CX901=1,CW901/30,IF(CX901=2,CW901/15,IF(CX901=3,CW901/7,CW901)))))</f>
        <v>NO MENCIONA</v>
      </c>
      <c r="CZ901" s="0" t="n">
        <f aca="false">IF(DI901&gt;0,DI901,IF(CY901&gt;0,CY901,IF(CV901&gt;0,CV901,"")))</f>
        <v>486.22</v>
      </c>
      <c r="DA901" s="0" t="n">
        <f aca="false">IF(DM901=1,CZ901/8,IF(OR(DM901=2,DM901=4),CZ901/7,IF(DM901=3,CZ901/7.5,"")))</f>
        <v>60.7775</v>
      </c>
      <c r="DB901" s="0" t="s">
        <v>301</v>
      </c>
      <c r="DC901" s="0" t="s">
        <v>302</v>
      </c>
      <c r="DD901" s="0" t="s">
        <v>303</v>
      </c>
      <c r="DE901" s="0" t="s">
        <v>797</v>
      </c>
      <c r="DF901" s="0" t="s">
        <v>216</v>
      </c>
      <c r="DG901" s="0" t="s">
        <v>216</v>
      </c>
      <c r="DH901" s="0" t="n">
        <v>0</v>
      </c>
      <c r="DI901" s="126" t="n">
        <v>486.22</v>
      </c>
      <c r="DK901" s="0" t="n">
        <v>1</v>
      </c>
      <c r="DM901" s="0" t="n">
        <v>1</v>
      </c>
      <c r="DN901" s="0" t="n">
        <v>66</v>
      </c>
      <c r="DO901" s="0" t="n">
        <v>3</v>
      </c>
      <c r="DP901" s="0" t="n">
        <v>1</v>
      </c>
      <c r="DQ901" s="0" t="n">
        <v>1</v>
      </c>
      <c r="DR901" s="0" t="n">
        <v>43759.8</v>
      </c>
      <c r="DS901" s="0" t="n">
        <v>1</v>
      </c>
      <c r="DU901" s="0" t="n">
        <v>1</v>
      </c>
      <c r="DV901" s="0" t="n">
        <v>22974.04</v>
      </c>
      <c r="DW901" s="1" t="s">
        <v>216</v>
      </c>
      <c r="DX901" s="1" t="s">
        <v>216</v>
      </c>
      <c r="DY901" s="0" t="s">
        <v>216</v>
      </c>
      <c r="DZ901" s="0" t="s">
        <v>216</v>
      </c>
      <c r="EA901" s="0" t="s">
        <v>216</v>
      </c>
      <c r="EB901" s="0" t="s">
        <v>216</v>
      </c>
      <c r="EC901" s="1" t="s">
        <v>216</v>
      </c>
      <c r="ED901" s="1" t="s">
        <v>216</v>
      </c>
      <c r="EE901" s="0" t="s">
        <v>216</v>
      </c>
      <c r="EF901" s="0" t="s">
        <v>216</v>
      </c>
      <c r="EG901" s="0" t="n">
        <v>1</v>
      </c>
      <c r="EH901" s="0" t="n">
        <v>18</v>
      </c>
      <c r="EI901" s="0" t="n">
        <f aca="false">IF(AND(DM901=1,DN901&lt;=48),"",IF(AND(DM901=2,DN901&lt;=42),"",IF(AND(DM901=3,DN901&lt;=45),"",EH901)))</f>
        <v>18</v>
      </c>
      <c r="EJ901" s="0" t="n">
        <f aca="false">IF(EI901="","",IF(EI901&lt;9,EI901,9))</f>
        <v>9</v>
      </c>
      <c r="EK901" s="0" t="n">
        <f aca="false">IF(EI901="","",IF(EI901&gt;9,EI901-EJ901,0))</f>
        <v>9</v>
      </c>
      <c r="EL901" s="0" t="n">
        <f aca="false">IF(EI901="","",EJ901*DA901*2+EK901*DA901*3)</f>
        <v>2734.9875</v>
      </c>
      <c r="EM901" s="0" t="n">
        <v>65520</v>
      </c>
      <c r="EP901" s="0" t="n">
        <v>1</v>
      </c>
      <c r="EQ901" s="0" t="n">
        <v>155590.4</v>
      </c>
      <c r="ER901" s="0" t="n">
        <v>0</v>
      </c>
      <c r="ET901" s="0" t="n">
        <v>0</v>
      </c>
      <c r="EV901" s="0" t="n">
        <v>0</v>
      </c>
      <c r="EX901" s="0" t="n">
        <v>1</v>
      </c>
      <c r="EY901" s="0" t="n">
        <v>0</v>
      </c>
      <c r="EZ901" s="0"/>
      <c r="FA901" s="4" t="n">
        <v>0</v>
      </c>
      <c r="FB901" s="0" t="n">
        <v>0</v>
      </c>
      <c r="FC901" s="1" t="n">
        <v>41558</v>
      </c>
      <c r="FD901" s="0" t="n">
        <v>1</v>
      </c>
      <c r="FE901" s="0" t="n">
        <v>50000</v>
      </c>
      <c r="FF901" s="120" t="n">
        <f aca="false">(CJ901-CI901+1)/365</f>
        <v>16.9753424657534</v>
      </c>
      <c r="FG901" s="0" t="str">
        <f aca="false">CONCATENATE(F901,"/",G901)</f>
        <v>2092/2011</v>
      </c>
      <c r="FH901" s="0" t="n">
        <v>1</v>
      </c>
      <c r="FI901" s="0" t="n">
        <f aca="false">IFERROR(IF((FC901-J901+1)/365&gt;3,0,1),"")</f>
        <v>1</v>
      </c>
    </row>
    <row r="902" customFormat="false" ht="15" hidden="false" customHeight="false" outlineLevel="0" collapsed="false">
      <c r="A902" s="5" t="str">
        <f aca="false">E902&amp;G902&amp;F902</f>
        <v>720112093</v>
      </c>
      <c r="B902" s="0" t="s">
        <v>3217</v>
      </c>
      <c r="C902" s="1" t="n">
        <v>42391</v>
      </c>
      <c r="D902" s="0" t="s">
        <v>3265</v>
      </c>
      <c r="E902" s="0" t="n">
        <v>7</v>
      </c>
      <c r="F902" s="0" t="n">
        <v>2093</v>
      </c>
      <c r="G902" s="0" t="n">
        <v>2011</v>
      </c>
      <c r="H902" s="0" t="str">
        <f aca="false">"J"&amp;E902&amp;"\"&amp;F902&amp;"\"&amp;G902&amp;"\"&amp;W902</f>
        <v>J7\2093\2011\1</v>
      </c>
      <c r="I902" s="0"/>
      <c r="J902" s="1" t="n">
        <v>40891</v>
      </c>
      <c r="K902" s="0" t="n">
        <v>0</v>
      </c>
      <c r="M902" s="1"/>
      <c r="N902" s="1"/>
      <c r="O902" s="1"/>
      <c r="P902" s="1"/>
      <c r="Q902" s="1"/>
      <c r="T902" s="121"/>
      <c r="U902" s="121"/>
      <c r="V902" s="122" t="n">
        <f aca="false">IF(AND(E902&gt;0,F902&gt;0,G902&gt;0),COUNTIFS($E:$E,E902,$F:$F,F902,$G:$G,G902),"")</f>
        <v>1</v>
      </c>
      <c r="W902" s="122" t="n">
        <f aca="false">IF(V902="","",IF(V902=1,1,IF(AND(E901=E902,F901=F902,G901=G902),W901+1,1)))</f>
        <v>1</v>
      </c>
      <c r="X902" s="0" t="n">
        <v>1</v>
      </c>
      <c r="Y902" s="0" t="n">
        <v>3</v>
      </c>
      <c r="Z902" s="0" t="s">
        <v>8279</v>
      </c>
      <c r="AA902" s="0" t="n">
        <v>0</v>
      </c>
      <c r="AB902" s="0" t="s">
        <v>8280</v>
      </c>
      <c r="AC902" s="0" t="s">
        <v>8281</v>
      </c>
      <c r="AD902" s="0" t="s">
        <v>2415</v>
      </c>
      <c r="AE902" s="0" t="n">
        <v>0</v>
      </c>
      <c r="AF902" s="0" t="s">
        <v>8282</v>
      </c>
      <c r="AG902" s="0" t="n">
        <v>1</v>
      </c>
      <c r="AH902" s="0" t="s">
        <v>8283</v>
      </c>
      <c r="AI902" s="0" t="s">
        <v>1390</v>
      </c>
      <c r="AJ902" s="0" t="s">
        <v>322</v>
      </c>
      <c r="AL902" s="0" t="s">
        <v>8284</v>
      </c>
      <c r="AM902" s="0" t="s">
        <v>221</v>
      </c>
      <c r="AN902" s="0" t="s">
        <v>8283</v>
      </c>
      <c r="AO902" s="0" t="s">
        <v>1390</v>
      </c>
      <c r="AP902" s="0" t="s">
        <v>322</v>
      </c>
      <c r="AR902" s="0" t="s">
        <v>1880</v>
      </c>
      <c r="AS902" s="0" t="n">
        <v>1</v>
      </c>
      <c r="AT902" s="0" t="s">
        <v>8283</v>
      </c>
      <c r="AU902" s="0" t="s">
        <v>1390</v>
      </c>
      <c r="AV902" s="0" t="s">
        <v>322</v>
      </c>
      <c r="BR902" s="0" t="n">
        <v>1</v>
      </c>
      <c r="BS902" s="0" t="s">
        <v>8285</v>
      </c>
      <c r="BT902" s="0" t="s">
        <v>8286</v>
      </c>
      <c r="BU902" s="0" t="s">
        <v>8287</v>
      </c>
      <c r="BV902" s="123"/>
      <c r="BW902" s="123"/>
      <c r="BX902" s="123"/>
      <c r="BY902" s="123"/>
      <c r="CA902" s="0" t="s">
        <v>216</v>
      </c>
      <c r="CD902" s="0" t="s">
        <v>357</v>
      </c>
      <c r="CE902" s="0" t="n">
        <v>0</v>
      </c>
      <c r="CF902" s="0" t="s">
        <v>8288</v>
      </c>
      <c r="CI902" s="1" t="n">
        <v>39342</v>
      </c>
      <c r="CJ902" s="1" t="n">
        <v>40877</v>
      </c>
      <c r="CK902" s="124" t="n">
        <v>0.5</v>
      </c>
      <c r="CL902" s="0" t="s">
        <v>8289</v>
      </c>
      <c r="CM902" s="0" t="n">
        <f aca="false">IF(OR(CI902="",CJ902=""),"",DAYS360(CI902,CJ902)/360)</f>
        <v>4.20277777777778</v>
      </c>
      <c r="CN902" s="0" t="n">
        <f aca="false">IF(OR(CI902="",CJ902=""),"",DAYS360(CI902,CJ902)/30)</f>
        <v>50.4333333333333</v>
      </c>
      <c r="CO902" s="0" t="n">
        <f aca="false">IF(OR(CI902="",CJ902=""),"",DAYS360(CI902,CJ902)/7)</f>
        <v>216.142857142857</v>
      </c>
      <c r="CP902" s="0" t="n">
        <f aca="false">IF(OR(CI902="",CJ902=""),"",DAYS360(CI902,CJ902))</f>
        <v>1513</v>
      </c>
      <c r="CQ902" s="0" t="s">
        <v>220</v>
      </c>
      <c r="CR902" s="0" t="n">
        <v>1</v>
      </c>
      <c r="CT902" s="0" t="s">
        <v>216</v>
      </c>
      <c r="CU902" s="0" t="s">
        <v>216</v>
      </c>
      <c r="CV902" s="0" t="str">
        <f aca="false">IF(OR(CT902="",CT902="NO ESPECIFICA",CT902="NO MENCIONA"),"",IF(CU902=0,CT902,IF(CU902=1,CT902/30,IF(CU902=2,CT902/15,IF(CU902=3,CT902/7,"")))))</f>
        <v/>
      </c>
      <c r="CW902" s="125" t="s">
        <v>216</v>
      </c>
      <c r="CX902" s="0" t="s">
        <v>216</v>
      </c>
      <c r="CY902" s="0" t="str">
        <f aca="false">IF(CW902="","",IF(CX902=0,CW902,IF(CX902=1,CW902/30,IF(CX902=2,CW902/15,IF(CX902=3,CW902/7,CW902)))))</f>
        <v>NO MENCIONA</v>
      </c>
      <c r="CZ902" s="0" t="str">
        <f aca="false">IF(DI902&gt;0,DI902,IF(CY902&gt;0,CY902,IF(CV902&gt;0,CV902,"")))</f>
        <v>NO ESPECIFICA</v>
      </c>
      <c r="DA902" s="0" t="e">
        <f aca="false">IF(DM902=1,CZ902/8,IF(OR(DM902=2,DM902=4),CZ902/7,IF(DM902=3,CZ902/7.5,"")))</f>
        <v>#VALUE!</v>
      </c>
      <c r="DB902" s="0" t="s">
        <v>216</v>
      </c>
      <c r="DC902" s="0" t="s">
        <v>216</v>
      </c>
      <c r="DD902" s="0" t="s">
        <v>216</v>
      </c>
      <c r="DE902" s="0" t="s">
        <v>216</v>
      </c>
      <c r="DF902" s="0" t="s">
        <v>216</v>
      </c>
      <c r="DG902" s="0" t="s">
        <v>216</v>
      </c>
      <c r="DH902" s="0" t="n">
        <v>0</v>
      </c>
      <c r="DI902" s="126" t="s">
        <v>221</v>
      </c>
      <c r="DK902" s="0" t="n">
        <v>0</v>
      </c>
      <c r="DM902" s="0" t="n">
        <v>3</v>
      </c>
      <c r="DN902" s="0" t="n">
        <v>82</v>
      </c>
      <c r="DO902" s="0" t="n">
        <v>3</v>
      </c>
      <c r="DP902" s="0" t="n">
        <v>1</v>
      </c>
      <c r="DQ902" s="0" t="n">
        <v>1</v>
      </c>
      <c r="DR902" s="0" t="n">
        <v>90360</v>
      </c>
      <c r="DS902" s="0" t="n">
        <v>1</v>
      </c>
      <c r="DU902" s="0" t="n">
        <v>1</v>
      </c>
      <c r="DV902" s="0" t="n">
        <v>6000</v>
      </c>
      <c r="DW902" s="1" t="n">
        <v>40438</v>
      </c>
      <c r="DX902" s="1" t="n">
        <v>40877</v>
      </c>
      <c r="DZ902" s="0" t="n">
        <v>12048</v>
      </c>
      <c r="EA902" s="0" t="n">
        <v>1</v>
      </c>
      <c r="EB902" s="0" t="n">
        <v>3012</v>
      </c>
      <c r="EC902" s="1" t="n">
        <v>40544</v>
      </c>
      <c r="ED902" s="1" t="n">
        <v>40877</v>
      </c>
      <c r="EF902" s="0" t="n">
        <v>15060</v>
      </c>
      <c r="EG902" s="0" t="n">
        <v>1</v>
      </c>
      <c r="EH902" s="0" t="n">
        <v>34</v>
      </c>
      <c r="EI902" s="0" t="n">
        <f aca="false">IF(AND(DM902=1,DN902&lt;=48),"",IF(AND(DM902=2,DN902&lt;=42),"",IF(AND(DM902=3,DN902&lt;=45),"",EH902)))</f>
        <v>34</v>
      </c>
      <c r="EJ902" s="0" t="n">
        <f aca="false">IF(EI902="","",IF(EI902&lt;9,EI902,9))</f>
        <v>9</v>
      </c>
      <c r="EK902" s="0" t="n">
        <f aca="false">IF(EI902="","",IF(EI902&gt;9,EI902-EJ902,0))</f>
        <v>25</v>
      </c>
      <c r="EL902" s="0" t="e">
        <f aca="false">IF(EI902="","",EJ902*DA902*2+EK902*DA902*3)</f>
        <v>#VALUE!</v>
      </c>
      <c r="EP902" s="0" t="n">
        <v>1</v>
      </c>
      <c r="EQ902" s="0" t="n">
        <v>80320</v>
      </c>
      <c r="ER902" s="0" t="n">
        <v>1</v>
      </c>
      <c r="ET902" s="0" t="n">
        <v>0</v>
      </c>
      <c r="EV902" s="0" t="n">
        <v>0</v>
      </c>
      <c r="EX902" s="0" t="n">
        <v>0</v>
      </c>
      <c r="EY902" s="0" t="n">
        <v>0</v>
      </c>
      <c r="EZ902" s="0"/>
      <c r="FA902" s="4" t="n">
        <v>7274.86</v>
      </c>
      <c r="FB902" s="0" t="n">
        <v>0</v>
      </c>
      <c r="FC902" s="1" t="n">
        <v>41193</v>
      </c>
      <c r="FD902" s="0" t="n">
        <v>1</v>
      </c>
      <c r="FE902" s="0" t="n">
        <v>55000</v>
      </c>
      <c r="FF902" s="120" t="n">
        <f aca="false">(CJ902-CI902+1)/365</f>
        <v>4.20821917808219</v>
      </c>
      <c r="FG902" s="0" t="str">
        <f aca="false">CONCATENATE(F902,"/",G902)</f>
        <v>2093/2011</v>
      </c>
      <c r="FH902" s="0" t="n">
        <v>1</v>
      </c>
      <c r="FI902" s="0" t="n">
        <f aca="false">IFERROR(IF((FC902-J902+1)/365&gt;3,0,1),"")</f>
        <v>1</v>
      </c>
    </row>
    <row r="903" customFormat="false" ht="15" hidden="false" customHeight="false" outlineLevel="0" collapsed="false">
      <c r="A903" s="5" t="str">
        <f aca="false">E903&amp;G903&amp;F903</f>
        <v>720112094</v>
      </c>
      <c r="B903" s="0" t="s">
        <v>3217</v>
      </c>
      <c r="C903" s="1" t="n">
        <v>42391</v>
      </c>
      <c r="D903" s="0" t="s">
        <v>3265</v>
      </c>
      <c r="E903" s="0" t="n">
        <v>7</v>
      </c>
      <c r="F903" s="0" t="n">
        <v>2094</v>
      </c>
      <c r="G903" s="0" t="n">
        <v>2011</v>
      </c>
      <c r="H903" s="0" t="str">
        <f aca="false">"J"&amp;E903&amp;"\"&amp;F903&amp;"\"&amp;G903&amp;"\"&amp;W903</f>
        <v>J7\2094\2011\1</v>
      </c>
      <c r="I903" s="0"/>
      <c r="J903" s="1" t="n">
        <v>40891</v>
      </c>
      <c r="K903" s="0" t="n">
        <v>0</v>
      </c>
      <c r="M903" s="1"/>
      <c r="N903" s="1"/>
      <c r="O903" s="1"/>
      <c r="P903" s="1"/>
      <c r="Q903" s="1"/>
      <c r="T903" s="121"/>
      <c r="U903" s="121"/>
      <c r="V903" s="122" t="n">
        <f aca="false">IF(AND(E903&gt;0,F903&gt;0,G903&gt;0),COUNTIFS($E:$E,E903,$F:$F,F903,$G:$G,G903),"")</f>
        <v>1</v>
      </c>
      <c r="W903" s="122" t="n">
        <f aca="false">IF(V903="","",IF(V903=1,1,IF(AND(E902=E903,F902=F903,G902=G903),W902+1,1)))</f>
        <v>1</v>
      </c>
      <c r="X903" s="0" t="n">
        <v>1</v>
      </c>
      <c r="Y903" s="0" t="n">
        <v>8</v>
      </c>
      <c r="Z903" s="0" t="s">
        <v>8290</v>
      </c>
      <c r="AA903" s="0" t="n">
        <v>0</v>
      </c>
      <c r="AB903" s="0" t="s">
        <v>8291</v>
      </c>
      <c r="AC903" s="0" t="s">
        <v>8292</v>
      </c>
      <c r="AD903" s="0" t="s">
        <v>590</v>
      </c>
      <c r="AE903" s="0" t="n">
        <v>0</v>
      </c>
      <c r="AF903" s="0" t="s">
        <v>6103</v>
      </c>
      <c r="AG903" s="0" t="n">
        <v>0</v>
      </c>
      <c r="AH903" s="0" t="s">
        <v>8293</v>
      </c>
      <c r="AI903" s="0" t="s">
        <v>643</v>
      </c>
      <c r="AJ903" s="0" t="s">
        <v>207</v>
      </c>
      <c r="AL903" s="0" t="s">
        <v>896</v>
      </c>
      <c r="AM903" s="0" t="n">
        <v>0</v>
      </c>
      <c r="AN903" s="0" t="s">
        <v>8293</v>
      </c>
      <c r="AO903" s="0" t="s">
        <v>643</v>
      </c>
      <c r="AP903" s="0" t="s">
        <v>207</v>
      </c>
      <c r="AR903" s="0" t="s">
        <v>8294</v>
      </c>
      <c r="AS903" s="0" t="n">
        <v>1</v>
      </c>
      <c r="AT903" s="0" t="s">
        <v>8293</v>
      </c>
      <c r="AU903" s="0" t="s">
        <v>643</v>
      </c>
      <c r="AV903" s="0" t="s">
        <v>207</v>
      </c>
      <c r="AX903" s="0" t="s">
        <v>8295</v>
      </c>
      <c r="AY903" s="0" t="n">
        <v>1</v>
      </c>
      <c r="AZ903" s="0" t="s">
        <v>8293</v>
      </c>
      <c r="BA903" s="0" t="s">
        <v>643</v>
      </c>
      <c r="BB903" s="0" t="s">
        <v>207</v>
      </c>
      <c r="BD903" s="0" t="s">
        <v>8296</v>
      </c>
      <c r="BE903" s="0" t="n">
        <v>1</v>
      </c>
      <c r="BF903" s="0" t="s">
        <v>8293</v>
      </c>
      <c r="BG903" s="0" t="s">
        <v>643</v>
      </c>
      <c r="BH903" s="0" t="s">
        <v>207</v>
      </c>
      <c r="BJ903" s="0" t="s">
        <v>906</v>
      </c>
      <c r="BK903" s="0" t="n">
        <v>1</v>
      </c>
      <c r="BL903" s="0" t="s">
        <v>8293</v>
      </c>
      <c r="BM903" s="0" t="s">
        <v>643</v>
      </c>
      <c r="BN903" s="0" t="s">
        <v>207</v>
      </c>
      <c r="BR903" s="0" t="n">
        <v>1</v>
      </c>
      <c r="BS903" s="0" t="s">
        <v>8297</v>
      </c>
      <c r="BT903" s="0" t="s">
        <v>8298</v>
      </c>
      <c r="BU903" s="0" t="s">
        <v>8299</v>
      </c>
      <c r="BV903" s="123"/>
      <c r="BW903" s="123"/>
      <c r="BX903" s="123"/>
      <c r="BY903" s="123"/>
      <c r="CA903" s="0" t="s">
        <v>216</v>
      </c>
      <c r="CD903" s="0" t="s">
        <v>357</v>
      </c>
      <c r="CE903" s="0" t="n">
        <v>0</v>
      </c>
      <c r="CF903" s="0" t="s">
        <v>3907</v>
      </c>
      <c r="CI903" s="1" t="n">
        <v>39554</v>
      </c>
      <c r="CJ903" s="1" t="n">
        <v>40861</v>
      </c>
      <c r="CK903" s="124" t="n">
        <v>0.458333333333333</v>
      </c>
      <c r="CL903" s="0" t="s">
        <v>8300</v>
      </c>
      <c r="CM903" s="0" t="n">
        <f aca="false">IF(OR(CI903="",CJ903=""),"",DAYS360(CI903,CJ903)/360)</f>
        <v>3.57777777777778</v>
      </c>
      <c r="CN903" s="0" t="n">
        <f aca="false">IF(OR(CI903="",CJ903=""),"",DAYS360(CI903,CJ903)/30)</f>
        <v>42.9333333333333</v>
      </c>
      <c r="CO903" s="0" t="n">
        <f aca="false">IF(OR(CI903="",CJ903=""),"",DAYS360(CI903,CJ903)/7)</f>
        <v>184</v>
      </c>
      <c r="CP903" s="0" t="n">
        <f aca="false">IF(OR(CI903="",CJ903=""),"",DAYS360(CI903,CJ903))</f>
        <v>1288</v>
      </c>
      <c r="CQ903" s="0" t="s">
        <v>220</v>
      </c>
      <c r="CR903" s="0" t="n">
        <v>1</v>
      </c>
      <c r="CT903" s="0" t="s">
        <v>221</v>
      </c>
      <c r="CU903" s="0" t="s">
        <v>221</v>
      </c>
      <c r="CV903" s="0" t="str">
        <f aca="false">IF(OR(CT903="",CT903="NO ESPECIFICA",CT903="NO MENCIONA"),"",IF(CU903=0,CT903,IF(CU903=1,CT903/30,IF(CU903=2,CT903/15,IF(CU903=3,CT903/7,"")))))</f>
        <v/>
      </c>
      <c r="CW903" s="125" t="n">
        <v>6000</v>
      </c>
      <c r="CX903" s="0" t="n">
        <v>1</v>
      </c>
      <c r="CY903" s="0" t="n">
        <f aca="false">IF(CW903="","",IF(CX903=0,CW903,IF(CX903=1,CW903/30,IF(CX903=2,CW903/15,IF(CX903=3,CW903/7,CW903)))))</f>
        <v>200</v>
      </c>
      <c r="CZ903" s="0" t="n">
        <f aca="false">IF(DI903&gt;0,DI903,IF(CY903&gt;0,CY903,IF(CV903&gt;0,CV903,"")))</f>
        <v>200</v>
      </c>
      <c r="DA903" s="0" t="n">
        <f aca="false">IF(DM903=1,CZ903/8,IF(OR(DM903=2,DM903=4),CZ903/7,IF(DM903=3,CZ903/7.5,"")))</f>
        <v>25</v>
      </c>
      <c r="DB903" s="0" t="s">
        <v>216</v>
      </c>
      <c r="DC903" s="0" t="s">
        <v>216</v>
      </c>
      <c r="DD903" s="0" t="s">
        <v>216</v>
      </c>
      <c r="DE903" s="0" t="s">
        <v>216</v>
      </c>
      <c r="DF903" s="0" t="s">
        <v>216</v>
      </c>
      <c r="DG903" s="0" t="s">
        <v>216</v>
      </c>
      <c r="DH903" s="0" t="n">
        <v>0</v>
      </c>
      <c r="DI903" s="126" t="n">
        <v>200</v>
      </c>
      <c r="DK903" s="0" t="n">
        <v>1</v>
      </c>
      <c r="DM903" s="0" t="n">
        <v>1</v>
      </c>
      <c r="DN903" s="0" t="n">
        <v>55</v>
      </c>
      <c r="DO903" s="0" t="n">
        <v>3</v>
      </c>
      <c r="DP903" s="0" t="n">
        <v>1</v>
      </c>
      <c r="DQ903" s="0" t="n">
        <v>1</v>
      </c>
      <c r="DR903" s="0"/>
      <c r="DS903" s="0" t="n">
        <v>1</v>
      </c>
      <c r="DU903" s="0" t="n">
        <v>1</v>
      </c>
      <c r="DW903" s="1" t="n">
        <v>39554</v>
      </c>
      <c r="DX903" s="1" t="n">
        <v>40861</v>
      </c>
      <c r="DZ903" s="0"/>
      <c r="EA903" s="0" t="n">
        <v>1</v>
      </c>
      <c r="EC903" s="1" t="n">
        <v>39554</v>
      </c>
      <c r="ED903" s="1" t="n">
        <v>40861</v>
      </c>
      <c r="EF903" s="0"/>
      <c r="EG903" s="0" t="n">
        <v>1</v>
      </c>
      <c r="EH903" s="0" t="n">
        <v>7</v>
      </c>
      <c r="EI903" s="0" t="n">
        <f aca="false">IF(AND(DM903=1,DN903&lt;=48),"",IF(AND(DM903=2,DN903&lt;=42),"",IF(AND(DM903=3,DN903&lt;=45),"",EH903)))</f>
        <v>7</v>
      </c>
      <c r="EJ903" s="0" t="n">
        <f aca="false">IF(EI903="","",IF(EI903&lt;9,EI903,9))</f>
        <v>7</v>
      </c>
      <c r="EK903" s="0" t="n">
        <f aca="false">IF(EI903="","",IF(EI903&gt;9,EI903-EJ903,0))</f>
        <v>0</v>
      </c>
      <c r="EL903" s="0" t="n">
        <f aca="false">IF(EI903="","",EJ903*DA903*2+EK903*DA903*3)</f>
        <v>350</v>
      </c>
      <c r="EP903" s="0" t="n">
        <v>1</v>
      </c>
      <c r="EQ903" s="0"/>
      <c r="ER903" s="0" t="n">
        <v>0</v>
      </c>
      <c r="ET903" s="0" t="n">
        <v>0</v>
      </c>
      <c r="EV903" s="0" t="n">
        <v>1</v>
      </c>
      <c r="EX903" s="0" t="n">
        <v>1</v>
      </c>
      <c r="EY903" s="0" t="n">
        <v>1</v>
      </c>
      <c r="EZ903" s="0"/>
      <c r="FA903" s="4" t="n">
        <v>11720</v>
      </c>
      <c r="FB903" s="0" t="n">
        <v>1</v>
      </c>
      <c r="FC903" s="1" t="n">
        <v>41256</v>
      </c>
      <c r="FD903" s="0" t="n">
        <v>2</v>
      </c>
      <c r="FE903" s="0" t="n">
        <v>0</v>
      </c>
      <c r="FF903" s="120" t="n">
        <f aca="false">(CJ903-CI903+1)/365</f>
        <v>3.58356164383562</v>
      </c>
      <c r="FG903" s="0" t="str">
        <f aca="false">CONCATENATE(F903,"/",G903)</f>
        <v>2094/2011</v>
      </c>
      <c r="FH903" s="0" t="n">
        <v>1</v>
      </c>
      <c r="FI903" s="0" t="n">
        <f aca="false">IFERROR(IF((FC903-J903+1)/365&gt;3,0,1),"")</f>
        <v>1</v>
      </c>
    </row>
    <row r="904" customFormat="false" ht="15" hidden="false" customHeight="false" outlineLevel="0" collapsed="false">
      <c r="A904" s="5" t="str">
        <f aca="false">E904&amp;G904&amp;F904</f>
        <v>720112100</v>
      </c>
      <c r="B904" s="0" t="s">
        <v>3217</v>
      </c>
      <c r="C904" s="1" t="n">
        <v>42392</v>
      </c>
      <c r="D904" s="0" t="s">
        <v>3265</v>
      </c>
      <c r="E904" s="0" t="n">
        <v>7</v>
      </c>
      <c r="F904" s="0" t="n">
        <v>2100</v>
      </c>
      <c r="G904" s="0" t="n">
        <v>2011</v>
      </c>
      <c r="H904" s="0" t="str">
        <f aca="false">"J"&amp;E904&amp;"\"&amp;F904&amp;"\"&amp;G904&amp;"\"&amp;W904</f>
        <v>J7\2100\2011\1</v>
      </c>
      <c r="I904" s="0"/>
      <c r="J904" s="1" t="n">
        <v>40891</v>
      </c>
      <c r="K904" s="0" t="n">
        <v>0</v>
      </c>
      <c r="M904" s="1"/>
      <c r="N904" s="1"/>
      <c r="O904" s="1"/>
      <c r="P904" s="1"/>
      <c r="Q904" s="1"/>
      <c r="T904" s="121"/>
      <c r="U904" s="121"/>
      <c r="V904" s="122" t="n">
        <f aca="false">IF(AND(E904&gt;0,F904&gt;0,G904&gt;0),COUNTIFS($E:$E,E904,$F:$F,F904,$G:$G,G904),"")</f>
        <v>1</v>
      </c>
      <c r="W904" s="122" t="n">
        <f aca="false">IF(V904="","",IF(V904=1,1,IF(AND(E903=E904,F903=F904,G903=G904),W903+1,1)))</f>
        <v>1</v>
      </c>
      <c r="X904" s="0" t="n">
        <v>1</v>
      </c>
      <c r="Y904" s="0" t="n">
        <v>2</v>
      </c>
      <c r="Z904" s="0" t="s">
        <v>8301</v>
      </c>
      <c r="AA904" s="0" t="n">
        <v>0</v>
      </c>
      <c r="AB904" s="0" t="s">
        <v>8302</v>
      </c>
      <c r="AC904" s="0" t="s">
        <v>8303</v>
      </c>
      <c r="AD904" s="0" t="s">
        <v>352</v>
      </c>
      <c r="AE904" s="0" t="n">
        <v>0</v>
      </c>
      <c r="AF904" s="0" t="s">
        <v>8304</v>
      </c>
      <c r="AG904" s="0" t="n">
        <v>0</v>
      </c>
      <c r="AH904" s="0" t="s">
        <v>8305</v>
      </c>
      <c r="AI904" s="0" t="s">
        <v>8306</v>
      </c>
      <c r="AJ904" s="0" t="s">
        <v>8307</v>
      </c>
      <c r="AL904" s="0" t="s">
        <v>1880</v>
      </c>
      <c r="AM904" s="0" t="n">
        <v>1</v>
      </c>
      <c r="AN904" s="0" t="s">
        <v>8305</v>
      </c>
      <c r="AO904" s="0" t="s">
        <v>8306</v>
      </c>
      <c r="AP904" s="0" t="s">
        <v>8307</v>
      </c>
      <c r="BR904" s="0" t="n">
        <v>1</v>
      </c>
      <c r="BS904" s="0" t="s">
        <v>8308</v>
      </c>
      <c r="BT904" s="0" t="s">
        <v>8309</v>
      </c>
      <c r="BV904" s="123"/>
      <c r="BW904" s="123"/>
      <c r="BX904" s="123"/>
      <c r="BY904" s="123"/>
      <c r="CA904" s="0" t="s">
        <v>216</v>
      </c>
      <c r="CD904" s="0" t="s">
        <v>296</v>
      </c>
      <c r="CE904" s="0" t="n">
        <v>0</v>
      </c>
      <c r="CF904" s="0" t="s">
        <v>1773</v>
      </c>
      <c r="CI904" s="1" t="n">
        <v>39387</v>
      </c>
      <c r="CJ904" s="1" t="n">
        <v>40844</v>
      </c>
      <c r="CK904" s="124" t="n">
        <v>0.583333333333333</v>
      </c>
      <c r="CL904" s="0" t="s">
        <v>8310</v>
      </c>
      <c r="CM904" s="0" t="n">
        <f aca="false">IF(OR(CI904="",CJ904=""),"",DAYS360(CI904,CJ904)/360)</f>
        <v>3.99166666666667</v>
      </c>
      <c r="CN904" s="0" t="n">
        <f aca="false">IF(OR(CI904="",CJ904=""),"",DAYS360(CI904,CJ904)/30)</f>
        <v>47.9</v>
      </c>
      <c r="CO904" s="0" t="n">
        <f aca="false">IF(OR(CI904="",CJ904=""),"",DAYS360(CI904,CJ904)/7)</f>
        <v>205.285714285714</v>
      </c>
      <c r="CP904" s="0" t="n">
        <f aca="false">IF(OR(CI904="",CJ904=""),"",DAYS360(CI904,CJ904))</f>
        <v>1437</v>
      </c>
      <c r="CQ904" s="0" t="s">
        <v>240</v>
      </c>
      <c r="CR904" s="0" t="n">
        <v>1</v>
      </c>
      <c r="CT904" s="0" t="s">
        <v>221</v>
      </c>
      <c r="CU904" s="0" t="s">
        <v>221</v>
      </c>
      <c r="CV904" s="0" t="str">
        <f aca="false">IF(OR(CT904="",CT904="NO ESPECIFICA",CT904="NO MENCIONA"),"",IF(CU904=0,CT904,IF(CU904=1,CT904/30,IF(CU904=2,CT904/15,IF(CU904=3,CT904/7,"")))))</f>
        <v/>
      </c>
      <c r="CW904" s="125" t="n">
        <v>366.66</v>
      </c>
      <c r="CX904" s="0" t="n">
        <v>0</v>
      </c>
      <c r="CY904" s="0" t="n">
        <f aca="false">IF(CW904="","",IF(CX904=0,CW904,IF(CX904=1,CW904/30,IF(CX904=2,CW904/15,IF(CX904=3,CW904/7,CW904)))))</f>
        <v>366.66</v>
      </c>
      <c r="CZ904" s="0" t="n">
        <f aca="false">IF(DI904&gt;0,DI904,IF(CY904&gt;0,CY904,IF(CV904&gt;0,CV904,"")))</f>
        <v>366.66</v>
      </c>
      <c r="DA904" s="0" t="n">
        <f aca="false">IF(DM904=1,CZ904/8,IF(OR(DM904=2,DM904=4),CZ904/7,IF(DM904=3,CZ904/7.5,"")))</f>
        <v>45.8325</v>
      </c>
      <c r="DB904" s="0" t="s">
        <v>216</v>
      </c>
      <c r="DC904" s="0" t="s">
        <v>216</v>
      </c>
      <c r="DD904" s="0" t="s">
        <v>216</v>
      </c>
      <c r="DE904" s="0" t="s">
        <v>216</v>
      </c>
      <c r="DF904" s="0" t="s">
        <v>216</v>
      </c>
      <c r="DG904" s="0" t="s">
        <v>216</v>
      </c>
      <c r="DH904" s="0" t="n">
        <v>0</v>
      </c>
      <c r="DI904" s="126" t="n">
        <v>366.66</v>
      </c>
      <c r="DK904" s="0" t="n">
        <v>0</v>
      </c>
      <c r="DM904" s="0" t="n">
        <v>1</v>
      </c>
      <c r="DN904" s="0" t="n">
        <v>55</v>
      </c>
      <c r="DO904" s="0" t="n">
        <v>3</v>
      </c>
      <c r="DP904" s="0" t="n">
        <v>0</v>
      </c>
      <c r="DQ904" s="0" t="n">
        <v>1</v>
      </c>
      <c r="DR904" s="0" t="n">
        <v>33000</v>
      </c>
      <c r="DS904" s="0" t="n">
        <v>1</v>
      </c>
      <c r="DU904" s="0" t="n">
        <v>1</v>
      </c>
      <c r="DV904" s="0" t="n">
        <v>17599.68</v>
      </c>
      <c r="DW904" s="1" t="n">
        <v>40544</v>
      </c>
      <c r="DX904" s="1" t="n">
        <v>40844</v>
      </c>
      <c r="DZ904" s="0" t="n">
        <v>4400</v>
      </c>
      <c r="EA904" s="0" t="n">
        <v>1</v>
      </c>
      <c r="EB904" s="0" t="n">
        <v>1100</v>
      </c>
      <c r="EC904" s="1" t="n">
        <v>40544</v>
      </c>
      <c r="ED904" s="1" t="n">
        <v>40844</v>
      </c>
      <c r="EF904" s="0" t="n">
        <v>4583.25</v>
      </c>
      <c r="EG904" s="0" t="n">
        <v>1</v>
      </c>
      <c r="EH904" s="0" t="s">
        <v>221</v>
      </c>
      <c r="EI904" s="0" t="str">
        <f aca="false">IF(AND(DM904=1,DN904&lt;=48),"",IF(AND(DM904=2,DN904&lt;=42),"",IF(AND(DM904=3,DN904&lt;=45),"",EH904)))</f>
        <v>NO ESPECIFICA</v>
      </c>
      <c r="EJ904" s="0" t="n">
        <f aca="false">IF(EI904="","",IF(EI904&lt;9,EI904,9))</f>
        <v>9</v>
      </c>
      <c r="EK904" s="0" t="e">
        <f aca="false">IF(EI904="","",IF(EI904&gt;9,EI904-EJ904,0))</f>
        <v>#VALUE!</v>
      </c>
      <c r="EL904" s="0" t="e">
        <f aca="false">IF(EI904="","",EJ904*DA904*2+EK904*DA904*3)</f>
        <v>#VALUE!</v>
      </c>
      <c r="EP904" s="0" t="n">
        <v>1</v>
      </c>
      <c r="EQ904" s="0" t="n">
        <v>29332.8</v>
      </c>
      <c r="ER904" s="0" t="n">
        <v>0</v>
      </c>
      <c r="ET904" s="0" t="n">
        <v>0</v>
      </c>
      <c r="EV904" s="0" t="n">
        <v>0</v>
      </c>
      <c r="EX904" s="0" t="n">
        <v>0</v>
      </c>
      <c r="EY904" s="0" t="n">
        <v>0</v>
      </c>
      <c r="EZ904" s="0"/>
      <c r="FA904" s="4" t="n">
        <v>5499.99</v>
      </c>
      <c r="FB904" s="0" t="n">
        <v>0</v>
      </c>
      <c r="FC904" s="1" t="n">
        <v>40946</v>
      </c>
      <c r="FD904" s="0" t="n">
        <v>2</v>
      </c>
      <c r="FE904" s="0" t="n">
        <v>0</v>
      </c>
      <c r="FF904" s="120" t="n">
        <f aca="false">(CJ904-CI904+1)/365</f>
        <v>3.99452054794521</v>
      </c>
      <c r="FG904" s="0" t="str">
        <f aca="false">CONCATENATE(F904,"/",G904)</f>
        <v>2100/2011</v>
      </c>
      <c r="FH904" s="0" t="n">
        <v>1</v>
      </c>
      <c r="FI904" s="0" t="n">
        <f aca="false">IFERROR(IF((FC904-J904+1)/365&gt;3,0,1),"")</f>
        <v>1</v>
      </c>
    </row>
    <row r="905" customFormat="false" ht="15" hidden="false" customHeight="false" outlineLevel="0" collapsed="false">
      <c r="A905" s="5" t="str">
        <f aca="false">E905&amp;G905&amp;F905</f>
        <v>720112104</v>
      </c>
      <c r="B905" s="0" t="s">
        <v>3217</v>
      </c>
      <c r="C905" s="1" t="n">
        <v>42392</v>
      </c>
      <c r="D905" s="0" t="s">
        <v>3265</v>
      </c>
      <c r="E905" s="0" t="n">
        <v>7</v>
      </c>
      <c r="F905" s="0" t="n">
        <v>2104</v>
      </c>
      <c r="G905" s="0" t="n">
        <v>2011</v>
      </c>
      <c r="H905" s="0" t="str">
        <f aca="false">"J"&amp;E905&amp;"\"&amp;F905&amp;"\"&amp;G905&amp;"\"&amp;W905</f>
        <v>J7\2104\2011\1</v>
      </c>
      <c r="I905" s="0"/>
      <c r="J905" s="1" t="n">
        <v>40892</v>
      </c>
      <c r="K905" s="0" t="n">
        <v>0</v>
      </c>
      <c r="M905" s="1"/>
      <c r="N905" s="1"/>
      <c r="O905" s="1"/>
      <c r="P905" s="1"/>
      <c r="Q905" s="1"/>
      <c r="T905" s="121"/>
      <c r="U905" s="121"/>
      <c r="V905" s="122" t="n">
        <f aca="false">IF(AND(E905&gt;0,F905&gt;0,G905&gt;0),COUNTIFS($E:$E,E905,$F:$F,F905,$G:$G,G905),"")</f>
        <v>1</v>
      </c>
      <c r="W905" s="122" t="n">
        <f aca="false">IF(V905="","",IF(V905=1,1,IF(AND(E904=E905,F904=F905,G904=G905),W904+1,1)))</f>
        <v>1</v>
      </c>
      <c r="X905" s="0" t="n">
        <v>1</v>
      </c>
      <c r="Y905" s="0" t="n">
        <v>2</v>
      </c>
      <c r="Z905" s="0" t="s">
        <v>8311</v>
      </c>
      <c r="AA905" s="0" t="n">
        <v>0</v>
      </c>
      <c r="AB905" s="0" t="s">
        <v>8312</v>
      </c>
      <c r="AC905" s="0" t="s">
        <v>318</v>
      </c>
      <c r="AD905" s="0" t="s">
        <v>221</v>
      </c>
      <c r="AE905" s="0" t="n">
        <v>0</v>
      </c>
      <c r="AF905" s="0" t="s">
        <v>6323</v>
      </c>
      <c r="AG905" s="0" t="n">
        <v>0</v>
      </c>
      <c r="AH905" s="0" t="s">
        <v>5311</v>
      </c>
      <c r="AI905" s="0" t="s">
        <v>274</v>
      </c>
      <c r="AJ905" s="0" t="s">
        <v>229</v>
      </c>
      <c r="AL905" s="0" t="s">
        <v>8313</v>
      </c>
      <c r="AM905" s="0" t="n">
        <v>0</v>
      </c>
      <c r="AN905" s="0" t="s">
        <v>8314</v>
      </c>
      <c r="AO905" s="0" t="s">
        <v>6325</v>
      </c>
      <c r="AP905" s="0" t="s">
        <v>659</v>
      </c>
      <c r="BR905" s="0" t="n">
        <v>1</v>
      </c>
      <c r="BS905" s="0" t="s">
        <v>8315</v>
      </c>
      <c r="BV905" s="123"/>
      <c r="BW905" s="123"/>
      <c r="BX905" s="123"/>
      <c r="BY905" s="123"/>
      <c r="CA905" s="0" t="s">
        <v>216</v>
      </c>
      <c r="CD905" s="0" t="s">
        <v>296</v>
      </c>
      <c r="CE905" s="0" t="n">
        <v>0</v>
      </c>
      <c r="CF905" s="0" t="s">
        <v>1587</v>
      </c>
      <c r="CI905" s="1" t="n">
        <v>37848</v>
      </c>
      <c r="CJ905" s="1" t="n">
        <v>40883</v>
      </c>
      <c r="CK905" s="124" t="n">
        <v>0.770833333333333</v>
      </c>
      <c r="CL905" s="0" t="s">
        <v>8316</v>
      </c>
      <c r="CM905" s="0" t="n">
        <f aca="false">IF(OR(CI905="",CJ905=""),"",DAYS360(CI905,CJ905)/360)</f>
        <v>8.30833333333333</v>
      </c>
      <c r="CN905" s="0" t="n">
        <f aca="false">IF(OR(CI905="",CJ905=""),"",DAYS360(CI905,CJ905)/30)</f>
        <v>99.7</v>
      </c>
      <c r="CO905" s="0" t="n">
        <f aca="false">IF(OR(CI905="",CJ905=""),"",DAYS360(CI905,CJ905)/7)</f>
        <v>427.285714285714</v>
      </c>
      <c r="CP905" s="0" t="n">
        <f aca="false">IF(OR(CI905="",CJ905=""),"",DAYS360(CI905,CJ905))</f>
        <v>2991</v>
      </c>
      <c r="CQ905" s="0" t="s">
        <v>240</v>
      </c>
      <c r="CR905" s="0" t="n">
        <v>1</v>
      </c>
      <c r="CT905" s="0" t="n">
        <v>3632</v>
      </c>
      <c r="CU905" s="0" t="n">
        <v>2</v>
      </c>
      <c r="CV905" s="0" t="n">
        <f aca="false">IF(OR(CT905="",CT905="NO ESPECIFICA",CT905="NO MENCIONA"),"",IF(CU905=0,CT905,IF(CU905=1,CT905/30,IF(CU905=2,CT905/15,IF(CU905=3,CT905/7,"")))))</f>
        <v>242.133333333333</v>
      </c>
      <c r="CW905" s="125" t="n">
        <v>4882</v>
      </c>
      <c r="CX905" s="0" t="n">
        <v>2</v>
      </c>
      <c r="CY905" s="0" t="n">
        <f aca="false">IF(CW905="","",IF(CX905=0,CW905,IF(CX905=1,CW905/30,IF(CX905=2,CW905/15,IF(CX905=3,CW905/7,CW905)))))</f>
        <v>325.466666666667</v>
      </c>
      <c r="CZ905" s="0" t="n">
        <f aca="false">IF(DI905&gt;0,DI905,IF(CY905&gt;0,CY905,IF(CV905&gt;0,CV905,"")))</f>
        <v>325.46</v>
      </c>
      <c r="DA905" s="0" t="n">
        <f aca="false">IF(DM905=1,CZ905/8,IF(OR(DM905=2,DM905=4),CZ905/7,IF(DM905=3,CZ905/7.5,"")))</f>
        <v>43.3946666666667</v>
      </c>
      <c r="DB905" s="0" t="s">
        <v>1582</v>
      </c>
      <c r="DC905" s="0" t="s">
        <v>299</v>
      </c>
      <c r="DD905" s="0" t="s">
        <v>216</v>
      </c>
      <c r="DE905" s="0" t="s">
        <v>216</v>
      </c>
      <c r="DF905" s="0" t="s">
        <v>216</v>
      </c>
      <c r="DG905" s="0" t="s">
        <v>216</v>
      </c>
      <c r="DH905" s="0" t="n">
        <v>0</v>
      </c>
      <c r="DI905" s="126" t="n">
        <v>325.46</v>
      </c>
      <c r="DK905" s="0" t="n">
        <v>1</v>
      </c>
      <c r="DM905" s="0" t="n">
        <v>3</v>
      </c>
      <c r="DN905" s="0" t="n">
        <v>54</v>
      </c>
      <c r="DO905" s="0" t="n">
        <v>3</v>
      </c>
      <c r="DP905" s="0" t="n">
        <v>0</v>
      </c>
      <c r="DQ905" s="0" t="n">
        <v>1</v>
      </c>
      <c r="DR905" s="0"/>
      <c r="DS905" s="0" t="n">
        <v>1</v>
      </c>
      <c r="DU905" s="0" t="n">
        <v>0</v>
      </c>
      <c r="DW905" s="1" t="n">
        <v>37848</v>
      </c>
      <c r="DX905" s="1" t="n">
        <v>40883</v>
      </c>
      <c r="DZ905" s="0"/>
      <c r="EA905" s="0" t="n">
        <v>1</v>
      </c>
      <c r="EC905" s="1" t="n">
        <v>40179</v>
      </c>
      <c r="ED905" s="1" t="n">
        <v>40883</v>
      </c>
      <c r="EF905" s="0"/>
      <c r="EG905" s="0" t="n">
        <v>1</v>
      </c>
      <c r="EH905" s="0" t="n">
        <v>12</v>
      </c>
      <c r="EI905" s="0" t="n">
        <f aca="false">IF(AND(DM905=1,DN905&lt;=48),"",IF(AND(DM905=2,DN905&lt;=42),"",IF(AND(DM905=3,DN905&lt;=45),"",EH905)))</f>
        <v>12</v>
      </c>
      <c r="EJ905" s="0" t="n">
        <f aca="false">IF(EI905="","",IF(EI905&lt;9,EI905,9))</f>
        <v>9</v>
      </c>
      <c r="EK905" s="0" t="n">
        <f aca="false">IF(EI905="","",IF(EI905&gt;9,EI905-EJ905,0))</f>
        <v>3</v>
      </c>
      <c r="EL905" s="0" t="n">
        <f aca="false">IF(EI905="","",EJ905*DA905*2+EK905*DA905*3)</f>
        <v>1171.656</v>
      </c>
      <c r="EP905" s="0" t="n">
        <v>0</v>
      </c>
      <c r="EQ905" s="0"/>
      <c r="ER905" s="0" t="n">
        <v>0</v>
      </c>
      <c r="ET905" s="0" t="n">
        <v>0</v>
      </c>
      <c r="EV905" s="0" t="n">
        <v>1</v>
      </c>
      <c r="EX905" s="0" t="n">
        <v>0</v>
      </c>
      <c r="EY905" s="0" t="n">
        <v>1</v>
      </c>
      <c r="EZ905" s="0"/>
      <c r="FA905" s="4" t="n">
        <v>17900.6</v>
      </c>
      <c r="FB905" s="0" t="n">
        <v>0</v>
      </c>
      <c r="FC905" s="1" t="n">
        <v>41187</v>
      </c>
      <c r="FD905" s="0" t="n">
        <v>1</v>
      </c>
      <c r="FE905" s="0" t="n">
        <v>17000</v>
      </c>
      <c r="FF905" s="120" t="n">
        <f aca="false">(CJ905-CI905+1)/365</f>
        <v>8.31780821917808</v>
      </c>
      <c r="FG905" s="0" t="str">
        <f aca="false">CONCATENATE(F905,"/",G905)</f>
        <v>2104/2011</v>
      </c>
      <c r="FH905" s="0" t="n">
        <v>1</v>
      </c>
      <c r="FI905" s="0" t="n">
        <f aca="false">IFERROR(IF((FC905-J905+1)/365&gt;3,0,1),"")</f>
        <v>1</v>
      </c>
    </row>
    <row r="906" customFormat="false" ht="15" hidden="false" customHeight="false" outlineLevel="0" collapsed="false">
      <c r="A906" s="5" t="str">
        <f aca="false">E906&amp;G906&amp;F906</f>
        <v>720111932</v>
      </c>
      <c r="B906" s="0" t="s">
        <v>3217</v>
      </c>
      <c r="C906" s="1" t="n">
        <v>42392</v>
      </c>
      <c r="D906" s="0" t="s">
        <v>3265</v>
      </c>
      <c r="E906" s="0" t="n">
        <v>7</v>
      </c>
      <c r="F906" s="0" t="n">
        <v>1932</v>
      </c>
      <c r="G906" s="0" t="n">
        <v>2011</v>
      </c>
      <c r="H906" s="0" t="str">
        <f aca="false">"J"&amp;E906&amp;"\"&amp;F906&amp;"\"&amp;G906&amp;"\"&amp;W906</f>
        <v>J7\1932\2011\1</v>
      </c>
      <c r="I906" s="0"/>
      <c r="J906" s="1" t="n">
        <v>40865</v>
      </c>
      <c r="K906" s="0" t="n">
        <v>0</v>
      </c>
      <c r="M906" s="1"/>
      <c r="N906" s="1"/>
      <c r="O906" s="1"/>
      <c r="P906" s="1"/>
      <c r="Q906" s="1"/>
      <c r="T906" s="121"/>
      <c r="U906" s="121"/>
      <c r="V906" s="122" t="n">
        <f aca="false">IF(AND(E906&gt;0,F906&gt;0,G906&gt;0),COUNTIFS($E:$E,E906,$F:$F,F906,$G:$G,G906),"")</f>
        <v>1</v>
      </c>
      <c r="W906" s="122" t="n">
        <f aca="false">IF(V906="","",IF(V906=1,1,IF(AND(E905=E906,F905=F906,G905=G906),W905+1,1)))</f>
        <v>1</v>
      </c>
      <c r="X906" s="0" t="n">
        <v>1</v>
      </c>
      <c r="Y906" s="0" t="n">
        <v>3</v>
      </c>
      <c r="Z906" s="0" t="s">
        <v>8317</v>
      </c>
      <c r="AA906" s="0" t="n">
        <v>0</v>
      </c>
      <c r="AB906" s="0" t="s">
        <v>8318</v>
      </c>
      <c r="AC906" s="0" t="s">
        <v>251</v>
      </c>
      <c r="AD906" s="0" t="s">
        <v>229</v>
      </c>
      <c r="AE906" s="0" t="n">
        <v>0</v>
      </c>
      <c r="AF906" s="0" t="s">
        <v>2334</v>
      </c>
      <c r="AG906" s="0" t="n">
        <v>0</v>
      </c>
      <c r="AH906" s="0" t="s">
        <v>2335</v>
      </c>
      <c r="AI906" s="0" t="s">
        <v>2640</v>
      </c>
      <c r="AJ906" s="0" t="s">
        <v>207</v>
      </c>
      <c r="AL906" s="0" t="s">
        <v>8319</v>
      </c>
      <c r="AM906" s="0" t="n">
        <v>0</v>
      </c>
      <c r="AN906" s="0" t="s">
        <v>8320</v>
      </c>
      <c r="AO906" s="0" t="s">
        <v>3903</v>
      </c>
      <c r="AP906" s="0" t="s">
        <v>229</v>
      </c>
      <c r="AR906" s="0" t="s">
        <v>249</v>
      </c>
      <c r="AS906" s="0" t="n">
        <v>0</v>
      </c>
      <c r="AT906" s="0" t="s">
        <v>964</v>
      </c>
      <c r="AU906" s="0" t="s">
        <v>410</v>
      </c>
      <c r="AV906" s="0" t="s">
        <v>411</v>
      </c>
      <c r="BR906" s="0" t="n">
        <v>1</v>
      </c>
      <c r="BS906" s="0" t="s">
        <v>8321</v>
      </c>
      <c r="BT906" s="0" t="s">
        <v>8322</v>
      </c>
      <c r="BU906" s="0" t="s">
        <v>2956</v>
      </c>
      <c r="BV906" s="123"/>
      <c r="BW906" s="123"/>
      <c r="BX906" s="123"/>
      <c r="BY906" s="123"/>
      <c r="CA906" s="0" t="s">
        <v>216</v>
      </c>
      <c r="CD906" s="0" t="s">
        <v>296</v>
      </c>
      <c r="CE906" s="0" t="n">
        <v>0</v>
      </c>
      <c r="CF906" s="0" t="s">
        <v>8323</v>
      </c>
      <c r="CI906" s="1" t="n">
        <v>39562</v>
      </c>
      <c r="CJ906" s="1" t="n">
        <v>40842</v>
      </c>
      <c r="CK906" s="124" t="n">
        <v>0.625</v>
      </c>
      <c r="CL906" s="0" t="s">
        <v>8324</v>
      </c>
      <c r="CM906" s="0" t="n">
        <f aca="false">IF(OR(CI906="",CJ906=""),"",DAYS360(CI906,CJ906)/360)</f>
        <v>3.50555555555556</v>
      </c>
      <c r="CN906" s="0" t="n">
        <f aca="false">IF(OR(CI906="",CJ906=""),"",DAYS360(CI906,CJ906)/30)</f>
        <v>42.0666666666667</v>
      </c>
      <c r="CO906" s="0" t="n">
        <f aca="false">IF(OR(CI906="",CJ906=""),"",DAYS360(CI906,CJ906)/7)</f>
        <v>180.285714285714</v>
      </c>
      <c r="CP906" s="0" t="n">
        <f aca="false">IF(OR(CI906="",CJ906=""),"",DAYS360(CI906,CJ906))</f>
        <v>1262</v>
      </c>
      <c r="CQ906" s="0" t="s">
        <v>220</v>
      </c>
      <c r="CR906" s="0" t="n">
        <v>1</v>
      </c>
      <c r="CT906" s="0" t="n">
        <v>6000</v>
      </c>
      <c r="CU906" s="0" t="n">
        <v>2</v>
      </c>
      <c r="CV906" s="0" t="n">
        <f aca="false">IF(OR(CT906="",CT906="NO ESPECIFICA",CT906="NO MENCIONA"),"",IF(CU906=0,CT906,IF(CU906=1,CT906/30,IF(CU906=2,CT906/15,IF(CU906=3,CT906/7,"")))))</f>
        <v>400</v>
      </c>
      <c r="CW906" s="125" t="n">
        <v>2107.36</v>
      </c>
      <c r="CX906" s="0" t="n">
        <v>0</v>
      </c>
      <c r="CY906" s="0" t="n">
        <f aca="false">IF(CW906="","",IF(CX906=0,CW906,IF(CX906=1,CW906/30,IF(CX906=2,CW906/15,IF(CX906=3,CW906/7,CW906)))))</f>
        <v>2107.36</v>
      </c>
      <c r="CZ906" s="0" t="n">
        <f aca="false">IF(DI906&gt;0,DI906,IF(CY906&gt;0,CY906,IF(CV906&gt;0,CV906,"")))</f>
        <v>2107.36</v>
      </c>
      <c r="DA906" s="0" t="n">
        <f aca="false">IF(DM906=1,CZ906/8,IF(OR(DM906=2,DM906=4),CZ906/7,IF(DM906=3,CZ906/7.5,"")))</f>
        <v>263.42</v>
      </c>
      <c r="DB906" s="0" t="s">
        <v>8325</v>
      </c>
      <c r="DC906" s="0" t="s">
        <v>8326</v>
      </c>
      <c r="DD906" s="0" t="s">
        <v>8327</v>
      </c>
      <c r="DE906" s="0" t="s">
        <v>216</v>
      </c>
      <c r="DF906" s="0" t="s">
        <v>216</v>
      </c>
      <c r="DG906" s="0" t="s">
        <v>216</v>
      </c>
      <c r="DH906" s="0" t="n">
        <v>0</v>
      </c>
      <c r="DI906" s="126" t="n">
        <v>2107.36</v>
      </c>
      <c r="DK906" s="0" t="n">
        <v>1</v>
      </c>
      <c r="DM906" s="0" t="n">
        <v>1</v>
      </c>
      <c r="DN906" s="0" t="n">
        <v>70</v>
      </c>
      <c r="DO906" s="0" t="n">
        <v>3</v>
      </c>
      <c r="DP906" s="0" t="n">
        <v>1</v>
      </c>
      <c r="DQ906" s="0" t="n">
        <v>0</v>
      </c>
      <c r="DR906" s="0"/>
      <c r="DS906" s="0" t="n">
        <v>1</v>
      </c>
      <c r="DU906" s="0" t="n">
        <v>0</v>
      </c>
      <c r="DW906" s="1" t="n">
        <v>39562</v>
      </c>
      <c r="DX906" s="1" t="n">
        <v>40842</v>
      </c>
      <c r="DZ906" s="0" t="n">
        <v>3200</v>
      </c>
      <c r="EA906" s="0" t="n">
        <v>1</v>
      </c>
      <c r="EB906" s="0" t="n">
        <v>800</v>
      </c>
      <c r="EC906" s="1" t="n">
        <v>40179</v>
      </c>
      <c r="ED906" s="1" t="n">
        <v>40543</v>
      </c>
      <c r="EF906" s="0" t="n">
        <v>6000</v>
      </c>
      <c r="EG906" s="0" t="n">
        <v>1</v>
      </c>
      <c r="EH906" s="0" t="n">
        <v>14</v>
      </c>
      <c r="EI906" s="0" t="n">
        <f aca="false">IF(AND(DM906=1,DN906&lt;=48),"",IF(AND(DM906=2,DN906&lt;=42),"",IF(AND(DM906=3,DN906&lt;=45),"",EH906)))</f>
        <v>14</v>
      </c>
      <c r="EJ906" s="0" t="n">
        <f aca="false">IF(EI906="","",IF(EI906&lt;9,EI906,9))</f>
        <v>9</v>
      </c>
      <c r="EK906" s="0" t="n">
        <f aca="false">IF(EI906="","",IF(EI906&gt;9,EI906-EJ906,0))</f>
        <v>5</v>
      </c>
      <c r="EL906" s="0" t="n">
        <f aca="false">IF(EI906="","",EJ906*DA906*2+EK906*DA906*3)</f>
        <v>8692.86</v>
      </c>
      <c r="EP906" s="0" t="n">
        <v>0</v>
      </c>
      <c r="EQ906" s="0"/>
      <c r="ER906" s="0" t="n">
        <v>1</v>
      </c>
      <c r="ET906" s="0" t="n">
        <v>0</v>
      </c>
      <c r="EV906" s="0" t="n">
        <v>1</v>
      </c>
      <c r="EX906" s="0" t="n">
        <v>1</v>
      </c>
      <c r="EY906" s="0" t="n">
        <v>0</v>
      </c>
      <c r="EZ906" s="0"/>
      <c r="FA906" s="4" t="n">
        <v>0</v>
      </c>
      <c r="FB906" s="0" t="n">
        <v>0</v>
      </c>
      <c r="FC906" s="1" t="n">
        <v>41218</v>
      </c>
      <c r="FD906" s="0" t="n">
        <v>1</v>
      </c>
      <c r="FE906" s="0" t="n">
        <v>215000</v>
      </c>
      <c r="FF906" s="120" t="n">
        <f aca="false">(CJ906-CI906+1)/365</f>
        <v>3.50958904109589</v>
      </c>
      <c r="FG906" s="0" t="str">
        <f aca="false">CONCATENATE(F906,"/",G906)</f>
        <v>1932/2011</v>
      </c>
      <c r="FH906" s="0" t="n">
        <v>1</v>
      </c>
      <c r="FI906" s="0" t="n">
        <f aca="false">IFERROR(IF((FC906-J906+1)/365&gt;3,0,1),"")</f>
        <v>1</v>
      </c>
    </row>
    <row r="907" customFormat="false" ht="15" hidden="false" customHeight="false" outlineLevel="0" collapsed="false">
      <c r="A907" s="5" t="str">
        <f aca="false">E907&amp;G907&amp;F907</f>
        <v>720112054</v>
      </c>
      <c r="B907" s="0" t="s">
        <v>3217</v>
      </c>
      <c r="C907" s="1" t="n">
        <v>42392</v>
      </c>
      <c r="D907" s="0" t="s">
        <v>3265</v>
      </c>
      <c r="E907" s="0" t="n">
        <v>7</v>
      </c>
      <c r="F907" s="0" t="n">
        <v>2054</v>
      </c>
      <c r="G907" s="0" t="n">
        <v>2011</v>
      </c>
      <c r="H907" s="0" t="str">
        <f aca="false">"J"&amp;E907&amp;"\"&amp;F907&amp;"\"&amp;G907&amp;"\"&amp;W907</f>
        <v>J7\2054\2011\1</v>
      </c>
      <c r="I907" s="0"/>
      <c r="J907" s="1" t="n">
        <v>40885</v>
      </c>
      <c r="K907" s="0" t="n">
        <v>0</v>
      </c>
      <c r="M907" s="1"/>
      <c r="N907" s="1"/>
      <c r="O907" s="1"/>
      <c r="P907" s="1"/>
      <c r="Q907" s="1"/>
      <c r="T907" s="121"/>
      <c r="U907" s="121"/>
      <c r="V907" s="122" t="n">
        <f aca="false">IF(AND(E907&gt;0,F907&gt;0,G907&gt;0),COUNTIFS($E:$E,E907,$F:$F,F907,$G:$G,G907),"")</f>
        <v>3</v>
      </c>
      <c r="W907" s="122" t="n">
        <f aca="false">IF(V907="","",IF(V907=1,1,IF(AND(E906=E907,F906=F907,G906=G907),W906+1,1)))</f>
        <v>1</v>
      </c>
      <c r="X907" s="0" t="n">
        <v>3</v>
      </c>
      <c r="Y907" s="0" t="n">
        <v>9</v>
      </c>
      <c r="Z907" s="0" t="s">
        <v>8328</v>
      </c>
      <c r="AA907" s="0" t="n">
        <v>0</v>
      </c>
      <c r="AB907" s="0" t="s">
        <v>8329</v>
      </c>
      <c r="AC907" s="0" t="s">
        <v>1767</v>
      </c>
      <c r="AD907" s="0" t="s">
        <v>352</v>
      </c>
      <c r="AE907" s="0" t="n">
        <v>0</v>
      </c>
      <c r="AF907" s="0" t="s">
        <v>8160</v>
      </c>
      <c r="AG907" s="0" t="n">
        <v>0</v>
      </c>
      <c r="AH907" s="0" t="s">
        <v>8330</v>
      </c>
      <c r="AI907" s="0" t="s">
        <v>8331</v>
      </c>
      <c r="AJ907" s="0" t="s">
        <v>411</v>
      </c>
      <c r="AL907" s="0" t="s">
        <v>8162</v>
      </c>
      <c r="AM907" s="0" t="n">
        <v>1</v>
      </c>
      <c r="AN907" s="0" t="s">
        <v>8330</v>
      </c>
      <c r="AO907" s="0" t="s">
        <v>8331</v>
      </c>
      <c r="AP907" s="0" t="s">
        <v>411</v>
      </c>
      <c r="AR907" s="0" t="s">
        <v>8332</v>
      </c>
      <c r="AS907" s="0" t="n">
        <v>1</v>
      </c>
      <c r="AT907" s="0" t="s">
        <v>8330</v>
      </c>
      <c r="AU907" s="0" t="s">
        <v>8331</v>
      </c>
      <c r="AV907" s="0" t="s">
        <v>411</v>
      </c>
      <c r="AX907" s="0" t="s">
        <v>8333</v>
      </c>
      <c r="AY907" s="0" t="n">
        <v>1</v>
      </c>
      <c r="AZ907" s="0" t="s">
        <v>8330</v>
      </c>
      <c r="BA907" s="0" t="s">
        <v>8331</v>
      </c>
      <c r="BB907" s="0" t="s">
        <v>411</v>
      </c>
      <c r="BD907" s="0" t="s">
        <v>8334</v>
      </c>
      <c r="BE907" s="0" t="n">
        <v>1</v>
      </c>
      <c r="BF907" s="0" t="s">
        <v>8330</v>
      </c>
      <c r="BG907" s="0" t="s">
        <v>8331</v>
      </c>
      <c r="BH907" s="0" t="s">
        <v>411</v>
      </c>
      <c r="BJ907" s="0" t="s">
        <v>8335</v>
      </c>
      <c r="BK907" s="0" t="n">
        <v>1</v>
      </c>
      <c r="BL907" s="0" t="s">
        <v>8330</v>
      </c>
      <c r="BM907" s="0" t="s">
        <v>8331</v>
      </c>
      <c r="BN907" s="0" t="s">
        <v>411</v>
      </c>
      <c r="BR907" s="0" t="n">
        <v>1</v>
      </c>
      <c r="BS907" s="0" t="s">
        <v>8336</v>
      </c>
      <c r="BT907" s="0" t="s">
        <v>8337</v>
      </c>
      <c r="BU907" s="0" t="s">
        <v>8338</v>
      </c>
      <c r="BV907" s="123"/>
      <c r="BW907" s="123"/>
      <c r="BX907" s="123"/>
      <c r="BY907" s="123"/>
      <c r="CA907" s="0" t="s">
        <v>216</v>
      </c>
      <c r="CD907" s="0" t="s">
        <v>370</v>
      </c>
      <c r="CE907" s="0" t="n">
        <v>0</v>
      </c>
      <c r="CF907" s="0" t="s">
        <v>503</v>
      </c>
      <c r="CI907" s="1" t="n">
        <v>38236</v>
      </c>
      <c r="CJ907" s="1" t="n">
        <v>40829</v>
      </c>
      <c r="CK907" s="124" t="s">
        <v>216</v>
      </c>
      <c r="CL907" s="0" t="s">
        <v>8339</v>
      </c>
      <c r="CM907" s="0" t="n">
        <f aca="false">IF(OR(CI907="",CJ907=""),"",DAYS360(CI907,CJ907)/360)</f>
        <v>7.10277777777778</v>
      </c>
      <c r="CN907" s="0" t="n">
        <f aca="false">IF(OR(CI907="",CJ907=""),"",DAYS360(CI907,CJ907)/30)</f>
        <v>85.2333333333333</v>
      </c>
      <c r="CO907" s="0" t="n">
        <f aca="false">IF(OR(CI907="",CJ907=""),"",DAYS360(CI907,CJ907)/7)</f>
        <v>365.285714285714</v>
      </c>
      <c r="CP907" s="0" t="n">
        <f aca="false">IF(OR(CI907="",CJ907=""),"",DAYS360(CI907,CJ907))</f>
        <v>2557</v>
      </c>
      <c r="CQ907" s="0" t="s">
        <v>240</v>
      </c>
      <c r="CR907" s="0" t="n">
        <v>1</v>
      </c>
      <c r="CT907" s="0" t="n">
        <v>2500</v>
      </c>
      <c r="CU907" s="0" t="n">
        <v>3</v>
      </c>
      <c r="CV907" s="0" t="n">
        <f aca="false">IF(OR(CT907="",CT907="NO ESPECIFICA",CT907="NO MENCIONA"),"",IF(CU907=0,CT907,IF(CU907=1,CT907/30,IF(CU907=2,CT907/15,IF(CU907=3,CT907/7,"")))))</f>
        <v>357.142857142857</v>
      </c>
      <c r="CW907" s="125" t="s">
        <v>216</v>
      </c>
      <c r="CX907" s="0" t="s">
        <v>216</v>
      </c>
      <c r="CY907" s="0" t="str">
        <f aca="false">IF(CW907="","",IF(CX907=0,CW907,IF(CX907=1,CW907/30,IF(CX907=2,CW907/15,IF(CX907=3,CW907/7,CW907)))))</f>
        <v>NO MENCIONA</v>
      </c>
      <c r="CZ907" s="0" t="n">
        <f aca="false">IF(DI907&gt;0,DI907,IF(CY907&gt;0,CY907,IF(CV907&gt;0,CV907,"")))</f>
        <v>457.142857142857</v>
      </c>
      <c r="DA907" s="0" t="n">
        <f aca="false">IF(DM907=1,CZ907/8,IF(OR(DM907=2,DM907=4),CZ907/7,IF(DM907=3,CZ907/7.5,"")))</f>
        <v>57.1428571428571</v>
      </c>
      <c r="DB907" s="0" t="s">
        <v>2371</v>
      </c>
      <c r="DC907" s="0" t="s">
        <v>216</v>
      </c>
      <c r="DD907" s="0" t="s">
        <v>216</v>
      </c>
      <c r="DE907" s="0" t="s">
        <v>216</v>
      </c>
      <c r="DF907" s="0" t="s">
        <v>216</v>
      </c>
      <c r="DG907" s="0" t="s">
        <v>216</v>
      </c>
      <c r="DH907" s="0" t="n">
        <v>0</v>
      </c>
      <c r="DI907" s="126" t="n">
        <v>457.142857142857</v>
      </c>
      <c r="DK907" s="0" t="n">
        <v>0</v>
      </c>
      <c r="DM907" s="0" t="n">
        <v>1</v>
      </c>
      <c r="DN907" s="0" t="s">
        <v>221</v>
      </c>
      <c r="DO907" s="0" t="n">
        <v>3</v>
      </c>
      <c r="DP907" s="0" t="n">
        <v>0</v>
      </c>
      <c r="DQ907" s="0" t="n">
        <v>1</v>
      </c>
      <c r="DR907" s="0"/>
      <c r="DS907" s="0" t="n">
        <v>1</v>
      </c>
      <c r="DU907" s="0" t="n">
        <v>1</v>
      </c>
      <c r="DW907" s="1" t="n">
        <v>40792</v>
      </c>
      <c r="DX907" s="1" t="n">
        <v>40829</v>
      </c>
      <c r="DZ907" s="0"/>
      <c r="EA907" s="0" t="n">
        <v>1</v>
      </c>
      <c r="EC907" s="1" t="n">
        <v>38236</v>
      </c>
      <c r="ED907" s="1" t="n">
        <v>40829</v>
      </c>
      <c r="EF907" s="0"/>
      <c r="EG907" s="0" t="n">
        <v>1</v>
      </c>
      <c r="EH907" s="0" t="s">
        <v>221</v>
      </c>
      <c r="EI907" s="0" t="str">
        <f aca="false">IF(AND(DM907=1,DN907&lt;=48),"",IF(AND(DM907=2,DN907&lt;=42),"",IF(AND(DM907=3,DN907&lt;=45),"",EH907)))</f>
        <v>NO ESPECIFICA</v>
      </c>
      <c r="EJ907" s="0" t="n">
        <f aca="false">IF(EI907="","",IF(EI907&lt;9,EI907,9))</f>
        <v>9</v>
      </c>
      <c r="EK907" s="0" t="e">
        <f aca="false">IF(EI907="","",IF(EI907&gt;9,EI907-EJ907,0))</f>
        <v>#VALUE!</v>
      </c>
      <c r="EL907" s="0" t="e">
        <f aca="false">IF(EI907="","",EJ907*DA907*2+EK907*DA907*3)</f>
        <v>#VALUE!</v>
      </c>
      <c r="EP907" s="0" t="n">
        <v>0</v>
      </c>
      <c r="EQ907" s="0"/>
      <c r="ER907" s="0" t="n">
        <v>0</v>
      </c>
      <c r="ET907" s="0" t="n">
        <v>0</v>
      </c>
      <c r="EV907" s="0" t="n">
        <v>1</v>
      </c>
      <c r="EX907" s="0" t="n">
        <v>1</v>
      </c>
      <c r="EY907" s="0" t="n">
        <v>1</v>
      </c>
      <c r="EZ907" s="0"/>
      <c r="FA907" s="4" t="n">
        <v>0</v>
      </c>
      <c r="FB907" s="0" t="n">
        <v>1</v>
      </c>
      <c r="FC907" s="1"/>
      <c r="FF907" s="120" t="n">
        <f aca="false">(CJ907-CI907+1)/365</f>
        <v>7.10684931506849</v>
      </c>
      <c r="FG907" s="0" t="str">
        <f aca="false">CONCATENATE(F907,"/",G907)</f>
        <v>2054/2011</v>
      </c>
      <c r="FH907" s="0" t="n">
        <v>1</v>
      </c>
      <c r="FI907" s="0" t="n">
        <f aca="false">IFERROR(IF((FC907-J907+1)/365&gt;3,0,1),"")</f>
        <v>1</v>
      </c>
    </row>
    <row r="908" customFormat="false" ht="15" hidden="false" customHeight="false" outlineLevel="0" collapsed="false">
      <c r="A908" s="5" t="str">
        <f aca="false">E908&amp;G908&amp;F908</f>
        <v>720112054</v>
      </c>
      <c r="B908" s="0" t="s">
        <v>3217</v>
      </c>
      <c r="C908" s="1" t="n">
        <v>42392</v>
      </c>
      <c r="D908" s="0" t="s">
        <v>3265</v>
      </c>
      <c r="E908" s="0" t="n">
        <v>7</v>
      </c>
      <c r="F908" s="0" t="n">
        <v>2054</v>
      </c>
      <c r="G908" s="0" t="n">
        <v>2011</v>
      </c>
      <c r="H908" s="0" t="str">
        <f aca="false">"J"&amp;E908&amp;"\"&amp;F908&amp;"\"&amp;G908&amp;"\"&amp;W908</f>
        <v>J7\2054\2011\2</v>
      </c>
      <c r="I908" s="0"/>
      <c r="J908" s="1" t="n">
        <v>40885</v>
      </c>
      <c r="K908" s="0" t="n">
        <v>0</v>
      </c>
      <c r="M908" s="1"/>
      <c r="N908" s="1"/>
      <c r="O908" s="1"/>
      <c r="P908" s="1"/>
      <c r="Q908" s="1"/>
      <c r="T908" s="121"/>
      <c r="U908" s="121"/>
      <c r="V908" s="122" t="n">
        <f aca="false">IF(AND(E908&gt;0,F908&gt;0,G908&gt;0),COUNTIFS($E:$E,E908,$F:$F,F908,$G:$G,G908),"")</f>
        <v>3</v>
      </c>
      <c r="W908" s="122" t="n">
        <f aca="false">IF(V908="","",IF(V908=1,1,IF(AND(E907=E908,F907=F908,G907=G908),W907+1,1)))</f>
        <v>2</v>
      </c>
      <c r="X908" s="0" t="n">
        <v>3</v>
      </c>
      <c r="Y908" s="0" t="n">
        <v>9</v>
      </c>
      <c r="Z908" s="0" t="s">
        <v>8340</v>
      </c>
      <c r="AA908" s="0" t="n">
        <v>0</v>
      </c>
      <c r="AB908" s="0" t="s">
        <v>8329</v>
      </c>
      <c r="AC908" s="0" t="s">
        <v>1767</v>
      </c>
      <c r="AD908" s="0" t="s">
        <v>352</v>
      </c>
      <c r="AE908" s="0" t="n">
        <v>0</v>
      </c>
      <c r="AF908" s="0" t="s">
        <v>8160</v>
      </c>
      <c r="AG908" s="0" t="n">
        <v>0</v>
      </c>
      <c r="AH908" s="0" t="s">
        <v>8330</v>
      </c>
      <c r="AI908" s="0" t="s">
        <v>8331</v>
      </c>
      <c r="AJ908" s="0" t="s">
        <v>411</v>
      </c>
      <c r="AL908" s="0" t="s">
        <v>8162</v>
      </c>
      <c r="AM908" s="0" t="n">
        <v>1</v>
      </c>
      <c r="AN908" s="0" t="s">
        <v>8330</v>
      </c>
      <c r="AO908" s="0" t="s">
        <v>8331</v>
      </c>
      <c r="AP908" s="0" t="s">
        <v>411</v>
      </c>
      <c r="AR908" s="0" t="s">
        <v>8332</v>
      </c>
      <c r="AS908" s="0" t="n">
        <v>1</v>
      </c>
      <c r="AT908" s="0" t="s">
        <v>8330</v>
      </c>
      <c r="AU908" s="0" t="s">
        <v>8331</v>
      </c>
      <c r="AV908" s="0" t="s">
        <v>411</v>
      </c>
      <c r="AX908" s="0" t="s">
        <v>8333</v>
      </c>
      <c r="AY908" s="0" t="n">
        <v>1</v>
      </c>
      <c r="AZ908" s="0" t="s">
        <v>8330</v>
      </c>
      <c r="BA908" s="0" t="s">
        <v>8331</v>
      </c>
      <c r="BB908" s="0" t="s">
        <v>411</v>
      </c>
      <c r="BD908" s="0" t="s">
        <v>8334</v>
      </c>
      <c r="BE908" s="0" t="n">
        <v>1</v>
      </c>
      <c r="BF908" s="0" t="s">
        <v>8330</v>
      </c>
      <c r="BG908" s="0" t="s">
        <v>8331</v>
      </c>
      <c r="BH908" s="0" t="s">
        <v>411</v>
      </c>
      <c r="BJ908" s="0" t="s">
        <v>8335</v>
      </c>
      <c r="BK908" s="0" t="n">
        <v>1</v>
      </c>
      <c r="BL908" s="0" t="s">
        <v>8330</v>
      </c>
      <c r="BM908" s="0" t="s">
        <v>8331</v>
      </c>
      <c r="BN908" s="0" t="s">
        <v>411</v>
      </c>
      <c r="BR908" s="0" t="n">
        <v>1</v>
      </c>
      <c r="BS908" s="0" t="s">
        <v>8336</v>
      </c>
      <c r="BT908" s="0" t="s">
        <v>8337</v>
      </c>
      <c r="BU908" s="0" t="s">
        <v>8338</v>
      </c>
      <c r="BV908" s="123"/>
      <c r="BW908" s="123"/>
      <c r="BX908" s="123"/>
      <c r="BY908" s="123"/>
      <c r="CA908" s="0" t="s">
        <v>216</v>
      </c>
      <c r="CD908" s="0" t="s">
        <v>370</v>
      </c>
      <c r="CE908" s="0" t="n">
        <v>0</v>
      </c>
      <c r="CF908" s="0" t="s">
        <v>503</v>
      </c>
      <c r="CI908" s="1" t="n">
        <v>38236</v>
      </c>
      <c r="CJ908" s="1" t="n">
        <v>40829</v>
      </c>
      <c r="CK908" s="124" t="s">
        <v>216</v>
      </c>
      <c r="CL908" s="0" t="s">
        <v>8339</v>
      </c>
      <c r="CM908" s="0" t="n">
        <f aca="false">IF(OR(CI908="",CJ908=""),"",DAYS360(CI908,CJ908)/360)</f>
        <v>7.10277777777778</v>
      </c>
      <c r="CN908" s="0" t="n">
        <f aca="false">IF(OR(CI908="",CJ908=""),"",DAYS360(CI908,CJ908)/30)</f>
        <v>85.2333333333333</v>
      </c>
      <c r="CO908" s="0" t="n">
        <f aca="false">IF(OR(CI908="",CJ908=""),"",DAYS360(CI908,CJ908)/7)</f>
        <v>365.285714285714</v>
      </c>
      <c r="CP908" s="0" t="n">
        <f aca="false">IF(OR(CI908="",CJ908=""),"",DAYS360(CI908,CJ908))</f>
        <v>2557</v>
      </c>
      <c r="CQ908" s="0" t="s">
        <v>240</v>
      </c>
      <c r="CR908" s="0" t="n">
        <v>1</v>
      </c>
      <c r="CT908" s="0" t="n">
        <v>2500</v>
      </c>
      <c r="CU908" s="0" t="n">
        <v>3</v>
      </c>
      <c r="CV908" s="0" t="n">
        <f aca="false">IF(OR(CT908="",CT908="NO ESPECIFICA",CT908="NO MENCIONA"),"",IF(CU908=0,CT908,IF(CU908=1,CT908/30,IF(CU908=2,CT908/15,IF(CU908=3,CT908/7,"")))))</f>
        <v>357.142857142857</v>
      </c>
      <c r="CW908" s="125" t="s">
        <v>216</v>
      </c>
      <c r="CX908" s="0" t="s">
        <v>216</v>
      </c>
      <c r="CY908" s="0" t="str">
        <f aca="false">IF(CW908="","",IF(CX908=0,CW908,IF(CX908=1,CW908/30,IF(CX908=2,CW908/15,IF(CX908=3,CW908/7,CW908)))))</f>
        <v>NO MENCIONA</v>
      </c>
      <c r="CZ908" s="0" t="n">
        <f aca="false">IF(DI908&gt;0,DI908,IF(CY908&gt;0,CY908,IF(CV908&gt;0,CV908,"")))</f>
        <v>457.142857142857</v>
      </c>
      <c r="DA908" s="0" t="n">
        <f aca="false">IF(DM908=1,CZ908/8,IF(OR(DM908=2,DM908=4),CZ908/7,IF(DM908=3,CZ908/7.5,"")))</f>
        <v>57.1428571428571</v>
      </c>
      <c r="DB908" s="0" t="s">
        <v>2371</v>
      </c>
      <c r="DC908" s="0" t="s">
        <v>216</v>
      </c>
      <c r="DD908" s="0" t="s">
        <v>216</v>
      </c>
      <c r="DE908" s="0" t="s">
        <v>216</v>
      </c>
      <c r="DF908" s="0" t="s">
        <v>216</v>
      </c>
      <c r="DG908" s="0" t="s">
        <v>216</v>
      </c>
      <c r="DH908" s="0" t="n">
        <v>0</v>
      </c>
      <c r="DI908" s="126" t="n">
        <v>457.142857142857</v>
      </c>
      <c r="DK908" s="0" t="n">
        <v>0</v>
      </c>
      <c r="DM908" s="0" t="n">
        <v>1</v>
      </c>
      <c r="DN908" s="0" t="s">
        <v>221</v>
      </c>
      <c r="DO908" s="0" t="n">
        <v>3</v>
      </c>
      <c r="DP908" s="0" t="n">
        <v>0</v>
      </c>
      <c r="DQ908" s="0" t="n">
        <v>1</v>
      </c>
      <c r="DR908" s="0"/>
      <c r="DS908" s="0" t="n">
        <v>1</v>
      </c>
      <c r="DU908" s="0" t="n">
        <v>1</v>
      </c>
      <c r="DW908" s="1" t="n">
        <v>40792</v>
      </c>
      <c r="DX908" s="1" t="n">
        <v>40829</v>
      </c>
      <c r="DZ908" s="0"/>
      <c r="EA908" s="0" t="n">
        <v>1</v>
      </c>
      <c r="EC908" s="1" t="n">
        <v>38236</v>
      </c>
      <c r="ED908" s="1" t="n">
        <v>40829</v>
      </c>
      <c r="EF908" s="0"/>
      <c r="EG908" s="0" t="n">
        <v>1</v>
      </c>
      <c r="EH908" s="0" t="s">
        <v>221</v>
      </c>
      <c r="EI908" s="0" t="str">
        <f aca="false">IF(AND(DM908=1,DN908&lt;=48),"",IF(AND(DM908=2,DN908&lt;=42),"",IF(AND(DM908=3,DN908&lt;=45),"",EH908)))</f>
        <v>NO ESPECIFICA</v>
      </c>
      <c r="EJ908" s="0" t="n">
        <f aca="false">IF(EI908="","",IF(EI908&lt;9,EI908,9))</f>
        <v>9</v>
      </c>
      <c r="EK908" s="0" t="e">
        <f aca="false">IF(EI908="","",IF(EI908&gt;9,EI908-EJ908,0))</f>
        <v>#VALUE!</v>
      </c>
      <c r="EL908" s="0" t="e">
        <f aca="false">IF(EI908="","",EJ908*DA908*2+EK908*DA908*3)</f>
        <v>#VALUE!</v>
      </c>
      <c r="EP908" s="0" t="n">
        <v>0</v>
      </c>
      <c r="EQ908" s="0"/>
      <c r="ER908" s="0" t="n">
        <v>0</v>
      </c>
      <c r="ET908" s="0" t="n">
        <v>0</v>
      </c>
      <c r="EV908" s="0" t="n">
        <v>1</v>
      </c>
      <c r="EX908" s="0" t="n">
        <v>1</v>
      </c>
      <c r="EY908" s="0" t="n">
        <v>1</v>
      </c>
      <c r="EZ908" s="0"/>
      <c r="FA908" s="4" t="n">
        <v>0</v>
      </c>
      <c r="FB908" s="0" t="n">
        <v>1</v>
      </c>
      <c r="FC908" s="1"/>
      <c r="FF908" s="120" t="n">
        <f aca="false">(CJ908-CI908+1)/365</f>
        <v>7.10684931506849</v>
      </c>
      <c r="FG908" s="0" t="str">
        <f aca="false">CONCATENATE(F908,"/",G908)</f>
        <v>2054/2011</v>
      </c>
      <c r="FH908" s="0" t="n">
        <v>1</v>
      </c>
      <c r="FI908" s="0" t="n">
        <f aca="false">IFERROR(IF((FC908-J908+1)/365&gt;3,0,1),"")</f>
        <v>1</v>
      </c>
    </row>
    <row r="909" customFormat="false" ht="15" hidden="false" customHeight="false" outlineLevel="0" collapsed="false">
      <c r="A909" s="5" t="str">
        <f aca="false">E909&amp;G909&amp;F909</f>
        <v>720112054</v>
      </c>
      <c r="B909" s="0" t="s">
        <v>3217</v>
      </c>
      <c r="C909" s="1" t="n">
        <v>42392</v>
      </c>
      <c r="D909" s="0" t="s">
        <v>3265</v>
      </c>
      <c r="E909" s="0" t="n">
        <v>7</v>
      </c>
      <c r="F909" s="0" t="n">
        <v>2054</v>
      </c>
      <c r="G909" s="0" t="n">
        <v>2011</v>
      </c>
      <c r="H909" s="0" t="str">
        <f aca="false">"J"&amp;E909&amp;"\"&amp;F909&amp;"\"&amp;G909&amp;"\"&amp;W909</f>
        <v>J7\2054\2011\3</v>
      </c>
      <c r="I909" s="0"/>
      <c r="J909" s="1" t="n">
        <v>40885</v>
      </c>
      <c r="K909" s="0" t="n">
        <v>0</v>
      </c>
      <c r="M909" s="1"/>
      <c r="N909" s="1"/>
      <c r="O909" s="1"/>
      <c r="P909" s="1"/>
      <c r="Q909" s="1"/>
      <c r="T909" s="121"/>
      <c r="U909" s="121"/>
      <c r="V909" s="122" t="n">
        <f aca="false">IF(AND(E909&gt;0,F909&gt;0,G909&gt;0),COUNTIFS($E:$E,E909,$F:$F,F909,$G:$G,G909),"")</f>
        <v>3</v>
      </c>
      <c r="W909" s="122" t="n">
        <f aca="false">IF(V909="","",IF(V909=1,1,IF(AND(E908=E909,F908=F909,G908=G909),W908+1,1)))</f>
        <v>3</v>
      </c>
      <c r="X909" s="0" t="n">
        <v>3</v>
      </c>
      <c r="Y909" s="0" t="n">
        <v>9</v>
      </c>
      <c r="Z909" s="0" t="s">
        <v>8341</v>
      </c>
      <c r="AA909" s="0" t="n">
        <v>0</v>
      </c>
      <c r="AB909" s="0" t="s">
        <v>8329</v>
      </c>
      <c r="AC909" s="0" t="s">
        <v>1767</v>
      </c>
      <c r="AD909" s="0" t="s">
        <v>352</v>
      </c>
      <c r="AE909" s="0" t="n">
        <v>0</v>
      </c>
      <c r="AF909" s="0" t="s">
        <v>8160</v>
      </c>
      <c r="AG909" s="0" t="n">
        <v>0</v>
      </c>
      <c r="AH909" s="0" t="s">
        <v>8330</v>
      </c>
      <c r="AI909" s="0" t="s">
        <v>8331</v>
      </c>
      <c r="AJ909" s="0" t="s">
        <v>411</v>
      </c>
      <c r="AL909" s="0" t="s">
        <v>8162</v>
      </c>
      <c r="AM909" s="0" t="n">
        <v>1</v>
      </c>
      <c r="AN909" s="0" t="s">
        <v>8330</v>
      </c>
      <c r="AO909" s="0" t="s">
        <v>8331</v>
      </c>
      <c r="AP909" s="0" t="s">
        <v>411</v>
      </c>
      <c r="AR909" s="0" t="s">
        <v>8332</v>
      </c>
      <c r="AS909" s="0" t="n">
        <v>1</v>
      </c>
      <c r="AT909" s="0" t="s">
        <v>8330</v>
      </c>
      <c r="AU909" s="0" t="s">
        <v>8331</v>
      </c>
      <c r="AV909" s="0" t="s">
        <v>411</v>
      </c>
      <c r="AX909" s="0" t="s">
        <v>8333</v>
      </c>
      <c r="AY909" s="0" t="n">
        <v>1</v>
      </c>
      <c r="AZ909" s="0" t="s">
        <v>8330</v>
      </c>
      <c r="BA909" s="0" t="s">
        <v>8331</v>
      </c>
      <c r="BB909" s="0" t="s">
        <v>411</v>
      </c>
      <c r="BD909" s="0" t="s">
        <v>8334</v>
      </c>
      <c r="BE909" s="0" t="n">
        <v>1</v>
      </c>
      <c r="BF909" s="0" t="s">
        <v>8330</v>
      </c>
      <c r="BG909" s="0" t="s">
        <v>8331</v>
      </c>
      <c r="BH909" s="0" t="s">
        <v>411</v>
      </c>
      <c r="BJ909" s="0" t="s">
        <v>8335</v>
      </c>
      <c r="BK909" s="0" t="n">
        <v>1</v>
      </c>
      <c r="BL909" s="0" t="s">
        <v>8330</v>
      </c>
      <c r="BM909" s="0" t="s">
        <v>8331</v>
      </c>
      <c r="BN909" s="0" t="s">
        <v>411</v>
      </c>
      <c r="BR909" s="0" t="n">
        <v>1</v>
      </c>
      <c r="BS909" s="0" t="s">
        <v>8336</v>
      </c>
      <c r="BT909" s="0" t="s">
        <v>8337</v>
      </c>
      <c r="BU909" s="0" t="s">
        <v>8338</v>
      </c>
      <c r="BV909" s="123"/>
      <c r="BW909" s="123"/>
      <c r="BX909" s="123"/>
      <c r="BY909" s="123"/>
      <c r="CA909" s="0" t="s">
        <v>216</v>
      </c>
      <c r="CD909" s="0" t="s">
        <v>370</v>
      </c>
      <c r="CE909" s="0" t="n">
        <v>0</v>
      </c>
      <c r="CF909" s="0" t="s">
        <v>8342</v>
      </c>
      <c r="CI909" s="1" t="n">
        <v>38236</v>
      </c>
      <c r="CJ909" s="1" t="n">
        <v>40829</v>
      </c>
      <c r="CK909" s="124" t="s">
        <v>216</v>
      </c>
      <c r="CL909" s="0" t="s">
        <v>8339</v>
      </c>
      <c r="CM909" s="0" t="n">
        <f aca="false">IF(OR(CI909="",CJ909=""),"",DAYS360(CI909,CJ909)/360)</f>
        <v>7.10277777777778</v>
      </c>
      <c r="CN909" s="0" t="n">
        <f aca="false">IF(OR(CI909="",CJ909=""),"",DAYS360(CI909,CJ909)/30)</f>
        <v>85.2333333333333</v>
      </c>
      <c r="CO909" s="0" t="n">
        <f aca="false">IF(OR(CI909="",CJ909=""),"",DAYS360(CI909,CJ909)/7)</f>
        <v>365.285714285714</v>
      </c>
      <c r="CP909" s="0" t="n">
        <f aca="false">IF(OR(CI909="",CJ909=""),"",DAYS360(CI909,CJ909))</f>
        <v>2557</v>
      </c>
      <c r="CQ909" s="0" t="s">
        <v>240</v>
      </c>
      <c r="CR909" s="0" t="n">
        <v>1</v>
      </c>
      <c r="CT909" s="0" t="n">
        <v>5000</v>
      </c>
      <c r="CU909" s="0" t="n">
        <v>3</v>
      </c>
      <c r="CV909" s="0" t="n">
        <f aca="false">IF(OR(CT909="",CT909="NO ESPECIFICA",CT909="NO MENCIONA"),"",IF(CU909=0,CT909,IF(CU909=1,CT909/30,IF(CU909=2,CT909/15,IF(CU909=3,CT909/7,"")))))</f>
        <v>714.285714285714</v>
      </c>
      <c r="CW909" s="125" t="s">
        <v>216</v>
      </c>
      <c r="CX909" s="0" t="s">
        <v>216</v>
      </c>
      <c r="CY909" s="0" t="str">
        <f aca="false">IF(CW909="","",IF(CX909=0,CW909,IF(CX909=1,CW909/30,IF(CX909=2,CW909/15,IF(CX909=3,CW909/7,CW909)))))</f>
        <v>NO MENCIONA</v>
      </c>
      <c r="CZ909" s="0" t="n">
        <f aca="false">IF(DI909&gt;0,DI909,IF(CY909&gt;0,CY909,IF(CV909&gt;0,CV909,"")))</f>
        <v>914.285714285714</v>
      </c>
      <c r="DA909" s="0" t="n">
        <f aca="false">IF(DM909=1,CZ909/8,IF(OR(DM909=2,DM909=4),CZ909/7,IF(DM909=3,CZ909/7.5,"")))</f>
        <v>114.285714285714</v>
      </c>
      <c r="DB909" s="0" t="s">
        <v>2371</v>
      </c>
      <c r="DC909" s="0" t="s">
        <v>216</v>
      </c>
      <c r="DD909" s="0" t="s">
        <v>216</v>
      </c>
      <c r="DE909" s="0" t="s">
        <v>216</v>
      </c>
      <c r="DF909" s="0" t="s">
        <v>216</v>
      </c>
      <c r="DG909" s="0" t="s">
        <v>216</v>
      </c>
      <c r="DH909" s="0" t="n">
        <v>0</v>
      </c>
      <c r="DI909" s="126" t="n">
        <v>914.285714285714</v>
      </c>
      <c r="DK909" s="0" t="n">
        <v>0</v>
      </c>
      <c r="DM909" s="0" t="n">
        <v>1</v>
      </c>
      <c r="DN909" s="0" t="s">
        <v>221</v>
      </c>
      <c r="DO909" s="0" t="n">
        <v>3</v>
      </c>
      <c r="DP909" s="0" t="n">
        <v>0</v>
      </c>
      <c r="DQ909" s="0" t="n">
        <v>1</v>
      </c>
      <c r="DR909" s="0"/>
      <c r="DS909" s="0" t="n">
        <v>1</v>
      </c>
      <c r="DU909" s="0" t="n">
        <v>1</v>
      </c>
      <c r="DW909" s="1" t="n">
        <v>40792</v>
      </c>
      <c r="DX909" s="1" t="n">
        <v>40829</v>
      </c>
      <c r="DZ909" s="0"/>
      <c r="EA909" s="0" t="n">
        <v>1</v>
      </c>
      <c r="EC909" s="1" t="n">
        <v>38236</v>
      </c>
      <c r="ED909" s="1" t="n">
        <v>40829</v>
      </c>
      <c r="EF909" s="0"/>
      <c r="EG909" s="0" t="n">
        <v>1</v>
      </c>
      <c r="EH909" s="0" t="s">
        <v>221</v>
      </c>
      <c r="EI909" s="0" t="str">
        <f aca="false">IF(AND(DM909=1,DN909&lt;=48),"",IF(AND(DM909=2,DN909&lt;=42),"",IF(AND(DM909=3,DN909&lt;=45),"",EH909)))</f>
        <v>NO ESPECIFICA</v>
      </c>
      <c r="EJ909" s="0" t="n">
        <f aca="false">IF(EI909="","",IF(EI909&lt;9,EI909,9))</f>
        <v>9</v>
      </c>
      <c r="EK909" s="0" t="e">
        <f aca="false">IF(EI909="","",IF(EI909&gt;9,EI909-EJ909,0))</f>
        <v>#VALUE!</v>
      </c>
      <c r="EL909" s="0" t="e">
        <f aca="false">IF(EI909="","",EJ909*DA909*2+EK909*DA909*3)</f>
        <v>#VALUE!</v>
      </c>
      <c r="EP909" s="0" t="n">
        <v>0</v>
      </c>
      <c r="EQ909" s="0"/>
      <c r="ER909" s="0" t="n">
        <v>0</v>
      </c>
      <c r="ET909" s="0" t="n">
        <v>0</v>
      </c>
      <c r="EV909" s="0" t="n">
        <v>1</v>
      </c>
      <c r="EX909" s="0" t="n">
        <v>1</v>
      </c>
      <c r="EY909" s="0" t="n">
        <v>1</v>
      </c>
      <c r="EZ909" s="0"/>
      <c r="FA909" s="4" t="n">
        <v>0</v>
      </c>
      <c r="FB909" s="0" t="n">
        <v>1</v>
      </c>
      <c r="FC909" s="1"/>
      <c r="FF909" s="120" t="n">
        <f aca="false">(CJ909-CI909+1)/365</f>
        <v>7.10684931506849</v>
      </c>
      <c r="FG909" s="0" t="str">
        <f aca="false">CONCATENATE(F909,"/",G909)</f>
        <v>2054/2011</v>
      </c>
      <c r="FH909" s="0" t="n">
        <v>1</v>
      </c>
      <c r="FI909" s="0" t="n">
        <f aca="false">IFERROR(IF((FC909-J909+1)/365&gt;3,0,1),"")</f>
        <v>1</v>
      </c>
    </row>
    <row r="910" customFormat="false" ht="15" hidden="false" customHeight="false" outlineLevel="0" collapsed="false">
      <c r="A910" s="5" t="str">
        <f aca="false">E910&amp;G910&amp;F910</f>
        <v>720112014</v>
      </c>
      <c r="B910" s="0" t="s">
        <v>3217</v>
      </c>
      <c r="C910" s="1" t="n">
        <v>42380</v>
      </c>
      <c r="D910" s="0" t="s">
        <v>3265</v>
      </c>
      <c r="E910" s="0" t="n">
        <v>7</v>
      </c>
      <c r="F910" s="0" t="n">
        <v>2014</v>
      </c>
      <c r="G910" s="0" t="n">
        <v>2011</v>
      </c>
      <c r="H910" s="0" t="str">
        <f aca="false">"J"&amp;E910&amp;"\"&amp;F910&amp;"\"&amp;G910&amp;"\"&amp;W910</f>
        <v>J7\2014\2011\1</v>
      </c>
      <c r="I910" s="0"/>
      <c r="J910" s="1" t="n">
        <v>40879</v>
      </c>
      <c r="K910" s="0" t="n">
        <v>0</v>
      </c>
      <c r="M910" s="1"/>
      <c r="N910" s="1"/>
      <c r="O910" s="1"/>
      <c r="P910" s="1"/>
      <c r="Q910" s="1"/>
      <c r="T910" s="121"/>
      <c r="U910" s="121"/>
      <c r="V910" s="122" t="n">
        <f aca="false">IF(AND(E910&gt;0,F910&gt;0,G910&gt;0),COUNTIFS($E:$E,E910,$F:$F,F910,$G:$G,G910),"")</f>
        <v>1</v>
      </c>
      <c r="W910" s="122" t="n">
        <f aca="false">IF(V910="","",IF(V910=1,1,IF(AND(E909=E910,F909=F910,G909=G910),W909+1,1)))</f>
        <v>1</v>
      </c>
      <c r="X910" s="0" t="n">
        <v>1</v>
      </c>
      <c r="Y910" s="0" t="n">
        <v>4</v>
      </c>
      <c r="Z910" s="0" t="s">
        <v>8343</v>
      </c>
      <c r="AA910" s="0" t="n">
        <v>0</v>
      </c>
      <c r="AB910" s="0" t="s">
        <v>2941</v>
      </c>
      <c r="AC910" s="0" t="s">
        <v>228</v>
      </c>
      <c r="AD910" s="0" t="s">
        <v>229</v>
      </c>
      <c r="AE910" s="0" t="n">
        <v>0</v>
      </c>
      <c r="AF910" s="0" t="s">
        <v>8344</v>
      </c>
      <c r="AG910" s="0" t="n">
        <v>0</v>
      </c>
      <c r="AH910" s="0" t="s">
        <v>8345</v>
      </c>
      <c r="AI910" s="0" t="s">
        <v>1611</v>
      </c>
      <c r="AJ910" s="0" t="s">
        <v>229</v>
      </c>
      <c r="AL910" s="0" t="s">
        <v>8346</v>
      </c>
      <c r="AM910" s="0" t="n">
        <v>1</v>
      </c>
      <c r="AN910" s="0" t="s">
        <v>8345</v>
      </c>
      <c r="AO910" s="0" t="s">
        <v>1611</v>
      </c>
      <c r="AP910" s="0" t="s">
        <v>229</v>
      </c>
      <c r="AR910" s="0" t="s">
        <v>8347</v>
      </c>
      <c r="AS910" s="0" t="n">
        <v>1</v>
      </c>
      <c r="AT910" s="0" t="s">
        <v>8345</v>
      </c>
      <c r="AU910" s="0" t="s">
        <v>1611</v>
      </c>
      <c r="AV910" s="0" t="s">
        <v>229</v>
      </c>
      <c r="AX910" s="0" t="s">
        <v>1880</v>
      </c>
      <c r="AY910" s="0" t="n">
        <v>1</v>
      </c>
      <c r="AZ910" s="0" t="s">
        <v>8345</v>
      </c>
      <c r="BA910" s="0" t="s">
        <v>1611</v>
      </c>
      <c r="BB910" s="0" t="s">
        <v>229</v>
      </c>
      <c r="BR910" s="0" t="n">
        <v>3</v>
      </c>
      <c r="BS910" s="0" t="s">
        <v>1840</v>
      </c>
      <c r="BT910" s="0" t="s">
        <v>1818</v>
      </c>
      <c r="BU910" s="0" t="s">
        <v>1841</v>
      </c>
      <c r="BV910" s="123"/>
      <c r="BW910" s="123"/>
      <c r="BX910" s="123"/>
      <c r="BY910" s="123"/>
      <c r="CA910" s="0" t="s">
        <v>348</v>
      </c>
      <c r="CD910" s="0" t="s">
        <v>357</v>
      </c>
      <c r="CE910" s="0" t="n">
        <v>0</v>
      </c>
      <c r="CF910" s="0" t="s">
        <v>1587</v>
      </c>
      <c r="CI910" s="1" t="n">
        <v>39913</v>
      </c>
      <c r="CJ910" s="1" t="n">
        <v>40834</v>
      </c>
      <c r="CK910" s="124" t="n">
        <v>0.493055555555556</v>
      </c>
      <c r="CL910" s="0" t="s">
        <v>8347</v>
      </c>
      <c r="CM910" s="0" t="n">
        <f aca="false">IF(OR(CI910="",CJ910=""),"",DAYS360(CI910,CJ910)/360)</f>
        <v>2.52222222222222</v>
      </c>
      <c r="CN910" s="0" t="n">
        <f aca="false">IF(OR(CI910="",CJ910=""),"",DAYS360(CI910,CJ910)/30)</f>
        <v>30.2666666666667</v>
      </c>
      <c r="CO910" s="0" t="n">
        <f aca="false">IF(OR(CI910="",CJ910=""),"",DAYS360(CI910,CJ910)/7)</f>
        <v>129.714285714286</v>
      </c>
      <c r="CP910" s="0" t="n">
        <f aca="false">IF(OR(CI910="",CJ910=""),"",DAYS360(CI910,CJ910))</f>
        <v>908</v>
      </c>
      <c r="CQ910" s="0" t="s">
        <v>240</v>
      </c>
      <c r="CR910" s="0" t="n">
        <v>1</v>
      </c>
      <c r="CT910" s="0" t="n">
        <v>100.05</v>
      </c>
      <c r="CU910" s="0" t="n">
        <v>0</v>
      </c>
      <c r="CV910" s="0" t="n">
        <f aca="false">IF(OR(CT910="",CT910="NO ESPECIFICA",CT910="NO MENCIONA"),"",IF(CU910=0,CT910,IF(CU910=1,CT910/30,IF(CU910=2,CT910/15,IF(CU910=3,CT910/7,"")))))</f>
        <v>100.05</v>
      </c>
      <c r="CW910" s="125" t="n">
        <v>134.64</v>
      </c>
      <c r="CX910" s="0" t="n">
        <v>0</v>
      </c>
      <c r="CY910" s="0" t="n">
        <f aca="false">IF(CW910="","",IF(CX910=0,CW910,IF(CX910=1,CW910/30,IF(CX910=2,CW910/15,IF(CX910=3,CW910/7,CW910)))))</f>
        <v>134.64</v>
      </c>
      <c r="CZ910" s="0" t="n">
        <f aca="false">IF(DI910&gt;0,DI910,IF(CY910&gt;0,CY910,IF(CV910&gt;0,CV910,"")))</f>
        <v>134.64</v>
      </c>
      <c r="DA910" s="0" t="n">
        <f aca="false">IF(DM910=1,CZ910/8,IF(OR(DM910=2,DM910=4),CZ910/7,IF(DM910=3,CZ910/7.5,"")))</f>
        <v>16.83</v>
      </c>
      <c r="DB910" s="0" t="s">
        <v>2959</v>
      </c>
      <c r="DC910" s="0" t="s">
        <v>1119</v>
      </c>
      <c r="DD910" s="0" t="s">
        <v>303</v>
      </c>
      <c r="DE910" s="0" t="s">
        <v>301</v>
      </c>
      <c r="DF910" s="0" t="s">
        <v>216</v>
      </c>
      <c r="DG910" s="0" t="s">
        <v>216</v>
      </c>
      <c r="DH910" s="0" t="n">
        <v>0</v>
      </c>
      <c r="DI910" s="126" t="n">
        <v>134.64</v>
      </c>
      <c r="DK910" s="0" t="n">
        <v>1</v>
      </c>
      <c r="DM910" s="0" t="n">
        <v>1</v>
      </c>
      <c r="DN910" s="0" t="n">
        <v>39</v>
      </c>
      <c r="DO910" s="0" t="n">
        <v>3</v>
      </c>
      <c r="DP910" s="0" t="n">
        <v>0</v>
      </c>
      <c r="DQ910" s="0" t="n">
        <v>1</v>
      </c>
      <c r="DR910" s="0"/>
      <c r="DS910" s="0" t="n">
        <v>1</v>
      </c>
      <c r="DU910" s="0" t="n">
        <v>1</v>
      </c>
      <c r="DW910" s="1" t="n">
        <v>40278</v>
      </c>
      <c r="DX910" s="1" t="n">
        <v>40834</v>
      </c>
      <c r="DZ910" s="0"/>
      <c r="EA910" s="0" t="n">
        <v>1</v>
      </c>
      <c r="EC910" s="1" t="n">
        <v>40179</v>
      </c>
      <c r="ED910" s="1" t="n">
        <v>40834</v>
      </c>
      <c r="EF910" s="0"/>
      <c r="EG910" s="0" t="n">
        <v>0</v>
      </c>
      <c r="EI910" s="0" t="str">
        <f aca="false">IF(AND(DM910=1,DN910&lt;=48),"",IF(AND(DM910=2,DN910&lt;=42),"",IF(AND(DM910=3,DN910&lt;=45),"",EH910)))</f>
        <v/>
      </c>
      <c r="EJ910" s="0" t="str">
        <f aca="false">IF(EI910="","",IF(EI910&lt;9,EI910,9))</f>
        <v/>
      </c>
      <c r="EK910" s="0" t="str">
        <f aca="false">IF(EI910="","",IF(EI910&gt;9,EI910-EJ910,0))</f>
        <v/>
      </c>
      <c r="EL910" s="0" t="str">
        <f aca="false">IF(EI910="","",EJ910*DA910*2+EK910*DA910*3)</f>
        <v/>
      </c>
      <c r="EP910" s="0" t="n">
        <v>0</v>
      </c>
      <c r="EQ910" s="0"/>
      <c r="ER910" s="0" t="n">
        <v>0</v>
      </c>
      <c r="ET910" s="0" t="n">
        <v>0</v>
      </c>
      <c r="EV910" s="0" t="n">
        <v>0</v>
      </c>
      <c r="EX910" s="0" t="n">
        <v>0</v>
      </c>
      <c r="EY910" s="0" t="n">
        <v>0</v>
      </c>
      <c r="EZ910" s="0"/>
      <c r="FA910" s="4" t="n">
        <v>0</v>
      </c>
      <c r="FB910" s="0" t="n">
        <v>1</v>
      </c>
      <c r="FC910" s="1" t="n">
        <v>41180</v>
      </c>
      <c r="FD910" s="0" t="n">
        <v>1</v>
      </c>
      <c r="FE910" s="0" t="n">
        <v>10000</v>
      </c>
      <c r="FF910" s="120" t="n">
        <f aca="false">(CJ910-CI910+1)/365</f>
        <v>2.52602739726027</v>
      </c>
      <c r="FG910" s="0" t="str">
        <f aca="false">CONCATENATE(F910,"/",G910)</f>
        <v>2014/2011</v>
      </c>
      <c r="FH910" s="0" t="n">
        <v>1</v>
      </c>
      <c r="FI910" s="0" t="n">
        <f aca="false">IFERROR(IF((FC910-J910+1)/365&gt;3,0,1),"")</f>
        <v>1</v>
      </c>
    </row>
    <row r="911" customFormat="false" ht="15" hidden="false" customHeight="false" outlineLevel="0" collapsed="false">
      <c r="A911" s="5" t="str">
        <f aca="false">E911&amp;G911&amp;F911</f>
        <v>720112017</v>
      </c>
      <c r="B911" s="0" t="s">
        <v>3217</v>
      </c>
      <c r="C911" s="1" t="n">
        <v>42380</v>
      </c>
      <c r="D911" s="0" t="s">
        <v>3265</v>
      </c>
      <c r="E911" s="0" t="n">
        <v>7</v>
      </c>
      <c r="F911" s="0" t="n">
        <v>2017</v>
      </c>
      <c r="G911" s="0" t="n">
        <v>2011</v>
      </c>
      <c r="H911" s="0" t="str">
        <f aca="false">"J"&amp;E911&amp;"\"&amp;F911&amp;"\"&amp;G911&amp;"\"&amp;W911</f>
        <v>J7\2017\2011\1</v>
      </c>
      <c r="I911" s="0"/>
      <c r="J911" s="1" t="n">
        <v>40879</v>
      </c>
      <c r="K911" s="0" t="n">
        <v>0</v>
      </c>
      <c r="M911" s="1"/>
      <c r="N911" s="1"/>
      <c r="O911" s="1"/>
      <c r="P911" s="1"/>
      <c r="Q911" s="1"/>
      <c r="T911" s="121"/>
      <c r="U911" s="121"/>
      <c r="V911" s="122" t="n">
        <f aca="false">IF(AND(E911&gt;0,F911&gt;0,G911&gt;0),COUNTIFS($E:$E,E911,$F:$F,F911,$G:$G,G911),"")</f>
        <v>1</v>
      </c>
      <c r="W911" s="122" t="n">
        <f aca="false">IF(V911="","",IF(V911=1,1,IF(AND(E910=E911,F910=F911,G910=G911),W910+1,1)))</f>
        <v>1</v>
      </c>
      <c r="X911" s="0" t="n">
        <v>1</v>
      </c>
      <c r="Y911" s="0" t="n">
        <v>5</v>
      </c>
      <c r="Z911" s="0" t="s">
        <v>8348</v>
      </c>
      <c r="AA911" s="0" t="n">
        <v>0</v>
      </c>
      <c r="AB911" s="0" t="s">
        <v>1264</v>
      </c>
      <c r="AC911" s="0" t="s">
        <v>1963</v>
      </c>
      <c r="AD911" s="0" t="s">
        <v>229</v>
      </c>
      <c r="AE911" s="0" t="n">
        <v>0</v>
      </c>
      <c r="AF911" s="0" t="s">
        <v>8349</v>
      </c>
      <c r="AG911" s="0" t="n">
        <v>0</v>
      </c>
      <c r="AH911" s="0" t="s">
        <v>8350</v>
      </c>
      <c r="AI911" s="0" t="s">
        <v>2640</v>
      </c>
      <c r="AJ911" s="0" t="s">
        <v>207</v>
      </c>
      <c r="AL911" s="0" t="s">
        <v>8351</v>
      </c>
      <c r="AM911" s="0" t="n">
        <v>0</v>
      </c>
      <c r="AN911" s="0" t="s">
        <v>8350</v>
      </c>
      <c r="AO911" s="0" t="s">
        <v>2640</v>
      </c>
      <c r="AP911" s="0" t="s">
        <v>207</v>
      </c>
      <c r="AR911" s="0" t="s">
        <v>8352</v>
      </c>
      <c r="AS911" s="0" t="n">
        <v>1</v>
      </c>
      <c r="AT911" s="0" t="s">
        <v>8350</v>
      </c>
      <c r="AU911" s="0" t="s">
        <v>2640</v>
      </c>
      <c r="AV911" s="0" t="s">
        <v>207</v>
      </c>
      <c r="AX911" s="0" t="s">
        <v>8353</v>
      </c>
      <c r="AY911" s="0" t="n">
        <v>1</v>
      </c>
      <c r="AZ911" s="0" t="s">
        <v>8350</v>
      </c>
      <c r="BA911" s="0" t="s">
        <v>2640</v>
      </c>
      <c r="BB911" s="0" t="s">
        <v>207</v>
      </c>
      <c r="BD911" s="0" t="s">
        <v>1880</v>
      </c>
      <c r="BE911" s="0" t="n">
        <v>1</v>
      </c>
      <c r="BF911" s="0" t="s">
        <v>8350</v>
      </c>
      <c r="BG911" s="0" t="s">
        <v>2640</v>
      </c>
      <c r="BH911" s="0" t="s">
        <v>207</v>
      </c>
      <c r="BR911" s="0" t="n">
        <v>1</v>
      </c>
      <c r="BS911" s="0" t="s">
        <v>1272</v>
      </c>
      <c r="BT911" s="0" t="s">
        <v>8354</v>
      </c>
      <c r="BU911" s="0" t="s">
        <v>3564</v>
      </c>
      <c r="BV911" s="123"/>
      <c r="BW911" s="123"/>
      <c r="BX911" s="123"/>
      <c r="BY911" s="123"/>
      <c r="CA911" s="0" t="s">
        <v>216</v>
      </c>
      <c r="CD911" s="0" t="s">
        <v>296</v>
      </c>
      <c r="CE911" s="0" t="n">
        <v>0</v>
      </c>
      <c r="CF911" s="0" t="s">
        <v>8355</v>
      </c>
      <c r="CI911" s="1" t="n">
        <v>40761</v>
      </c>
      <c r="CJ911" s="1" t="n">
        <v>40866</v>
      </c>
      <c r="CK911" s="124" t="n">
        <v>0.541666666666667</v>
      </c>
      <c r="CL911" s="0" t="s">
        <v>8352</v>
      </c>
      <c r="CM911" s="0" t="n">
        <f aca="false">IF(OR(CI911="",CJ911=""),"",DAYS360(CI911,CJ911)/360)</f>
        <v>0.286111111111111</v>
      </c>
      <c r="CN911" s="0" t="n">
        <f aca="false">IF(OR(CI911="",CJ911=""),"",DAYS360(CI911,CJ911)/30)</f>
        <v>3.43333333333333</v>
      </c>
      <c r="CO911" s="0" t="n">
        <f aca="false">IF(OR(CI911="",CJ911=""),"",DAYS360(CI911,CJ911)/7)</f>
        <v>14.7142857142857</v>
      </c>
      <c r="CP911" s="0" t="n">
        <f aca="false">IF(OR(CI911="",CJ911=""),"",DAYS360(CI911,CJ911))</f>
        <v>103</v>
      </c>
      <c r="CQ911" s="0" t="s">
        <v>240</v>
      </c>
      <c r="CR911" s="0" t="n">
        <v>1</v>
      </c>
      <c r="CT911" s="0" t="n">
        <v>1750</v>
      </c>
      <c r="CU911" s="0" t="n">
        <v>3</v>
      </c>
      <c r="CV911" s="0" t="n">
        <f aca="false">IF(OR(CT911="",CT911="NO ESPECIFICA",CT911="NO MENCIONA"),"",IF(CU911=0,CT911,IF(CU911=1,CT911/30,IF(CU911=2,CT911/15,IF(CU911=3,CT911/7,"")))))</f>
        <v>250</v>
      </c>
      <c r="CW911" s="125" t="n">
        <v>331.33</v>
      </c>
      <c r="CX911" s="0" t="n">
        <v>0</v>
      </c>
      <c r="CY911" s="0" t="n">
        <f aca="false">IF(CW911="","",IF(CX911=0,CW911,IF(CX911=1,CW911/30,IF(CX911=2,CW911/15,IF(CX911=3,CW911/7,CW911)))))</f>
        <v>331.33</v>
      </c>
      <c r="CZ911" s="0" t="n">
        <f aca="false">IF(DI911&gt;0,DI911,IF(CY911&gt;0,CY911,IF(CV911&gt;0,CV911,"")))</f>
        <v>331.33</v>
      </c>
      <c r="DA911" s="0" t="n">
        <f aca="false">IF(DM911=1,CZ911/8,IF(OR(DM911=2,DM911=4),CZ911/7,IF(DM911=3,CZ911/7.5,"")))</f>
        <v>41.41625</v>
      </c>
      <c r="DB911" s="0" t="s">
        <v>301</v>
      </c>
      <c r="DC911" s="0" t="s">
        <v>302</v>
      </c>
      <c r="DD911" s="0" t="s">
        <v>303</v>
      </c>
      <c r="DE911" s="0" t="s">
        <v>3117</v>
      </c>
      <c r="DF911" s="0" t="s">
        <v>7103</v>
      </c>
      <c r="DG911" s="0" t="s">
        <v>216</v>
      </c>
      <c r="DH911" s="0" t="n">
        <v>0</v>
      </c>
      <c r="DI911" s="126" t="n">
        <v>331.33</v>
      </c>
      <c r="DK911" s="0" t="n">
        <v>0</v>
      </c>
      <c r="DM911" s="0" t="n">
        <v>1</v>
      </c>
      <c r="DN911" s="0" t="n">
        <v>66</v>
      </c>
      <c r="DO911" s="0" t="n">
        <v>3</v>
      </c>
      <c r="DP911" s="0" t="n">
        <v>0</v>
      </c>
      <c r="DQ911" s="0" t="n">
        <v>1</v>
      </c>
      <c r="DR911" s="0"/>
      <c r="DS911" s="0" t="n">
        <v>1</v>
      </c>
      <c r="DU911" s="0" t="n">
        <v>1</v>
      </c>
      <c r="DW911" s="1" t="n">
        <v>40761</v>
      </c>
      <c r="DX911" s="1" t="n">
        <v>40866</v>
      </c>
      <c r="DZ911" s="0"/>
      <c r="EA911" s="0" t="n">
        <v>1</v>
      </c>
      <c r="EC911" s="1" t="n">
        <v>40761</v>
      </c>
      <c r="ED911" s="1" t="n">
        <v>40866</v>
      </c>
      <c r="EF911" s="0"/>
      <c r="EG911" s="0" t="n">
        <v>1</v>
      </c>
      <c r="EH911" s="0" t="n">
        <v>18</v>
      </c>
      <c r="EI911" s="0" t="n">
        <f aca="false">IF(AND(DM911=1,DN911&lt;=48),"",IF(AND(DM911=2,DN911&lt;=42),"",IF(AND(DM911=3,DN911&lt;=45),"",EH911)))</f>
        <v>18</v>
      </c>
      <c r="EJ911" s="0" t="n">
        <f aca="false">IF(EI911="","",IF(EI911&lt;9,EI911,9))</f>
        <v>9</v>
      </c>
      <c r="EK911" s="0" t="n">
        <f aca="false">IF(EI911="","",IF(EI911&gt;9,EI911-EJ911,0))</f>
        <v>9</v>
      </c>
      <c r="EL911" s="0" t="n">
        <f aca="false">IF(EI911="","",EJ911*DA911*2+EK911*DA911*3)</f>
        <v>1863.73125</v>
      </c>
      <c r="EP911" s="0" t="n">
        <v>0</v>
      </c>
      <c r="EQ911" s="0"/>
      <c r="ER911" s="0" t="n">
        <v>1</v>
      </c>
      <c r="ET911" s="0" t="n">
        <v>1</v>
      </c>
      <c r="EV911" s="0" t="n">
        <v>1</v>
      </c>
      <c r="EX911" s="0" t="n">
        <v>1</v>
      </c>
      <c r="EY911" s="0" t="n">
        <v>0</v>
      </c>
      <c r="EZ911" s="0"/>
      <c r="FA911" s="4" t="n">
        <v>5963.94</v>
      </c>
      <c r="FB911" s="0" t="n">
        <v>0</v>
      </c>
      <c r="FC911" s="1" t="n">
        <v>40949</v>
      </c>
      <c r="FD911" s="0" t="n">
        <v>1</v>
      </c>
      <c r="FE911" s="0" t="n">
        <v>10500</v>
      </c>
      <c r="FF911" s="120" t="n">
        <f aca="false">(CJ911-CI911+1)/365</f>
        <v>0.29041095890411</v>
      </c>
      <c r="FG911" s="0" t="str">
        <f aca="false">CONCATENATE(F911,"/",G911)</f>
        <v>2017/2011</v>
      </c>
      <c r="FH911" s="0" t="n">
        <v>1</v>
      </c>
      <c r="FI911" s="0" t="n">
        <f aca="false">IFERROR(IF((FC911-J911+1)/365&gt;3,0,1),"")</f>
        <v>1</v>
      </c>
    </row>
    <row r="912" customFormat="false" ht="15" hidden="false" customHeight="false" outlineLevel="0" collapsed="false">
      <c r="A912" s="5" t="str">
        <f aca="false">E912&amp;G912&amp;F912</f>
        <v>720112021</v>
      </c>
      <c r="B912" s="0" t="s">
        <v>3217</v>
      </c>
      <c r="C912" s="1" t="n">
        <v>42381</v>
      </c>
      <c r="D912" s="0" t="s">
        <v>3265</v>
      </c>
      <c r="E912" s="0" t="n">
        <v>7</v>
      </c>
      <c r="F912" s="0" t="n">
        <v>2021</v>
      </c>
      <c r="G912" s="0" t="n">
        <v>2011</v>
      </c>
      <c r="H912" s="0" t="str">
        <f aca="false">"J"&amp;E912&amp;"\"&amp;F912&amp;"\"&amp;G912&amp;"\"&amp;W912</f>
        <v>J7\2021\2011\1</v>
      </c>
      <c r="I912" s="0"/>
      <c r="J912" s="1" t="n">
        <v>40879</v>
      </c>
      <c r="K912" s="0" t="n">
        <v>0</v>
      </c>
      <c r="M912" s="1"/>
      <c r="N912" s="1"/>
      <c r="O912" s="1"/>
      <c r="P912" s="1"/>
      <c r="Q912" s="1"/>
      <c r="T912" s="121"/>
      <c r="U912" s="121"/>
      <c r="V912" s="122" t="n">
        <f aca="false">IF(AND(E912&gt;0,F912&gt;0,G912&gt;0),COUNTIFS($E:$E,E912,$F:$F,F912,$G:$G,G912),"")</f>
        <v>1</v>
      </c>
      <c r="W912" s="122" t="n">
        <f aca="false">IF(V912="","",IF(V912=1,1,IF(AND(E911=E912,F911=F912,G911=G912),W911+1,1)))</f>
        <v>1</v>
      </c>
      <c r="X912" s="0" t="n">
        <v>1</v>
      </c>
      <c r="Y912" s="0" t="n">
        <v>2</v>
      </c>
      <c r="Z912" s="0" t="s">
        <v>8356</v>
      </c>
      <c r="AA912" s="0" t="n">
        <v>0</v>
      </c>
      <c r="AB912" s="0" t="s">
        <v>8357</v>
      </c>
      <c r="AC912" s="0" t="s">
        <v>4153</v>
      </c>
      <c r="AD912" s="0" t="s">
        <v>229</v>
      </c>
      <c r="AE912" s="0" t="n">
        <v>0</v>
      </c>
      <c r="AF912" s="0" t="s">
        <v>8358</v>
      </c>
      <c r="AG912" s="0" t="n">
        <v>1</v>
      </c>
      <c r="AH912" s="0" t="s">
        <v>8359</v>
      </c>
      <c r="AI912" s="0" t="s">
        <v>251</v>
      </c>
      <c r="AJ912" s="0" t="s">
        <v>229</v>
      </c>
      <c r="AL912" s="0" t="s">
        <v>1931</v>
      </c>
      <c r="AM912" s="0" t="n">
        <v>1</v>
      </c>
      <c r="AN912" s="0" t="s">
        <v>8359</v>
      </c>
      <c r="AO912" s="0" t="s">
        <v>251</v>
      </c>
      <c r="AP912" s="0" t="s">
        <v>229</v>
      </c>
      <c r="BR912" s="0" t="n">
        <v>1</v>
      </c>
      <c r="BS912" s="0" t="s">
        <v>4162</v>
      </c>
      <c r="BT912" s="0" t="s">
        <v>8360</v>
      </c>
      <c r="BU912" s="0" t="s">
        <v>4161</v>
      </c>
      <c r="BV912" s="123"/>
      <c r="BW912" s="123"/>
      <c r="BX912" s="123"/>
      <c r="BY912" s="123"/>
      <c r="CA912" s="0" t="s">
        <v>216</v>
      </c>
      <c r="CD912" s="0" t="s">
        <v>370</v>
      </c>
      <c r="CE912" s="0" t="n">
        <v>0</v>
      </c>
      <c r="CF912" s="0" t="s">
        <v>5288</v>
      </c>
      <c r="CI912" s="1" t="n">
        <v>40581</v>
      </c>
      <c r="CJ912" s="1" t="n">
        <v>40872</v>
      </c>
      <c r="CK912" s="124" t="n">
        <v>0.368055555555556</v>
      </c>
      <c r="CL912" s="0" t="s">
        <v>8358</v>
      </c>
      <c r="CM912" s="0" t="n">
        <f aca="false">IF(OR(CI912="",CJ912=""),"",DAYS360(CI912,CJ912)/360)</f>
        <v>0.8</v>
      </c>
      <c r="CN912" s="0" t="n">
        <f aca="false">IF(OR(CI912="",CJ912=""),"",DAYS360(CI912,CJ912)/30)</f>
        <v>9.6</v>
      </c>
      <c r="CO912" s="0" t="n">
        <f aca="false">IF(OR(CI912="",CJ912=""),"",DAYS360(CI912,CJ912)/7)</f>
        <v>41.1428571428572</v>
      </c>
      <c r="CP912" s="0" t="n">
        <f aca="false">IF(OR(CI912="",CJ912=""),"",DAYS360(CI912,CJ912))</f>
        <v>288</v>
      </c>
      <c r="CQ912" s="0" t="s">
        <v>220</v>
      </c>
      <c r="CR912" s="0" t="n">
        <v>1</v>
      </c>
      <c r="CT912" s="0" t="n">
        <v>951</v>
      </c>
      <c r="CU912" s="0" t="n">
        <v>3</v>
      </c>
      <c r="CV912" s="0" t="n">
        <f aca="false">IF(OR(CT912="",CT912="NO ESPECIFICA",CT912="NO MENCIONA"),"",IF(CU912=0,CT912,IF(CU912=1,CT912/30,IF(CU912=2,CT912/15,IF(CU912=3,CT912/7,"")))))</f>
        <v>135.857142857143</v>
      </c>
      <c r="CW912" s="125" t="s">
        <v>216</v>
      </c>
      <c r="CX912" s="0" t="s">
        <v>216</v>
      </c>
      <c r="CY912" s="0" t="str">
        <f aca="false">IF(CW912="","",IF(CX912=0,CW912,IF(CX912=1,CW912/30,IF(CX912=2,CW912/15,IF(CX912=3,CW912/7,CW912)))))</f>
        <v>NO MENCIONA</v>
      </c>
      <c r="CZ912" s="0" t="n">
        <f aca="false">IF(DI912&gt;0,DI912,IF(CY912&gt;0,CY912,IF(CV912&gt;0,CV912,"")))</f>
        <v>150.142857142857</v>
      </c>
      <c r="DA912" s="0" t="n">
        <f aca="false">IF(DM912=1,CZ912/8,IF(OR(DM912=2,DM912=4),CZ912/7,IF(DM912=3,CZ912/7.5,"")))</f>
        <v>18.7678571428571</v>
      </c>
      <c r="DB912" s="0" t="s">
        <v>8361</v>
      </c>
      <c r="DC912" s="0" t="s">
        <v>569</v>
      </c>
      <c r="DD912" s="0" t="s">
        <v>216</v>
      </c>
      <c r="DE912" s="0" t="s">
        <v>216</v>
      </c>
      <c r="DF912" s="0" t="s">
        <v>216</v>
      </c>
      <c r="DG912" s="0" t="s">
        <v>216</v>
      </c>
      <c r="DH912" s="0" t="n">
        <v>0</v>
      </c>
      <c r="DI912" s="126" t="n">
        <v>150.142857142857</v>
      </c>
      <c r="DK912" s="0" t="n">
        <v>1</v>
      </c>
      <c r="DM912" s="0" t="n">
        <v>1</v>
      </c>
      <c r="DN912" s="0" t="n">
        <v>75</v>
      </c>
      <c r="DO912" s="0" t="n">
        <v>3</v>
      </c>
      <c r="DP912" s="0" t="n">
        <v>1</v>
      </c>
      <c r="DQ912" s="0" t="n">
        <v>0</v>
      </c>
      <c r="DR912" s="0"/>
      <c r="DS912" s="0" t="n">
        <v>1</v>
      </c>
      <c r="DU912" s="0" t="n">
        <v>0</v>
      </c>
      <c r="DW912" s="1" t="n">
        <v>40581</v>
      </c>
      <c r="DX912" s="1" t="n">
        <v>40872</v>
      </c>
      <c r="DZ912" s="0"/>
      <c r="EA912" s="0" t="n">
        <v>1</v>
      </c>
      <c r="EC912" s="1" t="n">
        <v>40581</v>
      </c>
      <c r="ED912" s="1" t="n">
        <v>40872</v>
      </c>
      <c r="EF912" s="0"/>
      <c r="EG912" s="0" t="n">
        <v>1</v>
      </c>
      <c r="EH912" s="0" t="n">
        <v>18</v>
      </c>
      <c r="EI912" s="0" t="n">
        <f aca="false">IF(AND(DM912=1,DN912&lt;=48),"",IF(AND(DM912=2,DN912&lt;=42),"",IF(AND(DM912=3,DN912&lt;=45),"",EH912)))</f>
        <v>18</v>
      </c>
      <c r="EJ912" s="0" t="n">
        <f aca="false">IF(EI912="","",IF(EI912&lt;9,EI912,9))</f>
        <v>9</v>
      </c>
      <c r="EK912" s="0" t="n">
        <f aca="false">IF(EI912="","",IF(EI912&gt;9,EI912-EJ912,0))</f>
        <v>9</v>
      </c>
      <c r="EL912" s="0" t="n">
        <f aca="false">IF(EI912="","",EJ912*DA912*2+EK912*DA912*3)</f>
        <v>844.553571428571</v>
      </c>
      <c r="EP912" s="0" t="n">
        <v>0</v>
      </c>
      <c r="EQ912" s="0"/>
      <c r="ER912" s="0" t="n">
        <v>0</v>
      </c>
      <c r="ET912" s="0" t="n">
        <v>1</v>
      </c>
      <c r="EV912" s="0" t="n">
        <v>1</v>
      </c>
      <c r="EX912" s="0" t="n">
        <v>1</v>
      </c>
      <c r="EY912" s="0" t="n">
        <v>1</v>
      </c>
      <c r="EZ912" s="4" t="n">
        <v>3500</v>
      </c>
      <c r="FA912" s="4" t="n">
        <v>0</v>
      </c>
      <c r="FB912" s="0" t="n">
        <v>1</v>
      </c>
      <c r="FC912" s="1" t="n">
        <v>41180</v>
      </c>
      <c r="FD912" s="0" t="n">
        <v>1</v>
      </c>
      <c r="FE912" s="0" t="n">
        <v>5000</v>
      </c>
      <c r="FF912" s="120" t="n">
        <f aca="false">(CJ912-CI912+1)/365</f>
        <v>0.8</v>
      </c>
      <c r="FG912" s="0" t="str">
        <f aca="false">CONCATENATE(F912,"/",G912)</f>
        <v>2021/2011</v>
      </c>
      <c r="FH912" s="0" t="n">
        <v>1</v>
      </c>
      <c r="FI912" s="0" t="n">
        <f aca="false">IFERROR(IF((FC912-J912+1)/365&gt;3,0,1),"")</f>
        <v>1</v>
      </c>
    </row>
    <row r="913" customFormat="false" ht="15" hidden="false" customHeight="false" outlineLevel="0" collapsed="false">
      <c r="A913" s="5" t="str">
        <f aca="false">E913&amp;G913&amp;F913</f>
        <v>720112023</v>
      </c>
      <c r="B913" s="0" t="s">
        <v>3217</v>
      </c>
      <c r="C913" s="1" t="n">
        <v>42385</v>
      </c>
      <c r="E913" s="0" t="n">
        <v>7</v>
      </c>
      <c r="F913" s="0" t="n">
        <v>2023</v>
      </c>
      <c r="G913" s="0" t="n">
        <v>2011</v>
      </c>
      <c r="H913" s="0" t="str">
        <f aca="false">"J"&amp;E913&amp;"\"&amp;F913&amp;"\"&amp;G913&amp;"\"&amp;W913</f>
        <v>J7\2023\2011\1</v>
      </c>
      <c r="I913" s="0"/>
      <c r="J913" s="1" t="n">
        <v>40879</v>
      </c>
      <c r="K913" s="0" t="n">
        <v>0</v>
      </c>
      <c r="M913" s="1" t="n">
        <v>40879</v>
      </c>
      <c r="N913" s="1" t="n">
        <v>40949</v>
      </c>
      <c r="O913" s="1"/>
      <c r="P913" s="1"/>
      <c r="Q913" s="1"/>
      <c r="T913" s="121"/>
      <c r="U913" s="121"/>
      <c r="V913" s="122" t="n">
        <f aca="false">IF(AND(E913&gt;0,F913&gt;0,G913&gt;0),COUNTIFS($E:$E,E913,$F:$F,F913,$G:$G,G913),"")</f>
        <v>1</v>
      </c>
      <c r="W913" s="122" t="n">
        <f aca="false">IF(V913="","",IF(V913=1,1,IF(AND(E912=E913,F912=F913,G912=G913),W912+1,1)))</f>
        <v>1</v>
      </c>
      <c r="X913" s="0" t="n">
        <v>1</v>
      </c>
      <c r="Y913" s="0" t="n">
        <v>2</v>
      </c>
      <c r="Z913" s="0" t="s">
        <v>8362</v>
      </c>
      <c r="AA913" s="0" t="n">
        <v>0</v>
      </c>
      <c r="AB913" s="0" t="s">
        <v>8363</v>
      </c>
      <c r="AC913" s="0" t="s">
        <v>251</v>
      </c>
      <c r="AD913" s="0" t="s">
        <v>221</v>
      </c>
      <c r="AE913" s="0" t="n">
        <v>0</v>
      </c>
      <c r="AF913" s="0" t="s">
        <v>8364</v>
      </c>
      <c r="AG913" s="0" t="n">
        <v>0</v>
      </c>
      <c r="AH913" s="0" t="s">
        <v>5021</v>
      </c>
      <c r="AI913" s="0" t="s">
        <v>1313</v>
      </c>
      <c r="AJ913" s="0" t="s">
        <v>229</v>
      </c>
      <c r="AL913" s="0" t="s">
        <v>1931</v>
      </c>
      <c r="AM913" s="0" t="n">
        <v>1</v>
      </c>
      <c r="AN913" s="0" t="s">
        <v>5021</v>
      </c>
      <c r="AO913" s="0" t="s">
        <v>1313</v>
      </c>
      <c r="AP913" s="0" t="s">
        <v>229</v>
      </c>
      <c r="BR913" s="0" t="n">
        <v>1</v>
      </c>
      <c r="BS913" s="0" t="s">
        <v>8365</v>
      </c>
      <c r="BT913" s="0" t="s">
        <v>8366</v>
      </c>
      <c r="BU913" s="0" t="s">
        <v>8367</v>
      </c>
      <c r="BV913" s="123"/>
      <c r="BW913" s="123"/>
      <c r="BX913" s="123"/>
      <c r="BY913" s="123"/>
      <c r="CA913" s="0" t="s">
        <v>8368</v>
      </c>
      <c r="CD913" s="0" t="s">
        <v>256</v>
      </c>
      <c r="CE913" s="0" t="n">
        <v>0</v>
      </c>
      <c r="CF913" s="0" t="s">
        <v>8369</v>
      </c>
      <c r="CI913" s="1" t="n">
        <v>34981</v>
      </c>
      <c r="CJ913" s="1" t="n">
        <v>40857</v>
      </c>
      <c r="CK913" s="124" t="n">
        <v>0.291666666666667</v>
      </c>
      <c r="CL913" s="0" t="s">
        <v>8370</v>
      </c>
      <c r="CM913" s="0" t="n">
        <f aca="false">IF(OR(CI913="",CJ913=""),"",DAYS360(CI913,CJ913)/360)</f>
        <v>16.0861111111111</v>
      </c>
      <c r="CN913" s="0" t="n">
        <f aca="false">IF(OR(CI913="",CJ913=""),"",DAYS360(CI913,CJ913)/30)</f>
        <v>193.033333333333</v>
      </c>
      <c r="CO913" s="0" t="n">
        <f aca="false">IF(OR(CI913="",CJ913=""),"",DAYS360(CI913,CJ913)/7)</f>
        <v>827.285714285714</v>
      </c>
      <c r="CP913" s="0" t="n">
        <f aca="false">IF(OR(CI913="",CJ913=""),"",DAYS360(CI913,CJ913))</f>
        <v>5791</v>
      </c>
      <c r="CQ913" s="0" t="s">
        <v>220</v>
      </c>
      <c r="CR913" s="0" t="n">
        <v>1</v>
      </c>
      <c r="CT913" s="0" t="n">
        <v>127.58</v>
      </c>
      <c r="CU913" s="0" t="n">
        <v>0</v>
      </c>
      <c r="CV913" s="0" t="n">
        <f aca="false">IF(OR(CT913="",CT913="NO ESPECIFICA",CT913="NO MENCIONA"),"",IF(CU913=0,CT913,IF(CU913=1,CT913/30,IF(CU913=2,CT913/15,IF(CU913=3,CT913/7,"")))))</f>
        <v>127.58</v>
      </c>
      <c r="CW913" s="125" t="n">
        <v>300</v>
      </c>
      <c r="CX913" s="0" t="n">
        <v>0</v>
      </c>
      <c r="CY913" s="0" t="n">
        <f aca="false">IF(CW913="","",IF(CX913=0,CW913,IF(CX913=1,CW913/30,IF(CX913=2,CW913/15,IF(CX913=3,CW913/7,CW913)))))</f>
        <v>300</v>
      </c>
      <c r="CZ913" s="0" t="n">
        <f aca="false">IF(DI913&gt;0,DI913,IF(CY913&gt;0,CY913,IF(CV913&gt;0,CV913,"")))</f>
        <v>300</v>
      </c>
      <c r="DA913" s="0" t="n">
        <f aca="false">IF(DM913=1,CZ913/8,IF(OR(DM913=2,DM913=4),CZ913/7,IF(DM913=3,CZ913/7.5,"")))</f>
        <v>37.5</v>
      </c>
      <c r="DB913" s="0" t="s">
        <v>8371</v>
      </c>
      <c r="DC913" s="0" t="s">
        <v>216</v>
      </c>
      <c r="DD913" s="0" t="s">
        <v>216</v>
      </c>
      <c r="DE913" s="0" t="s">
        <v>216</v>
      </c>
      <c r="DF913" s="0" t="s">
        <v>216</v>
      </c>
      <c r="DG913" s="0" t="s">
        <v>216</v>
      </c>
      <c r="DH913" s="0" t="n">
        <v>0</v>
      </c>
      <c r="DI913" s="126" t="n">
        <v>300</v>
      </c>
      <c r="DK913" s="0" t="n">
        <v>0</v>
      </c>
      <c r="DM913" s="0" t="n">
        <v>1</v>
      </c>
      <c r="DN913" s="0" t="n">
        <v>60</v>
      </c>
      <c r="DO913" s="0" t="n">
        <v>3</v>
      </c>
      <c r="DP913" s="0" t="n">
        <v>1</v>
      </c>
      <c r="DQ913" s="0" t="n">
        <v>0</v>
      </c>
      <c r="DR913" s="0"/>
      <c r="DS913" s="0" t="n">
        <v>1</v>
      </c>
      <c r="DU913" s="0" t="n">
        <v>0</v>
      </c>
      <c r="DW913" s="1" t="n">
        <v>40460</v>
      </c>
      <c r="DX913" s="1" t="n">
        <v>40857</v>
      </c>
      <c r="DZ913" s="0"/>
      <c r="EA913" s="0" t="n">
        <v>1</v>
      </c>
      <c r="EC913" s="1" t="n">
        <v>40544</v>
      </c>
      <c r="ED913" s="1" t="n">
        <v>40857</v>
      </c>
      <c r="EF913" s="0"/>
      <c r="EG913" s="0" t="n">
        <v>1</v>
      </c>
      <c r="EH913" s="0" t="n">
        <v>12</v>
      </c>
      <c r="EI913" s="0" t="n">
        <f aca="false">IF(AND(DM913=1,DN913&lt;=48),"",IF(AND(DM913=2,DN913&lt;=42),"",IF(AND(DM913=3,DN913&lt;=45),"",EH913)))</f>
        <v>12</v>
      </c>
      <c r="EJ913" s="0" t="n">
        <f aca="false">IF(EI913="","",IF(EI913&lt;9,EI913,9))</f>
        <v>9</v>
      </c>
      <c r="EK913" s="0" t="n">
        <f aca="false">IF(EI913="","",IF(EI913&gt;9,EI913-EJ913,0))</f>
        <v>3</v>
      </c>
      <c r="EL913" s="0" t="n">
        <f aca="false">IF(EI913="","",EJ913*DA913*2+EK913*DA913*3)</f>
        <v>1012.5</v>
      </c>
      <c r="EP913" s="0" t="n">
        <v>1</v>
      </c>
      <c r="EQ913" s="0"/>
      <c r="ER913" s="0" t="n">
        <v>0</v>
      </c>
      <c r="ET913" s="0" t="n">
        <v>0</v>
      </c>
      <c r="EV913" s="0" t="n">
        <v>0</v>
      </c>
      <c r="EX913" s="0" t="n">
        <v>1</v>
      </c>
      <c r="EY913" s="0" t="n">
        <v>1</v>
      </c>
      <c r="EZ913" s="0"/>
      <c r="FA913" s="4" t="n">
        <v>22233.12</v>
      </c>
      <c r="FB913" s="0" t="n">
        <v>0</v>
      </c>
      <c r="FC913" s="1" t="n">
        <v>41939</v>
      </c>
      <c r="FD913" s="0" t="n">
        <v>2</v>
      </c>
      <c r="FE913" s="0" t="n">
        <v>0</v>
      </c>
      <c r="FF913" s="120" t="n">
        <f aca="false">(CJ913-CI913+1)/365</f>
        <v>16.1013698630137</v>
      </c>
      <c r="FG913" s="0" t="str">
        <f aca="false">CONCATENATE(F913,"/",G913)</f>
        <v>2023/2011</v>
      </c>
      <c r="FH913" s="0" t="n">
        <v>1</v>
      </c>
      <c r="FI913" s="0" t="n">
        <f aca="false">IFERROR(IF((FC913-J913+1)/365&gt;3,0,1),"")</f>
        <v>1</v>
      </c>
    </row>
    <row r="914" customFormat="false" ht="15" hidden="false" customHeight="false" outlineLevel="0" collapsed="false">
      <c r="A914" s="5" t="str">
        <f aca="false">E914&amp;G914&amp;F914</f>
        <v>720112026</v>
      </c>
      <c r="B914" s="0" t="s">
        <v>3217</v>
      </c>
      <c r="C914" s="1" t="n">
        <v>42385</v>
      </c>
      <c r="E914" s="0" t="n">
        <v>7</v>
      </c>
      <c r="F914" s="0" t="n">
        <v>2026</v>
      </c>
      <c r="G914" s="0" t="n">
        <v>2011</v>
      </c>
      <c r="H914" s="0" t="str">
        <f aca="false">"J"&amp;E914&amp;"\"&amp;F914&amp;"\"&amp;G914&amp;"\"&amp;W914</f>
        <v>J7\2026\2011\1</v>
      </c>
      <c r="I914" s="0"/>
      <c r="J914" s="1" t="n">
        <v>40882</v>
      </c>
      <c r="K914" s="0" t="n">
        <v>0</v>
      </c>
      <c r="M914" s="1" t="n">
        <v>40882</v>
      </c>
      <c r="N914" s="1" t="n">
        <v>40949</v>
      </c>
      <c r="O914" s="1"/>
      <c r="P914" s="1"/>
      <c r="Q914" s="1"/>
      <c r="T914" s="121"/>
      <c r="U914" s="121"/>
      <c r="V914" s="122" t="n">
        <f aca="false">IF(AND(E914&gt;0,F914&gt;0,G914&gt;0),COUNTIFS($E:$E,E914,$F:$F,F914,$G:$G,G914),"")</f>
        <v>1</v>
      </c>
      <c r="W914" s="122" t="n">
        <f aca="false">IF(V914="","",IF(V914=1,1,IF(AND(E913=E914,F913=F914,G913=G914),W913+1,1)))</f>
        <v>1</v>
      </c>
      <c r="X914" s="0" t="n">
        <v>1</v>
      </c>
      <c r="Y914" s="0" t="n">
        <v>2</v>
      </c>
      <c r="Z914" s="0" t="s">
        <v>8372</v>
      </c>
      <c r="AA914" s="0" t="n">
        <v>0</v>
      </c>
      <c r="AB914" s="0" t="s">
        <v>8373</v>
      </c>
      <c r="AC914" s="0" t="s">
        <v>380</v>
      </c>
      <c r="AD914" s="0" t="s">
        <v>221</v>
      </c>
      <c r="AE914" s="0" t="n">
        <v>0</v>
      </c>
      <c r="AF914" s="0" t="s">
        <v>8374</v>
      </c>
      <c r="AG914" s="0" t="n">
        <v>0</v>
      </c>
      <c r="AH914" s="0" t="s">
        <v>8375</v>
      </c>
      <c r="AI914" s="0" t="s">
        <v>1123</v>
      </c>
      <c r="AJ914" s="0" t="s">
        <v>322</v>
      </c>
      <c r="AL914" s="0" t="s">
        <v>1931</v>
      </c>
      <c r="AM914" s="0" t="n">
        <v>1</v>
      </c>
      <c r="AN914" s="0" t="s">
        <v>8375</v>
      </c>
      <c r="AO914" s="0" t="s">
        <v>1123</v>
      </c>
      <c r="AP914" s="0" t="s">
        <v>322</v>
      </c>
      <c r="BR914" s="0" t="n">
        <v>1</v>
      </c>
      <c r="BS914" s="0" t="s">
        <v>8376</v>
      </c>
      <c r="BT914" s="0" t="s">
        <v>8377</v>
      </c>
      <c r="BU914" s="0" t="s">
        <v>8378</v>
      </c>
      <c r="BV914" s="123"/>
      <c r="BW914" s="123"/>
      <c r="BX914" s="123"/>
      <c r="BY914" s="123"/>
      <c r="CA914" s="0" t="s">
        <v>8379</v>
      </c>
      <c r="CD914" s="0" t="s">
        <v>370</v>
      </c>
      <c r="CE914" s="0" t="n">
        <v>0</v>
      </c>
      <c r="CF914" s="0" t="s">
        <v>8380</v>
      </c>
      <c r="CI914" s="1" t="n">
        <v>36404</v>
      </c>
      <c r="CJ914" s="1" t="n">
        <v>40879</v>
      </c>
      <c r="CK914" s="124" t="n">
        <v>0.333333333333333</v>
      </c>
      <c r="CL914" s="0" t="s">
        <v>8381</v>
      </c>
      <c r="CM914" s="0" t="n">
        <f aca="false">IF(OR(CI914="",CJ914=""),"",DAYS360(CI914,CJ914)/360)</f>
        <v>12.2527777777778</v>
      </c>
      <c r="CN914" s="0" t="n">
        <f aca="false">IF(OR(CI914="",CJ914=""),"",DAYS360(CI914,CJ914)/30)</f>
        <v>147.033333333333</v>
      </c>
      <c r="CO914" s="0" t="n">
        <f aca="false">IF(OR(CI914="",CJ914=""),"",DAYS360(CI914,CJ914)/7)</f>
        <v>630.142857142857</v>
      </c>
      <c r="CP914" s="0" t="n">
        <f aca="false">IF(OR(CI914="",CJ914=""),"",DAYS360(CI914,CJ914))</f>
        <v>4411</v>
      </c>
      <c r="CQ914" s="0" t="s">
        <v>220</v>
      </c>
      <c r="CR914" s="0" t="n">
        <v>1</v>
      </c>
      <c r="CT914" s="0" t="n">
        <v>987.68</v>
      </c>
      <c r="CU914" s="0" t="n">
        <v>0</v>
      </c>
      <c r="CV914" s="0" t="n">
        <f aca="false">IF(OR(CT914="",CT914="NO ESPECIFICA",CT914="NO MENCIONA"),"",IF(CU914=0,CT914,IF(CU914=1,CT914/30,IF(CU914=2,CT914/15,IF(CU914=3,CT914/7,"")))))</f>
        <v>987.68</v>
      </c>
      <c r="CW914" s="125" t="n">
        <v>1102.58</v>
      </c>
      <c r="CX914" s="0" t="n">
        <v>0</v>
      </c>
      <c r="CY914" s="0" t="n">
        <f aca="false">IF(CW914="","",IF(CX914=0,CW914,IF(CX914=1,CW914/30,IF(CX914=2,CW914/15,IF(CX914=3,CW914/7,CW914)))))</f>
        <v>1102.58</v>
      </c>
      <c r="CZ914" s="0" t="n">
        <f aca="false">IF(DI914&gt;0,DI914,IF(CY914&gt;0,CY914,IF(CV914&gt;0,CV914,"")))</f>
        <v>1102.58</v>
      </c>
      <c r="DA914" s="0" t="n">
        <f aca="false">IF(DM914=1,CZ914/8,IF(OR(DM914=2,DM914=4),CZ914/7,IF(DM914=3,CZ914/7.5,"")))</f>
        <v>137.8225</v>
      </c>
      <c r="DB914" s="0" t="s">
        <v>6476</v>
      </c>
      <c r="DC914" s="0" t="s">
        <v>299</v>
      </c>
      <c r="DD914" s="0" t="s">
        <v>301</v>
      </c>
      <c r="DE914" s="0" t="s">
        <v>302</v>
      </c>
      <c r="DF914" s="0" t="s">
        <v>302</v>
      </c>
      <c r="DG914" s="0" t="s">
        <v>8382</v>
      </c>
      <c r="DH914" s="0" t="n">
        <v>0</v>
      </c>
      <c r="DI914" s="126" t="n">
        <v>1102.58</v>
      </c>
      <c r="DK914" s="0" t="n">
        <v>1</v>
      </c>
      <c r="DM914" s="0" t="n">
        <v>1</v>
      </c>
      <c r="DN914" s="0" t="n">
        <v>78</v>
      </c>
      <c r="DO914" s="0" t="n">
        <v>3</v>
      </c>
      <c r="DP914" s="0" t="n">
        <v>1</v>
      </c>
      <c r="DQ914" s="0" t="n">
        <v>0</v>
      </c>
      <c r="DR914" s="0"/>
      <c r="DS914" s="0" t="n">
        <v>1</v>
      </c>
      <c r="DU914" s="0" t="n">
        <v>0</v>
      </c>
      <c r="DW914" s="1" t="s">
        <v>221</v>
      </c>
      <c r="DX914" s="1" t="s">
        <v>221</v>
      </c>
      <c r="DZ914" s="0"/>
      <c r="EA914" s="0" t="n">
        <v>1</v>
      </c>
      <c r="EC914" s="1" t="n">
        <v>36404</v>
      </c>
      <c r="ED914" s="1" t="n">
        <v>40879</v>
      </c>
      <c r="EF914" s="0"/>
      <c r="EG914" s="0" t="n">
        <v>1</v>
      </c>
      <c r="EH914" s="0" t="n">
        <v>24</v>
      </c>
      <c r="EI914" s="0" t="n">
        <f aca="false">IF(AND(DM914=1,DN914&lt;=48),"",IF(AND(DM914=2,DN914&lt;=42),"",IF(AND(DM914=3,DN914&lt;=45),"",EH914)))</f>
        <v>24</v>
      </c>
      <c r="EJ914" s="0" t="n">
        <f aca="false">IF(EI914="","",IF(EI914&lt;9,EI914,9))</f>
        <v>9</v>
      </c>
      <c r="EK914" s="0" t="n">
        <f aca="false">IF(EI914="","",IF(EI914&gt;9,EI914-EJ914,0))</f>
        <v>15</v>
      </c>
      <c r="EL914" s="0" t="n">
        <f aca="false">IF(EI914="","",EJ914*DA914*2+EK914*DA914*3)</f>
        <v>8682.8175</v>
      </c>
      <c r="EP914" s="0" t="n">
        <v>0</v>
      </c>
      <c r="EQ914" s="0"/>
      <c r="ER914" s="0" t="n">
        <v>0</v>
      </c>
      <c r="ET914" s="0" t="n">
        <v>0</v>
      </c>
      <c r="EV914" s="0" t="n">
        <v>0</v>
      </c>
      <c r="EX914" s="0" t="n">
        <v>1</v>
      </c>
      <c r="EY914" s="0" t="n">
        <v>1</v>
      </c>
      <c r="EZ914" s="4" t="n">
        <v>498725</v>
      </c>
      <c r="FA914" s="4" t="n">
        <v>1102.58</v>
      </c>
      <c r="FB914" s="0" t="n">
        <v>0</v>
      </c>
      <c r="FC914" s="1" t="n">
        <v>41409</v>
      </c>
      <c r="FD914" s="0" t="n">
        <v>2</v>
      </c>
      <c r="FE914" s="0" t="n">
        <v>0</v>
      </c>
      <c r="FF914" s="120" t="n">
        <f aca="false">(CJ914-CI914+1)/365</f>
        <v>12.2630136986301</v>
      </c>
      <c r="FG914" s="0" t="str">
        <f aca="false">CONCATENATE(F914,"/",G914)</f>
        <v>2026/2011</v>
      </c>
      <c r="FH914" s="0" t="n">
        <v>1</v>
      </c>
      <c r="FI914" s="0" t="n">
        <f aca="false">IFERROR(IF((FC914-J914+1)/365&gt;3,0,1),"")</f>
        <v>1</v>
      </c>
    </row>
    <row r="915" customFormat="false" ht="15" hidden="false" customHeight="false" outlineLevel="0" collapsed="false">
      <c r="A915" s="5" t="str">
        <f aca="false">E915&amp;G915&amp;F915</f>
        <v>720112027</v>
      </c>
      <c r="B915" s="0" t="s">
        <v>3217</v>
      </c>
      <c r="C915" s="1" t="n">
        <v>42385</v>
      </c>
      <c r="D915" s="0" t="s">
        <v>3265</v>
      </c>
      <c r="E915" s="0" t="n">
        <v>7</v>
      </c>
      <c r="F915" s="0" t="n">
        <v>2027</v>
      </c>
      <c r="G915" s="0" t="n">
        <v>2011</v>
      </c>
      <c r="H915" s="0" t="str">
        <f aca="false">"J"&amp;E915&amp;"\"&amp;F915&amp;"\"&amp;G915&amp;"\"&amp;W915</f>
        <v>J7\2027\2011\1</v>
      </c>
      <c r="I915" s="0"/>
      <c r="J915" s="1" t="n">
        <v>40882</v>
      </c>
      <c r="K915" s="0" t="n">
        <v>0</v>
      </c>
      <c r="M915" s="1"/>
      <c r="N915" s="1"/>
      <c r="O915" s="1"/>
      <c r="P915" s="1"/>
      <c r="Q915" s="1"/>
      <c r="T915" s="121"/>
      <c r="U915" s="121"/>
      <c r="V915" s="122" t="n">
        <f aca="false">IF(AND(E915&gt;0,F915&gt;0,G915&gt;0),COUNTIFS($E:$E,E915,$F:$F,F915,$G:$G,G915),"")</f>
        <v>1</v>
      </c>
      <c r="W915" s="122" t="n">
        <f aca="false">IF(V915="","",IF(V915=1,1,IF(AND(E914=E915,F914=F915,G914=G915),W914+1,1)))</f>
        <v>1</v>
      </c>
      <c r="X915" s="0" t="n">
        <v>1</v>
      </c>
      <c r="Y915" s="0" t="n">
        <v>5</v>
      </c>
      <c r="Z915" s="0" t="s">
        <v>8383</v>
      </c>
      <c r="AA915" s="0" t="n">
        <v>0</v>
      </c>
      <c r="AB915" s="0" t="s">
        <v>702</v>
      </c>
      <c r="AC915" s="0" t="s">
        <v>221</v>
      </c>
      <c r="AD915" s="0" t="s">
        <v>221</v>
      </c>
      <c r="AE915" s="0" t="n">
        <v>0</v>
      </c>
      <c r="AF915" s="0" t="s">
        <v>8384</v>
      </c>
      <c r="AG915" s="0" t="n">
        <v>1</v>
      </c>
      <c r="AH915" s="0" t="s">
        <v>8385</v>
      </c>
      <c r="AI915" s="0" t="s">
        <v>2567</v>
      </c>
      <c r="AJ915" s="0" t="s">
        <v>755</v>
      </c>
      <c r="AL915" s="0" t="s">
        <v>8386</v>
      </c>
      <c r="AM915" s="0" t="n">
        <v>1</v>
      </c>
      <c r="AN915" s="0" t="s">
        <v>8385</v>
      </c>
      <c r="AO915" s="0" t="s">
        <v>2567</v>
      </c>
      <c r="AP915" s="0" t="s">
        <v>755</v>
      </c>
      <c r="AR915" s="0" t="s">
        <v>1880</v>
      </c>
      <c r="AS915" s="0" t="n">
        <v>1</v>
      </c>
      <c r="AT915" s="0" t="s">
        <v>8385</v>
      </c>
      <c r="AU915" s="0" t="s">
        <v>2567</v>
      </c>
      <c r="AV915" s="0" t="s">
        <v>755</v>
      </c>
      <c r="AX915" s="0" t="s">
        <v>249</v>
      </c>
      <c r="AY915" s="0" t="n">
        <v>0</v>
      </c>
      <c r="AZ915" s="0" t="s">
        <v>221</v>
      </c>
      <c r="BA915" s="0" t="s">
        <v>221</v>
      </c>
      <c r="BB915" s="0" t="s">
        <v>221</v>
      </c>
      <c r="BD915" s="0" t="s">
        <v>412</v>
      </c>
      <c r="BE915" s="0" t="n">
        <v>0</v>
      </c>
      <c r="BF915" s="0" t="s">
        <v>221</v>
      </c>
      <c r="BG915" s="0" t="s">
        <v>221</v>
      </c>
      <c r="BH915" s="0" t="s">
        <v>221</v>
      </c>
      <c r="BR915" s="0" t="n">
        <v>1</v>
      </c>
      <c r="BS915" s="0" t="s">
        <v>8387</v>
      </c>
      <c r="BT915" s="0" t="s">
        <v>8388</v>
      </c>
      <c r="BU915" s="0" t="s">
        <v>8389</v>
      </c>
      <c r="BV915" s="123"/>
      <c r="BW915" s="123"/>
      <c r="BX915" s="123"/>
      <c r="BY915" s="123"/>
      <c r="CA915" s="0" t="s">
        <v>216</v>
      </c>
      <c r="CD915" s="0" t="s">
        <v>216</v>
      </c>
      <c r="CE915" s="0" t="n">
        <v>0</v>
      </c>
      <c r="CF915" s="0" t="s">
        <v>8390</v>
      </c>
      <c r="CI915" s="1" t="n">
        <v>37834</v>
      </c>
      <c r="CJ915" s="1" t="n">
        <v>40836</v>
      </c>
      <c r="CK915" s="124" t="s">
        <v>216</v>
      </c>
      <c r="CL915" s="0" t="s">
        <v>8391</v>
      </c>
      <c r="CM915" s="0" t="n">
        <f aca="false">IF(OR(CI915="",CJ915=""),"",DAYS360(CI915,CJ915)/360)</f>
        <v>8.21944444444445</v>
      </c>
      <c r="CN915" s="0" t="n">
        <f aca="false">IF(OR(CI915="",CJ915=""),"",DAYS360(CI915,CJ915)/30)</f>
        <v>98.6333333333333</v>
      </c>
      <c r="CO915" s="0" t="n">
        <f aca="false">IF(OR(CI915="",CJ915=""),"",DAYS360(CI915,CJ915)/7)</f>
        <v>422.714285714286</v>
      </c>
      <c r="CP915" s="0" t="n">
        <f aca="false">IF(OR(CI915="",CJ915=""),"",DAYS360(CI915,CJ915))</f>
        <v>2959</v>
      </c>
      <c r="CQ915" s="0" t="s">
        <v>240</v>
      </c>
      <c r="CR915" s="0" t="n">
        <v>1</v>
      </c>
      <c r="CT915" s="0" t="n">
        <v>6000</v>
      </c>
      <c r="CU915" s="0" t="n">
        <v>1</v>
      </c>
      <c r="CV915" s="0" t="n">
        <f aca="false">IF(OR(CT915="",CT915="NO ESPECIFICA",CT915="NO MENCIONA"),"",IF(CU915=0,CT915,IF(CU915=1,CT915/30,IF(CU915=2,CT915/15,IF(CU915=3,CT915/7,"")))))</f>
        <v>200</v>
      </c>
      <c r="CW915" s="125" t="n">
        <v>10000</v>
      </c>
      <c r="CX915" s="0" t="n">
        <v>1</v>
      </c>
      <c r="CY915" s="0" t="n">
        <f aca="false">IF(CW915="","",IF(CX915=0,CW915,IF(CX915=1,CW915/30,IF(CX915=2,CW915/15,IF(CX915=3,CW915/7,CW915)))))</f>
        <v>333.333333333333</v>
      </c>
      <c r="CZ915" s="0" t="n">
        <f aca="false">IF(DI915&gt;0,DI915,IF(CY915&gt;0,CY915,IF(CV915&gt;0,CV915,"")))</f>
        <v>333.33</v>
      </c>
      <c r="DA915" s="0" t="n">
        <f aca="false">IF(DM915=1,CZ915/8,IF(OR(DM915=2,DM915=4),CZ915/7,IF(DM915=3,CZ915/7.5,"")))</f>
        <v>41.66625</v>
      </c>
      <c r="DB915" s="0" t="s">
        <v>299</v>
      </c>
      <c r="DC915" s="0" t="s">
        <v>216</v>
      </c>
      <c r="DD915" s="0" t="s">
        <v>216</v>
      </c>
      <c r="DE915" s="0" t="s">
        <v>216</v>
      </c>
      <c r="DF915" s="0" t="s">
        <v>216</v>
      </c>
      <c r="DG915" s="0" t="s">
        <v>216</v>
      </c>
      <c r="DH915" s="0" t="n">
        <v>0</v>
      </c>
      <c r="DI915" s="126" t="n">
        <v>333.33</v>
      </c>
      <c r="DK915" s="0" t="n">
        <v>1</v>
      </c>
      <c r="DM915" s="0" t="n">
        <v>1</v>
      </c>
      <c r="DN915" s="0" t="n">
        <v>69</v>
      </c>
      <c r="DO915" s="0" t="n">
        <v>3</v>
      </c>
      <c r="DP915" s="0" t="n">
        <v>0</v>
      </c>
      <c r="DQ915" s="0" t="n">
        <v>1</v>
      </c>
      <c r="DR915" s="0"/>
      <c r="DS915" s="0" t="n">
        <v>1</v>
      </c>
      <c r="DU915" s="0" t="n">
        <v>1</v>
      </c>
      <c r="DW915" s="1" t="s">
        <v>216</v>
      </c>
      <c r="DX915" s="1" t="s">
        <v>216</v>
      </c>
      <c r="DY915" s="0" t="s">
        <v>216</v>
      </c>
      <c r="DZ915" s="0" t="s">
        <v>216</v>
      </c>
      <c r="EA915" s="0" t="s">
        <v>216</v>
      </c>
      <c r="EB915" s="0" t="s">
        <v>216</v>
      </c>
      <c r="EC915" s="1" t="n">
        <v>37834</v>
      </c>
      <c r="ED915" s="1" t="n">
        <v>40836</v>
      </c>
      <c r="EF915" s="0"/>
      <c r="EG915" s="0" t="n">
        <v>1</v>
      </c>
      <c r="EH915" s="0" t="s">
        <v>221</v>
      </c>
      <c r="EI915" s="0" t="str">
        <f aca="false">IF(AND(DM915=1,DN915&lt;=48),"",IF(AND(DM915=2,DN915&lt;=42),"",IF(AND(DM915=3,DN915&lt;=45),"",EH915)))</f>
        <v>NO ESPECIFICA</v>
      </c>
      <c r="EJ915" s="0" t="n">
        <f aca="false">IF(EI915="","",IF(EI915&lt;9,EI915,9))</f>
        <v>9</v>
      </c>
      <c r="EK915" s="0" t="e">
        <f aca="false">IF(EI915="","",IF(EI915&gt;9,EI915-EJ915,0))</f>
        <v>#VALUE!</v>
      </c>
      <c r="EL915" s="0" t="e">
        <f aca="false">IF(EI915="","",EJ915*DA915*2+EK915*DA915*3)</f>
        <v>#VALUE!</v>
      </c>
      <c r="EP915" s="0" t="n">
        <v>0</v>
      </c>
      <c r="EQ915" s="0"/>
      <c r="ER915" s="0" t="n">
        <v>0</v>
      </c>
      <c r="ET915" s="0" t="n">
        <v>0</v>
      </c>
      <c r="EV915" s="0" t="n">
        <v>1</v>
      </c>
      <c r="EX915" s="0" t="n">
        <v>1</v>
      </c>
      <c r="EY915" s="0" t="n">
        <v>1</v>
      </c>
      <c r="FA915" s="4" t="n">
        <v>0</v>
      </c>
      <c r="FB915" s="0" t="n">
        <v>1</v>
      </c>
      <c r="FC915" s="1" t="n">
        <v>41421</v>
      </c>
      <c r="FD915" s="0" t="n">
        <v>4</v>
      </c>
      <c r="FE915" s="0" t="n">
        <v>0</v>
      </c>
      <c r="FF915" s="120" t="n">
        <f aca="false">(CJ915-CI915+1)/365</f>
        <v>8.22739726027397</v>
      </c>
      <c r="FG915" s="0" t="str">
        <f aca="false">CONCATENATE(F915,"/",G915)</f>
        <v>2027/2011</v>
      </c>
      <c r="FH915" s="0" t="n">
        <v>1</v>
      </c>
      <c r="FI915" s="0" t="n">
        <f aca="false">IFERROR(IF((FC915-J915+1)/365&gt;3,0,1),"")</f>
        <v>1</v>
      </c>
    </row>
    <row r="916" customFormat="false" ht="15" hidden="false" customHeight="false" outlineLevel="0" collapsed="false">
      <c r="A916" s="5" t="str">
        <f aca="false">E916&amp;G916&amp;F916</f>
        <v>720112042</v>
      </c>
      <c r="B916" s="0" t="s">
        <v>3217</v>
      </c>
      <c r="C916" s="1" t="n">
        <v>42385</v>
      </c>
      <c r="E916" s="0" t="n">
        <v>7</v>
      </c>
      <c r="F916" s="0" t="n">
        <v>2042</v>
      </c>
      <c r="G916" s="0" t="n">
        <v>2011</v>
      </c>
      <c r="H916" s="0" t="str">
        <f aca="false">"J"&amp;E916&amp;"\"&amp;F916&amp;"\"&amp;G916&amp;"\"&amp;W916</f>
        <v>J7\2042\2011\1</v>
      </c>
      <c r="I916" s="0"/>
      <c r="J916" s="1" t="n">
        <v>40884</v>
      </c>
      <c r="K916" s="0" t="n">
        <v>0</v>
      </c>
      <c r="M916" s="1" t="n">
        <v>40884</v>
      </c>
      <c r="N916" s="1" t="n">
        <v>40949</v>
      </c>
      <c r="O916" s="1"/>
      <c r="P916" s="1"/>
      <c r="Q916" s="1"/>
      <c r="T916" s="121"/>
      <c r="U916" s="121"/>
      <c r="V916" s="122" t="n">
        <f aca="false">IF(AND(E916&gt;0,F916&gt;0,G916&gt;0),COUNTIFS($E:$E,E916,$F:$F,F916,$G:$G,G916),"")</f>
        <v>1</v>
      </c>
      <c r="W916" s="122" t="n">
        <f aca="false">IF(V916="","",IF(V916=1,1,IF(AND(E915=E916,F915=F916,G915=G916),W915+1,1)))</f>
        <v>1</v>
      </c>
      <c r="X916" s="0" t="n">
        <v>1</v>
      </c>
      <c r="Y916" s="0" t="n">
        <v>5</v>
      </c>
      <c r="Z916" s="0" t="s">
        <v>8392</v>
      </c>
      <c r="AA916" s="0" t="n">
        <v>0</v>
      </c>
      <c r="AB916" s="0" t="s">
        <v>8393</v>
      </c>
      <c r="AC916" s="0" t="s">
        <v>1160</v>
      </c>
      <c r="AD916" s="0" t="s">
        <v>229</v>
      </c>
      <c r="AE916" s="0" t="n">
        <v>0</v>
      </c>
      <c r="AF916" s="0" t="s">
        <v>8394</v>
      </c>
      <c r="AG916" s="0" t="n">
        <v>0</v>
      </c>
      <c r="AH916" s="0" t="s">
        <v>8395</v>
      </c>
      <c r="AI916" s="0" t="s">
        <v>1313</v>
      </c>
      <c r="AJ916" s="0" t="s">
        <v>229</v>
      </c>
      <c r="AL916" s="0" t="s">
        <v>8396</v>
      </c>
      <c r="AM916" s="0" t="n">
        <v>1</v>
      </c>
      <c r="AN916" s="0" t="s">
        <v>8395</v>
      </c>
      <c r="AO916" s="0" t="s">
        <v>1313</v>
      </c>
      <c r="AP916" s="0" t="s">
        <v>229</v>
      </c>
      <c r="AR916" s="0" t="s">
        <v>8397</v>
      </c>
      <c r="AS916" s="0" t="n">
        <v>1</v>
      </c>
      <c r="AT916" s="0" t="s">
        <v>8395</v>
      </c>
      <c r="AU916" s="0" t="s">
        <v>1313</v>
      </c>
      <c r="AV916" s="0" t="s">
        <v>229</v>
      </c>
      <c r="AX916" s="0" t="s">
        <v>8398</v>
      </c>
      <c r="AY916" s="0" t="n">
        <v>1</v>
      </c>
      <c r="AZ916" s="0" t="s">
        <v>8395</v>
      </c>
      <c r="BA916" s="0" t="s">
        <v>1313</v>
      </c>
      <c r="BB916" s="0" t="s">
        <v>229</v>
      </c>
      <c r="BD916" s="0" t="s">
        <v>1880</v>
      </c>
      <c r="BE916" s="0" t="n">
        <v>1</v>
      </c>
      <c r="BF916" s="0" t="s">
        <v>8395</v>
      </c>
      <c r="BG916" s="0" t="s">
        <v>1313</v>
      </c>
      <c r="BH916" s="0" t="s">
        <v>229</v>
      </c>
      <c r="BR916" s="0" t="n">
        <v>1</v>
      </c>
      <c r="BS916" s="0" t="s">
        <v>8399</v>
      </c>
      <c r="BT916" s="0" t="s">
        <v>8400</v>
      </c>
      <c r="BU916" s="0" t="s">
        <v>8401</v>
      </c>
      <c r="BV916" s="123"/>
      <c r="BW916" s="123"/>
      <c r="BX916" s="123"/>
      <c r="BY916" s="123"/>
      <c r="CA916" s="0" t="s">
        <v>216</v>
      </c>
      <c r="CD916" s="0" t="s">
        <v>502</v>
      </c>
      <c r="CE916" s="0" t="n">
        <v>0</v>
      </c>
      <c r="CF916" s="0" t="s">
        <v>8402</v>
      </c>
      <c r="CI916" s="1" t="n">
        <v>39377</v>
      </c>
      <c r="CJ916" s="1" t="n">
        <v>40822</v>
      </c>
      <c r="CK916" s="124" t="n">
        <v>0.541666666666667</v>
      </c>
      <c r="CL916" s="0" t="s">
        <v>8398</v>
      </c>
      <c r="CM916" s="0" t="n">
        <f aca="false">IF(OR(CI916="",CJ916=""),"",DAYS360(CI916,CJ916)/360)</f>
        <v>3.95555555555556</v>
      </c>
      <c r="CN916" s="0" t="n">
        <f aca="false">IF(OR(CI916="",CJ916=""),"",DAYS360(CI916,CJ916)/30)</f>
        <v>47.4666666666667</v>
      </c>
      <c r="CO916" s="0" t="n">
        <f aca="false">IF(OR(CI916="",CJ916=""),"",DAYS360(CI916,CJ916)/7)</f>
        <v>203.428571428571</v>
      </c>
      <c r="CP916" s="0" t="n">
        <f aca="false">IF(OR(CI916="",CJ916=""),"",DAYS360(CI916,CJ916))</f>
        <v>1424</v>
      </c>
      <c r="CQ916" s="0" t="s">
        <v>220</v>
      </c>
      <c r="CR916" s="0" t="n">
        <v>1</v>
      </c>
      <c r="CT916" s="0" t="n">
        <v>172.8</v>
      </c>
      <c r="CU916" s="0" t="n">
        <v>0</v>
      </c>
      <c r="CV916" s="0" t="n">
        <f aca="false">IF(OR(CT916="",CT916="NO ESPECIFICA",CT916="NO MENCIONA"),"",IF(CU916=0,CT916,IF(CU916=1,CT916/30,IF(CU916=2,CT916/15,IF(CU916=3,CT916/7,"")))))</f>
        <v>172.8</v>
      </c>
      <c r="CW916" s="125" t="n">
        <v>241.13</v>
      </c>
      <c r="CX916" s="0" t="n">
        <v>0</v>
      </c>
      <c r="CY916" s="0" t="n">
        <f aca="false">IF(CW916="","",IF(CX916=0,CW916,IF(CX916=1,CW916/30,IF(CX916=2,CW916/15,IF(CX916=3,CW916/7,CW916)))))</f>
        <v>241.13</v>
      </c>
      <c r="CZ916" s="0" t="n">
        <f aca="false">IF(DI916&gt;0,DI916,IF(CY916&gt;0,CY916,IF(CV916&gt;0,CV916,"")))</f>
        <v>241.13</v>
      </c>
      <c r="DA916" s="0" t="n">
        <f aca="false">IF(DM916=1,CZ916/8,IF(OR(DM916=2,DM916=4),CZ916/7,IF(DM916=3,CZ916/7.5,"")))</f>
        <v>30.14125</v>
      </c>
      <c r="DB916" s="0" t="s">
        <v>301</v>
      </c>
      <c r="DC916" s="0" t="s">
        <v>303</v>
      </c>
      <c r="DD916" s="0" t="s">
        <v>258</v>
      </c>
      <c r="DE916" s="0" t="s">
        <v>259</v>
      </c>
      <c r="DF916" s="0" t="s">
        <v>216</v>
      </c>
      <c r="DG916" s="0" t="s">
        <v>216</v>
      </c>
      <c r="DH916" s="0" t="n">
        <v>0</v>
      </c>
      <c r="DI916" s="126" t="n">
        <v>241.13</v>
      </c>
      <c r="DK916" s="0" t="n">
        <v>0</v>
      </c>
      <c r="DM916" s="0" t="n">
        <v>1</v>
      </c>
      <c r="DN916" s="0" t="n">
        <v>56</v>
      </c>
      <c r="DO916" s="0" t="n">
        <v>3</v>
      </c>
      <c r="DP916" s="0" t="n">
        <v>1</v>
      </c>
      <c r="DQ916" s="0" t="n">
        <v>0</v>
      </c>
      <c r="DR916" s="0"/>
      <c r="DS916" s="0" t="n">
        <v>1</v>
      </c>
      <c r="DU916" s="0" t="n">
        <v>0</v>
      </c>
      <c r="DW916" s="1" t="n">
        <v>39377</v>
      </c>
      <c r="DX916" s="1" t="n">
        <v>40822</v>
      </c>
      <c r="DZ916" s="0"/>
      <c r="EA916" s="0" t="n">
        <v>1</v>
      </c>
      <c r="EC916" s="1" t="n">
        <v>39377</v>
      </c>
      <c r="ED916" s="1" t="n">
        <v>40822</v>
      </c>
      <c r="EF916" s="0"/>
      <c r="EG916" s="0" t="n">
        <v>1</v>
      </c>
      <c r="EH916" s="0" t="n">
        <v>6</v>
      </c>
      <c r="EI916" s="0" t="n">
        <f aca="false">IF(AND(DM916=1,DN916&lt;=48),"",IF(AND(DM916=2,DN916&lt;=42),"",IF(AND(DM916=3,DN916&lt;=45),"",EH916)))</f>
        <v>6</v>
      </c>
      <c r="EJ916" s="0" t="n">
        <f aca="false">IF(EI916="","",IF(EI916&lt;9,EI916,9))</f>
        <v>6</v>
      </c>
      <c r="EK916" s="0" t="n">
        <f aca="false">IF(EI916="","",IF(EI916&gt;9,EI916-EJ916,0))</f>
        <v>0</v>
      </c>
      <c r="EL916" s="0" t="n">
        <f aca="false">IF(EI916="","",EJ916*DA916*2+EK916*DA916*3)</f>
        <v>361.695</v>
      </c>
      <c r="EP916" s="0" t="n">
        <v>0</v>
      </c>
      <c r="EQ916" s="0"/>
      <c r="ER916" s="0" t="n">
        <v>0</v>
      </c>
      <c r="ET916" s="0" t="n">
        <v>0</v>
      </c>
      <c r="EV916" s="0" t="n">
        <v>0</v>
      </c>
      <c r="EX916" s="0" t="n">
        <v>1</v>
      </c>
      <c r="EY916" s="0" t="n">
        <v>0</v>
      </c>
      <c r="FA916" s="4" t="n">
        <v>73395.99</v>
      </c>
      <c r="FB916" s="0" t="n">
        <v>0</v>
      </c>
      <c r="FC916" s="1" t="n">
        <v>41541</v>
      </c>
      <c r="FD916" s="0" t="n">
        <v>4</v>
      </c>
      <c r="FE916" s="0" t="n">
        <v>0</v>
      </c>
      <c r="FF916" s="120" t="n">
        <f aca="false">(CJ916-CI916+1)/365</f>
        <v>3.96164383561644</v>
      </c>
      <c r="FG916" s="0" t="str">
        <f aca="false">CONCATENATE(F916,"/",G916)</f>
        <v>2042/2011</v>
      </c>
      <c r="FH916" s="0" t="n">
        <v>1</v>
      </c>
      <c r="FI916" s="0" t="n">
        <f aca="false">IFERROR(IF((FC916-J916+1)/365&gt;3,0,1),"")</f>
        <v>1</v>
      </c>
    </row>
    <row r="917" customFormat="false" ht="15" hidden="false" customHeight="false" outlineLevel="0" collapsed="false">
      <c r="A917" s="5" t="str">
        <f aca="false">E917&amp;G917&amp;F917</f>
        <v>720112047</v>
      </c>
      <c r="B917" s="0" t="s">
        <v>3217</v>
      </c>
      <c r="C917" s="1" t="n">
        <v>42385</v>
      </c>
      <c r="D917" s="0" t="s">
        <v>3265</v>
      </c>
      <c r="E917" s="0" t="n">
        <v>7</v>
      </c>
      <c r="F917" s="0" t="n">
        <v>2047</v>
      </c>
      <c r="G917" s="0" t="n">
        <v>2011</v>
      </c>
      <c r="H917" s="0" t="str">
        <f aca="false">"J"&amp;E917&amp;"\"&amp;F917&amp;"\"&amp;G917&amp;"\"&amp;W917</f>
        <v>J7\2047\2011\1</v>
      </c>
      <c r="I917" s="0"/>
      <c r="J917" s="1" t="n">
        <v>40884</v>
      </c>
      <c r="K917" s="0" t="n">
        <v>0</v>
      </c>
      <c r="M917" s="1"/>
      <c r="N917" s="1"/>
      <c r="O917" s="1"/>
      <c r="P917" s="1"/>
      <c r="Q917" s="1"/>
      <c r="T917" s="121"/>
      <c r="U917" s="121"/>
      <c r="V917" s="122" t="n">
        <f aca="false">IF(AND(E917&gt;0,F917&gt;0,G917&gt;0),COUNTIFS($E:$E,E917,$F:$F,F917,$G:$G,G917),"")</f>
        <v>1</v>
      </c>
      <c r="W917" s="122" t="n">
        <f aca="false">IF(V917="","",IF(V917=1,1,IF(AND(E916=E917,F916=F917,G916=G917),W916+1,1)))</f>
        <v>1</v>
      </c>
      <c r="X917" s="0" t="n">
        <v>1</v>
      </c>
      <c r="Y917" s="0" t="n">
        <v>2</v>
      </c>
      <c r="Z917" s="0" t="s">
        <v>8403</v>
      </c>
      <c r="AA917" s="0" t="n">
        <v>0</v>
      </c>
      <c r="AB917" s="0" t="s">
        <v>8404</v>
      </c>
      <c r="AC917" s="0" t="s">
        <v>8405</v>
      </c>
      <c r="AD917" s="0" t="s">
        <v>229</v>
      </c>
      <c r="AE917" s="0" t="n">
        <v>0</v>
      </c>
      <c r="AF917" s="0" t="s">
        <v>8406</v>
      </c>
      <c r="AG917" s="0" t="n">
        <v>0</v>
      </c>
      <c r="AH917" s="0" t="s">
        <v>8407</v>
      </c>
      <c r="AI917" s="0" t="s">
        <v>5659</v>
      </c>
      <c r="AJ917" s="0" t="s">
        <v>207</v>
      </c>
      <c r="AL917" s="0" t="s">
        <v>1931</v>
      </c>
      <c r="AM917" s="0" t="n">
        <v>1</v>
      </c>
      <c r="AN917" s="0" t="s">
        <v>8407</v>
      </c>
      <c r="AO917" s="0" t="s">
        <v>5659</v>
      </c>
      <c r="AP917" s="0" t="s">
        <v>207</v>
      </c>
      <c r="BR917" s="0" t="n">
        <v>1</v>
      </c>
      <c r="BS917" s="0" t="s">
        <v>8408</v>
      </c>
      <c r="BV917" s="123"/>
      <c r="BW917" s="123"/>
      <c r="BX917" s="123"/>
      <c r="BY917" s="123"/>
      <c r="CA917" s="0" t="s">
        <v>216</v>
      </c>
      <c r="CD917" s="0" t="s">
        <v>256</v>
      </c>
      <c r="CE917" s="0" t="n">
        <v>0</v>
      </c>
      <c r="CF917" s="0" t="s">
        <v>1086</v>
      </c>
      <c r="CI917" s="1" t="n">
        <v>40679</v>
      </c>
      <c r="CJ917" s="1" t="n">
        <v>40833</v>
      </c>
      <c r="CK917" s="124" t="n">
        <v>0.541666666666667</v>
      </c>
      <c r="CL917" s="0" t="s">
        <v>5661</v>
      </c>
      <c r="CM917" s="0" t="n">
        <f aca="false">IF(OR(CI917="",CJ917=""),"",DAYS360(CI917,CJ917)/360)</f>
        <v>0.419444444444444</v>
      </c>
      <c r="CN917" s="0" t="n">
        <f aca="false">IF(OR(CI917="",CJ917=""),"",DAYS360(CI917,CJ917)/30)</f>
        <v>5.03333333333333</v>
      </c>
      <c r="CO917" s="0" t="n">
        <f aca="false">IF(OR(CI917="",CJ917=""),"",DAYS360(CI917,CJ917)/7)</f>
        <v>21.5714285714286</v>
      </c>
      <c r="CP917" s="0" t="n">
        <f aca="false">IF(OR(CI917="",CJ917=""),"",DAYS360(CI917,CJ917))</f>
        <v>151</v>
      </c>
      <c r="CQ917" s="0" t="s">
        <v>240</v>
      </c>
      <c r="CR917" s="0" t="n">
        <v>1</v>
      </c>
      <c r="CT917" s="0" t="s">
        <v>221</v>
      </c>
      <c r="CU917" s="0" t="s">
        <v>221</v>
      </c>
      <c r="CV917" s="0" t="str">
        <f aca="false">IF(OR(CT917="",CT917="NO ESPECIFICA",CT917="NO MENCIONA"),"",IF(CU917=0,CT917,IF(CU917=1,CT917/30,IF(CU917=2,CT917/15,IF(CU917=3,CT917/7,"")))))</f>
        <v/>
      </c>
      <c r="CW917" s="125" t="n">
        <v>3000</v>
      </c>
      <c r="CX917" s="0" t="n">
        <v>2</v>
      </c>
      <c r="CY917" s="0" t="n">
        <f aca="false">IF(CW917="","",IF(CX917=0,CW917,IF(CX917=1,CW917/30,IF(CX917=2,CW917/15,IF(CX917=3,CW917/7,CW917)))))</f>
        <v>200</v>
      </c>
      <c r="CZ917" s="0" t="n">
        <f aca="false">IF(DI917&gt;0,DI917,IF(CY917&gt;0,CY917,IF(CV917&gt;0,CV917,"")))</f>
        <v>200</v>
      </c>
      <c r="DA917" s="0" t="n">
        <f aca="false">IF(DM917=1,CZ917/8,IF(OR(DM917=2,DM917=4),CZ917/7,IF(DM917=3,CZ917/7.5,"")))</f>
        <v>25</v>
      </c>
      <c r="DB917" s="0" t="s">
        <v>216</v>
      </c>
      <c r="DC917" s="0" t="s">
        <v>216</v>
      </c>
      <c r="DD917" s="0" t="s">
        <v>216</v>
      </c>
      <c r="DE917" s="0" t="s">
        <v>216</v>
      </c>
      <c r="DF917" s="0" t="s">
        <v>216</v>
      </c>
      <c r="DG917" s="0" t="s">
        <v>216</v>
      </c>
      <c r="DH917" s="0" t="n">
        <v>0</v>
      </c>
      <c r="DI917" s="126" t="n">
        <v>200</v>
      </c>
      <c r="DK917" s="0" t="n">
        <v>1</v>
      </c>
      <c r="DM917" s="0" t="n">
        <v>1</v>
      </c>
      <c r="DN917" s="0" t="n">
        <v>50</v>
      </c>
      <c r="DO917" s="0" t="n">
        <v>3</v>
      </c>
      <c r="DP917" s="0" t="n">
        <v>0</v>
      </c>
      <c r="DQ917" s="0" t="n">
        <v>1</v>
      </c>
      <c r="DR917" s="0"/>
      <c r="DS917" s="0" t="n">
        <v>1</v>
      </c>
      <c r="DU917" s="0" t="n">
        <v>0</v>
      </c>
      <c r="DW917" s="1" t="n">
        <v>40679</v>
      </c>
      <c r="DX917" s="1" t="n">
        <v>40833</v>
      </c>
      <c r="DZ917" s="0"/>
      <c r="EA917" s="0" t="n">
        <v>1</v>
      </c>
      <c r="EC917" s="1" t="n">
        <v>40679</v>
      </c>
      <c r="ED917" s="1" t="n">
        <v>40833</v>
      </c>
      <c r="EF917" s="0"/>
      <c r="EG917" s="0" t="n">
        <v>0</v>
      </c>
      <c r="EI917" s="0" t="n">
        <f aca="false">IF(AND(DM917=1,DN917&lt;=48),"",IF(AND(DM917=2,DN917&lt;=42),"",IF(AND(DM917=3,DN917&lt;=45),"",EH917)))</f>
        <v>0</v>
      </c>
      <c r="EJ917" s="0" t="str">
        <f aca="false">IF(EI917="","",IF(EI917&lt;9,EI917,9))</f>
        <v/>
      </c>
      <c r="EK917" s="0" t="str">
        <f aca="false">IF(EI917="","",IF(EI917&gt;9,EI917-EJ917,0))</f>
        <v/>
      </c>
      <c r="EL917" s="0" t="str">
        <f aca="false">IF(EI917="","",EJ917*DA917*2+EK917*DA917*3)</f>
        <v/>
      </c>
      <c r="EP917" s="0" t="n">
        <v>0</v>
      </c>
      <c r="EQ917" s="0"/>
      <c r="ER917" s="0" t="n">
        <v>0</v>
      </c>
      <c r="ET917" s="0" t="n">
        <v>0</v>
      </c>
      <c r="EV917" s="0" t="n">
        <v>0</v>
      </c>
      <c r="EX917" s="0" t="n">
        <v>0</v>
      </c>
      <c r="EY917" s="0" t="n">
        <v>0</v>
      </c>
      <c r="FA917" s="4" t="n">
        <v>0</v>
      </c>
      <c r="FB917" s="0" t="n">
        <v>0</v>
      </c>
      <c r="FC917" s="1" t="n">
        <v>41080</v>
      </c>
      <c r="FD917" s="0" t="n">
        <v>2</v>
      </c>
      <c r="FE917" s="0" t="n">
        <v>0</v>
      </c>
      <c r="FF917" s="120" t="n">
        <f aca="false">(CJ917-CI917+1)/365</f>
        <v>0.424657534246575</v>
      </c>
      <c r="FG917" s="0" t="str">
        <f aca="false">CONCATENATE(F917,"/",G917)</f>
        <v>2047/2011</v>
      </c>
      <c r="FH917" s="0" t="n">
        <v>1</v>
      </c>
      <c r="FI917" s="0" t="n">
        <f aca="false">IFERROR(IF((FC917-J917+1)/365&gt;3,0,1),"")</f>
        <v>1</v>
      </c>
    </row>
    <row r="918" customFormat="false" ht="15" hidden="false" customHeight="false" outlineLevel="0" collapsed="false">
      <c r="A918" s="5" t="str">
        <f aca="false">E918&amp;G918&amp;F918</f>
        <v>720112050</v>
      </c>
      <c r="B918" s="0" t="s">
        <v>3217</v>
      </c>
      <c r="C918" s="1" t="n">
        <v>42385</v>
      </c>
      <c r="D918" s="0" t="s">
        <v>3265</v>
      </c>
      <c r="E918" s="0" t="n">
        <v>7</v>
      </c>
      <c r="F918" s="0" t="n">
        <v>2050</v>
      </c>
      <c r="G918" s="0" t="n">
        <v>2011</v>
      </c>
      <c r="H918" s="0" t="str">
        <f aca="false">"J"&amp;E918&amp;"\"&amp;F918&amp;"\"&amp;G918&amp;"\"&amp;W918</f>
        <v>J7\2050\2011\1</v>
      </c>
      <c r="I918" s="0"/>
      <c r="J918" s="1" t="n">
        <v>40885</v>
      </c>
      <c r="K918" s="0" t="n">
        <v>0</v>
      </c>
      <c r="M918" s="1"/>
      <c r="N918" s="1"/>
      <c r="O918" s="1"/>
      <c r="P918" s="1"/>
      <c r="Q918" s="1"/>
      <c r="T918" s="121"/>
      <c r="U918" s="121"/>
      <c r="V918" s="122" t="n">
        <f aca="false">IF(AND(E918&gt;0,F918&gt;0,G918&gt;0),COUNTIFS($E:$E,E918,$F:$F,F918,$G:$G,G918),"")</f>
        <v>1</v>
      </c>
      <c r="W918" s="122" t="n">
        <f aca="false">IF(V918="","",IF(V918=1,1,IF(AND(E917=E918,F917=F918,G917=G918),W917+1,1)))</f>
        <v>1</v>
      </c>
      <c r="X918" s="0" t="n">
        <v>1</v>
      </c>
      <c r="Y918" s="0" t="n">
        <v>2</v>
      </c>
      <c r="Z918" s="0" t="s">
        <v>8409</v>
      </c>
      <c r="AA918" s="0" t="n">
        <v>0</v>
      </c>
      <c r="AB918" s="0" t="s">
        <v>8410</v>
      </c>
      <c r="AC918" s="0" t="s">
        <v>287</v>
      </c>
      <c r="AD918" s="0" t="s">
        <v>207</v>
      </c>
      <c r="AE918" s="0" t="n">
        <v>0</v>
      </c>
      <c r="AF918" s="0" t="s">
        <v>8411</v>
      </c>
      <c r="AG918" s="0" t="n">
        <v>0</v>
      </c>
      <c r="AH918" s="0" t="s">
        <v>8412</v>
      </c>
      <c r="AI918" s="0" t="s">
        <v>318</v>
      </c>
      <c r="AJ918" s="0" t="s">
        <v>229</v>
      </c>
      <c r="AL918" s="0" t="s">
        <v>1931</v>
      </c>
      <c r="AM918" s="0" t="n">
        <v>1</v>
      </c>
      <c r="AN918" s="0" t="s">
        <v>8412</v>
      </c>
      <c r="AO918" s="0" t="s">
        <v>318</v>
      </c>
      <c r="AP918" s="0" t="s">
        <v>229</v>
      </c>
      <c r="BR918" s="0" t="n">
        <v>1</v>
      </c>
      <c r="BS918" s="0" t="s">
        <v>871</v>
      </c>
      <c r="BT918" s="0" t="s">
        <v>872</v>
      </c>
      <c r="BU918" s="0" t="s">
        <v>873</v>
      </c>
      <c r="BV918" s="123"/>
      <c r="BW918" s="123"/>
      <c r="BX918" s="123"/>
      <c r="BY918" s="123"/>
      <c r="CA918" s="0" t="s">
        <v>216</v>
      </c>
      <c r="CD918" s="0" t="s">
        <v>370</v>
      </c>
      <c r="CE918" s="0" t="n">
        <v>0</v>
      </c>
      <c r="CF918" s="0" t="s">
        <v>6258</v>
      </c>
      <c r="CI918" s="1" t="n">
        <v>40327</v>
      </c>
      <c r="CJ918" s="1" t="n">
        <v>40871</v>
      </c>
      <c r="CK918" s="124" t="n">
        <v>0.375</v>
      </c>
      <c r="CL918" s="0" t="s">
        <v>8413</v>
      </c>
      <c r="CM918" s="0" t="n">
        <f aca="false">IF(OR(CI918="",CJ918=""),"",DAYS360(CI918,CJ918)/360)</f>
        <v>1.48611111111111</v>
      </c>
      <c r="CN918" s="0" t="n">
        <f aca="false">IF(OR(CI918="",CJ918=""),"",DAYS360(CI918,CJ918)/30)</f>
        <v>17.8333333333333</v>
      </c>
      <c r="CO918" s="0" t="n">
        <f aca="false">IF(OR(CI918="",CJ918=""),"",DAYS360(CI918,CJ918)/7)</f>
        <v>76.4285714285714</v>
      </c>
      <c r="CP918" s="0" t="n">
        <f aca="false">IF(OR(CI918="",CJ918=""),"",DAYS360(CI918,CJ918))</f>
        <v>535</v>
      </c>
      <c r="CQ918" s="0" t="s">
        <v>220</v>
      </c>
      <c r="CR918" s="0" t="n">
        <v>1</v>
      </c>
      <c r="CT918" s="0" t="n">
        <v>881</v>
      </c>
      <c r="CU918" s="0" t="n">
        <v>3</v>
      </c>
      <c r="CV918" s="0" t="n">
        <f aca="false">IF(OR(CT918="",CT918="NO ESPECIFICA",CT918="NO MENCIONA"),"",IF(CU918=0,CT918,IF(CU918=1,CT918/30,IF(CU918=2,CT918/15,IF(CU918=3,CT918/7,"")))))</f>
        <v>125.857142857143</v>
      </c>
      <c r="CW918" s="125" t="n">
        <v>2119.63</v>
      </c>
      <c r="CX918" s="0" t="n">
        <v>3</v>
      </c>
      <c r="CY918" s="0" t="n">
        <f aca="false">IF(CW918="","",IF(CX918=0,CW918,IF(CX918=1,CW918/30,IF(CX918=2,CW918/15,IF(CX918=3,CW918/7,CW918)))))</f>
        <v>302.804285714286</v>
      </c>
      <c r="CZ918" s="0" t="n">
        <f aca="false">IF(DI918&gt;0,DI918,IF(CY918&gt;0,CY918,IF(CV918&gt;0,CV918,"")))</f>
        <v>302.8</v>
      </c>
      <c r="DA918" s="0" t="n">
        <f aca="false">IF(DM918=1,CZ918/8,IF(OR(DM918=2,DM918=4),CZ918/7,IF(DM918=3,CZ918/7.5,"")))</f>
        <v>37.85</v>
      </c>
      <c r="DB918" s="0" t="s">
        <v>8414</v>
      </c>
      <c r="DC918" s="0" t="s">
        <v>299</v>
      </c>
      <c r="DD918" s="0" t="s">
        <v>301</v>
      </c>
      <c r="DE918" s="0" t="s">
        <v>303</v>
      </c>
      <c r="DF918" s="0" t="s">
        <v>216</v>
      </c>
      <c r="DG918" s="0" t="s">
        <v>216</v>
      </c>
      <c r="DH918" s="0" t="n">
        <v>0</v>
      </c>
      <c r="DI918" s="126" t="n">
        <v>302.8</v>
      </c>
      <c r="DK918" s="0" t="n">
        <v>0</v>
      </c>
      <c r="DM918" s="0" t="n">
        <v>1</v>
      </c>
      <c r="DN918" s="0" t="n">
        <v>55</v>
      </c>
      <c r="DO918" s="0" t="n">
        <v>3</v>
      </c>
      <c r="DP918" s="0" t="n">
        <v>1</v>
      </c>
      <c r="DQ918" s="0" t="n">
        <v>1</v>
      </c>
      <c r="DR918" s="0"/>
      <c r="DS918" s="0" t="n">
        <v>1</v>
      </c>
      <c r="DU918" s="0" t="n">
        <v>1</v>
      </c>
      <c r="DW918" s="1" t="n">
        <v>40692</v>
      </c>
      <c r="DX918" s="1" t="n">
        <v>40871</v>
      </c>
      <c r="DZ918" s="0"/>
      <c r="EA918" s="0" t="n">
        <v>1</v>
      </c>
      <c r="EC918" s="1" t="n">
        <v>40544</v>
      </c>
      <c r="ED918" s="1" t="n">
        <v>40871</v>
      </c>
      <c r="EF918" s="0"/>
      <c r="EG918" s="0" t="n">
        <v>1</v>
      </c>
      <c r="EH918" s="0" t="n">
        <v>7</v>
      </c>
      <c r="EI918" s="0" t="n">
        <f aca="false">IF(AND(DM918=1,DN918&lt;=48),"",IF(AND(DM918=2,DN918&lt;=42),"",IF(AND(DM918=3,DN918&lt;=45),"",EH918)))</f>
        <v>7</v>
      </c>
      <c r="EJ918" s="0" t="n">
        <f aca="false">IF(EI918="","",IF(EI918&lt;9,EI918,9))</f>
        <v>7</v>
      </c>
      <c r="EK918" s="0" t="n">
        <f aca="false">IF(EI918="","",IF(EI918&gt;9,EI918-EJ918,0))</f>
        <v>0</v>
      </c>
      <c r="EL918" s="0" t="n">
        <f aca="false">IF(EI918="","",EJ918*DA918*2+EK918*DA918*3)</f>
        <v>529.9</v>
      </c>
      <c r="EN918" s="0" t="n">
        <v>11452.99</v>
      </c>
      <c r="EP918" s="0" t="n">
        <v>1</v>
      </c>
      <c r="EQ918" s="0"/>
      <c r="ER918" s="0" t="n">
        <v>0</v>
      </c>
      <c r="ET918" s="0" t="n">
        <v>0</v>
      </c>
      <c r="EV918" s="0" t="n">
        <v>0</v>
      </c>
      <c r="EX918" s="0" t="n">
        <v>1</v>
      </c>
      <c r="EY918" s="0" t="n">
        <v>0</v>
      </c>
      <c r="FA918" s="4" t="n">
        <v>4638.4</v>
      </c>
      <c r="FB918" s="0" t="n">
        <v>1</v>
      </c>
      <c r="FC918" s="1" t="n">
        <v>41199</v>
      </c>
      <c r="FD918" s="0" t="n">
        <v>1</v>
      </c>
      <c r="FE918" s="0" t="n">
        <v>25000</v>
      </c>
      <c r="FF918" s="120" t="n">
        <f aca="false">(CJ918-CI918+1)/365</f>
        <v>1.49315068493151</v>
      </c>
      <c r="FG918" s="0" t="str">
        <f aca="false">CONCATENATE(F918,"/",G918)</f>
        <v>2050/2011</v>
      </c>
      <c r="FH918" s="0" t="n">
        <v>1</v>
      </c>
      <c r="FI918" s="0" t="n">
        <f aca="false">IFERROR(IF((FC918-J918+1)/365&gt;3,0,1),"")</f>
        <v>1</v>
      </c>
    </row>
    <row r="919" customFormat="false" ht="15" hidden="false" customHeight="false" outlineLevel="0" collapsed="false">
      <c r="A919" s="5" t="str">
        <f aca="false">E919&amp;G919&amp;F919</f>
        <v>720112052</v>
      </c>
      <c r="B919" s="0" t="s">
        <v>3217</v>
      </c>
      <c r="C919" s="1" t="n">
        <v>42385</v>
      </c>
      <c r="D919" s="0" t="s">
        <v>3265</v>
      </c>
      <c r="E919" s="0" t="n">
        <v>7</v>
      </c>
      <c r="F919" s="0" t="n">
        <v>2052</v>
      </c>
      <c r="G919" s="0" t="n">
        <v>2011</v>
      </c>
      <c r="H919" s="0" t="str">
        <f aca="false">"J"&amp;E919&amp;"\"&amp;F919&amp;"\"&amp;G919&amp;"\"&amp;W919</f>
        <v>J7\2052\2011\1</v>
      </c>
      <c r="I919" s="0"/>
      <c r="J919" s="1" t="n">
        <v>40885</v>
      </c>
      <c r="K919" s="0" t="n">
        <v>0</v>
      </c>
      <c r="M919" s="1"/>
      <c r="N919" s="1"/>
      <c r="O919" s="1"/>
      <c r="P919" s="1"/>
      <c r="Q919" s="1"/>
      <c r="T919" s="121"/>
      <c r="U919" s="121"/>
      <c r="V919" s="122" t="n">
        <f aca="false">IF(AND(E919&gt;0,F919&gt;0,G919&gt;0),COUNTIFS($E:$E,E919,$F:$F,F919,$G:$G,G919),"")</f>
        <v>1</v>
      </c>
      <c r="W919" s="122" t="n">
        <f aca="false">IF(V919="","",IF(V919=1,1,IF(AND(E918=E919,F918=F919,G918=G919),W918+1,1)))</f>
        <v>1</v>
      </c>
      <c r="X919" s="0" t="n">
        <v>1</v>
      </c>
      <c r="Y919" s="0" t="n">
        <v>3</v>
      </c>
      <c r="Z919" s="0" t="s">
        <v>8415</v>
      </c>
      <c r="AA919" s="0" t="n">
        <v>0</v>
      </c>
      <c r="AB919" s="0" t="s">
        <v>2941</v>
      </c>
      <c r="AC919" s="0" t="s">
        <v>228</v>
      </c>
      <c r="AD919" s="0" t="s">
        <v>229</v>
      </c>
      <c r="AE919" s="0" t="n">
        <v>0</v>
      </c>
      <c r="AF919" s="0" t="s">
        <v>756</v>
      </c>
      <c r="AG919" s="0" t="n">
        <v>0</v>
      </c>
      <c r="AH919" s="0" t="s">
        <v>5140</v>
      </c>
      <c r="AI919" s="0" t="s">
        <v>206</v>
      </c>
      <c r="AJ919" s="0" t="s">
        <v>207</v>
      </c>
      <c r="AL919" s="0" t="s">
        <v>8416</v>
      </c>
      <c r="AM919" s="0" t="n">
        <v>1</v>
      </c>
      <c r="AN919" s="0" t="s">
        <v>5140</v>
      </c>
      <c r="AO919" s="0" t="s">
        <v>206</v>
      </c>
      <c r="AP919" s="0" t="s">
        <v>207</v>
      </c>
      <c r="AR919" s="0" t="s">
        <v>1880</v>
      </c>
      <c r="AS919" s="0" t="n">
        <v>1</v>
      </c>
      <c r="AT919" s="0" t="s">
        <v>5140</v>
      </c>
      <c r="AU919" s="0" t="s">
        <v>206</v>
      </c>
      <c r="AV919" s="0" t="s">
        <v>207</v>
      </c>
      <c r="BR919" s="0" t="n">
        <v>3</v>
      </c>
      <c r="BS919" s="0" t="s">
        <v>2875</v>
      </c>
      <c r="BT919" s="0" t="s">
        <v>1818</v>
      </c>
      <c r="BU919" s="0" t="s">
        <v>1841</v>
      </c>
      <c r="BV919" s="123"/>
      <c r="BW919" s="123"/>
      <c r="BX919" s="123"/>
      <c r="BY919" s="123"/>
      <c r="CA919" s="0" t="s">
        <v>348</v>
      </c>
      <c r="CD919" s="0" t="s">
        <v>296</v>
      </c>
      <c r="CE919" s="0" t="n">
        <v>0</v>
      </c>
      <c r="CF919" s="0" t="s">
        <v>968</v>
      </c>
      <c r="CI919" s="1" t="n">
        <v>40787</v>
      </c>
      <c r="CJ919" s="1" t="n">
        <v>40830</v>
      </c>
      <c r="CK919" s="124" t="n">
        <v>0.916666666666667</v>
      </c>
      <c r="CL919" s="0" t="s">
        <v>8416</v>
      </c>
      <c r="CM919" s="0" t="n">
        <f aca="false">IF(OR(CI919="",CJ919=""),"",DAYS360(CI919,CJ919)/360)</f>
        <v>0.119444444444444</v>
      </c>
      <c r="CN919" s="0" t="n">
        <f aca="false">IF(OR(CI919="",CJ919=""),"",DAYS360(CI919,CJ919)/30)</f>
        <v>1.43333333333333</v>
      </c>
      <c r="CO919" s="0" t="n">
        <f aca="false">IF(OR(CI919="",CJ919=""),"",DAYS360(CI919,CJ919)/7)</f>
        <v>6.14285714285714</v>
      </c>
      <c r="CP919" s="0" t="n">
        <f aca="false">IF(OR(CI919="",CJ919=""),"",DAYS360(CI919,CJ919))</f>
        <v>43</v>
      </c>
      <c r="CQ919" s="0" t="s">
        <v>240</v>
      </c>
      <c r="CR919" s="0" t="n">
        <v>1</v>
      </c>
      <c r="CT919" s="0" t="n">
        <v>333.34</v>
      </c>
      <c r="CU919" s="0" t="n">
        <v>0</v>
      </c>
      <c r="CV919" s="0" t="n">
        <f aca="false">IF(OR(CT919="",CT919="NO ESPECIFICA",CT919="NO MENCIONA"),"",IF(CU919=0,CT919,IF(CU919=1,CT919/30,IF(CU919=2,CT919/15,IF(CU919=3,CT919/7,"")))))</f>
        <v>333.34</v>
      </c>
      <c r="CW919" s="125" t="n">
        <v>348.39</v>
      </c>
      <c r="CX919" s="0" t="n">
        <v>0</v>
      </c>
      <c r="CY919" s="0" t="n">
        <f aca="false">IF(CW919="","",IF(CX919=0,CW919,IF(CX919=1,CW919/30,IF(CX919=2,CW919/15,IF(CX919=3,CW919/7,CW919)))))</f>
        <v>348.39</v>
      </c>
      <c r="CZ919" s="0" t="n">
        <f aca="false">IF(DI919&gt;0,DI919,IF(CY919&gt;0,CY919,IF(CV919&gt;0,CV919,"")))</f>
        <v>348.39</v>
      </c>
      <c r="DA919" s="0" t="n">
        <f aca="false">IF(DM919=1,CZ919/8,IF(OR(DM919=2,DM919=4),CZ919/7,IF(DM919=3,CZ919/7.5,"")))</f>
        <v>49.77</v>
      </c>
      <c r="DB919" s="0" t="s">
        <v>303</v>
      </c>
      <c r="DC919" s="0" t="s">
        <v>301</v>
      </c>
      <c r="DD919" s="0" t="s">
        <v>216</v>
      </c>
      <c r="DE919" s="0" t="s">
        <v>216</v>
      </c>
      <c r="DF919" s="0" t="s">
        <v>216</v>
      </c>
      <c r="DG919" s="0" t="s">
        <v>216</v>
      </c>
      <c r="DH919" s="0" t="n">
        <v>0</v>
      </c>
      <c r="DI919" s="126" t="n">
        <v>348.39</v>
      </c>
      <c r="DK919" s="0" t="n">
        <v>0</v>
      </c>
      <c r="DM919" s="0" t="n">
        <v>2</v>
      </c>
      <c r="DN919" s="0" t="n">
        <v>54</v>
      </c>
      <c r="DO919" s="0" t="n">
        <v>3</v>
      </c>
      <c r="DP919" s="0" t="n">
        <v>0</v>
      </c>
      <c r="DQ919" s="0" t="n">
        <v>1</v>
      </c>
      <c r="DR919" s="0"/>
      <c r="DS919" s="0" t="n">
        <v>1</v>
      </c>
      <c r="DU919" s="0" t="n">
        <v>1</v>
      </c>
      <c r="DW919" s="1" t="n">
        <v>40787</v>
      </c>
      <c r="DX919" s="1" t="n">
        <v>40830</v>
      </c>
      <c r="DZ919" s="0"/>
      <c r="EA919" s="0" t="n">
        <v>1</v>
      </c>
      <c r="EC919" s="1" t="n">
        <v>40787</v>
      </c>
      <c r="ED919" s="1" t="n">
        <v>40830</v>
      </c>
      <c r="EF919" s="0"/>
      <c r="EG919" s="0" t="n">
        <v>0</v>
      </c>
      <c r="EI919" s="0" t="n">
        <f aca="false">IF(AND(DM919=1,DN919&lt;=48),"",IF(AND(DM919=2,DN919&lt;=42),"",IF(AND(DM919=3,DN919&lt;=45),"",EH919)))</f>
        <v>0</v>
      </c>
      <c r="EJ919" s="0" t="str">
        <f aca="false">IF(EI919="","",IF(EI919&lt;9,EI919,9))</f>
        <v/>
      </c>
      <c r="EK919" s="0" t="str">
        <f aca="false">IF(EI919="","",IF(EI919&gt;9,EI919-EJ919,0))</f>
        <v/>
      </c>
      <c r="EL919" s="0" t="str">
        <f aca="false">IF(EI919="","",EJ919*DA919*2+EK919*DA919*3)</f>
        <v/>
      </c>
      <c r="EP919" s="0" t="n">
        <v>0</v>
      </c>
      <c r="EQ919" s="0"/>
      <c r="ER919" s="0" t="n">
        <v>0</v>
      </c>
      <c r="ET919" s="0" t="n">
        <v>0</v>
      </c>
      <c r="EV919" s="0" t="n">
        <v>0</v>
      </c>
      <c r="EX919" s="0" t="n">
        <v>0</v>
      </c>
      <c r="EY919" s="0" t="n">
        <v>0</v>
      </c>
      <c r="FA919" s="4" t="n">
        <v>4529.07</v>
      </c>
      <c r="FB919" s="0" t="n">
        <v>1</v>
      </c>
      <c r="FC919" s="1" t="n">
        <v>40885</v>
      </c>
      <c r="FD919" s="0" t="n">
        <v>1</v>
      </c>
      <c r="FE919" s="0" t="n">
        <v>12000</v>
      </c>
      <c r="FF919" s="120" t="n">
        <f aca="false">(CJ919-CI919+1)/365</f>
        <v>0.120547945205479</v>
      </c>
      <c r="FG919" s="0" t="str">
        <f aca="false">CONCATENATE(F919,"/",G919)</f>
        <v>2052/2011</v>
      </c>
      <c r="FH919" s="0" t="n">
        <v>1</v>
      </c>
      <c r="FI919" s="0" t="n">
        <f aca="false">IFERROR(IF((FC919-J919+1)/365&gt;3,0,1),"")</f>
        <v>1</v>
      </c>
    </row>
    <row r="920" customFormat="false" ht="15" hidden="false" customHeight="false" outlineLevel="0" collapsed="false">
      <c r="A920" s="5" t="str">
        <f aca="false">E920&amp;G920&amp;F920</f>
        <v>720112056</v>
      </c>
      <c r="B920" s="0" t="s">
        <v>3217</v>
      </c>
      <c r="C920" s="1" t="n">
        <v>42385</v>
      </c>
      <c r="D920" s="0" t="s">
        <v>3265</v>
      </c>
      <c r="E920" s="0" t="n">
        <v>7</v>
      </c>
      <c r="F920" s="0" t="n">
        <v>2056</v>
      </c>
      <c r="G920" s="0" t="n">
        <v>2011</v>
      </c>
      <c r="H920" s="0" t="str">
        <f aca="false">"J"&amp;E920&amp;"\"&amp;F920&amp;"\"&amp;G920&amp;"\"&amp;W920</f>
        <v>J7\2056\2011\1</v>
      </c>
      <c r="I920" s="0"/>
      <c r="J920" s="1" t="n">
        <v>40885</v>
      </c>
      <c r="K920" s="0" t="n">
        <v>0</v>
      </c>
      <c r="M920" s="1"/>
      <c r="N920" s="1"/>
      <c r="O920" s="1"/>
      <c r="P920" s="1"/>
      <c r="Q920" s="1"/>
      <c r="T920" s="121"/>
      <c r="U920" s="121"/>
      <c r="V920" s="122" t="n">
        <f aca="false">IF(AND(E920&gt;0,F920&gt;0,G920&gt;0),COUNTIFS($E:$E,E920,$F:$F,F920,$G:$G,G920),"")</f>
        <v>1</v>
      </c>
      <c r="W920" s="122" t="n">
        <f aca="false">IF(V920="","",IF(V920=1,1,IF(AND(E919=E920,F919=F920,G919=G920),W919+1,1)))</f>
        <v>1</v>
      </c>
      <c r="X920" s="0" t="n">
        <v>1</v>
      </c>
      <c r="Y920" s="0" t="n">
        <v>4</v>
      </c>
      <c r="Z920" s="0" t="s">
        <v>8417</v>
      </c>
      <c r="AA920" s="0" t="n">
        <v>0</v>
      </c>
      <c r="AB920" s="0" t="s">
        <v>5200</v>
      </c>
      <c r="AC920" s="0" t="s">
        <v>697</v>
      </c>
      <c r="AD920" s="0" t="s">
        <v>207</v>
      </c>
      <c r="AE920" s="0" t="n">
        <v>0</v>
      </c>
      <c r="AF920" s="0" t="s">
        <v>8418</v>
      </c>
      <c r="AG920" s="0" t="n">
        <v>0</v>
      </c>
      <c r="AH920" s="0" t="s">
        <v>4174</v>
      </c>
      <c r="AI920" s="0" t="s">
        <v>789</v>
      </c>
      <c r="AJ920" s="0" t="s">
        <v>229</v>
      </c>
      <c r="AL920" s="0" t="s">
        <v>8419</v>
      </c>
      <c r="AM920" s="0" t="n">
        <v>1</v>
      </c>
      <c r="AN920" s="0" t="s">
        <v>4174</v>
      </c>
      <c r="AO920" s="0" t="s">
        <v>789</v>
      </c>
      <c r="AP920" s="0" t="s">
        <v>229</v>
      </c>
      <c r="AR920" s="0" t="s">
        <v>8420</v>
      </c>
      <c r="AS920" s="0" t="n">
        <v>1</v>
      </c>
      <c r="AT920" s="0" t="s">
        <v>4174</v>
      </c>
      <c r="AU920" s="0" t="s">
        <v>789</v>
      </c>
      <c r="AV920" s="0" t="s">
        <v>229</v>
      </c>
      <c r="AX920" s="0" t="s">
        <v>1880</v>
      </c>
      <c r="AY920" s="0" t="n">
        <v>1</v>
      </c>
      <c r="AZ920" s="0" t="s">
        <v>4174</v>
      </c>
      <c r="BA920" s="0" t="s">
        <v>789</v>
      </c>
      <c r="BB920" s="0" t="s">
        <v>229</v>
      </c>
      <c r="BR920" s="0" t="n">
        <v>1</v>
      </c>
      <c r="BS920" s="0" t="s">
        <v>3475</v>
      </c>
      <c r="BT920" s="0" t="s">
        <v>1639</v>
      </c>
      <c r="BU920" s="0" t="s">
        <v>1640</v>
      </c>
      <c r="BV920" s="123"/>
      <c r="BW920" s="123"/>
      <c r="BX920" s="123"/>
      <c r="BY920" s="123"/>
      <c r="CA920" s="0" t="s">
        <v>216</v>
      </c>
      <c r="CD920" s="0" t="s">
        <v>256</v>
      </c>
      <c r="CE920" s="0" t="n">
        <v>0</v>
      </c>
      <c r="CF920" s="0" t="s">
        <v>2820</v>
      </c>
      <c r="CI920" s="1" t="n">
        <v>40273</v>
      </c>
      <c r="CJ920" s="1" t="n">
        <v>40883</v>
      </c>
      <c r="CK920" s="124" t="n">
        <v>0.770833333333333</v>
      </c>
      <c r="CL920" s="0" t="s">
        <v>8419</v>
      </c>
      <c r="CM920" s="0" t="n">
        <f aca="false">IF(OR(CI920="",CJ920=""),"",DAYS360(CI920,CJ920)/360)</f>
        <v>1.66944444444444</v>
      </c>
      <c r="CN920" s="0" t="n">
        <f aca="false">IF(OR(CI920="",CJ920=""),"",DAYS360(CI920,CJ920)/30)</f>
        <v>20.0333333333333</v>
      </c>
      <c r="CO920" s="0" t="n">
        <f aca="false">IF(OR(CI920="",CJ920=""),"",DAYS360(CI920,CJ920)/7)</f>
        <v>85.8571428571429</v>
      </c>
      <c r="CP920" s="0" t="n">
        <f aca="false">IF(OR(CI920="",CJ920=""),"",DAYS360(CI920,CJ920))</f>
        <v>601</v>
      </c>
      <c r="CQ920" s="0" t="s">
        <v>240</v>
      </c>
      <c r="CR920" s="0" t="n">
        <v>1</v>
      </c>
      <c r="CT920" s="0" t="n">
        <v>66.66</v>
      </c>
      <c r="CU920" s="0" t="n">
        <v>0</v>
      </c>
      <c r="CV920" s="0" t="n">
        <f aca="false">IF(OR(CT920="",CT920="NO ESPECIFICA",CT920="NO MENCIONA"),"",IF(CU920=0,CT920,IF(CU920=1,CT920/30,IF(CU920=2,CT920/15,IF(CU920=3,CT920/7,"")))))</f>
        <v>66.66</v>
      </c>
      <c r="CW920" s="125" t="n">
        <v>466.66</v>
      </c>
      <c r="CX920" s="0" t="n">
        <v>0</v>
      </c>
      <c r="CY920" s="0" t="n">
        <f aca="false">IF(CW920="","",IF(CX920=0,CW920,IF(CX920=1,CW920/30,IF(CX920=2,CW920/15,IF(CX920=3,CW920/7,CW920)))))</f>
        <v>466.66</v>
      </c>
      <c r="CZ920" s="0" t="n">
        <f aca="false">IF(DI920&gt;0,DI920,IF(CY920&gt;0,CY920,IF(CV920&gt;0,CV920,"")))</f>
        <v>466.66</v>
      </c>
      <c r="DA920" s="0" t="n">
        <f aca="false">IF(DM920=1,CZ920/8,IF(OR(DM920=2,DM920=4),CZ920/7,IF(DM920=3,CZ920/7.5,"")))</f>
        <v>58.3325</v>
      </c>
      <c r="DB920" s="0" t="s">
        <v>1446</v>
      </c>
      <c r="DC920" s="0" t="s">
        <v>216</v>
      </c>
      <c r="DD920" s="0" t="s">
        <v>216</v>
      </c>
      <c r="DE920" s="0" t="s">
        <v>216</v>
      </c>
      <c r="DF920" s="0" t="s">
        <v>216</v>
      </c>
      <c r="DG920" s="0" t="s">
        <v>216</v>
      </c>
      <c r="DH920" s="0" t="n">
        <v>0</v>
      </c>
      <c r="DI920" s="126" t="n">
        <v>466.66</v>
      </c>
      <c r="DK920" s="0" t="n">
        <v>0</v>
      </c>
      <c r="DM920" s="0" t="n">
        <v>1</v>
      </c>
      <c r="DN920" s="0" t="n">
        <v>70</v>
      </c>
      <c r="DO920" s="0" t="n">
        <v>3</v>
      </c>
      <c r="DP920" s="0" t="n">
        <v>0</v>
      </c>
      <c r="DQ920" s="0" t="n">
        <v>1</v>
      </c>
      <c r="DR920" s="0"/>
      <c r="DS920" s="0" t="n">
        <v>1</v>
      </c>
      <c r="DU920" s="0" t="n">
        <v>1</v>
      </c>
      <c r="DW920" s="1" t="n">
        <v>40273</v>
      </c>
      <c r="DX920" s="1" t="n">
        <v>40883</v>
      </c>
      <c r="DZ920" s="0"/>
      <c r="EA920" s="0" t="n">
        <v>1</v>
      </c>
      <c r="EC920" s="1" t="n">
        <v>40273</v>
      </c>
      <c r="ED920" s="1" t="n">
        <v>40883</v>
      </c>
      <c r="EF920" s="0"/>
      <c r="EG920" s="0" t="n">
        <v>1</v>
      </c>
      <c r="EH920" s="0" t="n">
        <v>14</v>
      </c>
      <c r="EI920" s="0" t="n">
        <f aca="false">IF(AND(DM920=1,DN920&lt;=48),"",IF(AND(DM920=2,DN920&lt;=42),"",IF(AND(DM920=3,DN920&lt;=45),"",EH920)))</f>
        <v>14</v>
      </c>
      <c r="EJ920" s="0" t="n">
        <f aca="false">IF(EI920="","",IF(EI920&lt;9,EI920,9))</f>
        <v>9</v>
      </c>
      <c r="EK920" s="0" t="n">
        <f aca="false">IF(EI920="","",IF(EI920&gt;9,EI920-EJ920,0))</f>
        <v>5</v>
      </c>
      <c r="EL920" s="0" t="n">
        <f aca="false">IF(EI920="","",EJ920*DA920*2+EK920*DA920*3)</f>
        <v>1924.9725</v>
      </c>
      <c r="EP920" s="0" t="n">
        <v>1</v>
      </c>
      <c r="EQ920" s="0"/>
      <c r="ER920" s="0" t="n">
        <v>1</v>
      </c>
      <c r="ET920" s="0" t="n">
        <v>1</v>
      </c>
      <c r="EV920" s="0" t="n">
        <v>1</v>
      </c>
      <c r="EX920" s="0" t="n">
        <v>1</v>
      </c>
      <c r="EY920" s="0" t="n">
        <v>1</v>
      </c>
      <c r="FA920" s="4" t="n">
        <v>2799.96</v>
      </c>
      <c r="FB920" s="0" t="n">
        <v>0</v>
      </c>
      <c r="FC920" s="1" t="n">
        <v>41050</v>
      </c>
      <c r="FD920" s="0" t="n">
        <v>4</v>
      </c>
      <c r="FE920" s="0" t="n">
        <v>0</v>
      </c>
      <c r="FF920" s="120" t="n">
        <f aca="false">(CJ920-CI920+1)/365</f>
        <v>1.67397260273973</v>
      </c>
      <c r="FG920" s="0" t="str">
        <f aca="false">CONCATENATE(F920,"/",G920)</f>
        <v>2056/2011</v>
      </c>
      <c r="FH920" s="0" t="n">
        <v>1</v>
      </c>
      <c r="FI920" s="0" t="n">
        <f aca="false">IFERROR(IF((FC920-J920+1)/365&gt;3,0,1),"")</f>
        <v>1</v>
      </c>
    </row>
    <row r="921" customFormat="false" ht="15" hidden="false" customHeight="false" outlineLevel="0" collapsed="false">
      <c r="A921" s="5" t="str">
        <f aca="false">E921&amp;G921&amp;F921</f>
        <v>720112057</v>
      </c>
      <c r="B921" s="0" t="s">
        <v>3217</v>
      </c>
      <c r="C921" s="1" t="n">
        <v>42385</v>
      </c>
      <c r="D921" s="0" t="s">
        <v>3265</v>
      </c>
      <c r="E921" s="0" t="n">
        <v>7</v>
      </c>
      <c r="F921" s="0" t="n">
        <v>2057</v>
      </c>
      <c r="G921" s="0" t="n">
        <v>2011</v>
      </c>
      <c r="H921" s="0" t="str">
        <f aca="false">"J"&amp;E921&amp;"\"&amp;F921&amp;"\"&amp;G921&amp;"\"&amp;W921</f>
        <v>J7\2057\2011\1</v>
      </c>
      <c r="I921" s="0"/>
      <c r="J921" s="1" t="n">
        <v>40886</v>
      </c>
      <c r="K921" s="0" t="n">
        <v>0</v>
      </c>
      <c r="M921" s="1"/>
      <c r="N921" s="1"/>
      <c r="O921" s="1"/>
      <c r="P921" s="1"/>
      <c r="Q921" s="1"/>
      <c r="T921" s="121"/>
      <c r="U921" s="121"/>
      <c r="V921" s="122" t="n">
        <f aca="false">IF(AND(E921&gt;0,F921&gt;0,G921&gt;0),COUNTIFS($E:$E,E921,$F:$F,F921,$G:$G,G921),"")</f>
        <v>1</v>
      </c>
      <c r="W921" s="122" t="n">
        <f aca="false">IF(V921="","",IF(V921=1,1,IF(AND(E920=E921,F920=F921,G920=G921),W920+1,1)))</f>
        <v>1</v>
      </c>
      <c r="X921" s="0" t="n">
        <v>1</v>
      </c>
      <c r="Y921" s="0" t="n">
        <v>4</v>
      </c>
      <c r="Z921" s="0" t="s">
        <v>8421</v>
      </c>
      <c r="AA921" s="0" t="n">
        <v>0</v>
      </c>
      <c r="AB921" s="0" t="s">
        <v>2639</v>
      </c>
      <c r="AC921" s="0" t="s">
        <v>287</v>
      </c>
      <c r="AD921" s="0" t="s">
        <v>207</v>
      </c>
      <c r="AE921" s="0" t="n">
        <v>0</v>
      </c>
      <c r="AF921" s="0" t="s">
        <v>8422</v>
      </c>
      <c r="AG921" s="0" t="n">
        <v>0</v>
      </c>
      <c r="AH921" s="0" t="s">
        <v>8423</v>
      </c>
      <c r="AI921" s="0" t="s">
        <v>8424</v>
      </c>
      <c r="AJ921" s="0" t="s">
        <v>519</v>
      </c>
      <c r="AL921" s="0" t="s">
        <v>8425</v>
      </c>
      <c r="AM921" s="0" t="n">
        <v>1</v>
      </c>
      <c r="AN921" s="0" t="s">
        <v>8423</v>
      </c>
      <c r="AO921" s="0" t="s">
        <v>8424</v>
      </c>
      <c r="AP921" s="0" t="s">
        <v>519</v>
      </c>
      <c r="AR921" s="0" t="s">
        <v>1880</v>
      </c>
      <c r="AS921" s="0" t="n">
        <v>1</v>
      </c>
      <c r="AT921" s="0" t="s">
        <v>8423</v>
      </c>
      <c r="AU921" s="0" t="s">
        <v>8424</v>
      </c>
      <c r="AV921" s="0" t="s">
        <v>519</v>
      </c>
      <c r="AX921" s="0" t="s">
        <v>249</v>
      </c>
      <c r="AY921" s="0" t="n">
        <v>1</v>
      </c>
      <c r="AZ921" s="0" t="s">
        <v>8426</v>
      </c>
      <c r="BA921" s="0" t="s">
        <v>410</v>
      </c>
      <c r="BB921" s="0" t="s">
        <v>411</v>
      </c>
      <c r="BR921" s="0" t="n">
        <v>1</v>
      </c>
      <c r="BS921" s="0" t="s">
        <v>5232</v>
      </c>
      <c r="BT921" s="0" t="s">
        <v>3066</v>
      </c>
      <c r="BU921" s="0" t="s">
        <v>3067</v>
      </c>
      <c r="BV921" s="123"/>
      <c r="BW921" s="123"/>
      <c r="BX921" s="123"/>
      <c r="BY921" s="123"/>
      <c r="CA921" s="0" t="s">
        <v>5233</v>
      </c>
      <c r="CD921" s="0" t="s">
        <v>370</v>
      </c>
      <c r="CE921" s="0" t="n">
        <v>0</v>
      </c>
      <c r="CF921" s="0" t="s">
        <v>611</v>
      </c>
      <c r="CI921" s="1" t="n">
        <v>40725</v>
      </c>
      <c r="CJ921" s="1" t="n">
        <v>40862</v>
      </c>
      <c r="CK921" s="124" t="n">
        <v>0.395833333333333</v>
      </c>
      <c r="CL921" s="0" t="s">
        <v>8425</v>
      </c>
      <c r="CM921" s="0" t="n">
        <f aca="false">IF(OR(CI921="",CJ921=""),"",DAYS360(CI921,CJ921)/360)</f>
        <v>0.372222222222222</v>
      </c>
      <c r="CN921" s="0" t="n">
        <f aca="false">IF(OR(CI921="",CJ921=""),"",DAYS360(CI921,CJ921)/30)</f>
        <v>4.46666666666667</v>
      </c>
      <c r="CO921" s="0" t="n">
        <f aca="false">IF(OR(CI921="",CJ921=""),"",DAYS360(CI921,CJ921)/7)</f>
        <v>19.1428571428571</v>
      </c>
      <c r="CP921" s="0" t="n">
        <f aca="false">IF(OR(CI921="",CJ921=""),"",DAYS360(CI921,CJ921))</f>
        <v>134</v>
      </c>
      <c r="CQ921" s="0" t="s">
        <v>240</v>
      </c>
      <c r="CR921" s="0" t="n">
        <v>1</v>
      </c>
      <c r="CT921" s="0" t="n">
        <v>1500</v>
      </c>
      <c r="CU921" s="0" t="n">
        <v>3</v>
      </c>
      <c r="CV921" s="0" t="n">
        <f aca="false">IF(OR(CT921="",CT921="NO ESPECIFICA",CT921="NO MENCIONA"),"",IF(CU921=0,CT921,IF(CU921=1,CT921/30,IF(CU921=2,CT921/15,IF(CU921=3,CT921/7,"")))))</f>
        <v>214.285714285714</v>
      </c>
      <c r="CW921" s="125" t="n">
        <v>350</v>
      </c>
      <c r="CX921" s="0" t="n">
        <v>0</v>
      </c>
      <c r="CY921" s="0" t="n">
        <f aca="false">IF(CW921="","",IF(CX921=0,CW921,IF(CX921=1,CW921/30,IF(CX921=2,CW921/15,IF(CX921=3,CW921/7,CW921)))))</f>
        <v>350</v>
      </c>
      <c r="CZ921" s="0" t="n">
        <f aca="false">IF(DI921&gt;0,DI921,IF(CY921&gt;0,CY921,IF(CV921&gt;0,CV921,"")))</f>
        <v>350</v>
      </c>
      <c r="DA921" s="0" t="n">
        <f aca="false">IF(DM921=1,CZ921/8,IF(OR(DM921=2,DM921=4),CZ921/7,IF(DM921=3,CZ921/7.5,"")))</f>
        <v>43.75</v>
      </c>
      <c r="DB921" s="0" t="s">
        <v>3140</v>
      </c>
      <c r="DC921" s="0" t="s">
        <v>303</v>
      </c>
      <c r="DD921" s="0" t="s">
        <v>301</v>
      </c>
      <c r="DE921" s="0" t="s">
        <v>627</v>
      </c>
      <c r="DF921" s="0" t="s">
        <v>216</v>
      </c>
      <c r="DG921" s="0" t="s">
        <v>216</v>
      </c>
      <c r="DH921" s="0" t="n">
        <v>0</v>
      </c>
      <c r="DI921" s="126" t="n">
        <v>350</v>
      </c>
      <c r="DK921" s="0" t="n">
        <v>1</v>
      </c>
      <c r="DM921" s="0" t="n">
        <v>1</v>
      </c>
      <c r="DN921" s="0" t="n">
        <v>60</v>
      </c>
      <c r="DO921" s="0" t="n">
        <v>3</v>
      </c>
      <c r="DP921" s="0" t="n">
        <v>0</v>
      </c>
      <c r="DQ921" s="0" t="n">
        <v>1</v>
      </c>
      <c r="DR921" s="0"/>
      <c r="DS921" s="0" t="n">
        <v>1</v>
      </c>
      <c r="DU921" s="0" t="n">
        <v>0</v>
      </c>
      <c r="DW921" s="1" t="n">
        <v>40725</v>
      </c>
      <c r="DX921" s="1" t="n">
        <v>40862</v>
      </c>
      <c r="DZ921" s="0"/>
      <c r="EA921" s="0" t="n">
        <v>1</v>
      </c>
      <c r="EC921" s="1" t="n">
        <v>40725</v>
      </c>
      <c r="ED921" s="1" t="n">
        <v>40862</v>
      </c>
      <c r="EF921" s="0"/>
      <c r="EG921" s="0" t="n">
        <v>1</v>
      </c>
      <c r="EH921" s="0" t="n">
        <v>12</v>
      </c>
      <c r="EI921" s="0" t="n">
        <f aca="false">IF(AND(DM921=1,DN921&lt;=48),"",IF(AND(DM921=2,DN921&lt;=42),"",IF(AND(DM921=3,DN921&lt;=45),"",EH921)))</f>
        <v>12</v>
      </c>
      <c r="EJ921" s="0" t="n">
        <f aca="false">IF(EI921="","",IF(EI921&lt;9,EI921,9))</f>
        <v>9</v>
      </c>
      <c r="EK921" s="0" t="n">
        <f aca="false">IF(EI921="","",IF(EI921&gt;9,EI921-EJ921,0))</f>
        <v>3</v>
      </c>
      <c r="EL921" s="0" t="n">
        <f aca="false">IF(EI921="","",EJ921*DA921*2+EK921*DA921*3)</f>
        <v>1181.25</v>
      </c>
      <c r="EP921" s="0" t="n">
        <v>0</v>
      </c>
      <c r="EQ921" s="0"/>
      <c r="ER921" s="0" t="n">
        <v>1</v>
      </c>
      <c r="ET921" s="0" t="n">
        <v>0</v>
      </c>
      <c r="EV921" s="0" t="n">
        <v>1</v>
      </c>
      <c r="EX921" s="0" t="n">
        <v>0</v>
      </c>
      <c r="EY921" s="0" t="n">
        <v>0</v>
      </c>
      <c r="FA921" s="4" t="n">
        <v>6500</v>
      </c>
      <c r="FB921" s="0" t="n">
        <v>1</v>
      </c>
      <c r="FC921" s="1" t="n">
        <v>40949</v>
      </c>
      <c r="FD921" s="0" t="n">
        <v>2</v>
      </c>
      <c r="FE921" s="0" t="n">
        <v>0</v>
      </c>
      <c r="FF921" s="120" t="n">
        <f aca="false">(CJ921-CI921+1)/365</f>
        <v>0.378082191780822</v>
      </c>
      <c r="FG921" s="0" t="str">
        <f aca="false">CONCATENATE(F921,"/",G921)</f>
        <v>2057/2011</v>
      </c>
      <c r="FH921" s="0" t="n">
        <v>1</v>
      </c>
      <c r="FI921" s="0" t="n">
        <f aca="false">IFERROR(IF((FC921-J921+1)/365&gt;3,0,1),"")</f>
        <v>1</v>
      </c>
    </row>
    <row r="922" customFormat="false" ht="15" hidden="false" customHeight="false" outlineLevel="0" collapsed="false">
      <c r="A922" s="5" t="str">
        <f aca="false">E922&amp;G922&amp;F922</f>
        <v>720112062</v>
      </c>
      <c r="B922" s="0" t="s">
        <v>3217</v>
      </c>
      <c r="C922" s="1" t="n">
        <v>42386</v>
      </c>
      <c r="D922" s="0" t="s">
        <v>3265</v>
      </c>
      <c r="E922" s="0" t="n">
        <v>7</v>
      </c>
      <c r="F922" s="0" t="n">
        <v>2062</v>
      </c>
      <c r="G922" s="0" t="n">
        <v>2011</v>
      </c>
      <c r="H922" s="0" t="str">
        <f aca="false">"J"&amp;E922&amp;"\"&amp;F922&amp;"\"&amp;G922&amp;"\"&amp;W922</f>
        <v>J7\2062\2011\1</v>
      </c>
      <c r="I922" s="0"/>
      <c r="J922" s="1" t="n">
        <v>40886</v>
      </c>
      <c r="K922" s="0" t="n">
        <v>0</v>
      </c>
      <c r="M922" s="1"/>
      <c r="N922" s="1"/>
      <c r="O922" s="1"/>
      <c r="P922" s="1"/>
      <c r="Q922" s="1"/>
      <c r="T922" s="121"/>
      <c r="U922" s="121"/>
      <c r="V922" s="122" t="n">
        <f aca="false">IF(AND(E922&gt;0,F922&gt;0,G922&gt;0),COUNTIFS($E:$E,E922,$F:$F,F922,$G:$G,G922),"")</f>
        <v>3</v>
      </c>
      <c r="W922" s="122" t="n">
        <f aca="false">IF(V922="","",IF(V922=1,1,IF(AND(E921=E922,F921=F922,G921=G922),W921+1,1)))</f>
        <v>1</v>
      </c>
      <c r="X922" s="0" t="n">
        <v>3</v>
      </c>
      <c r="Y922" s="0" t="n">
        <v>4</v>
      </c>
      <c r="Z922" s="0" t="s">
        <v>8427</v>
      </c>
      <c r="AA922" s="0" t="n">
        <v>0</v>
      </c>
      <c r="AB922" s="0" t="s">
        <v>2941</v>
      </c>
      <c r="AC922" s="0" t="s">
        <v>228</v>
      </c>
      <c r="AD922" s="0" t="s">
        <v>229</v>
      </c>
      <c r="AE922" s="0" t="n">
        <v>0</v>
      </c>
      <c r="AF922" s="0" t="s">
        <v>8428</v>
      </c>
      <c r="AG922" s="0" t="n">
        <v>0</v>
      </c>
      <c r="AH922" s="0" t="s">
        <v>8429</v>
      </c>
      <c r="AI922" s="0" t="s">
        <v>1160</v>
      </c>
      <c r="AJ922" s="0" t="s">
        <v>229</v>
      </c>
      <c r="AL922" s="0" t="s">
        <v>8430</v>
      </c>
      <c r="AM922" s="0" t="n">
        <v>1</v>
      </c>
      <c r="AN922" s="0" t="s">
        <v>8429</v>
      </c>
      <c r="AO922" s="0" t="s">
        <v>1160</v>
      </c>
      <c r="AP922" s="0" t="s">
        <v>229</v>
      </c>
      <c r="AR922" s="0" t="s">
        <v>8431</v>
      </c>
      <c r="AS922" s="0" t="n">
        <v>1</v>
      </c>
      <c r="AT922" s="0" t="s">
        <v>8429</v>
      </c>
      <c r="AU922" s="0" t="s">
        <v>1160</v>
      </c>
      <c r="AV922" s="0" t="s">
        <v>229</v>
      </c>
      <c r="AX922" s="0" t="s">
        <v>1880</v>
      </c>
      <c r="AY922" s="0" t="n">
        <v>1</v>
      </c>
      <c r="AZ922" s="0" t="s">
        <v>8429</v>
      </c>
      <c r="BA922" s="0" t="s">
        <v>1160</v>
      </c>
      <c r="BB922" s="0" t="s">
        <v>229</v>
      </c>
      <c r="BR922" s="0" t="n">
        <v>3</v>
      </c>
      <c r="BS922" s="0" t="s">
        <v>4922</v>
      </c>
      <c r="BT922" s="0" t="s">
        <v>1818</v>
      </c>
      <c r="BU922" s="0" t="s">
        <v>1841</v>
      </c>
      <c r="BV922" s="123"/>
      <c r="BW922" s="123"/>
      <c r="BX922" s="123"/>
      <c r="BY922" s="123"/>
      <c r="CA922" s="0" t="s">
        <v>348</v>
      </c>
      <c r="CD922" s="0" t="s">
        <v>296</v>
      </c>
      <c r="CE922" s="0" t="n">
        <v>0</v>
      </c>
      <c r="CF922" s="0" t="s">
        <v>8432</v>
      </c>
      <c r="CI922" s="1" t="n">
        <v>40768</v>
      </c>
      <c r="CJ922" s="1" t="n">
        <v>40862</v>
      </c>
      <c r="CK922" s="124" t="n">
        <v>0.546527777777778</v>
      </c>
      <c r="CL922" s="0" t="s">
        <v>8430</v>
      </c>
      <c r="CM922" s="0" t="n">
        <f aca="false">IF(OR(CI922="",CJ922=""),"",DAYS360(CI922,CJ922)/360)</f>
        <v>0.255555555555556</v>
      </c>
      <c r="CN922" s="0" t="n">
        <f aca="false">IF(OR(CI922="",CJ922=""),"",DAYS360(CI922,CJ922)/30)</f>
        <v>3.06666666666667</v>
      </c>
      <c r="CO922" s="0" t="n">
        <f aca="false">IF(OR(CI922="",CJ922=""),"",DAYS360(CI922,CJ922)/7)</f>
        <v>13.1428571428571</v>
      </c>
      <c r="CP922" s="0" t="n">
        <f aca="false">IF(OR(CI922="",CJ922=""),"",DAYS360(CI922,CJ922))</f>
        <v>92</v>
      </c>
      <c r="CQ922" s="0" t="s">
        <v>240</v>
      </c>
      <c r="CR922" s="0" t="n">
        <v>1</v>
      </c>
      <c r="CT922" s="0" t="n">
        <v>166.66</v>
      </c>
      <c r="CU922" s="0" t="n">
        <v>0</v>
      </c>
      <c r="CV922" s="0" t="n">
        <f aca="false">IF(OR(CT922="",CT922="NO ESPECIFICA",CT922="NO MENCIONA"),"",IF(CU922=0,CT922,IF(CU922=1,CT922/30,IF(CU922=2,CT922/15,IF(CU922=3,CT922/7,"")))))</f>
        <v>166.66</v>
      </c>
      <c r="CW922" s="125" t="n">
        <v>174.19</v>
      </c>
      <c r="CX922" s="0" t="n">
        <v>0</v>
      </c>
      <c r="CY922" s="0" t="n">
        <f aca="false">IF(CW922="","",IF(CX922=0,CW922,IF(CX922=1,CW922/30,IF(CX922=2,CW922/15,IF(CX922=3,CW922/7,CW922)))))</f>
        <v>174.19</v>
      </c>
      <c r="CZ922" s="0" t="n">
        <f aca="false">IF(DI922&gt;0,DI922,IF(CY922&gt;0,CY922,IF(CV922&gt;0,CV922,"")))</f>
        <v>174.19</v>
      </c>
      <c r="DA922" s="0" t="n">
        <f aca="false">IF(DM922=1,CZ922/8,IF(OR(DM922=2,DM922=4),CZ922/7,IF(DM922=3,CZ922/7.5,"")))</f>
        <v>21.77375</v>
      </c>
      <c r="DB922" s="0" t="s">
        <v>301</v>
      </c>
      <c r="DC922" s="0" t="s">
        <v>303</v>
      </c>
      <c r="DD922" s="0" t="s">
        <v>417</v>
      </c>
      <c r="DE922" s="0" t="s">
        <v>216</v>
      </c>
      <c r="DF922" s="0" t="s">
        <v>216</v>
      </c>
      <c r="DG922" s="0" t="s">
        <v>216</v>
      </c>
      <c r="DH922" s="0" t="n">
        <v>0</v>
      </c>
      <c r="DI922" s="126" t="n">
        <v>174.19</v>
      </c>
      <c r="DK922" s="0" t="n">
        <v>0</v>
      </c>
      <c r="DM922" s="0" t="n">
        <v>1</v>
      </c>
      <c r="DN922" s="0" t="n">
        <v>63</v>
      </c>
      <c r="DO922" s="0" t="n">
        <v>3</v>
      </c>
      <c r="DP922" s="0" t="n">
        <v>0</v>
      </c>
      <c r="DQ922" s="0" t="n">
        <v>1</v>
      </c>
      <c r="DR922" s="0"/>
      <c r="DS922" s="0" t="n">
        <v>1</v>
      </c>
      <c r="DU922" s="0" t="n">
        <v>0</v>
      </c>
      <c r="DW922" s="1" t="n">
        <v>40768</v>
      </c>
      <c r="DX922" s="1" t="n">
        <v>40862</v>
      </c>
      <c r="DZ922" s="0"/>
      <c r="EA922" s="0" t="n">
        <v>1</v>
      </c>
      <c r="EC922" s="1" t="n">
        <v>40768</v>
      </c>
      <c r="ED922" s="1" t="n">
        <v>40862</v>
      </c>
      <c r="EF922" s="0"/>
      <c r="EG922" s="0" t="n">
        <v>0</v>
      </c>
      <c r="EI922" s="0" t="n">
        <f aca="false">IF(AND(DM922=1,DN922&lt;=48),"",IF(AND(DM922=2,DN922&lt;=42),"",IF(AND(DM922=3,DN922&lt;=45),"",EH922)))</f>
        <v>0</v>
      </c>
      <c r="EJ922" s="0" t="str">
        <f aca="false">IF(EI922="","",IF(EI922&lt;9,EI922,9))</f>
        <v/>
      </c>
      <c r="EK922" s="0" t="str">
        <f aca="false">IF(EI922="","",IF(EI922&gt;9,EI922-EJ922,0))</f>
        <v/>
      </c>
      <c r="EL922" s="0" t="str">
        <f aca="false">IF(EI922="","",EJ922*DA922*2+EK922*DA922*3)</f>
        <v/>
      </c>
      <c r="EP922" s="0" t="n">
        <v>0</v>
      </c>
      <c r="EQ922" s="0"/>
      <c r="ER922" s="0" t="n">
        <v>0</v>
      </c>
      <c r="ET922" s="0" t="n">
        <v>0</v>
      </c>
      <c r="EV922" s="0" t="n">
        <v>0</v>
      </c>
      <c r="EX922" s="0" t="n">
        <v>0</v>
      </c>
      <c r="EY922" s="0" t="n">
        <v>0</v>
      </c>
      <c r="FA922" s="4" t="n">
        <v>15851.29</v>
      </c>
      <c r="FB922" s="0" t="n">
        <v>1</v>
      </c>
      <c r="FC922" s="1"/>
      <c r="FF922" s="120" t="n">
        <f aca="false">(CJ922-CI922+1)/365</f>
        <v>0.26027397260274</v>
      </c>
      <c r="FG922" s="0" t="str">
        <f aca="false">CONCATENATE(F922,"/",G922)</f>
        <v>2062/2011</v>
      </c>
      <c r="FH922" s="0" t="n">
        <v>1</v>
      </c>
      <c r="FI922" s="0" t="n">
        <f aca="false">IFERROR(IF((FC922-J922+1)/365&gt;3,0,1),"")</f>
        <v>1</v>
      </c>
    </row>
    <row r="923" customFormat="false" ht="15" hidden="false" customHeight="false" outlineLevel="0" collapsed="false">
      <c r="A923" s="5" t="str">
        <f aca="false">E923&amp;G923&amp;F923</f>
        <v>720112062</v>
      </c>
      <c r="B923" s="0" t="s">
        <v>3217</v>
      </c>
      <c r="C923" s="1" t="n">
        <v>42386</v>
      </c>
      <c r="D923" s="0" t="s">
        <v>3265</v>
      </c>
      <c r="E923" s="0" t="n">
        <v>7</v>
      </c>
      <c r="F923" s="0" t="n">
        <v>2062</v>
      </c>
      <c r="G923" s="0" t="n">
        <v>2011</v>
      </c>
      <c r="H923" s="0" t="str">
        <f aca="false">"J"&amp;E923&amp;"\"&amp;F923&amp;"\"&amp;G923&amp;"\"&amp;W923</f>
        <v>J7\2062\2011\2</v>
      </c>
      <c r="I923" s="0"/>
      <c r="J923" s="1" t="n">
        <v>40886</v>
      </c>
      <c r="K923" s="0" t="n">
        <v>0</v>
      </c>
      <c r="M923" s="1"/>
      <c r="N923" s="1"/>
      <c r="O923" s="1"/>
      <c r="P923" s="1"/>
      <c r="Q923" s="1"/>
      <c r="T923" s="121"/>
      <c r="U923" s="121"/>
      <c r="V923" s="122" t="n">
        <f aca="false">IF(AND(E923&gt;0,F923&gt;0,G923&gt;0),COUNTIFS($E:$E,E923,$F:$F,F923,$G:$G,G923),"")</f>
        <v>3</v>
      </c>
      <c r="W923" s="122" t="n">
        <f aca="false">IF(V923="","",IF(V923=1,1,IF(AND(E922=E923,F922=F923,G922=G923),W922+1,1)))</f>
        <v>2</v>
      </c>
      <c r="X923" s="0" t="n">
        <v>3</v>
      </c>
      <c r="Y923" s="0" t="n">
        <v>4</v>
      </c>
      <c r="Z923" s="0" t="s">
        <v>8433</v>
      </c>
      <c r="AA923" s="0" t="n">
        <v>0</v>
      </c>
      <c r="AB923" s="0" t="s">
        <v>2941</v>
      </c>
      <c r="AC923" s="0" t="s">
        <v>228</v>
      </c>
      <c r="AD923" s="0" t="s">
        <v>229</v>
      </c>
      <c r="AE923" s="0" t="n">
        <v>0</v>
      </c>
      <c r="AF923" s="0" t="s">
        <v>8428</v>
      </c>
      <c r="AG923" s="0" t="n">
        <v>0</v>
      </c>
      <c r="AH923" s="0" t="s">
        <v>8429</v>
      </c>
      <c r="AI923" s="0" t="s">
        <v>1160</v>
      </c>
      <c r="AJ923" s="0" t="s">
        <v>229</v>
      </c>
      <c r="AL923" s="0" t="s">
        <v>8430</v>
      </c>
      <c r="AM923" s="0" t="n">
        <v>1</v>
      </c>
      <c r="AN923" s="0" t="s">
        <v>8429</v>
      </c>
      <c r="AO923" s="0" t="s">
        <v>1160</v>
      </c>
      <c r="AP923" s="0" t="s">
        <v>229</v>
      </c>
      <c r="AR923" s="0" t="s">
        <v>8431</v>
      </c>
      <c r="AS923" s="0" t="n">
        <v>1</v>
      </c>
      <c r="AT923" s="0" t="s">
        <v>8429</v>
      </c>
      <c r="AU923" s="0" t="s">
        <v>1160</v>
      </c>
      <c r="AV923" s="0" t="s">
        <v>229</v>
      </c>
      <c r="AX923" s="0" t="s">
        <v>1880</v>
      </c>
      <c r="AY923" s="0" t="n">
        <v>1</v>
      </c>
      <c r="AZ923" s="0" t="s">
        <v>8429</v>
      </c>
      <c r="BA923" s="0" t="s">
        <v>1160</v>
      </c>
      <c r="BB923" s="0" t="s">
        <v>229</v>
      </c>
      <c r="BR923" s="0" t="n">
        <v>3</v>
      </c>
      <c r="BS923" s="0" t="s">
        <v>4922</v>
      </c>
      <c r="BT923" s="0" t="s">
        <v>1818</v>
      </c>
      <c r="BU923" s="0" t="s">
        <v>1841</v>
      </c>
      <c r="BV923" s="123"/>
      <c r="BW923" s="123"/>
      <c r="BX923" s="123"/>
      <c r="BY923" s="123"/>
      <c r="CA923" s="0" t="s">
        <v>348</v>
      </c>
      <c r="CD923" s="0" t="s">
        <v>296</v>
      </c>
      <c r="CE923" s="0" t="n">
        <v>0</v>
      </c>
      <c r="CF923" s="0" t="s">
        <v>8432</v>
      </c>
      <c r="CI923" s="1" t="n">
        <v>40768</v>
      </c>
      <c r="CJ923" s="1" t="n">
        <v>40862</v>
      </c>
      <c r="CK923" s="124" t="n">
        <v>0.546527777777778</v>
      </c>
      <c r="CL923" s="0" t="s">
        <v>8430</v>
      </c>
      <c r="CM923" s="0" t="n">
        <f aca="false">IF(OR(CI923="",CJ923=""),"",DAYS360(CI923,CJ923)/360)</f>
        <v>0.255555555555556</v>
      </c>
      <c r="CN923" s="0" t="n">
        <f aca="false">IF(OR(CI923="",CJ923=""),"",DAYS360(CI923,CJ923)/30)</f>
        <v>3.06666666666667</v>
      </c>
      <c r="CO923" s="0" t="n">
        <f aca="false">IF(OR(CI923="",CJ923=""),"",DAYS360(CI923,CJ923)/7)</f>
        <v>13.1428571428571</v>
      </c>
      <c r="CP923" s="0" t="n">
        <f aca="false">IF(OR(CI923="",CJ923=""),"",DAYS360(CI923,CJ923))</f>
        <v>92</v>
      </c>
      <c r="CQ923" s="0" t="s">
        <v>240</v>
      </c>
      <c r="CR923" s="0" t="n">
        <v>1</v>
      </c>
      <c r="CT923" s="0" t="n">
        <v>166.66</v>
      </c>
      <c r="CU923" s="0" t="n">
        <v>0</v>
      </c>
      <c r="CV923" s="0" t="n">
        <f aca="false">IF(OR(CT923="",CT923="NO ESPECIFICA",CT923="NO MENCIONA"),"",IF(CU923=0,CT923,IF(CU923=1,CT923/30,IF(CU923=2,CT923/15,IF(CU923=3,CT923/7,"")))))</f>
        <v>166.66</v>
      </c>
      <c r="CW923" s="125" t="n">
        <v>174.19</v>
      </c>
      <c r="CX923" s="0" t="n">
        <v>0</v>
      </c>
      <c r="CY923" s="0" t="n">
        <f aca="false">IF(CW923="","",IF(CX923=0,CW923,IF(CX923=1,CW923/30,IF(CX923=2,CW923/15,IF(CX923=3,CW923/7,CW923)))))</f>
        <v>174.19</v>
      </c>
      <c r="CZ923" s="0" t="n">
        <f aca="false">IF(DI923&gt;0,DI923,IF(CY923&gt;0,CY923,IF(CV923&gt;0,CV923,"")))</f>
        <v>174.19</v>
      </c>
      <c r="DA923" s="0" t="n">
        <f aca="false">IF(DM923=1,CZ923/8,IF(OR(DM923=2,DM923=4),CZ923/7,IF(DM923=3,CZ923/7.5,"")))</f>
        <v>21.77375</v>
      </c>
      <c r="DB923" s="0" t="s">
        <v>301</v>
      </c>
      <c r="DC923" s="0" t="s">
        <v>303</v>
      </c>
      <c r="DD923" s="0" t="s">
        <v>417</v>
      </c>
      <c r="DE923" s="0" t="s">
        <v>216</v>
      </c>
      <c r="DF923" s="0" t="s">
        <v>216</v>
      </c>
      <c r="DG923" s="0" t="s">
        <v>216</v>
      </c>
      <c r="DH923" s="0" t="n">
        <v>0</v>
      </c>
      <c r="DI923" s="126" t="n">
        <v>174.19</v>
      </c>
      <c r="DK923" s="0" t="n">
        <v>0</v>
      </c>
      <c r="DM923" s="0" t="n">
        <v>1</v>
      </c>
      <c r="DN923" s="0" t="n">
        <v>63</v>
      </c>
      <c r="DO923" s="0" t="n">
        <v>3</v>
      </c>
      <c r="DP923" s="0" t="n">
        <v>0</v>
      </c>
      <c r="DQ923" s="0" t="n">
        <v>1</v>
      </c>
      <c r="DR923" s="0"/>
      <c r="DS923" s="0" t="n">
        <v>1</v>
      </c>
      <c r="DU923" s="0" t="n">
        <v>0</v>
      </c>
      <c r="DW923" s="1" t="n">
        <v>40768</v>
      </c>
      <c r="DX923" s="1" t="n">
        <v>40862</v>
      </c>
      <c r="DZ923" s="0"/>
      <c r="EA923" s="0" t="n">
        <v>1</v>
      </c>
      <c r="EC923" s="1" t="n">
        <v>40768</v>
      </c>
      <c r="ED923" s="1" t="n">
        <v>40862</v>
      </c>
      <c r="EF923" s="0"/>
      <c r="EG923" s="0" t="n">
        <v>0</v>
      </c>
      <c r="EI923" s="0" t="n">
        <f aca="false">IF(AND(DM923=1,DN923&lt;=48),"",IF(AND(DM923=2,DN923&lt;=42),"",IF(AND(DM923=3,DN923&lt;=45),"",EH923)))</f>
        <v>0</v>
      </c>
      <c r="EJ923" s="0" t="str">
        <f aca="false">IF(EI923="","",IF(EI923&lt;9,EI923,9))</f>
        <v/>
      </c>
      <c r="EK923" s="0" t="str">
        <f aca="false">IF(EI923="","",IF(EI923&gt;9,EI923-EJ923,0))</f>
        <v/>
      </c>
      <c r="EL923" s="0" t="str">
        <f aca="false">IF(EI923="","",EJ923*DA923*2+EK923*DA923*3)</f>
        <v/>
      </c>
      <c r="EP923" s="0" t="n">
        <v>0</v>
      </c>
      <c r="EQ923" s="0"/>
      <c r="ER923" s="0" t="n">
        <v>0</v>
      </c>
      <c r="ET923" s="0" t="n">
        <v>0</v>
      </c>
      <c r="EV923" s="0" t="n">
        <v>0</v>
      </c>
      <c r="EX923" s="0" t="n">
        <v>0</v>
      </c>
      <c r="EY923" s="0" t="n">
        <v>0</v>
      </c>
      <c r="FA923" s="4" t="n">
        <v>15851.29</v>
      </c>
      <c r="FB923" s="0" t="n">
        <v>1</v>
      </c>
      <c r="FC923" s="1"/>
      <c r="FF923" s="120" t="n">
        <f aca="false">(CJ923-CI923+1)/365</f>
        <v>0.26027397260274</v>
      </c>
      <c r="FG923" s="0" t="str">
        <f aca="false">CONCATENATE(F923,"/",G923)</f>
        <v>2062/2011</v>
      </c>
      <c r="FH923" s="0" t="n">
        <v>1</v>
      </c>
      <c r="FI923" s="0" t="n">
        <f aca="false">IFERROR(IF((FC923-J923+1)/365&gt;3,0,1),"")</f>
        <v>1</v>
      </c>
    </row>
    <row r="924" customFormat="false" ht="15" hidden="false" customHeight="false" outlineLevel="0" collapsed="false">
      <c r="A924" s="5" t="str">
        <f aca="false">E924&amp;G924&amp;F924</f>
        <v>720112062</v>
      </c>
      <c r="B924" s="0" t="s">
        <v>3217</v>
      </c>
      <c r="C924" s="1" t="n">
        <v>42386</v>
      </c>
      <c r="D924" s="0" t="s">
        <v>3265</v>
      </c>
      <c r="E924" s="0" t="n">
        <v>7</v>
      </c>
      <c r="F924" s="0" t="n">
        <v>2062</v>
      </c>
      <c r="G924" s="0" t="n">
        <v>2011</v>
      </c>
      <c r="H924" s="0" t="str">
        <f aca="false">"J"&amp;E924&amp;"\"&amp;F924&amp;"\"&amp;G924&amp;"\"&amp;W924</f>
        <v>J7\2062\2011\3</v>
      </c>
      <c r="I924" s="0"/>
      <c r="J924" s="1" t="n">
        <v>40886</v>
      </c>
      <c r="K924" s="0" t="n">
        <v>0</v>
      </c>
      <c r="M924" s="1"/>
      <c r="N924" s="1"/>
      <c r="O924" s="1"/>
      <c r="P924" s="1"/>
      <c r="Q924" s="1"/>
      <c r="T924" s="121"/>
      <c r="U924" s="121"/>
      <c r="V924" s="122" t="n">
        <f aca="false">IF(AND(E924&gt;0,F924&gt;0,G924&gt;0),COUNTIFS($E:$E,E924,$F:$F,F924,$G:$G,G924),"")</f>
        <v>3</v>
      </c>
      <c r="W924" s="122" t="n">
        <f aca="false">IF(V924="","",IF(V924=1,1,IF(AND(E923=E924,F923=F924,G923=G924),W923+1,1)))</f>
        <v>3</v>
      </c>
      <c r="X924" s="0" t="n">
        <v>3</v>
      </c>
      <c r="Y924" s="0" t="n">
        <v>4</v>
      </c>
      <c r="Z924" s="0" t="s">
        <v>8434</v>
      </c>
      <c r="AA924" s="0" t="n">
        <v>0</v>
      </c>
      <c r="AB924" s="0" t="s">
        <v>2941</v>
      </c>
      <c r="AC924" s="0" t="s">
        <v>228</v>
      </c>
      <c r="AD924" s="0" t="s">
        <v>229</v>
      </c>
      <c r="AE924" s="0" t="n">
        <v>0</v>
      </c>
      <c r="AF924" s="0" t="s">
        <v>8428</v>
      </c>
      <c r="AG924" s="0" t="n">
        <v>0</v>
      </c>
      <c r="AH924" s="0" t="s">
        <v>8429</v>
      </c>
      <c r="AI924" s="0" t="s">
        <v>1160</v>
      </c>
      <c r="AJ924" s="0" t="s">
        <v>229</v>
      </c>
      <c r="AL924" s="0" t="s">
        <v>8430</v>
      </c>
      <c r="AM924" s="0" t="n">
        <v>1</v>
      </c>
      <c r="AN924" s="0" t="s">
        <v>8429</v>
      </c>
      <c r="AO924" s="0" t="s">
        <v>1160</v>
      </c>
      <c r="AP924" s="0" t="s">
        <v>229</v>
      </c>
      <c r="AR924" s="0" t="s">
        <v>8431</v>
      </c>
      <c r="AS924" s="0" t="n">
        <v>1</v>
      </c>
      <c r="AT924" s="0" t="s">
        <v>8429</v>
      </c>
      <c r="AU924" s="0" t="s">
        <v>1160</v>
      </c>
      <c r="AV924" s="0" t="s">
        <v>229</v>
      </c>
      <c r="AX924" s="0" t="s">
        <v>1880</v>
      </c>
      <c r="AY924" s="0" t="n">
        <v>1</v>
      </c>
      <c r="AZ924" s="0" t="s">
        <v>8429</v>
      </c>
      <c r="BA924" s="0" t="s">
        <v>1160</v>
      </c>
      <c r="BB924" s="0" t="s">
        <v>229</v>
      </c>
      <c r="BR924" s="0" t="n">
        <v>3</v>
      </c>
      <c r="BS924" s="0" t="s">
        <v>4922</v>
      </c>
      <c r="BT924" s="0" t="s">
        <v>1818</v>
      </c>
      <c r="BU924" s="0" t="s">
        <v>1841</v>
      </c>
      <c r="BV924" s="123"/>
      <c r="BW924" s="123"/>
      <c r="BX924" s="123"/>
      <c r="BY924" s="123"/>
      <c r="CA924" s="0" t="s">
        <v>348</v>
      </c>
      <c r="CD924" s="0" t="s">
        <v>296</v>
      </c>
      <c r="CE924" s="0" t="n">
        <v>0</v>
      </c>
      <c r="CF924" s="0" t="s">
        <v>8432</v>
      </c>
      <c r="CI924" s="1" t="n">
        <v>40768</v>
      </c>
      <c r="CJ924" s="1" t="n">
        <v>40862</v>
      </c>
      <c r="CK924" s="124" t="n">
        <v>0.546527777777778</v>
      </c>
      <c r="CL924" s="0" t="s">
        <v>8430</v>
      </c>
      <c r="CM924" s="0" t="n">
        <f aca="false">IF(OR(CI924="",CJ924=""),"",DAYS360(CI924,CJ924)/360)</f>
        <v>0.255555555555556</v>
      </c>
      <c r="CN924" s="0" t="n">
        <f aca="false">IF(OR(CI924="",CJ924=""),"",DAYS360(CI924,CJ924)/30)</f>
        <v>3.06666666666667</v>
      </c>
      <c r="CO924" s="0" t="n">
        <f aca="false">IF(OR(CI924="",CJ924=""),"",DAYS360(CI924,CJ924)/7)</f>
        <v>13.1428571428571</v>
      </c>
      <c r="CP924" s="0" t="n">
        <f aca="false">IF(OR(CI924="",CJ924=""),"",DAYS360(CI924,CJ924))</f>
        <v>92</v>
      </c>
      <c r="CQ924" s="0" t="s">
        <v>240</v>
      </c>
      <c r="CR924" s="0" t="n">
        <v>1</v>
      </c>
      <c r="CT924" s="0" t="n">
        <v>166.66</v>
      </c>
      <c r="CU924" s="0" t="n">
        <v>0</v>
      </c>
      <c r="CV924" s="0" t="n">
        <f aca="false">IF(OR(CT924="",CT924="NO ESPECIFICA",CT924="NO MENCIONA"),"",IF(CU924=0,CT924,IF(CU924=1,CT924/30,IF(CU924=2,CT924/15,IF(CU924=3,CT924/7,"")))))</f>
        <v>166.66</v>
      </c>
      <c r="CW924" s="125" t="n">
        <v>174.19</v>
      </c>
      <c r="CX924" s="0" t="n">
        <v>0</v>
      </c>
      <c r="CY924" s="0" t="n">
        <f aca="false">IF(CW924="","",IF(CX924=0,CW924,IF(CX924=1,CW924/30,IF(CX924=2,CW924/15,IF(CX924=3,CW924/7,CW924)))))</f>
        <v>174.19</v>
      </c>
      <c r="CZ924" s="0" t="n">
        <f aca="false">IF(DI924&gt;0,DI924,IF(CY924&gt;0,CY924,IF(CV924&gt;0,CV924,"")))</f>
        <v>174.19</v>
      </c>
      <c r="DA924" s="0" t="n">
        <f aca="false">IF(DM924=1,CZ924/8,IF(OR(DM924=2,DM924=4),CZ924/7,IF(DM924=3,CZ924/7.5,"")))</f>
        <v>21.77375</v>
      </c>
      <c r="DB924" s="0" t="s">
        <v>301</v>
      </c>
      <c r="DC924" s="0" t="s">
        <v>303</v>
      </c>
      <c r="DD924" s="0" t="s">
        <v>417</v>
      </c>
      <c r="DE924" s="0" t="s">
        <v>216</v>
      </c>
      <c r="DF924" s="0" t="s">
        <v>216</v>
      </c>
      <c r="DG924" s="0" t="s">
        <v>216</v>
      </c>
      <c r="DH924" s="0" t="n">
        <v>0</v>
      </c>
      <c r="DI924" s="126" t="n">
        <v>174.19</v>
      </c>
      <c r="DK924" s="0" t="n">
        <v>1</v>
      </c>
      <c r="DM924" s="0" t="n">
        <v>1</v>
      </c>
      <c r="DN924" s="0" t="n">
        <v>63</v>
      </c>
      <c r="DO924" s="0" t="n">
        <v>3</v>
      </c>
      <c r="DP924" s="0" t="n">
        <v>0</v>
      </c>
      <c r="DQ924" s="0" t="n">
        <v>1</v>
      </c>
      <c r="DR924" s="0"/>
      <c r="DS924" s="0" t="n">
        <v>1</v>
      </c>
      <c r="DU924" s="0" t="n">
        <v>0</v>
      </c>
      <c r="DW924" s="1" t="n">
        <v>40768</v>
      </c>
      <c r="DX924" s="1" t="n">
        <v>40862</v>
      </c>
      <c r="DZ924" s="0"/>
      <c r="EA924" s="0" t="n">
        <v>1</v>
      </c>
      <c r="EC924" s="1" t="n">
        <v>40768</v>
      </c>
      <c r="ED924" s="1" t="n">
        <v>40862</v>
      </c>
      <c r="EF924" s="0"/>
      <c r="EG924" s="0" t="n">
        <v>0</v>
      </c>
      <c r="EI924" s="0" t="n">
        <f aca="false">IF(AND(DM924=1,DN924&lt;=48),"",IF(AND(DM924=2,DN924&lt;=42),"",IF(AND(DM924=3,DN924&lt;=45),"",EH924)))</f>
        <v>0</v>
      </c>
      <c r="EJ924" s="0" t="str">
        <f aca="false">IF(EI924="","",IF(EI924&lt;9,EI924,9))</f>
        <v/>
      </c>
      <c r="EK924" s="0" t="str">
        <f aca="false">IF(EI924="","",IF(EI924&gt;9,EI924-EJ924,0))</f>
        <v/>
      </c>
      <c r="EL924" s="0" t="str">
        <f aca="false">IF(EI924="","",EJ924*DA924*2+EK924*DA924*3)</f>
        <v/>
      </c>
      <c r="EP924" s="0" t="n">
        <v>0</v>
      </c>
      <c r="EQ924" s="0"/>
      <c r="ER924" s="0" t="n">
        <v>0</v>
      </c>
      <c r="ET924" s="0" t="n">
        <v>0</v>
      </c>
      <c r="EV924" s="0" t="n">
        <v>0</v>
      </c>
      <c r="EX924" s="0" t="n">
        <v>0</v>
      </c>
      <c r="EY924" s="0" t="n">
        <v>0</v>
      </c>
      <c r="FA924" s="4" t="n">
        <v>15851.29</v>
      </c>
      <c r="FB924" s="0" t="n">
        <v>1</v>
      </c>
      <c r="FC924" s="1"/>
      <c r="FF924" s="120" t="n">
        <f aca="false">(CJ924-CI924+1)/365</f>
        <v>0.26027397260274</v>
      </c>
      <c r="FG924" s="0" t="str">
        <f aca="false">CONCATENATE(F924,"/",G924)</f>
        <v>2062/2011</v>
      </c>
      <c r="FH924" s="0" t="n">
        <v>1</v>
      </c>
      <c r="FI924" s="0" t="n">
        <f aca="false">IFERROR(IF((FC924-J924+1)/365&gt;3,0,1),"")</f>
        <v>1</v>
      </c>
    </row>
    <row r="925" customFormat="false" ht="15" hidden="false" customHeight="false" outlineLevel="0" collapsed="false">
      <c r="A925" s="5" t="str">
        <f aca="false">E925&amp;G925&amp;F925</f>
        <v>720112069</v>
      </c>
      <c r="B925" s="0" t="s">
        <v>3217</v>
      </c>
      <c r="C925" s="1" t="n">
        <v>42386</v>
      </c>
      <c r="D925" s="0" t="s">
        <v>3265</v>
      </c>
      <c r="E925" s="0" t="n">
        <v>7</v>
      </c>
      <c r="F925" s="0" t="n">
        <v>2069</v>
      </c>
      <c r="G925" s="0" t="n">
        <v>2011</v>
      </c>
      <c r="H925" s="0" t="str">
        <f aca="false">"J"&amp;E925&amp;"\"&amp;F925&amp;"\"&amp;G925&amp;"\"&amp;W925</f>
        <v>J7\2069\2011\1</v>
      </c>
      <c r="I925" s="0"/>
      <c r="J925" s="1" t="n">
        <v>40889</v>
      </c>
      <c r="K925" s="0" t="n">
        <v>0</v>
      </c>
      <c r="M925" s="1"/>
      <c r="N925" s="1"/>
      <c r="O925" s="1"/>
      <c r="P925" s="1"/>
      <c r="Q925" s="1"/>
      <c r="T925" s="121"/>
      <c r="U925" s="121"/>
      <c r="V925" s="122" t="n">
        <f aca="false">IF(AND(E925&gt;0,F925&gt;0,G925&gt;0),COUNTIFS($E:$E,E925,$F:$F,F925,$G:$G,G925),"")</f>
        <v>1</v>
      </c>
      <c r="W925" s="122" t="n">
        <f aca="false">IF(V925="","",IF(V925=1,1,IF(AND(E924=E925,F924=F925,G924=G925),W924+1,1)))</f>
        <v>1</v>
      </c>
      <c r="X925" s="0" t="n">
        <v>1</v>
      </c>
      <c r="Y925" s="0" t="n">
        <v>4</v>
      </c>
      <c r="Z925" s="0" t="s">
        <v>8435</v>
      </c>
      <c r="AA925" s="0" t="n">
        <v>0</v>
      </c>
      <c r="AB925" s="0" t="s">
        <v>8436</v>
      </c>
      <c r="AC925" s="0" t="s">
        <v>3013</v>
      </c>
      <c r="AD925" s="0" t="s">
        <v>322</v>
      </c>
      <c r="AE925" s="0" t="n">
        <v>0</v>
      </c>
      <c r="AF925" s="0" t="s">
        <v>8437</v>
      </c>
      <c r="AG925" s="0" t="n">
        <v>0</v>
      </c>
      <c r="AH925" s="0" t="s">
        <v>8438</v>
      </c>
      <c r="AI925" s="0" t="s">
        <v>830</v>
      </c>
      <c r="AJ925" s="0" t="s">
        <v>322</v>
      </c>
      <c r="AL925" s="0" t="s">
        <v>8439</v>
      </c>
      <c r="AM925" s="0" t="n">
        <v>1</v>
      </c>
      <c r="AN925" s="0" t="s">
        <v>8438</v>
      </c>
      <c r="AO925" s="0" t="s">
        <v>830</v>
      </c>
      <c r="AP925" s="0" t="s">
        <v>322</v>
      </c>
      <c r="AR925" s="0" t="s">
        <v>8440</v>
      </c>
      <c r="AS925" s="0" t="n">
        <v>1</v>
      </c>
      <c r="AT925" s="0" t="s">
        <v>8438</v>
      </c>
      <c r="AU925" s="0" t="s">
        <v>830</v>
      </c>
      <c r="AV925" s="0" t="s">
        <v>322</v>
      </c>
      <c r="AX925" s="0" t="s">
        <v>1880</v>
      </c>
      <c r="AY925" s="0" t="n">
        <v>1</v>
      </c>
      <c r="AZ925" s="0" t="s">
        <v>8438</v>
      </c>
      <c r="BA925" s="0" t="s">
        <v>830</v>
      </c>
      <c r="BB925" s="0" t="s">
        <v>322</v>
      </c>
      <c r="BR925" s="0" t="n">
        <v>1</v>
      </c>
      <c r="BS925" s="0" t="s">
        <v>1456</v>
      </c>
      <c r="BT925" s="0" t="s">
        <v>8441</v>
      </c>
      <c r="BU925" s="0" t="s">
        <v>8442</v>
      </c>
      <c r="BV925" s="123"/>
      <c r="BW925" s="123"/>
      <c r="BX925" s="123"/>
      <c r="BY925" s="123"/>
      <c r="CA925" s="0" t="s">
        <v>216</v>
      </c>
      <c r="CD925" s="0" t="s">
        <v>296</v>
      </c>
      <c r="CE925" s="0" t="n">
        <v>0</v>
      </c>
      <c r="CF925" s="0" t="s">
        <v>8443</v>
      </c>
      <c r="CI925" s="1" t="n">
        <v>40770</v>
      </c>
      <c r="CJ925" s="1" t="n">
        <v>40833</v>
      </c>
      <c r="CK925" s="124" t="n">
        <v>0.520833333333333</v>
      </c>
      <c r="CL925" s="0" t="s">
        <v>8444</v>
      </c>
      <c r="CM925" s="0" t="n">
        <f aca="false">IF(OR(CI925="",CJ925=""),"",DAYS360(CI925,CJ925)/360)</f>
        <v>0.172222222222222</v>
      </c>
      <c r="CN925" s="0" t="n">
        <f aca="false">IF(OR(CI925="",CJ925=""),"",DAYS360(CI925,CJ925)/30)</f>
        <v>2.06666666666667</v>
      </c>
      <c r="CO925" s="0" t="n">
        <f aca="false">IF(OR(CI925="",CJ925=""),"",DAYS360(CI925,CJ925)/7)</f>
        <v>8.85714285714286</v>
      </c>
      <c r="CP925" s="0" t="n">
        <f aca="false">IF(OR(CI925="",CJ925=""),"",DAYS360(CI925,CJ925))</f>
        <v>62</v>
      </c>
      <c r="CQ925" s="0" t="s">
        <v>240</v>
      </c>
      <c r="CR925" s="0" t="n">
        <v>1</v>
      </c>
      <c r="CT925" s="0" t="s">
        <v>221</v>
      </c>
      <c r="CU925" s="0" t="s">
        <v>221</v>
      </c>
      <c r="CV925" s="0" t="str">
        <f aca="false">IF(OR(CT925="",CT925="NO ESPECIFICA",CT925="NO MENCIONA"),"",IF(CU925=0,CT925,IF(CU925=1,CT925/30,IF(CU925=2,CT925/15,IF(CU925=3,CT925/7,"")))))</f>
        <v/>
      </c>
      <c r="CW925" s="125" t="n">
        <v>12000</v>
      </c>
      <c r="CX925" s="0" t="n">
        <v>1</v>
      </c>
      <c r="CY925" s="0" t="n">
        <f aca="false">IF(CW925="","",IF(CX925=0,CW925,IF(CX925=1,CW925/30,IF(CX925=2,CW925/15,IF(CX925=3,CW925/7,CW925)))))</f>
        <v>400</v>
      </c>
      <c r="CZ925" s="0" t="n">
        <f aca="false">IF(DI925&gt;0,DI925,IF(CY925&gt;0,CY925,IF(CV925&gt;0,CV925,"")))</f>
        <v>400</v>
      </c>
      <c r="DA925" s="0" t="n">
        <f aca="false">IF(DM925=1,CZ925/8,IF(OR(DM925=2,DM925=4),CZ925/7,IF(DM925=3,CZ925/7.5,"")))</f>
        <v>50</v>
      </c>
      <c r="DB925" s="0" t="s">
        <v>303</v>
      </c>
      <c r="DC925" s="0" t="s">
        <v>301</v>
      </c>
      <c r="DD925" s="0" t="s">
        <v>216</v>
      </c>
      <c r="DE925" s="0" t="s">
        <v>216</v>
      </c>
      <c r="DF925" s="0" t="s">
        <v>216</v>
      </c>
      <c r="DG925" s="0" t="s">
        <v>216</v>
      </c>
      <c r="DH925" s="0" t="n">
        <v>0</v>
      </c>
      <c r="DI925" s="126" t="n">
        <v>400</v>
      </c>
      <c r="DK925" s="0" t="n">
        <v>0</v>
      </c>
      <c r="DM925" s="0" t="n">
        <v>1</v>
      </c>
      <c r="DN925" s="0" t="n">
        <v>66</v>
      </c>
      <c r="DO925" s="0" t="n">
        <v>3</v>
      </c>
      <c r="DP925" s="0" t="n">
        <v>0</v>
      </c>
      <c r="DQ925" s="0" t="n">
        <v>1</v>
      </c>
      <c r="DR925" s="0"/>
      <c r="DS925" s="0" t="n">
        <v>1</v>
      </c>
      <c r="DU925" s="0" t="n">
        <v>1</v>
      </c>
      <c r="DW925" s="1" t="n">
        <v>40770</v>
      </c>
      <c r="DX925" s="1" t="n">
        <v>40833</v>
      </c>
      <c r="DZ925" s="0"/>
      <c r="EA925" s="0" t="n">
        <v>1</v>
      </c>
      <c r="EC925" s="1" t="n">
        <v>40770</v>
      </c>
      <c r="ED925" s="1" t="n">
        <v>40833</v>
      </c>
      <c r="EF925" s="0"/>
      <c r="EG925" s="0" t="n">
        <v>1</v>
      </c>
      <c r="EH925" s="0" t="n">
        <v>18</v>
      </c>
      <c r="EI925" s="0" t="n">
        <f aca="false">IF(AND(DM925=1,DN925&lt;=48),"",IF(AND(DM925=2,DN925&lt;=42),"",IF(AND(DM925=3,DN925&lt;=45),"",EH925)))</f>
        <v>18</v>
      </c>
      <c r="EJ925" s="0" t="n">
        <f aca="false">IF(EI925="","",IF(EI925&lt;9,EI925,9))</f>
        <v>9</v>
      </c>
      <c r="EK925" s="0" t="n">
        <f aca="false">IF(EI925="","",IF(EI925&gt;9,EI925-EJ925,0))</f>
        <v>9</v>
      </c>
      <c r="EL925" s="0" t="n">
        <f aca="false">IF(EI925="","",EJ925*DA925*2+EK925*DA925*3)</f>
        <v>2250</v>
      </c>
      <c r="EP925" s="0" t="n">
        <v>0</v>
      </c>
      <c r="EQ925" s="0"/>
      <c r="ER925" s="0" t="n">
        <v>0</v>
      </c>
      <c r="ET925" s="0" t="n">
        <v>0</v>
      </c>
      <c r="EV925" s="0" t="n">
        <v>0</v>
      </c>
      <c r="EX925" s="0" t="n">
        <v>0</v>
      </c>
      <c r="EY925" s="0" t="n">
        <v>0</v>
      </c>
      <c r="FA925" s="4" t="n">
        <v>0</v>
      </c>
      <c r="FB925" s="0" t="n">
        <v>0</v>
      </c>
      <c r="FC925" s="1" t="n">
        <v>41158</v>
      </c>
      <c r="FD925" s="0" t="n">
        <v>1</v>
      </c>
      <c r="FE925" s="0" t="n">
        <v>25000</v>
      </c>
      <c r="FF925" s="120" t="n">
        <f aca="false">(CJ925-CI925+1)/365</f>
        <v>0.175342465753425</v>
      </c>
      <c r="FG925" s="0" t="str">
        <f aca="false">CONCATENATE(F925,"/",G925)</f>
        <v>2069/2011</v>
      </c>
      <c r="FH925" s="0" t="n">
        <v>1</v>
      </c>
      <c r="FI925" s="0" t="n">
        <f aca="false">IFERROR(IF((FC925-J925+1)/365&gt;3,0,1),"")</f>
        <v>1</v>
      </c>
    </row>
    <row r="926" customFormat="false" ht="15" hidden="false" customHeight="false" outlineLevel="0" collapsed="false">
      <c r="A926" s="5" t="str">
        <f aca="false">E926&amp;G926&amp;F926</f>
        <v>720112070</v>
      </c>
      <c r="B926" s="0" t="s">
        <v>3217</v>
      </c>
      <c r="C926" s="1" t="n">
        <v>42386</v>
      </c>
      <c r="E926" s="0" t="n">
        <v>7</v>
      </c>
      <c r="F926" s="0" t="n">
        <v>2070</v>
      </c>
      <c r="G926" s="0" t="n">
        <v>2011</v>
      </c>
      <c r="H926" s="0" t="str">
        <f aca="false">"J"&amp;E926&amp;"\"&amp;F926&amp;"\"&amp;G926&amp;"\"&amp;W926</f>
        <v>J7\2070\2011\1</v>
      </c>
      <c r="I926" s="0"/>
      <c r="J926" s="1" t="n">
        <v>40889</v>
      </c>
      <c r="K926" s="0" t="n">
        <v>1</v>
      </c>
      <c r="L926" s="0" t="s">
        <v>5747</v>
      </c>
      <c r="M926" s="1" t="n">
        <v>40889</v>
      </c>
      <c r="N926" s="1" t="n">
        <v>40977</v>
      </c>
      <c r="O926" s="1"/>
      <c r="P926" s="1"/>
      <c r="Q926" s="1"/>
      <c r="T926" s="121"/>
      <c r="U926" s="121"/>
      <c r="V926" s="122" t="n">
        <f aca="false">IF(AND(E926&gt;0,F926&gt;0,G926&gt;0),COUNTIFS($E:$E,E926,$F:$F,F926,$G:$G,G926),"")</f>
        <v>1</v>
      </c>
      <c r="W926" s="122" t="n">
        <f aca="false">IF(V926="","",IF(V926=1,1,IF(AND(E925=E926,F925=F926,G925=G926),W925+1,1)))</f>
        <v>1</v>
      </c>
      <c r="X926" s="0" t="n">
        <v>1</v>
      </c>
      <c r="Y926" s="0" t="n">
        <v>6</v>
      </c>
      <c r="Z926" s="0" t="s">
        <v>8445</v>
      </c>
      <c r="AA926" s="0" t="n">
        <v>0</v>
      </c>
      <c r="AB926" s="0" t="s">
        <v>8446</v>
      </c>
      <c r="AC926" s="0" t="s">
        <v>274</v>
      </c>
      <c r="AD926" s="0" t="s">
        <v>229</v>
      </c>
      <c r="AE926" s="0" t="n">
        <v>0</v>
      </c>
      <c r="AF926" s="0" t="s">
        <v>1137</v>
      </c>
      <c r="AG926" s="0" t="n">
        <v>0</v>
      </c>
      <c r="AH926" s="0" t="s">
        <v>8447</v>
      </c>
      <c r="AI926" s="0" t="s">
        <v>1139</v>
      </c>
      <c r="AJ926" s="0" t="s">
        <v>8448</v>
      </c>
      <c r="AL926" s="0" t="s">
        <v>8449</v>
      </c>
      <c r="AM926" s="0" t="n">
        <v>0</v>
      </c>
      <c r="AN926" s="0" t="s">
        <v>8447</v>
      </c>
      <c r="AO926" s="0" t="s">
        <v>1139</v>
      </c>
      <c r="AP926" s="0" t="s">
        <v>8448</v>
      </c>
      <c r="AR926" s="0" t="s">
        <v>8450</v>
      </c>
      <c r="AS926" s="0" t="n">
        <v>0</v>
      </c>
      <c r="AT926" s="0" t="s">
        <v>8447</v>
      </c>
      <c r="AU926" s="0" t="s">
        <v>1139</v>
      </c>
      <c r="AV926" s="0" t="s">
        <v>8448</v>
      </c>
      <c r="AX926" s="0" t="s">
        <v>1880</v>
      </c>
      <c r="AY926" s="0" t="n">
        <v>1</v>
      </c>
      <c r="AZ926" s="0" t="s">
        <v>8447</v>
      </c>
      <c r="BA926" s="0" t="s">
        <v>1139</v>
      </c>
      <c r="BB926" s="0" t="s">
        <v>8448</v>
      </c>
      <c r="BD926" s="0" t="s">
        <v>249</v>
      </c>
      <c r="BE926" s="0" t="n">
        <v>0</v>
      </c>
      <c r="BF926" s="0" t="s">
        <v>250</v>
      </c>
      <c r="BG926" s="0" t="s">
        <v>251</v>
      </c>
      <c r="BH926" s="0" t="s">
        <v>221</v>
      </c>
      <c r="BJ926" s="0" t="s">
        <v>412</v>
      </c>
      <c r="BK926" s="0" t="n">
        <v>0</v>
      </c>
      <c r="BL926" s="0" t="s">
        <v>437</v>
      </c>
      <c r="BM926" s="0" t="s">
        <v>438</v>
      </c>
      <c r="BN926" s="0" t="s">
        <v>221</v>
      </c>
      <c r="BR926" s="0" t="n">
        <v>1</v>
      </c>
      <c r="BS926" s="0" t="s">
        <v>8451</v>
      </c>
      <c r="BV926" s="123"/>
      <c r="BW926" s="123"/>
      <c r="BX926" s="123"/>
      <c r="BY926" s="123"/>
      <c r="CA926" s="0" t="s">
        <v>216</v>
      </c>
      <c r="CD926" s="0" t="s">
        <v>256</v>
      </c>
      <c r="CE926" s="0" t="n">
        <v>0</v>
      </c>
      <c r="CF926" s="0" t="s">
        <v>1042</v>
      </c>
      <c r="CI926" s="1" t="n">
        <v>34491</v>
      </c>
      <c r="CJ926" s="1" t="n">
        <v>40826</v>
      </c>
      <c r="CK926" s="124" t="n">
        <v>0.666666666666667</v>
      </c>
      <c r="CL926" s="0" t="s">
        <v>8452</v>
      </c>
      <c r="CM926" s="0" t="n">
        <f aca="false">IF(OR(CI926="",CJ926=""),"",DAYS360(CI926,CJ926)/360)</f>
        <v>17.3444444444444</v>
      </c>
      <c r="CN926" s="0" t="n">
        <f aca="false">IF(OR(CI926="",CJ926=""),"",DAYS360(CI926,CJ926)/30)</f>
        <v>208.133333333333</v>
      </c>
      <c r="CO926" s="0" t="n">
        <f aca="false">IF(OR(CI926="",CJ926=""),"",DAYS360(CI926,CJ926)/7)</f>
        <v>892</v>
      </c>
      <c r="CP926" s="0" t="n">
        <f aca="false">IF(OR(CI926="",CJ926=""),"",DAYS360(CI926,CJ926))</f>
        <v>6244</v>
      </c>
      <c r="CQ926" s="0" t="s">
        <v>220</v>
      </c>
      <c r="CR926" s="0" t="n">
        <v>1</v>
      </c>
      <c r="CT926" s="0" t="s">
        <v>221</v>
      </c>
      <c r="CU926" s="0" t="s">
        <v>221</v>
      </c>
      <c r="CV926" s="0" t="str">
        <f aca="false">IF(OR(CT926="",CT926="NO ESPECIFICA",CT926="NO MENCIONA"),"",IF(CU926=0,CT926,IF(CU926=1,CT926/30,IF(CU926=2,CT926/15,IF(CU926=3,CT926/7,"")))))</f>
        <v/>
      </c>
      <c r="CW926" s="125" t="n">
        <v>810.32</v>
      </c>
      <c r="CX926" s="0" t="n">
        <v>3</v>
      </c>
      <c r="CY926" s="0" t="n">
        <f aca="false">IF(CW926="","",IF(CX926=0,CW926,IF(CX926=1,CW926/30,IF(CX926=2,CW926/15,IF(CX926=3,CW926/7,CW926)))))</f>
        <v>115.76</v>
      </c>
      <c r="CZ926" s="0" t="n">
        <f aca="false">IF(DI926&gt;0,DI926,IF(CY926&gt;0,CY926,IF(CV926&gt;0,CV926,"")))</f>
        <v>115.76</v>
      </c>
      <c r="DA926" s="0" t="str">
        <f aca="false">IF(DM926=1,CZ926/8,IF(OR(DM926=2,DM926=4),CZ926/7,IF(DM926=3,CZ926/7.5,"")))</f>
        <v/>
      </c>
      <c r="DB926" s="0" t="s">
        <v>216</v>
      </c>
      <c r="DC926" s="0" t="s">
        <v>216</v>
      </c>
      <c r="DD926" s="0" t="s">
        <v>216</v>
      </c>
      <c r="DE926" s="0" t="s">
        <v>216</v>
      </c>
      <c r="DF926" s="0" t="s">
        <v>216</v>
      </c>
      <c r="DG926" s="0" t="s">
        <v>216</v>
      </c>
      <c r="DH926" s="0" t="n">
        <v>0</v>
      </c>
      <c r="DI926" s="126" t="n">
        <v>115.76</v>
      </c>
      <c r="DK926" s="0" t="n">
        <v>0</v>
      </c>
      <c r="DM926" s="0" t="s">
        <v>221</v>
      </c>
      <c r="DN926" s="0" t="s">
        <v>221</v>
      </c>
      <c r="DO926" s="0" t="n">
        <v>3</v>
      </c>
      <c r="DP926" s="0" t="n">
        <v>1</v>
      </c>
      <c r="DQ926" s="0" t="n">
        <v>0</v>
      </c>
      <c r="DR926" s="0"/>
      <c r="DS926" s="0" t="n">
        <v>1</v>
      </c>
      <c r="DU926" s="0" t="n">
        <v>0</v>
      </c>
      <c r="DW926" s="1" t="n">
        <v>34491</v>
      </c>
      <c r="DX926" s="1" t="n">
        <v>40826</v>
      </c>
      <c r="DZ926" s="0"/>
      <c r="EA926" s="0" t="n">
        <v>1</v>
      </c>
      <c r="EC926" s="1" t="n">
        <v>34491</v>
      </c>
      <c r="ED926" s="1" t="n">
        <v>40826</v>
      </c>
      <c r="EF926" s="0"/>
      <c r="EG926" s="0" t="n">
        <v>0</v>
      </c>
      <c r="EI926" s="0" t="n">
        <f aca="false">IF(AND(DM926=1,DN926&lt;=48),"",IF(AND(DM926=2,DN926&lt;=42),"",IF(AND(DM926=3,DN926&lt;=45),"",EH926)))</f>
        <v>0</v>
      </c>
      <c r="EJ926" s="0" t="str">
        <f aca="false">IF(EI926="","",IF(EI926&lt;9,EI926,9))</f>
        <v/>
      </c>
      <c r="EK926" s="0" t="str">
        <f aca="false">IF(EI926="","",IF(EI926&gt;9,EI926-EJ926,0))</f>
        <v/>
      </c>
      <c r="EL926" s="0" t="str">
        <f aca="false">IF(EI926="","",EJ926*DA926*2+EK926*DA926*3)</f>
        <v/>
      </c>
      <c r="EP926" s="0" t="n">
        <v>0</v>
      </c>
      <c r="EQ926" s="0"/>
      <c r="ER926" s="0" t="n">
        <v>0</v>
      </c>
      <c r="ET926" s="0" t="n">
        <v>0</v>
      </c>
      <c r="EV926" s="0" t="n">
        <v>0</v>
      </c>
      <c r="EX926" s="0" t="n">
        <v>1</v>
      </c>
      <c r="EY926" s="0" t="n">
        <v>0</v>
      </c>
      <c r="FA926" s="4" t="n">
        <v>3125.52</v>
      </c>
      <c r="FB926" s="0" t="n">
        <v>0</v>
      </c>
      <c r="FC926" s="1" t="n">
        <v>41197</v>
      </c>
      <c r="FD926" s="0" t="n">
        <v>2</v>
      </c>
      <c r="FE926" s="0" t="n">
        <v>0</v>
      </c>
      <c r="FF926" s="120" t="n">
        <f aca="false">(CJ926-CI926+1)/365</f>
        <v>17.358904109589</v>
      </c>
      <c r="FG926" s="0" t="str">
        <f aca="false">CONCATENATE(F926,"/",G926)</f>
        <v>2070/2011</v>
      </c>
      <c r="FH926" s="0" t="n">
        <v>1</v>
      </c>
      <c r="FI926" s="0" t="n">
        <f aca="false">IFERROR(IF((FC926-J926+1)/365&gt;3,0,1),"")</f>
        <v>1</v>
      </c>
    </row>
    <row r="927" customFormat="false" ht="15" hidden="false" customHeight="false" outlineLevel="0" collapsed="false">
      <c r="A927" s="5" t="str">
        <f aca="false">E927&amp;G927&amp;F927</f>
        <v>72011415</v>
      </c>
      <c r="B927" s="0" t="s">
        <v>8453</v>
      </c>
      <c r="C927" s="1" t="n">
        <v>42390</v>
      </c>
      <c r="E927" s="0" t="n">
        <v>7</v>
      </c>
      <c r="F927" s="0" t="n">
        <v>415</v>
      </c>
      <c r="G927" s="0" t="n">
        <v>2011</v>
      </c>
      <c r="H927" s="0" t="str">
        <f aca="false">"J"&amp;E927&amp;"\"&amp;F927&amp;"\"&amp;G927&amp;"\"&amp;W927</f>
        <v>J7\415\2011\1</v>
      </c>
      <c r="I927" s="0"/>
      <c r="J927" s="1" t="n">
        <v>40605</v>
      </c>
      <c r="K927" s="0" t="n">
        <v>0</v>
      </c>
      <c r="M927" s="1" t="n">
        <v>40605</v>
      </c>
      <c r="N927" s="1" t="n">
        <v>40693</v>
      </c>
      <c r="O927" s="1"/>
      <c r="P927" s="1"/>
      <c r="Q927" s="1"/>
      <c r="T927" s="121"/>
      <c r="U927" s="121"/>
      <c r="V927" s="122" t="n">
        <f aca="false">IF(AND(E927&gt;0,F927&gt;0,G927&gt;0),COUNTIFS($E:$E,E927,$F:$F,F927,$G:$G,G927),"")</f>
        <v>1</v>
      </c>
      <c r="W927" s="122" t="n">
        <f aca="false">IF(V927="","",IF(V927=1,1,IF(AND(E926=E927,F926=F927,G926=G927),W926+1,1)))</f>
        <v>1</v>
      </c>
      <c r="X927" s="0" t="n">
        <v>1</v>
      </c>
      <c r="Y927" s="0" t="n">
        <v>6</v>
      </c>
      <c r="Z927" s="0" t="s">
        <v>8454</v>
      </c>
      <c r="AA927" s="0" t="n">
        <v>0</v>
      </c>
      <c r="AB927" s="0" t="s">
        <v>8455</v>
      </c>
      <c r="AC927" s="0" t="s">
        <v>8456</v>
      </c>
      <c r="AD927" s="0" t="s">
        <v>207</v>
      </c>
      <c r="AE927" s="0" t="n">
        <v>0</v>
      </c>
      <c r="AF927" s="0" t="s">
        <v>8457</v>
      </c>
      <c r="AG927" s="0" t="n">
        <v>0</v>
      </c>
      <c r="AH927" s="0" t="s">
        <v>8458</v>
      </c>
      <c r="AI927" s="0" t="s">
        <v>274</v>
      </c>
      <c r="AJ927" s="0" t="s">
        <v>8459</v>
      </c>
      <c r="AL927" s="0" t="s">
        <v>8460</v>
      </c>
      <c r="AM927" s="0" t="n">
        <v>0</v>
      </c>
      <c r="AN927" s="0" t="s">
        <v>8458</v>
      </c>
      <c r="AO927" s="0" t="s">
        <v>274</v>
      </c>
      <c r="AP927" s="0" t="s">
        <v>8459</v>
      </c>
      <c r="AR927" s="0" t="s">
        <v>8461</v>
      </c>
      <c r="AS927" s="0" t="n">
        <v>0</v>
      </c>
      <c r="AT927" s="0" t="s">
        <v>8458</v>
      </c>
      <c r="AU927" s="0" t="s">
        <v>274</v>
      </c>
      <c r="AV927" s="0" t="s">
        <v>8459</v>
      </c>
      <c r="AX927" s="0" t="s">
        <v>8462</v>
      </c>
      <c r="AY927" s="0" t="n">
        <v>1</v>
      </c>
      <c r="AZ927" s="0" t="s">
        <v>8458</v>
      </c>
      <c r="BA927" s="0" t="s">
        <v>274</v>
      </c>
      <c r="BB927" s="0" t="s">
        <v>8459</v>
      </c>
      <c r="BD927" s="0" t="s">
        <v>8463</v>
      </c>
      <c r="BE927" s="0" t="n">
        <v>1</v>
      </c>
      <c r="BF927" s="0" t="s">
        <v>8458</v>
      </c>
      <c r="BG927" s="0" t="s">
        <v>274</v>
      </c>
      <c r="BH927" s="0" t="s">
        <v>8459</v>
      </c>
      <c r="BJ927" s="0" t="s">
        <v>213</v>
      </c>
      <c r="BK927" s="0" t="n">
        <v>1</v>
      </c>
      <c r="BL927" s="0" t="s">
        <v>8458</v>
      </c>
      <c r="BM927" s="0" t="s">
        <v>274</v>
      </c>
      <c r="BN927" s="0" t="s">
        <v>8459</v>
      </c>
      <c r="BR927" s="0" t="n">
        <v>1</v>
      </c>
      <c r="BS927" s="0" t="s">
        <v>8464</v>
      </c>
      <c r="BT927" s="0" t="s">
        <v>8465</v>
      </c>
      <c r="BU927" s="0" t="s">
        <v>8466</v>
      </c>
      <c r="BV927" s="123"/>
      <c r="BW927" s="123"/>
      <c r="BX927" s="123"/>
      <c r="BY927" s="123"/>
      <c r="CA927" s="0" t="s">
        <v>216</v>
      </c>
      <c r="CD927" s="0" t="s">
        <v>370</v>
      </c>
      <c r="CE927" s="0" t="n">
        <v>1</v>
      </c>
      <c r="CF927" s="0" t="s">
        <v>3951</v>
      </c>
      <c r="CI927" s="1" t="n">
        <v>36010</v>
      </c>
      <c r="CJ927" s="1" t="n">
        <v>40578</v>
      </c>
      <c r="CK927" s="124" t="n">
        <v>0.645833333333333</v>
      </c>
      <c r="CL927" s="0" t="s">
        <v>8462</v>
      </c>
      <c r="CM927" s="0" t="n">
        <f aca="false">IF(OR(CI927="",CJ927=""),"",DAYS360(CI927,CJ927)/360)</f>
        <v>12.5027777777778</v>
      </c>
      <c r="CN927" s="0" t="n">
        <f aca="false">IF(OR(CI927="",CJ927=""),"",DAYS360(CI927,CJ927)/30)</f>
        <v>150.033333333333</v>
      </c>
      <c r="CO927" s="0" t="n">
        <f aca="false">IF(OR(CI927="",CJ927=""),"",DAYS360(CI927,CJ927)/7)</f>
        <v>643</v>
      </c>
      <c r="CP927" s="0" t="n">
        <f aca="false">IF(OR(CI927="",CJ927=""),"",DAYS360(CI927,CJ927))</f>
        <v>4501</v>
      </c>
      <c r="CQ927" s="0" t="s">
        <v>220</v>
      </c>
      <c r="CR927" s="0" t="n">
        <v>1</v>
      </c>
      <c r="CT927" s="0" t="n">
        <v>567.84</v>
      </c>
      <c r="CU927" s="0" t="n">
        <v>0</v>
      </c>
      <c r="CV927" s="0" t="n">
        <f aca="false">IF(OR(CT927="",CT927="NO ESPECIFICA",CT927="NO MENCIONA"),"",IF(CU927=0,CT927,IF(CU927=1,CT927/30,IF(CU927=2,CT927/15,IF(CU927=3,CT927/7,"")))))</f>
        <v>567.84</v>
      </c>
      <c r="CW927" s="125" t="n">
        <v>741.8</v>
      </c>
      <c r="CX927" s="0" t="n">
        <v>0</v>
      </c>
      <c r="CY927" s="0" t="n">
        <f aca="false">IF(CW927="","",IF(CX927=0,CW927,IF(CX927=1,CW927/30,IF(CX927=2,CW927/15,IF(CX927=3,CW927/7,CW927)))))</f>
        <v>741.8</v>
      </c>
      <c r="CZ927" s="0" t="n">
        <f aca="false">IF(DI927&gt;0,DI927,IF(CY927&gt;0,CY927,IF(CV927&gt;0,CV927,"")))</f>
        <v>741.8</v>
      </c>
      <c r="DA927" s="0" t="n">
        <f aca="false">IF(DM927=1,CZ927/8,IF(OR(DM927=2,DM927=4),CZ927/7,IF(DM927=3,CZ927/7.5,"")))</f>
        <v>92.725</v>
      </c>
      <c r="DB927" s="0" t="s">
        <v>3117</v>
      </c>
      <c r="DC927" s="0" t="s">
        <v>301</v>
      </c>
      <c r="DD927" s="0" t="s">
        <v>303</v>
      </c>
      <c r="DE927" s="0" t="s">
        <v>216</v>
      </c>
      <c r="DF927" s="0" t="s">
        <v>216</v>
      </c>
      <c r="DG927" s="0" t="s">
        <v>216</v>
      </c>
      <c r="DH927" s="0" t="n">
        <v>0</v>
      </c>
      <c r="DI927" s="126" t="n">
        <v>741.8</v>
      </c>
      <c r="DK927" s="0" t="n">
        <v>1</v>
      </c>
      <c r="DM927" s="0" t="n">
        <v>1</v>
      </c>
      <c r="DN927" s="0" t="n">
        <v>56</v>
      </c>
      <c r="DO927" s="0" t="n">
        <v>3</v>
      </c>
      <c r="DP927" s="0" t="n">
        <v>1</v>
      </c>
      <c r="DQ927" s="0" t="n">
        <v>1</v>
      </c>
      <c r="DR927" s="0"/>
      <c r="DS927" s="0" t="n">
        <v>1</v>
      </c>
      <c r="DU927" s="0" t="n">
        <v>1</v>
      </c>
      <c r="DW927" s="1" t="s">
        <v>1775</v>
      </c>
      <c r="DX927" s="1" t="s">
        <v>1775</v>
      </c>
      <c r="DZ927" s="0"/>
      <c r="EA927" s="0" t="n">
        <v>1</v>
      </c>
      <c r="EC927" s="1" t="n">
        <v>40544</v>
      </c>
      <c r="ED927" s="1" t="n">
        <v>40578</v>
      </c>
      <c r="EF927" s="0"/>
      <c r="EG927" s="0" t="n">
        <v>1</v>
      </c>
      <c r="EH927" s="0" t="n">
        <v>10</v>
      </c>
      <c r="EI927" s="0" t="n">
        <f aca="false">IF(AND(DM927=1,DN927&lt;=48),"",IF(AND(DM927=2,DN927&lt;=42),"",IF(AND(DM927=3,DN927&lt;=45),"",EH927)))</f>
        <v>10</v>
      </c>
      <c r="EJ927" s="0" t="n">
        <f aca="false">IF(EI927="","",IF(EI927&lt;9,EI927,9))</f>
        <v>9</v>
      </c>
      <c r="EK927" s="0" t="n">
        <f aca="false">IF(EI927="","",IF(EI927&gt;9,EI927-EJ927,0))</f>
        <v>1</v>
      </c>
      <c r="EL927" s="0" t="n">
        <f aca="false">IF(EI927="","",EJ927*DA927*2+EK927*DA927*3)</f>
        <v>1947.225</v>
      </c>
      <c r="EP927" s="0" t="n">
        <v>1</v>
      </c>
      <c r="EQ927" s="0"/>
      <c r="ER927" s="0" t="n">
        <v>0</v>
      </c>
      <c r="ET927" s="0" t="n">
        <v>0</v>
      </c>
      <c r="EV927" s="0" t="n">
        <v>0</v>
      </c>
      <c r="EX927" s="0" t="n">
        <v>0</v>
      </c>
      <c r="EY927" s="0" t="n">
        <v>0</v>
      </c>
      <c r="FA927" s="4" t="n">
        <v>0</v>
      </c>
      <c r="FB927" s="0" t="n">
        <v>1</v>
      </c>
      <c r="FC927" s="1" t="n">
        <v>41246</v>
      </c>
      <c r="FD927" s="0" t="n">
        <v>1</v>
      </c>
      <c r="FE927" s="0" t="n">
        <v>10000</v>
      </c>
      <c r="FF927" s="120" t="n">
        <f aca="false">(CJ927-CI927+1)/365</f>
        <v>12.5178082191781</v>
      </c>
      <c r="FG927" s="0" t="str">
        <f aca="false">CONCATENATE(F927,"/",G927)</f>
        <v>415/2011</v>
      </c>
      <c r="FH927" s="0" t="n">
        <v>1</v>
      </c>
      <c r="FI927" s="0" t="n">
        <f aca="false">IFERROR(IF((FC927-J927+1)/365&gt;3,0,1),"")</f>
        <v>1</v>
      </c>
    </row>
    <row r="928" customFormat="false" ht="15" hidden="false" customHeight="false" outlineLevel="0" collapsed="false">
      <c r="A928" s="5" t="str">
        <f aca="false">E928&amp;G928&amp;F928</f>
        <v>72011418</v>
      </c>
      <c r="B928" s="0" t="s">
        <v>8453</v>
      </c>
      <c r="C928" s="1" t="n">
        <v>42391</v>
      </c>
      <c r="E928" s="0" t="n">
        <v>7</v>
      </c>
      <c r="F928" s="0" t="n">
        <v>418</v>
      </c>
      <c r="G928" s="0" t="n">
        <v>2011</v>
      </c>
      <c r="H928" s="0" t="str">
        <f aca="false">"J"&amp;E928&amp;"\"&amp;F928&amp;"\"&amp;G928&amp;"\"&amp;W928</f>
        <v>J7\418\2011\1</v>
      </c>
      <c r="I928" s="0"/>
      <c r="J928" s="1" t="n">
        <v>40605</v>
      </c>
      <c r="K928" s="0" t="n">
        <v>0</v>
      </c>
      <c r="M928" s="1" t="n">
        <v>40605</v>
      </c>
      <c r="N928" s="1" t="n">
        <v>40694</v>
      </c>
      <c r="O928" s="1"/>
      <c r="P928" s="1"/>
      <c r="Q928" s="1"/>
      <c r="T928" s="121"/>
      <c r="U928" s="121"/>
      <c r="V928" s="122" t="n">
        <f aca="false">IF(AND(E928&gt;0,F928&gt;0,G928&gt;0),COUNTIFS($E:$E,E928,$F:$F,F928,$G:$G,G928),"")</f>
        <v>1</v>
      </c>
      <c r="W928" s="122" t="n">
        <f aca="false">IF(V928="","",IF(V928=1,1,IF(AND(E927=E928,F927=F928,G927=G928),W927+1,1)))</f>
        <v>1</v>
      </c>
      <c r="X928" s="0" t="n">
        <v>1</v>
      </c>
      <c r="Y928" s="0" t="n">
        <v>8</v>
      </c>
      <c r="Z928" s="0" t="s">
        <v>8467</v>
      </c>
      <c r="AA928" s="0" t="n">
        <v>0</v>
      </c>
      <c r="AB928" s="0" t="s">
        <v>8468</v>
      </c>
      <c r="AC928" s="0" t="s">
        <v>318</v>
      </c>
      <c r="AD928" s="0" t="s">
        <v>229</v>
      </c>
      <c r="AE928" s="0" t="n">
        <v>0</v>
      </c>
      <c r="AF928" s="0" t="s">
        <v>8469</v>
      </c>
      <c r="AG928" s="0" t="n">
        <v>0</v>
      </c>
      <c r="AH928" s="0" t="s">
        <v>8470</v>
      </c>
      <c r="AI928" s="0" t="s">
        <v>8471</v>
      </c>
      <c r="AJ928" s="0" t="s">
        <v>322</v>
      </c>
      <c r="AL928" s="0" t="s">
        <v>8472</v>
      </c>
      <c r="AM928" s="0" t="n">
        <v>0</v>
      </c>
      <c r="AN928" s="0" t="s">
        <v>8470</v>
      </c>
      <c r="AO928" s="0" t="s">
        <v>8471</v>
      </c>
      <c r="AP928" s="0" t="s">
        <v>322</v>
      </c>
      <c r="AR928" s="0" t="s">
        <v>8473</v>
      </c>
      <c r="AS928" s="0" t="n">
        <v>1</v>
      </c>
      <c r="AT928" s="0" t="s">
        <v>8470</v>
      </c>
      <c r="AU928" s="0" t="s">
        <v>8471</v>
      </c>
      <c r="AV928" s="0" t="s">
        <v>322</v>
      </c>
      <c r="AX928" s="0" t="s">
        <v>8474</v>
      </c>
      <c r="AZ928" s="0" t="s">
        <v>8470</v>
      </c>
      <c r="BA928" s="0" t="s">
        <v>8471</v>
      </c>
      <c r="BB928" s="0" t="s">
        <v>322</v>
      </c>
      <c r="BD928" s="0" t="s">
        <v>8475</v>
      </c>
      <c r="BE928" s="0" t="n">
        <v>1</v>
      </c>
      <c r="BF928" s="0" t="s">
        <v>8470</v>
      </c>
      <c r="BG928" s="0" t="s">
        <v>8471</v>
      </c>
      <c r="BH928" s="0" t="s">
        <v>322</v>
      </c>
      <c r="BJ928" s="0" t="s">
        <v>249</v>
      </c>
      <c r="BK928" s="0" t="n">
        <v>0</v>
      </c>
      <c r="BL928" s="0" t="s">
        <v>964</v>
      </c>
      <c r="BM928" s="0" t="s">
        <v>410</v>
      </c>
      <c r="BN928" s="0" t="s">
        <v>411</v>
      </c>
      <c r="BR928" s="0" t="n">
        <v>1</v>
      </c>
      <c r="BS928" s="0" t="s">
        <v>8476</v>
      </c>
      <c r="BT928" s="0" t="s">
        <v>8477</v>
      </c>
      <c r="BU928" s="0" t="s">
        <v>8478</v>
      </c>
      <c r="BV928" s="123"/>
      <c r="BW928" s="123"/>
      <c r="BX928" s="123"/>
      <c r="BY928" s="123"/>
      <c r="CA928" s="0" t="s">
        <v>8479</v>
      </c>
      <c r="CD928" s="0" t="s">
        <v>1308</v>
      </c>
      <c r="CE928" s="0" t="n">
        <v>1</v>
      </c>
      <c r="CF928" s="0" t="s">
        <v>8480</v>
      </c>
      <c r="CI928" s="1" t="n">
        <v>39951</v>
      </c>
      <c r="CJ928" s="1" t="n">
        <v>40550</v>
      </c>
      <c r="CK928" s="124" t="n">
        <v>0.458333333333333</v>
      </c>
      <c r="CL928" s="0" t="s">
        <v>8473</v>
      </c>
      <c r="CM928" s="0" t="n">
        <f aca="false">IF(OR(CI928="",CJ928=""),"",DAYS360(CI928,CJ928)/360)</f>
        <v>1.63611111111111</v>
      </c>
      <c r="CN928" s="0" t="n">
        <f aca="false">IF(OR(CI928="",CJ928=""),"",DAYS360(CI928,CJ928)/30)</f>
        <v>19.6333333333333</v>
      </c>
      <c r="CO928" s="0" t="n">
        <f aca="false">IF(OR(CI928="",CJ928=""),"",DAYS360(CI928,CJ928)/7)</f>
        <v>84.1428571428571</v>
      </c>
      <c r="CP928" s="0" t="n">
        <f aca="false">IF(OR(CI928="",CJ928=""),"",DAYS360(CI928,CJ928))</f>
        <v>589</v>
      </c>
      <c r="CQ928" s="0" t="s">
        <v>220</v>
      </c>
      <c r="CR928" s="0" t="n">
        <v>1</v>
      </c>
      <c r="CT928" s="0" t="n">
        <v>500</v>
      </c>
      <c r="CU928" s="0" t="n">
        <v>0</v>
      </c>
      <c r="CV928" s="0" t="n">
        <f aca="false">IF(OR(CT928="",CT928="NO ESPECIFICA",CT928="NO MENCIONA"),"",IF(CU928=0,CT928,IF(CU928=1,CT928/30,IF(CU928=2,CT928/15,IF(CU928=3,CT928/7,"")))))</f>
        <v>500</v>
      </c>
      <c r="CW928" s="125" t="n">
        <v>580.98</v>
      </c>
      <c r="CX928" s="0" t="n">
        <v>0</v>
      </c>
      <c r="CY928" s="0" t="n">
        <f aca="false">IF(CW928="","",IF(CX928=0,CW928,IF(CX928=1,CW928/30,IF(CX928=2,CW928/15,IF(CX928=3,CW928/7,CW928)))))</f>
        <v>580.98</v>
      </c>
      <c r="CZ928" s="0" t="n">
        <f aca="false">IF(DI928&gt;0,DI928,IF(CY928&gt;0,CY928,IF(CV928&gt;0,CV928,"")))</f>
        <v>580.98</v>
      </c>
      <c r="DA928" s="0" t="n">
        <f aca="false">IF(DM928=1,CZ928/8,IF(OR(DM928=2,DM928=4),CZ928/7,IF(DM928=3,CZ928/7.5,"")))</f>
        <v>72.6225</v>
      </c>
      <c r="DB928" s="0" t="s">
        <v>300</v>
      </c>
      <c r="DC928" s="0" t="s">
        <v>301</v>
      </c>
      <c r="DD928" s="0" t="s">
        <v>303</v>
      </c>
      <c r="DE928" s="0" t="s">
        <v>216</v>
      </c>
      <c r="DF928" s="0" t="s">
        <v>216</v>
      </c>
      <c r="DG928" s="0" t="s">
        <v>216</v>
      </c>
      <c r="DH928" s="0" t="n">
        <v>0</v>
      </c>
      <c r="DI928" s="126" t="n">
        <v>580.98</v>
      </c>
      <c r="DK928" s="0" t="n">
        <v>1</v>
      </c>
      <c r="DM928" s="0" t="n">
        <v>1</v>
      </c>
      <c r="DN928" s="0" t="n">
        <v>50</v>
      </c>
      <c r="DO928" s="0" t="n">
        <v>3</v>
      </c>
      <c r="DP928" s="0" t="n">
        <v>1</v>
      </c>
      <c r="DQ928" s="0" t="n">
        <v>0</v>
      </c>
      <c r="DR928" s="0"/>
      <c r="DS928" s="0" t="n">
        <v>1</v>
      </c>
      <c r="DU928" s="0" t="n">
        <v>0</v>
      </c>
      <c r="DW928" s="1" t="n">
        <v>39951</v>
      </c>
      <c r="DX928" s="1" t="n">
        <v>40550</v>
      </c>
      <c r="DZ928" s="0"/>
      <c r="EA928" s="0" t="n">
        <v>1</v>
      </c>
      <c r="EC928" s="1" t="n">
        <v>39951</v>
      </c>
      <c r="ED928" s="1" t="n">
        <v>40550</v>
      </c>
      <c r="EF928" s="0"/>
      <c r="EG928" s="0" t="n">
        <v>0</v>
      </c>
      <c r="EI928" s="0" t="n">
        <f aca="false">IF(AND(DM928=1,DN928&lt;=48),"",IF(AND(DM928=2,DN928&lt;=42),"",IF(AND(DM928=3,DN928&lt;=45),"",EH928)))</f>
        <v>0</v>
      </c>
      <c r="EJ928" s="0" t="str">
        <f aca="false">IF(EI928="","",IF(EI928&lt;9,EI928,9))</f>
        <v/>
      </c>
      <c r="EK928" s="0" t="str">
        <f aca="false">IF(EI928="","",IF(EI928&gt;9,EI928-EJ928,0))</f>
        <v/>
      </c>
      <c r="EL928" s="0" t="str">
        <f aca="false">IF(EI928="","",EJ928*DA928*2+EK928*DA928*3)</f>
        <v/>
      </c>
      <c r="EP928" s="0" t="n">
        <v>1</v>
      </c>
      <c r="EQ928" s="0"/>
      <c r="ER928" s="0" t="n">
        <v>0</v>
      </c>
      <c r="ET928" s="0" t="n">
        <v>0</v>
      </c>
      <c r="EV928" s="0" t="n">
        <v>0</v>
      </c>
      <c r="EX928" s="0" t="n">
        <v>1</v>
      </c>
      <c r="EY928" s="0" t="n">
        <v>1</v>
      </c>
      <c r="FA928" s="4" t="n">
        <v>16590</v>
      </c>
      <c r="FB928" s="0" t="n">
        <v>0</v>
      </c>
      <c r="FC928" s="1" t="n">
        <v>41137</v>
      </c>
      <c r="FD928" s="0" t="n">
        <v>1</v>
      </c>
      <c r="FE928" s="0" t="n">
        <v>55325</v>
      </c>
      <c r="FF928" s="120" t="n">
        <f aca="false">(CJ928-CI928+1)/365</f>
        <v>1.64383561643836</v>
      </c>
      <c r="FG928" s="0" t="str">
        <f aca="false">CONCATENATE(F928,"/",G928)</f>
        <v>418/2011</v>
      </c>
      <c r="FH928" s="0" t="n">
        <v>1</v>
      </c>
      <c r="FI928" s="0" t="n">
        <f aca="false">IFERROR(IF((FC928-J928+1)/365&gt;3,0,1),"")</f>
        <v>1</v>
      </c>
    </row>
    <row r="929" customFormat="false" ht="15" hidden="false" customHeight="false" outlineLevel="0" collapsed="false">
      <c r="A929" s="5" t="str">
        <f aca="false">E929&amp;G929&amp;F929</f>
        <v>72011421</v>
      </c>
      <c r="B929" s="0" t="s">
        <v>8453</v>
      </c>
      <c r="C929" s="1" t="n">
        <v>42391</v>
      </c>
      <c r="D929" s="0" t="s">
        <v>3265</v>
      </c>
      <c r="E929" s="0" t="n">
        <v>7</v>
      </c>
      <c r="F929" s="0" t="n">
        <v>421</v>
      </c>
      <c r="G929" s="0" t="n">
        <v>2011</v>
      </c>
      <c r="H929" s="0" t="str">
        <f aca="false">"J"&amp;E929&amp;"\"&amp;F929&amp;"\"&amp;G929&amp;"\"&amp;W929</f>
        <v>J7\421\2011\1</v>
      </c>
      <c r="I929" s="0"/>
      <c r="J929" s="1" t="n">
        <v>40605</v>
      </c>
      <c r="M929" s="1"/>
      <c r="N929" s="1"/>
      <c r="O929" s="1"/>
      <c r="P929" s="1"/>
      <c r="Q929" s="1"/>
      <c r="T929" s="121"/>
      <c r="U929" s="121"/>
      <c r="V929" s="122" t="n">
        <f aca="false">IF(AND(E929&gt;0,F929&gt;0,G929&gt;0),COUNTIFS($E:$E,E929,$F:$F,F929,$G:$G,G929),"")</f>
        <v>1</v>
      </c>
      <c r="W929" s="122" t="n">
        <f aca="false">IF(V929="","",IF(V929=1,1,IF(AND(E928=E929,F928=F929,G928=G929),W928+1,1)))</f>
        <v>1</v>
      </c>
      <c r="X929" s="0" t="n">
        <v>1</v>
      </c>
      <c r="Y929" s="0" t="n">
        <v>3</v>
      </c>
      <c r="Z929" s="0" t="s">
        <v>8481</v>
      </c>
      <c r="AA929" s="0" t="n">
        <v>0</v>
      </c>
      <c r="AB929" s="0" t="s">
        <v>8482</v>
      </c>
      <c r="AC929" s="0" t="s">
        <v>1160</v>
      </c>
      <c r="AD929" s="0" t="s">
        <v>8483</v>
      </c>
      <c r="AE929" s="0" t="n">
        <v>0</v>
      </c>
      <c r="AF929" s="0" t="s">
        <v>896</v>
      </c>
      <c r="AG929" s="0" t="n">
        <v>0</v>
      </c>
      <c r="AH929" s="0" t="s">
        <v>8484</v>
      </c>
      <c r="AI929" s="0" t="s">
        <v>643</v>
      </c>
      <c r="AJ929" s="0" t="s">
        <v>207</v>
      </c>
      <c r="AL929" s="0" t="s">
        <v>7089</v>
      </c>
      <c r="AM929" s="0" t="n">
        <v>1</v>
      </c>
      <c r="AN929" s="0" t="s">
        <v>8484</v>
      </c>
      <c r="AO929" s="0" t="s">
        <v>643</v>
      </c>
      <c r="AP929" s="0" t="s">
        <v>207</v>
      </c>
      <c r="AR929" s="0" t="s">
        <v>2106</v>
      </c>
      <c r="AS929" s="0" t="n">
        <v>1</v>
      </c>
      <c r="AT929" s="0" t="s">
        <v>8484</v>
      </c>
      <c r="AU929" s="0" t="s">
        <v>643</v>
      </c>
      <c r="AV929" s="0" t="s">
        <v>207</v>
      </c>
      <c r="BR929" s="0" t="n">
        <v>1</v>
      </c>
      <c r="BS929" s="0" t="s">
        <v>3504</v>
      </c>
      <c r="BT929" s="0" t="s">
        <v>3503</v>
      </c>
      <c r="BU929" s="0" t="s">
        <v>8485</v>
      </c>
      <c r="BV929" s="123"/>
      <c r="BW929" s="123"/>
      <c r="BX929" s="123"/>
      <c r="BY929" s="123"/>
      <c r="CA929" s="0" t="s">
        <v>216</v>
      </c>
      <c r="CD929" s="0" t="s">
        <v>256</v>
      </c>
      <c r="CE929" s="0" t="n">
        <v>0</v>
      </c>
      <c r="CF929" s="0" t="s">
        <v>6151</v>
      </c>
      <c r="CI929" s="1" t="n">
        <v>40206</v>
      </c>
      <c r="CJ929" s="1" t="n">
        <v>40554</v>
      </c>
      <c r="CK929" s="124" t="n">
        <v>0.333333333333333</v>
      </c>
      <c r="CL929" s="0" t="s">
        <v>7089</v>
      </c>
      <c r="CM929" s="0" t="n">
        <f aca="false">IF(OR(CI929="",CJ929=""),"",DAYS360(CI929,CJ929)/360)</f>
        <v>0.952777777777778</v>
      </c>
      <c r="CN929" s="0" t="n">
        <f aca="false">IF(OR(CI929="",CJ929=""),"",DAYS360(CI929,CJ929)/30)</f>
        <v>11.4333333333333</v>
      </c>
      <c r="CO929" s="0" t="n">
        <f aca="false">IF(OR(CI929="",CJ929=""),"",DAYS360(CI929,CJ929)/7)</f>
        <v>49</v>
      </c>
      <c r="CP929" s="0" t="n">
        <f aca="false">IF(OR(CI929="",CJ929=""),"",DAYS360(CI929,CJ929))</f>
        <v>343</v>
      </c>
      <c r="CQ929" s="0" t="s">
        <v>240</v>
      </c>
      <c r="CR929" s="0" t="n">
        <v>1</v>
      </c>
      <c r="CT929" s="0" t="n">
        <v>253.33</v>
      </c>
      <c r="CU929" s="0" t="n">
        <v>0</v>
      </c>
      <c r="CV929" s="0" t="n">
        <f aca="false">IF(OR(CT929="",CT929="NO ESPECIFICA",CT929="NO MENCIONA"),"",IF(CU929=0,CT929,IF(CU929=1,CT929/30,IF(CU929=2,CT929/15,IF(CU929=3,CT929/7,"")))))</f>
        <v>253.33</v>
      </c>
      <c r="CW929" s="125" t="n">
        <v>303.33</v>
      </c>
      <c r="CX929" s="0" t="n">
        <v>0</v>
      </c>
      <c r="CY929" s="0" t="n">
        <f aca="false">IF(CW929="","",IF(CX929=0,CW929,IF(CX929=1,CW929/30,IF(CX929=2,CW929/15,IF(CX929=3,CW929/7,CW929)))))</f>
        <v>303.33</v>
      </c>
      <c r="CZ929" s="0" t="n">
        <f aca="false">IF(DI929&gt;0,DI929,IF(CY929&gt;0,CY929,IF(CV929&gt;0,CV929,"")))</f>
        <v>303.33</v>
      </c>
      <c r="DA929" s="0" t="n">
        <f aca="false">IF(DM929=1,CZ929/8,IF(OR(DM929=2,DM929=4),CZ929/7,IF(DM929=3,CZ929/7.5,"")))</f>
        <v>37.91625</v>
      </c>
      <c r="DB929" s="0" t="s">
        <v>2957</v>
      </c>
      <c r="DC929" s="0" t="s">
        <v>216</v>
      </c>
      <c r="DD929" s="0" t="s">
        <v>216</v>
      </c>
      <c r="DE929" s="0" t="s">
        <v>216</v>
      </c>
      <c r="DF929" s="0" t="s">
        <v>216</v>
      </c>
      <c r="DG929" s="0" t="s">
        <v>216</v>
      </c>
      <c r="DH929" s="0" t="n">
        <v>0</v>
      </c>
      <c r="DI929" s="126" t="n">
        <v>303.33</v>
      </c>
      <c r="DK929" s="0" t="n">
        <v>0</v>
      </c>
      <c r="DM929" s="0" t="n">
        <v>1</v>
      </c>
      <c r="DN929" s="0" t="n">
        <v>60</v>
      </c>
      <c r="DO929" s="0" t="n">
        <v>3</v>
      </c>
      <c r="DP929" s="0" t="n">
        <v>0</v>
      </c>
      <c r="DQ929" s="0" t="n">
        <v>1</v>
      </c>
      <c r="DR929" s="0" t="n">
        <v>27299</v>
      </c>
      <c r="DS929" s="0" t="n">
        <v>1</v>
      </c>
      <c r="DU929" s="0" t="n">
        <v>1</v>
      </c>
      <c r="DW929" s="1" t="n">
        <v>40206</v>
      </c>
      <c r="DX929" s="1" t="n">
        <v>40554</v>
      </c>
      <c r="DZ929" s="0"/>
      <c r="EA929" s="0" t="n">
        <v>1</v>
      </c>
      <c r="EC929" s="1" t="n">
        <v>40206</v>
      </c>
      <c r="ED929" s="1" t="n">
        <v>40554</v>
      </c>
      <c r="EF929" s="0"/>
      <c r="EG929" s="0" t="n">
        <v>1</v>
      </c>
      <c r="EH929" s="0" t="n">
        <v>12</v>
      </c>
      <c r="EI929" s="0" t="n">
        <f aca="false">IF(AND(DM929=1,DN929&lt;=48),"",IF(AND(DM929=2,DN929&lt;=42),"",IF(AND(DM929=3,DN929&lt;=45),"",EH929)))</f>
        <v>12</v>
      </c>
      <c r="EJ929" s="0" t="n">
        <f aca="false">IF(EI929="","",IF(EI929&lt;9,EI929,9))</f>
        <v>9</v>
      </c>
      <c r="EK929" s="0" t="n">
        <f aca="false">IF(EI929="","",IF(EI929&gt;9,EI929-EJ929,0))</f>
        <v>3</v>
      </c>
      <c r="EL929" s="0" t="n">
        <f aca="false">IF(EI929="","",EJ929*DA929*2+EK929*DA929*3)</f>
        <v>1023.73875</v>
      </c>
      <c r="EP929" s="0" t="n">
        <v>0</v>
      </c>
      <c r="EQ929" s="0"/>
      <c r="ER929" s="0" t="n">
        <v>0</v>
      </c>
      <c r="ET929" s="0" t="n">
        <v>0</v>
      </c>
      <c r="EV929" s="0" t="n">
        <v>0</v>
      </c>
      <c r="EX929" s="0" t="n">
        <v>0</v>
      </c>
      <c r="EY929" s="0" t="n">
        <v>0</v>
      </c>
      <c r="FA929" s="4" t="n">
        <v>0</v>
      </c>
      <c r="FB929" s="0" t="n">
        <v>0</v>
      </c>
      <c r="FC929" s="1" t="n">
        <v>40652</v>
      </c>
      <c r="FD929" s="0" t="n">
        <v>2</v>
      </c>
      <c r="FE929" s="0" t="n">
        <v>0</v>
      </c>
      <c r="FF929" s="120" t="n">
        <f aca="false">(CJ929-CI929+1)/365</f>
        <v>0.956164383561644</v>
      </c>
      <c r="FG929" s="0" t="str">
        <f aca="false">CONCATENATE(F929,"/",G929)</f>
        <v>421/2011</v>
      </c>
      <c r="FH929" s="0" t="n">
        <v>1</v>
      </c>
      <c r="FI929" s="0" t="n">
        <f aca="false">IFERROR(IF((FC929-J929+1)/365&gt;3,0,1),"")</f>
        <v>1</v>
      </c>
    </row>
    <row r="930" customFormat="false" ht="15" hidden="false" customHeight="false" outlineLevel="0" collapsed="false">
      <c r="A930" s="5" t="str">
        <f aca="false">E930&amp;G930&amp;F930</f>
        <v>720111279</v>
      </c>
      <c r="B930" s="0" t="s">
        <v>6231</v>
      </c>
      <c r="C930" s="1" t="n">
        <v>42377</v>
      </c>
      <c r="D930" s="0" t="s">
        <v>8486</v>
      </c>
      <c r="E930" s="0" t="n">
        <v>7</v>
      </c>
      <c r="F930" s="0" t="n">
        <v>1279</v>
      </c>
      <c r="G930" s="0" t="n">
        <v>2011</v>
      </c>
      <c r="H930" s="0" t="str">
        <f aca="false">"J"&amp;E930&amp;"\"&amp;F930&amp;"\"&amp;G930&amp;"\"&amp;W930</f>
        <v>J7\1279\2011\1</v>
      </c>
      <c r="I930" s="0"/>
      <c r="J930" s="1" t="n">
        <v>40756</v>
      </c>
      <c r="K930" s="0" t="n">
        <v>0</v>
      </c>
      <c r="M930" s="1"/>
      <c r="N930" s="1"/>
      <c r="O930" s="1"/>
      <c r="P930" s="1"/>
      <c r="Q930" s="1"/>
      <c r="T930" s="121"/>
      <c r="U930" s="121"/>
      <c r="V930" s="122" t="n">
        <f aca="false">IF(AND(E930&gt;0,F930&gt;0,G930&gt;0),COUNTIFS($E:$E,E930,$F:$F,F930,$G:$G,G930),"")</f>
        <v>1</v>
      </c>
      <c r="W930" s="122" t="n">
        <f aca="false">IF(V930="","",IF(V930=1,1,IF(AND(E929=E930,F929=F930,G929=G930),W929+1,1)))</f>
        <v>1</v>
      </c>
      <c r="X930" s="0" t="n">
        <v>1</v>
      </c>
      <c r="Y930" s="0" t="n">
        <v>4</v>
      </c>
      <c r="Z930" s="0" t="s">
        <v>8487</v>
      </c>
      <c r="AA930" s="0" t="n">
        <v>0</v>
      </c>
      <c r="AB930" s="0" t="s">
        <v>8488</v>
      </c>
      <c r="AC930" s="0" t="s">
        <v>1661</v>
      </c>
      <c r="AD930" s="0" t="s">
        <v>221</v>
      </c>
      <c r="AE930" s="0" t="n">
        <v>0</v>
      </c>
      <c r="AF930" s="0" t="s">
        <v>8489</v>
      </c>
      <c r="AG930" s="0" t="n">
        <v>0</v>
      </c>
      <c r="AH930" s="0" t="s">
        <v>8490</v>
      </c>
      <c r="AI930" s="0" t="s">
        <v>8491</v>
      </c>
      <c r="AJ930" s="0" t="s">
        <v>2266</v>
      </c>
      <c r="AL930" s="0" t="s">
        <v>8492</v>
      </c>
      <c r="AM930" s="0" t="n">
        <v>1</v>
      </c>
      <c r="AN930" s="0" t="s">
        <v>8490</v>
      </c>
      <c r="AO930" s="0" t="s">
        <v>8491</v>
      </c>
      <c r="AP930" s="0" t="s">
        <v>2266</v>
      </c>
      <c r="AR930" s="0" t="s">
        <v>8493</v>
      </c>
      <c r="AS930" s="0" t="n">
        <v>1</v>
      </c>
      <c r="AT930" s="0" t="s">
        <v>8490</v>
      </c>
      <c r="AU930" s="0" t="s">
        <v>8491</v>
      </c>
      <c r="AV930" s="0" t="s">
        <v>2266</v>
      </c>
      <c r="AX930" s="0" t="s">
        <v>8494</v>
      </c>
      <c r="AY930" s="0" t="n">
        <v>1</v>
      </c>
      <c r="AZ930" s="0" t="s">
        <v>8490</v>
      </c>
      <c r="BA930" s="0" t="s">
        <v>8491</v>
      </c>
      <c r="BB930" s="0" t="s">
        <v>2266</v>
      </c>
      <c r="BR930" s="0" t="n">
        <v>1</v>
      </c>
      <c r="BS930" s="0" t="s">
        <v>8495</v>
      </c>
      <c r="BV930" s="123"/>
      <c r="BW930" s="123"/>
      <c r="BX930" s="123"/>
      <c r="BY930" s="123"/>
      <c r="CA930" s="0" t="s">
        <v>8496</v>
      </c>
      <c r="CD930" s="0" t="s">
        <v>256</v>
      </c>
      <c r="CE930" s="0" t="n">
        <v>0</v>
      </c>
      <c r="CF930" s="0" t="s">
        <v>8497</v>
      </c>
      <c r="CI930" s="1" t="n">
        <v>34341</v>
      </c>
      <c r="CJ930" s="1" t="n">
        <v>40683</v>
      </c>
      <c r="CK930" s="124" t="n">
        <v>0.791666666666667</v>
      </c>
      <c r="CL930" s="0" t="s">
        <v>8492</v>
      </c>
      <c r="CM930" s="0" t="n">
        <f aca="false">IF(OR(CI930="",CJ930=""),"",DAYS360(CI930,CJ930)/360)</f>
        <v>17.3694444444444</v>
      </c>
      <c r="CN930" s="0" t="n">
        <f aca="false">IF(OR(CI930="",CJ930=""),"",DAYS360(CI930,CJ930)/30)</f>
        <v>208.433333333333</v>
      </c>
      <c r="CO930" s="0" t="n">
        <f aca="false">IF(OR(CI930="",CJ930=""),"",DAYS360(CI930,CJ930)/7)</f>
        <v>893.285714285714</v>
      </c>
      <c r="CP930" s="0" t="n">
        <f aca="false">IF(OR(CI930="",CJ930=""),"",DAYS360(CI930,CJ930))</f>
        <v>6253</v>
      </c>
      <c r="CQ930" s="0" t="s">
        <v>240</v>
      </c>
      <c r="CR930" s="0" t="n">
        <v>1</v>
      </c>
      <c r="CT930" s="0" t="s">
        <v>216</v>
      </c>
      <c r="CU930" s="0" t="s">
        <v>216</v>
      </c>
      <c r="CV930" s="0" t="str">
        <f aca="false">IF(OR(CT930="",CT930="NO ESPECIFICA",CT930="NO MENCIONA"),"",IF(CU930=0,CT930,IF(CU930=1,CT930/30,IF(CU930=2,CT930/15,IF(CU930=3,CT930/7,"")))))</f>
        <v/>
      </c>
      <c r="CW930" s="125" t="n">
        <v>500</v>
      </c>
      <c r="CX930" s="0" t="n">
        <v>0</v>
      </c>
      <c r="CY930" s="0" t="n">
        <f aca="false">IF(CW930="","",IF(CX930=0,CW930,IF(CX930=1,CW930/30,IF(CX930=2,CW930/15,IF(CX930=3,CW930/7,CW930)))))</f>
        <v>500</v>
      </c>
      <c r="CZ930" s="0" t="n">
        <f aca="false">IF(DI930&gt;0,DI930,IF(CY930&gt;0,CY930,IF(CV930&gt;0,CV930,"")))</f>
        <v>500</v>
      </c>
      <c r="DA930" s="0" t="n">
        <f aca="false">IF(DM930=1,CZ930/8,IF(OR(DM930=2,DM930=4),CZ930/7,IF(DM930=3,CZ930/7.5,"")))</f>
        <v>62.5</v>
      </c>
      <c r="DB930" s="0" t="s">
        <v>302</v>
      </c>
      <c r="DC930" s="0" t="s">
        <v>303</v>
      </c>
      <c r="DD930" s="0" t="s">
        <v>301</v>
      </c>
      <c r="DE930" s="0" t="s">
        <v>417</v>
      </c>
      <c r="DF930" s="0" t="s">
        <v>8498</v>
      </c>
      <c r="DG930" s="0" t="s">
        <v>216</v>
      </c>
      <c r="DH930" s="0" t="n">
        <v>0</v>
      </c>
      <c r="DI930" s="126" t="n">
        <v>500</v>
      </c>
      <c r="DK930" s="0" t="n">
        <v>1</v>
      </c>
      <c r="DM930" s="0" t="n">
        <v>1</v>
      </c>
      <c r="DN930" s="0" t="n">
        <v>66</v>
      </c>
      <c r="DO930" s="0" t="n">
        <v>3</v>
      </c>
      <c r="DP930" s="0" t="n">
        <v>0</v>
      </c>
      <c r="DQ930" s="0" t="n">
        <v>1</v>
      </c>
      <c r="DR930" s="0"/>
      <c r="DS930" s="0" t="n">
        <v>1</v>
      </c>
      <c r="DU930" s="0" t="n">
        <v>0</v>
      </c>
      <c r="DW930" s="1" t="n">
        <v>34341</v>
      </c>
      <c r="DX930" s="1" t="n">
        <v>40683</v>
      </c>
      <c r="DZ930" s="0"/>
      <c r="EA930" s="0" t="n">
        <v>1</v>
      </c>
      <c r="EC930" s="1" t="n">
        <v>34341</v>
      </c>
      <c r="ED930" s="1" t="n">
        <v>40683</v>
      </c>
      <c r="EF930" s="0"/>
      <c r="EG930" s="0" t="n">
        <v>1</v>
      </c>
      <c r="EH930" s="0" t="n">
        <v>18</v>
      </c>
      <c r="EI930" s="0" t="n">
        <f aca="false">IF(AND(DM930=1,DN930&lt;=48),"",IF(AND(DM930=2,DN930&lt;=42),"",IF(AND(DM930=3,DN930&lt;=45),"",EH930)))</f>
        <v>18</v>
      </c>
      <c r="EJ930" s="0" t="n">
        <f aca="false">IF(EI930="","",IF(EI930&lt;9,EI930,9))</f>
        <v>9</v>
      </c>
      <c r="EK930" s="0" t="n">
        <f aca="false">IF(EI930="","",IF(EI930&gt;9,EI930-EJ930,0))</f>
        <v>9</v>
      </c>
      <c r="EL930" s="0" t="n">
        <f aca="false">IF(EI930="","",EJ930*DA930*2+EK930*DA930*3)</f>
        <v>2812.5</v>
      </c>
      <c r="EP930" s="0" t="n">
        <v>0</v>
      </c>
      <c r="EQ930" s="0"/>
      <c r="ER930" s="0" t="n">
        <v>0</v>
      </c>
      <c r="ET930" s="0" t="n">
        <v>0</v>
      </c>
      <c r="EV930" s="0" t="n">
        <v>0</v>
      </c>
      <c r="EX930" s="0" t="n">
        <v>0</v>
      </c>
      <c r="EY930" s="0" t="n">
        <v>0</v>
      </c>
      <c r="FA930" s="4" t="n">
        <v>189800</v>
      </c>
      <c r="FB930" s="0" t="n">
        <v>1</v>
      </c>
      <c r="FC930" s="1" t="n">
        <v>41774</v>
      </c>
      <c r="FD930" s="0" t="n">
        <v>3</v>
      </c>
      <c r="FE930" s="0" t="n">
        <v>300000</v>
      </c>
      <c r="FF930" s="120" t="n">
        <f aca="false">(CJ930-CI930+1)/365</f>
        <v>17.3780821917808</v>
      </c>
      <c r="FG930" s="0" t="str">
        <f aca="false">CONCATENATE(F930,"/",G930)</f>
        <v>1279/2011</v>
      </c>
      <c r="FH930" s="0" t="n">
        <v>1</v>
      </c>
      <c r="FI930" s="0" t="n">
        <f aca="false">IFERROR(IF((FC930-J930+1)/365&gt;3,0,1),"")</f>
        <v>1</v>
      </c>
    </row>
    <row r="931" customFormat="false" ht="15" hidden="false" customHeight="false" outlineLevel="0" collapsed="false">
      <c r="A931" s="5" t="str">
        <f aca="false">E931&amp;G931&amp;F931</f>
        <v>720111288</v>
      </c>
      <c r="B931" s="0" t="s">
        <v>6231</v>
      </c>
      <c r="C931" s="1" t="n">
        <v>42380</v>
      </c>
      <c r="E931" s="0" t="n">
        <v>7</v>
      </c>
      <c r="F931" s="0" t="n">
        <v>1288</v>
      </c>
      <c r="G931" s="0" t="n">
        <v>2011</v>
      </c>
      <c r="H931" s="0" t="str">
        <f aca="false">"J"&amp;E931&amp;"\"&amp;F931&amp;"\"&amp;G931&amp;"\"&amp;W931</f>
        <v>J7\1288\2011\1</v>
      </c>
      <c r="I931" s="0"/>
      <c r="J931" s="1" t="n">
        <v>40757</v>
      </c>
      <c r="K931" s="0" t="n">
        <v>0</v>
      </c>
      <c r="M931" s="1" t="n">
        <v>40757</v>
      </c>
      <c r="N931" s="1" t="n">
        <v>40954</v>
      </c>
      <c r="O931" s="1"/>
      <c r="P931" s="1"/>
      <c r="Q931" s="1"/>
      <c r="T931" s="121"/>
      <c r="U931" s="121"/>
      <c r="V931" s="122" t="n">
        <f aca="false">IF(AND(E931&gt;0,F931&gt;0,G931&gt;0),COUNTIFS($E:$E,E931,$F:$F,F931,$G:$G,G931),"")</f>
        <v>1</v>
      </c>
      <c r="W931" s="122" t="n">
        <f aca="false">IF(V931="","",IF(V931=1,1,IF(AND(E930=E931,F930=F931,G930=G931),W930+1,1)))</f>
        <v>1</v>
      </c>
      <c r="X931" s="0" t="n">
        <v>1</v>
      </c>
      <c r="Y931" s="0" t="n">
        <v>3</v>
      </c>
      <c r="Z931" s="0" t="s">
        <v>8499</v>
      </c>
      <c r="AA931" s="0" t="n">
        <v>0</v>
      </c>
      <c r="AB931" s="0" t="s">
        <v>273</v>
      </c>
      <c r="AC931" s="0" t="s">
        <v>274</v>
      </c>
      <c r="AD931" s="0" t="s">
        <v>221</v>
      </c>
      <c r="AE931" s="0" t="n">
        <v>0</v>
      </c>
      <c r="AF931" s="0" t="s">
        <v>8500</v>
      </c>
      <c r="AG931" s="0" t="n">
        <v>1</v>
      </c>
      <c r="AH931" s="0" t="s">
        <v>8501</v>
      </c>
      <c r="AI931" s="0" t="s">
        <v>8502</v>
      </c>
      <c r="AJ931" s="0" t="s">
        <v>2340</v>
      </c>
      <c r="AL931" s="0" t="s">
        <v>8503</v>
      </c>
      <c r="AM931" s="0" t="n">
        <v>1</v>
      </c>
      <c r="AN931" s="0" t="s">
        <v>8501</v>
      </c>
      <c r="AO931" s="0" t="s">
        <v>8502</v>
      </c>
      <c r="AP931" s="0" t="s">
        <v>2340</v>
      </c>
      <c r="AR931" s="0" t="s">
        <v>8504</v>
      </c>
      <c r="AS931" s="0" t="n">
        <v>1</v>
      </c>
      <c r="AT931" s="0" t="s">
        <v>8501</v>
      </c>
      <c r="AU931" s="0" t="s">
        <v>8502</v>
      </c>
      <c r="AV931" s="0" t="s">
        <v>2340</v>
      </c>
      <c r="BR931" s="0" t="n">
        <v>1</v>
      </c>
      <c r="BS931" s="0" t="s">
        <v>279</v>
      </c>
      <c r="BV931" s="123"/>
      <c r="BW931" s="123"/>
      <c r="BX931" s="123"/>
      <c r="BY931" s="123"/>
      <c r="CA931" s="0" t="s">
        <v>216</v>
      </c>
      <c r="CD931" s="0" t="s">
        <v>256</v>
      </c>
      <c r="CE931" s="0" t="n">
        <v>0</v>
      </c>
      <c r="CF931" s="0" t="s">
        <v>8505</v>
      </c>
      <c r="CI931" s="1" t="n">
        <v>33231</v>
      </c>
      <c r="CJ931" s="1" t="n">
        <v>40749</v>
      </c>
      <c r="CK931" s="124" t="n">
        <v>0.333333333333333</v>
      </c>
      <c r="CL931" s="0" t="s">
        <v>8503</v>
      </c>
      <c r="CM931" s="0" t="n">
        <f aca="false">IF(OR(CI931="",CJ931=""),"",DAYS360(CI931,CJ931)/360)</f>
        <v>20.5861111111111</v>
      </c>
      <c r="CN931" s="0" t="n">
        <f aca="false">IF(OR(CI931="",CJ931=""),"",DAYS360(CI931,CJ931)/30)</f>
        <v>247.033333333333</v>
      </c>
      <c r="CO931" s="0" t="n">
        <f aca="false">IF(OR(CI931="",CJ931=""),"",DAYS360(CI931,CJ931)/7)</f>
        <v>1058.71428571429</v>
      </c>
      <c r="CP931" s="0" t="n">
        <f aca="false">IF(OR(CI931="",CJ931=""),"",DAYS360(CI931,CJ931))</f>
        <v>7411</v>
      </c>
      <c r="CQ931" s="0" t="s">
        <v>240</v>
      </c>
      <c r="CR931" s="0" t="n">
        <v>1</v>
      </c>
      <c r="CT931" s="0" t="s">
        <v>221</v>
      </c>
      <c r="CU931" s="0" t="s">
        <v>221</v>
      </c>
      <c r="CV931" s="0" t="str">
        <f aca="false">IF(OR(CT931="",CT931="NO ESPECIFICA",CT931="NO MENCIONA"),"",IF(CU931=0,CT931,IF(CU931=1,CT931/30,IF(CU931=2,CT931/15,IF(CU931=3,CT931/7,"")))))</f>
        <v/>
      </c>
      <c r="CW931" s="125" t="n">
        <v>1000</v>
      </c>
      <c r="CX931" s="0" t="n">
        <v>3</v>
      </c>
      <c r="CY931" s="0" t="n">
        <f aca="false">IF(CW931="","",IF(CX931=0,CW931,IF(CX931=1,CW931/30,IF(CX931=2,CW931/15,IF(CX931=3,CW931/7,CW931)))))</f>
        <v>142.857142857143</v>
      </c>
      <c r="CZ931" s="0" t="n">
        <f aca="false">IF(DI931&gt;0,DI931,IF(CY931&gt;0,CY931,IF(CV931&gt;0,CV931,"")))</f>
        <v>142.857142857143</v>
      </c>
      <c r="DA931" s="0" t="n">
        <f aca="false">IF(DM931=1,CZ931/8,IF(OR(DM931=2,DM931=4),CZ931/7,IF(DM931=3,CZ931/7.5,"")))</f>
        <v>17.8571428571429</v>
      </c>
      <c r="DB931" s="0" t="s">
        <v>216</v>
      </c>
      <c r="DC931" s="0" t="s">
        <v>216</v>
      </c>
      <c r="DD931" s="0" t="s">
        <v>216</v>
      </c>
      <c r="DE931" s="0" t="s">
        <v>216</v>
      </c>
      <c r="DF931" s="0" t="s">
        <v>216</v>
      </c>
      <c r="DG931" s="0" t="s">
        <v>216</v>
      </c>
      <c r="DH931" s="0" t="n">
        <v>0</v>
      </c>
      <c r="DI931" s="126" t="n">
        <v>142.857142857143</v>
      </c>
      <c r="DK931" s="0" t="n">
        <v>0</v>
      </c>
      <c r="DM931" s="0" t="n">
        <v>1</v>
      </c>
      <c r="DN931" s="0" t="n">
        <v>77</v>
      </c>
      <c r="DO931" s="0" t="n">
        <v>3</v>
      </c>
      <c r="DP931" s="0" t="n">
        <v>0</v>
      </c>
      <c r="DQ931" s="0" t="n">
        <v>1</v>
      </c>
      <c r="DR931" s="0"/>
      <c r="DS931" s="0" t="n">
        <v>1</v>
      </c>
      <c r="DU931" s="0" t="n">
        <v>1</v>
      </c>
      <c r="DW931" s="1" t="n">
        <v>40171</v>
      </c>
      <c r="DX931" s="1" t="n">
        <v>40749</v>
      </c>
      <c r="DZ931" s="0"/>
      <c r="EA931" s="0" t="n">
        <v>1</v>
      </c>
      <c r="EC931" s="1" t="n">
        <v>40536</v>
      </c>
      <c r="ED931" s="1" t="n">
        <v>40749</v>
      </c>
      <c r="EF931" s="0"/>
      <c r="EG931" s="0" t="n">
        <v>1</v>
      </c>
      <c r="EH931" s="0" t="n">
        <v>21</v>
      </c>
      <c r="EI931" s="0" t="n">
        <f aca="false">IF(AND(DM931=1,DN931&lt;=48),"",IF(AND(DM931=2,DN931&lt;=42),"",IF(AND(DM931=3,DN931&lt;=45),"",EH931)))</f>
        <v>21</v>
      </c>
      <c r="EJ931" s="0" t="n">
        <f aca="false">IF(EI931="","",IF(EI931&lt;9,EI931,9))</f>
        <v>9</v>
      </c>
      <c r="EK931" s="0" t="n">
        <f aca="false">IF(EI931="","",IF(EI931&gt;9,EI931-EJ931,0))</f>
        <v>12</v>
      </c>
      <c r="EL931" s="0" t="n">
        <f aca="false">IF(EI931="","",EJ931*DA931*2+EK931*DA931*3)</f>
        <v>964.285714285714</v>
      </c>
      <c r="EM931" s="0" t="n">
        <v>29.4285714285714</v>
      </c>
      <c r="EP931" s="0" t="n">
        <v>0</v>
      </c>
      <c r="EQ931" s="0"/>
      <c r="ER931" s="0" t="n">
        <v>0</v>
      </c>
      <c r="ET931" s="0" t="n">
        <v>0</v>
      </c>
      <c r="EV931" s="0" t="n">
        <v>0</v>
      </c>
      <c r="EX931" s="0" t="n">
        <v>0</v>
      </c>
      <c r="EY931" s="0" t="n">
        <v>0</v>
      </c>
      <c r="FA931" s="4" t="n">
        <v>2000.04</v>
      </c>
      <c r="FB931" s="0" t="n">
        <v>0</v>
      </c>
      <c r="FC931" s="1" t="n">
        <v>41079</v>
      </c>
      <c r="FD931" s="0" t="n">
        <v>2</v>
      </c>
      <c r="FE931" s="0" t="n">
        <v>0</v>
      </c>
      <c r="FF931" s="120" t="n">
        <f aca="false">(CJ931-CI931+1)/365</f>
        <v>20.6</v>
      </c>
      <c r="FG931" s="0" t="str">
        <f aca="false">CONCATENATE(F931,"/",G931)</f>
        <v>1288/2011</v>
      </c>
      <c r="FH931" s="0" t="n">
        <v>1</v>
      </c>
      <c r="FI931" s="0" t="n">
        <f aca="false">IFERROR(IF((FC931-J931+1)/365&gt;3,0,1),"")</f>
        <v>1</v>
      </c>
    </row>
    <row r="932" customFormat="false" ht="15" hidden="false" customHeight="false" outlineLevel="0" collapsed="false">
      <c r="A932" s="5" t="str">
        <f aca="false">E932&amp;G932&amp;F932</f>
        <v>720111292</v>
      </c>
      <c r="B932" s="0" t="s">
        <v>6231</v>
      </c>
      <c r="C932" s="1" t="n">
        <v>42380</v>
      </c>
      <c r="D932" s="0" t="s">
        <v>8486</v>
      </c>
      <c r="E932" s="0" t="n">
        <v>7</v>
      </c>
      <c r="F932" s="0" t="n">
        <v>1292</v>
      </c>
      <c r="G932" s="0" t="n">
        <v>2011</v>
      </c>
      <c r="H932" s="0" t="str">
        <f aca="false">"J"&amp;E932&amp;"\"&amp;F932&amp;"\"&amp;G932&amp;"\"&amp;W932</f>
        <v>J7\1292\2011\1</v>
      </c>
      <c r="I932" s="0"/>
      <c r="J932" s="1" t="n">
        <v>40757</v>
      </c>
      <c r="K932" s="0" t="n">
        <v>0</v>
      </c>
      <c r="M932" s="1"/>
      <c r="N932" s="1"/>
      <c r="O932" s="1"/>
      <c r="P932" s="1"/>
      <c r="Q932" s="1"/>
      <c r="T932" s="121"/>
      <c r="U932" s="121"/>
      <c r="V932" s="122" t="n">
        <f aca="false">IF(AND(E932&gt;0,F932&gt;0,G932&gt;0),COUNTIFS($E:$E,E932,$F:$F,F932,$G:$G,G932),"")</f>
        <v>1</v>
      </c>
      <c r="W932" s="122" t="n">
        <f aca="false">IF(V932="","",IF(V932=1,1,IF(AND(E931=E932,F931=F932,G931=G932),W931+1,1)))</f>
        <v>1</v>
      </c>
      <c r="X932" s="0" t="n">
        <v>1</v>
      </c>
      <c r="Y932" s="0" t="n">
        <v>7</v>
      </c>
      <c r="Z932" s="0" t="s">
        <v>8506</v>
      </c>
      <c r="AA932" s="0" t="n">
        <v>0</v>
      </c>
      <c r="AB932" s="0" t="s">
        <v>8507</v>
      </c>
      <c r="AC932" s="0" t="s">
        <v>228</v>
      </c>
      <c r="AD932" s="0" t="s">
        <v>1160</v>
      </c>
      <c r="AE932" s="0" t="n">
        <v>0</v>
      </c>
      <c r="AF932" s="0" t="s">
        <v>3538</v>
      </c>
      <c r="AG932" s="0" t="n">
        <v>0</v>
      </c>
      <c r="AH932" s="0" t="s">
        <v>8508</v>
      </c>
      <c r="AI932" s="0" t="s">
        <v>251</v>
      </c>
      <c r="AJ932" s="0" t="s">
        <v>1160</v>
      </c>
      <c r="AL932" s="0" t="s">
        <v>8509</v>
      </c>
      <c r="AM932" s="0" t="n">
        <v>1</v>
      </c>
      <c r="AN932" s="0" t="s">
        <v>8508</v>
      </c>
      <c r="AO932" s="0" t="s">
        <v>251</v>
      </c>
      <c r="AP932" s="0" t="s">
        <v>1160</v>
      </c>
      <c r="AR932" s="0" t="s">
        <v>8510</v>
      </c>
      <c r="AS932" s="0" t="n">
        <v>0</v>
      </c>
      <c r="AT932" s="0" t="s">
        <v>2399</v>
      </c>
      <c r="AU932" s="0" t="s">
        <v>2400</v>
      </c>
      <c r="AV932" s="0" t="s">
        <v>2218</v>
      </c>
      <c r="AX932" s="0" t="s">
        <v>8511</v>
      </c>
      <c r="AY932" s="0" t="n">
        <v>1</v>
      </c>
      <c r="AZ932" s="0" t="s">
        <v>2399</v>
      </c>
      <c r="BA932" s="0" t="s">
        <v>2400</v>
      </c>
      <c r="BB932" s="0" t="s">
        <v>2218</v>
      </c>
      <c r="BD932" s="0" t="s">
        <v>8512</v>
      </c>
      <c r="BE932" s="0" t="n">
        <v>1</v>
      </c>
      <c r="BF932" s="0" t="s">
        <v>2399</v>
      </c>
      <c r="BG932" s="0" t="s">
        <v>2400</v>
      </c>
      <c r="BH932" s="0" t="s">
        <v>2218</v>
      </c>
      <c r="BJ932" s="0" t="s">
        <v>8513</v>
      </c>
      <c r="BK932" s="0" t="n">
        <v>1</v>
      </c>
      <c r="BL932" s="0" t="s">
        <v>2399</v>
      </c>
      <c r="BM932" s="0" t="s">
        <v>2400</v>
      </c>
      <c r="BN932" s="0" t="s">
        <v>2218</v>
      </c>
      <c r="BR932" s="0" t="n">
        <v>1</v>
      </c>
      <c r="BS932" s="0" t="s">
        <v>8514</v>
      </c>
      <c r="BT932" s="0" t="s">
        <v>8515</v>
      </c>
      <c r="BV932" s="123"/>
      <c r="BW932" s="123"/>
      <c r="BX932" s="123"/>
      <c r="BY932" s="123"/>
      <c r="CA932" s="0" t="s">
        <v>216</v>
      </c>
      <c r="CD932" s="0" t="s">
        <v>296</v>
      </c>
      <c r="CE932" s="0" t="n">
        <v>0</v>
      </c>
      <c r="CF932" s="0" t="s">
        <v>8516</v>
      </c>
      <c r="CI932" s="1" t="n">
        <v>39627</v>
      </c>
      <c r="CJ932" s="1" t="n">
        <v>40711</v>
      </c>
      <c r="CK932" s="124" t="n">
        <v>0.520833333333333</v>
      </c>
      <c r="CL932" s="0" t="s">
        <v>8517</v>
      </c>
      <c r="CM932" s="0" t="n">
        <f aca="false">IF(OR(CI932="",CJ932=""),"",DAYS360(CI932,CJ932)/360)</f>
        <v>2.96944444444444</v>
      </c>
      <c r="CN932" s="0" t="n">
        <f aca="false">IF(OR(CI932="",CJ932=""),"",DAYS360(CI932,CJ932)/30)</f>
        <v>35.6333333333333</v>
      </c>
      <c r="CO932" s="0" t="n">
        <f aca="false">IF(OR(CI932="",CJ932=""),"",DAYS360(CI932,CJ932)/7)</f>
        <v>152.714285714286</v>
      </c>
      <c r="CP932" s="0" t="n">
        <f aca="false">IF(OR(CI932="",CJ932=""),"",DAYS360(CI932,CJ932))</f>
        <v>1069</v>
      </c>
      <c r="CQ932" s="0" t="s">
        <v>220</v>
      </c>
      <c r="CR932" s="0" t="n">
        <v>1</v>
      </c>
      <c r="CT932" s="0" t="s">
        <v>221</v>
      </c>
      <c r="CU932" s="0" t="s">
        <v>221</v>
      </c>
      <c r="CV932" s="0" t="str">
        <f aca="false">IF(OR(CT932="",CT932="NO ESPECIFICA",CT932="NO MENCIONA"),"",IF(CU932=0,CT932,IF(CU932=1,CT932/30,IF(CU932=2,CT932/15,IF(CU932=3,CT932/7,"")))))</f>
        <v/>
      </c>
      <c r="CW932" s="125" t="n">
        <v>10000</v>
      </c>
      <c r="CX932" s="0" t="n">
        <v>1</v>
      </c>
      <c r="CY932" s="0" t="n">
        <f aca="false">IF(CW932="","",IF(CX932=0,CW932,IF(CX932=1,CW932/30,IF(CX932=2,CW932/15,IF(CX932=3,CW932/7,CW932)))))</f>
        <v>333.333333333333</v>
      </c>
      <c r="CZ932" s="0" t="n">
        <f aca="false">IF(DI932&gt;0,DI932,IF(CY932&gt;0,CY932,IF(CV932&gt;0,CV932,"")))</f>
        <v>333.333333333333</v>
      </c>
      <c r="DA932" s="0" t="n">
        <f aca="false">IF(DM932=1,CZ932/8,IF(OR(DM932=2,DM932=4),CZ932/7,IF(DM932=3,CZ932/7.5,"")))</f>
        <v>41.6666666666667</v>
      </c>
      <c r="DB932" s="0" t="s">
        <v>216</v>
      </c>
      <c r="DC932" s="0" t="s">
        <v>216</v>
      </c>
      <c r="DD932" s="0" t="s">
        <v>216</v>
      </c>
      <c r="DE932" s="0" t="s">
        <v>216</v>
      </c>
      <c r="DF932" s="0" t="s">
        <v>216</v>
      </c>
      <c r="DG932" s="0" t="s">
        <v>216</v>
      </c>
      <c r="DH932" s="0" t="n">
        <v>0</v>
      </c>
      <c r="DI932" s="126" t="n">
        <v>333.333333333333</v>
      </c>
      <c r="DK932" s="0" t="n">
        <v>0</v>
      </c>
      <c r="DM932" s="0" t="n">
        <v>1</v>
      </c>
      <c r="DN932" s="0" t="n">
        <v>77</v>
      </c>
      <c r="DO932" s="0" t="n">
        <v>3</v>
      </c>
      <c r="DP932" s="0" t="n">
        <v>1</v>
      </c>
      <c r="DQ932" s="0" t="n">
        <v>0</v>
      </c>
      <c r="DR932" s="0"/>
      <c r="DS932" s="0" t="n">
        <v>0</v>
      </c>
      <c r="DU932" s="0" t="n">
        <v>0</v>
      </c>
      <c r="DW932" s="1" t="s">
        <v>221</v>
      </c>
      <c r="DX932" s="1" t="s">
        <v>221</v>
      </c>
      <c r="DY932" s="0" t="s">
        <v>221</v>
      </c>
      <c r="DZ932" s="0" t="s">
        <v>221</v>
      </c>
      <c r="EA932" s="0" t="n">
        <v>1</v>
      </c>
      <c r="EC932" s="1" t="n">
        <v>40544</v>
      </c>
      <c r="ED932" s="1" t="n">
        <v>40711</v>
      </c>
      <c r="EF932" s="0"/>
      <c r="EG932" s="0" t="n">
        <v>0</v>
      </c>
      <c r="EI932" s="0" t="n">
        <f aca="false">IF(AND(DM932=1,DN932&lt;=48),"",IF(AND(DM932=2,DN932&lt;=42),"",IF(AND(DM932=3,DN932&lt;=45),"",EH932)))</f>
        <v>0</v>
      </c>
      <c r="EJ932" s="0" t="str">
        <f aca="false">IF(EI932="","",IF(EI932&lt;9,EI932,9))</f>
        <v/>
      </c>
      <c r="EK932" s="0" t="str">
        <f aca="false">IF(EI932="","",IF(EI932&gt;9,EI932-EJ932,0))</f>
        <v/>
      </c>
      <c r="EL932" s="0" t="str">
        <f aca="false">IF(EI932="","",EJ932*DA932*2+EK932*DA932*3)</f>
        <v/>
      </c>
      <c r="EP932" s="0" t="n">
        <v>1</v>
      </c>
      <c r="EQ932" s="0"/>
      <c r="ER932" s="0" t="n">
        <v>0</v>
      </c>
      <c r="ET932" s="0" t="n">
        <v>0</v>
      </c>
      <c r="EV932" s="0" t="n">
        <v>0</v>
      </c>
      <c r="EX932" s="0" t="n">
        <v>0</v>
      </c>
      <c r="EY932" s="0" t="n">
        <v>1</v>
      </c>
      <c r="FA932" s="4" t="n">
        <v>36000</v>
      </c>
      <c r="FB932" s="0" t="n">
        <v>0</v>
      </c>
      <c r="FC932" s="1" t="n">
        <v>41026</v>
      </c>
      <c r="FD932" s="0" t="n">
        <v>1</v>
      </c>
      <c r="FE932" s="0" t="n">
        <v>30000</v>
      </c>
      <c r="FF932" s="120" t="n">
        <f aca="false">(CJ932-CI932+1)/365</f>
        <v>2.97260273972603</v>
      </c>
      <c r="FG932" s="0" t="str">
        <f aca="false">CONCATENATE(F932,"/",G932)</f>
        <v>1292/2011</v>
      </c>
      <c r="FH932" s="0" t="n">
        <v>1</v>
      </c>
      <c r="FI932" s="0" t="n">
        <f aca="false">IFERROR(IF((FC932-J932+1)/365&gt;3,0,1),"")</f>
        <v>1</v>
      </c>
    </row>
    <row r="933" customFormat="false" ht="15" hidden="false" customHeight="false" outlineLevel="0" collapsed="false">
      <c r="A933" s="5" t="str">
        <f aca="false">E933&amp;G933&amp;F933</f>
        <v>720111304</v>
      </c>
      <c r="B933" s="0" t="s">
        <v>6231</v>
      </c>
      <c r="C933" s="1" t="n">
        <v>42381</v>
      </c>
      <c r="D933" s="0" t="s">
        <v>8486</v>
      </c>
      <c r="E933" s="0" t="n">
        <v>7</v>
      </c>
      <c r="F933" s="0" t="n">
        <v>1304</v>
      </c>
      <c r="G933" s="0" t="n">
        <v>2011</v>
      </c>
      <c r="H933" s="0" t="str">
        <f aca="false">"J"&amp;E933&amp;"\"&amp;F933&amp;"\"&amp;G933&amp;"\"&amp;W933</f>
        <v>J7\1304\2011\1</v>
      </c>
      <c r="I933" s="0"/>
      <c r="J933" s="1" t="n">
        <v>40758</v>
      </c>
      <c r="K933" s="0" t="n">
        <v>0</v>
      </c>
      <c r="M933" s="1"/>
      <c r="N933" s="1"/>
      <c r="O933" s="1"/>
      <c r="P933" s="1"/>
      <c r="Q933" s="1"/>
      <c r="T933" s="121"/>
      <c r="U933" s="121"/>
      <c r="V933" s="122" t="n">
        <f aca="false">IF(AND(E933&gt;0,F933&gt;0,G933&gt;0),COUNTIFS($E:$E,E933,$F:$F,F933,$G:$G,G933),"")</f>
        <v>1</v>
      </c>
      <c r="W933" s="122" t="n">
        <f aca="false">IF(V933="","",IF(V933=1,1,IF(AND(E932=E933,F932=F933,G932=G933),W932+1,1)))</f>
        <v>1</v>
      </c>
      <c r="X933" s="0" t="n">
        <v>1</v>
      </c>
      <c r="Y933" s="0" t="n">
        <v>7</v>
      </c>
      <c r="Z933" s="0" t="s">
        <v>8518</v>
      </c>
      <c r="AA933" s="0" t="n">
        <v>0</v>
      </c>
      <c r="AB933" s="0" t="s">
        <v>8519</v>
      </c>
      <c r="AC933" s="0" t="s">
        <v>497</v>
      </c>
      <c r="AD933" s="0" t="s">
        <v>221</v>
      </c>
      <c r="AE933" s="0" t="n">
        <v>0</v>
      </c>
      <c r="AF933" s="0" t="s">
        <v>8520</v>
      </c>
      <c r="AG933" s="0" t="n">
        <v>0</v>
      </c>
      <c r="AH933" s="0" t="s">
        <v>8521</v>
      </c>
      <c r="AI933" s="0" t="s">
        <v>2740</v>
      </c>
      <c r="AJ933" s="0" t="s">
        <v>2218</v>
      </c>
      <c r="AL933" s="0" t="s">
        <v>8522</v>
      </c>
      <c r="AM933" s="0" t="n">
        <v>1</v>
      </c>
      <c r="AN933" s="0" t="s">
        <v>8521</v>
      </c>
      <c r="AO933" s="0" t="s">
        <v>2740</v>
      </c>
      <c r="AP933" s="0" t="s">
        <v>2218</v>
      </c>
      <c r="AR933" s="0" t="s">
        <v>8523</v>
      </c>
      <c r="AS933" s="0" t="n">
        <v>1</v>
      </c>
      <c r="AT933" s="0" t="s">
        <v>8521</v>
      </c>
      <c r="AU933" s="0" t="s">
        <v>2740</v>
      </c>
      <c r="AV933" s="0" t="s">
        <v>2218</v>
      </c>
      <c r="AX933" s="0" t="s">
        <v>8524</v>
      </c>
      <c r="AY933" s="0" t="n">
        <v>1</v>
      </c>
      <c r="AZ933" s="0" t="s">
        <v>8521</v>
      </c>
      <c r="BA933" s="0" t="s">
        <v>2740</v>
      </c>
      <c r="BB933" s="0" t="s">
        <v>2218</v>
      </c>
      <c r="BD933" s="0" t="s">
        <v>8525</v>
      </c>
      <c r="BE933" s="0" t="n">
        <v>1</v>
      </c>
      <c r="BF933" s="0" t="s">
        <v>8521</v>
      </c>
      <c r="BG933" s="0" t="s">
        <v>2740</v>
      </c>
      <c r="BH933" s="0" t="s">
        <v>2218</v>
      </c>
      <c r="BJ933" s="0" t="s">
        <v>8526</v>
      </c>
      <c r="BK933" s="0" t="n">
        <v>0</v>
      </c>
      <c r="BL933" s="0" t="s">
        <v>8527</v>
      </c>
      <c r="BM933" s="0" t="s">
        <v>8528</v>
      </c>
      <c r="BN933" s="0" t="s">
        <v>2179</v>
      </c>
      <c r="BR933" s="0" t="n">
        <v>1</v>
      </c>
      <c r="BS933" s="0" t="s">
        <v>8529</v>
      </c>
      <c r="BT933" s="0" t="s">
        <v>690</v>
      </c>
      <c r="BU933" s="0" t="s">
        <v>8530</v>
      </c>
      <c r="BV933" s="123"/>
      <c r="BW933" s="123"/>
      <c r="BX933" s="123"/>
      <c r="BY933" s="123"/>
      <c r="CA933" s="0" t="s">
        <v>216</v>
      </c>
      <c r="CD933" s="0" t="s">
        <v>357</v>
      </c>
      <c r="CE933" s="0" t="n">
        <v>0</v>
      </c>
      <c r="CF933" s="0" t="s">
        <v>8531</v>
      </c>
      <c r="CI933" s="1" t="n">
        <v>40480</v>
      </c>
      <c r="CJ933" s="1" t="n">
        <v>40743</v>
      </c>
      <c r="CK933" s="124" t="n">
        <v>0.5</v>
      </c>
      <c r="CL933" s="0" t="s">
        <v>8522</v>
      </c>
      <c r="CM933" s="0" t="n">
        <f aca="false">IF(OR(CI933="",CJ933=""),"",DAYS360(CI933,CJ933)/360)</f>
        <v>0.722222222222222</v>
      </c>
      <c r="CN933" s="0" t="n">
        <f aca="false">IF(OR(CI933="",CJ933=""),"",DAYS360(CI933,CJ933)/30)</f>
        <v>8.66666666666667</v>
      </c>
      <c r="CO933" s="0" t="n">
        <f aca="false">IF(OR(CI933="",CJ933=""),"",DAYS360(CI933,CJ933)/7)</f>
        <v>37.1428571428571</v>
      </c>
      <c r="CP933" s="0" t="n">
        <f aca="false">IF(OR(CI933="",CJ933=""),"",DAYS360(CI933,CJ933))</f>
        <v>260</v>
      </c>
      <c r="CQ933" s="0" t="s">
        <v>240</v>
      </c>
      <c r="CR933" s="0" t="n">
        <v>1</v>
      </c>
      <c r="CT933" s="0" t="n">
        <v>250</v>
      </c>
      <c r="CU933" s="0" t="n">
        <v>0</v>
      </c>
      <c r="CV933" s="0" t="n">
        <f aca="false">IF(OR(CT933="",CT933="NO ESPECIFICA",CT933="NO MENCIONA"),"",IF(CU933=0,CT933,IF(CU933=1,CT933/30,IF(CU933=2,CT933/15,IF(CU933=3,CT933/7,"")))))</f>
        <v>250</v>
      </c>
      <c r="CW933" s="125" t="n">
        <v>466.19</v>
      </c>
      <c r="CX933" s="0" t="n">
        <v>0</v>
      </c>
      <c r="CY933" s="0" t="n">
        <f aca="false">IF(CW933="","",IF(CX933=0,CW933,IF(CX933=1,CW933/30,IF(CX933=2,CW933/15,IF(CX933=3,CW933/7,CW933)))))</f>
        <v>466.19</v>
      </c>
      <c r="CZ933" s="0" t="n">
        <f aca="false">IF(DI933&gt;0,DI933,IF(CY933&gt;0,CY933,IF(CV933&gt;0,CV933,"")))</f>
        <v>466.19</v>
      </c>
      <c r="DA933" s="0" t="n">
        <f aca="false">IF(DM933=1,CZ933/8,IF(OR(DM933=2,DM933=4),CZ933/7,IF(DM933=3,CZ933/7.5,"")))</f>
        <v>58.27375</v>
      </c>
      <c r="DB933" s="0" t="s">
        <v>3117</v>
      </c>
      <c r="DC933" s="0" t="s">
        <v>627</v>
      </c>
      <c r="DD933" s="0" t="s">
        <v>2990</v>
      </c>
      <c r="DE933" s="0" t="s">
        <v>259</v>
      </c>
      <c r="DF933" s="0" t="s">
        <v>301</v>
      </c>
      <c r="DG933" s="0" t="s">
        <v>302</v>
      </c>
      <c r="DH933" s="0" t="n">
        <v>0</v>
      </c>
      <c r="DI933" s="126" t="n">
        <v>466.19</v>
      </c>
      <c r="DK933" s="0" t="n">
        <v>1</v>
      </c>
      <c r="DM933" s="0" t="n">
        <v>1</v>
      </c>
      <c r="DN933" s="0" t="n">
        <v>72</v>
      </c>
      <c r="DO933" s="0" t="n">
        <v>3</v>
      </c>
      <c r="DP933" s="0" t="n">
        <v>0</v>
      </c>
      <c r="DQ933" s="0" t="n">
        <v>1</v>
      </c>
      <c r="DR933" s="0"/>
      <c r="DS933" s="0" t="n">
        <v>1</v>
      </c>
      <c r="DU933" s="0" t="n">
        <v>1</v>
      </c>
      <c r="DW933" s="1" t="n">
        <v>40480</v>
      </c>
      <c r="DX933" s="1" t="n">
        <v>40743</v>
      </c>
      <c r="DZ933" s="0"/>
      <c r="EA933" s="0" t="n">
        <v>1</v>
      </c>
      <c r="EC933" s="1" t="n">
        <v>40480</v>
      </c>
      <c r="ED933" s="1" t="n">
        <v>40743</v>
      </c>
      <c r="EF933" s="0"/>
      <c r="EG933" s="0" t="n">
        <v>1</v>
      </c>
      <c r="EH933" s="0" t="n">
        <v>24</v>
      </c>
      <c r="EI933" s="0" t="n">
        <f aca="false">IF(AND(DM933=1,DN933&lt;=48),"",IF(AND(DM933=2,DN933&lt;=42),"",IF(AND(DM933=3,DN933&lt;=45),"",EH933)))</f>
        <v>24</v>
      </c>
      <c r="EJ933" s="0" t="n">
        <f aca="false">IF(EI933="","",IF(EI933&lt;9,EI933,9))</f>
        <v>9</v>
      </c>
      <c r="EK933" s="0" t="n">
        <f aca="false">IF(EI933="","",IF(EI933&gt;9,EI933-EJ933,0))</f>
        <v>15</v>
      </c>
      <c r="EL933" s="0" t="n">
        <f aca="false">IF(EI933="","",EJ933*DA933*2+EK933*DA933*3)</f>
        <v>3671.24625</v>
      </c>
      <c r="EP933" s="0" t="n">
        <v>0</v>
      </c>
      <c r="EQ933" s="0"/>
      <c r="ER933" s="0" t="n">
        <v>0</v>
      </c>
      <c r="ET933" s="0" t="n">
        <v>0</v>
      </c>
      <c r="EV933" s="0" t="n">
        <v>0</v>
      </c>
      <c r="EX933" s="0" t="n">
        <v>1</v>
      </c>
      <c r="EY933" s="0" t="n">
        <v>1</v>
      </c>
      <c r="FA933" s="4" t="n">
        <v>0</v>
      </c>
      <c r="FB933" s="0" t="n">
        <v>0</v>
      </c>
      <c r="FC933" s="1" t="n">
        <v>41092</v>
      </c>
      <c r="FD933" s="0" t="n">
        <v>1</v>
      </c>
      <c r="FE933" s="0" t="n">
        <v>15000</v>
      </c>
      <c r="FF933" s="120" t="n">
        <f aca="false">(CJ933-CI933+1)/365</f>
        <v>0.723287671232877</v>
      </c>
      <c r="FG933" s="0" t="str">
        <f aca="false">CONCATENATE(F933,"/",G933)</f>
        <v>1304/2011</v>
      </c>
      <c r="FH933" s="0" t="n">
        <v>1</v>
      </c>
      <c r="FI933" s="0" t="n">
        <f aca="false">IFERROR(IF((FC933-J933+1)/365&gt;3,0,1),"")</f>
        <v>1</v>
      </c>
    </row>
    <row r="934" customFormat="false" ht="15" hidden="false" customHeight="false" outlineLevel="0" collapsed="false">
      <c r="A934" s="5" t="str">
        <f aca="false">E934&amp;G934&amp;F934</f>
        <v>720111321</v>
      </c>
      <c r="B934" s="0" t="s">
        <v>6231</v>
      </c>
      <c r="C934" s="1" t="n">
        <v>42381</v>
      </c>
      <c r="D934" s="0" t="s">
        <v>8486</v>
      </c>
      <c r="E934" s="0" t="n">
        <v>7</v>
      </c>
      <c r="F934" s="0" t="n">
        <v>1321</v>
      </c>
      <c r="G934" s="0" t="n">
        <v>2011</v>
      </c>
      <c r="H934" s="0" t="str">
        <f aca="false">"J"&amp;E934&amp;"\"&amp;F934&amp;"\"&amp;G934&amp;"\"&amp;W934</f>
        <v>J7\1321\2011\1</v>
      </c>
      <c r="I934" s="0"/>
      <c r="J934" s="1" t="n">
        <v>40760</v>
      </c>
      <c r="K934" s="0" t="n">
        <v>0</v>
      </c>
      <c r="M934" s="1"/>
      <c r="N934" s="1"/>
      <c r="O934" s="1"/>
      <c r="P934" s="1"/>
      <c r="Q934" s="1"/>
      <c r="T934" s="121"/>
      <c r="U934" s="121"/>
      <c r="V934" s="122" t="n">
        <f aca="false">IF(AND(E934&gt;0,F934&gt;0,G934&gt;0),COUNTIFS($E:$E,E934,$F:$F,F934,$G:$G,G934),"")</f>
        <v>1</v>
      </c>
      <c r="W934" s="122" t="n">
        <f aca="false">IF(V934="","",IF(V934=1,1,IF(AND(E933=E934,F933=F934,G933=G934),W933+1,1)))</f>
        <v>1</v>
      </c>
      <c r="X934" s="0" t="n">
        <v>1</v>
      </c>
      <c r="Y934" s="0" t="n">
        <v>3</v>
      </c>
      <c r="Z934" s="0" t="s">
        <v>8532</v>
      </c>
      <c r="AA934" s="0" t="n">
        <v>0</v>
      </c>
      <c r="AB934" s="0" t="s">
        <v>8533</v>
      </c>
      <c r="AC934" s="0" t="s">
        <v>789</v>
      </c>
      <c r="AD934" s="0" t="s">
        <v>1160</v>
      </c>
      <c r="AE934" s="0" t="n">
        <v>0</v>
      </c>
      <c r="AF934" s="0" t="s">
        <v>8534</v>
      </c>
      <c r="AG934" s="0" t="n">
        <v>0</v>
      </c>
      <c r="AH934" s="0" t="s">
        <v>8535</v>
      </c>
      <c r="AI934" s="0" t="s">
        <v>8536</v>
      </c>
      <c r="AJ934" s="0" t="s">
        <v>8537</v>
      </c>
      <c r="AL934" s="0" t="s">
        <v>8538</v>
      </c>
      <c r="AM934" s="0" t="n">
        <v>1</v>
      </c>
      <c r="AN934" s="0" t="s">
        <v>8535</v>
      </c>
      <c r="AO934" s="0" t="s">
        <v>8536</v>
      </c>
      <c r="AP934" s="0" t="s">
        <v>8537</v>
      </c>
      <c r="AR934" s="0" t="s">
        <v>8539</v>
      </c>
      <c r="AS934" s="0" t="n">
        <v>1</v>
      </c>
      <c r="AT934" s="0" t="s">
        <v>8535</v>
      </c>
      <c r="AU934" s="0" t="s">
        <v>8536</v>
      </c>
      <c r="AV934" s="0" t="s">
        <v>8537</v>
      </c>
      <c r="BR934" s="0" t="n">
        <v>1</v>
      </c>
      <c r="BS934" s="0" t="s">
        <v>8540</v>
      </c>
      <c r="BV934" s="123"/>
      <c r="BW934" s="123"/>
      <c r="BX934" s="123"/>
      <c r="BY934" s="123"/>
      <c r="CA934" s="0" t="s">
        <v>8541</v>
      </c>
      <c r="CD934" s="0" t="s">
        <v>256</v>
      </c>
      <c r="CE934" s="0" t="n">
        <v>0</v>
      </c>
      <c r="CF934" s="0" t="s">
        <v>8542</v>
      </c>
      <c r="CI934" s="1" t="n">
        <v>40537</v>
      </c>
      <c r="CJ934" s="1" t="n">
        <v>40736</v>
      </c>
      <c r="CK934" s="124" t="n">
        <v>0.375</v>
      </c>
      <c r="CL934" s="0" t="s">
        <v>8538</v>
      </c>
      <c r="CM934" s="0" t="n">
        <f aca="false">IF(OR(CI934="",CJ934=""),"",DAYS360(CI934,CJ934)/360)</f>
        <v>0.547222222222222</v>
      </c>
      <c r="CN934" s="0" t="n">
        <f aca="false">IF(OR(CI934="",CJ934=""),"",DAYS360(CI934,CJ934)/30)</f>
        <v>6.56666666666667</v>
      </c>
      <c r="CO934" s="0" t="n">
        <f aca="false">IF(OR(CI934="",CJ934=""),"",DAYS360(CI934,CJ934)/7)</f>
        <v>28.1428571428571</v>
      </c>
      <c r="CP934" s="0" t="n">
        <f aca="false">IF(OR(CI934="",CJ934=""),"",DAYS360(CI934,CJ934))</f>
        <v>197</v>
      </c>
      <c r="CQ934" s="0" t="s">
        <v>220</v>
      </c>
      <c r="CR934" s="0" t="n">
        <v>1</v>
      </c>
      <c r="CT934" s="0" t="n">
        <v>190</v>
      </c>
      <c r="CU934" s="0" t="n">
        <v>0</v>
      </c>
      <c r="CV934" s="0" t="n">
        <f aca="false">IF(OR(CT934="",CT934="NO ESPECIFICA",CT934="NO MENCIONA"),"",IF(CU934=0,CT934,IF(CU934=1,CT934/30,IF(CU934=2,CT934/15,IF(CU934=3,CT934/7,"")))))</f>
        <v>190</v>
      </c>
      <c r="CW934" s="125" t="n">
        <v>201.17</v>
      </c>
      <c r="CX934" s="0" t="n">
        <v>0</v>
      </c>
      <c r="CY934" s="0" t="n">
        <f aca="false">IF(CW934="","",IF(CX934=0,CW934,IF(CX934=1,CW934/30,IF(CX934=2,CW934/15,IF(CX934=3,CW934/7,CW934)))))</f>
        <v>201.17</v>
      </c>
      <c r="CZ934" s="0" t="n">
        <f aca="false">IF(DI934&gt;0,DI934,IF(CY934&gt;0,CY934,IF(CV934&gt;0,CV934,"")))</f>
        <v>201.17</v>
      </c>
      <c r="DA934" s="0" t="n">
        <f aca="false">IF(DM934=1,CZ934/8,IF(OR(DM934=2,DM934=4),CZ934/7,IF(DM934=3,CZ934/7.5,"")))</f>
        <v>25.14625</v>
      </c>
      <c r="DB934" s="0" t="s">
        <v>302</v>
      </c>
      <c r="DC934" s="0" t="s">
        <v>303</v>
      </c>
      <c r="DD934" s="0" t="s">
        <v>301</v>
      </c>
      <c r="DE934" s="0" t="s">
        <v>216</v>
      </c>
      <c r="DF934" s="0" t="s">
        <v>216</v>
      </c>
      <c r="DG934" s="0" t="s">
        <v>216</v>
      </c>
      <c r="DH934" s="0" t="n">
        <v>0</v>
      </c>
      <c r="DI934" s="126" t="n">
        <v>201.17</v>
      </c>
      <c r="DK934" s="0" t="n">
        <v>0</v>
      </c>
      <c r="DM934" s="0" t="n">
        <v>1</v>
      </c>
      <c r="DN934" s="0" t="n">
        <v>54</v>
      </c>
      <c r="DO934" s="0" t="n">
        <v>3</v>
      </c>
      <c r="DP934" s="0" t="n">
        <v>1</v>
      </c>
      <c r="DQ934" s="0" t="n">
        <v>1</v>
      </c>
      <c r="DR934" s="0"/>
      <c r="DS934" s="0" t="n">
        <v>1</v>
      </c>
      <c r="DU934" s="0" t="n">
        <v>1</v>
      </c>
      <c r="DW934" s="1" t="n">
        <v>40537</v>
      </c>
      <c r="DX934" s="1" t="n">
        <v>40736</v>
      </c>
      <c r="DZ934" s="0"/>
      <c r="EA934" s="0" t="n">
        <v>1</v>
      </c>
      <c r="EC934" s="1" t="n">
        <v>40537</v>
      </c>
      <c r="ED934" s="1" t="n">
        <v>40736</v>
      </c>
      <c r="EF934" s="0"/>
      <c r="EG934" s="0" t="n">
        <v>1</v>
      </c>
      <c r="EH934" s="0" t="n">
        <v>6</v>
      </c>
      <c r="EI934" s="0" t="n">
        <f aca="false">IF(AND(DM934=1,DN934&lt;=48),"",IF(AND(DM934=2,DN934&lt;=42),"",IF(AND(DM934=3,DN934&lt;=45),"",EH934)))</f>
        <v>6</v>
      </c>
      <c r="EJ934" s="0" t="n">
        <f aca="false">IF(EI934="","",IF(EI934&lt;9,EI934,9))</f>
        <v>6</v>
      </c>
      <c r="EK934" s="0" t="n">
        <f aca="false">IF(EI934="","",IF(EI934&gt;9,EI934-EJ934,0))</f>
        <v>0</v>
      </c>
      <c r="EL934" s="0" t="n">
        <f aca="false">IF(EI934="","",EJ934*DA934*2+EK934*DA934*3)</f>
        <v>301.755</v>
      </c>
      <c r="EP934" s="0" t="n">
        <v>1</v>
      </c>
      <c r="EQ934" s="0"/>
      <c r="ER934" s="0" t="n">
        <v>0</v>
      </c>
      <c r="ET934" s="0" t="n">
        <v>0</v>
      </c>
      <c r="EV934" s="0" t="n">
        <v>0</v>
      </c>
      <c r="EX934" s="0" t="n">
        <v>1</v>
      </c>
      <c r="EY934" s="0" t="n">
        <v>1</v>
      </c>
      <c r="FA934" s="4" t="n">
        <v>0</v>
      </c>
      <c r="FB934" s="0" t="n">
        <v>1</v>
      </c>
      <c r="FC934" s="1" t="n">
        <v>41208</v>
      </c>
      <c r="FD934" s="0" t="n">
        <v>1</v>
      </c>
      <c r="FE934" s="0" t="n">
        <v>9150</v>
      </c>
      <c r="FF934" s="120" t="n">
        <f aca="false">(CJ934-CI934+1)/365</f>
        <v>0.547945205479452</v>
      </c>
      <c r="FG934" s="0" t="str">
        <f aca="false">CONCATENATE(F934,"/",G934)</f>
        <v>1321/2011</v>
      </c>
      <c r="FH934" s="0" t="n">
        <v>1</v>
      </c>
      <c r="FI934" s="0" t="n">
        <f aca="false">IFERROR(IF((FC934-J934+1)/365&gt;3,0,1),"")</f>
        <v>1</v>
      </c>
    </row>
    <row r="935" customFormat="false" ht="15" hidden="false" customHeight="false" outlineLevel="0" collapsed="false">
      <c r="A935" s="5" t="str">
        <f aca="false">E935&amp;G935&amp;F935</f>
        <v>72011370</v>
      </c>
      <c r="B935" s="0" t="s">
        <v>8543</v>
      </c>
      <c r="C935" s="1" t="n">
        <v>42383</v>
      </c>
      <c r="D935" s="0" t="s">
        <v>8544</v>
      </c>
      <c r="E935" s="0" t="n">
        <v>7</v>
      </c>
      <c r="F935" s="0" t="n">
        <v>370</v>
      </c>
      <c r="G935" s="0" t="n">
        <v>2011</v>
      </c>
      <c r="H935" s="0" t="str">
        <f aca="false">"J"&amp;E935&amp;"\"&amp;F935&amp;"\"&amp;G935&amp;"\"&amp;W935</f>
        <v>J7\370\2011\1</v>
      </c>
      <c r="I935" s="0"/>
      <c r="J935" s="1" t="n">
        <v>40599</v>
      </c>
      <c r="K935" s="0" t="n">
        <v>0</v>
      </c>
      <c r="M935" s="1"/>
      <c r="N935" s="1"/>
      <c r="O935" s="1"/>
      <c r="P935" s="1"/>
      <c r="Q935" s="1"/>
      <c r="T935" s="121"/>
      <c r="U935" s="121"/>
      <c r="V935" s="122" t="n">
        <f aca="false">IF(AND(E935&gt;0,F935&gt;0,G935&gt;0),COUNTIFS($E:$E,E935,$F:$F,F935,$G:$G,G935),"")</f>
        <v>1</v>
      </c>
      <c r="W935" s="122" t="n">
        <f aca="false">IF(V935="","",IF(V935=1,1,IF(AND(E934=E935,F934=F935,G934=G935),W934+1,1)))</f>
        <v>1</v>
      </c>
      <c r="X935" s="0" t="n">
        <v>1</v>
      </c>
      <c r="Y935" s="0" t="n">
        <v>4</v>
      </c>
      <c r="Z935" s="0" t="s">
        <v>8545</v>
      </c>
      <c r="AA935" s="0" t="n">
        <v>0</v>
      </c>
      <c r="AB935" s="0" t="s">
        <v>8546</v>
      </c>
      <c r="AC935" s="0" t="s">
        <v>1924</v>
      </c>
      <c r="AD935" s="0" t="s">
        <v>1160</v>
      </c>
      <c r="AE935" s="0" t="n">
        <v>0</v>
      </c>
      <c r="AF935" s="0" t="s">
        <v>6868</v>
      </c>
      <c r="AG935" s="0" t="n">
        <v>0</v>
      </c>
      <c r="AH935" s="0" t="s">
        <v>8547</v>
      </c>
      <c r="AI935" s="0" t="s">
        <v>8548</v>
      </c>
      <c r="AJ935" s="0" t="s">
        <v>1160</v>
      </c>
      <c r="AL935" s="0" t="s">
        <v>8549</v>
      </c>
      <c r="AM935" s="0" t="n">
        <v>1</v>
      </c>
      <c r="AN935" s="0" t="s">
        <v>8547</v>
      </c>
      <c r="AO935" s="0" t="s">
        <v>8548</v>
      </c>
      <c r="AP935" s="0" t="s">
        <v>1160</v>
      </c>
      <c r="AR935" s="0" t="s">
        <v>3539</v>
      </c>
      <c r="AS935" s="0" t="n">
        <v>1</v>
      </c>
      <c r="AT935" s="0" t="s">
        <v>8548</v>
      </c>
      <c r="AU935" s="0" t="s">
        <v>1160</v>
      </c>
      <c r="AX935" s="0" t="s">
        <v>6786</v>
      </c>
      <c r="AY935" s="0" t="n">
        <v>1</v>
      </c>
      <c r="AZ935" s="0" t="s">
        <v>8547</v>
      </c>
      <c r="BA935" s="0" t="s">
        <v>8548</v>
      </c>
      <c r="BB935" s="0" t="s">
        <v>1160</v>
      </c>
      <c r="BR935" s="0" t="n">
        <v>3</v>
      </c>
      <c r="BS935" s="0" t="s">
        <v>499</v>
      </c>
      <c r="BT935" s="0" t="s">
        <v>858</v>
      </c>
      <c r="BU935" s="0" t="s">
        <v>4597</v>
      </c>
      <c r="BV935" s="123"/>
      <c r="BW935" s="123"/>
      <c r="BX935" s="123"/>
      <c r="BY935" s="123"/>
      <c r="CA935" s="0" t="s">
        <v>8550</v>
      </c>
      <c r="CD935" s="0" t="s">
        <v>296</v>
      </c>
      <c r="CE935" s="0" t="n">
        <v>0</v>
      </c>
      <c r="CF935" s="0" t="s">
        <v>8551</v>
      </c>
      <c r="CI935" s="1" t="n">
        <v>40119</v>
      </c>
      <c r="CJ935" s="1" t="n">
        <v>40562</v>
      </c>
      <c r="CK935" s="124" t="n">
        <v>0.5625</v>
      </c>
      <c r="CL935" s="0" t="s">
        <v>3539</v>
      </c>
      <c r="CM935" s="0" t="n">
        <f aca="false">IF(OR(CI935="",CJ935=""),"",DAYS360(CI935,CJ935)/360)</f>
        <v>1.21388888888889</v>
      </c>
      <c r="CN935" s="0" t="n">
        <f aca="false">IF(OR(CI935="",CJ935=""),"",DAYS360(CI935,CJ935)/30)</f>
        <v>14.5666666666667</v>
      </c>
      <c r="CO935" s="0" t="n">
        <f aca="false">IF(OR(CI935="",CJ935=""),"",DAYS360(CI935,CJ935)/7)</f>
        <v>62.4285714285714</v>
      </c>
      <c r="CP935" s="0" t="n">
        <f aca="false">IF(OR(CI935="",CJ935=""),"",DAYS360(CI935,CJ935))</f>
        <v>437</v>
      </c>
      <c r="CQ935" s="0" t="s">
        <v>240</v>
      </c>
      <c r="CR935" s="0" t="n">
        <v>1</v>
      </c>
      <c r="CT935" s="0" t="n">
        <v>151.92</v>
      </c>
      <c r="CU935" s="0" t="n">
        <v>0</v>
      </c>
      <c r="CV935" s="0" t="n">
        <f aca="false">IF(OR(CT935="",CT935="NO ESPECIFICA",CT935="NO MENCIONA"),"",IF(CU935=0,CT935,IF(CU935=1,CT935/30,IF(CU935=2,CT935/15,IF(CU935=3,CT935/7,"")))))</f>
        <v>151.92</v>
      </c>
      <c r="CW935" s="125" t="n">
        <v>158.72</v>
      </c>
      <c r="CX935" s="0" t="n">
        <v>0</v>
      </c>
      <c r="CY935" s="0" t="n">
        <f aca="false">IF(CW935="","",IF(CX935=0,CW935,IF(CX935=1,CW935/30,IF(CX935=2,CW935/15,IF(CX935=3,CW935/7,CW935)))))</f>
        <v>158.72</v>
      </c>
      <c r="CZ935" s="0" t="n">
        <f aca="false">IF(DI935&gt;0,DI935,IF(CY935&gt;0,CY935,IF(CV935&gt;0,CV935,"")))</f>
        <v>158.72</v>
      </c>
      <c r="DA935" s="0" t="n">
        <f aca="false">IF(DM935=1,CZ935/8,IF(OR(DM935=2,DM935=4),CZ935/7,IF(DM935=3,CZ935/7.5,"")))</f>
        <v>19.84</v>
      </c>
      <c r="DB935" s="0" t="s">
        <v>303</v>
      </c>
      <c r="DC935" s="0" t="s">
        <v>301</v>
      </c>
      <c r="DD935" s="0" t="s">
        <v>216</v>
      </c>
      <c r="DE935" s="0" t="s">
        <v>216</v>
      </c>
      <c r="DF935" s="0" t="s">
        <v>216</v>
      </c>
      <c r="DG935" s="0" t="s">
        <v>216</v>
      </c>
      <c r="DH935" s="0" t="n">
        <v>0</v>
      </c>
      <c r="DI935" s="126" t="n">
        <v>158.72</v>
      </c>
      <c r="DK935" s="0" t="n">
        <v>0</v>
      </c>
      <c r="DM935" s="0" t="n">
        <v>1</v>
      </c>
      <c r="DN935" s="0" t="n">
        <v>30</v>
      </c>
      <c r="DO935" s="0" t="n">
        <v>3</v>
      </c>
      <c r="DP935" s="0" t="n">
        <v>0</v>
      </c>
      <c r="DQ935" s="0" t="n">
        <v>1</v>
      </c>
      <c r="DR935" s="0"/>
      <c r="DS935" s="0" t="n">
        <v>1</v>
      </c>
      <c r="DU935" s="0" t="n">
        <v>1</v>
      </c>
      <c r="DW935" s="1" t="n">
        <v>40484</v>
      </c>
      <c r="DX935" s="1" t="n">
        <v>40562</v>
      </c>
      <c r="DZ935" s="0"/>
      <c r="EA935" s="0" t="n">
        <v>1</v>
      </c>
      <c r="EC935" s="1" t="n">
        <v>40179</v>
      </c>
      <c r="ED935" s="1" t="n">
        <v>40543</v>
      </c>
      <c r="EF935" s="0"/>
      <c r="EG935" s="0" t="n">
        <v>0</v>
      </c>
      <c r="EI935" s="0" t="str">
        <f aca="false">IF(AND(DM935=1,DN935&lt;=48),"",IF(AND(DM935=2,DN935&lt;=42),"",IF(AND(DM935=3,DN935&lt;=45),"",EH935)))</f>
        <v/>
      </c>
      <c r="EJ935" s="0" t="str">
        <f aca="false">IF(EI935="","",IF(EI935&lt;9,EI935,9))</f>
        <v/>
      </c>
      <c r="EK935" s="0" t="str">
        <f aca="false">IF(EI935="","",IF(EI935&gt;9,EI935-EJ935,0))</f>
        <v/>
      </c>
      <c r="EL935" s="0" t="str">
        <f aca="false">IF(EI935="","",EJ935*DA935*2+EK935*DA935*3)</f>
        <v/>
      </c>
      <c r="EP935" s="0" t="n">
        <v>0</v>
      </c>
      <c r="EQ935" s="0"/>
      <c r="ER935" s="0" t="n">
        <v>0</v>
      </c>
      <c r="ET935" s="0" t="n">
        <v>0</v>
      </c>
      <c r="EV935" s="0" t="n">
        <v>0</v>
      </c>
      <c r="EX935" s="0" t="n">
        <v>0</v>
      </c>
      <c r="EY935" s="0" t="n">
        <v>0</v>
      </c>
      <c r="FA935" s="4" t="n">
        <v>1111.46</v>
      </c>
      <c r="FB935" s="0" t="n">
        <v>1</v>
      </c>
      <c r="FC935" s="1" t="n">
        <v>40990</v>
      </c>
      <c r="FD935" s="0" t="n">
        <v>1</v>
      </c>
      <c r="FE935" s="0" t="n">
        <v>11500</v>
      </c>
      <c r="FF935" s="120" t="n">
        <f aca="false">(CJ935-CI935+1)/365</f>
        <v>1.21643835616438</v>
      </c>
      <c r="FG935" s="0" t="str">
        <f aca="false">CONCATENATE(F935,"/",G935)</f>
        <v>370/2011</v>
      </c>
      <c r="FH935" s="0" t="n">
        <v>1</v>
      </c>
      <c r="FI935" s="0" t="n">
        <f aca="false">IFERROR(IF((FC935-J935+1)/365&gt;3,0,1),"")</f>
        <v>1</v>
      </c>
    </row>
    <row r="936" customFormat="false" ht="15" hidden="false" customHeight="false" outlineLevel="0" collapsed="false">
      <c r="A936" s="5" t="str">
        <f aca="false">E936&amp;G936&amp;F936</f>
        <v>72011371</v>
      </c>
      <c r="B936" s="0" t="s">
        <v>8543</v>
      </c>
      <c r="C936" s="1" t="n">
        <v>42383</v>
      </c>
      <c r="E936" s="0" t="n">
        <v>7</v>
      </c>
      <c r="F936" s="0" t="n">
        <v>371</v>
      </c>
      <c r="G936" s="0" t="n">
        <v>2011</v>
      </c>
      <c r="H936" s="0" t="str">
        <f aca="false">"J"&amp;E936&amp;"\"&amp;F936&amp;"\"&amp;G936&amp;"\"&amp;W936</f>
        <v>J7\371\2011\1</v>
      </c>
      <c r="I936" s="0"/>
      <c r="J936" s="1" t="n">
        <v>40599</v>
      </c>
      <c r="K936" s="0" t="n">
        <v>1</v>
      </c>
      <c r="L936" s="0" t="s">
        <v>528</v>
      </c>
      <c r="M936" s="1" t="n">
        <v>40599</v>
      </c>
      <c r="N936" s="1" t="n">
        <v>40682</v>
      </c>
      <c r="O936" s="1"/>
      <c r="P936" s="1"/>
      <c r="Q936" s="1"/>
      <c r="T936" s="121"/>
      <c r="U936" s="121"/>
      <c r="V936" s="122" t="n">
        <f aca="false">IF(AND(E936&gt;0,F936&gt;0,G936&gt;0),COUNTIFS($E:$E,E936,$F:$F,F936,$G:$G,G936),"")</f>
        <v>1</v>
      </c>
      <c r="W936" s="122" t="n">
        <f aca="false">IF(V936="","",IF(V936=1,1,IF(AND(E935=E936,F935=F936,G935=G936),W935+1,1)))</f>
        <v>1</v>
      </c>
      <c r="X936" s="0" t="n">
        <v>1</v>
      </c>
      <c r="Y936" s="0" t="n">
        <v>5</v>
      </c>
      <c r="Z936" s="0" t="s">
        <v>8552</v>
      </c>
      <c r="AA936" s="0" t="n">
        <v>0</v>
      </c>
      <c r="AB936" s="0" t="s">
        <v>8546</v>
      </c>
      <c r="AC936" s="0" t="s">
        <v>1924</v>
      </c>
      <c r="AD936" s="0" t="s">
        <v>1160</v>
      </c>
      <c r="AE936" s="0" t="n">
        <v>0</v>
      </c>
      <c r="AF936" s="0" t="s">
        <v>6868</v>
      </c>
      <c r="AG936" s="0" t="n">
        <v>0</v>
      </c>
      <c r="AH936" s="0" t="s">
        <v>7626</v>
      </c>
      <c r="AI936" s="0" t="s">
        <v>1387</v>
      </c>
      <c r="AJ936" s="0" t="s">
        <v>1160</v>
      </c>
      <c r="AL936" s="0" t="s">
        <v>8553</v>
      </c>
      <c r="AM936" s="0" t="n">
        <v>1</v>
      </c>
      <c r="AN936" s="0" t="s">
        <v>7626</v>
      </c>
      <c r="AO936" s="0" t="s">
        <v>1387</v>
      </c>
      <c r="AP936" s="0" t="s">
        <v>1160</v>
      </c>
      <c r="AR936" s="0" t="s">
        <v>8554</v>
      </c>
      <c r="AS936" s="0" t="n">
        <v>1</v>
      </c>
      <c r="AT936" s="0" t="s">
        <v>7626</v>
      </c>
      <c r="AU936" s="0" t="s">
        <v>1387</v>
      </c>
      <c r="AV936" s="0" t="s">
        <v>1160</v>
      </c>
      <c r="AX936" s="0" t="s">
        <v>8555</v>
      </c>
      <c r="AY936" s="0" t="n">
        <v>1</v>
      </c>
      <c r="AZ936" s="0" t="s">
        <v>7626</v>
      </c>
      <c r="BA936" s="0" t="s">
        <v>1387</v>
      </c>
      <c r="BB936" s="0" t="s">
        <v>1160</v>
      </c>
      <c r="BD936" s="0" t="s">
        <v>6786</v>
      </c>
      <c r="BE936" s="0" t="n">
        <v>1</v>
      </c>
      <c r="BF936" s="0" t="s">
        <v>7626</v>
      </c>
      <c r="BG936" s="0" t="s">
        <v>1387</v>
      </c>
      <c r="BH936" s="0" t="s">
        <v>1160</v>
      </c>
      <c r="BR936" s="0" t="n">
        <v>3</v>
      </c>
      <c r="BS936" s="0" t="s">
        <v>499</v>
      </c>
      <c r="BT936" s="0" t="s">
        <v>858</v>
      </c>
      <c r="BU936" s="0" t="s">
        <v>4597</v>
      </c>
      <c r="BV936" s="123"/>
      <c r="BW936" s="123"/>
      <c r="BX936" s="123"/>
      <c r="BY936" s="123"/>
      <c r="CA936" s="0" t="s">
        <v>8550</v>
      </c>
      <c r="CD936" s="0" t="s">
        <v>296</v>
      </c>
      <c r="CE936" s="0" t="n">
        <v>0</v>
      </c>
      <c r="CF936" s="0" t="s">
        <v>8551</v>
      </c>
      <c r="CI936" s="1" t="n">
        <v>40436</v>
      </c>
      <c r="CJ936" s="1" t="n">
        <v>40571</v>
      </c>
      <c r="CK936" s="124" t="n">
        <v>0.632638888888889</v>
      </c>
      <c r="CL936" s="0" t="s">
        <v>8555</v>
      </c>
      <c r="CM936" s="0" t="n">
        <f aca="false">IF(OR(CI936="",CJ936=""),"",DAYS360(CI936,CJ936)/360)</f>
        <v>0.369444444444444</v>
      </c>
      <c r="CN936" s="0" t="n">
        <f aca="false">IF(OR(CI936="",CJ936=""),"",DAYS360(CI936,CJ936)/30)</f>
        <v>4.43333333333333</v>
      </c>
      <c r="CO936" s="0" t="n">
        <f aca="false">IF(OR(CI936="",CJ936=""),"",DAYS360(CI936,CJ936)/7)</f>
        <v>19</v>
      </c>
      <c r="CP936" s="0" t="n">
        <f aca="false">IF(OR(CI936="",CJ936=""),"",DAYS360(CI936,CJ936))</f>
        <v>133</v>
      </c>
      <c r="CQ936" s="0" t="s">
        <v>240</v>
      </c>
      <c r="CR936" s="0" t="n">
        <v>1</v>
      </c>
      <c r="CT936" s="0" t="n">
        <v>111.3</v>
      </c>
      <c r="CU936" s="0" t="n">
        <v>0</v>
      </c>
      <c r="CV936" s="0" t="n">
        <f aca="false">IF(OR(CT936="",CT936="NO ESPECIFICA",CT936="NO MENCIONA"),"",IF(CU936=0,CT936,IF(CU936=1,CT936/30,IF(CU936=2,CT936/15,IF(CU936=3,CT936/7,"")))))</f>
        <v>111.3</v>
      </c>
      <c r="CW936" s="125" t="n">
        <v>116.33</v>
      </c>
      <c r="CX936" s="0" t="n">
        <v>0</v>
      </c>
      <c r="CY936" s="0" t="n">
        <f aca="false">IF(CW936="","",IF(CX936=0,CW936,IF(CX936=1,CW936/30,IF(CX936=2,CW936/15,IF(CX936=3,CW936/7,CW936)))))</f>
        <v>116.33</v>
      </c>
      <c r="CZ936" s="0" t="n">
        <f aca="false">IF(DI936&gt;0,DI936,IF(CY936&gt;0,CY936,IF(CV936&gt;0,CV936,"")))</f>
        <v>116.33</v>
      </c>
      <c r="DA936" s="0" t="n">
        <f aca="false">IF(DM936=1,CZ936/8,IF(OR(DM936=2,DM936=4),CZ936/7,IF(DM936=3,CZ936/7.5,"")))</f>
        <v>14.54125</v>
      </c>
      <c r="DB936" s="0" t="s">
        <v>303</v>
      </c>
      <c r="DC936" s="0" t="s">
        <v>301</v>
      </c>
      <c r="DD936" s="0" t="s">
        <v>216</v>
      </c>
      <c r="DE936" s="0" t="s">
        <v>216</v>
      </c>
      <c r="DF936" s="0" t="s">
        <v>216</v>
      </c>
      <c r="DG936" s="0" t="s">
        <v>216</v>
      </c>
      <c r="DH936" s="0" t="n">
        <v>0</v>
      </c>
      <c r="DI936" s="126" t="n">
        <v>116.33</v>
      </c>
      <c r="DK936" s="0" t="n">
        <v>0</v>
      </c>
      <c r="DM936" s="0" t="n">
        <v>1</v>
      </c>
      <c r="DN936" s="0" t="n">
        <v>42</v>
      </c>
      <c r="DO936" s="0" t="n">
        <v>3</v>
      </c>
      <c r="DP936" s="0" t="n">
        <v>0</v>
      </c>
      <c r="DQ936" s="0" t="n">
        <v>1</v>
      </c>
      <c r="DR936" s="0"/>
      <c r="DS936" s="0" t="n">
        <v>1</v>
      </c>
      <c r="DU936" s="0" t="n">
        <v>1</v>
      </c>
      <c r="DW936" s="1" t="n">
        <v>40436</v>
      </c>
      <c r="DX936" s="1" t="n">
        <v>40571</v>
      </c>
      <c r="DZ936" s="0"/>
      <c r="EA936" s="0" t="n">
        <v>1</v>
      </c>
      <c r="EC936" s="1" t="n">
        <v>40436</v>
      </c>
      <c r="ED936" s="1" t="n">
        <v>40571</v>
      </c>
      <c r="EF936" s="0"/>
      <c r="EG936" s="0" t="n">
        <v>0</v>
      </c>
      <c r="EI936" s="0" t="str">
        <f aca="false">IF(AND(DM936=1,DN936&lt;=48),"",IF(AND(DM936=2,DN936&lt;=42),"",IF(AND(DM936=3,DN936&lt;=45),"",EH936)))</f>
        <v/>
      </c>
      <c r="EJ936" s="0" t="str">
        <f aca="false">IF(EI936="","",IF(EI936&lt;9,EI936,9))</f>
        <v/>
      </c>
      <c r="EK936" s="0" t="str">
        <f aca="false">IF(EI936="","",IF(EI936&gt;9,EI936-EJ936,0))</f>
        <v/>
      </c>
      <c r="EL936" s="0" t="str">
        <f aca="false">IF(EI936="","",EJ936*DA936*2+EK936*DA936*3)</f>
        <v/>
      </c>
      <c r="EP936" s="0" t="n">
        <v>0</v>
      </c>
      <c r="EQ936" s="0"/>
      <c r="ER936" s="0" t="n">
        <v>0</v>
      </c>
      <c r="ET936" s="0" t="n">
        <v>0</v>
      </c>
      <c r="EV936" s="0" t="n">
        <v>0</v>
      </c>
      <c r="EX936" s="0" t="n">
        <v>0</v>
      </c>
      <c r="EY936" s="0" t="n">
        <v>0</v>
      </c>
      <c r="FA936" s="4" t="n">
        <v>348.99</v>
      </c>
      <c r="FB936" s="0" t="n">
        <v>1</v>
      </c>
      <c r="FC936" s="1" t="n">
        <v>40814</v>
      </c>
      <c r="FD936" s="0" t="n">
        <v>1</v>
      </c>
      <c r="FE936" s="0" t="n">
        <v>11001</v>
      </c>
      <c r="FF936" s="120" t="n">
        <f aca="false">(CJ936-CI936+1)/365</f>
        <v>0.372602739726027</v>
      </c>
      <c r="FG936" s="0" t="str">
        <f aca="false">CONCATENATE(F936,"/",G936)</f>
        <v>371/2011</v>
      </c>
      <c r="FH936" s="0" t="n">
        <v>1</v>
      </c>
      <c r="FI936" s="0" t="n">
        <f aca="false">IFERROR(IF((FC936-J936+1)/365&gt;3,0,1),"")</f>
        <v>1</v>
      </c>
    </row>
    <row r="937" customFormat="false" ht="15" hidden="false" customHeight="false" outlineLevel="0" collapsed="false">
      <c r="A937" s="5" t="str">
        <f aca="false">E937&amp;G937&amp;F937</f>
        <v>72011372</v>
      </c>
      <c r="B937" s="0" t="s">
        <v>8543</v>
      </c>
      <c r="C937" s="1" t="n">
        <v>42383</v>
      </c>
      <c r="D937" s="0" t="s">
        <v>8544</v>
      </c>
      <c r="E937" s="0" t="n">
        <v>7</v>
      </c>
      <c r="F937" s="0" t="n">
        <v>372</v>
      </c>
      <c r="G937" s="0" t="n">
        <v>2011</v>
      </c>
      <c r="H937" s="0" t="str">
        <f aca="false">"J"&amp;E937&amp;"\"&amp;F937&amp;"\"&amp;G937&amp;"\"&amp;W937</f>
        <v>J7\372\2011\1</v>
      </c>
      <c r="I937" s="0"/>
      <c r="J937" s="1" t="n">
        <v>40599</v>
      </c>
      <c r="K937" s="0" t="n">
        <v>0</v>
      </c>
      <c r="M937" s="1"/>
      <c r="N937" s="1"/>
      <c r="O937" s="1"/>
      <c r="P937" s="1"/>
      <c r="Q937" s="1"/>
      <c r="T937" s="121"/>
      <c r="U937" s="121"/>
      <c r="V937" s="122" t="n">
        <f aca="false">IF(AND(E937&gt;0,F937&gt;0,G937&gt;0),COUNTIFS($E:$E,E937,$F:$F,F937,$G:$G,G937),"")</f>
        <v>1</v>
      </c>
      <c r="W937" s="122" t="n">
        <f aca="false">IF(V937="","",IF(V937=1,1,IF(AND(E936=E937,F936=F937,G936=G937),W936+1,1)))</f>
        <v>1</v>
      </c>
      <c r="X937" s="0" t="n">
        <v>1</v>
      </c>
      <c r="Y937" s="0" t="n">
        <v>5</v>
      </c>
      <c r="Z937" s="0" t="s">
        <v>8556</v>
      </c>
      <c r="AA937" s="0" t="n">
        <v>0</v>
      </c>
      <c r="AB937" s="0" t="s">
        <v>8557</v>
      </c>
      <c r="AC937" s="0" t="s">
        <v>8558</v>
      </c>
      <c r="AD937" s="0" t="s">
        <v>5607</v>
      </c>
      <c r="AE937" s="0" t="n">
        <v>0</v>
      </c>
      <c r="AF937" s="0" t="s">
        <v>8559</v>
      </c>
      <c r="AG937" s="0" t="n">
        <v>0</v>
      </c>
      <c r="AH937" s="0" t="s">
        <v>8560</v>
      </c>
      <c r="AI937" s="0" t="s">
        <v>8548</v>
      </c>
      <c r="AJ937" s="0" t="s">
        <v>1160</v>
      </c>
      <c r="AL937" s="0" t="s">
        <v>8561</v>
      </c>
      <c r="AM937" s="0" t="n">
        <v>0</v>
      </c>
      <c r="AN937" s="0" t="s">
        <v>8560</v>
      </c>
      <c r="AO937" s="0" t="s">
        <v>8548</v>
      </c>
      <c r="AP937" s="0" t="s">
        <v>1160</v>
      </c>
      <c r="AR937" s="0" t="s">
        <v>8562</v>
      </c>
      <c r="AS937" s="0" t="n">
        <v>1</v>
      </c>
      <c r="AT937" s="0" t="s">
        <v>8560</v>
      </c>
      <c r="AU937" s="0" t="s">
        <v>8548</v>
      </c>
      <c r="AV937" s="0" t="s">
        <v>1160</v>
      </c>
      <c r="AX937" s="0" t="s">
        <v>8563</v>
      </c>
      <c r="AY937" s="0" t="n">
        <v>1</v>
      </c>
      <c r="AZ937" s="0" t="s">
        <v>8560</v>
      </c>
      <c r="BA937" s="0" t="s">
        <v>8548</v>
      </c>
      <c r="BB937" s="0" t="s">
        <v>1160</v>
      </c>
      <c r="BD937" s="0" t="s">
        <v>8564</v>
      </c>
      <c r="BE937" s="0" t="n">
        <v>1</v>
      </c>
      <c r="BF937" s="0" t="s">
        <v>8560</v>
      </c>
      <c r="BG937" s="0" t="s">
        <v>8548</v>
      </c>
      <c r="BH937" s="0" t="s">
        <v>1160</v>
      </c>
      <c r="BR937" s="0" t="n">
        <v>1</v>
      </c>
      <c r="BS937" s="0" t="s">
        <v>8565</v>
      </c>
      <c r="BT937" s="0" t="s">
        <v>8566</v>
      </c>
      <c r="BU937" s="0" t="s">
        <v>8567</v>
      </c>
      <c r="BV937" s="123"/>
      <c r="BW937" s="123"/>
      <c r="BX937" s="123"/>
      <c r="BY937" s="123"/>
      <c r="CA937" s="0" t="s">
        <v>8568</v>
      </c>
      <c r="CD937" s="0" t="s">
        <v>256</v>
      </c>
      <c r="CE937" s="0" t="n">
        <v>0</v>
      </c>
      <c r="CF937" s="0" t="s">
        <v>527</v>
      </c>
      <c r="CI937" s="1" t="n">
        <v>40513</v>
      </c>
      <c r="CJ937" s="1" t="n">
        <v>40543</v>
      </c>
      <c r="CK937" s="124" t="n">
        <v>0.416666666666667</v>
      </c>
      <c r="CL937" s="0" t="s">
        <v>8569</v>
      </c>
      <c r="CM937" s="0" t="n">
        <f aca="false">IF(OR(CI937="",CJ937=""),"",DAYS360(CI937,CJ937)/360)</f>
        <v>0.0833333333333333</v>
      </c>
      <c r="CN937" s="0" t="n">
        <f aca="false">IF(OR(CI937="",CJ937=""),"",DAYS360(CI937,CJ937)/30)</f>
        <v>1</v>
      </c>
      <c r="CO937" s="0" t="n">
        <f aca="false">IF(OR(CI937="",CJ937=""),"",DAYS360(CI937,CJ937)/7)</f>
        <v>4.28571428571429</v>
      </c>
      <c r="CP937" s="0" t="n">
        <f aca="false">IF(OR(CI937="",CJ937=""),"",DAYS360(CI937,CJ937))</f>
        <v>30</v>
      </c>
      <c r="CQ937" s="0" t="s">
        <v>240</v>
      </c>
      <c r="CR937" s="0" t="n">
        <v>1</v>
      </c>
      <c r="CT937" s="0" t="n">
        <v>250</v>
      </c>
      <c r="CU937" s="0" t="n">
        <v>0</v>
      </c>
      <c r="CV937" s="0" t="n">
        <f aca="false">IF(OR(CT937="",CT937="NO ESPECIFICA",CT937="NO MENCIONA"),"",IF(CU937=0,CT937,IF(CU937=1,CT937/30,IF(CU937=2,CT937/15,IF(CU937=3,CT937/7,"")))))</f>
        <v>250</v>
      </c>
      <c r="CW937" s="125" t="n">
        <v>261.45</v>
      </c>
      <c r="CX937" s="0" t="n">
        <v>0</v>
      </c>
      <c r="CY937" s="0" t="n">
        <f aca="false">IF(CW937="","",IF(CX937=0,CW937,IF(CX937=1,CW937/30,IF(CX937=2,CW937/15,IF(CX937=3,CW937/7,CW937)))))</f>
        <v>261.45</v>
      </c>
      <c r="CZ937" s="0" t="n">
        <f aca="false">IF(DI937&gt;0,DI937,IF(CY937&gt;0,CY937,IF(CV937&gt;0,CV937,"")))</f>
        <v>261.45</v>
      </c>
      <c r="DA937" s="0" t="n">
        <f aca="false">IF(DM937=1,CZ937/8,IF(OR(DM937=2,DM937=4),CZ937/7,IF(DM937=3,CZ937/7.5,"")))</f>
        <v>32.68125</v>
      </c>
      <c r="DB937" s="0" t="s">
        <v>303</v>
      </c>
      <c r="DC937" s="0" t="s">
        <v>301</v>
      </c>
      <c r="DD937" s="0" t="s">
        <v>216</v>
      </c>
      <c r="DE937" s="0" t="s">
        <v>216</v>
      </c>
      <c r="DF937" s="0" t="s">
        <v>216</v>
      </c>
      <c r="DG937" s="0" t="s">
        <v>216</v>
      </c>
      <c r="DH937" s="0" t="n">
        <v>0</v>
      </c>
      <c r="DI937" s="126" t="n">
        <v>261.45</v>
      </c>
      <c r="DK937" s="0" t="n">
        <v>0</v>
      </c>
      <c r="DM937" s="0" t="n">
        <v>1</v>
      </c>
      <c r="DN937" s="0" t="n">
        <v>60</v>
      </c>
      <c r="DO937" s="0" t="n">
        <v>3</v>
      </c>
      <c r="DP937" s="0" t="n">
        <v>0</v>
      </c>
      <c r="DQ937" s="0" t="n">
        <v>1</v>
      </c>
      <c r="DR937" s="0"/>
      <c r="DS937" s="0" t="n">
        <v>1</v>
      </c>
      <c r="DU937" s="0" t="n">
        <v>1</v>
      </c>
      <c r="DW937" s="1" t="n">
        <v>40513</v>
      </c>
      <c r="DX937" s="1" t="n">
        <v>40543</v>
      </c>
      <c r="DZ937" s="0"/>
      <c r="EA937" s="0" t="n">
        <v>1</v>
      </c>
      <c r="EC937" s="1" t="n">
        <v>40513</v>
      </c>
      <c r="ED937" s="1" t="n">
        <v>40543</v>
      </c>
      <c r="EF937" s="0"/>
      <c r="EG937" s="0" t="n">
        <v>1</v>
      </c>
      <c r="EH937" s="0" t="n">
        <v>18</v>
      </c>
      <c r="EI937" s="0" t="n">
        <f aca="false">IF(AND(DM937=1,DN937&lt;=48),"",IF(AND(DM937=2,DN937&lt;=42),"",IF(AND(DM937=3,DN937&lt;=45),"",EH937)))</f>
        <v>18</v>
      </c>
      <c r="EJ937" s="0" t="n">
        <f aca="false">IF(EI937="","",IF(EI937&lt;9,EI937,9))</f>
        <v>9</v>
      </c>
      <c r="EK937" s="0" t="n">
        <f aca="false">IF(EI937="","",IF(EI937&gt;9,EI937-EJ937,0))</f>
        <v>9</v>
      </c>
      <c r="EL937" s="0" t="n">
        <f aca="false">IF(EI937="","",EJ937*DA937*2+EK937*DA937*3)</f>
        <v>1470.65625</v>
      </c>
      <c r="EP937" s="0" t="n">
        <v>0</v>
      </c>
      <c r="EQ937" s="0"/>
      <c r="ER937" s="0" t="n">
        <v>0</v>
      </c>
      <c r="ET937" s="0" t="n">
        <v>0</v>
      </c>
      <c r="EV937" s="0" t="n">
        <v>0</v>
      </c>
      <c r="EX937" s="0" t="n">
        <v>0</v>
      </c>
      <c r="EY937" s="0" t="n">
        <v>0</v>
      </c>
      <c r="FA937" s="0"/>
      <c r="FB937" s="0" t="n">
        <v>1</v>
      </c>
      <c r="FC937" s="1" t="n">
        <v>40777</v>
      </c>
      <c r="FD937" s="0" t="n">
        <v>1</v>
      </c>
      <c r="FE937" s="0" t="n">
        <v>4500</v>
      </c>
      <c r="FF937" s="120" t="n">
        <f aca="false">(CJ937-CI937+1)/365</f>
        <v>0.0849315068493151</v>
      </c>
      <c r="FG937" s="0" t="str">
        <f aca="false">CONCATENATE(F937,"/",G937)</f>
        <v>372/2011</v>
      </c>
      <c r="FH937" s="0" t="n">
        <v>1</v>
      </c>
      <c r="FI937" s="0" t="n">
        <f aca="false">IFERROR(IF((FC937-J937+1)/365&gt;3,0,1),"")</f>
        <v>1</v>
      </c>
    </row>
    <row r="938" customFormat="false" ht="15" hidden="false" customHeight="false" outlineLevel="0" collapsed="false">
      <c r="A938" s="5" t="str">
        <f aca="false">E938&amp;G938&amp;F938</f>
        <v>72011375</v>
      </c>
      <c r="B938" s="0" t="s">
        <v>8543</v>
      </c>
      <c r="C938" s="1" t="n">
        <v>42387</v>
      </c>
      <c r="D938" s="0" t="s">
        <v>8544</v>
      </c>
      <c r="E938" s="0" t="n">
        <v>7</v>
      </c>
      <c r="F938" s="0" t="n">
        <v>375</v>
      </c>
      <c r="G938" s="0" t="n">
        <v>2011</v>
      </c>
      <c r="H938" s="0" t="str">
        <f aca="false">"J"&amp;E938&amp;"\"&amp;F938&amp;"\"&amp;G938&amp;"\"&amp;W938</f>
        <v>J7\375\2011\1</v>
      </c>
      <c r="I938" s="0"/>
      <c r="J938" s="1" t="n">
        <v>40599</v>
      </c>
      <c r="K938" s="0" t="n">
        <v>0</v>
      </c>
      <c r="M938" s="1"/>
      <c r="N938" s="1"/>
      <c r="O938" s="1"/>
      <c r="P938" s="1"/>
      <c r="Q938" s="1"/>
      <c r="T938" s="121"/>
      <c r="U938" s="121"/>
      <c r="V938" s="122" t="n">
        <f aca="false">IF(AND(E938&gt;0,F938&gt;0,G938&gt;0),COUNTIFS($E:$E,E938,$F:$F,F938,$G:$G,G938),"")</f>
        <v>1</v>
      </c>
      <c r="W938" s="122" t="n">
        <f aca="false">IF(V938="","",IF(V938=1,1,IF(AND(E937=E938,F937=F938,G937=G938),W937+1,1)))</f>
        <v>1</v>
      </c>
      <c r="X938" s="0" t="n">
        <v>1</v>
      </c>
      <c r="Y938" s="0" t="n">
        <v>3</v>
      </c>
      <c r="Z938" s="0" t="s">
        <v>8570</v>
      </c>
      <c r="AA938" s="0" t="n">
        <v>0</v>
      </c>
      <c r="AB938" s="0" t="s">
        <v>8546</v>
      </c>
      <c r="AC938" s="0" t="s">
        <v>1924</v>
      </c>
      <c r="AD938" s="0" t="s">
        <v>1160</v>
      </c>
      <c r="AE938" s="0" t="n">
        <v>0</v>
      </c>
      <c r="AF938" s="0" t="s">
        <v>8571</v>
      </c>
      <c r="AG938" s="0" t="n">
        <v>0</v>
      </c>
      <c r="AH938" s="0" t="s">
        <v>8572</v>
      </c>
      <c r="AI938" s="0" t="s">
        <v>1661</v>
      </c>
      <c r="AJ938" s="0" t="s">
        <v>1160</v>
      </c>
      <c r="AL938" s="0" t="s">
        <v>8573</v>
      </c>
      <c r="AM938" s="0" t="n">
        <v>1</v>
      </c>
      <c r="AN938" s="0" t="s">
        <v>8572</v>
      </c>
      <c r="AO938" s="0" t="s">
        <v>1661</v>
      </c>
      <c r="AP938" s="0" t="s">
        <v>1160</v>
      </c>
      <c r="AR938" s="0" t="s">
        <v>213</v>
      </c>
      <c r="AS938" s="0" t="n">
        <v>1</v>
      </c>
      <c r="AT938" s="0" t="s">
        <v>8572</v>
      </c>
      <c r="AU938" s="0" t="s">
        <v>1661</v>
      </c>
      <c r="AV938" s="0" t="s">
        <v>1160</v>
      </c>
      <c r="BR938" s="0" t="n">
        <v>3</v>
      </c>
      <c r="BS938" s="0" t="s">
        <v>500</v>
      </c>
      <c r="BT938" s="0" t="s">
        <v>501</v>
      </c>
      <c r="BU938" s="0" t="s">
        <v>8574</v>
      </c>
      <c r="BV938" s="123"/>
      <c r="BW938" s="123"/>
      <c r="BX938" s="123"/>
      <c r="BY938" s="123"/>
      <c r="CA938" s="0" t="s">
        <v>8550</v>
      </c>
      <c r="CD938" s="0" t="s">
        <v>256</v>
      </c>
      <c r="CE938" s="0" t="n">
        <v>0</v>
      </c>
      <c r="CF938" s="0" t="s">
        <v>8575</v>
      </c>
      <c r="CI938" s="1" t="n">
        <v>40459</v>
      </c>
      <c r="CJ938" s="1" t="n">
        <v>40543</v>
      </c>
      <c r="CK938" s="124" t="n">
        <v>0.333333333333333</v>
      </c>
      <c r="CL938" s="0" t="s">
        <v>8576</v>
      </c>
      <c r="CM938" s="0" t="n">
        <f aca="false">IF(OR(CI938="",CJ938=""),"",DAYS360(CI938,CJ938)/360)</f>
        <v>0.230555555555556</v>
      </c>
      <c r="CN938" s="0" t="n">
        <f aca="false">IF(OR(CI938="",CJ938=""),"",DAYS360(CI938,CJ938)/30)</f>
        <v>2.76666666666667</v>
      </c>
      <c r="CO938" s="0" t="n">
        <f aca="false">IF(OR(CI938="",CJ938=""),"",DAYS360(CI938,CJ938)/7)</f>
        <v>11.8571428571429</v>
      </c>
      <c r="CP938" s="0" t="n">
        <f aca="false">IF(OR(CI938="",CJ938=""),"",DAYS360(CI938,CJ938))</f>
        <v>83</v>
      </c>
      <c r="CQ938" s="0" t="s">
        <v>240</v>
      </c>
      <c r="CR938" s="0" t="n">
        <v>1</v>
      </c>
      <c r="CT938" s="0" t="n">
        <v>160</v>
      </c>
      <c r="CU938" s="0" t="n">
        <v>0</v>
      </c>
      <c r="CV938" s="0" t="n">
        <f aca="false">IF(OR(CT938="",CT938="NO ESPECIFICA",CT938="NO MENCIONA"),"",IF(CU938=0,CT938,IF(CU938=1,CT938/30,IF(CU938=2,CT938/15,IF(CU938=3,CT938/7,"")))))</f>
        <v>160</v>
      </c>
      <c r="CW938" s="125" t="n">
        <v>167.22</v>
      </c>
      <c r="CX938" s="0" t="n">
        <v>0</v>
      </c>
      <c r="CY938" s="0" t="n">
        <f aca="false">IF(CW938="","",IF(CX938=0,CW938,IF(CX938=1,CW938/30,IF(CX938=2,CW938/15,IF(CX938=3,CW938/7,CW938)))))</f>
        <v>167.22</v>
      </c>
      <c r="CZ938" s="0" t="n">
        <f aca="false">IF(DI938&gt;0,DI938,IF(CY938&gt;0,CY938,IF(CV938&gt;0,CV938,"")))</f>
        <v>167.22</v>
      </c>
      <c r="DA938" s="0" t="n">
        <f aca="false">IF(DM938=1,CZ938/8,IF(OR(DM938=2,DM938=4),CZ938/7,IF(DM938=3,CZ938/7.5,"")))</f>
        <v>20.9025</v>
      </c>
      <c r="DB938" s="0" t="s">
        <v>303</v>
      </c>
      <c r="DC938" s="0" t="s">
        <v>301</v>
      </c>
      <c r="DD938" s="0" t="s">
        <v>216</v>
      </c>
      <c r="DE938" s="0" t="s">
        <v>216</v>
      </c>
      <c r="DF938" s="0" t="s">
        <v>216</v>
      </c>
      <c r="DG938" s="0" t="s">
        <v>216</v>
      </c>
      <c r="DH938" s="0" t="n">
        <v>0</v>
      </c>
      <c r="DI938" s="126" t="n">
        <v>167.22</v>
      </c>
      <c r="DK938" s="0" t="n">
        <v>0</v>
      </c>
      <c r="DM938" s="0" t="n">
        <v>1</v>
      </c>
      <c r="DN938" s="0" t="n">
        <v>42</v>
      </c>
      <c r="DO938" s="0" t="n">
        <v>3</v>
      </c>
      <c r="DP938" s="0" t="n">
        <v>0</v>
      </c>
      <c r="DQ938" s="0" t="n">
        <v>1</v>
      </c>
      <c r="DR938" s="0"/>
      <c r="DS938" s="0" t="n">
        <v>1</v>
      </c>
      <c r="DU938" s="0" t="n">
        <v>1</v>
      </c>
      <c r="DW938" s="1" t="n">
        <v>40459</v>
      </c>
      <c r="DX938" s="1" t="n">
        <v>40543</v>
      </c>
      <c r="DZ938" s="0"/>
      <c r="EA938" s="0" t="n">
        <v>1</v>
      </c>
      <c r="EC938" s="1" t="n">
        <v>40459</v>
      </c>
      <c r="ED938" s="1" t="n">
        <v>40543</v>
      </c>
      <c r="EF938" s="0"/>
      <c r="EG938" s="0" t="n">
        <v>0</v>
      </c>
      <c r="EI938" s="0" t="str">
        <f aca="false">IF(AND(DM938=1,DN938&lt;=48),"",IF(AND(DM938=2,DN938&lt;=42),"",IF(AND(DM938=3,DN938&lt;=45),"",EH938)))</f>
        <v/>
      </c>
      <c r="EJ938" s="0" t="str">
        <f aca="false">IF(EI938="","",IF(EI938&lt;9,EI938,9))</f>
        <v/>
      </c>
      <c r="EK938" s="0" t="str">
        <f aca="false">IF(EI938="","",IF(EI938&gt;9,EI938-EJ938,0))</f>
        <v/>
      </c>
      <c r="EL938" s="0" t="str">
        <f aca="false">IF(EI938="","",EJ938*DA938*2+EK938*DA938*3)</f>
        <v/>
      </c>
      <c r="EP938" s="0" t="n">
        <v>0</v>
      </c>
      <c r="EQ938" s="0"/>
      <c r="ER938" s="0" t="n">
        <v>0</v>
      </c>
      <c r="ET938" s="0" t="n">
        <v>0</v>
      </c>
      <c r="EV938" s="0" t="n">
        <v>0</v>
      </c>
      <c r="EX938" s="0" t="n">
        <v>0</v>
      </c>
      <c r="EY938" s="0" t="n">
        <v>0</v>
      </c>
      <c r="FA938" s="0"/>
      <c r="FB938" s="0" t="n">
        <v>1</v>
      </c>
      <c r="FC938" s="1" t="n">
        <v>40788</v>
      </c>
      <c r="FD938" s="0" t="n">
        <v>2</v>
      </c>
      <c r="FE938" s="0" t="n">
        <v>0</v>
      </c>
      <c r="FF938" s="120" t="n">
        <f aca="false">(CJ938-CI938+1)/365</f>
        <v>0.232876712328767</v>
      </c>
      <c r="FG938" s="0" t="str">
        <f aca="false">CONCATENATE(F938,"/",G938)</f>
        <v>375/2011</v>
      </c>
      <c r="FH938" s="0" t="n">
        <v>1</v>
      </c>
      <c r="FI938" s="0" t="n">
        <f aca="false">IFERROR(IF((FC938-J938+1)/365&gt;3,0,1),"")</f>
        <v>1</v>
      </c>
    </row>
    <row r="939" customFormat="false" ht="15" hidden="false" customHeight="false" outlineLevel="0" collapsed="false">
      <c r="A939" s="5" t="str">
        <f aca="false">E939&amp;G939&amp;F939</f>
        <v>72011379</v>
      </c>
      <c r="B939" s="0" t="s">
        <v>8543</v>
      </c>
      <c r="C939" s="1" t="n">
        <v>42387</v>
      </c>
      <c r="D939" s="0" t="s">
        <v>8544</v>
      </c>
      <c r="E939" s="0" t="n">
        <v>7</v>
      </c>
      <c r="F939" s="0" t="n">
        <v>379</v>
      </c>
      <c r="G939" s="0" t="n">
        <v>2011</v>
      </c>
      <c r="H939" s="0" t="str">
        <f aca="false">"J"&amp;E939&amp;"\"&amp;F939&amp;"\"&amp;G939&amp;"\"&amp;W939</f>
        <v>J7\379\2011\1</v>
      </c>
      <c r="I939" s="0"/>
      <c r="J939" s="1" t="n">
        <v>40602</v>
      </c>
      <c r="K939" s="0" t="n">
        <v>0</v>
      </c>
      <c r="M939" s="1"/>
      <c r="N939" s="1"/>
      <c r="O939" s="1"/>
      <c r="P939" s="1"/>
      <c r="Q939" s="1"/>
      <c r="T939" s="121"/>
      <c r="U939" s="121"/>
      <c r="V939" s="122" t="n">
        <f aca="false">IF(AND(E939&gt;0,F939&gt;0,G939&gt;0),COUNTIFS($E:$E,E939,$F:$F,F939,$G:$G,G939),"")</f>
        <v>1</v>
      </c>
      <c r="W939" s="122" t="n">
        <f aca="false">IF(V939="","",IF(V939=1,1,IF(AND(E938=E939,F938=F939,G938=G939),W938+1,1)))</f>
        <v>1</v>
      </c>
      <c r="X939" s="0" t="n">
        <v>1</v>
      </c>
      <c r="Y939" s="0" t="n">
        <v>3</v>
      </c>
      <c r="Z939" s="0" t="s">
        <v>8577</v>
      </c>
      <c r="AA939" s="0" t="n">
        <v>0</v>
      </c>
      <c r="AB939" s="0" t="s">
        <v>8578</v>
      </c>
      <c r="AC939" s="0" t="s">
        <v>1887</v>
      </c>
      <c r="AD939" s="0" t="s">
        <v>1160</v>
      </c>
      <c r="AE939" s="0" t="n">
        <v>0</v>
      </c>
      <c r="AF939" s="0" t="s">
        <v>8579</v>
      </c>
      <c r="AG939" s="0" t="n">
        <v>0</v>
      </c>
      <c r="AH939" s="0" t="s">
        <v>8580</v>
      </c>
      <c r="AI939" s="0" t="s">
        <v>8581</v>
      </c>
      <c r="AJ939" s="0" t="s">
        <v>1372</v>
      </c>
      <c r="AL939" s="0" t="s">
        <v>8582</v>
      </c>
      <c r="AM939" s="0" t="n">
        <v>0</v>
      </c>
      <c r="AN939" s="0" t="s">
        <v>8583</v>
      </c>
      <c r="AO939" s="0" t="s">
        <v>287</v>
      </c>
      <c r="AP939" s="0" t="s">
        <v>2218</v>
      </c>
      <c r="AR939" s="0" t="s">
        <v>8584</v>
      </c>
      <c r="AS939" s="0" t="n">
        <v>1</v>
      </c>
      <c r="AT939" s="0" t="s">
        <v>8583</v>
      </c>
      <c r="AU939" s="0" t="s">
        <v>287</v>
      </c>
      <c r="AV939" s="0" t="s">
        <v>2218</v>
      </c>
      <c r="BR939" s="0" t="n">
        <v>1</v>
      </c>
      <c r="BS939" s="0" t="s">
        <v>2351</v>
      </c>
      <c r="BT939" s="0" t="s">
        <v>8585</v>
      </c>
      <c r="BU939" s="0" t="s">
        <v>1323</v>
      </c>
      <c r="BV939" s="123"/>
      <c r="BW939" s="123"/>
      <c r="BX939" s="123"/>
      <c r="BY939" s="123"/>
      <c r="CA939" s="0" t="s">
        <v>216</v>
      </c>
      <c r="CD939" s="0" t="s">
        <v>296</v>
      </c>
      <c r="CE939" s="0" t="n">
        <v>0</v>
      </c>
      <c r="CF939" s="0" t="s">
        <v>8586</v>
      </c>
      <c r="CI939" s="1" t="n">
        <v>40506</v>
      </c>
      <c r="CJ939" s="1" t="n">
        <v>40599</v>
      </c>
      <c r="CK939" s="124" t="n">
        <v>0.333333333333333</v>
      </c>
      <c r="CL939" s="0" t="s">
        <v>8587</v>
      </c>
      <c r="CM939" s="0" t="n">
        <f aca="false">IF(OR(CI939="",CJ939=""),"",DAYS360(CI939,CJ939)/360)</f>
        <v>0.252777777777778</v>
      </c>
      <c r="CN939" s="0" t="n">
        <f aca="false">IF(OR(CI939="",CJ939=""),"",DAYS360(CI939,CJ939)/30)</f>
        <v>3.03333333333333</v>
      </c>
      <c r="CO939" s="0" t="n">
        <f aca="false">IF(OR(CI939="",CJ939=""),"",DAYS360(CI939,CJ939)/7)</f>
        <v>13</v>
      </c>
      <c r="CP939" s="0" t="n">
        <f aca="false">IF(OR(CI939="",CJ939=""),"",DAYS360(CI939,CJ939))</f>
        <v>91</v>
      </c>
      <c r="CQ939" s="0" t="s">
        <v>240</v>
      </c>
      <c r="CR939" s="0" t="n">
        <v>1</v>
      </c>
      <c r="CT939" s="0" t="n">
        <v>200</v>
      </c>
      <c r="CU939" s="0" t="n">
        <v>0</v>
      </c>
      <c r="CV939" s="0" t="n">
        <f aca="false">IF(OR(CT939="",CT939="NO ESPECIFICA",CT939="NO MENCIONA"),"",IF(CU939=0,CT939,IF(CU939=1,CT939/30,IF(CU939=2,CT939/15,IF(CU939=3,CT939/7,"")))))</f>
        <v>200</v>
      </c>
      <c r="CW939" s="125" t="n">
        <v>413.92</v>
      </c>
      <c r="CX939" s="0" t="n">
        <v>0</v>
      </c>
      <c r="CY939" s="0" t="n">
        <f aca="false">IF(CW939="","",IF(CX939=0,CW939,IF(CX939=1,CW939/30,IF(CX939=2,CW939/15,IF(CX939=3,CW939/7,CW939)))))</f>
        <v>413.92</v>
      </c>
      <c r="CZ939" s="0" t="n">
        <f aca="false">IF(DI939&gt;0,DI939,IF(CY939&gt;0,CY939,IF(CV939&gt;0,CV939,"")))</f>
        <v>413.92</v>
      </c>
      <c r="DA939" s="0" t="n">
        <f aca="false">IF(DM939=1,CZ939/8,IF(OR(DM939=2,DM939=4),CZ939/7,IF(DM939=3,CZ939/7.5,"")))</f>
        <v>51.74</v>
      </c>
      <c r="DB939" s="0" t="s">
        <v>301</v>
      </c>
      <c r="DC939" s="0" t="s">
        <v>1935</v>
      </c>
      <c r="DD939" s="0" t="s">
        <v>8588</v>
      </c>
      <c r="DE939" s="0" t="s">
        <v>216</v>
      </c>
      <c r="DF939" s="0" t="s">
        <v>216</v>
      </c>
      <c r="DG939" s="0" t="s">
        <v>216</v>
      </c>
      <c r="DH939" s="0" t="n">
        <v>0</v>
      </c>
      <c r="DI939" s="126" t="n">
        <v>413.92</v>
      </c>
      <c r="DK939" s="0" t="n">
        <v>1</v>
      </c>
      <c r="DM939" s="0" t="n">
        <v>1</v>
      </c>
      <c r="DN939" s="0" t="n">
        <v>48</v>
      </c>
      <c r="DO939" s="0" t="n">
        <v>3</v>
      </c>
      <c r="DP939" s="0" t="n">
        <v>0</v>
      </c>
      <c r="DQ939" s="0" t="n">
        <v>1</v>
      </c>
      <c r="DR939" s="0"/>
      <c r="DS939" s="0" t="n">
        <v>1</v>
      </c>
      <c r="DU939" s="0" t="n">
        <v>0</v>
      </c>
      <c r="DW939" s="1" t="s">
        <v>221</v>
      </c>
      <c r="DX939" s="1" t="s">
        <v>221</v>
      </c>
      <c r="DY939" s="0" t="n">
        <v>15</v>
      </c>
      <c r="DZ939" s="0"/>
      <c r="EA939" s="0" t="n">
        <v>1</v>
      </c>
      <c r="EC939" s="1" t="s">
        <v>221</v>
      </c>
      <c r="ED939" s="1" t="s">
        <v>221</v>
      </c>
      <c r="EE939" s="0" t="n">
        <v>20</v>
      </c>
      <c r="EF939" s="0"/>
      <c r="EG939" s="0" t="n">
        <v>1</v>
      </c>
      <c r="EH939" s="0" t="n">
        <v>18</v>
      </c>
      <c r="EI939" s="0" t="str">
        <f aca="false">IF(AND(DM939=1,DN939&lt;=48),"",IF(AND(DM939=2,DN939&lt;=42),"",IF(AND(DM939=3,DN939&lt;=45),"",EH939)))</f>
        <v/>
      </c>
      <c r="EJ939" s="0" t="str">
        <f aca="false">IF(EI939="","",IF(EI939&lt;9,EI939,9))</f>
        <v/>
      </c>
      <c r="EK939" s="0" t="str">
        <f aca="false">IF(EI939="","",IF(EI939&gt;9,EI939-EJ939,0))</f>
        <v/>
      </c>
      <c r="EL939" s="0" t="str">
        <f aca="false">IF(EI939="","",EJ939*DA939*2+EK939*DA939*3)</f>
        <v/>
      </c>
      <c r="EP939" s="0" t="n">
        <v>0</v>
      </c>
      <c r="EQ939" s="0"/>
      <c r="ER939" s="0" t="n">
        <v>0</v>
      </c>
      <c r="ET939" s="0" t="n">
        <v>1</v>
      </c>
      <c r="EV939" s="0" t="n">
        <v>0</v>
      </c>
      <c r="EX939" s="0" t="n">
        <v>1</v>
      </c>
      <c r="EY939" s="0" t="n">
        <v>0</v>
      </c>
      <c r="FA939" s="0"/>
      <c r="FB939" s="0" t="n">
        <v>1</v>
      </c>
      <c r="FC939" s="1" t="n">
        <v>41662</v>
      </c>
      <c r="FD939" s="0" t="n">
        <v>4</v>
      </c>
      <c r="FE939" s="0" t="n">
        <v>0</v>
      </c>
      <c r="FF939" s="120" t="n">
        <f aca="false">(CJ939-CI939+1)/365</f>
        <v>0.257534246575342</v>
      </c>
      <c r="FG939" s="0" t="str">
        <f aca="false">CONCATENATE(F939,"/",G939)</f>
        <v>379/2011</v>
      </c>
      <c r="FH939" s="0" t="n">
        <v>1</v>
      </c>
      <c r="FI939" s="0" t="n">
        <f aca="false">IFERROR(IF((FC939-J939+1)/365&gt;3,0,1),"")</f>
        <v>1</v>
      </c>
    </row>
    <row r="940" customFormat="false" ht="15" hidden="false" customHeight="false" outlineLevel="0" collapsed="false">
      <c r="A940" s="5" t="str">
        <f aca="false">E940&amp;G940&amp;F940</f>
        <v>72011410</v>
      </c>
      <c r="B940" s="0" t="s">
        <v>4119</v>
      </c>
      <c r="C940" s="1" t="n">
        <v>42387</v>
      </c>
      <c r="D940" s="0" t="s">
        <v>1856</v>
      </c>
      <c r="E940" s="0" t="n">
        <v>7</v>
      </c>
      <c r="F940" s="0" t="n">
        <v>410</v>
      </c>
      <c r="G940" s="0" t="n">
        <v>2011</v>
      </c>
      <c r="H940" s="0" t="str">
        <f aca="false">"J"&amp;E940&amp;"\"&amp;F940&amp;"\"&amp;G940&amp;"\"&amp;W940</f>
        <v>J7\410\2011\1</v>
      </c>
      <c r="I940" s="0"/>
      <c r="J940" s="1" t="n">
        <v>40604</v>
      </c>
      <c r="K940" s="0" t="n">
        <v>0</v>
      </c>
      <c r="M940" s="1"/>
      <c r="N940" s="1"/>
      <c r="O940" s="1"/>
      <c r="P940" s="1"/>
      <c r="Q940" s="1"/>
      <c r="T940" s="121"/>
      <c r="U940" s="121"/>
      <c r="V940" s="122" t="n">
        <f aca="false">IF(AND(E940&gt;0,F940&gt;0,G940&gt;0),COUNTIFS($E:$E,E940,$F:$F,F940,$G:$G,G940),"")</f>
        <v>1</v>
      </c>
      <c r="W940" s="122" t="n">
        <f aca="false">IF(V940="","",IF(V940=1,1,IF(AND(E939=E940,F939=F940,G939=G940),W939+1,1)))</f>
        <v>1</v>
      </c>
      <c r="X940" s="0" t="n">
        <v>1</v>
      </c>
      <c r="Y940" s="0" t="n">
        <v>2</v>
      </c>
      <c r="Z940" s="0" t="s">
        <v>8589</v>
      </c>
      <c r="AA940" s="0" t="n">
        <v>0</v>
      </c>
      <c r="AB940" s="0" t="s">
        <v>8590</v>
      </c>
      <c r="AC940" s="0" t="s">
        <v>244</v>
      </c>
      <c r="AD940" s="0" t="s">
        <v>229</v>
      </c>
      <c r="AE940" s="0" t="n">
        <v>0</v>
      </c>
      <c r="AF940" s="0" t="s">
        <v>8591</v>
      </c>
      <c r="AG940" s="0" t="n">
        <v>0</v>
      </c>
      <c r="AH940" s="0" t="s">
        <v>8592</v>
      </c>
      <c r="AI940" s="0" t="s">
        <v>433</v>
      </c>
      <c r="AJ940" s="0" t="s">
        <v>485</v>
      </c>
      <c r="AL940" s="0" t="s">
        <v>213</v>
      </c>
      <c r="AM940" s="0" t="n">
        <v>1</v>
      </c>
      <c r="AN940" s="0" t="s">
        <v>8592</v>
      </c>
      <c r="AO940" s="0" t="s">
        <v>433</v>
      </c>
      <c r="AP940" s="0" t="s">
        <v>485</v>
      </c>
      <c r="BR940" s="0" t="n">
        <v>1</v>
      </c>
      <c r="BS940" s="0" t="s">
        <v>8593</v>
      </c>
      <c r="BT940" s="0" t="s">
        <v>8594</v>
      </c>
      <c r="BU940" s="0" t="s">
        <v>8595</v>
      </c>
      <c r="BV940" s="123"/>
      <c r="BW940" s="123"/>
      <c r="BX940" s="123"/>
      <c r="BY940" s="123"/>
      <c r="CA940" s="0" t="s">
        <v>216</v>
      </c>
      <c r="CD940" s="0" t="s">
        <v>502</v>
      </c>
      <c r="CE940" s="0" t="n">
        <v>0</v>
      </c>
      <c r="CF940" s="0" t="s">
        <v>8596</v>
      </c>
      <c r="CI940" s="1" t="n">
        <v>40167</v>
      </c>
      <c r="CJ940" s="1" t="n">
        <v>40578</v>
      </c>
      <c r="CK940" s="124" t="n">
        <v>0.368055555555556</v>
      </c>
      <c r="CL940" s="0" t="s">
        <v>8597</v>
      </c>
      <c r="CM940" s="0" t="n">
        <f aca="false">IF(OR(CI940="",CJ940=""),"",DAYS360(CI940,CJ940)/360)</f>
        <v>1.12222222222222</v>
      </c>
      <c r="CN940" s="0" t="n">
        <f aca="false">IF(OR(CI940="",CJ940=""),"",DAYS360(CI940,CJ940)/30)</f>
        <v>13.4666666666667</v>
      </c>
      <c r="CO940" s="0" t="n">
        <f aca="false">IF(OR(CI940="",CJ940=""),"",DAYS360(CI940,CJ940)/7)</f>
        <v>57.7142857142857</v>
      </c>
      <c r="CP940" s="0" t="n">
        <f aca="false">IF(OR(CI940="",CJ940=""),"",DAYS360(CI940,CJ940))</f>
        <v>404</v>
      </c>
      <c r="CQ940" s="0" t="s">
        <v>240</v>
      </c>
      <c r="CR940" s="0" t="n">
        <v>1</v>
      </c>
      <c r="CT940" s="0" t="s">
        <v>216</v>
      </c>
      <c r="CU940" s="0" t="s">
        <v>216</v>
      </c>
      <c r="CV940" s="0" t="str">
        <f aca="false">IF(OR(CT940="",CT940="NO ESPECIFICA",CT940="NO MENCIONA"),"",IF(CU940=0,CT940,IF(CU940=1,CT940/30,IF(CU940=2,CT940/15,IF(CU940=3,CT940/7,"")))))</f>
        <v/>
      </c>
      <c r="CW940" s="125" t="n">
        <v>1199.94</v>
      </c>
      <c r="CX940" s="0" t="n">
        <v>3</v>
      </c>
      <c r="CY940" s="0" t="n">
        <f aca="false">IF(CW940="","",IF(CX940=0,CW940,IF(CX940=1,CW940/30,IF(CX940=2,CW940/15,IF(CX940=3,CW940/7,CW940)))))</f>
        <v>171.42</v>
      </c>
      <c r="CZ940" s="0" t="n">
        <f aca="false">IF(DI940&gt;0,DI940,IF(CY940&gt;0,CY940,IF(CV940&gt;0,CV940,"")))</f>
        <v>171.42</v>
      </c>
      <c r="DA940" s="0" t="n">
        <f aca="false">IF(DM940=1,CZ940/8,IF(OR(DM940=2,DM940=4),CZ940/7,IF(DM940=3,CZ940/7.5,"")))</f>
        <v>21.4275</v>
      </c>
      <c r="DB940" s="0" t="s">
        <v>8598</v>
      </c>
      <c r="DC940" s="0" t="s">
        <v>2306</v>
      </c>
      <c r="DD940" s="0" t="s">
        <v>1119</v>
      </c>
      <c r="DE940" s="0" t="s">
        <v>8599</v>
      </c>
      <c r="DF940" s="0" t="s">
        <v>8600</v>
      </c>
      <c r="DG940" s="0" t="s">
        <v>216</v>
      </c>
      <c r="DH940" s="0" t="n">
        <v>0</v>
      </c>
      <c r="DI940" s="126" t="n">
        <v>171.42</v>
      </c>
      <c r="DK940" s="0" t="n">
        <v>0</v>
      </c>
      <c r="DM940" s="0" t="n">
        <v>1</v>
      </c>
      <c r="DN940" s="0" t="n">
        <v>50</v>
      </c>
      <c r="DO940" s="0" t="n">
        <v>3</v>
      </c>
      <c r="DP940" s="0" t="n">
        <v>0</v>
      </c>
      <c r="DQ940" s="0" t="n">
        <v>1</v>
      </c>
      <c r="DR940" s="0"/>
      <c r="DS940" s="0" t="n">
        <v>1</v>
      </c>
      <c r="DU940" s="0" t="n">
        <v>1</v>
      </c>
      <c r="DW940" s="1" t="s">
        <v>216</v>
      </c>
      <c r="DX940" s="1" t="s">
        <v>216</v>
      </c>
      <c r="DY940" s="0" t="s">
        <v>216</v>
      </c>
      <c r="DZ940" s="0" t="s">
        <v>216</v>
      </c>
      <c r="EA940" s="0" t="n">
        <v>0</v>
      </c>
      <c r="EC940" s="1" t="n">
        <v>40179</v>
      </c>
      <c r="ED940" s="1" t="n">
        <v>40543</v>
      </c>
      <c r="EF940" s="0"/>
      <c r="EG940" s="0" t="n">
        <v>1</v>
      </c>
      <c r="EH940" s="0" t="n">
        <v>9</v>
      </c>
      <c r="EI940" s="0" t="n">
        <f aca="false">IF(AND(DM940=1,DN940&lt;=48),"",IF(AND(DM940=2,DN940&lt;=42),"",IF(AND(DM940=3,DN940&lt;=45),"",EH940)))</f>
        <v>9</v>
      </c>
      <c r="EJ940" s="0" t="n">
        <f aca="false">IF(EI940="","",IF(EI940&lt;9,EI940,9))</f>
        <v>9</v>
      </c>
      <c r="EK940" s="0" t="n">
        <f aca="false">IF(EI940="","",IF(EI940&gt;9,EI940-EJ940,0))</f>
        <v>0</v>
      </c>
      <c r="EL940" s="0" t="n">
        <f aca="false">IF(EI940="","",EJ940*DA940*2+EK940*DA940*3)</f>
        <v>385.695</v>
      </c>
      <c r="EO940" s="0" t="n">
        <v>320</v>
      </c>
      <c r="EP940" s="0" t="n">
        <v>1</v>
      </c>
      <c r="EQ940" s="0"/>
      <c r="ER940" s="0" t="n">
        <v>0</v>
      </c>
      <c r="ET940" s="0" t="n">
        <v>0</v>
      </c>
      <c r="EV940" s="0" t="n">
        <v>0</v>
      </c>
      <c r="EX940" s="0" t="n">
        <v>0</v>
      </c>
      <c r="EY940" s="0" t="n">
        <v>1</v>
      </c>
      <c r="FA940" s="0"/>
      <c r="FB940" s="0" t="n">
        <v>0</v>
      </c>
      <c r="FC940" s="1" t="n">
        <v>40676</v>
      </c>
      <c r="FD940" s="0" t="n">
        <v>1</v>
      </c>
      <c r="FE940" s="0" t="n">
        <v>14000</v>
      </c>
      <c r="FF940" s="120" t="n">
        <f aca="false">(CJ940-CI940+1)/365</f>
        <v>1.12876712328767</v>
      </c>
      <c r="FG940" s="0" t="str">
        <f aca="false">CONCATENATE(F940,"/",G940)</f>
        <v>410/2011</v>
      </c>
      <c r="FH940" s="0" t="n">
        <v>1</v>
      </c>
      <c r="FI940" s="0" t="n">
        <f aca="false">IFERROR(IF((FC940-J940+1)/365&gt;3,0,1),"")</f>
        <v>1</v>
      </c>
    </row>
    <row r="941" customFormat="false" ht="15" hidden="false" customHeight="false" outlineLevel="0" collapsed="false">
      <c r="A941" s="5" t="str">
        <f aca="false">E941&amp;G941&amp;F941</f>
        <v>72011408</v>
      </c>
      <c r="B941" s="0" t="s">
        <v>4119</v>
      </c>
      <c r="C941" s="1" t="n">
        <v>42387</v>
      </c>
      <c r="D941" s="0" t="s">
        <v>8601</v>
      </c>
      <c r="E941" s="0" t="n">
        <v>7</v>
      </c>
      <c r="F941" s="0" t="n">
        <v>408</v>
      </c>
      <c r="G941" s="0" t="n">
        <v>2011</v>
      </c>
      <c r="H941" s="0" t="str">
        <f aca="false">"J"&amp;E941&amp;"\"&amp;F941&amp;"\"&amp;G941&amp;"\"&amp;W941</f>
        <v>J7\408\2011\1</v>
      </c>
      <c r="I941" s="0"/>
      <c r="J941" s="1" t="n">
        <v>40604</v>
      </c>
      <c r="K941" s="0" t="n">
        <v>0</v>
      </c>
      <c r="M941" s="1"/>
      <c r="N941" s="1"/>
      <c r="O941" s="1"/>
      <c r="P941" s="1"/>
      <c r="Q941" s="1"/>
      <c r="T941" s="121"/>
      <c r="U941" s="121"/>
      <c r="V941" s="122" t="n">
        <f aca="false">IF(AND(E941&gt;0,F941&gt;0,G941&gt;0),COUNTIFS($E:$E,E941,$F:$F,F941,$G:$G,G941),"")</f>
        <v>1</v>
      </c>
      <c r="W941" s="122" t="n">
        <f aca="false">IF(V941="","",IF(V941=1,1,IF(AND(E940=E941,F940=F941,G940=G941),W940+1,1)))</f>
        <v>1</v>
      </c>
      <c r="X941" s="0" t="n">
        <v>1</v>
      </c>
      <c r="Y941" s="0" t="n">
        <v>3</v>
      </c>
      <c r="Z941" s="0" t="s">
        <v>8602</v>
      </c>
      <c r="AA941" s="0" t="n">
        <v>0</v>
      </c>
      <c r="AB941" s="0" t="s">
        <v>8603</v>
      </c>
      <c r="AC941" s="0" t="s">
        <v>5766</v>
      </c>
      <c r="AD941" s="0" t="s">
        <v>5607</v>
      </c>
      <c r="AE941" s="0" t="n">
        <v>0</v>
      </c>
      <c r="AF941" s="0" t="s">
        <v>8604</v>
      </c>
      <c r="AG941" s="0" t="n">
        <v>0</v>
      </c>
      <c r="AH941" s="0" t="s">
        <v>8605</v>
      </c>
      <c r="AI941" s="0" t="s">
        <v>389</v>
      </c>
      <c r="AJ941" s="0" t="s">
        <v>352</v>
      </c>
      <c r="AL941" s="0" t="s">
        <v>8606</v>
      </c>
      <c r="AM941" s="0" t="n">
        <v>2</v>
      </c>
      <c r="AN941" s="0" t="s">
        <v>8605</v>
      </c>
      <c r="AO941" s="0" t="s">
        <v>389</v>
      </c>
      <c r="AP941" s="0" t="s">
        <v>352</v>
      </c>
      <c r="AR941" s="0" t="s">
        <v>8607</v>
      </c>
      <c r="AS941" s="0" t="n">
        <v>1</v>
      </c>
      <c r="AT941" s="0" t="s">
        <v>8605</v>
      </c>
      <c r="AU941" s="0" t="s">
        <v>389</v>
      </c>
      <c r="AV941" s="0" t="s">
        <v>352</v>
      </c>
      <c r="BR941" s="0" t="n">
        <v>1</v>
      </c>
      <c r="BS941" s="0" t="s">
        <v>8608</v>
      </c>
      <c r="BT941" s="0" t="s">
        <v>8609</v>
      </c>
      <c r="BU941" s="0" t="s">
        <v>8610</v>
      </c>
      <c r="BV941" s="123"/>
      <c r="BW941" s="123"/>
      <c r="BX941" s="123"/>
      <c r="BY941" s="123"/>
      <c r="CA941" s="0" t="s">
        <v>216</v>
      </c>
      <c r="CD941" s="0" t="s">
        <v>502</v>
      </c>
      <c r="CE941" s="0" t="n">
        <v>0</v>
      </c>
      <c r="CF941" s="0" t="s">
        <v>216</v>
      </c>
      <c r="CI941" s="1" t="n">
        <v>39814</v>
      </c>
      <c r="CJ941" s="1" t="n">
        <v>40575</v>
      </c>
      <c r="CK941" s="124" t="s">
        <v>216</v>
      </c>
      <c r="CL941" s="0" t="s">
        <v>8607</v>
      </c>
      <c r="CM941" s="0" t="n">
        <f aca="false">IF(OR(CI941="",CJ941=""),"",DAYS360(CI941,CJ941)/360)</f>
        <v>2.08333333333333</v>
      </c>
      <c r="CN941" s="0" t="n">
        <f aca="false">IF(OR(CI941="",CJ941=""),"",DAYS360(CI941,CJ941)/30)</f>
        <v>25</v>
      </c>
      <c r="CO941" s="0" t="n">
        <f aca="false">IF(OR(CI941="",CJ941=""),"",DAYS360(CI941,CJ941)/7)</f>
        <v>107.142857142857</v>
      </c>
      <c r="CP941" s="0" t="n">
        <f aca="false">IF(OR(CI941="",CJ941=""),"",DAYS360(CI941,CJ941))</f>
        <v>750</v>
      </c>
      <c r="CQ941" s="0" t="s">
        <v>240</v>
      </c>
      <c r="CR941" s="0" t="n">
        <v>1</v>
      </c>
      <c r="CT941" s="0" t="s">
        <v>221</v>
      </c>
      <c r="CU941" s="0" t="s">
        <v>221</v>
      </c>
      <c r="CV941" s="0" t="str">
        <f aca="false">IF(OR(CT941="",CT941="NO ESPECIFICA",CT941="NO MENCIONA"),"",IF(CU941=0,CT941,IF(CU941=1,CT941/30,IF(CU941=2,CT941/15,IF(CU941=3,CT941/7,"")))))</f>
        <v/>
      </c>
      <c r="CW941" s="125" t="n">
        <v>300</v>
      </c>
      <c r="CX941" s="0" t="n">
        <v>0</v>
      </c>
      <c r="CY941" s="0" t="n">
        <f aca="false">IF(CW941="","",IF(CX941=0,CW941,IF(CX941=1,CW941/30,IF(CX941=2,CW941/15,IF(CX941=3,CW941/7,CW941)))))</f>
        <v>300</v>
      </c>
      <c r="CZ941" s="0" t="n">
        <f aca="false">IF(DI941&gt;0,DI941,IF(CY941&gt;0,CY941,IF(CV941&gt;0,CV941,"")))</f>
        <v>300</v>
      </c>
      <c r="DA941" s="0" t="n">
        <f aca="false">IF(DM941=1,CZ941/8,IF(OR(DM941=2,DM941=4),CZ941/7,IF(DM941=3,CZ941/7.5,"")))</f>
        <v>42.8571428571429</v>
      </c>
      <c r="DB941" s="0" t="s">
        <v>216</v>
      </c>
      <c r="DC941" s="0" t="s">
        <v>216</v>
      </c>
      <c r="DD941" s="0" t="s">
        <v>216</v>
      </c>
      <c r="DE941" s="0" t="s">
        <v>216</v>
      </c>
      <c r="DF941" s="0" t="s">
        <v>216</v>
      </c>
      <c r="DG941" s="0" t="s">
        <v>216</v>
      </c>
      <c r="DH941" s="0" t="n">
        <v>0</v>
      </c>
      <c r="DI941" s="126" t="n">
        <v>300</v>
      </c>
      <c r="DK941" s="0" t="n">
        <v>0</v>
      </c>
      <c r="DM941" s="0" t="n">
        <v>4</v>
      </c>
      <c r="DN941" s="0" t="n">
        <v>84</v>
      </c>
      <c r="DO941" s="0" t="n">
        <v>3</v>
      </c>
      <c r="DP941" s="0" t="n">
        <v>0</v>
      </c>
      <c r="DQ941" s="0" t="n">
        <v>1</v>
      </c>
      <c r="DR941" s="0"/>
      <c r="DS941" s="0" t="n">
        <v>1</v>
      </c>
      <c r="DU941" s="0" t="n">
        <v>1</v>
      </c>
      <c r="DW941" s="1" t="n">
        <v>39814</v>
      </c>
      <c r="DX941" s="1" t="n">
        <v>40575</v>
      </c>
      <c r="DZ941" s="0"/>
      <c r="EA941" s="0" t="n">
        <v>1</v>
      </c>
      <c r="EC941" s="1" t="n">
        <v>39814</v>
      </c>
      <c r="ED941" s="1" t="n">
        <v>40575</v>
      </c>
      <c r="EF941" s="0"/>
      <c r="EG941" s="0" t="n">
        <v>1</v>
      </c>
      <c r="EH941" s="0" t="n">
        <v>40</v>
      </c>
      <c r="EI941" s="0" t="n">
        <f aca="false">IF(AND(DM941=1,DN941&lt;=48),"",IF(AND(DM941=2,DN941&lt;=42),"",IF(AND(DM941=3,DN941&lt;=45),"",EH941)))</f>
        <v>40</v>
      </c>
      <c r="EJ941" s="0" t="n">
        <f aca="false">IF(EI941="","",IF(EI941&lt;9,EI941,9))</f>
        <v>9</v>
      </c>
      <c r="EK941" s="0" t="n">
        <f aca="false">IF(EI941="","",IF(EI941&gt;9,EI941-EJ941,0))</f>
        <v>31</v>
      </c>
      <c r="EL941" s="0" t="n">
        <f aca="false">IF(EI941="","",EJ941*DA941*2+EK941*DA941*3)</f>
        <v>4757.14285714286</v>
      </c>
      <c r="EP941" s="0" t="n">
        <v>0</v>
      </c>
      <c r="EQ941" s="0"/>
      <c r="ER941" s="0" t="n">
        <v>0</v>
      </c>
      <c r="ET941" s="0" t="n">
        <v>0</v>
      </c>
      <c r="EV941" s="0" t="n">
        <v>1</v>
      </c>
      <c r="EX941" s="0" t="n">
        <v>1</v>
      </c>
      <c r="EY941" s="0" t="n">
        <v>1</v>
      </c>
      <c r="FA941" s="0"/>
      <c r="FB941" s="0" t="n">
        <v>0</v>
      </c>
      <c r="FC941" s="1" t="n">
        <v>41094</v>
      </c>
      <c r="FD941" s="0" t="n">
        <v>4</v>
      </c>
      <c r="FE941" s="0" t="n">
        <v>0</v>
      </c>
      <c r="FF941" s="120" t="n">
        <f aca="false">(CJ941-CI941+1)/365</f>
        <v>2.08767123287671</v>
      </c>
      <c r="FG941" s="0" t="str">
        <f aca="false">CONCATENATE(F941,"/",G941)</f>
        <v>408/2011</v>
      </c>
      <c r="FH941" s="0" t="n">
        <v>1</v>
      </c>
      <c r="FI941" s="0" t="n">
        <f aca="false">IFERROR(IF((FC941-J941+1)/365&gt;3,0,1),"")</f>
        <v>1</v>
      </c>
    </row>
    <row r="942" customFormat="false" ht="15" hidden="false" customHeight="false" outlineLevel="0" collapsed="false">
      <c r="A942" s="5" t="str">
        <f aca="false">E942&amp;G942&amp;F942</f>
        <v>72011404</v>
      </c>
      <c r="B942" s="0" t="s">
        <v>4119</v>
      </c>
      <c r="C942" s="1" t="n">
        <v>42387</v>
      </c>
      <c r="D942" s="0" t="s">
        <v>1856</v>
      </c>
      <c r="E942" s="0" t="n">
        <v>7</v>
      </c>
      <c r="F942" s="0" t="n">
        <v>404</v>
      </c>
      <c r="G942" s="0" t="n">
        <v>2011</v>
      </c>
      <c r="H942" s="0" t="str">
        <f aca="false">"J"&amp;E942&amp;"\"&amp;F942&amp;"\"&amp;G942&amp;"\"&amp;W942</f>
        <v>J7\404\2011\1</v>
      </c>
      <c r="I942" s="0"/>
      <c r="J942" s="1" t="n">
        <v>40604</v>
      </c>
      <c r="K942" s="0" t="n">
        <v>0</v>
      </c>
      <c r="M942" s="1"/>
      <c r="N942" s="1"/>
      <c r="O942" s="1"/>
      <c r="P942" s="1"/>
      <c r="Q942" s="1"/>
      <c r="T942" s="121"/>
      <c r="U942" s="121"/>
      <c r="V942" s="122" t="n">
        <f aca="false">IF(AND(E942&gt;0,F942&gt;0,G942&gt;0),COUNTIFS($E:$E,E942,$F:$F,F942,$G:$G,G942),"")</f>
        <v>1</v>
      </c>
      <c r="W942" s="122" t="n">
        <f aca="false">IF(V942="","",IF(V942=1,1,IF(AND(E941=E942,F941=F942,G941=G942),W941+1,1)))</f>
        <v>1</v>
      </c>
      <c r="X942" s="0" t="n">
        <v>1</v>
      </c>
      <c r="Y942" s="0" t="n">
        <v>5</v>
      </c>
      <c r="Z942" s="0" t="s">
        <v>8611</v>
      </c>
      <c r="AA942" s="0" t="n">
        <v>0</v>
      </c>
      <c r="AB942" s="0" t="s">
        <v>8612</v>
      </c>
      <c r="AC942" s="0" t="s">
        <v>251</v>
      </c>
      <c r="AD942" s="0" t="s">
        <v>1160</v>
      </c>
      <c r="AE942" s="0" t="n">
        <v>0</v>
      </c>
      <c r="AF942" s="0" t="s">
        <v>614</v>
      </c>
      <c r="AG942" s="0" t="n">
        <v>0</v>
      </c>
      <c r="AH942" s="0" t="s">
        <v>615</v>
      </c>
      <c r="AI942" s="0" t="s">
        <v>438</v>
      </c>
      <c r="AJ942" s="0" t="s">
        <v>352</v>
      </c>
      <c r="AL942" s="0" t="s">
        <v>8613</v>
      </c>
      <c r="AM942" s="0" t="n">
        <v>0</v>
      </c>
      <c r="AN942" s="0" t="s">
        <v>8614</v>
      </c>
      <c r="AO942" s="0" t="s">
        <v>618</v>
      </c>
      <c r="AP942" s="0" t="s">
        <v>322</v>
      </c>
      <c r="AR942" s="0" t="s">
        <v>619</v>
      </c>
      <c r="AS942" s="0" t="n">
        <v>0</v>
      </c>
      <c r="AT942" s="0" t="s">
        <v>8614</v>
      </c>
      <c r="AU942" s="0" t="s">
        <v>618</v>
      </c>
      <c r="AV942" s="0" t="s">
        <v>322</v>
      </c>
      <c r="AX942" s="0" t="s">
        <v>620</v>
      </c>
      <c r="AY942" s="0" t="n">
        <v>0</v>
      </c>
      <c r="AZ942" s="0" t="s">
        <v>8614</v>
      </c>
      <c r="BA942" s="0" t="s">
        <v>618</v>
      </c>
      <c r="BB942" s="0" t="s">
        <v>322</v>
      </c>
      <c r="BD942" s="0" t="s">
        <v>621</v>
      </c>
      <c r="BE942" s="0" t="n">
        <v>1</v>
      </c>
      <c r="BF942" s="0" t="s">
        <v>615</v>
      </c>
      <c r="BG942" s="0" t="s">
        <v>438</v>
      </c>
      <c r="BH942" s="0" t="s">
        <v>352</v>
      </c>
      <c r="BR942" s="0" t="n">
        <v>1</v>
      </c>
      <c r="BS942" s="0" t="s">
        <v>622</v>
      </c>
      <c r="BT942" s="0" t="s">
        <v>2542</v>
      </c>
      <c r="BU942" s="0" t="s">
        <v>624</v>
      </c>
      <c r="BV942" s="123"/>
      <c r="BW942" s="123"/>
      <c r="BX942" s="123"/>
      <c r="BY942" s="123"/>
      <c r="CA942" s="0" t="s">
        <v>8615</v>
      </c>
      <c r="CD942" s="0" t="s">
        <v>370</v>
      </c>
      <c r="CE942" s="0" t="n">
        <v>0</v>
      </c>
      <c r="CF942" s="0" t="s">
        <v>1651</v>
      </c>
      <c r="CI942" s="1" t="n">
        <v>40486</v>
      </c>
      <c r="CJ942" s="1" t="n">
        <v>40578</v>
      </c>
      <c r="CK942" s="124" t="n">
        <v>0.854166666666667</v>
      </c>
      <c r="CL942" s="0" t="s">
        <v>621</v>
      </c>
      <c r="CM942" s="0" t="n">
        <f aca="false">IF(OR(CI942="",CJ942=""),"",DAYS360(CI942,CJ942)/360)</f>
        <v>0.25</v>
      </c>
      <c r="CN942" s="0" t="n">
        <f aca="false">IF(OR(CI942="",CJ942=""),"",DAYS360(CI942,CJ942)/30)</f>
        <v>3</v>
      </c>
      <c r="CO942" s="0" t="n">
        <f aca="false">IF(OR(CI942="",CJ942=""),"",DAYS360(CI942,CJ942)/7)</f>
        <v>12.8571428571429</v>
      </c>
      <c r="CP942" s="0" t="n">
        <f aca="false">IF(OR(CI942="",CJ942=""),"",DAYS360(CI942,CJ942))</f>
        <v>90</v>
      </c>
      <c r="CQ942" s="0" t="s">
        <v>220</v>
      </c>
      <c r="CR942" s="0" t="n">
        <v>1</v>
      </c>
      <c r="CT942" s="0" t="n">
        <v>6000</v>
      </c>
      <c r="CU942" s="0" t="n">
        <v>2</v>
      </c>
      <c r="CV942" s="0" t="n">
        <f aca="false">IF(OR(CT942="",CT942="NO ESPECIFICA",CT942="NO MENCIONA"),"",IF(CU942=0,CT942,IF(CU942=1,CT942/30,IF(CU942=2,CT942/15,IF(CU942=3,CT942/7,"")))))</f>
        <v>400</v>
      </c>
      <c r="CW942" s="125" t="n">
        <v>610.93</v>
      </c>
      <c r="CX942" s="0" t="n">
        <v>0</v>
      </c>
      <c r="CY942" s="0" t="n">
        <f aca="false">IF(CW942="","",IF(CX942=0,CW942,IF(CX942=1,CW942/30,IF(CX942=2,CW942/15,IF(CX942=3,CW942/7,CW942)))))</f>
        <v>610.93</v>
      </c>
      <c r="CZ942" s="0" t="n">
        <f aca="false">IF(DI942&gt;0,DI942,IF(CY942&gt;0,CY942,IF(CV942&gt;0,CV942,"")))</f>
        <v>610.93</v>
      </c>
      <c r="DA942" s="0" t="n">
        <f aca="false">IF(DM942=1,CZ942/8,IF(OR(DM942=2,DM942=4),CZ942/7,IF(DM942=3,CZ942/7.5,"")))</f>
        <v>76.36625</v>
      </c>
      <c r="DB942" s="0" t="s">
        <v>303</v>
      </c>
      <c r="DC942" s="0" t="s">
        <v>301</v>
      </c>
      <c r="DD942" s="0" t="s">
        <v>627</v>
      </c>
      <c r="DE942" s="0" t="s">
        <v>417</v>
      </c>
      <c r="DF942" s="0" t="s">
        <v>216</v>
      </c>
      <c r="DG942" s="0" t="s">
        <v>216</v>
      </c>
      <c r="DH942" s="0" t="n">
        <v>0</v>
      </c>
      <c r="DI942" s="126" t="n">
        <v>610.93</v>
      </c>
      <c r="DK942" s="0" t="n">
        <v>0</v>
      </c>
      <c r="DM942" s="0" t="n">
        <v>1</v>
      </c>
      <c r="DN942" s="0" t="n">
        <v>69</v>
      </c>
      <c r="DO942" s="0" t="n">
        <v>3</v>
      </c>
      <c r="DP942" s="0" t="n">
        <v>1</v>
      </c>
      <c r="DQ942" s="0" t="n">
        <v>0</v>
      </c>
      <c r="DR942" s="0"/>
      <c r="DS942" s="0" t="n">
        <v>1</v>
      </c>
      <c r="DU942" s="0" t="n">
        <v>0</v>
      </c>
      <c r="DW942" s="1" t="n">
        <v>40486</v>
      </c>
      <c r="DX942" s="1" t="n">
        <v>40578</v>
      </c>
      <c r="DZ942" s="0"/>
      <c r="EA942" s="0" t="n">
        <v>1</v>
      </c>
      <c r="EC942" s="1" t="n">
        <v>40486</v>
      </c>
      <c r="ED942" s="1" t="n">
        <v>40578</v>
      </c>
      <c r="EF942" s="0"/>
      <c r="EG942" s="0" t="n">
        <v>1</v>
      </c>
      <c r="EH942" s="0" t="n">
        <v>21</v>
      </c>
      <c r="EI942" s="0" t="n">
        <f aca="false">IF(AND(DM942=1,DN942&lt;=48),"",IF(AND(DM942=2,DN942&lt;=42),"",IF(AND(DM942=3,DN942&lt;=45),"",EH942)))</f>
        <v>21</v>
      </c>
      <c r="EJ942" s="0" t="n">
        <f aca="false">IF(EI942="","",IF(EI942&lt;9,EI942,9))</f>
        <v>9</v>
      </c>
      <c r="EK942" s="0" t="n">
        <f aca="false">IF(EI942="","",IF(EI942&gt;9,EI942-EJ942,0))</f>
        <v>12</v>
      </c>
      <c r="EL942" s="0" t="n">
        <f aca="false">IF(EI942="","",EJ942*DA942*2+EK942*DA942*3)</f>
        <v>4123.7775</v>
      </c>
      <c r="EP942" s="0" t="n">
        <v>0</v>
      </c>
      <c r="EQ942" s="0"/>
      <c r="ER942" s="0" t="n">
        <v>0</v>
      </c>
      <c r="ET942" s="0" t="n">
        <v>0</v>
      </c>
      <c r="EV942" s="0" t="n">
        <v>0</v>
      </c>
      <c r="EX942" s="0" t="n">
        <v>1</v>
      </c>
      <c r="EY942" s="0" t="n">
        <v>0</v>
      </c>
      <c r="FA942" s="0"/>
      <c r="FB942" s="0" t="n">
        <v>1</v>
      </c>
      <c r="FC942" s="1" t="n">
        <v>41123</v>
      </c>
      <c r="FD942" s="0" t="n">
        <v>2</v>
      </c>
      <c r="FE942" s="0" t="n">
        <v>0</v>
      </c>
      <c r="FF942" s="120" t="n">
        <f aca="false">(CJ942-CI942+1)/365</f>
        <v>0.254794520547945</v>
      </c>
      <c r="FG942" s="0" t="str">
        <f aca="false">CONCATENATE(F942,"/",G942)</f>
        <v>404/2011</v>
      </c>
      <c r="FH942" s="0" t="n">
        <v>1</v>
      </c>
      <c r="FI942" s="0" t="n">
        <f aca="false">IFERROR(IF((FC942-J942+1)/365&gt;3,0,1),"")</f>
        <v>1</v>
      </c>
    </row>
    <row r="943" customFormat="false" ht="15" hidden="false" customHeight="false" outlineLevel="0" collapsed="false">
      <c r="A943" s="5" t="str">
        <f aca="false">E943&amp;G943&amp;F943</f>
        <v>72011402</v>
      </c>
      <c r="B943" s="0" t="s">
        <v>4119</v>
      </c>
      <c r="C943" s="1" t="n">
        <v>42387</v>
      </c>
      <c r="E943" s="0" t="n">
        <v>7</v>
      </c>
      <c r="F943" s="0" t="n">
        <v>402</v>
      </c>
      <c r="G943" s="0" t="n">
        <v>2011</v>
      </c>
      <c r="H943" s="0" t="str">
        <f aca="false">"J"&amp;E943&amp;"\"&amp;F943&amp;"\"&amp;G943&amp;"\"&amp;W943</f>
        <v>J7\402\2011\1</v>
      </c>
      <c r="I943" s="0"/>
      <c r="J943" s="1" t="n">
        <v>40604</v>
      </c>
      <c r="K943" s="0" t="n">
        <v>1</v>
      </c>
      <c r="L943" s="0" t="s">
        <v>8616</v>
      </c>
      <c r="M943" s="1" t="n">
        <v>40604</v>
      </c>
      <c r="N943" s="1" t="n">
        <v>40689</v>
      </c>
      <c r="O943" s="1"/>
      <c r="P943" s="1"/>
      <c r="Q943" s="1"/>
      <c r="T943" s="121"/>
      <c r="U943" s="121"/>
      <c r="V943" s="122" t="n">
        <f aca="false">IF(AND(E943&gt;0,F943&gt;0,G943&gt;0),COUNTIFS($E:$E,E943,$F:$F,F943,$G:$G,G943),"")</f>
        <v>1</v>
      </c>
      <c r="W943" s="122" t="n">
        <f aca="false">IF(V943="","",IF(V943=1,1,IF(AND(E942=E943,F942=F943,G942=G943),W942+1,1)))</f>
        <v>1</v>
      </c>
      <c r="X943" s="0" t="n">
        <v>1</v>
      </c>
      <c r="Y943" s="0" t="n">
        <v>18</v>
      </c>
      <c r="Z943" s="0" t="s">
        <v>8617</v>
      </c>
      <c r="AA943" s="0" t="n">
        <v>0</v>
      </c>
      <c r="AB943" s="0" t="s">
        <v>8618</v>
      </c>
      <c r="AC943" s="0" t="s">
        <v>8619</v>
      </c>
      <c r="AD943" s="0" t="s">
        <v>211</v>
      </c>
      <c r="AE943" s="0" t="n">
        <v>0</v>
      </c>
      <c r="AF943" s="0" t="s">
        <v>8620</v>
      </c>
      <c r="AG943" s="0" t="n">
        <v>0</v>
      </c>
      <c r="AH943" s="0" t="s">
        <v>8621</v>
      </c>
      <c r="AI943" s="0" t="s">
        <v>464</v>
      </c>
      <c r="AJ943" s="0" t="s">
        <v>207</v>
      </c>
      <c r="AL943" s="0" t="s">
        <v>8622</v>
      </c>
      <c r="AM943" s="0" t="n">
        <v>0</v>
      </c>
      <c r="AN943" s="0" t="s">
        <v>8621</v>
      </c>
      <c r="AO943" s="0" t="s">
        <v>464</v>
      </c>
      <c r="AP943" s="0" t="s">
        <v>207</v>
      </c>
      <c r="AR943" s="0" t="s">
        <v>8623</v>
      </c>
      <c r="AS943" s="0" t="n">
        <v>0</v>
      </c>
      <c r="AT943" s="0" t="s">
        <v>8621</v>
      </c>
      <c r="AU943" s="0" t="s">
        <v>464</v>
      </c>
      <c r="AV943" s="0" t="s">
        <v>207</v>
      </c>
      <c r="AX943" s="0" t="s">
        <v>8624</v>
      </c>
      <c r="AY943" s="0" t="n">
        <v>2</v>
      </c>
      <c r="AZ943" s="0" t="s">
        <v>8621</v>
      </c>
      <c r="BA943" s="0" t="s">
        <v>464</v>
      </c>
      <c r="BB943" s="0" t="s">
        <v>207</v>
      </c>
      <c r="BD943" s="0" t="s">
        <v>8625</v>
      </c>
      <c r="BE943" s="0" t="n">
        <v>0</v>
      </c>
      <c r="BF943" s="0" t="s">
        <v>8621</v>
      </c>
      <c r="BG943" s="0" t="s">
        <v>464</v>
      </c>
      <c r="BH943" s="0" t="s">
        <v>207</v>
      </c>
      <c r="BJ943" s="0" t="s">
        <v>8626</v>
      </c>
      <c r="BK943" s="0" t="n">
        <v>0</v>
      </c>
      <c r="BL943" s="0" t="s">
        <v>8621</v>
      </c>
      <c r="BM943" s="0" t="s">
        <v>464</v>
      </c>
      <c r="BN943" s="0" t="s">
        <v>207</v>
      </c>
      <c r="BR943" s="0" t="n">
        <v>1</v>
      </c>
      <c r="BS943" s="0" t="s">
        <v>8627</v>
      </c>
      <c r="BT943" s="0" t="s">
        <v>8628</v>
      </c>
      <c r="BU943" s="0" t="s">
        <v>8629</v>
      </c>
      <c r="BV943" s="123"/>
      <c r="BW943" s="123"/>
      <c r="BX943" s="123"/>
      <c r="BY943" s="123"/>
      <c r="CA943" s="0" t="s">
        <v>8630</v>
      </c>
      <c r="CD943" s="0" t="s">
        <v>296</v>
      </c>
      <c r="CE943" s="0" t="n">
        <v>0</v>
      </c>
      <c r="CF943" s="0" t="s">
        <v>8631</v>
      </c>
      <c r="CI943" s="1" t="n">
        <v>38384</v>
      </c>
      <c r="CJ943" s="1" t="n">
        <v>40577</v>
      </c>
      <c r="CK943" s="124" t="n">
        <v>0.770833333333333</v>
      </c>
      <c r="CL943" s="0" t="s">
        <v>8632</v>
      </c>
      <c r="CM943" s="0" t="n">
        <f aca="false">IF(OR(CI943="",CJ943=""),"",DAYS360(CI943,CJ943)/360)</f>
        <v>6.00555555555556</v>
      </c>
      <c r="CN943" s="0" t="n">
        <f aca="false">IF(OR(CI943="",CJ943=""),"",DAYS360(CI943,CJ943)/30)</f>
        <v>72.0666666666667</v>
      </c>
      <c r="CO943" s="0" t="n">
        <f aca="false">IF(OR(CI943="",CJ943=""),"",DAYS360(CI943,CJ943)/7)</f>
        <v>308.857142857143</v>
      </c>
      <c r="CP943" s="0" t="n">
        <f aca="false">IF(OR(CI943="",CJ943=""),"",DAYS360(CI943,CJ943))</f>
        <v>2162</v>
      </c>
      <c r="CQ943" s="0" t="s">
        <v>220</v>
      </c>
      <c r="CR943" s="0" t="n">
        <v>1</v>
      </c>
      <c r="CT943" s="0" t="s">
        <v>221</v>
      </c>
      <c r="CU943" s="0" t="s">
        <v>221</v>
      </c>
      <c r="CV943" s="0" t="str">
        <f aca="false">IF(OR(CT943="",CT943="NO ESPECIFICA",CT943="NO MENCIONA"),"",IF(CU943=0,CT943,IF(CU943=1,CT943/30,IF(CU943=2,CT943/15,IF(CU943=3,CT943/7,"")))))</f>
        <v/>
      </c>
      <c r="CW943" s="125" t="n">
        <v>436</v>
      </c>
      <c r="CX943" s="0" t="n">
        <v>0</v>
      </c>
      <c r="CY943" s="0" t="n">
        <f aca="false">IF(CW943="","",IF(CX943=0,CW943,IF(CX943=1,CW943/30,IF(CX943=2,CW943/15,IF(CX943=3,CW943/7,CW943)))))</f>
        <v>436</v>
      </c>
      <c r="CZ943" s="0" t="n">
        <f aca="false">IF(DI943&gt;0,DI943,IF(CY943&gt;0,CY943,IF(CV943&gt;0,CV943,"")))</f>
        <v>436</v>
      </c>
      <c r="DA943" s="0" t="n">
        <f aca="false">IF(DM943=1,CZ943/8,IF(OR(DM943=2,DM943=4),CZ943/7,IF(DM943=3,CZ943/7.5,"")))</f>
        <v>54.5</v>
      </c>
      <c r="DB943" s="0" t="s">
        <v>216</v>
      </c>
      <c r="DC943" s="0" t="s">
        <v>216</v>
      </c>
      <c r="DD943" s="0" t="s">
        <v>216</v>
      </c>
      <c r="DE943" s="0" t="s">
        <v>216</v>
      </c>
      <c r="DF943" s="0" t="s">
        <v>216</v>
      </c>
      <c r="DG943" s="0" t="s">
        <v>216</v>
      </c>
      <c r="DH943" s="0" t="n">
        <v>0</v>
      </c>
      <c r="DI943" s="126" t="n">
        <v>436</v>
      </c>
      <c r="DK943" s="0" t="n">
        <v>0</v>
      </c>
      <c r="DM943" s="0" t="n">
        <v>1</v>
      </c>
      <c r="DN943" s="0" t="n">
        <v>60</v>
      </c>
      <c r="DO943" s="0" t="n">
        <v>3</v>
      </c>
      <c r="DP943" s="0" t="n">
        <v>1</v>
      </c>
      <c r="DQ943" s="0" t="n">
        <v>1</v>
      </c>
      <c r="DR943" s="0"/>
      <c r="DS943" s="0" t="n">
        <v>1</v>
      </c>
      <c r="DU943" s="0" t="n">
        <v>1</v>
      </c>
      <c r="DW943" s="1" t="n">
        <v>39845</v>
      </c>
      <c r="DX943" s="1" t="n">
        <v>40575</v>
      </c>
      <c r="DZ943" s="0"/>
      <c r="EA943" s="0" t="n">
        <v>1</v>
      </c>
      <c r="EC943" s="1" t="n">
        <v>40179</v>
      </c>
      <c r="ED943" s="1" t="n">
        <v>40577</v>
      </c>
      <c r="EF943" s="0"/>
      <c r="EG943" s="0" t="n">
        <v>1</v>
      </c>
      <c r="EH943" s="0" t="n">
        <v>15</v>
      </c>
      <c r="EI943" s="0" t="n">
        <f aca="false">IF(AND(DM943=1,DN943&lt;=48),"",IF(AND(DM943=2,DN943&lt;=42),"",IF(AND(DM943=3,DN943&lt;=45),"",EH943)))</f>
        <v>15</v>
      </c>
      <c r="EJ943" s="0" t="n">
        <f aca="false">IF(EI943="","",IF(EI943&lt;9,EI943,9))</f>
        <v>9</v>
      </c>
      <c r="EK943" s="0" t="n">
        <f aca="false">IF(EI943="","",IF(EI943&gt;9,EI943-EJ943,0))</f>
        <v>6</v>
      </c>
      <c r="EL943" s="0" t="n">
        <f aca="false">IF(EI943="","",EJ943*DA943*2+EK943*DA943*3)</f>
        <v>1962</v>
      </c>
      <c r="EP943" s="0" t="n">
        <v>1</v>
      </c>
      <c r="EQ943" s="0"/>
      <c r="ER943" s="0" t="n">
        <v>0</v>
      </c>
      <c r="ET943" s="0" t="n">
        <v>0</v>
      </c>
      <c r="EV943" s="0" t="n">
        <v>0</v>
      </c>
      <c r="EX943" s="0" t="n">
        <v>1</v>
      </c>
      <c r="EY943" s="0" t="n">
        <v>1</v>
      </c>
      <c r="FA943" s="4" t="n">
        <v>37848</v>
      </c>
      <c r="FB943" s="0" t="n">
        <v>1</v>
      </c>
      <c r="FC943" s="1" t="n">
        <v>40933</v>
      </c>
      <c r="FD943" s="0" t="n">
        <v>2</v>
      </c>
      <c r="FE943" s="0" t="n">
        <v>0</v>
      </c>
      <c r="FF943" s="120" t="n">
        <f aca="false">(CJ943-CI943+1)/365</f>
        <v>6.01095890410959</v>
      </c>
      <c r="FG943" s="0" t="str">
        <f aca="false">CONCATENATE(F943,"/",G943)</f>
        <v>402/2011</v>
      </c>
      <c r="FH943" s="0" t="n">
        <v>1</v>
      </c>
      <c r="FI943" s="0" t="n">
        <f aca="false">IFERROR(IF((FC943-J943+1)/365&gt;3,0,1),"")</f>
        <v>1</v>
      </c>
    </row>
    <row r="944" customFormat="false" ht="15" hidden="false" customHeight="false" outlineLevel="0" collapsed="false">
      <c r="A944" s="5" t="str">
        <f aca="false">E944&amp;G944&amp;F944</f>
        <v>72011395</v>
      </c>
      <c r="B944" s="0" t="s">
        <v>4119</v>
      </c>
      <c r="C944" s="1" t="n">
        <v>42387</v>
      </c>
      <c r="E944" s="0" t="n">
        <v>7</v>
      </c>
      <c r="F944" s="0" t="n">
        <v>395</v>
      </c>
      <c r="G944" s="0" t="n">
        <v>2011</v>
      </c>
      <c r="H944" s="0" t="str">
        <f aca="false">"J"&amp;E944&amp;"\"&amp;F944&amp;"\"&amp;G944&amp;"\"&amp;W944</f>
        <v>J7\395\2011\1</v>
      </c>
      <c r="I944" s="0"/>
      <c r="J944" s="1" t="n">
        <v>40603</v>
      </c>
      <c r="K944" s="0" t="n">
        <v>0</v>
      </c>
      <c r="M944" s="1" t="n">
        <v>40603</v>
      </c>
      <c r="N944" s="1" t="n">
        <v>40688</v>
      </c>
      <c r="O944" s="1"/>
      <c r="P944" s="1"/>
      <c r="Q944" s="1"/>
      <c r="T944" s="121"/>
      <c r="U944" s="121"/>
      <c r="V944" s="122" t="n">
        <f aca="false">IF(AND(E944&gt;0,F944&gt;0,G944&gt;0),COUNTIFS($E:$E,E944,$F:$F,F944,$G:$G,G944),"")</f>
        <v>1</v>
      </c>
      <c r="W944" s="122" t="n">
        <f aca="false">IF(V944="","",IF(V944=1,1,IF(AND(E943=E944,F943=F944,G943=G944),W943+1,1)))</f>
        <v>1</v>
      </c>
      <c r="X944" s="0" t="n">
        <v>1</v>
      </c>
      <c r="Y944" s="0" t="n">
        <v>4</v>
      </c>
      <c r="Z944" s="0" t="s">
        <v>8633</v>
      </c>
      <c r="AA944" s="0" t="n">
        <v>0</v>
      </c>
      <c r="AB944" s="0" t="s">
        <v>3911</v>
      </c>
      <c r="AC944" s="0" t="s">
        <v>1123</v>
      </c>
      <c r="AD944" s="0" t="s">
        <v>322</v>
      </c>
      <c r="AE944" s="0" t="n">
        <v>0</v>
      </c>
      <c r="AF944" s="0" t="s">
        <v>6103</v>
      </c>
      <c r="AG944" s="0" t="n">
        <v>0</v>
      </c>
      <c r="AH944" s="0" t="s">
        <v>8634</v>
      </c>
      <c r="AI944" s="0" t="s">
        <v>643</v>
      </c>
      <c r="AJ944" s="0" t="s">
        <v>207</v>
      </c>
      <c r="AL944" s="0" t="s">
        <v>8635</v>
      </c>
      <c r="AM944" s="0" t="n">
        <v>1</v>
      </c>
      <c r="AN944" s="0" t="s">
        <v>8634</v>
      </c>
      <c r="AO944" s="0" t="s">
        <v>643</v>
      </c>
      <c r="AP944" s="0" t="s">
        <v>207</v>
      </c>
      <c r="AR944" s="0" t="s">
        <v>8636</v>
      </c>
      <c r="AS944" s="0" t="n">
        <v>0</v>
      </c>
      <c r="AT944" s="0" t="s">
        <v>8637</v>
      </c>
      <c r="AU944" s="0" t="s">
        <v>8638</v>
      </c>
      <c r="AV944" s="0" t="s">
        <v>322</v>
      </c>
      <c r="AX944" s="0" t="s">
        <v>8639</v>
      </c>
      <c r="AY944" s="0" t="n">
        <v>1</v>
      </c>
      <c r="AZ944" s="0" t="s">
        <v>221</v>
      </c>
      <c r="BA944" s="0" t="s">
        <v>221</v>
      </c>
      <c r="BB944" s="0" t="s">
        <v>221</v>
      </c>
      <c r="BR944" s="0" t="n">
        <v>1</v>
      </c>
      <c r="BS944" s="0" t="s">
        <v>5153</v>
      </c>
      <c r="BT944" s="0" t="s">
        <v>3919</v>
      </c>
      <c r="BU944" s="0" t="s">
        <v>8640</v>
      </c>
      <c r="BV944" s="123"/>
      <c r="BW944" s="123"/>
      <c r="BX944" s="123"/>
      <c r="BY944" s="123"/>
      <c r="CA944" s="0" t="s">
        <v>5154</v>
      </c>
      <c r="CD944" s="0" t="s">
        <v>216</v>
      </c>
      <c r="CE944" s="0" t="n">
        <v>0</v>
      </c>
      <c r="CF944" s="0" t="s">
        <v>645</v>
      </c>
      <c r="CI944" s="1" t="n">
        <v>40315</v>
      </c>
      <c r="CJ944" s="1" t="n">
        <v>40579</v>
      </c>
      <c r="CK944" s="124" t="n">
        <v>0.291666666666667</v>
      </c>
      <c r="CL944" s="0" t="s">
        <v>8635</v>
      </c>
      <c r="CM944" s="0" t="n">
        <f aca="false">IF(OR(CI944="",CJ944=""),"",DAYS360(CI944,CJ944)/360)</f>
        <v>0.716666666666667</v>
      </c>
      <c r="CN944" s="0" t="n">
        <f aca="false">IF(OR(CI944="",CJ944=""),"",DAYS360(CI944,CJ944)/30)</f>
        <v>8.6</v>
      </c>
      <c r="CO944" s="0" t="n">
        <f aca="false">IF(OR(CI944="",CJ944=""),"",DAYS360(CI944,CJ944)/7)</f>
        <v>36.8571428571429</v>
      </c>
      <c r="CP944" s="0" t="n">
        <f aca="false">IF(OR(CI944="",CJ944=""),"",DAYS360(CI944,CJ944))</f>
        <v>258</v>
      </c>
      <c r="CQ944" s="0" t="s">
        <v>240</v>
      </c>
      <c r="CR944" s="0" t="n">
        <v>1</v>
      </c>
      <c r="CT944" s="0" t="n">
        <v>5000</v>
      </c>
      <c r="CU944" s="0" t="n">
        <v>2</v>
      </c>
      <c r="CV944" s="0" t="n">
        <f aca="false">IF(OR(CT944="",CT944="NO ESPECIFICA",CT944="NO MENCIONA"),"",IF(CU944=0,CT944,IF(CU944=1,CT944/30,IF(CU944=2,CT944/15,IF(CU944=3,CT944/7,"")))))</f>
        <v>333.333333333333</v>
      </c>
      <c r="CW944" s="125" t="n">
        <v>8000</v>
      </c>
      <c r="CX944" s="0" t="n">
        <v>2</v>
      </c>
      <c r="CY944" s="0" t="n">
        <f aca="false">IF(CW944="","",IF(CX944=0,CW944,IF(CX944=1,CW944/30,IF(CX944=2,CW944/15,IF(CX944=3,CW944/7,CW944)))))</f>
        <v>533.333333333333</v>
      </c>
      <c r="CZ944" s="0" t="n">
        <f aca="false">IF(DI944&gt;0,DI944,IF(CY944&gt;0,CY944,IF(CV944&gt;0,CV944,"")))</f>
        <v>533.333333333333</v>
      </c>
      <c r="DA944" s="0" t="n">
        <f aca="false">IF(DM944=1,CZ944/8,IF(OR(DM944=2,DM944=4),CZ944/7,IF(DM944=3,CZ944/7.5,"")))</f>
        <v>66.6666666666667</v>
      </c>
      <c r="DB944" s="0" t="s">
        <v>8641</v>
      </c>
      <c r="DC944" s="0" t="s">
        <v>216</v>
      </c>
      <c r="DD944" s="0" t="s">
        <v>216</v>
      </c>
      <c r="DE944" s="0" t="s">
        <v>216</v>
      </c>
      <c r="DF944" s="0" t="s">
        <v>216</v>
      </c>
      <c r="DG944" s="0" t="s">
        <v>216</v>
      </c>
      <c r="DH944" s="0" t="n">
        <v>0</v>
      </c>
      <c r="DI944" s="126" t="n">
        <v>533.333333333333</v>
      </c>
      <c r="DK944" s="0" t="n">
        <v>0</v>
      </c>
      <c r="DM944" s="0" t="n">
        <v>1</v>
      </c>
      <c r="DN944" s="0" t="n">
        <v>84</v>
      </c>
      <c r="DO944" s="0" t="n">
        <v>3</v>
      </c>
      <c r="DP944" s="0" t="n">
        <v>0</v>
      </c>
      <c r="DQ944" s="0" t="n">
        <v>1</v>
      </c>
      <c r="DR944" s="0"/>
      <c r="DS944" s="0" t="n">
        <v>1</v>
      </c>
      <c r="DU944" s="0" t="n">
        <v>1</v>
      </c>
      <c r="DW944" s="1" t="n">
        <v>40315</v>
      </c>
      <c r="DX944" s="1" t="n">
        <v>40579</v>
      </c>
      <c r="DZ944" s="0"/>
      <c r="EA944" s="0" t="n">
        <v>1</v>
      </c>
      <c r="EC944" s="1" t="n">
        <v>40315</v>
      </c>
      <c r="ED944" s="1" t="n">
        <v>40579</v>
      </c>
      <c r="EF944" s="0"/>
      <c r="EG944" s="0" t="n">
        <v>1</v>
      </c>
      <c r="EH944" s="0" t="n">
        <v>30</v>
      </c>
      <c r="EI944" s="0" t="n">
        <f aca="false">IF(AND(DM944=1,DN944&lt;=48),"",IF(AND(DM944=2,DN944&lt;=42),"",IF(AND(DM944=3,DN944&lt;=45),"",EH944)))</f>
        <v>30</v>
      </c>
      <c r="EJ944" s="0" t="n">
        <f aca="false">IF(EI944="","",IF(EI944&lt;9,EI944,9))</f>
        <v>9</v>
      </c>
      <c r="EK944" s="0" t="n">
        <f aca="false">IF(EI944="","",IF(EI944&gt;9,EI944-EJ944,0))</f>
        <v>21</v>
      </c>
      <c r="EL944" s="0" t="n">
        <f aca="false">IF(EI944="","",EJ944*DA944*2+EK944*DA944*3)</f>
        <v>5400</v>
      </c>
      <c r="EP944" s="0" t="n">
        <v>0</v>
      </c>
      <c r="EQ944" s="0"/>
      <c r="ER944" s="0" t="n">
        <v>0</v>
      </c>
      <c r="ET944" s="0" t="n">
        <v>0</v>
      </c>
      <c r="EV944" s="0" t="n">
        <v>0</v>
      </c>
      <c r="EX944" s="0" t="n">
        <v>0</v>
      </c>
      <c r="EY944" s="0" t="n">
        <v>1</v>
      </c>
      <c r="FA944" s="0"/>
      <c r="FB944" s="0" t="n">
        <v>1</v>
      </c>
      <c r="FC944" s="1" t="n">
        <v>40842</v>
      </c>
      <c r="FD944" s="0" t="n">
        <v>2</v>
      </c>
      <c r="FE944" s="0" t="n">
        <v>0</v>
      </c>
      <c r="FF944" s="120" t="n">
        <f aca="false">(CJ944-CI944+1)/365</f>
        <v>0.726027397260274</v>
      </c>
      <c r="FG944" s="0" t="str">
        <f aca="false">CONCATENATE(F944,"/",G944)</f>
        <v>395/2011</v>
      </c>
      <c r="FH944" s="0" t="n">
        <v>1</v>
      </c>
      <c r="FI944" s="0" t="n">
        <f aca="false">IFERROR(IF((FC944-J944+1)/365&gt;3,0,1),"")</f>
        <v>1</v>
      </c>
    </row>
    <row r="945" customFormat="false" ht="15" hidden="false" customHeight="false" outlineLevel="0" collapsed="false">
      <c r="A945" s="5" t="str">
        <f aca="false">E945&amp;G945&amp;F945</f>
        <v>72011382</v>
      </c>
      <c r="B945" s="0" t="s">
        <v>4119</v>
      </c>
      <c r="C945" s="1" t="n">
        <v>42387</v>
      </c>
      <c r="E945" s="0" t="n">
        <v>7</v>
      </c>
      <c r="F945" s="0" t="n">
        <v>382</v>
      </c>
      <c r="G945" s="0" t="n">
        <v>2011</v>
      </c>
      <c r="H945" s="0" t="str">
        <f aca="false">"J"&amp;E945&amp;"\"&amp;F945&amp;"\"&amp;G945&amp;"\"&amp;W945</f>
        <v>J7\382\2011\1</v>
      </c>
      <c r="I945" s="0"/>
      <c r="J945" s="1" t="n">
        <v>40602</v>
      </c>
      <c r="K945" s="0" t="n">
        <v>0</v>
      </c>
      <c r="M945" s="1" t="n">
        <v>40602</v>
      </c>
      <c r="N945" s="1" t="n">
        <v>40686</v>
      </c>
      <c r="O945" s="1"/>
      <c r="P945" s="1"/>
      <c r="Q945" s="1"/>
      <c r="T945" s="121"/>
      <c r="U945" s="121"/>
      <c r="V945" s="122" t="n">
        <f aca="false">IF(AND(E945&gt;0,F945&gt;0,G945&gt;0),COUNTIFS($E:$E,E945,$F:$F,F945,$G:$G,G945),"")</f>
        <v>1</v>
      </c>
      <c r="W945" s="122" t="n">
        <f aca="false">IF(V945="","",IF(V945=1,1,IF(AND(E944=E945,F944=F945,G944=G945),W944+1,1)))</f>
        <v>1</v>
      </c>
      <c r="X945" s="0" t="n">
        <v>1</v>
      </c>
      <c r="Y945" s="0" t="n">
        <v>4</v>
      </c>
      <c r="Z945" s="0" t="s">
        <v>8642</v>
      </c>
      <c r="AA945" s="0" t="n">
        <v>0</v>
      </c>
      <c r="AB945" s="0" t="s">
        <v>8643</v>
      </c>
      <c r="AC945" s="0" t="s">
        <v>865</v>
      </c>
      <c r="AD945" s="0" t="s">
        <v>207</v>
      </c>
      <c r="AE945" s="0" t="n">
        <v>0</v>
      </c>
      <c r="AF945" s="0" t="s">
        <v>8644</v>
      </c>
      <c r="AG945" s="0" t="n">
        <v>0</v>
      </c>
      <c r="AH945" s="0" t="s">
        <v>8645</v>
      </c>
      <c r="AI945" s="0" t="s">
        <v>1123</v>
      </c>
      <c r="AJ945" s="0" t="s">
        <v>322</v>
      </c>
      <c r="AL945" s="0" t="s">
        <v>8646</v>
      </c>
      <c r="AM945" s="0" t="n">
        <v>1</v>
      </c>
      <c r="AN945" s="0" t="s">
        <v>8645</v>
      </c>
      <c r="AO945" s="0" t="s">
        <v>1123</v>
      </c>
      <c r="AP945" s="0" t="s">
        <v>322</v>
      </c>
      <c r="AR945" s="0" t="s">
        <v>8647</v>
      </c>
      <c r="AS945" s="0" t="n">
        <v>1</v>
      </c>
      <c r="AT945" s="0" t="s">
        <v>8645</v>
      </c>
      <c r="AU945" s="0" t="s">
        <v>1123</v>
      </c>
      <c r="AV945" s="0" t="s">
        <v>322</v>
      </c>
      <c r="AX945" s="0" t="s">
        <v>8648</v>
      </c>
      <c r="AY945" s="0" t="n">
        <v>1</v>
      </c>
      <c r="AZ945" s="0" t="s">
        <v>8649</v>
      </c>
      <c r="BA945" s="0" t="s">
        <v>2414</v>
      </c>
      <c r="BB945" s="0" t="s">
        <v>3388</v>
      </c>
      <c r="BR945" s="0" t="n">
        <v>1</v>
      </c>
      <c r="BS945" s="0" t="s">
        <v>8650</v>
      </c>
      <c r="BT945" s="0" t="s">
        <v>8651</v>
      </c>
      <c r="BU945" s="0" t="s">
        <v>8652</v>
      </c>
      <c r="BV945" s="123"/>
      <c r="BW945" s="123"/>
      <c r="BX945" s="123"/>
      <c r="BY945" s="123"/>
      <c r="CA945" s="0" t="s">
        <v>216</v>
      </c>
      <c r="CD945" s="0" t="s">
        <v>357</v>
      </c>
      <c r="CE945" s="0" t="n">
        <v>0</v>
      </c>
      <c r="CF945" s="0" t="s">
        <v>8653</v>
      </c>
      <c r="CI945" s="1" t="n">
        <v>38931</v>
      </c>
      <c r="CJ945" s="1" t="n">
        <v>40575</v>
      </c>
      <c r="CK945" s="124" t="n">
        <v>0.888888888888889</v>
      </c>
      <c r="CL945" s="0" t="s">
        <v>8647</v>
      </c>
      <c r="CM945" s="0" t="n">
        <f aca="false">IF(OR(CI945="",CJ945=""),"",DAYS360(CI945,CJ945)/360)</f>
        <v>4.49722222222222</v>
      </c>
      <c r="CN945" s="0" t="n">
        <f aca="false">IF(OR(CI945="",CJ945=""),"",DAYS360(CI945,CJ945)/30)</f>
        <v>53.9666666666667</v>
      </c>
      <c r="CO945" s="0" t="n">
        <f aca="false">IF(OR(CI945="",CJ945=""),"",DAYS360(CI945,CJ945)/7)</f>
        <v>231.285714285714</v>
      </c>
      <c r="CP945" s="0" t="n">
        <f aca="false">IF(OR(CI945="",CJ945=""),"",DAYS360(CI945,CJ945))</f>
        <v>1619</v>
      </c>
      <c r="CQ945" s="0" t="s">
        <v>220</v>
      </c>
      <c r="CR945" s="0" t="n">
        <v>1</v>
      </c>
      <c r="CT945" s="0" t="n">
        <v>150</v>
      </c>
      <c r="CU945" s="0" t="n">
        <v>0</v>
      </c>
      <c r="CV945" s="0" t="n">
        <f aca="false">IF(OR(CT945="",CT945="NO ESPECIFICA",CT945="NO MENCIONA"),"",IF(CU945=0,CT945,IF(CU945=1,CT945/30,IF(CU945=2,CT945/15,IF(CU945=3,CT945/7,"")))))</f>
        <v>150</v>
      </c>
      <c r="CW945" s="125" t="n">
        <v>183.66</v>
      </c>
      <c r="CX945" s="0" t="n">
        <v>0</v>
      </c>
      <c r="CY945" s="0" t="n">
        <f aca="false">IF(CW945="","",IF(CX945=0,CW945,IF(CX945=1,CW945/30,IF(CX945=2,CW945/15,IF(CX945=3,CW945/7,CW945)))))</f>
        <v>183.66</v>
      </c>
      <c r="CZ945" s="0" t="n">
        <f aca="false">IF(DI945&gt;0,DI945,IF(CY945&gt;0,CY945,IF(CV945&gt;0,CV945,"")))</f>
        <v>183.66</v>
      </c>
      <c r="DA945" s="0" t="n">
        <f aca="false">IF(DM945=1,CZ945/8,IF(OR(DM945=2,DM945=4),CZ945/7,IF(DM945=3,CZ945/7.5,"")))</f>
        <v>26.2371428571429</v>
      </c>
      <c r="DB945" s="0" t="s">
        <v>301</v>
      </c>
      <c r="DC945" s="0" t="s">
        <v>303</v>
      </c>
      <c r="DD945" s="0" t="s">
        <v>299</v>
      </c>
      <c r="DE945" s="0" t="s">
        <v>1119</v>
      </c>
      <c r="DF945" s="0" t="s">
        <v>300</v>
      </c>
      <c r="DG945" s="0" t="s">
        <v>8654</v>
      </c>
      <c r="DH945" s="0" t="n">
        <v>0</v>
      </c>
      <c r="DI945" s="126" t="n">
        <v>183.66</v>
      </c>
      <c r="DK945" s="0" t="n">
        <v>0</v>
      </c>
      <c r="DM945" s="0" t="n">
        <v>2</v>
      </c>
      <c r="DN945" s="0" t="n">
        <v>45</v>
      </c>
      <c r="DO945" s="0" t="n">
        <v>3</v>
      </c>
      <c r="DP945" s="0" t="n">
        <v>1</v>
      </c>
      <c r="DQ945" s="0" t="n">
        <v>1</v>
      </c>
      <c r="DR945" s="0" t="n">
        <v>16529.4</v>
      </c>
      <c r="DS945" s="0" t="n">
        <v>1</v>
      </c>
      <c r="DU945" s="0" t="n">
        <v>1</v>
      </c>
      <c r="DV945" s="0" t="n">
        <v>6460.56</v>
      </c>
      <c r="DW945" s="1" t="n">
        <v>40027</v>
      </c>
      <c r="DX945" s="1" t="n">
        <v>40574</v>
      </c>
      <c r="DZ945" s="0" t="n">
        <v>2697.53</v>
      </c>
      <c r="EA945" s="0" t="n">
        <v>1</v>
      </c>
      <c r="EB945" s="0" t="n">
        <v>224.38</v>
      </c>
      <c r="EC945" s="1" t="n">
        <v>40544</v>
      </c>
      <c r="ED945" s="1" t="n">
        <v>40574</v>
      </c>
      <c r="EF945" s="0" t="n">
        <v>382.19</v>
      </c>
      <c r="EG945" s="0" t="n">
        <v>0</v>
      </c>
      <c r="EI945" s="0" t="n">
        <f aca="false">IF(AND(DM945=1,DN945&lt;=48),"",IF(AND(DM945=2,DN945&lt;=42),"",IF(AND(DM945=3,DN945&lt;=45),"",EH945)))</f>
        <v>0</v>
      </c>
      <c r="EJ945" s="0" t="str">
        <f aca="false">IF(EI945="","",IF(EI945&lt;9,EI945,9))</f>
        <v/>
      </c>
      <c r="EK945" s="0" t="str">
        <f aca="false">IF(EI945="","",IF(EI945&gt;9,EI945-EJ945,0))</f>
        <v/>
      </c>
      <c r="EL945" s="0" t="str">
        <f aca="false">IF(EI945="","",EJ945*DA945*2+EK945*DA945*3)</f>
        <v/>
      </c>
      <c r="EP945" s="0" t="n">
        <v>1</v>
      </c>
      <c r="EQ945" s="0" t="n">
        <v>14692.8</v>
      </c>
      <c r="ER945" s="0" t="n">
        <v>1</v>
      </c>
      <c r="ES945" s="0" t="n">
        <v>1950</v>
      </c>
      <c r="ET945" s="0" t="n">
        <v>0</v>
      </c>
      <c r="EV945" s="0" t="n">
        <v>0</v>
      </c>
      <c r="EX945" s="0" t="n">
        <v>1</v>
      </c>
      <c r="EY945" s="0" t="n">
        <v>0</v>
      </c>
      <c r="FA945" s="4" t="n">
        <v>2911.21</v>
      </c>
      <c r="FB945" s="0" t="n">
        <v>1</v>
      </c>
      <c r="FC945" s="1" t="n">
        <v>40962</v>
      </c>
      <c r="FD945" s="0" t="n">
        <v>1</v>
      </c>
      <c r="FE945" s="0" t="n">
        <v>20000</v>
      </c>
      <c r="FF945" s="120" t="n">
        <f aca="false">(CJ945-CI945+1)/365</f>
        <v>4.50684931506849</v>
      </c>
      <c r="FG945" s="0" t="str">
        <f aca="false">CONCATENATE(F945,"/",G945)</f>
        <v>382/2011</v>
      </c>
      <c r="FH945" s="0" t="n">
        <v>1</v>
      </c>
      <c r="FI945" s="0" t="n">
        <f aca="false">IFERROR(IF((FC945-J945+1)/365&gt;3,0,1),"")</f>
        <v>1</v>
      </c>
    </row>
    <row r="946" customFormat="false" ht="15" hidden="false" customHeight="false" outlineLevel="0" collapsed="false">
      <c r="A946" s="5" t="str">
        <f aca="false">E946&amp;G946&amp;F946</f>
        <v>72011885</v>
      </c>
      <c r="B946" s="0" t="s">
        <v>8655</v>
      </c>
      <c r="C946" s="1" t="n">
        <v>42366</v>
      </c>
      <c r="E946" s="0" t="n">
        <v>7</v>
      </c>
      <c r="F946" s="0" t="n">
        <v>885</v>
      </c>
      <c r="G946" s="0" t="n">
        <v>2011</v>
      </c>
      <c r="H946" s="0" t="str">
        <f aca="false">"J"&amp;E946&amp;"\"&amp;F946&amp;"\"&amp;G946&amp;"\"&amp;W946</f>
        <v>J7\885\2011\1</v>
      </c>
      <c r="I946" s="0"/>
      <c r="J946" s="1" t="n">
        <v>40683</v>
      </c>
      <c r="M946" s="1" t="n">
        <v>40683</v>
      </c>
      <c r="N946" s="1" t="n">
        <v>40829</v>
      </c>
      <c r="O946" s="1"/>
      <c r="P946" s="1"/>
      <c r="Q946" s="1"/>
      <c r="T946" s="121"/>
      <c r="U946" s="121"/>
      <c r="V946" s="122" t="n">
        <f aca="false">IF(AND(E946&gt;0,F946&gt;0,G946&gt;0),COUNTIFS($E:$E,E946,$F:$F,F946,$G:$G,G946),"")</f>
        <v>1</v>
      </c>
      <c r="W946" s="122" t="n">
        <f aca="false">IF(V946="","",IF(V946=1,1,IF(AND(E945=E946,F945=F946,G945=G946),W945+1,1)))</f>
        <v>1</v>
      </c>
      <c r="X946" s="0" t="n">
        <v>1</v>
      </c>
      <c r="Y946" s="0" t="n">
        <v>4</v>
      </c>
      <c r="Z946" s="0" t="s">
        <v>8656</v>
      </c>
      <c r="AA946" s="0" t="n">
        <v>0</v>
      </c>
      <c r="AB946" s="0" t="s">
        <v>8657</v>
      </c>
      <c r="AC946" s="0" t="s">
        <v>287</v>
      </c>
      <c r="AD946" s="0" t="s">
        <v>216</v>
      </c>
      <c r="AE946" s="0" t="n">
        <v>0</v>
      </c>
      <c r="AF946" s="0" t="s">
        <v>8658</v>
      </c>
      <c r="AG946" s="0" t="n">
        <v>0</v>
      </c>
      <c r="AH946" s="0" t="s">
        <v>8659</v>
      </c>
      <c r="AI946" s="0" t="s">
        <v>8660</v>
      </c>
      <c r="AJ946" s="0" t="s">
        <v>2218</v>
      </c>
      <c r="AL946" s="0" t="s">
        <v>8661</v>
      </c>
      <c r="AM946" s="0" t="n">
        <v>0</v>
      </c>
      <c r="AN946" s="0" t="s">
        <v>8659</v>
      </c>
      <c r="AO946" s="0" t="s">
        <v>8660</v>
      </c>
      <c r="AP946" s="0" t="s">
        <v>2218</v>
      </c>
      <c r="AR946" s="0" t="s">
        <v>8662</v>
      </c>
      <c r="AS946" s="0" t="n">
        <v>1</v>
      </c>
      <c r="AT946" s="0" t="s">
        <v>8659</v>
      </c>
      <c r="AU946" s="0" t="s">
        <v>8660</v>
      </c>
      <c r="AV946" s="0" t="s">
        <v>2218</v>
      </c>
      <c r="AX946" s="0" t="s">
        <v>213</v>
      </c>
      <c r="AY946" s="0" t="n">
        <v>1</v>
      </c>
      <c r="AZ946" s="0" t="s">
        <v>8659</v>
      </c>
      <c r="BA946" s="0" t="s">
        <v>8660</v>
      </c>
      <c r="BB946" s="0" t="s">
        <v>2218</v>
      </c>
      <c r="BR946" s="0" t="n">
        <v>1</v>
      </c>
      <c r="BS946" s="0" t="s">
        <v>8663</v>
      </c>
      <c r="BV946" s="123"/>
      <c r="BW946" s="123"/>
      <c r="BX946" s="123"/>
      <c r="BY946" s="123"/>
      <c r="CA946" s="0" t="s">
        <v>216</v>
      </c>
      <c r="CD946" s="0" t="s">
        <v>256</v>
      </c>
      <c r="CE946" s="0" t="n">
        <v>0</v>
      </c>
      <c r="CF946" s="0" t="s">
        <v>457</v>
      </c>
      <c r="CI946" s="1" t="n">
        <v>39570</v>
      </c>
      <c r="CJ946" s="1" t="n">
        <v>40627</v>
      </c>
      <c r="CK946" s="124" t="n">
        <v>0.416666666666667</v>
      </c>
      <c r="CL946" s="0" t="s">
        <v>8662</v>
      </c>
      <c r="CM946" s="0" t="n">
        <f aca="false">IF(OR(CI946="",CJ946=""),"",DAYS360(CI946,CJ946)/360)</f>
        <v>2.89722222222222</v>
      </c>
      <c r="CN946" s="0" t="n">
        <f aca="false">IF(OR(CI946="",CJ946=""),"",DAYS360(CI946,CJ946)/30)</f>
        <v>34.7666666666667</v>
      </c>
      <c r="CO946" s="0" t="n">
        <f aca="false">IF(OR(CI946="",CJ946=""),"",DAYS360(CI946,CJ946)/7)</f>
        <v>149</v>
      </c>
      <c r="CP946" s="0" t="n">
        <f aca="false">IF(OR(CI946="",CJ946=""),"",DAYS360(CI946,CJ946))</f>
        <v>1043</v>
      </c>
      <c r="CQ946" s="0" t="s">
        <v>240</v>
      </c>
      <c r="CR946" s="0" t="n">
        <v>1</v>
      </c>
      <c r="CT946" s="0" t="n">
        <v>3750</v>
      </c>
      <c r="CU946" s="0" t="n">
        <v>1</v>
      </c>
      <c r="CV946" s="0" t="n">
        <f aca="false">IF(OR(CT946="",CT946="NO ESPECIFICA",CT946="NO MENCIONA"),"",IF(CU946=0,CT946,IF(CU946=1,CT946/30,IF(CU946=2,CT946/15,IF(CU946=3,CT946/7,"")))))</f>
        <v>125</v>
      </c>
      <c r="CW946" s="125" t="n">
        <v>283.33</v>
      </c>
      <c r="CX946" s="0" t="n">
        <v>0</v>
      </c>
      <c r="CY946" s="0" t="n">
        <f aca="false">IF(CW946="","",IF(CX946=0,CW946,IF(CX946=1,CW946/30,IF(CX946=2,CW946/15,IF(CX946=3,CW946/7,CW946)))))</f>
        <v>283.33</v>
      </c>
      <c r="CZ946" s="0" t="n">
        <f aca="false">IF(DI946&gt;0,DI946,IF(CY946&gt;0,CY946,IF(CV946&gt;0,CV946,"")))</f>
        <v>283.33</v>
      </c>
      <c r="DA946" s="0" t="n">
        <f aca="false">IF(DM946=1,CZ946/8,IF(OR(DM946=2,DM946=4),CZ946/7,IF(DM946=3,CZ946/7.5,"")))</f>
        <v>35.41625</v>
      </c>
      <c r="DB946" s="0" t="s">
        <v>7445</v>
      </c>
      <c r="DC946" s="0" t="s">
        <v>2957</v>
      </c>
      <c r="DD946" s="0" t="s">
        <v>216</v>
      </c>
      <c r="DE946" s="0" t="s">
        <v>216</v>
      </c>
      <c r="DF946" s="0" t="s">
        <v>216</v>
      </c>
      <c r="DG946" s="0" t="s">
        <v>216</v>
      </c>
      <c r="DH946" s="0" t="n">
        <v>0</v>
      </c>
      <c r="DI946" s="126" t="n">
        <v>283.33</v>
      </c>
      <c r="DK946" s="0" t="n">
        <v>1</v>
      </c>
      <c r="DM946" s="0" t="n">
        <v>1</v>
      </c>
      <c r="DN946" s="0" t="n">
        <v>69</v>
      </c>
      <c r="DO946" s="0" t="n">
        <v>3</v>
      </c>
      <c r="DP946" s="0" t="n">
        <v>0</v>
      </c>
      <c r="DQ946" s="0" t="n">
        <v>1</v>
      </c>
      <c r="DR946" s="0"/>
      <c r="DS946" s="0" t="n">
        <v>1</v>
      </c>
      <c r="DU946" s="0" t="n">
        <v>1</v>
      </c>
      <c r="DW946" s="1" t="n">
        <v>39570</v>
      </c>
      <c r="DX946" s="1" t="n">
        <v>40627</v>
      </c>
      <c r="DZ946" s="0"/>
      <c r="EA946" s="0" t="n">
        <v>1</v>
      </c>
      <c r="EC946" s="1" t="n">
        <v>39570</v>
      </c>
      <c r="ED946" s="1" t="n">
        <v>40178</v>
      </c>
      <c r="EF946" s="0"/>
      <c r="EG946" s="0" t="n">
        <v>0</v>
      </c>
      <c r="EI946" s="0" t="n">
        <f aca="false">IF(AND(DM946=1,DN946&lt;=48),"",IF(AND(DM946=2,DN946&lt;=42),"",IF(AND(DM946=3,DN946&lt;=45),"",EH946)))</f>
        <v>0</v>
      </c>
      <c r="EJ946" s="0" t="str">
        <f aca="false">IF(EI946="","",IF(EI946&lt;9,EI946,9))</f>
        <v/>
      </c>
      <c r="EK946" s="0" t="str">
        <f aca="false">IF(EI946="","",IF(EI946&gt;9,EI946-EJ946,0))</f>
        <v/>
      </c>
      <c r="EL946" s="0" t="str">
        <f aca="false">IF(EI946="","",EJ946*DA946*2+EK946*DA946*3)</f>
        <v/>
      </c>
      <c r="EP946" s="0" t="n">
        <v>0</v>
      </c>
      <c r="EQ946" s="0"/>
      <c r="ER946" s="0" t="n">
        <v>0</v>
      </c>
      <c r="ET946" s="0" t="n">
        <v>0</v>
      </c>
      <c r="EV946" s="0" t="n">
        <v>1</v>
      </c>
      <c r="EX946" s="0" t="n">
        <v>1</v>
      </c>
      <c r="EY946" s="0" t="n">
        <v>0</v>
      </c>
      <c r="FA946" s="0"/>
      <c r="FB946" s="0" t="n">
        <v>0</v>
      </c>
      <c r="FC946" s="1" t="n">
        <v>41893</v>
      </c>
      <c r="FD946" s="0" t="n">
        <v>2</v>
      </c>
      <c r="FE946" s="0" t="n">
        <v>0</v>
      </c>
      <c r="FF946" s="120" t="n">
        <f aca="false">(CJ946-CI946+1)/365</f>
        <v>2.8986301369863</v>
      </c>
      <c r="FG946" s="0" t="str">
        <f aca="false">CONCATENATE(F946,"/",G946)</f>
        <v>885/2011</v>
      </c>
      <c r="FH946" s="0" t="n">
        <v>1</v>
      </c>
      <c r="FI946" s="0" t="n">
        <f aca="false">IFERROR(IF((FC946-J946+1)/365&gt;3,0,1),"")</f>
        <v>0</v>
      </c>
    </row>
    <row r="947" customFormat="false" ht="15" hidden="false" customHeight="false" outlineLevel="0" collapsed="false">
      <c r="A947" s="5" t="str">
        <f aca="false">E947&amp;G947&amp;F947</f>
        <v>72011887</v>
      </c>
      <c r="B947" s="0" t="s">
        <v>8655</v>
      </c>
      <c r="C947" s="1" t="n">
        <v>42381</v>
      </c>
      <c r="E947" s="0" t="n">
        <v>7</v>
      </c>
      <c r="F947" s="0" t="n">
        <v>887</v>
      </c>
      <c r="G947" s="0" t="n">
        <v>2011</v>
      </c>
      <c r="H947" s="0" t="str">
        <f aca="false">"J"&amp;E947&amp;"\"&amp;F947&amp;"\"&amp;G947&amp;"\"&amp;W947</f>
        <v>J7\887\2011\1</v>
      </c>
      <c r="I947" s="0"/>
      <c r="J947" s="1" t="n">
        <v>40683</v>
      </c>
      <c r="M947" s="1"/>
      <c r="N947" s="1"/>
      <c r="O947" s="1"/>
      <c r="P947" s="1"/>
      <c r="Q947" s="1"/>
      <c r="T947" s="121"/>
      <c r="U947" s="121"/>
      <c r="V947" s="122" t="n">
        <f aca="false">IF(AND(E947&gt;0,F947&gt;0,G947&gt;0),COUNTIFS($E:$E,E947,$F:$F,F947,$G:$G,G947),"")</f>
        <v>1</v>
      </c>
      <c r="W947" s="122" t="n">
        <f aca="false">IF(V947="","",IF(V947=1,1,IF(AND(E946=E947,F946=F947,G946=G947),W946+1,1)))</f>
        <v>1</v>
      </c>
      <c r="X947" s="0" t="n">
        <v>1</v>
      </c>
      <c r="Y947" s="0" t="n">
        <v>3</v>
      </c>
      <c r="Z947" s="0" t="s">
        <v>8664</v>
      </c>
      <c r="AA947" s="0" t="n">
        <v>0</v>
      </c>
      <c r="AB947" s="0" t="s">
        <v>8665</v>
      </c>
      <c r="AC947" s="0" t="s">
        <v>274</v>
      </c>
      <c r="AD947" s="0" t="s">
        <v>1160</v>
      </c>
      <c r="AE947" s="0" t="n">
        <v>0</v>
      </c>
      <c r="AF947" s="0" t="s">
        <v>8666</v>
      </c>
      <c r="AG947" s="0" t="n">
        <v>1</v>
      </c>
      <c r="AH947" s="0" t="s">
        <v>8667</v>
      </c>
      <c r="AI947" s="0" t="s">
        <v>8668</v>
      </c>
      <c r="AJ947" s="0" t="s">
        <v>2179</v>
      </c>
      <c r="AL947" s="0" t="s">
        <v>8669</v>
      </c>
      <c r="AM947" s="0" t="n">
        <v>1</v>
      </c>
      <c r="AN947" s="0" t="s">
        <v>8667</v>
      </c>
      <c r="AO947" s="0" t="s">
        <v>8668</v>
      </c>
      <c r="AP947" s="0" t="s">
        <v>2179</v>
      </c>
      <c r="AR947" s="0" t="s">
        <v>213</v>
      </c>
      <c r="AS947" s="0" t="n">
        <v>1</v>
      </c>
      <c r="AT947" s="0" t="s">
        <v>8667</v>
      </c>
      <c r="AU947" s="0" t="s">
        <v>8668</v>
      </c>
      <c r="AV947" s="0" t="s">
        <v>2179</v>
      </c>
      <c r="BR947" s="0" t="n">
        <v>1</v>
      </c>
      <c r="BS947" s="0" t="s">
        <v>6701</v>
      </c>
      <c r="BT947" s="0" t="s">
        <v>8670</v>
      </c>
      <c r="BU947" s="0" t="s">
        <v>8671</v>
      </c>
      <c r="BV947" s="123"/>
      <c r="BW947" s="123"/>
      <c r="BX947" s="123"/>
      <c r="BY947" s="123"/>
      <c r="CA947" s="0" t="s">
        <v>8672</v>
      </c>
      <c r="CD947" s="0" t="s">
        <v>1308</v>
      </c>
      <c r="CE947" s="0" t="n">
        <v>0</v>
      </c>
      <c r="CF947" s="0" t="s">
        <v>5288</v>
      </c>
      <c r="CI947" s="1" t="n">
        <v>39856</v>
      </c>
      <c r="CJ947" s="1" t="n">
        <v>40679</v>
      </c>
      <c r="CK947" s="124" t="n">
        <v>0.208333333333333</v>
      </c>
      <c r="CL947" s="0" t="s">
        <v>8666</v>
      </c>
      <c r="CM947" s="0" t="n">
        <f aca="false">IF(OR(CI947="",CJ947=""),"",DAYS360(CI947,CJ947)/360)</f>
        <v>2.26111111111111</v>
      </c>
      <c r="CN947" s="0" t="n">
        <f aca="false">IF(OR(CI947="",CJ947=""),"",DAYS360(CI947,CJ947)/30)</f>
        <v>27.1333333333333</v>
      </c>
      <c r="CO947" s="0" t="n">
        <f aca="false">IF(OR(CI947="",CJ947=""),"",DAYS360(CI947,CJ947)/7)</f>
        <v>116.285714285714</v>
      </c>
      <c r="CP947" s="0" t="n">
        <f aca="false">IF(OR(CI947="",CJ947=""),"",DAYS360(CI947,CJ947))</f>
        <v>814</v>
      </c>
      <c r="CQ947" s="0" t="s">
        <v>240</v>
      </c>
      <c r="CR947" s="0" t="n">
        <v>1</v>
      </c>
      <c r="CT947" s="0" t="n">
        <v>2750</v>
      </c>
      <c r="CU947" s="0" t="n">
        <v>3</v>
      </c>
      <c r="CV947" s="0" t="n">
        <f aca="false">IF(OR(CT947="",CT947="NO ESPECIFICA",CT947="NO MENCIONA"),"",IF(CU947=0,CT947,IF(CU947=1,CT947/30,IF(CU947=2,CT947/15,IF(CU947=3,CT947/7,"")))))</f>
        <v>392.857142857143</v>
      </c>
      <c r="CW947" s="125" t="s">
        <v>216</v>
      </c>
      <c r="CX947" s="0" t="s">
        <v>216</v>
      </c>
      <c r="CY947" s="0" t="str">
        <f aca="false">IF(CW947="","",IF(CX947=0,CW947,IF(CX947=1,CW947/30,IF(CX947=2,CW947/15,IF(CX947=3,CW947/7,CW947)))))</f>
        <v>NO MENCIONA</v>
      </c>
      <c r="CZ947" s="0" t="n">
        <f aca="false">IF(DI947&gt;0,DI947,IF(CY947&gt;0,CY947,IF(CV947&gt;0,CV947,"")))</f>
        <v>446.428571428571</v>
      </c>
      <c r="DA947" s="0" t="n">
        <f aca="false">IF(DM947=1,CZ947/8,IF(OR(DM947=2,DM947=4),CZ947/7,IF(DM947=3,CZ947/7.5,"")))</f>
        <v>55.8035714285714</v>
      </c>
      <c r="DB947" s="0" t="s">
        <v>258</v>
      </c>
      <c r="DC947" s="0" t="s">
        <v>259</v>
      </c>
      <c r="DD947" s="0" t="s">
        <v>1842</v>
      </c>
      <c r="DE947" s="0" t="s">
        <v>216</v>
      </c>
      <c r="DF947" s="0" t="s">
        <v>216</v>
      </c>
      <c r="DG947" s="0" t="s">
        <v>216</v>
      </c>
      <c r="DH947" s="0" t="n">
        <v>0</v>
      </c>
      <c r="DI947" s="126" t="n">
        <v>446.428571428571</v>
      </c>
      <c r="DK947" s="0" t="n">
        <v>0</v>
      </c>
      <c r="DM947" s="0" t="n">
        <v>1</v>
      </c>
      <c r="DN947" s="0" t="n">
        <v>60</v>
      </c>
      <c r="DO947" s="0" t="n">
        <v>3</v>
      </c>
      <c r="DP947" s="0" t="n">
        <v>0</v>
      </c>
      <c r="DQ947" s="0" t="n">
        <v>1</v>
      </c>
      <c r="DR947" s="0"/>
      <c r="DS947" s="0" t="n">
        <v>1</v>
      </c>
      <c r="DU947" s="0" t="n">
        <v>1</v>
      </c>
      <c r="DW947" s="1" t="n">
        <v>40586</v>
      </c>
      <c r="DX947" s="1" t="n">
        <v>40679</v>
      </c>
      <c r="DZ947" s="0"/>
      <c r="EA947" s="0" t="n">
        <v>1</v>
      </c>
      <c r="EC947" s="1" t="n">
        <v>40544</v>
      </c>
      <c r="ED947" s="1" t="n">
        <v>40679</v>
      </c>
      <c r="EF947" s="0"/>
      <c r="EG947" s="0" t="n">
        <v>1</v>
      </c>
      <c r="EH947" s="0" t="n">
        <v>12</v>
      </c>
      <c r="EI947" s="0" t="n">
        <f aca="false">IF(AND(DM947=1,DN947&lt;=48),"",IF(AND(DM947=2,DN947&lt;=42),"",IF(AND(DM947=3,DN947&lt;=45),"",EH947)))</f>
        <v>12</v>
      </c>
      <c r="EJ947" s="0" t="n">
        <f aca="false">IF(EI947="","",IF(EI947&lt;9,EI947,9))</f>
        <v>9</v>
      </c>
      <c r="EK947" s="0" t="n">
        <f aca="false">IF(EI947="","",IF(EI947&gt;9,EI947-EJ947,0))</f>
        <v>3</v>
      </c>
      <c r="EL947" s="0" t="n">
        <f aca="false">IF(EI947="","",EJ947*DA947*2+EK947*DA947*3)</f>
        <v>1506.69642857143</v>
      </c>
      <c r="EP947" s="0" t="n">
        <v>0</v>
      </c>
      <c r="EQ947" s="0"/>
      <c r="ER947" s="0" t="n">
        <v>1</v>
      </c>
      <c r="ET947" s="0" t="n">
        <v>0</v>
      </c>
      <c r="EV947" s="0" t="n">
        <v>1</v>
      </c>
      <c r="EX947" s="0" t="n">
        <v>1</v>
      </c>
      <c r="EY947" s="0" t="n">
        <v>0</v>
      </c>
      <c r="FA947" s="4" t="n">
        <v>13599.88</v>
      </c>
      <c r="FB947" s="0" t="n">
        <v>0</v>
      </c>
      <c r="FC947" s="1" t="n">
        <v>40946</v>
      </c>
      <c r="FD947" s="0" t="n">
        <v>1</v>
      </c>
      <c r="FE947" s="0" t="n">
        <v>16500</v>
      </c>
      <c r="FF947" s="120" t="n">
        <f aca="false">(CJ947-CI947+1)/365</f>
        <v>2.25753424657534</v>
      </c>
      <c r="FG947" s="0" t="str">
        <f aca="false">CONCATENATE(F947,"/",G947)</f>
        <v>887/2011</v>
      </c>
      <c r="FH947" s="0" t="n">
        <v>1</v>
      </c>
      <c r="FI947" s="0" t="n">
        <f aca="false">IFERROR(IF((FC947-J947+1)/365&gt;3,0,1),"")</f>
        <v>1</v>
      </c>
    </row>
    <row r="948" customFormat="false" ht="15" hidden="false" customHeight="false" outlineLevel="0" collapsed="false">
      <c r="A948" s="5" t="str">
        <f aca="false">E948&amp;G948&amp;F948</f>
        <v>72011888</v>
      </c>
      <c r="B948" s="0" t="s">
        <v>8655</v>
      </c>
      <c r="C948" s="1" t="n">
        <v>42381</v>
      </c>
      <c r="E948" s="0" t="n">
        <v>7</v>
      </c>
      <c r="F948" s="0" t="n">
        <v>888</v>
      </c>
      <c r="G948" s="0" t="n">
        <v>2011</v>
      </c>
      <c r="H948" s="0" t="str">
        <f aca="false">"J"&amp;E948&amp;"\"&amp;F948&amp;"\"&amp;G948&amp;"\"&amp;W948</f>
        <v>J7\888\2011\1</v>
      </c>
      <c r="I948" s="0"/>
      <c r="J948" s="1" t="n">
        <v>40683</v>
      </c>
      <c r="M948" s="1"/>
      <c r="N948" s="1"/>
      <c r="O948" s="1"/>
      <c r="P948" s="1"/>
      <c r="Q948" s="1"/>
      <c r="T948" s="121"/>
      <c r="U948" s="121"/>
      <c r="V948" s="122" t="n">
        <f aca="false">IF(AND(E948&gt;0,F948&gt;0,G948&gt;0),COUNTIFS($E:$E,E948,$F:$F,F948,$G:$G,G948),"")</f>
        <v>1</v>
      </c>
      <c r="W948" s="122" t="n">
        <f aca="false">IF(V948="","",IF(V948=1,1,IF(AND(E947=E948,F947=F948,G947=G948),W947+1,1)))</f>
        <v>1</v>
      </c>
      <c r="X948" s="0" t="n">
        <v>1</v>
      </c>
      <c r="Y948" s="0" t="n">
        <v>3</v>
      </c>
      <c r="Z948" s="0" t="s">
        <v>8673</v>
      </c>
      <c r="AA948" s="0" t="n">
        <v>0</v>
      </c>
      <c r="AB948" s="0" t="s">
        <v>1812</v>
      </c>
      <c r="AC948" s="0" t="s">
        <v>1611</v>
      </c>
      <c r="AD948" s="0" t="s">
        <v>1160</v>
      </c>
      <c r="AE948" s="0" t="n">
        <v>0</v>
      </c>
      <c r="AF948" s="0" t="s">
        <v>8674</v>
      </c>
      <c r="AG948" s="0" t="n">
        <v>0</v>
      </c>
      <c r="AH948" s="0" t="s">
        <v>8675</v>
      </c>
      <c r="AI948" s="0" t="s">
        <v>789</v>
      </c>
      <c r="AJ948" s="0" t="s">
        <v>1160</v>
      </c>
      <c r="AL948" s="0" t="s">
        <v>8676</v>
      </c>
      <c r="AM948" s="0" t="n">
        <v>1</v>
      </c>
      <c r="AN948" s="0" t="s">
        <v>8675</v>
      </c>
      <c r="AO948" s="0" t="s">
        <v>789</v>
      </c>
      <c r="AP948" s="0" t="s">
        <v>1160</v>
      </c>
      <c r="AR948" s="0" t="s">
        <v>213</v>
      </c>
      <c r="AS948" s="0" t="n">
        <v>1</v>
      </c>
      <c r="AT948" s="0" t="s">
        <v>8675</v>
      </c>
      <c r="AU948" s="0" t="s">
        <v>789</v>
      </c>
      <c r="AV948" s="0" t="s">
        <v>1160</v>
      </c>
      <c r="BR948" s="0" t="n">
        <v>3</v>
      </c>
      <c r="BS948" s="0" t="s">
        <v>1625</v>
      </c>
      <c r="BT948" s="0" t="s">
        <v>1626</v>
      </c>
      <c r="BV948" s="123"/>
      <c r="BW948" s="123"/>
      <c r="BX948" s="123"/>
      <c r="BY948" s="123"/>
      <c r="CA948" s="0" t="s">
        <v>348</v>
      </c>
      <c r="CD948" s="0" t="s">
        <v>296</v>
      </c>
      <c r="CE948" s="0" t="n">
        <v>0</v>
      </c>
      <c r="CF948" s="0" t="s">
        <v>2230</v>
      </c>
      <c r="CI948" s="1" t="n">
        <v>40569</v>
      </c>
      <c r="CJ948" s="1" t="n">
        <v>40641</v>
      </c>
      <c r="CK948" s="124" t="n">
        <v>0.5625</v>
      </c>
      <c r="CL948" s="0" t="s">
        <v>8676</v>
      </c>
      <c r="CM948" s="0" t="n">
        <f aca="false">IF(OR(CI948="",CJ948=""),"",DAYS360(CI948,CJ948)/360)</f>
        <v>0.2</v>
      </c>
      <c r="CN948" s="0" t="n">
        <f aca="false">IF(OR(CI948="",CJ948=""),"",DAYS360(CI948,CJ948)/30)</f>
        <v>2.4</v>
      </c>
      <c r="CO948" s="0" t="n">
        <f aca="false">IF(OR(CI948="",CJ948=""),"",DAYS360(CI948,CJ948)/7)</f>
        <v>10.2857142857143</v>
      </c>
      <c r="CP948" s="0" t="n">
        <f aca="false">IF(OR(CI948="",CJ948=""),"",DAYS360(CI948,CJ948))</f>
        <v>72</v>
      </c>
      <c r="CQ948" s="0" t="s">
        <v>240</v>
      </c>
      <c r="CR948" s="0" t="n">
        <v>1</v>
      </c>
      <c r="CT948" s="0" t="n">
        <v>94</v>
      </c>
      <c r="CU948" s="0" t="n">
        <v>0</v>
      </c>
      <c r="CV948" s="0" t="n">
        <f aca="false">IF(OR(CT948="",CT948="NO ESPECIFICA",CT948="NO MENCIONA"),"",IF(CU948=0,CT948,IF(CU948=1,CT948/30,IF(CU948=2,CT948/15,IF(CU948=3,CT948/7,"")))))</f>
        <v>94</v>
      </c>
      <c r="CW948" s="125" t="n">
        <v>104.51</v>
      </c>
      <c r="CX948" s="0" t="n">
        <v>0</v>
      </c>
      <c r="CY948" s="0" t="n">
        <f aca="false">IF(CW948="","",IF(CX948=0,CW948,IF(CX948=1,CW948/30,IF(CX948=2,CW948/15,IF(CX948=3,CW948/7,CW948)))))</f>
        <v>104.51</v>
      </c>
      <c r="CZ948" s="0" t="n">
        <f aca="false">IF(DI948&gt;0,DI948,IF(CY948&gt;0,CY948,IF(CV948&gt;0,CV948,"")))</f>
        <v>104.51</v>
      </c>
      <c r="DA948" s="0" t="n">
        <f aca="false">IF(DM948=1,CZ948/8,IF(OR(DM948=2,DM948=4),CZ948/7,IF(DM948=3,CZ948/7.5,"")))</f>
        <v>13.06375</v>
      </c>
      <c r="DB948" s="0" t="s">
        <v>216</v>
      </c>
      <c r="DC948" s="0" t="s">
        <v>216</v>
      </c>
      <c r="DD948" s="0" t="s">
        <v>216</v>
      </c>
      <c r="DE948" s="0" t="s">
        <v>216</v>
      </c>
      <c r="DF948" s="0" t="s">
        <v>216</v>
      </c>
      <c r="DG948" s="0" t="s">
        <v>216</v>
      </c>
      <c r="DH948" s="0" t="n">
        <v>0</v>
      </c>
      <c r="DI948" s="126" t="n">
        <v>104.51</v>
      </c>
      <c r="DK948" s="0" t="n">
        <v>1</v>
      </c>
      <c r="DM948" s="0" t="n">
        <v>1</v>
      </c>
      <c r="DN948" s="0" t="n">
        <v>36</v>
      </c>
      <c r="DO948" s="0" t="n">
        <v>3</v>
      </c>
      <c r="DP948" s="0" t="n">
        <v>0</v>
      </c>
      <c r="DQ948" s="0" t="n">
        <v>1</v>
      </c>
      <c r="DR948" s="0"/>
      <c r="DS948" s="0" t="n">
        <v>1</v>
      </c>
      <c r="DU948" s="0" t="n">
        <v>1</v>
      </c>
      <c r="DW948" s="1" t="n">
        <v>40569</v>
      </c>
      <c r="DX948" s="1" t="n">
        <v>40641</v>
      </c>
      <c r="DZ948" s="0"/>
      <c r="EA948" s="0" t="n">
        <v>1</v>
      </c>
      <c r="EC948" s="1" t="n">
        <v>40569</v>
      </c>
      <c r="ED948" s="1" t="n">
        <v>40641</v>
      </c>
      <c r="EF948" s="0"/>
      <c r="EG948" s="0" t="n">
        <v>0</v>
      </c>
      <c r="EI948" s="0" t="str">
        <f aca="false">IF(AND(DM948=1,DN948&lt;=48),"",IF(AND(DM948=2,DN948&lt;=42),"",IF(AND(DM948=3,DN948&lt;=45),"",EH948)))</f>
        <v/>
      </c>
      <c r="EJ948" s="0" t="str">
        <f aca="false">IF(EI948="","",IF(EI948&lt;9,EI948,9))</f>
        <v/>
      </c>
      <c r="EK948" s="0" t="str">
        <f aca="false">IF(EI948="","",IF(EI948&gt;9,EI948-EJ948,0))</f>
        <v/>
      </c>
      <c r="EL948" s="0" t="str">
        <f aca="false">IF(EI948="","",EJ948*DA948*2+EK948*DA948*3)</f>
        <v/>
      </c>
      <c r="EP948" s="0" t="n">
        <v>0</v>
      </c>
      <c r="EQ948" s="0"/>
      <c r="ER948" s="0" t="n">
        <v>0</v>
      </c>
      <c r="ET948" s="0" t="n">
        <v>0</v>
      </c>
      <c r="EV948" s="0" t="n">
        <v>0</v>
      </c>
      <c r="EX948" s="0" t="n">
        <v>1</v>
      </c>
      <c r="EY948" s="0" t="n">
        <v>0</v>
      </c>
      <c r="FA948" s="0"/>
      <c r="FB948" s="0" t="n">
        <v>0</v>
      </c>
      <c r="FC948" s="1" t="n">
        <v>40935</v>
      </c>
      <c r="FD948" s="0" t="n">
        <v>1</v>
      </c>
      <c r="FE948" s="0" t="n">
        <v>6000</v>
      </c>
      <c r="FF948" s="120" t="n">
        <f aca="false">(CJ948-CI948+1)/365</f>
        <v>0.2</v>
      </c>
      <c r="FG948" s="0" t="str">
        <f aca="false">CONCATENATE(F948,"/",G948)</f>
        <v>888/2011</v>
      </c>
      <c r="FH948" s="0" t="n">
        <v>1</v>
      </c>
      <c r="FI948" s="0" t="n">
        <f aca="false">IFERROR(IF((FC948-J948+1)/365&gt;3,0,1),"")</f>
        <v>1</v>
      </c>
    </row>
    <row r="949" customFormat="false" ht="15" hidden="false" customHeight="false" outlineLevel="0" collapsed="false">
      <c r="A949" s="5" t="str">
        <f aca="false">E949&amp;G949&amp;F949</f>
        <v>72011890</v>
      </c>
      <c r="B949" s="0" t="s">
        <v>8655</v>
      </c>
      <c r="C949" s="1" t="n">
        <v>42381</v>
      </c>
      <c r="E949" s="0" t="n">
        <v>7</v>
      </c>
      <c r="F949" s="0" t="n">
        <v>890</v>
      </c>
      <c r="G949" s="0" t="n">
        <v>2011</v>
      </c>
      <c r="H949" s="0" t="str">
        <f aca="false">"J"&amp;E949&amp;"\"&amp;F949&amp;"\"&amp;G949&amp;"\"&amp;W949</f>
        <v>J7\890\2011\1</v>
      </c>
      <c r="I949" s="0"/>
      <c r="J949" s="1" t="n">
        <v>40683</v>
      </c>
      <c r="M949" s="1"/>
      <c r="N949" s="1"/>
      <c r="O949" s="1"/>
      <c r="P949" s="1"/>
      <c r="Q949" s="1"/>
      <c r="T949" s="121"/>
      <c r="U949" s="121"/>
      <c r="V949" s="122" t="n">
        <f aca="false">IF(AND(E949&gt;0,F949&gt;0,G949&gt;0),COUNTIFS($E:$E,E949,$F:$F,F949,$G:$G,G949),"")</f>
        <v>1</v>
      </c>
      <c r="W949" s="122" t="n">
        <f aca="false">IF(V949="","",IF(V949=1,1,IF(AND(E948=E949,F948=F949,G948=G949),W948+1,1)))</f>
        <v>1</v>
      </c>
      <c r="X949" s="0" t="n">
        <v>1</v>
      </c>
      <c r="Y949" s="0" t="n">
        <v>9</v>
      </c>
      <c r="Z949" s="0" t="s">
        <v>8677</v>
      </c>
      <c r="AA949" s="0" t="n">
        <v>0</v>
      </c>
      <c r="AB949" s="0" t="s">
        <v>8678</v>
      </c>
      <c r="AC949" s="0" t="s">
        <v>244</v>
      </c>
      <c r="AD949" s="0" t="s">
        <v>1160</v>
      </c>
      <c r="AE949" s="0" t="n">
        <v>0</v>
      </c>
      <c r="AF949" s="0" t="s">
        <v>3293</v>
      </c>
      <c r="AG949" s="0" t="n">
        <v>0</v>
      </c>
      <c r="AH949" s="0" t="s">
        <v>8679</v>
      </c>
      <c r="AI949" s="0" t="s">
        <v>3295</v>
      </c>
      <c r="AJ949" s="0" t="s">
        <v>2218</v>
      </c>
      <c r="AL949" s="0" t="s">
        <v>8680</v>
      </c>
      <c r="AM949" s="0" t="n">
        <v>1</v>
      </c>
      <c r="AN949" s="0" t="s">
        <v>8679</v>
      </c>
      <c r="AO949" s="0" t="s">
        <v>3295</v>
      </c>
      <c r="AP949" s="0" t="s">
        <v>2218</v>
      </c>
      <c r="AR949" s="0" t="s">
        <v>8681</v>
      </c>
      <c r="AS949" s="0" t="n">
        <v>1</v>
      </c>
      <c r="AT949" s="0" t="s">
        <v>8679</v>
      </c>
      <c r="AU949" s="0" t="s">
        <v>3295</v>
      </c>
      <c r="AV949" s="0" t="s">
        <v>2218</v>
      </c>
      <c r="AX949" s="0" t="s">
        <v>8682</v>
      </c>
      <c r="AY949" s="0" t="n">
        <v>1</v>
      </c>
      <c r="AZ949" s="0" t="s">
        <v>8679</v>
      </c>
      <c r="BA949" s="0" t="s">
        <v>3295</v>
      </c>
      <c r="BB949" s="0" t="s">
        <v>2218</v>
      </c>
      <c r="BD949" s="0" t="s">
        <v>8683</v>
      </c>
      <c r="BE949" s="0" t="n">
        <v>1</v>
      </c>
      <c r="BF949" s="0" t="s">
        <v>8679</v>
      </c>
      <c r="BG949" s="0" t="s">
        <v>3295</v>
      </c>
      <c r="BH949" s="0" t="s">
        <v>2218</v>
      </c>
      <c r="BJ949" s="0" t="s">
        <v>8684</v>
      </c>
      <c r="BK949" s="0" t="n">
        <v>1</v>
      </c>
      <c r="BL949" s="0" t="s">
        <v>8679</v>
      </c>
      <c r="BM949" s="0" t="s">
        <v>3295</v>
      </c>
      <c r="BN949" s="0" t="s">
        <v>2218</v>
      </c>
      <c r="BR949" s="0" t="n">
        <v>1</v>
      </c>
      <c r="BS949" s="0" t="s">
        <v>8685</v>
      </c>
      <c r="BV949" s="123"/>
      <c r="BW949" s="123"/>
      <c r="BX949" s="123"/>
      <c r="BY949" s="123"/>
      <c r="CA949" s="0" t="s">
        <v>8686</v>
      </c>
      <c r="CD949" s="0" t="s">
        <v>216</v>
      </c>
      <c r="CE949" s="0" t="n">
        <v>0</v>
      </c>
      <c r="CF949" s="0" t="s">
        <v>3907</v>
      </c>
      <c r="CI949" s="1" t="n">
        <v>40143</v>
      </c>
      <c r="CJ949" s="1" t="n">
        <v>40991</v>
      </c>
      <c r="CK949" s="124" t="n">
        <v>0.375</v>
      </c>
      <c r="CL949" s="0" t="s">
        <v>8683</v>
      </c>
      <c r="CM949" s="0" t="n">
        <f aca="false">IF(OR(CI949="",CJ949=""),"",DAYS360(CI949,CJ949)/360)</f>
        <v>2.325</v>
      </c>
      <c r="CN949" s="0" t="n">
        <f aca="false">IF(OR(CI949="",CJ949=""),"",DAYS360(CI949,CJ949)/30)</f>
        <v>27.9</v>
      </c>
      <c r="CO949" s="0" t="n">
        <f aca="false">IF(OR(CI949="",CJ949=""),"",DAYS360(CI949,CJ949)/7)</f>
        <v>119.571428571429</v>
      </c>
      <c r="CP949" s="0" t="n">
        <f aca="false">IF(OR(CI949="",CJ949=""),"",DAYS360(CI949,CJ949))</f>
        <v>837</v>
      </c>
      <c r="CQ949" s="0" t="s">
        <v>240</v>
      </c>
      <c r="CR949" s="0" t="n">
        <v>1</v>
      </c>
      <c r="CT949" s="0" t="n">
        <v>166.66</v>
      </c>
      <c r="CU949" s="0" t="n">
        <v>0</v>
      </c>
      <c r="CV949" s="0" t="n">
        <f aca="false">IF(OR(CT949="",CT949="NO ESPECIFICA",CT949="NO MENCIONA"),"",IF(CU949=0,CT949,IF(CU949=1,CT949/30,IF(CU949=2,CT949/15,IF(CU949=3,CT949/7,"")))))</f>
        <v>166.66</v>
      </c>
      <c r="CW949" s="125" t="n">
        <v>183.33</v>
      </c>
      <c r="CX949" s="0" t="n">
        <v>0</v>
      </c>
      <c r="CY949" s="0" t="n">
        <f aca="false">IF(CW949="","",IF(CX949=0,CW949,IF(CX949=1,CW949/30,IF(CX949=2,CW949/15,IF(CX949=3,CW949/7,CW949)))))</f>
        <v>183.33</v>
      </c>
      <c r="CZ949" s="0" t="n">
        <f aca="false">IF(DI949&gt;0,DI949,IF(CY949&gt;0,CY949,IF(CV949&gt;0,CV949,"")))</f>
        <v>183.33</v>
      </c>
      <c r="DA949" s="0" t="n">
        <f aca="false">IF(DM949=1,CZ949/8,IF(OR(DM949=2,DM949=4),CZ949/7,IF(DM949=3,CZ949/7.5,"")))</f>
        <v>22.91625</v>
      </c>
      <c r="DB949" s="0" t="s">
        <v>299</v>
      </c>
      <c r="DC949" s="0" t="s">
        <v>216</v>
      </c>
      <c r="DD949" s="0" t="s">
        <v>216</v>
      </c>
      <c r="DE949" s="0" t="s">
        <v>216</v>
      </c>
      <c r="DF949" s="0" t="s">
        <v>216</v>
      </c>
      <c r="DG949" s="0" t="s">
        <v>216</v>
      </c>
      <c r="DH949" s="0" t="n">
        <v>0</v>
      </c>
      <c r="DI949" s="126" t="n">
        <v>183.33</v>
      </c>
      <c r="DK949" s="0" t="n">
        <v>0</v>
      </c>
      <c r="DM949" s="0" t="n">
        <v>1</v>
      </c>
      <c r="DN949" s="0" t="n">
        <v>61</v>
      </c>
      <c r="DO949" s="0" t="n">
        <v>3</v>
      </c>
      <c r="DP949" s="0" t="n">
        <v>0</v>
      </c>
      <c r="DQ949" s="0" t="n">
        <v>1</v>
      </c>
      <c r="DR949" s="0" t="n">
        <v>16500</v>
      </c>
      <c r="DS949" s="0" t="n">
        <v>1</v>
      </c>
      <c r="DT949" s="0" t="n">
        <v>5500</v>
      </c>
      <c r="DU949" s="0" t="n">
        <v>1</v>
      </c>
      <c r="DV949" s="0" t="n">
        <v>1914.24</v>
      </c>
      <c r="DW949" s="1" t="n">
        <v>40143</v>
      </c>
      <c r="DX949" s="1" t="n">
        <v>40991</v>
      </c>
      <c r="DZ949" s="0"/>
      <c r="EA949" s="0" t="n">
        <v>1</v>
      </c>
      <c r="EC949" s="1" t="n">
        <v>40179</v>
      </c>
      <c r="ED949" s="1" t="n">
        <v>40991</v>
      </c>
      <c r="EF949" s="0"/>
      <c r="EG949" s="0" t="n">
        <v>1</v>
      </c>
      <c r="EH949" s="0" t="n">
        <v>10</v>
      </c>
      <c r="EI949" s="0" t="n">
        <f aca="false">IF(AND(DM949=1,DN949&lt;=48),"",IF(AND(DM949=2,DN949&lt;=42),"",IF(AND(DM949=3,DN949&lt;=45),"",EH949)))</f>
        <v>10</v>
      </c>
      <c r="EJ949" s="0" t="n">
        <f aca="false">IF(EI949="","",IF(EI949&lt;9,EI949,9))</f>
        <v>9</v>
      </c>
      <c r="EK949" s="0" t="n">
        <f aca="false">IF(EI949="","",IF(EI949&gt;9,EI949-EJ949,0))</f>
        <v>1</v>
      </c>
      <c r="EL949" s="0" t="n">
        <f aca="false">IF(EI949="","",EJ949*DA949*2+EK949*DA949*3)</f>
        <v>481.24125</v>
      </c>
      <c r="EP949" s="0" t="n">
        <v>0</v>
      </c>
      <c r="EQ949" s="0"/>
      <c r="ER949" s="0" t="n">
        <v>0</v>
      </c>
      <c r="ET949" s="0" t="n">
        <v>0</v>
      </c>
      <c r="EV949" s="0" t="n">
        <v>1</v>
      </c>
      <c r="EX949" s="0" t="n">
        <v>1</v>
      </c>
      <c r="EY949" s="0" t="n">
        <v>1</v>
      </c>
      <c r="FA949" s="4" t="n">
        <v>500</v>
      </c>
      <c r="FB949" s="0" t="n">
        <v>1</v>
      </c>
      <c r="FC949" s="1" t="n">
        <v>40854</v>
      </c>
      <c r="FD949" s="0" t="n">
        <v>1</v>
      </c>
      <c r="FE949" s="0" t="n">
        <v>14256.45</v>
      </c>
      <c r="FF949" s="120" t="n">
        <f aca="false">(CJ949-CI949+1)/365</f>
        <v>2.32602739726027</v>
      </c>
      <c r="FG949" s="0" t="str">
        <f aca="false">CONCATENATE(F949,"/",G949)</f>
        <v>890/2011</v>
      </c>
      <c r="FH949" s="0" t="n">
        <v>1</v>
      </c>
      <c r="FI949" s="0" t="n">
        <f aca="false">IFERROR(IF((FC949-J949+1)/365&gt;3,0,1),"")</f>
        <v>1</v>
      </c>
    </row>
    <row r="950" customFormat="false" ht="15" hidden="false" customHeight="false" outlineLevel="0" collapsed="false">
      <c r="A950" s="5" t="str">
        <f aca="false">E950&amp;G950&amp;F950</f>
        <v>72011895</v>
      </c>
      <c r="B950" s="0" t="s">
        <v>8655</v>
      </c>
      <c r="C950" s="1" t="n">
        <v>42383</v>
      </c>
      <c r="E950" s="0" t="n">
        <v>7</v>
      </c>
      <c r="F950" s="0" t="n">
        <v>895</v>
      </c>
      <c r="G950" s="0" t="n">
        <v>2011</v>
      </c>
      <c r="H950" s="0" t="str">
        <f aca="false">"J"&amp;E950&amp;"\"&amp;F950&amp;"\"&amp;G950&amp;"\"&amp;W950</f>
        <v>J7\895\2011\1</v>
      </c>
      <c r="I950" s="0"/>
      <c r="J950" s="1" t="n">
        <v>40686</v>
      </c>
      <c r="M950" s="1"/>
      <c r="N950" s="1"/>
      <c r="O950" s="1"/>
      <c r="P950" s="1"/>
      <c r="Q950" s="1"/>
      <c r="T950" s="121"/>
      <c r="U950" s="121"/>
      <c r="V950" s="122" t="n">
        <f aca="false">IF(AND(E950&gt;0,F950&gt;0,G950&gt;0),COUNTIFS($E:$E,E950,$F:$F,F950,$G:$G,G950),"")</f>
        <v>1</v>
      </c>
      <c r="W950" s="122" t="n">
        <f aca="false">IF(V950="","",IF(V950=1,1,IF(AND(E949=E950,F949=F950,G949=G950),W949+1,1)))</f>
        <v>1</v>
      </c>
      <c r="X950" s="0" t="n">
        <v>1</v>
      </c>
      <c r="Y950" s="0" t="n">
        <v>3</v>
      </c>
      <c r="Z950" s="0" t="s">
        <v>8687</v>
      </c>
      <c r="AA950" s="0" t="n">
        <v>0</v>
      </c>
      <c r="AB950" s="0" t="s">
        <v>8357</v>
      </c>
      <c r="AC950" s="0" t="s">
        <v>4153</v>
      </c>
      <c r="AD950" s="0" t="s">
        <v>1160</v>
      </c>
      <c r="AE950" s="0" t="n">
        <v>0</v>
      </c>
      <c r="AF950" s="0" t="s">
        <v>8688</v>
      </c>
      <c r="AG950" s="0" t="n">
        <v>0</v>
      </c>
      <c r="AH950" s="0" t="s">
        <v>8689</v>
      </c>
      <c r="AI950" s="0" t="s">
        <v>3957</v>
      </c>
      <c r="AJ950" s="0" t="s">
        <v>2179</v>
      </c>
      <c r="AL950" s="0" t="s">
        <v>8690</v>
      </c>
      <c r="AM950" s="0" t="n">
        <v>1</v>
      </c>
      <c r="AN950" s="0" t="s">
        <v>8689</v>
      </c>
      <c r="AO950" s="0" t="s">
        <v>3957</v>
      </c>
      <c r="AP950" s="0" t="s">
        <v>2179</v>
      </c>
      <c r="AR950" s="0" t="s">
        <v>213</v>
      </c>
      <c r="AS950" s="0" t="n">
        <v>1</v>
      </c>
      <c r="AT950" s="0" t="s">
        <v>8689</v>
      </c>
      <c r="AU950" s="0" t="s">
        <v>3957</v>
      </c>
      <c r="AV950" s="0" t="s">
        <v>2179</v>
      </c>
      <c r="BR950" s="0" t="n">
        <v>1</v>
      </c>
      <c r="BS950" s="0" t="s">
        <v>4162</v>
      </c>
      <c r="BV950" s="123"/>
      <c r="BW950" s="123"/>
      <c r="BX950" s="123"/>
      <c r="BY950" s="123"/>
      <c r="CA950" s="0" t="s">
        <v>216</v>
      </c>
      <c r="CD950" s="0" t="s">
        <v>370</v>
      </c>
      <c r="CE950" s="0" t="n">
        <v>0</v>
      </c>
      <c r="CF950" s="0" t="s">
        <v>8691</v>
      </c>
      <c r="CI950" s="1" t="n">
        <v>36748</v>
      </c>
      <c r="CJ950" s="1" t="n">
        <v>40669</v>
      </c>
      <c r="CK950" s="124" t="n">
        <v>0.229166666666667</v>
      </c>
      <c r="CL950" s="0" t="s">
        <v>8690</v>
      </c>
      <c r="CM950" s="0" t="n">
        <f aca="false">IF(OR(CI950="",CJ950=""),"",DAYS360(CI950,CJ950)/360)</f>
        <v>10.7388888888889</v>
      </c>
      <c r="CN950" s="0" t="n">
        <f aca="false">IF(OR(CI950="",CJ950=""),"",DAYS360(CI950,CJ950)/30)</f>
        <v>128.866666666667</v>
      </c>
      <c r="CO950" s="0" t="n">
        <f aca="false">IF(OR(CI950="",CJ950=""),"",DAYS360(CI950,CJ950)/7)</f>
        <v>552.285714285714</v>
      </c>
      <c r="CP950" s="0" t="n">
        <f aca="false">IF(OR(CI950="",CJ950=""),"",DAYS360(CI950,CJ950))</f>
        <v>3866</v>
      </c>
      <c r="CQ950" s="0" t="s">
        <v>240</v>
      </c>
      <c r="CR950" s="0" t="n">
        <v>1</v>
      </c>
      <c r="CT950" s="0" t="n">
        <v>940</v>
      </c>
      <c r="CU950" s="0" t="n">
        <v>2</v>
      </c>
      <c r="CV950" s="0" t="n">
        <f aca="false">IF(OR(CT950="",CT950="NO ESPECIFICA",CT950="NO MENCIONA"),"",IF(CU950=0,CT950,IF(CU950=1,CT950/30,IF(CU950=2,CT950/15,IF(CU950=3,CT950/7,"")))))</f>
        <v>62.6666666666667</v>
      </c>
      <c r="CW950" s="125" t="n">
        <v>4690</v>
      </c>
      <c r="CX950" s="0" t="n">
        <v>2</v>
      </c>
      <c r="CY950" s="0" t="n">
        <f aca="false">IF(CW950="","",IF(CX950=0,CW950,IF(CX950=1,CW950/30,IF(CX950=2,CW950/15,IF(CX950=3,CW950/7,CW950)))))</f>
        <v>312.666666666667</v>
      </c>
      <c r="CZ950" s="0" t="n">
        <f aca="false">IF(DI950&gt;0,DI950,IF(CY950&gt;0,CY950,IF(CV950&gt;0,CV950,"")))</f>
        <v>312.666666666667</v>
      </c>
      <c r="DA950" s="0" t="n">
        <f aca="false">IF(DM950=1,CZ950/8,IF(OR(DM950=2,DM950=4),CZ950/7,IF(DM950=3,CZ950/7.5,"")))</f>
        <v>41.6888888888889</v>
      </c>
      <c r="DB950" s="0" t="s">
        <v>569</v>
      </c>
      <c r="DC950" s="0" t="s">
        <v>1446</v>
      </c>
      <c r="DD950" s="0" t="s">
        <v>216</v>
      </c>
      <c r="DE950" s="0" t="s">
        <v>216</v>
      </c>
      <c r="DF950" s="0" t="s">
        <v>216</v>
      </c>
      <c r="DG950" s="0" t="s">
        <v>216</v>
      </c>
      <c r="DH950" s="0" t="n">
        <v>0</v>
      </c>
      <c r="DI950" s="126" t="n">
        <v>312.666666666667</v>
      </c>
      <c r="DK950" s="0" t="n">
        <v>1</v>
      </c>
      <c r="DM950" s="0" t="n">
        <v>3</v>
      </c>
      <c r="DN950" s="0" t="n">
        <v>66</v>
      </c>
      <c r="DO950" s="0" t="n">
        <v>3</v>
      </c>
      <c r="DP950" s="0" t="n">
        <v>0</v>
      </c>
      <c r="DQ950" s="0" t="n">
        <v>1</v>
      </c>
      <c r="DR950" s="0"/>
      <c r="DS950" s="0" t="n">
        <v>1</v>
      </c>
      <c r="DU950" s="0" t="n">
        <v>1</v>
      </c>
      <c r="DW950" s="1" t="n">
        <v>36748</v>
      </c>
      <c r="DX950" s="1" t="n">
        <v>40669</v>
      </c>
      <c r="DZ950" s="0"/>
      <c r="EA950" s="0" t="n">
        <v>1</v>
      </c>
      <c r="EC950" s="1" t="n">
        <v>36748</v>
      </c>
      <c r="ED950" s="1" t="n">
        <v>40669</v>
      </c>
      <c r="EF950" s="0"/>
      <c r="EG950" s="0" t="n">
        <v>1</v>
      </c>
      <c r="EH950" s="0" t="n">
        <v>18</v>
      </c>
      <c r="EI950" s="0" t="n">
        <f aca="false">IF(AND(DM950=1,DN950&lt;=48),"",IF(AND(DM950=2,DN950&lt;=42),"",IF(AND(DM950=3,DN950&lt;=45),"",EH950)))</f>
        <v>18</v>
      </c>
      <c r="EJ950" s="0" t="n">
        <f aca="false">IF(EI950="","",IF(EI950&lt;9,EI950,9))</f>
        <v>9</v>
      </c>
      <c r="EK950" s="0" t="n">
        <f aca="false">IF(EI950="","",IF(EI950&gt;9,EI950-EJ950,0))</f>
        <v>9</v>
      </c>
      <c r="EL950" s="0" t="n">
        <f aca="false">IF(EI950="","",EJ950*DA950*2+EK950*DA950*3)</f>
        <v>1876</v>
      </c>
      <c r="EP950" s="0" t="n">
        <v>0</v>
      </c>
      <c r="EQ950" s="0"/>
      <c r="ER950" s="0" t="n">
        <v>0</v>
      </c>
      <c r="ET950" s="0" t="n">
        <v>1</v>
      </c>
      <c r="EV950" s="0" t="n">
        <v>1</v>
      </c>
      <c r="EX950" s="0" t="n">
        <v>0</v>
      </c>
      <c r="EY950" s="0" t="n">
        <v>0</v>
      </c>
      <c r="FA950" s="0"/>
      <c r="FB950" s="0" t="n">
        <v>0</v>
      </c>
      <c r="FC950" s="1" t="n">
        <v>41894</v>
      </c>
      <c r="FD950" s="0" t="n">
        <v>3</v>
      </c>
      <c r="FE950" s="0" t="n">
        <v>80000</v>
      </c>
      <c r="FF950" s="120" t="n">
        <f aca="false">(CJ950-CI950+1)/365</f>
        <v>10.7452054794521</v>
      </c>
      <c r="FG950" s="0" t="str">
        <f aca="false">CONCATENATE(F950,"/",G950)</f>
        <v>895/2011</v>
      </c>
      <c r="FH950" s="0" t="n">
        <v>1</v>
      </c>
      <c r="FI950" s="0" t="n">
        <f aca="false">IFERROR(IF((FC950-J950+1)/365&gt;3,0,1),"")</f>
        <v>0</v>
      </c>
    </row>
    <row r="951" customFormat="false" ht="15" hidden="false" customHeight="false" outlineLevel="0" collapsed="false">
      <c r="A951" s="5" t="str">
        <f aca="false">E951&amp;G951&amp;F951</f>
        <v>72011899</v>
      </c>
      <c r="B951" s="0" t="s">
        <v>8655</v>
      </c>
      <c r="C951" s="1" t="n">
        <v>42383</v>
      </c>
      <c r="E951" s="0" t="n">
        <v>7</v>
      </c>
      <c r="F951" s="0" t="n">
        <v>899</v>
      </c>
      <c r="G951" s="0" t="n">
        <v>2011</v>
      </c>
      <c r="H951" s="0" t="str">
        <f aca="false">"J"&amp;E951&amp;"\"&amp;F951&amp;"\"&amp;G951&amp;"\"&amp;W951</f>
        <v>J7\899\2011\1</v>
      </c>
      <c r="I951" s="0"/>
      <c r="J951" s="1" t="n">
        <v>40686</v>
      </c>
      <c r="M951" s="1" t="n">
        <v>40686</v>
      </c>
      <c r="N951" s="1" t="n">
        <v>40834</v>
      </c>
      <c r="O951" s="1"/>
      <c r="P951" s="1"/>
      <c r="Q951" s="1"/>
      <c r="T951" s="121"/>
      <c r="U951" s="121"/>
      <c r="V951" s="122" t="n">
        <f aca="false">IF(AND(E951&gt;0,F951&gt;0,G951&gt;0),COUNTIFS($E:$E,E951,$F:$F,F951,$G:$G,G951),"")</f>
        <v>1</v>
      </c>
      <c r="W951" s="122" t="n">
        <f aca="false">IF(V951="","",IF(V951=1,1,IF(AND(E950=E951,F950=F951,G950=G951),W950+1,1)))</f>
        <v>1</v>
      </c>
      <c r="X951" s="0" t="n">
        <v>1</v>
      </c>
      <c r="Y951" s="0" t="n">
        <v>3</v>
      </c>
      <c r="Z951" s="0" t="s">
        <v>8692</v>
      </c>
      <c r="AA951" s="0" t="n">
        <v>0</v>
      </c>
      <c r="AB951" s="0" t="s">
        <v>8693</v>
      </c>
      <c r="AC951" s="0" t="s">
        <v>789</v>
      </c>
      <c r="AD951" s="0" t="s">
        <v>1160</v>
      </c>
      <c r="AE951" s="0" t="n">
        <v>0</v>
      </c>
      <c r="AF951" s="0" t="s">
        <v>8694</v>
      </c>
      <c r="AG951" s="0" t="n">
        <v>0</v>
      </c>
      <c r="AH951" s="0" t="s">
        <v>8695</v>
      </c>
      <c r="AI951" s="0" t="s">
        <v>8696</v>
      </c>
      <c r="AJ951" s="0" t="s">
        <v>5607</v>
      </c>
      <c r="AL951" s="0" t="s">
        <v>8697</v>
      </c>
      <c r="AM951" s="0" t="n">
        <v>1</v>
      </c>
      <c r="AN951" s="0" t="s">
        <v>8695</v>
      </c>
      <c r="AO951" s="0" t="s">
        <v>8696</v>
      </c>
      <c r="AP951" s="0" t="s">
        <v>5607</v>
      </c>
      <c r="AR951" s="0" t="s">
        <v>213</v>
      </c>
      <c r="AS951" s="0" t="n">
        <v>1</v>
      </c>
      <c r="AT951" s="0" t="s">
        <v>8695</v>
      </c>
      <c r="AU951" s="0" t="s">
        <v>8696</v>
      </c>
      <c r="AV951" s="0" t="s">
        <v>5607</v>
      </c>
      <c r="BR951" s="0" t="n">
        <v>1</v>
      </c>
      <c r="BS951" s="0" t="s">
        <v>538</v>
      </c>
      <c r="BV951" s="123"/>
      <c r="BW951" s="123"/>
      <c r="BX951" s="123"/>
      <c r="BY951" s="123"/>
      <c r="CA951" s="0" t="s">
        <v>7652</v>
      </c>
      <c r="CD951" s="0" t="s">
        <v>216</v>
      </c>
      <c r="CE951" s="0" t="n">
        <v>0</v>
      </c>
      <c r="CF951" s="0" t="s">
        <v>5359</v>
      </c>
      <c r="CI951" s="1" t="n">
        <v>38782</v>
      </c>
      <c r="CJ951" s="1" t="n">
        <v>40682</v>
      </c>
      <c r="CK951" s="124" t="n">
        <v>0.354166666666667</v>
      </c>
      <c r="CL951" s="0" t="s">
        <v>8697</v>
      </c>
      <c r="CM951" s="0" t="n">
        <f aca="false">IF(OR(CI951="",CJ951=""),"",DAYS360(CI951,CJ951)/360)</f>
        <v>5.20277777777778</v>
      </c>
      <c r="CN951" s="0" t="n">
        <f aca="false">IF(OR(CI951="",CJ951=""),"",DAYS360(CI951,CJ951)/30)</f>
        <v>62.4333333333333</v>
      </c>
      <c r="CO951" s="0" t="n">
        <f aca="false">IF(OR(CI951="",CJ951=""),"",DAYS360(CI951,CJ951)/7)</f>
        <v>267.571428571429</v>
      </c>
      <c r="CP951" s="0" t="n">
        <f aca="false">IF(OR(CI951="",CJ951=""),"",DAYS360(CI951,CJ951))</f>
        <v>1873</v>
      </c>
      <c r="CQ951" s="0" t="s">
        <v>220</v>
      </c>
      <c r="CR951" s="0" t="n">
        <v>1</v>
      </c>
      <c r="CT951" s="0" t="n">
        <v>200</v>
      </c>
      <c r="CU951" s="0" t="n">
        <v>0</v>
      </c>
      <c r="CV951" s="0" t="n">
        <f aca="false">IF(OR(CT951="",CT951="NO ESPECIFICA",CT951="NO MENCIONA"),"",IF(CU951=0,CT951,IF(CU951=1,CT951/30,IF(CU951=2,CT951/15,IF(CU951=3,CT951/7,"")))))</f>
        <v>200</v>
      </c>
      <c r="CW951" s="125" t="n">
        <v>723.29</v>
      </c>
      <c r="CX951" s="0" t="n">
        <v>0</v>
      </c>
      <c r="CY951" s="0" t="n">
        <f aca="false">IF(CW951="","",IF(CX951=0,CW951,IF(CX951=1,CW951/30,IF(CX951=2,CW951/15,IF(CX951=3,CW951/7,CW951)))))</f>
        <v>723.29</v>
      </c>
      <c r="CZ951" s="0" t="n">
        <f aca="false">IF(DI951&gt;0,DI951,IF(CY951&gt;0,CY951,IF(CV951&gt;0,CV951,"")))</f>
        <v>723.29</v>
      </c>
      <c r="DA951" s="0" t="n">
        <f aca="false">IF(DM951=1,CZ951/8,IF(OR(DM951=2,DM951=4),CZ951/7,IF(DM951=3,CZ951/7.5,"")))</f>
        <v>90.41125</v>
      </c>
      <c r="DB951" s="0" t="s">
        <v>417</v>
      </c>
      <c r="DC951" s="0" t="s">
        <v>302</v>
      </c>
      <c r="DD951" s="0" t="s">
        <v>303</v>
      </c>
      <c r="DE951" s="0" t="s">
        <v>301</v>
      </c>
      <c r="DF951" s="0" t="s">
        <v>216</v>
      </c>
      <c r="DG951" s="0" t="s">
        <v>216</v>
      </c>
      <c r="DH951" s="0" t="n">
        <v>0</v>
      </c>
      <c r="DI951" s="126" t="n">
        <v>723.29</v>
      </c>
      <c r="DK951" s="0" t="n">
        <v>0</v>
      </c>
      <c r="DM951" s="0" t="n">
        <v>1</v>
      </c>
      <c r="DN951" s="0" t="n">
        <v>62.5</v>
      </c>
      <c r="DO951" s="0" t="n">
        <v>3</v>
      </c>
      <c r="DP951" s="0" t="n">
        <v>1</v>
      </c>
      <c r="DQ951" s="0" t="n">
        <v>1</v>
      </c>
      <c r="DR951" s="0"/>
      <c r="DS951" s="0" t="n">
        <v>1</v>
      </c>
      <c r="DU951" s="0" t="n">
        <v>1</v>
      </c>
      <c r="DW951" s="1" t="n">
        <v>38782</v>
      </c>
      <c r="DX951" s="1" t="n">
        <v>40682</v>
      </c>
      <c r="DZ951" s="0"/>
      <c r="EA951" s="0" t="n">
        <v>1</v>
      </c>
      <c r="EC951" s="1" t="n">
        <v>38782</v>
      </c>
      <c r="ED951" s="1" t="n">
        <v>40682</v>
      </c>
      <c r="EF951" s="0"/>
      <c r="EG951" s="0" t="n">
        <v>0</v>
      </c>
      <c r="EI951" s="0" t="n">
        <f aca="false">IF(AND(DM951=1,DN951&lt;=48),"",IF(AND(DM951=2,DN951&lt;=42),"",IF(AND(DM951=3,DN951&lt;=45),"",EH951)))</f>
        <v>0</v>
      </c>
      <c r="EJ951" s="0" t="str">
        <f aca="false">IF(EI951="","",IF(EI951&lt;9,EI951,9))</f>
        <v/>
      </c>
      <c r="EK951" s="0" t="str">
        <f aca="false">IF(EI951="","",IF(EI951&gt;9,EI951-EJ951,0))</f>
        <v/>
      </c>
      <c r="EL951" s="0" t="str">
        <f aca="false">IF(EI951="","",EJ951*DA951*2+EK951*DA951*3)</f>
        <v/>
      </c>
      <c r="EP951" s="0" t="n">
        <v>1</v>
      </c>
      <c r="EQ951" s="0"/>
      <c r="ER951" s="0" t="n">
        <v>0</v>
      </c>
      <c r="ET951" s="0" t="n">
        <v>0</v>
      </c>
      <c r="EV951" s="0" t="n">
        <v>0</v>
      </c>
      <c r="EX951" s="0" t="n">
        <v>1</v>
      </c>
      <c r="EY951" s="0" t="n">
        <v>0</v>
      </c>
      <c r="FA951" s="0"/>
      <c r="FB951" s="0" t="n">
        <v>1</v>
      </c>
      <c r="FC951" s="1" t="n">
        <v>40878</v>
      </c>
      <c r="FD951" s="0" t="n">
        <v>1</v>
      </c>
      <c r="FE951" s="0" t="n">
        <v>32000</v>
      </c>
      <c r="FF951" s="120" t="n">
        <f aca="false">(CJ951-CI951+1)/365</f>
        <v>5.20821917808219</v>
      </c>
      <c r="FG951" s="0" t="str">
        <f aca="false">CONCATENATE(F951,"/",G951)</f>
        <v>899/2011</v>
      </c>
      <c r="FH951" s="0" t="n">
        <v>1</v>
      </c>
      <c r="FI951" s="0" t="n">
        <f aca="false">IFERROR(IF((FC951-J951+1)/365&gt;3,0,1),"")</f>
        <v>1</v>
      </c>
    </row>
    <row r="952" customFormat="false" ht="15" hidden="false" customHeight="false" outlineLevel="0" collapsed="false">
      <c r="A952" s="5" t="str">
        <f aca="false">E952&amp;G952&amp;F952</f>
        <v>72011900</v>
      </c>
      <c r="B952" s="0" t="s">
        <v>8655</v>
      </c>
      <c r="C952" s="1" t="n">
        <v>42383</v>
      </c>
      <c r="E952" s="0" t="n">
        <v>7</v>
      </c>
      <c r="F952" s="0" t="n">
        <v>900</v>
      </c>
      <c r="G952" s="0" t="n">
        <v>2011</v>
      </c>
      <c r="H952" s="0" t="str">
        <f aca="false">"J"&amp;E952&amp;"\"&amp;F952&amp;"\"&amp;G952&amp;"\"&amp;W952</f>
        <v>J7\900\2011\1</v>
      </c>
      <c r="I952" s="0"/>
      <c r="J952" s="1" t="n">
        <v>40687</v>
      </c>
      <c r="M952" s="1"/>
      <c r="N952" s="1"/>
      <c r="O952" s="1"/>
      <c r="P952" s="1"/>
      <c r="Q952" s="1"/>
      <c r="T952" s="121"/>
      <c r="U952" s="121"/>
      <c r="V952" s="122" t="n">
        <f aca="false">IF(AND(E952&gt;0,F952&gt;0,G952&gt;0),COUNTIFS($E:$E,E952,$F:$F,F952,$G:$G,G952),"")</f>
        <v>1</v>
      </c>
      <c r="W952" s="122" t="n">
        <f aca="false">IF(V952="","",IF(V952=1,1,IF(AND(E951=E952,F951=F952,G951=G952),W951+1,1)))</f>
        <v>1</v>
      </c>
      <c r="X952" s="0" t="n">
        <v>1</v>
      </c>
      <c r="Y952" s="0" t="n">
        <v>6</v>
      </c>
      <c r="Z952" s="0" t="s">
        <v>8698</v>
      </c>
      <c r="AA952" s="0" t="n">
        <v>0</v>
      </c>
      <c r="AB952" s="0" t="s">
        <v>8533</v>
      </c>
      <c r="AC952" s="0" t="s">
        <v>216</v>
      </c>
      <c r="AD952" s="0" t="s">
        <v>1160</v>
      </c>
      <c r="AE952" s="0" t="n">
        <v>0</v>
      </c>
      <c r="AF952" s="0" t="s">
        <v>8699</v>
      </c>
      <c r="AG952" s="0" t="n">
        <v>0</v>
      </c>
      <c r="AH952" s="0" t="s">
        <v>8700</v>
      </c>
      <c r="AI952" s="0" t="s">
        <v>8701</v>
      </c>
      <c r="AJ952" s="0" t="s">
        <v>1160</v>
      </c>
      <c r="AL952" s="0" t="s">
        <v>8702</v>
      </c>
      <c r="AM952" s="0" t="n">
        <v>0</v>
      </c>
      <c r="AN952" s="0" t="s">
        <v>8700</v>
      </c>
      <c r="AO952" s="0" t="s">
        <v>8701</v>
      </c>
      <c r="AP952" s="0" t="s">
        <v>1160</v>
      </c>
      <c r="AR952" s="0" t="s">
        <v>8703</v>
      </c>
      <c r="AS952" s="0" t="n">
        <v>1</v>
      </c>
      <c r="AT952" s="0" t="s">
        <v>8700</v>
      </c>
      <c r="AU952" s="0" t="s">
        <v>8701</v>
      </c>
      <c r="AV952" s="0" t="s">
        <v>1160</v>
      </c>
      <c r="AX952" s="0" t="s">
        <v>8704</v>
      </c>
      <c r="AY952" s="0" t="n">
        <v>1</v>
      </c>
      <c r="AZ952" s="0" t="s">
        <v>8700</v>
      </c>
      <c r="BA952" s="0" t="s">
        <v>8701</v>
      </c>
      <c r="BB952" s="0" t="s">
        <v>1160</v>
      </c>
      <c r="BD952" s="0" t="s">
        <v>8705</v>
      </c>
      <c r="BE952" s="0" t="n">
        <v>1</v>
      </c>
      <c r="BF952" s="0" t="s">
        <v>8700</v>
      </c>
      <c r="BG952" s="0" t="s">
        <v>8701</v>
      </c>
      <c r="BH952" s="0" t="s">
        <v>1160</v>
      </c>
      <c r="BJ952" s="0" t="s">
        <v>213</v>
      </c>
      <c r="BK952" s="0" t="n">
        <v>1</v>
      </c>
      <c r="BL952" s="0" t="s">
        <v>8700</v>
      </c>
      <c r="BM952" s="0" t="s">
        <v>8701</v>
      </c>
      <c r="BN952" s="0" t="s">
        <v>1160</v>
      </c>
      <c r="BR952" s="0" t="n">
        <v>1</v>
      </c>
      <c r="BS952" s="0" t="s">
        <v>1181</v>
      </c>
      <c r="BV952" s="123"/>
      <c r="BW952" s="123"/>
      <c r="BX952" s="123"/>
      <c r="BY952" s="123"/>
      <c r="CA952" s="0" t="s">
        <v>8541</v>
      </c>
      <c r="CD952" s="0" t="s">
        <v>216</v>
      </c>
      <c r="CE952" s="0" t="n">
        <v>0</v>
      </c>
      <c r="CF952" s="0" t="s">
        <v>611</v>
      </c>
      <c r="CI952" s="1" t="n">
        <v>39678</v>
      </c>
      <c r="CJ952" s="1" t="n">
        <v>40637</v>
      </c>
      <c r="CK952" s="124" t="n">
        <v>0.375</v>
      </c>
      <c r="CL952" s="0" t="s">
        <v>8703</v>
      </c>
      <c r="CM952" s="0" t="n">
        <f aca="false">IF(OR(CI952="",CJ952=""),"",DAYS360(CI952,CJ952)/360)</f>
        <v>2.62777777777778</v>
      </c>
      <c r="CN952" s="0" t="n">
        <f aca="false">IF(OR(CI952="",CJ952=""),"",DAYS360(CI952,CJ952)/30)</f>
        <v>31.5333333333333</v>
      </c>
      <c r="CO952" s="0" t="n">
        <f aca="false">IF(OR(CI952="",CJ952=""),"",DAYS360(CI952,CJ952)/7)</f>
        <v>135.142857142857</v>
      </c>
      <c r="CP952" s="0" t="n">
        <f aca="false">IF(OR(CI952="",CJ952=""),"",DAYS360(CI952,CJ952))</f>
        <v>946</v>
      </c>
      <c r="CQ952" s="0" t="s">
        <v>220</v>
      </c>
      <c r="CR952" s="0" t="n">
        <v>1</v>
      </c>
      <c r="CT952" s="0" t="n">
        <v>200</v>
      </c>
      <c r="CU952" s="0" t="n">
        <v>0</v>
      </c>
      <c r="CV952" s="0" t="n">
        <f aca="false">IF(OR(CT952="",CT952="NO ESPECIFICA",CT952="NO MENCIONA"),"",IF(CU952=0,CT952,IF(CU952=1,CT952/30,IF(CU952=2,CT952/15,IF(CU952=3,CT952/7,"")))))</f>
        <v>200</v>
      </c>
      <c r="CW952" s="125" t="n">
        <v>215.04</v>
      </c>
      <c r="CX952" s="0" t="n">
        <v>0</v>
      </c>
      <c r="CY952" s="0" t="n">
        <f aca="false">IF(CW952="","",IF(CX952=0,CW952,IF(CX952=1,CW952/30,IF(CX952=2,CW952/15,IF(CX952=3,CW952/7,CW952)))))</f>
        <v>215.04</v>
      </c>
      <c r="CZ952" s="0" t="n">
        <f aca="false">IF(DI952&gt;0,DI952,IF(CY952&gt;0,CY952,IF(CV952&gt;0,CV952,"")))</f>
        <v>215.04</v>
      </c>
      <c r="DA952" s="0" t="n">
        <f aca="false">IF(DM952=1,CZ952/8,IF(OR(DM952=2,DM952=4),CZ952/7,IF(DM952=3,CZ952/7.5,"")))</f>
        <v>26.88</v>
      </c>
      <c r="DB952" s="0" t="s">
        <v>302</v>
      </c>
      <c r="DC952" s="0" t="s">
        <v>303</v>
      </c>
      <c r="DD952" s="0" t="s">
        <v>301</v>
      </c>
      <c r="DE952" s="0" t="s">
        <v>216</v>
      </c>
      <c r="DF952" s="0" t="s">
        <v>216</v>
      </c>
      <c r="DG952" s="0" t="s">
        <v>216</v>
      </c>
      <c r="DH952" s="0" t="n">
        <v>0</v>
      </c>
      <c r="DI952" s="126" t="n">
        <v>215.04</v>
      </c>
      <c r="DK952" s="0" t="n">
        <v>0</v>
      </c>
      <c r="DM952" s="0" t="n">
        <v>1</v>
      </c>
      <c r="DN952" s="0" t="n">
        <v>72</v>
      </c>
      <c r="DO952" s="0" t="n">
        <v>3</v>
      </c>
      <c r="DP952" s="0" t="n">
        <v>1</v>
      </c>
      <c r="DQ952" s="0" t="n">
        <v>1</v>
      </c>
      <c r="DR952" s="0"/>
      <c r="DS952" s="0" t="n">
        <v>1</v>
      </c>
      <c r="DU952" s="0" t="n">
        <v>1</v>
      </c>
      <c r="DW952" s="1" t="n">
        <v>39678</v>
      </c>
      <c r="DX952" s="1" t="n">
        <v>40637</v>
      </c>
      <c r="DZ952" s="0"/>
      <c r="EA952" s="0" t="n">
        <v>1</v>
      </c>
      <c r="EC952" s="1" t="n">
        <v>39678</v>
      </c>
      <c r="ED952" s="1" t="n">
        <v>40637</v>
      </c>
      <c r="EF952" s="0"/>
      <c r="EG952" s="0" t="n">
        <v>1</v>
      </c>
      <c r="EH952" s="0" t="n">
        <v>18</v>
      </c>
      <c r="EI952" s="0" t="n">
        <f aca="false">IF(AND(DM952=1,DN952&lt;=48),"",IF(AND(DM952=2,DN952&lt;=42),"",IF(AND(DM952=3,DN952&lt;=45),"",EH952)))</f>
        <v>18</v>
      </c>
      <c r="EJ952" s="0" t="n">
        <f aca="false">IF(EI952="","",IF(EI952&lt;9,EI952,9))</f>
        <v>9</v>
      </c>
      <c r="EK952" s="0" t="n">
        <f aca="false">IF(EI952="","",IF(EI952&gt;9,EI952-EJ952,0))</f>
        <v>9</v>
      </c>
      <c r="EL952" s="0" t="n">
        <f aca="false">IF(EI952="","",EJ952*DA952*2+EK952*DA952*3)</f>
        <v>1209.6</v>
      </c>
      <c r="EP952" s="0" t="n">
        <v>1</v>
      </c>
      <c r="EQ952" s="0"/>
      <c r="ER952" s="0" t="n">
        <v>0</v>
      </c>
      <c r="ET952" s="0" t="n">
        <v>0</v>
      </c>
      <c r="EV952" s="0" t="n">
        <v>0</v>
      </c>
      <c r="EX952" s="0" t="n">
        <v>1</v>
      </c>
      <c r="EY952" s="0" t="n">
        <v>0</v>
      </c>
      <c r="FA952" s="0"/>
      <c r="FB952" s="0" t="n">
        <v>1</v>
      </c>
      <c r="FC952" s="1" t="n">
        <v>40920</v>
      </c>
      <c r="FD952" s="0" t="n">
        <v>1</v>
      </c>
      <c r="FE952" s="0" t="n">
        <v>24535</v>
      </c>
      <c r="FF952" s="120" t="n">
        <f aca="false">(CJ952-CI952+1)/365</f>
        <v>2.63013698630137</v>
      </c>
      <c r="FG952" s="0" t="str">
        <f aca="false">CONCATENATE(F952,"/",G952)</f>
        <v>900/2011</v>
      </c>
      <c r="FH952" s="0" t="n">
        <v>1</v>
      </c>
      <c r="FI952" s="0" t="n">
        <f aca="false">IFERROR(IF((FC952-J952+1)/365&gt;3,0,1),"")</f>
        <v>1</v>
      </c>
    </row>
    <row r="953" customFormat="false" ht="15" hidden="false" customHeight="false" outlineLevel="0" collapsed="false">
      <c r="A953" s="5" t="str">
        <f aca="false">E953&amp;G953&amp;F953</f>
        <v>72011901</v>
      </c>
      <c r="B953" s="0" t="s">
        <v>8655</v>
      </c>
      <c r="C953" s="1" t="n">
        <v>42383</v>
      </c>
      <c r="E953" s="0" t="n">
        <v>7</v>
      </c>
      <c r="F953" s="0" t="n">
        <v>901</v>
      </c>
      <c r="G953" s="0" t="n">
        <v>2011</v>
      </c>
      <c r="H953" s="0" t="str">
        <f aca="false">"J"&amp;E953&amp;"\"&amp;F953&amp;"\"&amp;G953&amp;"\"&amp;W953</f>
        <v>J7\901\2011\1</v>
      </c>
      <c r="I953" s="0"/>
      <c r="J953" s="1" t="n">
        <v>40687</v>
      </c>
      <c r="M953" s="1" t="n">
        <v>40687</v>
      </c>
      <c r="N953" s="1" t="n">
        <v>40834</v>
      </c>
      <c r="O953" s="1"/>
      <c r="P953" s="1"/>
      <c r="Q953" s="1"/>
      <c r="T953" s="121"/>
      <c r="U953" s="121"/>
      <c r="V953" s="122" t="n">
        <f aca="false">IF(AND(E953&gt;0,F953&gt;0,G953&gt;0),COUNTIFS($E:$E,E953,$F:$F,F953,$G:$G,G953),"")</f>
        <v>1</v>
      </c>
      <c r="W953" s="122" t="n">
        <f aca="false">IF(V953="","",IF(V953=1,1,IF(AND(E952=E953,F952=F953,G952=G953),W952+1,1)))</f>
        <v>1</v>
      </c>
      <c r="X953" s="0" t="n">
        <v>1</v>
      </c>
      <c r="Y953" s="0" t="n">
        <v>6</v>
      </c>
      <c r="Z953" s="0" t="s">
        <v>8706</v>
      </c>
      <c r="AA953" s="0" t="n">
        <v>0</v>
      </c>
      <c r="AB953" s="0" t="s">
        <v>8707</v>
      </c>
      <c r="AC953" s="0" t="s">
        <v>1163</v>
      </c>
      <c r="AD953" s="0" t="s">
        <v>216</v>
      </c>
      <c r="AE953" s="0" t="n">
        <v>0</v>
      </c>
      <c r="AF953" s="0" t="s">
        <v>8708</v>
      </c>
      <c r="AG953" s="0" t="n">
        <v>1</v>
      </c>
      <c r="AH953" s="0" t="s">
        <v>8709</v>
      </c>
      <c r="AI953" s="0" t="s">
        <v>1126</v>
      </c>
      <c r="AJ953" s="0" t="s">
        <v>2340</v>
      </c>
      <c r="AL953" s="0" t="s">
        <v>8710</v>
      </c>
      <c r="AM953" s="0" t="n">
        <v>1</v>
      </c>
      <c r="AN953" s="0" t="s">
        <v>8709</v>
      </c>
      <c r="AO953" s="0" t="s">
        <v>1126</v>
      </c>
      <c r="AP953" s="0" t="s">
        <v>2340</v>
      </c>
      <c r="AR953" s="0" t="s">
        <v>8711</v>
      </c>
      <c r="AS953" s="0" t="n">
        <v>1</v>
      </c>
      <c r="AT953" s="0" t="s">
        <v>8709</v>
      </c>
      <c r="AU953" s="0" t="s">
        <v>1126</v>
      </c>
      <c r="AV953" s="0" t="s">
        <v>2340</v>
      </c>
      <c r="AX953" s="0" t="s">
        <v>8712</v>
      </c>
      <c r="AY953" s="0" t="n">
        <v>1</v>
      </c>
      <c r="AZ953" s="0" t="s">
        <v>8709</v>
      </c>
      <c r="BA953" s="0" t="s">
        <v>1126</v>
      </c>
      <c r="BB953" s="0" t="s">
        <v>2340</v>
      </c>
      <c r="BD953" s="0" t="s">
        <v>8713</v>
      </c>
      <c r="BE953" s="0" t="n">
        <v>1</v>
      </c>
      <c r="BF953" s="0" t="s">
        <v>8709</v>
      </c>
      <c r="BG953" s="0" t="s">
        <v>1126</v>
      </c>
      <c r="BH953" s="0" t="s">
        <v>2340</v>
      </c>
      <c r="BJ953" s="0" t="s">
        <v>213</v>
      </c>
      <c r="BK953" s="0" t="n">
        <v>1</v>
      </c>
      <c r="BL953" s="0" t="s">
        <v>8709</v>
      </c>
      <c r="BM953" s="0" t="s">
        <v>1126</v>
      </c>
      <c r="BN953" s="0" t="s">
        <v>2340</v>
      </c>
      <c r="BR953" s="0" t="n">
        <v>1</v>
      </c>
      <c r="BS953" s="0" t="s">
        <v>8714</v>
      </c>
      <c r="BV953" s="123"/>
      <c r="BW953" s="123"/>
      <c r="BX953" s="123"/>
      <c r="BY953" s="123"/>
      <c r="CA953" s="0" t="s">
        <v>216</v>
      </c>
      <c r="CD953" s="0" t="s">
        <v>216</v>
      </c>
      <c r="CE953" s="0" t="n">
        <v>0</v>
      </c>
      <c r="CF953" s="0" t="s">
        <v>8715</v>
      </c>
      <c r="CI953" s="1" t="n">
        <v>40090</v>
      </c>
      <c r="CJ953" s="1" t="n">
        <v>40676</v>
      </c>
      <c r="CK953" s="124" t="n">
        <v>0.520833333333333</v>
      </c>
      <c r="CL953" s="0" t="s">
        <v>8710</v>
      </c>
      <c r="CM953" s="0" t="n">
        <f aca="false">IF(OR(CI953="",CJ953=""),"",DAYS360(CI953,CJ953)/360)</f>
        <v>1.60833333333333</v>
      </c>
      <c r="CN953" s="0" t="n">
        <f aca="false">IF(OR(CI953="",CJ953=""),"",DAYS360(CI953,CJ953)/30)</f>
        <v>19.3</v>
      </c>
      <c r="CO953" s="0" t="n">
        <f aca="false">IF(OR(CI953="",CJ953=""),"",DAYS360(CI953,CJ953)/7)</f>
        <v>82.7142857142857</v>
      </c>
      <c r="CP953" s="0" t="n">
        <f aca="false">IF(OR(CI953="",CJ953=""),"",DAYS360(CI953,CJ953))</f>
        <v>579</v>
      </c>
      <c r="CQ953" s="0" t="s">
        <v>240</v>
      </c>
      <c r="CR953" s="0" t="n">
        <v>1</v>
      </c>
      <c r="CT953" s="0" t="s">
        <v>221</v>
      </c>
      <c r="CU953" s="0" t="s">
        <v>221</v>
      </c>
      <c r="CV953" s="0" t="str">
        <f aca="false">IF(OR(CT953="",CT953="NO ESPECIFICA",CT953="NO MENCIONA"),"",IF(CU953=0,CT953,IF(CU953=1,CT953/30,IF(CU953=2,CT953/15,IF(CU953=3,CT953/7,"")))))</f>
        <v/>
      </c>
      <c r="CW953" s="125" t="n">
        <v>400</v>
      </c>
      <c r="CX953" s="0" t="n">
        <v>0</v>
      </c>
      <c r="CY953" s="0" t="n">
        <f aca="false">IF(CW953="","",IF(CX953=0,CW953,IF(CX953=1,CW953/30,IF(CX953=2,CW953/15,IF(CX953=3,CW953/7,CW953)))))</f>
        <v>400</v>
      </c>
      <c r="CZ953" s="0" t="n">
        <f aca="false">IF(DI953&gt;0,DI953,IF(CY953&gt;0,CY953,IF(CV953&gt;0,CV953,"")))</f>
        <v>400</v>
      </c>
      <c r="DA953" s="0" t="n">
        <f aca="false">IF(DM953=1,CZ953/8,IF(OR(DM953=2,DM953=4),CZ953/7,IF(DM953=3,CZ953/7.5,"")))</f>
        <v>50</v>
      </c>
      <c r="DB953" s="0" t="s">
        <v>216</v>
      </c>
      <c r="DC953" s="0" t="s">
        <v>216</v>
      </c>
      <c r="DD953" s="0" t="s">
        <v>216</v>
      </c>
      <c r="DE953" s="0" t="s">
        <v>216</v>
      </c>
      <c r="DF953" s="0" t="s">
        <v>216</v>
      </c>
      <c r="DG953" s="0" t="s">
        <v>216</v>
      </c>
      <c r="DH953" s="0" t="n">
        <v>0</v>
      </c>
      <c r="DI953" s="126" t="n">
        <v>400</v>
      </c>
      <c r="DK953" s="0" t="n">
        <v>0</v>
      </c>
      <c r="DM953" s="0" t="n">
        <v>1</v>
      </c>
      <c r="DN953" s="0" t="n">
        <v>72</v>
      </c>
      <c r="DO953" s="0" t="n">
        <v>3</v>
      </c>
      <c r="DP953" s="0" t="n">
        <v>0</v>
      </c>
      <c r="DQ953" s="0" t="n">
        <v>1</v>
      </c>
      <c r="DR953" s="0"/>
      <c r="DS953" s="0" t="n">
        <v>1</v>
      </c>
      <c r="DU953" s="0" t="n">
        <v>1</v>
      </c>
      <c r="DW953" s="1" t="n">
        <v>40090</v>
      </c>
      <c r="DX953" s="1" t="n">
        <v>40676</v>
      </c>
      <c r="DZ953" s="0"/>
      <c r="EA953" s="0" t="n">
        <v>1</v>
      </c>
      <c r="EC953" s="1" t="n">
        <v>40090</v>
      </c>
      <c r="ED953" s="1" t="n">
        <v>40676</v>
      </c>
      <c r="EF953" s="0"/>
      <c r="EG953" s="0" t="n">
        <v>1</v>
      </c>
      <c r="EH953" s="0" t="n">
        <v>18</v>
      </c>
      <c r="EI953" s="0" t="n">
        <f aca="false">IF(AND(DM953=1,DN953&lt;=48),"",IF(AND(DM953=2,DN953&lt;=42),"",IF(AND(DM953=3,DN953&lt;=45),"",EH953)))</f>
        <v>18</v>
      </c>
      <c r="EJ953" s="0" t="n">
        <f aca="false">IF(EI953="","",IF(EI953&lt;9,EI953,9))</f>
        <v>9</v>
      </c>
      <c r="EK953" s="0" t="n">
        <f aca="false">IF(EI953="","",IF(EI953&gt;9,EI953-EJ953,0))</f>
        <v>9</v>
      </c>
      <c r="EL953" s="0" t="n">
        <f aca="false">IF(EI953="","",EJ953*DA953*2+EK953*DA953*3)</f>
        <v>2250</v>
      </c>
      <c r="EP953" s="0" t="n">
        <v>0</v>
      </c>
      <c r="EQ953" s="0"/>
      <c r="ER953" s="0" t="n">
        <v>1</v>
      </c>
      <c r="ET953" s="0" t="n">
        <v>0</v>
      </c>
      <c r="EV953" s="0" t="n">
        <v>1</v>
      </c>
      <c r="EX953" s="0" t="n">
        <v>0</v>
      </c>
      <c r="EY953" s="0" t="n">
        <v>0</v>
      </c>
      <c r="FA953" s="0"/>
      <c r="FB953" s="0" t="n">
        <v>1</v>
      </c>
      <c r="FC953" s="1" t="n">
        <v>40991</v>
      </c>
      <c r="FD953" s="0" t="n">
        <v>1</v>
      </c>
      <c r="FE953" s="0" t="n">
        <v>17000</v>
      </c>
      <c r="FF953" s="120" t="n">
        <f aca="false">(CJ953-CI953+1)/365</f>
        <v>1.60821917808219</v>
      </c>
      <c r="FG953" s="0" t="str">
        <f aca="false">CONCATENATE(F953,"/",G953)</f>
        <v>901/2011</v>
      </c>
      <c r="FH953" s="0" t="n">
        <v>1</v>
      </c>
      <c r="FI953" s="0" t="n">
        <f aca="false">IFERROR(IF((FC953-J953+1)/365&gt;3,0,1),"")</f>
        <v>1</v>
      </c>
    </row>
    <row r="954" customFormat="false" ht="15" hidden="false" customHeight="false" outlineLevel="0" collapsed="false">
      <c r="A954" s="5" t="str">
        <f aca="false">E954&amp;G954&amp;F954</f>
        <v>72011912</v>
      </c>
      <c r="B954" s="0" t="s">
        <v>8655</v>
      </c>
      <c r="C954" s="1" t="n">
        <v>42383</v>
      </c>
      <c r="E954" s="0" t="n">
        <v>7</v>
      </c>
      <c r="F954" s="0" t="n">
        <v>912</v>
      </c>
      <c r="G954" s="0" t="n">
        <v>2011</v>
      </c>
      <c r="H954" s="0" t="str">
        <f aca="false">"J"&amp;E954&amp;"\"&amp;F954&amp;"\"&amp;G954&amp;"\"&amp;W954</f>
        <v>J7\912\2011\1</v>
      </c>
      <c r="I954" s="0"/>
      <c r="J954" s="1" t="n">
        <v>40688</v>
      </c>
      <c r="M954" s="1" t="n">
        <v>40688</v>
      </c>
      <c r="N954" s="1" t="n">
        <v>40836</v>
      </c>
      <c r="O954" s="1"/>
      <c r="P954" s="1"/>
      <c r="Q954" s="1"/>
      <c r="T954" s="121"/>
      <c r="U954" s="121"/>
      <c r="V954" s="122" t="n">
        <f aca="false">IF(AND(E954&gt;0,F954&gt;0,G954&gt;0),COUNTIFS($E:$E,E954,$F:$F,F954,$G:$G,G954),"")</f>
        <v>1</v>
      </c>
      <c r="W954" s="122" t="n">
        <f aca="false">IF(V954="","",IF(V954=1,1,IF(AND(E953=E954,F953=F954,G953=G954),W953+1,1)))</f>
        <v>1</v>
      </c>
      <c r="X954" s="0" t="n">
        <v>1</v>
      </c>
      <c r="Y954" s="0" t="n">
        <v>4</v>
      </c>
      <c r="Z954" s="0" t="s">
        <v>8716</v>
      </c>
      <c r="AA954" s="0" t="n">
        <v>0</v>
      </c>
      <c r="AB954" s="0" t="s">
        <v>1812</v>
      </c>
      <c r="AC954" s="0" t="s">
        <v>228</v>
      </c>
      <c r="AD954" s="0" t="s">
        <v>1160</v>
      </c>
      <c r="AE954" s="0" t="n">
        <v>0</v>
      </c>
      <c r="AF954" s="0" t="s">
        <v>8717</v>
      </c>
      <c r="AG954" s="0" t="n">
        <v>0</v>
      </c>
      <c r="AH954" s="0" t="s">
        <v>8718</v>
      </c>
      <c r="AI954" s="0" t="s">
        <v>8719</v>
      </c>
      <c r="AJ954" s="0" t="s">
        <v>2236</v>
      </c>
      <c r="AL954" s="0" t="s">
        <v>8720</v>
      </c>
      <c r="AM954" s="0" t="n">
        <v>1</v>
      </c>
      <c r="AN954" s="0" t="s">
        <v>8718</v>
      </c>
      <c r="AO954" s="0" t="s">
        <v>8719</v>
      </c>
      <c r="AP954" s="0" t="s">
        <v>2236</v>
      </c>
      <c r="AR954" s="0" t="s">
        <v>8721</v>
      </c>
      <c r="AS954" s="0" t="n">
        <v>2</v>
      </c>
      <c r="AT954" s="0" t="s">
        <v>8718</v>
      </c>
      <c r="AU954" s="0" t="s">
        <v>8719</v>
      </c>
      <c r="AV954" s="0" t="s">
        <v>2236</v>
      </c>
      <c r="AX954" s="0" t="s">
        <v>213</v>
      </c>
      <c r="AY954" s="0" t="n">
        <v>1</v>
      </c>
      <c r="AZ954" s="0" t="s">
        <v>8718</v>
      </c>
      <c r="BA954" s="0" t="s">
        <v>8719</v>
      </c>
      <c r="BB954" s="0" t="s">
        <v>2236</v>
      </c>
      <c r="BR954" s="0" t="n">
        <v>3</v>
      </c>
      <c r="BS954" s="0" t="s">
        <v>3226</v>
      </c>
      <c r="BT954" s="0" t="s">
        <v>3227</v>
      </c>
      <c r="BU954" s="0" t="s">
        <v>3228</v>
      </c>
      <c r="BV954" s="123"/>
      <c r="BW954" s="123"/>
      <c r="BX954" s="123"/>
      <c r="BY954" s="123"/>
      <c r="CA954" s="0" t="s">
        <v>348</v>
      </c>
      <c r="CD954" s="0" t="s">
        <v>256</v>
      </c>
      <c r="CE954" s="0" t="n">
        <v>0</v>
      </c>
      <c r="CF954" s="0" t="s">
        <v>8722</v>
      </c>
      <c r="CI954" s="1" t="n">
        <v>39152</v>
      </c>
      <c r="CJ954" s="1" t="n">
        <v>40663</v>
      </c>
      <c r="CK954" s="124" t="n">
        <v>0.583333333333333</v>
      </c>
      <c r="CL954" s="0" t="s">
        <v>8720</v>
      </c>
      <c r="CM954" s="0" t="n">
        <f aca="false">IF(OR(CI954="",CJ954=""),"",DAYS360(CI954,CJ954)/360)</f>
        <v>4.13611111111111</v>
      </c>
      <c r="CN954" s="0" t="n">
        <f aca="false">IF(OR(CI954="",CJ954=""),"",DAYS360(CI954,CJ954)/30)</f>
        <v>49.6333333333333</v>
      </c>
      <c r="CO954" s="0" t="n">
        <f aca="false">IF(OR(CI954="",CJ954=""),"",DAYS360(CI954,CJ954)/7)</f>
        <v>212.714285714286</v>
      </c>
      <c r="CP954" s="0" t="n">
        <f aca="false">IF(OR(CI954="",CJ954=""),"",DAYS360(CI954,CJ954))</f>
        <v>1489</v>
      </c>
      <c r="CQ954" s="0" t="s">
        <v>240</v>
      </c>
      <c r="CR954" s="0" t="n">
        <v>1</v>
      </c>
      <c r="CT954" s="0" t="n">
        <v>119.42</v>
      </c>
      <c r="CU954" s="0" t="n">
        <v>0</v>
      </c>
      <c r="CV954" s="0" t="n">
        <f aca="false">IF(OR(CT954="",CT954="NO ESPECIFICA",CT954="NO MENCIONA"),"",IF(CU954=0,CT954,IF(CU954=1,CT954/30,IF(CU954=2,CT954/15,IF(CU954=3,CT954/7,"")))))</f>
        <v>119.42</v>
      </c>
      <c r="CW954" s="125" t="n">
        <v>325.3</v>
      </c>
      <c r="CX954" s="0" t="n">
        <v>0</v>
      </c>
      <c r="CY954" s="0" t="n">
        <f aca="false">IF(CW954="","",IF(CX954=0,CW954,IF(CX954=1,CW954/30,IF(CX954=2,CW954/15,IF(CX954=3,CW954/7,CW954)))))</f>
        <v>325.3</v>
      </c>
      <c r="CZ954" s="0" t="n">
        <f aca="false">IF(DI954&gt;0,DI954,IF(CY954&gt;0,CY954,IF(CV954&gt;0,CV954,"")))</f>
        <v>325.3</v>
      </c>
      <c r="DA954" s="0" t="n">
        <f aca="false">IF(DM954=1,CZ954/8,IF(OR(DM954=2,DM954=4),CZ954/7,IF(DM954=3,CZ954/7.5,"")))</f>
        <v>40.6625</v>
      </c>
      <c r="DB954" s="0" t="s">
        <v>303</v>
      </c>
      <c r="DC954" s="0" t="s">
        <v>301</v>
      </c>
      <c r="DD954" s="0" t="s">
        <v>1446</v>
      </c>
      <c r="DE954" s="0" t="s">
        <v>216</v>
      </c>
      <c r="DF954" s="0" t="s">
        <v>216</v>
      </c>
      <c r="DG954" s="0" t="s">
        <v>216</v>
      </c>
      <c r="DH954" s="0" t="n">
        <v>0</v>
      </c>
      <c r="DI954" s="126" t="n">
        <v>325.3</v>
      </c>
      <c r="DK954" s="0" t="n">
        <v>0</v>
      </c>
      <c r="DM954" s="0" t="n">
        <v>1</v>
      </c>
      <c r="DN954" s="0" t="n">
        <v>48</v>
      </c>
      <c r="DO954" s="0" t="n">
        <v>3</v>
      </c>
      <c r="DP954" s="0" t="n">
        <v>0</v>
      </c>
      <c r="DQ954" s="0" t="n">
        <v>1</v>
      </c>
      <c r="DR954" s="0"/>
      <c r="DS954" s="0" t="n">
        <v>1</v>
      </c>
      <c r="DU954" s="0" t="n">
        <v>1</v>
      </c>
      <c r="DW954" s="1" t="n">
        <v>40248</v>
      </c>
      <c r="DX954" s="1" t="n">
        <v>40663</v>
      </c>
      <c r="DZ954" s="0"/>
      <c r="EA954" s="0" t="n">
        <v>1</v>
      </c>
      <c r="EC954" s="1" t="n">
        <v>40179</v>
      </c>
      <c r="ED954" s="1" t="n">
        <v>40663</v>
      </c>
      <c r="EF954" s="0"/>
      <c r="EG954" s="0" t="n">
        <v>0</v>
      </c>
      <c r="EI954" s="0" t="str">
        <f aca="false">IF(AND(DM954=1,DN954&lt;=48),"",IF(AND(DM954=2,DN954&lt;=42),"",IF(AND(DM954=3,DN954&lt;=45),"",EH954)))</f>
        <v/>
      </c>
      <c r="EJ954" s="0" t="str">
        <f aca="false">IF(EI954="","",IF(EI954&lt;9,EI954,9))</f>
        <v/>
      </c>
      <c r="EK954" s="0" t="str">
        <f aca="false">IF(EI954="","",IF(EI954&gt;9,EI954-EJ954,0))</f>
        <v/>
      </c>
      <c r="EL954" s="0" t="str">
        <f aca="false">IF(EI954="","",EJ954*DA954*2+EK954*DA954*3)</f>
        <v/>
      </c>
      <c r="EP954" s="0" t="n">
        <v>0</v>
      </c>
      <c r="EQ954" s="0"/>
      <c r="ER954" s="0" t="n">
        <v>0</v>
      </c>
      <c r="ET954" s="0" t="n">
        <v>0</v>
      </c>
      <c r="EV954" s="0" t="n">
        <v>0</v>
      </c>
      <c r="EX954" s="0" t="n">
        <v>0</v>
      </c>
      <c r="EY954" s="0" t="n">
        <v>0</v>
      </c>
      <c r="FA954" s="0"/>
      <c r="FB954" s="0" t="n">
        <v>0</v>
      </c>
      <c r="FC954" s="1" t="n">
        <v>41181</v>
      </c>
      <c r="FD954" s="0" t="n">
        <v>2</v>
      </c>
      <c r="FE954" s="0" t="n">
        <v>0</v>
      </c>
      <c r="FF954" s="120" t="n">
        <f aca="false">(CJ954-CI954+1)/365</f>
        <v>4.14246575342466</v>
      </c>
      <c r="FG954" s="0" t="str">
        <f aca="false">CONCATENATE(F954,"/",G954)</f>
        <v>912/2011</v>
      </c>
      <c r="FH954" s="0" t="n">
        <v>1</v>
      </c>
      <c r="FI954" s="0" t="n">
        <f aca="false">IFERROR(IF((FC954-J954+1)/365&gt;3,0,1),"")</f>
        <v>1</v>
      </c>
    </row>
    <row r="955" customFormat="false" ht="15" hidden="false" customHeight="false" outlineLevel="0" collapsed="false">
      <c r="A955" s="5" t="str">
        <f aca="false">E955&amp;G955&amp;F955</f>
        <v>72011913</v>
      </c>
      <c r="B955" s="0" t="s">
        <v>8655</v>
      </c>
      <c r="C955" s="1" t="n">
        <v>42383</v>
      </c>
      <c r="E955" s="0" t="n">
        <v>7</v>
      </c>
      <c r="F955" s="0" t="n">
        <v>913</v>
      </c>
      <c r="G955" s="0" t="n">
        <v>2011</v>
      </c>
      <c r="H955" s="0" t="str">
        <f aca="false">"J"&amp;E955&amp;"\"&amp;F955&amp;"\"&amp;G955&amp;"\"&amp;W955</f>
        <v>J7\913\2011\1</v>
      </c>
      <c r="I955" s="0"/>
      <c r="J955" s="1" t="n">
        <v>40688</v>
      </c>
      <c r="M955" s="1"/>
      <c r="N955" s="1"/>
      <c r="O955" s="1"/>
      <c r="P955" s="1"/>
      <c r="Q955" s="1"/>
      <c r="T955" s="121"/>
      <c r="U955" s="121"/>
      <c r="V955" s="122" t="n">
        <f aca="false">IF(AND(E955&gt;0,F955&gt;0,G955&gt;0),COUNTIFS($E:$E,E955,$F:$F,F955,$G:$G,G955),"")</f>
        <v>1</v>
      </c>
      <c r="W955" s="122" t="n">
        <f aca="false">IF(V955="","",IF(V955=1,1,IF(AND(E954=E955,F954=F955,G954=G955),W954+1,1)))</f>
        <v>1</v>
      </c>
      <c r="X955" s="0" t="n">
        <v>1</v>
      </c>
      <c r="Y955" s="0" t="n">
        <v>2</v>
      </c>
      <c r="Z955" s="0" t="s">
        <v>8723</v>
      </c>
      <c r="AA955" s="0" t="n">
        <v>0</v>
      </c>
      <c r="AB955" s="0" t="s">
        <v>8724</v>
      </c>
      <c r="AC955" s="0" t="s">
        <v>5258</v>
      </c>
      <c r="AD955" s="0" t="s">
        <v>2179</v>
      </c>
      <c r="AE955" s="0" t="n">
        <v>0</v>
      </c>
      <c r="AF955" s="0" t="s">
        <v>8725</v>
      </c>
      <c r="AG955" s="0" t="n">
        <v>0</v>
      </c>
      <c r="AH955" s="0" t="s">
        <v>8726</v>
      </c>
      <c r="AI955" s="0" t="s">
        <v>8727</v>
      </c>
      <c r="AJ955" s="0" t="s">
        <v>2179</v>
      </c>
      <c r="AL955" s="0" t="s">
        <v>213</v>
      </c>
      <c r="AM955" s="0" t="n">
        <v>1</v>
      </c>
      <c r="AN955" s="0" t="s">
        <v>8726</v>
      </c>
      <c r="AO955" s="0" t="s">
        <v>8727</v>
      </c>
      <c r="AP955" s="0" t="s">
        <v>2179</v>
      </c>
      <c r="BR955" s="0" t="n">
        <v>1</v>
      </c>
      <c r="BS955" s="0" t="s">
        <v>8728</v>
      </c>
      <c r="BT955" s="0" t="s">
        <v>8729</v>
      </c>
      <c r="BV955" s="123"/>
      <c r="BW955" s="123"/>
      <c r="BX955" s="123"/>
      <c r="BY955" s="123"/>
      <c r="CA955" s="0" t="s">
        <v>216</v>
      </c>
      <c r="CD955" s="0" t="s">
        <v>256</v>
      </c>
      <c r="CE955" s="0" t="n">
        <v>0</v>
      </c>
      <c r="CF955" s="0" t="s">
        <v>8730</v>
      </c>
      <c r="CI955" s="1" t="n">
        <v>39307</v>
      </c>
      <c r="CJ955" s="1" t="n">
        <v>40634</v>
      </c>
      <c r="CK955" s="124" t="s">
        <v>216</v>
      </c>
      <c r="CL955" s="0" t="s">
        <v>8731</v>
      </c>
      <c r="CM955" s="0" t="n">
        <f aca="false">IF(OR(CI955="",CJ955=""),"",DAYS360(CI955,CJ955)/360)</f>
        <v>3.63333333333333</v>
      </c>
      <c r="CN955" s="0" t="n">
        <f aca="false">IF(OR(CI955="",CJ955=""),"",DAYS360(CI955,CJ955)/30)</f>
        <v>43.6</v>
      </c>
      <c r="CO955" s="0" t="n">
        <f aca="false">IF(OR(CI955="",CJ955=""),"",DAYS360(CI955,CJ955)/7)</f>
        <v>186.857142857143</v>
      </c>
      <c r="CP955" s="0" t="n">
        <f aca="false">IF(OR(CI955="",CJ955=""),"",DAYS360(CI955,CJ955))</f>
        <v>1308</v>
      </c>
      <c r="CQ955" s="0" t="s">
        <v>240</v>
      </c>
      <c r="CR955" s="0" t="n">
        <v>1</v>
      </c>
      <c r="CT955" s="0" t="s">
        <v>221</v>
      </c>
      <c r="CU955" s="0" t="s">
        <v>221</v>
      </c>
      <c r="CV955" s="0" t="str">
        <f aca="false">IF(OR(CT955="",CT955="NO ESPECIFICA",CT955="NO MENCIONA"),"",IF(CU955=0,CT955,IF(CU955=1,CT955/30,IF(CU955=2,CT955/15,IF(CU955=3,CT955/7,"")))))</f>
        <v/>
      </c>
      <c r="CW955" s="125" t="n">
        <v>164.47</v>
      </c>
      <c r="CX955" s="0" t="n">
        <v>0</v>
      </c>
      <c r="CY955" s="0" t="n">
        <f aca="false">IF(CW955="","",IF(CX955=0,CW955,IF(CX955=1,CW955/30,IF(CX955=2,CW955/15,IF(CX955=3,CW955/7,CW955)))))</f>
        <v>164.47</v>
      </c>
      <c r="CZ955" s="0" t="n">
        <f aca="false">IF(DI955&gt;0,DI955,IF(CY955&gt;0,CY955,IF(CV955&gt;0,CV955,"")))</f>
        <v>164.47</v>
      </c>
      <c r="DA955" s="0" t="n">
        <f aca="false">IF(DM955=1,CZ955/8,IF(OR(DM955=2,DM955=4),CZ955/7,IF(DM955=3,CZ955/7.5,"")))</f>
        <v>20.55875</v>
      </c>
      <c r="DB955" s="0" t="s">
        <v>216</v>
      </c>
      <c r="DC955" s="0" t="s">
        <v>216</v>
      </c>
      <c r="DD955" s="0" t="s">
        <v>216</v>
      </c>
      <c r="DE955" s="0" t="s">
        <v>216</v>
      </c>
      <c r="DF955" s="0" t="s">
        <v>216</v>
      </c>
      <c r="DG955" s="0" t="s">
        <v>216</v>
      </c>
      <c r="DH955" s="0" t="n">
        <v>0</v>
      </c>
      <c r="DI955" s="126" t="n">
        <v>164.47</v>
      </c>
      <c r="DK955" s="0" t="n">
        <v>0</v>
      </c>
      <c r="DM955" s="0" t="n">
        <v>1</v>
      </c>
      <c r="DN955" s="0" t="n">
        <v>54</v>
      </c>
      <c r="DO955" s="0" t="n">
        <v>3</v>
      </c>
      <c r="DP955" s="0" t="n">
        <v>0</v>
      </c>
      <c r="DQ955" s="0" t="n">
        <v>1</v>
      </c>
      <c r="DR955" s="0" t="n">
        <v>15000</v>
      </c>
      <c r="DS955" s="0" t="n">
        <v>0</v>
      </c>
      <c r="DU955" s="0" t="n">
        <v>1</v>
      </c>
      <c r="DV955" s="0" t="n">
        <v>5920</v>
      </c>
      <c r="DW955" s="1" t="n">
        <v>40403</v>
      </c>
      <c r="DX955" s="1" t="n">
        <v>40634</v>
      </c>
      <c r="DY955" s="0" t="n">
        <v>10</v>
      </c>
      <c r="DZ955" s="0" t="n">
        <v>2055.87</v>
      </c>
      <c r="EA955" s="0" t="n">
        <v>1</v>
      </c>
      <c r="EC955" s="1" t="n">
        <v>40544</v>
      </c>
      <c r="ED955" s="1" t="n">
        <v>40634</v>
      </c>
      <c r="EF955" s="0" t="n">
        <v>1666.66</v>
      </c>
      <c r="EG955" s="0" t="n">
        <v>0</v>
      </c>
      <c r="EI955" s="0" t="n">
        <f aca="false">IF(AND(DM955=1,DN955&lt;=48),"",IF(AND(DM955=2,DN955&lt;=42),"",IF(AND(DM955=3,DN955&lt;=45),"",EH955)))</f>
        <v>0</v>
      </c>
      <c r="EJ955" s="0" t="str">
        <f aca="false">IF(EI955="","",IF(EI955&lt;9,EI955,9))</f>
        <v/>
      </c>
      <c r="EK955" s="0" t="str">
        <f aca="false">IF(EI955="","",IF(EI955&gt;9,EI955-EJ955,0))</f>
        <v/>
      </c>
      <c r="EL955" s="0" t="str">
        <f aca="false">IF(EI955="","",EJ955*DA955*2+EK955*DA955*3)</f>
        <v/>
      </c>
      <c r="EP955" s="0" t="n">
        <v>0</v>
      </c>
      <c r="EQ955" s="0" t="n">
        <v>9868.2</v>
      </c>
      <c r="ER955" s="0" t="n">
        <v>0</v>
      </c>
      <c r="ET955" s="0" t="n">
        <v>0</v>
      </c>
      <c r="EV955" s="0" t="n">
        <v>0</v>
      </c>
      <c r="EX955" s="0" t="n">
        <v>0</v>
      </c>
      <c r="EY955" s="0" t="n">
        <v>0</v>
      </c>
      <c r="FA955" s="4" t="n">
        <v>2500</v>
      </c>
      <c r="FB955" s="0" t="n">
        <v>0</v>
      </c>
      <c r="FC955" s="1" t="n">
        <v>41045</v>
      </c>
      <c r="FD955" s="0" t="n">
        <v>1</v>
      </c>
      <c r="FE955" s="0" t="n">
        <v>15000</v>
      </c>
      <c r="FF955" s="120" t="n">
        <f aca="false">(CJ955-CI955+1)/365</f>
        <v>3.63835616438356</v>
      </c>
      <c r="FG955" s="0" t="str">
        <f aca="false">CONCATENATE(F955,"/",G955)</f>
        <v>913/2011</v>
      </c>
      <c r="FH955" s="0" t="n">
        <v>1</v>
      </c>
      <c r="FI955" s="0" t="n">
        <f aca="false">IFERROR(IF((FC955-J955+1)/365&gt;3,0,1),"")</f>
        <v>1</v>
      </c>
    </row>
  </sheetData>
  <autoFilter ref="A4:FI4"/>
  <mergeCells count="8">
    <mergeCell ref="AF3:AK3"/>
    <mergeCell ref="AL3:AQ3"/>
    <mergeCell ref="AR3:AW3"/>
    <mergeCell ref="AX3:BC3"/>
    <mergeCell ref="BD3:BI3"/>
    <mergeCell ref="BJ3:BO3"/>
    <mergeCell ref="BR3:BU3"/>
    <mergeCell ref="BV3:BY3"/>
  </mergeCells>
  <dataValidations count="7">
    <dataValidation allowBlank="true" operator="between" prompt="Fecha final para aguinaldo&#10;" promptTitle="Fecha Inicial " showDropDown="false" showErrorMessage="true" showInputMessage="true" sqref="ED4" type="none">
      <formula1>0</formula1>
      <formula2>0</formula2>
    </dataValidation>
    <dataValidation allowBlank="true" operator="between" prompt="Fecha inicial para aguinaldo&#10;" promptTitle="Fecha Inicial" showDropDown="false" showErrorMessage="true" showInputMessage="true" sqref="EC4" type="none">
      <formula1>0</formula1>
      <formula2>0</formula2>
    </dataValidation>
    <dataValidation allowBlank="true" operator="between" prompt="Fecha final para vacaciones&#10;" promptTitle="Fecha Final Vac" showDropDown="false" showErrorMessage="true" showInputMessage="true" sqref="DX4" type="none">
      <formula1>0</formula1>
      <formula2>0</formula2>
    </dataValidation>
    <dataValidation allowBlank="true" operator="between" prompt="Fecha inicial para vacaciones. &#10;" promptTitle="Fecha Inicial Vac" showDropDown="false" showErrorMessage="true" showInputMessage="true" sqref="DW4" type="none">
      <formula1>0</formula1>
      <formula2>0</formula2>
    </dataValidation>
    <dataValidation allowBlank="true" operator="between" prompt="Texto" promptTitle="Tipo de prevención" showDropDown="false" showErrorMessage="true" showInputMessage="true" sqref="L4" type="none">
      <formula1>0</formula1>
      <formula2>0</formula2>
    </dataValidation>
    <dataValidation allowBlank="true" operator="between" prompt="1=Previene la Junta para que el actor aclare demanda, &#10;0= No previene" promptTitle="Prevención" showDropDown="false" showErrorMessage="true" showInputMessage="true" sqref="K4" type="none">
      <formula1>0</formula1>
      <formula2>0</formula2>
    </dataValidation>
    <dataValidation allowBlank="true" operator="between" prompt="Fecha de la demanda que está en la portada. " promptTitle="Fecha demanda" showDropDown="false" showErrorMessage="true" showInputMessage="true" sqref="J4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102</TotalTime>
  <Application>LibreOffice/4.4.2.2$Linux_X86_64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2015-11-04T23:07:22Z</dcterms:created>
  <dc:creator>DianaRoman</dc:creator>
  <dc:language>en-US</dc:language>
  <cp:lastModifiedBy>Andrea Conde</cp:lastModifiedBy>
  <dcterms:modified xsi:type="dcterms:W3CDTF">2016-02-15T19:09:13Z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