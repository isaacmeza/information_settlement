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LC\Pilot 1\information_sett\ReplicationFinal\Tables\"/>
    </mc:Choice>
  </mc:AlternateContent>
  <xr:revisionPtr revIDLastSave="0" documentId="13_ncr:1_{1A9DE385-B154-4F64-8EFA-14657F8E24F3}" xr6:coauthVersionLast="46" xr6:coauthVersionMax="46" xr10:uidLastSave="{00000000-0000-0000-0000-000000000000}"/>
  <bookViews>
    <workbookView xWindow="-19310" yWindow="-40" windowWidth="19420" windowHeight="10560" activeTab="2"/>
  </bookViews>
  <sheets>
    <sheet name="Actor" sheetId="1" r:id="rId1"/>
    <sheet name="Lawyers" sheetId="2" r:id="rId2"/>
    <sheet name="surveyS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<sst xmlns="http://schemas.openxmlformats.org/spreadsheetml/2006/main" count="85" uniqueCount="76">
  <si>
    <t>Panel A: worker characteristics</t>
  </si>
  <si>
    <t>N</t>
  </si>
  <si>
    <t>Panel B: lawyer characteristics</t>
  </si>
  <si>
    <t>Worker's lawyer</t>
  </si>
  <si>
    <t>Employer's lawyer</t>
  </si>
  <si>
    <t>Mean</t>
  </si>
  <si>
    <t>(SD)</t>
  </si>
  <si>
    <t>The company mistreats its employees</t>
  </si>
  <si>
    <t>Is very angry with company</t>
  </si>
  <si>
    <t>Repeated player</t>
  </si>
  <si>
    <t>Currently employed</t>
  </si>
  <si>
    <t>Looking for a job</t>
  </si>
  <si>
    <t>Probability of finding a job in next 3 months</t>
  </si>
  <si>
    <t>Percentage paid to lawyer</t>
  </si>
  <si>
    <t>NA</t>
  </si>
  <si>
    <t>Age</t>
  </si>
  <si>
    <t>Tenure</t>
  </si>
  <si>
    <t>More than 100 historical cases</t>
  </si>
  <si>
    <t>More than 30 current lawsuits</t>
  </si>
  <si>
    <t>Less than 50 employees</t>
  </si>
  <si>
    <t>Expected probability winning the trial by the other party</t>
  </si>
  <si>
    <t>Expected probability of winning trial</t>
  </si>
  <si>
    <t>Median expected recovery amount (Pesos)</t>
  </si>
  <si>
    <t>NA</t>
  </si>
  <si>
    <t>Expected duration (years)</t>
  </si>
  <si>
    <t>Age</t>
  </si>
  <si>
    <t>Less than 50 employees</t>
  </si>
  <si>
    <t>Percentage paid to lawyer</t>
  </si>
  <si>
    <t>Expected probability winning the trial by the other party</t>
  </si>
  <si>
    <t>More than secondary education</t>
  </si>
  <si>
    <t>Has changed lawyer during trial</t>
  </si>
  <si>
    <t>Expected probability of winning trial</t>
  </si>
  <si>
    <t>Median expected recovery amount (Pesos)</t>
  </si>
  <si>
    <t>NA</t>
  </si>
  <si>
    <t>Expected duration (years)</t>
  </si>
  <si>
    <t>Was treated poorly/very poorly by former employer</t>
  </si>
  <si>
    <t>NA</t>
  </si>
  <si>
    <t>Age</t>
  </si>
  <si>
    <t>Less than 50 employees</t>
  </si>
  <si>
    <t>Percentage paid to lawyer</t>
  </si>
  <si>
    <t>Expected probability winning the trial by the other party</t>
  </si>
  <si>
    <t>More than secondary education</t>
  </si>
  <si>
    <t>Has changed lawyer during trial</t>
  </si>
  <si>
    <t>Expected probability of winning trial</t>
  </si>
  <si>
    <t>Median expected recovery amount (Pesos)</t>
  </si>
  <si>
    <t>NA</t>
  </si>
  <si>
    <t>Expected duration (years)</t>
  </si>
  <si>
    <t>Was treated poorly/very poorly by former employer</t>
  </si>
  <si>
    <t>NA</t>
  </si>
  <si>
    <t>The company mistreats its employees</t>
  </si>
  <si>
    <t>Is very angry with company</t>
  </si>
  <si>
    <t>Repeated player</t>
  </si>
  <si>
    <t>Currently employed</t>
  </si>
  <si>
    <t>Looking for a job</t>
  </si>
  <si>
    <t>Probability of finding a job in next 3 months</t>
  </si>
  <si>
    <t>Age</t>
  </si>
  <si>
    <t>Tenure</t>
  </si>
  <si>
    <t>More than 100 historical cases</t>
  </si>
  <si>
    <t>More than 30 current lawsuits</t>
  </si>
  <si>
    <t>Less than 50 employees</t>
  </si>
  <si>
    <t>Percentage paid to lawyer</t>
  </si>
  <si>
    <t>Expected probability winning the trial by the other party</t>
  </si>
  <si>
    <t>Expected probability of winning trial</t>
  </si>
  <si>
    <t>Median expected recovery amount (Pesos)</t>
  </si>
  <si>
    <t>NA</t>
  </si>
  <si>
    <t>Expected duration (years)</t>
  </si>
  <si>
    <t>Age</t>
  </si>
  <si>
    <t>Tenure</t>
  </si>
  <si>
    <t>More than 100 historical cases</t>
  </si>
  <si>
    <t>More than 30 current lawsuits</t>
  </si>
  <si>
    <t>Less than 50 employees</t>
  </si>
  <si>
    <t>Expected probability winning the trial by the other party</t>
  </si>
  <si>
    <t>Expected probability of winning trial</t>
  </si>
  <si>
    <t>Median expected recovery amount (Pesos)</t>
  </si>
  <si>
    <t>NA</t>
  </si>
  <si>
    <t>Expected duration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</si>
</sst>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auto="true"/>
      </bottom>
      <diagonal/>
    </border>
    <border>
      <left/>
      <right/>
      <top style="medium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/>
      <diagonal/>
    </border>
    <border>
      <left/>
      <right/>
      <top/>
      <bottom style="thin">
        <color auto="true"/>
      </bottom>
      <diagonal/>
    </border>
    <border>
      <left/>
      <right/>
      <top style="double">
        <color auto="true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0" fillId="0" borderId="0" xfId="0" applyAlignment="true">
      <alignment horizontal="center"/>
    </xf>
    <xf numFmtId="0" fontId="1" fillId="0" borderId="0" xfId="0" applyFont="true" applyAlignment="true">
      <alignment horizontal="center"/>
    </xf>
    <xf numFmtId="0" fontId="1" fillId="0" borderId="0" xfId="0" applyFont="true" applyBorder="true"/>
    <xf numFmtId="0" fontId="0" fillId="0" borderId="0" xfId="0" applyBorder="true" applyAlignment="true">
      <alignment horizontal="center"/>
    </xf>
    <xf numFmtId="0" fontId="0" fillId="0" borderId="1" xfId="0" applyBorder="true"/>
    <xf numFmtId="0" fontId="1" fillId="0" borderId="5" xfId="0" applyFont="true" applyBorder="true" applyAlignment="true">
      <alignment horizontal="center"/>
    </xf>
    <xf numFmtId="0" fontId="2" fillId="0" borderId="0" xfId="0" applyFont="true" applyBorder="true" applyAlignment="true">
      <alignment horizontal="center"/>
    </xf>
    <xf numFmtId="0" fontId="1" fillId="0" borderId="0" xfId="0" applyFont="true" applyBorder="true" applyAlignment="true">
      <alignment horizontal="center"/>
    </xf>
    <xf numFmtId="0" fontId="0" fillId="0" borderId="5" xfId="0" applyBorder="true"/>
    <xf numFmtId="0" fontId="2" fillId="0" borderId="4" xfId="0" applyFont="true" applyBorder="true" applyAlignment="true">
      <alignment horizontal="center"/>
    </xf>
    <xf numFmtId="0" fontId="2" fillId="0" borderId="3" xfId="0" applyFont="true" applyBorder="true" applyAlignment="true">
      <alignment horizontal="center"/>
    </xf>
    <xf numFmtId="3" fontId="0" fillId="0" borderId="0" xfId="0" applyNumberFormat="true" applyBorder="true" applyAlignment="true">
      <alignment horizontal="center"/>
    </xf>
    <xf numFmtId="0" fontId="0" fillId="0" borderId="0" xfId="0" applyAlignment="true">
      <alignment horizontal="center"/>
    </xf>
    <xf numFmtId="0" fontId="1" fillId="0" borderId="0" xfId="0" applyFont="true" applyBorder="true" applyAlignment="true">
      <alignment horizontal="center"/>
    </xf>
    <xf numFmtId="0" fontId="1" fillId="0" borderId="5" xfId="0" applyFont="true" applyBorder="true" applyAlignment="true">
      <alignment horizontal="center"/>
    </xf>
    <xf numFmtId="0" fontId="0" fillId="0" borderId="0" xfId="0"/>
    <xf numFmtId="0" fontId="0" fillId="0" borderId="0" xfId="0" applyAlignment="true"/>
    <xf numFmtId="0" fontId="0" fillId="0" borderId="1" xfId="0" applyBorder="true" applyAlignment="true">
      <alignment horizontal="center"/>
    </xf>
    <xf numFmtId="0" fontId="0" fillId="0" borderId="5" xfId="0" applyBorder="true"/>
    <xf numFmtId="0" fontId="0" fillId="0" borderId="1" xfId="0" applyBorder="true"/>
    <xf numFmtId="0" fontId="0" fillId="0" borderId="0" xfId="0" applyBorder="true"/>
    <xf numFmtId="0" fontId="2" fillId="0" borderId="2" xfId="0" applyFont="true" applyBorder="true" applyAlignment="true">
      <alignment horizontal="center"/>
    </xf>
    <xf numFmtId="0" fontId="0" fillId="0" borderId="4" xfId="0" applyBorder="true"/>
    <xf numFmtId="0" fontId="1" fillId="0" borderId="4" xfId="0" applyFont="true" applyBorder="true" applyAlignment="true">
      <alignment horizontal="center"/>
    </xf>
    <xf numFmtId="0" fontId="2" fillId="0" borderId="6" xfId="0" applyFont="true" applyBorder="true" applyAlignment="true">
      <alignment horizontal="center"/>
    </xf>
    <xf numFmtId="0" fontId="1" fillId="0" borderId="3" xfId="0" applyFont="true" applyBorder="true" applyAlignment="true">
      <alignment horizontal="center"/>
    </xf>
    <xf numFmtId="3" fontId="0" fillId="0" borderId="0" xfId="0" applyNumberFormat="true" applyAlignment="true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53"/>
  <sheetViews>
    <sheetView workbookViewId="0">
      <selection activeCell="C1" sqref="C1"/>
    </sheetView>
  </sheetViews>
  <sheetFormatPr baseColWidth="10" defaultColWidth="8.90625" defaultRowHeight="14.5"/>
  <sheetData>
    <row r="5">
      <c r="A5" t="s">
        <v>37</v>
      </c>
      <c r="B5">
        <v>44.370427112953337</v>
      </c>
    </row>
    <row r="6">
      <c r="B6">
        <v>13.179850917851692</v>
      </c>
    </row>
    <row r="7">
      <c r="B7">
        <v>102</v>
      </c>
    </row>
    <row r="8">
      <c r="A8" t="s">
        <v>38</v>
      </c>
      <c r="B8">
        <v>0.59375</v>
      </c>
    </row>
    <row r="9">
      <c r="B9">
        <v>0.49371044145328746</v>
      </c>
    </row>
    <row r="10">
      <c r="B10">
        <v>96</v>
      </c>
    </row>
    <row r="11">
      <c r="A11" t="s">
        <v>39</v>
      </c>
      <c r="B11">
        <v>28.298245614035089</v>
      </c>
    </row>
    <row r="12">
      <c r="B12">
        <v>11.112999004191799</v>
      </c>
    </row>
    <row r="13">
      <c r="B13">
        <v>57</v>
      </c>
    </row>
    <row r="14">
      <c r="A14" t="s">
        <v>40</v>
      </c>
      <c r="B14">
        <v>48.676470588235297</v>
      </c>
    </row>
    <row r="15">
      <c r="B15">
        <v>34.05678477778131</v>
      </c>
    </row>
    <row r="16">
      <c r="B16">
        <v>102</v>
      </c>
    </row>
    <row r="17">
      <c r="A17" t="s">
        <v>41</v>
      </c>
      <c r="B17">
        <v>0.42156862745098039</v>
      </c>
    </row>
    <row r="18">
      <c r="B18">
        <v>0.49624879000384037</v>
      </c>
    </row>
    <row r="19">
      <c r="B19">
        <v>102</v>
      </c>
    </row>
    <row r="20">
      <c r="A20" t="s">
        <v>42</v>
      </c>
      <c r="B20">
        <v>0.088235294117647065</v>
      </c>
    </row>
    <row r="21">
      <c r="B21">
        <v>0.28503747109829375</v>
      </c>
    </row>
    <row r="22">
      <c r="B22">
        <v>102</v>
      </c>
    </row>
    <row r="23">
      <c r="A23" t="s">
        <v>43</v>
      </c>
      <c r="B23">
        <v>79</v>
      </c>
    </row>
    <row r="24">
      <c r="B24">
        <v>21.299374787458753</v>
      </c>
    </row>
    <row r="25">
      <c r="B25">
        <v>102</v>
      </c>
    </row>
    <row r="26">
      <c r="A26" t="s">
        <v>44</v>
      </c>
      <c r="B26">
        <v>21000</v>
      </c>
    </row>
    <row r="27">
      <c r="B27" t="s">
        <v>45</v>
      </c>
    </row>
    <row r="28">
      <c r="B28">
        <v>102</v>
      </c>
    </row>
    <row r="29">
      <c r="A29" t="s">
        <v>46</v>
      </c>
      <c r="B29">
        <v>3.6446078387545606</v>
      </c>
    </row>
    <row r="30">
      <c r="B30">
        <v>9.7569326450382814</v>
      </c>
    </row>
    <row r="31">
      <c r="B31">
        <v>102</v>
      </c>
    </row>
    <row r="32">
      <c r="A32" t="s">
        <v>47</v>
      </c>
      <c r="B32">
        <v>0.5490196078431373</v>
      </c>
    </row>
    <row r="33">
      <c r="B33" t="s">
        <v>48</v>
      </c>
    </row>
    <row r="34">
      <c r="B34">
        <v>102</v>
      </c>
    </row>
    <row r="35">
      <c r="A35" t="s">
        <v>49</v>
      </c>
    </row>
    <row r="36">
      <c r="B36">
        <v>0.77450980392156865</v>
      </c>
    </row>
    <row r="37">
      <c r="B37">
        <v>0.41996847465602899</v>
      </c>
    </row>
    <row r="38">
      <c r="B38">
        <v>102</v>
      </c>
    </row>
    <row r="39">
      <c r="A39" t="s">
        <v>50</v>
      </c>
      <c r="B39">
        <v>0.46078431372549017</v>
      </c>
    </row>
    <row r="40">
      <c r="B40">
        <v>0.50092130224081433</v>
      </c>
    </row>
    <row r="41">
      <c r="B41">
        <v>102</v>
      </c>
    </row>
    <row r="42">
      <c r="A42" t="s">
        <v>51</v>
      </c>
      <c r="B42">
        <v>0.17647058823529413</v>
      </c>
    </row>
    <row r="43">
      <c r="B43">
        <v>0.38310262063612199</v>
      </c>
      <c r="F43" s="1"/>
    </row>
    <row r="44">
      <c r="B44">
        <v>102</v>
      </c>
    </row>
    <row r="45">
      <c r="A45" t="s">
        <v>52</v>
      </c>
      <c r="B45">
        <v>0.49019607843137253</v>
      </c>
    </row>
    <row r="46">
      <c r="B46">
        <v>0.50237255000086334</v>
      </c>
    </row>
    <row r="47">
      <c r="B47">
        <v>102</v>
      </c>
    </row>
    <row r="48">
      <c r="A48" t="s">
        <v>53</v>
      </c>
      <c r="B48">
        <v>0.45098039215686275</v>
      </c>
    </row>
    <row r="49">
      <c r="B49">
        <v>0.500048531909845</v>
      </c>
    </row>
    <row r="50">
      <c r="B50">
        <v>102</v>
      </c>
    </row>
    <row r="51">
      <c r="A51" t="s">
        <v>54</v>
      </c>
      <c r="B51">
        <v>58.065217391304351</v>
      </c>
    </row>
    <row r="52">
      <c r="B52">
        <v>27.381585193875623</v>
      </c>
    </row>
    <row r="53">
      <c r="B53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C34"/>
  <sheetViews>
    <sheetView workbookViewId="0">
      <selection activeCell="A32" sqref="A32"/>
    </sheetView>
  </sheetViews>
  <sheetFormatPr baseColWidth="10" defaultColWidth="8.90625" defaultRowHeight="14.5"/>
  <sheetData>
    <row r="5">
      <c r="A5" t="s">
        <v>66</v>
      </c>
      <c r="B5">
        <v>37.785411735633751</v>
      </c>
      <c r="C5">
        <v>36.558400320899864</v>
      </c>
    </row>
    <row r="6">
      <c r="B6">
        <v>12.433876070170466</v>
      </c>
      <c r="C6">
        <v>10.971427381761053</v>
      </c>
    </row>
    <row r="7">
      <c r="B7">
        <v>231</v>
      </c>
      <c r="C7">
        <v>223</v>
      </c>
    </row>
    <row r="8">
      <c r="A8" t="s">
        <v>67</v>
      </c>
      <c r="B8">
        <v>9.2541436464088402</v>
      </c>
      <c r="C8">
        <v>18.652849740932641</v>
      </c>
    </row>
    <row r="9">
      <c r="B9">
        <v>8.8807874376422511</v>
      </c>
      <c r="C9">
        <v>143.32443784653117</v>
      </c>
    </row>
    <row r="10">
      <c r="B10">
        <v>181</v>
      </c>
      <c r="C10">
        <v>193</v>
      </c>
    </row>
    <row r="11">
      <c r="A11" t="s">
        <v>68</v>
      </c>
      <c r="B11">
        <v>0.4935064935064935</v>
      </c>
      <c r="C11">
        <v>0.60538116591928248</v>
      </c>
    </row>
    <row r="12">
      <c r="B12">
        <v>0.50104351863520469</v>
      </c>
      <c r="C12">
        <v>0.48986826047076426</v>
      </c>
    </row>
    <row r="13">
      <c r="B13">
        <v>231</v>
      </c>
      <c r="C13">
        <v>223</v>
      </c>
    </row>
    <row r="14">
      <c r="A14" t="s">
        <v>69</v>
      </c>
      <c r="B14">
        <v>0.59740259740259738</v>
      </c>
      <c r="C14">
        <v>0.67713004484304928</v>
      </c>
    </row>
    <row r="15">
      <c r="B15">
        <v>0.49148595255453797</v>
      </c>
      <c r="C15">
        <v>0.46862537732545106</v>
      </c>
    </row>
    <row r="16">
      <c r="B16">
        <v>231</v>
      </c>
      <c r="C16">
        <v>223</v>
      </c>
    </row>
    <row r="17">
      <c r="A17" t="s">
        <v>70</v>
      </c>
      <c r="B17">
        <v>0.65317919075144504</v>
      </c>
      <c r="C17">
        <v>0.45695364238410596</v>
      </c>
    </row>
    <row r="18">
      <c r="B18">
        <v>0.47733971768132338</v>
      </c>
      <c r="C18">
        <v>0.49980128501566629</v>
      </c>
    </row>
    <row r="19">
      <c r="B19">
        <v>173</v>
      </c>
      <c r="C19">
        <v>151</v>
      </c>
    </row>
    <row r="20">
      <c r="A20" t="s">
        <v>60</v>
      </c>
      <c r="B20">
        <v>29.686046511627907</v>
      </c>
    </row>
    <row r="21">
      <c r="B21">
        <v>7.7870211826094842</v>
      </c>
    </row>
    <row r="22">
      <c r="B22">
        <v>172</v>
      </c>
    </row>
    <row r="23">
      <c r="A23" t="s">
        <v>71</v>
      </c>
      <c r="B23">
        <v>52.00865800865801</v>
      </c>
      <c r="C23">
        <v>54.950672645739907</v>
      </c>
    </row>
    <row r="24">
      <c r="B24">
        <v>24.666821818507785</v>
      </c>
      <c r="C24">
        <v>27.963977584354886</v>
      </c>
    </row>
    <row r="25">
      <c r="B25">
        <v>231</v>
      </c>
      <c r="C25">
        <v>223</v>
      </c>
    </row>
    <row r="26">
      <c r="A26" t="s">
        <v>72</v>
      </c>
      <c r="B26">
        <v>72.194805194805198</v>
      </c>
      <c r="C26">
        <v>70.479820627802695</v>
      </c>
    </row>
    <row r="27">
      <c r="B27">
        <v>20.140833902497008</v>
      </c>
      <c r="C27">
        <v>21.528282172551855</v>
      </c>
    </row>
    <row r="28">
      <c r="B28">
        <v>231</v>
      </c>
      <c r="C28">
        <v>223</v>
      </c>
    </row>
    <row r="29">
      <c r="A29" t="s">
        <v>73</v>
      </c>
      <c r="B29">
        <v>35000</v>
      </c>
      <c r="C29">
        <v>11000</v>
      </c>
    </row>
    <row r="30">
      <c r="B30" t="s">
        <v>64</v>
      </c>
      <c r="C30" t="s">
        <v>74</v>
      </c>
    </row>
    <row r="31">
      <c r="B31">
        <v>231</v>
      </c>
      <c r="C31">
        <v>223</v>
      </c>
    </row>
    <row r="32">
      <c r="A32" t="s">
        <v>75</v>
      </c>
      <c r="B32">
        <v>3.941558446719017</v>
      </c>
      <c r="C32">
        <v>4.1748878933121807</v>
      </c>
    </row>
    <row r="33">
      <c r="B33">
        <v>2.3023983962500219</v>
      </c>
      <c r="C33">
        <v>2.5440798022371429</v>
      </c>
    </row>
    <row r="34">
      <c r="B34">
        <v>231</v>
      </c>
      <c r="C34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55"/>
  <sheetViews>
    <sheetView tabSelected="true" topLeftCell="A52" workbookViewId="0">
      <selection activeCell="B3" sqref="B3:G54"/>
    </sheetView>
  </sheetViews>
  <sheetFormatPr baseColWidth="10" defaultRowHeight="14.5"/>
  <sheetData>
    <row r="2" ht="15" thickBot="true"/>
    <row r="3">
      <c r="B3" s="23" t="s">
        <v>0</v>
      </c>
      <c r="C3" s="23"/>
      <c r="D3" s="23"/>
      <c r="E3" s="23"/>
      <c r="F3" s="23"/>
      <c r="G3" s="23"/>
    </row>
    <row r="4">
      <c r="D4" s="3" t="s">
        <v>5</v>
      </c>
      <c r="E4" s="2"/>
      <c r="F4" s="2"/>
      <c r="G4" s="3" t="s">
        <v>5</v>
      </c>
    </row>
    <row r="5">
      <c r="B5" s="8"/>
      <c r="C5" s="8"/>
      <c r="D5" s="9" t="s">
        <v>6</v>
      </c>
      <c r="E5" s="8"/>
      <c r="F5" s="8"/>
      <c r="G5" s="9" t="s">
        <v>6</v>
      </c>
    </row>
    <row r="6">
      <c r="B6" s="10"/>
      <c r="C6" s="10"/>
      <c r="D6" s="7" t="s">
        <v>1</v>
      </c>
      <c r="E6" s="7"/>
      <c r="F6" s="7"/>
      <c r="G6" s="7" t="s">
        <v>1</v>
      </c>
      <c r="H6" s="1"/>
    </row>
    <row r="7">
      <c r="B7" s="24" t="str">
        <f>Actor!A5</f>
        <v>Age</v>
      </c>
      <c r="C7" s="24"/>
      <c r="D7" s="5">
        <f>ROUND(Actor!B5,2)</f>
        <v>44.37</v>
      </c>
      <c r="E7" s="24" t="str">
        <f>Actor!A20</f>
        <v>Has changed lawyer during trial</v>
      </c>
      <c r="F7" s="24"/>
      <c r="G7" s="5">
        <f>ROUND(Actor!B20,2)</f>
        <v>0.09</v>
      </c>
    </row>
    <row r="8">
      <c r="B8" s="22"/>
      <c r="C8" s="22"/>
      <c r="D8" s="5" t="str">
        <f>_xlfn.CONCAT("(",ROUND(Actor!B6,2),")")</f>
        <v>(13.18)</v>
      </c>
      <c r="E8" s="22"/>
      <c r="F8" s="22"/>
      <c r="G8" s="5" t="str">
        <f>_xlfn.CONCAT("(",ROUND(Actor!B21,2),")")</f>
        <v>(0.29)</v>
      </c>
    </row>
    <row r="9">
      <c r="B9" s="22"/>
      <c r="C9" s="22"/>
      <c r="D9" s="5">
        <f>ROUND(Actor!B7,2)</f>
        <v>102</v>
      </c>
      <c r="E9" s="22"/>
      <c r="F9" s="22"/>
      <c r="G9" s="5">
        <f>Actor!B22</f>
        <v>102</v>
      </c>
    </row>
    <row r="10">
      <c r="B10" s="22" t="str">
        <f>Actor!A8</f>
        <v>Less than 50 employees</v>
      </c>
      <c r="C10" s="22"/>
      <c r="D10" s="5">
        <f>ROUND(Actor!B8,2)</f>
        <v>0.59</v>
      </c>
      <c r="E10" s="22" t="str">
        <f>Actor!A23</f>
        <v>Expected probability of winning trial</v>
      </c>
      <c r="F10" s="22"/>
      <c r="G10" s="5">
        <f>Actor!B23</f>
        <v>79</v>
      </c>
    </row>
    <row r="11">
      <c r="B11" s="22"/>
      <c r="C11" s="22"/>
      <c r="D11" s="5" t="str">
        <f>_xlfn.CONCAT("(",ROUND(Actor!B9,2),")")</f>
        <v>(0.49)</v>
      </c>
      <c r="E11" s="22"/>
      <c r="F11" s="22"/>
      <c r="G11" s="5" t="str">
        <f>_xlfn.CONCAT("(",ROUND(Actor!B24,2),")")</f>
        <v>(21.3)</v>
      </c>
    </row>
    <row r="12">
      <c r="B12" s="22"/>
      <c r="C12" s="22"/>
      <c r="D12" s="5">
        <f>ROUND(Actor!B10,2)</f>
        <v>96</v>
      </c>
      <c r="E12" s="22"/>
      <c r="F12" s="22"/>
      <c r="G12" s="5">
        <f>Actor!B25</f>
        <v>102</v>
      </c>
    </row>
    <row r="13">
      <c r="B13" s="22" t="str">
        <f>Actor!A11</f>
        <v>Percentage paid to lawyer</v>
      </c>
      <c r="C13" s="22"/>
      <c r="D13" s="5">
        <f>ROUND(Actor!B11,2)</f>
        <v>28.3</v>
      </c>
      <c r="E13" s="22" t="str">
        <f>Actor!A26</f>
        <v>Median expected recovery amount (Pesos)</v>
      </c>
      <c r="F13" s="22"/>
      <c r="G13" s="13">
        <f>ROUND(Actor!B26,2)</f>
        <v>21000</v>
      </c>
    </row>
    <row r="14">
      <c r="B14" s="22"/>
      <c r="C14" s="22"/>
      <c r="D14" s="5" t="str">
        <f>_xlfn.CONCAT("(",ROUND(Actor!B12,2),")")</f>
        <v>(11.11)</v>
      </c>
      <c r="E14" s="22"/>
      <c r="F14" s="22"/>
      <c r="G14" s="5" t="str">
        <f>Actor!B27</f>
        <v>NA</v>
      </c>
    </row>
    <row r="15">
      <c r="B15" s="22"/>
      <c r="C15" s="22"/>
      <c r="D15" s="5">
        <f>Actor!B13</f>
        <v>57</v>
      </c>
      <c r="E15" s="22"/>
      <c r="F15" s="22"/>
      <c r="G15" s="5">
        <f>Actor!B28</f>
        <v>102</v>
      </c>
    </row>
    <row r="16">
      <c r="B16" s="22" t="str">
        <f>Actor!A14</f>
        <v>Expected probability winning the trial by the other party</v>
      </c>
      <c r="C16" s="22"/>
      <c r="D16" s="5">
        <f>ROUND(Actor!B14,2)</f>
        <v>48.68</v>
      </c>
      <c r="E16" s="22" t="str">
        <f>Actor!A29</f>
        <v>Expected duration (years)</v>
      </c>
      <c r="F16" s="22"/>
      <c r="G16" s="5">
        <f>ROUND(Actor!B29,2)</f>
        <v>3.64</v>
      </c>
    </row>
    <row r="17">
      <c r="B17" s="22"/>
      <c r="C17" s="22"/>
      <c r="D17" s="5" t="str">
        <f>_xlfn.CONCAT("(",ROUND(Actor!B15,2),")")</f>
        <v>(34.06)</v>
      </c>
      <c r="E17" s="22"/>
      <c r="F17" s="22"/>
      <c r="G17" s="5" t="str">
        <f>_xlfn.CONCAT("(",ROUND(Actor!B30,2),")")</f>
        <v>(9.76)</v>
      </c>
    </row>
    <row r="18">
      <c r="B18" s="22"/>
      <c r="C18" s="22"/>
      <c r="D18" s="5">
        <f>Actor!B16</f>
        <v>102</v>
      </c>
      <c r="E18" s="22"/>
      <c r="F18" s="22"/>
      <c r="G18" s="5">
        <f>Actor!B31</f>
        <v>102</v>
      </c>
    </row>
    <row r="19">
      <c r="B19" s="22" t="str">
        <f>Actor!A17</f>
        <v>More than secondary education</v>
      </c>
      <c r="C19" s="22"/>
      <c r="D19" s="5">
        <f>ROUND(Actor!B17,2)</f>
        <v>0.42</v>
      </c>
      <c r="E19" s="22" t="str">
        <f>Actor!A32</f>
        <v>Was treated poorly/very poorly by former employer</v>
      </c>
      <c r="F19" s="22"/>
      <c r="G19" s="5">
        <f>ROUND(Actor!B32,2)</f>
        <v>0.55000000000000004</v>
      </c>
    </row>
    <row r="20">
      <c r="B20" s="22"/>
      <c r="C20" s="22"/>
      <c r="D20" s="5" t="str">
        <f>_xlfn.CONCAT("(",ROUND(Actor!B18,2),")")</f>
        <v>(0.5)</v>
      </c>
      <c r="E20" s="22"/>
      <c r="F20" s="22"/>
      <c r="G20" s="5" t="str">
        <f>Actor!B33</f>
        <v>NA</v>
      </c>
    </row>
    <row r="21">
      <c r="B21" s="22"/>
      <c r="C21" s="22"/>
      <c r="D21" s="5">
        <f>Actor!B19</f>
        <v>102</v>
      </c>
      <c r="E21" s="22"/>
      <c r="F21" s="22"/>
      <c r="G21" s="5">
        <f>Actor!B34</f>
        <v>102</v>
      </c>
    </row>
    <row r="22" ht="15" thickBot="true">
      <c r="B22" s="21"/>
      <c r="C22" s="21"/>
      <c r="D22" s="6"/>
      <c r="E22" s="21"/>
      <c r="F22" s="21"/>
      <c r="G22" s="6"/>
    </row>
    <row r="23" ht="15" thickTop="true">
      <c r="B23" s="26" t="s">
        <v>2</v>
      </c>
      <c r="C23" s="26"/>
      <c r="D23" s="26"/>
      <c r="E23" s="26"/>
      <c r="F23" s="26"/>
      <c r="G23" s="26"/>
    </row>
    <row r="24">
      <c r="B24" s="12"/>
      <c r="C24" s="12"/>
      <c r="D24" s="27" t="s">
        <v>3</v>
      </c>
      <c r="E24" s="27"/>
      <c r="F24" s="27" t="s">
        <v>4</v>
      </c>
      <c r="G24" s="27"/>
    </row>
    <row r="25">
      <c r="B25" s="11"/>
      <c r="C25" s="11"/>
      <c r="D25" s="25" t="s">
        <v>5</v>
      </c>
      <c r="E25" s="25"/>
      <c r="F25" s="25" t="s">
        <v>5</v>
      </c>
      <c r="G25" s="25"/>
    </row>
    <row r="26" ht="43.25" customHeight="true">
      <c r="B26" s="4"/>
      <c r="C26" s="4"/>
      <c r="D26" s="15" t="s">
        <v>6</v>
      </c>
      <c r="E26" s="15"/>
      <c r="F26" s="15" t="s">
        <v>6</v>
      </c>
      <c r="G26" s="15"/>
    </row>
    <row r="27">
      <c r="B27" s="20"/>
      <c r="C27" s="20"/>
      <c r="D27" s="16" t="s">
        <v>1</v>
      </c>
      <c r="E27" s="16"/>
      <c r="F27" s="16" t="s">
        <v>1</v>
      </c>
      <c r="G27" s="16"/>
    </row>
    <row r="28">
      <c r="B28" s="18" t="str">
        <f>Lawyers!A5</f>
        <v>Age</v>
      </c>
      <c r="C28" s="18"/>
      <c r="D28" s="14">
        <f>ROUND(Lawyers!B5,2)</f>
        <v>37.79</v>
      </c>
      <c r="E28" s="14"/>
      <c r="F28" s="14">
        <f>ROUND(Lawyers!C5,2)</f>
        <v>36.56</v>
      </c>
      <c r="G28" s="14"/>
    </row>
    <row r="29">
      <c r="B29" s="17"/>
      <c r="C29" s="17"/>
      <c r="D29" s="14" t="str">
        <f>_xlfn.CONCAT("(",ROUND(Lawyers!B6,2),")")</f>
        <v>(12.43)</v>
      </c>
      <c r="E29" s="14"/>
      <c r="F29" s="14" t="str">
        <f>_xlfn.CONCAT("(",ROUND(Lawyers!C6,2),")")</f>
        <v>(10.97)</v>
      </c>
      <c r="G29" s="14"/>
    </row>
    <row r="30">
      <c r="B30" s="17"/>
      <c r="C30" s="17"/>
      <c r="D30" s="14">
        <f>ROUND(Lawyers!B7,2)</f>
        <v>231</v>
      </c>
      <c r="E30" s="14"/>
      <c r="F30" s="14">
        <f>ROUND(Lawyers!C7,2)</f>
        <v>223</v>
      </c>
      <c r="G30" s="14"/>
    </row>
    <row r="31">
      <c r="B31" s="18" t="str">
        <f>Lawyers!A8</f>
        <v>Tenure</v>
      </c>
      <c r="C31" s="18"/>
      <c r="D31" s="14">
        <f>ROUND(Lawyers!B8,2)</f>
        <v>9.25</v>
      </c>
      <c r="E31" s="14"/>
      <c r="F31" s="14">
        <f>ROUND(Lawyers!C8,2)</f>
        <v>18.649999999999999</v>
      </c>
      <c r="G31" s="14"/>
    </row>
    <row r="32">
      <c r="B32" s="17"/>
      <c r="C32" s="17"/>
      <c r="D32" s="14" t="str">
        <f>_xlfn.CONCAT("(",ROUND(Lawyers!B9,2),")")</f>
        <v>(8.88)</v>
      </c>
      <c r="E32" s="14"/>
      <c r="F32" s="14" t="str">
        <f>_xlfn.CONCAT("(",ROUND(Lawyers!C9,2),")")</f>
        <v>(143.32)</v>
      </c>
      <c r="G32" s="14"/>
    </row>
    <row r="33">
      <c r="B33" s="17"/>
      <c r="C33" s="17"/>
      <c r="D33" s="14">
        <f>ROUND(Lawyers!B10,2)</f>
        <v>181</v>
      </c>
      <c r="E33" s="14"/>
      <c r="F33" s="14">
        <f>ROUND(Lawyers!C10,2)</f>
        <v>193</v>
      </c>
      <c r="G33" s="14"/>
    </row>
    <row r="34">
      <c r="B34" s="18" t="str">
        <f>Lawyers!A11</f>
        <v>More than 100 historical cases</v>
      </c>
      <c r="C34" s="18"/>
      <c r="D34" s="14">
        <f>ROUND(Lawyers!B11,2)</f>
        <v>0.49</v>
      </c>
      <c r="E34" s="14"/>
      <c r="F34" s="14">
        <f>ROUND(Lawyers!C11,2)</f>
        <v>0.61</v>
      </c>
      <c r="G34" s="14"/>
    </row>
    <row r="35">
      <c r="B35" s="17"/>
      <c r="C35" s="17"/>
      <c r="D35" s="14" t="str">
        <f>_xlfn.CONCAT("(",ROUND(Lawyers!B12,2),")")</f>
        <v>(0.5)</v>
      </c>
      <c r="E35" s="14"/>
      <c r="F35" s="14" t="str">
        <f>_xlfn.CONCAT("(",ROUND(Lawyers!C12,2),")")</f>
        <v>(0.49)</v>
      </c>
      <c r="G35" s="14"/>
    </row>
    <row r="36">
      <c r="B36" s="17"/>
      <c r="C36" s="17"/>
      <c r="D36" s="14">
        <f>ROUND(Lawyers!B13,2)</f>
        <v>231</v>
      </c>
      <c r="E36" s="14"/>
      <c r="F36" s="14">
        <f>ROUND(Lawyers!C13,2)</f>
        <v>223</v>
      </c>
      <c r="G36" s="14"/>
    </row>
    <row r="37">
      <c r="B37" s="18" t="str">
        <f>Lawyers!A14</f>
        <v>More than 30 current lawsuits</v>
      </c>
      <c r="C37" s="18"/>
      <c r="D37" s="14">
        <f>ROUND(Lawyers!B14,2)</f>
        <v>0.6</v>
      </c>
      <c r="E37" s="14"/>
      <c r="F37" s="14">
        <f>ROUND(Lawyers!C14,2)</f>
        <v>0.68</v>
      </c>
      <c r="G37" s="14"/>
    </row>
    <row r="38">
      <c r="B38" s="17"/>
      <c r="C38" s="17"/>
      <c r="D38" s="14" t="str">
        <f>_xlfn.CONCAT("(",ROUND(Lawyers!B15,2),")")</f>
        <v>(0.49)</v>
      </c>
      <c r="E38" s="14"/>
      <c r="F38" s="14" t="str">
        <f>_xlfn.CONCAT("(",ROUND(Lawyers!C15,2),")")</f>
        <v>(0.47)</v>
      </c>
      <c r="G38" s="14"/>
    </row>
    <row r="39">
      <c r="B39" s="17"/>
      <c r="C39" s="17"/>
      <c r="D39" s="14">
        <f>Lawyers!B16</f>
        <v>231</v>
      </c>
      <c r="E39" s="14"/>
      <c r="F39" s="14">
        <f>Lawyers!C16</f>
        <v>223</v>
      </c>
      <c r="G39" s="14"/>
    </row>
    <row r="40">
      <c r="B40" s="18" t="str">
        <f>Lawyers!A17</f>
        <v>Less than 50 employees</v>
      </c>
      <c r="C40" s="18"/>
      <c r="D40" s="14">
        <f>ROUND(Lawyers!B17,2)</f>
        <v>0.65</v>
      </c>
      <c r="E40" s="14"/>
      <c r="F40" s="14">
        <f>ROUND(Lawyers!C17,2)</f>
        <v>0.46</v>
      </c>
      <c r="G40" s="14"/>
    </row>
    <row r="41">
      <c r="B41" s="17"/>
      <c r="C41" s="17"/>
      <c r="D41" s="14" t="str">
        <f>_xlfn.CONCAT("(",ROUND(Lawyers!B18,2),")")</f>
        <v>(0.48)</v>
      </c>
      <c r="E41" s="14"/>
      <c r="F41" s="14" t="str">
        <f>_xlfn.CONCAT("(",ROUND(Lawyers!C18,2),")")</f>
        <v>(0.5)</v>
      </c>
      <c r="G41" s="14"/>
    </row>
    <row r="42">
      <c r="B42" s="17"/>
      <c r="C42" s="17"/>
      <c r="D42" s="14">
        <f>Lawyers!B19</f>
        <v>173</v>
      </c>
      <c r="E42" s="14"/>
      <c r="F42" s="14">
        <f>Lawyers!C19</f>
        <v>151</v>
      </c>
      <c r="G42" s="14"/>
    </row>
    <row r="43">
      <c r="B43" s="18" t="str">
        <f>Lawyers!A20</f>
        <v>Percentage paid to lawyer</v>
      </c>
      <c r="C43" s="18"/>
      <c r="D43" s="14">
        <f>ROUND(Lawyers!B20,2)</f>
        <v>29.69</v>
      </c>
      <c r="E43" s="14"/>
      <c r="F43" s="14"/>
      <c r="G43" s="14"/>
    </row>
    <row r="44">
      <c r="B44" s="17"/>
      <c r="C44" s="17"/>
      <c r="D44" s="14" t="str">
        <f>_xlfn.CONCAT("(",ROUND(Lawyers!B21,2),")")</f>
        <v>(7.79)</v>
      </c>
      <c r="E44" s="14"/>
      <c r="F44" s="14"/>
      <c r="G44" s="14"/>
    </row>
    <row r="45">
      <c r="B45" s="17"/>
      <c r="C45" s="17"/>
      <c r="D45" s="14">
        <f>Lawyers!B22</f>
        <v>172</v>
      </c>
      <c r="E45" s="14"/>
      <c r="F45" s="14"/>
      <c r="G45" s="14"/>
    </row>
    <row r="46">
      <c r="B46" s="18" t="str">
        <f>Lawyers!A26</f>
        <v>Expected probability of winning trial</v>
      </c>
      <c r="C46" s="18"/>
      <c r="D46" s="14">
        <f>ROUND(Lawyers!B26,2)</f>
        <v>72.19</v>
      </c>
      <c r="E46" s="14"/>
      <c r="F46" s="14">
        <f>ROUND(Lawyers!C26,2)</f>
        <v>70.48</v>
      </c>
      <c r="G46" s="14"/>
    </row>
    <row r="47">
      <c r="B47" s="17"/>
      <c r="C47" s="17"/>
      <c r="D47" s="14" t="str">
        <f>_xlfn.CONCAT("(",ROUND(Lawyers!B27,2),")")</f>
        <v>(20.14)</v>
      </c>
      <c r="E47" s="14"/>
      <c r="F47" s="14" t="str">
        <f>_xlfn.CONCAT("(",ROUND(Lawyers!C27,2),")")</f>
        <v>(21.53)</v>
      </c>
      <c r="G47" s="14"/>
    </row>
    <row r="48">
      <c r="B48" s="17"/>
      <c r="C48" s="17"/>
      <c r="D48" s="14">
        <f>Lawyers!B28</f>
        <v>231</v>
      </c>
      <c r="E48" s="14"/>
      <c r="F48" s="14">
        <f>Lawyers!C28</f>
        <v>223</v>
      </c>
      <c r="G48" s="14"/>
    </row>
    <row r="49">
      <c r="B49" s="18" t="str">
        <f>Lawyers!A29</f>
        <v>Median expected recovery amount (Pesos)</v>
      </c>
      <c r="C49" s="18"/>
      <c r="D49" s="28">
        <f>ROUND(Lawyers!B29,2)</f>
        <v>35000</v>
      </c>
      <c r="E49" s="28"/>
      <c r="F49" s="28">
        <f>ROUND(Lawyers!C29,2)</f>
        <v>11000</v>
      </c>
      <c r="G49" s="28"/>
    </row>
    <row r="50">
      <c r="B50" s="17"/>
      <c r="C50" s="17"/>
      <c r="D50" s="14" t="str">
        <f>Lawyers!B30</f>
        <v>NA</v>
      </c>
      <c r="E50" s="14"/>
      <c r="F50" s="14" t="str">
        <f>Lawyers!C30</f>
        <v>NA</v>
      </c>
      <c r="G50" s="14"/>
    </row>
    <row r="51">
      <c r="B51" s="17"/>
      <c r="C51" s="17"/>
      <c r="D51" s="14">
        <f>Lawyers!B31</f>
        <v>231</v>
      </c>
      <c r="E51" s="14"/>
      <c r="F51" s="14">
        <f>Lawyers!C31</f>
        <v>223</v>
      </c>
      <c r="G51" s="14"/>
    </row>
    <row r="52">
      <c r="B52" s="18" t="str">
        <f>Lawyers!A32</f>
        <v>Expected duration (years)</v>
      </c>
      <c r="C52" s="18"/>
      <c r="D52" s="14">
        <f>ROUND(Lawyers!B32,2)</f>
        <v>3.94</v>
      </c>
      <c r="E52" s="14"/>
      <c r="F52" s="14">
        <f>ROUND(Lawyers!C32,2)</f>
        <v>4.17</v>
      </c>
      <c r="G52" s="14"/>
    </row>
    <row r="53">
      <c r="B53" s="17"/>
      <c r="C53" s="17"/>
      <c r="D53" s="14" t="str">
        <f>_xlfn.CONCAT("(",ROUND(Lawyers!B33,2),")")</f>
        <v>(2.3)</v>
      </c>
      <c r="E53" s="14"/>
      <c r="F53" s="14" t="str">
        <f>_xlfn.CONCAT("(",ROUND(Lawyers!C33,2),")")</f>
        <v>(2.54)</v>
      </c>
      <c r="G53" s="14"/>
    </row>
    <row r="54" ht="15" thickBot="true">
      <c r="B54" s="21"/>
      <c r="C54" s="21"/>
      <c r="D54" s="19">
        <f>Lawyers!B34</f>
        <v>231</v>
      </c>
      <c r="E54" s="19"/>
      <c r="F54" s="19">
        <f>Lawyers!C34</f>
        <v>223</v>
      </c>
      <c r="G54" s="19"/>
    </row>
    <row r="55" ht="15" thickTop="true"/>
  </sheetData>
  <mergeCells count="124">
    <mergeCell ref="F25:G25"/>
    <mergeCell ref="F27:G27"/>
    <mergeCell ref="E19:F19"/>
    <mergeCell ref="E20:F20"/>
    <mergeCell ref="E21:F21"/>
    <mergeCell ref="E22:F22"/>
    <mergeCell ref="B23:G23"/>
    <mergeCell ref="B21:C21"/>
    <mergeCell ref="B22:C22"/>
    <mergeCell ref="F24:G24"/>
    <mergeCell ref="D24:E24"/>
    <mergeCell ref="D25:E25"/>
    <mergeCell ref="B3:G3"/>
    <mergeCell ref="E13:F13"/>
    <mergeCell ref="E14:F14"/>
    <mergeCell ref="E15:F15"/>
    <mergeCell ref="E16:F16"/>
    <mergeCell ref="E17:F17"/>
    <mergeCell ref="E18:F18"/>
    <mergeCell ref="B19:C19"/>
    <mergeCell ref="B20:C20"/>
    <mergeCell ref="E7:F7"/>
    <mergeCell ref="E8:F8"/>
    <mergeCell ref="E9:F9"/>
    <mergeCell ref="E10:F10"/>
    <mergeCell ref="E11:F11"/>
    <mergeCell ref="E12:F12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46:C46"/>
    <mergeCell ref="B47:C47"/>
    <mergeCell ref="B48:C48"/>
    <mergeCell ref="B49:C49"/>
    <mergeCell ref="B41:C41"/>
    <mergeCell ref="B42:C42"/>
    <mergeCell ref="B43:C43"/>
    <mergeCell ref="B44:C44"/>
    <mergeCell ref="B45:C45"/>
    <mergeCell ref="B35:C35"/>
    <mergeCell ref="B36:C36"/>
    <mergeCell ref="B12:C12"/>
    <mergeCell ref="F51:G51"/>
    <mergeCell ref="F52:G52"/>
    <mergeCell ref="F53:G53"/>
    <mergeCell ref="F54:G54"/>
    <mergeCell ref="B27:C27"/>
    <mergeCell ref="B28:C28"/>
    <mergeCell ref="B29:C29"/>
    <mergeCell ref="B30:C30"/>
    <mergeCell ref="B31:C31"/>
    <mergeCell ref="B32:C32"/>
    <mergeCell ref="F46:G46"/>
    <mergeCell ref="F47:G47"/>
    <mergeCell ref="F48:G48"/>
    <mergeCell ref="F49:G49"/>
    <mergeCell ref="F50:G50"/>
    <mergeCell ref="F42:G42"/>
    <mergeCell ref="F43:G43"/>
    <mergeCell ref="F44:G44"/>
    <mergeCell ref="F45:G45"/>
    <mergeCell ref="B50:C50"/>
    <mergeCell ref="B51:C51"/>
    <mergeCell ref="B52:C52"/>
    <mergeCell ref="B53:C53"/>
    <mergeCell ref="B54:C54"/>
    <mergeCell ref="D54:E54"/>
    <mergeCell ref="D49:E49"/>
    <mergeCell ref="D50:E50"/>
    <mergeCell ref="D51:E51"/>
    <mergeCell ref="D52:E52"/>
    <mergeCell ref="D53:E53"/>
    <mergeCell ref="B37:C37"/>
    <mergeCell ref="B38:C38"/>
    <mergeCell ref="B39:C39"/>
    <mergeCell ref="B40:C40"/>
    <mergeCell ref="D48:E48"/>
    <mergeCell ref="D45:E45"/>
    <mergeCell ref="D46:E46"/>
    <mergeCell ref="D47:E47"/>
    <mergeCell ref="D30:E30"/>
    <mergeCell ref="D35:E35"/>
    <mergeCell ref="D36:E36"/>
    <mergeCell ref="D37:E37"/>
    <mergeCell ref="D38:E38"/>
    <mergeCell ref="D39:E39"/>
    <mergeCell ref="D40:E40"/>
    <mergeCell ref="D44:E44"/>
    <mergeCell ref="D26:E26"/>
    <mergeCell ref="D34:E34"/>
    <mergeCell ref="D42:E42"/>
    <mergeCell ref="D43:E43"/>
    <mergeCell ref="F36:G36"/>
    <mergeCell ref="F37:G37"/>
    <mergeCell ref="F38:G38"/>
    <mergeCell ref="F39:G39"/>
    <mergeCell ref="F40:G40"/>
    <mergeCell ref="F41:G41"/>
    <mergeCell ref="F26:G26"/>
    <mergeCell ref="D27:E27"/>
    <mergeCell ref="B33:C33"/>
    <mergeCell ref="B34:C34"/>
    <mergeCell ref="D31:E31"/>
    <mergeCell ref="D32:E32"/>
    <mergeCell ref="D33:E33"/>
    <mergeCell ref="D41:E41"/>
    <mergeCell ref="F28:G28"/>
    <mergeCell ref="F29:G29"/>
    <mergeCell ref="F30:G30"/>
    <mergeCell ref="F31:G31"/>
    <mergeCell ref="F32:G32"/>
    <mergeCell ref="F33:G33"/>
    <mergeCell ref="F34:G34"/>
    <mergeCell ref="F35:G35"/>
    <mergeCell ref="D28:E28"/>
    <mergeCell ref="D29:E29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Actor</vt:lpstr>
      <vt:lpstr>Lawyers</vt:lpstr>
      <vt:lpstr>surveySS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lopez</cp:lastModifiedBy>
  <dcterms:modified xsi:type="dcterms:W3CDTF">2021-03-24T17:46:00Z</dcterms:modified>
</cp:coreProperties>
</file>