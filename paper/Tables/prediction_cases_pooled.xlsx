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ropbox\Documentos_\Joyce_Seira\Pilot1\information_sett\paper\Tables\"/>
    </mc:Choice>
  </mc:AlternateContent>
  <xr:revisionPtr revIDLastSave="0" documentId="13_ncr:1_{1EF730D7-3AE5-4D20-9490-925DA6AFE91B}" xr6:coauthVersionLast="41" xr6:coauthVersionMax="43" xr10:uidLastSave="{00000000-0000-0000-0000-000000000000}"/>
  <bookViews>
    <workbookView xWindow="-120" yWindow="-120" windowWidth="19800" windowHeight="11760" xr2:uid="{1DDB7879-9F24-4C6B-9F25-EBE6FFA84E93}"/>
  </bookViews>
  <sheets>
    <sheet name="prediction_cases_poole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C15" i="1"/>
  <c r="D15" i="1"/>
  <c r="E15" i="1"/>
  <c r="B15" i="1"/>
  <c r="B5" i="1" l="1"/>
  <c r="A6" i="1"/>
  <c r="E6" i="1"/>
  <c r="D7" i="1"/>
  <c r="C8" i="1"/>
  <c r="D12" i="1"/>
  <c r="C14" i="1"/>
  <c r="A16" i="1"/>
  <c r="C5" i="1"/>
  <c r="D5" i="1"/>
  <c r="E5" i="1"/>
  <c r="B6" i="1"/>
  <c r="C6" i="1"/>
  <c r="D6" i="1"/>
  <c r="B7" i="1"/>
  <c r="C7" i="1"/>
  <c r="E7" i="1"/>
  <c r="A8" i="1"/>
  <c r="B8" i="1"/>
  <c r="D8" i="1"/>
  <c r="E8" i="1"/>
  <c r="B9" i="1"/>
  <c r="C9" i="1"/>
  <c r="D9" i="1"/>
  <c r="E9" i="1"/>
  <c r="A10" i="1"/>
  <c r="B10" i="1"/>
  <c r="C10" i="1"/>
  <c r="D10" i="1"/>
  <c r="E10" i="1"/>
  <c r="B12" i="1"/>
  <c r="C12" i="1"/>
  <c r="E12" i="1"/>
  <c r="A14" i="1"/>
  <c r="B14" i="1"/>
  <c r="D14" i="1"/>
  <c r="E14" i="1"/>
  <c r="A15" i="1"/>
  <c r="B4" i="1"/>
  <c r="C4" i="1"/>
  <c r="D4" i="1"/>
  <c r="E4" i="1"/>
  <c r="A4" i="1"/>
</calcChain>
</file>

<file path=xl/sharedStrings.xml><?xml version="1.0" encoding="utf-8"?>
<sst xmlns="http://schemas.openxmlformats.org/spreadsheetml/2006/main" count="15" uniqueCount="10">
  <si>
    <t>Observations</t>
  </si>
  <si>
    <t>File Fixed Effects</t>
  </si>
  <si>
    <t>YES</t>
  </si>
  <si>
    <t>Relative OC</t>
  </si>
  <si>
    <t>Probability</t>
  </si>
  <si>
    <t>Amount</t>
  </si>
  <si>
    <t>Expectation</t>
  </si>
  <si>
    <t>Employee's Lawyer</t>
  </si>
  <si>
    <t>Firm's Lawyer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</si>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</sst>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prediction_cases_poole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diction_cases_pooled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</row>
        <row r="8">
          <cell r="B8" t="str">
            <v>4.52</v>
          </cell>
          <cell r="C8" t="str">
            <v>5902.2</v>
          </cell>
          <cell r="D8" t="str">
            <v>0.22</v>
          </cell>
          <cell r="E8" t="str">
            <v>-0.097</v>
          </cell>
        </row>
        <row r="9">
          <cell r="A9" t="str">
            <v/>
          </cell>
          <cell r="B9" t="str">
            <v>(3.46)</v>
          </cell>
          <cell r="C9" t="str">
            <v>(12555.8)</v>
          </cell>
          <cell r="D9" t="str">
            <v>(0.14)</v>
          </cell>
          <cell r="E9" t="str">
            <v>(0.53)</v>
          </cell>
        </row>
        <row r="11">
          <cell r="B11" t="str">
            <v>-27.4***</v>
          </cell>
          <cell r="C11" t="str">
            <v>-27573.0**</v>
          </cell>
          <cell r="D11" t="str">
            <v>-0.96***</v>
          </cell>
          <cell r="E11" t="str">
            <v>-0.38</v>
          </cell>
        </row>
        <row r="12">
          <cell r="A12" t="str">
            <v/>
          </cell>
          <cell r="B12" t="str">
            <v>(3.34)</v>
          </cell>
          <cell r="C12" t="str">
            <v>(12083.0)</v>
          </cell>
          <cell r="D12" t="str">
            <v>(0.13)</v>
          </cell>
          <cell r="E12" t="str">
            <v>(0.50)</v>
          </cell>
        </row>
        <row r="14">
          <cell r="B14" t="str">
            <v>75.0***</v>
          </cell>
          <cell r="C14" t="str">
            <v>74788.7***</v>
          </cell>
          <cell r="D14" t="str">
            <v>1.64***</v>
          </cell>
          <cell r="E14" t="str">
            <v>0.73*</v>
          </cell>
        </row>
        <row r="15">
          <cell r="A15" t="str">
            <v/>
          </cell>
          <cell r="B15" t="str">
            <v>(2.86)</v>
          </cell>
          <cell r="C15" t="str">
            <v>(10219.5)</v>
          </cell>
          <cell r="D15" t="str">
            <v>(0.11)</v>
          </cell>
          <cell r="E15" t="str">
            <v>(0.43)</v>
          </cell>
        </row>
        <row r="17">
          <cell r="B17" t="str">
            <v>2214</v>
          </cell>
          <cell r="C17" t="str">
            <v>1859</v>
          </cell>
          <cell r="D17" t="str">
            <v>1952</v>
          </cell>
          <cell r="E17" t="str">
            <v>1632</v>
          </cell>
        </row>
        <row r="18">
          <cell r="A18" t="str">
            <v>R-squared</v>
          </cell>
          <cell r="B18" t="str">
            <v>0.83</v>
          </cell>
          <cell r="C18" t="str">
            <v>0.89</v>
          </cell>
          <cell r="D18" t="str">
            <v>0.96</v>
          </cell>
          <cell r="E18" t="str">
            <v>0.89</v>
          </cell>
        </row>
        <row r="19">
          <cell r="A19" t="str">
            <v>p-value:Emp Law</v>
          </cell>
          <cell r="B19" t="str">
            <v>2.1e-260</v>
          </cell>
          <cell r="C19" t="str">
            <v>3.3e-58</v>
          </cell>
          <cell r="D19" t="str">
            <v>6.9e-156</v>
          </cell>
          <cell r="E19" t="str">
            <v>0.00024</v>
          </cell>
        </row>
        <row r="20">
          <cell r="A20" t="str">
            <v>p-value:Firm Law</v>
          </cell>
          <cell r="B20" t="str">
            <v>2.7e-148</v>
          </cell>
          <cell r="C20" t="str">
            <v>9.6e-22</v>
          </cell>
          <cell r="D20" t="str">
            <v>3.8e-35</v>
          </cell>
          <cell r="E20" t="str">
            <v>0.070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4D4E-CF42-42B1-A003-BD4DC1FD0253}">
  <dimension ref="A2:E17"/>
  <sheetViews>
    <sheetView tabSelected="1" workbookViewId="0">
      <selection activeCell="A10" sqref="A10"/>
    </sheetView>
  </sheetViews>
  <sheetFormatPr baseColWidth="10" defaultColWidth="8.85546875" defaultRowHeight="15" x14ac:dyDescent="0.25"/>
  <cols>
    <col min="1" max="1" width="26" customWidth="1"/>
  </cols>
  <sheetData>
    <row r="2" spans="1:5" ht="15.75" thickBot="1" x14ac:dyDescent="0.3">
      <c r="A2" s="2"/>
      <c r="B2" s="8" t="s">
        <v>6</v>
      </c>
      <c r="C2" s="8"/>
      <c r="D2" s="8" t="s">
        <v>3</v>
      </c>
      <c r="E2" s="8"/>
    </row>
    <row r="3" spans="1:5" ht="15.75" thickTop="1" x14ac:dyDescent="0.25">
      <c r="B3" s="1" t="s">
        <v>4</v>
      </c>
      <c r="C3" s="1" t="s">
        <v>5</v>
      </c>
      <c r="D3" s="1" t="s">
        <v>4</v>
      </c>
      <c r="E3" s="1" t="s">
        <v>5</v>
      </c>
    </row>
    <row r="4" spans="1:5" ht="15.75" thickBot="1" x14ac:dyDescent="0.3">
      <c r="A4" s="2" t="str">
        <f>[1]prediction_cases_pooled!A2</f>
        <v/>
      </c>
      <c r="B4" s="3" t="str">
        <f>[1]prediction_cases_pooled!B2</f>
        <v>(1)</v>
      </c>
      <c r="C4" s="3" t="str">
        <f>[1]prediction_cases_pooled!C2</f>
        <v>(2)</v>
      </c>
      <c r="D4" s="3" t="str">
        <f>[1]prediction_cases_pooled!D2</f>
        <v>(3)</v>
      </c>
      <c r="E4" s="3" t="str">
        <f>[1]prediction_cases_pooled!E2</f>
        <v>(4)</v>
      </c>
    </row>
    <row r="5" spans="1:5" ht="15.75" thickTop="1" x14ac:dyDescent="0.25">
      <c r="A5" t="s">
        <v>7</v>
      </c>
      <c r="B5" s="1" t="str">
        <f>[1]prediction_cases_pooled!B8</f>
        <v>4.52</v>
      </c>
      <c r="C5" s="1" t="str">
        <f>[1]prediction_cases_pooled!C8</f>
        <v>5902.2</v>
      </c>
      <c r="D5" s="1" t="str">
        <f>[1]prediction_cases_pooled!D8</f>
        <v>0.22</v>
      </c>
      <c r="E5" s="1" t="str">
        <f>[1]prediction_cases_pooled!E8</f>
        <v>-0.097</v>
      </c>
    </row>
    <row r="6" spans="1:5" x14ac:dyDescent="0.25">
      <c r="A6" t="str">
        <f>[1]prediction_cases_pooled!A9</f>
        <v/>
      </c>
      <c r="B6" s="1" t="str">
        <f>[1]prediction_cases_pooled!B9</f>
        <v>(3.46)</v>
      </c>
      <c r="C6" s="1" t="str">
        <f>[1]prediction_cases_pooled!C9</f>
        <v>(12555.8)</v>
      </c>
      <c r="D6" s="1" t="str">
        <f>[1]prediction_cases_pooled!D9</f>
        <v>(0.14)</v>
      </c>
      <c r="E6" s="1" t="str">
        <f>[1]prediction_cases_pooled!E9</f>
        <v>(0.53)</v>
      </c>
    </row>
    <row r="7" spans="1:5" x14ac:dyDescent="0.25">
      <c r="A7" t="s">
        <v>8</v>
      </c>
      <c r="B7" s="1" t="str">
        <f>[1]prediction_cases_pooled!B11</f>
        <v>-27.4***</v>
      </c>
      <c r="C7" s="1" t="str">
        <f>[1]prediction_cases_pooled!C11</f>
        <v>-27573.0**</v>
      </c>
      <c r="D7" s="1" t="str">
        <f>[1]prediction_cases_pooled!D11</f>
        <v>-0.96***</v>
      </c>
      <c r="E7" s="1" t="str">
        <f>[1]prediction_cases_pooled!E11</f>
        <v>-0.38</v>
      </c>
    </row>
    <row r="8" spans="1:5" x14ac:dyDescent="0.25">
      <c r="A8" t="str">
        <f>[1]prediction_cases_pooled!A12</f>
        <v/>
      </c>
      <c r="B8" s="1" t="str">
        <f>[1]prediction_cases_pooled!B12</f>
        <v>(3.34)</v>
      </c>
      <c r="C8" s="1" t="str">
        <f>[1]prediction_cases_pooled!C12</f>
        <v>(12083.0)</v>
      </c>
      <c r="D8" s="1" t="str">
        <f>[1]prediction_cases_pooled!D12</f>
        <v>(0.13)</v>
      </c>
      <c r="E8" s="1" t="str">
        <f>[1]prediction_cases_pooled!E12</f>
        <v>(0.50)</v>
      </c>
    </row>
    <row r="9" spans="1:5" x14ac:dyDescent="0.25">
      <c r="A9" t="s">
        <v>9</v>
      </c>
      <c r="B9" s="1" t="str">
        <f>[1]prediction_cases_pooled!B14</f>
        <v>75.0***</v>
      </c>
      <c r="C9" s="1" t="str">
        <f>[1]prediction_cases_pooled!C14</f>
        <v>74788.7***</v>
      </c>
      <c r="D9" s="1" t="str">
        <f>[1]prediction_cases_pooled!D14</f>
        <v>1.64***</v>
      </c>
      <c r="E9" s="1" t="str">
        <f>[1]prediction_cases_pooled!E14</f>
        <v>0.73*</v>
      </c>
    </row>
    <row r="10" spans="1:5" x14ac:dyDescent="0.25">
      <c r="A10" t="str">
        <f>[1]prediction_cases_pooled!A15</f>
        <v/>
      </c>
      <c r="B10" s="1" t="str">
        <f>[1]prediction_cases_pooled!B15</f>
        <v>(2.86)</v>
      </c>
      <c r="C10" s="1" t="str">
        <f>[1]prediction_cases_pooled!C15</f>
        <v>(10219.5)</v>
      </c>
      <c r="D10" s="1" t="str">
        <f>[1]prediction_cases_pooled!D15</f>
        <v>(0.11)</v>
      </c>
      <c r="E10" s="1" t="str">
        <f>[1]prediction_cases_pooled!E15</f>
        <v>(0.43)</v>
      </c>
    </row>
    <row r="11" spans="1:5" x14ac:dyDescent="0.25">
      <c r="B11" s="1"/>
      <c r="C11" s="1"/>
      <c r="D11" s="1"/>
      <c r="E11" s="1"/>
    </row>
    <row r="12" spans="1:5" x14ac:dyDescent="0.25">
      <c r="A12" s="6" t="s">
        <v>0</v>
      </c>
      <c r="B12" s="7" t="str">
        <f>[1]prediction_cases_pooled!B17</f>
        <v>2214</v>
      </c>
      <c r="C12" s="7" t="str">
        <f>[1]prediction_cases_pooled!C17</f>
        <v>1859</v>
      </c>
      <c r="D12" s="7" t="str">
        <f>[1]prediction_cases_pooled!D17</f>
        <v>1952</v>
      </c>
      <c r="E12" s="7" t="str">
        <f>[1]prediction_cases_pooled!E17</f>
        <v>1632</v>
      </c>
    </row>
    <row r="13" spans="1:5" x14ac:dyDescent="0.25">
      <c r="A13" t="s">
        <v>1</v>
      </c>
      <c r="B13" s="1" t="s">
        <v>2</v>
      </c>
      <c r="C13" s="1" t="s">
        <v>2</v>
      </c>
      <c r="D13" s="1" t="s">
        <v>2</v>
      </c>
      <c r="E13" s="1" t="s">
        <v>2</v>
      </c>
    </row>
    <row r="14" spans="1:5" x14ac:dyDescent="0.25">
      <c r="A14" t="str">
        <f>[1]prediction_cases_pooled!A18</f>
        <v>R-squared</v>
      </c>
      <c r="B14" s="1" t="str">
        <f>[1]prediction_cases_pooled!B18</f>
        <v>0.83</v>
      </c>
      <c r="C14" s="1" t="str">
        <f>[1]prediction_cases_pooled!C18</f>
        <v>0.89</v>
      </c>
      <c r="D14" s="1" t="str">
        <f>[1]prediction_cases_pooled!D18</f>
        <v>0.96</v>
      </c>
      <c r="E14" s="1" t="str">
        <f>[1]prediction_cases_pooled!E18</f>
        <v>0.89</v>
      </c>
    </row>
    <row r="15" spans="1:5" x14ac:dyDescent="0.25">
      <c r="A15" t="str">
        <f>[1]prediction_cases_pooled!A19</f>
        <v>p-value:Emp Law</v>
      </c>
      <c r="B15" s="1">
        <f>ROUND([1]prediction_cases_pooled!B19,1)</f>
        <v>0</v>
      </c>
      <c r="C15" s="1">
        <f>ROUND([1]prediction_cases_pooled!C19,1)</f>
        <v>0</v>
      </c>
      <c r="D15" s="1">
        <f>ROUND([1]prediction_cases_pooled!D19,1)</f>
        <v>0</v>
      </c>
      <c r="E15" s="1">
        <f>ROUND([1]prediction_cases_pooled!E19,1)</f>
        <v>0</v>
      </c>
    </row>
    <row r="16" spans="1:5" ht="15.75" thickBot="1" x14ac:dyDescent="0.3">
      <c r="A16" s="4" t="str">
        <f>[1]prediction_cases_pooled!A20</f>
        <v>p-value:Firm Law</v>
      </c>
      <c r="B16" s="5">
        <f>ROUND([1]prediction_cases_pooled!B20,1)</f>
        <v>0</v>
      </c>
      <c r="C16" s="5">
        <f>ROUND([1]prediction_cases_pooled!C20,1)</f>
        <v>0</v>
      </c>
      <c r="D16" s="5">
        <f>ROUND([1]prediction_cases_pooled!D20,1)</f>
        <v>0</v>
      </c>
      <c r="E16" s="5">
        <f>ROUND([1]prediction_cases_pooled!E20,1)</f>
        <v>0.1</v>
      </c>
    </row>
    <row r="17" ht="15.75" thickTop="1" x14ac:dyDescent="0.25"/>
  </sheetData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prediction_cases_pooled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Joyce Sadka</cp:lastModifiedBy>
  <dcterms:created xsi:type="dcterms:W3CDTF">2018-09-20T23:47:22Z</dcterms:created>
  <dcterms:modified xsi:type="dcterms:W3CDTF">2019-09-18T15:26:12Z</dcterms:modified>
</cp:coreProperties>
</file>