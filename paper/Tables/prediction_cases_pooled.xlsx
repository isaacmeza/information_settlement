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8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isaac\Dropbox\ReplicationFinal\Tables\"/>
    </mc:Choice>
  </mc:AlternateContent>
  <xr:revisionPtr revIDLastSave="0" documentId="13_ncr:1_{B3EE304E-6883-4441-9E17-47265CF06946}" xr6:coauthVersionLast="47" xr6:coauthVersionMax="47" xr10:uidLastSave="{00000000-0000-0000-0000-000000000000}"/>
  <bookViews>
    <workbookView xWindow="-28920" yWindow="-8190" windowWidth="29040" windowHeight="15720" activeTab="1" xr2:uid="{00000000-000D-0000-FFFF-FFFF00000000}"/>
  </bookViews>
  <sheets>
    <sheet name="prediction_cases_pooled" sheetId="1" r:id="rId1"/>
    <sheet name="prediction_cases_pooled_panels" sheetId="2" r:id="rId2"/>
  </sheets>
  <externalReferences>
    <externalReference r:id="rId3"/>
    <externalReference r:id="rId4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C16" i="2" l="1"/>
  <c r="E16" i="2"/>
  <c r="F16" i="2"/>
  <c r="C17" i="2"/>
  <c r="E17" i="2"/>
  <c r="F17" i="2"/>
  <c r="C18" i="2"/>
  <c r="E18" i="2"/>
  <c r="F18" i="2"/>
  <c r="B17" i="2"/>
  <c r="B18" i="2"/>
  <c r="B16" i="2"/>
  <c r="F11" i="2" l="1"/>
  <c r="C26" i="2" l="1"/>
  <c r="E26" i="2"/>
  <c r="F26" i="2"/>
  <c r="B26" i="2"/>
  <c r="A30" i="2" l="1"/>
  <c r="B30" i="2"/>
  <c r="C30" i="2"/>
  <c r="E30" i="2"/>
  <c r="F30" i="2"/>
  <c r="B29" i="2"/>
  <c r="C29" i="2"/>
  <c r="E29" i="2"/>
  <c r="F29" i="2"/>
  <c r="A29" i="2"/>
  <c r="B6" i="2" l="1"/>
  <c r="B10" i="2"/>
  <c r="C10" i="2"/>
  <c r="E10" i="2"/>
  <c r="F10" i="2"/>
  <c r="B11" i="2"/>
  <c r="C11" i="2"/>
  <c r="E11" i="2"/>
  <c r="A12" i="2"/>
  <c r="B12" i="2"/>
  <c r="C12" i="2"/>
  <c r="E12" i="2"/>
  <c r="F12" i="2"/>
  <c r="A16" i="2"/>
  <c r="A17" i="2"/>
  <c r="A6" i="2"/>
  <c r="C7" i="2"/>
  <c r="E7" i="2"/>
  <c r="F7" i="2"/>
  <c r="B9" i="2"/>
  <c r="C9" i="2"/>
  <c r="E9" i="2"/>
  <c r="F9" i="2"/>
  <c r="A10" i="2"/>
  <c r="A8" i="2"/>
  <c r="B8" i="2"/>
  <c r="C8" i="2"/>
  <c r="E8" i="2"/>
  <c r="F8" i="2"/>
  <c r="B14" i="2"/>
  <c r="C14" i="2"/>
  <c r="E14" i="2"/>
  <c r="F14" i="2"/>
  <c r="A18" i="2"/>
  <c r="B7" i="2"/>
  <c r="B27" i="2"/>
  <c r="C27" i="2"/>
  <c r="E27" i="2"/>
  <c r="F27" i="2"/>
  <c r="B28" i="2"/>
  <c r="C28" i="2"/>
  <c r="E28" i="2"/>
  <c r="F28" i="2"/>
  <c r="B24" i="2"/>
  <c r="C24" i="2"/>
  <c r="E24" i="2"/>
  <c r="F24" i="2"/>
  <c r="B25" i="2"/>
  <c r="C25" i="2"/>
  <c r="E25" i="2"/>
  <c r="F25" i="2"/>
  <c r="C23" i="2"/>
  <c r="E23" i="2"/>
  <c r="F23" i="2"/>
  <c r="B23" i="2"/>
  <c r="F6" i="2"/>
  <c r="E6" i="2"/>
  <c r="C6" i="2"/>
  <c r="B16" i="1" l="1"/>
  <c r="C16" i="1"/>
  <c r="D16" i="1"/>
  <c r="E16" i="1"/>
  <c r="C15" i="1"/>
  <c r="D15" i="1"/>
  <c r="E15" i="1"/>
  <c r="B15" i="1"/>
  <c r="B5" i="1" l="1"/>
  <c r="A6" i="1"/>
  <c r="E6" i="1"/>
  <c r="D7" i="1"/>
  <c r="C8" i="1"/>
  <c r="D12" i="1"/>
  <c r="C14" i="1"/>
  <c r="A16" i="1"/>
  <c r="C5" i="1"/>
  <c r="D5" i="1"/>
  <c r="E5" i="1"/>
  <c r="B6" i="1"/>
  <c r="C6" i="1"/>
  <c r="D6" i="1"/>
  <c r="B7" i="1"/>
  <c r="C7" i="1"/>
  <c r="E7" i="1"/>
  <c r="A8" i="1"/>
  <c r="B8" i="1"/>
  <c r="D8" i="1"/>
  <c r="E8" i="1"/>
  <c r="B9" i="1"/>
  <c r="C9" i="1"/>
  <c r="D9" i="1"/>
  <c r="E9" i="1"/>
  <c r="A10" i="1"/>
  <c r="B10" i="1"/>
  <c r="C10" i="1"/>
  <c r="D10" i="1"/>
  <c r="E10" i="1"/>
  <c r="B12" i="1"/>
  <c r="C12" i="1"/>
  <c r="E12" i="1"/>
  <c r="A14" i="1"/>
  <c r="B14" i="1"/>
  <c r="D14" i="1"/>
  <c r="E14" i="1"/>
  <c r="A15" i="1"/>
  <c r="B4" i="1"/>
  <c r="C4" i="1"/>
  <c r="D4" i="1"/>
  <c r="E4" i="1"/>
  <c r="A4" i="1"/>
</calcChain>
</file>

<file path=xl/sharedStrings.xml><?xml version="1.0" encoding="utf-8"?>
<sst xmlns="http://schemas.openxmlformats.org/spreadsheetml/2006/main" count="43" uniqueCount="17">
  <si>
    <t>Observations</t>
  </si>
  <si>
    <t>Constant (employee $\alpha$)</t>
  </si>
  <si>
    <t>Employee's Lawyer ($\beta_1$)</t>
  </si>
  <si>
    <t>Firm's Lawyer ($\beta_2$)</t>
  </si>
  <si>
    <t>File Fixed Effects</t>
  </si>
  <si>
    <t>YES</t>
  </si>
  <si>
    <t>Relative OC</t>
  </si>
  <si>
    <t>Probability</t>
  </si>
  <si>
    <t>Amount</t>
  </si>
  <si>
    <t>Expectation</t>
  </si>
  <si>
    <t>Panel A</t>
  </si>
  <si>
    <t>Panel B</t>
  </si>
  <si>
    <t>Reference</t>
  </si>
  <si>
    <t>Mid prediction</t>
  </si>
  <si>
    <t>Max prediction</t>
  </si>
  <si>
    <t>Mean</t>
  </si>
  <si>
    <t>Standar deviation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</si>
</sst>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/>
    </xf>
    <xf numFmtId="0" fontId="0" fillId="0" borderId="2" xfId="0" applyBorder="1"/>
    <xf numFmtId="0" fontId="0" fillId="0" borderId="2" xfId="0" applyBorder="1" applyAlignment="1">
      <alignment horizontal="center"/>
    </xf>
    <xf numFmtId="0" fontId="0" fillId="0" borderId="3" xfId="0" applyBorder="1"/>
    <xf numFmtId="0" fontId="0" fillId="0" borderId="3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0" xfId="0" applyBorder="1"/>
    <xf numFmtId="0" fontId="0" fillId="0" borderId="0" xfId="0" applyBorder="1" applyAlignment="1">
      <alignment horizontal="center"/>
    </xf>
    <xf numFmtId="0" fontId="0" fillId="0" borderId="4" xfId="0" applyBorder="1"/>
    <xf numFmtId="0" fontId="0" fillId="0" borderId="4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0" xfId="0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2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reg_results/prediction_cases_pooled.csv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MCLC\Pilot%201\information_sett\ReplicationFinal\Tables\Pilot3_overconfidence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rediction_cases_pooled"/>
    </sheetNames>
    <sheetDataSet>
      <sheetData sheetId="0">
        <row r="2">
          <cell r="A2" t="str">
            <v/>
          </cell>
          <cell r="B2" t="str">
            <v>(1)</v>
          </cell>
          <cell r="C2" t="str">
            <v>(2)</v>
          </cell>
          <cell r="D2" t="str">
            <v>(3)</v>
          </cell>
          <cell r="E2" t="str">
            <v>(4)</v>
          </cell>
        </row>
        <row r="8">
          <cell r="B8" t="str">
            <v>0.070</v>
          </cell>
          <cell r="C8" t="str">
            <v>11410.9</v>
          </cell>
          <cell r="D8" t="str">
            <v>0.28</v>
          </cell>
          <cell r="E8" t="str">
            <v>-0.17</v>
          </cell>
        </row>
        <row r="9">
          <cell r="A9" t="str">
            <v/>
          </cell>
          <cell r="B9" t="str">
            <v>(0.044)</v>
          </cell>
          <cell r="C9" t="str">
            <v>(13314.9)</v>
          </cell>
          <cell r="D9" t="str">
            <v>(0.18)</v>
          </cell>
          <cell r="E9" t="str">
            <v>(0.71)</v>
          </cell>
        </row>
        <row r="11">
          <cell r="B11" t="str">
            <v>-0.25***</v>
          </cell>
          <cell r="C11" t="str">
            <v>-21804.2*</v>
          </cell>
          <cell r="D11" t="str">
            <v>-0.86***</v>
          </cell>
          <cell r="E11" t="str">
            <v>-0.51</v>
          </cell>
        </row>
        <row r="12">
          <cell r="A12" t="str">
            <v/>
          </cell>
          <cell r="B12" t="str">
            <v>(0.042)</v>
          </cell>
          <cell r="C12" t="str">
            <v>(12614.9)</v>
          </cell>
          <cell r="D12" t="str">
            <v>(0.17)</v>
          </cell>
          <cell r="E12" t="str">
            <v>(0.67)</v>
          </cell>
        </row>
        <row r="14">
          <cell r="B14" t="str">
            <v>0.74***</v>
          </cell>
          <cell r="C14" t="str">
            <v>66755.3***</v>
          </cell>
          <cell r="D14" t="str">
            <v>1.70***</v>
          </cell>
          <cell r="E14" t="str">
            <v>1.00*</v>
          </cell>
        </row>
        <row r="15">
          <cell r="A15" t="str">
            <v/>
          </cell>
          <cell r="B15" t="str">
            <v>(0.036)</v>
          </cell>
          <cell r="C15" t="str">
            <v>(10791.5)</v>
          </cell>
          <cell r="D15" t="str">
            <v>(0.15)</v>
          </cell>
          <cell r="E15" t="str">
            <v>(0.58)</v>
          </cell>
        </row>
        <row r="17">
          <cell r="B17" t="str">
            <v>1274</v>
          </cell>
          <cell r="C17" t="str">
            <v>1104</v>
          </cell>
          <cell r="D17" t="str">
            <v>1177</v>
          </cell>
          <cell r="E17" t="str">
            <v>1032</v>
          </cell>
        </row>
        <row r="18">
          <cell r="A18" t="str">
            <v>R-squared</v>
          </cell>
          <cell r="B18" t="str">
            <v>0.79</v>
          </cell>
          <cell r="C18" t="str">
            <v>0.91</v>
          </cell>
          <cell r="D18" t="str">
            <v>0.96</v>
          </cell>
          <cell r="E18" t="str">
            <v>0.89</v>
          </cell>
        </row>
        <row r="19">
          <cell r="A19" t="str">
            <v>p-value:Emp Law</v>
          </cell>
          <cell r="B19" t="str">
            <v>7.4e-161</v>
          </cell>
          <cell r="C19" t="str">
            <v>3.8e-43</v>
          </cell>
          <cell r="D19" t="str">
            <v>6.6e-99</v>
          </cell>
          <cell r="E19" t="str">
            <v>0.00089</v>
          </cell>
        </row>
        <row r="20">
          <cell r="A20" t="str">
            <v>p-value:Firm Law</v>
          </cell>
          <cell r="B20" t="str">
            <v>8.5e-111</v>
          </cell>
          <cell r="C20" t="str">
            <v>3.7e-21</v>
          </cell>
          <cell r="D20" t="str">
            <v>4.0e-37</v>
          </cell>
          <cell r="E20" t="str">
            <v>0.036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</sheetNames>
    <sheetDataSet>
      <sheetData sheetId="0">
        <row r="2">
          <cell r="B2" t="str">
            <v>(1)</v>
          </cell>
          <cell r="C2" t="str">
            <v>(2)</v>
          </cell>
          <cell r="D2" t="str">
            <v>(3)</v>
          </cell>
          <cell r="E2" t="str">
            <v>(4)</v>
          </cell>
        </row>
        <row r="5">
          <cell r="B5" t="str">
            <v>0.885***</v>
          </cell>
          <cell r="C5" t="str">
            <v>58,077***</v>
          </cell>
          <cell r="D5" t="str">
            <v>1.713***</v>
          </cell>
          <cell r="E5" t="str">
            <v>1.315***</v>
          </cell>
        </row>
        <row r="6">
          <cell r="B6" t="str">
            <v>(0.00288)</v>
          </cell>
          <cell r="C6" t="str">
            <v>(1,794)</v>
          </cell>
          <cell r="D6" t="str">
            <v>(0.0729)</v>
          </cell>
          <cell r="E6" t="str">
            <v>(0.0619)</v>
          </cell>
        </row>
        <row r="7">
          <cell r="B7" t="str">
            <v/>
          </cell>
          <cell r="C7" t="str">
            <v/>
          </cell>
          <cell r="D7" t="str">
            <v/>
          </cell>
          <cell r="E7" t="str">
            <v/>
          </cell>
        </row>
        <row r="8">
          <cell r="B8" t="str">
            <v>3,330</v>
          </cell>
          <cell r="C8" t="str">
            <v>1,723</v>
          </cell>
          <cell r="D8" t="str">
            <v>1,723</v>
          </cell>
          <cell r="E8" t="str">
            <v>1,723</v>
          </cell>
        </row>
        <row r="10">
          <cell r="A10" t="str">
            <v>Ignores prob. (%)</v>
          </cell>
          <cell r="B10" t="str">
            <v>13.08</v>
          </cell>
          <cell r="C10" t="str">
            <v/>
          </cell>
          <cell r="D10" t="str">
            <v/>
          </cell>
          <cell r="E10" t="str">
            <v/>
          </cell>
        </row>
        <row r="11">
          <cell r="A11" t="str">
            <v>Standard deviation</v>
          </cell>
          <cell r="B11" t="str">
            <v>0.166</v>
          </cell>
          <cell r="C11" t="str">
            <v>74471</v>
          </cell>
          <cell r="D11" t="str">
            <v>3.026</v>
          </cell>
          <cell r="E11" t="str">
            <v>2.570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E17"/>
  <sheetViews>
    <sheetView workbookViewId="0">
      <selection activeCell="C15" sqref="C15"/>
    </sheetView>
  </sheetViews>
  <sheetFormatPr defaultColWidth="9.08984375" defaultRowHeight="14.5" x14ac:dyDescent="0.35"/>
  <cols>
    <col min="1" max="1" width="15" bestFit="1" customWidth="1"/>
  </cols>
  <sheetData>
    <row r="2" spans="1:5" ht="15" thickBot="1" x14ac:dyDescent="0.4">
      <c r="A2" s="2"/>
      <c r="B2" s="15" t="s">
        <v>9</v>
      </c>
      <c r="C2" s="15"/>
      <c r="D2" s="15" t="s">
        <v>6</v>
      </c>
      <c r="E2" s="15"/>
    </row>
    <row r="3" spans="1:5" ht="15" thickTop="1" x14ac:dyDescent="0.35">
      <c r="B3" s="1" t="s">
        <v>7</v>
      </c>
      <c r="C3" s="1" t="s">
        <v>8</v>
      </c>
      <c r="D3" s="1" t="s">
        <v>7</v>
      </c>
      <c r="E3" s="1" t="s">
        <v>8</v>
      </c>
    </row>
    <row r="4" spans="1:5" ht="15" thickBot="1" x14ac:dyDescent="0.4">
      <c r="A4" s="2" t="str">
        <f>[1]prediction_cases_pooled!A2</f>
        <v/>
      </c>
      <c r="B4" s="3" t="str">
        <f>[1]prediction_cases_pooled!B2</f>
        <v>(1)</v>
      </c>
      <c r="C4" s="3" t="str">
        <f>[1]prediction_cases_pooled!C2</f>
        <v>(2)</v>
      </c>
      <c r="D4" s="3" t="str">
        <f>[1]prediction_cases_pooled!D2</f>
        <v>(3)</v>
      </c>
      <c r="E4" s="3" t="str">
        <f>[1]prediction_cases_pooled!E2</f>
        <v>(4)</v>
      </c>
    </row>
    <row r="5" spans="1:5" ht="15" thickTop="1" x14ac:dyDescent="0.35">
      <c r="A5" t="s">
        <v>2</v>
      </c>
      <c r="B5" s="1" t="str">
        <f>[1]prediction_cases_pooled!B8</f>
        <v>0.070</v>
      </c>
      <c r="C5" s="1" t="str">
        <f>[1]prediction_cases_pooled!C8</f>
        <v>11410.9</v>
      </c>
      <c r="D5" s="1" t="str">
        <f>[1]prediction_cases_pooled!D8</f>
        <v>0.28</v>
      </c>
      <c r="E5" s="1" t="str">
        <f>[1]prediction_cases_pooled!E8</f>
        <v>-0.17</v>
      </c>
    </row>
    <row r="6" spans="1:5" x14ac:dyDescent="0.35">
      <c r="A6" t="str">
        <f>[1]prediction_cases_pooled!A9</f>
        <v/>
      </c>
      <c r="B6" s="1" t="str">
        <f>[1]prediction_cases_pooled!B9</f>
        <v>(0.044)</v>
      </c>
      <c r="C6" s="1" t="str">
        <f>[1]prediction_cases_pooled!C9</f>
        <v>(13314.9)</v>
      </c>
      <c r="D6" s="1" t="str">
        <f>[1]prediction_cases_pooled!D9</f>
        <v>(0.18)</v>
      </c>
      <c r="E6" s="1" t="str">
        <f>[1]prediction_cases_pooled!E9</f>
        <v>(0.71)</v>
      </c>
    </row>
    <row r="7" spans="1:5" x14ac:dyDescent="0.35">
      <c r="A7" t="s">
        <v>3</v>
      </c>
      <c r="B7" s="1" t="str">
        <f>[1]prediction_cases_pooled!B11</f>
        <v>-0.25***</v>
      </c>
      <c r="C7" s="1" t="str">
        <f>[1]prediction_cases_pooled!C11</f>
        <v>-21804.2*</v>
      </c>
      <c r="D7" s="1" t="str">
        <f>[1]prediction_cases_pooled!D11</f>
        <v>-0.86***</v>
      </c>
      <c r="E7" s="1" t="str">
        <f>[1]prediction_cases_pooled!E11</f>
        <v>-0.51</v>
      </c>
    </row>
    <row r="8" spans="1:5" x14ac:dyDescent="0.35">
      <c r="A8" t="str">
        <f>[1]prediction_cases_pooled!A12</f>
        <v/>
      </c>
      <c r="B8" s="1" t="str">
        <f>[1]prediction_cases_pooled!B12</f>
        <v>(0.042)</v>
      </c>
      <c r="C8" s="1" t="str">
        <f>[1]prediction_cases_pooled!C12</f>
        <v>(12614.9)</v>
      </c>
      <c r="D8" s="1" t="str">
        <f>[1]prediction_cases_pooled!D12</f>
        <v>(0.17)</v>
      </c>
      <c r="E8" s="1" t="str">
        <f>[1]prediction_cases_pooled!E12</f>
        <v>(0.67)</v>
      </c>
    </row>
    <row r="9" spans="1:5" x14ac:dyDescent="0.35">
      <c r="A9" t="s">
        <v>1</v>
      </c>
      <c r="B9" s="1" t="str">
        <f>[1]prediction_cases_pooled!B14</f>
        <v>0.74***</v>
      </c>
      <c r="C9" s="1" t="str">
        <f>[1]prediction_cases_pooled!C14</f>
        <v>66755.3***</v>
      </c>
      <c r="D9" s="1" t="str">
        <f>[1]prediction_cases_pooled!D14</f>
        <v>1.70***</v>
      </c>
      <c r="E9" s="1" t="str">
        <f>[1]prediction_cases_pooled!E14</f>
        <v>1.00*</v>
      </c>
    </row>
    <row r="10" spans="1:5" x14ac:dyDescent="0.35">
      <c r="A10" t="str">
        <f>[1]prediction_cases_pooled!A15</f>
        <v/>
      </c>
      <c r="B10" s="1" t="str">
        <f>[1]prediction_cases_pooled!B15</f>
        <v>(0.036)</v>
      </c>
      <c r="C10" s="1" t="str">
        <f>[1]prediction_cases_pooled!C15</f>
        <v>(10791.5)</v>
      </c>
      <c r="D10" s="1" t="str">
        <f>[1]prediction_cases_pooled!D15</f>
        <v>(0.15)</v>
      </c>
      <c r="E10" s="1" t="str">
        <f>[1]prediction_cases_pooled!E15</f>
        <v>(0.58)</v>
      </c>
    </row>
    <row r="11" spans="1:5" x14ac:dyDescent="0.35">
      <c r="B11" s="1"/>
      <c r="C11" s="1"/>
      <c r="D11" s="1"/>
      <c r="E11" s="1"/>
    </row>
    <row r="12" spans="1:5" x14ac:dyDescent="0.35">
      <c r="A12" s="6" t="s">
        <v>0</v>
      </c>
      <c r="B12" s="7" t="str">
        <f>[1]prediction_cases_pooled!B17</f>
        <v>1274</v>
      </c>
      <c r="C12" s="7" t="str">
        <f>[1]prediction_cases_pooled!C17</f>
        <v>1104</v>
      </c>
      <c r="D12" s="7" t="str">
        <f>[1]prediction_cases_pooled!D17</f>
        <v>1177</v>
      </c>
      <c r="E12" s="7" t="str">
        <f>[1]prediction_cases_pooled!E17</f>
        <v>1032</v>
      </c>
    </row>
    <row r="13" spans="1:5" x14ac:dyDescent="0.35">
      <c r="A13" t="s">
        <v>4</v>
      </c>
      <c r="B13" s="1" t="s">
        <v>5</v>
      </c>
      <c r="C13" s="1" t="s">
        <v>5</v>
      </c>
      <c r="D13" s="1" t="s">
        <v>5</v>
      </c>
      <c r="E13" s="1" t="s">
        <v>5</v>
      </c>
    </row>
    <row r="14" spans="1:5" x14ac:dyDescent="0.35">
      <c r="A14" t="str">
        <f>[1]prediction_cases_pooled!A18</f>
        <v>R-squared</v>
      </c>
      <c r="B14" s="1" t="str">
        <f>[1]prediction_cases_pooled!B18</f>
        <v>0.79</v>
      </c>
      <c r="C14" s="1" t="str">
        <f>[1]prediction_cases_pooled!C18</f>
        <v>0.91</v>
      </c>
      <c r="D14" s="1" t="str">
        <f>[1]prediction_cases_pooled!D18</f>
        <v>0.96</v>
      </c>
      <c r="E14" s="1" t="str">
        <f>[1]prediction_cases_pooled!E18</f>
        <v>0.89</v>
      </c>
    </row>
    <row r="15" spans="1:5" x14ac:dyDescent="0.35">
      <c r="A15" t="str">
        <f>[1]prediction_cases_pooled!A19</f>
        <v>p-value:Emp Law</v>
      </c>
      <c r="B15" s="1">
        <f>ROUND([1]prediction_cases_pooled!B19,1)</f>
        <v>0</v>
      </c>
      <c r="C15" s="1">
        <f>ROUND([1]prediction_cases_pooled!C19,1)</f>
        <v>0</v>
      </c>
      <c r="D15" s="1">
        <f>ROUND([1]prediction_cases_pooled!D19,1)</f>
        <v>0</v>
      </c>
      <c r="E15" s="1">
        <f>ROUND([1]prediction_cases_pooled!E19,1)</f>
        <v>0</v>
      </c>
    </row>
    <row r="16" spans="1:5" ht="15" thickBot="1" x14ac:dyDescent="0.4">
      <c r="A16" s="4" t="str">
        <f>[1]prediction_cases_pooled!A20</f>
        <v>p-value:Firm Law</v>
      </c>
      <c r="B16" s="5">
        <f>ROUND([1]prediction_cases_pooled!B20,1)</f>
        <v>0</v>
      </c>
      <c r="C16" s="5">
        <f>ROUND([1]prediction_cases_pooled!C20,1)</f>
        <v>0</v>
      </c>
      <c r="D16" s="5">
        <f>ROUND([1]prediction_cases_pooled!D20,1)</f>
        <v>0</v>
      </c>
      <c r="E16" s="5">
        <f>ROUND([1]prediction_cases_pooled!E20,1)</f>
        <v>0</v>
      </c>
    </row>
    <row r="17" ht="15" thickTop="1" x14ac:dyDescent="0.35"/>
  </sheetData>
  <mergeCells count="2">
    <mergeCell ref="B2:C2"/>
    <mergeCell ref="D2:E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F32"/>
  <sheetViews>
    <sheetView tabSelected="1" workbookViewId="0">
      <selection activeCell="A3" sqref="A3:F31"/>
    </sheetView>
  </sheetViews>
  <sheetFormatPr defaultColWidth="10.90625" defaultRowHeight="14.5" x14ac:dyDescent="0.35"/>
  <cols>
    <col min="1" max="1" width="27.81640625" bestFit="1" customWidth="1"/>
    <col min="2" max="2" width="10.1796875" bestFit="1" customWidth="1"/>
    <col min="3" max="3" width="10.36328125" bestFit="1" customWidth="1"/>
    <col min="4" max="4" width="3.90625" customWidth="1"/>
    <col min="5" max="5" width="13.453125" bestFit="1" customWidth="1"/>
    <col min="6" max="6" width="13.7265625" bestFit="1" customWidth="1"/>
  </cols>
  <sheetData>
    <row r="3" spans="1:6" ht="15" thickBot="1" x14ac:dyDescent="0.4">
      <c r="A3" s="17" t="s">
        <v>10</v>
      </c>
      <c r="B3" s="18"/>
      <c r="C3" s="18"/>
      <c r="D3" s="18"/>
      <c r="E3" s="18"/>
      <c r="F3" s="18"/>
    </row>
    <row r="4" spans="1:6" x14ac:dyDescent="0.35">
      <c r="A4" s="9"/>
      <c r="B4" s="19" t="s">
        <v>9</v>
      </c>
      <c r="C4" s="19"/>
      <c r="D4" s="10"/>
      <c r="E4" s="19" t="s">
        <v>6</v>
      </c>
      <c r="F4" s="19"/>
    </row>
    <row r="5" spans="1:6" x14ac:dyDescent="0.35">
      <c r="B5" s="1" t="s">
        <v>7</v>
      </c>
      <c r="C5" s="1" t="s">
        <v>8</v>
      </c>
      <c r="D5" s="1"/>
      <c r="E5" s="1" t="s">
        <v>7</v>
      </c>
      <c r="F5" s="1" t="s">
        <v>8</v>
      </c>
    </row>
    <row r="6" spans="1:6" ht="15" thickBot="1" x14ac:dyDescent="0.4">
      <c r="A6" s="2" t="str">
        <f>[1]prediction_cases_pooled!A2</f>
        <v/>
      </c>
      <c r="B6" s="8" t="str">
        <f>[1]prediction_cases_pooled!B2</f>
        <v>(1)</v>
      </c>
      <c r="C6" s="8" t="str">
        <f>[1]prediction_cases_pooled!C2</f>
        <v>(2)</v>
      </c>
      <c r="D6" s="13"/>
      <c r="E6" s="8" t="str">
        <f>[1]prediction_cases_pooled!D2</f>
        <v>(3)</v>
      </c>
      <c r="F6" s="8" t="str">
        <f>[1]prediction_cases_pooled!E2</f>
        <v>(4)</v>
      </c>
    </row>
    <row r="7" spans="1:6" ht="15" thickTop="1" x14ac:dyDescent="0.35">
      <c r="A7" t="s">
        <v>2</v>
      </c>
      <c r="B7" s="1" t="str">
        <f>[1]prediction_cases_pooled!B8</f>
        <v>0.070</v>
      </c>
      <c r="C7" s="1" t="str">
        <f>[1]prediction_cases_pooled!C8</f>
        <v>11410.9</v>
      </c>
      <c r="D7" s="1"/>
      <c r="E7" s="1" t="str">
        <f>[1]prediction_cases_pooled!D8</f>
        <v>0.28</v>
      </c>
      <c r="F7" s="1" t="str">
        <f>[1]prediction_cases_pooled!E8</f>
        <v>-0.17</v>
      </c>
    </row>
    <row r="8" spans="1:6" x14ac:dyDescent="0.35">
      <c r="A8" t="str">
        <f>[1]prediction_cases_pooled!A9</f>
        <v/>
      </c>
      <c r="B8" s="1" t="str">
        <f>[1]prediction_cases_pooled!B9</f>
        <v>(0.044)</v>
      </c>
      <c r="C8" s="1" t="str">
        <f>[1]prediction_cases_pooled!C9</f>
        <v>(13314.9)</v>
      </c>
      <c r="D8" s="1"/>
      <c r="E8" s="1" t="str">
        <f>[1]prediction_cases_pooled!D9</f>
        <v>(0.18)</v>
      </c>
      <c r="F8" s="1" t="str">
        <f>[1]prediction_cases_pooled!E9</f>
        <v>(0.71)</v>
      </c>
    </row>
    <row r="9" spans="1:6" x14ac:dyDescent="0.35">
      <c r="A9" t="s">
        <v>3</v>
      </c>
      <c r="B9" s="1" t="str">
        <f>[1]prediction_cases_pooled!B11</f>
        <v>-0.25***</v>
      </c>
      <c r="C9" s="1" t="str">
        <f>[1]prediction_cases_pooled!C11</f>
        <v>-21804.2*</v>
      </c>
      <c r="D9" s="1"/>
      <c r="E9" s="1" t="str">
        <f>[1]prediction_cases_pooled!D11</f>
        <v>-0.86***</v>
      </c>
      <c r="F9" s="1" t="str">
        <f>[1]prediction_cases_pooled!E11</f>
        <v>-0.51</v>
      </c>
    </row>
    <row r="10" spans="1:6" x14ac:dyDescent="0.35">
      <c r="A10" t="str">
        <f>[1]prediction_cases_pooled!A12</f>
        <v/>
      </c>
      <c r="B10" s="1" t="str">
        <f>[1]prediction_cases_pooled!B12</f>
        <v>(0.042)</v>
      </c>
      <c r="C10" s="1" t="str">
        <f>[1]prediction_cases_pooled!C12</f>
        <v>(12614.9)</v>
      </c>
      <c r="D10" s="1"/>
      <c r="E10" s="1" t="str">
        <f>[1]prediction_cases_pooled!D12</f>
        <v>(0.17)</v>
      </c>
      <c r="F10" s="1" t="str">
        <f>[1]prediction_cases_pooled!E12</f>
        <v>(0.67)</v>
      </c>
    </row>
    <row r="11" spans="1:6" x14ac:dyDescent="0.35">
      <c r="A11" t="s">
        <v>1</v>
      </c>
      <c r="B11" s="1" t="str">
        <f>[1]prediction_cases_pooled!B14</f>
        <v>0.74***</v>
      </c>
      <c r="C11" s="1" t="str">
        <f>[1]prediction_cases_pooled!C14</f>
        <v>66755.3***</v>
      </c>
      <c r="D11" s="1"/>
      <c r="E11" s="1" t="str">
        <f>[1]prediction_cases_pooled!D14</f>
        <v>1.70***</v>
      </c>
      <c r="F11" s="1" t="str">
        <f>[1]prediction_cases_pooled!E14</f>
        <v>1.00*</v>
      </c>
    </row>
    <row r="12" spans="1:6" x14ac:dyDescent="0.35">
      <c r="A12" t="str">
        <f>[1]prediction_cases_pooled!A15</f>
        <v/>
      </c>
      <c r="B12" s="1" t="str">
        <f>[1]prediction_cases_pooled!B15</f>
        <v>(0.036)</v>
      </c>
      <c r="C12" s="1" t="str">
        <f>[1]prediction_cases_pooled!C15</f>
        <v>(10791.5)</v>
      </c>
      <c r="D12" s="1"/>
      <c r="E12" s="1" t="str">
        <f>[1]prediction_cases_pooled!D15</f>
        <v>(0.15)</v>
      </c>
      <c r="F12" s="1" t="str">
        <f>[1]prediction_cases_pooled!E15</f>
        <v>(0.58)</v>
      </c>
    </row>
    <row r="13" spans="1:6" x14ac:dyDescent="0.35">
      <c r="B13" s="1"/>
      <c r="C13" s="1"/>
      <c r="D13" s="1"/>
      <c r="E13" s="1"/>
      <c r="F13" s="1"/>
    </row>
    <row r="14" spans="1:6" x14ac:dyDescent="0.35">
      <c r="A14" s="6" t="s">
        <v>0</v>
      </c>
      <c r="B14" s="7" t="str">
        <f>[1]prediction_cases_pooled!B17</f>
        <v>1274</v>
      </c>
      <c r="C14" s="7" t="str">
        <f>[1]prediction_cases_pooled!C17</f>
        <v>1104</v>
      </c>
      <c r="D14" s="14"/>
      <c r="E14" s="7" t="str">
        <f>[1]prediction_cases_pooled!D17</f>
        <v>1177</v>
      </c>
      <c r="F14" s="7" t="str">
        <f>[1]prediction_cases_pooled!E17</f>
        <v>1032</v>
      </c>
    </row>
    <row r="15" spans="1:6" x14ac:dyDescent="0.35">
      <c r="A15" t="s">
        <v>4</v>
      </c>
      <c r="B15" s="1" t="s">
        <v>5</v>
      </c>
      <c r="C15" s="1" t="s">
        <v>5</v>
      </c>
      <c r="D15" s="1"/>
      <c r="E15" s="1" t="s">
        <v>5</v>
      </c>
      <c r="F15" s="1" t="s">
        <v>5</v>
      </c>
    </row>
    <row r="16" spans="1:6" x14ac:dyDescent="0.35">
      <c r="A16" t="str">
        <f>[1]prediction_cases_pooled!A18</f>
        <v>R-squared</v>
      </c>
      <c r="B16" s="1">
        <f>ROUND([1]prediction_cases_pooled!B18,2)</f>
        <v>0.79</v>
      </c>
      <c r="C16" s="1">
        <f>ROUND([1]prediction_cases_pooled!C18,2)</f>
        <v>0.91</v>
      </c>
      <c r="D16" s="1"/>
      <c r="E16" s="1">
        <f>ROUND([1]prediction_cases_pooled!D18,2)</f>
        <v>0.96</v>
      </c>
      <c r="F16" s="1">
        <f>ROUND([1]prediction_cases_pooled!E18,2)</f>
        <v>0.89</v>
      </c>
    </row>
    <row r="17" spans="1:6" x14ac:dyDescent="0.35">
      <c r="A17" t="str">
        <f>[1]prediction_cases_pooled!A19</f>
        <v>p-value:Emp Law</v>
      </c>
      <c r="B17" s="1">
        <f>ROUND([1]prediction_cases_pooled!B19,2)</f>
        <v>0</v>
      </c>
      <c r="C17" s="1">
        <f>ROUND([1]prediction_cases_pooled!C19,2)</f>
        <v>0</v>
      </c>
      <c r="D17" s="1"/>
      <c r="E17" s="1">
        <f>ROUND([1]prediction_cases_pooled!D19,2)</f>
        <v>0</v>
      </c>
      <c r="F17" s="1">
        <f>ROUND([1]prediction_cases_pooled!E19,2)</f>
        <v>0</v>
      </c>
    </row>
    <row r="18" spans="1:6" ht="15" thickBot="1" x14ac:dyDescent="0.4">
      <c r="A18" s="4" t="str">
        <f>[1]prediction_cases_pooled!A20</f>
        <v>p-value:Firm Law</v>
      </c>
      <c r="B18" s="5">
        <f>ROUND([1]prediction_cases_pooled!B20,2)</f>
        <v>0</v>
      </c>
      <c r="C18" s="5">
        <f>ROUND([1]prediction_cases_pooled!C20,2)</f>
        <v>0</v>
      </c>
      <c r="D18" s="5"/>
      <c r="E18" s="5">
        <f>ROUND([1]prediction_cases_pooled!D20,2)</f>
        <v>0</v>
      </c>
      <c r="F18" s="5">
        <f>ROUND([1]prediction_cases_pooled!E20,2)</f>
        <v>0.04</v>
      </c>
    </row>
    <row r="19" spans="1:6" ht="15" thickTop="1" x14ac:dyDescent="0.35">
      <c r="A19" s="9"/>
      <c r="B19" s="1"/>
      <c r="C19" s="10"/>
      <c r="D19" s="10"/>
      <c r="E19" s="10"/>
      <c r="F19" s="10"/>
    </row>
    <row r="20" spans="1:6" ht="15" thickBot="1" x14ac:dyDescent="0.4">
      <c r="A20" s="17" t="s">
        <v>11</v>
      </c>
      <c r="B20" s="18"/>
      <c r="C20" s="18"/>
      <c r="D20" s="18"/>
      <c r="E20" s="18"/>
      <c r="F20" s="18"/>
    </row>
    <row r="21" spans="1:6" x14ac:dyDescent="0.35">
      <c r="A21" s="9"/>
      <c r="B21" s="19" t="s">
        <v>9</v>
      </c>
      <c r="C21" s="19"/>
      <c r="D21" s="10"/>
      <c r="E21" s="19" t="s">
        <v>6</v>
      </c>
      <c r="F21" s="19"/>
    </row>
    <row r="22" spans="1:6" x14ac:dyDescent="0.35">
      <c r="A22" s="9"/>
      <c r="B22" s="10" t="s">
        <v>7</v>
      </c>
      <c r="C22" s="10" t="s">
        <v>8</v>
      </c>
      <c r="D22" s="10"/>
      <c r="E22" s="16" t="s">
        <v>8</v>
      </c>
      <c r="F22" s="16"/>
    </row>
    <row r="23" spans="1:6" ht="15" thickBot="1" x14ac:dyDescent="0.4">
      <c r="A23" s="2"/>
      <c r="B23" s="13" t="str">
        <f>[2]Sheet1!B2</f>
        <v>(1)</v>
      </c>
      <c r="C23" s="13" t="str">
        <f>[2]Sheet1!C2</f>
        <v>(2)</v>
      </c>
      <c r="D23" s="13"/>
      <c r="E23" s="13" t="str">
        <f>[2]Sheet1!D2</f>
        <v>(3)</v>
      </c>
      <c r="F23" s="13" t="str">
        <f>[2]Sheet1!E2</f>
        <v>(4)</v>
      </c>
    </row>
    <row r="24" spans="1:6" ht="15" thickTop="1" x14ac:dyDescent="0.35">
      <c r="A24" s="9" t="s">
        <v>15</v>
      </c>
      <c r="B24" s="10" t="str">
        <f>[2]Sheet1!B5</f>
        <v>0.885***</v>
      </c>
      <c r="C24" s="10" t="str">
        <f>[2]Sheet1!C5</f>
        <v>58,077***</v>
      </c>
      <c r="D24" s="10"/>
      <c r="E24" s="10" t="str">
        <f>[2]Sheet1!D5</f>
        <v>1.713***</v>
      </c>
      <c r="F24" s="10" t="str">
        <f>[2]Sheet1!E5</f>
        <v>1.315***</v>
      </c>
    </row>
    <row r="25" spans="1:6" x14ac:dyDescent="0.35">
      <c r="A25" s="9"/>
      <c r="B25" s="10" t="str">
        <f>[2]Sheet1!B6</f>
        <v>(0.00288)</v>
      </c>
      <c r="C25" s="10" t="str">
        <f>[2]Sheet1!C6</f>
        <v>(1,794)</v>
      </c>
      <c r="D25" s="10"/>
      <c r="E25" s="10" t="str">
        <f>[2]Sheet1!D6</f>
        <v>(0.0729)</v>
      </c>
      <c r="F25" s="10" t="str">
        <f>[2]Sheet1!E6</f>
        <v>(0.0619)</v>
      </c>
    </row>
    <row r="26" spans="1:6" x14ac:dyDescent="0.35">
      <c r="A26" s="9" t="s">
        <v>16</v>
      </c>
      <c r="B26" s="10" t="str">
        <f>[2]Sheet1!B11</f>
        <v>0.166</v>
      </c>
      <c r="C26" s="10" t="str">
        <f>[2]Sheet1!C11</f>
        <v>74471</v>
      </c>
      <c r="D26" s="10"/>
      <c r="E26" s="10" t="str">
        <f>[2]Sheet1!D11</f>
        <v>3.026</v>
      </c>
      <c r="F26" s="10" t="str">
        <f>[2]Sheet1!E11</f>
        <v>2.570</v>
      </c>
    </row>
    <row r="27" spans="1:6" x14ac:dyDescent="0.35">
      <c r="A27" s="11"/>
      <c r="B27" s="12" t="str">
        <f>[2]Sheet1!B7</f>
        <v/>
      </c>
      <c r="C27" s="12" t="str">
        <f>[2]Sheet1!C7</f>
        <v/>
      </c>
      <c r="D27" s="12"/>
      <c r="E27" s="12" t="str">
        <f>[2]Sheet1!D7</f>
        <v/>
      </c>
      <c r="F27" s="12" t="str">
        <f>[2]Sheet1!E7</f>
        <v/>
      </c>
    </row>
    <row r="28" spans="1:6" x14ac:dyDescent="0.35">
      <c r="A28" t="s">
        <v>0</v>
      </c>
      <c r="B28" s="1" t="str">
        <f>[2]Sheet1!B8</f>
        <v>3,330</v>
      </c>
      <c r="C28" s="1" t="str">
        <f>[2]Sheet1!C8</f>
        <v>1,723</v>
      </c>
      <c r="D28" s="1"/>
      <c r="E28" s="1" t="str">
        <f>[2]Sheet1!D8</f>
        <v>1,723</v>
      </c>
      <c r="F28" s="1" t="str">
        <f>[2]Sheet1!E8</f>
        <v>1,723</v>
      </c>
    </row>
    <row r="29" spans="1:6" x14ac:dyDescent="0.35">
      <c r="A29" t="str">
        <f>[2]Sheet1!A10</f>
        <v>Ignores prob. (%)</v>
      </c>
      <c r="B29" s="1" t="str">
        <f>[2]Sheet1!B10</f>
        <v>13.08</v>
      </c>
      <c r="C29" s="1" t="str">
        <f>[2]Sheet1!C10</f>
        <v/>
      </c>
      <c r="D29" s="1"/>
      <c r="E29" s="1" t="str">
        <f>[2]Sheet1!D10</f>
        <v/>
      </c>
      <c r="F29" s="1" t="str">
        <f>[2]Sheet1!E10</f>
        <v/>
      </c>
    </row>
    <row r="30" spans="1:6" x14ac:dyDescent="0.35">
      <c r="A30" t="str">
        <f>[2]Sheet1!A11</f>
        <v>Standard deviation</v>
      </c>
      <c r="B30" s="1" t="str">
        <f>[2]Sheet1!B11</f>
        <v>0.166</v>
      </c>
      <c r="C30" s="1" t="str">
        <f>[2]Sheet1!C11</f>
        <v>74471</v>
      </c>
      <c r="D30" s="1"/>
      <c r="E30" s="1" t="str">
        <f>[2]Sheet1!D11</f>
        <v>3.026</v>
      </c>
      <c r="F30" s="1" t="str">
        <f>[2]Sheet1!E11</f>
        <v>2.570</v>
      </c>
    </row>
    <row r="31" spans="1:6" ht="15" thickBot="1" x14ac:dyDescent="0.4">
      <c r="A31" s="4" t="s">
        <v>12</v>
      </c>
      <c r="B31" s="5"/>
      <c r="C31" s="5"/>
      <c r="D31" s="5"/>
      <c r="E31" s="5" t="s">
        <v>13</v>
      </c>
      <c r="F31" s="5" t="s">
        <v>14</v>
      </c>
    </row>
    <row r="32" spans="1:6" ht="15" thickTop="1" x14ac:dyDescent="0.35"/>
  </sheetData>
  <mergeCells count="7">
    <mergeCell ref="E22:F22"/>
    <mergeCell ref="B4:C4"/>
    <mergeCell ref="E4:F4"/>
    <mergeCell ref="A3:F3"/>
    <mergeCell ref="A20:F20"/>
    <mergeCell ref="B21:C21"/>
    <mergeCell ref="E21:F21"/>
  </mergeCells>
  <pageMargins left="0.7" right="0.7" top="0.75" bottom="0.75" header="0.3" footer="0.3"/>
  <pageSetup orientation="portrait" horizontalDpi="4294967294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prediction_cases_pooled</vt:lpstr>
      <vt:lpstr>prediction_cases_pooled_panels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xps-seira</dc:creator>
  <cp:lastModifiedBy>isaac</cp:lastModifiedBy>
  <dcterms:created xsi:type="dcterms:W3CDTF">2018-09-20T23:47:22Z</dcterms:created>
  <dcterms:modified xsi:type="dcterms:W3CDTF">2022-03-01T23:58:46Z</dcterms:modified>
</cp:coreProperties>
</file>