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yce\Dropbox\Documentos_\Joyce_Seira\Pilot1\information_sett\paper\Tables\"/>
    </mc:Choice>
  </mc:AlternateContent>
  <xr:revisionPtr revIDLastSave="0" documentId="13_ncr:1_{D135DF21-BA62-44D5-9376-ADBABE596B0A}" xr6:coauthVersionLast="41" xr6:coauthVersionMax="41" xr10:uidLastSave="{00000000-0000-0000-0000-000000000000}"/>
  <bookViews>
    <workbookView xWindow="-120" yWindow="-120" windowWidth="19800" windowHeight="11760" xr2:uid="{DE8AF6F4-384C-4B0F-A181-36BAD3FF1F95}"/>
  </bookViews>
  <sheets>
    <sheet name="te_bylawyer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6" i="1" l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F6" i="1"/>
  <c r="F7" i="1"/>
  <c r="F8" i="1"/>
  <c r="F9" i="1"/>
  <c r="F10" i="1"/>
  <c r="F11" i="1"/>
  <c r="F12" i="1"/>
  <c r="F13" i="1"/>
  <c r="G15" i="1"/>
  <c r="H15" i="1"/>
  <c r="I15" i="1"/>
  <c r="G16" i="1"/>
  <c r="H16" i="1"/>
  <c r="I16" i="1"/>
  <c r="G18" i="1"/>
  <c r="H18" i="1"/>
  <c r="I18" i="1"/>
  <c r="G19" i="1"/>
  <c r="H19" i="1"/>
  <c r="I19" i="1"/>
  <c r="F19" i="1"/>
  <c r="F18" i="1"/>
  <c r="F16" i="1"/>
  <c r="F15" i="1"/>
  <c r="G10" i="1"/>
  <c r="G11" i="1"/>
  <c r="G12" i="1"/>
  <c r="G13" i="1"/>
  <c r="G6" i="1"/>
  <c r="G7" i="1"/>
  <c r="C15" i="1"/>
  <c r="D15" i="1"/>
  <c r="E15" i="1"/>
  <c r="C16" i="1"/>
  <c r="D16" i="1"/>
  <c r="E16" i="1"/>
  <c r="C18" i="1"/>
  <c r="D18" i="1"/>
  <c r="E18" i="1"/>
  <c r="C19" i="1"/>
  <c r="D19" i="1"/>
  <c r="E19" i="1"/>
  <c r="B19" i="1"/>
  <c r="B18" i="1"/>
  <c r="B16" i="1"/>
  <c r="B15" i="1"/>
  <c r="C12" i="1"/>
  <c r="D12" i="1"/>
  <c r="E12" i="1"/>
  <c r="C13" i="1"/>
  <c r="D13" i="1"/>
  <c r="E13" i="1"/>
  <c r="B13" i="1"/>
  <c r="B12" i="1"/>
  <c r="C10" i="1"/>
  <c r="D10" i="1"/>
  <c r="E10" i="1"/>
  <c r="C11" i="1"/>
  <c r="D11" i="1"/>
  <c r="E11" i="1"/>
  <c r="B11" i="1"/>
  <c r="B10" i="1"/>
  <c r="C6" i="1"/>
  <c r="D6" i="1"/>
  <c r="E6" i="1"/>
  <c r="C7" i="1"/>
  <c r="D7" i="1"/>
  <c r="E7" i="1"/>
  <c r="B7" i="1"/>
  <c r="B6" i="1"/>
  <c r="G8" i="1" l="1"/>
  <c r="G9" i="1"/>
  <c r="B8" i="1"/>
  <c r="C8" i="1"/>
  <c r="D8" i="1"/>
  <c r="E8" i="1"/>
  <c r="A9" i="1"/>
  <c r="B9" i="1"/>
  <c r="C9" i="1"/>
  <c r="D9" i="1"/>
  <c r="E9" i="1"/>
  <c r="A11" i="1"/>
  <c r="A13" i="1"/>
  <c r="A7" i="1"/>
  <c r="B5" i="1"/>
  <c r="C5" i="1"/>
  <c r="D5" i="1"/>
  <c r="E5" i="1"/>
  <c r="A5" i="1"/>
</calcChain>
</file>

<file path=xl/sharedStrings.xml><?xml version="1.0" encoding="utf-8"?>
<sst xmlns="http://schemas.openxmlformats.org/spreadsheetml/2006/main" count="32" uniqueCount="21">
  <si>
    <t>Observations</t>
  </si>
  <si>
    <t>Court dummies</t>
  </si>
  <si>
    <t>YES</t>
  </si>
  <si>
    <t>Emp present (EP)</t>
  </si>
  <si>
    <t>Calculator#EP</t>
  </si>
  <si>
    <t xml:space="preserve">Calculator  </t>
  </si>
  <si>
    <t xml:space="preserve">Control (Constant) </t>
  </si>
  <si>
    <t>Private</t>
  </si>
  <si>
    <t>Public</t>
  </si>
  <si>
    <t>Phase 1/2</t>
  </si>
  <si>
    <t>(5)</t>
  </si>
  <si>
    <t>(6)</t>
  </si>
  <si>
    <t>(7)</t>
  </si>
  <si>
    <t>(8)</t>
  </si>
  <si>
    <t xml:space="preserve">Same day </t>
  </si>
  <si>
    <t>2 months</t>
  </si>
  <si>
    <t>5 months</t>
  </si>
  <si>
    <t>Long run</t>
  </si>
  <si>
    <t>R-Squared</t>
  </si>
  <si>
    <t>DepVarMean</t>
  </si>
  <si>
    <t>InteractionVarMean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</si>
</sst>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2" xfId="0" applyBorder="1"/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4" xfId="0" quotePrefix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" xfId="0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eg_results/te_private.csv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reg_results/te_public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_private"/>
    </sheetNames>
    <sheetDataSet>
      <sheetData sheetId="0">
        <row r="2">
          <cell r="A2" t="str">
            <v/>
          </cell>
          <cell r="B2" t="str">
            <v>(1)</v>
          </cell>
          <cell r="C2" t="str">
            <v>(2)</v>
          </cell>
          <cell r="D2" t="str">
            <v>(3)</v>
          </cell>
          <cell r="E2" t="str">
            <v>(4)</v>
          </cell>
        </row>
        <row r="8">
          <cell r="B8" t="str">
            <v>0.015</v>
          </cell>
          <cell r="C8" t="str">
            <v>0.0039</v>
          </cell>
          <cell r="D8" t="str">
            <v>-0.012</v>
          </cell>
          <cell r="E8" t="str">
            <v>-0.017</v>
          </cell>
        </row>
        <row r="9">
          <cell r="A9" t="str">
            <v/>
          </cell>
          <cell r="B9" t="str">
            <v>(0.016)</v>
          </cell>
          <cell r="C9" t="str">
            <v>(0.024)</v>
          </cell>
          <cell r="D9" t="str">
            <v>(0.028)</v>
          </cell>
          <cell r="E9" t="str">
            <v>(0.028)</v>
          </cell>
        </row>
        <row r="14">
          <cell r="B14" t="str">
            <v>0.11**</v>
          </cell>
          <cell r="C14" t="str">
            <v>0.091*</v>
          </cell>
          <cell r="D14" t="str">
            <v>0.044</v>
          </cell>
          <cell r="E14" t="str">
            <v>0.015</v>
          </cell>
        </row>
        <row r="15">
          <cell r="B15" t="str">
            <v>(0.043)</v>
          </cell>
          <cell r="C15" t="str">
            <v>(0.052)</v>
          </cell>
          <cell r="D15" t="str">
            <v>(0.060)</v>
          </cell>
          <cell r="E15" t="str">
            <v>(0.063)</v>
          </cell>
        </row>
        <row r="18">
          <cell r="A18" t="str">
            <v/>
          </cell>
        </row>
        <row r="26">
          <cell r="B26" t="str">
            <v>0.24***</v>
          </cell>
          <cell r="C26" t="str">
            <v>0.25***</v>
          </cell>
          <cell r="D26" t="str">
            <v>0.25***</v>
          </cell>
          <cell r="E26" t="str">
            <v>0.21***</v>
          </cell>
        </row>
        <row r="27">
          <cell r="B27" t="str">
            <v>(0.065)</v>
          </cell>
          <cell r="C27" t="str">
            <v>(0.074)</v>
          </cell>
          <cell r="D27" t="str">
            <v>(0.080)</v>
          </cell>
          <cell r="E27" t="str">
            <v>(0.080)</v>
          </cell>
        </row>
        <row r="30">
          <cell r="A30" t="str">
            <v/>
          </cell>
        </row>
        <row r="44">
          <cell r="B44" t="str">
            <v>0.092***</v>
          </cell>
          <cell r="C44" t="str">
            <v>0.14***</v>
          </cell>
          <cell r="D44" t="str">
            <v>0.40***</v>
          </cell>
          <cell r="E44" t="str">
            <v>0.47***</v>
          </cell>
        </row>
        <row r="45">
          <cell r="B45" t="str">
            <v>(0.026)</v>
          </cell>
          <cell r="C45" t="str">
            <v>(0.046)</v>
          </cell>
          <cell r="D45" t="str">
            <v>(0.040)</v>
          </cell>
          <cell r="E45" t="str">
            <v>(0.050)</v>
          </cell>
        </row>
        <row r="47">
          <cell r="B47" t="str">
            <v>1534</v>
          </cell>
          <cell r="C47" t="str">
            <v>1534</v>
          </cell>
          <cell r="D47" t="str">
            <v>1534</v>
          </cell>
          <cell r="E47" t="str">
            <v>1534</v>
          </cell>
        </row>
        <row r="48">
          <cell r="B48" t="str">
            <v>0.14</v>
          </cell>
          <cell r="C48" t="str">
            <v>0.12</v>
          </cell>
          <cell r="D48" t="str">
            <v>0.10</v>
          </cell>
          <cell r="E48" t="str">
            <v>0.081</v>
          </cell>
        </row>
        <row r="49">
          <cell r="B49" t="str">
            <v>0.17</v>
          </cell>
          <cell r="C49" t="str">
            <v>0.22</v>
          </cell>
          <cell r="D49" t="str">
            <v>0.36</v>
          </cell>
          <cell r="E49" t="str">
            <v>0.36</v>
          </cell>
        </row>
        <row r="50">
          <cell r="B50" t="str">
            <v>0.16</v>
          </cell>
          <cell r="C50" t="str">
            <v>0.16</v>
          </cell>
          <cell r="D50" t="str">
            <v>0.16</v>
          </cell>
          <cell r="E50" t="str">
            <v>0.16</v>
          </cell>
        </row>
        <row r="54">
          <cell r="A54" t="str">
            <v>Standard errors in parentheses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_public"/>
    </sheetNames>
    <sheetDataSet>
      <sheetData sheetId="0">
        <row r="8">
          <cell r="B8" t="str">
            <v>0.019</v>
          </cell>
          <cell r="C8" t="str">
            <v>0.0067</v>
          </cell>
          <cell r="D8" t="str">
            <v>0.078</v>
          </cell>
          <cell r="E8" t="str">
            <v>0.041</v>
          </cell>
        </row>
        <row r="9">
          <cell r="B9" t="str">
            <v>(0.052)</v>
          </cell>
          <cell r="C9" t="str">
            <v>(0.082)</v>
          </cell>
          <cell r="D9" t="str">
            <v>(0.093)</v>
          </cell>
          <cell r="E9" t="str">
            <v>(0.13)</v>
          </cell>
        </row>
        <row r="14">
          <cell r="B14" t="str">
            <v>0.22**</v>
          </cell>
          <cell r="C14" t="str">
            <v>0.18</v>
          </cell>
          <cell r="D14" t="str">
            <v>0.29**</v>
          </cell>
          <cell r="E14" t="str">
            <v>0.32**</v>
          </cell>
        </row>
        <row r="15">
          <cell r="B15" t="str">
            <v>(0.11)</v>
          </cell>
          <cell r="C15" t="str">
            <v>(0.13)</v>
          </cell>
          <cell r="D15" t="str">
            <v>(0.14)</v>
          </cell>
          <cell r="E15" t="str">
            <v>(0.13)</v>
          </cell>
        </row>
        <row r="26">
          <cell r="B26" t="str">
            <v>-0.0082</v>
          </cell>
          <cell r="C26" t="str">
            <v>0.021</v>
          </cell>
          <cell r="D26" t="str">
            <v>-0.15</v>
          </cell>
          <cell r="E26" t="str">
            <v>-0.069</v>
          </cell>
        </row>
        <row r="27">
          <cell r="B27" t="str">
            <v>(0.12)</v>
          </cell>
          <cell r="C27" t="str">
            <v>(0.14)</v>
          </cell>
          <cell r="D27" t="str">
            <v>(0.16)</v>
          </cell>
          <cell r="E27" t="str">
            <v>(0.17)</v>
          </cell>
        </row>
        <row r="44">
          <cell r="B44" t="str">
            <v>0.12</v>
          </cell>
          <cell r="C44" t="str">
            <v>0.14</v>
          </cell>
          <cell r="D44" t="str">
            <v>0.100</v>
          </cell>
          <cell r="E44" t="str">
            <v>0.21</v>
          </cell>
        </row>
        <row r="45">
          <cell r="B45" t="str">
            <v>(0.15)</v>
          </cell>
          <cell r="C45" t="str">
            <v>(0.18)</v>
          </cell>
          <cell r="D45" t="str">
            <v>(0.19)</v>
          </cell>
          <cell r="E45" t="str">
            <v>(0.22)</v>
          </cell>
        </row>
        <row r="47">
          <cell r="B47" t="str">
            <v>132</v>
          </cell>
          <cell r="C47" t="str">
            <v>132</v>
          </cell>
          <cell r="D47" t="str">
            <v>132</v>
          </cell>
          <cell r="E47" t="str">
            <v>132</v>
          </cell>
        </row>
        <row r="48">
          <cell r="B48" t="str">
            <v>0.087</v>
          </cell>
          <cell r="C48" t="str">
            <v>0.067</v>
          </cell>
          <cell r="D48" t="str">
            <v>0.087</v>
          </cell>
          <cell r="E48" t="str">
            <v>0.095</v>
          </cell>
        </row>
        <row r="49">
          <cell r="B49" t="str">
            <v>0.17</v>
          </cell>
          <cell r="C49" t="str">
            <v>0.19</v>
          </cell>
          <cell r="D49" t="str">
            <v>0.30</v>
          </cell>
          <cell r="E49" t="str">
            <v>0.30</v>
          </cell>
        </row>
        <row r="50">
          <cell r="B50" t="str">
            <v>0.57</v>
          </cell>
          <cell r="C50" t="str">
            <v>0.57</v>
          </cell>
          <cell r="D50" t="str">
            <v>0.57</v>
          </cell>
          <cell r="E50" t="str">
            <v>0.57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FC-1B0A-476F-AA7F-745829C9BD87}">
  <dimension ref="A2:I20"/>
  <sheetViews>
    <sheetView tabSelected="1" workbookViewId="0">
      <selection activeCell="F14" sqref="F14"/>
    </sheetView>
  </sheetViews>
  <sheetFormatPr baseColWidth="10" defaultColWidth="9.140625" defaultRowHeight="15" x14ac:dyDescent="0.25"/>
  <cols>
    <col min="1" max="1" width="19.7109375" customWidth="1"/>
  </cols>
  <sheetData>
    <row r="2" spans="1:9" x14ac:dyDescent="0.25">
      <c r="A2" s="13"/>
      <c r="B2" s="8" t="s">
        <v>7</v>
      </c>
      <c r="C2" s="8"/>
      <c r="D2" s="8"/>
      <c r="E2" s="8"/>
      <c r="F2" s="8" t="s">
        <v>8</v>
      </c>
      <c r="G2" s="8"/>
      <c r="H2" s="8"/>
      <c r="I2" s="8"/>
    </row>
    <row r="3" spans="1:9" x14ac:dyDescent="0.25">
      <c r="B3" s="2" t="s">
        <v>14</v>
      </c>
      <c r="C3" s="2" t="s">
        <v>15</v>
      </c>
      <c r="D3" s="2" t="s">
        <v>16</v>
      </c>
      <c r="E3" s="2" t="s">
        <v>17</v>
      </c>
      <c r="F3" s="2" t="s">
        <v>14</v>
      </c>
      <c r="G3" s="2" t="s">
        <v>15</v>
      </c>
      <c r="H3" s="2" t="s">
        <v>16</v>
      </c>
      <c r="I3" s="2" t="s">
        <v>17</v>
      </c>
    </row>
    <row r="4" spans="1:9" ht="15.75" thickBot="1" x14ac:dyDescent="0.3">
      <c r="A4" s="3"/>
      <c r="B4" s="9" t="s">
        <v>9</v>
      </c>
      <c r="C4" s="9"/>
      <c r="D4" s="9"/>
      <c r="E4" s="9"/>
      <c r="F4" s="9"/>
      <c r="G4" s="9"/>
      <c r="H4" s="9"/>
      <c r="I4" s="9"/>
    </row>
    <row r="5" spans="1:9" ht="16.5" thickTop="1" thickBot="1" x14ac:dyDescent="0.3">
      <c r="A5" s="4" t="str">
        <f>[1]te_private!A2</f>
        <v/>
      </c>
      <c r="B5" s="5" t="str">
        <f>[1]te_private!B2</f>
        <v>(1)</v>
      </c>
      <c r="C5" s="5" t="str">
        <f>[1]te_private!C2</f>
        <v>(2)</v>
      </c>
      <c r="D5" s="5" t="str">
        <f>[1]te_private!D2</f>
        <v>(3)</v>
      </c>
      <c r="E5" s="5" t="str">
        <f>[1]te_private!E2</f>
        <v>(4)</v>
      </c>
      <c r="F5" s="6" t="s">
        <v>10</v>
      </c>
      <c r="G5" s="6" t="s">
        <v>11</v>
      </c>
      <c r="H5" s="6" t="s">
        <v>12</v>
      </c>
      <c r="I5" s="6" t="s">
        <v>13</v>
      </c>
    </row>
    <row r="6" spans="1:9" ht="15.75" thickTop="1" x14ac:dyDescent="0.25">
      <c r="A6" t="s">
        <v>6</v>
      </c>
      <c r="B6" s="2" t="str">
        <f>[1]te_private!B44</f>
        <v>0.092***</v>
      </c>
      <c r="C6" s="2" t="str">
        <f>[1]te_private!C44</f>
        <v>0.14***</v>
      </c>
      <c r="D6" s="2" t="str">
        <f>[1]te_private!D44</f>
        <v>0.40***</v>
      </c>
      <c r="E6" s="2" t="str">
        <f>[1]te_private!E44</f>
        <v>0.47***</v>
      </c>
      <c r="F6" s="2" t="str">
        <f>[2]te_public!B44</f>
        <v>0.12</v>
      </c>
      <c r="G6" s="2" t="str">
        <f>[2]te_public!C44</f>
        <v>0.14</v>
      </c>
      <c r="H6" s="2" t="str">
        <f>[2]te_public!D44</f>
        <v>0.100</v>
      </c>
      <c r="I6" s="2" t="str">
        <f>[2]te_public!E44</f>
        <v>0.21</v>
      </c>
    </row>
    <row r="7" spans="1:9" x14ac:dyDescent="0.25">
      <c r="A7" t="str">
        <f>[1]te_private!A54</f>
        <v>Standard errors in parentheses</v>
      </c>
      <c r="B7" s="2" t="str">
        <f>[1]te_private!B45</f>
        <v>(0.026)</v>
      </c>
      <c r="C7" s="2" t="str">
        <f>[1]te_private!C45</f>
        <v>(0.046)</v>
      </c>
      <c r="D7" s="2" t="str">
        <f>[1]te_private!D45</f>
        <v>(0.040)</v>
      </c>
      <c r="E7" s="2" t="str">
        <f>[1]te_private!E45</f>
        <v>(0.050)</v>
      </c>
      <c r="F7" s="2" t="str">
        <f>[2]te_public!B45</f>
        <v>(0.15)</v>
      </c>
      <c r="G7" s="2" t="str">
        <f>[2]te_public!C45</f>
        <v>(0.18)</v>
      </c>
      <c r="H7" s="2" t="str">
        <f>[2]te_public!D45</f>
        <v>(0.19)</v>
      </c>
      <c r="I7" s="2" t="str">
        <f>[2]te_public!E45</f>
        <v>(0.22)</v>
      </c>
    </row>
    <row r="8" spans="1:9" x14ac:dyDescent="0.25">
      <c r="A8" t="s">
        <v>5</v>
      </c>
      <c r="B8" s="2" t="str">
        <f>[1]te_private!B8</f>
        <v>0.015</v>
      </c>
      <c r="C8" s="2" t="str">
        <f>[1]te_private!C8</f>
        <v>0.0039</v>
      </c>
      <c r="D8" s="2" t="str">
        <f>[1]te_private!D8</f>
        <v>-0.012</v>
      </c>
      <c r="E8" s="2" t="str">
        <f>[1]te_private!E8</f>
        <v>-0.017</v>
      </c>
      <c r="F8" s="2" t="str">
        <f>[2]te_public!B8</f>
        <v>0.019</v>
      </c>
      <c r="G8" s="2" t="str">
        <f>[2]te_public!C8</f>
        <v>0.0067</v>
      </c>
      <c r="H8" s="2" t="str">
        <f>[2]te_public!D8</f>
        <v>0.078</v>
      </c>
      <c r="I8" s="2" t="str">
        <f>[2]te_public!E8</f>
        <v>0.041</v>
      </c>
    </row>
    <row r="9" spans="1:9" x14ac:dyDescent="0.25">
      <c r="A9" t="str">
        <f>[1]te_private!A9</f>
        <v/>
      </c>
      <c r="B9" s="2" t="str">
        <f>[1]te_private!B9</f>
        <v>(0.016)</v>
      </c>
      <c r="C9" s="2" t="str">
        <f>[1]te_private!C9</f>
        <v>(0.024)</v>
      </c>
      <c r="D9" s="2" t="str">
        <f>[1]te_private!D9</f>
        <v>(0.028)</v>
      </c>
      <c r="E9" s="2" t="str">
        <f>[1]te_private!E9</f>
        <v>(0.028)</v>
      </c>
      <c r="F9" s="2" t="str">
        <f>[2]te_public!B9</f>
        <v>(0.052)</v>
      </c>
      <c r="G9" s="2" t="str">
        <f>[2]te_public!C9</f>
        <v>(0.082)</v>
      </c>
      <c r="H9" s="2" t="str">
        <f>[2]te_public!D9</f>
        <v>(0.093)</v>
      </c>
      <c r="I9" s="2" t="str">
        <f>[2]te_public!E9</f>
        <v>(0.13)</v>
      </c>
    </row>
    <row r="10" spans="1:9" x14ac:dyDescent="0.25">
      <c r="A10" t="s">
        <v>3</v>
      </c>
      <c r="B10" s="2" t="str">
        <f>[1]te_private!B14</f>
        <v>0.11**</v>
      </c>
      <c r="C10" s="2" t="str">
        <f>[1]te_private!C14</f>
        <v>0.091*</v>
      </c>
      <c r="D10" s="2" t="str">
        <f>[1]te_private!D14</f>
        <v>0.044</v>
      </c>
      <c r="E10" s="2" t="str">
        <f>[1]te_private!E14</f>
        <v>0.015</v>
      </c>
      <c r="F10" s="2" t="str">
        <f>[2]te_public!B14</f>
        <v>0.22**</v>
      </c>
      <c r="G10" s="2" t="str">
        <f>[2]te_public!C14</f>
        <v>0.18</v>
      </c>
      <c r="H10" s="2" t="str">
        <f>[2]te_public!D14</f>
        <v>0.29**</v>
      </c>
      <c r="I10" s="2" t="str">
        <f>[2]te_public!E14</f>
        <v>0.32**</v>
      </c>
    </row>
    <row r="11" spans="1:9" x14ac:dyDescent="0.25">
      <c r="A11" t="str">
        <f>[1]te_private!A18</f>
        <v/>
      </c>
      <c r="B11" s="2" t="str">
        <f>[1]te_private!B15</f>
        <v>(0.043)</v>
      </c>
      <c r="C11" s="2" t="str">
        <f>[1]te_private!C15</f>
        <v>(0.052)</v>
      </c>
      <c r="D11" s="2" t="str">
        <f>[1]te_private!D15</f>
        <v>(0.060)</v>
      </c>
      <c r="E11" s="2" t="str">
        <f>[1]te_private!E15</f>
        <v>(0.063)</v>
      </c>
      <c r="F11" s="2" t="str">
        <f>[2]te_public!B15</f>
        <v>(0.11)</v>
      </c>
      <c r="G11" s="2" t="str">
        <f>[2]te_public!C15</f>
        <v>(0.13)</v>
      </c>
      <c r="H11" s="2" t="str">
        <f>[2]te_public!D15</f>
        <v>(0.14)</v>
      </c>
      <c r="I11" s="2" t="str">
        <f>[2]te_public!E15</f>
        <v>(0.13)</v>
      </c>
    </row>
    <row r="12" spans="1:9" x14ac:dyDescent="0.25">
      <c r="A12" t="s">
        <v>4</v>
      </c>
      <c r="B12" s="2" t="str">
        <f>[1]te_private!B26</f>
        <v>0.24***</v>
      </c>
      <c r="C12" s="2" t="str">
        <f>[1]te_private!C26</f>
        <v>0.25***</v>
      </c>
      <c r="D12" s="2" t="str">
        <f>[1]te_private!D26</f>
        <v>0.25***</v>
      </c>
      <c r="E12" s="2" t="str">
        <f>[1]te_private!E26</f>
        <v>0.21***</v>
      </c>
      <c r="F12" s="2" t="str">
        <f>[2]te_public!B26</f>
        <v>-0.0082</v>
      </c>
      <c r="G12" s="2" t="str">
        <f>[2]te_public!C26</f>
        <v>0.021</v>
      </c>
      <c r="H12" s="2" t="str">
        <f>[2]te_public!D26</f>
        <v>-0.15</v>
      </c>
      <c r="I12" s="2" t="str">
        <f>[2]te_public!E26</f>
        <v>-0.069</v>
      </c>
    </row>
    <row r="13" spans="1:9" x14ac:dyDescent="0.25">
      <c r="A13" t="str">
        <f>[1]te_private!A30</f>
        <v/>
      </c>
      <c r="B13" s="2" t="str">
        <f>[1]te_private!B27</f>
        <v>(0.065)</v>
      </c>
      <c r="C13" s="2" t="str">
        <f>[1]te_private!C27</f>
        <v>(0.074)</v>
      </c>
      <c r="D13" s="2" t="str">
        <f>[1]te_private!D27</f>
        <v>(0.080)</v>
      </c>
      <c r="E13" s="2" t="str">
        <f>[1]te_private!E27</f>
        <v>(0.080)</v>
      </c>
      <c r="F13" s="2" t="str">
        <f>[2]te_public!B27</f>
        <v>(0.12)</v>
      </c>
      <c r="G13" s="2" t="str">
        <f>[2]te_public!C27</f>
        <v>(0.14)</v>
      </c>
      <c r="H13" s="2" t="str">
        <f>[2]te_public!D27</f>
        <v>(0.16)</v>
      </c>
      <c r="I13" s="2" t="str">
        <f>[2]te_public!E27</f>
        <v>(0.17)</v>
      </c>
    </row>
    <row r="14" spans="1:9" x14ac:dyDescent="0.25">
      <c r="B14" s="2"/>
      <c r="C14" s="2"/>
      <c r="D14" s="2"/>
      <c r="E14" s="2"/>
      <c r="F14" s="2"/>
      <c r="G14" s="2"/>
      <c r="H14" s="2"/>
      <c r="I14" s="2"/>
    </row>
    <row r="15" spans="1:9" x14ac:dyDescent="0.25">
      <c r="A15" s="1" t="s">
        <v>0</v>
      </c>
      <c r="B15" s="7" t="str">
        <f>[1]te_private!B47</f>
        <v>1534</v>
      </c>
      <c r="C15" s="7" t="str">
        <f>[1]te_private!C47</f>
        <v>1534</v>
      </c>
      <c r="D15" s="7" t="str">
        <f>[1]te_private!D47</f>
        <v>1534</v>
      </c>
      <c r="E15" s="7" t="str">
        <f>[1]te_private!E47</f>
        <v>1534</v>
      </c>
      <c r="F15" s="7" t="str">
        <f>[2]te_public!B47</f>
        <v>132</v>
      </c>
      <c r="G15" s="7" t="str">
        <f>[2]te_public!C47</f>
        <v>132</v>
      </c>
      <c r="H15" s="7" t="str">
        <f>[2]te_public!D47</f>
        <v>132</v>
      </c>
      <c r="I15" s="7" t="str">
        <f>[2]te_public!E47</f>
        <v>132</v>
      </c>
    </row>
    <row r="16" spans="1:9" x14ac:dyDescent="0.25">
      <c r="A16" t="s">
        <v>18</v>
      </c>
      <c r="B16" s="2" t="str">
        <f>[1]te_private!B48</f>
        <v>0.14</v>
      </c>
      <c r="C16" s="2" t="str">
        <f>[1]te_private!C48</f>
        <v>0.12</v>
      </c>
      <c r="D16" s="2" t="str">
        <f>[1]te_private!D48</f>
        <v>0.10</v>
      </c>
      <c r="E16" s="2" t="str">
        <f>[1]te_private!E48</f>
        <v>0.081</v>
      </c>
      <c r="F16" s="10" t="str">
        <f>[2]te_public!B48</f>
        <v>0.087</v>
      </c>
      <c r="G16" s="10" t="str">
        <f>[2]te_public!C48</f>
        <v>0.067</v>
      </c>
      <c r="H16" s="10" t="str">
        <f>[2]te_public!D48</f>
        <v>0.087</v>
      </c>
      <c r="I16" s="10" t="str">
        <f>[2]te_public!E48</f>
        <v>0.095</v>
      </c>
    </row>
    <row r="17" spans="1:9" x14ac:dyDescent="0.25">
      <c r="A17" t="s">
        <v>1</v>
      </c>
      <c r="B17" s="2" t="s">
        <v>2</v>
      </c>
      <c r="C17" s="2" t="s">
        <v>2</v>
      </c>
      <c r="D17" s="2" t="s">
        <v>2</v>
      </c>
      <c r="E17" s="2" t="s">
        <v>2</v>
      </c>
      <c r="F17" s="2" t="s">
        <v>2</v>
      </c>
      <c r="G17" s="2" t="s">
        <v>2</v>
      </c>
      <c r="H17" s="2" t="s">
        <v>2</v>
      </c>
      <c r="I17" s="2" t="s">
        <v>2</v>
      </c>
    </row>
    <row r="18" spans="1:9" x14ac:dyDescent="0.25">
      <c r="A18" t="s">
        <v>19</v>
      </c>
      <c r="B18" s="2" t="str">
        <f>[1]te_private!B49</f>
        <v>0.17</v>
      </c>
      <c r="C18" s="2" t="str">
        <f>[1]te_private!C49</f>
        <v>0.22</v>
      </c>
      <c r="D18" s="2" t="str">
        <f>[1]te_private!D49</f>
        <v>0.36</v>
      </c>
      <c r="E18" s="2" t="str">
        <f>[1]te_private!E49</f>
        <v>0.36</v>
      </c>
      <c r="F18" s="2" t="str">
        <f>[2]te_public!B49</f>
        <v>0.17</v>
      </c>
      <c r="G18" s="2" t="str">
        <f>[2]te_public!C49</f>
        <v>0.19</v>
      </c>
      <c r="H18" s="2" t="str">
        <f>[2]te_public!D49</f>
        <v>0.30</v>
      </c>
      <c r="I18" s="2" t="str">
        <f>[2]te_public!E49</f>
        <v>0.30</v>
      </c>
    </row>
    <row r="19" spans="1:9" ht="15.75" thickBot="1" x14ac:dyDescent="0.3">
      <c r="A19" s="11" t="s">
        <v>20</v>
      </c>
      <c r="B19" s="12" t="str">
        <f>[1]te_private!B50</f>
        <v>0.16</v>
      </c>
      <c r="C19" s="12" t="str">
        <f>[1]te_private!C50</f>
        <v>0.16</v>
      </c>
      <c r="D19" s="12" t="str">
        <f>[1]te_private!D50</f>
        <v>0.16</v>
      </c>
      <c r="E19" s="12" t="str">
        <f>[1]te_private!E50</f>
        <v>0.16</v>
      </c>
      <c r="F19" s="12" t="str">
        <f>[2]te_public!B50</f>
        <v>0.57</v>
      </c>
      <c r="G19" s="12" t="str">
        <f>[2]te_public!C50</f>
        <v>0.57</v>
      </c>
      <c r="H19" s="12" t="str">
        <f>[2]te_public!D50</f>
        <v>0.57</v>
      </c>
      <c r="I19" s="12" t="str">
        <f>[2]te_public!E50</f>
        <v>0.57</v>
      </c>
    </row>
    <row r="20" spans="1:9" ht="15.75" thickTop="1" x14ac:dyDescent="0.25"/>
  </sheetData>
  <mergeCells count="3">
    <mergeCell ref="B2:E2"/>
    <mergeCell ref="F2:I2"/>
    <mergeCell ref="B4:I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te_bylawyer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xps-seira</dc:creator>
  <cp:lastModifiedBy>Joyce Sadka</cp:lastModifiedBy>
  <dcterms:created xsi:type="dcterms:W3CDTF">2019-02-05T23:31:00Z</dcterms:created>
  <dcterms:modified xsi:type="dcterms:W3CDTF">2019-09-18T14:52:35Z</dcterms:modified>
</cp:coreProperties>
</file>