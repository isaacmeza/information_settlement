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s-seira\Dropbox\Apps\ShareLaTeX\information_settlement\Paper\Tables\"/>
    </mc:Choice>
  </mc:AlternateContent>
  <xr:revisionPtr revIDLastSave="0" documentId="13_ncr:1_{E88A03A0-47DD-485D-BDE1-095327B50499}" xr6:coauthVersionLast="33" xr6:coauthVersionMax="33" xr10:uidLastSave="{00000000-0000-0000-0000-000000000000}"/>
  <bookViews>
    <workbookView xWindow="0" yWindow="0" windowWidth="11496" windowHeight="6228" xr2:uid="{98EB9ECD-EFAC-4F7B-A736-857524FDE518}"/>
  </bookViews>
  <sheets>
    <sheet name="settlementq_time" sheetId="1" r:id="rId1"/>
  </sheets>
  <externalReferences>
    <externalReference r:id="rId2"/>
  </externalReferenc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A5" i="1"/>
  <c r="B5" i="1"/>
  <c r="C5" i="1"/>
  <c r="D5" i="1"/>
  <c r="E5" i="1"/>
  <c r="F5" i="1"/>
  <c r="G5" i="1"/>
  <c r="B6" i="1"/>
  <c r="C6" i="1"/>
  <c r="D6" i="1"/>
  <c r="E6" i="1"/>
  <c r="F6" i="1"/>
  <c r="G6" i="1"/>
  <c r="A7" i="1"/>
  <c r="B7" i="1"/>
  <c r="C7" i="1"/>
  <c r="D7" i="1"/>
  <c r="E7" i="1"/>
  <c r="F7" i="1"/>
  <c r="G7" i="1"/>
  <c r="B8" i="1"/>
  <c r="C8" i="1"/>
  <c r="D8" i="1"/>
  <c r="E8" i="1"/>
  <c r="F8" i="1"/>
  <c r="G8" i="1"/>
  <c r="A9" i="1"/>
  <c r="B9" i="1"/>
  <c r="C9" i="1"/>
  <c r="D9" i="1"/>
  <c r="E9" i="1"/>
  <c r="F9" i="1"/>
  <c r="G9" i="1"/>
  <c r="B10" i="1"/>
  <c r="C10" i="1"/>
  <c r="D10" i="1"/>
  <c r="E10" i="1"/>
  <c r="F10" i="1"/>
  <c r="G10" i="1"/>
  <c r="A11" i="1"/>
  <c r="B11" i="1"/>
  <c r="C11" i="1"/>
  <c r="D11" i="1"/>
  <c r="E11" i="1"/>
  <c r="F11" i="1"/>
  <c r="G11" i="1"/>
  <c r="B12" i="1"/>
  <c r="C12" i="1"/>
  <c r="D12" i="1"/>
  <c r="E12" i="1"/>
  <c r="F12" i="1"/>
  <c r="G12" i="1"/>
  <c r="A13" i="1"/>
  <c r="B13" i="1"/>
  <c r="C13" i="1"/>
  <c r="D13" i="1"/>
  <c r="E13" i="1"/>
  <c r="F13" i="1"/>
  <c r="G13" i="1"/>
  <c r="B14" i="1"/>
  <c r="C14" i="1"/>
  <c r="D14" i="1"/>
  <c r="E14" i="1"/>
  <c r="F14" i="1"/>
  <c r="G14" i="1"/>
  <c r="A15" i="1"/>
  <c r="B15" i="1"/>
  <c r="C15" i="1"/>
  <c r="D15" i="1"/>
  <c r="E15" i="1"/>
  <c r="F15" i="1"/>
  <c r="G15" i="1"/>
  <c r="B17" i="1"/>
  <c r="C17" i="1"/>
  <c r="D17" i="1"/>
  <c r="E17" i="1"/>
  <c r="F17" i="1"/>
  <c r="G17" i="1"/>
  <c r="B18" i="1"/>
  <c r="C18" i="1"/>
  <c r="D18" i="1"/>
  <c r="E18" i="1"/>
  <c r="F18" i="1"/>
  <c r="G18" i="1"/>
  <c r="G3" i="1"/>
  <c r="B3" i="1"/>
  <c r="C3" i="1"/>
  <c r="D3" i="1"/>
  <c r="E3" i="1"/>
  <c r="F3" i="1"/>
  <c r="A3" i="1"/>
</calcChain>
</file>

<file path=xl/sharedStrings.xml><?xml version="1.0" encoding="utf-8"?>
<sst xmlns="http://schemas.openxmlformats.org/spreadsheetml/2006/main" count="18" uniqueCount="13">
  <si>
    <t xml:space="preserve">Constant </t>
  </si>
  <si>
    <t xml:space="preserve">Observations </t>
  </si>
  <si>
    <t>BVC</t>
  </si>
  <si>
    <t>YES</t>
  </si>
  <si>
    <t xml:space="preserve">Months </t>
  </si>
  <si>
    <t>2 Quintil</t>
  </si>
  <si>
    <t>5 Quintil</t>
  </si>
  <si>
    <t>4 Quintil</t>
  </si>
  <si>
    <t>3 Quintil</t>
  </si>
  <si>
    <t>Settlement amount</t>
  </si>
  <si>
    <t>Calculator prediction</t>
  </si>
  <si>
    <t>Settlement amt discounted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</si>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</sst>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g_results/settlementq_tim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lementq_time"/>
    </sheetNames>
    <sheetDataSet>
      <sheetData sheetId="0">
        <row r="2">
          <cell r="A2" t="str">
            <v/>
          </cell>
          <cell r="B2" t="str">
            <v>(1)</v>
          </cell>
          <cell r="C2" t="str">
            <v>(2)</v>
          </cell>
          <cell r="D2" t="str">
            <v>(3)</v>
          </cell>
          <cell r="E2" t="str">
            <v>(4)</v>
          </cell>
          <cell r="F2" t="str">
            <v>(5)</v>
          </cell>
          <cell r="G2" t="str">
            <v>(6)</v>
          </cell>
        </row>
        <row r="5">
          <cell r="B5" t="str">
            <v>1202.9***</v>
          </cell>
          <cell r="C5" t="str">
            <v/>
          </cell>
          <cell r="D5" t="str">
            <v>-166.3**</v>
          </cell>
          <cell r="E5" t="str">
            <v/>
          </cell>
          <cell r="F5" t="str">
            <v>180.0***</v>
          </cell>
          <cell r="G5" t="str">
            <v/>
          </cell>
        </row>
        <row r="6">
          <cell r="A6" t="str">
            <v/>
          </cell>
          <cell r="B6" t="str">
            <v>(166.8)</v>
          </cell>
          <cell r="C6" t="str">
            <v/>
          </cell>
          <cell r="D6" t="str">
            <v>(70.37)</v>
          </cell>
          <cell r="E6" t="str">
            <v/>
          </cell>
          <cell r="F6" t="str">
            <v>(30.82)</v>
          </cell>
          <cell r="G6" t="str">
            <v/>
          </cell>
        </row>
        <row r="32">
          <cell r="B32" t="str">
            <v/>
          </cell>
          <cell r="C32" t="str">
            <v>4052.7**</v>
          </cell>
          <cell r="D32" t="str">
            <v/>
          </cell>
          <cell r="E32" t="str">
            <v>1754.3</v>
          </cell>
          <cell r="F32" t="str">
            <v/>
          </cell>
          <cell r="G32" t="str">
            <v>1576.3***</v>
          </cell>
        </row>
        <row r="33">
          <cell r="A33" t="str">
            <v/>
          </cell>
          <cell r="B33" t="str">
            <v/>
          </cell>
          <cell r="C33" t="str">
            <v>(1859.3)</v>
          </cell>
          <cell r="D33" t="str">
            <v/>
          </cell>
          <cell r="E33" t="str">
            <v>(1676.1)</v>
          </cell>
          <cell r="F33" t="str">
            <v/>
          </cell>
          <cell r="G33" t="str">
            <v>(460.2)</v>
          </cell>
        </row>
        <row r="35">
          <cell r="B35" t="str">
            <v/>
          </cell>
          <cell r="C35" t="str">
            <v>1622.4</v>
          </cell>
          <cell r="D35" t="str">
            <v/>
          </cell>
          <cell r="E35" t="str">
            <v>-1767.8</v>
          </cell>
          <cell r="F35" t="str">
            <v/>
          </cell>
          <cell r="G35" t="str">
            <v>1451.0**</v>
          </cell>
        </row>
        <row r="36">
          <cell r="A36" t="str">
            <v/>
          </cell>
          <cell r="B36" t="str">
            <v/>
          </cell>
          <cell r="C36" t="str">
            <v>(2015.3)</v>
          </cell>
          <cell r="D36" t="str">
            <v/>
          </cell>
          <cell r="E36" t="str">
            <v>(1705.6)</v>
          </cell>
          <cell r="F36" t="str">
            <v/>
          </cell>
          <cell r="G36" t="str">
            <v>(565.7)</v>
          </cell>
        </row>
        <row r="38">
          <cell r="B38" t="str">
            <v/>
          </cell>
          <cell r="C38" t="str">
            <v>8663.2***</v>
          </cell>
          <cell r="D38" t="str">
            <v/>
          </cell>
          <cell r="E38" t="str">
            <v>44.58</v>
          </cell>
          <cell r="F38" t="str">
            <v/>
          </cell>
          <cell r="G38" t="str">
            <v>3029.1***</v>
          </cell>
        </row>
        <row r="39">
          <cell r="A39" t="str">
            <v/>
          </cell>
          <cell r="B39" t="str">
            <v/>
          </cell>
          <cell r="C39" t="str">
            <v>(2348.7)</v>
          </cell>
          <cell r="D39" t="str">
            <v/>
          </cell>
          <cell r="E39" t="str">
            <v>(1808.5)</v>
          </cell>
          <cell r="F39" t="str">
            <v/>
          </cell>
          <cell r="G39" t="str">
            <v>(595.2)</v>
          </cell>
        </row>
        <row r="41">
          <cell r="B41" t="str">
            <v/>
          </cell>
          <cell r="C41" t="str">
            <v>21982.6***</v>
          </cell>
          <cell r="D41" t="str">
            <v/>
          </cell>
          <cell r="E41" t="str">
            <v>-3474.0*</v>
          </cell>
          <cell r="F41" t="str">
            <v/>
          </cell>
          <cell r="G41" t="str">
            <v>3990.9***</v>
          </cell>
        </row>
        <row r="42">
          <cell r="A42" t="str">
            <v/>
          </cell>
          <cell r="B42" t="str">
            <v/>
          </cell>
          <cell r="C42" t="str">
            <v>(3299.9)</v>
          </cell>
          <cell r="D42" t="str">
            <v/>
          </cell>
          <cell r="E42" t="str">
            <v>(1882.0)</v>
          </cell>
          <cell r="F42" t="str">
            <v/>
          </cell>
          <cell r="G42" t="str">
            <v>(718.8)</v>
          </cell>
        </row>
        <row r="44">
          <cell r="B44" t="str">
            <v>10907.8***</v>
          </cell>
          <cell r="C44" t="str">
            <v>15396.9***</v>
          </cell>
          <cell r="D44" t="str">
            <v>15841.8***</v>
          </cell>
          <cell r="E44" t="str">
            <v>14649.2***</v>
          </cell>
          <cell r="F44" t="str">
            <v>9544.0***</v>
          </cell>
          <cell r="G44" t="str">
            <v>9331.9***</v>
          </cell>
        </row>
        <row r="45">
          <cell r="A45" t="str">
            <v/>
          </cell>
          <cell r="B45" t="str">
            <v>(4229.2)</v>
          </cell>
          <cell r="C45" t="str">
            <v>(4326.9)</v>
          </cell>
          <cell r="D45" t="str">
            <v>(2953.9)</v>
          </cell>
          <cell r="E45" t="str">
            <v>(3018.0)</v>
          </cell>
          <cell r="F45" t="str">
            <v>(1031.9)</v>
          </cell>
          <cell r="G45" t="str">
            <v>(1076.7)</v>
          </cell>
        </row>
        <row r="47">
          <cell r="B47" t="str">
            <v>3080</v>
          </cell>
          <cell r="C47" t="str">
            <v>3080</v>
          </cell>
          <cell r="D47" t="str">
            <v>3080</v>
          </cell>
          <cell r="E47" t="str">
            <v>3080</v>
          </cell>
          <cell r="F47" t="str">
            <v>3081</v>
          </cell>
          <cell r="G47" t="str">
            <v>3081</v>
          </cell>
        </row>
        <row r="48">
          <cell r="B48" t="str">
            <v>0.24</v>
          </cell>
          <cell r="C48" t="str">
            <v>0.23</v>
          </cell>
          <cell r="D48" t="str">
            <v>0.22</v>
          </cell>
          <cell r="E48" t="str">
            <v>0.22</v>
          </cell>
          <cell r="F48" t="str">
            <v>0.66</v>
          </cell>
          <cell r="G48" t="str">
            <v>0.65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A7C8-7008-4177-8D19-703536D2CAA2}">
  <dimension ref="A2:G20"/>
  <sheetViews>
    <sheetView tabSelected="1" workbookViewId="0">
      <selection activeCell="G19" sqref="A2:G19"/>
    </sheetView>
  </sheetViews>
  <sheetFormatPr defaultRowHeight="14.4" x14ac:dyDescent="0.3"/>
  <cols>
    <col min="1" max="1" width="15.88671875" customWidth="1"/>
    <col min="4" max="4" width="11.77734375" customWidth="1"/>
    <col min="5" max="5" width="10.88671875" customWidth="1"/>
    <col min="6" max="6" width="9.5546875" bestFit="1" customWidth="1"/>
    <col min="7" max="7" width="8.5546875" bestFit="1" customWidth="1"/>
    <col min="8" max="8" width="10.5546875" bestFit="1" customWidth="1"/>
    <col min="9" max="9" width="9.6640625" bestFit="1" customWidth="1"/>
    <col min="10" max="10" width="8.6640625" bestFit="1" customWidth="1"/>
  </cols>
  <sheetData>
    <row r="2" spans="1:7" ht="15" thickBot="1" x14ac:dyDescent="0.35">
      <c r="A2" s="1"/>
      <c r="B2" s="7" t="s">
        <v>9</v>
      </c>
      <c r="C2" s="7"/>
      <c r="D2" s="7" t="s">
        <v>11</v>
      </c>
      <c r="E2" s="7"/>
      <c r="F2" s="7" t="s">
        <v>10</v>
      </c>
      <c r="G2" s="7"/>
    </row>
    <row r="3" spans="1:7" ht="15.6" thickTop="1" thickBot="1" x14ac:dyDescent="0.35">
      <c r="A3" s="2" t="str">
        <f>[1]settlementq_time!A2</f>
        <v/>
      </c>
      <c r="B3" s="3" t="str">
        <f>[1]settlementq_time!B2</f>
        <v>(1)</v>
      </c>
      <c r="C3" s="3" t="str">
        <f>[1]settlementq_time!C2</f>
        <v>(2)</v>
      </c>
      <c r="D3" s="3" t="str">
        <f>[1]settlementq_time!D2</f>
        <v>(3)</v>
      </c>
      <c r="E3" s="3" t="str">
        <f>[1]settlementq_time!E2</f>
        <v>(4)</v>
      </c>
      <c r="F3" s="3" t="str">
        <f>[1]settlementq_time!F2</f>
        <v>(5)</v>
      </c>
      <c r="G3" s="3" t="str">
        <f>[1]settlementq_time!G2</f>
        <v>(6)</v>
      </c>
    </row>
    <row r="4" spans="1:7" ht="15" thickTop="1" x14ac:dyDescent="0.3">
      <c r="A4" t="s">
        <v>4</v>
      </c>
      <c r="B4" s="6" t="str">
        <f>[1]settlementq_time!B5</f>
        <v>1202.9***</v>
      </c>
      <c r="C4" s="6" t="str">
        <f>[1]settlementq_time!C5</f>
        <v/>
      </c>
      <c r="D4" s="6" t="str">
        <f>[1]settlementq_time!D5</f>
        <v>-166.3**</v>
      </c>
      <c r="E4" s="6" t="str">
        <f>[1]settlementq_time!E5</f>
        <v/>
      </c>
      <c r="F4" s="6" t="str">
        <f>[1]settlementq_time!F5</f>
        <v>180.0***</v>
      </c>
      <c r="G4" s="6" t="str">
        <f>[1]settlementq_time!G5</f>
        <v/>
      </c>
    </row>
    <row r="5" spans="1:7" x14ac:dyDescent="0.3">
      <c r="A5" t="str">
        <f>[1]settlementq_time!A6</f>
        <v/>
      </c>
      <c r="B5" s="6" t="str">
        <f>[1]settlementq_time!B6</f>
        <v>(166.8)</v>
      </c>
      <c r="C5" s="6" t="str">
        <f>[1]settlementq_time!C6</f>
        <v/>
      </c>
      <c r="D5" s="6" t="str">
        <f>[1]settlementq_time!D6</f>
        <v>(70.37)</v>
      </c>
      <c r="E5" s="6" t="str">
        <f>[1]settlementq_time!E6</f>
        <v/>
      </c>
      <c r="F5" s="6" t="str">
        <f>[1]settlementq_time!F6</f>
        <v>(30.82)</v>
      </c>
      <c r="G5" s="6" t="str">
        <f>[1]settlementq_time!G6</f>
        <v/>
      </c>
    </row>
    <row r="6" spans="1:7" x14ac:dyDescent="0.3">
      <c r="A6" t="s">
        <v>5</v>
      </c>
      <c r="B6" s="6" t="str">
        <f>[1]settlementq_time!B32</f>
        <v/>
      </c>
      <c r="C6" s="6" t="str">
        <f>[1]settlementq_time!C32</f>
        <v>4052.7**</v>
      </c>
      <c r="D6" s="6" t="str">
        <f>[1]settlementq_time!D32</f>
        <v/>
      </c>
      <c r="E6" s="6" t="str">
        <f>[1]settlementq_time!E32</f>
        <v>1754.3</v>
      </c>
      <c r="F6" s="6" t="str">
        <f>[1]settlementq_time!F32</f>
        <v/>
      </c>
      <c r="G6" s="6" t="str">
        <f>[1]settlementq_time!G32</f>
        <v>1576.3***</v>
      </c>
    </row>
    <row r="7" spans="1:7" x14ac:dyDescent="0.3">
      <c r="A7" t="str">
        <f>[1]settlementq_time!A33</f>
        <v/>
      </c>
      <c r="B7" s="6" t="str">
        <f>[1]settlementq_time!B33</f>
        <v/>
      </c>
      <c r="C7" s="6" t="str">
        <f>[1]settlementq_time!C33</f>
        <v>(1859.3)</v>
      </c>
      <c r="D7" s="6" t="str">
        <f>[1]settlementq_time!D33</f>
        <v/>
      </c>
      <c r="E7" s="6" t="str">
        <f>[1]settlementq_time!E33</f>
        <v>(1676.1)</v>
      </c>
      <c r="F7" s="6" t="str">
        <f>[1]settlementq_time!F33</f>
        <v/>
      </c>
      <c r="G7" s="6" t="str">
        <f>[1]settlementq_time!G33</f>
        <v>(460.2)</v>
      </c>
    </row>
    <row r="8" spans="1:7" x14ac:dyDescent="0.3">
      <c r="A8" t="s">
        <v>8</v>
      </c>
      <c r="B8" s="6" t="str">
        <f>[1]settlementq_time!B35</f>
        <v/>
      </c>
      <c r="C8" s="6" t="str">
        <f>[1]settlementq_time!C35</f>
        <v>1622.4</v>
      </c>
      <c r="D8" s="6" t="str">
        <f>[1]settlementq_time!D35</f>
        <v/>
      </c>
      <c r="E8" s="6" t="str">
        <f>[1]settlementq_time!E35</f>
        <v>-1767.8</v>
      </c>
      <c r="F8" s="6" t="str">
        <f>[1]settlementq_time!F35</f>
        <v/>
      </c>
      <c r="G8" s="6" t="str">
        <f>[1]settlementq_time!G35</f>
        <v>1451.0**</v>
      </c>
    </row>
    <row r="9" spans="1:7" x14ac:dyDescent="0.3">
      <c r="A9" t="str">
        <f>[1]settlementq_time!A36</f>
        <v/>
      </c>
      <c r="B9" s="6" t="str">
        <f>[1]settlementq_time!B36</f>
        <v/>
      </c>
      <c r="C9" s="6" t="str">
        <f>[1]settlementq_time!C36</f>
        <v>(2015.3)</v>
      </c>
      <c r="D9" s="6" t="str">
        <f>[1]settlementq_time!D36</f>
        <v/>
      </c>
      <c r="E9" s="6" t="str">
        <f>[1]settlementq_time!E36</f>
        <v>(1705.6)</v>
      </c>
      <c r="F9" s="6" t="str">
        <f>[1]settlementq_time!F36</f>
        <v/>
      </c>
      <c r="G9" s="6" t="str">
        <f>[1]settlementq_time!G36</f>
        <v>(565.7)</v>
      </c>
    </row>
    <row r="10" spans="1:7" x14ac:dyDescent="0.3">
      <c r="A10" t="s">
        <v>7</v>
      </c>
      <c r="B10" s="6" t="str">
        <f>[1]settlementq_time!B38</f>
        <v/>
      </c>
      <c r="C10" s="6" t="str">
        <f>[1]settlementq_time!C38</f>
        <v>8663.2***</v>
      </c>
      <c r="D10" s="6" t="str">
        <f>[1]settlementq_time!D38</f>
        <v/>
      </c>
      <c r="E10" s="6" t="str">
        <f>[1]settlementq_time!E38</f>
        <v>44.58</v>
      </c>
      <c r="F10" s="6" t="str">
        <f>[1]settlementq_time!F38</f>
        <v/>
      </c>
      <c r="G10" s="6" t="str">
        <f>[1]settlementq_time!G38</f>
        <v>3029.1***</v>
      </c>
    </row>
    <row r="11" spans="1:7" x14ac:dyDescent="0.3">
      <c r="A11" t="str">
        <f>[1]settlementq_time!A39</f>
        <v/>
      </c>
      <c r="B11" s="6" t="str">
        <f>[1]settlementq_time!B39</f>
        <v/>
      </c>
      <c r="C11" s="6" t="str">
        <f>[1]settlementq_time!C39</f>
        <v>(2348.7)</v>
      </c>
      <c r="D11" s="6" t="str">
        <f>[1]settlementq_time!D39</f>
        <v/>
      </c>
      <c r="E11" s="6" t="str">
        <f>[1]settlementq_time!E39</f>
        <v>(1808.5)</v>
      </c>
      <c r="F11" s="6" t="str">
        <f>[1]settlementq_time!F39</f>
        <v/>
      </c>
      <c r="G11" s="6" t="str">
        <f>[1]settlementq_time!G39</f>
        <v>(595.2)</v>
      </c>
    </row>
    <row r="12" spans="1:7" x14ac:dyDescent="0.3">
      <c r="A12" t="s">
        <v>6</v>
      </c>
      <c r="B12" s="6" t="str">
        <f>[1]settlementq_time!B41</f>
        <v/>
      </c>
      <c r="C12" s="6" t="str">
        <f>[1]settlementq_time!C41</f>
        <v>21982.6***</v>
      </c>
      <c r="D12" s="6" t="str">
        <f>[1]settlementq_time!D41</f>
        <v/>
      </c>
      <c r="E12" s="6" t="str">
        <f>[1]settlementq_time!E41</f>
        <v>-3474.0*</v>
      </c>
      <c r="F12" s="6" t="str">
        <f>[1]settlementq_time!F41</f>
        <v/>
      </c>
      <c r="G12" s="6" t="str">
        <f>[1]settlementq_time!G41</f>
        <v>3990.9***</v>
      </c>
    </row>
    <row r="13" spans="1:7" x14ac:dyDescent="0.3">
      <c r="A13" t="str">
        <f>[1]settlementq_time!A42</f>
        <v/>
      </c>
      <c r="B13" s="6" t="str">
        <f>[1]settlementq_time!B42</f>
        <v/>
      </c>
      <c r="C13" s="6" t="str">
        <f>[1]settlementq_time!C42</f>
        <v>(3299.9)</v>
      </c>
      <c r="D13" s="6" t="str">
        <f>[1]settlementq_time!D42</f>
        <v/>
      </c>
      <c r="E13" s="6" t="str">
        <f>[1]settlementq_time!E42</f>
        <v>(1882.0)</v>
      </c>
      <c r="F13" s="6" t="str">
        <f>[1]settlementq_time!F42</f>
        <v/>
      </c>
      <c r="G13" s="6" t="str">
        <f>[1]settlementq_time!G42</f>
        <v>(718.8)</v>
      </c>
    </row>
    <row r="14" spans="1:7" x14ac:dyDescent="0.3">
      <c r="A14" t="s">
        <v>0</v>
      </c>
      <c r="B14" s="6" t="str">
        <f>[1]settlementq_time!B44</f>
        <v>10907.8***</v>
      </c>
      <c r="C14" s="6" t="str">
        <f>[1]settlementq_time!C44</f>
        <v>15396.9***</v>
      </c>
      <c r="D14" s="6" t="str">
        <f>[1]settlementq_time!D44</f>
        <v>15841.8***</v>
      </c>
      <c r="E14" s="6" t="str">
        <f>[1]settlementq_time!E44</f>
        <v>14649.2***</v>
      </c>
      <c r="F14" s="6" t="str">
        <f>[1]settlementq_time!F44</f>
        <v>9544.0***</v>
      </c>
      <c r="G14" s="6" t="str">
        <f>[1]settlementq_time!G44</f>
        <v>9331.9***</v>
      </c>
    </row>
    <row r="15" spans="1:7" x14ac:dyDescent="0.3">
      <c r="A15" t="str">
        <f>[1]settlementq_time!A45</f>
        <v/>
      </c>
      <c r="B15" s="6" t="str">
        <f>[1]settlementq_time!B45</f>
        <v>(4229.2)</v>
      </c>
      <c r="C15" s="6" t="str">
        <f>[1]settlementq_time!C45</f>
        <v>(4326.9)</v>
      </c>
      <c r="D15" s="6" t="str">
        <f>[1]settlementq_time!D45</f>
        <v>(2953.9)</v>
      </c>
      <c r="E15" s="6" t="str">
        <f>[1]settlementq_time!E45</f>
        <v>(3018.0)</v>
      </c>
      <c r="F15" s="6" t="str">
        <f>[1]settlementq_time!F45</f>
        <v>(1031.9)</v>
      </c>
      <c r="G15" s="6" t="str">
        <f>[1]settlementq_time!G45</f>
        <v>(1076.7)</v>
      </c>
    </row>
    <row r="16" spans="1:7" x14ac:dyDescent="0.3">
      <c r="B16" s="6"/>
      <c r="C16" s="6"/>
      <c r="D16" s="6"/>
      <c r="E16" s="6"/>
      <c r="F16" s="6"/>
      <c r="G16" s="6"/>
    </row>
    <row r="17" spans="1:7" x14ac:dyDescent="0.3">
      <c r="A17" s="4" t="s">
        <v>1</v>
      </c>
      <c r="B17" s="5" t="str">
        <f>[1]settlementq_time!B47</f>
        <v>3080</v>
      </c>
      <c r="C17" s="5" t="str">
        <f>[1]settlementq_time!C47</f>
        <v>3080</v>
      </c>
      <c r="D17" s="5" t="str">
        <f>[1]settlementq_time!D47</f>
        <v>3080</v>
      </c>
      <c r="E17" s="5" t="str">
        <f>[1]settlementq_time!E47</f>
        <v>3080</v>
      </c>
      <c r="F17" s="5" t="str">
        <f>[1]settlementq_time!F47</f>
        <v>3081</v>
      </c>
      <c r="G17" s="5" t="str">
        <f>[1]settlementq_time!G47</f>
        <v>3081</v>
      </c>
    </row>
    <row r="18" spans="1:7" x14ac:dyDescent="0.3">
      <c r="A18" t="s">
        <v>12</v>
      </c>
      <c r="B18" s="6" t="str">
        <f>[1]settlementq_time!B48</f>
        <v>0.24</v>
      </c>
      <c r="C18" s="6" t="str">
        <f>[1]settlementq_time!C48</f>
        <v>0.23</v>
      </c>
      <c r="D18" s="6" t="str">
        <f>[1]settlementq_time!D48</f>
        <v>0.22</v>
      </c>
      <c r="E18" s="6" t="str">
        <f>[1]settlementq_time!E48</f>
        <v>0.22</v>
      </c>
      <c r="F18" s="6" t="str">
        <f>[1]settlementq_time!F48</f>
        <v>0.66</v>
      </c>
      <c r="G18" s="6" t="str">
        <f>[1]settlementq_time!G48</f>
        <v>0.65</v>
      </c>
    </row>
    <row r="19" spans="1:7" ht="15" thickBot="1" x14ac:dyDescent="0.35">
      <c r="A19" s="2" t="s">
        <v>2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</row>
    <row r="20" spans="1:7" ht="15" thickTop="1" x14ac:dyDescent="0.3"/>
  </sheetData>
  <mergeCells count="3">
    <mergeCell ref="D2:E2"/>
    <mergeCell ref="F2:G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settlementq_time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xps-seira</dc:creator>
  <cp:lastModifiedBy>xps-seira</cp:lastModifiedBy>
  <dcterms:created xsi:type="dcterms:W3CDTF">2018-04-24T18:00:34Z</dcterms:created>
  <dcterms:modified xsi:type="dcterms:W3CDTF">2018-06-15T00:32:37Z</dcterms:modified>
</cp:coreProperties>
</file>