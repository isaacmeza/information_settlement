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5195BEAE-24F4-431A-B01F-127CE50418AA}" xr6:coauthVersionLast="36" xr6:coauthVersionMax="36" xr10:uidLastSave="{00000000-0000-0000-0000-000000000000}"/>
  <bookViews>
    <workbookView xWindow="0" yWindow="0" windowWidth="23040" windowHeight="8508"/>
  </bookViews>
  <sheets>
    <sheet name="Compliance" sheetId="1" r:id="rId1"/>
  </sheets>
  <calcPr calcId="179021" fullCalcOnLoad="true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<sst xmlns="http://schemas.openxmlformats.org/spreadsheetml/2006/main" count="24" uniqueCount="13">
  <si>
    <t>Control</t>
  </si>
  <si>
    <t>-</t>
  </si>
  <si>
    <t>Compliance with treatment</t>
  </si>
  <si>
    <t>Group</t>
  </si>
  <si>
    <t>Plaintiff</t>
  </si>
  <si>
    <t>Defendant</t>
  </si>
  <si>
    <t>Both</t>
  </si>
  <si>
    <t>Any</t>
  </si>
  <si>
    <t>Calculator</t>
  </si>
  <si>
    <t>Conciliator</t>
  </si>
  <si>
    <t>Compliance with exit survey</t>
  </si>
  <si>
    <t>Compliance with baseline survey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</si>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</sst>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0" xfId="0" applyBorder="true"/>
    <xf numFmtId="0" fontId="1" fillId="0" borderId="0" xfId="0" quotePrefix="true" applyFont="true" applyBorder="true" applyAlignment="true">
      <alignment horizontal="center" vertical="center" wrapText="true"/>
    </xf>
    <xf numFmtId="0" fontId="1" fillId="0" borderId="0" xfId="0" applyFont="true" applyBorder="true" applyAlignment="true">
      <alignment horizontal="center" vertical="center" wrapText="true"/>
    </xf>
    <xf numFmtId="0" fontId="0" fillId="0" borderId="2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3" xfId="0" applyBorder="true"/>
    <xf numFmtId="0" fontId="0" fillId="0" borderId="3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true" workbookViewId="0">
      <selection activeCell="A3" sqref="A3:N7"/>
    </sheetView>
  </sheetViews>
  <sheetFormatPr defaultColWidth="11.5546875" defaultRowHeight="14.4" x14ac:dyDescent="0.3"/>
  <cols>
    <col min="3" max="5" width="13.5546875" bestFit="true" customWidth="true"/>
  </cols>
  <sheetData>
    <row r="1" x14ac:dyDescent="0.3">
      <c r="A1" s="4"/>
      <c r="B1" s="5"/>
      <c r="C1" s="5"/>
      <c r="D1" s="5"/>
      <c r="E1" s="5"/>
    </row>
    <row r="2" x14ac:dyDescent="0.3">
      <c r="A2" s="4"/>
      <c r="B2" s="6"/>
      <c r="C2" s="6"/>
      <c r="D2" s="6"/>
      <c r="E2" s="6"/>
    </row>
    <row r="3" ht="15" thickBot="true" x14ac:dyDescent="0.35">
      <c r="A3" s="2" t="s">
        <v>3</v>
      </c>
      <c r="B3" s="3" t="s">
        <v>12</v>
      </c>
      <c r="C3" s="8" t="s">
        <v>2</v>
      </c>
      <c r="D3" s="8"/>
      <c r="E3" s="8"/>
      <c r="F3" s="8"/>
      <c r="G3" s="8" t="s">
        <v>11</v>
      </c>
      <c r="H3" s="8"/>
      <c r="I3" s="8"/>
      <c r="J3" s="8"/>
      <c r="K3" s="8" t="s">
        <v>10</v>
      </c>
      <c r="L3" s="8"/>
      <c r="M3" s="8"/>
      <c r="N3" s="8"/>
    </row>
    <row r="4" ht="15.6" thickTop="true" thickBot="true" x14ac:dyDescent="0.35">
      <c r="A4" s="7"/>
      <c r="B4" s="7"/>
      <c r="C4" s="7" t="s">
        <v>4</v>
      </c>
      <c r="D4" s="7" t="s">
        <v>5</v>
      </c>
      <c r="E4" s="7" t="s">
        <v>6</v>
      </c>
      <c r="F4" s="7" t="s">
        <v>7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4</v>
      </c>
      <c r="L4" s="7" t="s">
        <v>5</v>
      </c>
      <c r="M4" s="7" t="s">
        <v>6</v>
      </c>
      <c r="N4" s="7" t="s">
        <v>7</v>
      </c>
    </row>
    <row r="5" x14ac:dyDescent="0.3">
      <c r="A5" t="s">
        <v>0</v>
      </c>
      <c r="B5">
        <v>321</v>
      </c>
      <c r="C5" s="1" t="s">
        <v>1</v>
      </c>
      <c r="D5" s="1" t="s">
        <v>1</v>
      </c>
      <c r="E5" s="1" t="s">
        <v>1</v>
      </c>
      <c r="F5" s="1" t="s">
        <v>1</v>
      </c>
      <c r="G5" s="1">
        <f>ROUND(U5/B5*100,2)</f>
        <v>49.86</v>
      </c>
      <c r="H5" s="1">
        <f>ROUND(W5/B5*100,2)</f>
        <v>34.25</v>
      </c>
      <c r="I5" s="1">
        <f>ROUND(Y5/B5*100,2)</f>
        <v>9.0399999999999991</v>
      </c>
      <c r="J5" s="1">
        <f>ROUND(AA5/B5*100,2)</f>
        <v>75.069999999999993</v>
      </c>
      <c r="K5" s="1">
        <f>ROUND(AC5/$B$5*100,2)</f>
        <v>39.450000000000003</v>
      </c>
      <c r="L5" s="1">
        <f>ROUND(AE5/$B$5*100,2)</f>
        <v>24.11</v>
      </c>
      <c r="M5" s="1">
        <f>ROUND(AF5/$B$5*100,2)</f>
        <v>6.03</v>
      </c>
      <c r="N5" s="1">
        <f>ROUND(AI5/$B$5*100,2)</f>
        <v>56.71</v>
      </c>
      <c r="P5">
        <v>0.84476534296028882</v>
      </c>
      <c r="Q5">
        <v>0.84100418410041844</v>
      </c>
      <c r="R5">
        <v>0.85779816513761464</v>
      </c>
      <c r="S5">
        <v>0.80604982206405695</v>
      </c>
      <c r="T5">
        <v>158</v>
      </c>
      <c r="U5">
        <v>163</v>
      </c>
      <c r="V5">
        <v>207</v>
      </c>
      <c r="W5">
        <v>114</v>
      </c>
      <c r="X5">
        <v>293</v>
      </c>
      <c r="Y5">
        <v>28</v>
      </c>
      <c r="Z5">
        <v>72</v>
      </c>
      <c r="AA5">
        <v>249</v>
      </c>
      <c r="AB5">
        <v>193</v>
      </c>
      <c r="AC5">
        <v>128</v>
      </c>
      <c r="AD5">
        <v>243</v>
      </c>
      <c r="AE5">
        <v>78</v>
      </c>
      <c r="AF5">
        <v>303</v>
      </c>
      <c r="AG5">
        <v>18</v>
      </c>
      <c r="AH5">
        <v>133</v>
      </c>
      <c r="AI5">
        <v>188</v>
      </c>
    </row>
    <row r="6" x14ac:dyDescent="0.3">
      <c r="A6" t="s">
        <v>8</v>
      </c>
      <c r="B6">
        <v>315</v>
      </c>
      <c r="C6" s="1">
        <f>ROUND(P6*100,2)</f>
        <v>76.349999999999994</v>
      </c>
      <c r="D6" s="1">
        <f t="shared" ref="D6:F7" si="0">ROUND(Q6*100,2)</f>
        <v>71.69</v>
      </c>
      <c r="E6" s="1">
        <f t="shared" si="0"/>
        <v>74.180000000000007</v>
      </c>
      <c r="F6" s="1">
        <f t="shared" si="0"/>
        <v>75.900000000000006</v>
      </c>
      <c r="G6" s="1">
        <f t="shared" ref="G6:G7" si="1">ROUND(U6/B6*100,2)</f>
        <v>47.29</v>
      </c>
      <c r="H6" s="1">
        <f t="shared" ref="H6:H7" si="2">ROUND(W6/B6*100,2)</f>
        <v>34.19</v>
      </c>
      <c r="I6" s="1">
        <f t="shared" ref="I6:I7" si="3">ROUND(Y6/B6*100,2)</f>
        <v>12.54</v>
      </c>
      <c r="J6" s="1">
        <f t="shared" ref="J6:J7" si="4">ROUND(AA6/B6*100,2)</f>
        <v>68.95</v>
      </c>
      <c r="K6" s="1">
        <f t="shared" ref="K6:K7" si="5">ROUND(AC6/$B$5*100,2)</f>
        <v>37.26</v>
      </c>
      <c r="L6" s="1">
        <f t="shared" ref="L6:L7" si="6">ROUND(AE6/$B$5*100,2)</f>
        <v>25.21</v>
      </c>
      <c r="M6" s="1">
        <f t="shared" ref="M6:M7" si="7">ROUND(AF6/$B$5*100,2)</f>
        <v>9.86</v>
      </c>
      <c r="N6" s="1">
        <f t="shared" ref="N6:N7" si="8">ROUND(AI6/$B$5*100,2)</f>
        <v>52.33</v>
      </c>
      <c r="P6">
        <v>0.77651515151515149</v>
      </c>
      <c r="Q6">
        <v>0.73029045643153523</v>
      </c>
      <c r="R6">
        <v>0.75813953488372088</v>
      </c>
      <c r="S6">
        <v>0.7971781305114638</v>
      </c>
      <c r="T6">
        <v>163</v>
      </c>
      <c r="U6">
        <v>152</v>
      </c>
      <c r="V6">
        <v>209</v>
      </c>
      <c r="W6">
        <v>106</v>
      </c>
      <c r="X6">
        <v>276</v>
      </c>
      <c r="Y6">
        <v>39</v>
      </c>
      <c r="Z6">
        <v>96</v>
      </c>
      <c r="AA6">
        <v>219</v>
      </c>
      <c r="AB6">
        <v>191</v>
      </c>
      <c r="AC6">
        <v>124</v>
      </c>
      <c r="AD6">
        <v>232</v>
      </c>
      <c r="AE6">
        <v>83</v>
      </c>
      <c r="AF6">
        <v>284</v>
      </c>
      <c r="AG6">
        <v>31</v>
      </c>
      <c r="AH6">
        <v>139</v>
      </c>
      <c r="AI6">
        <v>176</v>
      </c>
    </row>
    <row r="7" x14ac:dyDescent="0.3">
      <c r="A7" s="9" t="s">
        <v>9</v>
      </c>
      <c r="B7" s="9">
        <v>358</v>
      </c>
      <c r="C7" s="10">
        <f>ROUND(P7*100,2)</f>
        <v>71.8</v>
      </c>
      <c r="D7" s="10">
        <f t="shared" si="0"/>
        <v>72.03</v>
      </c>
      <c r="E7" s="10">
        <f t="shared" si="0"/>
        <v>72.91</v>
      </c>
      <c r="F7" s="10">
        <f t="shared" si="0"/>
        <v>76.290000000000006</v>
      </c>
      <c r="G7" s="10">
        <f t="shared" si="1"/>
        <v>43.02</v>
      </c>
      <c r="H7" s="10">
        <f t="shared" si="2"/>
        <v>41.9</v>
      </c>
      <c r="I7" s="10">
        <f t="shared" si="3"/>
        <v>15.92</v>
      </c>
      <c r="J7" s="10">
        <f t="shared" si="4"/>
        <v>68.989999999999995</v>
      </c>
      <c r="K7" s="10">
        <f t="shared" si="5"/>
        <v>35.07</v>
      </c>
      <c r="L7" s="10">
        <f t="shared" si="6"/>
        <v>27.4</v>
      </c>
      <c r="M7" s="10">
        <f t="shared" si="7"/>
        <v>11.51</v>
      </c>
      <c r="N7" s="10">
        <f t="shared" si="8"/>
        <v>50.14</v>
      </c>
      <c r="P7">
        <v>0.71803278688524586</v>
      </c>
      <c r="Q7">
        <v>0.72027972027972031</v>
      </c>
      <c r="R7">
        <v>0.72908366533864544</v>
      </c>
      <c r="S7">
        <v>0.76290832455216018</v>
      </c>
      <c r="T7">
        <v>204</v>
      </c>
      <c r="U7">
        <v>154</v>
      </c>
      <c r="V7">
        <v>208</v>
      </c>
      <c r="W7">
        <v>150</v>
      </c>
      <c r="X7">
        <v>301</v>
      </c>
      <c r="Y7">
        <v>57</v>
      </c>
      <c r="Z7">
        <v>111</v>
      </c>
      <c r="AA7">
        <v>247</v>
      </c>
      <c r="AB7">
        <v>125</v>
      </c>
      <c r="AC7">
        <v>128</v>
      </c>
      <c r="AD7">
        <v>100</v>
      </c>
      <c r="AE7">
        <v>100</v>
      </c>
      <c r="AF7">
        <v>42</v>
      </c>
      <c r="AH7">
        <v>175</v>
      </c>
      <c r="AI7">
        <v>183</v>
      </c>
    </row>
  </sheetData>
  <mergeCells count="3">
    <mergeCell ref="C3:F3"/>
    <mergeCell ref="G3:J3"/>
    <mergeCell ref="K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Meza</dc:creator>
  <cp:lastModifiedBy>xps-seira</cp:lastModifiedBy>
  <dcterms:created xsi:type="dcterms:W3CDTF">2016-12-19T22:45:48Z</dcterms:created>
  <dcterms:modified xsi:type="dcterms:W3CDTF">2018-09-23T18:43:56Z</dcterms:modified>
</cp:coreProperties>
</file>