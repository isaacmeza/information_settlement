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57D3A5C9-C951-4BD3-B0ED-4C04C6F2B17B}" xr6:coauthVersionLast="40" xr6:coauthVersionMax="40" xr10:uidLastSave="{00000000-0000-0000-0000-000000000000}"/>
  <bookViews>
    <workbookView xWindow="-108" yWindow="-108" windowWidth="23256" windowHeight="12600" activeTab="1" xr2:uid="{00000000-000D-0000-FFFF-FFFF00000000}"/>
  </bookViews>
  <sheets>
    <sheet name="update_reg_theta_rel_oc" sheetId="5" r:id="rId1"/>
    <sheet name="update_reg_theta_rel_uc" sheetId="4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4" l="1"/>
  <c r="C17" i="4"/>
  <c r="B17" i="4"/>
  <c r="D16" i="4"/>
  <c r="C16" i="4"/>
  <c r="B16" i="4"/>
  <c r="D15" i="4"/>
  <c r="C15" i="4"/>
  <c r="B15" i="4"/>
  <c r="A15" i="4"/>
  <c r="D12" i="4"/>
  <c r="C12" i="4"/>
  <c r="B12" i="4"/>
  <c r="D10" i="4"/>
  <c r="C10" i="4"/>
  <c r="B10" i="4"/>
  <c r="A10" i="4"/>
  <c r="D9" i="4"/>
  <c r="C9" i="4"/>
  <c r="B9" i="4"/>
  <c r="D8" i="4"/>
  <c r="C8" i="4"/>
  <c r="B8" i="4"/>
  <c r="A8" i="4"/>
  <c r="D7" i="4"/>
  <c r="C7" i="4"/>
  <c r="B7" i="4"/>
  <c r="D6" i="4"/>
  <c r="C6" i="4"/>
  <c r="B6" i="4"/>
  <c r="A6" i="4"/>
  <c r="D5" i="4"/>
  <c r="C5" i="4"/>
  <c r="B5" i="4"/>
  <c r="A4" i="4"/>
  <c r="D17" i="5"/>
  <c r="C17" i="5"/>
  <c r="B17" i="5"/>
  <c r="D16" i="5"/>
  <c r="C16" i="5"/>
  <c r="B16" i="5"/>
  <c r="D15" i="5"/>
  <c r="C15" i="5"/>
  <c r="B15" i="5"/>
  <c r="A15" i="5"/>
  <c r="D12" i="5"/>
  <c r="C12" i="5"/>
  <c r="B12" i="5"/>
  <c r="D10" i="5"/>
  <c r="C10" i="5"/>
  <c r="B10" i="5"/>
  <c r="A10" i="5"/>
  <c r="D9" i="5"/>
  <c r="C9" i="5"/>
  <c r="B9" i="5"/>
  <c r="D8" i="5"/>
  <c r="C8" i="5"/>
  <c r="B8" i="5"/>
  <c r="A8" i="5"/>
  <c r="D7" i="5"/>
  <c r="C7" i="5"/>
  <c r="B7" i="5"/>
  <c r="D6" i="5"/>
  <c r="C6" i="5"/>
  <c r="B6" i="5"/>
  <c r="A6" i="5"/>
  <c r="D5" i="5"/>
  <c r="C5" i="5"/>
  <c r="B5" i="5"/>
  <c r="A4" i="5"/>
</calcChain>
</file>

<file path=xl/sharedStrings.xml><?xml version="1.0" encoding="utf-8"?>
<sst xmlns="http://schemas.openxmlformats.org/spreadsheetml/2006/main" count="42" uniqueCount="17">
  <si>
    <t>Employee</t>
  </si>
  <si>
    <t>Observations</t>
  </si>
  <si>
    <t>Calculator</t>
  </si>
  <si>
    <t>YES</t>
  </si>
  <si>
    <t>Other controls</t>
  </si>
  <si>
    <t>NO</t>
  </si>
  <si>
    <t xml:space="preserve">Constant </t>
  </si>
  <si>
    <t xml:space="preserve">Conciliator </t>
  </si>
  <si>
    <t xml:space="preserve">Basic Variable Controls </t>
  </si>
  <si>
    <t>Firm Lawyer</t>
  </si>
  <si>
    <t>Emp Lawyer</t>
  </si>
  <si>
    <t>Relative updating</t>
  </si>
  <si>
    <t>Update (mean)</t>
  </si>
  <si>
    <t>Update (SD)</t>
  </si>
  <si>
    <t>(1)</t>
  </si>
  <si>
    <t>(2)</t>
  </si>
  <si>
    <t>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</si>
</sst>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3" xfId="0" quotePrefix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update_reg_theta_rel_oc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update_reg_theta_rel_uc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_reg_theta_rel_oc"/>
    </sheetNames>
    <sheetDataSet>
      <sheetData sheetId="0">
        <row r="2">
          <cell r="A2" t="str">
            <v/>
          </cell>
        </row>
        <row r="8">
          <cell r="F8" t="str">
            <v>-0.30*</v>
          </cell>
          <cell r="G8" t="str">
            <v>0.61</v>
          </cell>
          <cell r="H8" t="str">
            <v>-0.17</v>
          </cell>
        </row>
        <row r="9">
          <cell r="A9" t="str">
            <v/>
          </cell>
          <cell r="F9" t="str">
            <v>(0.17)</v>
          </cell>
          <cell r="G9" t="str">
            <v>(3.47)</v>
          </cell>
          <cell r="H9" t="str">
            <v>(0.44)</v>
          </cell>
        </row>
        <row r="11">
          <cell r="F11" t="str">
            <v>-0.39*</v>
          </cell>
          <cell r="G11" t="str">
            <v>-1.86</v>
          </cell>
          <cell r="H11" t="str">
            <v>-0.11</v>
          </cell>
        </row>
        <row r="12">
          <cell r="A12" t="str">
            <v/>
          </cell>
          <cell r="F12" t="str">
            <v>(0.19)</v>
          </cell>
          <cell r="G12" t="str">
            <v>(1.92)</v>
          </cell>
          <cell r="H12" t="str">
            <v>(0.39)</v>
          </cell>
        </row>
        <row r="59">
          <cell r="F59" t="str">
            <v>-0.76</v>
          </cell>
          <cell r="G59" t="str">
            <v>-8.01</v>
          </cell>
          <cell r="H59" t="str">
            <v>0.53**</v>
          </cell>
        </row>
        <row r="60">
          <cell r="A60" t="str">
            <v/>
          </cell>
          <cell r="F60" t="str">
            <v>(0.51)</v>
          </cell>
          <cell r="G60" t="str">
            <v>(5.63)</v>
          </cell>
          <cell r="H60" t="str">
            <v>(0.27)</v>
          </cell>
        </row>
        <row r="62">
          <cell r="F62" t="str">
            <v>40</v>
          </cell>
          <cell r="G62" t="str">
            <v>125</v>
          </cell>
          <cell r="H62" t="str">
            <v>97</v>
          </cell>
        </row>
        <row r="63">
          <cell r="A63" t="str">
            <v>R-squared</v>
          </cell>
          <cell r="F63" t="str">
            <v>0.44</v>
          </cell>
          <cell r="G63" t="str">
            <v>0.077</v>
          </cell>
          <cell r="H63" t="str">
            <v>0.15</v>
          </cell>
        </row>
        <row r="64">
          <cell r="F64" t="str">
            <v>-0.29</v>
          </cell>
          <cell r="G64" t="str">
            <v>1.55</v>
          </cell>
          <cell r="H64" t="str">
            <v>0.33</v>
          </cell>
        </row>
        <row r="65">
          <cell r="F65" t="str">
            <v>0.42</v>
          </cell>
          <cell r="G65" t="str">
            <v>12.9</v>
          </cell>
          <cell r="H65" t="str">
            <v>1.70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_reg_theta_rel_uc"/>
    </sheetNames>
    <sheetDataSet>
      <sheetData sheetId="0">
        <row r="2">
          <cell r="A2" t="str">
            <v/>
          </cell>
        </row>
        <row r="8">
          <cell r="F8" t="str">
            <v>6.27</v>
          </cell>
          <cell r="G8" t="str">
            <v>-4.69</v>
          </cell>
          <cell r="H8" t="str">
            <v>0.055</v>
          </cell>
        </row>
        <row r="9">
          <cell r="A9" t="str">
            <v/>
          </cell>
          <cell r="F9" t="str">
            <v>(10.7)</v>
          </cell>
          <cell r="G9" t="str">
            <v>(5.07)</v>
          </cell>
          <cell r="H9" t="str">
            <v>(0.28)</v>
          </cell>
        </row>
        <row r="11">
          <cell r="F11" t="str">
            <v>7.68</v>
          </cell>
          <cell r="G11" t="str">
            <v>27.9</v>
          </cell>
          <cell r="H11" t="str">
            <v>-0.18</v>
          </cell>
        </row>
        <row r="12">
          <cell r="A12" t="str">
            <v/>
          </cell>
          <cell r="F12" t="str">
            <v>(14.7)</v>
          </cell>
          <cell r="G12" t="str">
            <v>(20.5)</v>
          </cell>
          <cell r="H12" t="str">
            <v>(0.17)</v>
          </cell>
        </row>
        <row r="59">
          <cell r="F59" t="str">
            <v>-4.11</v>
          </cell>
          <cell r="G59" t="str">
            <v>64.3</v>
          </cell>
          <cell r="H59" t="str">
            <v>-1.15***</v>
          </cell>
        </row>
        <row r="60">
          <cell r="A60" t="str">
            <v/>
          </cell>
          <cell r="F60" t="str">
            <v>(45.7)</v>
          </cell>
          <cell r="G60" t="str">
            <v>(43.4)</v>
          </cell>
          <cell r="H60" t="str">
            <v>(0.31)</v>
          </cell>
        </row>
        <row r="62">
          <cell r="F62" t="str">
            <v>28</v>
          </cell>
          <cell r="G62" t="str">
            <v>75</v>
          </cell>
          <cell r="H62" t="str">
            <v>65</v>
          </cell>
        </row>
        <row r="63">
          <cell r="A63" t="str">
            <v>R-squared</v>
          </cell>
          <cell r="F63" t="str">
            <v>0.92</v>
          </cell>
          <cell r="G63" t="str">
            <v>0.18</v>
          </cell>
          <cell r="H63" t="str">
            <v>0.20</v>
          </cell>
        </row>
        <row r="64">
          <cell r="F64" t="str">
            <v>13.2</v>
          </cell>
          <cell r="G64" t="str">
            <v>9.76</v>
          </cell>
          <cell r="H64" t="str">
            <v>-0.31</v>
          </cell>
        </row>
        <row r="65">
          <cell r="F65" t="str">
            <v>65.8</v>
          </cell>
          <cell r="G65" t="str">
            <v>48.9</v>
          </cell>
          <cell r="H65" t="str">
            <v>0.77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6CBC-5EE8-455B-93D0-97F4DAE949DD}">
  <dimension ref="A2:D18"/>
  <sheetViews>
    <sheetView workbookViewId="0">
      <selection activeCell="A2" sqref="A2:D17"/>
    </sheetView>
  </sheetViews>
  <sheetFormatPr defaultRowHeight="14.4" x14ac:dyDescent="0.3"/>
  <sheetData>
    <row r="2" spans="1:4" ht="15" thickBot="1" x14ac:dyDescent="0.35">
      <c r="A2" s="2"/>
      <c r="B2" s="9" t="s">
        <v>11</v>
      </c>
      <c r="C2" s="9"/>
      <c r="D2" s="9"/>
    </row>
    <row r="3" spans="1:4" ht="15" thickTop="1" x14ac:dyDescent="0.3">
      <c r="B3" s="1" t="s">
        <v>0</v>
      </c>
      <c r="C3" s="1" t="s">
        <v>10</v>
      </c>
      <c r="D3" s="1" t="s">
        <v>9</v>
      </c>
    </row>
    <row r="4" spans="1:4" ht="15" thickBot="1" x14ac:dyDescent="0.35">
      <c r="A4" s="2" t="str">
        <f>[1]update_reg_theta_rel_oc!A2</f>
        <v/>
      </c>
      <c r="B4" s="8" t="s">
        <v>14</v>
      </c>
      <c r="C4" s="8" t="s">
        <v>15</v>
      </c>
      <c r="D4" s="8" t="s">
        <v>16</v>
      </c>
    </row>
    <row r="5" spans="1:4" ht="15" thickTop="1" x14ac:dyDescent="0.3">
      <c r="A5" t="s">
        <v>2</v>
      </c>
      <c r="B5" s="1" t="str">
        <f>[1]update_reg_theta_rel_oc!F8</f>
        <v>-0.30*</v>
      </c>
      <c r="C5" s="1" t="str">
        <f>[1]update_reg_theta_rel_oc!G8</f>
        <v>0.61</v>
      </c>
      <c r="D5" s="1" t="str">
        <f>[1]update_reg_theta_rel_oc!H8</f>
        <v>-0.17</v>
      </c>
    </row>
    <row r="6" spans="1:4" x14ac:dyDescent="0.3">
      <c r="A6" t="str">
        <f>[1]update_reg_theta_rel_oc!A9</f>
        <v/>
      </c>
      <c r="B6" s="1" t="str">
        <f>[1]update_reg_theta_rel_oc!F9</f>
        <v>(0.17)</v>
      </c>
      <c r="C6" s="1" t="str">
        <f>[1]update_reg_theta_rel_oc!G9</f>
        <v>(3.47)</v>
      </c>
      <c r="D6" s="1" t="str">
        <f>[1]update_reg_theta_rel_oc!H9</f>
        <v>(0.44)</v>
      </c>
    </row>
    <row r="7" spans="1:4" x14ac:dyDescent="0.3">
      <c r="A7" t="s">
        <v>7</v>
      </c>
      <c r="B7" s="1" t="str">
        <f>[1]update_reg_theta_rel_oc!F11</f>
        <v>-0.39*</v>
      </c>
      <c r="C7" s="1" t="str">
        <f>[1]update_reg_theta_rel_oc!G11</f>
        <v>-1.86</v>
      </c>
      <c r="D7" s="1" t="str">
        <f>[1]update_reg_theta_rel_oc!H11</f>
        <v>-0.11</v>
      </c>
    </row>
    <row r="8" spans="1:4" x14ac:dyDescent="0.3">
      <c r="A8" t="str">
        <f>[1]update_reg_theta_rel_oc!A12</f>
        <v/>
      </c>
      <c r="B8" s="1" t="str">
        <f>[1]update_reg_theta_rel_oc!F12</f>
        <v>(0.19)</v>
      </c>
      <c r="C8" s="1" t="str">
        <f>[1]update_reg_theta_rel_oc!G12</f>
        <v>(1.92)</v>
      </c>
      <c r="D8" s="1" t="str">
        <f>[1]update_reg_theta_rel_oc!H12</f>
        <v>(0.39)</v>
      </c>
    </row>
    <row r="9" spans="1:4" x14ac:dyDescent="0.3">
      <c r="A9" t="s">
        <v>6</v>
      </c>
      <c r="B9" s="1" t="str">
        <f>[1]update_reg_theta_rel_oc!F59</f>
        <v>-0.76</v>
      </c>
      <c r="C9" s="1" t="str">
        <f>[1]update_reg_theta_rel_oc!G59</f>
        <v>-8.01</v>
      </c>
      <c r="D9" s="1" t="str">
        <f>[1]update_reg_theta_rel_oc!H59</f>
        <v>0.53**</v>
      </c>
    </row>
    <row r="10" spans="1:4" x14ac:dyDescent="0.3">
      <c r="A10" t="str">
        <f>[1]update_reg_theta_rel_oc!A60</f>
        <v/>
      </c>
      <c r="B10" s="1" t="str">
        <f>[1]update_reg_theta_rel_oc!F60</f>
        <v>(0.51)</v>
      </c>
      <c r="C10" s="1" t="str">
        <f>[1]update_reg_theta_rel_oc!G60</f>
        <v>(5.63)</v>
      </c>
      <c r="D10" s="1" t="str">
        <f>[1]update_reg_theta_rel_oc!H60</f>
        <v>(0.27)</v>
      </c>
    </row>
    <row r="11" spans="1:4" x14ac:dyDescent="0.3">
      <c r="B11" s="1"/>
      <c r="C11" s="1"/>
      <c r="D11" s="1"/>
    </row>
    <row r="12" spans="1:4" x14ac:dyDescent="0.3">
      <c r="A12" s="3" t="s">
        <v>1</v>
      </c>
      <c r="B12" s="4" t="str">
        <f>[1]update_reg_theta_rel_oc!F62</f>
        <v>40</v>
      </c>
      <c r="C12" s="4" t="str">
        <f>[1]update_reg_theta_rel_oc!G62</f>
        <v>125</v>
      </c>
      <c r="D12" s="4" t="str">
        <f>[1]update_reg_theta_rel_oc!H62</f>
        <v>97</v>
      </c>
    </row>
    <row r="13" spans="1:4" x14ac:dyDescent="0.3">
      <c r="A13" t="s">
        <v>8</v>
      </c>
      <c r="B13" s="1" t="s">
        <v>3</v>
      </c>
      <c r="C13" s="1" t="s">
        <v>3</v>
      </c>
      <c r="D13" s="1" t="s">
        <v>3</v>
      </c>
    </row>
    <row r="14" spans="1:4" x14ac:dyDescent="0.3">
      <c r="A14" t="s">
        <v>4</v>
      </c>
      <c r="B14" s="1" t="s">
        <v>3</v>
      </c>
      <c r="C14" s="1" t="s">
        <v>5</v>
      </c>
      <c r="D14" s="1" t="s">
        <v>5</v>
      </c>
    </row>
    <row r="15" spans="1:4" x14ac:dyDescent="0.3">
      <c r="A15" t="str">
        <f>[1]update_reg_theta_rel_oc!A63</f>
        <v>R-squared</v>
      </c>
      <c r="B15" s="1" t="str">
        <f>[1]update_reg_theta_rel_oc!F63</f>
        <v>0.44</v>
      </c>
      <c r="C15" s="1" t="str">
        <f>[1]update_reg_theta_rel_oc!G63</f>
        <v>0.077</v>
      </c>
      <c r="D15" s="1" t="str">
        <f>[1]update_reg_theta_rel_oc!H63</f>
        <v>0.15</v>
      </c>
    </row>
    <row r="16" spans="1:4" x14ac:dyDescent="0.3">
      <c r="A16" s="6" t="s">
        <v>12</v>
      </c>
      <c r="B16" s="1" t="str">
        <f>[1]update_reg_theta_rel_oc!F64</f>
        <v>-0.29</v>
      </c>
      <c r="C16" s="1" t="str">
        <f>[1]update_reg_theta_rel_oc!G64</f>
        <v>1.55</v>
      </c>
      <c r="D16" s="1" t="str">
        <f>[1]update_reg_theta_rel_oc!H64</f>
        <v>0.33</v>
      </c>
    </row>
    <row r="17" spans="1:4" ht="15" thickBot="1" x14ac:dyDescent="0.35">
      <c r="A17" s="7" t="s">
        <v>13</v>
      </c>
      <c r="B17" s="5" t="str">
        <f>[1]update_reg_theta_rel_oc!F65</f>
        <v>0.42</v>
      </c>
      <c r="C17" s="5" t="str">
        <f>[1]update_reg_theta_rel_oc!G65</f>
        <v>12.9</v>
      </c>
      <c r="D17" s="5" t="str">
        <f>[1]update_reg_theta_rel_oc!H65</f>
        <v>1.70</v>
      </c>
    </row>
    <row r="18" spans="1:4" ht="15" thickTop="1" x14ac:dyDescent="0.3"/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2B4E-02A9-4D15-A404-C06CCE822BF8}">
  <dimension ref="A2:D18"/>
  <sheetViews>
    <sheetView tabSelected="1" workbookViewId="0">
      <selection activeCell="A2" sqref="A2:D17"/>
    </sheetView>
  </sheetViews>
  <sheetFormatPr defaultRowHeight="14.4" x14ac:dyDescent="0.3"/>
  <sheetData>
    <row r="2" spans="1:4" ht="15" thickBot="1" x14ac:dyDescent="0.35">
      <c r="A2" s="2"/>
      <c r="B2" s="9" t="s">
        <v>11</v>
      </c>
      <c r="C2" s="9"/>
      <c r="D2" s="9"/>
    </row>
    <row r="3" spans="1:4" ht="15" thickTop="1" x14ac:dyDescent="0.3">
      <c r="B3" s="1" t="s">
        <v>0</v>
      </c>
      <c r="C3" s="1" t="s">
        <v>10</v>
      </c>
      <c r="D3" s="1" t="s">
        <v>9</v>
      </c>
    </row>
    <row r="4" spans="1:4" ht="15" thickBot="1" x14ac:dyDescent="0.35">
      <c r="A4" s="2" t="str">
        <f>[2]update_reg_theta_rel_uc!A2</f>
        <v/>
      </c>
      <c r="B4" s="8" t="s">
        <v>14</v>
      </c>
      <c r="C4" s="8" t="s">
        <v>15</v>
      </c>
      <c r="D4" s="8" t="s">
        <v>16</v>
      </c>
    </row>
    <row r="5" spans="1:4" ht="15" thickTop="1" x14ac:dyDescent="0.3">
      <c r="A5" t="s">
        <v>2</v>
      </c>
      <c r="B5" s="1" t="str">
        <f>[2]update_reg_theta_rel_uc!F8</f>
        <v>6.27</v>
      </c>
      <c r="C5" s="1" t="str">
        <f>[2]update_reg_theta_rel_uc!G8</f>
        <v>-4.69</v>
      </c>
      <c r="D5" s="1" t="str">
        <f>[2]update_reg_theta_rel_uc!H8</f>
        <v>0.055</v>
      </c>
    </row>
    <row r="6" spans="1:4" x14ac:dyDescent="0.3">
      <c r="A6" t="str">
        <f>[2]update_reg_theta_rel_uc!A9</f>
        <v/>
      </c>
      <c r="B6" s="1" t="str">
        <f>[2]update_reg_theta_rel_uc!F9</f>
        <v>(10.7)</v>
      </c>
      <c r="C6" s="1" t="str">
        <f>[2]update_reg_theta_rel_uc!G9</f>
        <v>(5.07)</v>
      </c>
      <c r="D6" s="1" t="str">
        <f>[2]update_reg_theta_rel_uc!H9</f>
        <v>(0.28)</v>
      </c>
    </row>
    <row r="7" spans="1:4" x14ac:dyDescent="0.3">
      <c r="A7" t="s">
        <v>7</v>
      </c>
      <c r="B7" s="1" t="str">
        <f>[2]update_reg_theta_rel_uc!F11</f>
        <v>7.68</v>
      </c>
      <c r="C7" s="1" t="str">
        <f>[2]update_reg_theta_rel_uc!G11</f>
        <v>27.9</v>
      </c>
      <c r="D7" s="1" t="str">
        <f>[2]update_reg_theta_rel_uc!H11</f>
        <v>-0.18</v>
      </c>
    </row>
    <row r="8" spans="1:4" x14ac:dyDescent="0.3">
      <c r="A8" t="str">
        <f>[2]update_reg_theta_rel_uc!A12</f>
        <v/>
      </c>
      <c r="B8" s="1" t="str">
        <f>[2]update_reg_theta_rel_uc!F12</f>
        <v>(14.7)</v>
      </c>
      <c r="C8" s="1" t="str">
        <f>[2]update_reg_theta_rel_uc!G12</f>
        <v>(20.5)</v>
      </c>
      <c r="D8" s="1" t="str">
        <f>[2]update_reg_theta_rel_uc!H12</f>
        <v>(0.17)</v>
      </c>
    </row>
    <row r="9" spans="1:4" x14ac:dyDescent="0.3">
      <c r="A9" t="s">
        <v>6</v>
      </c>
      <c r="B9" s="1" t="str">
        <f>[2]update_reg_theta_rel_uc!F59</f>
        <v>-4.11</v>
      </c>
      <c r="C9" s="1" t="str">
        <f>[2]update_reg_theta_rel_uc!G59</f>
        <v>64.3</v>
      </c>
      <c r="D9" s="1" t="str">
        <f>[2]update_reg_theta_rel_uc!H59</f>
        <v>-1.15***</v>
      </c>
    </row>
    <row r="10" spans="1:4" x14ac:dyDescent="0.3">
      <c r="A10" t="str">
        <f>[2]update_reg_theta_rel_uc!A60</f>
        <v/>
      </c>
      <c r="B10" s="1" t="str">
        <f>[2]update_reg_theta_rel_uc!F60</f>
        <v>(45.7)</v>
      </c>
      <c r="C10" s="1" t="str">
        <f>[2]update_reg_theta_rel_uc!G60</f>
        <v>(43.4)</v>
      </c>
      <c r="D10" s="1" t="str">
        <f>[2]update_reg_theta_rel_uc!H60</f>
        <v>(0.31)</v>
      </c>
    </row>
    <row r="11" spans="1:4" x14ac:dyDescent="0.3">
      <c r="B11" s="1"/>
      <c r="C11" s="1"/>
      <c r="D11" s="1"/>
    </row>
    <row r="12" spans="1:4" x14ac:dyDescent="0.3">
      <c r="A12" s="3" t="s">
        <v>1</v>
      </c>
      <c r="B12" s="4" t="str">
        <f>[2]update_reg_theta_rel_uc!F62</f>
        <v>28</v>
      </c>
      <c r="C12" s="4" t="str">
        <f>[2]update_reg_theta_rel_uc!G62</f>
        <v>75</v>
      </c>
      <c r="D12" s="4" t="str">
        <f>[2]update_reg_theta_rel_uc!H62</f>
        <v>65</v>
      </c>
    </row>
    <row r="13" spans="1:4" x14ac:dyDescent="0.3">
      <c r="A13" t="s">
        <v>8</v>
      </c>
      <c r="B13" s="1" t="s">
        <v>3</v>
      </c>
      <c r="C13" s="1" t="s">
        <v>3</v>
      </c>
      <c r="D13" s="1" t="s">
        <v>3</v>
      </c>
    </row>
    <row r="14" spans="1:4" x14ac:dyDescent="0.3">
      <c r="A14" t="s">
        <v>4</v>
      </c>
      <c r="B14" s="1" t="s">
        <v>3</v>
      </c>
      <c r="C14" s="1" t="s">
        <v>5</v>
      </c>
      <c r="D14" s="1" t="s">
        <v>5</v>
      </c>
    </row>
    <row r="15" spans="1:4" x14ac:dyDescent="0.3">
      <c r="A15" t="str">
        <f>[2]update_reg_theta_rel_uc!A63</f>
        <v>R-squared</v>
      </c>
      <c r="B15" s="1" t="str">
        <f>[2]update_reg_theta_rel_uc!F63</f>
        <v>0.92</v>
      </c>
      <c r="C15" s="1" t="str">
        <f>[2]update_reg_theta_rel_uc!G63</f>
        <v>0.18</v>
      </c>
      <c r="D15" s="1" t="str">
        <f>[2]update_reg_theta_rel_uc!H63</f>
        <v>0.20</v>
      </c>
    </row>
    <row r="16" spans="1:4" x14ac:dyDescent="0.3">
      <c r="A16" s="6" t="s">
        <v>12</v>
      </c>
      <c r="B16" s="1" t="str">
        <f>[2]update_reg_theta_rel_uc!F64</f>
        <v>13.2</v>
      </c>
      <c r="C16" s="1" t="str">
        <f>[2]update_reg_theta_rel_uc!G64</f>
        <v>9.76</v>
      </c>
      <c r="D16" s="1" t="str">
        <f>[2]update_reg_theta_rel_uc!H64</f>
        <v>-0.31</v>
      </c>
    </row>
    <row r="17" spans="1:4" ht="15" thickBot="1" x14ac:dyDescent="0.35">
      <c r="A17" s="7" t="s">
        <v>13</v>
      </c>
      <c r="B17" s="5" t="str">
        <f>[2]update_reg_theta_rel_uc!F65</f>
        <v>65.8</v>
      </c>
      <c r="C17" s="5" t="str">
        <f>[2]update_reg_theta_rel_uc!G65</f>
        <v>48.9</v>
      </c>
      <c r="D17" s="5" t="str">
        <f>[2]update_reg_theta_rel_uc!H65</f>
        <v>0.77</v>
      </c>
    </row>
    <row r="18" spans="1:4" ht="15" thickTop="1" x14ac:dyDescent="0.3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update_reg_theta_rel_oc</vt:lpstr>
      <vt:lpstr>update_reg_theta_rel_uc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2017-07-30T04:55:16Z</dcterms:created>
  <dcterms:modified xsi:type="dcterms:W3CDTF">2019-02-25T00:34:35Z</dcterms:modified>
</cp:coreProperties>
</file>