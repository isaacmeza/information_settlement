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CLC\Pilot 1\information_sett\ReplicationFinal\Tables\"/>
    </mc:Choice>
  </mc:AlternateContent>
  <xr:revisionPtr revIDLastSave="0" documentId="13_ncr:1_{AF241A85-C6A3-464C-8BB7-67CA501B48A8}" xr6:coauthVersionLast="45" xr6:coauthVersionMax="45" xr10:uidLastSave="{00000000-0000-0000-0000-000000000000}"/>
  <bookViews>
    <workbookView xWindow="-216" yWindow="0" windowWidth="23256" windowHeight="12444" xr2:uid="{00000000-000D-0000-FFFF-FFFF00000000}"/>
  </bookViews>
  <sheets>
    <sheet name="TableReg1_log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E21" i="1"/>
  <c r="D21" i="1"/>
  <c r="C21" i="1"/>
  <c r="B21" i="1"/>
  <c r="E20" i="1"/>
  <c r="D20" i="1"/>
  <c r="C20" i="1"/>
  <c r="B20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25" i="1" l="1"/>
  <c r="C25" i="1"/>
  <c r="D25" i="1"/>
  <c r="E25" i="1"/>
  <c r="E34" i="1"/>
  <c r="E33" i="1"/>
  <c r="E30" i="1"/>
  <c r="E28" i="1"/>
  <c r="E27" i="1"/>
  <c r="E26" i="1"/>
  <c r="E47" i="1" l="1"/>
  <c r="D47" i="1"/>
  <c r="C47" i="1"/>
  <c r="B47" i="1"/>
  <c r="D34" i="1"/>
  <c r="C34" i="1"/>
  <c r="B34" i="1"/>
  <c r="E46" i="1"/>
  <c r="D46" i="1"/>
  <c r="C46" i="1"/>
  <c r="B46" i="1"/>
  <c r="D33" i="1"/>
  <c r="C33" i="1"/>
  <c r="B33" i="1"/>
  <c r="E43" i="1"/>
  <c r="D43" i="1"/>
  <c r="C43" i="1"/>
  <c r="B43" i="1"/>
  <c r="D30" i="1"/>
  <c r="C30" i="1"/>
  <c r="B30" i="1"/>
  <c r="E41" i="1"/>
  <c r="D41" i="1"/>
  <c r="C41" i="1"/>
  <c r="B41" i="1"/>
  <c r="D28" i="1"/>
  <c r="C28" i="1"/>
  <c r="B28" i="1"/>
  <c r="E40" i="1"/>
  <c r="D40" i="1"/>
  <c r="C40" i="1"/>
  <c r="B40" i="1"/>
  <c r="D27" i="1"/>
  <c r="C27" i="1"/>
  <c r="B27" i="1"/>
  <c r="E39" i="1"/>
  <c r="D39" i="1"/>
  <c r="C39" i="1"/>
  <c r="B39" i="1"/>
  <c r="D26" i="1"/>
  <c r="C26" i="1"/>
  <c r="B26" i="1"/>
  <c r="E38" i="1"/>
  <c r="D38" i="1"/>
  <c r="C38" i="1"/>
  <c r="B38" i="1"/>
</calcChain>
</file>

<file path=xl/sharedStrings.xml><?xml version="1.0" encoding="utf-8"?>
<sst xmlns="http://schemas.openxmlformats.org/spreadsheetml/2006/main" count="60" uniqueCount="15">
  <si>
    <t>Total asked</t>
  </si>
  <si>
    <t>Amount Won</t>
  </si>
  <si>
    <t>Won/asked</t>
  </si>
  <si>
    <t>Prob winning</t>
  </si>
  <si>
    <t>Public Lawyer</t>
  </si>
  <si>
    <t>Constant</t>
  </si>
  <si>
    <t>Observations</t>
  </si>
  <si>
    <t>Dummy Industry</t>
  </si>
  <si>
    <t>YES</t>
  </si>
  <si>
    <t>R-squared</t>
  </si>
  <si>
    <t>DepVarMean</t>
  </si>
  <si>
    <t>BVC</t>
  </si>
  <si>
    <t>Panel B : Settlement</t>
  </si>
  <si>
    <t>Panel C: Court ruling</t>
  </si>
  <si>
    <t>Panel A : All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</si>
</sst>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g_results/Reg1_all_log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eg_results/Reg1_con_log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reg_results/Reg1_lau_log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1_all_log"/>
    </sheetNames>
    <sheetDataSet>
      <sheetData sheetId="0">
        <row r="5">
          <cell r="B5" t="str">
            <v>1.65</v>
          </cell>
          <cell r="D5" t="str">
            <v>0.0011</v>
          </cell>
          <cell r="F5" t="str">
            <v>-0.62***</v>
          </cell>
          <cell r="H5" t="str">
            <v>0.055**</v>
          </cell>
        </row>
        <row r="6">
          <cell r="B6" t="str">
            <v>(2.33)</v>
          </cell>
          <cell r="D6" t="str">
            <v>(0.22)</v>
          </cell>
          <cell r="F6" t="str">
            <v>(0.033)</v>
          </cell>
          <cell r="H6" t="str">
            <v>(0.024)</v>
          </cell>
        </row>
        <row r="62">
          <cell r="B62" t="str">
            <v/>
          </cell>
          <cell r="D62" t="str">
            <v/>
          </cell>
          <cell r="F62" t="str">
            <v/>
          </cell>
          <cell r="H62" t="str">
            <v/>
          </cell>
        </row>
        <row r="77">
          <cell r="B77" t="str">
            <v>75.6***</v>
          </cell>
          <cell r="D77" t="str">
            <v>5.48***</v>
          </cell>
          <cell r="F77" t="str">
            <v>2.76***</v>
          </cell>
          <cell r="H77" t="str">
            <v>1.06***</v>
          </cell>
        </row>
        <row r="78">
          <cell r="B78" t="str">
            <v>(9.67)</v>
          </cell>
          <cell r="D78" t="str">
            <v>(0.97)</v>
          </cell>
          <cell r="F78" t="str">
            <v>(0.19)</v>
          </cell>
          <cell r="H78" t="str">
            <v>(0.10)</v>
          </cell>
        </row>
        <row r="80">
          <cell r="B80" t="str">
            <v>4866</v>
          </cell>
          <cell r="D80" t="str">
            <v>4866</v>
          </cell>
          <cell r="F80" t="str">
            <v>4866</v>
          </cell>
          <cell r="H80" t="str">
            <v>4866</v>
          </cell>
        </row>
        <row r="81">
          <cell r="B81" t="str">
            <v>0.020</v>
          </cell>
          <cell r="D81" t="str">
            <v>0.036</v>
          </cell>
          <cell r="F81" t="str">
            <v>0.74</v>
          </cell>
          <cell r="H81" t="str">
            <v>0.043</v>
          </cell>
        </row>
        <row r="82">
          <cell r="B82" t="str">
            <v>65.3</v>
          </cell>
          <cell r="D82" t="str">
            <v>6.40</v>
          </cell>
          <cell r="F82" t="str">
            <v>11.7</v>
          </cell>
          <cell r="H82" t="str">
            <v>0.21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1_con_log"/>
    </sheetNames>
    <sheetDataSet>
      <sheetData sheetId="0">
        <row r="5">
          <cell r="B5" t="str">
            <v>0.018</v>
          </cell>
          <cell r="D5" t="str">
            <v>-0.20***</v>
          </cell>
          <cell r="F5" t="str">
            <v>-0.67***</v>
          </cell>
          <cell r="H5" t="str">
            <v>0.087***</v>
          </cell>
        </row>
        <row r="6">
          <cell r="B6" t="str">
            <v>(0.37)</v>
          </cell>
          <cell r="D6" t="str">
            <v>(0.053)</v>
          </cell>
          <cell r="F6" t="str">
            <v>(0.041)</v>
          </cell>
          <cell r="H6" t="str">
            <v>(0.020)</v>
          </cell>
        </row>
        <row r="77">
          <cell r="B77" t="str">
            <v>99.4***</v>
          </cell>
          <cell r="D77" t="str">
            <v>6.59***</v>
          </cell>
          <cell r="F77" t="str">
            <v>2.63***</v>
          </cell>
          <cell r="H77" t="str">
            <v>1.52***</v>
          </cell>
        </row>
        <row r="78">
          <cell r="B78" t="str">
            <v>(2.15)</v>
          </cell>
          <cell r="D78" t="str">
            <v>(0.31)</v>
          </cell>
          <cell r="F78" t="str">
            <v>(0.25)</v>
          </cell>
          <cell r="H78" t="str">
            <v>(0.11)</v>
          </cell>
        </row>
        <row r="80">
          <cell r="B80" t="str">
            <v>3077</v>
          </cell>
          <cell r="D80" t="str">
            <v>3077</v>
          </cell>
          <cell r="F80" t="str">
            <v>3077</v>
          </cell>
          <cell r="H80" t="str">
            <v>3077</v>
          </cell>
        </row>
        <row r="81">
          <cell r="B81" t="str">
            <v>0.0068</v>
          </cell>
          <cell r="D81" t="str">
            <v>0.37</v>
          </cell>
          <cell r="F81" t="str">
            <v>0.74</v>
          </cell>
          <cell r="H81" t="str">
            <v>0.11</v>
          </cell>
        </row>
        <row r="82">
          <cell r="B82" t="str">
            <v>99.6</v>
          </cell>
          <cell r="D82" t="str">
            <v>9.70</v>
          </cell>
          <cell r="F82" t="str">
            <v>11.7</v>
          </cell>
          <cell r="H82" t="str">
            <v>0.27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1_lau_log"/>
    </sheetNames>
    <sheetDataSet>
      <sheetData sheetId="0">
        <row r="5">
          <cell r="B5" t="str">
            <v>-0.59</v>
          </cell>
          <cell r="D5" t="str">
            <v>-0.22</v>
          </cell>
          <cell r="F5" t="str">
            <v>-0.44***</v>
          </cell>
          <cell r="H5" t="str">
            <v>0.027</v>
          </cell>
        </row>
        <row r="6">
          <cell r="B6" t="str">
            <v>(7.59)</v>
          </cell>
          <cell r="D6" t="str">
            <v>(0.81)</v>
          </cell>
          <cell r="F6" t="str">
            <v>(0.12)</v>
          </cell>
          <cell r="H6" t="str">
            <v>(0.29)</v>
          </cell>
        </row>
        <row r="77">
          <cell r="B77" t="str">
            <v>7.23</v>
          </cell>
          <cell r="D77" t="str">
            <v>0.63</v>
          </cell>
          <cell r="F77" t="str">
            <v>2.14***</v>
          </cell>
          <cell r="H77" t="str">
            <v>1.86**</v>
          </cell>
        </row>
        <row r="78">
          <cell r="B78" t="str">
            <v>(27.5)</v>
          </cell>
          <cell r="D78" t="str">
            <v>(3.14)</v>
          </cell>
          <cell r="F78" t="str">
            <v>(0.68)</v>
          </cell>
          <cell r="H78" t="str">
            <v>(0.84)</v>
          </cell>
        </row>
        <row r="80">
          <cell r="B80" t="str">
            <v>422</v>
          </cell>
          <cell r="D80" t="str">
            <v>422</v>
          </cell>
          <cell r="F80" t="str">
            <v>422</v>
          </cell>
          <cell r="H80" t="str">
            <v>422</v>
          </cell>
        </row>
        <row r="81">
          <cell r="B81" t="str">
            <v>0.13</v>
          </cell>
          <cell r="D81" t="str">
            <v>0.13</v>
          </cell>
          <cell r="F81" t="str">
            <v>0.78</v>
          </cell>
          <cell r="H81" t="str">
            <v>0.065</v>
          </cell>
        </row>
        <row r="82">
          <cell r="B82" t="str">
            <v>24.2</v>
          </cell>
          <cell r="D82" t="str">
            <v>2.74</v>
          </cell>
          <cell r="F82" t="str">
            <v>11.7</v>
          </cell>
          <cell r="H82" t="str">
            <v>0.37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E48"/>
  <sheetViews>
    <sheetView tabSelected="1" topLeftCell="A22" workbookViewId="0">
      <selection activeCell="A10" sqref="A10:E47"/>
    </sheetView>
  </sheetViews>
  <sheetFormatPr baseColWidth="10" defaultColWidth="11.5546875" defaultRowHeight="14.4" x14ac:dyDescent="0.3"/>
  <sheetData>
    <row r="10" spans="1:5" ht="15" thickBot="1" x14ac:dyDescent="0.35">
      <c r="A10" s="9"/>
      <c r="B10" s="11" t="s">
        <v>14</v>
      </c>
      <c r="C10" s="11"/>
      <c r="D10" s="11"/>
      <c r="E10" s="11"/>
    </row>
    <row r="11" spans="1:5" ht="15.6" thickTop="1" thickBot="1" x14ac:dyDescent="0.35">
      <c r="A11" s="5"/>
      <c r="B11" s="7" t="s">
        <v>0</v>
      </c>
      <c r="C11" s="7" t="s">
        <v>1</v>
      </c>
      <c r="D11" s="7" t="s">
        <v>2</v>
      </c>
      <c r="E11" s="7" t="s">
        <v>3</v>
      </c>
    </row>
    <row r="12" spans="1:5" ht="15" thickTop="1" x14ac:dyDescent="0.3">
      <c r="A12" t="s">
        <v>4</v>
      </c>
      <c r="B12" s="4" t="str">
        <f>[1]Reg1_all_log!F5</f>
        <v>-0.62***</v>
      </c>
      <c r="C12" s="4" t="str">
        <f>[1]Reg1_all_log!D5</f>
        <v>0.0011</v>
      </c>
      <c r="D12" s="4" t="str">
        <f>[1]Reg1_all_log!H5</f>
        <v>0.055**</v>
      </c>
      <c r="E12" s="4" t="str">
        <f>[1]Reg1_all_log!B5</f>
        <v>1.65</v>
      </c>
    </row>
    <row r="13" spans="1:5" x14ac:dyDescent="0.3">
      <c r="B13" s="4" t="str">
        <f>[1]Reg1_all_log!F6</f>
        <v>(0.033)</v>
      </c>
      <c r="C13" s="4" t="str">
        <f>[1]Reg1_all_log!D6</f>
        <v>(0.22)</v>
      </c>
      <c r="D13" s="4" t="str">
        <f>[1]Reg1_all_log!H6</f>
        <v>(0.024)</v>
      </c>
      <c r="E13" s="4" t="str">
        <f>[1]Reg1_all_log!B6</f>
        <v>(2.33)</v>
      </c>
    </row>
    <row r="14" spans="1:5" x14ac:dyDescent="0.3">
      <c r="A14" t="s">
        <v>5</v>
      </c>
      <c r="B14" s="4" t="str">
        <f>[1]Reg1_all_log!F77</f>
        <v>2.76***</v>
      </c>
      <c r="C14" s="4" t="str">
        <f>[1]Reg1_all_log!D77</f>
        <v>5.48***</v>
      </c>
      <c r="D14" s="4" t="str">
        <f>[1]Reg1_all_log!H77</f>
        <v>1.06***</v>
      </c>
      <c r="E14" s="4" t="str">
        <f>[1]Reg1_all_log!B77</f>
        <v>75.6***</v>
      </c>
    </row>
    <row r="15" spans="1:5" x14ac:dyDescent="0.3">
      <c r="B15" s="4" t="str">
        <f>[1]Reg1_all_log!F78</f>
        <v>(0.19)</v>
      </c>
      <c r="C15" s="4" t="str">
        <f>[1]Reg1_all_log!D78</f>
        <v>(0.97)</v>
      </c>
      <c r="D15" s="4" t="str">
        <f>[1]Reg1_all_log!H78</f>
        <v>(0.10)</v>
      </c>
      <c r="E15" s="4" t="str">
        <f>[1]Reg1_all_log!B78</f>
        <v>(9.67)</v>
      </c>
    </row>
    <row r="16" spans="1:5" x14ac:dyDescent="0.3">
      <c r="B16" s="4" t="str">
        <f>[1]Reg1_all_log!F62</f>
        <v/>
      </c>
      <c r="C16" s="4" t="str">
        <f>[1]Reg1_all_log!D62</f>
        <v/>
      </c>
      <c r="D16" s="4" t="str">
        <f>[1]Reg1_all_log!H62</f>
        <v/>
      </c>
      <c r="E16" s="4" t="str">
        <f>[1]Reg1_all_log!B62</f>
        <v/>
      </c>
    </row>
    <row r="17" spans="1:5" x14ac:dyDescent="0.3">
      <c r="A17" s="2" t="s">
        <v>6</v>
      </c>
      <c r="B17" s="3" t="str">
        <f>[1]Reg1_all_log!F80</f>
        <v>4866</v>
      </c>
      <c r="C17" s="3" t="str">
        <f>[1]Reg1_all_log!D80</f>
        <v>4866</v>
      </c>
      <c r="D17" s="3" t="str">
        <f>[1]Reg1_all_log!H80</f>
        <v>4866</v>
      </c>
      <c r="E17" s="3" t="str">
        <f>[1]Reg1_all_log!B80</f>
        <v>4866</v>
      </c>
    </row>
    <row r="18" spans="1:5" x14ac:dyDescent="0.3">
      <c r="A18" t="s">
        <v>11</v>
      </c>
      <c r="B18" s="4" t="s">
        <v>8</v>
      </c>
      <c r="C18" s="4" t="s">
        <v>8</v>
      </c>
      <c r="D18" s="4" t="s">
        <v>8</v>
      </c>
      <c r="E18" s="4" t="s">
        <v>8</v>
      </c>
    </row>
    <row r="19" spans="1:5" x14ac:dyDescent="0.3">
      <c r="A19" t="s">
        <v>7</v>
      </c>
      <c r="B19" s="4" t="s">
        <v>8</v>
      </c>
      <c r="C19" s="4" t="s">
        <v>8</v>
      </c>
      <c r="D19" s="4" t="s">
        <v>8</v>
      </c>
      <c r="E19" s="4" t="s">
        <v>8</v>
      </c>
    </row>
    <row r="20" spans="1:5" x14ac:dyDescent="0.3">
      <c r="A20" t="s">
        <v>9</v>
      </c>
      <c r="B20" s="4" t="str">
        <f>[1]Reg1_all_log!F81</f>
        <v>0.74</v>
      </c>
      <c r="C20" s="4" t="str">
        <f>[1]Reg1_all_log!D81</f>
        <v>0.036</v>
      </c>
      <c r="D20" s="4" t="str">
        <f>[1]Reg1_all_log!H81</f>
        <v>0.043</v>
      </c>
      <c r="E20" s="4" t="str">
        <f>[1]Reg1_all_log!B81</f>
        <v>0.020</v>
      </c>
    </row>
    <row r="21" spans="1:5" ht="15" thickBot="1" x14ac:dyDescent="0.35">
      <c r="A21" s="5" t="s">
        <v>10</v>
      </c>
      <c r="B21" s="7" t="str">
        <f>[1]Reg1_all_log!F82</f>
        <v>11.7</v>
      </c>
      <c r="C21" s="7" t="str">
        <f>[1]Reg1_all_log!D82</f>
        <v>6.40</v>
      </c>
      <c r="D21" s="7" t="str">
        <f>[1]Reg1_all_log!H82</f>
        <v>0.21</v>
      </c>
      <c r="E21" s="7" t="str">
        <f>[1]Reg1_all_log!B82</f>
        <v>65.3</v>
      </c>
    </row>
    <row r="22" spans="1:5" ht="15" thickTop="1" x14ac:dyDescent="0.3"/>
    <row r="23" spans="1:5" ht="15" thickBot="1" x14ac:dyDescent="0.35">
      <c r="A23" s="9"/>
      <c r="B23" s="11" t="s">
        <v>12</v>
      </c>
      <c r="C23" s="11"/>
      <c r="D23" s="11"/>
      <c r="E23" s="11"/>
    </row>
    <row r="24" spans="1:5" ht="15.6" thickTop="1" thickBot="1" x14ac:dyDescent="0.35">
      <c r="A24" s="5"/>
      <c r="B24" s="7" t="s">
        <v>0</v>
      </c>
      <c r="C24" s="7" t="s">
        <v>1</v>
      </c>
      <c r="D24" s="7" t="s">
        <v>2</v>
      </c>
      <c r="E24" s="7" t="s">
        <v>3</v>
      </c>
    </row>
    <row r="25" spans="1:5" ht="15" thickTop="1" x14ac:dyDescent="0.3">
      <c r="A25" t="s">
        <v>4</v>
      </c>
      <c r="B25" s="4" t="str">
        <f>[2]Reg1_con_log!F5</f>
        <v>-0.67***</v>
      </c>
      <c r="C25" s="4" t="str">
        <f>[2]Reg1_con_log!D5</f>
        <v>-0.20***</v>
      </c>
      <c r="D25" s="4" t="str">
        <f>[2]Reg1_con_log!H5</f>
        <v>0.087***</v>
      </c>
      <c r="E25" s="4" t="str">
        <f>[2]Reg1_con_log!B5</f>
        <v>0.018</v>
      </c>
    </row>
    <row r="26" spans="1:5" x14ac:dyDescent="0.3">
      <c r="B26" s="4" t="str">
        <f>[2]Reg1_con_log!F6</f>
        <v>(0.041)</v>
      </c>
      <c r="C26" s="4" t="str">
        <f>[2]Reg1_con_log!D6</f>
        <v>(0.053)</v>
      </c>
      <c r="D26" s="4" t="str">
        <f>[2]Reg1_con_log!H6</f>
        <v>(0.020)</v>
      </c>
      <c r="E26" s="4" t="str">
        <f>[2]Reg1_con_log!B6</f>
        <v>(0.37)</v>
      </c>
    </row>
    <row r="27" spans="1:5" x14ac:dyDescent="0.3">
      <c r="A27" t="s">
        <v>5</v>
      </c>
      <c r="B27" s="4" t="str">
        <f>[2]Reg1_con_log!F77</f>
        <v>2.63***</v>
      </c>
      <c r="C27" s="4" t="str">
        <f>[2]Reg1_con_log!D77</f>
        <v>6.59***</v>
      </c>
      <c r="D27" s="4" t="str">
        <f>[2]Reg1_con_log!H77</f>
        <v>1.52***</v>
      </c>
      <c r="E27" s="4" t="str">
        <f>[2]Reg1_con_log!B77</f>
        <v>99.4***</v>
      </c>
    </row>
    <row r="28" spans="1:5" x14ac:dyDescent="0.3">
      <c r="B28" s="4" t="str">
        <f>[2]Reg1_con_log!F78</f>
        <v>(0.25)</v>
      </c>
      <c r="C28" s="4" t="str">
        <f>[2]Reg1_con_log!D78</f>
        <v>(0.31)</v>
      </c>
      <c r="D28" s="4" t="str">
        <f>[2]Reg1_con_log!H78</f>
        <v>(0.11)</v>
      </c>
      <c r="E28" s="4" t="str">
        <f>[2]Reg1_con_log!B78</f>
        <v>(2.15)</v>
      </c>
    </row>
    <row r="29" spans="1:5" x14ac:dyDescent="0.3">
      <c r="B29" s="4"/>
      <c r="C29" s="4"/>
      <c r="D29" s="4"/>
      <c r="E29" s="4"/>
    </row>
    <row r="30" spans="1:5" x14ac:dyDescent="0.3">
      <c r="A30" s="2" t="s">
        <v>6</v>
      </c>
      <c r="B30" s="3" t="str">
        <f>[2]Reg1_con_log!F80</f>
        <v>3077</v>
      </c>
      <c r="C30" s="3" t="str">
        <f>[2]Reg1_con_log!D80</f>
        <v>3077</v>
      </c>
      <c r="D30" s="3" t="str">
        <f>[2]Reg1_con_log!H80</f>
        <v>3077</v>
      </c>
      <c r="E30" s="3" t="str">
        <f>[2]Reg1_con_log!B80</f>
        <v>3077</v>
      </c>
    </row>
    <row r="31" spans="1:5" x14ac:dyDescent="0.3">
      <c r="A31" s="1" t="s">
        <v>11</v>
      </c>
      <c r="B31" s="8" t="s">
        <v>8</v>
      </c>
      <c r="C31" s="8" t="s">
        <v>8</v>
      </c>
      <c r="D31" s="8" t="s">
        <v>8</v>
      </c>
      <c r="E31" s="8" t="s">
        <v>8</v>
      </c>
    </row>
    <row r="32" spans="1:5" x14ac:dyDescent="0.3">
      <c r="A32" t="s">
        <v>7</v>
      </c>
      <c r="B32" s="4" t="s">
        <v>8</v>
      </c>
      <c r="C32" s="4" t="s">
        <v>8</v>
      </c>
      <c r="D32" s="4" t="s">
        <v>8</v>
      </c>
      <c r="E32" s="4" t="s">
        <v>8</v>
      </c>
    </row>
    <row r="33" spans="1:5" x14ac:dyDescent="0.3">
      <c r="A33" t="s">
        <v>9</v>
      </c>
      <c r="B33" s="4" t="str">
        <f>[2]Reg1_con_log!F81</f>
        <v>0.74</v>
      </c>
      <c r="C33" s="4" t="str">
        <f>[2]Reg1_con_log!D81</f>
        <v>0.37</v>
      </c>
      <c r="D33" s="4" t="str">
        <f>[2]Reg1_con_log!H81</f>
        <v>0.11</v>
      </c>
      <c r="E33" s="4" t="str">
        <f>[2]Reg1_con_log!B81</f>
        <v>0.0068</v>
      </c>
    </row>
    <row r="34" spans="1:5" ht="15" thickBot="1" x14ac:dyDescent="0.35">
      <c r="A34" s="5" t="s">
        <v>10</v>
      </c>
      <c r="B34" s="6" t="str">
        <f>[2]Reg1_con_log!F82</f>
        <v>11.7</v>
      </c>
      <c r="C34" s="6" t="str">
        <f>[2]Reg1_con_log!D82</f>
        <v>9.70</v>
      </c>
      <c r="D34" s="6" t="str">
        <f>[2]Reg1_con_log!H82</f>
        <v>0.27</v>
      </c>
      <c r="E34" s="7" t="str">
        <f>[2]Reg1_con_log!B82</f>
        <v>99.6</v>
      </c>
    </row>
    <row r="35" spans="1:5" ht="15" thickTop="1" x14ac:dyDescent="0.3"/>
    <row r="36" spans="1:5" ht="15" thickBot="1" x14ac:dyDescent="0.35">
      <c r="A36" s="9"/>
      <c r="B36" s="11" t="s">
        <v>13</v>
      </c>
      <c r="C36" s="11"/>
      <c r="D36" s="11"/>
      <c r="E36" s="11"/>
    </row>
    <row r="37" spans="1:5" ht="15.6" thickTop="1" thickBot="1" x14ac:dyDescent="0.35">
      <c r="A37" s="5"/>
      <c r="B37" s="7" t="s">
        <v>0</v>
      </c>
      <c r="C37" s="6" t="s">
        <v>1</v>
      </c>
      <c r="D37" s="7" t="s">
        <v>2</v>
      </c>
      <c r="E37" s="7" t="s">
        <v>3</v>
      </c>
    </row>
    <row r="38" spans="1:5" ht="15" thickTop="1" x14ac:dyDescent="0.3">
      <c r="A38" s="1" t="s">
        <v>4</v>
      </c>
      <c r="B38" s="8" t="str">
        <f>[3]Reg1_lau_log!F5</f>
        <v>-0.44***</v>
      </c>
      <c r="C38" s="4" t="str">
        <f>[3]Reg1_lau_log!D5</f>
        <v>-0.22</v>
      </c>
      <c r="D38" s="4" t="str">
        <f>[3]Reg1_lau_log!H5</f>
        <v>0.027</v>
      </c>
      <c r="E38" s="4" t="str">
        <f>[3]Reg1_lau_log!B5</f>
        <v>-0.59</v>
      </c>
    </row>
    <row r="39" spans="1:5" x14ac:dyDescent="0.3">
      <c r="A39" s="1"/>
      <c r="B39" s="8" t="str">
        <f>[3]Reg1_lau_log!F6</f>
        <v>(0.12)</v>
      </c>
      <c r="C39" s="4" t="str">
        <f>[3]Reg1_lau_log!D6</f>
        <v>(0.81)</v>
      </c>
      <c r="D39" s="4" t="str">
        <f>[3]Reg1_lau_log!H6</f>
        <v>(0.29)</v>
      </c>
      <c r="E39" s="4" t="str">
        <f>[3]Reg1_lau_log!B6</f>
        <v>(7.59)</v>
      </c>
    </row>
    <row r="40" spans="1:5" x14ac:dyDescent="0.3">
      <c r="A40" s="1" t="s">
        <v>5</v>
      </c>
      <c r="B40" s="8" t="str">
        <f>[3]Reg1_lau_log!F77</f>
        <v>2.14***</v>
      </c>
      <c r="C40" s="4" t="str">
        <f>[3]Reg1_lau_log!D77</f>
        <v>0.63</v>
      </c>
      <c r="D40" s="4" t="str">
        <f>[3]Reg1_lau_log!H77</f>
        <v>1.86**</v>
      </c>
      <c r="E40" s="4" t="str">
        <f>[3]Reg1_lau_log!B77</f>
        <v>7.23</v>
      </c>
    </row>
    <row r="41" spans="1:5" x14ac:dyDescent="0.3">
      <c r="A41" s="1"/>
      <c r="B41" s="8" t="str">
        <f>[3]Reg1_lau_log!F78</f>
        <v>(0.68)</v>
      </c>
      <c r="C41" s="4" t="str">
        <f>[3]Reg1_lau_log!D78</f>
        <v>(3.14)</v>
      </c>
      <c r="D41" s="4" t="str">
        <f>[3]Reg1_lau_log!H78</f>
        <v>(0.84)</v>
      </c>
      <c r="E41" s="4" t="str">
        <f>[3]Reg1_lau_log!B78</f>
        <v>(27.5)</v>
      </c>
    </row>
    <row r="42" spans="1:5" x14ac:dyDescent="0.3">
      <c r="A42" s="10"/>
      <c r="B42" s="8"/>
      <c r="C42" s="4"/>
      <c r="D42" s="4"/>
      <c r="E42" s="4"/>
    </row>
    <row r="43" spans="1:5" x14ac:dyDescent="0.3">
      <c r="A43" s="1" t="s">
        <v>6</v>
      </c>
      <c r="B43" s="3" t="str">
        <f>[3]Reg1_lau_log!F80</f>
        <v>422</v>
      </c>
      <c r="C43" s="3" t="str">
        <f>[3]Reg1_lau_log!D80</f>
        <v>422</v>
      </c>
      <c r="D43" s="3" t="str">
        <f>[3]Reg1_lau_log!H80</f>
        <v>422</v>
      </c>
      <c r="E43" s="3" t="str">
        <f>[3]Reg1_lau_log!B80</f>
        <v>422</v>
      </c>
    </row>
    <row r="44" spans="1:5" x14ac:dyDescent="0.3">
      <c r="A44" s="1" t="s">
        <v>11</v>
      </c>
      <c r="B44" s="8" t="s">
        <v>8</v>
      </c>
      <c r="C44" s="8" t="s">
        <v>8</v>
      </c>
      <c r="D44" s="8" t="s">
        <v>8</v>
      </c>
      <c r="E44" s="8" t="s">
        <v>8</v>
      </c>
    </row>
    <row r="45" spans="1:5" x14ac:dyDescent="0.3">
      <c r="A45" s="1" t="s">
        <v>7</v>
      </c>
      <c r="B45" s="8" t="s">
        <v>8</v>
      </c>
      <c r="C45" s="4" t="s">
        <v>8</v>
      </c>
      <c r="D45" s="4" t="s">
        <v>8</v>
      </c>
      <c r="E45" s="4" t="s">
        <v>8</v>
      </c>
    </row>
    <row r="46" spans="1:5" x14ac:dyDescent="0.3">
      <c r="A46" s="1" t="s">
        <v>9</v>
      </c>
      <c r="B46" s="8" t="str">
        <f>[3]Reg1_lau_log!F81</f>
        <v>0.78</v>
      </c>
      <c r="C46" s="4" t="str">
        <f>[3]Reg1_lau_log!D81</f>
        <v>0.13</v>
      </c>
      <c r="D46" s="4" t="str">
        <f>[3]Reg1_lau_log!H81</f>
        <v>0.065</v>
      </c>
      <c r="E46" s="4" t="str">
        <f>[3]Reg1_lau_log!B81</f>
        <v>0.13</v>
      </c>
    </row>
    <row r="47" spans="1:5" ht="15" thickBot="1" x14ac:dyDescent="0.35">
      <c r="A47" s="5" t="s">
        <v>10</v>
      </c>
      <c r="B47" s="7" t="str">
        <f>[3]Reg1_lau_log!F82</f>
        <v>11.7</v>
      </c>
      <c r="C47" s="6" t="str">
        <f>[3]Reg1_lau_log!D82</f>
        <v>2.74</v>
      </c>
      <c r="D47" s="6" t="str">
        <f>[3]Reg1_lau_log!H82</f>
        <v>0.37</v>
      </c>
      <c r="E47" s="6" t="str">
        <f>[3]Reg1_lau_log!B82</f>
        <v>24.2</v>
      </c>
    </row>
    <row r="48" spans="1:5" ht="15" thickTop="1" x14ac:dyDescent="0.3"/>
  </sheetData>
  <mergeCells count="3">
    <mergeCell ref="B36:E36"/>
    <mergeCell ref="B23:E23"/>
    <mergeCell ref="B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TableReg1_log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Meza</dc:creator>
  <cp:lastModifiedBy>sergio lopez</cp:lastModifiedBy>
  <dcterms:created xsi:type="dcterms:W3CDTF">2017-01-17T00:33:19Z</dcterms:created>
  <dcterms:modified xsi:type="dcterms:W3CDTF">2020-10-07T05:35:42Z</dcterms:modified>
</cp:coreProperties>
</file>