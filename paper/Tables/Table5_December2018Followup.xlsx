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Users\isaac\Dropbox\ReplicationFinal\Tables\"/>
    </mc:Choice>
  </mc:AlternateContent>
  <xr:revisionPtr revIDLastSave="0" documentId="13_ncr:1_{E721D575-B2E1-4BEE-85E8-74CCF6DD6247}" xr6:coauthVersionLast="47" xr6:coauthVersionMax="47" xr10:uidLastSave="{00000000-0000-0000-0000-000000000000}"/>
  <bookViews>
    <workbookView xWindow="-28920" yWindow="-8190" windowWidth="29040" windowHeight="15720" xr2:uid="{00000000-000D-0000-FFFF-FFFF00000000}"/>
  </bookViews>
  <sheets>
    <sheet name="Table5_December2018Followup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1" i="1" l="1"/>
  <c r="F11" i="1"/>
  <c r="F8" i="1"/>
  <c r="G7" i="1"/>
  <c r="F7" i="1"/>
  <c r="D7" i="1"/>
  <c r="H8" i="1" s="1"/>
  <c r="C7" i="1"/>
  <c r="G8" i="1" s="1"/>
  <c r="H4" i="1"/>
  <c r="F4" i="1"/>
  <c r="G3" i="1"/>
  <c r="F3" i="1"/>
  <c r="H1" i="1"/>
  <c r="G1" i="1"/>
  <c r="I8" i="1" l="1"/>
  <c r="H3" i="1"/>
  <c r="I3" i="1" s="1"/>
  <c r="H7" i="1"/>
  <c r="I7" i="1" s="1"/>
  <c r="H11" i="1"/>
  <c r="I11" i="1" s="1"/>
  <c r="G4" i="1"/>
  <c r="I4" i="1" s="1"/>
  <c r="G13" i="1"/>
  <c r="H13" i="1"/>
  <c r="I13" i="1" s="1"/>
</calcChain>
</file>

<file path=xl/sharedStrings.xml><?xml version="1.0" encoding="utf-8"?>
<sst xmlns="http://schemas.openxmlformats.org/spreadsheetml/2006/main" count="12" uniqueCount="12">
  <si>
    <t>Difference</t>
  </si>
  <si>
    <t xml:space="preserve">Resolved with recovery: </t>
  </si>
  <si>
    <t xml:space="preserve">Resolved with no recovery: </t>
  </si>
  <si>
    <t xml:space="preserve">Unresolved: </t>
  </si>
  <si>
    <t>N</t>
  </si>
  <si>
    <t>Control</t>
  </si>
  <si>
    <t>Calculator</t>
  </si>
  <si>
    <t>Expired / Dropped</t>
  </si>
  <si>
    <t>Continues</t>
  </si>
  <si>
    <t>Settled</t>
  </si>
  <si>
    <t>Court ruling with payment</t>
  </si>
  <si>
    <t>Court ruling without 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</si>
</sst>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 style="double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2" fontId="0" fillId="0" borderId="0" xfId="0" applyNumberFormat="1"/>
    <xf numFmtId="10" fontId="0" fillId="0" borderId="0" xfId="1" applyNumberFormat="1" applyFont="1"/>
    <xf numFmtId="0" fontId="2" fillId="0" borderId="0" xfId="0" applyFont="1"/>
    <xf numFmtId="0" fontId="1" fillId="0" borderId="0" xfId="0" applyFont="1"/>
    <xf numFmtId="10" fontId="1" fillId="0" borderId="0" xfId="1" applyNumberFormat="1" applyFont="1" applyBorder="1"/>
    <xf numFmtId="10" fontId="0" fillId="0" borderId="0" xfId="1" applyNumberFormat="1" applyFont="1" applyBorder="1"/>
    <xf numFmtId="0" fontId="0" fillId="0" borderId="0" xfId="0" applyBorder="1"/>
    <xf numFmtId="2" fontId="0" fillId="0" borderId="0" xfId="0" applyNumberFormat="1" applyBorder="1"/>
    <xf numFmtId="2" fontId="0" fillId="0" borderId="0" xfId="1" applyNumberFormat="1" applyFont="1"/>
    <xf numFmtId="10" fontId="2" fillId="0" borderId="1" xfId="1" applyNumberFormat="1" applyFont="1" applyBorder="1"/>
    <xf numFmtId="10" fontId="0" fillId="0" borderId="1" xfId="1" applyNumberFormat="1" applyFont="1" applyBorder="1"/>
    <xf numFmtId="0" fontId="0" fillId="0" borderId="3" xfId="0" applyBorder="1"/>
    <xf numFmtId="0" fontId="0" fillId="0" borderId="2" xfId="0" applyBorder="1"/>
    <xf numFmtId="0" fontId="1" fillId="0" borderId="2" xfId="0" applyFont="1" applyBorder="1"/>
    <xf numFmtId="1" fontId="1" fillId="0" borderId="5" xfId="1" applyNumberFormat="1" applyFont="1" applyBorder="1"/>
    <xf numFmtId="1" fontId="0" fillId="0" borderId="4" xfId="0" applyNumberFormat="1" applyBorder="1"/>
    <xf numFmtId="1" fontId="0" fillId="0" borderId="4" xfId="1" applyNumberFormat="1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14"/>
  <sheetViews>
    <sheetView tabSelected="1" workbookViewId="0">
      <selection activeCell="F1" sqref="F1:I13"/>
    </sheetView>
  </sheetViews>
  <sheetFormatPr defaultColWidth="9.08984375" defaultRowHeight="14.5" x14ac:dyDescent="0.35"/>
  <cols>
    <col min="5" max="5" width="10.08984375" bestFit="1" customWidth="1"/>
    <col min="6" max="6" width="11" bestFit="1" customWidth="1"/>
    <col min="7" max="7" width="11.08984375" bestFit="1" customWidth="1"/>
  </cols>
  <sheetData>
    <row r="1" spans="2:9" x14ac:dyDescent="0.35">
      <c r="C1" t="s">
        <v>5</v>
      </c>
      <c r="D1" s="7" t="s">
        <v>6</v>
      </c>
      <c r="E1" s="7"/>
      <c r="F1" s="12"/>
      <c r="G1" s="13" t="str">
        <f>C1</f>
        <v>Control</v>
      </c>
      <c r="H1" s="13" t="str">
        <f>D1</f>
        <v>Calculator</v>
      </c>
      <c r="I1" s="14" t="s">
        <v>0</v>
      </c>
    </row>
    <row r="2" spans="2:9" x14ac:dyDescent="0.35">
      <c r="B2" t="s">
        <v>7</v>
      </c>
      <c r="C2">
        <v>88</v>
      </c>
      <c r="D2">
        <v>148</v>
      </c>
      <c r="E2" s="6"/>
      <c r="F2" s="10" t="s">
        <v>1</v>
      </c>
      <c r="G2" s="8"/>
    </row>
    <row r="3" spans="2:9" x14ac:dyDescent="0.35">
      <c r="B3" t="s">
        <v>8</v>
      </c>
      <c r="C3">
        <v>77</v>
      </c>
      <c r="D3">
        <v>141</v>
      </c>
      <c r="E3" s="6"/>
      <c r="F3" s="11" t="str">
        <f>B4</f>
        <v>Settled</v>
      </c>
      <c r="G3" s="6">
        <f>C4/C$7</f>
        <v>0.41331269349845201</v>
      </c>
      <c r="H3" s="6">
        <f>D4/D$7</f>
        <v>0.47818012999071496</v>
      </c>
      <c r="I3" s="9">
        <f>(H3-G3)*100</f>
        <v>6.4867436492262955</v>
      </c>
    </row>
    <row r="4" spans="2:9" x14ac:dyDescent="0.35">
      <c r="B4" t="s">
        <v>9</v>
      </c>
      <c r="C4">
        <v>267</v>
      </c>
      <c r="D4">
        <v>515</v>
      </c>
      <c r="E4" s="6"/>
      <c r="F4" s="11" t="str">
        <f>B5</f>
        <v>Court ruling with payment</v>
      </c>
      <c r="G4" s="6">
        <f>C5/C$7</f>
        <v>6.1919504643962849E-2</v>
      </c>
      <c r="H4" s="6">
        <f>D5/D$7</f>
        <v>5.7567316620241414E-2</v>
      </c>
      <c r="I4" s="9">
        <f>(H4-G4)*100</f>
        <v>-0.43521880237214344</v>
      </c>
    </row>
    <row r="5" spans="2:9" x14ac:dyDescent="0.35">
      <c r="B5" t="s">
        <v>10</v>
      </c>
      <c r="C5">
        <v>40</v>
      </c>
      <c r="D5">
        <v>62</v>
      </c>
      <c r="E5" s="6"/>
      <c r="F5" s="11"/>
      <c r="G5" s="8"/>
      <c r="H5" s="8"/>
    </row>
    <row r="6" spans="2:9" x14ac:dyDescent="0.35">
      <c r="B6" t="s">
        <v>11</v>
      </c>
      <c r="C6">
        <v>174</v>
      </c>
      <c r="D6">
        <v>211</v>
      </c>
      <c r="E6" s="6"/>
      <c r="F6" s="10" t="s">
        <v>2</v>
      </c>
      <c r="G6" s="8"/>
      <c r="H6" s="8"/>
    </row>
    <row r="7" spans="2:9" x14ac:dyDescent="0.35">
      <c r="C7">
        <f>SUM(C2:C6)</f>
        <v>646</v>
      </c>
      <c r="D7">
        <f>SUM(D2:D6)</f>
        <v>1077</v>
      </c>
      <c r="E7" s="2"/>
      <c r="F7" s="11" t="str">
        <f>B6</f>
        <v>Court ruling without payment</v>
      </c>
      <c r="G7" s="2">
        <f>C6/C$7</f>
        <v>0.26934984520123839</v>
      </c>
      <c r="H7" s="2">
        <f>D6/D$7</f>
        <v>0.19591457753017641</v>
      </c>
      <c r="I7" s="9">
        <f>(H7-G7)*100</f>
        <v>-7.3435267671061979</v>
      </c>
    </row>
    <row r="8" spans="2:9" x14ac:dyDescent="0.35">
      <c r="E8" s="5"/>
      <c r="F8" s="11" t="str">
        <f>B2</f>
        <v>Expired / Dropped</v>
      </c>
      <c r="G8" s="6">
        <f>C2/C$7</f>
        <v>0.13622291021671826</v>
      </c>
      <c r="H8" s="6">
        <f>D2/D$7</f>
        <v>0.13741875580315691</v>
      </c>
      <c r="I8" s="9">
        <f>(H8-G8)*100</f>
        <v>0.11958455864386486</v>
      </c>
    </row>
    <row r="9" spans="2:9" x14ac:dyDescent="0.35">
      <c r="D9" s="3"/>
      <c r="F9" s="11"/>
      <c r="G9" s="1"/>
      <c r="H9" s="1"/>
    </row>
    <row r="10" spans="2:9" x14ac:dyDescent="0.35">
      <c r="F10" s="10" t="s">
        <v>3</v>
      </c>
      <c r="G10" s="1"/>
      <c r="H10" s="1"/>
    </row>
    <row r="11" spans="2:9" x14ac:dyDescent="0.35">
      <c r="E11" s="2"/>
      <c r="F11" s="11" t="str">
        <f>B3</f>
        <v>Continues</v>
      </c>
      <c r="G11" s="2">
        <f>C3/C$7</f>
        <v>0.11919504643962849</v>
      </c>
      <c r="H11" s="2">
        <f>D3/D$7</f>
        <v>0.1309192200557103</v>
      </c>
      <c r="I11" s="9">
        <f>(H11-G11)*100</f>
        <v>1.1724173616081814</v>
      </c>
    </row>
    <row r="12" spans="2:9" x14ac:dyDescent="0.35">
      <c r="D12" s="4"/>
      <c r="F12" s="11"/>
      <c r="G12" s="1"/>
      <c r="H12" s="1"/>
      <c r="I12" s="9"/>
    </row>
    <row r="13" spans="2:9" ht="15" thickBot="1" x14ac:dyDescent="0.4">
      <c r="F13" s="15" t="s">
        <v>4</v>
      </c>
      <c r="G13" s="16">
        <f>C7</f>
        <v>646</v>
      </c>
      <c r="H13" s="16">
        <f>D7</f>
        <v>1077</v>
      </c>
      <c r="I13" s="17">
        <f>H13+G13</f>
        <v>1723</v>
      </c>
    </row>
    <row r="14" spans="2:9" ht="15" thickTop="1" x14ac:dyDescent="0.35">
      <c r="I14" s="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Table5_December2018Followup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isaac</cp:lastModifiedBy>
  <dcterms:modified xsi:type="dcterms:W3CDTF">2022-06-17T07:01:47Z</dcterms:modified>
</cp:coreProperties>
</file>