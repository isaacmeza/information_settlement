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C:\Users\xps-seira\Dropbox\Apps\ShareLaTeX\information_settlement\Paper\Tables\"/>
    </mc:Choice>
  </mc:AlternateContent>
  <xr:revisionPtr revIDLastSave="0" documentId="13_ncr:1_{DF5DD12C-6AB0-4E03-A416-3B51BEC4A949}" xr6:coauthVersionLast="40" xr6:coauthVersionMax="40" xr10:uidLastSave="{00000000-0000-0000-0000-000000000000}"/>
  <bookViews>
    <workbookView xWindow="-108" yWindow="-108" windowWidth="23256" windowHeight="12600" activeTab="2" xr2:uid="{00000000-000D-0000-FFFF-FFFF00000000}"/>
  </bookViews>
  <sheets>
    <sheet name="PanelA" sheetId="1" r:id="rId1"/>
    <sheet name="PanelB" sheetId="4" r:id="rId2"/>
    <sheet name="SS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3" i="6" l="1"/>
  <c r="D33" i="6"/>
  <c r="C33" i="6"/>
  <c r="B33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C18" i="6"/>
  <c r="B18" i="6"/>
  <c r="C17" i="6"/>
  <c r="B17" i="6"/>
  <c r="C16" i="6"/>
  <c r="B16" i="6"/>
  <c r="C15" i="6"/>
  <c r="B15" i="6"/>
  <c r="C14" i="6"/>
  <c r="B14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C8" i="6"/>
  <c r="B8" i="6"/>
  <c r="C7" i="6"/>
  <c r="B7" i="6"/>
  <c r="C6" i="6"/>
  <c r="B6" i="6"/>
  <c r="C5" i="6"/>
  <c r="B5" i="6"/>
  <c r="A3" i="6"/>
</calcChain>
</file>

<file path=xl/sharedStrings.xml><?xml version="1.0" encoding="utf-8"?>
<sst xmlns="http://schemas.openxmlformats.org/spreadsheetml/2006/main" count="213" uniqueCount="137">
  <si>
    <t>Obs</t>
  </si>
  <si>
    <t>Mean</t>
  </si>
  <si>
    <t>Variable</t>
  </si>
  <si>
    <t>Panel A: Outcomes</t>
  </si>
  <si>
    <t>Panel B: Basic variables</t>
  </si>
  <si>
    <t>Range</t>
  </si>
  <si>
    <t>Data: Calculator</t>
  </si>
  <si>
    <t>Data: Pilot</t>
  </si>
  <si>
    <t>[0, 1]</t>
  </si>
  <si>
    <t>(.48)</t>
  </si>
  <si>
    <t>abogado_pub</t>
  </si>
  <si>
    <t>.1</t>
  </si>
  <si>
    <t>(.3)</t>
  </si>
  <si>
    <t>gen</t>
  </si>
  <si>
    <t>.48</t>
  </si>
  <si>
    <t>(.5)</t>
  </si>
  <si>
    <t>trabajador_base</t>
  </si>
  <si>
    <t>.07</t>
  </si>
  <si>
    <t>(.25)</t>
  </si>
  <si>
    <t>c_antiguedad</t>
  </si>
  <si>
    <t>4.17</t>
  </si>
  <si>
    <t>(4.99)</t>
  </si>
  <si>
    <t>[0, 25.51000022888184]</t>
  </si>
  <si>
    <t>salario_diario</t>
  </si>
  <si>
    <t>horas_sem</t>
  </si>
  <si>
    <t>57.33</t>
  </si>
  <si>
    <t>(15.47)</t>
  </si>
  <si>
    <t>[3, 147]</t>
  </si>
  <si>
    <t>.98</t>
  </si>
  <si>
    <t>(.46)</t>
  </si>
  <si>
    <t>(.47)</t>
  </si>
  <si>
    <t>470.05</t>
  </si>
  <si>
    <t>(1100.8)</t>
  </si>
  <si>
    <t>[3.33, 47526.54]</t>
  </si>
  <si>
    <t>.</t>
  </si>
  <si>
    <t>(.)</t>
  </si>
  <si>
    <t>[, ]</t>
  </si>
  <si>
    <t>(.49)</t>
  </si>
  <si>
    <t>[30, 31433.06]</t>
  </si>
  <si>
    <t>[7, 258]</t>
  </si>
  <si>
    <t>(.23)</t>
  </si>
  <si>
    <t>win</t>
  </si>
  <si>
    <t>.65</t>
  </si>
  <si>
    <t>c_total</t>
  </si>
  <si>
    <t>343059.79</t>
  </si>
  <si>
    <t>(655168.15)</t>
  </si>
  <si>
    <t>[0, 4488716]</t>
  </si>
  <si>
    <t>[0, 18704698]</t>
  </si>
  <si>
    <t>Win</t>
  </si>
  <si>
    <t>Amount won</t>
  </si>
  <si>
    <t>Public Lawyer</t>
  </si>
  <si>
    <t>Daily wage</t>
  </si>
  <si>
    <t>Weekly hours</t>
  </si>
  <si>
    <t xml:space="preserve">Conciliation </t>
  </si>
  <si>
    <t>con</t>
  </si>
  <si>
    <t>.63</t>
  </si>
  <si>
    <t>.01</t>
  </si>
  <si>
    <t>duracion</t>
  </si>
  <si>
    <t>1.02</t>
  </si>
  <si>
    <t>(.96)</t>
  </si>
  <si>
    <t>[.0054794522002339, 4.960000038146973]</t>
  </si>
  <si>
    <t>Data: Subcourt 7</t>
  </si>
  <si>
    <t>.6900000000000001</t>
  </si>
  <si>
    <t>301565.69</t>
  </si>
  <si>
    <t>(551154.03)</t>
  </si>
  <si>
    <t>[6805.3583984375, 4488716]</t>
  </si>
  <si>
    <t>(.71)</t>
  </si>
  <si>
    <t>[.0054794522002339, 4.290410995483398]</t>
  </si>
  <si>
    <t>.15</t>
  </si>
  <si>
    <t>(.36)</t>
  </si>
  <si>
    <t>.35</t>
  </si>
  <si>
    <t>.06</t>
  </si>
  <si>
    <t>3.72</t>
  </si>
  <si>
    <t>(4.72)</t>
  </si>
  <si>
    <t>[.002739726100117, 25.51000022888184]</t>
  </si>
  <si>
    <t>455.49</t>
  </si>
  <si>
    <t>(656.22)</t>
  </si>
  <si>
    <t>[21.42, 11284.789]</t>
  </si>
  <si>
    <t>57.36</t>
  </si>
  <si>
    <t>(15.57)</t>
  </si>
  <si>
    <t>[7, 147]</t>
  </si>
  <si>
    <t>Female</t>
  </si>
  <si>
    <t>At will worker</t>
  </si>
  <si>
    <t>Total asked</t>
  </si>
  <si>
    <t>.02</t>
  </si>
  <si>
    <t>.09</t>
  </si>
  <si>
    <t>(.29)</t>
  </si>
  <si>
    <t>.41</t>
  </si>
  <si>
    <t>.13</t>
  </si>
  <si>
    <t>(.34)</t>
  </si>
  <si>
    <t>58.14</t>
  </si>
  <si>
    <t>.45</t>
  </si>
  <si>
    <t>Observations</t>
  </si>
  <si>
    <t>Data: ScaleUp</t>
  </si>
  <si>
    <t>Panel B: Basic Variables</t>
  </si>
  <si>
    <t>.08</t>
  </si>
  <si>
    <t>(.27)</t>
  </si>
  <si>
    <t>HD</t>
  </si>
  <si>
    <t>HD Subcourt 7</t>
  </si>
  <si>
    <t>651620.37</t>
  </si>
  <si>
    <t>(1501129.1)</t>
  </si>
  <si>
    <t>4.82</t>
  </si>
  <si>
    <t>(6.01)</t>
  </si>
  <si>
    <t>[.002739726100117, 49.47123336791992]</t>
  </si>
  <si>
    <t>953.12</t>
  </si>
  <si>
    <t>(2498.66)</t>
  </si>
  <si>
    <t>(17.06)</t>
  </si>
  <si>
    <t>Tenure (years)</t>
  </si>
  <si>
    <t>[40, 15157.91796875]</t>
  </si>
  <si>
    <t>[2, 126]</t>
  </si>
  <si>
    <t>.6800000000000001</t>
  </si>
  <si>
    <t>Phase 1</t>
  </si>
  <si>
    <t>Phase 2</t>
  </si>
  <si>
    <t>611740.23</t>
  </si>
  <si>
    <t>(3151612.79)</t>
  </si>
  <si>
    <t>[7623.42138671875, 100850536]</t>
  </si>
  <si>
    <t>4.05</t>
  </si>
  <si>
    <t>(5.44)</t>
  </si>
  <si>
    <t>[.002739726100117, 44.82191848754883]</t>
  </si>
  <si>
    <t>622.39</t>
  </si>
  <si>
    <t>(908.99)</t>
  </si>
  <si>
    <t>56.76</t>
  </si>
  <si>
    <t>(14.22)</t>
  </si>
  <si>
    <t>23525.76</t>
  </si>
  <si>
    <t>(54298.25)</t>
  </si>
  <si>
    <t>[0, 400000]</t>
  </si>
  <si>
    <t>20298.19</t>
  </si>
  <si>
    <t>(46612.46)</t>
  </si>
  <si>
    <t>(.14)</t>
  </si>
  <si>
    <t>(.09)</t>
  </si>
  <si>
    <t>(.12)</t>
  </si>
  <si>
    <t>liq_total_tope</t>
  </si>
  <si>
    <t>Duration (years)</t>
  </si>
  <si>
    <t xml:space="preserve">Losing court ruling </t>
  </si>
  <si>
    <t>Winning court ruling</t>
  </si>
  <si>
    <t>cr_0</t>
  </si>
  <si>
    <t>cr_m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</si>
</sst>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8"/>
  <sheetViews>
    <sheetView workbookViewId="0">
      <selection activeCell="L5" sqref="L5"/>
    </sheetView>
  </sheetViews>
  <sheetFormatPr defaultColWidth="11.5546875" defaultRowHeight="14.4" x14ac:dyDescent="0.3"/>
  <sheetData>
    <row r="2" spans="1:13" x14ac:dyDescent="0.3">
      <c r="B2" s="9" t="s">
        <v>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x14ac:dyDescent="0.3">
      <c r="B3" s="9" t="s">
        <v>6</v>
      </c>
      <c r="C3" s="9"/>
      <c r="D3" s="9"/>
      <c r="E3" s="9" t="s">
        <v>7</v>
      </c>
      <c r="F3" s="9"/>
      <c r="G3" s="9"/>
      <c r="H3" s="9" t="s">
        <v>61</v>
      </c>
      <c r="I3" s="9"/>
      <c r="J3" s="9"/>
      <c r="K3" s="9" t="s">
        <v>93</v>
      </c>
      <c r="L3" s="9"/>
      <c r="M3" s="9"/>
    </row>
    <row r="4" spans="1:13" x14ac:dyDescent="0.3">
      <c r="A4" t="s">
        <v>2</v>
      </c>
      <c r="B4" s="1" t="s">
        <v>0</v>
      </c>
      <c r="C4" s="1" t="s">
        <v>1</v>
      </c>
      <c r="D4" s="1" t="s">
        <v>5</v>
      </c>
      <c r="E4" s="1" t="s">
        <v>0</v>
      </c>
      <c r="F4" s="1" t="s">
        <v>1</v>
      </c>
      <c r="G4" s="1" t="s">
        <v>5</v>
      </c>
      <c r="H4" s="1" t="s">
        <v>0</v>
      </c>
      <c r="I4" s="1" t="s">
        <v>1</v>
      </c>
      <c r="J4" s="1" t="s">
        <v>5</v>
      </c>
    </row>
    <row r="5" spans="1:13" x14ac:dyDescent="0.3">
      <c r="A5" t="s">
        <v>41</v>
      </c>
      <c r="B5">
        <v>5005</v>
      </c>
      <c r="C5" t="s">
        <v>42</v>
      </c>
      <c r="D5" t="s">
        <v>8</v>
      </c>
      <c r="E5">
        <v>0</v>
      </c>
      <c r="F5" t="s">
        <v>34</v>
      </c>
      <c r="G5" t="s">
        <v>36</v>
      </c>
      <c r="H5">
        <v>857</v>
      </c>
      <c r="I5" t="s">
        <v>62</v>
      </c>
      <c r="J5" t="s">
        <v>8</v>
      </c>
      <c r="K5">
        <v>0</v>
      </c>
      <c r="L5" t="s">
        <v>34</v>
      </c>
      <c r="M5" t="s">
        <v>36</v>
      </c>
    </row>
    <row r="6" spans="1:13" x14ac:dyDescent="0.3">
      <c r="C6" t="s">
        <v>9</v>
      </c>
      <c r="F6" t="s">
        <v>35</v>
      </c>
      <c r="I6" t="s">
        <v>29</v>
      </c>
      <c r="L6" t="s">
        <v>35</v>
      </c>
    </row>
    <row r="7" spans="1:13" x14ac:dyDescent="0.3">
      <c r="A7" t="s">
        <v>131</v>
      </c>
      <c r="B7">
        <v>5003</v>
      </c>
      <c r="C7" t="s">
        <v>123</v>
      </c>
      <c r="D7" t="s">
        <v>125</v>
      </c>
      <c r="E7">
        <v>0</v>
      </c>
      <c r="F7" t="s">
        <v>34</v>
      </c>
      <c r="G7" t="s">
        <v>36</v>
      </c>
      <c r="H7">
        <v>856</v>
      </c>
      <c r="I7" t="s">
        <v>126</v>
      </c>
      <c r="J7" t="s">
        <v>125</v>
      </c>
      <c r="K7">
        <v>0</v>
      </c>
      <c r="L7" t="s">
        <v>34</v>
      </c>
      <c r="M7" t="s">
        <v>36</v>
      </c>
    </row>
    <row r="8" spans="1:13" x14ac:dyDescent="0.3">
      <c r="C8" t="s">
        <v>124</v>
      </c>
      <c r="F8" t="s">
        <v>35</v>
      </c>
      <c r="I8" t="s">
        <v>127</v>
      </c>
      <c r="L8" t="s">
        <v>35</v>
      </c>
    </row>
    <row r="9" spans="1:13" x14ac:dyDescent="0.3">
      <c r="A9" t="s">
        <v>43</v>
      </c>
      <c r="B9">
        <v>5005</v>
      </c>
      <c r="C9" t="s">
        <v>44</v>
      </c>
      <c r="D9" t="s">
        <v>46</v>
      </c>
      <c r="E9">
        <v>1108</v>
      </c>
      <c r="F9" t="s">
        <v>99</v>
      </c>
      <c r="G9" t="s">
        <v>47</v>
      </c>
      <c r="H9">
        <v>857</v>
      </c>
      <c r="I9" t="s">
        <v>63</v>
      </c>
      <c r="J9" t="s">
        <v>65</v>
      </c>
      <c r="K9">
        <v>1841</v>
      </c>
      <c r="L9" t="s">
        <v>113</v>
      </c>
      <c r="M9" t="s">
        <v>115</v>
      </c>
    </row>
    <row r="10" spans="1:13" x14ac:dyDescent="0.3">
      <c r="C10" t="s">
        <v>45</v>
      </c>
      <c r="F10" t="s">
        <v>100</v>
      </c>
      <c r="I10" t="s">
        <v>64</v>
      </c>
      <c r="L10" t="s">
        <v>114</v>
      </c>
    </row>
    <row r="11" spans="1:13" x14ac:dyDescent="0.3">
      <c r="A11" t="s">
        <v>54</v>
      </c>
      <c r="B11">
        <v>5005</v>
      </c>
      <c r="C11" t="s">
        <v>55</v>
      </c>
      <c r="D11" t="s">
        <v>8</v>
      </c>
      <c r="E11">
        <v>3060</v>
      </c>
      <c r="F11" t="s">
        <v>85</v>
      </c>
      <c r="G11" t="s">
        <v>8</v>
      </c>
      <c r="H11">
        <v>857</v>
      </c>
      <c r="I11" t="s">
        <v>110</v>
      </c>
      <c r="J11" t="s">
        <v>8</v>
      </c>
      <c r="K11">
        <v>1840</v>
      </c>
      <c r="L11" t="s">
        <v>88</v>
      </c>
      <c r="M11" t="s">
        <v>8</v>
      </c>
    </row>
    <row r="12" spans="1:13" x14ac:dyDescent="0.3">
      <c r="C12" t="s">
        <v>9</v>
      </c>
      <c r="F12" t="s">
        <v>86</v>
      </c>
      <c r="I12" t="s">
        <v>30</v>
      </c>
      <c r="L12" t="s">
        <v>89</v>
      </c>
    </row>
    <row r="13" spans="1:13" x14ac:dyDescent="0.3">
      <c r="A13" t="s">
        <v>135</v>
      </c>
      <c r="B13">
        <v>5005</v>
      </c>
      <c r="C13" t="s">
        <v>17</v>
      </c>
      <c r="D13" t="s">
        <v>8</v>
      </c>
      <c r="E13">
        <v>0</v>
      </c>
      <c r="F13" t="s">
        <v>34</v>
      </c>
      <c r="G13" t="s">
        <v>36</v>
      </c>
      <c r="H13">
        <v>857</v>
      </c>
      <c r="I13" t="s">
        <v>56</v>
      </c>
      <c r="J13" t="s">
        <v>8</v>
      </c>
      <c r="K13">
        <v>0</v>
      </c>
      <c r="L13" t="s">
        <v>34</v>
      </c>
      <c r="M13" t="s">
        <v>36</v>
      </c>
    </row>
    <row r="14" spans="1:13" x14ac:dyDescent="0.3">
      <c r="C14" t="s">
        <v>18</v>
      </c>
      <c r="F14" t="s">
        <v>35</v>
      </c>
      <c r="I14" t="s">
        <v>129</v>
      </c>
      <c r="L14" t="s">
        <v>35</v>
      </c>
    </row>
    <row r="15" spans="1:13" x14ac:dyDescent="0.3">
      <c r="A15" t="s">
        <v>136</v>
      </c>
      <c r="B15">
        <v>5005</v>
      </c>
      <c r="C15" t="s">
        <v>84</v>
      </c>
      <c r="D15" t="s">
        <v>8</v>
      </c>
      <c r="E15">
        <v>0</v>
      </c>
      <c r="F15" t="s">
        <v>34</v>
      </c>
      <c r="G15" t="s">
        <v>36</v>
      </c>
      <c r="H15">
        <v>857</v>
      </c>
      <c r="I15" t="s">
        <v>84</v>
      </c>
      <c r="J15" t="s">
        <v>8</v>
      </c>
      <c r="K15">
        <v>0</v>
      </c>
      <c r="L15" t="s">
        <v>34</v>
      </c>
      <c r="M15" t="s">
        <v>36</v>
      </c>
    </row>
    <row r="16" spans="1:13" x14ac:dyDescent="0.3">
      <c r="C16" t="s">
        <v>128</v>
      </c>
      <c r="F16" t="s">
        <v>35</v>
      </c>
      <c r="I16" t="s">
        <v>130</v>
      </c>
      <c r="L16" t="s">
        <v>35</v>
      </c>
    </row>
    <row r="17" spans="1:10" x14ac:dyDescent="0.3">
      <c r="A17" t="s">
        <v>57</v>
      </c>
      <c r="B17">
        <v>5004</v>
      </c>
      <c r="C17" t="s">
        <v>58</v>
      </c>
      <c r="D17" t="s">
        <v>60</v>
      </c>
      <c r="H17">
        <v>856</v>
      </c>
      <c r="I17" t="s">
        <v>28</v>
      </c>
      <c r="J17" t="s">
        <v>67</v>
      </c>
    </row>
    <row r="18" spans="1:10" x14ac:dyDescent="0.3">
      <c r="C18" t="s">
        <v>59</v>
      </c>
      <c r="I18" t="s">
        <v>66</v>
      </c>
    </row>
  </sheetData>
  <mergeCells count="5">
    <mergeCell ref="B3:D3"/>
    <mergeCell ref="E3:G3"/>
    <mergeCell ref="H3:J3"/>
    <mergeCell ref="B2:M2"/>
    <mergeCell ref="K3:M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16"/>
  <sheetViews>
    <sheetView workbookViewId="0">
      <selection activeCell="F8" sqref="F8"/>
    </sheetView>
  </sheetViews>
  <sheetFormatPr defaultColWidth="11.5546875" defaultRowHeight="14.4" x14ac:dyDescent="0.3"/>
  <sheetData>
    <row r="2" spans="1:13" x14ac:dyDescent="0.3">
      <c r="B2" s="9" t="s">
        <v>94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x14ac:dyDescent="0.3">
      <c r="B3" s="9" t="s">
        <v>6</v>
      </c>
      <c r="C3" s="9"/>
      <c r="D3" s="9"/>
      <c r="E3" s="9" t="s">
        <v>7</v>
      </c>
      <c r="F3" s="9"/>
      <c r="G3" s="9"/>
      <c r="H3" s="9" t="s">
        <v>61</v>
      </c>
      <c r="I3" s="9"/>
      <c r="J3" s="9"/>
      <c r="K3" s="9" t="s">
        <v>93</v>
      </c>
      <c r="L3" s="9"/>
      <c r="M3" s="9"/>
    </row>
    <row r="4" spans="1:13" x14ac:dyDescent="0.3">
      <c r="A4" t="s">
        <v>2</v>
      </c>
      <c r="B4" s="1" t="s">
        <v>0</v>
      </c>
      <c r="C4" s="1" t="s">
        <v>1</v>
      </c>
      <c r="D4" s="1" t="s">
        <v>5</v>
      </c>
      <c r="E4" s="1" t="s">
        <v>0</v>
      </c>
      <c r="F4" s="1" t="s">
        <v>1</v>
      </c>
      <c r="G4" s="1" t="s">
        <v>5</v>
      </c>
      <c r="H4" s="1" t="s">
        <v>0</v>
      </c>
      <c r="I4" s="1" t="s">
        <v>1</v>
      </c>
      <c r="J4" s="1" t="s">
        <v>5</v>
      </c>
    </row>
    <row r="5" spans="1:13" x14ac:dyDescent="0.3">
      <c r="A5" t="s">
        <v>10</v>
      </c>
      <c r="B5">
        <v>5001</v>
      </c>
      <c r="C5" t="s">
        <v>11</v>
      </c>
      <c r="D5" t="s">
        <v>8</v>
      </c>
      <c r="E5">
        <v>1108</v>
      </c>
      <c r="F5" t="s">
        <v>85</v>
      </c>
      <c r="G5" t="s">
        <v>8</v>
      </c>
      <c r="H5">
        <v>857</v>
      </c>
      <c r="I5" t="s">
        <v>68</v>
      </c>
      <c r="J5" t="s">
        <v>8</v>
      </c>
      <c r="K5">
        <v>1841</v>
      </c>
      <c r="L5" t="s">
        <v>17</v>
      </c>
      <c r="M5" t="s">
        <v>8</v>
      </c>
    </row>
    <row r="6" spans="1:13" x14ac:dyDescent="0.3">
      <c r="C6" t="s">
        <v>12</v>
      </c>
      <c r="F6" t="s">
        <v>86</v>
      </c>
      <c r="I6" t="s">
        <v>69</v>
      </c>
      <c r="L6" t="s">
        <v>18</v>
      </c>
    </row>
    <row r="7" spans="1:13" x14ac:dyDescent="0.3">
      <c r="A7" t="s">
        <v>13</v>
      </c>
      <c r="B7">
        <v>5004</v>
      </c>
      <c r="C7" t="s">
        <v>14</v>
      </c>
      <c r="D7" t="s">
        <v>8</v>
      </c>
      <c r="E7">
        <v>1108</v>
      </c>
      <c r="F7" t="s">
        <v>87</v>
      </c>
      <c r="G7" t="s">
        <v>8</v>
      </c>
      <c r="H7">
        <v>857</v>
      </c>
      <c r="I7" t="s">
        <v>70</v>
      </c>
      <c r="J7" t="s">
        <v>8</v>
      </c>
      <c r="K7">
        <v>1841</v>
      </c>
      <c r="L7" t="s">
        <v>91</v>
      </c>
      <c r="M7" t="s">
        <v>8</v>
      </c>
    </row>
    <row r="8" spans="1:13" x14ac:dyDescent="0.3">
      <c r="C8" t="s">
        <v>15</v>
      </c>
      <c r="F8" t="s">
        <v>37</v>
      </c>
      <c r="I8" t="s">
        <v>9</v>
      </c>
      <c r="L8" t="s">
        <v>15</v>
      </c>
    </row>
    <row r="9" spans="1:13" x14ac:dyDescent="0.3">
      <c r="A9" t="s">
        <v>16</v>
      </c>
      <c r="B9">
        <v>4993</v>
      </c>
      <c r="C9" t="s">
        <v>17</v>
      </c>
      <c r="D9" t="s">
        <v>8</v>
      </c>
      <c r="E9">
        <v>1108</v>
      </c>
      <c r="F9" t="s">
        <v>88</v>
      </c>
      <c r="G9" t="s">
        <v>8</v>
      </c>
      <c r="H9">
        <v>857</v>
      </c>
      <c r="I9" t="s">
        <v>71</v>
      </c>
      <c r="J9" t="s">
        <v>8</v>
      </c>
      <c r="K9">
        <v>1840</v>
      </c>
      <c r="L9" t="s">
        <v>95</v>
      </c>
      <c r="M9" t="s">
        <v>8</v>
      </c>
    </row>
    <row r="10" spans="1:13" x14ac:dyDescent="0.3">
      <c r="C10" t="s">
        <v>18</v>
      </c>
      <c r="F10" t="s">
        <v>89</v>
      </c>
      <c r="I10" t="s">
        <v>40</v>
      </c>
      <c r="L10" t="s">
        <v>96</v>
      </c>
    </row>
    <row r="11" spans="1:13" x14ac:dyDescent="0.3">
      <c r="A11" t="s">
        <v>19</v>
      </c>
      <c r="B11">
        <v>4970</v>
      </c>
      <c r="C11" t="s">
        <v>20</v>
      </c>
      <c r="D11" t="s">
        <v>22</v>
      </c>
      <c r="E11">
        <v>1087</v>
      </c>
      <c r="F11" t="s">
        <v>101</v>
      </c>
      <c r="G11" t="s">
        <v>103</v>
      </c>
      <c r="H11">
        <v>857</v>
      </c>
      <c r="I11" t="s">
        <v>72</v>
      </c>
      <c r="J11" t="s">
        <v>74</v>
      </c>
      <c r="K11">
        <v>1841</v>
      </c>
      <c r="L11" t="s">
        <v>116</v>
      </c>
      <c r="M11" t="s">
        <v>118</v>
      </c>
    </row>
    <row r="12" spans="1:13" x14ac:dyDescent="0.3">
      <c r="C12" t="s">
        <v>21</v>
      </c>
      <c r="F12" t="s">
        <v>102</v>
      </c>
      <c r="I12" t="s">
        <v>73</v>
      </c>
      <c r="L12" t="s">
        <v>117</v>
      </c>
    </row>
    <row r="13" spans="1:13" x14ac:dyDescent="0.3">
      <c r="A13" t="s">
        <v>23</v>
      </c>
      <c r="B13">
        <v>4984</v>
      </c>
      <c r="C13" t="s">
        <v>31</v>
      </c>
      <c r="D13" t="s">
        <v>33</v>
      </c>
      <c r="E13">
        <v>1097</v>
      </c>
      <c r="F13" t="s">
        <v>104</v>
      </c>
      <c r="G13" t="s">
        <v>38</v>
      </c>
      <c r="H13">
        <v>857</v>
      </c>
      <c r="I13" t="s">
        <v>75</v>
      </c>
      <c r="J13" t="s">
        <v>77</v>
      </c>
      <c r="K13">
        <v>1841</v>
      </c>
      <c r="L13" t="s">
        <v>119</v>
      </c>
      <c r="M13" t="s">
        <v>108</v>
      </c>
    </row>
    <row r="14" spans="1:13" x14ac:dyDescent="0.3">
      <c r="C14" t="s">
        <v>32</v>
      </c>
      <c r="F14" t="s">
        <v>105</v>
      </c>
      <c r="I14" t="s">
        <v>76</v>
      </c>
      <c r="L14" t="s">
        <v>120</v>
      </c>
    </row>
    <row r="15" spans="1:13" x14ac:dyDescent="0.3">
      <c r="A15" t="s">
        <v>24</v>
      </c>
      <c r="B15">
        <v>4922</v>
      </c>
      <c r="C15" t="s">
        <v>25</v>
      </c>
      <c r="D15" t="s">
        <v>27</v>
      </c>
      <c r="E15">
        <v>1072</v>
      </c>
      <c r="F15" t="s">
        <v>90</v>
      </c>
      <c r="G15" t="s">
        <v>39</v>
      </c>
      <c r="H15">
        <v>857</v>
      </c>
      <c r="I15" t="s">
        <v>78</v>
      </c>
      <c r="J15" t="s">
        <v>80</v>
      </c>
      <c r="K15">
        <v>1825</v>
      </c>
      <c r="L15" t="s">
        <v>121</v>
      </c>
      <c r="M15" t="s">
        <v>109</v>
      </c>
    </row>
    <row r="16" spans="1:13" x14ac:dyDescent="0.3">
      <c r="C16" t="s">
        <v>26</v>
      </c>
      <c r="F16" t="s">
        <v>106</v>
      </c>
      <c r="I16" t="s">
        <v>79</v>
      </c>
      <c r="L16" t="s">
        <v>122</v>
      </c>
    </row>
  </sheetData>
  <mergeCells count="5">
    <mergeCell ref="B3:D3"/>
    <mergeCell ref="E3:G3"/>
    <mergeCell ref="H3:J3"/>
    <mergeCell ref="B2:M2"/>
    <mergeCell ref="K3:M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4"/>
  <sheetViews>
    <sheetView tabSelected="1" topLeftCell="A10" workbookViewId="0">
      <selection activeCell="A3" sqref="A3:E33"/>
    </sheetView>
  </sheetViews>
  <sheetFormatPr defaultColWidth="11.5546875" defaultRowHeight="14.4" x14ac:dyDescent="0.3"/>
  <cols>
    <col min="1" max="16384" width="11.5546875" style="3"/>
  </cols>
  <sheetData>
    <row r="3" spans="1:5" ht="15" thickBot="1" x14ac:dyDescent="0.35">
      <c r="A3" s="2" t="str">
        <f>PanelA!A4</f>
        <v>Variable</v>
      </c>
      <c r="B3" s="6" t="s">
        <v>97</v>
      </c>
      <c r="C3" s="6" t="s">
        <v>98</v>
      </c>
      <c r="D3" s="8" t="s">
        <v>111</v>
      </c>
      <c r="E3" s="8" t="s">
        <v>112</v>
      </c>
    </row>
    <row r="4" spans="1:5" ht="15.6" thickTop="1" thickBot="1" x14ac:dyDescent="0.35">
      <c r="B4" s="10" t="s">
        <v>3</v>
      </c>
      <c r="C4" s="10"/>
      <c r="D4" s="10"/>
      <c r="E4" s="10"/>
    </row>
    <row r="5" spans="1:5" ht="15" thickTop="1" x14ac:dyDescent="0.3">
      <c r="A5" s="3" t="s">
        <v>48</v>
      </c>
      <c r="B5" s="7">
        <f>ROUND(PanelA!C5,2)</f>
        <v>0.65</v>
      </c>
      <c r="C5" s="7">
        <f>ROUND(PanelA!I5,2)</f>
        <v>0.69</v>
      </c>
      <c r="D5" s="7"/>
      <c r="E5" s="7"/>
    </row>
    <row r="6" spans="1:5" x14ac:dyDescent="0.3">
      <c r="B6" s="7" t="str">
        <f>PanelA!C6</f>
        <v>(.48)</v>
      </c>
      <c r="C6" s="7" t="str">
        <f>PanelA!I6</f>
        <v>(.46)</v>
      </c>
      <c r="D6" s="7"/>
      <c r="E6" s="7"/>
    </row>
    <row r="7" spans="1:5" x14ac:dyDescent="0.3">
      <c r="A7" s="3" t="s">
        <v>49</v>
      </c>
      <c r="B7" s="7">
        <f>ROUND(PanelA!C7,0)</f>
        <v>23526</v>
      </c>
      <c r="C7" s="7">
        <f>ROUND(PanelA!I7,0)</f>
        <v>20298</v>
      </c>
      <c r="D7" s="7"/>
      <c r="E7" s="7"/>
    </row>
    <row r="8" spans="1:5" x14ac:dyDescent="0.3">
      <c r="B8" s="7" t="str">
        <f>PanelA!C8</f>
        <v>(54298.25)</v>
      </c>
      <c r="C8" s="7" t="str">
        <f>PanelA!I8</f>
        <v>(46612.46)</v>
      </c>
      <c r="D8" s="7"/>
      <c r="E8" s="7"/>
    </row>
    <row r="9" spans="1:5" x14ac:dyDescent="0.3">
      <c r="A9" s="4" t="s">
        <v>83</v>
      </c>
      <c r="B9" s="7">
        <f>ROUND(PanelA!C9,0)</f>
        <v>343060</v>
      </c>
      <c r="C9" s="7">
        <f>ROUND(PanelA!I9,0)</f>
        <v>301566</v>
      </c>
      <c r="D9" s="7">
        <f>ROUND(PanelA!F9,0)</f>
        <v>651620</v>
      </c>
      <c r="E9" s="7">
        <f>ROUND(PanelA!L9,0)</f>
        <v>611740</v>
      </c>
    </row>
    <row r="10" spans="1:5" x14ac:dyDescent="0.3">
      <c r="B10" s="7" t="str">
        <f>PanelA!C10</f>
        <v>(655168.15)</v>
      </c>
      <c r="C10" s="7" t="str">
        <f>PanelA!I10</f>
        <v>(551154.03)</v>
      </c>
      <c r="D10" s="7" t="str">
        <f>PanelA!F10</f>
        <v>(1501129.1)</v>
      </c>
      <c r="E10" s="7" t="str">
        <f>PanelA!L10</f>
        <v>(3151612.79)</v>
      </c>
    </row>
    <row r="11" spans="1:5" x14ac:dyDescent="0.3">
      <c r="A11" s="3" t="s">
        <v>53</v>
      </c>
      <c r="B11" s="7">
        <f>ROUND(PanelA!C11,2)</f>
        <v>0.63</v>
      </c>
      <c r="C11" s="7">
        <f>ROUND(PanelA!I11,2)</f>
        <v>0.68</v>
      </c>
      <c r="D11" s="7">
        <f>ROUND(PanelA!F11,2)</f>
        <v>0.09</v>
      </c>
      <c r="E11" s="7">
        <f>ROUND(PanelA!L11,2)</f>
        <v>0.13</v>
      </c>
    </row>
    <row r="12" spans="1:5" x14ac:dyDescent="0.3">
      <c r="B12" s="7" t="str">
        <f>PanelA!C12</f>
        <v>(.48)</v>
      </c>
      <c r="C12" s="7" t="str">
        <f>PanelA!I12</f>
        <v>(.47)</v>
      </c>
      <c r="D12" s="7" t="str">
        <f>PanelA!F12</f>
        <v>(.29)</v>
      </c>
      <c r="E12" s="7" t="str">
        <f>PanelA!L12</f>
        <v>(.34)</v>
      </c>
    </row>
    <row r="13" spans="1:5" x14ac:dyDescent="0.3">
      <c r="A13" t="s">
        <v>133</v>
      </c>
      <c r="B13" s="7">
        <f>ROUND(PanelA!C13,2)</f>
        <v>7.0000000000000007E-2</v>
      </c>
      <c r="C13" s="7">
        <f>ROUND(PanelA!I13,2)</f>
        <v>0.01</v>
      </c>
      <c r="D13" s="7"/>
      <c r="E13" s="7"/>
    </row>
    <row r="14" spans="1:5" x14ac:dyDescent="0.3">
      <c r="B14" s="7" t="str">
        <f>PanelA!C14</f>
        <v>(.25)</v>
      </c>
      <c r="C14" s="7" t="str">
        <f>PanelA!I14</f>
        <v>(.09)</v>
      </c>
      <c r="D14" s="7"/>
      <c r="E14" s="7"/>
    </row>
    <row r="15" spans="1:5" x14ac:dyDescent="0.3">
      <c r="A15" t="s">
        <v>134</v>
      </c>
      <c r="B15" s="7">
        <f>ROUND(PanelA!C15,2)</f>
        <v>0.02</v>
      </c>
      <c r="C15" s="7">
        <f>ROUND(PanelA!I15,2)</f>
        <v>0.02</v>
      </c>
      <c r="D15" s="7"/>
      <c r="E15" s="7"/>
    </row>
    <row r="16" spans="1:5" x14ac:dyDescent="0.3">
      <c r="B16" s="7" t="str">
        <f>PanelA!C16</f>
        <v>(.14)</v>
      </c>
      <c r="C16" s="7" t="str">
        <f>PanelA!I16</f>
        <v>(.12)</v>
      </c>
      <c r="D16" s="7"/>
      <c r="E16" s="7"/>
    </row>
    <row r="17" spans="1:5" x14ac:dyDescent="0.3">
      <c r="A17" t="s">
        <v>132</v>
      </c>
      <c r="B17" s="7">
        <f>ROUND(PanelA!C17,2)</f>
        <v>1.02</v>
      </c>
      <c r="C17" s="7">
        <f>ROUND(PanelA!I17,2)</f>
        <v>0.98</v>
      </c>
      <c r="D17" s="7"/>
      <c r="E17" s="7"/>
    </row>
    <row r="18" spans="1:5" x14ac:dyDescent="0.3">
      <c r="B18" s="7" t="str">
        <f>PanelA!C18</f>
        <v>(.96)</v>
      </c>
      <c r="C18" s="7" t="str">
        <f>PanelA!I18</f>
        <v>(.71)</v>
      </c>
      <c r="D18" s="7"/>
      <c r="E18" s="7"/>
    </row>
    <row r="19" spans="1:5" ht="15" thickBot="1" x14ac:dyDescent="0.35">
      <c r="B19" s="11" t="s">
        <v>4</v>
      </c>
      <c r="C19" s="11"/>
      <c r="D19" s="11"/>
      <c r="E19" s="11"/>
    </row>
    <row r="20" spans="1:5" ht="15" thickTop="1" x14ac:dyDescent="0.3">
      <c r="A20" s="3" t="s">
        <v>50</v>
      </c>
      <c r="B20" s="7">
        <f>ROUND(PanelB!C5,2)</f>
        <v>0.1</v>
      </c>
      <c r="C20" s="7">
        <f>ROUND(PanelB!I5,2)</f>
        <v>0.15</v>
      </c>
      <c r="D20" s="7">
        <f>ROUND(PanelB!F5,2)</f>
        <v>0.09</v>
      </c>
      <c r="E20" s="7">
        <f>ROUND(PanelB!L5,2)</f>
        <v>7.0000000000000007E-2</v>
      </c>
    </row>
    <row r="21" spans="1:5" x14ac:dyDescent="0.3">
      <c r="B21" s="7" t="str">
        <f>PanelB!C6</f>
        <v>(.3)</v>
      </c>
      <c r="C21" s="7" t="str">
        <f>PanelB!I6</f>
        <v>(.36)</v>
      </c>
      <c r="D21" s="7" t="str">
        <f>PanelB!F6</f>
        <v>(.29)</v>
      </c>
      <c r="E21" s="7" t="str">
        <f>PanelB!L6</f>
        <v>(.25)</v>
      </c>
    </row>
    <row r="22" spans="1:5" x14ac:dyDescent="0.3">
      <c r="A22" s="3" t="s">
        <v>81</v>
      </c>
      <c r="B22" s="7">
        <f>ROUND(PanelB!C7,2)</f>
        <v>0.48</v>
      </c>
      <c r="C22" s="7">
        <f>ROUND(PanelB!I7,2)</f>
        <v>0.35</v>
      </c>
      <c r="D22" s="7">
        <f>ROUND(PanelB!F7,2)</f>
        <v>0.41</v>
      </c>
      <c r="E22" s="7">
        <f>ROUND(PanelB!L7,2)</f>
        <v>0.45</v>
      </c>
    </row>
    <row r="23" spans="1:5" x14ac:dyDescent="0.3">
      <c r="B23" s="7" t="str">
        <f>PanelB!C8</f>
        <v>(.5)</v>
      </c>
      <c r="C23" s="7" t="str">
        <f>PanelB!I8</f>
        <v>(.48)</v>
      </c>
      <c r="D23" s="7" t="str">
        <f>PanelB!F8</f>
        <v>(.49)</v>
      </c>
      <c r="E23" s="7" t="str">
        <f>PanelB!L8</f>
        <v>(.5)</v>
      </c>
    </row>
    <row r="24" spans="1:5" x14ac:dyDescent="0.3">
      <c r="A24" s="4" t="s">
        <v>82</v>
      </c>
      <c r="B24" s="7">
        <f>ROUND(PanelB!C9,2)</f>
        <v>7.0000000000000007E-2</v>
      </c>
      <c r="C24" s="7">
        <f>ROUND(PanelB!I9,2)</f>
        <v>0.06</v>
      </c>
      <c r="D24" s="7">
        <f>ROUND(PanelB!F9,2)</f>
        <v>0.13</v>
      </c>
      <c r="E24" s="7">
        <f>ROUND(PanelB!L9,2)</f>
        <v>0.08</v>
      </c>
    </row>
    <row r="25" spans="1:5" x14ac:dyDescent="0.3">
      <c r="B25" s="7" t="str">
        <f>PanelB!C10</f>
        <v>(.25)</v>
      </c>
      <c r="C25" s="7" t="str">
        <f>PanelB!I10</f>
        <v>(.23)</v>
      </c>
      <c r="D25" s="7" t="str">
        <f>PanelB!F10</f>
        <v>(.34)</v>
      </c>
      <c r="E25" s="7" t="str">
        <f>PanelB!L10</f>
        <v>(.27)</v>
      </c>
    </row>
    <row r="26" spans="1:5" x14ac:dyDescent="0.3">
      <c r="A26" s="3" t="s">
        <v>107</v>
      </c>
      <c r="B26" s="7">
        <f>ROUND(PanelB!C11,2)</f>
        <v>4.17</v>
      </c>
      <c r="C26" s="7">
        <f>ROUND(PanelB!I11,2)</f>
        <v>3.72</v>
      </c>
      <c r="D26" s="7">
        <f>ROUND(PanelB!F11,2)</f>
        <v>4.82</v>
      </c>
      <c r="E26" s="7">
        <f>ROUND(PanelB!L11,2)</f>
        <v>4.05</v>
      </c>
    </row>
    <row r="27" spans="1:5" x14ac:dyDescent="0.3">
      <c r="B27" s="7" t="str">
        <f>PanelB!C12</f>
        <v>(4.99)</v>
      </c>
      <c r="C27" s="7" t="str">
        <f>PanelB!I12</f>
        <v>(4.72)</v>
      </c>
      <c r="D27" s="7" t="str">
        <f>PanelB!F12</f>
        <v>(6.01)</v>
      </c>
      <c r="E27" s="7" t="str">
        <f>PanelB!L12</f>
        <v>(5.44)</v>
      </c>
    </row>
    <row r="28" spans="1:5" x14ac:dyDescent="0.3">
      <c r="A28" s="3" t="s">
        <v>51</v>
      </c>
      <c r="B28" s="7">
        <f>ROUND(PanelB!C13,0)</f>
        <v>470</v>
      </c>
      <c r="C28" s="7">
        <f>ROUND(PanelB!I13,0)</f>
        <v>455</v>
      </c>
      <c r="D28" s="7">
        <f>ROUND(PanelB!F13,0)</f>
        <v>953</v>
      </c>
      <c r="E28" s="7">
        <f>ROUND(PanelB!L13,0)</f>
        <v>622</v>
      </c>
    </row>
    <row r="29" spans="1:5" x14ac:dyDescent="0.3">
      <c r="B29" s="7" t="str">
        <f>PanelB!C14</f>
        <v>(1100.8)</v>
      </c>
      <c r="C29" s="7" t="str">
        <f>PanelB!I14</f>
        <v>(656.22)</v>
      </c>
      <c r="D29" s="7" t="str">
        <f>PanelB!F14</f>
        <v>(2498.66)</v>
      </c>
      <c r="E29" s="7" t="str">
        <f>PanelB!L14</f>
        <v>(908.99)</v>
      </c>
    </row>
    <row r="30" spans="1:5" x14ac:dyDescent="0.3">
      <c r="A30" s="3" t="s">
        <v>52</v>
      </c>
      <c r="B30" s="7">
        <f>ROUND(PanelB!C15,2)</f>
        <v>57.33</v>
      </c>
      <c r="C30" s="7">
        <f>ROUND(PanelB!I15,2)</f>
        <v>57.36</v>
      </c>
      <c r="D30" s="7">
        <f>ROUND(PanelB!F15,2)</f>
        <v>58.14</v>
      </c>
      <c r="E30" s="7">
        <f>ROUND(PanelB!L15,2)</f>
        <v>56.76</v>
      </c>
    </row>
    <row r="31" spans="1:5" x14ac:dyDescent="0.3">
      <c r="B31" s="7" t="str">
        <f>PanelB!C16</f>
        <v>(15.47)</v>
      </c>
      <c r="C31" s="7" t="str">
        <f>PanelB!I16</f>
        <v>(15.57)</v>
      </c>
      <c r="D31" s="7" t="str">
        <f>PanelB!F16</f>
        <v>(17.06)</v>
      </c>
      <c r="E31" s="7" t="str">
        <f>PanelB!L16</f>
        <v>(14.22)</v>
      </c>
    </row>
    <row r="32" spans="1:5" x14ac:dyDescent="0.3">
      <c r="B32" s="7"/>
      <c r="C32" s="7"/>
      <c r="D32" s="7"/>
      <c r="E32" s="7"/>
    </row>
    <row r="33" spans="1:5" ht="15" thickBot="1" x14ac:dyDescent="0.35">
      <c r="A33" s="5" t="s">
        <v>92</v>
      </c>
      <c r="B33" s="6">
        <f>ROUND(AVERAGE(PanelA!B5:B17),0)</f>
        <v>5005</v>
      </c>
      <c r="C33" s="6">
        <f>ROUND(AVERAGE(PanelA!H5:H17),0)</f>
        <v>857</v>
      </c>
      <c r="D33" s="6">
        <f>ROUND(AVERAGE(PanelB!E5:E15),0)</f>
        <v>1097</v>
      </c>
      <c r="E33" s="6">
        <f>ROUND(AVERAGE(PanelB!K5:K15),0)</f>
        <v>1838</v>
      </c>
    </row>
    <row r="34" spans="1:5" ht="15" thickTop="1" x14ac:dyDescent="0.3"/>
  </sheetData>
  <mergeCells count="2">
    <mergeCell ref="B4:E4"/>
    <mergeCell ref="B19:E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PanelA</vt:lpstr>
      <vt:lpstr>PanelB</vt:lpstr>
      <vt:lpstr>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Meza</dc:creator>
  <cp:lastModifiedBy>xps-seira</cp:lastModifiedBy>
  <dcterms:created xsi:type="dcterms:W3CDTF">2016-12-17T21:53:44Z</dcterms:created>
  <dcterms:modified xsi:type="dcterms:W3CDTF">2019-02-25T01:00:10Z</dcterms:modified>
</cp:coreProperties>
</file>