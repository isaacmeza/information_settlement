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xps-seira\Dropbox\Apps\ShareLaTeX\information_settlement\Paper\Tables\"/>
    </mc:Choice>
  </mc:AlternateContent>
  <xr:revisionPtr revIDLastSave="0" documentId="13_ncr:1_{D4E2534B-7F51-410D-82CF-78F785B6AB59}" xr6:coauthVersionLast="36" xr6:coauthVersionMax="36" xr10:uidLastSave="{00000000-0000-0000-0000-000000000000}"/>
  <bookViews>
    <workbookView xWindow="0" yWindow="0" windowWidth="23040" windowHeight="8508" xr2:uid="{00000000-000D-0000-FFFF-FFFF00000000}"/>
  </bookViews>
  <sheets>
    <sheet name="Balance" sheetId="3" r:id="rId1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5" i="3" l="1"/>
  <c r="I28" i="3"/>
  <c r="H28" i="3"/>
  <c r="G28" i="3"/>
  <c r="F28" i="3"/>
  <c r="E28" i="3"/>
  <c r="D28" i="3"/>
  <c r="C28" i="3"/>
  <c r="Z27" i="3"/>
  <c r="V27" i="3"/>
  <c r="R27" i="3"/>
  <c r="E27" i="3" s="1"/>
  <c r="P27" i="3"/>
  <c r="I27" i="3"/>
  <c r="H27" i="3"/>
  <c r="G27" i="3"/>
  <c r="F27" i="3"/>
  <c r="D27" i="3"/>
  <c r="C27" i="3"/>
  <c r="Z26" i="3"/>
  <c r="V26" i="3"/>
  <c r="G26" i="3" s="1"/>
  <c r="R26" i="3"/>
  <c r="E26" i="3" s="1"/>
  <c r="P26" i="3"/>
  <c r="D26" i="3" s="1"/>
  <c r="I26" i="3"/>
  <c r="H26" i="3"/>
  <c r="F26" i="3"/>
  <c r="C26" i="3"/>
  <c r="Z25" i="3"/>
  <c r="V25" i="3"/>
  <c r="R25" i="3"/>
  <c r="P25" i="3"/>
  <c r="D25" i="3" s="1"/>
  <c r="I25" i="3"/>
  <c r="H25" i="3"/>
  <c r="G25" i="3"/>
  <c r="F25" i="3"/>
  <c r="E25" i="3"/>
  <c r="C25" i="3"/>
  <c r="Z24" i="3"/>
  <c r="V24" i="3"/>
  <c r="G24" i="3" s="1"/>
  <c r="R24" i="3"/>
  <c r="P24" i="3"/>
  <c r="I24" i="3"/>
  <c r="H24" i="3"/>
  <c r="F24" i="3"/>
  <c r="E24" i="3"/>
  <c r="D24" i="3"/>
  <c r="C24" i="3"/>
  <c r="Z23" i="3"/>
  <c r="V23" i="3"/>
  <c r="R23" i="3"/>
  <c r="E23" i="3" s="1"/>
  <c r="P23" i="3"/>
  <c r="I23" i="3"/>
  <c r="H23" i="3"/>
  <c r="G23" i="3"/>
  <c r="F23" i="3"/>
  <c r="D23" i="3"/>
  <c r="C23" i="3"/>
  <c r="Z22" i="3"/>
  <c r="V22" i="3"/>
  <c r="G22" i="3" s="1"/>
  <c r="R22" i="3"/>
  <c r="E22" i="3" s="1"/>
  <c r="P22" i="3"/>
  <c r="D22" i="3" s="1"/>
  <c r="I22" i="3"/>
  <c r="H22" i="3"/>
  <c r="F22" i="3"/>
  <c r="C22" i="3"/>
  <c r="Z21" i="3"/>
  <c r="V21" i="3"/>
  <c r="R21" i="3"/>
  <c r="P21" i="3"/>
  <c r="D21" i="3" s="1"/>
  <c r="I21" i="3"/>
  <c r="H21" i="3"/>
  <c r="G21" i="3"/>
  <c r="F21" i="3"/>
  <c r="E21" i="3"/>
  <c r="C21" i="3"/>
  <c r="Z20" i="3"/>
  <c r="V20" i="3"/>
  <c r="G20" i="3" s="1"/>
  <c r="R20" i="3"/>
  <c r="P20" i="3"/>
  <c r="I20" i="3"/>
  <c r="H20" i="3"/>
  <c r="F20" i="3"/>
  <c r="E20" i="3"/>
  <c r="D20" i="3"/>
  <c r="C20" i="3"/>
  <c r="Z19" i="3"/>
  <c r="V19" i="3"/>
  <c r="R19" i="3"/>
  <c r="E19" i="3" s="1"/>
  <c r="P19" i="3"/>
  <c r="I19" i="3"/>
  <c r="H19" i="3"/>
  <c r="G19" i="3"/>
  <c r="F19" i="3"/>
  <c r="D19" i="3"/>
  <c r="C19" i="3"/>
  <c r="Z18" i="3"/>
  <c r="V18" i="3"/>
  <c r="G18" i="3" s="1"/>
  <c r="R18" i="3"/>
  <c r="E18" i="3" s="1"/>
  <c r="P18" i="3"/>
  <c r="D18" i="3" s="1"/>
  <c r="I18" i="3"/>
  <c r="H18" i="3"/>
  <c r="F18" i="3"/>
  <c r="C18" i="3"/>
  <c r="Z17" i="3"/>
  <c r="V17" i="3"/>
  <c r="R17" i="3"/>
  <c r="P17" i="3"/>
  <c r="I17" i="3"/>
  <c r="H17" i="3"/>
  <c r="G17" i="3"/>
  <c r="F17" i="3"/>
  <c r="E17" i="3"/>
  <c r="D17" i="3"/>
  <c r="C17" i="3"/>
  <c r="Z16" i="3"/>
  <c r="V16" i="3"/>
  <c r="G16" i="3" s="1"/>
  <c r="R16" i="3"/>
  <c r="P16" i="3"/>
  <c r="I16" i="3"/>
  <c r="H16" i="3"/>
  <c r="F16" i="3"/>
  <c r="E16" i="3"/>
  <c r="D16" i="3"/>
  <c r="C16" i="3"/>
  <c r="Z15" i="3"/>
  <c r="V15" i="3"/>
  <c r="R15" i="3"/>
  <c r="E15" i="3" s="1"/>
  <c r="P15" i="3"/>
  <c r="I15" i="3"/>
  <c r="H15" i="3"/>
  <c r="G15" i="3"/>
  <c r="F15" i="3"/>
  <c r="D15" i="3"/>
  <c r="C15" i="3"/>
  <c r="Z14" i="3"/>
  <c r="V14" i="3"/>
  <c r="G14" i="3" s="1"/>
  <c r="R14" i="3"/>
  <c r="P14" i="3"/>
  <c r="D14" i="3" s="1"/>
  <c r="I14" i="3"/>
  <c r="H14" i="3"/>
  <c r="F14" i="3"/>
  <c r="E14" i="3"/>
  <c r="C14" i="3"/>
  <c r="Z13" i="3"/>
  <c r="V13" i="3"/>
  <c r="R13" i="3"/>
  <c r="P13" i="3"/>
  <c r="I13" i="3"/>
  <c r="H13" i="3"/>
  <c r="G13" i="3"/>
  <c r="F13" i="3"/>
  <c r="E13" i="3"/>
  <c r="D13" i="3"/>
  <c r="C13" i="3"/>
  <c r="Z12" i="3"/>
  <c r="V12" i="3"/>
  <c r="G12" i="3" s="1"/>
  <c r="R12" i="3"/>
  <c r="P12" i="3"/>
  <c r="I12" i="3"/>
  <c r="H12" i="3"/>
  <c r="F12" i="3"/>
  <c r="E12" i="3"/>
  <c r="D12" i="3"/>
  <c r="C12" i="3"/>
  <c r="Z11" i="3"/>
  <c r="V11" i="3"/>
  <c r="R11" i="3"/>
  <c r="E11" i="3" s="1"/>
  <c r="P11" i="3"/>
  <c r="I11" i="3"/>
  <c r="H11" i="3"/>
  <c r="G11" i="3"/>
  <c r="F11" i="3"/>
  <c r="D11" i="3"/>
  <c r="C11" i="3"/>
  <c r="Z10" i="3"/>
  <c r="V10" i="3"/>
  <c r="G10" i="3" s="1"/>
  <c r="R10" i="3"/>
  <c r="P10" i="3"/>
  <c r="D10" i="3" s="1"/>
  <c r="I10" i="3"/>
  <c r="H10" i="3"/>
  <c r="F10" i="3"/>
  <c r="E10" i="3"/>
  <c r="C10" i="3"/>
  <c r="Z9" i="3"/>
  <c r="V9" i="3"/>
  <c r="R9" i="3"/>
  <c r="P9" i="3"/>
  <c r="I9" i="3"/>
  <c r="H9" i="3"/>
  <c r="G9" i="3"/>
  <c r="F9" i="3"/>
  <c r="E9" i="3"/>
  <c r="D9" i="3"/>
  <c r="C9" i="3"/>
  <c r="Z8" i="3"/>
  <c r="V8" i="3"/>
  <c r="G8" i="3" s="1"/>
  <c r="R8" i="3"/>
  <c r="P8" i="3"/>
  <c r="I8" i="3"/>
  <c r="H8" i="3"/>
  <c r="F8" i="3"/>
  <c r="E8" i="3"/>
  <c r="D8" i="3"/>
  <c r="C8" i="3"/>
  <c r="Z7" i="3"/>
  <c r="V7" i="3"/>
  <c r="R7" i="3"/>
  <c r="E7" i="3" s="1"/>
  <c r="P7" i="3"/>
  <c r="I7" i="3"/>
  <c r="H7" i="3"/>
  <c r="G7" i="3"/>
  <c r="F7" i="3"/>
  <c r="D7" i="3"/>
  <c r="C7" i="3"/>
  <c r="Z6" i="3"/>
  <c r="V6" i="3"/>
  <c r="G6" i="3" s="1"/>
  <c r="R6" i="3"/>
  <c r="P6" i="3"/>
  <c r="D6" i="3" s="1"/>
  <c r="I6" i="3"/>
  <c r="H6" i="3"/>
  <c r="F6" i="3"/>
  <c r="E6" i="3"/>
  <c r="C6" i="3"/>
  <c r="Z5" i="3"/>
  <c r="V5" i="3"/>
  <c r="R5" i="3"/>
  <c r="P5" i="3"/>
  <c r="I5" i="3"/>
  <c r="H5" i="3"/>
  <c r="G5" i="3"/>
  <c r="F5" i="3"/>
  <c r="E5" i="3"/>
  <c r="D5" i="3"/>
</calcChain>
</file>

<file path=xl/sharedStrings.xml><?xml version="1.0" encoding="utf-8"?>
<sst xmlns="http://schemas.openxmlformats.org/spreadsheetml/2006/main" count="34" uniqueCount="31">
  <si>
    <t>T1</t>
  </si>
  <si>
    <t>T2</t>
  </si>
  <si>
    <t>C</t>
  </si>
  <si>
    <t xml:space="preserve">Female </t>
  </si>
  <si>
    <t>At will worker</t>
  </si>
  <si>
    <t xml:space="preserve">Weekly hours </t>
  </si>
  <si>
    <t>Tenure at firm</t>
  </si>
  <si>
    <t>Phase 1</t>
  </si>
  <si>
    <t>Phase 2</t>
  </si>
  <si>
    <t>Phase 1/2</t>
  </si>
  <si>
    <t>T</t>
  </si>
  <si>
    <t>Observations</t>
  </si>
  <si>
    <t>Public Lawyer</t>
  </si>
  <si>
    <t>Daily wage</t>
  </si>
  <si>
    <t>% Reinstatement</t>
  </si>
  <si>
    <t>% Severance pay</t>
  </si>
  <si>
    <t>% Backpay</t>
  </si>
  <si>
    <t>% Tenure bonus</t>
  </si>
  <si>
    <t>% Extra hours</t>
  </si>
  <si>
    <t>% 20 days</t>
  </si>
  <si>
    <t>% Sunday bonus</t>
  </si>
  <si>
    <t>% Weekly rest</t>
  </si>
  <si>
    <t>%Mandatory rest</t>
  </si>
  <si>
    <t>% Social security codef</t>
  </si>
  <si>
    <t>% Earnings</t>
  </si>
  <si>
    <t>% Nulity</t>
  </si>
  <si>
    <t>Entitlement</t>
  </si>
  <si>
    <t>Presence employee</t>
  </si>
  <si>
    <t>Presence emp law</t>
  </si>
  <si>
    <t>Presence firm</t>
  </si>
  <si>
    <t>Presence firm 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</si>
</sst>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Z29"/>
  <sheetViews>
    <sheetView tabSelected="1" topLeftCell="B2" workbookViewId="0">
      <selection activeCell="I28" sqref="B3:I28"/>
    </sheetView>
  </sheetViews>
  <sheetFormatPr defaultColWidth="11.5546875" defaultRowHeight="14.4" x14ac:dyDescent="0.3"/>
  <cols>
    <col min="1" max="1" width="11.5546875" style="3"/>
    <col min="2" max="2" width="19.5546875" style="1" bestFit="1" customWidth="1"/>
    <col min="3" max="16384" width="11.5546875" style="3"/>
  </cols>
  <sheetData>
    <row r="3" spans="2:26" ht="15" thickBot="1" x14ac:dyDescent="0.35">
      <c r="B3" s="8"/>
      <c r="C3" s="15" t="s">
        <v>7</v>
      </c>
      <c r="D3" s="16"/>
      <c r="E3" s="16"/>
      <c r="F3" s="15" t="s">
        <v>8</v>
      </c>
      <c r="G3" s="15"/>
      <c r="H3" s="15" t="s">
        <v>9</v>
      </c>
      <c r="I3" s="15"/>
      <c r="J3" s="12"/>
    </row>
    <row r="4" spans="2:26" ht="15.6" thickTop="1" thickBot="1" x14ac:dyDescent="0.35">
      <c r="B4" s="9"/>
      <c r="C4" s="10" t="s">
        <v>2</v>
      </c>
      <c r="D4" s="10" t="s">
        <v>0</v>
      </c>
      <c r="E4" s="10" t="s">
        <v>1</v>
      </c>
      <c r="F4" s="11" t="s">
        <v>2</v>
      </c>
      <c r="G4" s="11" t="s">
        <v>10</v>
      </c>
      <c r="H4" s="11" t="s">
        <v>2</v>
      </c>
      <c r="I4" s="11" t="s">
        <v>10</v>
      </c>
      <c r="J4" s="6"/>
    </row>
    <row r="5" spans="2:26" ht="15" thickTop="1" x14ac:dyDescent="0.3">
      <c r="B5" s="1" t="s">
        <v>3</v>
      </c>
      <c r="C5" s="2">
        <f>ROUND(L5,2)</f>
        <v>0.43</v>
      </c>
      <c r="D5" s="4" t="str">
        <f>_xlfn.CONCAT(ROUND(M5,2),P5)</f>
        <v>0.37</v>
      </c>
      <c r="E5" s="4" t="str">
        <f>_xlfn.CONCAT(ROUND(N5,2),R5)</f>
        <v>0.37</v>
      </c>
      <c r="F5" s="4">
        <f>ROUND(S5,2)</f>
        <v>0.51</v>
      </c>
      <c r="G5" s="4" t="str">
        <f>_xlfn.CONCAT(ROUND(T5,2),V5)</f>
        <v>0.45*</v>
      </c>
      <c r="H5" s="4">
        <f>ROUND(W5,2)</f>
        <v>0.48</v>
      </c>
      <c r="I5" s="4" t="str">
        <f>_xlfn.CONCAT(ROUND(X5,2),Z5)</f>
        <v>0.43</v>
      </c>
      <c r="K5"/>
      <c r="L5">
        <v>0.43265306122448982</v>
      </c>
      <c r="M5">
        <v>0.37391304347826088</v>
      </c>
      <c r="N5">
        <v>0.36799999999999999</v>
      </c>
      <c r="O5">
        <v>0.19</v>
      </c>
      <c r="P5" t="str">
        <f>IF(O5&lt;=0.01,"***",IF(O5&lt;=0.05,"**",IF(O5&lt;=0.1,"*","")))</f>
        <v/>
      </c>
      <c r="Q5">
        <v>0.14000000000000001</v>
      </c>
      <c r="R5" t="str">
        <f>IF(Q5&lt;=0.01,"***",IF(Q5&lt;=0.05,"**",IF(Q5&lt;=0.1,"*","")))</f>
        <v/>
      </c>
      <c r="S5">
        <v>0.50783699059561127</v>
      </c>
      <c r="T5">
        <v>0.45182291666666669</v>
      </c>
      <c r="U5">
        <v>0.09</v>
      </c>
      <c r="V5" t="str">
        <f>IF(U5&lt;=0.01,"***",IF(U5&lt;=0.05,"**",IF(U5&lt;=0.1,"*","")))</f>
        <v>*</v>
      </c>
      <c r="W5">
        <v>0.47517730496453903</v>
      </c>
      <c r="X5">
        <v>0.43386773547094187</v>
      </c>
      <c r="Y5">
        <v>0.12</v>
      </c>
      <c r="Z5" s="3" t="str">
        <f>IF(Y5&lt;=0.01,"***",IF(Y5&lt;=0.05,"**",IF(Y5&lt;=0.1,"*","")))</f>
        <v/>
      </c>
    </row>
    <row r="6" spans="2:26" x14ac:dyDescent="0.3">
      <c r="B6" s="1" t="s">
        <v>4</v>
      </c>
      <c r="C6" s="2">
        <f t="shared" ref="C6:C28" si="0">ROUND(L6,2)</f>
        <v>0.12</v>
      </c>
      <c r="D6" s="4" t="str">
        <f t="shared" ref="D6:D28" si="1">_xlfn.CONCAT(ROUND(M6,2),P6)</f>
        <v>0.1</v>
      </c>
      <c r="E6" s="4" t="str">
        <f t="shared" ref="E6:E28" si="2">_xlfn.CONCAT(ROUND(N6,2),R6)</f>
        <v>0.14</v>
      </c>
      <c r="F6" s="4">
        <f t="shared" ref="F6:F28" si="3">ROUND(S6,2)</f>
        <v>0.1</v>
      </c>
      <c r="G6" s="4" t="str">
        <f t="shared" ref="G6:G28" si="4">_xlfn.CONCAT(ROUND(T6,2),V6)</f>
        <v>0.07</v>
      </c>
      <c r="H6" s="4">
        <f t="shared" ref="H6:H28" si="5">ROUND(W6,2)</f>
        <v>0.11</v>
      </c>
      <c r="I6" s="4" t="str">
        <f t="shared" ref="I6:I28" si="6">_xlfn.CONCAT(ROUND(X6,2),Z6)</f>
        <v>0.08*</v>
      </c>
      <c r="K6"/>
      <c r="L6">
        <v>0.12244897959183673</v>
      </c>
      <c r="M6">
        <v>0.1</v>
      </c>
      <c r="N6">
        <v>0.14399999999999999</v>
      </c>
      <c r="O6">
        <v>0.44</v>
      </c>
      <c r="P6" t="str">
        <f t="shared" ref="P6:P27" si="7">IF(O6&lt;=0.01,"***",IF(O6&lt;=0.05,"**",IF(O6&lt;=0.1,"*","")))</f>
        <v/>
      </c>
      <c r="Q6">
        <v>0.48</v>
      </c>
      <c r="R6" t="str">
        <f t="shared" ref="R6:R27" si="8">IF(Q6&lt;=0.01,"***",IF(Q6&lt;=0.05,"**",IF(Q6&lt;=0.1,"*","")))</f>
        <v/>
      </c>
      <c r="S6">
        <v>0.10031347962382445</v>
      </c>
      <c r="T6">
        <v>7.421875E-2</v>
      </c>
      <c r="U6">
        <v>0.18</v>
      </c>
      <c r="V6" t="str">
        <f t="shared" ref="V6:V27" si="9">IF(U6&lt;=0.01,"***",IF(U6&lt;=0.05,"**",IF(U6&lt;=0.1,"*","")))</f>
        <v/>
      </c>
      <c r="W6">
        <v>0.1099290780141844</v>
      </c>
      <c r="X6">
        <v>8.0160320641282562E-2</v>
      </c>
      <c r="Y6">
        <v>0.06</v>
      </c>
      <c r="Z6" s="3" t="str">
        <f t="shared" ref="Z6:Z27" si="10">IF(Y6&lt;=0.01,"***",IF(Y6&lt;=0.05,"**",IF(Y6&lt;=0.1,"*","")))</f>
        <v>*</v>
      </c>
    </row>
    <row r="7" spans="2:26" x14ac:dyDescent="0.3">
      <c r="B7" s="1" t="s">
        <v>5</v>
      </c>
      <c r="C7" s="2">
        <f t="shared" si="0"/>
        <v>55.89</v>
      </c>
      <c r="D7" s="4" t="str">
        <f t="shared" si="1"/>
        <v>57.57</v>
      </c>
      <c r="E7" s="4" t="str">
        <f t="shared" si="2"/>
        <v>58.67**</v>
      </c>
      <c r="F7" s="4">
        <f t="shared" si="3"/>
        <v>55.04</v>
      </c>
      <c r="G7" s="4" t="str">
        <f t="shared" si="4"/>
        <v>56.66*</v>
      </c>
      <c r="H7" s="4">
        <f t="shared" si="5"/>
        <v>55.41</v>
      </c>
      <c r="I7" s="4" t="str">
        <f t="shared" si="6"/>
        <v>56.86**</v>
      </c>
      <c r="K7"/>
      <c r="L7">
        <v>55.893430152143843</v>
      </c>
      <c r="M7">
        <v>57.568609865470847</v>
      </c>
      <c r="N7">
        <v>58.666036414565824</v>
      </c>
      <c r="O7">
        <v>0.22</v>
      </c>
      <c r="P7" t="str">
        <f t="shared" si="7"/>
        <v/>
      </c>
      <c r="Q7">
        <v>0.05</v>
      </c>
      <c r="R7" t="str">
        <f t="shared" si="8"/>
        <v>**</v>
      </c>
      <c r="S7">
        <v>55.037405062325391</v>
      </c>
      <c r="T7">
        <v>56.659044495427793</v>
      </c>
      <c r="U7">
        <v>0.06</v>
      </c>
      <c r="V7" t="str">
        <f t="shared" si="9"/>
        <v>*</v>
      </c>
      <c r="W7">
        <v>55.407785756483825</v>
      </c>
      <c r="X7">
        <v>56.864549133238945</v>
      </c>
      <c r="Y7">
        <v>0.04</v>
      </c>
      <c r="Z7" s="3" t="str">
        <f t="shared" si="10"/>
        <v>**</v>
      </c>
    </row>
    <row r="8" spans="2:26" x14ac:dyDescent="0.3">
      <c r="B8" s="5" t="s">
        <v>6</v>
      </c>
      <c r="C8" s="2">
        <f t="shared" si="0"/>
        <v>4.82</v>
      </c>
      <c r="D8" s="4" t="str">
        <f t="shared" si="1"/>
        <v>4.57</v>
      </c>
      <c r="E8" s="4" t="str">
        <f t="shared" si="2"/>
        <v>4.83</v>
      </c>
      <c r="F8" s="4">
        <f t="shared" si="3"/>
        <v>4.9800000000000004</v>
      </c>
      <c r="G8" s="4" t="str">
        <f t="shared" si="4"/>
        <v>4.14*</v>
      </c>
      <c r="H8" s="4">
        <f t="shared" si="5"/>
        <v>4.91</v>
      </c>
      <c r="I8" s="4" t="str">
        <f t="shared" si="6"/>
        <v>4.24**</v>
      </c>
      <c r="K8"/>
      <c r="L8">
        <v>4.8222816114727394</v>
      </c>
      <c r="M8">
        <v>4.5707601146129644</v>
      </c>
      <c r="N8">
        <v>4.8296673232594465</v>
      </c>
      <c r="O8">
        <v>0.65</v>
      </c>
      <c r="P8" t="str">
        <f t="shared" si="7"/>
        <v/>
      </c>
      <c r="Q8">
        <v>0.99</v>
      </c>
      <c r="R8" t="str">
        <f t="shared" si="8"/>
        <v/>
      </c>
      <c r="S8">
        <v>4.9804782292682104</v>
      </c>
      <c r="T8">
        <v>4.1372217403186369</v>
      </c>
      <c r="U8">
        <v>7.0000000000000007E-2</v>
      </c>
      <c r="V8" t="str">
        <f t="shared" si="9"/>
        <v>*</v>
      </c>
      <c r="W8">
        <v>4.9071601814053096</v>
      </c>
      <c r="X8">
        <v>4.2357928395042688</v>
      </c>
      <c r="Y8">
        <v>0.05</v>
      </c>
      <c r="Z8" s="3" t="str">
        <f t="shared" si="10"/>
        <v>**</v>
      </c>
    </row>
    <row r="9" spans="2:26" x14ac:dyDescent="0.3">
      <c r="B9" s="5" t="s">
        <v>12</v>
      </c>
      <c r="C9" s="2">
        <f t="shared" si="0"/>
        <v>0.11</v>
      </c>
      <c r="D9" s="4" t="str">
        <f t="shared" si="1"/>
        <v>0.13</v>
      </c>
      <c r="E9" s="4" t="str">
        <f t="shared" si="2"/>
        <v>0.08</v>
      </c>
      <c r="F9" s="4">
        <f t="shared" si="3"/>
        <v>0.06</v>
      </c>
      <c r="G9" s="4" t="str">
        <f t="shared" si="4"/>
        <v>0.06</v>
      </c>
      <c r="H9" s="4">
        <f t="shared" si="5"/>
        <v>0.08</v>
      </c>
      <c r="I9" s="4" t="str">
        <f t="shared" si="6"/>
        <v>0.08</v>
      </c>
      <c r="K9"/>
      <c r="L9">
        <v>0.11020408163265306</v>
      </c>
      <c r="M9">
        <v>0.13478260869565217</v>
      </c>
      <c r="N9">
        <v>7.5999999999999998E-2</v>
      </c>
      <c r="O9">
        <v>0.42</v>
      </c>
      <c r="P9" t="str">
        <f t="shared" si="7"/>
        <v/>
      </c>
      <c r="Q9">
        <v>0.19</v>
      </c>
      <c r="R9" t="str">
        <f t="shared" si="8"/>
        <v/>
      </c>
      <c r="S9">
        <v>5.6426332288401257E-2</v>
      </c>
      <c r="T9">
        <v>6.1197916666666664E-2</v>
      </c>
      <c r="U9">
        <v>0.76</v>
      </c>
      <c r="V9" t="str">
        <f t="shared" si="9"/>
        <v/>
      </c>
      <c r="W9">
        <v>7.9787234042553196E-2</v>
      </c>
      <c r="X9">
        <v>7.8156312625250496E-2</v>
      </c>
      <c r="Y9">
        <v>0.91</v>
      </c>
      <c r="Z9" s="3" t="str">
        <f t="shared" si="10"/>
        <v/>
      </c>
    </row>
    <row r="10" spans="2:26" x14ac:dyDescent="0.3">
      <c r="B10" s="5" t="s">
        <v>14</v>
      </c>
      <c r="C10" s="2">
        <f t="shared" si="0"/>
        <v>0.43</v>
      </c>
      <c r="D10" s="4" t="str">
        <f t="shared" si="1"/>
        <v>0.42</v>
      </c>
      <c r="E10" s="4" t="str">
        <f t="shared" si="2"/>
        <v>0.41</v>
      </c>
      <c r="F10" s="4">
        <f t="shared" si="3"/>
        <v>0.48</v>
      </c>
      <c r="G10" s="4" t="str">
        <f t="shared" si="4"/>
        <v>0.51</v>
      </c>
      <c r="H10" s="4">
        <f t="shared" si="5"/>
        <v>0.46</v>
      </c>
      <c r="I10" s="4" t="str">
        <f t="shared" si="6"/>
        <v>0.49</v>
      </c>
      <c r="K10"/>
      <c r="L10">
        <v>0.43265306122448982</v>
      </c>
      <c r="M10">
        <v>0.42173913043478262</v>
      </c>
      <c r="N10">
        <v>0.41199999999999998</v>
      </c>
      <c r="O10">
        <v>0.81</v>
      </c>
      <c r="P10" t="str">
        <f t="shared" si="7"/>
        <v/>
      </c>
      <c r="Q10">
        <v>0.64</v>
      </c>
      <c r="R10" t="str">
        <f t="shared" si="8"/>
        <v/>
      </c>
      <c r="S10">
        <v>0.47648902821316613</v>
      </c>
      <c r="T10">
        <v>0.51171875</v>
      </c>
      <c r="U10">
        <v>0.28999999999999998</v>
      </c>
      <c r="V10" t="str">
        <f t="shared" si="9"/>
        <v/>
      </c>
      <c r="W10">
        <v>0.45744680851063829</v>
      </c>
      <c r="X10">
        <v>0.4909819639278557</v>
      </c>
      <c r="Y10">
        <v>0.2</v>
      </c>
      <c r="Z10" s="3" t="str">
        <f t="shared" si="10"/>
        <v/>
      </c>
    </row>
    <row r="11" spans="2:26" x14ac:dyDescent="0.3">
      <c r="B11" s="5" t="s">
        <v>15</v>
      </c>
      <c r="C11" s="2">
        <f t="shared" si="0"/>
        <v>0.82</v>
      </c>
      <c r="D11" s="4" t="str">
        <f t="shared" si="1"/>
        <v>0.83</v>
      </c>
      <c r="E11" s="4" t="str">
        <f t="shared" si="2"/>
        <v>0.84</v>
      </c>
      <c r="F11" s="4">
        <f t="shared" si="3"/>
        <v>0.81</v>
      </c>
      <c r="G11" s="4" t="str">
        <f t="shared" si="4"/>
        <v>0.79</v>
      </c>
      <c r="H11" s="4">
        <f t="shared" si="5"/>
        <v>0.82</v>
      </c>
      <c r="I11" s="4" t="str">
        <f t="shared" si="6"/>
        <v>0.8</v>
      </c>
      <c r="K11"/>
      <c r="L11">
        <v>0.82448979591836735</v>
      </c>
      <c r="M11">
        <v>0.83043478260869563</v>
      </c>
      <c r="N11">
        <v>0.84</v>
      </c>
      <c r="O11">
        <v>0.86</v>
      </c>
      <c r="P11" t="str">
        <f t="shared" si="7"/>
        <v/>
      </c>
      <c r="Q11">
        <v>0.65</v>
      </c>
      <c r="R11" t="str">
        <f t="shared" si="8"/>
        <v/>
      </c>
      <c r="S11">
        <v>0.80877742946708464</v>
      </c>
      <c r="T11">
        <v>0.79269882659713164</v>
      </c>
      <c r="U11">
        <v>0.54</v>
      </c>
      <c r="V11" t="str">
        <f t="shared" si="9"/>
        <v/>
      </c>
      <c r="W11">
        <v>0.81560283687943258</v>
      </c>
      <c r="X11">
        <v>0.80140421263791373</v>
      </c>
      <c r="Y11">
        <v>0.49</v>
      </c>
      <c r="Z11" s="3" t="str">
        <f t="shared" si="10"/>
        <v/>
      </c>
    </row>
    <row r="12" spans="2:26" x14ac:dyDescent="0.3">
      <c r="B12" s="5" t="s">
        <v>13</v>
      </c>
      <c r="C12" s="2">
        <f t="shared" si="0"/>
        <v>855.84</v>
      </c>
      <c r="D12" s="4" t="str">
        <f t="shared" si="1"/>
        <v>630.16*</v>
      </c>
      <c r="E12" s="4" t="str">
        <f t="shared" si="2"/>
        <v>798.88</v>
      </c>
      <c r="F12" s="4">
        <f t="shared" si="3"/>
        <v>617.54999999999995</v>
      </c>
      <c r="G12" s="4" t="str">
        <f t="shared" si="4"/>
        <v>603.86</v>
      </c>
      <c r="H12" s="4">
        <f t="shared" si="5"/>
        <v>722.73</v>
      </c>
      <c r="I12" s="4" t="str">
        <f t="shared" si="6"/>
        <v>609.86</v>
      </c>
      <c r="K12"/>
      <c r="L12">
        <v>855.84332240005244</v>
      </c>
      <c r="M12">
        <v>630.15622089490239</v>
      </c>
      <c r="N12">
        <v>798.88338087701266</v>
      </c>
      <c r="O12">
        <v>7.0000000000000007E-2</v>
      </c>
      <c r="P12" t="str">
        <f t="shared" si="7"/>
        <v>*</v>
      </c>
      <c r="Q12">
        <v>0.71</v>
      </c>
      <c r="R12" t="str">
        <f t="shared" si="8"/>
        <v/>
      </c>
      <c r="S12">
        <v>617.54638614341866</v>
      </c>
      <c r="T12">
        <v>603.86000491678715</v>
      </c>
      <c r="U12">
        <v>0.88</v>
      </c>
      <c r="V12" t="str">
        <f t="shared" si="9"/>
        <v/>
      </c>
      <c r="W12">
        <v>722.7287334654859</v>
      </c>
      <c r="X12">
        <v>609.85924212988482</v>
      </c>
      <c r="Y12">
        <v>0.12</v>
      </c>
      <c r="Z12" s="3" t="str">
        <f t="shared" si="10"/>
        <v/>
      </c>
    </row>
    <row r="13" spans="2:26" x14ac:dyDescent="0.3">
      <c r="B13" s="5" t="s">
        <v>16</v>
      </c>
      <c r="C13" s="2">
        <f t="shared" si="0"/>
        <v>0.97</v>
      </c>
      <c r="D13" s="4" t="str">
        <f t="shared" si="1"/>
        <v>0.96</v>
      </c>
      <c r="E13" s="4" t="str">
        <f t="shared" si="2"/>
        <v>0.96</v>
      </c>
      <c r="F13" s="4">
        <f t="shared" si="3"/>
        <v>0.99</v>
      </c>
      <c r="G13" s="4" t="str">
        <f t="shared" si="4"/>
        <v>0.98</v>
      </c>
      <c r="H13" s="4">
        <f t="shared" si="5"/>
        <v>0.98</v>
      </c>
      <c r="I13" s="4" t="str">
        <f t="shared" si="6"/>
        <v>0.98</v>
      </c>
      <c r="K13"/>
      <c r="L13">
        <v>0.97142857142857142</v>
      </c>
      <c r="M13">
        <v>0.96086956521739131</v>
      </c>
      <c r="N13">
        <v>0.95599999999999996</v>
      </c>
      <c r="O13">
        <v>0.53</v>
      </c>
      <c r="P13" t="str">
        <f t="shared" si="7"/>
        <v/>
      </c>
      <c r="Q13">
        <v>0.36</v>
      </c>
      <c r="R13" t="str">
        <f t="shared" si="8"/>
        <v/>
      </c>
      <c r="S13">
        <v>0.98746081504702199</v>
      </c>
      <c r="T13">
        <v>0.98177083333333337</v>
      </c>
      <c r="U13">
        <v>0.47</v>
      </c>
      <c r="V13" t="str">
        <f t="shared" si="9"/>
        <v/>
      </c>
      <c r="W13">
        <v>0.98049645390070927</v>
      </c>
      <c r="X13">
        <v>0.9769539078156313</v>
      </c>
      <c r="Y13">
        <v>0.64</v>
      </c>
      <c r="Z13" s="3" t="str">
        <f t="shared" si="10"/>
        <v/>
      </c>
    </row>
    <row r="14" spans="2:26" x14ac:dyDescent="0.3">
      <c r="B14" s="5" t="s">
        <v>17</v>
      </c>
      <c r="C14" s="2">
        <f t="shared" si="0"/>
        <v>0.8</v>
      </c>
      <c r="D14" s="4" t="str">
        <f t="shared" si="1"/>
        <v>0.83</v>
      </c>
      <c r="E14" s="4" t="str">
        <f t="shared" si="2"/>
        <v>0.82</v>
      </c>
      <c r="F14" s="4">
        <f t="shared" si="3"/>
        <v>0.8</v>
      </c>
      <c r="G14" s="4" t="str">
        <f t="shared" si="4"/>
        <v>0.78</v>
      </c>
      <c r="H14" s="4">
        <f t="shared" si="5"/>
        <v>0.8</v>
      </c>
      <c r="I14" s="4" t="str">
        <f t="shared" si="6"/>
        <v>0.79</v>
      </c>
      <c r="K14"/>
      <c r="L14">
        <v>0.80408163265306121</v>
      </c>
      <c r="M14">
        <v>0.82608695652173914</v>
      </c>
      <c r="N14">
        <v>0.82399999999999995</v>
      </c>
      <c r="O14">
        <v>0.54</v>
      </c>
      <c r="P14" t="str">
        <f t="shared" si="7"/>
        <v/>
      </c>
      <c r="Q14">
        <v>0.57000000000000006</v>
      </c>
      <c r="R14" t="str">
        <f t="shared" si="8"/>
        <v/>
      </c>
      <c r="S14">
        <v>0.79623824451410663</v>
      </c>
      <c r="T14">
        <v>0.77994791666666663</v>
      </c>
      <c r="U14">
        <v>0.55000000000000004</v>
      </c>
      <c r="V14" t="str">
        <f t="shared" si="9"/>
        <v/>
      </c>
      <c r="W14">
        <v>0.79964539007092195</v>
      </c>
      <c r="X14">
        <v>0.79058116232464926</v>
      </c>
      <c r="Y14">
        <v>0.67</v>
      </c>
      <c r="Z14" s="3" t="str">
        <f t="shared" si="10"/>
        <v/>
      </c>
    </row>
    <row r="15" spans="2:26" x14ac:dyDescent="0.3">
      <c r="B15" s="5" t="s">
        <v>18</v>
      </c>
      <c r="C15" s="2">
        <f t="shared" si="0"/>
        <v>0.66</v>
      </c>
      <c r="D15" s="4" t="str">
        <f t="shared" si="1"/>
        <v>0.71</v>
      </c>
      <c r="E15" s="4" t="str">
        <f t="shared" si="2"/>
        <v>0.72</v>
      </c>
      <c r="F15" s="4">
        <f t="shared" si="3"/>
        <v>0.71</v>
      </c>
      <c r="G15" s="4" t="str">
        <f t="shared" si="4"/>
        <v>0.78**</v>
      </c>
      <c r="H15" s="4">
        <f t="shared" si="5"/>
        <v>0.69</v>
      </c>
      <c r="I15" s="4" t="str">
        <f t="shared" si="6"/>
        <v>0.76***</v>
      </c>
      <c r="K15"/>
      <c r="L15">
        <v>0.65714285714285714</v>
      </c>
      <c r="M15">
        <v>0.70869565217391306</v>
      </c>
      <c r="N15">
        <v>0.71599999999999997</v>
      </c>
      <c r="O15">
        <v>0.24</v>
      </c>
      <c r="P15" t="str">
        <f t="shared" si="7"/>
        <v/>
      </c>
      <c r="Q15">
        <v>0.17</v>
      </c>
      <c r="R15" t="str">
        <f t="shared" si="8"/>
        <v/>
      </c>
      <c r="S15">
        <v>0.71473354231974917</v>
      </c>
      <c r="T15">
        <v>0.77734375</v>
      </c>
      <c r="U15">
        <v>0.03</v>
      </c>
      <c r="V15" t="str">
        <f t="shared" si="9"/>
        <v>**</v>
      </c>
      <c r="W15">
        <v>0.68971631205673756</v>
      </c>
      <c r="X15">
        <v>0.76152304609218435</v>
      </c>
      <c r="Y15">
        <v>0</v>
      </c>
      <c r="Z15" s="3" t="str">
        <f t="shared" si="10"/>
        <v>***</v>
      </c>
    </row>
    <row r="16" spans="2:26" x14ac:dyDescent="0.3">
      <c r="B16" s="5" t="s">
        <v>19</v>
      </c>
      <c r="C16" s="2">
        <f t="shared" si="0"/>
        <v>0.33</v>
      </c>
      <c r="D16" s="4" t="str">
        <f t="shared" si="1"/>
        <v>0.33</v>
      </c>
      <c r="E16" s="4" t="str">
        <f t="shared" si="2"/>
        <v>0.33</v>
      </c>
      <c r="F16" s="4">
        <f t="shared" si="3"/>
        <v>0.35</v>
      </c>
      <c r="G16" s="4" t="str">
        <f t="shared" si="4"/>
        <v>0.34</v>
      </c>
      <c r="H16" s="4">
        <f t="shared" si="5"/>
        <v>0.34</v>
      </c>
      <c r="I16" s="4" t="str">
        <f t="shared" si="6"/>
        <v>0.33</v>
      </c>
      <c r="K16"/>
      <c r="L16">
        <v>0.32653061224489793</v>
      </c>
      <c r="M16">
        <v>0.33043478260869563</v>
      </c>
      <c r="N16">
        <v>0.32800000000000001</v>
      </c>
      <c r="O16">
        <v>0.93</v>
      </c>
      <c r="P16" t="str">
        <f t="shared" si="7"/>
        <v/>
      </c>
      <c r="Q16">
        <v>0.97</v>
      </c>
      <c r="R16" t="str">
        <f t="shared" si="8"/>
        <v/>
      </c>
      <c r="S16">
        <v>0.34796238244514105</v>
      </c>
      <c r="T16">
        <v>0.3359375</v>
      </c>
      <c r="U16">
        <v>0.70000000000000007</v>
      </c>
      <c r="V16" t="str">
        <f t="shared" si="9"/>
        <v/>
      </c>
      <c r="W16">
        <v>0.33865248226950356</v>
      </c>
      <c r="X16">
        <v>0.33466933867735471</v>
      </c>
      <c r="Y16">
        <v>0.87</v>
      </c>
      <c r="Z16" s="3" t="str">
        <f t="shared" si="10"/>
        <v/>
      </c>
    </row>
    <row r="17" spans="2:26" x14ac:dyDescent="0.3">
      <c r="B17" s="17" t="s">
        <v>20</v>
      </c>
      <c r="C17" s="2">
        <f t="shared" si="0"/>
        <v>0.19</v>
      </c>
      <c r="D17" s="4" t="str">
        <f t="shared" si="1"/>
        <v>0.21</v>
      </c>
      <c r="E17" s="4" t="str">
        <f t="shared" si="2"/>
        <v>0.21</v>
      </c>
      <c r="F17" s="4">
        <f t="shared" si="3"/>
        <v>0.18</v>
      </c>
      <c r="G17" s="4" t="str">
        <f t="shared" si="4"/>
        <v>0.19</v>
      </c>
      <c r="H17" s="4">
        <f t="shared" si="5"/>
        <v>0.18</v>
      </c>
      <c r="I17" s="4" t="str">
        <f t="shared" si="6"/>
        <v>0.2</v>
      </c>
      <c r="K17"/>
      <c r="L17">
        <v>0.18775510204081633</v>
      </c>
      <c r="M17">
        <v>0.20869565217391303</v>
      </c>
      <c r="N17">
        <v>0.21199999999999999</v>
      </c>
      <c r="O17">
        <v>0.57000000000000006</v>
      </c>
      <c r="P17" t="str">
        <f t="shared" si="7"/>
        <v/>
      </c>
      <c r="Q17">
        <v>0.5</v>
      </c>
      <c r="R17" t="str">
        <f t="shared" si="8"/>
        <v/>
      </c>
      <c r="S17">
        <v>0.18181818181818182</v>
      </c>
      <c r="T17">
        <v>0.19295958279009126</v>
      </c>
      <c r="U17">
        <v>0.67</v>
      </c>
      <c r="V17" t="str">
        <f t="shared" si="9"/>
        <v/>
      </c>
      <c r="W17">
        <v>0.18439716312056736</v>
      </c>
      <c r="X17">
        <v>0.19658976930792377</v>
      </c>
      <c r="Y17">
        <v>0.55000000000000004</v>
      </c>
      <c r="Z17" s="3" t="str">
        <f t="shared" si="10"/>
        <v/>
      </c>
    </row>
    <row r="18" spans="2:26" x14ac:dyDescent="0.3">
      <c r="B18" s="17" t="s">
        <v>21</v>
      </c>
      <c r="C18" s="2">
        <f t="shared" si="0"/>
        <v>0.21</v>
      </c>
      <c r="D18" s="4" t="str">
        <f t="shared" si="1"/>
        <v>0.17</v>
      </c>
      <c r="E18" s="4" t="str">
        <f t="shared" si="2"/>
        <v>0.22</v>
      </c>
      <c r="F18" s="4">
        <f t="shared" si="3"/>
        <v>0.17</v>
      </c>
      <c r="G18" s="4" t="str">
        <f t="shared" si="4"/>
        <v>0.22**</v>
      </c>
      <c r="H18" s="4">
        <f t="shared" si="5"/>
        <v>0.19</v>
      </c>
      <c r="I18" s="4" t="str">
        <f t="shared" si="6"/>
        <v>0.21</v>
      </c>
      <c r="K18"/>
      <c r="L18">
        <v>0.20816326530612245</v>
      </c>
      <c r="M18">
        <v>0.17391304347826086</v>
      </c>
      <c r="N18">
        <v>0.22</v>
      </c>
      <c r="O18">
        <v>0.34</v>
      </c>
      <c r="P18" t="str">
        <f t="shared" si="7"/>
        <v/>
      </c>
      <c r="Q18">
        <v>0.75</v>
      </c>
      <c r="R18" t="str">
        <f t="shared" si="8"/>
        <v/>
      </c>
      <c r="S18">
        <v>0.17241379310344829</v>
      </c>
      <c r="T18">
        <v>0.22395833333333334</v>
      </c>
      <c r="U18">
        <v>0.05</v>
      </c>
      <c r="V18" t="str">
        <f t="shared" si="9"/>
        <v>**</v>
      </c>
      <c r="W18">
        <v>0.18794326241134751</v>
      </c>
      <c r="X18">
        <v>0.21242484969939879</v>
      </c>
      <c r="Y18">
        <v>0.24</v>
      </c>
      <c r="Z18" s="3" t="str">
        <f t="shared" si="10"/>
        <v/>
      </c>
    </row>
    <row r="19" spans="2:26" x14ac:dyDescent="0.3">
      <c r="B19" s="18" t="s">
        <v>22</v>
      </c>
      <c r="C19" s="2">
        <f t="shared" si="0"/>
        <v>0.31</v>
      </c>
      <c r="D19" s="4" t="str">
        <f t="shared" si="1"/>
        <v>0.29</v>
      </c>
      <c r="E19" s="4" t="str">
        <f t="shared" si="2"/>
        <v>0.3</v>
      </c>
      <c r="F19" s="4">
        <f t="shared" si="3"/>
        <v>0.26</v>
      </c>
      <c r="G19" s="4" t="str">
        <f t="shared" si="4"/>
        <v>0.3</v>
      </c>
      <c r="H19" s="4">
        <f t="shared" si="5"/>
        <v>0.28000000000000003</v>
      </c>
      <c r="I19" s="4" t="str">
        <f t="shared" si="6"/>
        <v>0.3</v>
      </c>
      <c r="K19"/>
      <c r="L19">
        <v>0.31020408163265306</v>
      </c>
      <c r="M19">
        <v>0.28695652173913044</v>
      </c>
      <c r="N19">
        <v>0.30399999999999999</v>
      </c>
      <c r="O19">
        <v>0.57999999999999996</v>
      </c>
      <c r="P19" t="str">
        <f t="shared" si="7"/>
        <v/>
      </c>
      <c r="Q19">
        <v>0.88</v>
      </c>
      <c r="R19" t="str">
        <f t="shared" si="8"/>
        <v/>
      </c>
      <c r="S19">
        <v>0.26332288401253917</v>
      </c>
      <c r="T19">
        <v>0.30117340286831812</v>
      </c>
      <c r="U19">
        <v>0.2</v>
      </c>
      <c r="V19" t="str">
        <f t="shared" si="9"/>
        <v/>
      </c>
      <c r="W19">
        <v>0.28368794326241137</v>
      </c>
      <c r="X19">
        <v>0.29789368104312941</v>
      </c>
      <c r="Y19">
        <v>0.55000000000000004</v>
      </c>
      <c r="Z19" s="3" t="str">
        <f t="shared" si="10"/>
        <v/>
      </c>
    </row>
    <row r="20" spans="2:26" x14ac:dyDescent="0.3">
      <c r="B20" s="18" t="s">
        <v>23</v>
      </c>
      <c r="C20" s="2">
        <f t="shared" si="0"/>
        <v>0.55000000000000004</v>
      </c>
      <c r="D20" s="4" t="str">
        <f t="shared" si="1"/>
        <v>0.55</v>
      </c>
      <c r="E20" s="4" t="str">
        <f t="shared" si="2"/>
        <v>0.53</v>
      </c>
      <c r="F20" s="4">
        <f t="shared" si="3"/>
        <v>0.63</v>
      </c>
      <c r="G20" s="4" t="str">
        <f t="shared" si="4"/>
        <v>0.64</v>
      </c>
      <c r="H20" s="4">
        <f t="shared" si="5"/>
        <v>0.59</v>
      </c>
      <c r="I20" s="4" t="str">
        <f t="shared" si="6"/>
        <v>0.62</v>
      </c>
      <c r="K20"/>
      <c r="L20">
        <v>0.54693877551020409</v>
      </c>
      <c r="M20">
        <v>0.55217391304347829</v>
      </c>
      <c r="N20">
        <v>0.52800000000000002</v>
      </c>
      <c r="O20">
        <v>0.91</v>
      </c>
      <c r="P20" t="str">
        <f t="shared" si="7"/>
        <v/>
      </c>
      <c r="Q20">
        <v>0.67</v>
      </c>
      <c r="R20" t="str">
        <f t="shared" si="8"/>
        <v/>
      </c>
      <c r="S20">
        <v>0.62695924764890287</v>
      </c>
      <c r="T20">
        <v>0.63802083333333337</v>
      </c>
      <c r="U20">
        <v>0.73</v>
      </c>
      <c r="V20" t="str">
        <f t="shared" si="9"/>
        <v/>
      </c>
      <c r="W20">
        <v>0.59219858156028371</v>
      </c>
      <c r="X20">
        <v>0.61823647294589179</v>
      </c>
      <c r="Y20">
        <v>0.31</v>
      </c>
      <c r="Z20" s="3" t="str">
        <f t="shared" si="10"/>
        <v/>
      </c>
    </row>
    <row r="21" spans="2:26" x14ac:dyDescent="0.3">
      <c r="B21" s="18" t="s">
        <v>24</v>
      </c>
      <c r="C21" s="2">
        <f t="shared" si="0"/>
        <v>0.35</v>
      </c>
      <c r="D21" s="4" t="str">
        <f t="shared" si="1"/>
        <v>0.34</v>
      </c>
      <c r="E21" s="4" t="str">
        <f t="shared" si="2"/>
        <v>0.37</v>
      </c>
      <c r="F21" s="4">
        <f t="shared" si="3"/>
        <v>0.37</v>
      </c>
      <c r="G21" s="4" t="str">
        <f t="shared" si="4"/>
        <v>0.35</v>
      </c>
      <c r="H21" s="4">
        <f t="shared" si="5"/>
        <v>0.36</v>
      </c>
      <c r="I21" s="4" t="str">
        <f t="shared" si="6"/>
        <v>0.35</v>
      </c>
      <c r="K21"/>
      <c r="L21">
        <v>0.34693877551020408</v>
      </c>
      <c r="M21">
        <v>0.34347826086956523</v>
      </c>
      <c r="N21">
        <v>0.372</v>
      </c>
      <c r="O21">
        <v>0.94000000000000006</v>
      </c>
      <c r="P21" t="str">
        <f t="shared" si="7"/>
        <v/>
      </c>
      <c r="Q21">
        <v>0.56000000000000005</v>
      </c>
      <c r="R21" t="str">
        <f t="shared" si="8"/>
        <v/>
      </c>
      <c r="S21">
        <v>0.36990595611285265</v>
      </c>
      <c r="T21">
        <v>0.35026041666666669</v>
      </c>
      <c r="U21">
        <v>0.54</v>
      </c>
      <c r="V21" t="str">
        <f t="shared" si="9"/>
        <v/>
      </c>
      <c r="W21">
        <v>0.35992907801418439</v>
      </c>
      <c r="X21">
        <v>0.34869739478957917</v>
      </c>
      <c r="Y21">
        <v>0.66</v>
      </c>
      <c r="Z21" s="3" t="str">
        <f t="shared" si="10"/>
        <v/>
      </c>
    </row>
    <row r="22" spans="2:26" x14ac:dyDescent="0.3">
      <c r="B22" s="17" t="s">
        <v>25</v>
      </c>
      <c r="C22" s="2">
        <f t="shared" si="0"/>
        <v>0.64</v>
      </c>
      <c r="D22" s="4" t="str">
        <f t="shared" si="1"/>
        <v>0.58</v>
      </c>
      <c r="E22" s="4" t="str">
        <f t="shared" si="2"/>
        <v>0.52***</v>
      </c>
      <c r="F22" s="4">
        <f t="shared" si="3"/>
        <v>0.61</v>
      </c>
      <c r="G22" s="4" t="str">
        <f t="shared" si="4"/>
        <v>0.57</v>
      </c>
      <c r="H22" s="4">
        <f t="shared" si="5"/>
        <v>0.62</v>
      </c>
      <c r="I22" s="4" t="str">
        <f t="shared" si="6"/>
        <v>0.57**</v>
      </c>
      <c r="K22"/>
      <c r="L22">
        <v>0.64081632653061227</v>
      </c>
      <c r="M22">
        <v>0.57826086956521738</v>
      </c>
      <c r="N22">
        <v>0.51600000000000001</v>
      </c>
      <c r="O22">
        <v>0.16</v>
      </c>
      <c r="P22" t="str">
        <f t="shared" si="7"/>
        <v/>
      </c>
      <c r="Q22">
        <v>0</v>
      </c>
      <c r="R22" t="str">
        <f t="shared" si="8"/>
        <v>***</v>
      </c>
      <c r="S22">
        <v>0.61128526645768022</v>
      </c>
      <c r="T22">
        <v>0.57161458333333337</v>
      </c>
      <c r="U22">
        <v>0.22</v>
      </c>
      <c r="V22" t="str">
        <f t="shared" si="9"/>
        <v/>
      </c>
      <c r="W22">
        <v>0.62411347517730498</v>
      </c>
      <c r="X22">
        <v>0.57314629258517036</v>
      </c>
      <c r="Y22">
        <v>0.05</v>
      </c>
      <c r="Z22" s="3" t="str">
        <f t="shared" si="10"/>
        <v>**</v>
      </c>
    </row>
    <row r="23" spans="2:26" x14ac:dyDescent="0.3">
      <c r="B23" s="17" t="s">
        <v>26</v>
      </c>
      <c r="C23" s="2">
        <f t="shared" si="0"/>
        <v>95251.61</v>
      </c>
      <c r="D23" s="4" t="str">
        <f t="shared" si="1"/>
        <v>71962.36*</v>
      </c>
      <c r="E23" s="4" t="str">
        <f t="shared" si="2"/>
        <v>90374.76</v>
      </c>
      <c r="F23" s="4">
        <f t="shared" si="3"/>
        <v>63265.84</v>
      </c>
      <c r="G23" s="4" t="str">
        <f t="shared" si="4"/>
        <v>69315.22</v>
      </c>
      <c r="H23" s="4">
        <f t="shared" si="5"/>
        <v>76900.06</v>
      </c>
      <c r="I23" s="4" t="str">
        <f t="shared" si="6"/>
        <v>69910.89</v>
      </c>
      <c r="J23" s="13"/>
      <c r="L23">
        <v>95251.613174116559</v>
      </c>
      <c r="M23">
        <v>71962.362842234797</v>
      </c>
      <c r="N23">
        <v>90374.759741611168</v>
      </c>
      <c r="O23">
        <v>7.0000000000000007E-2</v>
      </c>
      <c r="P23" t="str">
        <f t="shared" si="7"/>
        <v>*</v>
      </c>
      <c r="Q23">
        <v>0.76</v>
      </c>
      <c r="R23" t="str">
        <f t="shared" si="8"/>
        <v/>
      </c>
      <c r="S23">
        <v>63265.838316005596</v>
      </c>
      <c r="T23">
        <v>69315.215225219727</v>
      </c>
      <c r="U23">
        <v>0.47</v>
      </c>
      <c r="V23" t="str">
        <f t="shared" si="9"/>
        <v/>
      </c>
      <c r="W23">
        <v>76900.062491135628</v>
      </c>
      <c r="X23">
        <v>69910.890218755914</v>
      </c>
      <c r="Y23">
        <v>0.34</v>
      </c>
      <c r="Z23" s="3" t="str">
        <f t="shared" si="10"/>
        <v/>
      </c>
    </row>
    <row r="24" spans="2:26" x14ac:dyDescent="0.3">
      <c r="B24" s="17" t="s">
        <v>27</v>
      </c>
      <c r="C24" s="2">
        <f t="shared" si="0"/>
        <v>0.19</v>
      </c>
      <c r="D24" s="4" t="str">
        <f t="shared" si="1"/>
        <v>0.18</v>
      </c>
      <c r="E24" s="4" t="str">
        <f t="shared" si="2"/>
        <v>0.17</v>
      </c>
      <c r="F24" s="4">
        <f t="shared" si="3"/>
        <v>0.16</v>
      </c>
      <c r="G24" s="4" t="str">
        <f t="shared" si="4"/>
        <v>0.19</v>
      </c>
      <c r="H24" s="4">
        <f t="shared" si="5"/>
        <v>0.17</v>
      </c>
      <c r="I24" s="4" t="str">
        <f t="shared" si="6"/>
        <v>0.19</v>
      </c>
      <c r="L24">
        <v>0.19</v>
      </c>
      <c r="M24">
        <v>0.17708333333333334</v>
      </c>
      <c r="N24">
        <v>0.16611295681063123</v>
      </c>
      <c r="O24">
        <v>0.69000000000000006</v>
      </c>
      <c r="P24" t="str">
        <f t="shared" si="7"/>
        <v/>
      </c>
      <c r="Q24">
        <v>0.44</v>
      </c>
      <c r="R24" t="str">
        <f t="shared" si="8"/>
        <v/>
      </c>
      <c r="S24">
        <v>0.15548780487804878</v>
      </c>
      <c r="T24">
        <v>0.19140625</v>
      </c>
      <c r="U24">
        <v>0.14000000000000001</v>
      </c>
      <c r="V24" t="str">
        <f t="shared" si="9"/>
        <v/>
      </c>
      <c r="W24">
        <v>0.17197452229299362</v>
      </c>
      <c r="X24">
        <v>0.1875</v>
      </c>
      <c r="Y24">
        <v>0.42</v>
      </c>
      <c r="Z24" s="3" t="str">
        <f t="shared" si="10"/>
        <v/>
      </c>
    </row>
    <row r="25" spans="2:26" x14ac:dyDescent="0.3">
      <c r="B25" s="17" t="s">
        <v>28</v>
      </c>
      <c r="C25" s="2">
        <f t="shared" si="0"/>
        <v>0.86</v>
      </c>
      <c r="D25" s="4" t="str">
        <f t="shared" si="1"/>
        <v>0.83</v>
      </c>
      <c r="E25" s="4" t="str">
        <f t="shared" si="2"/>
        <v>0.83</v>
      </c>
      <c r="F25" s="4">
        <f t="shared" si="3"/>
        <v>0.91</v>
      </c>
      <c r="G25" s="4" t="str">
        <f t="shared" si="4"/>
        <v>0.89</v>
      </c>
      <c r="H25" s="4">
        <f t="shared" si="5"/>
        <v>0.89</v>
      </c>
      <c r="I25" s="4" t="str">
        <f t="shared" si="6"/>
        <v>0.87</v>
      </c>
      <c r="L25">
        <v>0.85666666666666669</v>
      </c>
      <c r="M25">
        <v>0.82986111111111116</v>
      </c>
      <c r="N25">
        <v>0.83388704318936879</v>
      </c>
      <c r="O25">
        <v>0.37</v>
      </c>
      <c r="P25" t="str">
        <f t="shared" si="7"/>
        <v/>
      </c>
      <c r="Q25">
        <v>0.44</v>
      </c>
      <c r="R25" t="str">
        <f t="shared" si="8"/>
        <v/>
      </c>
      <c r="S25">
        <v>0.91463414634146345</v>
      </c>
      <c r="T25">
        <v>0.88932291666666663</v>
      </c>
      <c r="U25">
        <v>0.19</v>
      </c>
      <c r="V25" t="str">
        <f t="shared" si="9"/>
        <v/>
      </c>
      <c r="W25">
        <v>0.88694267515923564</v>
      </c>
      <c r="X25">
        <v>0.87310606060606055</v>
      </c>
      <c r="Y25">
        <v>0.4</v>
      </c>
      <c r="Z25" s="3" t="str">
        <f t="shared" si="10"/>
        <v/>
      </c>
    </row>
    <row r="26" spans="2:26" x14ac:dyDescent="0.3">
      <c r="B26" s="17" t="s">
        <v>29</v>
      </c>
      <c r="C26" s="2">
        <f t="shared" si="0"/>
        <v>0.03</v>
      </c>
      <c r="D26" s="4" t="str">
        <f t="shared" si="1"/>
        <v>0.02</v>
      </c>
      <c r="E26" s="4" t="str">
        <f t="shared" si="2"/>
        <v>0.01</v>
      </c>
      <c r="F26" s="4">
        <f t="shared" si="3"/>
        <v>0.01</v>
      </c>
      <c r="G26" s="4" t="str">
        <f t="shared" si="4"/>
        <v>0.02</v>
      </c>
      <c r="H26" s="4">
        <f t="shared" si="5"/>
        <v>0.02</v>
      </c>
      <c r="I26" s="4" t="str">
        <f t="shared" si="6"/>
        <v>0.02</v>
      </c>
      <c r="L26">
        <v>2.6666666666666668E-2</v>
      </c>
      <c r="M26">
        <v>1.7361111111111112E-2</v>
      </c>
      <c r="N26">
        <v>1.3289036544850499E-2</v>
      </c>
      <c r="O26">
        <v>0.44</v>
      </c>
      <c r="P26" t="str">
        <f t="shared" si="7"/>
        <v/>
      </c>
      <c r="Q26">
        <v>0.24</v>
      </c>
      <c r="R26" t="str">
        <f t="shared" si="8"/>
        <v/>
      </c>
      <c r="S26">
        <v>1.2195121951219513E-2</v>
      </c>
      <c r="T26">
        <v>2.2135416666666668E-2</v>
      </c>
      <c r="U26">
        <v>0.22</v>
      </c>
      <c r="V26" t="str">
        <f t="shared" si="9"/>
        <v/>
      </c>
      <c r="W26">
        <v>1.9108280254777069E-2</v>
      </c>
      <c r="X26">
        <v>2.0833333333333332E-2</v>
      </c>
      <c r="Y26">
        <v>0.81</v>
      </c>
      <c r="Z26" s="3" t="str">
        <f t="shared" si="10"/>
        <v/>
      </c>
    </row>
    <row r="27" spans="2:26" x14ac:dyDescent="0.3">
      <c r="B27" s="17" t="s">
        <v>30</v>
      </c>
      <c r="C27" s="2">
        <f t="shared" si="0"/>
        <v>0.72</v>
      </c>
      <c r="D27" s="4" t="str">
        <f t="shared" si="1"/>
        <v>0.75</v>
      </c>
      <c r="E27" s="4" t="str">
        <f t="shared" si="2"/>
        <v>0.78*</v>
      </c>
      <c r="F27" s="4">
        <f t="shared" si="3"/>
        <v>0.79</v>
      </c>
      <c r="G27" s="4" t="str">
        <f t="shared" si="4"/>
        <v>0.78</v>
      </c>
      <c r="H27" s="4">
        <f t="shared" si="5"/>
        <v>0.76</v>
      </c>
      <c r="I27" s="4" t="str">
        <f t="shared" si="6"/>
        <v>0.78</v>
      </c>
      <c r="L27">
        <v>0.72333333333333338</v>
      </c>
      <c r="M27">
        <v>0.75347222222222221</v>
      </c>
      <c r="N27">
        <v>0.78405315614617943</v>
      </c>
      <c r="O27">
        <v>0.41</v>
      </c>
      <c r="P27" t="str">
        <f t="shared" si="7"/>
        <v/>
      </c>
      <c r="Q27">
        <v>0.08</v>
      </c>
      <c r="R27" t="str">
        <f t="shared" si="8"/>
        <v>*</v>
      </c>
      <c r="S27">
        <v>0.78963414634146345</v>
      </c>
      <c r="T27">
        <v>0.78385416666666663</v>
      </c>
      <c r="U27">
        <v>0.83000000000000007</v>
      </c>
      <c r="V27" t="str">
        <f t="shared" si="9"/>
        <v/>
      </c>
      <c r="W27">
        <v>0.7579617834394905</v>
      </c>
      <c r="X27">
        <v>0.77556818181818177</v>
      </c>
      <c r="Y27">
        <v>0.41</v>
      </c>
      <c r="Z27" s="3" t="str">
        <f t="shared" si="10"/>
        <v/>
      </c>
    </row>
    <row r="28" spans="2:26" ht="15" thickBot="1" x14ac:dyDescent="0.35">
      <c r="B28" s="7" t="s">
        <v>11</v>
      </c>
      <c r="C28" s="14">
        <f t="shared" si="0"/>
        <v>300</v>
      </c>
      <c r="D28" s="19" t="str">
        <f t="shared" si="1"/>
        <v>288</v>
      </c>
      <c r="E28" s="19" t="str">
        <f t="shared" si="2"/>
        <v>301</v>
      </c>
      <c r="F28" s="19">
        <f t="shared" si="3"/>
        <v>328</v>
      </c>
      <c r="G28" s="19" t="str">
        <f t="shared" si="4"/>
        <v>768</v>
      </c>
      <c r="H28" s="19">
        <f t="shared" si="5"/>
        <v>628</v>
      </c>
      <c r="I28" s="19" t="str">
        <f t="shared" si="6"/>
        <v>1056</v>
      </c>
      <c r="L28">
        <v>300</v>
      </c>
      <c r="M28">
        <v>288</v>
      </c>
      <c r="N28">
        <v>301</v>
      </c>
      <c r="S28">
        <v>328</v>
      </c>
      <c r="T28">
        <v>768</v>
      </c>
      <c r="U28"/>
      <c r="V28"/>
      <c r="W28">
        <v>628</v>
      </c>
      <c r="X28">
        <v>1056</v>
      </c>
    </row>
    <row r="29" spans="2:26" ht="15" thickTop="1" x14ac:dyDescent="0.3"/>
  </sheetData>
  <mergeCells count="3">
    <mergeCell ref="C3:E3"/>
    <mergeCell ref="F3:G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Meza</dc:creator>
  <cp:lastModifiedBy>xps-seira</cp:lastModifiedBy>
  <dcterms:created xsi:type="dcterms:W3CDTF">2016-04-27T01:56:31Z</dcterms:created>
  <dcterms:modified xsi:type="dcterms:W3CDTF">2018-09-22T20:24:34Z</dcterms:modified>
</cp:coreProperties>
</file>